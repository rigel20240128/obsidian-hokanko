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9846792-D256-442E-8FCF-587DA109C607}" xr6:coauthVersionLast="45" xr6:coauthVersionMax="45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Sheet1" sheetId="1" r:id="rId1"/>
    <sheet name="Sheet2" sheetId="2" r:id="rId2"/>
    <sheet name="Sheet3" sheetId="3" r:id="rId3"/>
    <sheet name="発注 (20191206)" sheetId="7" r:id="rId4"/>
  </sheets>
  <definedNames>
    <definedName name="_xlnm._FilterDatabase" localSheetId="0">Sheet1!$B$8:$O$8</definedName>
    <definedName name="_xlnm._FilterDatabase" localSheetId="3">'発注 (20191206)'!$B$8:$O$8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8" i="7" l="1"/>
  <c r="H47" i="7"/>
  <c r="B47" i="7"/>
  <c r="B48" i="7"/>
  <c r="H136" i="7" l="1"/>
  <c r="H126" i="7" l="1"/>
  <c r="H125" i="7"/>
  <c r="H124" i="7"/>
  <c r="H96" i="7" l="1"/>
  <c r="H62" i="7"/>
  <c r="H61" i="7"/>
  <c r="H60" i="7"/>
  <c r="H59" i="7"/>
  <c r="H58" i="7"/>
  <c r="H57" i="7"/>
  <c r="H56" i="7"/>
  <c r="H55" i="7"/>
  <c r="H54" i="7"/>
  <c r="H38" i="7"/>
  <c r="H39" i="7"/>
  <c r="H112" i="7"/>
  <c r="H89" i="7"/>
  <c r="H90" i="7"/>
  <c r="E64" i="7" l="1"/>
  <c r="H46" i="7"/>
  <c r="H45" i="7"/>
  <c r="H44" i="7"/>
  <c r="H43" i="7"/>
  <c r="H42" i="7"/>
  <c r="H41" i="7"/>
  <c r="H40" i="7"/>
  <c r="H37" i="7"/>
  <c r="H36" i="7"/>
  <c r="H85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E85" i="7" l="1"/>
  <c r="H127" i="7"/>
  <c r="H123" i="7"/>
  <c r="H122" i="7"/>
  <c r="H121" i="7"/>
  <c r="H120" i="7"/>
  <c r="H119" i="7"/>
  <c r="H118" i="7"/>
  <c r="H117" i="7"/>
  <c r="H116" i="7"/>
  <c r="H115" i="7"/>
  <c r="H114" i="7"/>
  <c r="H113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5" i="7"/>
  <c r="H94" i="7"/>
  <c r="H93" i="7"/>
  <c r="H92" i="7"/>
  <c r="H91" i="7"/>
  <c r="H134" i="7" l="1"/>
  <c r="H133" i="7"/>
  <c r="H132" i="7"/>
  <c r="H131" i="7"/>
  <c r="H130" i="7"/>
  <c r="H129" i="7"/>
  <c r="H128" i="7"/>
  <c r="H35" i="7"/>
  <c r="H28" i="7"/>
  <c r="H34" i="7"/>
  <c r="H30" i="7"/>
  <c r="E139" i="7" l="1"/>
  <c r="H11" i="7"/>
  <c r="H143" i="7" l="1"/>
  <c r="H142" i="7"/>
  <c r="H141" i="7"/>
  <c r="H33" i="7"/>
  <c r="H32" i="7"/>
  <c r="H31" i="7"/>
  <c r="H29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B12" i="7"/>
  <c r="B13" i="7" s="1"/>
  <c r="B14" i="7" s="1"/>
  <c r="B15" i="7" s="1"/>
  <c r="B16" i="7" s="1"/>
  <c r="B17" i="7" s="1"/>
  <c r="H93" i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J2" i="7" l="1"/>
  <c r="E84" i="1"/>
  <c r="E59" i="1"/>
  <c r="E72" i="1"/>
  <c r="E34" i="1"/>
  <c r="B18" i="7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54" i="7" s="1"/>
  <c r="E50" i="7"/>
  <c r="J2" i="1"/>
  <c r="B55" i="7" l="1"/>
  <c r="B56" i="7" s="1"/>
  <c r="B57" i="7" s="1"/>
  <c r="B58" i="7" s="1"/>
  <c r="B59" i="7" s="1"/>
  <c r="B60" i="7" s="1"/>
  <c r="B61" i="7" l="1"/>
  <c r="B62" i="7" s="1"/>
  <c r="B70" i="7" l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9" i="7" s="1"/>
  <c r="B90" i="7" s="1"/>
  <c r="B91" i="7" s="1"/>
  <c r="B92" i="7" s="1"/>
  <c r="B93" i="7" s="1"/>
  <c r="B94" i="7" s="1"/>
  <c r="B95" i="7" s="1"/>
  <c r="B96" i="7" l="1"/>
  <c r="B97" i="7" s="1"/>
  <c r="B98" i="7" s="1"/>
  <c r="B99" i="7" s="1"/>
  <c r="B100" i="7" s="1"/>
  <c r="B101" i="7" l="1"/>
  <c r="B102" i="7" s="1"/>
  <c r="B103" i="7" l="1"/>
  <c r="B104" i="7" l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l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</calcChain>
</file>

<file path=xl/sharedStrings.xml><?xml version="1.0" encoding="utf-8"?>
<sst xmlns="http://schemas.openxmlformats.org/spreadsheetml/2006/main" count="792" uniqueCount="360">
  <si>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</si>
  <si>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</si>
  <si>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</si>
  <si>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</si>
  <si>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</si>
  <si>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</si>
  <si>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</si>
  <si>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</si>
  <si>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</si>
  <si>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</si>
  <si>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</si>
  <si>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</si>
  <si>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</si>
  <si>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</si>
  <si>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</si>
  <si>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</si>
  <si>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</si>
  <si>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</si>
  <si>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</si>
  <si>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</si>
  <si>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</si>
  <si>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</si>
  <si>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</si>
  <si>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</si>
  <si>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</si>
  <si>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</si>
  <si>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</si>
  <si>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</si>
  <si>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</si>
  <si>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</si>
  <si>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</si>
  <si>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</si>
  <si>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</si>
  <si>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</si>
  <si>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</si>
  <si>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</si>
  <si>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</si>
  <si>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</si>
  <si>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</si>
  <si>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</si>
  <si>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</si>
  <si>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</si>
  <si>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</si>
  <si>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</si>
  <si>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</si>
  <si>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</si>
  <si>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</si>
  <si>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</si>
  <si>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</si>
  <si>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</si>
  <si>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</si>
  <si>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</si>
  <si>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</si>
  <si>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</si>
  <si>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</si>
  <si>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</si>
  <si>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</si>
  <si>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</si>
  <si>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</si>
  <si>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</si>
  <si>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</si>
  <si>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</si>
  <si>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</si>
  <si>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</si>
  <si>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</si>
  <si>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</si>
  <si>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</si>
  <si>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</si>
  <si>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</si>
  <si>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</si>
  <si>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</si>
  <si>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</si>
  <si>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</si>
  <si>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</si>
  <si>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</si>
  <si>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</si>
  <si>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</si>
  <si>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</si>
  <si>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</si>
  <si>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</si>
  <si>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</si>
  <si>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</si>
  <si>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</si>
  <si>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</si>
  <si>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</si>
  <si>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</si>
  <si>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</si>
  <si>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</si>
  <si>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</si>
  <si>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</si>
  <si>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</si>
  <si>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</si>
  <si>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</si>
  <si>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</si>
  <si>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</si>
  <si>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</si>
  <si>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</si>
  <si>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</si>
  <si>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</si>
  <si>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</si>
  <si>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</si>
  <si>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</si>
  <si>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</si>
  <si>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</si>
  <si>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</si>
  <si>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</si>
  <si>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</si>
  <si>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</si>
  <si>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</si>
  <si>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</si>
  <si>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</si>
  <si>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</si>
  <si>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</si>
  <si>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</si>
  <si>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</si>
  <si>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</si>
  <si>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</si>
  <si>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</si>
  <si>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</si>
  <si>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</si>
  <si>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</si>
  <si>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</si>
  <si>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</si>
  <si>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</si>
  <si>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</si>
  <si>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</si>
  <si>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</si>
  <si>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</si>
  <si>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</si>
  <si>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</si>
  <si>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</si>
  <si>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</si>
  <si>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</si>
  <si>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ﾉｯｸﾋﾟﾝ　φ3-10mm</t>
  </si>
  <si>
    <t>SBCB4-8</t>
  </si>
  <si>
    <t>六角穴付きﾎﾞﾀﾝﾎﾞﾙﾄ　 (M4×8)</t>
  </si>
  <si>
    <t>ﾂｰﾙ取付ﾌﾞﾗｹｯﾄ(90°回転用）</t>
  </si>
  <si>
    <t>スラスト玉軸受ﾌﾞﾗｹｯﾄ</t>
  </si>
  <si>
    <t>補強ﾌﾞﾛｯｸ</t>
  </si>
  <si>
    <t>スラスト玉軸受</t>
  </si>
  <si>
    <t>金属ワッシャ　Ｔ寸選択・指定タイプ　並級</t>
  </si>
  <si>
    <t>シャフト　片端めねじキリ穴付・スパナ溝付タイプ</t>
  </si>
  <si>
    <t>ベアリングホルダセット</t>
  </si>
  <si>
    <t>カップリング　リジット形セットスクリュータイプ</t>
  </si>
  <si>
    <t>SMC</t>
    <phoneticPr fontId="16"/>
  </si>
  <si>
    <t>ミスミ</t>
    <phoneticPr fontId="16"/>
  </si>
  <si>
    <t xml:space="preserve">AD-342 </t>
    <phoneticPr fontId="16"/>
  </si>
  <si>
    <t>カッチンダクト</t>
    <phoneticPr fontId="16"/>
  </si>
  <si>
    <t>F1.25-M3</t>
    <phoneticPr fontId="16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</si>
  <si>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6"/>
  </si>
  <si>
    <t>PUT6-10-B</t>
    <phoneticPr fontId="16"/>
  </si>
  <si>
    <t>ポリウレタンチューブ</t>
    <phoneticPr fontId="16"/>
  </si>
  <si>
    <t>配電部分</t>
    <rPh sb="0" eb="2">
      <t>ハイデン</t>
    </rPh>
    <rPh sb="2" eb="4">
      <t>ブブン</t>
    </rPh>
    <phoneticPr fontId="14"/>
  </si>
  <si>
    <t>φ6エルボ継手　※制御側</t>
    <rPh sb="5" eb="7">
      <t>ツギテ</t>
    </rPh>
    <rPh sb="9" eb="11">
      <t>セイギョ</t>
    </rPh>
    <rPh sb="11" eb="12">
      <t>ガワ</t>
    </rPh>
    <phoneticPr fontId="16"/>
  </si>
  <si>
    <t>SCB4-8</t>
    <phoneticPr fontId="16"/>
  </si>
  <si>
    <t>六角穴付きﾎﾞﾙﾄ　 (M4×8)</t>
    <phoneticPr fontId="16"/>
  </si>
  <si>
    <t>ﾌﾟﾗｸﾞ</t>
  </si>
  <si>
    <t>SMC</t>
  </si>
  <si>
    <t>SS5Y3-20-03</t>
    <phoneticPr fontId="16"/>
  </si>
  <si>
    <t>一体型ﾍﾞｰｽﾏﾆﾎｰﾙﾄﾞ</t>
    <rPh sb="0" eb="2">
      <t>イッタイ</t>
    </rPh>
    <rPh sb="2" eb="3">
      <t>ガタ</t>
    </rPh>
    <phoneticPr fontId="16"/>
  </si>
  <si>
    <t>*SY3120-5LZE-C4</t>
    <phoneticPr fontId="16"/>
  </si>
  <si>
    <t>ｼﾝｸﾞﾙｿﾚﾉｲﾄﾞﾊﾞﾙﾌﾞ</t>
  </si>
  <si>
    <t>ﾌﾞﾗﾝｷﾝｸﾞﾌﾟﾚｰﾄASSY</t>
  </si>
  <si>
    <t>ｻｲﾚﾝｻ　ｺﾝﾊﾟｸﾄﾀｲﾌﾟ</t>
  </si>
  <si>
    <t>レギュレーター</t>
  </si>
  <si>
    <t>ｽﾋﾟｰﾄﾞｺﾝﾄﾛｰﾗ</t>
    <phoneticPr fontId="16"/>
  </si>
  <si>
    <t>CDRBU2WU30-90SZ-S79L</t>
    <phoneticPr fontId="16"/>
  </si>
  <si>
    <t>セットカラー　止めねじ固定</t>
    <phoneticPr fontId="14"/>
  </si>
  <si>
    <t>低頭M5ﾈｼﾞ</t>
    <rPh sb="0" eb="2">
      <t>テイトウ</t>
    </rPh>
    <phoneticPr fontId="14"/>
  </si>
  <si>
    <t>フリーマウント形ロータリアクチュエータ ベーンタイプ</t>
    <phoneticPr fontId="16"/>
  </si>
  <si>
    <t>137581－Y001</t>
    <phoneticPr fontId="14"/>
  </si>
  <si>
    <t>137581－Y002</t>
  </si>
  <si>
    <t>137581－Y004</t>
  </si>
  <si>
    <t>137581－Y005</t>
  </si>
  <si>
    <t>137581－Y006</t>
  </si>
  <si>
    <t>セットカラー固定ﾌﾞﾗｹｯﾄ</t>
    <phoneticPr fontId="14"/>
  </si>
  <si>
    <t>ﾊ"ﾙﾌﾞﾎﾙﾀﾞｰﾌﾞﾗｹｯﾄ</t>
    <phoneticPr fontId="14"/>
  </si>
  <si>
    <t>ﾊﾞﾙﾌﾞﾎﾙﾀﾞﾈｼﾞ固定ﾀｲﾌﾟ</t>
    <phoneticPr fontId="14"/>
  </si>
  <si>
    <t xml:space="preserve"> SSCMW8</t>
    <phoneticPr fontId="14"/>
  </si>
  <si>
    <t xml:space="preserve"> CSHBTT-SUS-M5-18</t>
    <phoneticPr fontId="14"/>
  </si>
  <si>
    <t>六角穴付止めねじ 平先</t>
    <phoneticPr fontId="14"/>
  </si>
  <si>
    <t>ＭＳ3－１0</t>
    <phoneticPr fontId="14"/>
  </si>
  <si>
    <t>ＭＳ3－35</t>
    <phoneticPr fontId="14"/>
  </si>
  <si>
    <t>ﾉｯｸﾋﾟﾝ　φ3-35mm</t>
    <phoneticPr fontId="14"/>
  </si>
  <si>
    <t>六角穴付きﾎﾞﾙﾄ　 (M5×60)</t>
    <phoneticPr fontId="14"/>
  </si>
  <si>
    <t>CＳH-SUS-M5-60</t>
    <phoneticPr fontId="14"/>
  </si>
  <si>
    <t>SCB5-18</t>
    <phoneticPr fontId="14"/>
  </si>
  <si>
    <t>SCB5-10</t>
    <phoneticPr fontId="14"/>
  </si>
  <si>
    <t>SCB4-14</t>
    <phoneticPr fontId="14"/>
  </si>
  <si>
    <t>六角穴付きﾎﾞﾙﾄ　 (M6×10)</t>
    <phoneticPr fontId="14"/>
  </si>
  <si>
    <t>SCB6-10</t>
    <phoneticPr fontId="14"/>
  </si>
  <si>
    <t>SCB4-20</t>
    <phoneticPr fontId="14"/>
  </si>
  <si>
    <t>BVHVU6-3</t>
    <phoneticPr fontId="16"/>
  </si>
  <si>
    <t>MNCNL6-M5</t>
    <phoneticPr fontId="16"/>
  </si>
  <si>
    <t>MNCNL4-M5</t>
    <phoneticPr fontId="16"/>
  </si>
  <si>
    <t>φ4エルボ継手　※制御側</t>
    <rPh sb="5" eb="7">
      <t>ツギテ</t>
    </rPh>
    <rPh sb="9" eb="11">
      <t>セイギョ</t>
    </rPh>
    <rPh sb="11" eb="12">
      <t>ガワ</t>
    </rPh>
    <phoneticPr fontId="16"/>
  </si>
  <si>
    <t>ワンタッチ継手　異径ユニオンストレート</t>
    <phoneticPr fontId="14"/>
  </si>
  <si>
    <t>UJDST4-W</t>
    <phoneticPr fontId="14"/>
  </si>
  <si>
    <t>JSMU4</t>
    <phoneticPr fontId="14"/>
  </si>
  <si>
    <t>標準タイプ スピードコントローラ ユニオンストレート</t>
    <phoneticPr fontId="14"/>
  </si>
  <si>
    <t>制御機材</t>
    <rPh sb="0" eb="1">
      <t>セイ</t>
    </rPh>
    <rPh sb="1" eb="2">
      <t>オ</t>
    </rPh>
    <rPh sb="2" eb="4">
      <t>キザイ</t>
    </rPh>
    <phoneticPr fontId="16"/>
  </si>
  <si>
    <t>東北ﾏﾃﾘｱﾙ</t>
    <rPh sb="0" eb="2">
      <t>トウホク</t>
    </rPh>
    <phoneticPr fontId="16"/>
  </si>
  <si>
    <r>
      <t>JSC4-M5</t>
    </r>
    <r>
      <rPr>
        <sz val="12"/>
        <color rgb="FFFF0000"/>
        <rFont val="ＭＳ Ｐ明朝"/>
        <family val="1"/>
        <charset val="128"/>
      </rPr>
      <t>A</t>
    </r>
    <phoneticPr fontId="16"/>
  </si>
  <si>
    <t xml:space="preserve">配電BOX </t>
    <phoneticPr fontId="16"/>
  </si>
  <si>
    <t>NEDJL-PT-SB-9-1.5</t>
    <phoneticPr fontId="16"/>
  </si>
  <si>
    <t>Dsubコネクタハーネス</t>
    <phoneticPr fontId="16"/>
  </si>
  <si>
    <t>NEDJL-PS-SB-37-1.5</t>
    <phoneticPr fontId="16"/>
  </si>
  <si>
    <t>MWS-DS37A-HT37</t>
    <phoneticPr fontId="16"/>
  </si>
  <si>
    <t>Dsubコネクタ端子台</t>
    <rPh sb="8" eb="10">
      <t>タンシ</t>
    </rPh>
    <rPh sb="10" eb="11">
      <t>ダイ</t>
    </rPh>
    <phoneticPr fontId="16"/>
  </si>
  <si>
    <t>MWI-COM-P10N10</t>
    <phoneticPr fontId="16"/>
  </si>
  <si>
    <t>コモン端子台</t>
    <rPh sb="3" eb="5">
      <t>タンシ</t>
    </rPh>
    <rPh sb="5" eb="6">
      <t>ダイ</t>
    </rPh>
    <phoneticPr fontId="16"/>
  </si>
  <si>
    <t>DINレール</t>
    <phoneticPr fontId="16"/>
  </si>
  <si>
    <t>配線ダクト（側片折り取り可能）</t>
    <phoneticPr fontId="16"/>
  </si>
  <si>
    <t>KV-0.3-BE-10</t>
    <phoneticPr fontId="16"/>
  </si>
  <si>
    <t>単芯電線</t>
    <rPh sb="0" eb="1">
      <t>タン</t>
    </rPh>
    <rPh sb="1" eb="2">
      <t>シン</t>
    </rPh>
    <rPh sb="2" eb="4">
      <t>デンセン</t>
    </rPh>
    <phoneticPr fontId="16"/>
  </si>
  <si>
    <t>SLBNR4</t>
    <phoneticPr fontId="16"/>
  </si>
  <si>
    <t>M4ﾅｯﾄ</t>
    <phoneticPr fontId="16"/>
  </si>
  <si>
    <t>A8140</t>
    <phoneticPr fontId="16"/>
  </si>
  <si>
    <t>汎用3芯OAタップ 2ヶ口</t>
    <phoneticPr fontId="16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</si>
  <si>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BS-32FB-5A</t>
    </r>
    <phoneticPr fontId="16"/>
  </si>
  <si>
    <t>漏電ブレーカ</t>
    <rPh sb="0" eb="2">
      <t>ロウデン</t>
    </rPh>
    <phoneticPr fontId="16"/>
  </si>
  <si>
    <t>富士電線工業</t>
    <rPh sb="0" eb="2">
      <t>フジ</t>
    </rPh>
    <rPh sb="2" eb="4">
      <t>デンセン</t>
    </rPh>
    <rPh sb="4" eb="6">
      <t>コウギョウ</t>
    </rPh>
    <phoneticPr fontId="16"/>
  </si>
  <si>
    <t xml:space="preserve">VCTF-2-0.75SQ-8 </t>
    <phoneticPr fontId="16"/>
  </si>
  <si>
    <t>ビニルキャブタイヤコード VCTF</t>
    <phoneticPr fontId="16"/>
  </si>
  <si>
    <t>3M-3</t>
    <phoneticPr fontId="16"/>
  </si>
  <si>
    <t>ACコード(プラグ）</t>
    <phoneticPr fontId="16"/>
  </si>
  <si>
    <r>
      <t>1</t>
    </r>
    <r>
      <rPr>
        <sz val="11"/>
        <color theme="1"/>
        <rFont val="ＭＳ Ｐゴシック"/>
        <family val="3"/>
        <charset val="128"/>
        <scheme val="minor"/>
      </rPr>
      <t>.25-5</t>
    </r>
    <phoneticPr fontId="16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</si>
  <si>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6"/>
  </si>
  <si>
    <t>NA3GH-24-2-8</t>
    <phoneticPr fontId="16"/>
  </si>
  <si>
    <t>NA3GH UL規格 横巻きシールドセンサー用(２芯）</t>
    <rPh sb="25" eb="26">
      <t>シン</t>
    </rPh>
    <phoneticPr fontId="16"/>
  </si>
  <si>
    <t>NA3GH-24-3-8</t>
    <phoneticPr fontId="16"/>
  </si>
  <si>
    <t>NA3GH UL規格 横巻きシールドセンサー用(３芯）</t>
    <rPh sb="25" eb="26">
      <t>シン</t>
    </rPh>
    <phoneticPr fontId="16"/>
  </si>
  <si>
    <t>NA3GH-24-5-8</t>
    <phoneticPr fontId="16"/>
  </si>
  <si>
    <t>NA3GH UL規格 横巻きシールドセンサー用(５芯）</t>
    <rPh sb="25" eb="26">
      <t>シン</t>
    </rPh>
    <phoneticPr fontId="16"/>
  </si>
  <si>
    <t>PC-2005-M</t>
    <phoneticPr fontId="16"/>
  </si>
  <si>
    <t>差込み型ピン端子　オス（１００個入り）</t>
    <rPh sb="15" eb="16">
      <t>コ</t>
    </rPh>
    <rPh sb="16" eb="17">
      <t>イ</t>
    </rPh>
    <phoneticPr fontId="16"/>
  </si>
  <si>
    <t>PC-2005-F</t>
    <phoneticPr fontId="16"/>
  </si>
  <si>
    <t>差込み型ピン端子　メス（１００個入り）</t>
    <phoneticPr fontId="16"/>
  </si>
  <si>
    <t>ハンドバルブ　φ6</t>
    <phoneticPr fontId="16"/>
  </si>
  <si>
    <t>AW10-M5BＧ-A</t>
    <phoneticPr fontId="16"/>
  </si>
  <si>
    <t>SZ16F-2-060-20</t>
    <phoneticPr fontId="16"/>
  </si>
  <si>
    <t>ケーブルベア</t>
    <phoneticPr fontId="16"/>
  </si>
  <si>
    <t>SFB5-8</t>
    <phoneticPr fontId="16"/>
  </si>
  <si>
    <t>六角穴付皿ボルト　M5×8mm</t>
    <phoneticPr fontId="16"/>
  </si>
  <si>
    <t>SCB5-10</t>
    <phoneticPr fontId="16"/>
  </si>
  <si>
    <t>六角穴付きﾎﾞﾙﾄ　M5×10mm</t>
    <phoneticPr fontId="16"/>
  </si>
  <si>
    <t>SLBNR5</t>
    <phoneticPr fontId="16"/>
  </si>
  <si>
    <t>M5ﾅｯﾄ</t>
    <phoneticPr fontId="16"/>
  </si>
  <si>
    <t>UJDST4-W</t>
    <phoneticPr fontId="16"/>
  </si>
  <si>
    <t>ﾜﾝﾀｯﾁ継手異径ﾕﾆｵﾝｽﾄﾚｰﾄ</t>
    <rPh sb="5" eb="7">
      <t>ツギテ</t>
    </rPh>
    <rPh sb="7" eb="8">
      <t>イ</t>
    </rPh>
    <rPh sb="8" eb="9">
      <t>ケイ</t>
    </rPh>
    <phoneticPr fontId="16"/>
  </si>
  <si>
    <t>USSTL4</t>
    <phoneticPr fontId="16"/>
  </si>
  <si>
    <t>ﾜﾝﾀｯﾁ継手ﾕﾆｵﾝｽﾄﾚｰﾄ</t>
    <rPh sb="5" eb="7">
      <t>ツギテ</t>
    </rPh>
    <phoneticPr fontId="16"/>
  </si>
  <si>
    <t>PUT4-10-C</t>
    <phoneticPr fontId="16"/>
  </si>
  <si>
    <t>φ4ソフトナイロンチューブ</t>
    <phoneticPr fontId="16"/>
  </si>
  <si>
    <t>@ECHN-20160324-00025</t>
    <phoneticPr fontId="16"/>
  </si>
  <si>
    <t>Web設計ﾊｰﾈｽ(ｺﾝﾌｫｰﾏﾙｹｰﾌﾞﾙ延長)2m</t>
    <rPh sb="22" eb="24">
      <t>エンチョウ</t>
    </rPh>
    <phoneticPr fontId="16"/>
  </si>
  <si>
    <t>R03J-JSP-F-2-3</t>
    <phoneticPr fontId="16"/>
  </si>
  <si>
    <t>R03ｺﾈｸﾀ ﾊｰﾈｽ</t>
    <phoneticPr fontId="16"/>
  </si>
  <si>
    <t>TBS-22</t>
    <phoneticPr fontId="16"/>
  </si>
  <si>
    <t>漏電ブレーカ</t>
    <phoneticPr fontId="16"/>
  </si>
  <si>
    <t>浸け置きﾕﾆｯﾄ</t>
    <rPh sb="0" eb="1">
      <t>ツ</t>
    </rPh>
    <rPh sb="2" eb="3">
      <t>オ</t>
    </rPh>
    <phoneticPr fontId="16"/>
  </si>
  <si>
    <t>CRKB4-8</t>
    <phoneticPr fontId="16"/>
  </si>
  <si>
    <t>樹脂付ローレットボルト</t>
    <rPh sb="0" eb="2">
      <t>ジュシ</t>
    </rPh>
    <rPh sb="2" eb="3">
      <t>ツキ</t>
    </rPh>
    <phoneticPr fontId="16"/>
  </si>
  <si>
    <t>CRKB4-10</t>
    <phoneticPr fontId="16"/>
  </si>
  <si>
    <t>ＭＳ2-8</t>
    <phoneticPr fontId="16"/>
  </si>
  <si>
    <t>ﾉｯｸﾋﾟﾝφ2-8mm</t>
    <phoneticPr fontId="16"/>
  </si>
  <si>
    <t>CHNS4</t>
    <phoneticPr fontId="16"/>
  </si>
  <si>
    <t>蝶ﾅｯﾄ</t>
    <phoneticPr fontId="16"/>
  </si>
  <si>
    <t>RSCB4-15</t>
    <phoneticPr fontId="16"/>
  </si>
  <si>
    <t>六角ﾎﾞﾙﾄ</t>
    <phoneticPr fontId="16"/>
  </si>
  <si>
    <t>アズワン</t>
    <phoneticPr fontId="16"/>
  </si>
  <si>
    <r>
      <t xml:space="preserve">5-079-04　   </t>
    </r>
    <r>
      <rPr>
        <b/>
        <sz val="11"/>
        <color indexed="10"/>
        <rFont val="ＭＳ Ｐゴシック"/>
        <family val="3"/>
        <charset val="128"/>
      </rPr>
      <t>在庫使用の為発注せず</t>
    </r>
    <phoneticPr fontId="16"/>
  </si>
  <si>
    <t>ﾐﾆｶｯﾌﾟ（30cc）　</t>
    <phoneticPr fontId="16"/>
  </si>
  <si>
    <t>M4ﾈｼﾞ×8</t>
    <phoneticPr fontId="16"/>
  </si>
  <si>
    <t>SCB4-10</t>
    <phoneticPr fontId="16"/>
  </si>
  <si>
    <t>M4ﾈｼﾞ×10</t>
    <phoneticPr fontId="16"/>
  </si>
  <si>
    <t>ハンドバルブ</t>
    <phoneticPr fontId="16"/>
  </si>
  <si>
    <t>PUT4-10-B</t>
    <phoneticPr fontId="16"/>
  </si>
  <si>
    <t>エアチューブ</t>
    <phoneticPr fontId="16"/>
  </si>
  <si>
    <t>ﾉｽﾞﾙ位置合わせ冶具　</t>
    <phoneticPr fontId="14"/>
  </si>
  <si>
    <t>B51100</t>
    <phoneticPr fontId="14"/>
  </si>
  <si>
    <t>WSSS10-8-1.5</t>
    <phoneticPr fontId="14"/>
  </si>
  <si>
    <t>PSSFGC8-68-M5-SC2-SX5</t>
    <phoneticPr fontId="14"/>
  </si>
  <si>
    <t>BGHWTA628ZZ-22-26</t>
    <phoneticPr fontId="14"/>
  </si>
  <si>
    <t>CPR25-8-8</t>
    <phoneticPr fontId="14"/>
  </si>
  <si>
    <t>SGPPP6A</t>
    <phoneticPr fontId="14"/>
  </si>
  <si>
    <t>*SY3000-26-9A</t>
    <phoneticPr fontId="14"/>
  </si>
  <si>
    <r>
      <t>AW10-M5BＧ</t>
    </r>
    <r>
      <rPr>
        <sz val="11"/>
        <color rgb="FFFF0000"/>
        <rFont val="ＭＳ Ｐゴシック"/>
        <family val="3"/>
        <charset val="128"/>
      </rPr>
      <t>-A</t>
    </r>
    <phoneticPr fontId="16"/>
  </si>
  <si>
    <t xml:space="preserve">MNCNL6-1 </t>
    <phoneticPr fontId="16"/>
  </si>
  <si>
    <t>φ6継ぎ手  ミニチュアワンタッチ継手　エルボ</t>
    <rPh sb="2" eb="3">
      <t>ツ</t>
    </rPh>
    <rPh sb="4" eb="5">
      <t>テ</t>
    </rPh>
    <phoneticPr fontId="16"/>
  </si>
  <si>
    <t xml:space="preserve">MNCNL6-M5 </t>
    <phoneticPr fontId="14"/>
  </si>
  <si>
    <t>ミニチュアワンタッチ継手　エルボ</t>
    <phoneticPr fontId="14"/>
  </si>
  <si>
    <t>レギュレーター</t>
    <phoneticPr fontId="14"/>
  </si>
  <si>
    <t xml:space="preserve">レギュレーター用 </t>
    <rPh sb="7" eb="8">
      <t>ヨウ</t>
    </rPh>
    <phoneticPr fontId="14"/>
  </si>
  <si>
    <t>一体型ﾍﾞｰｽﾏﾆﾎｰﾙﾄﾞ用</t>
    <rPh sb="14" eb="15">
      <t>ヨウ</t>
    </rPh>
    <phoneticPr fontId="14"/>
  </si>
  <si>
    <t>CDRBU2WU30-90SZ-S79L用</t>
    <rPh sb="20" eb="21">
      <t>ヨウ</t>
    </rPh>
    <phoneticPr fontId="14"/>
  </si>
  <si>
    <t>ワンタッチ継手　Ｙタイプ</t>
    <phoneticPr fontId="14"/>
  </si>
  <si>
    <t>USYL6</t>
    <phoneticPr fontId="14"/>
  </si>
  <si>
    <t xml:space="preserve">レギュレーター用OUT側へ </t>
    <rPh sb="7" eb="8">
      <t>ヨウ</t>
    </rPh>
    <rPh sb="11" eb="12">
      <t>ガワ</t>
    </rPh>
    <phoneticPr fontId="14"/>
  </si>
  <si>
    <t>127814-Z04</t>
  </si>
  <si>
    <t>位置決めﾍﾞｰｽ</t>
    <rPh sb="0" eb="2">
      <t>イチ</t>
    </rPh>
    <rPh sb="2" eb="3">
      <t>ギ</t>
    </rPh>
    <phoneticPr fontId="16"/>
  </si>
  <si>
    <t>127814-Z05</t>
  </si>
  <si>
    <t>角度切替ﾌﾞﾗｹｯﾄ</t>
    <rPh sb="0" eb="2">
      <t>カクド</t>
    </rPh>
    <rPh sb="2" eb="3">
      <t>キ</t>
    </rPh>
    <rPh sb="3" eb="4">
      <t>カ</t>
    </rPh>
    <phoneticPr fontId="16"/>
  </si>
  <si>
    <t>127814-Z07</t>
  </si>
  <si>
    <t>押え板</t>
    <phoneticPr fontId="16"/>
  </si>
  <si>
    <t>ASFCS-A27-B14-T0.3-D4.5-E6-C6-P15</t>
    <phoneticPr fontId="16"/>
  </si>
  <si>
    <t>角ｼﾑ</t>
    <rPh sb="0" eb="1">
      <t>カク</t>
    </rPh>
    <phoneticPr fontId="16"/>
  </si>
  <si>
    <t>SCB4-5</t>
    <phoneticPr fontId="16"/>
  </si>
  <si>
    <t>六角穴付きﾎﾞﾙﾄ　M4×5mm</t>
    <phoneticPr fontId="16"/>
  </si>
  <si>
    <t>SCB4-12</t>
    <phoneticPr fontId="16"/>
  </si>
  <si>
    <t>六角穴付きﾎﾞﾙﾄ　M4×12mm</t>
    <phoneticPr fontId="16"/>
  </si>
  <si>
    <t>SCB4-15</t>
    <phoneticPr fontId="16"/>
  </si>
  <si>
    <t>六角穴付きﾎﾞﾙﾄ　M4×15mm</t>
    <phoneticPr fontId="16"/>
  </si>
  <si>
    <t>SCB4-20</t>
    <phoneticPr fontId="16"/>
  </si>
  <si>
    <t>六角穴付きﾎﾞﾙﾄ　M4×20mm</t>
    <phoneticPr fontId="16"/>
  </si>
  <si>
    <t>MSSFS4-6</t>
    <phoneticPr fontId="16"/>
  </si>
  <si>
    <t>止めﾈｼﾞ　M4×8mm</t>
    <rPh sb="0" eb="1">
      <t>ト</t>
    </rPh>
    <phoneticPr fontId="16"/>
  </si>
  <si>
    <t>岸</t>
    <rPh sb="0" eb="1">
      <t>キシ</t>
    </rPh>
    <phoneticPr fontId="14"/>
  </si>
  <si>
    <t>@ECHN-20121010-00003</t>
    <phoneticPr fontId="16"/>
  </si>
  <si>
    <t>I/Oｹｰﾌﾞﾙ　D-Sub9pin</t>
    <phoneticPr fontId="14"/>
  </si>
  <si>
    <t>4本</t>
    <rPh sb="1" eb="2">
      <t>ホン</t>
    </rPh>
    <phoneticPr fontId="14"/>
  </si>
  <si>
    <t>2本</t>
    <rPh sb="1" eb="2">
      <t>ホン</t>
    </rPh>
    <phoneticPr fontId="14"/>
  </si>
  <si>
    <t>SCB4-10</t>
    <phoneticPr fontId="14"/>
  </si>
  <si>
    <t>8本</t>
    <rPh sb="1" eb="2">
      <t>ホン</t>
    </rPh>
    <phoneticPr fontId="14"/>
  </si>
  <si>
    <t>7本</t>
    <rPh sb="1" eb="2">
      <t>ホン</t>
    </rPh>
    <phoneticPr fontId="14"/>
  </si>
  <si>
    <t>SCB4-12</t>
    <phoneticPr fontId="14"/>
  </si>
  <si>
    <t>在庫使用</t>
    <rPh sb="0" eb="2">
      <t>ザイコ</t>
    </rPh>
    <rPh sb="2" eb="4">
      <t>シヨウ</t>
    </rPh>
    <phoneticPr fontId="14"/>
  </si>
  <si>
    <t xml:space="preserve">FSAWM-K-P11-1086-181203-0241 </t>
    <phoneticPr fontId="14"/>
  </si>
  <si>
    <t>SETB-0012-Z03 ｶｯﾌﾟﾎﾙﾀﾞｰﾍﾞｰｽＬ字ﾌﾞﾗｹｯﾄ</t>
    <phoneticPr fontId="16"/>
  </si>
  <si>
    <t>MVSHM-3N02052011011-JPA243PKG111AA</t>
    <phoneticPr fontId="16"/>
  </si>
  <si>
    <t>SETB-0012-Z04 ｶｯﾌﾟﾎﾙﾀﾞｰＬ字ﾌﾞﾗｹｯﾄ</t>
    <phoneticPr fontId="16"/>
  </si>
  <si>
    <t>MVSHM-3N02050006014-JPA245CUK111AA</t>
    <phoneticPr fontId="14"/>
  </si>
  <si>
    <t>SETB-0012-Z05 ｶｯﾌﾟﾎﾙﾀﾞｰ</t>
    <phoneticPr fontId="16"/>
  </si>
  <si>
    <t>MVSHM-ZZ99000000000-JPA243U9A111AB</t>
    <phoneticPr fontId="14"/>
  </si>
  <si>
    <t>SETB-0012-Z01 ＳＶＥＭ取付ﾌﾞﾗｹｯﾄ</t>
    <phoneticPr fontId="14"/>
  </si>
  <si>
    <t>MVSHM-3N02002007014-JPA249N1M111AA</t>
    <phoneticPr fontId="14"/>
  </si>
  <si>
    <t>SETB-0012-Z02 配電用背板</t>
    <phoneticPr fontId="14"/>
  </si>
  <si>
    <t>MVBLK-AMW-JPA249PDA111AB</t>
    <phoneticPr fontId="14"/>
  </si>
  <si>
    <t>137581－Y003</t>
    <phoneticPr fontId="14"/>
  </si>
  <si>
    <t>Ｎo.173703</t>
    <phoneticPr fontId="14"/>
  </si>
  <si>
    <t>千住金属工業(十和田オーディオ）</t>
    <rPh sb="7" eb="10">
      <t>トワダ</t>
    </rPh>
    <phoneticPr fontId="14"/>
  </si>
  <si>
    <t>MRB-180</t>
    <phoneticPr fontId="14"/>
  </si>
  <si>
    <t>MRB-170</t>
    <phoneticPr fontId="16"/>
  </si>
  <si>
    <t xml:space="preserve">HDV-2 </t>
    <phoneticPr fontId="16"/>
  </si>
  <si>
    <t>止め金具</t>
    <rPh sb="0" eb="1">
      <t>ト</t>
    </rPh>
    <rPh sb="2" eb="4">
      <t>カナグ</t>
    </rPh>
    <phoneticPr fontId="16"/>
  </si>
  <si>
    <t>GPR-M-2CL-D24DB</t>
    <phoneticPr fontId="16"/>
  </si>
  <si>
    <t>リレー</t>
    <phoneticPr fontId="16"/>
  </si>
  <si>
    <t>GPR-MS-2CD</t>
    <phoneticPr fontId="16"/>
  </si>
  <si>
    <t>リレーソケット</t>
    <phoneticPr fontId="16"/>
  </si>
  <si>
    <t>石鍋</t>
    <rPh sb="0" eb="2">
      <t>イシナベ</t>
    </rPh>
    <phoneticPr fontId="14"/>
  </si>
  <si>
    <t>　</t>
    <phoneticPr fontId="14"/>
  </si>
  <si>
    <t>2019/12/6　見積もり依頼中</t>
    <rPh sb="10" eb="12">
      <t>ミツ</t>
    </rPh>
    <rPh sb="14" eb="16">
      <t>イライ</t>
    </rPh>
    <rPh sb="16" eb="17">
      <t>ナカ</t>
    </rPh>
    <phoneticPr fontId="14"/>
  </si>
  <si>
    <r>
      <t>*AN10-01→</t>
    </r>
    <r>
      <rPr>
        <sz val="11"/>
        <color rgb="FFFF0000"/>
        <rFont val="ＭＳ Ｐゴシック"/>
        <family val="3"/>
        <charset val="128"/>
      </rPr>
      <t>AN10-01で発注</t>
    </r>
    <rPh sb="17" eb="19">
      <t>ハッチュウ</t>
    </rPh>
    <phoneticPr fontId="14"/>
  </si>
  <si>
    <t>ノーブランド</t>
    <phoneticPr fontId="14"/>
  </si>
  <si>
    <r>
      <t xml:space="preserve"> SSHH-SUS-M4-6→</t>
    </r>
    <r>
      <rPr>
        <sz val="11"/>
        <color rgb="FFFF0000"/>
        <rFont val="ＭＳ Ｐゴシック"/>
        <family val="3"/>
        <charset val="128"/>
      </rPr>
      <t>同等品で発注(M4x6mm）</t>
    </r>
    <rPh sb="15" eb="17">
      <t>ドウトウ</t>
    </rPh>
    <rPh sb="17" eb="18">
      <t>ヒン</t>
    </rPh>
    <rPh sb="19" eb="21">
      <t>ハッチュウ</t>
    </rPh>
    <phoneticPr fontId="14"/>
  </si>
  <si>
    <t xml:space="preserve">APMTS-N1-T1 </t>
    <phoneticPr fontId="14"/>
  </si>
  <si>
    <t>ねじ変換継手</t>
    <phoneticPr fontId="14"/>
  </si>
  <si>
    <t>MCLPTK6-1</t>
    <phoneticPr fontId="14"/>
  </si>
  <si>
    <t>チューブ用継手　ナット・スリーブ一体型　エルボ</t>
    <phoneticPr fontId="14"/>
  </si>
  <si>
    <t>在庫使用</t>
    <rPh sb="0" eb="2">
      <t>ザイコ</t>
    </rPh>
    <rPh sb="2" eb="4">
      <t>シヨウ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</si>
</sst>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36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2"/>
      <color rgb="FFFF0000"/>
      <name val="ＭＳ Ｐ明朝"/>
      <family val="1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sz val="9.9499999999999993"/>
      <color rgb="FFFF000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3" fillId="0" borderId="0">
      <alignment vertical="center"/>
    </xf>
    <xf numFmtId="0" fontId="18" fillId="0" borderId="0">
      <alignment vertical="center"/>
    </xf>
  </cellStyleXfs>
  <cellXfs count="440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177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vertical="center" shrinkToFit="1"/>
    </xf>
    <xf numFmtId="176" fontId="0" fillId="0" borderId="3" xfId="0" applyNumberFormat="1" applyFont="1" applyBorder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 shrinkToFit="1"/>
    </xf>
    <xf numFmtId="176" fontId="0" fillId="0" borderId="4" xfId="0" applyNumberFormat="1" applyFont="1" applyBorder="1">
      <alignment vertical="center"/>
    </xf>
    <xf numFmtId="176" fontId="0" fillId="0" borderId="4" xfId="0" applyNumberFormat="1" applyFont="1" applyBorder="1" applyAlignment="1"/>
    <xf numFmtId="0" fontId="0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right" vertical="center"/>
    </xf>
    <xf numFmtId="177" fontId="0" fillId="0" borderId="4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176" fontId="0" fillId="0" borderId="2" xfId="0" applyNumberFormat="1" applyFont="1" applyBorder="1" applyAlignment="1"/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7" fontId="0" fillId="0" borderId="1" xfId="0" applyNumberFormat="1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on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0" fillId="0" borderId="1" xfId="0" applyFont="1" applyBorder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17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shrinkToFi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0" fillId="0" borderId="10" xfId="0" applyFont="1" applyBorder="1" applyAlignment="1">
      <alignment horizontal="right" vertical="center"/>
    </xf>
    <xf numFmtId="3" fontId="15" fillId="0" borderId="10" xfId="0" applyNumberFormat="1" applyFont="1" applyFill="1" applyBorder="1" applyAlignment="1">
      <alignment horizontal="center" vertical="center"/>
    </xf>
    <xf numFmtId="0" fontId="15" fillId="0" borderId="10" xfId="0" applyFont="1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/>
    </xf>
    <xf numFmtId="176" fontId="15" fillId="0" borderId="12" xfId="0" applyNumberFormat="1" applyFont="1" applyFill="1" applyBorder="1" applyAlignment="1">
      <alignment vertical="center"/>
    </xf>
    <xf numFmtId="3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176" fontId="0" fillId="0" borderId="10" xfId="0" applyNumberFormat="1" applyFill="1" applyBorder="1" applyAlignment="1">
      <alignment vertical="center"/>
    </xf>
    <xf numFmtId="0" fontId="18" fillId="0" borderId="10" xfId="0" applyFont="1" applyFill="1" applyBorder="1">
      <alignment vertical="center"/>
    </xf>
    <xf numFmtId="3" fontId="0" fillId="0" borderId="1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177" fontId="0" fillId="0" borderId="10" xfId="0" applyNumberFormat="1" applyFont="1" applyBorder="1" applyAlignment="1">
      <alignment horizontal="center" vertical="center"/>
    </xf>
    <xf numFmtId="178" fontId="0" fillId="0" borderId="10" xfId="0" applyNumberFormat="1" applyFont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176" fontId="15" fillId="0" borderId="10" xfId="0" applyNumberFormat="1" applyFont="1" applyFill="1" applyBorder="1" applyAlignment="1">
      <alignment horizontal="center" vertical="center"/>
    </xf>
    <xf numFmtId="0" fontId="0" fillId="0" borderId="10" xfId="0" applyNumberFormat="1" applyFill="1" applyBorder="1" applyAlignment="1">
      <alignment horizontal="center" vertical="center"/>
    </xf>
    <xf numFmtId="176" fontId="15" fillId="0" borderId="12" xfId="0" applyNumberFormat="1" applyFont="1" applyFill="1" applyBorder="1" applyAlignment="1"/>
    <xf numFmtId="0" fontId="18" fillId="0" borderId="10" xfId="3" applyFont="1" applyFill="1" applyBorder="1" applyAlignment="1">
      <alignment vertical="center"/>
    </xf>
    <xf numFmtId="0" fontId="15" fillId="0" borderId="10" xfId="0" applyNumberFormat="1" applyFont="1" applyFill="1" applyBorder="1" applyAlignment="1">
      <alignment horizontal="center" vertical="center"/>
    </xf>
    <xf numFmtId="0" fontId="18" fillId="0" borderId="10" xfId="3" applyFont="1" applyBorder="1" applyAlignment="1">
      <alignment horizontal="left"/>
    </xf>
    <xf numFmtId="176" fontId="15" fillId="0" borderId="10" xfId="0" applyNumberFormat="1" applyFont="1" applyFill="1" applyBorder="1" applyAlignment="1">
      <alignment horizontal="center"/>
    </xf>
    <xf numFmtId="0" fontId="21" fillId="0" borderId="13" xfId="0" applyFont="1" applyBorder="1" applyAlignment="1"/>
    <xf numFmtId="0" fontId="21" fillId="0" borderId="13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21" fillId="0" borderId="13" xfId="0" applyFont="1" applyFill="1" applyBorder="1" applyAlignment="1"/>
    <xf numFmtId="0" fontId="0" fillId="0" borderId="14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176" fontId="0" fillId="0" borderId="1" xfId="0" applyNumberFormat="1" applyFont="1" applyFill="1" applyBorder="1" applyAlignment="1"/>
    <xf numFmtId="176" fontId="6" fillId="0" borderId="3" xfId="0" applyNumberFormat="1" applyFont="1" applyFill="1" applyBorder="1" applyAlignment="1"/>
    <xf numFmtId="0" fontId="5" fillId="0" borderId="3" xfId="0" applyFont="1" applyFill="1" applyBorder="1">
      <alignment vertical="center"/>
    </xf>
    <xf numFmtId="0" fontId="13" fillId="0" borderId="1" xfId="0" applyFont="1" applyBorder="1" applyAlignment="1">
      <alignment horizontal="left" vertical="center"/>
    </xf>
    <xf numFmtId="3" fontId="0" fillId="0" borderId="1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/>
    <xf numFmtId="0" fontId="0" fillId="0" borderId="1" xfId="0" applyFont="1" applyFill="1" applyBorder="1" applyAlignment="1">
      <alignment horizontal="left" vertical="center" shrinkToFit="1"/>
    </xf>
    <xf numFmtId="56" fontId="0" fillId="0" borderId="10" xfId="0" applyNumberFormat="1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56" fontId="0" fillId="0" borderId="0" xfId="0" applyNumberFormat="1" applyFont="1" applyBorder="1" applyAlignment="1">
      <alignment horizontal="center" vertical="center"/>
    </xf>
    <xf numFmtId="56" fontId="0" fillId="0" borderId="16" xfId="0" applyNumberFormat="1" applyFont="1" applyBorder="1" applyAlignment="1">
      <alignment horizontal="center" vertical="center"/>
    </xf>
    <xf numFmtId="178" fontId="0" fillId="0" borderId="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left" vertical="center"/>
    </xf>
    <xf numFmtId="0" fontId="18" fillId="0" borderId="10" xfId="3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176" fontId="0" fillId="0" borderId="12" xfId="0" applyNumberFormat="1" applyBorder="1">
      <alignment vertical="center"/>
    </xf>
    <xf numFmtId="3" fontId="19" fillId="0" borderId="10" xfId="0" applyNumberFormat="1" applyFont="1" applyBorder="1" applyAlignment="1">
      <alignment horizontal="center" vertical="center"/>
    </xf>
    <xf numFmtId="0" fontId="0" fillId="7" borderId="10" xfId="0" applyFill="1" applyBorder="1" applyAlignment="1">
      <alignment horizontal="right" vertical="center"/>
    </xf>
    <xf numFmtId="0" fontId="0" fillId="7" borderId="12" xfId="0" applyFill="1" applyBorder="1" applyAlignment="1">
      <alignment horizontal="center" vertical="center"/>
    </xf>
    <xf numFmtId="0" fontId="19" fillId="7" borderId="10" xfId="0" applyFont="1" applyFill="1" applyBorder="1">
      <alignment vertical="center"/>
    </xf>
    <xf numFmtId="0" fontId="27" fillId="0" borderId="10" xfId="0" applyFont="1" applyBorder="1" applyAlignment="1">
      <alignment horizontal="center" vertical="center"/>
    </xf>
    <xf numFmtId="0" fontId="15" fillId="0" borderId="10" xfId="0" applyFont="1" applyBorder="1">
      <alignment vertical="center"/>
    </xf>
    <xf numFmtId="176" fontId="0" fillId="0" borderId="10" xfId="0" applyNumberFormat="1" applyBorder="1" applyAlignment="1"/>
    <xf numFmtId="0" fontId="0" fillId="0" borderId="10" xfId="0" applyBorder="1" applyAlignment="1">
      <alignment horizontal="left" vertical="center" shrinkToFit="1"/>
    </xf>
    <xf numFmtId="3" fontId="18" fillId="0" borderId="10" xfId="0" applyNumberFormat="1" applyFont="1" applyBorder="1" applyAlignment="1">
      <alignment horizontal="center" vertical="center"/>
    </xf>
    <xf numFmtId="176" fontId="18" fillId="0" borderId="10" xfId="0" applyNumberFormat="1" applyFont="1" applyBorder="1" applyAlignment="1"/>
    <xf numFmtId="0" fontId="18" fillId="0" borderId="12" xfId="0" applyFont="1" applyBorder="1" applyAlignment="1">
      <alignment horizontal="left" vertical="center" shrinkToFit="1"/>
    </xf>
    <xf numFmtId="0" fontId="15" fillId="0" borderId="10" xfId="0" applyFont="1" applyBorder="1" applyAlignment="1">
      <alignment horizontal="center" vertical="center"/>
    </xf>
    <xf numFmtId="0" fontId="18" fillId="0" borderId="10" xfId="3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0" xfId="0" applyFill="1" applyBorder="1">
      <alignment vertical="center"/>
    </xf>
    <xf numFmtId="0" fontId="0" fillId="7" borderId="12" xfId="0" applyFill="1" applyBorder="1" applyAlignment="1">
      <alignment horizontal="right" vertical="center"/>
    </xf>
    <xf numFmtId="49" fontId="19" fillId="0" borderId="10" xfId="0" applyNumberFormat="1" applyFont="1" applyBorder="1" applyAlignment="1">
      <alignment horizontal="left" vertical="center"/>
    </xf>
    <xf numFmtId="0" fontId="18" fillId="0" borderId="10" xfId="3" applyBorder="1" applyAlignment="1">
      <alignment horizontal="left" vertical="center"/>
    </xf>
    <xf numFmtId="176" fontId="0" fillId="0" borderId="12" xfId="0" applyNumberFormat="1" applyBorder="1" applyAlignment="1"/>
    <xf numFmtId="3" fontId="15" fillId="0" borderId="10" xfId="0" applyNumberFormat="1" applyFont="1" applyBorder="1" applyAlignment="1">
      <alignment horizontal="center" vertical="center"/>
    </xf>
    <xf numFmtId="176" fontId="15" fillId="0" borderId="12" xfId="0" applyNumberFormat="1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7" fillId="0" borderId="10" xfId="0" applyFont="1" applyBorder="1">
      <alignment vertical="center"/>
    </xf>
    <xf numFmtId="176" fontId="17" fillId="0" borderId="12" xfId="0" applyNumberFormat="1" applyFont="1" applyBorder="1">
      <alignment vertical="center"/>
    </xf>
    <xf numFmtId="0" fontId="18" fillId="0" borderId="10" xfId="0" applyFont="1" applyBorder="1" applyAlignment="1">
      <alignment horizontal="left" vertical="center" shrinkToFit="1"/>
    </xf>
    <xf numFmtId="0" fontId="15" fillId="0" borderId="10" xfId="0" applyFont="1" applyBorder="1" applyAlignment="1">
      <alignment horizontal="left" vertical="center"/>
    </xf>
    <xf numFmtId="3" fontId="0" fillId="7" borderId="18" xfId="0" applyNumberFormat="1" applyFill="1" applyBorder="1" applyAlignment="1">
      <alignment horizontal="center" vertical="center"/>
    </xf>
    <xf numFmtId="176" fontId="31" fillId="9" borderId="1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vertical="center" shrinkToFit="1"/>
    </xf>
    <xf numFmtId="176" fontId="0" fillId="0" borderId="10" xfId="0" applyNumberFormat="1" applyFont="1" applyBorder="1" applyAlignment="1">
      <alignment horizontal="center" vertical="center"/>
    </xf>
    <xf numFmtId="176" fontId="0" fillId="0" borderId="11" xfId="0" applyNumberFormat="1" applyFont="1" applyBorder="1">
      <alignment vertical="center"/>
    </xf>
    <xf numFmtId="0" fontId="0" fillId="0" borderId="11" xfId="0" applyFont="1" applyBorder="1" applyAlignment="1">
      <alignment horizontal="left" vertical="center"/>
    </xf>
    <xf numFmtId="0" fontId="0" fillId="0" borderId="11" xfId="0" applyFont="1" applyBorder="1" applyAlignment="1">
      <alignment horizontal="center" vertical="center" shrinkToFit="1"/>
    </xf>
    <xf numFmtId="0" fontId="0" fillId="0" borderId="13" xfId="0" applyNumberFormat="1" applyFill="1" applyBorder="1" applyAlignment="1">
      <alignment horizontal="center" vertical="center"/>
    </xf>
    <xf numFmtId="0" fontId="18" fillId="0" borderId="13" xfId="3" applyFont="1" applyBorder="1"/>
    <xf numFmtId="176" fontId="15" fillId="0" borderId="13" xfId="0" applyNumberFormat="1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/>
    <xf numFmtId="0" fontId="18" fillId="0" borderId="13" xfId="3" applyFont="1" applyFill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10" borderId="10" xfId="3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 shrinkToFit="1"/>
    </xf>
    <xf numFmtId="0" fontId="13" fillId="0" borderId="1" xfId="0" applyFont="1" applyBorder="1" applyAlignment="1">
      <alignment vertical="center" shrinkToFit="1"/>
    </xf>
    <xf numFmtId="0" fontId="13" fillId="0" borderId="3" xfId="0" applyFont="1" applyBorder="1" applyAlignment="1">
      <alignment vertical="center" shrinkToFit="1"/>
    </xf>
    <xf numFmtId="0" fontId="0" fillId="0" borderId="0" xfId="0" applyFont="1" applyFill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176" fontId="9" fillId="0" borderId="7" xfId="0" applyNumberFormat="1" applyFont="1" applyFill="1" applyBorder="1" applyAlignment="1">
      <alignment horizontal="center" vertical="center"/>
    </xf>
    <xf numFmtId="176" fontId="9" fillId="0" borderId="8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horizontal="center" vertical="center" shrinkToFit="1"/>
    </xf>
    <xf numFmtId="179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shrinkToFit="1"/>
    </xf>
    <xf numFmtId="176" fontId="0" fillId="0" borderId="7" xfId="0" applyNumberFormat="1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176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49" fontId="18" fillId="0" borderId="10" xfId="0" applyNumberFormat="1" applyFont="1" applyBorder="1">
      <alignment vertical="center"/>
    </xf>
    <xf numFmtId="0" fontId="13" fillId="0" borderId="10" xfId="0" applyFont="1" applyBorder="1" applyAlignment="1">
      <alignment horizontal="left" vertical="center" shrinkToFit="1"/>
    </xf>
    <xf numFmtId="0" fontId="13" fillId="0" borderId="12" xfId="0" applyFont="1" applyBorder="1">
      <alignment vertical="center"/>
    </xf>
    <xf numFmtId="3" fontId="0" fillId="12" borderId="10" xfId="0" applyNumberFormat="1" applyFill="1" applyBorder="1" applyAlignment="1">
      <alignment horizontal="center" vertical="center"/>
    </xf>
    <xf numFmtId="0" fontId="32" fillId="12" borderId="10" xfId="0" applyFont="1" applyFill="1" applyBorder="1">
      <alignment vertical="center"/>
    </xf>
    <xf numFmtId="0" fontId="0" fillId="12" borderId="10" xfId="0" applyFill="1" applyBorder="1" applyAlignment="1">
      <alignment horizontal="center" vertical="center"/>
    </xf>
    <xf numFmtId="0" fontId="13" fillId="12" borderId="10" xfId="0" applyFont="1" applyFill="1" applyBorder="1">
      <alignment vertical="center"/>
    </xf>
    <xf numFmtId="0" fontId="0" fillId="12" borderId="10" xfId="0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left" vertical="center" shrinkToFit="1"/>
    </xf>
    <xf numFmtId="0" fontId="0" fillId="8" borderId="10" xfId="0" applyFill="1" applyBorder="1" applyAlignment="1">
      <alignment horizontal="center" vertical="center"/>
    </xf>
    <xf numFmtId="0" fontId="13" fillId="8" borderId="15" xfId="0" applyFont="1" applyFill="1" applyBorder="1">
      <alignment vertical="center"/>
    </xf>
    <xf numFmtId="0" fontId="0" fillId="8" borderId="10" xfId="0" applyFont="1" applyFill="1" applyBorder="1" applyAlignment="1">
      <alignment horizontal="center" vertical="center"/>
    </xf>
    <xf numFmtId="49" fontId="0" fillId="8" borderId="10" xfId="0" applyNumberFormat="1" applyFill="1" applyBorder="1" applyAlignment="1">
      <alignment horizontal="left" vertical="center"/>
    </xf>
    <xf numFmtId="0" fontId="17" fillId="0" borderId="10" xfId="0" applyFont="1" applyFill="1" applyBorder="1">
      <alignment vertical="center"/>
    </xf>
    <xf numFmtId="3" fontId="18" fillId="11" borderId="10" xfId="0" applyNumberFormat="1" applyFont="1" applyFill="1" applyBorder="1" applyAlignment="1">
      <alignment horizontal="center" vertical="center"/>
    </xf>
    <xf numFmtId="0" fontId="33" fillId="11" borderId="10" xfId="0" applyFont="1" applyFill="1" applyBorder="1">
      <alignment vertical="center"/>
    </xf>
    <xf numFmtId="180" fontId="18" fillId="11" borderId="10" xfId="0" applyNumberFormat="1" applyFont="1" applyFill="1" applyBorder="1" applyAlignment="1">
      <alignment horizontal="center" vertical="center"/>
    </xf>
    <xf numFmtId="176" fontId="18" fillId="11" borderId="10" xfId="0" applyNumberFormat="1" applyFont="1" applyFill="1" applyBorder="1" applyAlignment="1"/>
    <xf numFmtId="0" fontId="18" fillId="11" borderId="10" xfId="0" applyFont="1" applyFill="1" applyBorder="1" applyAlignment="1">
      <alignment horizontal="left" vertical="center" shrinkToFit="1"/>
    </xf>
    <xf numFmtId="0" fontId="23" fillId="11" borderId="1" xfId="0" applyFont="1" applyFill="1" applyBorder="1" applyAlignment="1">
      <alignment vertical="center" shrinkToFit="1"/>
    </xf>
    <xf numFmtId="3" fontId="0" fillId="11" borderId="10" xfId="0" applyNumberFormat="1" applyFill="1" applyBorder="1" applyAlignment="1">
      <alignment horizontal="center" vertical="center"/>
    </xf>
    <xf numFmtId="49" fontId="0" fillId="11" borderId="10" xfId="0" applyNumberFormat="1" applyFill="1" applyBorder="1" applyAlignment="1">
      <alignment horizontal="left" vertical="center"/>
    </xf>
    <xf numFmtId="0" fontId="19" fillId="11" borderId="10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vertical="center" shrinkToFit="1"/>
    </xf>
    <xf numFmtId="0" fontId="33" fillId="11" borderId="10" xfId="3" applyFont="1" applyFill="1" applyBorder="1" applyAlignment="1">
      <alignment horizontal="left" vertical="center"/>
    </xf>
    <xf numFmtId="0" fontId="18" fillId="11" borderId="10" xfId="3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18" fillId="11" borderId="10" xfId="3" applyFill="1" applyBorder="1" applyAlignment="1">
      <alignment horizontal="left" vertical="center"/>
    </xf>
    <xf numFmtId="0" fontId="13" fillId="11" borderId="1" xfId="0" applyFont="1" applyFill="1" applyBorder="1" applyAlignment="1">
      <alignment vertical="center" shrinkToFit="1"/>
    </xf>
    <xf numFmtId="3" fontId="26" fillId="11" borderId="10" xfId="0" applyNumberFormat="1" applyFont="1" applyFill="1" applyBorder="1" applyAlignment="1">
      <alignment horizontal="center" vertical="center"/>
    </xf>
    <xf numFmtId="0" fontId="34" fillId="11" borderId="10" xfId="0" applyFont="1" applyFill="1" applyBorder="1">
      <alignment vertical="center"/>
    </xf>
    <xf numFmtId="0" fontId="26" fillId="11" borderId="12" xfId="0" applyFont="1" applyFill="1" applyBorder="1" applyAlignment="1">
      <alignment horizontal="center" vertical="center"/>
    </xf>
    <xf numFmtId="0" fontId="26" fillId="11" borderId="10" xfId="0" applyFont="1" applyFill="1" applyBorder="1">
      <alignment vertical="center"/>
    </xf>
    <xf numFmtId="0" fontId="26" fillId="11" borderId="10" xfId="0" applyFont="1" applyFill="1" applyBorder="1" applyAlignment="1">
      <alignment horizontal="left" vertical="center"/>
    </xf>
    <xf numFmtId="0" fontId="26" fillId="11" borderId="10" xfId="0" applyFont="1" applyFill="1" applyBorder="1" applyAlignment="1">
      <alignment horizontal="center" vertical="center"/>
    </xf>
    <xf numFmtId="176" fontId="26" fillId="11" borderId="10" xfId="0" applyNumberFormat="1" applyFont="1" applyFill="1" applyBorder="1" applyAlignment="1">
      <alignment horizontal="center" vertical="center"/>
    </xf>
    <xf numFmtId="176" fontId="26" fillId="11" borderId="12" xfId="0" applyNumberFormat="1" applyFont="1" applyFill="1" applyBorder="1">
      <alignment vertical="center"/>
    </xf>
    <xf numFmtId="0" fontId="33" fillId="11" borderId="10" xfId="3" applyFont="1" applyFill="1" applyBorder="1" applyAlignment="1">
      <alignment horizontal="center" vertical="center"/>
    </xf>
    <xf numFmtId="3" fontId="23" fillId="11" borderId="10" xfId="0" applyNumberFormat="1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center" vertical="center"/>
    </xf>
    <xf numFmtId="176" fontId="23" fillId="11" borderId="10" xfId="0" applyNumberFormat="1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vertical="center" wrapText="1"/>
    </xf>
    <xf numFmtId="0" fontId="23" fillId="11" borderId="12" xfId="0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left" vertical="center"/>
    </xf>
    <xf numFmtId="0" fontId="0" fillId="0" borderId="12" xfId="0" applyFill="1" applyBorder="1">
      <alignment vertical="center"/>
    </xf>
    <xf numFmtId="0" fontId="26" fillId="11" borderId="12" xfId="0" applyFont="1" applyFill="1" applyBorder="1">
      <alignment vertical="center"/>
    </xf>
    <xf numFmtId="0" fontId="33" fillId="11" borderId="12" xfId="0" applyFont="1" applyFill="1" applyBorder="1">
      <alignment vertical="center"/>
    </xf>
    <xf numFmtId="176" fontId="26" fillId="11" borderId="10" xfId="0" applyNumberFormat="1" applyFont="1" applyFill="1" applyBorder="1" applyAlignment="1">
      <alignment horizontal="right" vertical="center"/>
    </xf>
    <xf numFmtId="3" fontId="33" fillId="11" borderId="10" xfId="0" applyNumberFormat="1" applyFont="1" applyFill="1" applyBorder="1" applyAlignment="1">
      <alignment horizontal="center" vertical="center"/>
    </xf>
    <xf numFmtId="0" fontId="33" fillId="11" borderId="10" xfId="0" applyFont="1" applyFill="1" applyBorder="1" applyAlignment="1">
      <alignment horizontal="center" vertical="center"/>
    </xf>
    <xf numFmtId="176" fontId="33" fillId="11" borderId="12" xfId="0" applyNumberFormat="1" applyFont="1" applyFill="1" applyBorder="1">
      <alignment vertical="center"/>
    </xf>
    <xf numFmtId="0" fontId="18" fillId="0" borderId="10" xfId="3" applyFill="1" applyBorder="1" applyAlignment="1">
      <alignment vertical="center"/>
    </xf>
    <xf numFmtId="0" fontId="17" fillId="0" borderId="10" xfId="0" applyFont="1" applyFill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left" vertical="center"/>
    </xf>
    <xf numFmtId="3" fontId="18" fillId="0" borderId="10" xfId="0" applyNumberFormat="1" applyFont="1" applyFill="1" applyBorder="1" applyAlignment="1">
      <alignment horizontal="center" vertical="center"/>
    </xf>
    <xf numFmtId="180" fontId="18" fillId="0" borderId="10" xfId="0" applyNumberFormat="1" applyFont="1" applyFill="1" applyBorder="1" applyAlignment="1">
      <alignment horizontal="center" vertical="center"/>
    </xf>
    <xf numFmtId="0" fontId="19" fillId="0" borderId="10" xfId="4" applyFont="1" applyFill="1" applyBorder="1" applyAlignment="1">
      <alignment horizontal="center" vertical="center"/>
    </xf>
    <xf numFmtId="0" fontId="19" fillId="0" borderId="10" xfId="4" applyFont="1" applyFill="1" applyBorder="1" applyAlignment="1">
      <alignment horizontal="left" vertical="center"/>
    </xf>
    <xf numFmtId="181" fontId="19" fillId="0" borderId="10" xfId="4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10" xfId="3" applyFont="1" applyFill="1" applyBorder="1" applyAlignment="1">
      <alignment horizontal="center" vertical="center"/>
    </xf>
    <xf numFmtId="49" fontId="18" fillId="0" borderId="10" xfId="0" applyNumberFormat="1" applyFont="1" applyFill="1" applyBorder="1" applyAlignment="1">
      <alignment vertical="center" shrinkToFit="1"/>
    </xf>
    <xf numFmtId="176" fontId="19" fillId="0" borderId="10" xfId="0" applyNumberFormat="1" applyFont="1" applyFill="1" applyBorder="1" applyAlignment="1">
      <alignment horizontal="center" vertical="center"/>
    </xf>
    <xf numFmtId="0" fontId="15" fillId="0" borderId="10" xfId="3" applyFont="1" applyFill="1" applyBorder="1" applyAlignment="1">
      <alignment horizontal="left" vertical="center"/>
    </xf>
    <xf numFmtId="0" fontId="0" fillId="0" borderId="10" xfId="0" applyFill="1" applyBorder="1" applyAlignment="1">
      <alignment vertical="center" shrinkToFit="1"/>
    </xf>
    <xf numFmtId="0" fontId="15" fillId="0" borderId="12" xfId="3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0" fontId="19" fillId="0" borderId="12" xfId="0" applyFont="1" applyFill="1" applyBorder="1">
      <alignment vertical="center"/>
    </xf>
    <xf numFmtId="0" fontId="13" fillId="0" borderId="0" xfId="0" applyFont="1">
      <alignment vertical="center"/>
    </xf>
    <xf numFmtId="176" fontId="33" fillId="11" borderId="12" xfId="0" applyNumberFormat="1" applyFont="1" applyFill="1" applyBorder="1" applyAlignment="1">
      <alignment vertical="center"/>
    </xf>
    <xf numFmtId="0" fontId="26" fillId="11" borderId="10" xfId="0" applyNumberFormat="1" applyFont="1" applyFill="1" applyBorder="1" applyAlignment="1">
      <alignment horizontal="center" vertical="center"/>
    </xf>
    <xf numFmtId="0" fontId="33" fillId="11" borderId="10" xfId="3" applyFont="1" applyFill="1" applyBorder="1"/>
    <xf numFmtId="176" fontId="33" fillId="11" borderId="10" xfId="0" applyNumberFormat="1" applyFont="1" applyFill="1" applyBorder="1" applyAlignment="1">
      <alignment horizontal="center" vertical="center"/>
    </xf>
    <xf numFmtId="176" fontId="33" fillId="11" borderId="12" xfId="0" applyNumberFormat="1" applyFont="1" applyFill="1" applyBorder="1" applyAlignment="1"/>
    <xf numFmtId="0" fontId="33" fillId="11" borderId="10" xfId="3" applyFont="1" applyFill="1" applyBorder="1" applyAlignment="1">
      <alignment vertical="center"/>
    </xf>
    <xf numFmtId="3" fontId="17" fillId="0" borderId="10" xfId="0" applyNumberFormat="1" applyFont="1" applyFill="1" applyBorder="1" applyAlignment="1">
      <alignment horizontal="center" vertical="center"/>
    </xf>
    <xf numFmtId="3" fontId="17" fillId="0" borderId="12" xfId="0" applyNumberFormat="1" applyFon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left" vertical="center"/>
    </xf>
    <xf numFmtId="176" fontId="15" fillId="0" borderId="12" xfId="0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18" fillId="0" borderId="10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38" fontId="0" fillId="8" borderId="10" xfId="0" applyNumberFormat="1" applyFill="1" applyBorder="1" applyAlignment="1">
      <alignment horizontal="center" vertical="center"/>
    </xf>
    <xf numFmtId="38" fontId="0" fillId="0" borderId="10" xfId="0" applyNumberFormat="1" applyBorder="1" applyAlignment="1">
      <alignment horizontal="center" vertical="center"/>
    </xf>
    <xf numFmtId="38" fontId="0" fillId="0" borderId="15" xfId="0" applyNumberFormat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0" fillId="12" borderId="10" xfId="0" applyNumberFormat="1" applyFill="1" applyBorder="1" applyAlignment="1">
      <alignment horizontal="center" vertical="center"/>
    </xf>
    <xf numFmtId="0" fontId="29" fillId="0" borderId="10" xfId="3" applyFont="1" applyFill="1" applyBorder="1" applyAlignment="1">
      <alignment horizontal="center" vertical="center"/>
    </xf>
    <xf numFmtId="176" fontId="27" fillId="0" borderId="10" xfId="0" applyNumberFormat="1" applyFont="1" applyFill="1" applyBorder="1" applyAlignment="1">
      <alignment horizontal="center" vertical="center"/>
    </xf>
    <xf numFmtId="176" fontId="17" fillId="0" borderId="10" xfId="0" applyNumberFormat="1" applyFont="1" applyFill="1" applyBorder="1" applyAlignment="1">
      <alignment horizontal="center" vertical="center"/>
    </xf>
    <xf numFmtId="183" fontId="0" fillId="0" borderId="10" xfId="0" applyNumberFormat="1" applyFill="1" applyBorder="1" applyAlignment="1">
      <alignment horizontal="center" vertical="center"/>
    </xf>
    <xf numFmtId="38" fontId="0" fillId="0" borderId="10" xfId="0" applyNumberFormat="1" applyFill="1" applyBorder="1" applyAlignment="1">
      <alignment horizontal="center" vertical="center"/>
    </xf>
    <xf numFmtId="183" fontId="19" fillId="11" borderId="10" xfId="0" applyNumberFormat="1" applyFont="1" applyFill="1" applyBorder="1" applyAlignment="1">
      <alignment horizontal="center" vertical="center"/>
    </xf>
    <xf numFmtId="38" fontId="19" fillId="11" borderId="10" xfId="0" applyNumberFormat="1" applyFont="1" applyFill="1" applyBorder="1" applyAlignment="1">
      <alignment horizontal="center" vertical="center"/>
    </xf>
    <xf numFmtId="176" fontId="0" fillId="11" borderId="10" xfId="0" applyNumberFormat="1" applyFill="1" applyBorder="1" applyAlignment="1">
      <alignment horizontal="center" vertical="center"/>
    </xf>
    <xf numFmtId="176" fontId="18" fillId="11" borderId="10" xfId="0" applyNumberFormat="1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76" fontId="0" fillId="0" borderId="8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176" fontId="17" fillId="0" borderId="10" xfId="0" applyNumberFormat="1" applyFont="1" applyBorder="1" applyAlignment="1">
      <alignment horizontal="center" vertical="center"/>
    </xf>
    <xf numFmtId="176" fontId="26" fillId="11" borderId="1" xfId="0" applyNumberFormat="1" applyFont="1" applyFill="1" applyBorder="1" applyAlignment="1">
      <alignment horizontal="center" vertical="center"/>
    </xf>
    <xf numFmtId="38" fontId="19" fillId="0" borderId="10" xfId="0" applyNumberFormat="1" applyFont="1" applyBorder="1" applyAlignment="1">
      <alignment horizontal="center" vertical="center"/>
    </xf>
    <xf numFmtId="182" fontId="0" fillId="0" borderId="10" xfId="0" applyNumberFormat="1" applyBorder="1" applyAlignment="1">
      <alignment horizontal="center" vertical="center"/>
    </xf>
    <xf numFmtId="182" fontId="0" fillId="0" borderId="10" xfId="0" applyNumberFormat="1" applyFill="1" applyBorder="1" applyAlignment="1">
      <alignment horizontal="center" vertical="center"/>
    </xf>
    <xf numFmtId="38" fontId="19" fillId="0" borderId="10" xfId="0" applyNumberFormat="1" applyFont="1" applyFill="1" applyBorder="1" applyAlignment="1">
      <alignment horizontal="center" vertical="center"/>
    </xf>
    <xf numFmtId="0" fontId="18" fillId="0" borderId="13" xfId="3" applyFont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181" fontId="19" fillId="7" borderId="18" xfId="0" applyNumberFormat="1" applyFont="1" applyFill="1" applyBorder="1" applyAlignment="1">
      <alignment horizontal="center" vertical="center"/>
    </xf>
    <xf numFmtId="181" fontId="26" fillId="11" borderId="10" xfId="0" applyNumberFormat="1" applyFont="1" applyFill="1" applyBorder="1" applyAlignment="1">
      <alignment horizontal="center" vertical="center"/>
    </xf>
    <xf numFmtId="0" fontId="13" fillId="0" borderId="10" xfId="0" applyFont="1" applyFill="1" applyBorder="1">
      <alignment vertical="center"/>
    </xf>
    <xf numFmtId="3" fontId="0" fillId="0" borderId="11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>
      <alignment vertical="center"/>
    </xf>
    <xf numFmtId="176" fontId="0" fillId="0" borderId="7" xfId="0" applyNumberFormat="1" applyFont="1" applyBorder="1" applyAlignment="1"/>
    <xf numFmtId="0" fontId="0" fillId="0" borderId="21" xfId="0" applyFont="1" applyBorder="1" applyAlignment="1">
      <alignment vertical="center" shrinkToFit="1"/>
    </xf>
    <xf numFmtId="176" fontId="9" fillId="0" borderId="10" xfId="0" applyNumberFormat="1" applyFont="1" applyFill="1" applyBorder="1" applyAlignment="1">
      <alignment horizontal="center" vertical="center"/>
    </xf>
    <xf numFmtId="0" fontId="19" fillId="0" borderId="10" xfId="0" applyFont="1" applyFill="1" applyBorder="1">
      <alignment vertical="center"/>
    </xf>
    <xf numFmtId="0" fontId="0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/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5" fillId="0" borderId="11" xfId="0" applyFont="1" applyFill="1" applyBorder="1">
      <alignment vertical="center"/>
    </xf>
    <xf numFmtId="0" fontId="5" fillId="0" borderId="11" xfId="0" applyFont="1" applyFill="1" applyBorder="1" applyAlignment="1">
      <alignment horizontal="center" vertical="center"/>
    </xf>
    <xf numFmtId="176" fontId="10" fillId="0" borderId="11" xfId="0" applyNumberFormat="1" applyFont="1" applyFill="1" applyBorder="1" applyAlignment="1">
      <alignment horizontal="center" vertical="center"/>
    </xf>
    <xf numFmtId="0" fontId="18" fillId="0" borderId="13" xfId="3" applyFont="1" applyFill="1" applyBorder="1"/>
    <xf numFmtId="0" fontId="18" fillId="0" borderId="13" xfId="3" applyFont="1" applyFill="1" applyBorder="1" applyAlignment="1">
      <alignment horizontal="center" vertical="center"/>
    </xf>
    <xf numFmtId="0" fontId="18" fillId="0" borderId="10" xfId="3" applyFont="1" applyFill="1" applyBorder="1" applyAlignment="1">
      <alignment horizontal="left"/>
    </xf>
    <xf numFmtId="0" fontId="18" fillId="0" borderId="10" xfId="3" applyFont="1" applyFill="1" applyBorder="1"/>
    <xf numFmtId="0" fontId="0" fillId="0" borderId="13" xfId="0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shrinkToFit="1"/>
    </xf>
    <xf numFmtId="0" fontId="0" fillId="0" borderId="0" xfId="0" applyFont="1" applyFill="1" applyBorder="1" applyAlignment="1">
      <alignment horizontal="center" vertical="center"/>
    </xf>
    <xf numFmtId="3" fontId="0" fillId="0" borderId="18" xfId="0" applyNumberFormat="1" applyFill="1" applyBorder="1" applyAlignment="1">
      <alignment horizontal="center" vertical="center"/>
    </xf>
    <xf numFmtId="176" fontId="31" fillId="0" borderId="18" xfId="0" applyNumberFormat="1" applyFont="1" applyFill="1" applyBorder="1" applyAlignment="1">
      <alignment horizontal="center" vertical="center"/>
    </xf>
    <xf numFmtId="181" fontId="19" fillId="0" borderId="18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19" fillId="0" borderId="0" xfId="0" applyFont="1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6" fontId="0" fillId="0" borderId="5" xfId="0" applyNumberFormat="1" applyFont="1" applyBorder="1" applyAlignment="1"/>
    <xf numFmtId="56" fontId="13" fillId="0" borderId="10" xfId="0" applyNumberFormat="1" applyFont="1" applyBorder="1" applyAlignment="1">
      <alignment horizontal="center" vertical="center"/>
    </xf>
    <xf numFmtId="56" fontId="0" fillId="0" borderId="1" xfId="0" applyNumberFormat="1" applyFont="1" applyBorder="1" applyAlignment="1">
      <alignment horizontal="center" vertical="center"/>
    </xf>
    <xf numFmtId="178" fontId="0" fillId="0" borderId="8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56" fontId="13" fillId="0" borderId="3" xfId="0" applyNumberFormat="1" applyFont="1" applyBorder="1" applyAlignment="1">
      <alignment vertical="center" shrinkToFit="1"/>
    </xf>
    <xf numFmtId="0" fontId="0" fillId="13" borderId="10" xfId="0" applyFill="1" applyBorder="1" applyAlignment="1">
      <alignment horizontal="center" vertical="center"/>
    </xf>
    <xf numFmtId="0" fontId="21" fillId="13" borderId="10" xfId="0" applyFont="1" applyFill="1" applyBorder="1" applyAlignment="1"/>
    <xf numFmtId="0" fontId="21" fillId="13" borderId="10" xfId="0" applyFont="1" applyFill="1" applyBorder="1" applyAlignment="1">
      <alignment horizontal="center"/>
    </xf>
    <xf numFmtId="0" fontId="13" fillId="13" borderId="10" xfId="0" applyFont="1" applyFill="1" applyBorder="1" applyAlignment="1">
      <alignment horizontal="center" vertical="center"/>
    </xf>
    <xf numFmtId="176" fontId="18" fillId="13" borderId="10" xfId="0" applyNumberFormat="1" applyFont="1" applyFill="1" applyBorder="1" applyAlignment="1">
      <alignment horizontal="center" vertical="center"/>
    </xf>
    <xf numFmtId="0" fontId="0" fillId="13" borderId="10" xfId="0" applyFill="1" applyBorder="1">
      <alignment vertical="center"/>
    </xf>
    <xf numFmtId="0" fontId="23" fillId="0" borderId="1" xfId="0" applyFont="1" applyBorder="1" applyAlignment="1">
      <alignment vertical="center" shrinkToFit="1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>
      <alignment vertical="center"/>
    </xf>
    <xf numFmtId="0" fontId="24" fillId="11" borderId="10" xfId="0" applyFont="1" applyFill="1" applyBorder="1" applyAlignment="1"/>
    <xf numFmtId="0" fontId="24" fillId="11" borderId="10" xfId="0" applyFont="1" applyFill="1" applyBorder="1" applyAlignment="1">
      <alignment horizontal="center"/>
    </xf>
    <xf numFmtId="176" fontId="25" fillId="11" borderId="10" xfId="0" applyNumberFormat="1" applyFont="1" applyFill="1" applyBorder="1" applyAlignment="1">
      <alignment horizontal="center" vertical="center"/>
    </xf>
    <xf numFmtId="0" fontId="23" fillId="11" borderId="10" xfId="0" applyFont="1" applyFill="1" applyBorder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20" fillId="2" borderId="13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7" xfId="0" applyNumberFormat="1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  <xf numFmtId="176" fontId="9" fillId="5" borderId="9" xfId="0" applyNumberFormat="1" applyFont="1" applyFill="1" applyBorder="1" applyAlignment="1">
      <alignment horizontal="center" vertical="center"/>
    </xf>
    <xf numFmtId="176" fontId="9" fillId="5" borderId="19" xfId="0" applyNumberFormat="1" applyFont="1" applyFill="1" applyBorder="1" applyAlignment="1">
      <alignment horizontal="center" vertical="center"/>
    </xf>
    <xf numFmtId="176" fontId="9" fillId="5" borderId="20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3" fontId="28" fillId="8" borderId="12" xfId="0" applyNumberFormat="1" applyFont="1" applyFill="1" applyBorder="1" applyAlignment="1">
      <alignment horizontal="center" vertical="center"/>
    </xf>
    <xf numFmtId="3" fontId="28" fillId="8" borderId="17" xfId="0" applyNumberFormat="1" applyFont="1" applyFill="1" applyBorder="1" applyAlignment="1">
      <alignment horizontal="center" vertical="center"/>
    </xf>
    <xf numFmtId="3" fontId="28" fillId="8" borderId="15" xfId="0" applyNumberFormat="1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style="4" customWidth="1"/>
    <col min="2" max="2" width="6.25" style="9" customWidth="1"/>
    <col min="3" max="3" width="15.25" style="4" customWidth="1"/>
    <col min="4" max="4" width="15.5" style="4" customWidth="1"/>
    <col min="5" max="5" width="43.875" style="4" customWidth="1"/>
    <col min="6" max="6" width="10.75" style="4" customWidth="1"/>
    <col min="7" max="8" width="12.125" style="4" customWidth="1"/>
    <col min="9" max="9" width="7.125" style="19" customWidth="1"/>
    <col min="10" max="10" width="55.2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9" customWidth="1"/>
    <col min="16" max="16" width="17.875" style="22" customWidth="1"/>
    <col min="17" max="17" width="19.375" style="22" customWidth="1"/>
  </cols>
  <sheetData>
    <row r="2" spans="2:17" ht="20.100000000000001" customHeight="1" x14ac:dyDescent="0.15">
      <c r="B2" s="416" t="s">
        <v>0</v>
      </c>
      <c r="C2" s="416"/>
      <c r="D2" s="416"/>
      <c r="E2" s="16" t="s">
        <v>1</v>
      </c>
      <c r="G2" s="413" t="s">
        <v>2</v>
      </c>
      <c r="H2" s="414"/>
      <c r="I2" s="415"/>
      <c r="J2" s="18">
        <f>SUM(H:H)</f>
        <v>412688</v>
      </c>
      <c r="K2" s="10"/>
      <c r="L2" s="14"/>
    </row>
    <row r="3" spans="2:17" ht="20.100000000000001" customHeight="1" x14ac:dyDescent="0.15">
      <c r="B3" s="416" t="s">
        <v>3</v>
      </c>
      <c r="C3" s="416"/>
      <c r="D3" s="416"/>
      <c r="E3" s="16" t="s">
        <v>4</v>
      </c>
    </row>
    <row r="4" spans="2:17" ht="20.100000000000001" customHeight="1" x14ac:dyDescent="0.15">
      <c r="B4" s="416" t="s">
        <v>5</v>
      </c>
      <c r="C4" s="416"/>
      <c r="D4" s="416"/>
      <c r="E4" s="16"/>
    </row>
    <row r="5" spans="2:17" ht="20.100000000000001" customHeight="1" x14ac:dyDescent="0.15">
      <c r="B5" s="416" t="s">
        <v>6</v>
      </c>
      <c r="C5" s="416"/>
      <c r="D5" s="416"/>
      <c r="E5" s="17">
        <v>42165</v>
      </c>
    </row>
    <row r="6" spans="2:17" ht="20.100000000000001" customHeight="1" x14ac:dyDescent="0.15">
      <c r="B6" s="416" t="s">
        <v>7</v>
      </c>
      <c r="C6" s="416"/>
      <c r="D6" s="416"/>
      <c r="E6" s="17">
        <v>42170</v>
      </c>
    </row>
    <row r="8" spans="2:17" s="7" customFormat="1" ht="19.5" customHeight="1" x14ac:dyDescent="0.15">
      <c r="B8" s="8" t="s">
        <v>8</v>
      </c>
      <c r="C8" s="8" t="s">
        <v>9</v>
      </c>
      <c r="D8" s="8" t="s">
        <v>10</v>
      </c>
      <c r="E8" s="5" t="s">
        <v>11</v>
      </c>
      <c r="F8" s="5" t="s">
        <v>12</v>
      </c>
      <c r="G8" s="5" t="s">
        <v>13</v>
      </c>
      <c r="H8" s="6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5" t="s">
        <v>21</v>
      </c>
      <c r="P8" s="26" t="s">
        <v>22</v>
      </c>
      <c r="Q8" s="15" t="s">
        <v>23</v>
      </c>
    </row>
    <row r="9" spans="2:17" s="7" customFormat="1" ht="19.5" customHeight="1" x14ac:dyDescent="0.15">
      <c r="B9" s="8"/>
      <c r="C9" s="8"/>
      <c r="D9" s="8"/>
      <c r="E9" s="12"/>
      <c r="F9" s="68"/>
      <c r="G9" s="13"/>
      <c r="H9" s="13"/>
      <c r="I9" s="21"/>
      <c r="J9" s="69"/>
      <c r="K9" s="5"/>
      <c r="L9" s="5"/>
      <c r="M9" s="26"/>
      <c r="N9" s="8"/>
      <c r="O9" s="5"/>
      <c r="P9" s="26"/>
      <c r="Q9" s="15"/>
    </row>
    <row r="10" spans="2:17" s="37" customFormat="1" ht="18" customHeight="1" x14ac:dyDescent="0.15">
      <c r="B10" s="420" t="s">
        <v>24</v>
      </c>
      <c r="C10" s="421"/>
      <c r="D10" s="421"/>
      <c r="E10" s="422"/>
      <c r="F10" s="44"/>
      <c r="G10" s="25"/>
      <c r="H10" s="13"/>
      <c r="I10" s="21"/>
      <c r="J10" s="45"/>
      <c r="K10" s="12"/>
      <c r="L10" s="11"/>
      <c r="M10" s="26"/>
      <c r="N10" s="15"/>
      <c r="O10" s="20"/>
      <c r="P10" s="26"/>
      <c r="Q10" s="24"/>
    </row>
    <row r="11" spans="2:17" s="37" customFormat="1" ht="18" customHeight="1" x14ac:dyDescent="0.15">
      <c r="B11" s="28"/>
      <c r="C11" s="35" t="s">
        <v>25</v>
      </c>
      <c r="D11" s="35" t="s">
        <v>25</v>
      </c>
      <c r="E11" s="36" t="s">
        <v>26</v>
      </c>
      <c r="F11" s="44">
        <v>1</v>
      </c>
      <c r="G11" s="87">
        <v>4500</v>
      </c>
      <c r="H11" s="13">
        <f t="shared" ref="H11:H33" si="0">F11*G11</f>
        <v>4500</v>
      </c>
      <c r="I11" s="21"/>
      <c r="J11" s="36" t="s">
        <v>26</v>
      </c>
      <c r="K11" s="12"/>
      <c r="L11" s="11"/>
      <c r="M11" s="26"/>
      <c r="N11" s="15"/>
      <c r="O11" s="20"/>
      <c r="P11" s="26"/>
      <c r="Q11" s="24"/>
    </row>
    <row r="12" spans="2:17" s="37" customFormat="1" ht="18" customHeight="1" x14ac:dyDescent="0.15">
      <c r="B12" s="28"/>
      <c r="C12" s="35" t="s">
        <v>25</v>
      </c>
      <c r="D12" s="35" t="s">
        <v>25</v>
      </c>
      <c r="E12" s="45" t="s">
        <v>27</v>
      </c>
      <c r="F12" s="44">
        <v>1</v>
      </c>
      <c r="G12" s="87">
        <v>4500</v>
      </c>
      <c r="H12" s="13">
        <f t="shared" si="0"/>
        <v>4500</v>
      </c>
      <c r="I12" s="21"/>
      <c r="J12" s="45" t="s">
        <v>27</v>
      </c>
      <c r="K12" s="12"/>
      <c r="L12" s="11"/>
      <c r="M12" s="26"/>
      <c r="N12" s="15"/>
      <c r="O12" s="20"/>
      <c r="P12" s="26"/>
      <c r="Q12" s="24"/>
    </row>
    <row r="13" spans="2:17" s="37" customFormat="1" ht="18" customHeight="1" x14ac:dyDescent="0.15">
      <c r="B13" s="28"/>
      <c r="C13" s="35" t="s">
        <v>25</v>
      </c>
      <c r="D13" s="35" t="s">
        <v>25</v>
      </c>
      <c r="E13" s="45" t="s">
        <v>28</v>
      </c>
      <c r="F13" s="44">
        <v>2</v>
      </c>
      <c r="G13" s="87">
        <v>3500</v>
      </c>
      <c r="H13" s="13">
        <f t="shared" si="0"/>
        <v>7000</v>
      </c>
      <c r="I13" s="21"/>
      <c r="J13" s="45" t="s">
        <v>28</v>
      </c>
      <c r="K13" s="12"/>
      <c r="L13" s="11"/>
      <c r="M13" s="26"/>
      <c r="N13" s="15"/>
      <c r="O13" s="20"/>
      <c r="P13" s="26"/>
      <c r="Q13" s="24"/>
    </row>
    <row r="14" spans="2:17" s="37" customFormat="1" ht="18" customHeight="1" x14ac:dyDescent="0.15">
      <c r="B14" s="28"/>
      <c r="C14" s="35" t="s">
        <v>25</v>
      </c>
      <c r="D14" s="35" t="s">
        <v>25</v>
      </c>
      <c r="E14" s="36" t="s">
        <v>29</v>
      </c>
      <c r="F14" s="44">
        <v>1</v>
      </c>
      <c r="G14" s="87">
        <v>4000</v>
      </c>
      <c r="H14" s="13">
        <f t="shared" si="0"/>
        <v>4000</v>
      </c>
      <c r="I14" s="21"/>
      <c r="J14" s="36" t="s">
        <v>29</v>
      </c>
      <c r="K14" s="12"/>
      <c r="L14" s="11"/>
      <c r="M14" s="26"/>
      <c r="N14" s="15"/>
      <c r="O14" s="20"/>
      <c r="P14" s="26"/>
      <c r="Q14" s="24"/>
    </row>
    <row r="15" spans="2:17" s="37" customFormat="1" ht="18" customHeight="1" x14ac:dyDescent="0.15">
      <c r="B15" s="28"/>
      <c r="C15" s="35" t="s">
        <v>25</v>
      </c>
      <c r="D15" s="35" t="s">
        <v>25</v>
      </c>
      <c r="E15" s="36" t="s">
        <v>30</v>
      </c>
      <c r="F15" s="44">
        <v>1</v>
      </c>
      <c r="G15" s="87">
        <v>4000</v>
      </c>
      <c r="H15" s="13">
        <f t="shared" si="0"/>
        <v>4000</v>
      </c>
      <c r="I15" s="21"/>
      <c r="J15" s="36" t="s">
        <v>30</v>
      </c>
      <c r="K15" s="12"/>
      <c r="L15" s="11"/>
      <c r="M15" s="26"/>
      <c r="N15" s="15"/>
      <c r="O15" s="20"/>
      <c r="P15" s="26"/>
      <c r="Q15" s="24"/>
    </row>
    <row r="16" spans="2:17" s="37" customFormat="1" ht="18" customHeight="1" x14ac:dyDescent="0.15">
      <c r="B16" s="28"/>
      <c r="C16" s="35" t="s">
        <v>25</v>
      </c>
      <c r="D16" s="35" t="s">
        <v>25</v>
      </c>
      <c r="E16" s="36" t="s">
        <v>31</v>
      </c>
      <c r="F16" s="44">
        <v>1</v>
      </c>
      <c r="G16" s="87">
        <v>7500</v>
      </c>
      <c r="H16" s="13">
        <f t="shared" si="0"/>
        <v>7500</v>
      </c>
      <c r="I16" s="21"/>
      <c r="J16" s="36" t="s">
        <v>31</v>
      </c>
      <c r="K16" s="12"/>
      <c r="L16" s="11"/>
      <c r="M16" s="26"/>
      <c r="N16" s="15"/>
      <c r="O16" s="20"/>
      <c r="P16" s="26"/>
      <c r="Q16" s="24"/>
    </row>
    <row r="17" spans="2:17" s="37" customFormat="1" ht="18" customHeight="1" x14ac:dyDescent="0.15">
      <c r="B17" s="28"/>
      <c r="C17" s="35" t="s">
        <v>25</v>
      </c>
      <c r="D17" s="35" t="s">
        <v>25</v>
      </c>
      <c r="E17" s="36" t="s">
        <v>32</v>
      </c>
      <c r="F17" s="44">
        <v>1</v>
      </c>
      <c r="G17" s="87">
        <v>18000</v>
      </c>
      <c r="H17" s="13">
        <f t="shared" si="0"/>
        <v>18000</v>
      </c>
      <c r="I17" s="21"/>
      <c r="J17" s="36" t="s">
        <v>32</v>
      </c>
      <c r="K17" s="12"/>
      <c r="L17" s="11"/>
      <c r="M17" s="26"/>
      <c r="N17" s="15"/>
      <c r="O17" s="20"/>
      <c r="P17" s="26"/>
      <c r="Q17" s="24"/>
    </row>
    <row r="18" spans="2:17" s="37" customFormat="1" ht="18" customHeight="1" x14ac:dyDescent="0.15">
      <c r="B18" s="28"/>
      <c r="C18" s="35" t="s">
        <v>25</v>
      </c>
      <c r="D18" s="35" t="s">
        <v>25</v>
      </c>
      <c r="E18" s="36" t="s">
        <v>33</v>
      </c>
      <c r="F18" s="44">
        <v>1</v>
      </c>
      <c r="G18" s="87">
        <v>8000</v>
      </c>
      <c r="H18" s="13">
        <f t="shared" si="0"/>
        <v>8000</v>
      </c>
      <c r="I18" s="21"/>
      <c r="J18" s="36" t="s">
        <v>33</v>
      </c>
      <c r="K18" s="12"/>
      <c r="L18" s="11"/>
      <c r="M18" s="26"/>
      <c r="N18" s="15"/>
      <c r="O18" s="20"/>
      <c r="P18" s="26"/>
      <c r="Q18" s="24"/>
    </row>
    <row r="19" spans="2:17" s="37" customFormat="1" ht="18" customHeight="1" x14ac:dyDescent="0.15">
      <c r="B19" s="28"/>
      <c r="C19" s="35" t="s">
        <v>25</v>
      </c>
      <c r="D19" s="35" t="s">
        <v>25</v>
      </c>
      <c r="E19" s="36" t="s">
        <v>34</v>
      </c>
      <c r="F19" s="44">
        <v>1</v>
      </c>
      <c r="G19" s="87">
        <v>3000</v>
      </c>
      <c r="H19" s="13">
        <f t="shared" si="0"/>
        <v>3000</v>
      </c>
      <c r="I19" s="21"/>
      <c r="J19" s="36" t="s">
        <v>34</v>
      </c>
      <c r="K19" s="12"/>
      <c r="L19" s="11"/>
      <c r="M19" s="26"/>
      <c r="N19" s="15"/>
      <c r="O19" s="20"/>
      <c r="P19" s="26"/>
      <c r="Q19" s="24"/>
    </row>
    <row r="20" spans="2:17" s="37" customFormat="1" ht="18" customHeight="1" x14ac:dyDescent="0.15">
      <c r="B20" s="28"/>
      <c r="C20" s="35" t="s">
        <v>25</v>
      </c>
      <c r="D20" s="35" t="s">
        <v>25</v>
      </c>
      <c r="E20" s="36" t="s">
        <v>35</v>
      </c>
      <c r="F20" s="44">
        <v>1</v>
      </c>
      <c r="G20" s="87">
        <v>3500</v>
      </c>
      <c r="H20" s="13">
        <f t="shared" si="0"/>
        <v>3500</v>
      </c>
      <c r="I20" s="21"/>
      <c r="J20" s="36" t="s">
        <v>35</v>
      </c>
      <c r="K20" s="12"/>
      <c r="L20" s="11"/>
      <c r="M20" s="26"/>
      <c r="N20" s="15"/>
      <c r="O20" s="20"/>
      <c r="P20" s="26"/>
      <c r="Q20" s="24"/>
    </row>
    <row r="21" spans="2:17" s="37" customFormat="1" ht="18" customHeight="1" x14ac:dyDescent="0.15">
      <c r="B21" s="28"/>
      <c r="C21" s="35" t="s">
        <v>25</v>
      </c>
      <c r="D21" s="35" t="s">
        <v>25</v>
      </c>
      <c r="E21" s="36" t="s">
        <v>36</v>
      </c>
      <c r="F21" s="44">
        <v>1</v>
      </c>
      <c r="G21" s="87">
        <v>12500</v>
      </c>
      <c r="H21" s="13">
        <f t="shared" si="0"/>
        <v>12500</v>
      </c>
      <c r="I21" s="21"/>
      <c r="J21" s="36" t="s">
        <v>36</v>
      </c>
      <c r="K21" s="12"/>
      <c r="L21" s="11"/>
      <c r="M21" s="26"/>
      <c r="N21" s="15"/>
      <c r="O21" s="20"/>
      <c r="P21" s="26"/>
      <c r="Q21" s="24"/>
    </row>
    <row r="22" spans="2:17" s="37" customFormat="1" ht="18" customHeight="1" x14ac:dyDescent="0.15">
      <c r="B22" s="28"/>
      <c r="C22" s="30" t="s">
        <v>37</v>
      </c>
      <c r="D22" s="30" t="s">
        <v>37</v>
      </c>
      <c r="E22" s="94" t="s">
        <v>38</v>
      </c>
      <c r="F22" s="30">
        <v>1</v>
      </c>
      <c r="G22" s="94">
        <v>6899</v>
      </c>
      <c r="H22" s="65">
        <f t="shared" si="0"/>
        <v>6899</v>
      </c>
      <c r="I22" s="66"/>
      <c r="J22" s="34" t="s">
        <v>39</v>
      </c>
      <c r="K22" s="12"/>
      <c r="L22" s="11"/>
      <c r="M22" s="26"/>
      <c r="N22" s="15"/>
      <c r="O22" s="20"/>
      <c r="P22" s="26"/>
      <c r="Q22" s="24"/>
    </row>
    <row r="23" spans="2:17" s="37" customFormat="1" ht="18" customHeight="1" x14ac:dyDescent="0.15">
      <c r="B23" s="28"/>
      <c r="C23" s="30" t="s">
        <v>37</v>
      </c>
      <c r="D23" s="30" t="s">
        <v>37</v>
      </c>
      <c r="E23" s="94" t="s">
        <v>40</v>
      </c>
      <c r="F23" s="30">
        <v>1</v>
      </c>
      <c r="G23" s="94">
        <v>6899</v>
      </c>
      <c r="H23" s="65">
        <f t="shared" si="0"/>
        <v>6899</v>
      </c>
      <c r="I23" s="66"/>
      <c r="J23" s="34" t="s">
        <v>41</v>
      </c>
      <c r="K23" s="12"/>
      <c r="L23" s="11"/>
      <c r="M23" s="26"/>
      <c r="N23" s="15"/>
      <c r="O23" s="20"/>
      <c r="P23" s="26"/>
      <c r="Q23" s="24"/>
    </row>
    <row r="24" spans="2:17" s="37" customFormat="1" ht="18" customHeight="1" x14ac:dyDescent="0.15">
      <c r="B24" s="28"/>
      <c r="C24" s="23" t="s">
        <v>37</v>
      </c>
      <c r="D24" s="23" t="s">
        <v>37</v>
      </c>
      <c r="E24" s="93" t="s">
        <v>42</v>
      </c>
      <c r="F24" s="89">
        <v>1</v>
      </c>
      <c r="G24" s="94">
        <v>16000</v>
      </c>
      <c r="H24" s="32">
        <f t="shared" si="0"/>
        <v>16000</v>
      </c>
      <c r="I24" s="21"/>
      <c r="J24" s="35" t="s">
        <v>43</v>
      </c>
      <c r="K24" s="12"/>
      <c r="L24" s="11"/>
      <c r="M24" s="26"/>
      <c r="N24" s="15"/>
      <c r="O24" s="20"/>
      <c r="P24" s="26"/>
      <c r="Q24" s="24"/>
    </row>
    <row r="25" spans="2:17" s="37" customFormat="1" ht="18" customHeight="1" x14ac:dyDescent="0.15">
      <c r="B25" s="28"/>
      <c r="C25" s="23" t="s">
        <v>37</v>
      </c>
      <c r="D25" s="23" t="s">
        <v>37</v>
      </c>
      <c r="E25" s="83" t="s">
        <v>44</v>
      </c>
      <c r="F25" s="81">
        <v>2</v>
      </c>
      <c r="G25" s="94">
        <v>570</v>
      </c>
      <c r="H25" s="32">
        <f t="shared" si="0"/>
        <v>1140</v>
      </c>
      <c r="I25" s="6"/>
      <c r="J25" s="35" t="s">
        <v>45</v>
      </c>
      <c r="K25" s="12"/>
      <c r="L25" s="11"/>
      <c r="M25" s="26"/>
      <c r="N25" s="15"/>
      <c r="O25" s="20"/>
      <c r="P25" s="26"/>
      <c r="Q25" s="24"/>
    </row>
    <row r="26" spans="2:17" s="37" customFormat="1" ht="18" customHeight="1" x14ac:dyDescent="0.15">
      <c r="B26" s="28"/>
      <c r="C26" s="23" t="s">
        <v>37</v>
      </c>
      <c r="D26" s="23" t="s">
        <v>37</v>
      </c>
      <c r="E26" s="95" t="s">
        <v>46</v>
      </c>
      <c r="F26" s="81">
        <v>26</v>
      </c>
      <c r="G26" s="94">
        <v>99</v>
      </c>
      <c r="H26" s="32">
        <f t="shared" si="0"/>
        <v>2574</v>
      </c>
      <c r="I26" s="6"/>
      <c r="J26" s="90" t="s">
        <v>47</v>
      </c>
      <c r="K26" s="12"/>
      <c r="L26" s="11"/>
      <c r="M26" s="26"/>
      <c r="N26" s="15"/>
      <c r="O26" s="20"/>
      <c r="P26" s="26"/>
      <c r="Q26" s="24"/>
    </row>
    <row r="27" spans="2:17" s="37" customFormat="1" ht="18" customHeight="1" x14ac:dyDescent="0.15">
      <c r="B27" s="28"/>
      <c r="C27" s="23" t="s">
        <v>37</v>
      </c>
      <c r="D27" s="23" t="s">
        <v>37</v>
      </c>
      <c r="E27" s="95" t="s">
        <v>48</v>
      </c>
      <c r="F27" s="81">
        <v>2</v>
      </c>
      <c r="G27" s="94">
        <v>99</v>
      </c>
      <c r="H27" s="32">
        <f t="shared" si="0"/>
        <v>198</v>
      </c>
      <c r="I27" s="6"/>
      <c r="J27" s="90" t="s">
        <v>49</v>
      </c>
      <c r="K27" s="12"/>
      <c r="L27" s="11"/>
      <c r="M27" s="26"/>
      <c r="N27" s="15"/>
      <c r="O27" s="20"/>
      <c r="P27" s="26"/>
      <c r="Q27" s="24"/>
    </row>
    <row r="28" spans="2:17" s="37" customFormat="1" ht="18" customHeight="1" x14ac:dyDescent="0.15">
      <c r="B28" s="28"/>
      <c r="C28" s="8" t="s">
        <v>37</v>
      </c>
      <c r="D28" s="8" t="s">
        <v>37</v>
      </c>
      <c r="E28" s="91" t="s">
        <v>50</v>
      </c>
      <c r="F28" s="92">
        <v>4</v>
      </c>
      <c r="G28" s="13">
        <v>75</v>
      </c>
      <c r="H28" s="13">
        <f t="shared" si="0"/>
        <v>300</v>
      </c>
      <c r="I28" s="13"/>
      <c r="J28" s="64" t="s">
        <v>51</v>
      </c>
      <c r="K28" s="12"/>
      <c r="L28" s="11"/>
      <c r="M28" s="26"/>
      <c r="N28" s="15"/>
      <c r="O28" s="20"/>
      <c r="P28" s="26"/>
      <c r="Q28" s="24"/>
    </row>
    <row r="29" spans="2:17" s="37" customFormat="1" ht="18" customHeight="1" x14ac:dyDescent="0.15">
      <c r="B29" s="28"/>
      <c r="C29" s="8" t="s">
        <v>37</v>
      </c>
      <c r="D29" s="8" t="s">
        <v>37</v>
      </c>
      <c r="E29" s="91" t="s">
        <v>52</v>
      </c>
      <c r="F29" s="92">
        <v>8</v>
      </c>
      <c r="G29" s="84">
        <v>80</v>
      </c>
      <c r="H29" s="13">
        <f t="shared" si="0"/>
        <v>640</v>
      </c>
      <c r="I29" s="13"/>
      <c r="J29" s="64" t="s">
        <v>53</v>
      </c>
      <c r="K29" s="12"/>
      <c r="L29" s="11"/>
      <c r="M29" s="26"/>
      <c r="N29" s="15"/>
      <c r="O29" s="20"/>
      <c r="P29" s="26"/>
      <c r="Q29" s="24"/>
    </row>
    <row r="30" spans="2:17" s="37" customFormat="1" ht="18" customHeight="1" x14ac:dyDescent="0.15">
      <c r="B30" s="28"/>
      <c r="C30" s="8" t="s">
        <v>37</v>
      </c>
      <c r="D30" s="8" t="s">
        <v>37</v>
      </c>
      <c r="E30" s="91" t="s">
        <v>54</v>
      </c>
      <c r="F30" s="92">
        <v>2</v>
      </c>
      <c r="G30" s="84">
        <v>88</v>
      </c>
      <c r="H30" s="13">
        <f t="shared" si="0"/>
        <v>176</v>
      </c>
      <c r="I30" s="13"/>
      <c r="J30" s="64" t="s">
        <v>55</v>
      </c>
      <c r="K30" s="12"/>
      <c r="L30" s="11"/>
      <c r="M30" s="26"/>
      <c r="N30" s="15"/>
      <c r="O30" s="20"/>
      <c r="P30" s="26"/>
      <c r="Q30" s="24"/>
    </row>
    <row r="31" spans="2:17" s="37" customFormat="1" ht="18" customHeight="1" x14ac:dyDescent="0.15">
      <c r="B31" s="28"/>
      <c r="C31" s="8" t="s">
        <v>37</v>
      </c>
      <c r="D31" s="8" t="s">
        <v>37</v>
      </c>
      <c r="E31" s="91" t="s">
        <v>56</v>
      </c>
      <c r="F31" s="92">
        <v>9</v>
      </c>
      <c r="G31" s="84">
        <v>70</v>
      </c>
      <c r="H31" s="13">
        <f t="shared" si="0"/>
        <v>630</v>
      </c>
      <c r="I31" s="13"/>
      <c r="J31" s="64" t="s">
        <v>57</v>
      </c>
      <c r="K31" s="12"/>
      <c r="L31" s="11"/>
      <c r="M31" s="26"/>
      <c r="N31" s="15"/>
      <c r="O31" s="20"/>
      <c r="P31" s="26"/>
      <c r="Q31" s="24"/>
    </row>
    <row r="32" spans="2:17" s="37" customFormat="1" ht="18" customHeight="1" x14ac:dyDescent="0.15">
      <c r="B32" s="28"/>
      <c r="C32" s="8" t="s">
        <v>37</v>
      </c>
      <c r="D32" s="8" t="s">
        <v>37</v>
      </c>
      <c r="E32" s="91" t="s">
        <v>58</v>
      </c>
      <c r="F32" s="92">
        <v>9</v>
      </c>
      <c r="G32" s="84">
        <v>70</v>
      </c>
      <c r="H32" s="13">
        <f t="shared" si="0"/>
        <v>630</v>
      </c>
      <c r="I32" s="13"/>
      <c r="J32" s="64" t="s">
        <v>59</v>
      </c>
      <c r="K32" s="12"/>
      <c r="L32" s="11"/>
      <c r="M32" s="26"/>
      <c r="N32" s="15"/>
      <c r="O32" s="20"/>
      <c r="P32" s="26"/>
      <c r="Q32" s="24"/>
    </row>
    <row r="33" spans="2:17" s="37" customFormat="1" ht="18" customHeight="1" x14ac:dyDescent="0.15">
      <c r="B33" s="28"/>
      <c r="C33" s="8" t="s">
        <v>37</v>
      </c>
      <c r="D33" s="8" t="s">
        <v>37</v>
      </c>
      <c r="E33" s="91" t="s">
        <v>60</v>
      </c>
      <c r="F33" s="68">
        <v>20</v>
      </c>
      <c r="G33" s="84">
        <v>75</v>
      </c>
      <c r="H33" s="13">
        <f t="shared" si="0"/>
        <v>1500</v>
      </c>
      <c r="I33" s="67"/>
      <c r="J33" s="64" t="s">
        <v>61</v>
      </c>
      <c r="K33" s="12"/>
      <c r="L33" s="11"/>
      <c r="M33" s="26"/>
      <c r="N33" s="15"/>
      <c r="O33" s="20"/>
      <c r="P33" s="26"/>
      <c r="Q33" s="24"/>
    </row>
    <row r="34" spans="2:17" s="37" customFormat="1" ht="18" customHeight="1" x14ac:dyDescent="0.15">
      <c r="B34" s="28"/>
      <c r="C34" s="8"/>
      <c r="D34" s="13"/>
      <c r="E34" s="105">
        <f>SUM(H11:H33)</f>
        <v>114086</v>
      </c>
      <c r="F34" s="68"/>
      <c r="H34" s="96"/>
      <c r="I34" s="67"/>
      <c r="J34" s="64"/>
      <c r="K34" s="12"/>
      <c r="L34" s="11"/>
      <c r="M34" s="26"/>
      <c r="N34" s="15"/>
      <c r="O34" s="20"/>
      <c r="P34" s="26"/>
      <c r="Q34" s="24"/>
    </row>
    <row r="35" spans="2:17" s="7" customFormat="1" ht="19.5" customHeight="1" x14ac:dyDescent="0.15">
      <c r="B35" s="8"/>
      <c r="C35" s="8"/>
      <c r="D35" s="8"/>
      <c r="E35" s="12"/>
      <c r="F35" s="68"/>
      <c r="G35" s="13"/>
      <c r="H35" s="13"/>
      <c r="I35" s="21"/>
      <c r="J35" s="69"/>
      <c r="K35" s="5"/>
      <c r="L35" s="5"/>
      <c r="M35" s="26"/>
      <c r="N35" s="8"/>
      <c r="O35" s="5"/>
      <c r="P35" s="26"/>
      <c r="Q35" s="15"/>
    </row>
    <row r="36" spans="2:17" s="7" customFormat="1" ht="19.5" customHeight="1" x14ac:dyDescent="0.15">
      <c r="B36" s="417" t="s">
        <v>62</v>
      </c>
      <c r="C36" s="418"/>
      <c r="D36" s="418"/>
      <c r="E36" s="419"/>
      <c r="F36" s="46"/>
      <c r="G36" s="97"/>
      <c r="H36" s="98"/>
      <c r="I36" s="99"/>
      <c r="J36" s="100"/>
      <c r="K36" s="46"/>
      <c r="L36" s="46"/>
      <c r="M36" s="101"/>
      <c r="N36" s="47"/>
      <c r="O36" s="46"/>
      <c r="P36" s="101"/>
      <c r="Q36" s="102"/>
    </row>
    <row r="37" spans="2:17" s="7" customFormat="1" ht="19.5" customHeight="1" x14ac:dyDescent="0.15">
      <c r="B37" s="28"/>
      <c r="C37" s="35" t="s">
        <v>25</v>
      </c>
      <c r="D37" s="35" t="s">
        <v>25</v>
      </c>
      <c r="E37" s="73" t="s">
        <v>63</v>
      </c>
      <c r="F37" s="73">
        <v>1</v>
      </c>
      <c r="G37" s="73">
        <v>19500</v>
      </c>
      <c r="H37" s="63">
        <f t="shared" ref="H37:H58" si="1">F37*G37</f>
        <v>19500</v>
      </c>
      <c r="I37" s="74"/>
      <c r="J37" s="73" t="s">
        <v>63</v>
      </c>
      <c r="K37" s="5"/>
      <c r="L37" s="5"/>
      <c r="M37" s="26"/>
      <c r="N37" s="8"/>
      <c r="O37" s="5"/>
      <c r="P37" s="26"/>
      <c r="Q37" s="24"/>
    </row>
    <row r="38" spans="2:17" s="7" customFormat="1" ht="19.5" customHeight="1" x14ac:dyDescent="0.15">
      <c r="B38" s="28"/>
      <c r="C38" s="35" t="s">
        <v>25</v>
      </c>
      <c r="D38" s="35" t="s">
        <v>25</v>
      </c>
      <c r="E38" s="73" t="s">
        <v>64</v>
      </c>
      <c r="F38" s="73">
        <v>1</v>
      </c>
      <c r="G38" s="73">
        <v>17500</v>
      </c>
      <c r="H38" s="63">
        <f t="shared" si="1"/>
        <v>17500</v>
      </c>
      <c r="I38" s="74"/>
      <c r="J38" s="73" t="s">
        <v>64</v>
      </c>
      <c r="K38" s="5"/>
      <c r="L38" s="5"/>
      <c r="M38" s="26"/>
      <c r="N38" s="8"/>
      <c r="O38" s="5"/>
      <c r="P38" s="26"/>
      <c r="Q38" s="24"/>
    </row>
    <row r="39" spans="2:17" s="7" customFormat="1" ht="19.5" customHeight="1" x14ac:dyDescent="0.15">
      <c r="B39" s="28"/>
      <c r="C39" s="35" t="s">
        <v>25</v>
      </c>
      <c r="D39" s="35" t="s">
        <v>25</v>
      </c>
      <c r="E39" s="73" t="s">
        <v>65</v>
      </c>
      <c r="F39" s="73">
        <v>8</v>
      </c>
      <c r="G39" s="73">
        <v>3800</v>
      </c>
      <c r="H39" s="63">
        <f t="shared" si="1"/>
        <v>30400</v>
      </c>
      <c r="I39" s="74"/>
      <c r="J39" s="73" t="s">
        <v>65</v>
      </c>
      <c r="K39" s="5"/>
      <c r="L39" s="5"/>
      <c r="M39" s="26"/>
      <c r="N39" s="8"/>
      <c r="O39" s="5"/>
      <c r="P39" s="26"/>
      <c r="Q39" s="24"/>
    </row>
    <row r="40" spans="2:17" s="7" customFormat="1" ht="19.5" customHeight="1" x14ac:dyDescent="0.15">
      <c r="B40" s="28"/>
      <c r="C40" s="35" t="s">
        <v>25</v>
      </c>
      <c r="D40" s="35" t="s">
        <v>25</v>
      </c>
      <c r="E40" s="73" t="s">
        <v>66</v>
      </c>
      <c r="F40" s="73">
        <v>2</v>
      </c>
      <c r="G40" s="73">
        <v>5000</v>
      </c>
      <c r="H40" s="63">
        <f t="shared" si="1"/>
        <v>10000</v>
      </c>
      <c r="I40" s="74"/>
      <c r="J40" s="73" t="s">
        <v>67</v>
      </c>
      <c r="K40" s="5"/>
      <c r="L40" s="5"/>
      <c r="M40" s="26"/>
      <c r="N40" s="8"/>
      <c r="O40" s="5"/>
      <c r="P40" s="26"/>
      <c r="Q40" s="24"/>
    </row>
    <row r="41" spans="2:17" ht="18" customHeight="1" x14ac:dyDescent="0.15">
      <c r="B41" s="28"/>
      <c r="C41" s="29" t="s">
        <v>37</v>
      </c>
      <c r="D41" s="29" t="s">
        <v>37</v>
      </c>
      <c r="E41" s="31" t="s">
        <v>68</v>
      </c>
      <c r="F41" s="30">
        <v>1</v>
      </c>
      <c r="G41" s="31">
        <v>356</v>
      </c>
      <c r="H41" s="32">
        <f t="shared" si="1"/>
        <v>356</v>
      </c>
      <c r="I41" s="33"/>
      <c r="J41" s="34" t="s">
        <v>69</v>
      </c>
      <c r="K41" s="12"/>
      <c r="L41" s="11"/>
      <c r="M41" s="26"/>
      <c r="N41" s="15"/>
      <c r="O41" s="20"/>
      <c r="P41" s="26"/>
      <c r="Q41" s="24"/>
    </row>
    <row r="42" spans="2:17" ht="18" customHeight="1" x14ac:dyDescent="0.15">
      <c r="B42" s="28"/>
      <c r="C42" s="29" t="s">
        <v>37</v>
      </c>
      <c r="D42" s="29" t="s">
        <v>37</v>
      </c>
      <c r="E42" s="31" t="s">
        <v>70</v>
      </c>
      <c r="F42" s="30">
        <v>1</v>
      </c>
      <c r="G42" s="31">
        <v>479</v>
      </c>
      <c r="H42" s="32">
        <f t="shared" si="1"/>
        <v>479</v>
      </c>
      <c r="I42" s="33"/>
      <c r="J42" s="34" t="s">
        <v>71</v>
      </c>
      <c r="K42" s="12"/>
      <c r="L42" s="11"/>
      <c r="M42" s="26"/>
      <c r="N42" s="15"/>
      <c r="O42" s="20"/>
      <c r="P42" s="26"/>
      <c r="Q42" s="24"/>
    </row>
    <row r="43" spans="2:17" ht="18" customHeight="1" x14ac:dyDescent="0.15">
      <c r="B43" s="28"/>
      <c r="C43" s="29" t="s">
        <v>37</v>
      </c>
      <c r="D43" s="29" t="s">
        <v>37</v>
      </c>
      <c r="E43" s="31" t="s">
        <v>72</v>
      </c>
      <c r="F43" s="30">
        <v>1</v>
      </c>
      <c r="G43" s="31">
        <v>650</v>
      </c>
      <c r="H43" s="32">
        <f t="shared" si="1"/>
        <v>650</v>
      </c>
      <c r="I43" s="33"/>
      <c r="J43" s="34" t="s">
        <v>69</v>
      </c>
      <c r="K43" s="12"/>
      <c r="L43" s="11"/>
      <c r="M43" s="26"/>
      <c r="N43" s="15"/>
      <c r="O43" s="20"/>
      <c r="P43" s="26"/>
      <c r="Q43" s="24"/>
    </row>
    <row r="44" spans="2:17" s="37" customFormat="1" ht="18" customHeight="1" x14ac:dyDescent="0.15">
      <c r="B44" s="28"/>
      <c r="C44" s="62" t="s">
        <v>37</v>
      </c>
      <c r="D44" s="62" t="s">
        <v>37</v>
      </c>
      <c r="E44" s="40" t="s">
        <v>73</v>
      </c>
      <c r="F44" s="82">
        <v>6</v>
      </c>
      <c r="G44" s="83">
        <v>370</v>
      </c>
      <c r="H44" s="13">
        <f t="shared" si="1"/>
        <v>2220</v>
      </c>
      <c r="I44" s="21"/>
      <c r="J44" s="41" t="s">
        <v>74</v>
      </c>
      <c r="K44" s="12"/>
      <c r="L44" s="11"/>
      <c r="M44" s="26"/>
      <c r="N44" s="15"/>
      <c r="O44" s="20"/>
      <c r="P44" s="26"/>
      <c r="Q44" s="24"/>
    </row>
    <row r="45" spans="2:17" s="37" customFormat="1" ht="18" customHeight="1" x14ac:dyDescent="0.15">
      <c r="B45" s="28"/>
      <c r="C45" s="30" t="s">
        <v>37</v>
      </c>
      <c r="D45" s="30" t="s">
        <v>37</v>
      </c>
      <c r="E45" s="85" t="s">
        <v>75</v>
      </c>
      <c r="F45" s="86">
        <v>2</v>
      </c>
      <c r="G45" s="87">
        <v>8800</v>
      </c>
      <c r="H45" s="13">
        <f t="shared" si="1"/>
        <v>17600</v>
      </c>
      <c r="I45" s="21"/>
      <c r="J45" s="42" t="s">
        <v>76</v>
      </c>
      <c r="K45" s="12"/>
      <c r="L45" s="11"/>
      <c r="M45" s="26"/>
      <c r="N45" s="15"/>
      <c r="O45" s="20"/>
      <c r="P45" s="26"/>
      <c r="Q45" s="24"/>
    </row>
    <row r="46" spans="2:17" s="37" customFormat="1" ht="18" customHeight="1" x14ac:dyDescent="0.15">
      <c r="B46" s="28"/>
      <c r="C46" s="30" t="s">
        <v>37</v>
      </c>
      <c r="D46" s="30" t="s">
        <v>37</v>
      </c>
      <c r="E46" s="43" t="s">
        <v>77</v>
      </c>
      <c r="F46" s="86">
        <v>2</v>
      </c>
      <c r="G46" s="87">
        <v>4710</v>
      </c>
      <c r="H46" s="13">
        <f t="shared" si="1"/>
        <v>9420</v>
      </c>
      <c r="I46" s="21"/>
      <c r="J46" s="42" t="s">
        <v>78</v>
      </c>
      <c r="K46" s="12"/>
      <c r="L46" s="11"/>
      <c r="M46" s="26"/>
      <c r="N46" s="15"/>
      <c r="O46" s="20"/>
      <c r="P46" s="26"/>
      <c r="Q46" s="24"/>
    </row>
    <row r="47" spans="2:17" s="37" customFormat="1" ht="18" customHeight="1" x14ac:dyDescent="0.15">
      <c r="B47" s="28"/>
      <c r="C47" s="30" t="s">
        <v>37</v>
      </c>
      <c r="D47" s="30" t="s">
        <v>37</v>
      </c>
      <c r="E47" s="88" t="s">
        <v>79</v>
      </c>
      <c r="F47" s="44">
        <v>1</v>
      </c>
      <c r="G47" s="87">
        <v>59000</v>
      </c>
      <c r="H47" s="13">
        <f t="shared" si="1"/>
        <v>59000</v>
      </c>
      <c r="I47" s="21"/>
      <c r="J47" s="39" t="s">
        <v>80</v>
      </c>
      <c r="K47" s="12"/>
      <c r="L47" s="11"/>
      <c r="M47" s="26"/>
      <c r="N47" s="15"/>
      <c r="O47" s="20"/>
      <c r="P47" s="26"/>
      <c r="Q47" s="24"/>
    </row>
    <row r="48" spans="2:17" s="37" customFormat="1" ht="18" customHeight="1" x14ac:dyDescent="0.15">
      <c r="B48" s="28"/>
      <c r="C48" s="30" t="s">
        <v>37</v>
      </c>
      <c r="D48" s="30" t="s">
        <v>37</v>
      </c>
      <c r="E48" s="85" t="s">
        <v>81</v>
      </c>
      <c r="F48" s="44">
        <v>1</v>
      </c>
      <c r="G48" s="25">
        <v>370</v>
      </c>
      <c r="H48" s="13">
        <f t="shared" si="1"/>
        <v>370</v>
      </c>
      <c r="I48" s="21"/>
      <c r="J48" s="42" t="s">
        <v>82</v>
      </c>
      <c r="K48" s="12"/>
      <c r="L48" s="11"/>
      <c r="M48" s="26"/>
      <c r="N48" s="15"/>
      <c r="O48" s="20"/>
      <c r="P48" s="26"/>
      <c r="Q48" s="24"/>
    </row>
    <row r="49" spans="2:17" s="37" customFormat="1" ht="18" customHeight="1" x14ac:dyDescent="0.15">
      <c r="B49" s="28"/>
      <c r="C49" s="30" t="s">
        <v>37</v>
      </c>
      <c r="D49" s="30" t="s">
        <v>37</v>
      </c>
      <c r="E49" s="88" t="s">
        <v>83</v>
      </c>
      <c r="F49" s="86">
        <v>2</v>
      </c>
      <c r="G49" s="87">
        <v>3560</v>
      </c>
      <c r="H49" s="13">
        <f t="shared" si="1"/>
        <v>7120</v>
      </c>
      <c r="I49" s="21"/>
      <c r="J49" s="39" t="s">
        <v>84</v>
      </c>
      <c r="K49" s="12"/>
      <c r="L49" s="11"/>
      <c r="M49" s="26"/>
      <c r="N49" s="15"/>
      <c r="O49" s="20"/>
      <c r="P49" s="26"/>
      <c r="Q49" s="24"/>
    </row>
    <row r="50" spans="2:17" s="37" customFormat="1" ht="18" customHeight="1" x14ac:dyDescent="0.15">
      <c r="B50" s="28"/>
      <c r="C50" s="30" t="s">
        <v>37</v>
      </c>
      <c r="D50" s="30" t="s">
        <v>37</v>
      </c>
      <c r="E50" s="35" t="s">
        <v>85</v>
      </c>
      <c r="F50" s="44">
        <v>10</v>
      </c>
      <c r="G50" s="25">
        <v>26</v>
      </c>
      <c r="H50" s="13">
        <f t="shared" si="1"/>
        <v>260</v>
      </c>
      <c r="I50" s="21"/>
      <c r="J50" s="36" t="s">
        <v>86</v>
      </c>
      <c r="K50" s="12"/>
      <c r="L50" s="11"/>
      <c r="M50" s="26"/>
      <c r="N50" s="15"/>
      <c r="O50" s="20"/>
      <c r="P50" s="26"/>
      <c r="Q50" s="24"/>
    </row>
    <row r="51" spans="2:17" s="37" customFormat="1" ht="18" customHeight="1" x14ac:dyDescent="0.15">
      <c r="B51" s="28"/>
      <c r="C51" s="30" t="s">
        <v>37</v>
      </c>
      <c r="D51" s="30" t="s">
        <v>37</v>
      </c>
      <c r="E51" s="35" t="s">
        <v>87</v>
      </c>
      <c r="F51" s="44">
        <v>4</v>
      </c>
      <c r="G51" s="25">
        <v>29</v>
      </c>
      <c r="H51" s="13">
        <f t="shared" si="1"/>
        <v>116</v>
      </c>
      <c r="I51" s="21"/>
      <c r="J51" s="36" t="s">
        <v>88</v>
      </c>
      <c r="K51" s="12"/>
      <c r="L51" s="11"/>
      <c r="M51" s="26"/>
      <c r="N51" s="15"/>
      <c r="O51" s="20"/>
      <c r="P51" s="26"/>
      <c r="Q51" s="24"/>
    </row>
    <row r="52" spans="2:17" s="37" customFormat="1" ht="18" customHeight="1" x14ac:dyDescent="0.15">
      <c r="B52" s="28"/>
      <c r="C52" s="30" t="s">
        <v>37</v>
      </c>
      <c r="D52" s="30" t="s">
        <v>37</v>
      </c>
      <c r="E52" s="35" t="s">
        <v>89</v>
      </c>
      <c r="F52" s="44">
        <v>16</v>
      </c>
      <c r="G52" s="25">
        <v>54</v>
      </c>
      <c r="H52" s="13">
        <f t="shared" si="1"/>
        <v>864</v>
      </c>
      <c r="I52" s="21"/>
      <c r="J52" s="36" t="s">
        <v>90</v>
      </c>
      <c r="K52" s="12"/>
      <c r="L52" s="11"/>
      <c r="M52" s="26"/>
      <c r="N52" s="15"/>
      <c r="O52" s="20"/>
      <c r="P52" s="26"/>
      <c r="Q52" s="24"/>
    </row>
    <row r="53" spans="2:17" s="37" customFormat="1" ht="18" customHeight="1" x14ac:dyDescent="0.15">
      <c r="B53" s="28"/>
      <c r="C53" s="30" t="s">
        <v>37</v>
      </c>
      <c r="D53" s="30" t="s">
        <v>37</v>
      </c>
      <c r="E53" s="35" t="s">
        <v>58</v>
      </c>
      <c r="F53" s="44">
        <v>6</v>
      </c>
      <c r="G53" s="25">
        <v>70</v>
      </c>
      <c r="H53" s="13">
        <f t="shared" si="1"/>
        <v>420</v>
      </c>
      <c r="I53" s="21"/>
      <c r="J53" s="36" t="s">
        <v>91</v>
      </c>
      <c r="K53" s="12"/>
      <c r="L53" s="11"/>
      <c r="M53" s="26"/>
      <c r="N53" s="15"/>
      <c r="O53" s="20"/>
      <c r="P53" s="26"/>
      <c r="Q53" s="24"/>
    </row>
    <row r="54" spans="2:17" s="37" customFormat="1" ht="18" customHeight="1" x14ac:dyDescent="0.15">
      <c r="B54" s="28"/>
      <c r="C54" s="30" t="s">
        <v>37</v>
      </c>
      <c r="D54" s="30" t="s">
        <v>37</v>
      </c>
      <c r="E54" s="35" t="s">
        <v>92</v>
      </c>
      <c r="F54" s="44">
        <v>12</v>
      </c>
      <c r="G54" s="25">
        <v>75</v>
      </c>
      <c r="H54" s="13">
        <f t="shared" si="1"/>
        <v>900</v>
      </c>
      <c r="I54" s="21"/>
      <c r="J54" s="36" t="s">
        <v>93</v>
      </c>
      <c r="K54" s="12"/>
      <c r="L54" s="11"/>
      <c r="M54" s="26"/>
      <c r="N54" s="15"/>
      <c r="O54" s="20"/>
      <c r="P54" s="26"/>
      <c r="Q54" s="24"/>
    </row>
    <row r="55" spans="2:17" s="37" customFormat="1" ht="18" customHeight="1" x14ac:dyDescent="0.15">
      <c r="B55" s="28"/>
      <c r="C55" s="30" t="s">
        <v>37</v>
      </c>
      <c r="D55" s="30" t="s">
        <v>37</v>
      </c>
      <c r="E55" s="35" t="s">
        <v>94</v>
      </c>
      <c r="F55" s="44">
        <v>4</v>
      </c>
      <c r="G55" s="25">
        <v>80</v>
      </c>
      <c r="H55" s="13">
        <f t="shared" si="1"/>
        <v>320</v>
      </c>
      <c r="I55" s="21"/>
      <c r="J55" s="36" t="s">
        <v>95</v>
      </c>
      <c r="K55" s="12"/>
      <c r="L55" s="11"/>
      <c r="M55" s="26"/>
      <c r="N55" s="15"/>
      <c r="O55" s="20"/>
      <c r="P55" s="26"/>
      <c r="Q55" s="24"/>
    </row>
    <row r="56" spans="2:17" s="37" customFormat="1" ht="18" customHeight="1" x14ac:dyDescent="0.15">
      <c r="B56" s="28"/>
      <c r="C56" s="30" t="s">
        <v>37</v>
      </c>
      <c r="D56" s="30" t="s">
        <v>37</v>
      </c>
      <c r="E56" s="35" t="s">
        <v>96</v>
      </c>
      <c r="F56" s="44">
        <v>10</v>
      </c>
      <c r="G56" s="25">
        <v>99</v>
      </c>
      <c r="H56" s="13">
        <f t="shared" si="1"/>
        <v>990</v>
      </c>
      <c r="I56" s="21"/>
      <c r="J56" s="36" t="s">
        <v>97</v>
      </c>
      <c r="K56" s="12"/>
      <c r="L56" s="11"/>
      <c r="M56" s="26"/>
      <c r="N56" s="15"/>
      <c r="O56" s="20"/>
      <c r="P56" s="26"/>
      <c r="Q56" s="24"/>
    </row>
    <row r="57" spans="2:17" s="37" customFormat="1" ht="18" customHeight="1" x14ac:dyDescent="0.15">
      <c r="B57" s="28"/>
      <c r="C57" s="30" t="s">
        <v>37</v>
      </c>
      <c r="D57" s="30" t="s">
        <v>37</v>
      </c>
      <c r="E57" s="35" t="s">
        <v>98</v>
      </c>
      <c r="F57" s="44">
        <v>2</v>
      </c>
      <c r="G57" s="25">
        <v>610</v>
      </c>
      <c r="H57" s="13">
        <f t="shared" si="1"/>
        <v>1220</v>
      </c>
      <c r="I57" s="21"/>
      <c r="J57" s="45" t="s">
        <v>99</v>
      </c>
      <c r="K57" s="12"/>
      <c r="L57" s="11"/>
      <c r="M57" s="26"/>
      <c r="N57" s="15"/>
      <c r="O57" s="20"/>
      <c r="P57" s="26"/>
      <c r="Q57" s="24"/>
    </row>
    <row r="58" spans="2:17" s="37" customFormat="1" ht="18" customHeight="1" x14ac:dyDescent="0.15">
      <c r="B58" s="28"/>
      <c r="C58" s="30" t="s">
        <v>37</v>
      </c>
      <c r="D58" s="30" t="s">
        <v>37</v>
      </c>
      <c r="E58" s="35" t="s">
        <v>100</v>
      </c>
      <c r="F58" s="44">
        <v>2</v>
      </c>
      <c r="G58" s="25">
        <v>780</v>
      </c>
      <c r="H58" s="13">
        <f t="shared" si="1"/>
        <v>1560</v>
      </c>
      <c r="I58" s="21"/>
      <c r="J58" s="45" t="s">
        <v>101</v>
      </c>
      <c r="K58" s="12"/>
      <c r="L58" s="11"/>
      <c r="M58" s="26"/>
      <c r="N58" s="15"/>
      <c r="O58" s="20"/>
      <c r="P58" s="26"/>
      <c r="Q58" s="24"/>
    </row>
    <row r="59" spans="2:17" s="37" customFormat="1" ht="18" customHeight="1" x14ac:dyDescent="0.15">
      <c r="B59" s="28"/>
      <c r="C59" s="30"/>
      <c r="D59" s="30"/>
      <c r="E59" s="106">
        <f>SUM(H37:H58)</f>
        <v>181265</v>
      </c>
      <c r="F59" s="30"/>
      <c r="G59" s="31"/>
      <c r="I59" s="66"/>
      <c r="J59" s="34"/>
      <c r="K59" s="12"/>
      <c r="L59" s="11"/>
      <c r="M59" s="26"/>
      <c r="N59" s="15"/>
      <c r="O59" s="20"/>
      <c r="P59" s="26"/>
      <c r="Q59" s="24"/>
    </row>
    <row r="60" spans="2:17" s="37" customFormat="1" ht="18" customHeight="1" x14ac:dyDescent="0.15">
      <c r="B60" s="28"/>
      <c r="C60" s="30"/>
      <c r="D60" s="30"/>
      <c r="E60" s="31"/>
      <c r="F60" s="30"/>
      <c r="G60" s="31"/>
      <c r="H60" s="65"/>
      <c r="I60" s="66"/>
      <c r="J60" s="34"/>
      <c r="K60" s="12"/>
      <c r="L60" s="11"/>
      <c r="M60" s="26"/>
      <c r="N60" s="15"/>
      <c r="O60" s="20"/>
      <c r="P60" s="26"/>
      <c r="Q60" s="24"/>
    </row>
    <row r="61" spans="2:17" s="37" customFormat="1" ht="18" customHeight="1" x14ac:dyDescent="0.15">
      <c r="B61" s="417" t="s">
        <v>102</v>
      </c>
      <c r="C61" s="418"/>
      <c r="D61" s="418"/>
      <c r="E61" s="419"/>
      <c r="F61" s="30"/>
      <c r="G61" s="31"/>
      <c r="H61" s="65"/>
      <c r="I61" s="66"/>
      <c r="J61" s="34"/>
      <c r="K61" s="12"/>
      <c r="L61" s="11"/>
      <c r="M61" s="26"/>
      <c r="N61" s="15"/>
      <c r="O61" s="20"/>
      <c r="P61" s="26"/>
      <c r="Q61" s="24"/>
    </row>
    <row r="62" spans="2:17" s="37" customFormat="1" ht="18" customHeight="1" x14ac:dyDescent="0.15">
      <c r="B62" s="28"/>
      <c r="C62" s="30"/>
      <c r="D62" s="30"/>
      <c r="E62" s="31"/>
      <c r="F62" s="30"/>
      <c r="G62" s="31"/>
      <c r="H62" s="65"/>
      <c r="I62" s="66"/>
      <c r="J62" s="34"/>
      <c r="K62" s="12"/>
      <c r="L62" s="11"/>
      <c r="M62" s="26"/>
      <c r="N62" s="15"/>
      <c r="O62" s="20"/>
      <c r="P62" s="26"/>
      <c r="Q62" s="24"/>
    </row>
    <row r="63" spans="2:17" s="37" customFormat="1" ht="18" customHeight="1" x14ac:dyDescent="0.15">
      <c r="B63" s="28"/>
      <c r="C63" s="35" t="s">
        <v>25</v>
      </c>
      <c r="D63" s="35" t="s">
        <v>25</v>
      </c>
      <c r="E63" s="73" t="s">
        <v>103</v>
      </c>
      <c r="F63" s="70">
        <v>2</v>
      </c>
      <c r="G63" s="73">
        <v>18500</v>
      </c>
      <c r="H63" s="73">
        <f t="shared" ref="H63:H71" si="2">F63*G63</f>
        <v>37000</v>
      </c>
      <c r="I63" s="74"/>
      <c r="J63" s="73" t="s">
        <v>103</v>
      </c>
      <c r="K63" s="12"/>
      <c r="L63" s="11"/>
      <c r="M63" s="26"/>
      <c r="N63" s="15"/>
      <c r="O63" s="20"/>
      <c r="P63" s="26"/>
      <c r="Q63" s="24"/>
    </row>
    <row r="64" spans="2:17" s="37" customFormat="1" ht="18" customHeight="1" x14ac:dyDescent="0.15">
      <c r="B64" s="28"/>
      <c r="C64" s="35" t="s">
        <v>25</v>
      </c>
      <c r="D64" s="35" t="s">
        <v>25</v>
      </c>
      <c r="E64" s="73" t="s">
        <v>104</v>
      </c>
      <c r="F64" s="70">
        <v>4</v>
      </c>
      <c r="G64" s="73">
        <v>4000</v>
      </c>
      <c r="H64" s="73">
        <f t="shared" si="2"/>
        <v>16000</v>
      </c>
      <c r="I64" s="74"/>
      <c r="J64" s="73" t="s">
        <v>104</v>
      </c>
      <c r="K64" s="12"/>
      <c r="L64" s="11"/>
      <c r="M64" s="26"/>
      <c r="N64" s="15"/>
      <c r="O64" s="20"/>
      <c r="P64" s="26"/>
      <c r="Q64" s="24"/>
    </row>
    <row r="65" spans="2:17" s="37" customFormat="1" ht="18" customHeight="1" x14ac:dyDescent="0.15">
      <c r="B65" s="28"/>
      <c r="C65" s="30" t="s">
        <v>37</v>
      </c>
      <c r="D65" s="30" t="s">
        <v>37</v>
      </c>
      <c r="E65" s="88" t="s">
        <v>105</v>
      </c>
      <c r="F65" s="77">
        <v>10</v>
      </c>
      <c r="G65" s="87">
        <v>920</v>
      </c>
      <c r="H65" s="78">
        <f t="shared" si="2"/>
        <v>9200</v>
      </c>
      <c r="I65" s="79"/>
      <c r="J65" s="80" t="s">
        <v>106</v>
      </c>
      <c r="K65" s="12"/>
      <c r="L65" s="11"/>
      <c r="M65" s="26"/>
      <c r="N65" s="15"/>
      <c r="O65" s="20"/>
      <c r="P65" s="26"/>
      <c r="Q65" s="24"/>
    </row>
    <row r="66" spans="2:17" s="37" customFormat="1" ht="18" customHeight="1" x14ac:dyDescent="0.15">
      <c r="B66" s="28"/>
      <c r="C66" s="30" t="s">
        <v>37</v>
      </c>
      <c r="D66" s="30" t="s">
        <v>37</v>
      </c>
      <c r="E66" s="104" t="s">
        <v>105</v>
      </c>
      <c r="F66" s="77">
        <v>10</v>
      </c>
      <c r="G66" s="87">
        <v>1250</v>
      </c>
      <c r="H66" s="78">
        <f t="shared" si="2"/>
        <v>12500</v>
      </c>
      <c r="I66" s="79"/>
      <c r="J66" s="103" t="s">
        <v>107</v>
      </c>
      <c r="K66" s="12"/>
      <c r="L66" s="11"/>
      <c r="M66" s="26"/>
      <c r="N66" s="15"/>
      <c r="O66" s="20"/>
      <c r="P66" s="26"/>
      <c r="Q66" s="24"/>
    </row>
    <row r="67" spans="2:17" s="37" customFormat="1" ht="18" customHeight="1" x14ac:dyDescent="0.15">
      <c r="B67" s="28"/>
      <c r="C67" s="30" t="s">
        <v>37</v>
      </c>
      <c r="D67" s="30" t="s">
        <v>37</v>
      </c>
      <c r="E67" s="38" t="s">
        <v>108</v>
      </c>
      <c r="F67" s="44">
        <v>4</v>
      </c>
      <c r="G67" s="25">
        <v>570</v>
      </c>
      <c r="H67" s="13">
        <f t="shared" si="2"/>
        <v>2280</v>
      </c>
      <c r="I67" s="21"/>
      <c r="J67" s="39" t="s">
        <v>109</v>
      </c>
      <c r="K67" s="12"/>
      <c r="L67" s="11"/>
      <c r="M67" s="26"/>
      <c r="N67" s="15"/>
      <c r="O67" s="20"/>
      <c r="P67" s="26"/>
      <c r="Q67" s="24"/>
    </row>
    <row r="68" spans="2:17" s="37" customFormat="1" ht="18" customHeight="1" x14ac:dyDescent="0.15">
      <c r="B68" s="28"/>
      <c r="C68" s="30" t="s">
        <v>37</v>
      </c>
      <c r="D68" s="30" t="s">
        <v>37</v>
      </c>
      <c r="E68" s="35" t="s">
        <v>85</v>
      </c>
      <c r="F68" s="44">
        <v>4</v>
      </c>
      <c r="G68" s="87">
        <v>26</v>
      </c>
      <c r="H68" s="13">
        <f t="shared" si="2"/>
        <v>104</v>
      </c>
      <c r="I68" s="21"/>
      <c r="J68" s="36" t="s">
        <v>86</v>
      </c>
      <c r="K68" s="12"/>
      <c r="L68" s="11"/>
      <c r="M68" s="26"/>
      <c r="N68" s="15"/>
      <c r="O68" s="20"/>
      <c r="P68" s="26"/>
      <c r="Q68" s="24"/>
    </row>
    <row r="69" spans="2:17" s="37" customFormat="1" ht="18" customHeight="1" x14ac:dyDescent="0.15">
      <c r="B69" s="28"/>
      <c r="C69" s="30" t="s">
        <v>37</v>
      </c>
      <c r="D69" s="30" t="s">
        <v>37</v>
      </c>
      <c r="E69" s="83" t="s">
        <v>110</v>
      </c>
      <c r="F69" s="44">
        <v>4</v>
      </c>
      <c r="G69" s="87">
        <v>800</v>
      </c>
      <c r="H69" s="13">
        <f t="shared" si="2"/>
        <v>3200</v>
      </c>
      <c r="I69" s="21"/>
      <c r="J69" s="36" t="s">
        <v>111</v>
      </c>
      <c r="K69" s="12"/>
      <c r="L69" s="11"/>
      <c r="M69" s="26"/>
      <c r="N69" s="15"/>
      <c r="O69" s="20"/>
      <c r="P69" s="26"/>
      <c r="Q69" s="24"/>
    </row>
    <row r="70" spans="2:17" s="37" customFormat="1" ht="18" customHeight="1" x14ac:dyDescent="0.15">
      <c r="B70" s="28"/>
      <c r="C70" s="30" t="s">
        <v>37</v>
      </c>
      <c r="D70" s="30" t="s">
        <v>37</v>
      </c>
      <c r="E70" s="35" t="s">
        <v>92</v>
      </c>
      <c r="F70" s="44">
        <v>8</v>
      </c>
      <c r="G70" s="25">
        <v>75</v>
      </c>
      <c r="H70" s="13">
        <f t="shared" si="2"/>
        <v>600</v>
      </c>
      <c r="I70" s="21"/>
      <c r="J70" s="36" t="s">
        <v>93</v>
      </c>
      <c r="K70" s="12"/>
      <c r="L70" s="11"/>
      <c r="M70" s="26"/>
      <c r="N70" s="15"/>
      <c r="O70" s="20"/>
      <c r="P70" s="26"/>
      <c r="Q70" s="24"/>
    </row>
    <row r="71" spans="2:17" s="37" customFormat="1" ht="18" customHeight="1" x14ac:dyDescent="0.15">
      <c r="B71" s="28"/>
      <c r="C71" s="30" t="s">
        <v>37</v>
      </c>
      <c r="D71" s="30" t="s">
        <v>37</v>
      </c>
      <c r="E71" s="35" t="s">
        <v>94</v>
      </c>
      <c r="F71" s="44">
        <v>8</v>
      </c>
      <c r="G71" s="25">
        <v>80</v>
      </c>
      <c r="H71" s="13">
        <f t="shared" si="2"/>
        <v>640</v>
      </c>
      <c r="I71" s="21"/>
      <c r="J71" s="36" t="s">
        <v>95</v>
      </c>
      <c r="K71" s="12"/>
      <c r="L71" s="11"/>
      <c r="M71" s="26"/>
      <c r="N71" s="15"/>
      <c r="O71" s="20"/>
      <c r="P71" s="26"/>
      <c r="Q71" s="24"/>
    </row>
    <row r="72" spans="2:17" s="37" customFormat="1" ht="18" customHeight="1" x14ac:dyDescent="0.15">
      <c r="B72" s="28"/>
      <c r="C72" s="30"/>
      <c r="D72" s="30"/>
      <c r="E72" s="105">
        <f>SUM(H63:H71)</f>
        <v>81524</v>
      </c>
      <c r="F72" s="44"/>
      <c r="G72" s="25"/>
      <c r="I72" s="21"/>
      <c r="J72" s="36"/>
      <c r="K72" s="12"/>
      <c r="L72" s="11"/>
      <c r="M72" s="26"/>
      <c r="N72" s="15"/>
      <c r="O72" s="20"/>
      <c r="P72" s="26"/>
      <c r="Q72" s="24"/>
    </row>
    <row r="73" spans="2:17" s="37" customFormat="1" ht="18" customHeight="1" x14ac:dyDescent="0.15">
      <c r="B73" s="28"/>
      <c r="C73" s="8"/>
      <c r="D73" s="8"/>
      <c r="E73" s="91"/>
      <c r="F73" s="68"/>
      <c r="G73" s="13"/>
      <c r="H73" s="13"/>
      <c r="I73" s="67"/>
      <c r="J73" s="64"/>
      <c r="K73" s="12"/>
      <c r="L73" s="11"/>
      <c r="M73" s="26"/>
      <c r="N73" s="15"/>
      <c r="O73" s="20"/>
      <c r="P73" s="26"/>
      <c r="Q73" s="24"/>
    </row>
    <row r="74" spans="2:17" s="37" customFormat="1" ht="18" customHeight="1" x14ac:dyDescent="0.15">
      <c r="B74" s="420" t="s">
        <v>112</v>
      </c>
      <c r="C74" s="421"/>
      <c r="D74" s="421"/>
      <c r="E74" s="422"/>
      <c r="F74" s="68"/>
      <c r="G74" s="13"/>
      <c r="H74" s="13"/>
      <c r="I74" s="67"/>
      <c r="J74" s="64"/>
      <c r="K74" s="12"/>
      <c r="L74" s="11"/>
      <c r="M74" s="26"/>
      <c r="N74" s="15"/>
      <c r="O74" s="20"/>
      <c r="P74" s="26"/>
      <c r="Q74" s="24"/>
    </row>
    <row r="75" spans="2:17" s="37" customFormat="1" ht="18" customHeight="1" x14ac:dyDescent="0.15">
      <c r="B75" s="28"/>
      <c r="C75" s="35" t="s">
        <v>25</v>
      </c>
      <c r="D75" s="35" t="s">
        <v>25</v>
      </c>
      <c r="E75" s="73" t="s">
        <v>113</v>
      </c>
      <c r="F75" s="73">
        <v>1</v>
      </c>
      <c r="G75" s="73">
        <v>16500</v>
      </c>
      <c r="H75" s="73">
        <f t="shared" ref="H75:H83" si="3">F75*G75</f>
        <v>16500</v>
      </c>
      <c r="I75" s="74"/>
      <c r="J75" s="73" t="s">
        <v>114</v>
      </c>
      <c r="K75" s="12"/>
      <c r="L75" s="11"/>
      <c r="M75" s="26"/>
      <c r="N75" s="15"/>
      <c r="O75" s="20"/>
      <c r="P75" s="26"/>
      <c r="Q75" s="24"/>
    </row>
    <row r="76" spans="2:17" s="37" customFormat="1" ht="18" customHeight="1" x14ac:dyDescent="0.15">
      <c r="B76" s="28"/>
      <c r="C76" s="23" t="s">
        <v>37</v>
      </c>
      <c r="D76" s="23" t="s">
        <v>37</v>
      </c>
      <c r="E76" s="12" t="s">
        <v>115</v>
      </c>
      <c r="F76" s="13">
        <v>1</v>
      </c>
      <c r="G76" s="13">
        <v>1080</v>
      </c>
      <c r="H76" s="13">
        <f t="shared" si="3"/>
        <v>1080</v>
      </c>
      <c r="I76" s="21"/>
      <c r="J76" s="11" t="s">
        <v>116</v>
      </c>
      <c r="K76" s="12"/>
      <c r="L76" s="11"/>
      <c r="M76" s="26"/>
      <c r="N76" s="15"/>
      <c r="O76" s="20"/>
      <c r="P76" s="26"/>
      <c r="Q76" s="24"/>
    </row>
    <row r="77" spans="2:17" s="37" customFormat="1" ht="18" customHeight="1" x14ac:dyDescent="0.15">
      <c r="B77" s="28"/>
      <c r="C77" s="23" t="s">
        <v>37</v>
      </c>
      <c r="D77" s="23" t="s">
        <v>37</v>
      </c>
      <c r="E77" s="12" t="s">
        <v>117</v>
      </c>
      <c r="F77" s="13">
        <v>1</v>
      </c>
      <c r="G77" s="13">
        <v>3350</v>
      </c>
      <c r="H77" s="13">
        <f t="shared" si="3"/>
        <v>3350</v>
      </c>
      <c r="I77" s="21"/>
      <c r="J77" s="11" t="s">
        <v>118</v>
      </c>
      <c r="K77" s="12"/>
      <c r="L77" s="11"/>
      <c r="M77" s="26"/>
      <c r="N77" s="15"/>
      <c r="O77" s="20"/>
      <c r="P77" s="26"/>
      <c r="Q77" s="24"/>
    </row>
    <row r="78" spans="2:17" s="37" customFormat="1" ht="18" customHeight="1" x14ac:dyDescent="0.15">
      <c r="B78" s="28"/>
      <c r="C78" s="23" t="s">
        <v>37</v>
      </c>
      <c r="D78" s="23" t="s">
        <v>37</v>
      </c>
      <c r="E78" s="12" t="s">
        <v>119</v>
      </c>
      <c r="F78" s="13">
        <v>1</v>
      </c>
      <c r="G78" s="13">
        <v>3022</v>
      </c>
      <c r="H78" s="13">
        <f t="shared" si="3"/>
        <v>3022</v>
      </c>
      <c r="I78" s="21"/>
      <c r="J78" s="11" t="s">
        <v>120</v>
      </c>
      <c r="K78" s="12"/>
      <c r="L78" s="11"/>
      <c r="M78" s="26"/>
      <c r="N78" s="15"/>
      <c r="O78" s="20"/>
      <c r="P78" s="26"/>
      <c r="Q78" s="24"/>
    </row>
    <row r="79" spans="2:17" s="37" customFormat="1" ht="18" customHeight="1" x14ac:dyDescent="0.15">
      <c r="B79" s="28"/>
      <c r="C79" s="23" t="s">
        <v>37</v>
      </c>
      <c r="D79" s="23" t="s">
        <v>37</v>
      </c>
      <c r="E79" s="12" t="s">
        <v>121</v>
      </c>
      <c r="F79" s="13">
        <v>1</v>
      </c>
      <c r="G79" s="13">
        <v>5719</v>
      </c>
      <c r="H79" s="13">
        <f t="shared" si="3"/>
        <v>5719</v>
      </c>
      <c r="I79" s="21"/>
      <c r="J79" s="11" t="s">
        <v>122</v>
      </c>
      <c r="K79" s="12"/>
      <c r="L79" s="11"/>
      <c r="M79" s="26"/>
      <c r="N79" s="15"/>
      <c r="O79" s="20"/>
      <c r="P79" s="26"/>
      <c r="Q79" s="24"/>
    </row>
    <row r="80" spans="2:17" s="37" customFormat="1" ht="18" customHeight="1" x14ac:dyDescent="0.15">
      <c r="B80" s="28"/>
      <c r="C80" s="23" t="s">
        <v>37</v>
      </c>
      <c r="D80" s="23" t="s">
        <v>37</v>
      </c>
      <c r="E80" s="12" t="s">
        <v>123</v>
      </c>
      <c r="F80" s="13">
        <v>1</v>
      </c>
      <c r="G80" s="13">
        <v>460</v>
      </c>
      <c r="H80" s="13">
        <f t="shared" si="3"/>
        <v>460</v>
      </c>
      <c r="I80" s="21"/>
      <c r="J80" s="11" t="s">
        <v>124</v>
      </c>
      <c r="K80" s="12"/>
      <c r="L80" s="11"/>
      <c r="M80" s="26"/>
      <c r="N80" s="15"/>
      <c r="O80" s="20"/>
      <c r="P80" s="26"/>
      <c r="Q80" s="24"/>
    </row>
    <row r="81" spans="2:17" s="37" customFormat="1" ht="18" customHeight="1" x14ac:dyDescent="0.15">
      <c r="B81" s="28"/>
      <c r="C81" s="23" t="s">
        <v>37</v>
      </c>
      <c r="D81" s="23" t="s">
        <v>37</v>
      </c>
      <c r="E81" s="12" t="s">
        <v>125</v>
      </c>
      <c r="F81" s="13">
        <v>1</v>
      </c>
      <c r="G81" s="13">
        <v>2060</v>
      </c>
      <c r="H81" s="13">
        <f t="shared" si="3"/>
        <v>2060</v>
      </c>
      <c r="I81" s="21"/>
      <c r="J81" s="11" t="s">
        <v>126</v>
      </c>
      <c r="K81" s="12"/>
      <c r="L81" s="11"/>
      <c r="M81" s="26"/>
      <c r="N81" s="15"/>
      <c r="O81" s="20"/>
      <c r="P81" s="26"/>
      <c r="Q81" s="24"/>
    </row>
    <row r="82" spans="2:17" s="37" customFormat="1" ht="18" customHeight="1" x14ac:dyDescent="0.15">
      <c r="B82" s="28"/>
      <c r="C82" s="8" t="s">
        <v>37</v>
      </c>
      <c r="D82" s="8" t="s">
        <v>37</v>
      </c>
      <c r="E82" s="71" t="s">
        <v>127</v>
      </c>
      <c r="F82" s="72">
        <v>1</v>
      </c>
      <c r="G82" s="13">
        <v>622</v>
      </c>
      <c r="H82" s="13">
        <f t="shared" si="3"/>
        <v>622</v>
      </c>
      <c r="I82" s="13"/>
      <c r="J82" s="72" t="s">
        <v>128</v>
      </c>
      <c r="K82" s="12"/>
      <c r="L82" s="11"/>
      <c r="M82" s="26"/>
      <c r="N82" s="15"/>
      <c r="O82" s="20"/>
      <c r="P82" s="26"/>
      <c r="Q82" s="24"/>
    </row>
    <row r="83" spans="2:17" s="37" customFormat="1" ht="18" customHeight="1" x14ac:dyDescent="0.15">
      <c r="B83" s="28"/>
      <c r="C83" s="8" t="s">
        <v>37</v>
      </c>
      <c r="D83" s="8" t="s">
        <v>37</v>
      </c>
      <c r="E83" s="72" t="s">
        <v>129</v>
      </c>
      <c r="F83" s="72">
        <v>1</v>
      </c>
      <c r="G83" s="13">
        <v>3000</v>
      </c>
      <c r="H83" s="13">
        <f t="shared" si="3"/>
        <v>3000</v>
      </c>
      <c r="I83" s="13"/>
      <c r="J83" s="72" t="s">
        <v>129</v>
      </c>
      <c r="K83" s="12"/>
      <c r="L83" s="11"/>
      <c r="M83" s="26"/>
      <c r="N83" s="15"/>
      <c r="O83" s="20"/>
      <c r="P83" s="26"/>
      <c r="Q83" s="24"/>
    </row>
    <row r="84" spans="2:17" s="37" customFormat="1" ht="18" customHeight="1" x14ac:dyDescent="0.15">
      <c r="B84" s="28"/>
      <c r="C84" s="25"/>
      <c r="D84" s="25"/>
      <c r="E84" s="105">
        <f>SUM(H75:H83)</f>
        <v>35813</v>
      </c>
      <c r="F84" s="44"/>
      <c r="G84" s="25"/>
      <c r="I84" s="21"/>
      <c r="J84" s="36"/>
      <c r="K84" s="12"/>
      <c r="L84" s="11"/>
      <c r="M84" s="26"/>
      <c r="N84" s="15"/>
      <c r="O84" s="20"/>
      <c r="P84" s="26"/>
      <c r="Q84" s="24"/>
    </row>
    <row r="85" spans="2:17" s="37" customFormat="1" ht="18" customHeight="1" x14ac:dyDescent="0.15">
      <c r="B85" s="28"/>
      <c r="C85" s="25"/>
      <c r="D85" s="25"/>
      <c r="E85" s="35"/>
      <c r="F85" s="44"/>
      <c r="G85" s="25"/>
      <c r="H85" s="13"/>
      <c r="I85" s="21"/>
      <c r="J85" s="36"/>
      <c r="K85" s="12"/>
      <c r="L85" s="11"/>
      <c r="M85" s="26"/>
      <c r="N85" s="15"/>
      <c r="O85" s="20"/>
      <c r="P85" s="26"/>
      <c r="Q85" s="24"/>
    </row>
    <row r="86" spans="2:17" s="37" customFormat="1" ht="18" customHeight="1" x14ac:dyDescent="0.15">
      <c r="B86" s="28"/>
      <c r="C86" s="25"/>
      <c r="D86" s="25"/>
      <c r="E86" s="35"/>
      <c r="F86" s="44"/>
      <c r="G86" s="25"/>
      <c r="H86" s="13"/>
      <c r="I86" s="21"/>
      <c r="J86" s="36"/>
      <c r="K86" s="12"/>
      <c r="L86" s="11"/>
      <c r="M86" s="26"/>
      <c r="N86" s="15"/>
      <c r="O86" s="20"/>
      <c r="P86" s="26"/>
      <c r="Q86" s="24"/>
    </row>
    <row r="87" spans="2:17" s="37" customFormat="1" ht="18" customHeight="1" x14ac:dyDescent="0.15">
      <c r="B87" s="28"/>
      <c r="C87" s="25"/>
      <c r="D87" s="25"/>
      <c r="E87" s="35"/>
      <c r="F87" s="44"/>
      <c r="G87" s="25"/>
      <c r="H87" s="13"/>
      <c r="I87" s="21"/>
      <c r="J87" s="36"/>
      <c r="K87" s="12"/>
      <c r="L87" s="11"/>
      <c r="M87" s="26"/>
      <c r="N87" s="15"/>
      <c r="O87" s="20"/>
      <c r="P87" s="26"/>
      <c r="Q87" s="24"/>
    </row>
    <row r="88" spans="2:17" s="37" customFormat="1" ht="18" customHeight="1" x14ac:dyDescent="0.15">
      <c r="B88" s="28"/>
      <c r="C88" s="25"/>
      <c r="D88" s="25"/>
      <c r="E88" s="35"/>
      <c r="F88" s="44"/>
      <c r="G88" s="25"/>
      <c r="H88" s="13"/>
      <c r="I88" s="21"/>
      <c r="J88" s="36"/>
      <c r="K88" s="12"/>
      <c r="L88" s="11"/>
      <c r="M88" s="26"/>
      <c r="N88" s="15"/>
      <c r="O88" s="20"/>
      <c r="P88" s="26"/>
      <c r="Q88" s="24"/>
    </row>
    <row r="89" spans="2:17" s="37" customFormat="1" ht="18" customHeight="1" x14ac:dyDescent="0.15">
      <c r="B89" s="28"/>
      <c r="C89" s="25"/>
      <c r="D89" s="25"/>
      <c r="E89" s="35"/>
      <c r="F89" s="44"/>
      <c r="G89" s="25"/>
      <c r="H89" s="13"/>
      <c r="I89" s="21"/>
      <c r="J89" s="36"/>
      <c r="K89" s="12"/>
      <c r="L89" s="11"/>
      <c r="M89" s="26"/>
      <c r="N89" s="15"/>
      <c r="O89" s="20"/>
      <c r="P89" s="26"/>
      <c r="Q89" s="24"/>
    </row>
    <row r="90" spans="2:17" s="37" customFormat="1" ht="18" customHeight="1" x14ac:dyDescent="0.15">
      <c r="B90" s="28"/>
      <c r="C90" s="25"/>
      <c r="D90" s="25"/>
      <c r="E90" s="35"/>
      <c r="F90" s="44"/>
      <c r="G90" s="25"/>
      <c r="H90" s="13"/>
      <c r="I90" s="21"/>
      <c r="J90" s="36"/>
      <c r="K90" s="12"/>
      <c r="L90" s="11"/>
      <c r="M90" s="26"/>
      <c r="N90" s="15"/>
      <c r="O90" s="20"/>
      <c r="P90" s="26"/>
      <c r="Q90" s="24"/>
    </row>
    <row r="91" spans="2:17" ht="18" customHeight="1" x14ac:dyDescent="0.15">
      <c r="B91" s="5"/>
      <c r="C91" s="8"/>
      <c r="D91" s="8"/>
      <c r="E91" s="12" t="s">
        <v>130</v>
      </c>
      <c r="F91" s="68"/>
      <c r="G91" s="13"/>
      <c r="H91" s="13">
        <f>F91*G91</f>
        <v>0</v>
      </c>
      <c r="I91" s="21"/>
      <c r="J91" s="27" t="s">
        <v>131</v>
      </c>
      <c r="K91" s="12"/>
      <c r="L91" s="11"/>
      <c r="M91" s="26"/>
      <c r="N91" s="15"/>
      <c r="O91" s="20"/>
      <c r="P91" s="26"/>
      <c r="Q91" s="24"/>
    </row>
    <row r="92" spans="2:17" ht="18" customHeight="1" x14ac:dyDescent="0.15">
      <c r="B92" s="23"/>
      <c r="C92" s="23"/>
      <c r="D92" s="23"/>
      <c r="E92" s="12" t="s">
        <v>131</v>
      </c>
      <c r="F92" s="68"/>
      <c r="G92" s="13">
        <v>5000</v>
      </c>
      <c r="H92" s="13">
        <f>F92*G92</f>
        <v>0</v>
      </c>
      <c r="I92" s="21"/>
      <c r="J92" s="27" t="s">
        <v>132</v>
      </c>
      <c r="K92" s="12"/>
      <c r="L92" s="11"/>
      <c r="M92" s="26"/>
      <c r="N92" s="15"/>
      <c r="O92" s="20"/>
      <c r="P92" s="26"/>
      <c r="Q92" s="24"/>
    </row>
    <row r="93" spans="2:17" ht="18" customHeight="1" x14ac:dyDescent="0.15">
      <c r="B93" s="23"/>
      <c r="C93" s="23"/>
      <c r="D93" s="23"/>
      <c r="E93" s="12" t="s">
        <v>132</v>
      </c>
      <c r="F93" s="13"/>
      <c r="G93" s="13"/>
      <c r="H93" s="13">
        <f>F93*G93</f>
        <v>0</v>
      </c>
      <c r="I93" s="21"/>
      <c r="J93" s="11"/>
      <c r="K93" s="12"/>
      <c r="L93" s="11"/>
      <c r="M93" s="26"/>
      <c r="N93" s="15"/>
      <c r="O93" s="20"/>
      <c r="P93" s="26"/>
      <c r="Q93" s="24"/>
    </row>
    <row r="94" spans="2:17" ht="18" customHeight="1" x14ac:dyDescent="0.15">
      <c r="B94" s="23"/>
      <c r="C94" s="23"/>
      <c r="D94" s="23"/>
      <c r="E94" s="12"/>
      <c r="F94" s="13"/>
      <c r="G94" s="13"/>
      <c r="H94" s="13"/>
      <c r="I94" s="21"/>
      <c r="J94" s="11"/>
      <c r="K94" s="12"/>
      <c r="L94" s="11"/>
      <c r="M94" s="26"/>
      <c r="N94" s="15"/>
      <c r="O94" s="20"/>
      <c r="P94" s="26"/>
      <c r="Q94" s="24"/>
    </row>
    <row r="95" spans="2:17" ht="18" customHeight="1" x14ac:dyDescent="0.15">
      <c r="B95" s="23"/>
      <c r="C95" s="23"/>
      <c r="D95" s="23"/>
      <c r="E95" s="12"/>
      <c r="F95" s="13"/>
      <c r="G95" s="13"/>
      <c r="H95" s="13"/>
      <c r="I95" s="21"/>
      <c r="J95" s="11"/>
      <c r="K95" s="12"/>
      <c r="L95" s="11"/>
      <c r="M95" s="26"/>
      <c r="N95" s="15"/>
      <c r="O95" s="20"/>
      <c r="P95" s="26"/>
      <c r="Q95" s="24"/>
    </row>
    <row r="96" spans="2:17" ht="18" customHeight="1" x14ac:dyDescent="0.15">
      <c r="B96" s="23"/>
      <c r="C96" s="23"/>
      <c r="D96" s="23"/>
      <c r="E96" s="12"/>
      <c r="F96" s="13"/>
      <c r="G96" s="13"/>
      <c r="H96" s="13"/>
      <c r="I96" s="21"/>
      <c r="J96" s="11"/>
      <c r="K96" s="12"/>
      <c r="L96" s="11"/>
      <c r="M96" s="26"/>
      <c r="N96" s="15"/>
      <c r="O96" s="20"/>
      <c r="P96" s="26"/>
      <c r="Q96" s="24"/>
    </row>
    <row r="97" spans="2:17" ht="18" customHeight="1" x14ac:dyDescent="0.15">
      <c r="B97" s="23"/>
      <c r="C97" s="23"/>
      <c r="D97" s="23"/>
      <c r="E97" s="12"/>
      <c r="F97" s="13"/>
      <c r="G97" s="13"/>
      <c r="H97" s="13"/>
      <c r="I97" s="21"/>
      <c r="J97" s="11"/>
      <c r="K97" s="12"/>
      <c r="L97" s="11"/>
      <c r="M97" s="26"/>
      <c r="N97" s="15"/>
      <c r="O97" s="20"/>
      <c r="P97" s="26"/>
      <c r="Q97" s="24"/>
    </row>
    <row r="98" spans="2:17" ht="18" customHeight="1" x14ac:dyDescent="0.15">
      <c r="B98" s="23"/>
      <c r="C98" s="23"/>
      <c r="D98" s="23"/>
      <c r="E98" s="12"/>
      <c r="F98" s="13"/>
      <c r="G98" s="13"/>
      <c r="H98" s="13"/>
      <c r="I98" s="21"/>
      <c r="J98" s="11"/>
      <c r="K98" s="12"/>
      <c r="L98" s="11"/>
      <c r="M98" s="26"/>
      <c r="N98" s="15"/>
      <c r="O98" s="20"/>
      <c r="P98" s="26"/>
      <c r="Q98" s="24"/>
    </row>
    <row r="99" spans="2:17" ht="18" customHeight="1" x14ac:dyDescent="0.15">
      <c r="B99" s="23"/>
      <c r="C99" s="23"/>
      <c r="D99" s="23"/>
      <c r="E99" s="12"/>
      <c r="F99" s="13"/>
      <c r="G99" s="13"/>
      <c r="H99" s="13"/>
      <c r="I99" s="21"/>
      <c r="J99" s="11"/>
      <c r="K99" s="12"/>
      <c r="L99" s="11"/>
      <c r="M99" s="26"/>
      <c r="N99" s="15"/>
      <c r="O99" s="20"/>
      <c r="P99" s="26"/>
      <c r="Q99" s="24"/>
    </row>
    <row r="100" spans="2:17" ht="18" customHeight="1" x14ac:dyDescent="0.15">
      <c r="B100" s="23"/>
      <c r="C100" s="23"/>
      <c r="D100" s="23"/>
      <c r="E100" s="12"/>
      <c r="F100" s="13"/>
      <c r="G100" s="13"/>
      <c r="H100" s="13"/>
      <c r="I100" s="21"/>
      <c r="J100" s="11"/>
      <c r="K100" s="12"/>
      <c r="L100" s="11"/>
      <c r="M100" s="26"/>
      <c r="N100" s="15"/>
      <c r="O100" s="20"/>
      <c r="P100" s="26"/>
      <c r="Q100" s="24"/>
    </row>
    <row r="101" spans="2:17" ht="18" customHeight="1" x14ac:dyDescent="0.15">
      <c r="B101" s="23"/>
      <c r="C101" s="23"/>
      <c r="D101" s="23"/>
      <c r="E101" s="12"/>
      <c r="F101" s="13"/>
      <c r="G101" s="13"/>
      <c r="H101" s="13"/>
      <c r="I101" s="21"/>
      <c r="J101" s="11"/>
      <c r="K101" s="12"/>
      <c r="L101" s="11"/>
      <c r="M101" s="26"/>
      <c r="N101" s="15"/>
      <c r="O101" s="20"/>
      <c r="P101" s="26"/>
      <c r="Q101" s="24"/>
    </row>
    <row r="102" spans="2:17" ht="18" customHeight="1" x14ac:dyDescent="0.15">
      <c r="B102" s="23"/>
      <c r="C102" s="23"/>
      <c r="D102" s="23"/>
      <c r="E102" s="12"/>
      <c r="F102" s="13"/>
      <c r="G102" s="13"/>
      <c r="H102" s="13"/>
      <c r="I102" s="21"/>
      <c r="J102" s="11"/>
      <c r="K102" s="12"/>
      <c r="L102" s="11"/>
      <c r="M102" s="26"/>
      <c r="N102" s="15"/>
      <c r="O102" s="20"/>
      <c r="P102" s="26"/>
      <c r="Q102" s="24"/>
    </row>
    <row r="103" spans="2:17" ht="18" customHeight="1" x14ac:dyDescent="0.15">
      <c r="B103" s="70"/>
      <c r="C103" s="8"/>
      <c r="D103" s="8"/>
      <c r="E103" s="71"/>
      <c r="F103" s="72"/>
      <c r="G103" s="13"/>
      <c r="H103" s="13"/>
      <c r="I103" s="13"/>
      <c r="J103" s="72"/>
      <c r="K103" s="73"/>
      <c r="L103" s="70"/>
      <c r="M103" s="26"/>
      <c r="N103" s="73"/>
      <c r="O103" s="74"/>
      <c r="P103" s="26"/>
      <c r="Q103" s="24"/>
    </row>
    <row r="104" spans="2:17" ht="18" customHeight="1" x14ac:dyDescent="0.15">
      <c r="B104" s="70"/>
      <c r="C104" s="73"/>
      <c r="D104" s="73"/>
      <c r="E104" s="73"/>
      <c r="F104" s="73"/>
      <c r="G104" s="73"/>
      <c r="H104" s="73"/>
      <c r="I104" s="74"/>
      <c r="J104" s="73"/>
      <c r="K104" s="73"/>
      <c r="L104" s="70"/>
      <c r="M104" s="26"/>
      <c r="N104" s="73"/>
      <c r="O104" s="74"/>
      <c r="P104" s="76"/>
      <c r="Q104" s="75"/>
    </row>
    <row r="105" spans="2:17" ht="18" customHeight="1" x14ac:dyDescent="0.15">
      <c r="B105" s="70"/>
      <c r="C105" s="73"/>
      <c r="D105" s="73"/>
      <c r="E105" s="73"/>
      <c r="F105" s="73"/>
      <c r="G105" s="73"/>
      <c r="H105" s="73"/>
      <c r="I105" s="74"/>
      <c r="J105" s="73"/>
      <c r="K105" s="73"/>
      <c r="L105" s="70"/>
      <c r="M105" s="70"/>
      <c r="N105" s="73"/>
      <c r="O105" s="74"/>
      <c r="P105" s="75"/>
      <c r="Q105" s="75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59" customFormat="1" ht="13.5" customHeight="1" x14ac:dyDescent="0.15">
      <c r="B114" s="52"/>
      <c r="C114" s="53"/>
      <c r="D114" s="53"/>
      <c r="E114" s="54"/>
      <c r="F114" s="55"/>
      <c r="G114" s="55"/>
      <c r="H114" s="55"/>
      <c r="I114" s="56"/>
      <c r="J114" s="57"/>
      <c r="K114" s="54"/>
      <c r="L114" s="58"/>
      <c r="M114" s="58"/>
      <c r="O114" s="60"/>
      <c r="P114" s="61"/>
      <c r="Q114" s="61"/>
    </row>
    <row r="115" spans="2:17" ht="13.5" customHeight="1" x14ac:dyDescent="0.15">
      <c r="B115" s="46"/>
      <c r="C115" s="47"/>
      <c r="D115" s="47"/>
      <c r="E115" s="48"/>
      <c r="F115" s="49"/>
      <c r="G115" s="49"/>
      <c r="H115" s="49"/>
      <c r="I115" s="50"/>
      <c r="J115" s="51"/>
      <c r="K115" s="48"/>
    </row>
    <row r="116" spans="2:17" ht="13.5" customHeight="1" x14ac:dyDescent="0.15">
      <c r="B116" s="8"/>
      <c r="C116" s="8"/>
      <c r="D116" s="8"/>
      <c r="E116" s="12"/>
      <c r="F116" s="13"/>
      <c r="G116" s="13"/>
      <c r="H116" s="13"/>
      <c r="I116" s="21"/>
      <c r="J116" s="11"/>
      <c r="K116" s="12"/>
    </row>
    <row r="117" spans="2:17" ht="13.5" customHeight="1" x14ac:dyDescent="0.15">
      <c r="B117" s="8"/>
      <c r="C117" s="8"/>
      <c r="D117" s="8"/>
      <c r="E117" s="12"/>
      <c r="F117" s="13"/>
      <c r="G117" s="13"/>
      <c r="H117" s="13"/>
      <c r="I117" s="21"/>
      <c r="J117" s="11"/>
      <c r="K117" s="12"/>
    </row>
    <row r="118" spans="2:17" ht="13.5" customHeight="1" x14ac:dyDescent="0.15">
      <c r="B118" s="8"/>
      <c r="C118" s="8"/>
      <c r="D118" s="8"/>
      <c r="E118" s="12"/>
      <c r="F118" s="13"/>
      <c r="G118" s="13"/>
      <c r="H118" s="13"/>
      <c r="I118" s="21"/>
      <c r="J118" s="11"/>
      <c r="K118" s="12"/>
    </row>
  </sheetData>
  <autoFilter ref="B8:O118" xr:uid="{00000000-0009-0000-0000-000000000000}"/>
  <mergeCells count="10">
    <mergeCell ref="B36:E36"/>
    <mergeCell ref="B61:E61"/>
    <mergeCell ref="B74:E74"/>
    <mergeCell ref="B10:E10"/>
    <mergeCell ref="B6:D6"/>
    <mergeCell ref="G2:I2"/>
    <mergeCell ref="B2:D2"/>
    <mergeCell ref="B3:D3"/>
    <mergeCell ref="B4:D4"/>
    <mergeCell ref="B5:D5"/>
  </mergeCells>
  <phoneticPr fontId="14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7" sqref="D7"/>
    </sheetView>
  </sheetViews>
  <sheetFormatPr defaultColWidth="11.75" defaultRowHeight="13.5" customHeight="1" x14ac:dyDescent="0.15"/>
  <cols>
    <col min="1" max="4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 x14ac:dyDescent="0.15"/>
  <cols>
    <col min="1" max="1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LE147"/>
  <sheetViews>
    <sheetView tabSelected="1" zoomScale="85" zoomScaleNormal="85" workbookViewId="0">
      <pane xSplit="10" ySplit="8" topLeftCell="L43" activePane="bottomRight" state="frozen"/>
      <selection activeCell="D26" sqref="D26"/>
      <selection pane="topRight" activeCell="D26" sqref="D26"/>
      <selection pane="bottomLeft" activeCell="D26" sqref="D26"/>
      <selection pane="bottomRight" activeCell="Q48" sqref="Q48"/>
    </sheetView>
  </sheetViews>
  <sheetFormatPr defaultColWidth="11.75" defaultRowHeight="13.5" customHeight="1" x14ac:dyDescent="0.15"/>
  <cols>
    <col min="1" max="1" width="3.125" style="37" customWidth="1"/>
    <col min="2" max="2" width="6.25" style="9" customWidth="1"/>
    <col min="3" max="3" width="15.25" style="4" customWidth="1"/>
    <col min="4" max="4" width="15.5" style="4" customWidth="1"/>
    <col min="5" max="5" width="40" style="4" customWidth="1"/>
    <col min="6" max="6" width="10.75" style="14" customWidth="1"/>
    <col min="7" max="8" width="12.125" style="14" customWidth="1"/>
    <col min="9" max="9" width="7.125" style="19" customWidth="1"/>
    <col min="10" max="10" width="38.5" style="4" customWidth="1"/>
    <col min="11" max="11" width="35.87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4" customWidth="1"/>
    <col min="16" max="16" width="17.875" style="160" customWidth="1"/>
    <col min="17" max="17" width="19.375" style="160" customWidth="1"/>
    <col min="18" max="117" width="11.75" style="3"/>
    <col min="118" max="217" width="11.75" style="2"/>
    <col min="218" max="317" width="11.75" style="1"/>
  </cols>
  <sheetData>
    <row r="2" spans="2:17" ht="20.100000000000001" customHeight="1" x14ac:dyDescent="0.15">
      <c r="B2" s="416" t="s">
        <v>0</v>
      </c>
      <c r="C2" s="416"/>
      <c r="D2" s="416"/>
      <c r="E2" s="108" t="s">
        <v>340</v>
      </c>
      <c r="G2" s="413" t="s">
        <v>2</v>
      </c>
      <c r="H2" s="414"/>
      <c r="I2" s="415"/>
      <c r="J2" s="18">
        <f>SUM(H:H)</f>
        <v>208559</v>
      </c>
      <c r="K2" s="10"/>
      <c r="L2" s="14"/>
    </row>
    <row r="3" spans="2:17" ht="20.100000000000001" customHeight="1" x14ac:dyDescent="0.15">
      <c r="B3" s="416" t="s">
        <v>3</v>
      </c>
      <c r="C3" s="416"/>
      <c r="D3" s="416"/>
      <c r="E3" s="16" t="s">
        <v>317</v>
      </c>
    </row>
    <row r="4" spans="2:17" ht="20.100000000000001" customHeight="1" x14ac:dyDescent="0.15">
      <c r="B4" s="416" t="s">
        <v>5</v>
      </c>
      <c r="C4" s="416"/>
      <c r="D4" s="416"/>
      <c r="E4" s="16" t="s">
        <v>339</v>
      </c>
      <c r="G4" s="426"/>
      <c r="H4" s="427"/>
      <c r="I4" s="427"/>
      <c r="J4" s="427"/>
      <c r="K4" s="309"/>
    </row>
    <row r="5" spans="2:17" ht="20.100000000000001" customHeight="1" x14ac:dyDescent="0.15">
      <c r="B5" s="416" t="s">
        <v>6</v>
      </c>
      <c r="C5" s="416"/>
      <c r="D5" s="416"/>
      <c r="E5" s="17">
        <v>43819</v>
      </c>
      <c r="G5" s="427"/>
      <c r="H5" s="427"/>
      <c r="I5" s="427"/>
      <c r="J5" s="427"/>
    </row>
    <row r="6" spans="2:17" ht="20.100000000000001" customHeight="1" x14ac:dyDescent="0.15">
      <c r="B6" s="416" t="s">
        <v>7</v>
      </c>
      <c r="C6" s="416"/>
      <c r="D6" s="416"/>
      <c r="E6" s="17">
        <v>43823</v>
      </c>
      <c r="G6" s="385"/>
      <c r="H6" s="320"/>
    </row>
    <row r="8" spans="2:17" s="7" customFormat="1" ht="19.5" customHeight="1" x14ac:dyDescent="0.15">
      <c r="B8" s="8" t="s">
        <v>8</v>
      </c>
      <c r="C8" s="8" t="s">
        <v>9</v>
      </c>
      <c r="D8" s="8" t="s">
        <v>10</v>
      </c>
      <c r="E8" s="5" t="s">
        <v>11</v>
      </c>
      <c r="F8" s="70" t="s">
        <v>12</v>
      </c>
      <c r="G8" s="70" t="s">
        <v>13</v>
      </c>
      <c r="H8" s="6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70" t="s">
        <v>21</v>
      </c>
      <c r="P8" s="76" t="s">
        <v>22</v>
      </c>
      <c r="Q8" s="15" t="s">
        <v>23</v>
      </c>
    </row>
    <row r="9" spans="2:17" s="7" customFormat="1" ht="19.5" customHeight="1" x14ac:dyDescent="0.15">
      <c r="B9" s="8"/>
      <c r="C9" s="8"/>
      <c r="D9" s="8"/>
      <c r="E9" s="12"/>
      <c r="F9" s="68"/>
      <c r="G9" s="68"/>
      <c r="H9" s="68"/>
      <c r="I9" s="21"/>
      <c r="J9" s="69"/>
      <c r="K9" s="5"/>
      <c r="L9" s="5"/>
      <c r="M9" s="26"/>
      <c r="N9" s="8"/>
      <c r="O9" s="70"/>
      <c r="P9" s="76"/>
      <c r="Q9" s="15"/>
    </row>
    <row r="10" spans="2:17" s="37" customFormat="1" ht="18" customHeight="1" x14ac:dyDescent="0.15">
      <c r="B10" s="420" t="s">
        <v>24</v>
      </c>
      <c r="C10" s="421"/>
      <c r="D10" s="421"/>
      <c r="E10" s="422"/>
      <c r="F10" s="111"/>
      <c r="G10" s="111"/>
      <c r="H10" s="68"/>
      <c r="I10" s="21"/>
      <c r="J10" s="45"/>
      <c r="K10" s="12"/>
      <c r="L10" s="11"/>
      <c r="M10" s="26"/>
      <c r="N10" s="15"/>
      <c r="O10" s="15"/>
      <c r="P10" s="76"/>
      <c r="Q10" s="24"/>
    </row>
    <row r="11" spans="2:17" ht="18" customHeight="1" x14ac:dyDescent="0.15">
      <c r="B11" s="114">
        <v>1</v>
      </c>
      <c r="C11" s="248" t="s">
        <v>201</v>
      </c>
      <c r="D11" s="248" t="s">
        <v>201</v>
      </c>
      <c r="E11" s="249" t="s">
        <v>170</v>
      </c>
      <c r="F11" s="250">
        <v>1</v>
      </c>
      <c r="G11" s="321">
        <v>8000</v>
      </c>
      <c r="H11" s="322">
        <f t="shared" ref="H11:H33" si="0">F11*G11</f>
        <v>8000</v>
      </c>
      <c r="I11" s="116"/>
      <c r="J11" s="115" t="s">
        <v>136</v>
      </c>
      <c r="K11" s="384"/>
      <c r="L11" s="129"/>
      <c r="M11" s="159">
        <v>43808</v>
      </c>
      <c r="N11" s="115"/>
      <c r="O11" s="159">
        <v>43823</v>
      </c>
      <c r="P11" s="159">
        <v>43823</v>
      </c>
      <c r="Q11" s="135">
        <v>43823</v>
      </c>
    </row>
    <row r="12" spans="2:17" ht="18" customHeight="1" x14ac:dyDescent="0.15">
      <c r="B12" s="114">
        <f t="shared" ref="B12:B23" si="1">+B11+1</f>
        <v>2</v>
      </c>
      <c r="C12" s="248" t="s">
        <v>201</v>
      </c>
      <c r="D12" s="248" t="s">
        <v>201</v>
      </c>
      <c r="E12" s="249" t="s">
        <v>171</v>
      </c>
      <c r="F12" s="250">
        <v>1</v>
      </c>
      <c r="G12" s="321">
        <v>6750</v>
      </c>
      <c r="H12" s="322">
        <f t="shared" si="0"/>
        <v>6750</v>
      </c>
      <c r="I12" s="116"/>
      <c r="J12" s="115" t="s">
        <v>137</v>
      </c>
      <c r="K12" s="384"/>
      <c r="L12" s="129"/>
      <c r="M12" s="159">
        <v>43808</v>
      </c>
      <c r="N12" s="115"/>
      <c r="O12" s="159">
        <v>43823</v>
      </c>
      <c r="P12" s="159">
        <v>43823</v>
      </c>
      <c r="Q12" s="135">
        <v>43823</v>
      </c>
    </row>
    <row r="13" spans="2:17" ht="18" customHeight="1" x14ac:dyDescent="0.15">
      <c r="B13" s="114">
        <f t="shared" si="1"/>
        <v>3</v>
      </c>
      <c r="C13" s="248" t="s">
        <v>201</v>
      </c>
      <c r="D13" s="248" t="s">
        <v>201</v>
      </c>
      <c r="E13" s="249" t="s">
        <v>338</v>
      </c>
      <c r="F13" s="250">
        <v>1</v>
      </c>
      <c r="G13" s="321">
        <v>5000</v>
      </c>
      <c r="H13" s="322">
        <f t="shared" si="0"/>
        <v>5000</v>
      </c>
      <c r="I13" s="116"/>
      <c r="J13" s="130" t="s">
        <v>176</v>
      </c>
      <c r="K13" s="384"/>
      <c r="L13" s="129"/>
      <c r="M13" s="159">
        <v>43808</v>
      </c>
      <c r="N13" s="115"/>
      <c r="O13" s="159">
        <v>43823</v>
      </c>
      <c r="P13" s="159">
        <v>43823</v>
      </c>
      <c r="Q13" s="135">
        <v>43823</v>
      </c>
    </row>
    <row r="14" spans="2:17" ht="18" customHeight="1" x14ac:dyDescent="0.15">
      <c r="B14" s="114">
        <f t="shared" si="1"/>
        <v>4</v>
      </c>
      <c r="C14" s="248" t="s">
        <v>201</v>
      </c>
      <c r="D14" s="248" t="s">
        <v>201</v>
      </c>
      <c r="E14" s="249" t="s">
        <v>172</v>
      </c>
      <c r="F14" s="250">
        <v>1</v>
      </c>
      <c r="G14" s="321">
        <v>4500</v>
      </c>
      <c r="H14" s="322">
        <f t="shared" si="0"/>
        <v>4500</v>
      </c>
      <c r="I14" s="116"/>
      <c r="J14" s="130" t="s">
        <v>175</v>
      </c>
      <c r="K14" s="384"/>
      <c r="L14" s="129"/>
      <c r="M14" s="159">
        <v>43808</v>
      </c>
      <c r="N14" s="115"/>
      <c r="O14" s="159">
        <v>43823</v>
      </c>
      <c r="P14" s="159">
        <v>43823</v>
      </c>
      <c r="Q14" s="135">
        <v>43823</v>
      </c>
    </row>
    <row r="15" spans="2:17" ht="18" customHeight="1" x14ac:dyDescent="0.15">
      <c r="B15" s="114">
        <f t="shared" si="1"/>
        <v>5</v>
      </c>
      <c r="C15" s="248" t="s">
        <v>201</v>
      </c>
      <c r="D15" s="248" t="s">
        <v>201</v>
      </c>
      <c r="E15" s="249" t="s">
        <v>173</v>
      </c>
      <c r="F15" s="250">
        <v>1</v>
      </c>
      <c r="G15" s="321">
        <v>4200</v>
      </c>
      <c r="H15" s="322">
        <f t="shared" si="0"/>
        <v>4200</v>
      </c>
      <c r="I15" s="116"/>
      <c r="J15" s="115" t="s">
        <v>138</v>
      </c>
      <c r="K15" s="384"/>
      <c r="L15" s="129"/>
      <c r="M15" s="159">
        <v>43808</v>
      </c>
      <c r="N15" s="115"/>
      <c r="O15" s="159">
        <v>43823</v>
      </c>
      <c r="P15" s="159">
        <v>43823</v>
      </c>
      <c r="Q15" s="135">
        <v>43823</v>
      </c>
    </row>
    <row r="16" spans="2:17" ht="18" customHeight="1" x14ac:dyDescent="0.15">
      <c r="B16" s="114">
        <f t="shared" si="1"/>
        <v>6</v>
      </c>
      <c r="C16" s="248" t="s">
        <v>201</v>
      </c>
      <c r="D16" s="248" t="s">
        <v>201</v>
      </c>
      <c r="E16" s="249" t="s">
        <v>174</v>
      </c>
      <c r="F16" s="250">
        <v>1</v>
      </c>
      <c r="G16" s="321">
        <v>9000</v>
      </c>
      <c r="H16" s="322">
        <f t="shared" si="0"/>
        <v>9000</v>
      </c>
      <c r="I16" s="116"/>
      <c r="J16" s="130" t="s">
        <v>177</v>
      </c>
      <c r="K16" s="384"/>
      <c r="L16" s="129"/>
      <c r="M16" s="159">
        <v>43808</v>
      </c>
      <c r="N16" s="115"/>
      <c r="O16" s="159">
        <v>43823</v>
      </c>
      <c r="P16" s="159">
        <v>43823</v>
      </c>
      <c r="Q16" s="135">
        <v>43823</v>
      </c>
    </row>
    <row r="17" spans="2:17" ht="18" customHeight="1" x14ac:dyDescent="0.15">
      <c r="B17" s="114">
        <f t="shared" si="1"/>
        <v>7</v>
      </c>
      <c r="C17" s="242" t="s">
        <v>145</v>
      </c>
      <c r="D17" s="242" t="s">
        <v>145</v>
      </c>
      <c r="E17" s="245" t="s">
        <v>335</v>
      </c>
      <c r="F17" s="246">
        <v>1</v>
      </c>
      <c r="G17" s="323">
        <v>2150</v>
      </c>
      <c r="H17" s="322">
        <f t="shared" si="0"/>
        <v>2150</v>
      </c>
      <c r="I17" s="116"/>
      <c r="J17" s="130" t="s">
        <v>334</v>
      </c>
      <c r="K17" s="71"/>
      <c r="L17" s="129"/>
      <c r="M17" s="159">
        <v>43808</v>
      </c>
      <c r="N17" s="115"/>
      <c r="O17" s="159"/>
      <c r="P17" s="159">
        <v>43822</v>
      </c>
      <c r="Q17" s="135">
        <v>43822</v>
      </c>
    </row>
    <row r="18" spans="2:17" ht="18" customHeight="1" x14ac:dyDescent="0.15">
      <c r="B18" s="114">
        <f>+B17+1</f>
        <v>8</v>
      </c>
      <c r="C18" s="113" t="s">
        <v>37</v>
      </c>
      <c r="D18" s="113" t="s">
        <v>37</v>
      </c>
      <c r="E18" s="366" t="s">
        <v>280</v>
      </c>
      <c r="F18" s="367">
        <v>1</v>
      </c>
      <c r="G18" s="367">
        <v>480</v>
      </c>
      <c r="H18" s="322">
        <f t="shared" si="0"/>
        <v>480</v>
      </c>
      <c r="I18" s="116"/>
      <c r="J18" s="115" t="s">
        <v>139</v>
      </c>
      <c r="K18" s="115"/>
      <c r="L18" s="129"/>
      <c r="M18" s="159">
        <v>43808</v>
      </c>
      <c r="N18" s="115"/>
      <c r="O18" s="129"/>
      <c r="P18" s="159">
        <v>43822</v>
      </c>
      <c r="Q18" s="135">
        <v>43822</v>
      </c>
    </row>
    <row r="19" spans="2:17" ht="18" customHeight="1" x14ac:dyDescent="0.15">
      <c r="B19" s="114">
        <f t="shared" si="1"/>
        <v>9</v>
      </c>
      <c r="C19" s="113" t="s">
        <v>37</v>
      </c>
      <c r="D19" s="113" t="s">
        <v>37</v>
      </c>
      <c r="E19" s="366" t="s">
        <v>178</v>
      </c>
      <c r="F19" s="367">
        <v>1</v>
      </c>
      <c r="G19" s="367">
        <v>530</v>
      </c>
      <c r="H19" s="322">
        <f t="shared" si="0"/>
        <v>530</v>
      </c>
      <c r="I19" s="116"/>
      <c r="J19" s="130" t="s">
        <v>167</v>
      </c>
      <c r="K19" s="115"/>
      <c r="L19" s="129"/>
      <c r="M19" s="159">
        <v>43808</v>
      </c>
      <c r="N19" s="115"/>
      <c r="O19" s="129"/>
      <c r="P19" s="159">
        <v>43822</v>
      </c>
      <c r="Q19" s="135">
        <v>43822</v>
      </c>
    </row>
    <row r="20" spans="2:17" ht="18" customHeight="1" x14ac:dyDescent="0.15">
      <c r="B20" s="114">
        <f t="shared" si="1"/>
        <v>10</v>
      </c>
      <c r="C20" s="113" t="s">
        <v>37</v>
      </c>
      <c r="D20" s="113" t="s">
        <v>37</v>
      </c>
      <c r="E20" s="366" t="s">
        <v>281</v>
      </c>
      <c r="F20" s="367">
        <v>1</v>
      </c>
      <c r="G20" s="367">
        <v>220</v>
      </c>
      <c r="H20" s="322">
        <f t="shared" si="0"/>
        <v>220</v>
      </c>
      <c r="I20" s="116"/>
      <c r="J20" s="115" t="s">
        <v>140</v>
      </c>
      <c r="K20" s="115"/>
      <c r="L20" s="129"/>
      <c r="M20" s="159">
        <v>43808</v>
      </c>
      <c r="N20" s="115"/>
      <c r="O20" s="129"/>
      <c r="P20" s="159">
        <v>43822</v>
      </c>
      <c r="Q20" s="135">
        <v>43822</v>
      </c>
    </row>
    <row r="21" spans="2:17" ht="18" customHeight="1" x14ac:dyDescent="0.15">
      <c r="B21" s="114">
        <f t="shared" si="1"/>
        <v>11</v>
      </c>
      <c r="C21" s="113" t="s">
        <v>37</v>
      </c>
      <c r="D21" s="113" t="s">
        <v>37</v>
      </c>
      <c r="E21" s="366" t="s">
        <v>282</v>
      </c>
      <c r="F21" s="367">
        <v>1</v>
      </c>
      <c r="G21" s="367">
        <v>1490</v>
      </c>
      <c r="H21" s="322">
        <f t="shared" si="0"/>
        <v>1490</v>
      </c>
      <c r="I21" s="116"/>
      <c r="J21" s="115" t="s">
        <v>141</v>
      </c>
      <c r="K21" s="115"/>
      <c r="L21" s="129"/>
      <c r="M21" s="159">
        <v>43808</v>
      </c>
      <c r="N21" s="115"/>
      <c r="O21" s="129"/>
      <c r="P21" s="159">
        <v>43822</v>
      </c>
      <c r="Q21" s="135">
        <v>43822</v>
      </c>
    </row>
    <row r="22" spans="2:17" ht="18" customHeight="1" x14ac:dyDescent="0.15">
      <c r="B22" s="114">
        <f t="shared" si="1"/>
        <v>12</v>
      </c>
      <c r="C22" s="113" t="s">
        <v>37</v>
      </c>
      <c r="D22" s="113" t="s">
        <v>37</v>
      </c>
      <c r="E22" s="366" t="s">
        <v>283</v>
      </c>
      <c r="F22" s="367">
        <v>1</v>
      </c>
      <c r="G22" s="367">
        <v>9220</v>
      </c>
      <c r="H22" s="322">
        <f t="shared" si="0"/>
        <v>9220</v>
      </c>
      <c r="I22" s="116"/>
      <c r="J22" s="115" t="s">
        <v>142</v>
      </c>
      <c r="K22" s="115"/>
      <c r="L22" s="129"/>
      <c r="M22" s="159">
        <v>43808</v>
      </c>
      <c r="N22" s="115"/>
      <c r="O22" s="129"/>
      <c r="P22" s="159">
        <v>43822</v>
      </c>
      <c r="Q22" s="135">
        <v>43822</v>
      </c>
    </row>
    <row r="23" spans="2:17" ht="18" customHeight="1" x14ac:dyDescent="0.15">
      <c r="B23" s="114">
        <f t="shared" si="1"/>
        <v>13</v>
      </c>
      <c r="C23" s="113" t="s">
        <v>37</v>
      </c>
      <c r="D23" s="113" t="s">
        <v>37</v>
      </c>
      <c r="E23" s="366" t="s">
        <v>284</v>
      </c>
      <c r="F23" s="367">
        <v>1</v>
      </c>
      <c r="G23" s="367">
        <v>1130</v>
      </c>
      <c r="H23" s="322">
        <f t="shared" si="0"/>
        <v>1130</v>
      </c>
      <c r="I23" s="116"/>
      <c r="J23" s="115" t="s">
        <v>143</v>
      </c>
      <c r="K23" s="115"/>
      <c r="L23" s="129"/>
      <c r="M23" s="159">
        <v>43808</v>
      </c>
      <c r="N23" s="115"/>
      <c r="O23" s="129"/>
      <c r="P23" s="159">
        <v>43822</v>
      </c>
      <c r="Q23" s="135">
        <v>43822</v>
      </c>
    </row>
    <row r="24" spans="2:17" s="37" customFormat="1" ht="18" customHeight="1" x14ac:dyDescent="0.15">
      <c r="B24" s="110">
        <f>+B23+1</f>
        <v>14</v>
      </c>
      <c r="C24" s="113" t="s">
        <v>353</v>
      </c>
      <c r="D24" s="398" t="s">
        <v>349</v>
      </c>
      <c r="E24" s="368" t="s">
        <v>354</v>
      </c>
      <c r="F24" s="369">
        <v>10</v>
      </c>
      <c r="G24" s="370">
        <v>15</v>
      </c>
      <c r="H24" s="324">
        <f t="shared" si="0"/>
        <v>150</v>
      </c>
      <c r="I24" s="153"/>
      <c r="J24" s="154" t="s">
        <v>180</v>
      </c>
      <c r="K24" s="399" t="s">
        <v>351</v>
      </c>
      <c r="L24" s="51"/>
      <c r="M24" s="159">
        <v>43809</v>
      </c>
      <c r="N24" s="133"/>
      <c r="O24" s="159">
        <v>43822</v>
      </c>
      <c r="P24" s="159"/>
      <c r="Q24" s="135"/>
    </row>
    <row r="25" spans="2:17" s="37" customFormat="1" ht="18" customHeight="1" x14ac:dyDescent="0.15">
      <c r="B25" s="110">
        <f t="shared" ref="B25:B27" si="2">+B24+1</f>
        <v>15</v>
      </c>
      <c r="C25" s="23" t="s">
        <v>37</v>
      </c>
      <c r="D25" s="23" t="s">
        <v>37</v>
      </c>
      <c r="E25" s="371" t="s">
        <v>179</v>
      </c>
      <c r="F25" s="325">
        <v>1</v>
      </c>
      <c r="G25" s="372">
        <v>248</v>
      </c>
      <c r="H25" s="325">
        <f t="shared" si="0"/>
        <v>248</v>
      </c>
      <c r="I25" s="152"/>
      <c r="J25" s="149" t="s">
        <v>168</v>
      </c>
      <c r="K25" s="220" t="s">
        <v>350</v>
      </c>
      <c r="L25" s="11"/>
      <c r="M25" s="159">
        <v>43808</v>
      </c>
      <c r="N25" s="15"/>
      <c r="O25" s="15"/>
      <c r="P25" s="159">
        <v>43822</v>
      </c>
      <c r="Q25" s="135">
        <v>43822</v>
      </c>
    </row>
    <row r="26" spans="2:17" s="37" customFormat="1" ht="18" customHeight="1" x14ac:dyDescent="0.15">
      <c r="B26" s="110">
        <f t="shared" si="2"/>
        <v>16</v>
      </c>
      <c r="C26" s="23" t="s">
        <v>37</v>
      </c>
      <c r="D26" s="23" t="s">
        <v>37</v>
      </c>
      <c r="E26" s="373" t="s">
        <v>181</v>
      </c>
      <c r="F26" s="374">
        <v>30</v>
      </c>
      <c r="G26" s="372">
        <v>19</v>
      </c>
      <c r="H26" s="89">
        <f t="shared" si="0"/>
        <v>570</v>
      </c>
      <c r="I26" s="6"/>
      <c r="J26" s="90" t="s">
        <v>133</v>
      </c>
      <c r="K26" s="12"/>
      <c r="L26" s="11"/>
      <c r="M26" s="159">
        <v>43808</v>
      </c>
      <c r="N26" s="15"/>
      <c r="O26" s="15"/>
      <c r="P26" s="159">
        <v>43822</v>
      </c>
      <c r="Q26" s="135">
        <v>43822</v>
      </c>
    </row>
    <row r="27" spans="2:17" s="37" customFormat="1" ht="18" customHeight="1" x14ac:dyDescent="0.15">
      <c r="B27" s="110">
        <f t="shared" si="2"/>
        <v>17</v>
      </c>
      <c r="C27" s="23" t="s">
        <v>37</v>
      </c>
      <c r="D27" s="23" t="s">
        <v>37</v>
      </c>
      <c r="E27" s="373" t="s">
        <v>182</v>
      </c>
      <c r="F27" s="374">
        <v>4</v>
      </c>
      <c r="G27" s="372">
        <v>169</v>
      </c>
      <c r="H27" s="89">
        <f t="shared" si="0"/>
        <v>676</v>
      </c>
      <c r="I27" s="6"/>
      <c r="J27" s="90" t="s">
        <v>183</v>
      </c>
      <c r="K27" s="12"/>
      <c r="L27" s="11"/>
      <c r="M27" s="159">
        <v>43808</v>
      </c>
      <c r="N27" s="15"/>
      <c r="O27" s="15"/>
      <c r="P27" s="159">
        <v>43822</v>
      </c>
      <c r="Q27" s="135">
        <v>43822</v>
      </c>
    </row>
    <row r="28" spans="2:17" s="112" customFormat="1" ht="18" customHeight="1" x14ac:dyDescent="0.15">
      <c r="B28" s="111">
        <f>+B27+1</f>
        <v>18</v>
      </c>
      <c r="C28" s="8" t="s">
        <v>37</v>
      </c>
      <c r="D28" s="8" t="s">
        <v>37</v>
      </c>
      <c r="E28" s="149" t="s">
        <v>190</v>
      </c>
      <c r="F28" s="372">
        <v>1</v>
      </c>
      <c r="G28" s="375">
        <v>212</v>
      </c>
      <c r="H28" s="68">
        <f t="shared" si="0"/>
        <v>212</v>
      </c>
      <c r="I28" s="13"/>
      <c r="J28" s="155" t="s">
        <v>189</v>
      </c>
      <c r="K28" s="71"/>
      <c r="L28" s="11"/>
      <c r="M28" s="159">
        <v>43808</v>
      </c>
      <c r="N28" s="15"/>
      <c r="O28" s="15"/>
      <c r="P28" s="159">
        <v>43822</v>
      </c>
      <c r="Q28" s="135">
        <v>43822</v>
      </c>
    </row>
    <row r="29" spans="2:17" s="37" customFormat="1" ht="18" customHeight="1" x14ac:dyDescent="0.15">
      <c r="B29" s="110">
        <f>+B28+1</f>
        <v>19</v>
      </c>
      <c r="C29" s="23" t="s">
        <v>37</v>
      </c>
      <c r="D29" s="23" t="s">
        <v>37</v>
      </c>
      <c r="E29" s="149" t="s">
        <v>185</v>
      </c>
      <c r="F29" s="374">
        <v>2</v>
      </c>
      <c r="G29" s="372">
        <v>136</v>
      </c>
      <c r="H29" s="89">
        <f t="shared" si="0"/>
        <v>272</v>
      </c>
      <c r="I29" s="6"/>
      <c r="J29" s="155" t="s">
        <v>184</v>
      </c>
      <c r="K29" s="12"/>
      <c r="L29" s="11"/>
      <c r="M29" s="159">
        <v>43808</v>
      </c>
      <c r="N29" s="15"/>
      <c r="O29" s="15"/>
      <c r="P29" s="159">
        <v>43822</v>
      </c>
      <c r="Q29" s="135">
        <v>43822</v>
      </c>
    </row>
    <row r="30" spans="2:17" s="112" customFormat="1" ht="18" customHeight="1" x14ac:dyDescent="0.15">
      <c r="B30" s="111">
        <f>+B29+1</f>
        <v>20</v>
      </c>
      <c r="C30" s="8" t="s">
        <v>37</v>
      </c>
      <c r="D30" s="8" t="s">
        <v>37</v>
      </c>
      <c r="E30" s="149" t="s">
        <v>186</v>
      </c>
      <c r="F30" s="372">
        <v>10</v>
      </c>
      <c r="G30" s="375">
        <v>27</v>
      </c>
      <c r="H30" s="68">
        <f t="shared" ref="H30" si="3">F30*G30</f>
        <v>270</v>
      </c>
      <c r="I30" s="13"/>
      <c r="J30" s="64" t="s">
        <v>51</v>
      </c>
      <c r="K30" s="220" t="s">
        <v>320</v>
      </c>
      <c r="L30" s="11"/>
      <c r="M30" s="159">
        <v>43808</v>
      </c>
      <c r="N30" s="15"/>
      <c r="O30" s="15"/>
      <c r="P30" s="159">
        <v>43822</v>
      </c>
      <c r="Q30" s="135">
        <v>43822</v>
      </c>
    </row>
    <row r="31" spans="2:17" s="37" customFormat="1" ht="18" customHeight="1" x14ac:dyDescent="0.15">
      <c r="B31" s="111">
        <f t="shared" ref="B31:B48" si="4">+B30+1</f>
        <v>21</v>
      </c>
      <c r="C31" s="8" t="s">
        <v>37</v>
      </c>
      <c r="D31" s="8" t="s">
        <v>37</v>
      </c>
      <c r="E31" s="149" t="s">
        <v>187</v>
      </c>
      <c r="F31" s="372">
        <v>10</v>
      </c>
      <c r="G31" s="375">
        <v>23</v>
      </c>
      <c r="H31" s="68">
        <f t="shared" si="0"/>
        <v>230</v>
      </c>
      <c r="I31" s="13"/>
      <c r="J31" s="64" t="s">
        <v>51</v>
      </c>
      <c r="K31" s="220" t="s">
        <v>321</v>
      </c>
      <c r="L31" s="11"/>
      <c r="M31" s="159">
        <v>43808</v>
      </c>
      <c r="N31" s="15"/>
      <c r="O31" s="15"/>
      <c r="P31" s="159">
        <v>43822</v>
      </c>
      <c r="Q31" s="135">
        <v>43822</v>
      </c>
    </row>
    <row r="32" spans="2:17" s="37" customFormat="1" ht="18" customHeight="1" x14ac:dyDescent="0.15">
      <c r="B32" s="111">
        <f t="shared" si="4"/>
        <v>22</v>
      </c>
      <c r="C32" s="8" t="s">
        <v>37</v>
      </c>
      <c r="D32" s="8" t="s">
        <v>37</v>
      </c>
      <c r="E32" s="149" t="s">
        <v>322</v>
      </c>
      <c r="F32" s="372">
        <v>10</v>
      </c>
      <c r="G32" s="375">
        <v>23</v>
      </c>
      <c r="H32" s="68">
        <f t="shared" si="0"/>
        <v>230</v>
      </c>
      <c r="I32" s="13"/>
      <c r="J32" s="64" t="s">
        <v>53</v>
      </c>
      <c r="K32" s="220" t="s">
        <v>323</v>
      </c>
      <c r="L32" s="11"/>
      <c r="M32" s="159">
        <v>43808</v>
      </c>
      <c r="N32" s="15"/>
      <c r="O32" s="15"/>
      <c r="P32" s="159">
        <v>43822</v>
      </c>
      <c r="Q32" s="135">
        <v>43822</v>
      </c>
    </row>
    <row r="33" spans="2:17" s="37" customFormat="1" ht="18" customHeight="1" x14ac:dyDescent="0.15">
      <c r="B33" s="111">
        <f t="shared" si="4"/>
        <v>23</v>
      </c>
      <c r="C33" s="8" t="s">
        <v>37</v>
      </c>
      <c r="D33" s="8" t="s">
        <v>37</v>
      </c>
      <c r="E33" s="149" t="s">
        <v>325</v>
      </c>
      <c r="F33" s="372">
        <v>10</v>
      </c>
      <c r="G33" s="375">
        <v>27</v>
      </c>
      <c r="H33" s="68">
        <f t="shared" si="0"/>
        <v>270</v>
      </c>
      <c r="I33" s="13"/>
      <c r="J33" s="64" t="s">
        <v>55</v>
      </c>
      <c r="K33" s="220" t="s">
        <v>320</v>
      </c>
      <c r="L33" s="11"/>
      <c r="M33" s="159">
        <v>43808</v>
      </c>
      <c r="N33" s="15"/>
      <c r="O33" s="15"/>
      <c r="P33" s="159">
        <v>43822</v>
      </c>
      <c r="Q33" s="135">
        <v>43822</v>
      </c>
    </row>
    <row r="34" spans="2:17" s="112" customFormat="1" ht="18" customHeight="1" x14ac:dyDescent="0.15">
      <c r="B34" s="111">
        <f t="shared" si="4"/>
        <v>24</v>
      </c>
      <c r="C34" s="8" t="s">
        <v>37</v>
      </c>
      <c r="D34" s="8" t="s">
        <v>37</v>
      </c>
      <c r="E34" s="149" t="s">
        <v>188</v>
      </c>
      <c r="F34" s="372">
        <v>10</v>
      </c>
      <c r="G34" s="375">
        <v>27</v>
      </c>
      <c r="H34" s="68">
        <f t="shared" ref="H34" si="5">F34*G34</f>
        <v>270</v>
      </c>
      <c r="I34" s="13"/>
      <c r="J34" s="64" t="s">
        <v>55</v>
      </c>
      <c r="K34" s="220" t="s">
        <v>324</v>
      </c>
      <c r="L34" s="11"/>
      <c r="M34" s="159">
        <v>43808</v>
      </c>
      <c r="N34" s="15"/>
      <c r="O34" s="15"/>
      <c r="P34" s="159">
        <v>43822</v>
      </c>
      <c r="Q34" s="135">
        <v>43822</v>
      </c>
    </row>
    <row r="35" spans="2:17" s="112" customFormat="1" ht="18" customHeight="1" x14ac:dyDescent="0.15">
      <c r="B35" s="111">
        <f t="shared" si="4"/>
        <v>25</v>
      </c>
      <c r="C35" s="128" t="s">
        <v>37</v>
      </c>
      <c r="D35" s="128" t="s">
        <v>37</v>
      </c>
      <c r="E35" s="376" t="s">
        <v>191</v>
      </c>
      <c r="F35" s="377">
        <v>10</v>
      </c>
      <c r="G35" s="378">
        <v>27</v>
      </c>
      <c r="H35" s="326">
        <f t="shared" ref="H35:H36" si="6">F35*G35</f>
        <v>270</v>
      </c>
      <c r="I35" s="209"/>
      <c r="J35" s="210" t="s">
        <v>55</v>
      </c>
      <c r="K35" s="220" t="s">
        <v>321</v>
      </c>
      <c r="L35" s="211"/>
      <c r="M35" s="159">
        <v>43808</v>
      </c>
      <c r="N35" s="15"/>
      <c r="O35" s="15"/>
      <c r="P35" s="159">
        <v>43822</v>
      </c>
      <c r="Q35" s="135">
        <v>43822</v>
      </c>
    </row>
    <row r="36" spans="2:17" s="112" customFormat="1" ht="18" customHeight="1" x14ac:dyDescent="0.15">
      <c r="B36" s="111">
        <f t="shared" si="4"/>
        <v>26</v>
      </c>
      <c r="C36" s="212" t="s">
        <v>37</v>
      </c>
      <c r="D36" s="212" t="s">
        <v>37</v>
      </c>
      <c r="E36" s="379" t="s">
        <v>285</v>
      </c>
      <c r="F36" s="214">
        <v>5</v>
      </c>
      <c r="G36" s="380">
        <v>120</v>
      </c>
      <c r="H36" s="327">
        <f t="shared" si="6"/>
        <v>600</v>
      </c>
      <c r="I36" s="215"/>
      <c r="J36" s="216" t="s">
        <v>156</v>
      </c>
      <c r="K36" s="221" t="s">
        <v>294</v>
      </c>
      <c r="L36" s="51"/>
      <c r="M36" s="159">
        <v>43808</v>
      </c>
      <c r="N36" s="15"/>
      <c r="O36" s="15"/>
      <c r="P36" s="159">
        <v>43822</v>
      </c>
      <c r="Q36" s="135">
        <v>43822</v>
      </c>
    </row>
    <row r="37" spans="2:17" s="112" customFormat="1" ht="18" customHeight="1" x14ac:dyDescent="0.15">
      <c r="B37" s="111">
        <f t="shared" si="4"/>
        <v>27</v>
      </c>
      <c r="C37" s="141" t="s">
        <v>145</v>
      </c>
      <c r="D37" s="141" t="s">
        <v>145</v>
      </c>
      <c r="E37" s="381" t="s">
        <v>288</v>
      </c>
      <c r="F37" s="137">
        <v>1</v>
      </c>
      <c r="G37" s="301">
        <v>230</v>
      </c>
      <c r="H37" s="137">
        <f>F37*G37</f>
        <v>230</v>
      </c>
      <c r="I37" s="143"/>
      <c r="J37" s="142" t="s">
        <v>289</v>
      </c>
      <c r="K37" s="220" t="s">
        <v>294</v>
      </c>
      <c r="L37" s="11"/>
      <c r="M37" s="159">
        <v>43808</v>
      </c>
      <c r="N37" s="15"/>
      <c r="O37" s="15"/>
      <c r="P37" s="159">
        <v>43822</v>
      </c>
      <c r="Q37" s="135">
        <v>43822</v>
      </c>
    </row>
    <row r="38" spans="2:17" s="112" customFormat="1" ht="18" customHeight="1" x14ac:dyDescent="0.15">
      <c r="B38" s="111">
        <f t="shared" si="4"/>
        <v>28</v>
      </c>
      <c r="C38" s="141" t="s">
        <v>145</v>
      </c>
      <c r="D38" s="141" t="s">
        <v>145</v>
      </c>
      <c r="E38" s="381" t="s">
        <v>297</v>
      </c>
      <c r="F38" s="137">
        <v>1</v>
      </c>
      <c r="G38" s="301">
        <v>270</v>
      </c>
      <c r="H38" s="137">
        <f t="shared" ref="H38:H39" si="7">F38*G38</f>
        <v>270</v>
      </c>
      <c r="I38" s="143"/>
      <c r="J38" s="142" t="s">
        <v>296</v>
      </c>
      <c r="K38" s="220" t="s">
        <v>298</v>
      </c>
      <c r="L38" s="11"/>
      <c r="M38" s="159">
        <v>43808</v>
      </c>
      <c r="N38" s="15"/>
      <c r="O38" s="15"/>
      <c r="P38" s="159">
        <v>43822</v>
      </c>
      <c r="Q38" s="135">
        <v>43822</v>
      </c>
    </row>
    <row r="39" spans="2:17" s="112" customFormat="1" ht="18" customHeight="1" x14ac:dyDescent="0.15">
      <c r="B39" s="111">
        <f t="shared" si="4"/>
        <v>29</v>
      </c>
      <c r="C39" s="138" t="s">
        <v>37</v>
      </c>
      <c r="D39" s="138" t="s">
        <v>37</v>
      </c>
      <c r="E39" s="382" t="s">
        <v>290</v>
      </c>
      <c r="F39" s="137">
        <v>2</v>
      </c>
      <c r="G39" s="301">
        <v>270</v>
      </c>
      <c r="H39" s="137">
        <f t="shared" si="7"/>
        <v>540</v>
      </c>
      <c r="I39" s="143"/>
      <c r="J39" s="142" t="s">
        <v>291</v>
      </c>
      <c r="K39" s="220" t="s">
        <v>293</v>
      </c>
      <c r="L39" s="11"/>
      <c r="M39" s="159">
        <v>43808</v>
      </c>
      <c r="N39" s="15"/>
      <c r="O39" s="15"/>
      <c r="P39" s="159">
        <v>43822</v>
      </c>
      <c r="Q39" s="135">
        <v>43822</v>
      </c>
    </row>
    <row r="40" spans="2:17" s="112" customFormat="1" ht="18" customHeight="1" x14ac:dyDescent="0.15">
      <c r="B40" s="111">
        <f t="shared" si="4"/>
        <v>30</v>
      </c>
      <c r="C40" s="138" t="s">
        <v>37</v>
      </c>
      <c r="D40" s="138" t="s">
        <v>37</v>
      </c>
      <c r="E40" s="147" t="s">
        <v>202</v>
      </c>
      <c r="F40" s="145">
        <v>2</v>
      </c>
      <c r="G40" s="383">
        <v>609</v>
      </c>
      <c r="H40" s="237">
        <f t="shared" ref="H40:H48" si="8">F40*G40</f>
        <v>1218</v>
      </c>
      <c r="I40" s="146"/>
      <c r="J40" s="144" t="s">
        <v>165</v>
      </c>
      <c r="K40" s="220" t="s">
        <v>295</v>
      </c>
      <c r="L40" s="11"/>
      <c r="M40" s="159">
        <v>43808</v>
      </c>
      <c r="N40" s="15"/>
      <c r="O40" s="15"/>
      <c r="P40" s="159">
        <v>43822</v>
      </c>
      <c r="Q40" s="135">
        <v>43822</v>
      </c>
    </row>
    <row r="41" spans="2:17" s="112" customFormat="1" ht="18" customHeight="1" x14ac:dyDescent="0.15">
      <c r="B41" s="111">
        <f t="shared" si="4"/>
        <v>31</v>
      </c>
      <c r="C41" s="138" t="s">
        <v>157</v>
      </c>
      <c r="D41" s="119" t="s">
        <v>200</v>
      </c>
      <c r="E41" s="382" t="s">
        <v>158</v>
      </c>
      <c r="F41" s="137">
        <v>1</v>
      </c>
      <c r="G41" s="301">
        <v>2340</v>
      </c>
      <c r="H41" s="328">
        <f t="shared" si="8"/>
        <v>2340</v>
      </c>
      <c r="I41" s="139"/>
      <c r="J41" s="140" t="s">
        <v>159</v>
      </c>
      <c r="K41" s="220" t="s">
        <v>294</v>
      </c>
      <c r="L41" s="11"/>
      <c r="M41" s="396">
        <v>43808</v>
      </c>
      <c r="N41" s="15"/>
      <c r="O41" s="159">
        <v>43822</v>
      </c>
      <c r="P41" s="396">
        <v>43819</v>
      </c>
      <c r="Q41" s="397">
        <v>43819</v>
      </c>
    </row>
    <row r="42" spans="2:17" s="112" customFormat="1" ht="18" customHeight="1" x14ac:dyDescent="0.15">
      <c r="B42" s="111">
        <f t="shared" si="4"/>
        <v>32</v>
      </c>
      <c r="C42" s="138" t="s">
        <v>157</v>
      </c>
      <c r="D42" s="119" t="s">
        <v>200</v>
      </c>
      <c r="E42" s="382" t="s">
        <v>160</v>
      </c>
      <c r="F42" s="137">
        <v>1</v>
      </c>
      <c r="G42" s="301">
        <v>4740</v>
      </c>
      <c r="H42" s="328">
        <f t="shared" si="8"/>
        <v>4740</v>
      </c>
      <c r="I42" s="139"/>
      <c r="J42" s="140" t="s">
        <v>161</v>
      </c>
      <c r="K42" s="220" t="s">
        <v>294</v>
      </c>
      <c r="L42" s="11"/>
      <c r="M42" s="396">
        <v>43808</v>
      </c>
      <c r="N42" s="15"/>
      <c r="O42" s="159">
        <v>43822</v>
      </c>
      <c r="P42" s="396">
        <v>43819</v>
      </c>
      <c r="Q42" s="397">
        <v>43819</v>
      </c>
    </row>
    <row r="43" spans="2:17" s="112" customFormat="1" ht="18" customHeight="1" x14ac:dyDescent="0.15">
      <c r="B43" s="111">
        <f t="shared" si="4"/>
        <v>33</v>
      </c>
      <c r="C43" s="138" t="s">
        <v>157</v>
      </c>
      <c r="D43" s="119" t="s">
        <v>200</v>
      </c>
      <c r="E43" s="382" t="s">
        <v>286</v>
      </c>
      <c r="F43" s="137">
        <v>2</v>
      </c>
      <c r="G43" s="301">
        <v>210</v>
      </c>
      <c r="H43" s="328">
        <f t="shared" si="8"/>
        <v>420</v>
      </c>
      <c r="I43" s="139"/>
      <c r="J43" s="140" t="s">
        <v>162</v>
      </c>
      <c r="K43" s="220" t="s">
        <v>294</v>
      </c>
      <c r="L43" s="11"/>
      <c r="M43" s="396">
        <v>43808</v>
      </c>
      <c r="N43" s="15"/>
      <c r="O43" s="159">
        <v>43822</v>
      </c>
      <c r="P43" s="396">
        <v>43819</v>
      </c>
      <c r="Q43" s="397">
        <v>43819</v>
      </c>
    </row>
    <row r="44" spans="2:17" s="112" customFormat="1" ht="18" customHeight="1" x14ac:dyDescent="0.15">
      <c r="B44" s="111">
        <f t="shared" si="4"/>
        <v>34</v>
      </c>
      <c r="C44" s="138" t="s">
        <v>157</v>
      </c>
      <c r="D44" s="119" t="s">
        <v>200</v>
      </c>
      <c r="E44" s="382" t="s">
        <v>352</v>
      </c>
      <c r="F44" s="137">
        <v>2</v>
      </c>
      <c r="G44" s="301">
        <v>260</v>
      </c>
      <c r="H44" s="328">
        <f t="shared" si="8"/>
        <v>520</v>
      </c>
      <c r="I44" s="139"/>
      <c r="J44" s="140" t="s">
        <v>163</v>
      </c>
      <c r="K44" s="220" t="s">
        <v>294</v>
      </c>
      <c r="L44" s="11"/>
      <c r="M44" s="396">
        <v>43808</v>
      </c>
      <c r="N44" s="15"/>
      <c r="O44" s="159">
        <v>43822</v>
      </c>
      <c r="P44" s="396">
        <v>43819</v>
      </c>
      <c r="Q44" s="397">
        <v>43819</v>
      </c>
    </row>
    <row r="45" spans="2:17" s="112" customFormat="1" ht="18" customHeight="1" x14ac:dyDescent="0.15">
      <c r="B45" s="111">
        <f t="shared" si="4"/>
        <v>35</v>
      </c>
      <c r="C45" s="141" t="s">
        <v>144</v>
      </c>
      <c r="D45" s="119" t="s">
        <v>200</v>
      </c>
      <c r="E45" s="121" t="s">
        <v>287</v>
      </c>
      <c r="F45" s="122">
        <v>1</v>
      </c>
      <c r="G45" s="122">
        <v>3040</v>
      </c>
      <c r="H45" s="328">
        <f t="shared" si="8"/>
        <v>3040</v>
      </c>
      <c r="I45" s="120"/>
      <c r="J45" s="219" t="s">
        <v>292</v>
      </c>
      <c r="K45" s="71"/>
      <c r="L45" s="11"/>
      <c r="M45" s="396">
        <v>43808</v>
      </c>
      <c r="N45" s="15"/>
      <c r="O45" s="159">
        <v>43822</v>
      </c>
      <c r="P45" s="396">
        <v>43819</v>
      </c>
      <c r="Q45" s="397">
        <v>43819</v>
      </c>
    </row>
    <row r="46" spans="2:17" s="112" customFormat="1" ht="18" customHeight="1" x14ac:dyDescent="0.15">
      <c r="B46" s="111">
        <f t="shared" si="4"/>
        <v>36</v>
      </c>
      <c r="C46" s="138" t="s">
        <v>157</v>
      </c>
      <c r="D46" s="119" t="s">
        <v>200</v>
      </c>
      <c r="E46" s="147" t="s">
        <v>166</v>
      </c>
      <c r="F46" s="145">
        <v>1</v>
      </c>
      <c r="G46" s="329">
        <v>18150</v>
      </c>
      <c r="H46" s="328">
        <f t="shared" si="8"/>
        <v>18150</v>
      </c>
      <c r="I46" s="148"/>
      <c r="J46" s="147" t="s">
        <v>169</v>
      </c>
      <c r="K46" s="71"/>
      <c r="L46" s="11"/>
      <c r="M46" s="396">
        <v>43808</v>
      </c>
      <c r="N46" s="15"/>
      <c r="O46" s="159">
        <v>43822</v>
      </c>
      <c r="P46" s="396">
        <v>43819</v>
      </c>
      <c r="Q46" s="397">
        <v>43819</v>
      </c>
    </row>
    <row r="47" spans="2:17" s="112" customFormat="1" ht="18" customHeight="1" x14ac:dyDescent="0.15">
      <c r="B47" s="111">
        <f t="shared" si="4"/>
        <v>37</v>
      </c>
      <c r="C47" s="400" t="s">
        <v>37</v>
      </c>
      <c r="D47" s="400" t="s">
        <v>37</v>
      </c>
      <c r="E47" s="401" t="s">
        <v>355</v>
      </c>
      <c r="F47" s="402">
        <v>1</v>
      </c>
      <c r="G47" s="403">
        <v>960</v>
      </c>
      <c r="H47" s="404">
        <f t="shared" si="8"/>
        <v>960</v>
      </c>
      <c r="I47" s="405"/>
      <c r="J47" s="401" t="s">
        <v>356</v>
      </c>
      <c r="K47" s="71"/>
      <c r="L47" s="11"/>
      <c r="M47" s="396">
        <v>43825</v>
      </c>
      <c r="N47" s="15"/>
      <c r="O47" s="161">
        <v>43472</v>
      </c>
      <c r="P47" s="396">
        <v>43472</v>
      </c>
      <c r="Q47" s="397">
        <v>43837</v>
      </c>
    </row>
    <row r="48" spans="2:17" s="112" customFormat="1" ht="18" customHeight="1" x14ac:dyDescent="0.15">
      <c r="B48" s="111">
        <f t="shared" si="4"/>
        <v>38</v>
      </c>
      <c r="C48" s="279" t="s">
        <v>37</v>
      </c>
      <c r="D48" s="279" t="s">
        <v>37</v>
      </c>
      <c r="E48" s="409" t="s">
        <v>357</v>
      </c>
      <c r="F48" s="410"/>
      <c r="G48" s="279">
        <v>1360</v>
      </c>
      <c r="H48" s="411">
        <f t="shared" si="8"/>
        <v>0</v>
      </c>
      <c r="I48" s="412"/>
      <c r="J48" s="409" t="s">
        <v>358</v>
      </c>
      <c r="K48" s="406" t="s">
        <v>359</v>
      </c>
      <c r="L48" s="11"/>
      <c r="M48" s="396"/>
      <c r="N48" s="15"/>
      <c r="O48" s="161"/>
      <c r="P48" s="396"/>
      <c r="Q48" s="397"/>
    </row>
    <row r="49" spans="1:17" s="37" customFormat="1" ht="18" customHeight="1" x14ac:dyDescent="0.15">
      <c r="B49" s="110"/>
      <c r="C49" s="156"/>
      <c r="D49" s="156"/>
      <c r="E49" s="149"/>
      <c r="F49" s="372"/>
      <c r="G49" s="375"/>
      <c r="H49" s="407"/>
      <c r="I49" s="408"/>
      <c r="J49" s="228"/>
      <c r="K49" s="12"/>
      <c r="L49" s="11"/>
      <c r="M49" s="26"/>
      <c r="N49" s="15"/>
      <c r="O49" s="15"/>
      <c r="P49" s="76"/>
      <c r="Q49" s="24"/>
    </row>
    <row r="50" spans="1:17" s="37" customFormat="1" ht="18" customHeight="1" x14ac:dyDescent="0.15">
      <c r="B50" s="28"/>
      <c r="C50" s="8"/>
      <c r="D50" s="13"/>
      <c r="E50" s="433">
        <f>SUM(H11:H49)</f>
        <v>89366</v>
      </c>
      <c r="F50" s="434"/>
      <c r="G50" s="434"/>
      <c r="H50" s="435"/>
      <c r="I50" s="67"/>
      <c r="J50" s="64"/>
      <c r="K50" s="12"/>
      <c r="L50" s="11"/>
      <c r="M50" s="26"/>
      <c r="N50" s="15"/>
      <c r="O50" s="15"/>
      <c r="P50" s="76"/>
      <c r="Q50" s="24"/>
    </row>
    <row r="51" spans="1:17" s="112" customFormat="1" ht="18" customHeight="1" x14ac:dyDescent="0.15">
      <c r="B51" s="62"/>
      <c r="C51" s="361"/>
      <c r="D51" s="362"/>
      <c r="E51" s="365"/>
      <c r="F51" s="365"/>
      <c r="G51" s="365"/>
      <c r="H51" s="365"/>
      <c r="I51" s="363"/>
      <c r="J51" s="64"/>
      <c r="K51" s="71"/>
      <c r="L51" s="11"/>
      <c r="M51" s="76"/>
      <c r="N51" s="15"/>
      <c r="O51" s="15"/>
      <c r="P51" s="76"/>
      <c r="Q51" s="24"/>
    </row>
    <row r="52" spans="1:17" s="7" customFormat="1" ht="19.5" customHeight="1" x14ac:dyDescent="0.15">
      <c r="B52" s="8"/>
      <c r="C52" s="128"/>
      <c r="D52" s="128"/>
      <c r="E52" s="364"/>
      <c r="F52" s="346"/>
      <c r="G52" s="346"/>
      <c r="H52" s="346"/>
      <c r="I52" s="21"/>
      <c r="J52" s="69"/>
      <c r="K52" s="5"/>
      <c r="L52" s="5"/>
      <c r="M52" s="26"/>
      <c r="N52" s="8"/>
      <c r="O52" s="70"/>
      <c r="P52" s="76"/>
      <c r="Q52" s="15"/>
    </row>
    <row r="53" spans="1:17" s="37" customFormat="1" ht="18" customHeight="1" x14ac:dyDescent="0.15">
      <c r="B53" s="131"/>
      <c r="C53" s="436" t="s">
        <v>279</v>
      </c>
      <c r="D53" s="436"/>
      <c r="E53" s="436"/>
      <c r="F53" s="132"/>
      <c r="G53" s="68"/>
      <c r="H53" s="68"/>
      <c r="I53" s="13"/>
      <c r="J53" s="64"/>
      <c r="K53" s="12"/>
      <c r="L53" s="11"/>
      <c r="M53" s="26"/>
      <c r="N53" s="15"/>
      <c r="O53" s="15"/>
      <c r="P53" s="76"/>
      <c r="Q53" s="24"/>
    </row>
    <row r="54" spans="1:17" s="37" customFormat="1" ht="18" customHeight="1" x14ac:dyDescent="0.15">
      <c r="B54" s="114">
        <f>+B46+1</f>
        <v>37</v>
      </c>
      <c r="C54" s="248" t="s">
        <v>201</v>
      </c>
      <c r="D54" s="248" t="s">
        <v>201</v>
      </c>
      <c r="E54" s="251" t="s">
        <v>299</v>
      </c>
      <c r="F54" s="248">
        <v>1</v>
      </c>
      <c r="G54" s="330">
        <v>5000</v>
      </c>
      <c r="H54" s="331">
        <f t="shared" ref="H54:H62" si="9">F54*G54</f>
        <v>5000</v>
      </c>
      <c r="I54" s="167"/>
      <c r="J54" s="165" t="s">
        <v>300</v>
      </c>
      <c r="K54" s="12"/>
      <c r="L54" s="11"/>
      <c r="M54" s="26">
        <v>43808</v>
      </c>
      <c r="N54" s="15"/>
      <c r="O54" s="159">
        <v>43823</v>
      </c>
      <c r="P54" s="159">
        <v>43823</v>
      </c>
      <c r="Q54" s="135">
        <v>43823</v>
      </c>
    </row>
    <row r="55" spans="1:17" ht="18" customHeight="1" x14ac:dyDescent="0.15">
      <c r="B55" s="114">
        <f t="shared" ref="B55:B62" si="10">+B54+1</f>
        <v>38</v>
      </c>
      <c r="C55" s="248" t="s">
        <v>201</v>
      </c>
      <c r="D55" s="248" t="s">
        <v>201</v>
      </c>
      <c r="E55" s="251" t="s">
        <v>301</v>
      </c>
      <c r="F55" s="248">
        <v>1</v>
      </c>
      <c r="G55" s="330">
        <v>4200</v>
      </c>
      <c r="H55" s="331">
        <f t="shared" si="9"/>
        <v>4200</v>
      </c>
      <c r="I55" s="167"/>
      <c r="J55" s="165" t="s">
        <v>302</v>
      </c>
      <c r="K55" s="12"/>
      <c r="L55" s="11"/>
      <c r="M55" s="26">
        <v>43808</v>
      </c>
      <c r="N55" s="15"/>
      <c r="O55" s="159">
        <v>43823</v>
      </c>
      <c r="P55" s="159">
        <v>43823</v>
      </c>
      <c r="Q55" s="135">
        <v>43823</v>
      </c>
    </row>
    <row r="56" spans="1:17" ht="18" customHeight="1" x14ac:dyDescent="0.15">
      <c r="B56" s="114">
        <f t="shared" si="10"/>
        <v>39</v>
      </c>
      <c r="C56" s="248" t="s">
        <v>201</v>
      </c>
      <c r="D56" s="248" t="s">
        <v>201</v>
      </c>
      <c r="E56" s="251" t="s">
        <v>303</v>
      </c>
      <c r="F56" s="248">
        <v>1</v>
      </c>
      <c r="G56" s="330">
        <v>1300</v>
      </c>
      <c r="H56" s="331">
        <f t="shared" si="9"/>
        <v>1300</v>
      </c>
      <c r="I56" s="167"/>
      <c r="J56" s="165" t="s">
        <v>304</v>
      </c>
      <c r="K56" s="12"/>
      <c r="L56" s="11"/>
      <c r="M56" s="395">
        <v>43808</v>
      </c>
      <c r="N56" s="15"/>
      <c r="O56" s="159">
        <v>43823</v>
      </c>
      <c r="P56" s="159">
        <v>43823</v>
      </c>
      <c r="Q56" s="135">
        <v>43823</v>
      </c>
    </row>
    <row r="57" spans="1:17" ht="18" customHeight="1" x14ac:dyDescent="0.15">
      <c r="B57" s="114">
        <f t="shared" si="10"/>
        <v>40</v>
      </c>
      <c r="C57" s="166" t="s">
        <v>145</v>
      </c>
      <c r="D57" s="166" t="s">
        <v>145</v>
      </c>
      <c r="E57" s="293" t="s">
        <v>305</v>
      </c>
      <c r="F57" s="119">
        <v>1</v>
      </c>
      <c r="G57" s="339">
        <v>750</v>
      </c>
      <c r="H57" s="331">
        <f t="shared" si="9"/>
        <v>750</v>
      </c>
      <c r="I57" s="167"/>
      <c r="J57" s="165" t="s">
        <v>306</v>
      </c>
      <c r="K57" s="12"/>
      <c r="L57" s="11"/>
      <c r="M57" s="159">
        <v>43808</v>
      </c>
      <c r="N57" s="15"/>
      <c r="O57" s="15"/>
      <c r="P57" s="159">
        <v>43822</v>
      </c>
      <c r="Q57" s="135">
        <v>43822</v>
      </c>
    </row>
    <row r="58" spans="1:17" ht="18" customHeight="1" x14ac:dyDescent="0.15">
      <c r="B58" s="114">
        <f t="shared" si="10"/>
        <v>41</v>
      </c>
      <c r="C58" s="166" t="s">
        <v>145</v>
      </c>
      <c r="D58" s="166" t="s">
        <v>145</v>
      </c>
      <c r="E58" s="360" t="s">
        <v>307</v>
      </c>
      <c r="F58" s="120">
        <v>10</v>
      </c>
      <c r="G58" s="339">
        <v>32</v>
      </c>
      <c r="H58" s="331">
        <f t="shared" si="9"/>
        <v>320</v>
      </c>
      <c r="I58" s="167"/>
      <c r="J58" s="165" t="s">
        <v>308</v>
      </c>
      <c r="K58" s="220" t="s">
        <v>320</v>
      </c>
      <c r="L58" s="11"/>
      <c r="M58" s="159">
        <v>43808</v>
      </c>
      <c r="N58" s="15"/>
      <c r="O58" s="15"/>
      <c r="P58" s="159">
        <v>43822</v>
      </c>
      <c r="Q58" s="135">
        <v>43822</v>
      </c>
    </row>
    <row r="59" spans="1:17" ht="18" customHeight="1" x14ac:dyDescent="0.15">
      <c r="B59" s="114">
        <f t="shared" si="10"/>
        <v>42</v>
      </c>
      <c r="C59" s="166" t="s">
        <v>145</v>
      </c>
      <c r="D59" s="166" t="s">
        <v>145</v>
      </c>
      <c r="E59" s="238" t="s">
        <v>309</v>
      </c>
      <c r="F59" s="120">
        <v>10</v>
      </c>
      <c r="G59" s="339">
        <v>27</v>
      </c>
      <c r="H59" s="332">
        <f t="shared" si="9"/>
        <v>270</v>
      </c>
      <c r="I59" s="167"/>
      <c r="J59" s="165" t="s">
        <v>310</v>
      </c>
      <c r="K59" s="220" t="s">
        <v>320</v>
      </c>
      <c r="L59" s="11"/>
      <c r="M59" s="159">
        <v>43808</v>
      </c>
      <c r="N59" s="15"/>
      <c r="O59" s="15"/>
      <c r="P59" s="159">
        <v>43822</v>
      </c>
      <c r="Q59" s="135">
        <v>43822</v>
      </c>
    </row>
    <row r="60" spans="1:17" ht="18" customHeight="1" x14ac:dyDescent="0.15">
      <c r="A60" s="109"/>
      <c r="B60" s="114">
        <f t="shared" si="10"/>
        <v>43</v>
      </c>
      <c r="C60" s="166" t="s">
        <v>145</v>
      </c>
      <c r="D60" s="166" t="s">
        <v>145</v>
      </c>
      <c r="E60" s="238" t="s">
        <v>311</v>
      </c>
      <c r="F60" s="120">
        <v>10</v>
      </c>
      <c r="G60" s="339">
        <v>27</v>
      </c>
      <c r="H60" s="332">
        <f t="shared" si="9"/>
        <v>270</v>
      </c>
      <c r="I60" s="167"/>
      <c r="J60" s="165" t="s">
        <v>312</v>
      </c>
      <c r="K60" s="220" t="s">
        <v>321</v>
      </c>
      <c r="L60" s="11"/>
      <c r="M60" s="159">
        <v>43808</v>
      </c>
      <c r="N60" s="15"/>
      <c r="O60" s="15"/>
      <c r="P60" s="159">
        <v>43822</v>
      </c>
      <c r="Q60" s="135">
        <v>43822</v>
      </c>
    </row>
    <row r="61" spans="1:17" s="112" customFormat="1" ht="18" customHeight="1" x14ac:dyDescent="0.15">
      <c r="A61" s="109"/>
      <c r="B61" s="114">
        <f t="shared" si="10"/>
        <v>44</v>
      </c>
      <c r="C61" s="166" t="s">
        <v>145</v>
      </c>
      <c r="D61" s="166" t="s">
        <v>145</v>
      </c>
      <c r="E61" s="360" t="s">
        <v>313</v>
      </c>
      <c r="F61" s="120">
        <v>10</v>
      </c>
      <c r="G61" s="339">
        <v>27</v>
      </c>
      <c r="H61" s="332">
        <f t="shared" si="9"/>
        <v>270</v>
      </c>
      <c r="I61" s="167"/>
      <c r="J61" s="165" t="s">
        <v>314</v>
      </c>
      <c r="K61" s="220" t="s">
        <v>321</v>
      </c>
      <c r="L61" s="11"/>
      <c r="M61" s="159">
        <v>43808</v>
      </c>
      <c r="N61" s="15"/>
      <c r="O61" s="15"/>
      <c r="P61" s="159">
        <v>43822</v>
      </c>
      <c r="Q61" s="135">
        <v>43822</v>
      </c>
    </row>
    <row r="62" spans="1:17" s="112" customFormat="1" ht="18" customHeight="1" x14ac:dyDescent="0.15">
      <c r="A62" s="109"/>
      <c r="B62" s="114">
        <f t="shared" si="10"/>
        <v>45</v>
      </c>
      <c r="C62" s="166" t="s">
        <v>145</v>
      </c>
      <c r="D62" s="166" t="s">
        <v>145</v>
      </c>
      <c r="E62" s="293" t="s">
        <v>315</v>
      </c>
      <c r="F62" s="120">
        <v>2</v>
      </c>
      <c r="G62" s="339">
        <v>109</v>
      </c>
      <c r="H62" s="331">
        <f t="shared" si="9"/>
        <v>218</v>
      </c>
      <c r="I62" s="167"/>
      <c r="J62" s="165" t="s">
        <v>316</v>
      </c>
      <c r="K62" s="220"/>
      <c r="L62" s="11"/>
      <c r="M62" s="159">
        <v>43808</v>
      </c>
      <c r="N62" s="15"/>
      <c r="O62" s="15"/>
      <c r="P62" s="159">
        <v>43822</v>
      </c>
      <c r="Q62" s="135">
        <v>43822</v>
      </c>
    </row>
    <row r="63" spans="1:17" s="112" customFormat="1" ht="18" customHeight="1" x14ac:dyDescent="0.15">
      <c r="A63" s="109"/>
      <c r="B63" s="114"/>
      <c r="C63" s="156"/>
      <c r="D63" s="156"/>
      <c r="E63" s="234"/>
      <c r="F63" s="235"/>
      <c r="G63" s="235"/>
      <c r="H63" s="333"/>
      <c r="I63" s="157"/>
      <c r="J63" s="158"/>
      <c r="K63" s="71"/>
      <c r="L63" s="11"/>
      <c r="M63" s="161"/>
      <c r="N63" s="15"/>
      <c r="O63" s="15"/>
      <c r="P63" s="161"/>
      <c r="Q63" s="163"/>
    </row>
    <row r="64" spans="1:17" ht="18" customHeight="1" x14ac:dyDescent="0.15">
      <c r="B64" s="23"/>
      <c r="C64" s="8"/>
      <c r="D64" s="8"/>
      <c r="E64" s="430">
        <f>SUM(H54:H62)</f>
        <v>12598</v>
      </c>
      <c r="F64" s="431"/>
      <c r="G64" s="431"/>
      <c r="H64" s="432"/>
      <c r="I64" s="13"/>
      <c r="J64" s="64"/>
      <c r="K64" s="12"/>
      <c r="L64" s="11"/>
      <c r="M64" s="26"/>
      <c r="N64" s="15"/>
      <c r="O64" s="15"/>
      <c r="P64" s="76"/>
      <c r="Q64" s="24"/>
    </row>
    <row r="65" spans="2:17" s="222" customFormat="1" ht="18" customHeight="1" x14ac:dyDescent="0.15">
      <c r="B65" s="223"/>
      <c r="C65" s="156"/>
      <c r="D65" s="156"/>
      <c r="E65" s="224"/>
      <c r="F65" s="225"/>
      <c r="G65" s="225"/>
      <c r="H65" s="226"/>
      <c r="I65" s="227"/>
      <c r="J65" s="228"/>
      <c r="K65" s="229"/>
      <c r="L65" s="230"/>
      <c r="M65" s="231"/>
      <c r="N65" s="232"/>
      <c r="O65" s="232"/>
      <c r="P65" s="231"/>
      <c r="Q65" s="233"/>
    </row>
    <row r="66" spans="2:17" s="222" customFormat="1" ht="18" customHeight="1" x14ac:dyDescent="0.15">
      <c r="B66" s="223"/>
      <c r="C66" s="156"/>
      <c r="D66" s="156"/>
      <c r="E66" s="224"/>
      <c r="F66" s="225"/>
      <c r="G66" s="225"/>
      <c r="H66" s="226"/>
      <c r="I66" s="227"/>
      <c r="J66" s="228"/>
      <c r="K66" s="229"/>
      <c r="L66" s="230"/>
      <c r="M66" s="231"/>
      <c r="N66" s="232"/>
      <c r="O66" s="232"/>
      <c r="P66" s="231"/>
      <c r="Q66" s="233"/>
    </row>
    <row r="67" spans="2:17" s="222" customFormat="1" ht="18" customHeight="1" x14ac:dyDescent="0.15">
      <c r="B67" s="223"/>
      <c r="C67" s="156"/>
      <c r="D67" s="156"/>
      <c r="E67" s="224"/>
      <c r="F67" s="225"/>
      <c r="G67" s="225"/>
      <c r="H67" s="226"/>
      <c r="I67" s="227"/>
      <c r="J67" s="228"/>
      <c r="K67" s="229"/>
      <c r="L67" s="230"/>
      <c r="M67" s="231"/>
      <c r="N67" s="232"/>
      <c r="O67" s="232"/>
      <c r="P67" s="231"/>
      <c r="Q67" s="233"/>
    </row>
    <row r="68" spans="2:17" ht="18" customHeight="1" x14ac:dyDescent="0.15">
      <c r="B68" s="23"/>
      <c r="C68" s="8"/>
      <c r="D68" s="8"/>
      <c r="E68" s="107"/>
      <c r="F68" s="68"/>
      <c r="G68" s="68"/>
      <c r="H68" s="68"/>
      <c r="I68" s="67"/>
      <c r="J68" s="69"/>
      <c r="K68" s="12"/>
      <c r="L68" s="11"/>
      <c r="M68" s="26"/>
      <c r="N68" s="15"/>
      <c r="O68" s="15"/>
      <c r="P68" s="76"/>
      <c r="Q68" s="24"/>
    </row>
    <row r="69" spans="2:17" s="112" customFormat="1" ht="18" customHeight="1" x14ac:dyDescent="0.15">
      <c r="B69" s="198"/>
      <c r="C69" s="437" t="s">
        <v>260</v>
      </c>
      <c r="D69" s="438"/>
      <c r="E69" s="439"/>
      <c r="F69" s="164"/>
      <c r="G69" s="164"/>
      <c r="H69" s="167"/>
      <c r="I69" s="167"/>
      <c r="J69" s="164"/>
      <c r="K69" s="71"/>
      <c r="L69" s="11"/>
      <c r="M69" s="76"/>
      <c r="N69" s="15"/>
      <c r="O69" s="15"/>
      <c r="P69" s="76"/>
      <c r="Q69" s="24"/>
    </row>
    <row r="70" spans="2:17" s="112" customFormat="1" ht="18" customHeight="1" x14ac:dyDescent="0.15">
      <c r="B70" s="114">
        <f>+B62+1</f>
        <v>46</v>
      </c>
      <c r="C70" s="242" t="s">
        <v>145</v>
      </c>
      <c r="D70" s="242" t="s">
        <v>145</v>
      </c>
      <c r="E70" s="247" t="s">
        <v>329</v>
      </c>
      <c r="F70" s="218">
        <v>1</v>
      </c>
      <c r="G70" s="334">
        <v>2420</v>
      </c>
      <c r="H70" s="171">
        <f t="shared" ref="H70:H80" si="11">F70*G70</f>
        <v>2420</v>
      </c>
      <c r="I70" s="174"/>
      <c r="J70" s="240" t="s">
        <v>328</v>
      </c>
      <c r="K70" s="71"/>
      <c r="L70" s="11"/>
      <c r="M70" s="159">
        <v>43808</v>
      </c>
      <c r="N70" s="15"/>
      <c r="O70" s="15"/>
      <c r="P70" s="76">
        <v>43822</v>
      </c>
      <c r="Q70" s="135">
        <v>43822</v>
      </c>
    </row>
    <row r="71" spans="2:17" s="112" customFormat="1" ht="18" customHeight="1" x14ac:dyDescent="0.15">
      <c r="B71" s="114">
        <f t="shared" ref="B71:B83" si="12">+B70+1</f>
        <v>47</v>
      </c>
      <c r="C71" s="242" t="s">
        <v>145</v>
      </c>
      <c r="D71" s="242" t="s">
        <v>145</v>
      </c>
      <c r="E71" s="247" t="s">
        <v>331</v>
      </c>
      <c r="F71" s="218">
        <v>1</v>
      </c>
      <c r="G71" s="334">
        <v>2310</v>
      </c>
      <c r="H71" s="171">
        <f t="shared" si="11"/>
        <v>2310</v>
      </c>
      <c r="I71" s="174"/>
      <c r="J71" s="240" t="s">
        <v>330</v>
      </c>
      <c r="K71" s="71"/>
      <c r="L71" s="11"/>
      <c r="M71" s="159">
        <v>43808</v>
      </c>
      <c r="N71" s="15"/>
      <c r="O71" s="15"/>
      <c r="P71" s="76">
        <v>43822</v>
      </c>
      <c r="Q71" s="135">
        <v>43822</v>
      </c>
    </row>
    <row r="72" spans="2:17" s="112" customFormat="1" ht="18" customHeight="1" x14ac:dyDescent="0.15">
      <c r="B72" s="114">
        <f t="shared" si="12"/>
        <v>48</v>
      </c>
      <c r="C72" s="242" t="s">
        <v>145</v>
      </c>
      <c r="D72" s="242" t="s">
        <v>145</v>
      </c>
      <c r="E72" s="247" t="s">
        <v>333</v>
      </c>
      <c r="F72" s="218">
        <v>1</v>
      </c>
      <c r="G72" s="334">
        <v>4500</v>
      </c>
      <c r="H72" s="171">
        <f t="shared" si="11"/>
        <v>4500</v>
      </c>
      <c r="I72" s="174"/>
      <c r="J72" s="240" t="s">
        <v>332</v>
      </c>
      <c r="K72" s="71"/>
      <c r="L72" s="11"/>
      <c r="M72" s="159">
        <v>43808</v>
      </c>
      <c r="N72" s="15"/>
      <c r="O72" s="15"/>
      <c r="P72" s="76">
        <v>43822</v>
      </c>
      <c r="Q72" s="135">
        <v>43822</v>
      </c>
    </row>
    <row r="73" spans="2:17" s="112" customFormat="1" ht="18" customHeight="1" x14ac:dyDescent="0.15">
      <c r="B73" s="114">
        <f t="shared" si="12"/>
        <v>49</v>
      </c>
      <c r="C73" s="119" t="s">
        <v>145</v>
      </c>
      <c r="D73" s="119" t="s">
        <v>145</v>
      </c>
      <c r="E73" s="291" t="s">
        <v>261</v>
      </c>
      <c r="F73" s="236">
        <v>4</v>
      </c>
      <c r="G73" s="335">
        <v>70</v>
      </c>
      <c r="H73" s="336">
        <f t="shared" si="11"/>
        <v>280</v>
      </c>
      <c r="I73" s="167"/>
      <c r="J73" s="187" t="s">
        <v>262</v>
      </c>
      <c r="K73" s="71"/>
      <c r="L73" s="11"/>
      <c r="M73" s="159">
        <v>43808</v>
      </c>
      <c r="N73" s="15"/>
      <c r="O73" s="15"/>
      <c r="P73" s="76">
        <v>43822</v>
      </c>
      <c r="Q73" s="135">
        <v>43822</v>
      </c>
    </row>
    <row r="74" spans="2:17" s="112" customFormat="1" ht="18" customHeight="1" x14ac:dyDescent="0.15">
      <c r="B74" s="114">
        <f t="shared" si="12"/>
        <v>50</v>
      </c>
      <c r="C74" s="119" t="s">
        <v>145</v>
      </c>
      <c r="D74" s="119" t="s">
        <v>145</v>
      </c>
      <c r="E74" s="291" t="s">
        <v>263</v>
      </c>
      <c r="F74" s="236">
        <v>4</v>
      </c>
      <c r="G74" s="335">
        <v>78</v>
      </c>
      <c r="H74" s="336">
        <f t="shared" si="11"/>
        <v>312</v>
      </c>
      <c r="I74" s="167"/>
      <c r="J74" s="187" t="s">
        <v>262</v>
      </c>
      <c r="K74" s="71"/>
      <c r="L74" s="11"/>
      <c r="M74" s="159">
        <v>43808</v>
      </c>
      <c r="N74" s="15"/>
      <c r="O74" s="15"/>
      <c r="P74" s="76">
        <v>43822</v>
      </c>
      <c r="Q74" s="135">
        <v>43822</v>
      </c>
    </row>
    <row r="75" spans="2:17" s="112" customFormat="1" ht="18" customHeight="1" x14ac:dyDescent="0.15">
      <c r="B75" s="114">
        <f t="shared" si="12"/>
        <v>51</v>
      </c>
      <c r="C75" s="124" t="s">
        <v>145</v>
      </c>
      <c r="D75" s="124" t="s">
        <v>145</v>
      </c>
      <c r="E75" s="252" t="s">
        <v>264</v>
      </c>
      <c r="F75" s="292">
        <v>10</v>
      </c>
      <c r="G75" s="237">
        <v>79</v>
      </c>
      <c r="H75" s="337">
        <f t="shared" si="11"/>
        <v>790</v>
      </c>
      <c r="I75" s="200"/>
      <c r="J75" s="199" t="s">
        <v>265</v>
      </c>
      <c r="K75" s="71"/>
      <c r="L75" s="11"/>
      <c r="M75" s="159">
        <v>43808</v>
      </c>
      <c r="N75" s="15"/>
      <c r="O75" s="15"/>
      <c r="P75" s="76">
        <v>43822</v>
      </c>
      <c r="Q75" s="135">
        <v>43822</v>
      </c>
    </row>
    <row r="76" spans="2:17" s="112" customFormat="1" ht="18" customHeight="1" x14ac:dyDescent="0.15">
      <c r="B76" s="114">
        <f t="shared" si="12"/>
        <v>52</v>
      </c>
      <c r="C76" s="124" t="s">
        <v>145</v>
      </c>
      <c r="D76" s="124" t="s">
        <v>145</v>
      </c>
      <c r="E76" s="293" t="s">
        <v>266</v>
      </c>
      <c r="F76" s="119">
        <v>4</v>
      </c>
      <c r="G76" s="338">
        <v>71</v>
      </c>
      <c r="H76" s="339">
        <f t="shared" si="11"/>
        <v>284</v>
      </c>
      <c r="I76" s="167"/>
      <c r="J76" s="165" t="s">
        <v>267</v>
      </c>
      <c r="K76" s="71"/>
      <c r="L76" s="11"/>
      <c r="M76" s="159">
        <v>43808</v>
      </c>
      <c r="N76" s="15"/>
      <c r="O76" s="15"/>
      <c r="P76" s="76">
        <v>43822</v>
      </c>
      <c r="Q76" s="135">
        <v>43822</v>
      </c>
    </row>
    <row r="77" spans="2:17" s="112" customFormat="1" ht="18" customHeight="1" x14ac:dyDescent="0.15">
      <c r="B77" s="114">
        <f t="shared" si="12"/>
        <v>53</v>
      </c>
      <c r="C77" s="124" t="s">
        <v>145</v>
      </c>
      <c r="D77" s="124" t="s">
        <v>145</v>
      </c>
      <c r="E77" s="293" t="s">
        <v>268</v>
      </c>
      <c r="F77" s="119">
        <v>2</v>
      </c>
      <c r="G77" s="338">
        <v>30</v>
      </c>
      <c r="H77" s="339">
        <f t="shared" si="11"/>
        <v>60</v>
      </c>
      <c r="I77" s="167"/>
      <c r="J77" s="165" t="s">
        <v>269</v>
      </c>
      <c r="K77" s="71"/>
      <c r="L77" s="11"/>
      <c r="M77" s="159">
        <v>43808</v>
      </c>
      <c r="N77" s="15"/>
      <c r="O77" s="15"/>
      <c r="P77" s="76">
        <v>43822</v>
      </c>
      <c r="Q77" s="135">
        <v>43822</v>
      </c>
    </row>
    <row r="78" spans="2:17" s="112" customFormat="1" ht="18" customHeight="1" x14ac:dyDescent="0.15">
      <c r="B78" s="114">
        <f t="shared" si="12"/>
        <v>54</v>
      </c>
      <c r="C78" s="259" t="s">
        <v>270</v>
      </c>
      <c r="D78" s="259" t="s">
        <v>145</v>
      </c>
      <c r="E78" s="260" t="s">
        <v>271</v>
      </c>
      <c r="F78" s="261"/>
      <c r="G78" s="340">
        <v>1800</v>
      </c>
      <c r="H78" s="341">
        <f t="shared" si="11"/>
        <v>0</v>
      </c>
      <c r="I78" s="262"/>
      <c r="J78" s="260" t="s">
        <v>272</v>
      </c>
      <c r="K78" s="263"/>
      <c r="L78" s="11"/>
      <c r="M78" s="76"/>
      <c r="N78" s="15"/>
      <c r="O78" s="15"/>
      <c r="P78" s="76"/>
      <c r="Q78" s="24"/>
    </row>
    <row r="79" spans="2:17" s="112" customFormat="1" ht="18" customHeight="1" x14ac:dyDescent="0.15">
      <c r="B79" s="114">
        <f t="shared" si="12"/>
        <v>55</v>
      </c>
      <c r="C79" s="259" t="s">
        <v>145</v>
      </c>
      <c r="D79" s="259" t="s">
        <v>145</v>
      </c>
      <c r="E79" s="264" t="s">
        <v>154</v>
      </c>
      <c r="F79" s="265"/>
      <c r="G79" s="265">
        <v>23</v>
      </c>
      <c r="H79" s="342">
        <f t="shared" si="11"/>
        <v>0</v>
      </c>
      <c r="I79" s="266"/>
      <c r="J79" s="267" t="s">
        <v>273</v>
      </c>
      <c r="K79" s="268" t="s">
        <v>320</v>
      </c>
      <c r="L79" s="11"/>
      <c r="M79" s="76"/>
      <c r="N79" s="15"/>
      <c r="O79" s="15"/>
      <c r="P79" s="76"/>
      <c r="Q79" s="24"/>
    </row>
    <row r="80" spans="2:17" s="112" customFormat="1" ht="18" customHeight="1" x14ac:dyDescent="0.15">
      <c r="B80" s="114">
        <f t="shared" si="12"/>
        <v>56</v>
      </c>
      <c r="C80" s="259" t="s">
        <v>145</v>
      </c>
      <c r="D80" s="259" t="s">
        <v>145</v>
      </c>
      <c r="E80" s="264" t="s">
        <v>274</v>
      </c>
      <c r="F80" s="265"/>
      <c r="G80" s="265">
        <v>27</v>
      </c>
      <c r="H80" s="342">
        <f t="shared" si="11"/>
        <v>0</v>
      </c>
      <c r="I80" s="266"/>
      <c r="J80" s="267" t="s">
        <v>275</v>
      </c>
      <c r="K80" s="268" t="s">
        <v>320</v>
      </c>
      <c r="L80" s="11"/>
      <c r="M80" s="76"/>
      <c r="N80" s="15"/>
      <c r="O80" s="15"/>
      <c r="P80" s="76"/>
      <c r="Q80" s="24"/>
    </row>
    <row r="81" spans="2:17" s="112" customFormat="1" ht="18" customHeight="1" x14ac:dyDescent="0.15">
      <c r="B81" s="114">
        <f t="shared" si="12"/>
        <v>57</v>
      </c>
      <c r="C81" s="294" t="s">
        <v>145</v>
      </c>
      <c r="D81" s="294" t="s">
        <v>145</v>
      </c>
      <c r="E81" s="127" t="s">
        <v>192</v>
      </c>
      <c r="F81" s="295">
        <v>2</v>
      </c>
      <c r="G81" s="328">
        <v>860</v>
      </c>
      <c r="H81" s="328">
        <f>F81*G81</f>
        <v>1720</v>
      </c>
      <c r="I81" s="184"/>
      <c r="J81" s="201" t="s">
        <v>276</v>
      </c>
      <c r="K81" s="71"/>
      <c r="L81" s="11"/>
      <c r="M81" s="159">
        <v>43808</v>
      </c>
      <c r="N81" s="15"/>
      <c r="O81" s="15"/>
      <c r="P81" s="76">
        <v>43822</v>
      </c>
      <c r="Q81" s="135">
        <v>43822</v>
      </c>
    </row>
    <row r="82" spans="2:17" s="112" customFormat="1" ht="18" customHeight="1" x14ac:dyDescent="0.15">
      <c r="B82" s="114">
        <f t="shared" si="12"/>
        <v>58</v>
      </c>
      <c r="C82" s="253" t="s">
        <v>145</v>
      </c>
      <c r="D82" s="253" t="s">
        <v>145</v>
      </c>
      <c r="E82" s="254" t="s">
        <v>277</v>
      </c>
      <c r="F82" s="255"/>
      <c r="G82" s="343">
        <v>690</v>
      </c>
      <c r="H82" s="343">
        <f>F82*G82</f>
        <v>0</v>
      </c>
      <c r="I82" s="256"/>
      <c r="J82" s="257" t="s">
        <v>278</v>
      </c>
      <c r="K82" s="258" t="s">
        <v>326</v>
      </c>
      <c r="L82" s="11"/>
      <c r="M82" s="76"/>
      <c r="N82" s="15"/>
      <c r="O82" s="15"/>
      <c r="P82" s="76"/>
      <c r="Q82" s="24"/>
    </row>
    <row r="83" spans="2:17" s="112" customFormat="1" ht="18" customHeight="1" x14ac:dyDescent="0.15">
      <c r="B83" s="392">
        <f t="shared" si="12"/>
        <v>59</v>
      </c>
      <c r="C83" s="253" t="s">
        <v>145</v>
      </c>
      <c r="D83" s="253" t="s">
        <v>145</v>
      </c>
      <c r="E83" s="254" t="s">
        <v>150</v>
      </c>
      <c r="F83" s="255"/>
      <c r="G83" s="343">
        <v>990</v>
      </c>
      <c r="H83" s="343">
        <f>F83*G83</f>
        <v>0</v>
      </c>
      <c r="I83" s="256"/>
      <c r="J83" s="257" t="s">
        <v>278</v>
      </c>
      <c r="K83" s="258" t="s">
        <v>326</v>
      </c>
      <c r="L83" s="11"/>
      <c r="M83" s="76"/>
      <c r="N83" s="15"/>
      <c r="O83" s="15"/>
      <c r="P83" s="76"/>
      <c r="Q83" s="24"/>
    </row>
    <row r="84" spans="2:17" s="112" customFormat="1" ht="18" customHeight="1" x14ac:dyDescent="0.15">
      <c r="B84" s="129"/>
      <c r="C84" s="183"/>
      <c r="D84" s="183"/>
      <c r="E84" s="169"/>
      <c r="F84" s="164"/>
      <c r="G84" s="171"/>
      <c r="H84" s="171"/>
      <c r="I84" s="167"/>
      <c r="J84" s="202"/>
      <c r="K84" s="71"/>
      <c r="L84" s="11"/>
      <c r="M84" s="76"/>
      <c r="N84" s="15"/>
      <c r="O84" s="15"/>
      <c r="P84" s="76"/>
      <c r="Q84" s="24"/>
    </row>
    <row r="85" spans="2:17" s="112" customFormat="1" ht="18" customHeight="1" x14ac:dyDescent="0.15">
      <c r="B85" s="129"/>
      <c r="C85" s="203"/>
      <c r="D85" s="203"/>
      <c r="E85" s="204">
        <f>SUM(H70:H84)</f>
        <v>12676</v>
      </c>
      <c r="F85" s="358"/>
      <c r="G85" s="344"/>
      <c r="H85" s="171">
        <f>F85*G85</f>
        <v>0</v>
      </c>
      <c r="I85" s="177"/>
      <c r="J85" s="178"/>
      <c r="K85" s="71"/>
      <c r="L85" s="11"/>
      <c r="M85" s="76"/>
      <c r="N85" s="15"/>
      <c r="O85" s="15"/>
      <c r="P85" s="76"/>
      <c r="Q85" s="24"/>
    </row>
    <row r="86" spans="2:17" s="222" customFormat="1" ht="18" customHeight="1" x14ac:dyDescent="0.15">
      <c r="B86" s="367"/>
      <c r="C86" s="386"/>
      <c r="D86" s="386"/>
      <c r="E86" s="387"/>
      <c r="F86" s="388"/>
      <c r="G86" s="389"/>
      <c r="H86" s="390"/>
      <c r="I86" s="119"/>
      <c r="J86" s="391"/>
      <c r="K86" s="229"/>
      <c r="L86" s="230"/>
      <c r="M86" s="231"/>
      <c r="N86" s="232"/>
      <c r="O86" s="232"/>
      <c r="P86" s="231"/>
      <c r="Q86" s="233"/>
    </row>
    <row r="87" spans="2:17" s="112" customFormat="1" ht="18" customHeight="1" x14ac:dyDescent="0.15">
      <c r="B87" s="129"/>
      <c r="C87" s="206"/>
      <c r="D87" s="206"/>
      <c r="E87" s="207"/>
      <c r="F87" s="208"/>
      <c r="G87" s="208"/>
      <c r="H87" s="345"/>
      <c r="I87" s="394"/>
      <c r="J87" s="69"/>
      <c r="K87" s="71"/>
      <c r="L87" s="11"/>
      <c r="M87" s="76"/>
      <c r="N87" s="15"/>
      <c r="O87" s="15"/>
      <c r="P87" s="76"/>
      <c r="Q87" s="24"/>
    </row>
    <row r="88" spans="2:17" s="112" customFormat="1" ht="18" customHeight="1" x14ac:dyDescent="0.15">
      <c r="B88" s="393"/>
      <c r="C88" s="428" t="s">
        <v>152</v>
      </c>
      <c r="D88" s="429"/>
      <c r="E88" s="429"/>
      <c r="F88" s="205"/>
      <c r="G88" s="346"/>
      <c r="H88" s="68"/>
      <c r="I88" s="13"/>
      <c r="J88" s="64"/>
      <c r="K88" s="71"/>
      <c r="L88" s="11"/>
      <c r="M88" s="76"/>
      <c r="N88" s="15"/>
      <c r="O88" s="15"/>
      <c r="P88" s="76"/>
      <c r="Q88" s="24"/>
    </row>
    <row r="89" spans="2:17" s="112" customFormat="1" ht="15.6" customHeight="1" x14ac:dyDescent="0.15">
      <c r="B89" s="151">
        <f>+B83+1</f>
        <v>60</v>
      </c>
      <c r="C89" s="242" t="s">
        <v>145</v>
      </c>
      <c r="D89" s="242" t="s">
        <v>145</v>
      </c>
      <c r="E89" s="243" t="s">
        <v>337</v>
      </c>
      <c r="F89" s="244">
        <v>1</v>
      </c>
      <c r="G89" s="323">
        <v>11966</v>
      </c>
      <c r="H89" s="347">
        <f t="shared" ref="H89" si="13">F89*G89</f>
        <v>11966</v>
      </c>
      <c r="I89" s="217"/>
      <c r="J89" s="241" t="s">
        <v>336</v>
      </c>
      <c r="K89" s="71"/>
      <c r="L89" s="11"/>
      <c r="M89" s="159">
        <v>43808</v>
      </c>
      <c r="N89" s="15"/>
      <c r="O89" s="159"/>
      <c r="P89" s="76">
        <v>43822</v>
      </c>
      <c r="Q89" s="135">
        <v>43822</v>
      </c>
    </row>
    <row r="90" spans="2:17" s="112" customFormat="1" ht="18" customHeight="1" x14ac:dyDescent="0.15">
      <c r="B90" s="151">
        <f>+B89+1</f>
        <v>61</v>
      </c>
      <c r="C90" s="166" t="s">
        <v>145</v>
      </c>
      <c r="D90" s="166" t="s">
        <v>145</v>
      </c>
      <c r="E90" s="297" t="s">
        <v>327</v>
      </c>
      <c r="F90" s="298">
        <v>1</v>
      </c>
      <c r="G90" s="296">
        <v>11950</v>
      </c>
      <c r="H90" s="331">
        <f t="shared" ref="H90:H121" si="14">F90*G90</f>
        <v>11950</v>
      </c>
      <c r="I90" s="167"/>
      <c r="J90" s="168" t="s">
        <v>203</v>
      </c>
      <c r="K90" s="71"/>
      <c r="L90" s="11"/>
      <c r="M90" s="159">
        <v>43808</v>
      </c>
      <c r="N90" s="15"/>
      <c r="O90" s="159"/>
      <c r="P90" s="76">
        <v>43822</v>
      </c>
      <c r="Q90" s="135">
        <v>43822</v>
      </c>
    </row>
    <row r="91" spans="2:17" s="112" customFormat="1" ht="18" customHeight="1" x14ac:dyDescent="0.15">
      <c r="B91" s="151">
        <f t="shared" ref="B91:B137" si="15">+B90+1</f>
        <v>62</v>
      </c>
      <c r="C91" s="166" t="s">
        <v>145</v>
      </c>
      <c r="D91" s="166" t="s">
        <v>145</v>
      </c>
      <c r="E91" s="299" t="s">
        <v>204</v>
      </c>
      <c r="F91" s="300">
        <v>1</v>
      </c>
      <c r="G91" s="301">
        <v>2148</v>
      </c>
      <c r="H91" s="171">
        <f t="shared" si="14"/>
        <v>2148</v>
      </c>
      <c r="I91" s="172"/>
      <c r="J91" s="165" t="s">
        <v>205</v>
      </c>
      <c r="K91" s="71"/>
      <c r="L91" s="11"/>
      <c r="M91" s="159">
        <v>43808</v>
      </c>
      <c r="N91" s="15"/>
      <c r="O91" s="159"/>
      <c r="P91" s="76">
        <v>43822</v>
      </c>
      <c r="Q91" s="135">
        <v>43822</v>
      </c>
    </row>
    <row r="92" spans="2:17" s="112" customFormat="1" ht="18" customHeight="1" x14ac:dyDescent="0.15">
      <c r="B92" s="151">
        <f t="shared" si="15"/>
        <v>63</v>
      </c>
      <c r="C92" s="166" t="s">
        <v>145</v>
      </c>
      <c r="D92" s="166" t="s">
        <v>145</v>
      </c>
      <c r="E92" s="299" t="s">
        <v>206</v>
      </c>
      <c r="F92" s="300">
        <v>1</v>
      </c>
      <c r="G92" s="301">
        <v>6005</v>
      </c>
      <c r="H92" s="171">
        <f t="shared" si="14"/>
        <v>6005</v>
      </c>
      <c r="I92" s="172"/>
      <c r="J92" s="165" t="s">
        <v>205</v>
      </c>
      <c r="K92" s="71"/>
      <c r="L92" s="11"/>
      <c r="M92" s="159">
        <v>43808</v>
      </c>
      <c r="N92" s="15"/>
      <c r="O92" s="159"/>
      <c r="P92" s="76">
        <v>43822</v>
      </c>
      <c r="Q92" s="135">
        <v>43822</v>
      </c>
    </row>
    <row r="93" spans="2:17" s="112" customFormat="1" ht="18" customHeight="1" x14ac:dyDescent="0.15">
      <c r="B93" s="151">
        <f t="shared" si="15"/>
        <v>64</v>
      </c>
      <c r="C93" s="166" t="s">
        <v>145</v>
      </c>
      <c r="D93" s="166" t="s">
        <v>145</v>
      </c>
      <c r="E93" s="299" t="s">
        <v>207</v>
      </c>
      <c r="F93" s="300">
        <v>1</v>
      </c>
      <c r="G93" s="301">
        <v>4570</v>
      </c>
      <c r="H93" s="171">
        <f t="shared" si="14"/>
        <v>4570</v>
      </c>
      <c r="I93" s="172"/>
      <c r="J93" s="165" t="s">
        <v>208</v>
      </c>
      <c r="K93" s="71"/>
      <c r="L93" s="11"/>
      <c r="M93" s="159">
        <v>43808</v>
      </c>
      <c r="N93" s="15"/>
      <c r="O93" s="159"/>
      <c r="P93" s="76">
        <v>43822</v>
      </c>
      <c r="Q93" s="135">
        <v>43822</v>
      </c>
    </row>
    <row r="94" spans="2:17" s="112" customFormat="1" ht="18" customHeight="1" x14ac:dyDescent="0.15">
      <c r="B94" s="151">
        <f t="shared" si="15"/>
        <v>65</v>
      </c>
      <c r="C94" s="166" t="s">
        <v>145</v>
      </c>
      <c r="D94" s="166" t="s">
        <v>145</v>
      </c>
      <c r="E94" s="299" t="s">
        <v>209</v>
      </c>
      <c r="F94" s="300">
        <v>1</v>
      </c>
      <c r="G94" s="301">
        <v>3853</v>
      </c>
      <c r="H94" s="171">
        <f t="shared" si="14"/>
        <v>3853</v>
      </c>
      <c r="I94" s="173"/>
      <c r="J94" s="165" t="s">
        <v>210</v>
      </c>
      <c r="K94" s="71"/>
      <c r="L94" s="11"/>
      <c r="M94" s="159">
        <v>43808</v>
      </c>
      <c r="N94" s="15"/>
      <c r="O94" s="159"/>
      <c r="P94" s="76">
        <v>43822</v>
      </c>
      <c r="Q94" s="135">
        <v>43822</v>
      </c>
    </row>
    <row r="95" spans="2:17" s="112" customFormat="1" ht="18" customHeight="1" x14ac:dyDescent="0.15">
      <c r="B95" s="151">
        <f t="shared" si="15"/>
        <v>66</v>
      </c>
      <c r="C95" s="166" t="s">
        <v>145</v>
      </c>
      <c r="D95" s="166" t="s">
        <v>145</v>
      </c>
      <c r="E95" s="299" t="s">
        <v>342</v>
      </c>
      <c r="F95" s="300">
        <v>1</v>
      </c>
      <c r="G95" s="301">
        <v>977</v>
      </c>
      <c r="H95" s="171">
        <f t="shared" si="14"/>
        <v>977</v>
      </c>
      <c r="I95" s="174"/>
      <c r="J95" s="165" t="s">
        <v>211</v>
      </c>
      <c r="K95" s="71"/>
      <c r="L95" s="11"/>
      <c r="M95" s="159">
        <v>43808</v>
      </c>
      <c r="N95" s="15"/>
      <c r="O95" s="159"/>
      <c r="P95" s="76">
        <v>43822</v>
      </c>
      <c r="Q95" s="135">
        <v>43822</v>
      </c>
    </row>
    <row r="96" spans="2:17" s="112" customFormat="1" ht="18" customHeight="1" x14ac:dyDescent="0.15">
      <c r="B96" s="151">
        <f t="shared" si="15"/>
        <v>67</v>
      </c>
      <c r="C96" s="164" t="s">
        <v>37</v>
      </c>
      <c r="D96" s="164" t="s">
        <v>37</v>
      </c>
      <c r="E96" s="302" t="s">
        <v>341</v>
      </c>
      <c r="F96" s="303">
        <v>1</v>
      </c>
      <c r="G96" s="303">
        <v>977</v>
      </c>
      <c r="H96" s="171">
        <f>F96*G96</f>
        <v>977</v>
      </c>
      <c r="I96" s="194"/>
      <c r="J96" s="182" t="s">
        <v>116</v>
      </c>
      <c r="K96" s="71"/>
      <c r="L96" s="11"/>
      <c r="M96" s="159">
        <v>43808</v>
      </c>
      <c r="N96" s="15"/>
      <c r="O96" s="159"/>
      <c r="P96" s="76">
        <v>43822</v>
      </c>
      <c r="Q96" s="135">
        <v>43822</v>
      </c>
    </row>
    <row r="97" spans="2:17" s="112" customFormat="1" ht="18" customHeight="1" x14ac:dyDescent="0.15">
      <c r="B97" s="151">
        <f>+B96+1</f>
        <v>68</v>
      </c>
      <c r="C97" s="269" t="s">
        <v>145</v>
      </c>
      <c r="D97" s="269" t="s">
        <v>145</v>
      </c>
      <c r="E97" s="270" t="s">
        <v>146</v>
      </c>
      <c r="F97" s="359"/>
      <c r="G97" s="274">
        <v>1082</v>
      </c>
      <c r="H97" s="275">
        <f t="shared" si="14"/>
        <v>0</v>
      </c>
      <c r="I97" s="271"/>
      <c r="J97" s="272" t="s">
        <v>212</v>
      </c>
      <c r="K97" s="258" t="s">
        <v>326</v>
      </c>
      <c r="L97" s="11"/>
      <c r="M97" s="76"/>
      <c r="N97" s="15"/>
      <c r="O97" s="159"/>
      <c r="P97" s="162"/>
      <c r="Q97" s="24"/>
    </row>
    <row r="98" spans="2:17" s="112" customFormat="1" ht="18" customHeight="1" x14ac:dyDescent="0.15">
      <c r="B98" s="151">
        <f t="shared" si="15"/>
        <v>69</v>
      </c>
      <c r="C98" s="269" t="s">
        <v>145</v>
      </c>
      <c r="D98" s="269" t="s">
        <v>145</v>
      </c>
      <c r="E98" s="273" t="s">
        <v>148</v>
      </c>
      <c r="F98" s="274"/>
      <c r="G98" s="277">
        <v>403</v>
      </c>
      <c r="H98" s="275">
        <f t="shared" si="14"/>
        <v>0</v>
      </c>
      <c r="I98" s="276"/>
      <c r="J98" s="272" t="s">
        <v>149</v>
      </c>
      <c r="K98" s="258" t="s">
        <v>326</v>
      </c>
      <c r="L98" s="11"/>
      <c r="M98" s="76"/>
      <c r="N98" s="15"/>
      <c r="O98" s="159"/>
      <c r="P98" s="162"/>
      <c r="Q98" s="24"/>
    </row>
    <row r="99" spans="2:17" s="112" customFormat="1" ht="18" customHeight="1" x14ac:dyDescent="0.15">
      <c r="B99" s="151">
        <f t="shared" si="15"/>
        <v>70</v>
      </c>
      <c r="C99" s="269" t="s">
        <v>145</v>
      </c>
      <c r="D99" s="269" t="s">
        <v>145</v>
      </c>
      <c r="E99" s="273" t="s">
        <v>213</v>
      </c>
      <c r="F99" s="274"/>
      <c r="G99" s="274">
        <v>926</v>
      </c>
      <c r="H99" s="275">
        <f t="shared" si="14"/>
        <v>0</v>
      </c>
      <c r="I99" s="276"/>
      <c r="J99" s="272" t="s">
        <v>214</v>
      </c>
      <c r="K99" s="258" t="s">
        <v>326</v>
      </c>
      <c r="L99" s="11"/>
      <c r="M99" s="76"/>
      <c r="N99" s="15"/>
      <c r="O99" s="159"/>
      <c r="P99" s="162"/>
      <c r="Q99" s="24"/>
    </row>
    <row r="100" spans="2:17" s="112" customFormat="1" ht="18" customHeight="1" x14ac:dyDescent="0.15">
      <c r="B100" s="151">
        <f t="shared" si="15"/>
        <v>71</v>
      </c>
      <c r="C100" s="269" t="s">
        <v>145</v>
      </c>
      <c r="D100" s="269" t="s">
        <v>145</v>
      </c>
      <c r="E100" s="281" t="s">
        <v>215</v>
      </c>
      <c r="F100" s="274"/>
      <c r="G100" s="275">
        <v>19</v>
      </c>
      <c r="H100" s="275">
        <f>F100*G100</f>
        <v>0</v>
      </c>
      <c r="I100" s="275"/>
      <c r="J100" s="272" t="s">
        <v>216</v>
      </c>
      <c r="K100" s="258" t="s">
        <v>326</v>
      </c>
      <c r="L100" s="11"/>
      <c r="M100" s="76"/>
      <c r="N100" s="15"/>
      <c r="O100" s="159"/>
      <c r="P100" s="162"/>
      <c r="Q100" s="24"/>
    </row>
    <row r="101" spans="2:17" s="112" customFormat="1" ht="18" customHeight="1" x14ac:dyDescent="0.15">
      <c r="B101" s="151">
        <f>+B100+1</f>
        <v>72</v>
      </c>
      <c r="C101" s="179" t="s">
        <v>145</v>
      </c>
      <c r="D101" s="179" t="s">
        <v>145</v>
      </c>
      <c r="E101" s="118" t="s">
        <v>217</v>
      </c>
      <c r="F101" s="237">
        <v>1</v>
      </c>
      <c r="G101" s="237">
        <v>1789</v>
      </c>
      <c r="H101" s="171">
        <f t="shared" si="14"/>
        <v>1789</v>
      </c>
      <c r="I101" s="181"/>
      <c r="J101" s="182" t="s">
        <v>218</v>
      </c>
      <c r="K101" s="71"/>
      <c r="L101" s="11"/>
      <c r="M101" s="159">
        <v>43808</v>
      </c>
      <c r="N101" s="15"/>
      <c r="O101" s="159"/>
      <c r="P101" s="76">
        <v>43822</v>
      </c>
      <c r="Q101" s="135">
        <v>43822</v>
      </c>
    </row>
    <row r="102" spans="2:17" s="112" customFormat="1" ht="18" customHeight="1" x14ac:dyDescent="0.15">
      <c r="B102" s="151">
        <f t="shared" si="15"/>
        <v>73</v>
      </c>
      <c r="C102" s="166" t="s">
        <v>145</v>
      </c>
      <c r="D102" s="166" t="s">
        <v>145</v>
      </c>
      <c r="E102" s="304" t="s">
        <v>219</v>
      </c>
      <c r="F102" s="119">
        <v>1</v>
      </c>
      <c r="G102" s="237">
        <v>4225</v>
      </c>
      <c r="H102" s="171">
        <f t="shared" si="14"/>
        <v>4225</v>
      </c>
      <c r="I102" s="167"/>
      <c r="J102" s="169" t="s">
        <v>220</v>
      </c>
      <c r="K102" s="71"/>
      <c r="L102" s="11"/>
      <c r="M102" s="159">
        <v>43808</v>
      </c>
      <c r="N102" s="15"/>
      <c r="O102" s="159"/>
      <c r="P102" s="76">
        <v>43822</v>
      </c>
      <c r="Q102" s="135">
        <v>43822</v>
      </c>
    </row>
    <row r="103" spans="2:17" s="112" customFormat="1" ht="18" customHeight="1" x14ac:dyDescent="0.15">
      <c r="B103" s="151">
        <f>+B102+1</f>
        <v>74</v>
      </c>
      <c r="C103" s="278" t="s">
        <v>221</v>
      </c>
      <c r="D103" s="278" t="s">
        <v>145</v>
      </c>
      <c r="E103" s="264" t="s">
        <v>222</v>
      </c>
      <c r="F103" s="279"/>
      <c r="G103" s="280">
        <v>483</v>
      </c>
      <c r="H103" s="280">
        <f t="shared" si="14"/>
        <v>0</v>
      </c>
      <c r="I103" s="282"/>
      <c r="J103" s="283" t="s">
        <v>223</v>
      </c>
      <c r="K103" s="258" t="s">
        <v>326</v>
      </c>
      <c r="L103" s="11"/>
      <c r="M103" s="76"/>
      <c r="N103" s="15"/>
      <c r="O103" s="159"/>
      <c r="P103" s="162"/>
      <c r="Q103" s="24"/>
    </row>
    <row r="104" spans="2:17" s="112" customFormat="1" ht="18" customHeight="1" x14ac:dyDescent="0.15">
      <c r="B104" s="151">
        <f t="shared" si="15"/>
        <v>75</v>
      </c>
      <c r="C104" s="166" t="s">
        <v>145</v>
      </c>
      <c r="D104" s="166" t="s">
        <v>145</v>
      </c>
      <c r="E104" s="305" t="s">
        <v>224</v>
      </c>
      <c r="F104" s="119">
        <v>1</v>
      </c>
      <c r="G104" s="237">
        <v>550</v>
      </c>
      <c r="H104" s="171">
        <f t="shared" si="14"/>
        <v>550</v>
      </c>
      <c r="I104" s="167"/>
      <c r="J104" s="165" t="s">
        <v>225</v>
      </c>
      <c r="K104" s="71"/>
      <c r="L104" s="11"/>
      <c r="M104" s="159">
        <v>43808</v>
      </c>
      <c r="N104" s="15"/>
      <c r="O104" s="159"/>
      <c r="P104" s="76">
        <v>43822</v>
      </c>
      <c r="Q104" s="135">
        <v>43822</v>
      </c>
    </row>
    <row r="105" spans="2:17" s="112" customFormat="1" ht="18" customHeight="1" x14ac:dyDescent="0.15">
      <c r="B105" s="151">
        <f t="shared" si="15"/>
        <v>76</v>
      </c>
      <c r="C105" s="166" t="s">
        <v>145</v>
      </c>
      <c r="D105" s="166" t="s">
        <v>145</v>
      </c>
      <c r="E105" s="306" t="s">
        <v>226</v>
      </c>
      <c r="F105" s="119">
        <v>1</v>
      </c>
      <c r="G105" s="237">
        <v>508</v>
      </c>
      <c r="H105" s="171">
        <f t="shared" si="14"/>
        <v>508</v>
      </c>
      <c r="I105" s="167"/>
      <c r="J105" s="169" t="s">
        <v>227</v>
      </c>
      <c r="K105" s="71"/>
      <c r="L105" s="11"/>
      <c r="M105" s="159">
        <v>43808</v>
      </c>
      <c r="N105" s="15"/>
      <c r="O105" s="159"/>
      <c r="P105" s="76">
        <v>43822</v>
      </c>
      <c r="Q105" s="135">
        <v>43822</v>
      </c>
    </row>
    <row r="106" spans="2:17" s="112" customFormat="1" ht="18" customHeight="1" x14ac:dyDescent="0.15">
      <c r="B106" s="151">
        <f t="shared" si="15"/>
        <v>77</v>
      </c>
      <c r="C106" s="166" t="s">
        <v>145</v>
      </c>
      <c r="D106" s="166" t="s">
        <v>145</v>
      </c>
      <c r="E106" s="284" t="s">
        <v>228</v>
      </c>
      <c r="F106" s="119">
        <v>1</v>
      </c>
      <c r="G106" s="237">
        <v>5104</v>
      </c>
      <c r="H106" s="171">
        <f t="shared" si="14"/>
        <v>5104</v>
      </c>
      <c r="I106" s="167"/>
      <c r="J106" s="169" t="s">
        <v>229</v>
      </c>
      <c r="K106" s="71"/>
      <c r="L106" s="11"/>
      <c r="M106" s="159">
        <v>43808</v>
      </c>
      <c r="N106" s="15"/>
      <c r="O106" s="159"/>
      <c r="P106" s="76">
        <v>43822</v>
      </c>
      <c r="Q106" s="135">
        <v>43822</v>
      </c>
    </row>
    <row r="107" spans="2:17" s="112" customFormat="1" ht="18" customHeight="1" x14ac:dyDescent="0.15">
      <c r="B107" s="151">
        <f t="shared" si="15"/>
        <v>78</v>
      </c>
      <c r="C107" s="166" t="s">
        <v>145</v>
      </c>
      <c r="D107" s="166" t="s">
        <v>145</v>
      </c>
      <c r="E107" s="284" t="s">
        <v>230</v>
      </c>
      <c r="F107" s="119">
        <v>1</v>
      </c>
      <c r="G107" s="237">
        <v>5400</v>
      </c>
      <c r="H107" s="171">
        <f t="shared" si="14"/>
        <v>5400</v>
      </c>
      <c r="I107" s="167"/>
      <c r="J107" s="169" t="s">
        <v>231</v>
      </c>
      <c r="K107" s="71"/>
      <c r="L107" s="11"/>
      <c r="M107" s="159">
        <v>43808</v>
      </c>
      <c r="N107" s="15"/>
      <c r="O107" s="159"/>
      <c r="P107" s="76">
        <v>43822</v>
      </c>
      <c r="Q107" s="135">
        <v>43822</v>
      </c>
    </row>
    <row r="108" spans="2:17" s="112" customFormat="1" ht="18" customHeight="1" x14ac:dyDescent="0.15">
      <c r="B108" s="151">
        <f t="shared" si="15"/>
        <v>79</v>
      </c>
      <c r="C108" s="124" t="s">
        <v>145</v>
      </c>
      <c r="D108" s="124" t="s">
        <v>145</v>
      </c>
      <c r="E108" s="284" t="s">
        <v>232</v>
      </c>
      <c r="F108" s="119">
        <v>1</v>
      </c>
      <c r="G108" s="237">
        <v>5560</v>
      </c>
      <c r="H108" s="237">
        <f t="shared" si="14"/>
        <v>5560</v>
      </c>
      <c r="I108" s="120"/>
      <c r="J108" s="125" t="s">
        <v>233</v>
      </c>
      <c r="K108" s="229"/>
      <c r="L108" s="11"/>
      <c r="M108" s="159">
        <v>43808</v>
      </c>
      <c r="N108" s="15"/>
      <c r="O108" s="159"/>
      <c r="P108" s="76">
        <v>43822</v>
      </c>
      <c r="Q108" s="135">
        <v>43822</v>
      </c>
    </row>
    <row r="109" spans="2:17" s="112" customFormat="1" ht="18" customHeight="1" x14ac:dyDescent="0.15">
      <c r="B109" s="151">
        <f t="shared" si="15"/>
        <v>80</v>
      </c>
      <c r="C109" s="269" t="s">
        <v>145</v>
      </c>
      <c r="D109" s="269" t="s">
        <v>145</v>
      </c>
      <c r="E109" s="285" t="s">
        <v>234</v>
      </c>
      <c r="F109" s="274"/>
      <c r="G109" s="275">
        <v>1098</v>
      </c>
      <c r="H109" s="275">
        <f t="shared" si="14"/>
        <v>0</v>
      </c>
      <c r="I109" s="271"/>
      <c r="J109" s="273" t="s">
        <v>235</v>
      </c>
      <c r="K109" s="258" t="s">
        <v>326</v>
      </c>
      <c r="L109" s="11"/>
      <c r="M109" s="76"/>
      <c r="N109" s="15"/>
      <c r="O109" s="159"/>
      <c r="P109" s="162"/>
      <c r="Q109" s="24"/>
    </row>
    <row r="110" spans="2:17" s="112" customFormat="1" ht="18" customHeight="1" x14ac:dyDescent="0.15">
      <c r="B110" s="151">
        <f t="shared" si="15"/>
        <v>81</v>
      </c>
      <c r="C110" s="269" t="s">
        <v>145</v>
      </c>
      <c r="D110" s="269" t="s">
        <v>145</v>
      </c>
      <c r="E110" s="286" t="s">
        <v>236</v>
      </c>
      <c r="F110" s="274"/>
      <c r="G110" s="275">
        <v>1098</v>
      </c>
      <c r="H110" s="275">
        <f t="shared" si="14"/>
        <v>0</v>
      </c>
      <c r="I110" s="271"/>
      <c r="J110" s="273" t="s">
        <v>237</v>
      </c>
      <c r="K110" s="258" t="s">
        <v>326</v>
      </c>
      <c r="L110" s="11"/>
      <c r="M110" s="76"/>
      <c r="N110" s="15"/>
      <c r="O110" s="159"/>
      <c r="P110" s="162"/>
      <c r="Q110" s="24"/>
    </row>
    <row r="111" spans="2:17" s="112" customFormat="1" ht="18" customHeight="1" x14ac:dyDescent="0.15">
      <c r="B111" s="151">
        <f t="shared" si="15"/>
        <v>82</v>
      </c>
      <c r="C111" s="183" t="s">
        <v>145</v>
      </c>
      <c r="D111" s="183" t="s">
        <v>145</v>
      </c>
      <c r="E111" s="127" t="s">
        <v>192</v>
      </c>
      <c r="F111" s="295">
        <v>2</v>
      </c>
      <c r="G111" s="348">
        <v>860</v>
      </c>
      <c r="H111" s="347">
        <f t="shared" si="14"/>
        <v>1720</v>
      </c>
      <c r="I111" s="184"/>
      <c r="J111" s="185" t="s">
        <v>238</v>
      </c>
      <c r="K111" s="71"/>
      <c r="L111" s="11"/>
      <c r="M111" s="159">
        <v>43808</v>
      </c>
      <c r="N111" s="15"/>
      <c r="O111" s="159"/>
      <c r="P111" s="76">
        <v>43822</v>
      </c>
      <c r="Q111" s="135">
        <v>43822</v>
      </c>
    </row>
    <row r="112" spans="2:17" s="112" customFormat="1" ht="18" customHeight="1" x14ac:dyDescent="0.15">
      <c r="B112" s="151">
        <f t="shared" si="15"/>
        <v>83</v>
      </c>
      <c r="C112" s="195" t="s">
        <v>145</v>
      </c>
      <c r="D112" s="195" t="s">
        <v>145</v>
      </c>
      <c r="E112" s="118" t="s">
        <v>193</v>
      </c>
      <c r="F112" s="122">
        <v>6</v>
      </c>
      <c r="G112" s="349">
        <v>270</v>
      </c>
      <c r="H112" s="350">
        <f t="shared" si="14"/>
        <v>1620</v>
      </c>
      <c r="I112" s="196"/>
      <c r="J112" s="180" t="s">
        <v>153</v>
      </c>
      <c r="K112" s="71"/>
      <c r="L112" s="11"/>
      <c r="M112" s="159">
        <v>43808</v>
      </c>
      <c r="N112" s="15"/>
      <c r="O112" s="159"/>
      <c r="P112" s="76">
        <v>43822</v>
      </c>
      <c r="Q112" s="135">
        <v>43822</v>
      </c>
    </row>
    <row r="113" spans="2:17" s="112" customFormat="1" ht="18" customHeight="1" x14ac:dyDescent="0.15">
      <c r="B113" s="151">
        <f t="shared" si="15"/>
        <v>84</v>
      </c>
      <c r="C113" s="186" t="s">
        <v>144</v>
      </c>
      <c r="D113" s="188" t="s">
        <v>200</v>
      </c>
      <c r="E113" s="307" t="s">
        <v>239</v>
      </c>
      <c r="F113" s="122">
        <v>1</v>
      </c>
      <c r="G113" s="186">
        <v>3040</v>
      </c>
      <c r="H113" s="349">
        <f t="shared" si="14"/>
        <v>3040</v>
      </c>
      <c r="I113" s="167"/>
      <c r="J113" s="182" t="s">
        <v>164</v>
      </c>
      <c r="K113" s="71"/>
      <c r="L113" s="11"/>
      <c r="M113" s="76">
        <v>43808</v>
      </c>
      <c r="N113" s="15"/>
      <c r="O113" s="159">
        <v>43822</v>
      </c>
      <c r="P113" s="162">
        <v>43819</v>
      </c>
      <c r="Q113" s="24">
        <v>43819</v>
      </c>
    </row>
    <row r="114" spans="2:17" s="112" customFormat="1" ht="18" customHeight="1" x14ac:dyDescent="0.15">
      <c r="B114" s="151">
        <f t="shared" si="15"/>
        <v>85</v>
      </c>
      <c r="C114" s="189" t="s">
        <v>145</v>
      </c>
      <c r="D114" s="189" t="s">
        <v>145</v>
      </c>
      <c r="E114" s="238" t="s">
        <v>240</v>
      </c>
      <c r="F114" s="119">
        <v>1</v>
      </c>
      <c r="G114" s="189">
        <v>4300</v>
      </c>
      <c r="H114" s="189">
        <f t="shared" si="14"/>
        <v>4300</v>
      </c>
      <c r="I114" s="176"/>
      <c r="J114" s="190" t="s">
        <v>241</v>
      </c>
      <c r="K114" s="71"/>
      <c r="L114" s="11"/>
      <c r="M114" s="159">
        <v>43808</v>
      </c>
      <c r="N114" s="15"/>
      <c r="O114" s="159"/>
      <c r="P114" s="76">
        <v>43822</v>
      </c>
      <c r="Q114" s="135">
        <v>43822</v>
      </c>
    </row>
    <row r="115" spans="2:17" s="112" customFormat="1" ht="18" customHeight="1" x14ac:dyDescent="0.15">
      <c r="B115" s="151">
        <f t="shared" si="15"/>
        <v>86</v>
      </c>
      <c r="C115" s="189" t="s">
        <v>145</v>
      </c>
      <c r="D115" s="189" t="s">
        <v>145</v>
      </c>
      <c r="E115" s="238" t="s">
        <v>242</v>
      </c>
      <c r="F115" s="120">
        <v>4</v>
      </c>
      <c r="G115" s="189">
        <v>106</v>
      </c>
      <c r="H115" s="189">
        <f t="shared" si="14"/>
        <v>424</v>
      </c>
      <c r="I115" s="191"/>
      <c r="J115" s="190" t="s">
        <v>243</v>
      </c>
      <c r="K115" s="71"/>
      <c r="L115" s="11"/>
      <c r="M115" s="159">
        <v>43808</v>
      </c>
      <c r="N115" s="15"/>
      <c r="O115" s="159"/>
      <c r="P115" s="76">
        <v>43822</v>
      </c>
      <c r="Q115" s="135">
        <v>43822</v>
      </c>
    </row>
    <row r="116" spans="2:17" s="112" customFormat="1" ht="18" customHeight="1" x14ac:dyDescent="0.15">
      <c r="B116" s="151">
        <f t="shared" si="15"/>
        <v>87</v>
      </c>
      <c r="C116" s="166" t="s">
        <v>145</v>
      </c>
      <c r="D116" s="166" t="s">
        <v>145</v>
      </c>
      <c r="E116" s="238" t="s">
        <v>244</v>
      </c>
      <c r="F116" s="120">
        <v>4</v>
      </c>
      <c r="G116" s="331">
        <v>212</v>
      </c>
      <c r="H116" s="189">
        <f t="shared" si="14"/>
        <v>848</v>
      </c>
      <c r="I116" s="167"/>
      <c r="J116" s="165" t="s">
        <v>245</v>
      </c>
      <c r="K116" s="71"/>
      <c r="L116" s="11"/>
      <c r="M116" s="159">
        <v>43808</v>
      </c>
      <c r="N116" s="15"/>
      <c r="O116" s="159"/>
      <c r="P116" s="76">
        <v>43822</v>
      </c>
      <c r="Q116" s="135">
        <v>43822</v>
      </c>
    </row>
    <row r="117" spans="2:17" s="112" customFormat="1" ht="18" customHeight="1" x14ac:dyDescent="0.15">
      <c r="B117" s="151">
        <f t="shared" si="15"/>
        <v>88</v>
      </c>
      <c r="C117" s="166" t="s">
        <v>145</v>
      </c>
      <c r="D117" s="166" t="s">
        <v>145</v>
      </c>
      <c r="E117" s="192" t="s">
        <v>246</v>
      </c>
      <c r="F117" s="167">
        <v>2</v>
      </c>
      <c r="G117" s="331">
        <v>76</v>
      </c>
      <c r="H117" s="189">
        <f t="shared" si="14"/>
        <v>152</v>
      </c>
      <c r="I117" s="167"/>
      <c r="J117" s="165" t="s">
        <v>247</v>
      </c>
      <c r="K117" s="71"/>
      <c r="L117" s="11"/>
      <c r="M117" s="159">
        <v>43808</v>
      </c>
      <c r="N117" s="15"/>
      <c r="O117" s="159"/>
      <c r="P117" s="76">
        <v>43822</v>
      </c>
      <c r="Q117" s="135">
        <v>43822</v>
      </c>
    </row>
    <row r="118" spans="2:17" s="112" customFormat="1" ht="18" customHeight="1" x14ac:dyDescent="0.15">
      <c r="B118" s="151">
        <f t="shared" si="15"/>
        <v>89</v>
      </c>
      <c r="C118" s="179" t="s">
        <v>145</v>
      </c>
      <c r="D118" s="179" t="s">
        <v>145</v>
      </c>
      <c r="E118" s="193" t="s">
        <v>248</v>
      </c>
      <c r="F118" s="170">
        <v>2</v>
      </c>
      <c r="G118" s="170">
        <v>250</v>
      </c>
      <c r="H118" s="171">
        <f t="shared" si="14"/>
        <v>500</v>
      </c>
      <c r="I118" s="194"/>
      <c r="J118" s="193" t="s">
        <v>249</v>
      </c>
      <c r="K118" s="71"/>
      <c r="L118" s="11"/>
      <c r="M118" s="159">
        <v>43808</v>
      </c>
      <c r="N118" s="15"/>
      <c r="O118" s="159"/>
      <c r="P118" s="76">
        <v>43822</v>
      </c>
      <c r="Q118" s="135">
        <v>43822</v>
      </c>
    </row>
    <row r="119" spans="2:17" s="112" customFormat="1" ht="18" customHeight="1" x14ac:dyDescent="0.15">
      <c r="B119" s="151">
        <f t="shared" si="15"/>
        <v>90</v>
      </c>
      <c r="C119" s="179" t="s">
        <v>145</v>
      </c>
      <c r="D119" s="179" t="s">
        <v>145</v>
      </c>
      <c r="E119" s="193" t="s">
        <v>250</v>
      </c>
      <c r="F119" s="170">
        <v>2</v>
      </c>
      <c r="G119" s="170">
        <v>200</v>
      </c>
      <c r="H119" s="171">
        <f t="shared" si="14"/>
        <v>400</v>
      </c>
      <c r="I119" s="194"/>
      <c r="J119" s="193" t="s">
        <v>251</v>
      </c>
      <c r="K119" s="71"/>
      <c r="L119" s="11"/>
      <c r="M119" s="159">
        <v>43808</v>
      </c>
      <c r="N119" s="15"/>
      <c r="O119" s="159"/>
      <c r="P119" s="76">
        <v>43822</v>
      </c>
      <c r="Q119" s="135">
        <v>43822</v>
      </c>
    </row>
    <row r="120" spans="2:17" s="112" customFormat="1" ht="18" customHeight="1" x14ac:dyDescent="0.15">
      <c r="B120" s="151">
        <f t="shared" si="15"/>
        <v>91</v>
      </c>
      <c r="C120" s="269" t="s">
        <v>145</v>
      </c>
      <c r="D120" s="269" t="s">
        <v>145</v>
      </c>
      <c r="E120" s="273" t="s">
        <v>150</v>
      </c>
      <c r="F120" s="274"/>
      <c r="G120" s="275">
        <v>940</v>
      </c>
      <c r="H120" s="351">
        <f t="shared" si="14"/>
        <v>0</v>
      </c>
      <c r="I120" s="287"/>
      <c r="J120" s="285" t="s">
        <v>151</v>
      </c>
      <c r="K120" s="258" t="s">
        <v>326</v>
      </c>
      <c r="L120" s="11"/>
      <c r="M120" s="76"/>
      <c r="N120" s="15"/>
      <c r="O120" s="159"/>
      <c r="P120" s="162"/>
      <c r="Q120" s="24"/>
    </row>
    <row r="121" spans="2:17" s="112" customFormat="1" ht="18" customHeight="1" x14ac:dyDescent="0.15">
      <c r="B121" s="151">
        <f t="shared" si="15"/>
        <v>92</v>
      </c>
      <c r="C121" s="288" t="s">
        <v>145</v>
      </c>
      <c r="D121" s="288" t="s">
        <v>145</v>
      </c>
      <c r="E121" s="254" t="s">
        <v>252</v>
      </c>
      <c r="F121" s="289"/>
      <c r="G121" s="313">
        <v>570</v>
      </c>
      <c r="H121" s="313">
        <f t="shared" si="14"/>
        <v>0</v>
      </c>
      <c r="I121" s="290"/>
      <c r="J121" s="254" t="s">
        <v>253</v>
      </c>
      <c r="K121" s="258" t="s">
        <v>326</v>
      </c>
      <c r="L121" s="11"/>
      <c r="M121" s="76"/>
      <c r="N121" s="15"/>
      <c r="O121" s="159"/>
      <c r="P121" s="162"/>
      <c r="Q121" s="24"/>
    </row>
    <row r="122" spans="2:17" s="112" customFormat="1" ht="18" customHeight="1" x14ac:dyDescent="0.15">
      <c r="B122" s="151">
        <f t="shared" si="15"/>
        <v>93</v>
      </c>
      <c r="C122" s="175" t="s">
        <v>145</v>
      </c>
      <c r="D122" s="175" t="s">
        <v>145</v>
      </c>
      <c r="E122" s="192" t="s">
        <v>254</v>
      </c>
      <c r="F122" s="197">
        <v>1</v>
      </c>
      <c r="G122" s="352">
        <v>2008</v>
      </c>
      <c r="H122" s="353">
        <f>F122*G122</f>
        <v>2008</v>
      </c>
      <c r="I122" s="167"/>
      <c r="J122" s="168" t="s">
        <v>255</v>
      </c>
      <c r="K122" s="71"/>
      <c r="L122" s="11"/>
      <c r="M122" s="159">
        <v>43808</v>
      </c>
      <c r="N122" s="15"/>
      <c r="O122" s="159"/>
      <c r="P122" s="76">
        <v>43822</v>
      </c>
      <c r="Q122" s="135">
        <v>43822</v>
      </c>
    </row>
    <row r="123" spans="2:17" s="112" customFormat="1" ht="18" customHeight="1" x14ac:dyDescent="0.15">
      <c r="B123" s="151">
        <f t="shared" si="15"/>
        <v>94</v>
      </c>
      <c r="C123" s="166" t="s">
        <v>145</v>
      </c>
      <c r="D123" s="166" t="s">
        <v>145</v>
      </c>
      <c r="E123" s="168" t="s">
        <v>256</v>
      </c>
      <c r="F123" s="197">
        <v>1</v>
      </c>
      <c r="G123" s="352">
        <v>3480</v>
      </c>
      <c r="H123" s="331">
        <f>F123*G123</f>
        <v>3480</v>
      </c>
      <c r="I123" s="167"/>
      <c r="J123" s="165" t="s">
        <v>257</v>
      </c>
      <c r="K123" s="71"/>
      <c r="L123" s="11"/>
      <c r="M123" s="159">
        <v>43808</v>
      </c>
      <c r="N123" s="15"/>
      <c r="O123" s="159"/>
      <c r="P123" s="76">
        <v>43822</v>
      </c>
      <c r="Q123" s="135">
        <v>43822</v>
      </c>
    </row>
    <row r="124" spans="2:17" s="112" customFormat="1" ht="18" customHeight="1" x14ac:dyDescent="0.15">
      <c r="B124" s="151">
        <f t="shared" si="15"/>
        <v>95</v>
      </c>
      <c r="C124" s="316" t="s">
        <v>145</v>
      </c>
      <c r="D124" s="317" t="s">
        <v>145</v>
      </c>
      <c r="E124" s="318" t="s">
        <v>343</v>
      </c>
      <c r="F124" s="122">
        <v>7</v>
      </c>
      <c r="G124" s="137">
        <v>72</v>
      </c>
      <c r="H124" s="354">
        <f t="shared" ref="H124:H126" si="16">F124*G124</f>
        <v>504</v>
      </c>
      <c r="I124" s="319"/>
      <c r="J124" s="238" t="s">
        <v>344</v>
      </c>
      <c r="K124" s="71"/>
      <c r="L124" s="11"/>
      <c r="M124" s="159">
        <v>43808</v>
      </c>
      <c r="N124" s="15"/>
      <c r="O124" s="159"/>
      <c r="P124" s="76">
        <v>43822</v>
      </c>
      <c r="Q124" s="135">
        <v>43822</v>
      </c>
    </row>
    <row r="125" spans="2:17" s="112" customFormat="1" ht="18" customHeight="1" x14ac:dyDescent="0.15">
      <c r="B125" s="151">
        <f t="shared" si="15"/>
        <v>96</v>
      </c>
      <c r="C125" s="124" t="s">
        <v>145</v>
      </c>
      <c r="D125" s="124" t="s">
        <v>145</v>
      </c>
      <c r="E125" s="238" t="s">
        <v>345</v>
      </c>
      <c r="F125" s="119">
        <v>1</v>
      </c>
      <c r="G125" s="237">
        <v>860</v>
      </c>
      <c r="H125" s="237">
        <f t="shared" si="16"/>
        <v>860</v>
      </c>
      <c r="I125" s="120"/>
      <c r="J125" s="125" t="s">
        <v>346</v>
      </c>
      <c r="K125" s="71"/>
      <c r="L125" s="11"/>
      <c r="M125" s="159">
        <v>43808</v>
      </c>
      <c r="N125" s="15"/>
      <c r="O125" s="159"/>
      <c r="P125" s="76">
        <v>43822</v>
      </c>
      <c r="Q125" s="135">
        <v>43822</v>
      </c>
    </row>
    <row r="126" spans="2:17" s="112" customFormat="1" ht="18" customHeight="1" x14ac:dyDescent="0.15">
      <c r="B126" s="151">
        <f t="shared" si="15"/>
        <v>97</v>
      </c>
      <c r="C126" s="124" t="s">
        <v>145</v>
      </c>
      <c r="D126" s="124" t="s">
        <v>145</v>
      </c>
      <c r="E126" s="238" t="s">
        <v>347</v>
      </c>
      <c r="F126" s="119">
        <v>2</v>
      </c>
      <c r="G126" s="237">
        <v>443</v>
      </c>
      <c r="H126" s="237">
        <f t="shared" si="16"/>
        <v>886</v>
      </c>
      <c r="I126" s="120"/>
      <c r="J126" s="125" t="s">
        <v>348</v>
      </c>
      <c r="K126" s="71"/>
      <c r="L126" s="11"/>
      <c r="M126" s="159">
        <v>43808</v>
      </c>
      <c r="N126" s="15"/>
      <c r="O126" s="159"/>
      <c r="P126" s="76">
        <v>43822</v>
      </c>
      <c r="Q126" s="135">
        <v>43822</v>
      </c>
    </row>
    <row r="127" spans="2:17" s="112" customFormat="1" ht="18" customHeight="1" x14ac:dyDescent="0.15">
      <c r="B127" s="151">
        <f>+B126+1</f>
        <v>98</v>
      </c>
      <c r="C127" s="124" t="s">
        <v>145</v>
      </c>
      <c r="D127" s="124" t="s">
        <v>145</v>
      </c>
      <c r="E127" s="308" t="s">
        <v>258</v>
      </c>
      <c r="F127" s="300">
        <v>3</v>
      </c>
      <c r="G127" s="355">
        <v>229</v>
      </c>
      <c r="H127" s="339">
        <f>F127*G127</f>
        <v>687</v>
      </c>
      <c r="I127" s="120"/>
      <c r="J127" s="238" t="s">
        <v>259</v>
      </c>
      <c r="K127" s="71"/>
      <c r="L127" s="11"/>
      <c r="M127" s="159">
        <v>43808</v>
      </c>
      <c r="N127" s="15"/>
      <c r="O127" s="159"/>
      <c r="P127" s="76">
        <v>43822</v>
      </c>
      <c r="Q127" s="135">
        <v>43822</v>
      </c>
    </row>
    <row r="128" spans="2:17" s="112" customFormat="1" ht="15.6" customHeight="1" x14ac:dyDescent="0.15">
      <c r="B128" s="151">
        <f t="shared" si="15"/>
        <v>99</v>
      </c>
      <c r="C128" s="47" t="s">
        <v>37</v>
      </c>
      <c r="D128" s="47" t="s">
        <v>37</v>
      </c>
      <c r="E128" s="149" t="s">
        <v>198</v>
      </c>
      <c r="F128" s="111">
        <v>2</v>
      </c>
      <c r="G128" s="68">
        <v>455</v>
      </c>
      <c r="H128" s="68">
        <f t="shared" ref="H128:H129" si="17">F128*G128</f>
        <v>910</v>
      </c>
      <c r="I128" s="13"/>
      <c r="J128" s="155" t="s">
        <v>199</v>
      </c>
      <c r="K128" s="71"/>
      <c r="L128" s="11"/>
      <c r="M128" s="159">
        <v>43808</v>
      </c>
      <c r="N128" s="15"/>
      <c r="O128" s="15"/>
      <c r="P128" s="76">
        <v>43822</v>
      </c>
      <c r="Q128" s="135">
        <v>43822</v>
      </c>
    </row>
    <row r="129" spans="2:17" s="112" customFormat="1" ht="15.6" customHeight="1" x14ac:dyDescent="0.15">
      <c r="B129" s="151">
        <f t="shared" si="15"/>
        <v>100</v>
      </c>
      <c r="C129" s="47" t="s">
        <v>37</v>
      </c>
      <c r="D129" s="47" t="s">
        <v>37</v>
      </c>
      <c r="E129" s="150" t="s">
        <v>197</v>
      </c>
      <c r="F129" s="111">
        <v>2</v>
      </c>
      <c r="G129" s="111">
        <v>250</v>
      </c>
      <c r="H129" s="68">
        <f t="shared" si="17"/>
        <v>500</v>
      </c>
      <c r="I129" s="21"/>
      <c r="J129" s="45" t="s">
        <v>196</v>
      </c>
      <c r="K129" s="71"/>
      <c r="L129" s="11"/>
      <c r="M129" s="159">
        <v>43808</v>
      </c>
      <c r="N129" s="15"/>
      <c r="O129" s="15"/>
      <c r="P129" s="76">
        <v>43822</v>
      </c>
      <c r="Q129" s="135">
        <v>43822</v>
      </c>
    </row>
    <row r="130" spans="2:17" s="112" customFormat="1" ht="18" customHeight="1" x14ac:dyDescent="0.15">
      <c r="B130" s="151">
        <f t="shared" si="15"/>
        <v>101</v>
      </c>
      <c r="C130" s="288" t="s">
        <v>145</v>
      </c>
      <c r="D130" s="288" t="s">
        <v>145</v>
      </c>
      <c r="E130" s="254" t="s">
        <v>146</v>
      </c>
      <c r="F130" s="289"/>
      <c r="G130" s="313">
        <v>830</v>
      </c>
      <c r="H130" s="351">
        <f t="shared" ref="H130:H133" si="18">F130*G130</f>
        <v>0</v>
      </c>
      <c r="I130" s="310"/>
      <c r="J130" s="286" t="s">
        <v>147</v>
      </c>
      <c r="K130" s="258" t="s">
        <v>326</v>
      </c>
      <c r="L130" s="129"/>
      <c r="M130" s="159"/>
      <c r="N130" s="115"/>
      <c r="O130" s="129"/>
      <c r="P130" s="159"/>
      <c r="Q130" s="135"/>
    </row>
    <row r="131" spans="2:17" s="112" customFormat="1" ht="18" customHeight="1" x14ac:dyDescent="0.15">
      <c r="B131" s="151">
        <f t="shared" si="15"/>
        <v>102</v>
      </c>
      <c r="C131" s="117" t="s">
        <v>145</v>
      </c>
      <c r="D131" s="117" t="s">
        <v>145</v>
      </c>
      <c r="E131" s="118" t="s">
        <v>193</v>
      </c>
      <c r="F131" s="122">
        <v>6</v>
      </c>
      <c r="G131" s="137">
        <v>270</v>
      </c>
      <c r="H131" s="337">
        <f t="shared" si="18"/>
        <v>1620</v>
      </c>
      <c r="I131" s="123"/>
      <c r="J131" s="118" t="s">
        <v>153</v>
      </c>
      <c r="K131" s="115"/>
      <c r="L131" s="129"/>
      <c r="M131" s="159">
        <v>43808</v>
      </c>
      <c r="N131" s="115"/>
      <c r="O131" s="129"/>
      <c r="P131" s="76">
        <v>43822</v>
      </c>
      <c r="Q131" s="135">
        <v>43822</v>
      </c>
    </row>
    <row r="132" spans="2:17" s="112" customFormat="1" ht="18" customHeight="1" x14ac:dyDescent="0.15">
      <c r="B132" s="151">
        <f t="shared" si="15"/>
        <v>103</v>
      </c>
      <c r="C132" s="117" t="s">
        <v>145</v>
      </c>
      <c r="D132" s="117" t="s">
        <v>145</v>
      </c>
      <c r="E132" s="118" t="s">
        <v>194</v>
      </c>
      <c r="F132" s="122">
        <v>2</v>
      </c>
      <c r="G132" s="137">
        <v>270</v>
      </c>
      <c r="H132" s="337">
        <f t="shared" si="18"/>
        <v>540</v>
      </c>
      <c r="I132" s="123"/>
      <c r="J132" s="118" t="s">
        <v>195</v>
      </c>
      <c r="K132" s="115"/>
      <c r="L132" s="129"/>
      <c r="M132" s="159">
        <v>43808</v>
      </c>
      <c r="N132" s="115"/>
      <c r="O132" s="129"/>
      <c r="P132" s="76">
        <v>43822</v>
      </c>
      <c r="Q132" s="135">
        <v>43822</v>
      </c>
    </row>
    <row r="133" spans="2:17" s="112" customFormat="1" ht="18" customHeight="1" x14ac:dyDescent="0.15">
      <c r="B133" s="151">
        <f t="shared" si="15"/>
        <v>104</v>
      </c>
      <c r="C133" s="124" t="s">
        <v>145</v>
      </c>
      <c r="D133" s="124" t="s">
        <v>145</v>
      </c>
      <c r="E133" s="127" t="s">
        <v>154</v>
      </c>
      <c r="F133" s="136">
        <v>10</v>
      </c>
      <c r="G133" s="237">
        <v>23</v>
      </c>
      <c r="H133" s="237">
        <f t="shared" si="18"/>
        <v>230</v>
      </c>
      <c r="I133" s="126"/>
      <c r="J133" s="125" t="s">
        <v>155</v>
      </c>
      <c r="K133" s="115"/>
      <c r="L133" s="129"/>
      <c r="M133" s="159">
        <v>43808</v>
      </c>
      <c r="N133" s="115"/>
      <c r="O133" s="129"/>
      <c r="P133" s="76">
        <v>43822</v>
      </c>
      <c r="Q133" s="135">
        <v>43822</v>
      </c>
    </row>
    <row r="134" spans="2:17" s="112" customFormat="1" ht="18" customHeight="1" x14ac:dyDescent="0.15">
      <c r="B134" s="151">
        <f t="shared" si="15"/>
        <v>105</v>
      </c>
      <c r="C134" s="8" t="s">
        <v>37</v>
      </c>
      <c r="D134" s="8" t="s">
        <v>37</v>
      </c>
      <c r="E134" s="149" t="s">
        <v>134</v>
      </c>
      <c r="F134" s="111">
        <v>10</v>
      </c>
      <c r="G134" s="68">
        <v>29</v>
      </c>
      <c r="H134" s="68">
        <f>F134*G134</f>
        <v>290</v>
      </c>
      <c r="I134" s="13"/>
      <c r="J134" s="64" t="s">
        <v>135</v>
      </c>
      <c r="K134" s="115"/>
      <c r="L134" s="129"/>
      <c r="M134" s="159">
        <v>43808</v>
      </c>
      <c r="N134" s="115"/>
      <c r="O134" s="129"/>
      <c r="P134" s="76">
        <v>43822</v>
      </c>
      <c r="Q134" s="135">
        <v>43822</v>
      </c>
    </row>
    <row r="135" spans="2:17" s="112" customFormat="1" ht="18" customHeight="1" x14ac:dyDescent="0.15">
      <c r="B135" s="151">
        <f t="shared" si="15"/>
        <v>106</v>
      </c>
      <c r="C135" s="311" t="s">
        <v>37</v>
      </c>
      <c r="D135" s="311" t="s">
        <v>37</v>
      </c>
      <c r="E135" s="312" t="s">
        <v>127</v>
      </c>
      <c r="F135" s="313"/>
      <c r="G135" s="277">
        <v>622</v>
      </c>
      <c r="H135" s="313">
        <v>622</v>
      </c>
      <c r="I135" s="314"/>
      <c r="J135" s="315" t="s">
        <v>128</v>
      </c>
      <c r="K135" s="258" t="s">
        <v>326</v>
      </c>
      <c r="L135" s="129"/>
      <c r="M135" s="159"/>
      <c r="N135" s="115"/>
      <c r="O135" s="129"/>
      <c r="P135" s="159"/>
      <c r="Q135" s="135"/>
    </row>
    <row r="136" spans="2:17" s="112" customFormat="1" ht="18" customHeight="1" x14ac:dyDescent="0.15">
      <c r="B136" s="151">
        <f t="shared" si="15"/>
        <v>107</v>
      </c>
      <c r="C136" s="8" t="s">
        <v>37</v>
      </c>
      <c r="D136" s="8" t="s">
        <v>37</v>
      </c>
      <c r="E136" s="239" t="s">
        <v>318</v>
      </c>
      <c r="F136" s="214">
        <v>1</v>
      </c>
      <c r="G136" s="356">
        <v>2196</v>
      </c>
      <c r="H136" s="68">
        <f>F136*G136</f>
        <v>2196</v>
      </c>
      <c r="I136" s="215"/>
      <c r="J136" s="216" t="s">
        <v>319</v>
      </c>
      <c r="K136" s="115"/>
      <c r="L136" s="129"/>
      <c r="M136" s="159">
        <v>43808</v>
      </c>
      <c r="N136" s="115"/>
      <c r="O136" s="129"/>
      <c r="P136" s="76">
        <v>43822</v>
      </c>
      <c r="Q136" s="135">
        <v>43822</v>
      </c>
    </row>
    <row r="137" spans="2:17" s="112" customFormat="1" ht="18" customHeight="1" x14ac:dyDescent="0.15">
      <c r="B137" s="151">
        <f t="shared" si="15"/>
        <v>108</v>
      </c>
      <c r="C137" s="138"/>
      <c r="D137" s="138"/>
      <c r="E137" s="213"/>
      <c r="F137" s="214"/>
      <c r="G137" s="356"/>
      <c r="H137" s="137"/>
      <c r="I137" s="215"/>
      <c r="J137" s="216"/>
      <c r="K137" s="115"/>
      <c r="L137" s="129"/>
      <c r="M137" s="159"/>
      <c r="N137" s="115"/>
      <c r="O137" s="129"/>
      <c r="P137" s="159"/>
      <c r="Q137" s="135"/>
    </row>
    <row r="138" spans="2:17" s="112" customFormat="1" ht="18" customHeight="1" x14ac:dyDescent="0.15">
      <c r="B138" s="111"/>
      <c r="C138" s="138"/>
      <c r="D138" s="138"/>
      <c r="E138" s="147"/>
      <c r="F138" s="145"/>
      <c r="G138" s="357"/>
      <c r="H138" s="237"/>
      <c r="I138" s="148"/>
      <c r="J138" s="147"/>
      <c r="K138" s="115"/>
      <c r="L138" s="129"/>
      <c r="M138" s="129"/>
      <c r="N138" s="115"/>
      <c r="O138" s="129"/>
      <c r="P138" s="134"/>
      <c r="Q138" s="134"/>
    </row>
    <row r="139" spans="2:17" s="112" customFormat="1" ht="18" customHeight="1" x14ac:dyDescent="0.15">
      <c r="B139" s="70"/>
      <c r="C139" s="8"/>
      <c r="D139" s="8"/>
      <c r="E139" s="430">
        <f>SUM(H89:H138)</f>
        <v>93919</v>
      </c>
      <c r="F139" s="431"/>
      <c r="G139" s="431"/>
      <c r="H139" s="432"/>
      <c r="I139" s="13"/>
      <c r="J139" s="64"/>
      <c r="K139" s="71"/>
      <c r="L139" s="11"/>
      <c r="M139" s="76"/>
      <c r="N139" s="15"/>
      <c r="O139" s="15"/>
      <c r="P139" s="76"/>
      <c r="Q139" s="24"/>
    </row>
    <row r="140" spans="2:17" ht="18" customHeight="1" x14ac:dyDescent="0.15">
      <c r="B140" s="23"/>
      <c r="C140" s="8"/>
      <c r="D140" s="8"/>
      <c r="E140" s="45"/>
      <c r="F140" s="111"/>
      <c r="G140" s="111"/>
      <c r="H140" s="68"/>
      <c r="I140" s="6"/>
      <c r="J140" s="45"/>
      <c r="K140" s="12"/>
      <c r="L140" s="11"/>
      <c r="M140" s="26"/>
      <c r="N140" s="15"/>
      <c r="O140" s="15"/>
      <c r="P140" s="76"/>
      <c r="Q140" s="24"/>
    </row>
    <row r="141" spans="2:17" ht="18" customHeight="1" x14ac:dyDescent="0.15">
      <c r="B141" s="70"/>
      <c r="C141" s="23"/>
      <c r="D141" s="23"/>
      <c r="E141" s="12" t="s">
        <v>130</v>
      </c>
      <c r="F141" s="68"/>
      <c r="G141" s="68"/>
      <c r="H141" s="68">
        <f>F141*G141</f>
        <v>0</v>
      </c>
      <c r="I141" s="21"/>
      <c r="J141" s="27" t="s">
        <v>131</v>
      </c>
      <c r="K141" s="73"/>
      <c r="L141" s="70"/>
      <c r="M141" s="26"/>
      <c r="N141" s="73"/>
      <c r="O141" s="70"/>
      <c r="P141" s="76"/>
      <c r="Q141" s="24"/>
    </row>
    <row r="142" spans="2:17" ht="18" customHeight="1" x14ac:dyDescent="0.15">
      <c r="B142" s="70"/>
      <c r="C142" s="8"/>
      <c r="D142" s="8"/>
      <c r="E142" s="12" t="s">
        <v>131</v>
      </c>
      <c r="F142" s="68"/>
      <c r="G142" s="68">
        <v>5000</v>
      </c>
      <c r="H142" s="68">
        <f>F142*G142</f>
        <v>0</v>
      </c>
      <c r="I142" s="21"/>
      <c r="J142" s="27" t="s">
        <v>132</v>
      </c>
      <c r="K142" s="73"/>
      <c r="L142" s="70"/>
      <c r="M142" s="26"/>
      <c r="N142" s="73"/>
      <c r="O142" s="70"/>
      <c r="P142" s="76"/>
      <c r="Q142" s="15"/>
    </row>
    <row r="143" spans="2:17" ht="18" customHeight="1" x14ac:dyDescent="0.15">
      <c r="B143" s="70"/>
      <c r="C143" s="8"/>
      <c r="D143" s="8"/>
      <c r="E143" s="12" t="s">
        <v>132</v>
      </c>
      <c r="F143" s="68"/>
      <c r="G143" s="68"/>
      <c r="H143" s="68">
        <f>F143*G143</f>
        <v>0</v>
      </c>
      <c r="I143" s="21"/>
      <c r="J143" s="11"/>
      <c r="K143" s="73"/>
      <c r="L143" s="70"/>
      <c r="M143" s="70"/>
      <c r="N143" s="73"/>
      <c r="O143" s="70"/>
      <c r="P143" s="15"/>
      <c r="Q143" s="15"/>
    </row>
    <row r="144" spans="2:17" ht="18" customHeight="1" x14ac:dyDescent="0.15">
      <c r="B144" s="70"/>
      <c r="C144" s="8"/>
      <c r="D144" s="8"/>
      <c r="E144" s="423"/>
      <c r="F144" s="424"/>
      <c r="G144" s="424"/>
      <c r="H144" s="425"/>
      <c r="I144" s="13"/>
      <c r="J144" s="64"/>
    </row>
    <row r="145" ht="18" customHeight="1" x14ac:dyDescent="0.15"/>
    <row r="146" ht="18" customHeight="1" x14ac:dyDescent="0.15"/>
    <row r="147" ht="18" customHeight="1" x14ac:dyDescent="0.15"/>
  </sheetData>
  <autoFilter ref="B8:O147" xr:uid="{00000000-0009-0000-0000-000003000000}"/>
  <mergeCells count="15">
    <mergeCell ref="E144:H144"/>
    <mergeCell ref="B2:D2"/>
    <mergeCell ref="G2:I2"/>
    <mergeCell ref="B3:D3"/>
    <mergeCell ref="B4:D4"/>
    <mergeCell ref="G4:J5"/>
    <mergeCell ref="B5:D5"/>
    <mergeCell ref="C88:E88"/>
    <mergeCell ref="E139:H139"/>
    <mergeCell ref="B6:D6"/>
    <mergeCell ref="B10:E10"/>
    <mergeCell ref="E50:H50"/>
    <mergeCell ref="C53:E53"/>
    <mergeCell ref="E64:H64"/>
    <mergeCell ref="C69:E69"/>
  </mergeCells>
  <phoneticPr fontId="14"/>
  <dataValidations count="2">
    <dataValidation allowBlank="1" showInputMessage="1" showErrorMessage="1" sqref="J26:J27 J32:J35 J49:J51" xr:uid="{00000000-0002-0000-0300-000000000000}"/>
    <dataValidation imeMode="hiragana" allowBlank="1" showInputMessage="1" showErrorMessage="1" sqref="J133 J73:J74 J138 J40 J46:J48" xr:uid="{00000000-0002-0000-0300-000001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発注 (20191206)</vt:lpstr>
      <vt:lpstr>Sheet1!_FilterDatabase</vt:lpstr>
      <vt:lpstr>'発注 (20191206)'!_FilterDatabase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2020-01-07T06:47:50Z</dcterms:modified>
</cp:coreProperties>
</file>