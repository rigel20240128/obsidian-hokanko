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101E91D-38C7-498B-8829-9AB9AD67C5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③" sheetId="6" r:id="rId1"/>
    <sheet name="Sheet2" sheetId="2" r:id="rId2"/>
    <sheet name="Sheet3" sheetId="3" r:id="rId3"/>
  </sheets>
  <definedNames>
    <definedName name="_xlnm._FilterDatabase" localSheetId="0" hidden="1">③!$D$8:$Q$38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6" l="1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C10" i="6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G29" i="6" l="1"/>
  <c r="L2" i="6"/>
</calcChain>
</file>

<file path=xl/sharedStrings.xml><?xml version="1.0" encoding="utf-8"?>
<sst xmlns="http://schemas.openxmlformats.org/spreadsheetml/2006/main" count="159" uniqueCount="78">
  <si>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</si>
  <si>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</si>
  <si>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</si>
  <si>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</si>
  <si>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</si>
  <si>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</si>
  <si>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</si>
  <si>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</si>
  <si>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</si>
  <si>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</si>
  <si>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</si>
  <si>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</si>
  <si>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</si>
  <si>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</si>
  <si>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</si>
  <si>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</si>
  <si>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</si>
  <si>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</si>
  <si>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</si>
  <si>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</si>
  <si>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</si>
  <si>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</si>
  <si>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t>Web設計ボックス</t>
    <phoneticPr fontId="2"/>
  </si>
  <si>
    <t>配線類、制御ボックス</t>
    <rPh sb="0" eb="2">
      <t>ハイセン</t>
    </rPh>
    <rPh sb="2" eb="3">
      <t>ルイ</t>
    </rPh>
    <rPh sb="4" eb="6">
      <t>セイギョ</t>
    </rPh>
    <phoneticPr fontId="2"/>
  </si>
  <si>
    <t>コモン端子台 省スペース</t>
    <phoneticPr fontId="2"/>
  </si>
  <si>
    <t>P/Nコモン端子台</t>
    <rPh sb="6" eb="8">
      <t>タンシ</t>
    </rPh>
    <rPh sb="8" eb="9">
      <t>ダイ</t>
    </rPh>
    <phoneticPr fontId="2"/>
  </si>
  <si>
    <t>MRB-1000</t>
    <phoneticPr fontId="2"/>
  </si>
  <si>
    <t>DINレール</t>
    <phoneticPr fontId="2"/>
  </si>
  <si>
    <t>興和化成</t>
  </si>
  <si>
    <t>KD-36-20-T</t>
    <phoneticPr fontId="2"/>
  </si>
  <si>
    <t>カッチンダクト（興和化成）</t>
    <phoneticPr fontId="2"/>
  </si>
  <si>
    <t>タカチ電機工業</t>
    <phoneticPr fontId="2"/>
  </si>
  <si>
    <t>TKR-TWE1</t>
    <phoneticPr fontId="2"/>
  </si>
  <si>
    <t>DINレール止め金具（タカチ電機工業）</t>
    <phoneticPr fontId="2"/>
  </si>
  <si>
    <t>MWS-DS37A-HT37</t>
    <phoneticPr fontId="2"/>
  </si>
  <si>
    <t>Dsubコネクタ端子台</t>
    <phoneticPr fontId="2"/>
  </si>
  <si>
    <t>I/O-SYS用端子台</t>
    <rPh sb="7" eb="8">
      <t>ヨウ</t>
    </rPh>
    <rPh sb="8" eb="10">
      <t>タンシ</t>
    </rPh>
    <rPh sb="10" eb="11">
      <t>ダイ</t>
    </rPh>
    <phoneticPr fontId="2"/>
  </si>
  <si>
    <t>MWS-DS25B-HT25</t>
    <phoneticPr fontId="2"/>
  </si>
  <si>
    <t>I/O-1用端子台</t>
    <rPh sb="5" eb="6">
      <t>ヨウ</t>
    </rPh>
    <rPh sb="6" eb="8">
      <t>タンシ</t>
    </rPh>
    <rPh sb="8" eb="9">
      <t>ダイ</t>
    </rPh>
    <phoneticPr fontId="2"/>
  </si>
  <si>
    <t>NEDJL-PS-SB-37-3.0</t>
    <phoneticPr fontId="2"/>
  </si>
  <si>
    <t>Dsubコネクタハーネス</t>
    <phoneticPr fontId="2"/>
  </si>
  <si>
    <t>JRN⇔I/O-SYS端子台</t>
    <rPh sb="11" eb="13">
      <t>タンシ</t>
    </rPh>
    <rPh sb="13" eb="14">
      <t>ダイ</t>
    </rPh>
    <phoneticPr fontId="2"/>
  </si>
  <si>
    <t>NEDJL-PS-SB-25-3.0</t>
    <phoneticPr fontId="2"/>
  </si>
  <si>
    <t>JRN⇔I/O-1端子台</t>
    <rPh sb="9" eb="11">
      <t>タンシ</t>
    </rPh>
    <rPh sb="11" eb="12">
      <t>ダイ</t>
    </rPh>
    <phoneticPr fontId="2"/>
  </si>
  <si>
    <t>NEDJL-PT-SB-9-3.0</t>
    <phoneticPr fontId="2"/>
  </si>
  <si>
    <t>I/O-SYS⇔SDP300</t>
    <phoneticPr fontId="2"/>
  </si>
  <si>
    <t>MTRF1.25-3</t>
    <phoneticPr fontId="2"/>
  </si>
  <si>
    <t>裸圧着端子 Y型</t>
    <phoneticPr fontId="2"/>
  </si>
  <si>
    <t>単芯電線 UL</t>
    <phoneticPr fontId="2"/>
  </si>
  <si>
    <t>多芯電線</t>
    <rPh sb="0" eb="1">
      <t>タ</t>
    </rPh>
    <rPh sb="1" eb="2">
      <t>シン</t>
    </rPh>
    <rPh sb="2" eb="4">
      <t>デンセン</t>
    </rPh>
    <phoneticPr fontId="2"/>
  </si>
  <si>
    <t>JPLRS5-P6-B7</t>
    <phoneticPr fontId="2"/>
  </si>
  <si>
    <t>マーカーピン</t>
    <phoneticPr fontId="2"/>
  </si>
  <si>
    <t>ツール冶具</t>
    <rPh sb="3" eb="4">
      <t>ジ</t>
    </rPh>
    <rPh sb="4" eb="5">
      <t>グ</t>
    </rPh>
    <phoneticPr fontId="2"/>
  </si>
  <si>
    <t>XYSSCG40</t>
    <phoneticPr fontId="2"/>
  </si>
  <si>
    <t>手動XY軸ステージ</t>
    <phoneticPr fontId="2"/>
  </si>
  <si>
    <t>手動X軸ステージ</t>
    <phoneticPr fontId="2"/>
  </si>
  <si>
    <t>MNUNY6</t>
    <phoneticPr fontId="2"/>
  </si>
  <si>
    <t>ミニチュアワンタッチ継手　ユニオンワイ</t>
    <phoneticPr fontId="2"/>
  </si>
  <si>
    <t>YCLPFS22F</t>
    <phoneticPr fontId="2"/>
  </si>
  <si>
    <t>ﾂｷﾞﾃ YCLPFS</t>
    <phoneticPr fontId="2"/>
  </si>
  <si>
    <t>APMTS-N3-T2</t>
    <phoneticPr fontId="2"/>
  </si>
  <si>
    <t>ｱﾀﾞﾌﾟﾀｰ（APMTS)</t>
    <phoneticPr fontId="2"/>
  </si>
  <si>
    <t xml:space="preserve">ESAW-TCM310-5P </t>
    <phoneticPr fontId="2"/>
  </si>
  <si>
    <t>XSCG40</t>
    <phoneticPr fontId="2"/>
  </si>
  <si>
    <t>3日目</t>
    <rPh sb="1" eb="2">
      <t>ヒ</t>
    </rPh>
    <rPh sb="2" eb="3">
      <t>メ</t>
    </rPh>
    <phoneticPr fontId="2"/>
  </si>
  <si>
    <t>2日目</t>
    <rPh sb="1" eb="2">
      <t>ヒ</t>
    </rPh>
    <rPh sb="2" eb="3">
      <t>メ</t>
    </rPh>
    <phoneticPr fontId="2"/>
  </si>
  <si>
    <t>1日目</t>
    <rPh sb="1" eb="2">
      <t>ヒ</t>
    </rPh>
    <rPh sb="2" eb="3">
      <t>メ</t>
    </rPh>
    <phoneticPr fontId="2"/>
  </si>
  <si>
    <t>7日目</t>
    <rPh sb="1" eb="2">
      <t>ヒ</t>
    </rPh>
    <rPh sb="2" eb="3">
      <t>メ</t>
    </rPh>
    <phoneticPr fontId="2"/>
  </si>
  <si>
    <t>岸</t>
    <rPh sb="0" eb="1">
      <t>キシ</t>
    </rPh>
    <phoneticPr fontId="2"/>
  </si>
  <si>
    <t>TDK（株）　(株式会社 システムインアート）</t>
    <rPh sb="3" eb="6">
      <t>カブ</t>
    </rPh>
    <phoneticPr fontId="2"/>
  </si>
  <si>
    <t>JR3403N+日本パワード2連カート</t>
    <phoneticPr fontId="2"/>
  </si>
  <si>
    <t>③</t>
    <phoneticPr fontId="11"/>
  </si>
  <si>
    <t>SS300SB-24-1P-5</t>
    <phoneticPr fontId="2"/>
  </si>
  <si>
    <t>三沢電線</t>
    <rPh sb="0" eb="4">
      <t>ミサワデンセン</t>
    </rPh>
    <phoneticPr fontId="2"/>
  </si>
  <si>
    <t>UL1007-20AWG-BE-10</t>
    <phoneticPr fontId="2"/>
  </si>
  <si>
    <t>ﾐｽﾐ品　発注済み</t>
    <rPh sb="3" eb="4">
      <t>ヒン</t>
    </rPh>
    <rPh sb="5" eb="7">
      <t>ハッチュウ</t>
    </rPh>
    <rPh sb="7" eb="8">
      <t>ズ</t>
    </rPh>
    <phoneticPr fontId="11"/>
  </si>
  <si>
    <t>AB23DEB3FF</t>
    <phoneticPr fontId="11"/>
  </si>
  <si>
    <t>FSA-PS-690-350-245-K-WB2407090069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</si>
</sst>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</numFmts>
  <fonts count="15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6"/>
      <color rgb="FF00B05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1" fontId="0" fillId="0" borderId="1" xfId="0" applyNumberForma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1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56" fontId="8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9" fillId="3" borderId="1" xfId="1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176" fontId="9" fillId="3" borderId="1" xfId="1" applyNumberFormat="1" applyFont="1" applyFill="1" applyBorder="1" applyAlignment="1">
      <alignment vertical="center"/>
    </xf>
    <xf numFmtId="176" fontId="0" fillId="3" borderId="1" xfId="0" applyNumberFormat="1" applyFill="1" applyBorder="1">
      <alignment vertical="center"/>
    </xf>
    <xf numFmtId="0" fontId="0" fillId="3" borderId="2" xfId="0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right" vertical="center"/>
    </xf>
    <xf numFmtId="0" fontId="0" fillId="3" borderId="1" xfId="0" applyFill="1" applyBorder="1">
      <alignment vertical="center"/>
    </xf>
    <xf numFmtId="180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80" fontId="7" fillId="0" borderId="1" xfId="1" applyNumberFormat="1" applyFont="1" applyBorder="1" applyAlignment="1">
      <alignment vertical="center"/>
    </xf>
    <xf numFmtId="180" fontId="0" fillId="3" borderId="1" xfId="0" applyNumberFormat="1" applyFill="1" applyBorder="1">
      <alignment vertical="center"/>
    </xf>
    <xf numFmtId="49" fontId="0" fillId="3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3" fontId="0" fillId="4" borderId="1" xfId="0" applyNumberFormat="1" applyFill="1" applyBorder="1">
      <alignment vertical="center"/>
    </xf>
    <xf numFmtId="0" fontId="0" fillId="4" borderId="0" xfId="0" applyFill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0" fillId="6" borderId="1" xfId="0" applyNumberFormat="1" applyFill="1" applyBorder="1">
      <alignment vertical="center"/>
    </xf>
    <xf numFmtId="176" fontId="1" fillId="6" borderId="1" xfId="0" applyNumberFormat="1" applyFont="1" applyFill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8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50B8-0BDA-43A8-A4DB-78AA91C9EEAF}">
  <dimension ref="A2:S77"/>
  <sheetViews>
    <sheetView tabSelected="1" topLeftCell="G19" zoomScale="85" zoomScaleNormal="85" workbookViewId="0">
      <selection activeCell="U7" sqref="U7"/>
    </sheetView>
  </sheetViews>
  <sheetFormatPr defaultRowHeight="13.5" x14ac:dyDescent="0.15"/>
  <cols>
    <col min="3" max="3" width="8.375" customWidth="1"/>
    <col min="4" max="4" width="5.75" style="3" customWidth="1"/>
    <col min="5" max="6" width="20.75" customWidth="1"/>
    <col min="7" max="7" width="52.625" customWidth="1"/>
    <col min="8" max="8" width="6.25" customWidth="1"/>
    <col min="9" max="10" width="9.875" bestFit="1" customWidth="1"/>
    <col min="11" max="11" width="5.75" style="9" customWidth="1"/>
    <col min="12" max="12" width="31" customWidth="1"/>
    <col min="13" max="13" width="24.25" customWidth="1"/>
    <col min="14" max="14" width="40.75" style="3" customWidth="1"/>
    <col min="15" max="15" width="13.75" style="11" customWidth="1"/>
    <col min="16" max="16" width="10" customWidth="1"/>
    <col min="17" max="17" width="13.25" style="9" customWidth="1"/>
    <col min="18" max="18" width="14.5" style="13" customWidth="1"/>
    <col min="19" max="19" width="15.625" style="14" customWidth="1"/>
  </cols>
  <sheetData>
    <row r="2" spans="1:19" ht="20.100000000000001" customHeight="1" x14ac:dyDescent="0.15">
      <c r="D2" s="60" t="s">
        <v>10</v>
      </c>
      <c r="E2" s="60"/>
      <c r="F2" s="60"/>
      <c r="G2" s="10" t="s">
        <v>69</v>
      </c>
      <c r="I2" s="63" t="s">
        <v>14</v>
      </c>
      <c r="J2" s="64"/>
      <c r="K2" s="65"/>
      <c r="L2" s="8">
        <f>SUM(J:J)</f>
        <v>123702</v>
      </c>
    </row>
    <row r="3" spans="1:19" ht="20.100000000000001" customHeight="1" x14ac:dyDescent="0.15">
      <c r="D3" s="60" t="s">
        <v>9</v>
      </c>
      <c r="E3" s="60"/>
      <c r="F3" s="60"/>
      <c r="G3" s="6" t="s">
        <v>68</v>
      </c>
    </row>
    <row r="4" spans="1:19" ht="20.100000000000001" customHeight="1" x14ac:dyDescent="0.15">
      <c r="D4" s="60" t="s">
        <v>11</v>
      </c>
      <c r="E4" s="60"/>
      <c r="F4" s="60"/>
      <c r="G4" s="6">
        <v>219851</v>
      </c>
    </row>
    <row r="5" spans="1:19" ht="20.100000000000001" customHeight="1" x14ac:dyDescent="0.15">
      <c r="D5" s="60" t="s">
        <v>12</v>
      </c>
      <c r="E5" s="60"/>
      <c r="F5" s="60"/>
      <c r="G5" s="7">
        <v>45680</v>
      </c>
      <c r="J5" s="61" t="s">
        <v>71</v>
      </c>
      <c r="L5" t="s">
        <v>70</v>
      </c>
    </row>
    <row r="6" spans="1:19" ht="20.100000000000001" customHeight="1" x14ac:dyDescent="0.15">
      <c r="D6" s="60" t="s">
        <v>13</v>
      </c>
      <c r="E6" s="60"/>
      <c r="F6" s="60"/>
      <c r="G6" s="7">
        <v>45681</v>
      </c>
      <c r="J6" s="62"/>
      <c r="L6" s="58" t="s">
        <v>75</v>
      </c>
    </row>
    <row r="7" spans="1:19" x14ac:dyDescent="0.15">
      <c r="H7" s="1"/>
    </row>
    <row r="8" spans="1:19" s="3" customFormat="1" ht="19.899999999999999" customHeight="1" x14ac:dyDescent="0.15">
      <c r="D8" s="4" t="s">
        <v>3</v>
      </c>
      <c r="E8" s="4" t="s">
        <v>8</v>
      </c>
      <c r="F8" s="4" t="s">
        <v>4</v>
      </c>
      <c r="G8" s="1" t="s">
        <v>7</v>
      </c>
      <c r="H8" s="1"/>
      <c r="I8" s="1" t="s">
        <v>0</v>
      </c>
      <c r="J8" s="2" t="s">
        <v>1</v>
      </c>
      <c r="K8" s="2" t="s">
        <v>17</v>
      </c>
      <c r="L8" s="1" t="s">
        <v>2</v>
      </c>
      <c r="M8" s="1" t="s">
        <v>16</v>
      </c>
      <c r="N8" s="1" t="s">
        <v>15</v>
      </c>
      <c r="O8" s="12" t="s">
        <v>5</v>
      </c>
      <c r="P8" s="4" t="s">
        <v>18</v>
      </c>
      <c r="Q8" s="1" t="s">
        <v>6</v>
      </c>
      <c r="R8" s="12" t="s">
        <v>19</v>
      </c>
      <c r="S8" s="15" t="s">
        <v>20</v>
      </c>
    </row>
    <row r="9" spans="1:19" s="3" customFormat="1" ht="19.899999999999999" customHeight="1" x14ac:dyDescent="0.15">
      <c r="A9" s="53" t="s">
        <v>64</v>
      </c>
      <c r="C9" s="1">
        <v>1</v>
      </c>
      <c r="D9" s="4">
        <v>12</v>
      </c>
      <c r="E9" s="4" t="s">
        <v>21</v>
      </c>
      <c r="F9" s="4" t="s">
        <v>21</v>
      </c>
      <c r="G9" s="59" t="s">
        <v>77</v>
      </c>
      <c r="H9" s="43">
        <v>1</v>
      </c>
      <c r="I9" s="52">
        <v>23796</v>
      </c>
      <c r="J9" s="55">
        <f t="shared" ref="J9:J33" si="0">H9*I9</f>
        <v>23796</v>
      </c>
      <c r="K9" s="2"/>
      <c r="L9" s="16" t="s">
        <v>22</v>
      </c>
      <c r="M9" s="57" t="s">
        <v>76</v>
      </c>
      <c r="N9" s="1" t="s">
        <v>23</v>
      </c>
      <c r="O9" s="12">
        <v>45628</v>
      </c>
      <c r="P9" s="4"/>
      <c r="Q9" s="42">
        <v>45314</v>
      </c>
      <c r="R9" s="12">
        <v>45315</v>
      </c>
      <c r="S9" s="15">
        <v>45681</v>
      </c>
    </row>
    <row r="10" spans="1:19" s="3" customFormat="1" ht="19.899999999999999" customHeight="1" x14ac:dyDescent="0.15">
      <c r="A10" s="53" t="s">
        <v>66</v>
      </c>
      <c r="C10" s="1">
        <f t="shared" ref="C10:C27" si="1">+C9+1</f>
        <v>2</v>
      </c>
      <c r="D10" s="29">
        <v>12</v>
      </c>
      <c r="E10" s="4" t="s">
        <v>21</v>
      </c>
      <c r="F10" s="4" t="s">
        <v>21</v>
      </c>
      <c r="G10" s="44" t="s">
        <v>62</v>
      </c>
      <c r="H10" s="45">
        <v>1</v>
      </c>
      <c r="I10" s="51">
        <v>3491</v>
      </c>
      <c r="J10" s="55">
        <f t="shared" si="0"/>
        <v>3491</v>
      </c>
      <c r="K10" s="32"/>
      <c r="L10" s="33" t="s">
        <v>24</v>
      </c>
      <c r="M10" s="57" t="s">
        <v>76</v>
      </c>
      <c r="N10" s="1" t="s">
        <v>25</v>
      </c>
      <c r="O10" s="12">
        <v>45628</v>
      </c>
      <c r="P10" s="4"/>
      <c r="Q10" s="42">
        <v>45314</v>
      </c>
      <c r="R10" s="12">
        <v>45315</v>
      </c>
      <c r="S10" s="15">
        <v>45681</v>
      </c>
    </row>
    <row r="11" spans="1:19" s="3" customFormat="1" ht="19.899999999999999" customHeight="1" x14ac:dyDescent="0.15">
      <c r="A11" s="53" t="s">
        <v>66</v>
      </c>
      <c r="C11" s="1">
        <f t="shared" si="1"/>
        <v>3</v>
      </c>
      <c r="D11" s="29">
        <v>12</v>
      </c>
      <c r="E11" s="4" t="s">
        <v>21</v>
      </c>
      <c r="F11" s="4" t="s">
        <v>21</v>
      </c>
      <c r="G11" s="34" t="s">
        <v>26</v>
      </c>
      <c r="H11" s="45">
        <v>1</v>
      </c>
      <c r="I11" s="51">
        <v>1179</v>
      </c>
      <c r="J11" s="55">
        <f t="shared" si="0"/>
        <v>1179</v>
      </c>
      <c r="K11" s="32"/>
      <c r="L11" s="33" t="s">
        <v>27</v>
      </c>
      <c r="M11" s="57" t="s">
        <v>76</v>
      </c>
      <c r="N11" s="1" t="s">
        <v>23</v>
      </c>
      <c r="O11" s="12">
        <v>45628</v>
      </c>
      <c r="P11" s="4"/>
      <c r="Q11" s="42">
        <v>45314</v>
      </c>
      <c r="R11" s="12">
        <v>45315</v>
      </c>
      <c r="S11" s="15">
        <v>45681</v>
      </c>
    </row>
    <row r="12" spans="1:19" s="3" customFormat="1" ht="19.899999999999999" customHeight="1" x14ac:dyDescent="0.15">
      <c r="A12" s="53" t="s">
        <v>66</v>
      </c>
      <c r="C12" s="1">
        <f t="shared" si="1"/>
        <v>4</v>
      </c>
      <c r="D12" s="29">
        <v>12</v>
      </c>
      <c r="E12" s="1" t="s">
        <v>28</v>
      </c>
      <c r="F12" s="1" t="s">
        <v>21</v>
      </c>
      <c r="G12" s="16" t="s">
        <v>29</v>
      </c>
      <c r="H12" s="45">
        <v>1</v>
      </c>
      <c r="I12" s="51">
        <v>2987</v>
      </c>
      <c r="J12" s="56">
        <f t="shared" si="0"/>
        <v>2987</v>
      </c>
      <c r="K12" s="2"/>
      <c r="L12" s="16" t="s">
        <v>30</v>
      </c>
      <c r="M12" s="57" t="s">
        <v>76</v>
      </c>
      <c r="N12" s="1" t="s">
        <v>23</v>
      </c>
      <c r="O12" s="12">
        <v>45628</v>
      </c>
      <c r="P12" s="4"/>
      <c r="Q12" s="42">
        <v>45314</v>
      </c>
      <c r="R12" s="12">
        <v>45315</v>
      </c>
      <c r="S12" s="15">
        <v>45681</v>
      </c>
    </row>
    <row r="13" spans="1:19" s="3" customFormat="1" ht="19.899999999999999" customHeight="1" x14ac:dyDescent="0.15">
      <c r="A13" s="53" t="s">
        <v>66</v>
      </c>
      <c r="C13" s="1">
        <f t="shared" si="1"/>
        <v>5</v>
      </c>
      <c r="D13" s="29">
        <v>12</v>
      </c>
      <c r="E13" s="1" t="s">
        <v>31</v>
      </c>
      <c r="F13" s="1" t="s">
        <v>21</v>
      </c>
      <c r="G13" s="16" t="s">
        <v>32</v>
      </c>
      <c r="H13" s="47">
        <v>5</v>
      </c>
      <c r="I13" s="51">
        <v>251</v>
      </c>
      <c r="J13" s="56">
        <f t="shared" si="0"/>
        <v>1255</v>
      </c>
      <c r="K13" s="2"/>
      <c r="L13" s="16" t="s">
        <v>33</v>
      </c>
      <c r="M13" s="57" t="s">
        <v>76</v>
      </c>
      <c r="N13" s="1" t="s">
        <v>23</v>
      </c>
      <c r="O13" s="12">
        <v>45628</v>
      </c>
      <c r="P13" s="4"/>
      <c r="Q13" s="42">
        <v>45314</v>
      </c>
      <c r="R13" s="12">
        <v>45315</v>
      </c>
      <c r="S13" s="15">
        <v>45681</v>
      </c>
    </row>
    <row r="14" spans="1:19" s="3" customFormat="1" ht="19.899999999999999" customHeight="1" x14ac:dyDescent="0.15">
      <c r="A14" s="53" t="s">
        <v>66</v>
      </c>
      <c r="C14" s="1">
        <f t="shared" si="1"/>
        <v>6</v>
      </c>
      <c r="D14" s="29">
        <v>12</v>
      </c>
      <c r="E14" s="4" t="s">
        <v>21</v>
      </c>
      <c r="F14" s="4" t="s">
        <v>21</v>
      </c>
      <c r="G14" s="44" t="s">
        <v>34</v>
      </c>
      <c r="H14" s="45">
        <v>1</v>
      </c>
      <c r="I14" s="51">
        <v>5117</v>
      </c>
      <c r="J14" s="55">
        <f t="shared" si="0"/>
        <v>5117</v>
      </c>
      <c r="K14" s="32"/>
      <c r="L14" s="33" t="s">
        <v>35</v>
      </c>
      <c r="M14" s="57" t="s">
        <v>76</v>
      </c>
      <c r="N14" s="46" t="s">
        <v>36</v>
      </c>
      <c r="O14" s="12">
        <v>45628</v>
      </c>
      <c r="P14" s="4"/>
      <c r="Q14" s="42">
        <v>45314</v>
      </c>
      <c r="R14" s="12">
        <v>45315</v>
      </c>
      <c r="S14" s="15">
        <v>45681</v>
      </c>
    </row>
    <row r="15" spans="1:19" s="3" customFormat="1" ht="19.899999999999999" customHeight="1" x14ac:dyDescent="0.15">
      <c r="A15" s="53" t="s">
        <v>66</v>
      </c>
      <c r="C15" s="1">
        <f t="shared" si="1"/>
        <v>7</v>
      </c>
      <c r="D15" s="29">
        <v>12</v>
      </c>
      <c r="E15" s="4" t="s">
        <v>21</v>
      </c>
      <c r="F15" s="4" t="s">
        <v>21</v>
      </c>
      <c r="G15" s="44" t="s">
        <v>37</v>
      </c>
      <c r="H15" s="45">
        <v>1</v>
      </c>
      <c r="I15" s="51">
        <v>4032</v>
      </c>
      <c r="J15" s="55">
        <f t="shared" si="0"/>
        <v>4032</v>
      </c>
      <c r="K15" s="32"/>
      <c r="L15" s="33" t="s">
        <v>35</v>
      </c>
      <c r="M15" s="57" t="s">
        <v>76</v>
      </c>
      <c r="N15" s="46" t="s">
        <v>38</v>
      </c>
      <c r="O15" s="12">
        <v>45628</v>
      </c>
      <c r="P15" s="4"/>
      <c r="Q15" s="42">
        <v>45314</v>
      </c>
      <c r="R15" s="12">
        <v>45315</v>
      </c>
      <c r="S15" s="15">
        <v>45681</v>
      </c>
    </row>
    <row r="16" spans="1:19" s="3" customFormat="1" ht="19.899999999999999" customHeight="1" x14ac:dyDescent="0.15">
      <c r="A16" s="53" t="s">
        <v>65</v>
      </c>
      <c r="C16" s="1">
        <f t="shared" si="1"/>
        <v>8</v>
      </c>
      <c r="D16" s="29">
        <v>12</v>
      </c>
      <c r="E16" s="4" t="s">
        <v>21</v>
      </c>
      <c r="F16" s="4" t="s">
        <v>21</v>
      </c>
      <c r="G16" s="44" t="s">
        <v>39</v>
      </c>
      <c r="H16" s="45">
        <v>1</v>
      </c>
      <c r="I16" s="51">
        <v>8314</v>
      </c>
      <c r="J16" s="55">
        <f t="shared" si="0"/>
        <v>8314</v>
      </c>
      <c r="K16" s="32"/>
      <c r="L16" s="33" t="s">
        <v>40</v>
      </c>
      <c r="M16" s="57" t="s">
        <v>76</v>
      </c>
      <c r="N16" s="46" t="s">
        <v>41</v>
      </c>
      <c r="O16" s="12">
        <v>45628</v>
      </c>
      <c r="P16" s="4"/>
      <c r="Q16" s="42">
        <v>45314</v>
      </c>
      <c r="R16" s="12">
        <v>45315</v>
      </c>
      <c r="S16" s="15">
        <v>45681</v>
      </c>
    </row>
    <row r="17" spans="1:19" s="3" customFormat="1" ht="19.899999999999999" customHeight="1" x14ac:dyDescent="0.15">
      <c r="A17" s="53" t="s">
        <v>65</v>
      </c>
      <c r="C17" s="1">
        <f t="shared" si="1"/>
        <v>9</v>
      </c>
      <c r="D17" s="29">
        <v>12</v>
      </c>
      <c r="E17" s="4" t="s">
        <v>21</v>
      </c>
      <c r="F17" s="4" t="s">
        <v>21</v>
      </c>
      <c r="G17" s="44" t="s">
        <v>42</v>
      </c>
      <c r="H17" s="45">
        <v>1</v>
      </c>
      <c r="I17" s="51">
        <v>6198</v>
      </c>
      <c r="J17" s="55">
        <f t="shared" si="0"/>
        <v>6198</v>
      </c>
      <c r="K17" s="32"/>
      <c r="L17" s="33" t="s">
        <v>40</v>
      </c>
      <c r="M17" s="57" t="s">
        <v>76</v>
      </c>
      <c r="N17" s="46" t="s">
        <v>43</v>
      </c>
      <c r="O17" s="12">
        <v>45628</v>
      </c>
      <c r="P17" s="4"/>
      <c r="Q17" s="42">
        <v>45314</v>
      </c>
      <c r="R17" s="12">
        <v>45315</v>
      </c>
      <c r="S17" s="15">
        <v>45681</v>
      </c>
    </row>
    <row r="18" spans="1:19" s="3" customFormat="1" ht="19.899999999999999" customHeight="1" x14ac:dyDescent="0.15">
      <c r="A18" s="53" t="s">
        <v>67</v>
      </c>
      <c r="C18" s="1">
        <f t="shared" si="1"/>
        <v>10</v>
      </c>
      <c r="D18" s="29">
        <v>12</v>
      </c>
      <c r="E18" s="4" t="s">
        <v>21</v>
      </c>
      <c r="F18" s="4" t="s">
        <v>21</v>
      </c>
      <c r="G18" s="44" t="s">
        <v>44</v>
      </c>
      <c r="H18" s="45">
        <v>1</v>
      </c>
      <c r="I18" s="51">
        <v>3195</v>
      </c>
      <c r="J18" s="55">
        <f t="shared" si="0"/>
        <v>3195</v>
      </c>
      <c r="K18" s="32"/>
      <c r="L18" s="33" t="s">
        <v>40</v>
      </c>
      <c r="M18" s="57" t="s">
        <v>76</v>
      </c>
      <c r="N18" s="46" t="s">
        <v>45</v>
      </c>
      <c r="O18" s="12">
        <v>45628</v>
      </c>
      <c r="P18" s="4"/>
      <c r="Q18" s="42">
        <v>45314</v>
      </c>
      <c r="R18" s="12">
        <v>45315</v>
      </c>
      <c r="S18" s="15">
        <v>45681</v>
      </c>
    </row>
    <row r="19" spans="1:19" s="3" customFormat="1" ht="19.899999999999999" customHeight="1" x14ac:dyDescent="0.15">
      <c r="A19" s="53" t="s">
        <v>66</v>
      </c>
      <c r="C19" s="1">
        <f t="shared" si="1"/>
        <v>11</v>
      </c>
      <c r="D19" s="29">
        <v>12</v>
      </c>
      <c r="E19" s="4" t="s">
        <v>21</v>
      </c>
      <c r="F19" s="4" t="s">
        <v>21</v>
      </c>
      <c r="G19" s="44" t="s">
        <v>46</v>
      </c>
      <c r="H19" s="45">
        <v>1</v>
      </c>
      <c r="I19" s="51">
        <v>548</v>
      </c>
      <c r="J19" s="55">
        <f t="shared" si="0"/>
        <v>548</v>
      </c>
      <c r="K19" s="32"/>
      <c r="L19" s="33" t="s">
        <v>47</v>
      </c>
      <c r="M19" s="57" t="s">
        <v>76</v>
      </c>
      <c r="N19" s="1" t="s">
        <v>23</v>
      </c>
      <c r="O19" s="12">
        <v>45628</v>
      </c>
      <c r="P19" s="4"/>
      <c r="Q19" s="42">
        <v>45314</v>
      </c>
      <c r="R19" s="12">
        <v>45315</v>
      </c>
      <c r="S19" s="15">
        <v>45681</v>
      </c>
    </row>
    <row r="20" spans="1:19" s="3" customFormat="1" ht="19.899999999999999" customHeight="1" x14ac:dyDescent="0.15">
      <c r="A20" s="53" t="s">
        <v>66</v>
      </c>
      <c r="C20" s="1">
        <f t="shared" si="1"/>
        <v>12</v>
      </c>
      <c r="D20" s="29">
        <v>12</v>
      </c>
      <c r="E20" s="1" t="s">
        <v>73</v>
      </c>
      <c r="F20" s="1" t="s">
        <v>21</v>
      </c>
      <c r="G20" s="16" t="s">
        <v>74</v>
      </c>
      <c r="H20" s="47">
        <v>1</v>
      </c>
      <c r="I20" s="51">
        <v>2380</v>
      </c>
      <c r="J20" s="56">
        <f t="shared" si="0"/>
        <v>2380</v>
      </c>
      <c r="K20" s="2"/>
      <c r="L20" s="16" t="s">
        <v>48</v>
      </c>
      <c r="M20" s="57" t="s">
        <v>76</v>
      </c>
      <c r="N20" s="1" t="s">
        <v>23</v>
      </c>
      <c r="O20" s="12">
        <v>45628</v>
      </c>
      <c r="P20" s="4"/>
      <c r="Q20" s="42">
        <v>45314</v>
      </c>
      <c r="R20" s="12">
        <v>45315</v>
      </c>
      <c r="S20" s="15">
        <v>45681</v>
      </c>
    </row>
    <row r="21" spans="1:19" s="3" customFormat="1" ht="19.899999999999999" customHeight="1" x14ac:dyDescent="0.15">
      <c r="A21" s="53" t="s">
        <v>66</v>
      </c>
      <c r="C21" s="1">
        <f t="shared" si="1"/>
        <v>13</v>
      </c>
      <c r="D21" s="29">
        <v>12</v>
      </c>
      <c r="E21" s="4" t="s">
        <v>21</v>
      </c>
      <c r="F21" s="4" t="s">
        <v>21</v>
      </c>
      <c r="G21" s="36" t="s">
        <v>72</v>
      </c>
      <c r="H21" s="45">
        <v>2</v>
      </c>
      <c r="I21" s="51">
        <v>1500</v>
      </c>
      <c r="J21" s="55">
        <f t="shared" si="0"/>
        <v>3000</v>
      </c>
      <c r="K21" s="32"/>
      <c r="L21" s="33" t="s">
        <v>49</v>
      </c>
      <c r="M21" s="57" t="s">
        <v>76</v>
      </c>
      <c r="N21" s="1" t="s">
        <v>23</v>
      </c>
      <c r="O21" s="12">
        <v>45628</v>
      </c>
      <c r="P21" s="4"/>
      <c r="Q21" s="42">
        <v>45314</v>
      </c>
      <c r="R21" s="12">
        <v>45315</v>
      </c>
      <c r="S21" s="15">
        <v>45681</v>
      </c>
    </row>
    <row r="22" spans="1:19" s="3" customFormat="1" ht="19.899999999999999" customHeight="1" x14ac:dyDescent="0.15">
      <c r="A22" s="53" t="s">
        <v>65</v>
      </c>
      <c r="C22" s="1">
        <f t="shared" si="1"/>
        <v>14</v>
      </c>
      <c r="D22" s="29">
        <v>9</v>
      </c>
      <c r="E22" s="4" t="s">
        <v>21</v>
      </c>
      <c r="F22" s="4" t="s">
        <v>21</v>
      </c>
      <c r="G22" s="36" t="s">
        <v>50</v>
      </c>
      <c r="H22" s="45">
        <v>2</v>
      </c>
      <c r="I22" s="51">
        <v>1390</v>
      </c>
      <c r="J22" s="55">
        <f t="shared" si="0"/>
        <v>2780</v>
      </c>
      <c r="K22" s="32"/>
      <c r="L22" s="33" t="s">
        <v>51</v>
      </c>
      <c r="M22" s="57" t="s">
        <v>76</v>
      </c>
      <c r="N22" s="1" t="s">
        <v>52</v>
      </c>
      <c r="O22" s="12">
        <v>45628</v>
      </c>
      <c r="P22" s="4"/>
      <c r="Q22" s="42">
        <v>45314</v>
      </c>
      <c r="R22" s="12">
        <v>45315</v>
      </c>
      <c r="S22" s="15">
        <v>45681</v>
      </c>
    </row>
    <row r="23" spans="1:19" s="3" customFormat="1" ht="19.899999999999999" customHeight="1" x14ac:dyDescent="0.15">
      <c r="A23" s="53" t="s">
        <v>64</v>
      </c>
      <c r="C23" s="1">
        <f t="shared" si="1"/>
        <v>15</v>
      </c>
      <c r="D23" s="29">
        <v>9</v>
      </c>
      <c r="E23" s="4" t="s">
        <v>21</v>
      </c>
      <c r="F23" s="4" t="s">
        <v>21</v>
      </c>
      <c r="G23" s="36" t="s">
        <v>53</v>
      </c>
      <c r="H23" s="45">
        <v>1</v>
      </c>
      <c r="I23" s="51">
        <v>34130</v>
      </c>
      <c r="J23" s="55">
        <f t="shared" si="0"/>
        <v>34130</v>
      </c>
      <c r="K23" s="32"/>
      <c r="L23" s="33" t="s">
        <v>54</v>
      </c>
      <c r="M23" s="57" t="s">
        <v>76</v>
      </c>
      <c r="N23" s="1" t="s">
        <v>52</v>
      </c>
      <c r="O23" s="12">
        <v>45628</v>
      </c>
      <c r="P23" s="4"/>
      <c r="Q23" s="42">
        <v>45314</v>
      </c>
      <c r="R23" s="12">
        <v>45315</v>
      </c>
      <c r="S23" s="15">
        <v>45681</v>
      </c>
    </row>
    <row r="24" spans="1:19" s="3" customFormat="1" ht="19.899999999999999" customHeight="1" x14ac:dyDescent="0.15">
      <c r="A24" s="53" t="s">
        <v>64</v>
      </c>
      <c r="C24" s="1">
        <f t="shared" si="1"/>
        <v>16</v>
      </c>
      <c r="D24" s="29">
        <v>9</v>
      </c>
      <c r="E24" s="4" t="s">
        <v>21</v>
      </c>
      <c r="F24" s="4" t="s">
        <v>21</v>
      </c>
      <c r="G24" s="34" t="s">
        <v>63</v>
      </c>
      <c r="H24" s="45">
        <v>1</v>
      </c>
      <c r="I24" s="51">
        <v>16480</v>
      </c>
      <c r="J24" s="55">
        <f t="shared" si="0"/>
        <v>16480</v>
      </c>
      <c r="K24" s="32"/>
      <c r="L24" s="33" t="s">
        <v>55</v>
      </c>
      <c r="M24" s="57" t="s">
        <v>76</v>
      </c>
      <c r="N24" s="1" t="s">
        <v>52</v>
      </c>
      <c r="O24" s="12">
        <v>45628</v>
      </c>
      <c r="P24" s="4"/>
      <c r="Q24" s="42">
        <v>45314</v>
      </c>
      <c r="R24" s="12">
        <v>45315</v>
      </c>
      <c r="S24" s="15">
        <v>45681</v>
      </c>
    </row>
    <row r="25" spans="1:19" s="3" customFormat="1" ht="19.899999999999999" customHeight="1" x14ac:dyDescent="0.15">
      <c r="A25" s="53" t="s">
        <v>66</v>
      </c>
      <c r="C25" s="1">
        <f t="shared" si="1"/>
        <v>17</v>
      </c>
      <c r="D25" s="29">
        <v>9</v>
      </c>
      <c r="E25" s="4" t="s">
        <v>21</v>
      </c>
      <c r="F25" s="4" t="s">
        <v>21</v>
      </c>
      <c r="G25" s="33" t="s">
        <v>56</v>
      </c>
      <c r="H25" s="48">
        <v>5</v>
      </c>
      <c r="I25" s="51">
        <v>390</v>
      </c>
      <c r="J25" s="55">
        <f t="shared" si="0"/>
        <v>1950</v>
      </c>
      <c r="K25" s="2"/>
      <c r="L25" s="44" t="s">
        <v>57</v>
      </c>
      <c r="M25" s="57" t="s">
        <v>76</v>
      </c>
      <c r="N25" s="1" t="s">
        <v>52</v>
      </c>
      <c r="O25" s="12">
        <v>45628</v>
      </c>
      <c r="P25" s="4"/>
      <c r="Q25" s="42">
        <v>45314</v>
      </c>
      <c r="R25" s="12">
        <v>45315</v>
      </c>
      <c r="S25" s="15">
        <v>45681</v>
      </c>
    </row>
    <row r="26" spans="1:19" s="3" customFormat="1" ht="19.899999999999999" customHeight="1" x14ac:dyDescent="0.15">
      <c r="A26" s="53" t="s">
        <v>66</v>
      </c>
      <c r="C26" s="1">
        <f t="shared" si="1"/>
        <v>18</v>
      </c>
      <c r="D26" s="29">
        <v>9</v>
      </c>
      <c r="E26" s="4" t="s">
        <v>21</v>
      </c>
      <c r="F26" s="4" t="s">
        <v>21</v>
      </c>
      <c r="G26" s="49" t="s">
        <v>58</v>
      </c>
      <c r="H26" s="45">
        <v>1</v>
      </c>
      <c r="I26" s="50">
        <v>1470</v>
      </c>
      <c r="J26" s="55">
        <f>H26*I26</f>
        <v>1470</v>
      </c>
      <c r="K26" s="32"/>
      <c r="L26" s="33" t="s">
        <v>59</v>
      </c>
      <c r="M26" s="57" t="s">
        <v>76</v>
      </c>
      <c r="N26" s="1" t="s">
        <v>52</v>
      </c>
      <c r="O26" s="12">
        <v>45628</v>
      </c>
      <c r="P26" s="4"/>
      <c r="Q26" s="42">
        <v>45314</v>
      </c>
      <c r="R26" s="12">
        <v>45315</v>
      </c>
      <c r="S26" s="15">
        <v>45681</v>
      </c>
    </row>
    <row r="27" spans="1:19" s="3" customFormat="1" ht="19.899999999999999" customHeight="1" x14ac:dyDescent="0.15">
      <c r="A27" s="53" t="s">
        <v>66</v>
      </c>
      <c r="C27" s="1">
        <f t="shared" si="1"/>
        <v>19</v>
      </c>
      <c r="D27" s="29">
        <v>9</v>
      </c>
      <c r="E27" s="4" t="s">
        <v>21</v>
      </c>
      <c r="F27" s="4" t="s">
        <v>21</v>
      </c>
      <c r="G27" s="49" t="s">
        <v>60</v>
      </c>
      <c r="H27" s="45">
        <v>1</v>
      </c>
      <c r="I27" s="50">
        <v>1400</v>
      </c>
      <c r="J27" s="55">
        <f>H27*I27</f>
        <v>1400</v>
      </c>
      <c r="K27" s="32"/>
      <c r="L27" s="33" t="s">
        <v>61</v>
      </c>
      <c r="M27" s="57" t="s">
        <v>76</v>
      </c>
      <c r="N27" s="1" t="s">
        <v>52</v>
      </c>
      <c r="O27" s="12">
        <v>45628</v>
      </c>
      <c r="P27" s="4"/>
      <c r="Q27" s="42">
        <v>45314</v>
      </c>
      <c r="R27" s="12">
        <v>45315</v>
      </c>
      <c r="S27" s="15">
        <v>45681</v>
      </c>
    </row>
    <row r="28" spans="1:19" s="3" customFormat="1" ht="19.899999999999999" customHeight="1" x14ac:dyDescent="0.15">
      <c r="D28" s="29"/>
      <c r="E28" s="4"/>
      <c r="F28" s="4"/>
      <c r="G28" s="33"/>
      <c r="H28" s="48"/>
      <c r="I28" s="28"/>
      <c r="J28" s="5">
        <f t="shared" si="0"/>
        <v>0</v>
      </c>
      <c r="K28" s="2"/>
      <c r="L28" s="44"/>
      <c r="M28" s="33"/>
      <c r="N28" s="1"/>
      <c r="O28" s="12"/>
      <c r="P28" s="4"/>
      <c r="Q28" s="1"/>
      <c r="R28" s="12"/>
      <c r="S28" s="15"/>
    </row>
    <row r="29" spans="1:19" s="3" customFormat="1" ht="19.899999999999999" customHeight="1" x14ac:dyDescent="0.15">
      <c r="D29" s="29"/>
      <c r="E29" s="4"/>
      <c r="F29" s="4"/>
      <c r="G29" s="54">
        <f>SUM(J9:J28)</f>
        <v>123702</v>
      </c>
      <c r="H29" s="48"/>
      <c r="I29" s="28"/>
      <c r="J29" s="5">
        <f t="shared" si="0"/>
        <v>0</v>
      </c>
      <c r="K29" s="2"/>
      <c r="L29" s="44"/>
      <c r="M29" s="33"/>
      <c r="N29" s="1"/>
      <c r="O29" s="12"/>
      <c r="P29" s="4"/>
      <c r="Q29" s="1"/>
      <c r="R29" s="12"/>
      <c r="S29" s="15"/>
    </row>
    <row r="30" spans="1:19" s="3" customFormat="1" ht="19.899999999999999" customHeight="1" x14ac:dyDescent="0.15">
      <c r="D30" s="29"/>
      <c r="E30" s="29"/>
      <c r="F30" s="29"/>
      <c r="G30" s="33"/>
      <c r="H30" s="30"/>
      <c r="I30" s="37"/>
      <c r="J30" s="5">
        <f t="shared" si="0"/>
        <v>0</v>
      </c>
      <c r="K30" s="32"/>
      <c r="L30" s="33"/>
      <c r="M30" s="33"/>
      <c r="N30" s="1"/>
      <c r="O30" s="12"/>
      <c r="P30" s="4"/>
      <c r="Q30" s="42"/>
      <c r="R30" s="12"/>
      <c r="S30" s="15"/>
    </row>
    <row r="31" spans="1:19" s="3" customFormat="1" ht="19.899999999999999" customHeight="1" x14ac:dyDescent="0.15">
      <c r="D31" s="29"/>
      <c r="E31" s="29"/>
      <c r="F31" s="29"/>
      <c r="G31" s="33"/>
      <c r="H31" s="30"/>
      <c r="I31" s="38"/>
      <c r="J31" s="5">
        <f t="shared" si="0"/>
        <v>0</v>
      </c>
      <c r="K31" s="32"/>
      <c r="L31" s="33"/>
      <c r="M31" s="33"/>
      <c r="N31" s="1"/>
      <c r="O31" s="12"/>
      <c r="P31" s="4"/>
      <c r="Q31" s="42"/>
      <c r="R31" s="12"/>
      <c r="S31" s="15"/>
    </row>
    <row r="32" spans="1:19" s="3" customFormat="1" ht="19.899999999999999" customHeight="1" x14ac:dyDescent="0.15">
      <c r="D32" s="29"/>
      <c r="E32" s="29"/>
      <c r="F32" s="29"/>
      <c r="G32" s="33"/>
      <c r="H32" s="30"/>
      <c r="I32" s="38"/>
      <c r="J32" s="5">
        <f t="shared" si="0"/>
        <v>0</v>
      </c>
      <c r="K32" s="32"/>
      <c r="L32" s="33"/>
      <c r="M32" s="33"/>
      <c r="N32" s="1"/>
      <c r="O32" s="12"/>
      <c r="P32" s="4"/>
      <c r="Q32" s="42"/>
      <c r="R32" s="12"/>
      <c r="S32" s="15"/>
    </row>
    <row r="33" spans="4:19" s="3" customFormat="1" ht="19.899999999999999" customHeight="1" x14ac:dyDescent="0.15">
      <c r="D33" s="29"/>
      <c r="E33" s="29"/>
      <c r="F33" s="29"/>
      <c r="G33" s="33"/>
      <c r="H33" s="30"/>
      <c r="I33" s="31"/>
      <c r="J33" s="5">
        <f t="shared" si="0"/>
        <v>0</v>
      </c>
      <c r="K33" s="32"/>
      <c r="L33" s="39"/>
      <c r="M33" s="35"/>
      <c r="N33" s="1"/>
      <c r="O33" s="12"/>
      <c r="P33" s="4"/>
      <c r="Q33" s="42"/>
      <c r="R33" s="12"/>
      <c r="S33" s="15"/>
    </row>
    <row r="34" spans="4:19" s="3" customFormat="1" ht="19.899999999999999" customHeight="1" x14ac:dyDescent="0.15">
      <c r="D34" s="4"/>
      <c r="E34" s="4"/>
      <c r="F34" s="4"/>
      <c r="G34" s="40"/>
      <c r="H34" s="17"/>
      <c r="I34" s="41"/>
      <c r="J34" s="5">
        <f>H34*I34</f>
        <v>0</v>
      </c>
      <c r="K34" s="2"/>
      <c r="L34" s="16"/>
      <c r="M34" s="16"/>
      <c r="N34" s="1"/>
      <c r="O34" s="12"/>
      <c r="P34" s="4"/>
      <c r="Q34" s="1"/>
      <c r="R34" s="12"/>
      <c r="S34" s="15"/>
    </row>
    <row r="35" spans="4:19" s="3" customFormat="1" ht="19.899999999999999" customHeight="1" x14ac:dyDescent="0.15">
      <c r="D35" s="4"/>
      <c r="E35" s="4"/>
      <c r="F35" s="4"/>
      <c r="G35" s="24"/>
      <c r="H35" s="25"/>
      <c r="I35" s="41"/>
      <c r="J35" s="5">
        <f>H35*I35</f>
        <v>0</v>
      </c>
      <c r="K35" s="2"/>
      <c r="L35" s="16"/>
      <c r="M35" s="16"/>
      <c r="N35" s="1"/>
      <c r="O35" s="12"/>
      <c r="P35" s="4"/>
      <c r="Q35" s="1"/>
      <c r="R35" s="12"/>
      <c r="S35" s="15"/>
    </row>
    <row r="36" spans="4:19" s="3" customFormat="1" ht="19.899999999999999" customHeight="1" x14ac:dyDescent="0.15">
      <c r="D36" s="4"/>
      <c r="E36" s="4"/>
      <c r="F36" s="4"/>
      <c r="G36" s="24"/>
      <c r="H36" s="25"/>
      <c r="I36" s="41"/>
      <c r="J36" s="5">
        <f>H36*I36</f>
        <v>0</v>
      </c>
      <c r="K36" s="2"/>
      <c r="L36" s="16"/>
      <c r="M36" s="16"/>
      <c r="N36" s="1"/>
      <c r="O36" s="12"/>
      <c r="P36" s="4"/>
      <c r="Q36" s="1"/>
      <c r="R36" s="12"/>
      <c r="S36" s="15"/>
    </row>
    <row r="37" spans="4:19" s="3" customFormat="1" ht="19.899999999999999" customHeight="1" x14ac:dyDescent="0.15">
      <c r="D37" s="4"/>
      <c r="E37" s="4"/>
      <c r="F37" s="4"/>
      <c r="G37" s="24"/>
      <c r="H37" s="25"/>
      <c r="I37" s="20"/>
      <c r="J37" s="5">
        <f>H37*I37</f>
        <v>0</v>
      </c>
      <c r="K37" s="2"/>
      <c r="L37" s="18"/>
      <c r="M37" s="18"/>
      <c r="N37" s="1"/>
      <c r="O37" s="22"/>
      <c r="P37" s="19"/>
      <c r="Q37" s="21"/>
      <c r="R37" s="22"/>
      <c r="S37" s="23"/>
    </row>
    <row r="38" spans="4:19" s="3" customFormat="1" ht="19.899999999999999" customHeight="1" x14ac:dyDescent="0.15">
      <c r="D38" s="4"/>
      <c r="E38" s="4"/>
      <c r="F38" s="4"/>
      <c r="G38" s="24"/>
      <c r="H38" s="25"/>
      <c r="I38" s="20"/>
      <c r="J38" s="5">
        <f>H38*I38</f>
        <v>0</v>
      </c>
      <c r="K38" s="2"/>
      <c r="L38" s="18"/>
      <c r="M38" s="18"/>
      <c r="N38" s="1"/>
      <c r="O38" s="22"/>
      <c r="P38" s="19"/>
      <c r="Q38" s="27"/>
      <c r="R38" s="27"/>
      <c r="S38" s="23"/>
    </row>
    <row r="45" spans="4:19" x14ac:dyDescent="0.15">
      <c r="J45" s="26"/>
    </row>
    <row r="46" spans="4:19" x14ac:dyDescent="0.15">
      <c r="J46" s="26"/>
    </row>
    <row r="47" spans="4:19" x14ac:dyDescent="0.15">
      <c r="J47" s="26"/>
    </row>
    <row r="48" spans="4:19" x14ac:dyDescent="0.15">
      <c r="J48" s="26"/>
    </row>
    <row r="49" spans="10:10" x14ac:dyDescent="0.15">
      <c r="J49" s="26"/>
    </row>
    <row r="50" spans="10:10" x14ac:dyDescent="0.15">
      <c r="J50" s="26"/>
    </row>
    <row r="51" spans="10:10" x14ac:dyDescent="0.15">
      <c r="J51" s="26"/>
    </row>
    <row r="52" spans="10:10" x14ac:dyDescent="0.15">
      <c r="J52" s="26"/>
    </row>
    <row r="53" spans="10:10" x14ac:dyDescent="0.15">
      <c r="J53" s="26"/>
    </row>
    <row r="54" spans="10:10" x14ac:dyDescent="0.15">
      <c r="J54" s="26"/>
    </row>
    <row r="55" spans="10:10" x14ac:dyDescent="0.15">
      <c r="J55" s="26"/>
    </row>
    <row r="56" spans="10:10" x14ac:dyDescent="0.15">
      <c r="J56" s="26"/>
    </row>
    <row r="57" spans="10:10" x14ac:dyDescent="0.15">
      <c r="J57" s="26"/>
    </row>
    <row r="58" spans="10:10" x14ac:dyDescent="0.15">
      <c r="J58" s="26"/>
    </row>
    <row r="59" spans="10:10" x14ac:dyDescent="0.15">
      <c r="J59" s="26"/>
    </row>
    <row r="60" spans="10:10" x14ac:dyDescent="0.15">
      <c r="J60" s="26"/>
    </row>
    <row r="61" spans="10:10" x14ac:dyDescent="0.15">
      <c r="J61" s="26"/>
    </row>
    <row r="62" spans="10:10" x14ac:dyDescent="0.15">
      <c r="J62" s="26"/>
    </row>
    <row r="63" spans="10:10" x14ac:dyDescent="0.15">
      <c r="J63" s="26"/>
    </row>
    <row r="64" spans="10:10" x14ac:dyDescent="0.15">
      <c r="J64" s="26"/>
    </row>
    <row r="65" spans="10:10" x14ac:dyDescent="0.15">
      <c r="J65" s="26"/>
    </row>
    <row r="66" spans="10:10" x14ac:dyDescent="0.15">
      <c r="J66" s="26"/>
    </row>
    <row r="67" spans="10:10" x14ac:dyDescent="0.15">
      <c r="J67" s="26"/>
    </row>
    <row r="68" spans="10:10" x14ac:dyDescent="0.15">
      <c r="J68" s="26"/>
    </row>
    <row r="69" spans="10:10" x14ac:dyDescent="0.15">
      <c r="J69" s="26"/>
    </row>
    <row r="70" spans="10:10" x14ac:dyDescent="0.15">
      <c r="J70" s="26"/>
    </row>
    <row r="71" spans="10:10" x14ac:dyDescent="0.15">
      <c r="J71" s="26"/>
    </row>
    <row r="72" spans="10:10" x14ac:dyDescent="0.15">
      <c r="J72" s="26"/>
    </row>
    <row r="73" spans="10:10" x14ac:dyDescent="0.15">
      <c r="J73" s="26"/>
    </row>
    <row r="74" spans="10:10" x14ac:dyDescent="0.15">
      <c r="J74" s="26"/>
    </row>
    <row r="75" spans="10:10" x14ac:dyDescent="0.15">
      <c r="J75" s="26"/>
    </row>
    <row r="76" spans="10:10" x14ac:dyDescent="0.15">
      <c r="J76" s="26"/>
    </row>
    <row r="77" spans="10:10" x14ac:dyDescent="0.15">
      <c r="J77" s="26"/>
    </row>
  </sheetData>
  <autoFilter ref="D8:Q38" xr:uid="{00000000-0009-0000-0000-000000000000}"/>
  <mergeCells count="7">
    <mergeCell ref="D6:F6"/>
    <mergeCell ref="J5:J6"/>
    <mergeCell ref="D2:F2"/>
    <mergeCell ref="I2:K2"/>
    <mergeCell ref="D3:F3"/>
    <mergeCell ref="D4:F4"/>
    <mergeCell ref="D5:F5"/>
  </mergeCells>
  <phoneticPr fontId="1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③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2012-01-12T04:44:33Z</cp:lastPrinted>
  <dcterms:created xsi:type="dcterms:W3CDTF">2011-12-13T06:48:43Z</dcterms:created>
  <dcterms:modified xsi:type="dcterms:W3CDTF">2025-01-24T04:09:33Z</dcterms:modified>
</cp:coreProperties>
</file>