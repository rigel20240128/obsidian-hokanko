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7160369F-48E3-43DE-A9C8-057BEAAC83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③原価一覧 (20250806) " sheetId="17" r:id="rId1"/>
    <sheet name="Sheet3" sheetId="3" r:id="rId2"/>
  </sheets>
  <definedNames>
    <definedName name="_xlnm._FilterDatabase" localSheetId="0" hidden="1">'③原価一覧 (20250806) '!$C$8:$P$261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5" i="17" l="1"/>
  <c r="F50" i="17"/>
  <c r="I48" i="17"/>
  <c r="I47" i="17"/>
  <c r="I46" i="17"/>
  <c r="I45" i="17"/>
  <c r="I44" i="17"/>
  <c r="I43" i="17"/>
  <c r="I42" i="17"/>
  <c r="I41" i="17"/>
  <c r="C41" i="17"/>
  <c r="C42" i="17" s="1"/>
  <c r="C43" i="17" s="1"/>
  <c r="C44" i="17" s="1"/>
  <c r="C45" i="17" s="1"/>
  <c r="C46" i="17" s="1"/>
  <c r="C47" i="17" s="1"/>
  <c r="C48" i="17" s="1"/>
  <c r="I40" i="17"/>
  <c r="C40" i="17"/>
  <c r="I92" i="17"/>
  <c r="I91" i="17"/>
  <c r="I90" i="17"/>
  <c r="I89" i="17"/>
  <c r="I88" i="17"/>
  <c r="I87" i="17"/>
  <c r="I86" i="17"/>
  <c r="I85" i="17"/>
  <c r="I84" i="17"/>
  <c r="I83" i="17"/>
  <c r="I82" i="17"/>
  <c r="I251" i="17" l="1"/>
  <c r="I63" i="17"/>
  <c r="I62" i="17"/>
  <c r="I257" i="17" l="1"/>
  <c r="I256" i="17"/>
  <c r="I255" i="17"/>
  <c r="I250" i="17"/>
  <c r="I249" i="17"/>
  <c r="I248" i="17"/>
  <c r="I247" i="17"/>
  <c r="I246" i="17"/>
  <c r="I245" i="17"/>
  <c r="I244" i="17"/>
  <c r="I243" i="17"/>
  <c r="I242" i="17"/>
  <c r="I241" i="17"/>
  <c r="I240" i="17"/>
  <c r="I239" i="17"/>
  <c r="I238" i="17"/>
  <c r="I237" i="17"/>
  <c r="I236" i="17"/>
  <c r="I235" i="17"/>
  <c r="I234" i="17"/>
  <c r="I233" i="17"/>
  <c r="I232" i="17"/>
  <c r="I231" i="17"/>
  <c r="I230" i="17"/>
  <c r="I229" i="17"/>
  <c r="I228" i="17"/>
  <c r="I227" i="17"/>
  <c r="I226" i="17"/>
  <c r="I225" i="17"/>
  <c r="I224" i="17"/>
  <c r="I223" i="17"/>
  <c r="I222" i="17"/>
  <c r="I221" i="17"/>
  <c r="I214" i="17"/>
  <c r="I213" i="17"/>
  <c r="I212" i="17"/>
  <c r="I211" i="17"/>
  <c r="I210" i="17"/>
  <c r="I209" i="17"/>
  <c r="I208" i="17"/>
  <c r="I207" i="17"/>
  <c r="I206" i="17"/>
  <c r="I205" i="17"/>
  <c r="I204" i="17"/>
  <c r="I203" i="17"/>
  <c r="I202" i="17"/>
  <c r="I201" i="17"/>
  <c r="I200" i="17"/>
  <c r="I193" i="17"/>
  <c r="I192" i="17"/>
  <c r="I191" i="17"/>
  <c r="I190" i="17"/>
  <c r="I189" i="17"/>
  <c r="I188" i="17"/>
  <c r="I187" i="17"/>
  <c r="I186" i="17"/>
  <c r="I185" i="17"/>
  <c r="I184" i="17"/>
  <c r="I183" i="17"/>
  <c r="I182" i="17"/>
  <c r="I181" i="17"/>
  <c r="I180" i="17"/>
  <c r="I179" i="17"/>
  <c r="I178" i="17"/>
  <c r="I177" i="17"/>
  <c r="I176" i="17"/>
  <c r="I175" i="17"/>
  <c r="I174" i="17"/>
  <c r="I173" i="17"/>
  <c r="I172" i="17"/>
  <c r="I171" i="17"/>
  <c r="I170" i="17"/>
  <c r="I169" i="17"/>
  <c r="I160" i="17"/>
  <c r="I159" i="17"/>
  <c r="I158" i="17"/>
  <c r="I157" i="17"/>
  <c r="I156" i="17"/>
  <c r="I155" i="17"/>
  <c r="I148" i="17"/>
  <c r="I147" i="17"/>
  <c r="I146" i="17"/>
  <c r="I145" i="17"/>
  <c r="I144" i="17"/>
  <c r="I143" i="17"/>
  <c r="I142" i="17"/>
  <c r="I141" i="17"/>
  <c r="I140" i="17"/>
  <c r="I131" i="17"/>
  <c r="I130" i="17"/>
  <c r="I129" i="17"/>
  <c r="I128" i="17"/>
  <c r="I127" i="17"/>
  <c r="I126" i="17"/>
  <c r="I125" i="17"/>
  <c r="I124" i="17"/>
  <c r="I123" i="17"/>
  <c r="I122" i="17"/>
  <c r="I121" i="17"/>
  <c r="I120" i="17"/>
  <c r="I119" i="17"/>
  <c r="I118" i="17"/>
  <c r="I117" i="17"/>
  <c r="I116" i="17"/>
  <c r="I115" i="17"/>
  <c r="I114" i="17"/>
  <c r="I113" i="17"/>
  <c r="I112" i="17"/>
  <c r="I111" i="17"/>
  <c r="I110" i="17"/>
  <c r="I109" i="17"/>
  <c r="I108" i="17"/>
  <c r="I107" i="17"/>
  <c r="I106" i="17"/>
  <c r="I105" i="17"/>
  <c r="I104" i="17"/>
  <c r="I103" i="17"/>
  <c r="I102" i="17"/>
  <c r="I101" i="17"/>
  <c r="I100" i="17"/>
  <c r="I99" i="17"/>
  <c r="I98" i="17"/>
  <c r="I97" i="17"/>
  <c r="I96" i="17"/>
  <c r="I95" i="17"/>
  <c r="I94" i="17"/>
  <c r="I93" i="17"/>
  <c r="I81" i="17"/>
  <c r="I80" i="17"/>
  <c r="I79" i="17"/>
  <c r="I78" i="17"/>
  <c r="I77" i="17"/>
  <c r="I76" i="17"/>
  <c r="I75" i="17"/>
  <c r="I74" i="17"/>
  <c r="I73" i="17"/>
  <c r="I72" i="17"/>
  <c r="I71" i="17"/>
  <c r="I70" i="17"/>
  <c r="I69" i="17"/>
  <c r="I68" i="17"/>
  <c r="I67" i="17"/>
  <c r="I66" i="17"/>
  <c r="I65" i="17"/>
  <c r="I64" i="17"/>
  <c r="I61" i="17"/>
  <c r="I60" i="17"/>
  <c r="I59" i="17"/>
  <c r="I58" i="17"/>
  <c r="I57" i="17"/>
  <c r="I56" i="17"/>
  <c r="I55" i="17"/>
  <c r="I38" i="17"/>
  <c r="I37" i="17"/>
  <c r="I3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C13" i="17"/>
  <c r="C14" i="17" s="1"/>
  <c r="C15" i="17" s="1"/>
  <c r="C16" i="17" s="1"/>
  <c r="C17" i="17" s="1"/>
  <c r="C18" i="17" s="1"/>
  <c r="C19" i="17" s="1"/>
  <c r="C20" i="17" s="1"/>
  <c r="C21" i="17" s="1"/>
  <c r="C22" i="17" s="1"/>
  <c r="C23" i="17" s="1"/>
  <c r="C24" i="17" s="1"/>
  <c r="C25" i="17" s="1"/>
  <c r="C26" i="17" s="1"/>
  <c r="C27" i="17" s="1"/>
  <c r="C28" i="17" s="1"/>
  <c r="C29" i="17" s="1"/>
  <c r="C30" i="17" s="1"/>
  <c r="C31" i="17" s="1"/>
  <c r="C32" i="17" s="1"/>
  <c r="C33" i="17" s="1"/>
  <c r="C34" i="17" s="1"/>
  <c r="C35" i="17" s="1"/>
  <c r="C36" i="17" s="1"/>
  <c r="C37" i="17" s="1"/>
  <c r="C38" i="17" s="1"/>
  <c r="K2" i="17" l="1"/>
  <c r="F150" i="17"/>
  <c r="C56" i="17"/>
  <c r="C57" i="17" s="1"/>
  <c r="C58" i="17" s="1"/>
  <c r="C59" i="17" s="1"/>
  <c r="C60" i="17" s="1"/>
  <c r="C61" i="17" s="1"/>
  <c r="F195" i="17"/>
  <c r="F133" i="17"/>
  <c r="F253" i="17"/>
  <c r="F216" i="17"/>
  <c r="F162" i="17"/>
  <c r="C64" i="17" l="1"/>
  <c r="C65" i="17" s="1"/>
  <c r="C66" i="17" s="1"/>
  <c r="C67" i="17" s="1"/>
  <c r="C68" i="17" s="1"/>
  <c r="C69" i="17" s="1"/>
  <c r="C70" i="17" s="1"/>
  <c r="C62" i="17"/>
  <c r="C63" i="17" s="1"/>
  <c r="C71" i="17" l="1"/>
  <c r="C72" i="17" s="1"/>
  <c r="C73" i="17" s="1"/>
  <c r="C74" i="17" s="1"/>
  <c r="C75" i="17" s="1"/>
  <c r="C76" i="17" s="1"/>
  <c r="C77" i="17" s="1"/>
  <c r="C78" i="17" s="1"/>
  <c r="C79" i="17" s="1"/>
  <c r="C80" i="17" s="1"/>
  <c r="C81" i="17" s="1"/>
  <c r="C82" i="17" s="1"/>
  <c r="C83" i="17" s="1"/>
  <c r="C84" i="17" s="1"/>
  <c r="C85" i="17" s="1"/>
  <c r="C86" i="17" s="1"/>
  <c r="C87" i="17" s="1"/>
  <c r="C88" i="17" s="1"/>
  <c r="C89" i="17" s="1"/>
  <c r="C90" i="17" s="1"/>
  <c r="C91" i="17" s="1"/>
  <c r="C92" i="17" s="1"/>
  <c r="C93" i="17" s="1"/>
  <c r="C94" i="17" s="1"/>
  <c r="C95" i="17" s="1"/>
  <c r="C96" i="17" s="1"/>
  <c r="C97" i="17" s="1"/>
  <c r="C98" i="17" s="1"/>
  <c r="C99" i="17" s="1"/>
  <c r="C100" i="17" s="1"/>
  <c r="C101" i="17" s="1"/>
  <c r="C102" i="17" s="1"/>
  <c r="C103" i="17" s="1"/>
  <c r="C104" i="17" s="1"/>
  <c r="C105" i="17" s="1"/>
  <c r="C106" i="17" s="1"/>
  <c r="C107" i="17" s="1"/>
  <c r="C108" i="17" s="1"/>
  <c r="C109" i="17" s="1"/>
  <c r="C110" i="17" s="1"/>
  <c r="C111" i="17" s="1"/>
  <c r="C112" i="17" s="1"/>
  <c r="C113" i="17" s="1"/>
  <c r="C114" i="17" s="1"/>
  <c r="C115" i="17" s="1"/>
  <c r="C116" i="17" s="1"/>
  <c r="C117" i="17" s="1"/>
  <c r="C118" i="17" s="1"/>
  <c r="C119" i="17" s="1"/>
  <c r="C120" i="17" s="1"/>
  <c r="C121" i="17" s="1"/>
  <c r="C122" i="17" s="1"/>
  <c r="C123" i="17" s="1"/>
  <c r="C124" i="17" s="1"/>
  <c r="C125" i="17" s="1"/>
  <c r="C126" i="17" s="1"/>
  <c r="C127" i="17" s="1"/>
  <c r="C128" i="17" s="1"/>
  <c r="C129" i="17" s="1"/>
  <c r="C130" i="17" s="1"/>
  <c r="C131" i="17" s="1"/>
  <c r="C140" i="17" s="1"/>
  <c r="C141" i="17" s="1"/>
  <c r="C142" i="17" s="1"/>
  <c r="C143" i="17" s="1"/>
  <c r="C144" i="17" s="1"/>
  <c r="C145" i="17" s="1"/>
  <c r="C146" i="17" s="1"/>
  <c r="C147" i="17" s="1"/>
  <c r="C148" i="17" s="1"/>
  <c r="C155" i="17" s="1"/>
  <c r="C156" i="17" s="1"/>
  <c r="C157" i="17" s="1"/>
  <c r="C158" i="17" s="1"/>
  <c r="C159" i="17" s="1"/>
  <c r="C160" i="17" s="1"/>
  <c r="C169" i="17" l="1"/>
  <c r="C170" i="17" s="1"/>
  <c r="C171" i="17" s="1"/>
  <c r="C172" i="17" s="1"/>
  <c r="C173" i="17" s="1"/>
  <c r="C174" i="17" s="1"/>
  <c r="C175" i="17" s="1"/>
  <c r="C176" i="17" s="1"/>
  <c r="C177" i="17" s="1"/>
  <c r="C178" i="17" s="1"/>
  <c r="C179" i="17" s="1"/>
  <c r="C180" i="17" s="1"/>
  <c r="C181" i="17" s="1"/>
  <c r="C182" i="17" s="1"/>
  <c r="C183" i="17" s="1"/>
  <c r="C184" i="17" s="1"/>
  <c r="C185" i="17" s="1"/>
  <c r="C186" i="17" s="1"/>
  <c r="C187" i="17" s="1"/>
  <c r="C188" i="17" s="1"/>
  <c r="C189" i="17" s="1"/>
  <c r="C190" i="17" s="1"/>
  <c r="C191" i="17" s="1"/>
  <c r="C192" i="17" s="1"/>
  <c r="C193" i="17" s="1"/>
  <c r="C200" i="17" l="1"/>
  <c r="C201" i="17" s="1"/>
  <c r="C202" i="17" s="1"/>
  <c r="C203" i="17" s="1"/>
  <c r="C204" i="17" s="1"/>
  <c r="C205" i="17" s="1"/>
  <c r="C206" i="17" s="1"/>
  <c r="C207" i="17" s="1"/>
  <c r="C208" i="17" s="1"/>
  <c r="C209" i="17" s="1"/>
  <c r="C210" i="17" s="1"/>
  <c r="C211" i="17" s="1"/>
  <c r="C212" i="17" s="1"/>
  <c r="C213" i="17" s="1"/>
  <c r="C214" i="17" s="1"/>
  <c r="C221" i="17" l="1"/>
  <c r="C222" i="17" s="1"/>
  <c r="C223" i="17" s="1"/>
  <c r="C224" i="17" s="1"/>
  <c r="C225" i="17" s="1"/>
  <c r="C226" i="17" s="1"/>
  <c r="C227" i="17" s="1"/>
  <c r="C228" i="17" s="1"/>
  <c r="C229" i="17" s="1"/>
  <c r="C230" i="17" s="1"/>
  <c r="C231" i="17" s="1"/>
  <c r="C232" i="17" s="1"/>
  <c r="C233" i="17" s="1"/>
  <c r="C234" i="17" s="1"/>
  <c r="C235" i="17" s="1"/>
  <c r="C236" i="17" s="1"/>
  <c r="C237" i="17" s="1"/>
  <c r="C238" i="17" l="1"/>
  <c r="C239" i="17" s="1"/>
  <c r="C240" i="17" s="1"/>
  <c r="C241" i="17" s="1"/>
  <c r="C242" i="17" s="1"/>
  <c r="C243" i="17" s="1"/>
  <c r="C244" i="17" s="1"/>
  <c r="C245" i="17" s="1"/>
  <c r="C246" i="17" s="1"/>
  <c r="C247" i="17" s="1"/>
  <c r="C248" i="17" l="1"/>
  <c r="C249" i="17" s="1"/>
  <c r="C250" i="17" s="1"/>
  <c r="C251" i="17" s="1"/>
</calcChain>
</file>

<file path=xl/sharedStrings.xml><?xml version="1.0" encoding="utf-8"?>
<sst xmlns="http://schemas.openxmlformats.org/spreadsheetml/2006/main" count="1291" uniqueCount="439">
  <si>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</si>
  <si>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</si>
  <si>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</si>
  <si>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</si>
  <si>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</si>
  <si>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</si>
  <si>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</si>
  <si>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</si>
  <si>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</si>
  <si>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</si>
  <si>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</si>
  <si>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</si>
  <si>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</si>
  <si>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</si>
  <si>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</si>
  <si>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</si>
  <si>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</si>
  <si>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</si>
  <si>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</si>
  <si>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</si>
  <si>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</si>
  <si>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</si>
  <si>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ツ－ル治具部分</t>
  </si>
  <si>
    <t>ミスミ</t>
  </si>
  <si>
    <t>運送費</t>
  </si>
  <si>
    <t>設計費</t>
  </si>
  <si>
    <t>組立調整費</t>
  </si>
  <si>
    <t>ミスミ</t>
    <phoneticPr fontId="12"/>
  </si>
  <si>
    <t>配電部分</t>
    <rPh sb="0" eb="2">
      <t>ハイデン</t>
    </rPh>
    <rPh sb="2" eb="4">
      <t>ブブン</t>
    </rPh>
    <phoneticPr fontId="10"/>
  </si>
  <si>
    <t>SCB4-20</t>
    <phoneticPr fontId="10"/>
  </si>
  <si>
    <t>MNCNL6-M5</t>
    <phoneticPr fontId="12"/>
  </si>
  <si>
    <t>MWS-DS37A-HT37</t>
    <phoneticPr fontId="12"/>
  </si>
  <si>
    <t>DINレール</t>
    <phoneticPr fontId="12"/>
  </si>
  <si>
    <t>CHNS4</t>
    <phoneticPr fontId="12"/>
  </si>
  <si>
    <t>RSCB4-15</t>
    <phoneticPr fontId="12"/>
  </si>
  <si>
    <t>SCB4-5</t>
    <phoneticPr fontId="12"/>
  </si>
  <si>
    <t xml:space="preserve">SCB4-8  </t>
    <phoneticPr fontId="12"/>
  </si>
  <si>
    <t>MS3-10</t>
    <phoneticPr fontId="12"/>
  </si>
  <si>
    <t>meviy</t>
    <phoneticPr fontId="12"/>
  </si>
  <si>
    <t xml:space="preserve">SPWF4 </t>
    <phoneticPr fontId="12"/>
  </si>
  <si>
    <t>3日目</t>
    <rPh sb="1" eb="2">
      <t>ヒ</t>
    </rPh>
    <rPh sb="2" eb="3">
      <t>メ</t>
    </rPh>
    <phoneticPr fontId="12"/>
  </si>
  <si>
    <t>1日目</t>
    <rPh sb="1" eb="2">
      <t>ヒ</t>
    </rPh>
    <rPh sb="2" eb="3">
      <t>メ</t>
    </rPh>
    <phoneticPr fontId="12"/>
  </si>
  <si>
    <t>2日目</t>
    <rPh sb="1" eb="2">
      <t>ヒ</t>
    </rPh>
    <rPh sb="2" eb="3">
      <t>メ</t>
    </rPh>
    <phoneticPr fontId="12"/>
  </si>
  <si>
    <t>JPLRS4-P5.0-B7.0</t>
    <phoneticPr fontId="10"/>
  </si>
  <si>
    <t>CBSST5-16</t>
    <phoneticPr fontId="10"/>
  </si>
  <si>
    <t xml:space="preserve">MS3-10 </t>
    <phoneticPr fontId="10"/>
  </si>
  <si>
    <t xml:space="preserve">SCB4-10 </t>
    <phoneticPr fontId="10"/>
  </si>
  <si>
    <t>SETB0075-Y07 ｶﾑﾌｧﾛｱ固定ﾌﾞﾛｯｸ</t>
    <phoneticPr fontId="10"/>
  </si>
  <si>
    <t>C-CFA5-13</t>
    <phoneticPr fontId="10"/>
  </si>
  <si>
    <t>CFBRA5-40</t>
    <phoneticPr fontId="10"/>
  </si>
  <si>
    <t>SBCB5-10</t>
    <phoneticPr fontId="10"/>
  </si>
  <si>
    <t>CSHCS-SUS-M3-4</t>
    <phoneticPr fontId="10"/>
  </si>
  <si>
    <t>SFB3-8</t>
    <phoneticPr fontId="10"/>
  </si>
  <si>
    <t>AETTS10-93-SC46.5-M3-N3</t>
    <phoneticPr fontId="10"/>
  </si>
  <si>
    <t>8日目</t>
    <rPh sb="1" eb="2">
      <t>ヒ</t>
    </rPh>
    <rPh sb="2" eb="3">
      <t>メ</t>
    </rPh>
    <phoneticPr fontId="12"/>
  </si>
  <si>
    <t>MVBLK-AMW-2UH-KM5D8</t>
    <phoneticPr fontId="10"/>
  </si>
  <si>
    <t>SUNCO</t>
    <phoneticPr fontId="10"/>
  </si>
  <si>
    <t>円形支柱－両端めねじ</t>
    <phoneticPr fontId="10"/>
  </si>
  <si>
    <t>5日目</t>
    <rPh sb="1" eb="2">
      <t>ヒ</t>
    </rPh>
    <rPh sb="2" eb="3">
      <t>メ</t>
    </rPh>
    <phoneticPr fontId="12"/>
  </si>
  <si>
    <t>カムフォロア　頭部六角穴付　フラットタイプ</t>
    <phoneticPr fontId="10"/>
  </si>
  <si>
    <t>カムフォロア用ブラケット</t>
    <phoneticPr fontId="10"/>
  </si>
  <si>
    <t>六角穴付ボタンボルト　－ステンレス</t>
    <phoneticPr fontId="10"/>
  </si>
  <si>
    <r>
      <t>六角穴付ボル  　　　</t>
    </r>
    <r>
      <rPr>
        <sz val="11"/>
        <color rgb="FFFF0000"/>
        <rFont val="ＭＳ Ｐゴシック"/>
        <family val="3"/>
        <charset val="128"/>
        <scheme val="minor"/>
      </rPr>
      <t>　2本  社内在庫使用</t>
    </r>
    <rPh sb="13" eb="14">
      <t>ホン</t>
    </rPh>
    <rPh sb="16" eb="18">
      <t>シャナイ</t>
    </rPh>
    <rPh sb="18" eb="20">
      <t>ザイコ</t>
    </rPh>
    <rPh sb="20" eb="22">
      <t>シヨウ</t>
    </rPh>
    <phoneticPr fontId="10"/>
  </si>
  <si>
    <r>
      <t xml:space="preserve">六角穴付ボル </t>
    </r>
    <r>
      <rPr>
        <sz val="11"/>
        <color rgb="FFFF0000"/>
        <rFont val="ＭＳ Ｐゴシック"/>
        <family val="3"/>
        <charset val="128"/>
        <scheme val="minor"/>
      </rPr>
      <t xml:space="preserve">  4本　  社内在庫使用</t>
    </r>
    <rPh sb="10" eb="11">
      <t>ホン</t>
    </rPh>
    <phoneticPr fontId="10"/>
  </si>
  <si>
    <t>出荷依頼項目NO.</t>
    <rPh sb="0" eb="4">
      <t>シュッカイライ</t>
    </rPh>
    <rPh sb="4" eb="6">
      <t>コウモク</t>
    </rPh>
    <phoneticPr fontId="10"/>
  </si>
  <si>
    <t>六角穴付皿ボルト　  2本　×2SET　</t>
    <phoneticPr fontId="10"/>
  </si>
  <si>
    <t>六角穴付皿ボルト　  9本　×2SET　</t>
    <phoneticPr fontId="10"/>
  </si>
  <si>
    <t>Dsub9　オス　コネクタハーネス　#4-40ショートねじ</t>
    <phoneticPr fontId="12"/>
  </si>
  <si>
    <t>1日目</t>
    <rPh sb="1" eb="3">
      <t>ヒメ</t>
    </rPh>
    <phoneticPr fontId="12"/>
  </si>
  <si>
    <t>AETTS6-93-SC46.5-M3-N3</t>
    <phoneticPr fontId="10"/>
  </si>
  <si>
    <t>低頭六角穴付ボルト  2本　</t>
    <phoneticPr fontId="10"/>
  </si>
  <si>
    <r>
      <t xml:space="preserve">ノックピン　　　 </t>
    </r>
    <r>
      <rPr>
        <sz val="11"/>
        <color rgb="FFFF0000"/>
        <rFont val="ＭＳ Ｐゴシック"/>
        <family val="3"/>
        <charset val="128"/>
        <scheme val="minor"/>
      </rPr>
      <t xml:space="preserve"> 14本　　　　</t>
    </r>
    <r>
      <rPr>
        <sz val="11"/>
        <color theme="1"/>
        <rFont val="ＭＳ Ｐゴシック"/>
        <family val="3"/>
        <charset val="128"/>
        <scheme val="minor"/>
      </rPr>
      <t>　　　</t>
    </r>
    <phoneticPr fontId="10"/>
  </si>
  <si>
    <t>MS2-6</t>
    <phoneticPr fontId="10"/>
  </si>
  <si>
    <t>SETB0204-Y14 ｶﾑﾌｧﾛｱｶﾞｲﾄﾞ</t>
    <phoneticPr fontId="10"/>
  </si>
  <si>
    <t>SETB0204-Y17 右側ｶﾞｲﾄﾞｶﾊﾞｰ</t>
    <phoneticPr fontId="10"/>
  </si>
  <si>
    <t>SETB0204-Y18 左側ｶﾞｲﾄﾞｶﾊﾞｰ</t>
    <phoneticPr fontId="10"/>
  </si>
  <si>
    <t>SETB0204-Y19 上部ｶﾞｲﾄﾞｶﾊﾞｰ</t>
    <rPh sb="13" eb="14">
      <t>ウエ</t>
    </rPh>
    <rPh sb="14" eb="15">
      <t>ブ</t>
    </rPh>
    <phoneticPr fontId="10"/>
  </si>
  <si>
    <t>PLGJ4-6M</t>
    <phoneticPr fontId="10"/>
  </si>
  <si>
    <t>AXA400用　ﾍｯﾄﾞ重量対応ﾕﾆｯﾄ</t>
    <rPh sb="6" eb="7">
      <t>ヨウ</t>
    </rPh>
    <rPh sb="12" eb="14">
      <t>ジュウリョウ</t>
    </rPh>
    <rPh sb="14" eb="16">
      <t>タイオウ</t>
    </rPh>
    <phoneticPr fontId="12"/>
  </si>
  <si>
    <t>SETB0204-Z01　左右ﾍｯﾄﾞ補強用ﾌﾞﾗｹｯﾄ</t>
    <phoneticPr fontId="10"/>
  </si>
  <si>
    <t>ﾉｯｸﾋﾟﾝ　φ3-10mm　8本</t>
    <rPh sb="16" eb="17">
      <t>ホン</t>
    </rPh>
    <phoneticPr fontId="10"/>
  </si>
  <si>
    <t>PACK10-CIMRS4-8-0.1</t>
    <phoneticPr fontId="10"/>
  </si>
  <si>
    <t xml:space="preserve">SCB4-12 </t>
    <phoneticPr fontId="12"/>
  </si>
  <si>
    <t>六角穴付ボルト　　4本</t>
    <rPh sb="10" eb="11">
      <t>ホン</t>
    </rPh>
    <phoneticPr fontId="12"/>
  </si>
  <si>
    <t>SCB5-8</t>
    <phoneticPr fontId="12"/>
  </si>
  <si>
    <t>SETB0204-Z02　左右ﾍｯﾄﾞ補強用ｻｲﾄﾞﾌﾟﾚｰﾄ</t>
  </si>
  <si>
    <t>FWSAA-D7.5-V4-T4.4</t>
    <phoneticPr fontId="10"/>
  </si>
  <si>
    <t>ﾉｯｸﾋﾟﾝ　φ3-10mm　6本</t>
    <rPh sb="16" eb="17">
      <t>ホン</t>
    </rPh>
    <phoneticPr fontId="10"/>
  </si>
  <si>
    <t>SCB4-25</t>
    <phoneticPr fontId="12"/>
  </si>
  <si>
    <t>SETB0204-Z03　左右ﾍｯﾄﾞ補強用ﾍﾞｰｽﾌﾟﾚｰﾄ</t>
    <phoneticPr fontId="10"/>
  </si>
  <si>
    <t>MS3-6</t>
    <phoneticPr fontId="12"/>
  </si>
  <si>
    <t>ﾉｯｸﾋﾟﾝ　φ3-6mm　3本</t>
    <rPh sb="15" eb="16">
      <t>ホン</t>
    </rPh>
    <phoneticPr fontId="10"/>
  </si>
  <si>
    <t>SCB3-8</t>
    <phoneticPr fontId="12"/>
  </si>
  <si>
    <t>WSP2-SUS-M3</t>
    <phoneticPr fontId="10"/>
  </si>
  <si>
    <t>JKSG16A-510</t>
    <phoneticPr fontId="10"/>
  </si>
  <si>
    <t>ばね座金 スプリングワッシャー 2号</t>
    <phoneticPr fontId="10"/>
  </si>
  <si>
    <t>リニアレール　アルミ製・ベアリングタイプ</t>
    <phoneticPr fontId="10"/>
  </si>
  <si>
    <t>ノックピン       8本　　　</t>
    <rPh sb="13" eb="14">
      <t>ホン</t>
    </rPh>
    <phoneticPr fontId="10"/>
  </si>
  <si>
    <t>マーカーピン　六角穴付タイプ</t>
    <phoneticPr fontId="10"/>
  </si>
  <si>
    <t>日本ﾋﾟｽｺ</t>
    <rPh sb="0" eb="2">
      <t>ニホン</t>
    </rPh>
    <phoneticPr fontId="10"/>
  </si>
  <si>
    <t>一般配管用 チューブフィッティングミニタイプ 違径ソケットエルボ</t>
    <phoneticPr fontId="10"/>
  </si>
  <si>
    <t>ｵﾑﾛﾝ</t>
    <phoneticPr fontId="10"/>
  </si>
  <si>
    <t>6日目</t>
    <rPh sb="1" eb="3">
      <t>ヒメ</t>
    </rPh>
    <phoneticPr fontId="12"/>
  </si>
  <si>
    <t>5日目</t>
    <rPh sb="1" eb="3">
      <t>ヒメ</t>
    </rPh>
    <phoneticPr fontId="12"/>
  </si>
  <si>
    <t>MKS9L-10P</t>
    <phoneticPr fontId="12"/>
  </si>
  <si>
    <t>MKBシリーズ　止め金具【10個入り】</t>
    <phoneticPr fontId="12"/>
  </si>
  <si>
    <t>SS300UCR UL/CE対応（シールド有(３芯）</t>
    <rPh sb="24" eb="25">
      <t>シン</t>
    </rPh>
    <phoneticPr fontId="12"/>
  </si>
  <si>
    <t>MY2N-D2 DC24</t>
    <phoneticPr fontId="10"/>
  </si>
  <si>
    <t>MY ミニパワーリレー</t>
    <phoneticPr fontId="10"/>
  </si>
  <si>
    <t>表面接続角型ソケット</t>
    <phoneticPr fontId="10"/>
  </si>
  <si>
    <t>PYFZ-08</t>
    <phoneticPr fontId="10"/>
  </si>
  <si>
    <t>PYC-E1</t>
    <phoneticPr fontId="10"/>
  </si>
  <si>
    <t xml:space="preserve">リレー用共用オプション品 </t>
    <phoneticPr fontId="10"/>
  </si>
  <si>
    <t>A8001</t>
    <phoneticPr fontId="12"/>
  </si>
  <si>
    <t>汎用3芯OAタップ 6ヶ口</t>
    <phoneticPr fontId="12"/>
  </si>
  <si>
    <t>ＪＡＰＰY</t>
    <phoneticPr fontId="12"/>
  </si>
  <si>
    <t>ADR-361-JP</t>
    <phoneticPr fontId="12"/>
  </si>
  <si>
    <t>カッチンダクト</t>
    <phoneticPr fontId="12"/>
  </si>
  <si>
    <t>　SETB0261-A01 AXA400-HV+お客様ﾊﾞﾙﾌﾞ+32oz温調+井桁ﾜｰｸ治具＋浸け置き</t>
    <phoneticPr fontId="10"/>
  </si>
  <si>
    <t>米谷</t>
    <rPh sb="0" eb="2">
      <t>ヨネタニ</t>
    </rPh>
    <phoneticPr fontId="10"/>
  </si>
  <si>
    <t>BCBFB4-6</t>
    <phoneticPr fontId="12"/>
  </si>
  <si>
    <t>六角穴付ボタンボルト　フランジ付タイプ</t>
    <phoneticPr fontId="12"/>
  </si>
  <si>
    <r>
      <t>平座金－単品販売－　M4用　10</t>
    </r>
    <r>
      <rPr>
        <b/>
        <sz val="11"/>
        <rFont val="ＭＳ Ｐゴシック"/>
        <family val="3"/>
        <charset val="128"/>
      </rPr>
      <t>個</t>
    </r>
    <r>
      <rPr>
        <sz val="11"/>
        <rFont val="ＭＳ Ｐゴシック"/>
        <family val="3"/>
        <charset val="128"/>
      </rPr>
      <t>　</t>
    </r>
    <rPh sb="12" eb="13">
      <t>ヨウ</t>
    </rPh>
    <rPh sb="16" eb="17">
      <t>コ</t>
    </rPh>
    <phoneticPr fontId="12"/>
  </si>
  <si>
    <t>六角穴付ボルト－ステンレス　2本</t>
    <rPh sb="15" eb="16">
      <t>ホン</t>
    </rPh>
    <phoneticPr fontId="12"/>
  </si>
  <si>
    <t>PDDU-PT-MS-9-2.5</t>
    <phoneticPr fontId="12"/>
  </si>
  <si>
    <t>PDDJ-PS-JS-37-1.5</t>
    <phoneticPr fontId="12"/>
  </si>
  <si>
    <t>Dsubコネクタハーネス</t>
    <phoneticPr fontId="12"/>
  </si>
  <si>
    <t>Dsubコネクタ端子台</t>
    <rPh sb="8" eb="10">
      <t>タンシ</t>
    </rPh>
    <rPh sb="10" eb="11">
      <t>ダイ</t>
    </rPh>
    <phoneticPr fontId="12"/>
  </si>
  <si>
    <t>コモン端子台</t>
    <rPh sb="3" eb="5">
      <t>タンシ</t>
    </rPh>
    <rPh sb="5" eb="6">
      <t>ダイ</t>
    </rPh>
    <phoneticPr fontId="12"/>
  </si>
  <si>
    <t>BVHVU6-3</t>
    <phoneticPr fontId="12"/>
  </si>
  <si>
    <t>ハンドバルブ　φ6</t>
    <phoneticPr fontId="12"/>
  </si>
  <si>
    <t>ミニチュアワンタッチ継手　エルボ</t>
    <phoneticPr fontId="12"/>
  </si>
  <si>
    <t>チェリック</t>
    <phoneticPr fontId="12"/>
  </si>
  <si>
    <t>CNYW6-6</t>
    <phoneticPr fontId="12"/>
  </si>
  <si>
    <t>ワンタッチ継手 R（PT）付二重Y型 CNYW</t>
    <phoneticPr fontId="12"/>
  </si>
  <si>
    <t>BSLG6</t>
    <phoneticPr fontId="12"/>
  </si>
  <si>
    <t>ワンタッチ継手　ブラインドプラグ</t>
    <phoneticPr fontId="12"/>
  </si>
  <si>
    <t>USSTL4</t>
    <phoneticPr fontId="12"/>
  </si>
  <si>
    <t>ﾜﾝﾀｯﾁ継手ﾕﾆｵﾝｽﾄﾚｰﾄ</t>
    <rPh sb="5" eb="7">
      <t>ツギテ</t>
    </rPh>
    <phoneticPr fontId="12"/>
  </si>
  <si>
    <t>USYL6</t>
    <phoneticPr fontId="12"/>
  </si>
  <si>
    <t>ワンタッチ継手　Ｙタイプ</t>
    <phoneticPr fontId="12"/>
  </si>
  <si>
    <t>鍋屋ﾊﾞｲﾃｯｸ</t>
    <rPh sb="0" eb="1">
      <t>ナベ</t>
    </rPh>
    <rPh sb="1" eb="2">
      <t>ヤ</t>
    </rPh>
    <phoneticPr fontId="12"/>
  </si>
  <si>
    <t>SFBS-M4X6-VA</t>
    <phoneticPr fontId="12"/>
  </si>
  <si>
    <r>
      <t xml:space="preserve">井桁ﾜｰｸ治具 </t>
    </r>
    <r>
      <rPr>
        <b/>
        <sz val="16"/>
        <color indexed="8"/>
        <rFont val="ＭＳ Ｐゴシック"/>
        <family val="3"/>
        <charset val="128"/>
      </rPr>
      <t xml:space="preserve"> 35mm</t>
    </r>
    <r>
      <rPr>
        <sz val="16"/>
        <color indexed="8"/>
        <rFont val="ＭＳ Ｐゴシック"/>
        <family val="3"/>
        <charset val="128"/>
      </rPr>
      <t xml:space="preserve"> 厚みTYPE</t>
    </r>
    <rPh sb="0" eb="2">
      <t>イゲタ</t>
    </rPh>
    <rPh sb="5" eb="7">
      <t>ジグ</t>
    </rPh>
    <rPh sb="14" eb="15">
      <t>アツ</t>
    </rPh>
    <phoneticPr fontId="12"/>
  </si>
  <si>
    <t>WQBB-JW-A22-B8-T15-H6.5-Q45-X6-F10-S10.5-Z3</t>
    <phoneticPr fontId="12"/>
  </si>
  <si>
    <t>ミニチュアクランプレバー</t>
    <phoneticPr fontId="12"/>
  </si>
  <si>
    <t>HBLFSNF5-SEP</t>
    <phoneticPr fontId="12"/>
  </si>
  <si>
    <t>５シリーズ（溝幅６ｍｍ）　－１列溝用－　突起付反転ブラケット</t>
    <phoneticPr fontId="12"/>
  </si>
  <si>
    <t xml:space="preserve">HBLSS5 </t>
    <phoneticPr fontId="12"/>
  </si>
  <si>
    <t>HFC5-2040-S</t>
    <phoneticPr fontId="12"/>
  </si>
  <si>
    <t>アルミフレーム用フレームキャップ　4個</t>
    <rPh sb="18" eb="19">
      <t>コ</t>
    </rPh>
    <phoneticPr fontId="12"/>
  </si>
  <si>
    <t>アルミフレーム　５シリーズ　正方形　２０×２０ｍｍ　１列溝　４面溝</t>
    <phoneticPr fontId="12"/>
  </si>
  <si>
    <t>HNTP5-4</t>
    <phoneticPr fontId="12"/>
  </si>
  <si>
    <t>後入れバネナット  6個　凸無し</t>
    <rPh sb="11" eb="12">
      <t>コ</t>
    </rPh>
    <rPh sb="13" eb="14">
      <t>トツ</t>
    </rPh>
    <rPh sb="14" eb="15">
      <t>ナ</t>
    </rPh>
    <phoneticPr fontId="12"/>
  </si>
  <si>
    <t xml:space="preserve">HNTP5-5 </t>
    <phoneticPr fontId="12"/>
  </si>
  <si>
    <r>
      <t xml:space="preserve">後入れバネナット  </t>
    </r>
    <r>
      <rPr>
        <b/>
        <sz val="11"/>
        <color rgb="FF0070C0"/>
        <rFont val="ＭＳ Ｐゴシック"/>
        <family val="3"/>
        <charset val="128"/>
        <scheme val="minor"/>
      </rPr>
      <t>4</t>
    </r>
    <r>
      <rPr>
        <sz val="11"/>
        <color theme="1"/>
        <rFont val="ＭＳ Ｐゴシック"/>
        <family val="3"/>
        <charset val="128"/>
        <scheme val="minor"/>
      </rPr>
      <t>個+4個　凸無し</t>
    </r>
    <rPh sb="11" eb="12">
      <t>コ</t>
    </rPh>
    <rPh sb="14" eb="15">
      <t>コ</t>
    </rPh>
    <rPh sb="16" eb="17">
      <t>トツ</t>
    </rPh>
    <rPh sb="17" eb="18">
      <t>ナ</t>
    </rPh>
    <phoneticPr fontId="12"/>
  </si>
  <si>
    <t>NOOSAF4-8-7</t>
    <phoneticPr fontId="12"/>
  </si>
  <si>
    <t>厚型ローレットノブ</t>
    <phoneticPr fontId="12"/>
  </si>
  <si>
    <t xml:space="preserve">SBCB4-6 </t>
    <phoneticPr fontId="12"/>
  </si>
  <si>
    <t xml:space="preserve"> 六角穴付ボタンボルト　　6本</t>
    <rPh sb="14" eb="15">
      <t>ホン</t>
    </rPh>
    <phoneticPr fontId="12"/>
  </si>
  <si>
    <t xml:space="preserve">SCB5-8  </t>
    <phoneticPr fontId="12"/>
  </si>
  <si>
    <t>六角穴付ボルト    4本 在庫使用</t>
    <rPh sb="12" eb="13">
      <t>ホン</t>
    </rPh>
    <phoneticPr fontId="12"/>
  </si>
  <si>
    <t>SCB5-20</t>
    <phoneticPr fontId="12"/>
  </si>
  <si>
    <t>六角穴付ボルト　　16本 在庫使用</t>
    <rPh sb="11" eb="12">
      <t>ホン</t>
    </rPh>
    <phoneticPr fontId="12"/>
  </si>
  <si>
    <t>BLFA-SUD-T2-A20-B20-H29-J15-X8-Y10-W0-N4-E10.5-S5-G10-MA3-LCC1</t>
    <phoneticPr fontId="12"/>
  </si>
  <si>
    <t>SETB0082-X02-1 　U字型外形位置決めﾌﾞﾛｯｸ</t>
    <phoneticPr fontId="12"/>
  </si>
  <si>
    <t>JTAB-SUD-A400-B37-T2-X20-Y10-G20-N4-L200-V180-S10-W20-NA4-CC2</t>
    <phoneticPr fontId="12"/>
  </si>
  <si>
    <t>SETB0082-X03　井桁ﾜｰｸ冶具ﾜｰｸ受け　2mm幅　</t>
    <phoneticPr fontId="12"/>
  </si>
  <si>
    <r>
      <rPr>
        <sz val="11"/>
        <rFont val="ＭＳ Ｐゴシック"/>
        <family val="3"/>
        <charset val="128"/>
      </rPr>
      <t>SETB0082-X05-1</t>
    </r>
    <r>
      <rPr>
        <sz val="11"/>
        <color indexed="8"/>
        <rFont val="ＭＳ Ｐゴシック"/>
        <family val="3"/>
        <charset val="128"/>
      </rPr>
      <t xml:space="preserve"> ﾜｰｸ押さえ</t>
    </r>
    <phoneticPr fontId="12"/>
  </si>
  <si>
    <t>ﾉｯｸﾋﾟﾝ　φ3-10mm　8本</t>
    <rPh sb="16" eb="17">
      <t>ホン</t>
    </rPh>
    <phoneticPr fontId="12"/>
  </si>
  <si>
    <t>MS4-35</t>
    <phoneticPr fontId="12"/>
  </si>
  <si>
    <t>ﾉｯｸﾋﾟﾝ　φ4-35mm　4本</t>
    <rPh sb="16" eb="17">
      <t>ホン</t>
    </rPh>
    <phoneticPr fontId="12"/>
  </si>
  <si>
    <t>六角穴付ボルト　　6本 在庫使用</t>
    <rPh sb="10" eb="11">
      <t>ホン</t>
    </rPh>
    <phoneticPr fontId="12"/>
  </si>
  <si>
    <t xml:space="preserve">SHNTP5-4  </t>
    <phoneticPr fontId="12"/>
  </si>
  <si>
    <t>後入れバネナット  6個</t>
    <rPh sb="11" eb="12">
      <t>コ</t>
    </rPh>
    <phoneticPr fontId="12"/>
  </si>
  <si>
    <t xml:space="preserve">SHNTP5-5 </t>
    <phoneticPr fontId="12"/>
  </si>
  <si>
    <t>WSSS10-4-1</t>
    <phoneticPr fontId="12"/>
  </si>
  <si>
    <t>金属ﾜｯｼｬｰ　　Ｔ寸選択・指定タイプ　並級</t>
    <rPh sb="0" eb="2">
      <t>キンゾク</t>
    </rPh>
    <phoneticPr fontId="12"/>
  </si>
  <si>
    <t>WSSS10-5-2</t>
    <phoneticPr fontId="12"/>
  </si>
  <si>
    <t>金属ワッシャ　Ｔ寸選択・指定タイプ</t>
    <phoneticPr fontId="12"/>
  </si>
  <si>
    <t>5日間</t>
    <rPh sb="1" eb="2">
      <t>ヒ</t>
    </rPh>
    <rPh sb="2" eb="3">
      <t>カン</t>
    </rPh>
    <phoneticPr fontId="12"/>
  </si>
  <si>
    <t>1日間</t>
    <rPh sb="1" eb="2">
      <t>ヒ</t>
    </rPh>
    <rPh sb="2" eb="3">
      <t>カン</t>
    </rPh>
    <phoneticPr fontId="29"/>
  </si>
  <si>
    <t>3日間</t>
    <rPh sb="1" eb="2">
      <t>ヒ</t>
    </rPh>
    <rPh sb="2" eb="3">
      <t>カン</t>
    </rPh>
    <phoneticPr fontId="29"/>
  </si>
  <si>
    <t>7日間</t>
    <rPh sb="1" eb="2">
      <t>ヒ</t>
    </rPh>
    <rPh sb="2" eb="3">
      <t>カン</t>
    </rPh>
    <phoneticPr fontId="29"/>
  </si>
  <si>
    <t>BVHV6-1-3-A</t>
    <phoneticPr fontId="12"/>
  </si>
  <si>
    <t>ハンドバルブ</t>
    <phoneticPr fontId="12"/>
  </si>
  <si>
    <t>蝶ﾅｯﾄ</t>
    <phoneticPr fontId="12"/>
  </si>
  <si>
    <t>エアタック</t>
    <phoneticPr fontId="12"/>
  </si>
  <si>
    <t>ﾜﾝﾀｯﾁﾂｷﾞﾃ PCｼﾘｰｽﾞ</t>
    <phoneticPr fontId="12"/>
  </si>
  <si>
    <t>六角ﾎﾞﾙﾄ</t>
    <phoneticPr fontId="12"/>
  </si>
  <si>
    <t xml:space="preserve">USYL6 </t>
    <phoneticPr fontId="12"/>
  </si>
  <si>
    <t>ワンタッチ継手　ブラインドプラグ</t>
  </si>
  <si>
    <t>SCB4-6</t>
    <phoneticPr fontId="12"/>
  </si>
  <si>
    <t>910ccｶｰﾄﾘｯﾁ加圧用レギュレーターﾕﾆｯﾄ</t>
    <rPh sb="11" eb="13">
      <t>カアツ</t>
    </rPh>
    <rPh sb="13" eb="14">
      <t>ヨウ</t>
    </rPh>
    <phoneticPr fontId="12"/>
  </si>
  <si>
    <t>SETB0242-Y02　ﾂｰﾙ治具AXA-HVﾌﾞﾗｹｯﾄ</t>
    <phoneticPr fontId="10"/>
  </si>
  <si>
    <t>スリーハイ社</t>
    <phoneticPr fontId="10"/>
  </si>
  <si>
    <t>ロボットケーブル　NA3UCRSB 高屈曲UL対応シールド付</t>
    <phoneticPr fontId="12"/>
  </si>
  <si>
    <t>3VC-2</t>
    <phoneticPr fontId="12"/>
  </si>
  <si>
    <t>ACコード</t>
    <phoneticPr fontId="12"/>
  </si>
  <si>
    <t>C-MSNDC8</t>
    <phoneticPr fontId="12"/>
  </si>
  <si>
    <t>Ｋ熱電対用コネクタ　【5個入り】</t>
    <phoneticPr fontId="12"/>
  </si>
  <si>
    <t>GS300R【吉野川電線×ミスミ】超高屈曲銅合金ロボットケーブル（シールド無・有）</t>
    <phoneticPr fontId="10"/>
  </si>
  <si>
    <t>ELPA朝日電器</t>
    <rPh sb="4" eb="6">
      <t>アサヒ</t>
    </rPh>
    <rPh sb="6" eb="8">
      <t>デンキ</t>
    </rPh>
    <phoneticPr fontId="12"/>
  </si>
  <si>
    <t>MF-2100H</t>
    <phoneticPr fontId="12"/>
  </si>
  <si>
    <t>ガラス管ヒューズ MFシリーズ【2個入り】</t>
    <phoneticPr fontId="12"/>
  </si>
  <si>
    <t>納期</t>
    <rPh sb="0" eb="2">
      <t>ノウキ</t>
    </rPh>
    <phoneticPr fontId="10"/>
  </si>
  <si>
    <t>位置決めｶﾞｲﾄﾞ受け　2018-09-13-X028　4個</t>
    <rPh sb="29" eb="30">
      <t>コ</t>
    </rPh>
    <phoneticPr fontId="12"/>
  </si>
  <si>
    <r>
      <t>SETB</t>
    </r>
    <r>
      <rPr>
        <b/>
        <sz val="11"/>
        <color rgb="FFFF0000"/>
        <rFont val="ＭＳ Ｐゴシック"/>
        <family val="3"/>
        <charset val="128"/>
        <scheme val="minor"/>
      </rPr>
      <t>0261</t>
    </r>
    <r>
      <rPr>
        <sz val="11"/>
        <color theme="1"/>
        <rFont val="ＭＳ Ｐゴシック"/>
        <family val="3"/>
        <charset val="128"/>
        <scheme val="minor"/>
      </rPr>
      <t>-X01　井桁ﾜｰｸ冶具ﾍﾞｰｽ- 1 (400mm)</t>
    </r>
    <phoneticPr fontId="12"/>
  </si>
  <si>
    <t>NFS5-2040-450-Z5-XA82-XB357</t>
    <phoneticPr fontId="12"/>
  </si>
  <si>
    <t>六角穴付ボルト　M4-40 　　4本</t>
    <rPh sb="17" eb="18">
      <t>ホン</t>
    </rPh>
    <phoneticPr fontId="12"/>
  </si>
  <si>
    <t>HFS5-2020-489-Z5-XA50.5-XB175.5-XC300.5-XD425.5</t>
    <phoneticPr fontId="12"/>
  </si>
  <si>
    <t>後入れバネナット  12個</t>
    <rPh sb="12" eb="13">
      <t>コ</t>
    </rPh>
    <phoneticPr fontId="12"/>
  </si>
  <si>
    <t>PLLJ6</t>
    <phoneticPr fontId="10"/>
  </si>
  <si>
    <t>一般配管用 チューブフィッティング ロングソケットエルボ</t>
    <phoneticPr fontId="10"/>
  </si>
  <si>
    <t>日本ピスコ</t>
    <rPh sb="0" eb="2">
      <t>ニホン</t>
    </rPh>
    <phoneticPr fontId="10"/>
  </si>
  <si>
    <t>PC601</t>
    <phoneticPr fontId="12"/>
  </si>
  <si>
    <t>SETB0261-Z01　レギュレーター取付板金</t>
    <phoneticPr fontId="12"/>
  </si>
  <si>
    <t>SETB0261-Z01 電磁弁+レギュラーﾕﾆｯﾄ取付板金</t>
    <phoneticPr fontId="12"/>
  </si>
  <si>
    <t>SGPPP6A</t>
    <phoneticPr fontId="10"/>
  </si>
  <si>
    <t>ﾌﾟﾗｸﾞ</t>
  </si>
  <si>
    <t xml:space="preserve">MNCNL6-1 </t>
    <phoneticPr fontId="12"/>
  </si>
  <si>
    <t>φ6継ぎ手  ミニチュアワンタッチ継手　エルボ</t>
    <rPh sb="2" eb="3">
      <t>ツ</t>
    </rPh>
    <rPh sb="4" eb="5">
      <t>テ</t>
    </rPh>
    <phoneticPr fontId="12"/>
  </si>
  <si>
    <t>SCB4-25</t>
    <phoneticPr fontId="10"/>
  </si>
  <si>
    <t>六角穴付きﾎﾞﾙﾄ　 (M4×25)</t>
    <phoneticPr fontId="10"/>
  </si>
  <si>
    <t>ﾊﾞﾙﾍﾟｯﾄﾊﾞﾙﾌﾞ駆動用レギュレーターﾕﾆｯﾄ</t>
    <rPh sb="12" eb="14">
      <t>クドウ</t>
    </rPh>
    <rPh sb="14" eb="15">
      <t>ヨウ</t>
    </rPh>
    <phoneticPr fontId="12"/>
  </si>
  <si>
    <t>FWSA-D8-V5-T8</t>
    <phoneticPr fontId="10"/>
  </si>
  <si>
    <t>六角穴付ボルト－ステンレス　5本</t>
    <rPh sb="15" eb="16">
      <t>ホン</t>
    </rPh>
    <phoneticPr fontId="12"/>
  </si>
  <si>
    <t>SCB5-16</t>
    <phoneticPr fontId="10"/>
  </si>
  <si>
    <t>MRB-80</t>
    <phoneticPr fontId="12"/>
  </si>
  <si>
    <t>MRB-250</t>
    <phoneticPr fontId="12"/>
  </si>
  <si>
    <t>SETB0261-Z04　レギュレーター取付板金</t>
    <phoneticPr fontId="12"/>
  </si>
  <si>
    <t>MNCNL4-1</t>
    <phoneticPr fontId="12"/>
  </si>
  <si>
    <t>NCLA4-8-15.0</t>
    <phoneticPr fontId="10"/>
  </si>
  <si>
    <t>SFB4-25</t>
    <phoneticPr fontId="10"/>
  </si>
  <si>
    <t>APMTS-G2-T2</t>
    <phoneticPr fontId="10"/>
  </si>
  <si>
    <t>APMTS-N2-G2</t>
    <phoneticPr fontId="10"/>
  </si>
  <si>
    <t>HFC5-2040-S</t>
    <phoneticPr fontId="10"/>
  </si>
  <si>
    <t>RBYW30-30-T10</t>
    <phoneticPr fontId="10"/>
  </si>
  <si>
    <t>SFB4-8</t>
    <phoneticPr fontId="10"/>
  </si>
  <si>
    <t>SKTGLK10-2</t>
    <phoneticPr fontId="10"/>
  </si>
  <si>
    <t>SPNFL-BRN-M5-25</t>
    <phoneticPr fontId="10"/>
  </si>
  <si>
    <t>ECO-BS 平頭ローレットビス</t>
    <phoneticPr fontId="10"/>
  </si>
  <si>
    <t>リブ　－通し穴・ザグリ穴　固定寸タイプ－</t>
    <phoneticPr fontId="10"/>
  </si>
  <si>
    <t>Ｎo.225511</t>
    <phoneticPr fontId="10"/>
  </si>
  <si>
    <t>MVSHM-3N03002-499-6JJ61</t>
    <phoneticPr fontId="10"/>
  </si>
  <si>
    <t>MVSHM-3N02002-499-ARPXU</t>
  </si>
  <si>
    <t>MVSHM-3N02052-499-R4FUK</t>
  </si>
  <si>
    <t>八洲薬品(不二製油）　様</t>
    <rPh sb="11" eb="12">
      <t>サマ</t>
    </rPh>
    <phoneticPr fontId="10"/>
  </si>
  <si>
    <t>TH-8297-3</t>
    <phoneticPr fontId="10"/>
  </si>
  <si>
    <t>温度センサー 熱電対Kタイプ（シートタイプ）</t>
    <phoneticPr fontId="10"/>
  </si>
  <si>
    <t>六角穴付きﾎﾞﾙﾄ　M4×5mm　　　　2本</t>
    <rPh sb="21" eb="22">
      <t>ホン</t>
    </rPh>
    <phoneticPr fontId="12"/>
  </si>
  <si>
    <t>六角穴付きﾎﾞﾙﾄ　M4×5mm　　　　4本</t>
    <rPh sb="21" eb="22">
      <t>ホン</t>
    </rPh>
    <phoneticPr fontId="12"/>
  </si>
  <si>
    <t>六角穴付ボルト－ステンレス　3本</t>
    <rPh sb="15" eb="16">
      <t>ホン</t>
    </rPh>
    <phoneticPr fontId="12"/>
  </si>
  <si>
    <t>六角穴付ボルト－ステンレス　6本</t>
    <rPh sb="15" eb="16">
      <t>ホン</t>
    </rPh>
    <phoneticPr fontId="12"/>
  </si>
  <si>
    <t>SS300UCRSB-23-3-10</t>
    <phoneticPr fontId="12"/>
  </si>
  <si>
    <t>1日間</t>
    <rPh sb="1" eb="2">
      <t>ヒ</t>
    </rPh>
    <rPh sb="2" eb="3">
      <t>カン</t>
    </rPh>
    <phoneticPr fontId="12"/>
  </si>
  <si>
    <t>金属ワッシャ　－並級</t>
    <phoneticPr fontId="10"/>
  </si>
  <si>
    <t>　　　図面NO.　SETB-0261-A01</t>
    <rPh sb="3" eb="5">
      <t>ズメン</t>
    </rPh>
    <phoneticPr fontId="10"/>
  </si>
  <si>
    <t>MVSHM-3N03002-3TN-12PTR</t>
    <phoneticPr fontId="10"/>
  </si>
  <si>
    <t>MVBLK-AMW-3TN-9KGHF</t>
    <phoneticPr fontId="10"/>
  </si>
  <si>
    <t>MVBLK-AMW-3TN-FGTWT</t>
    <phoneticPr fontId="10"/>
  </si>
  <si>
    <t>シムリング</t>
    <phoneticPr fontId="10"/>
  </si>
  <si>
    <t>六角穴付ボルト　　13本</t>
    <rPh sb="11" eb="12">
      <t>ホン</t>
    </rPh>
    <phoneticPr fontId="12"/>
  </si>
  <si>
    <t>GS300RSB-AWG24-2-14</t>
    <phoneticPr fontId="10"/>
  </si>
  <si>
    <t>NA3UCRSB-20-2-10</t>
    <phoneticPr fontId="12"/>
  </si>
  <si>
    <t>SETB0261-Y10　液送継ぎ手ﾌﾞﾗｹｯﾄ</t>
    <phoneticPr fontId="10"/>
  </si>
  <si>
    <t>CIMRBF-D17-V13.5-T0.5</t>
    <phoneticPr fontId="10"/>
  </si>
  <si>
    <r>
      <t xml:space="preserve">ノックピン　　　 </t>
    </r>
    <r>
      <rPr>
        <sz val="11"/>
        <color rgb="FFFF0000"/>
        <rFont val="ＭＳ Ｐゴシック"/>
        <family val="3"/>
        <charset val="128"/>
        <scheme val="minor"/>
      </rPr>
      <t xml:space="preserve"> 6本　　　　</t>
    </r>
    <r>
      <rPr>
        <sz val="11"/>
        <color theme="1"/>
        <rFont val="ＭＳ Ｐゴシック"/>
        <family val="3"/>
        <charset val="128"/>
        <scheme val="minor"/>
      </rPr>
      <t>　　　</t>
    </r>
    <phoneticPr fontId="10"/>
  </si>
  <si>
    <t>NPF14</t>
    <phoneticPr fontId="10"/>
  </si>
  <si>
    <t>SETB0261-Y11　910ｶｰﾄﾘｯﾁ受けﾌﾞﾗｹｯﾄ1</t>
    <phoneticPr fontId="10"/>
  </si>
  <si>
    <t>SCB4-10</t>
    <phoneticPr fontId="12"/>
  </si>
  <si>
    <t>SETB0261-Y12　910ｶｰﾄﾘｯﾁ受けﾌﾞﾗｹｯﾄ2</t>
  </si>
  <si>
    <t>SBPPS4-8</t>
    <phoneticPr fontId="10"/>
  </si>
  <si>
    <t>六角穴付止めねじ　ソフトタイプ</t>
    <phoneticPr fontId="10"/>
  </si>
  <si>
    <t>SETB0261-Y14　910ｶｰﾄﾘｯﾁﾂｰﾙ治具固定ﾌﾞﾗｹｯﾄ</t>
    <phoneticPr fontId="10"/>
  </si>
  <si>
    <t>MS3-6</t>
    <phoneticPr fontId="10"/>
  </si>
  <si>
    <r>
      <t xml:space="preserve">ノックピン　　　 </t>
    </r>
    <r>
      <rPr>
        <sz val="11"/>
        <color rgb="FFFF0000"/>
        <rFont val="ＭＳ Ｐゴシック"/>
        <family val="3"/>
        <charset val="128"/>
        <scheme val="minor"/>
      </rPr>
      <t xml:space="preserve"> 22本　　　　</t>
    </r>
    <r>
      <rPr>
        <sz val="11"/>
        <color theme="1"/>
        <rFont val="ＭＳ Ｐゴシック"/>
        <family val="3"/>
        <charset val="128"/>
        <scheme val="minor"/>
      </rPr>
      <t>　　　</t>
    </r>
    <phoneticPr fontId="10"/>
  </si>
  <si>
    <t xml:space="preserve">SBCB4-6  </t>
    <phoneticPr fontId="10"/>
  </si>
  <si>
    <r>
      <t xml:space="preserve">六角穴付ボタンボルト　　　 </t>
    </r>
    <r>
      <rPr>
        <sz val="11"/>
        <color theme="9" tint="-0.249977111117893"/>
        <rFont val="ＭＳ Ｐゴシック"/>
        <family val="3"/>
        <charset val="128"/>
      </rPr>
      <t xml:space="preserve"> 6本　</t>
    </r>
    <phoneticPr fontId="10"/>
  </si>
  <si>
    <t>SCB4-8</t>
    <phoneticPr fontId="12"/>
  </si>
  <si>
    <t>SHNTP5-4</t>
    <phoneticPr fontId="10"/>
  </si>
  <si>
    <t>六角穴付ボルト－ステンレス　8本</t>
    <rPh sb="15" eb="16">
      <t>ホン</t>
    </rPh>
    <phoneticPr fontId="12"/>
  </si>
  <si>
    <t>MVBLK-AMW-499-K4E81</t>
    <phoneticPr fontId="10"/>
  </si>
  <si>
    <t>MVBLK-AMW-499-Y7ZYU</t>
  </si>
  <si>
    <t>MVSHM-3N03054-498-3RN3A</t>
  </si>
  <si>
    <t>910ccｶｰﾄﾘｯﾁ</t>
    <phoneticPr fontId="10"/>
  </si>
  <si>
    <t>920ccｶｰﾄﾘｯﾁ</t>
  </si>
  <si>
    <t>940ccｶｰﾄﾘｯﾁ</t>
  </si>
  <si>
    <t>911ccｶｰﾄﾘｯﾁ</t>
  </si>
  <si>
    <t>912ccｶｰﾄﾘｯﾁ</t>
  </si>
  <si>
    <t>913ccｶｰﾄﾘｯﾁ</t>
  </si>
  <si>
    <t>914ccｶｰﾄﾘｯﾁ</t>
  </si>
  <si>
    <t>916ccｶｰﾄﾘｯﾁ</t>
  </si>
  <si>
    <t>917ccｶｰﾄﾘｯﾁ</t>
  </si>
  <si>
    <t>918ccｶｰﾄﾘｯﾁ</t>
  </si>
  <si>
    <t>919ccｶｰﾄﾘｯﾁ</t>
  </si>
  <si>
    <t>921ccｶｰﾄﾘｯﾁ</t>
  </si>
  <si>
    <t>922ccｶｰﾄﾘｯﾁ</t>
  </si>
  <si>
    <t>923ccｶｰﾄﾘｯﾁ</t>
  </si>
  <si>
    <t>924ccｶｰﾄﾘｯﾁ</t>
  </si>
  <si>
    <t>925ccｶｰﾄﾘｯﾁ</t>
  </si>
  <si>
    <t>926ccｶｰﾄﾘｯﾁ</t>
  </si>
  <si>
    <t>927ccｶｰﾄﾘｯﾁ</t>
  </si>
  <si>
    <t>928ccｶｰﾄﾘｯﾁ</t>
  </si>
  <si>
    <t>929ccｶｰﾄﾘｯﾁ</t>
  </si>
  <si>
    <t>930ccｶｰﾄﾘｯﾁ</t>
  </si>
  <si>
    <t>931ccｶｰﾄﾘｯﾁ</t>
  </si>
  <si>
    <t>932ccｶｰﾄﾘｯﾁ</t>
  </si>
  <si>
    <t>933ccｶｰﾄﾘｯﾁ</t>
  </si>
  <si>
    <t>934ccｶｰﾄﾘｯﾁ</t>
  </si>
  <si>
    <t>938ccｶｰﾄﾘｯﾁ</t>
  </si>
  <si>
    <t>939ccｶｰﾄﾘｯﾁ</t>
  </si>
  <si>
    <t>941ccｶｰﾄﾘｯﾁ</t>
  </si>
  <si>
    <t>942ccｶｰﾄﾘｯﾁ</t>
  </si>
  <si>
    <t>943ccｶｰﾄﾘｯﾁ</t>
  </si>
  <si>
    <t>944ccｶｰﾄﾘｯﾁ</t>
  </si>
  <si>
    <t>SETB0261-Y01　ﾂｰﾙ治具変換ﾌﾟﾚｰﾄ</t>
    <phoneticPr fontId="10"/>
  </si>
  <si>
    <t>CSHCS-SUS-M5-18</t>
    <phoneticPr fontId="10"/>
  </si>
  <si>
    <t>DJW20-5-3</t>
    <phoneticPr fontId="10"/>
  </si>
  <si>
    <t>六角穴付ボルト－ステンレス　4本</t>
    <rPh sb="15" eb="16">
      <t>ホン</t>
    </rPh>
    <phoneticPr fontId="12"/>
  </si>
  <si>
    <t>SETB0261-Y02 温調ノズル</t>
    <phoneticPr fontId="10"/>
  </si>
  <si>
    <t>SETB0261-Y03　ﾂｰﾙ治具ﾊﾞﾙﾌﾞﾎﾙﾀﾞ温調ﾌﾞﾛｯｸ</t>
    <phoneticPr fontId="10"/>
  </si>
  <si>
    <t>MCHK6-80-V100-W100</t>
    <phoneticPr fontId="10"/>
  </si>
  <si>
    <t>MFMT5</t>
    <phoneticPr fontId="10"/>
  </si>
  <si>
    <t>MS2-8</t>
    <phoneticPr fontId="10"/>
  </si>
  <si>
    <r>
      <t xml:space="preserve">ノックピン　　　 </t>
    </r>
    <r>
      <rPr>
        <sz val="11"/>
        <color rgb="FFFF0000"/>
        <rFont val="ＭＳ Ｐゴシック"/>
        <family val="3"/>
        <charset val="128"/>
        <scheme val="minor"/>
      </rPr>
      <t xml:space="preserve"> 4本　　　　</t>
    </r>
    <r>
      <rPr>
        <sz val="11"/>
        <color theme="1"/>
        <rFont val="ＭＳ Ｐゴシック"/>
        <family val="3"/>
        <charset val="128"/>
        <scheme val="minor"/>
      </rPr>
      <t>　　　</t>
    </r>
    <phoneticPr fontId="10"/>
  </si>
  <si>
    <t>MSNDFL3.2-50-F3-Y</t>
    <phoneticPr fontId="10"/>
  </si>
  <si>
    <t>MSNDM6</t>
    <phoneticPr fontId="10"/>
  </si>
  <si>
    <t>MSSFS3-4</t>
    <phoneticPr fontId="10"/>
  </si>
  <si>
    <t>MSSFS4-6</t>
    <phoneticPr fontId="10"/>
  </si>
  <si>
    <t>SPNFL-BRN-M5-15</t>
    <phoneticPr fontId="10"/>
  </si>
  <si>
    <t>VUWH-10A-V</t>
    <phoneticPr fontId="10"/>
  </si>
  <si>
    <t>フジキン</t>
    <phoneticPr fontId="10"/>
  </si>
  <si>
    <t>3日目</t>
    <rPh sb="1" eb="3">
      <t>ヒメ</t>
    </rPh>
    <phoneticPr fontId="12"/>
  </si>
  <si>
    <t>ニューV-Lok_ハーフユニオン</t>
    <phoneticPr fontId="10"/>
  </si>
  <si>
    <t>SETB0261-Y04　ﾂｰﾙ治具配管温調ﾌﾞﾛｯｸ</t>
    <phoneticPr fontId="10"/>
  </si>
  <si>
    <r>
      <t xml:space="preserve">ノックピン　　　 </t>
    </r>
    <r>
      <rPr>
        <sz val="11"/>
        <color rgb="FFFF0000"/>
        <rFont val="ＭＳ Ｐゴシック"/>
        <family val="3"/>
        <charset val="128"/>
        <scheme val="minor"/>
      </rPr>
      <t xml:space="preserve"> 3本　　　　</t>
    </r>
    <r>
      <rPr>
        <sz val="11"/>
        <color theme="1"/>
        <rFont val="ＭＳ Ｐゴシック"/>
        <family val="3"/>
        <charset val="128"/>
        <scheme val="minor"/>
      </rPr>
      <t>　　　</t>
    </r>
    <phoneticPr fontId="10"/>
  </si>
  <si>
    <r>
      <t xml:space="preserve">ノックピン　　　 </t>
    </r>
    <r>
      <rPr>
        <sz val="11"/>
        <color rgb="FFFF0000"/>
        <rFont val="ＭＳ Ｐゴシック"/>
        <family val="3"/>
        <charset val="128"/>
        <scheme val="minor"/>
      </rPr>
      <t xml:space="preserve"> 2本　　　　</t>
    </r>
    <r>
      <rPr>
        <sz val="11"/>
        <color theme="1"/>
        <rFont val="ＭＳ Ｐゴシック"/>
        <family val="3"/>
        <charset val="128"/>
        <scheme val="minor"/>
      </rPr>
      <t>　　　</t>
    </r>
    <phoneticPr fontId="10"/>
  </si>
  <si>
    <t>SCB5-22</t>
    <phoneticPr fontId="12"/>
  </si>
  <si>
    <t>SETB0261-Y05　断熱材　下部用</t>
  </si>
  <si>
    <t>六角穴付き　皿ねじ</t>
    <rPh sb="0" eb="2">
      <t>ロッカク</t>
    </rPh>
    <rPh sb="2" eb="4">
      <t>アナツ</t>
    </rPh>
    <rPh sb="6" eb="7">
      <t>サラ</t>
    </rPh>
    <phoneticPr fontId="10"/>
  </si>
  <si>
    <t>SETB0261-Y06　断熱材　前面部用</t>
    <phoneticPr fontId="10"/>
  </si>
  <si>
    <t>SETB0261-Y07　断熱材　右面部用</t>
    <phoneticPr fontId="10"/>
  </si>
  <si>
    <t>SETB0261-Y08　断熱材　左面部用</t>
    <phoneticPr fontId="10"/>
  </si>
  <si>
    <t>SETB0261-Y09　断熱材　配管部用</t>
    <phoneticPr fontId="10"/>
  </si>
  <si>
    <t>MVBLK-AMN-498-G8UFH</t>
  </si>
  <si>
    <t>MVTUP-ACW-498-92ZRZ</t>
  </si>
  <si>
    <t>MVBLK-AMN-498-EUS2G</t>
  </si>
  <si>
    <t>MVBLK-AMW-498-LJFML</t>
  </si>
  <si>
    <t>MVBLK-FSW-498-J83MW</t>
  </si>
  <si>
    <t>MVBLK-FSW-498-DR8AX</t>
  </si>
  <si>
    <t>MVBLK-FSW-498-2A63K</t>
  </si>
  <si>
    <t>MVBLK-FSW-498-W5GNF</t>
  </si>
  <si>
    <t>MVBLK-FSW-498-NPZEK</t>
  </si>
  <si>
    <t>910ccｶｰﾄﾘｯﾁ温調+ﾊﾞﾙﾍﾟｯﾄ温調　ﾕﾆｯﾄ</t>
    <rPh sb="11" eb="13">
      <t>オンチョウ</t>
    </rPh>
    <rPh sb="21" eb="23">
      <t>オンチョウ</t>
    </rPh>
    <phoneticPr fontId="12"/>
  </si>
  <si>
    <t>ﾊﾞﾙﾍﾟｯﾄ温調</t>
  </si>
  <si>
    <r>
      <t xml:space="preserve">ノックピン　　　 </t>
    </r>
    <r>
      <rPr>
        <sz val="11"/>
        <color rgb="FFFF0000"/>
        <rFont val="ＭＳ Ｐゴシック"/>
        <family val="3"/>
        <charset val="128"/>
        <scheme val="minor"/>
      </rPr>
      <t xml:space="preserve"> 11本　　　　</t>
    </r>
    <r>
      <rPr>
        <sz val="11"/>
        <color theme="1"/>
        <rFont val="ＭＳ Ｐゴシック"/>
        <family val="3"/>
        <charset val="128"/>
        <scheme val="minor"/>
      </rPr>
      <t>　　　</t>
    </r>
    <phoneticPr fontId="10"/>
  </si>
  <si>
    <t>SETB0261-Y16　ｶﾒﾗﾌﾞﾗｹｯ</t>
    <phoneticPr fontId="10"/>
  </si>
  <si>
    <r>
      <t xml:space="preserve">ノックピン　　　 </t>
    </r>
    <r>
      <rPr>
        <sz val="11"/>
        <color rgb="FFFF0000"/>
        <rFont val="ＭＳ Ｐゴシック"/>
        <family val="3"/>
        <charset val="128"/>
        <scheme val="minor"/>
      </rPr>
      <t xml:space="preserve"> 5本　　　　</t>
    </r>
    <r>
      <rPr>
        <sz val="11"/>
        <color theme="1"/>
        <rFont val="ＭＳ Ｐゴシック"/>
        <family val="3"/>
        <charset val="128"/>
        <scheme val="minor"/>
      </rPr>
      <t>　　　</t>
    </r>
    <phoneticPr fontId="10"/>
  </si>
  <si>
    <t>MVBLK-AMW-3TF-CJZAX</t>
    <phoneticPr fontId="10"/>
  </si>
  <si>
    <t>MVSHM-3N02054-3TF-WRH5Y</t>
    <phoneticPr fontId="10"/>
  </si>
  <si>
    <t>MVSHM-3N02052-42R-RWB57</t>
    <phoneticPr fontId="10"/>
  </si>
  <si>
    <t>MVSHM-3N02006-3TF-CFZR4</t>
    <phoneticPr fontId="10"/>
  </si>
  <si>
    <t>MVSHM-3N02006-3TF-BH2CZ</t>
    <phoneticPr fontId="10"/>
  </si>
  <si>
    <t>SETB0261-Y13　ﾂｰﾙ取付板</t>
    <phoneticPr fontId="10"/>
  </si>
  <si>
    <t>MVBLK-AMW-498-2NFHB</t>
  </si>
  <si>
    <t>MVSHM-3N03006-498-CU6TX</t>
  </si>
  <si>
    <t>ﾛｯｶｸｱﾅﾂｷｻﾗﾎﾞﾙﾄ(SFB)</t>
    <phoneticPr fontId="10"/>
  </si>
  <si>
    <t>ｷﾝｿﾞｸｶﾗｰ NCLA  3本　</t>
    <phoneticPr fontId="10"/>
  </si>
  <si>
    <t>ﾈｼﾞﾍﾝｶﾝﾂｷﾞﾃ(APMT</t>
    <phoneticPr fontId="10"/>
  </si>
  <si>
    <t>ｼﾑ CIMRBF</t>
    <phoneticPr fontId="10"/>
  </si>
  <si>
    <t>Oﾘﾝｸﾞ NPF</t>
    <phoneticPr fontId="10"/>
  </si>
  <si>
    <t>ｽﾃﾝﾚｽｶﾝﾂｷﾞﾃ (SKTGLK</t>
    <phoneticPr fontId="10"/>
  </si>
  <si>
    <t>ﾌﾚｰﾑｷｬｯﾌﾟ (HFC)</t>
    <phoneticPr fontId="10"/>
  </si>
  <si>
    <t>ｱﾙﾐﾌﾚｰﾑｻﾞｲ</t>
    <phoneticPr fontId="10"/>
  </si>
  <si>
    <t>ｱﾙﾐﾌﾚｰﾑﾖｳﾊﾞﾈﾅｯﾄ</t>
    <phoneticPr fontId="10"/>
  </si>
  <si>
    <t>ﾛｯｶｸｱﾅﾂｷｻﾞﾗﾎﾞﾙﾄ(ｻﾗｷｬ</t>
    <phoneticPr fontId="10"/>
  </si>
  <si>
    <t>ｼﾞｭｼﾜｯｼｬ (DJW)</t>
    <phoneticPr fontId="10"/>
  </si>
  <si>
    <t>ｶｰﾄﾘｯｼﾞﾋｰﾀｰ ｺﾃｲ (MCH</t>
  </si>
  <si>
    <t>ｵﾝﾄﾞｾﾝｻ ﾏﾙﾀﾝｼｶﾄﾞｳﾌﾞﾖｳ(MFMT)
日</t>
    <phoneticPr fontId="10"/>
  </si>
  <si>
    <t>ｵﾝﾄﾞｾﾝｻ (MSNDFL)</t>
    <phoneticPr fontId="10"/>
  </si>
  <si>
    <t>ｾﾝｻ ﾈｼﾞﾄﾘﾂｹ (MSNDM</t>
    <phoneticPr fontId="10"/>
  </si>
  <si>
    <t>ﾛｯｶｸｱﾅﾂｷﾄﾞﾒﾈｼﾞﾋﾗｻｷ</t>
    <phoneticPr fontId="10"/>
  </si>
  <si>
    <t>薄型ブラケット</t>
    <phoneticPr fontId="12"/>
  </si>
  <si>
    <t>CSH-SUS-M5-38</t>
    <phoneticPr fontId="12"/>
  </si>
  <si>
    <t>MVBLK-SUB-44X-6BRLD</t>
    <phoneticPr fontId="12"/>
  </si>
  <si>
    <t>MVBLK-AMW-499-EBD6C</t>
    <phoneticPr fontId="10"/>
  </si>
  <si>
    <r>
      <t>CLMSC5-</t>
    </r>
    <r>
      <rPr>
        <b/>
        <sz val="11"/>
        <rFont val="ＭＳ Ｐゴシック"/>
        <family val="3"/>
        <charset val="128"/>
      </rPr>
      <t>12</t>
    </r>
    <r>
      <rPr>
        <sz val="11"/>
        <rFont val="ＭＳ Ｐゴシック"/>
        <family val="3"/>
        <charset val="128"/>
        <scheme val="minor"/>
      </rPr>
      <t>-B</t>
    </r>
    <phoneticPr fontId="12"/>
  </si>
  <si>
    <t>③</t>
    <phoneticPr fontId="10"/>
  </si>
  <si>
    <t xml:space="preserve">MWS-B3102 </t>
    <phoneticPr fontId="12"/>
  </si>
  <si>
    <t>AB2466BAEE</t>
    <phoneticPr fontId="10"/>
  </si>
  <si>
    <t>仙台営業所へ納品</t>
    <rPh sb="0" eb="2">
      <t>センダイ</t>
    </rPh>
    <rPh sb="2" eb="5">
      <t>エイギョウショ</t>
    </rPh>
    <rPh sb="6" eb="8">
      <t>ノウヒン</t>
    </rPh>
    <phoneticPr fontId="10"/>
  </si>
  <si>
    <t>⇩　全部</t>
    <rPh sb="2" eb="4">
      <t>ゼンブ</t>
    </rPh>
    <phoneticPr fontId="10"/>
  </si>
  <si>
    <t>MVBLK-FSW-4A6-Z6U9D</t>
    <phoneticPr fontId="10"/>
  </si>
  <si>
    <r>
      <t>SETB0261-Y10</t>
    </r>
    <r>
      <rPr>
        <sz val="11"/>
        <color rgb="FFFF0000"/>
        <rFont val="ＭＳ Ｐゴシック"/>
        <family val="3"/>
        <charset val="128"/>
      </rPr>
      <t>-1</t>
    </r>
    <r>
      <rPr>
        <sz val="11"/>
        <color indexed="8"/>
        <rFont val="ＭＳ Ｐゴシック"/>
        <family val="3"/>
        <charset val="128"/>
      </rPr>
      <t>　液送継ぎ手ﾌﾞﾗｹｯﾄ</t>
    </r>
    <phoneticPr fontId="10"/>
  </si>
  <si>
    <t>SETB0261-Y17　ｽﾍﾟｰｻ</t>
    <phoneticPr fontId="10"/>
  </si>
  <si>
    <t>AB24743D1G</t>
    <phoneticPr fontId="10"/>
  </si>
  <si>
    <t>MVSHM-3N03054-4A6-U3XSY</t>
    <phoneticPr fontId="10"/>
  </si>
  <si>
    <t>6日目</t>
    <rPh sb="1" eb="2">
      <t>ヒ</t>
    </rPh>
    <rPh sb="2" eb="3">
      <t>メ</t>
    </rPh>
    <phoneticPr fontId="12"/>
  </si>
  <si>
    <t>SMC</t>
  </si>
  <si>
    <t>制御機材</t>
    <rPh sb="0" eb="1">
      <t>セイ</t>
    </rPh>
    <rPh sb="1" eb="2">
      <t>オ</t>
    </rPh>
    <rPh sb="2" eb="4">
      <t>キザイ</t>
    </rPh>
    <phoneticPr fontId="12"/>
  </si>
  <si>
    <t>AN10-01</t>
    <phoneticPr fontId="10"/>
  </si>
  <si>
    <t>ｻｲﾚﾝｻ　ｺﾝﾊﾟｸﾄﾀｲﾌﾟ</t>
  </si>
  <si>
    <t xml:space="preserve">
AB24789GG5</t>
    <phoneticPr fontId="10"/>
  </si>
  <si>
    <r>
      <t>MVSHM-3N02058-499-FAPGD</t>
    </r>
    <r>
      <rPr>
        <sz val="11"/>
        <color rgb="FFFF0000"/>
        <rFont val="ＭＳ Ｐゴシック"/>
        <family val="3"/>
        <charset val="128"/>
        <scheme val="minor"/>
      </rPr>
      <t>次回は下の物を発注</t>
    </r>
    <rPh sb="23" eb="25">
      <t>ジカイ</t>
    </rPh>
    <rPh sb="26" eb="27">
      <t>シタ</t>
    </rPh>
    <rPh sb="28" eb="29">
      <t>モノ</t>
    </rPh>
    <rPh sb="30" eb="32">
      <t>ハッチュウ</t>
    </rPh>
    <phoneticPr fontId="10"/>
  </si>
  <si>
    <t>MVSHM-3N02002-4AJ-GRPJC</t>
    <phoneticPr fontId="10"/>
  </si>
  <si>
    <r>
      <t>SETB0261-Y14</t>
    </r>
    <r>
      <rPr>
        <b/>
        <sz val="11"/>
        <color rgb="FFFF0000"/>
        <rFont val="ＭＳ Ｐゴシック"/>
        <family val="3"/>
        <charset val="128"/>
      </rPr>
      <t>-1　</t>
    </r>
    <r>
      <rPr>
        <sz val="11"/>
        <color indexed="8"/>
        <rFont val="ＭＳ Ｐゴシック"/>
        <family val="3"/>
        <charset val="128"/>
      </rPr>
      <t>910ｶｰﾄﾘｯﾁﾂｰﾙ治具固定ﾌﾞﾗｹｯﾄ</t>
    </r>
    <phoneticPr fontId="10"/>
  </si>
  <si>
    <t>AB247A8134</t>
    <phoneticPr fontId="10"/>
  </si>
  <si>
    <t>FNCA-V4.0-D9-L10</t>
    <phoneticPr fontId="10"/>
  </si>
  <si>
    <t>ﾌﾘｰｶﾗｰ FNCA</t>
    <phoneticPr fontId="10"/>
  </si>
  <si>
    <t>HFS5-2040-260</t>
    <phoneticPr fontId="10"/>
  </si>
  <si>
    <t>SCB4-16</t>
    <phoneticPr fontId="10"/>
  </si>
  <si>
    <t>ﾛｯｶｸｱﾅﾂｷﾎﾞﾙﾄ(SCB)</t>
    <phoneticPr fontId="10"/>
  </si>
  <si>
    <t>MVSHM-3N02052-4AJ-9379W</t>
    <phoneticPr fontId="10"/>
  </si>
  <si>
    <t>SETB0261-Y18　L字ﾌﾞﾗｹｯﾄ</t>
    <phoneticPr fontId="10"/>
  </si>
  <si>
    <t>CLMSC4-8-B</t>
    <phoneticPr fontId="10"/>
  </si>
  <si>
    <t>ﾐﾆﾁｭｱｸﾗﾝﾌﾟﾚﾊﾞｰ</t>
    <phoneticPr fontId="10"/>
  </si>
  <si>
    <t>WSSS10-4-1</t>
    <phoneticPr fontId="10"/>
  </si>
  <si>
    <t>ｷﾝｿﾞｸﾜｯｼｬ SUS (WSSS)</t>
    <phoneticPr fontId="10"/>
  </si>
  <si>
    <t>MVSHM-3N02002-4AJ-WJSDD</t>
    <phoneticPr fontId="10"/>
  </si>
  <si>
    <t>SETB0261-Y19　910CCｶｰﾄﾘｯﾁ固定I字ｽﾃｲ</t>
    <phoneticPr fontId="10"/>
  </si>
  <si>
    <r>
      <t>HFS5-2040-347</t>
    </r>
    <r>
      <rPr>
        <b/>
        <sz val="11"/>
        <color rgb="FFFF0000"/>
        <rFont val="ＭＳ Ｐゴシック"/>
        <family val="3"/>
        <charset val="128"/>
        <scheme val="minor"/>
      </rPr>
      <t>次回は下の物を発注</t>
    </r>
    <phoneticPr fontId="10"/>
  </si>
  <si>
    <t>MVSHM-3N03002-4AU-1L6U6</t>
    <phoneticPr fontId="10"/>
  </si>
  <si>
    <t>SETB0261-Y20　ﾊﾞﾈ改造用ﾌﾞﾗｹｯﾄ</t>
    <phoneticPr fontId="10"/>
  </si>
  <si>
    <t xml:space="preserve">
AB247FF191</t>
    <phoneticPr fontId="10"/>
  </si>
  <si>
    <t>SCB4-18</t>
    <phoneticPr fontId="10"/>
  </si>
  <si>
    <t>NCLSS4-10-13.0</t>
    <phoneticPr fontId="10"/>
  </si>
  <si>
    <t>ｷﾝｿﾞｸｶﾗｰ NCLSS</t>
    <phoneticPr fontId="10"/>
  </si>
  <si>
    <t>SASPO5-35</t>
    <phoneticPr fontId="10"/>
  </si>
  <si>
    <t>ﾊﾞﾈﾎﾟｽﾄ SASPO</t>
    <phoneticPr fontId="10"/>
  </si>
  <si>
    <t>ｹｰｴｽ産業</t>
    <rPh sb="4" eb="6">
      <t>サンギョウ</t>
    </rPh>
    <phoneticPr fontId="10"/>
  </si>
  <si>
    <t>6770</t>
    <phoneticPr fontId="10"/>
  </si>
  <si>
    <t>Dｼﾘｰｽﾞ ﾋｯﾊﾟﾘｺｲﾙﾊﾞﾈ</t>
    <phoneticPr fontId="10"/>
  </si>
  <si>
    <t>6760</t>
    <phoneticPr fontId="10"/>
  </si>
  <si>
    <t>SLSBF7-20-M5-N4</t>
    <phoneticPr fontId="10"/>
  </si>
  <si>
    <t>ｽﾃﾝﾚｽｼﾁｭｳ SLSBF</t>
    <phoneticPr fontId="10"/>
  </si>
  <si>
    <t>DBSY4-3-6</t>
    <phoneticPr fontId="10"/>
  </si>
  <si>
    <t>ﾀﾞﾝﾂｷﾎﾞﾙﾄ ﾃｲﾄｳ(DBS</t>
    <phoneticPr fontId="10"/>
  </si>
  <si>
    <r>
      <t>9</t>
    </r>
    <r>
      <rPr>
        <sz val="11"/>
        <color theme="1"/>
        <rFont val="ＭＳ Ｐゴシック"/>
        <family val="3"/>
        <charset val="128"/>
        <scheme val="minor"/>
      </rPr>
      <t>/26ﾍﾞｯｸｻﾝへ</t>
    </r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</si>
</sst>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0_ "/>
    <numFmt numFmtId="182" formatCode="0_ ;[Red]\-0\ "/>
    <numFmt numFmtId="183" formatCode="#,##0_ "/>
  </numFmts>
  <fonts count="42" x14ac:knownFonts="1">
    <font>
      <sz val="11"/>
      <color theme="1"/>
      <name val="ＭＳ Ｐゴシック"/>
      <scheme val="minor"/>
    </font>
    <font>
      <u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b/>
      <sz val="13.95"/>
      <color theme="1"/>
      <name val="ＭＳ Ｐゴシック"/>
      <family val="3"/>
      <charset val="128"/>
      <scheme val="minor"/>
    </font>
    <font>
      <b/>
      <sz val="12"/>
      <color rgb="FF00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sz val="16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12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</font>
    <font>
      <b/>
      <sz val="11"/>
      <color rgb="FF0070C0"/>
      <name val="ＭＳ Ｐゴシック"/>
      <family val="3"/>
      <charset val="128"/>
      <scheme val="minor"/>
    </font>
    <font>
      <b/>
      <sz val="16"/>
      <color indexed="8"/>
      <name val="ＭＳ Ｐゴシック"/>
      <family val="3"/>
      <charset val="128"/>
    </font>
    <font>
      <sz val="16"/>
      <color indexed="8"/>
      <name val="ＭＳ Ｐゴシック"/>
      <family val="3"/>
      <charset val="128"/>
    </font>
    <font>
      <b/>
      <sz val="11"/>
      <color indexed="30"/>
      <name val="ＭＳ Ｐゴシック"/>
      <family val="3"/>
      <charset val="128"/>
    </font>
    <font>
      <b/>
      <sz val="18"/>
      <color theme="1"/>
      <name val="ＭＳ Ｐゴシック"/>
      <family val="3"/>
      <charset val="128"/>
      <scheme val="minor"/>
    </font>
    <font>
      <b/>
      <sz val="14"/>
      <color theme="9" tint="-0.499984740745262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  <scheme val="minor"/>
    </font>
    <font>
      <sz val="11"/>
      <color theme="9" tint="-0.249977111117893"/>
      <name val="ＭＳ Ｐゴシック"/>
      <family val="3"/>
      <charset val="128"/>
    </font>
    <font>
      <sz val="18"/>
      <color theme="1"/>
      <name val="ＭＳ Ｐゴシック"/>
      <family val="3"/>
      <charset val="128"/>
      <scheme val="minor"/>
    </font>
    <font>
      <sz val="10"/>
      <color rgb="FF020024"/>
      <name val="Arial"/>
      <family val="2"/>
    </font>
    <font>
      <sz val="11"/>
      <color rgb="FFFF0000"/>
      <name val="ＭＳ Ｐゴシック"/>
      <family val="3"/>
      <charset val="128"/>
    </font>
    <font>
      <b/>
      <sz val="14"/>
      <color rgb="FF0070C0"/>
      <name val="ＭＳ Ｐゴシック"/>
      <family val="3"/>
      <charset val="128"/>
      <scheme val="minor"/>
    </font>
    <font>
      <sz val="16"/>
      <color rgb="FF0070C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</font>
    <font>
      <b/>
      <sz val="14"/>
      <color theme="4" tint="-0.249977111117893"/>
      <name val="ＭＳ Ｐゴシック"/>
      <family val="3"/>
      <charset val="128"/>
      <scheme val="minor"/>
    </font>
    <font>
      <sz val="16"/>
      <color theme="6" tint="-0.499984740745262"/>
      <name val="ＭＳ Ｐゴシック"/>
      <family val="3"/>
      <charset val="128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8" tint="0.58998382518997772"/>
        <bgColor indexed="64"/>
      </patternFill>
    </fill>
    <fill>
      <patternFill patternType="solid">
        <fgColor rgb="FFFFFF99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/>
    <xf numFmtId="0" fontId="9" fillId="0" borderId="0">
      <alignment vertical="center"/>
    </xf>
    <xf numFmtId="0" fontId="14" fillId="0" borderId="0">
      <alignment vertical="center"/>
    </xf>
  </cellStyleXfs>
  <cellXfs count="332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76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/>
    <xf numFmtId="178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76" fontId="0" fillId="0" borderId="3" xfId="0" applyNumberFormat="1" applyBorder="1">
      <alignment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shrinkToFit="1"/>
    </xf>
    <xf numFmtId="179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9" fillId="0" borderId="8" xfId="0" applyFont="1" applyBorder="1">
      <alignment vertical="center"/>
    </xf>
    <xf numFmtId="178" fontId="0" fillId="0" borderId="8" xfId="0" applyNumberForma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56" fontId="0" fillId="0" borderId="8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5" fillId="0" borderId="8" xfId="0" applyFont="1" applyBorder="1">
      <alignment vertical="center"/>
    </xf>
    <xf numFmtId="176" fontId="0" fillId="0" borderId="8" xfId="0" applyNumberFormat="1" applyBorder="1" applyAlignment="1">
      <alignment horizontal="center" vertical="center"/>
    </xf>
    <xf numFmtId="176" fontId="0" fillId="0" borderId="8" xfId="0" applyNumberFormat="1" applyBorder="1">
      <alignment vertical="center"/>
    </xf>
    <xf numFmtId="176" fontId="0" fillId="0" borderId="8" xfId="0" applyNumberFormat="1" applyBorder="1" applyAlignment="1"/>
    <xf numFmtId="0" fontId="0" fillId="0" borderId="8" xfId="0" applyBorder="1" applyAlignment="1">
      <alignment horizontal="left" vertical="center" shrinkToFit="1"/>
    </xf>
    <xf numFmtId="3" fontId="14" fillId="0" borderId="8" xfId="0" applyNumberFormat="1" applyFont="1" applyBorder="1" applyAlignment="1">
      <alignment horizontal="center" vertical="center"/>
    </xf>
    <xf numFmtId="176" fontId="0" fillId="0" borderId="10" xfId="0" applyNumberFormat="1" applyBorder="1" applyAlignment="1"/>
    <xf numFmtId="0" fontId="15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9" fontId="5" fillId="0" borderId="8" xfId="0" applyNumberFormat="1" applyFont="1" applyBorder="1" applyAlignment="1">
      <alignment vertical="center" shrinkToFit="1"/>
    </xf>
    <xf numFmtId="0" fontId="9" fillId="0" borderId="8" xfId="0" applyFont="1" applyBorder="1" applyAlignment="1">
      <alignment horizontal="left" vertical="center" shrinkToFit="1"/>
    </xf>
    <xf numFmtId="49" fontId="9" fillId="0" borderId="8" xfId="0" applyNumberFormat="1" applyFont="1" applyBorder="1" applyAlignment="1">
      <alignment horizontal="left" vertical="center"/>
    </xf>
    <xf numFmtId="0" fontId="15" fillId="0" borderId="8" xfId="0" applyFont="1" applyBorder="1" applyAlignment="1">
      <alignment horizontal="left" vertical="center"/>
    </xf>
    <xf numFmtId="176" fontId="15" fillId="0" borderId="8" xfId="0" applyNumberFormat="1" applyFont="1" applyBorder="1" applyAlignment="1">
      <alignment horizontal="center" vertical="center"/>
    </xf>
    <xf numFmtId="38" fontId="0" fillId="0" borderId="8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38" fontId="15" fillId="0" borderId="8" xfId="0" applyNumberFormat="1" applyFont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176" fontId="22" fillId="0" borderId="15" xfId="0" applyNumberFormat="1" applyFont="1" applyBorder="1" applyAlignment="1">
      <alignment horizontal="center" vertical="center"/>
    </xf>
    <xf numFmtId="181" fontId="15" fillId="0" borderId="15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shrinkToFit="1"/>
    </xf>
    <xf numFmtId="0" fontId="0" fillId="0" borderId="8" xfId="0" applyBorder="1" applyAlignment="1">
      <alignment vertical="center" shrinkToFit="1"/>
    </xf>
    <xf numFmtId="0" fontId="0" fillId="0" borderId="7" xfId="0" applyBorder="1" applyAlignment="1">
      <alignment vertical="center" shrinkToFit="1"/>
    </xf>
    <xf numFmtId="176" fontId="7" fillId="0" borderId="15" xfId="0" applyNumberFormat="1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3" fontId="0" fillId="9" borderId="8" xfId="0" applyNumberFormat="1" applyFill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 shrinkToFit="1"/>
    </xf>
    <xf numFmtId="0" fontId="9" fillId="0" borderId="8" xfId="0" applyFont="1" applyBorder="1" applyAlignment="1">
      <alignment horizontal="center" vertical="center"/>
    </xf>
    <xf numFmtId="3" fontId="9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3" fontId="0" fillId="0" borderId="7" xfId="0" applyNumberForma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176" fontId="22" fillId="6" borderId="8" xfId="0" applyNumberFormat="1" applyFont="1" applyFill="1" applyBorder="1" applyAlignment="1">
      <alignment horizontal="center" vertical="center"/>
    </xf>
    <xf numFmtId="3" fontId="14" fillId="0" borderId="11" xfId="0" applyNumberFormat="1" applyFont="1" applyBorder="1" applyAlignment="1">
      <alignment horizontal="center" vertical="center"/>
    </xf>
    <xf numFmtId="176" fontId="14" fillId="0" borderId="8" xfId="0" applyNumberFormat="1" applyFont="1" applyBorder="1" applyAlignment="1"/>
    <xf numFmtId="3" fontId="0" fillId="0" borderId="2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179" fontId="0" fillId="0" borderId="9" xfId="0" applyNumberFormat="1" applyBorder="1" applyAlignment="1">
      <alignment horizontal="center" vertical="center"/>
    </xf>
    <xf numFmtId="176" fontId="14" fillId="0" borderId="12" xfId="0" applyNumberFormat="1" applyFont="1" applyBorder="1" applyAlignment="1"/>
    <xf numFmtId="3" fontId="14" fillId="0" borderId="15" xfId="0" applyNumberFormat="1" applyFont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3" fontId="0" fillId="8" borderId="8" xfId="0" applyNumberFormat="1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176" fontId="15" fillId="0" borderId="10" xfId="0" applyNumberFormat="1" applyFont="1" applyBorder="1" applyAlignment="1">
      <alignment horizontal="center" vertical="center"/>
    </xf>
    <xf numFmtId="0" fontId="15" fillId="8" borderId="8" xfId="0" applyFont="1" applyFill="1" applyBorder="1">
      <alignment vertical="center"/>
    </xf>
    <xf numFmtId="56" fontId="0" fillId="0" borderId="10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81" fontId="15" fillId="0" borderId="15" xfId="0" applyNumberFormat="1" applyFont="1" applyBorder="1">
      <alignment vertical="center"/>
    </xf>
    <xf numFmtId="0" fontId="15" fillId="0" borderId="15" xfId="0" applyFont="1" applyBorder="1" applyAlignment="1">
      <alignment horizontal="center" vertical="center"/>
    </xf>
    <xf numFmtId="181" fontId="15" fillId="0" borderId="8" xfId="0" applyNumberFormat="1" applyFon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179" fontId="0" fillId="0" borderId="8" xfId="0" applyNumberForma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76" fontId="14" fillId="0" borderId="10" xfId="0" applyNumberFormat="1" applyFont="1" applyBorder="1">
      <alignment vertical="center"/>
    </xf>
    <xf numFmtId="0" fontId="2" fillId="11" borderId="8" xfId="0" applyFont="1" applyFill="1" applyBorder="1" applyAlignment="1">
      <alignment horizontal="center" vertical="center"/>
    </xf>
    <xf numFmtId="3" fontId="5" fillId="9" borderId="2" xfId="0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176" fontId="0" fillId="10" borderId="8" xfId="0" applyNumberFormat="1" applyFill="1" applyBorder="1" applyAlignment="1">
      <alignment horizontal="right"/>
    </xf>
    <xf numFmtId="0" fontId="0" fillId="8" borderId="8" xfId="0" applyFill="1" applyBorder="1">
      <alignment vertical="center"/>
    </xf>
    <xf numFmtId="3" fontId="15" fillId="0" borderId="8" xfId="0" applyNumberFormat="1" applyFont="1" applyBorder="1" applyAlignment="1">
      <alignment horizontal="center" vertical="center"/>
    </xf>
    <xf numFmtId="176" fontId="15" fillId="10" borderId="8" xfId="0" applyNumberFormat="1" applyFont="1" applyFill="1" applyBorder="1">
      <alignment vertical="center"/>
    </xf>
    <xf numFmtId="176" fontId="15" fillId="0" borderId="8" xfId="0" applyNumberFormat="1" applyFont="1" applyBorder="1" applyAlignment="1">
      <alignment horizontal="left" vertical="center"/>
    </xf>
    <xf numFmtId="0" fontId="15" fillId="8" borderId="8" xfId="0" applyFont="1" applyFill="1" applyBorder="1" applyAlignment="1">
      <alignment horizontal="left" vertical="center"/>
    </xf>
    <xf numFmtId="0" fontId="0" fillId="8" borderId="8" xfId="0" applyFill="1" applyBorder="1" applyAlignment="1">
      <alignment vertical="center" wrapText="1"/>
    </xf>
    <xf numFmtId="176" fontId="0" fillId="10" borderId="8" xfId="0" applyNumberFormat="1" applyFill="1" applyBorder="1" applyAlignment="1">
      <alignment horizontal="right" vertical="center"/>
    </xf>
    <xf numFmtId="0" fontId="0" fillId="8" borderId="8" xfId="0" applyFill="1" applyBorder="1" applyAlignment="1">
      <alignment vertical="center" shrinkToFit="1"/>
    </xf>
    <xf numFmtId="0" fontId="0" fillId="0" borderId="10" xfId="0" applyBorder="1">
      <alignment vertical="center"/>
    </xf>
    <xf numFmtId="176" fontId="0" fillId="0" borderId="10" xfId="0" applyNumberFormat="1" applyBorder="1">
      <alignment vertical="center"/>
    </xf>
    <xf numFmtId="176" fontId="0" fillId="10" borderId="1" xfId="0" applyNumberFormat="1" applyFill="1" applyBorder="1" applyAlignment="1">
      <alignment horizontal="right" vertical="center"/>
    </xf>
    <xf numFmtId="0" fontId="14" fillId="8" borderId="10" xfId="0" applyFont="1" applyFill="1" applyBorder="1" applyAlignment="1">
      <alignment horizontal="left" vertical="center" shrinkToFit="1"/>
    </xf>
    <xf numFmtId="176" fontId="15" fillId="10" borderId="1" xfId="0" applyNumberFormat="1" applyFont="1" applyFill="1" applyBorder="1" applyAlignment="1">
      <alignment horizontal="right" vertical="center"/>
    </xf>
    <xf numFmtId="0" fontId="14" fillId="8" borderId="10" xfId="0" applyFont="1" applyFill="1" applyBorder="1">
      <alignment vertical="center"/>
    </xf>
    <xf numFmtId="38" fontId="0" fillId="10" borderId="8" xfId="0" applyNumberFormat="1" applyFill="1" applyBorder="1" applyAlignment="1">
      <alignment horizontal="right" vertical="center"/>
    </xf>
    <xf numFmtId="0" fontId="0" fillId="8" borderId="8" xfId="0" applyFill="1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0" fontId="0" fillId="8" borderId="8" xfId="0" applyFill="1" applyBorder="1" applyAlignment="1">
      <alignment horizontal="left" vertical="center" shrinkToFit="1"/>
    </xf>
    <xf numFmtId="0" fontId="14" fillId="8" borderId="8" xfId="3" applyFill="1" applyBorder="1" applyAlignment="1">
      <alignment horizontal="left" vertical="center"/>
    </xf>
    <xf numFmtId="176" fontId="11" fillId="10" borderId="8" xfId="0" applyNumberFormat="1" applyFont="1" applyFill="1" applyBorder="1" applyAlignment="1">
      <alignment horizontal="right" vertical="center"/>
    </xf>
    <xf numFmtId="176" fontId="11" fillId="0" borderId="8" xfId="0" applyNumberFormat="1" applyFont="1" applyBorder="1" applyAlignment="1">
      <alignment horizontal="center"/>
    </xf>
    <xf numFmtId="0" fontId="14" fillId="0" borderId="8" xfId="3" applyBorder="1" applyAlignment="1">
      <alignment horizontal="left"/>
    </xf>
    <xf numFmtId="176" fontId="0" fillId="10" borderId="11" xfId="0" applyNumberFormat="1" applyFill="1" applyBorder="1">
      <alignment vertical="center"/>
    </xf>
    <xf numFmtId="0" fontId="0" fillId="4" borderId="8" xfId="0" applyFill="1" applyBorder="1" applyAlignment="1">
      <alignment horizontal="left" vertical="center"/>
    </xf>
    <xf numFmtId="176" fontId="0" fillId="10" borderId="8" xfId="0" applyNumberFormat="1" applyFill="1" applyBorder="1">
      <alignment vertical="center"/>
    </xf>
    <xf numFmtId="176" fontId="15" fillId="10" borderId="15" xfId="0" applyNumberFormat="1" applyFont="1" applyFill="1" applyBorder="1">
      <alignment vertical="center"/>
    </xf>
    <xf numFmtId="0" fontId="17" fillId="0" borderId="17" xfId="0" applyFont="1" applyBorder="1" applyAlignment="1">
      <alignment horizontal="center" vertical="center"/>
    </xf>
    <xf numFmtId="0" fontId="15" fillId="0" borderId="15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176" fontId="15" fillId="10" borderId="11" xfId="0" applyNumberFormat="1" applyFont="1" applyFill="1" applyBorder="1">
      <alignment vertical="center"/>
    </xf>
    <xf numFmtId="176" fontId="0" fillId="0" borderId="0" xfId="0" applyNumberFormat="1" applyAlignment="1"/>
    <xf numFmtId="0" fontId="11" fillId="0" borderId="8" xfId="0" applyFont="1" applyBorder="1">
      <alignment vertical="center"/>
    </xf>
    <xf numFmtId="176" fontId="11" fillId="0" borderId="10" xfId="0" applyNumberFormat="1" applyFont="1" applyBorder="1" applyAlignment="1">
      <alignment horizontal="left" vertical="center"/>
    </xf>
    <xf numFmtId="3" fontId="11" fillId="0" borderId="8" xfId="0" applyNumberFormat="1" applyFont="1" applyBorder="1" applyAlignment="1">
      <alignment horizontal="center" vertical="center"/>
    </xf>
    <xf numFmtId="0" fontId="11" fillId="8" borderId="8" xfId="0" applyFont="1" applyFill="1" applyBorder="1" applyAlignment="1">
      <alignment horizontal="left" vertical="center"/>
    </xf>
    <xf numFmtId="176" fontId="0" fillId="0" borderId="10" xfId="0" applyNumberFormat="1" applyBorder="1" applyAlignment="1">
      <alignment horizontal="left"/>
    </xf>
    <xf numFmtId="0" fontId="11" fillId="8" borderId="8" xfId="0" applyFont="1" applyFill="1" applyBorder="1">
      <alignment vertical="center"/>
    </xf>
    <xf numFmtId="176" fontId="7" fillId="0" borderId="19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76" fontId="30" fillId="6" borderId="8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4" fillId="8" borderId="8" xfId="3" applyFill="1" applyBorder="1" applyAlignment="1">
      <alignment horizontal="left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176" fontId="22" fillId="6" borderId="4" xfId="0" applyNumberFormat="1" applyFont="1" applyFill="1" applyBorder="1" applyAlignment="1">
      <alignment horizontal="center" vertical="center"/>
    </xf>
    <xf numFmtId="176" fontId="7" fillId="0" borderId="11" xfId="0" applyNumberFormat="1" applyFont="1" applyBorder="1">
      <alignment vertical="center"/>
    </xf>
    <xf numFmtId="176" fontId="0" fillId="0" borderId="5" xfId="0" applyNumberFormat="1" applyBorder="1">
      <alignment vertical="center"/>
    </xf>
    <xf numFmtId="176" fontId="22" fillId="6" borderId="0" xfId="0" applyNumberFormat="1" applyFont="1" applyFill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3" xfId="0" applyBorder="1" applyAlignment="1">
      <alignment vertical="center" shrinkToFit="1"/>
    </xf>
    <xf numFmtId="177" fontId="0" fillId="0" borderId="3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 shrinkToFit="1"/>
    </xf>
    <xf numFmtId="177" fontId="0" fillId="0" borderId="8" xfId="0" applyNumberFormat="1" applyBorder="1" applyAlignment="1">
      <alignment horizontal="center" vertical="center"/>
    </xf>
    <xf numFmtId="3" fontId="0" fillId="9" borderId="11" xfId="0" applyNumberFormat="1" applyFill="1" applyBorder="1" applyAlignment="1">
      <alignment horizontal="center" vertical="center"/>
    </xf>
    <xf numFmtId="3" fontId="26" fillId="12" borderId="8" xfId="0" applyNumberFormat="1" applyFont="1" applyFill="1" applyBorder="1" applyAlignment="1">
      <alignment horizontal="center" vertical="center"/>
    </xf>
    <xf numFmtId="3" fontId="26" fillId="13" borderId="8" xfId="0" applyNumberFormat="1" applyFont="1" applyFill="1" applyBorder="1" applyAlignment="1">
      <alignment horizontal="center" vertical="center"/>
    </xf>
    <xf numFmtId="0" fontId="26" fillId="12" borderId="8" xfId="0" applyFont="1" applyFill="1" applyBorder="1" applyAlignment="1">
      <alignment horizontal="left" vertical="center"/>
    </xf>
    <xf numFmtId="0" fontId="26" fillId="12" borderId="10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left" vertical="center"/>
    </xf>
    <xf numFmtId="0" fontId="9" fillId="9" borderId="8" xfId="0" applyFont="1" applyFill="1" applyBorder="1" applyAlignment="1">
      <alignment horizontal="left" vertical="center"/>
    </xf>
    <xf numFmtId="3" fontId="0" fillId="0" borderId="21" xfId="0" applyNumberFormat="1" applyBorder="1" applyAlignment="1">
      <alignment horizontal="center" vertical="center"/>
    </xf>
    <xf numFmtId="176" fontId="0" fillId="0" borderId="21" xfId="0" applyNumberFormat="1" applyBorder="1">
      <alignment vertical="center"/>
    </xf>
    <xf numFmtId="176" fontId="11" fillId="0" borderId="12" xfId="0" applyNumberFormat="1" applyFont="1" applyBorder="1" applyAlignment="1"/>
    <xf numFmtId="176" fontId="22" fillId="0" borderId="19" xfId="0" applyNumberFormat="1" applyFont="1" applyBorder="1" applyAlignment="1">
      <alignment horizontal="center" vertical="center"/>
    </xf>
    <xf numFmtId="0" fontId="9" fillId="8" borderId="8" xfId="0" applyFont="1" applyFill="1" applyBorder="1" applyAlignment="1">
      <alignment vertical="center" wrapText="1"/>
    </xf>
    <xf numFmtId="0" fontId="9" fillId="0" borderId="7" xfId="0" applyFont="1" applyBorder="1" applyAlignment="1">
      <alignment vertical="center" shrinkToFit="1"/>
    </xf>
    <xf numFmtId="0" fontId="14" fillId="8" borderId="11" xfId="3" applyFill="1" applyBorder="1" applyAlignment="1">
      <alignment vertical="center"/>
    </xf>
    <xf numFmtId="0" fontId="9" fillId="8" borderId="8" xfId="0" applyFont="1" applyFill="1" applyBorder="1" applyAlignment="1">
      <alignment horizontal="left" vertical="center" shrinkToFit="1"/>
    </xf>
    <xf numFmtId="0" fontId="9" fillId="8" borderId="21" xfId="0" applyFont="1" applyFill="1" applyBorder="1" applyAlignment="1">
      <alignment horizontal="left" vertical="center"/>
    </xf>
    <xf numFmtId="176" fontId="14" fillId="10" borderId="10" xfId="0" applyNumberFormat="1" applyFont="1" applyFill="1" applyBorder="1" applyAlignment="1">
      <alignment horizontal="right" vertical="center"/>
    </xf>
    <xf numFmtId="176" fontId="0" fillId="10" borderId="10" xfId="0" applyNumberFormat="1" applyFill="1" applyBorder="1" applyAlignment="1">
      <alignment horizontal="right" vertical="center"/>
    </xf>
    <xf numFmtId="3" fontId="26" fillId="10" borderId="8" xfId="0" applyNumberFormat="1" applyFont="1" applyFill="1" applyBorder="1" applyAlignment="1">
      <alignment horizontal="right" vertical="center"/>
    </xf>
    <xf numFmtId="3" fontId="0" fillId="0" borderId="12" xfId="0" applyNumberFormat="1" applyBorder="1" applyAlignment="1">
      <alignment horizontal="center" vertical="center"/>
    </xf>
    <xf numFmtId="176" fontId="0" fillId="0" borderId="20" xfId="0" applyNumberFormat="1" applyBorder="1">
      <alignment vertical="center"/>
    </xf>
    <xf numFmtId="0" fontId="9" fillId="9" borderId="8" xfId="0" applyFont="1" applyFill="1" applyBorder="1">
      <alignment vertical="center"/>
    </xf>
    <xf numFmtId="0" fontId="0" fillId="9" borderId="10" xfId="0" applyFill="1" applyBorder="1" applyAlignment="1">
      <alignment horizontal="left" vertical="center"/>
    </xf>
    <xf numFmtId="0" fontId="9" fillId="9" borderId="7" xfId="0" applyFont="1" applyFill="1" applyBorder="1" applyAlignment="1">
      <alignment vertical="center" shrinkToFit="1"/>
    </xf>
    <xf numFmtId="0" fontId="9" fillId="10" borderId="8" xfId="0" applyFont="1" applyFill="1" applyBorder="1" applyAlignment="1">
      <alignment horizontal="left" vertical="center"/>
    </xf>
    <xf numFmtId="0" fontId="0" fillId="10" borderId="8" xfId="0" applyFill="1" applyBorder="1" applyAlignment="1">
      <alignment horizontal="center" vertical="center"/>
    </xf>
    <xf numFmtId="49" fontId="0" fillId="10" borderId="8" xfId="0" applyNumberFormat="1" applyFill="1" applyBorder="1" applyAlignment="1">
      <alignment horizontal="left" vertical="center"/>
    </xf>
    <xf numFmtId="0" fontId="0" fillId="10" borderId="8" xfId="0" applyFill="1" applyBorder="1" applyAlignment="1">
      <alignment horizontal="right" vertical="center"/>
    </xf>
    <xf numFmtId="0" fontId="15" fillId="10" borderId="8" xfId="0" applyFont="1" applyFill="1" applyBorder="1">
      <alignment vertical="center"/>
    </xf>
    <xf numFmtId="0" fontId="15" fillId="10" borderId="10" xfId="0" applyFont="1" applyFill="1" applyBorder="1" applyAlignment="1">
      <alignment horizontal="center" vertical="center"/>
    </xf>
    <xf numFmtId="0" fontId="14" fillId="10" borderId="8" xfId="3" applyFill="1" applyBorder="1" applyAlignment="1">
      <alignment horizontal="left" vertical="center"/>
    </xf>
    <xf numFmtId="0" fontId="14" fillId="10" borderId="8" xfId="3" applyFill="1" applyBorder="1" applyAlignment="1">
      <alignment horizontal="center" vertical="center"/>
    </xf>
    <xf numFmtId="0" fontId="0" fillId="10" borderId="8" xfId="0" applyFill="1" applyBorder="1">
      <alignment vertical="center"/>
    </xf>
    <xf numFmtId="0" fontId="0" fillId="10" borderId="11" xfId="0" applyFill="1" applyBorder="1" applyAlignment="1">
      <alignment horizontal="center" vertical="center"/>
    </xf>
    <xf numFmtId="0" fontId="11" fillId="10" borderId="8" xfId="0" applyFont="1" applyFill="1" applyBorder="1" applyAlignment="1">
      <alignment horizontal="left" vertical="center"/>
    </xf>
    <xf numFmtId="181" fontId="11" fillId="10" borderId="8" xfId="0" applyNumberFormat="1" applyFont="1" applyFill="1" applyBorder="1" applyAlignment="1">
      <alignment horizontal="center" vertical="center"/>
    </xf>
    <xf numFmtId="0" fontId="14" fillId="10" borderId="10" xfId="0" applyFont="1" applyFill="1" applyBorder="1">
      <alignment vertical="center"/>
    </xf>
    <xf numFmtId="0" fontId="11" fillId="10" borderId="8" xfId="0" applyFont="1" applyFill="1" applyBorder="1" applyAlignment="1">
      <alignment horizontal="center" vertical="center"/>
    </xf>
    <xf numFmtId="0" fontId="14" fillId="10" borderId="10" xfId="3" applyFill="1" applyBorder="1" applyAlignment="1">
      <alignment horizontal="left" vertical="center"/>
    </xf>
    <xf numFmtId="49" fontId="9" fillId="10" borderId="8" xfId="0" applyNumberFormat="1" applyFont="1" applyFill="1" applyBorder="1" applyAlignment="1">
      <alignment horizontal="left" vertical="center"/>
    </xf>
    <xf numFmtId="38" fontId="15" fillId="10" borderId="8" xfId="0" applyNumberFormat="1" applyFont="1" applyFill="1" applyBorder="1" applyAlignment="1">
      <alignment horizontal="right" vertical="center"/>
    </xf>
    <xf numFmtId="0" fontId="15" fillId="10" borderId="8" xfId="0" applyFont="1" applyFill="1" applyBorder="1" applyAlignment="1">
      <alignment horizontal="center" vertical="center"/>
    </xf>
    <xf numFmtId="0" fontId="0" fillId="10" borderId="8" xfId="0" applyFill="1" applyBorder="1" applyAlignment="1">
      <alignment horizontal="left" vertical="center"/>
    </xf>
    <xf numFmtId="0" fontId="14" fillId="10" borderId="8" xfId="0" applyFont="1" applyFill="1" applyBorder="1" applyAlignment="1">
      <alignment horizontal="left" vertical="center"/>
    </xf>
    <xf numFmtId="0" fontId="14" fillId="10" borderId="8" xfId="3" applyFill="1" applyBorder="1" applyAlignment="1">
      <alignment horizontal="left"/>
    </xf>
    <xf numFmtId="176" fontId="11" fillId="10" borderId="8" xfId="0" applyNumberFormat="1" applyFont="1" applyFill="1" applyBorder="1" applyAlignment="1">
      <alignment horizontal="center" vertical="center"/>
    </xf>
    <xf numFmtId="0" fontId="9" fillId="10" borderId="8" xfId="0" applyFont="1" applyFill="1" applyBorder="1">
      <alignment vertical="center"/>
    </xf>
    <xf numFmtId="0" fontId="5" fillId="10" borderId="21" xfId="0" applyFont="1" applyFill="1" applyBorder="1">
      <alignment vertical="center"/>
    </xf>
    <xf numFmtId="0" fontId="5" fillId="10" borderId="21" xfId="0" applyFont="1" applyFill="1" applyBorder="1" applyAlignment="1">
      <alignment horizontal="center" vertical="center"/>
    </xf>
    <xf numFmtId="0" fontId="14" fillId="10" borderId="11" xfId="3" applyFill="1" applyBorder="1"/>
    <xf numFmtId="176" fontId="11" fillId="10" borderId="11" xfId="0" applyNumberFormat="1" applyFont="1" applyFill="1" applyBorder="1" applyAlignment="1">
      <alignment horizontal="center" vertical="center"/>
    </xf>
    <xf numFmtId="0" fontId="14" fillId="10" borderId="8" xfId="0" applyFont="1" applyFill="1" applyBorder="1">
      <alignment vertical="center"/>
    </xf>
    <xf numFmtId="0" fontId="14" fillId="10" borderId="8" xfId="0" applyFont="1" applyFill="1" applyBorder="1" applyAlignment="1">
      <alignment horizontal="center" vertical="center"/>
    </xf>
    <xf numFmtId="0" fontId="9" fillId="10" borderId="8" xfId="4" applyFill="1" applyBorder="1" applyAlignment="1">
      <alignment horizontal="center" vertical="center"/>
    </xf>
    <xf numFmtId="0" fontId="15" fillId="10" borderId="8" xfId="0" applyFont="1" applyFill="1" applyBorder="1" applyAlignment="1">
      <alignment vertical="center" wrapText="1"/>
    </xf>
    <xf numFmtId="0" fontId="15" fillId="10" borderId="8" xfId="0" applyFont="1" applyFill="1" applyBorder="1" applyAlignment="1">
      <alignment horizontal="left" vertical="center"/>
    </xf>
    <xf numFmtId="176" fontId="14" fillId="10" borderId="11" xfId="0" applyNumberFormat="1" applyFont="1" applyFill="1" applyBorder="1" applyAlignment="1">
      <alignment horizontal="center" vertical="center"/>
    </xf>
    <xf numFmtId="180" fontId="14" fillId="10" borderId="8" xfId="0" applyNumberFormat="1" applyFont="1" applyFill="1" applyBorder="1" applyAlignment="1">
      <alignment horizontal="center" vertical="center"/>
    </xf>
    <xf numFmtId="0" fontId="9" fillId="10" borderId="10" xfId="0" applyFont="1" applyFill="1" applyBorder="1">
      <alignment vertical="center"/>
    </xf>
    <xf numFmtId="0" fontId="11" fillId="10" borderId="8" xfId="0" applyFont="1" applyFill="1" applyBorder="1">
      <alignment vertical="center"/>
    </xf>
    <xf numFmtId="176" fontId="0" fillId="10" borderId="8" xfId="0" applyNumberFormat="1" applyFill="1" applyBorder="1" applyAlignment="1">
      <alignment horizontal="center" vertical="center"/>
    </xf>
    <xf numFmtId="0" fontId="9" fillId="10" borderId="8" xfId="0" applyFont="1" applyFill="1" applyBorder="1" applyAlignment="1">
      <alignment horizontal="center" vertical="center"/>
    </xf>
    <xf numFmtId="49" fontId="14" fillId="10" borderId="18" xfId="0" applyNumberFormat="1" applyFont="1" applyFill="1" applyBorder="1" applyAlignment="1">
      <alignment vertical="center" shrinkToFit="1"/>
    </xf>
    <xf numFmtId="176" fontId="15" fillId="10" borderId="11" xfId="0" applyNumberFormat="1" applyFont="1" applyFill="1" applyBorder="1" applyAlignment="1">
      <alignment horizontal="center" vertical="center"/>
    </xf>
    <xf numFmtId="0" fontId="24" fillId="10" borderId="0" xfId="0" applyFont="1" applyFill="1">
      <alignment vertical="center"/>
    </xf>
    <xf numFmtId="176" fontId="9" fillId="10" borderId="15" xfId="0" applyNumberFormat="1" applyFont="1" applyFill="1" applyBorder="1" applyAlignment="1">
      <alignment horizontal="left" vertical="center"/>
    </xf>
    <xf numFmtId="181" fontId="15" fillId="10" borderId="15" xfId="0" applyNumberFormat="1" applyFont="1" applyFill="1" applyBorder="1" applyAlignment="1">
      <alignment horizontal="center" vertical="center"/>
    </xf>
    <xf numFmtId="176" fontId="9" fillId="10" borderId="8" xfId="0" applyNumberFormat="1" applyFont="1" applyFill="1" applyBorder="1" applyAlignment="1">
      <alignment horizontal="left" vertical="center"/>
    </xf>
    <xf numFmtId="181" fontId="15" fillId="10" borderId="8" xfId="0" applyNumberFormat="1" applyFont="1" applyFill="1" applyBorder="1" applyAlignment="1">
      <alignment horizontal="center" vertical="center"/>
    </xf>
    <xf numFmtId="0" fontId="5" fillId="10" borderId="8" xfId="0" applyFont="1" applyFill="1" applyBorder="1">
      <alignment vertical="center"/>
    </xf>
    <xf numFmtId="0" fontId="5" fillId="10" borderId="8" xfId="0" applyFont="1" applyFill="1" applyBorder="1" applyAlignment="1">
      <alignment horizontal="center" vertical="center"/>
    </xf>
    <xf numFmtId="0" fontId="15" fillId="10" borderId="11" xfId="0" applyFont="1" applyFill="1" applyBorder="1" applyAlignment="1">
      <alignment horizontal="left" vertical="center"/>
    </xf>
    <xf numFmtId="181" fontId="15" fillId="10" borderId="11" xfId="0" applyNumberFormat="1" applyFont="1" applyFill="1" applyBorder="1" applyAlignment="1">
      <alignment horizontal="center" vertical="center"/>
    </xf>
    <xf numFmtId="0" fontId="0" fillId="10" borderId="0" xfId="0" applyFill="1">
      <alignment vertical="center"/>
    </xf>
    <xf numFmtId="49" fontId="14" fillId="10" borderId="8" xfId="0" applyNumberFormat="1" applyFont="1" applyFill="1" applyBorder="1">
      <alignment vertical="center"/>
    </xf>
    <xf numFmtId="49" fontId="15" fillId="10" borderId="8" xfId="0" applyNumberFormat="1" applyFont="1" applyFill="1" applyBorder="1" applyAlignment="1">
      <alignment horizontal="left" vertical="center"/>
    </xf>
    <xf numFmtId="176" fontId="9" fillId="10" borderId="8" xfId="0" applyNumberFormat="1" applyFont="1" applyFill="1" applyBorder="1" applyAlignment="1">
      <alignment horizontal="center" vertical="center"/>
    </xf>
    <xf numFmtId="176" fontId="15" fillId="10" borderId="8" xfId="0" applyNumberFormat="1" applyFont="1" applyFill="1" applyBorder="1" applyAlignment="1">
      <alignment horizontal="center" vertical="center"/>
    </xf>
    <xf numFmtId="49" fontId="9" fillId="10" borderId="8" xfId="0" applyNumberFormat="1" applyFont="1" applyFill="1" applyBorder="1" applyAlignment="1">
      <alignment horizontal="left" vertical="center" wrapText="1"/>
    </xf>
    <xf numFmtId="38" fontId="0" fillId="10" borderId="8" xfId="0" applyNumberFormat="1" applyFill="1" applyBorder="1" applyAlignment="1">
      <alignment horizontal="center" vertical="center"/>
    </xf>
    <xf numFmtId="0" fontId="14" fillId="10" borderId="8" xfId="3" applyFill="1" applyBorder="1" applyAlignment="1">
      <alignment horizontal="right" vertical="center"/>
    </xf>
    <xf numFmtId="176" fontId="15" fillId="10" borderId="8" xfId="0" applyNumberFormat="1" applyFont="1" applyFill="1" applyBorder="1" applyAlignment="1">
      <alignment horizontal="right" vertical="center"/>
    </xf>
    <xf numFmtId="176" fontId="9" fillId="10" borderId="8" xfId="0" applyNumberFormat="1" applyFont="1" applyFill="1" applyBorder="1" applyAlignment="1">
      <alignment horizontal="right" vertical="center"/>
    </xf>
    <xf numFmtId="176" fontId="21" fillId="10" borderId="8" xfId="0" applyNumberFormat="1" applyFont="1" applyFill="1" applyBorder="1" applyAlignment="1">
      <alignment horizontal="right" vertical="center"/>
    </xf>
    <xf numFmtId="0" fontId="9" fillId="0" borderId="0" xfId="0" applyFont="1" applyAlignment="1">
      <alignment vertical="center" wrapText="1"/>
    </xf>
    <xf numFmtId="38" fontId="14" fillId="10" borderId="8" xfId="0" applyNumberFormat="1" applyFont="1" applyFill="1" applyBorder="1" applyAlignment="1">
      <alignment horizontal="right" vertical="center"/>
    </xf>
    <xf numFmtId="0" fontId="26" fillId="10" borderId="8" xfId="0" applyFont="1" applyFill="1" applyBorder="1" applyAlignment="1">
      <alignment horizontal="left" vertical="center"/>
    </xf>
    <xf numFmtId="0" fontId="26" fillId="10" borderId="8" xfId="0" applyFont="1" applyFill="1" applyBorder="1" applyAlignment="1">
      <alignment horizontal="center" vertical="center"/>
    </xf>
    <xf numFmtId="3" fontId="26" fillId="10" borderId="10" xfId="0" applyNumberFormat="1" applyFont="1" applyFill="1" applyBorder="1" applyAlignment="1">
      <alignment horizontal="right" vertical="center"/>
    </xf>
    <xf numFmtId="3" fontId="0" fillId="10" borderId="8" xfId="0" applyNumberFormat="1" applyFill="1" applyBorder="1" applyAlignment="1">
      <alignment horizontal="right" vertical="center"/>
    </xf>
    <xf numFmtId="3" fontId="0" fillId="10" borderId="10" xfId="0" applyNumberFormat="1" applyFill="1" applyBorder="1" applyAlignment="1">
      <alignment horizontal="right" vertical="center"/>
    </xf>
    <xf numFmtId="0" fontId="35" fillId="0" borderId="0" xfId="0" applyFont="1">
      <alignment vertical="center"/>
    </xf>
    <xf numFmtId="0" fontId="0" fillId="10" borderId="11" xfId="0" applyFill="1" applyBorder="1" applyAlignment="1">
      <alignment horizontal="left" vertical="center"/>
    </xf>
    <xf numFmtId="181" fontId="0" fillId="10" borderId="11" xfId="0" applyNumberFormat="1" applyFill="1" applyBorder="1">
      <alignment vertical="center"/>
    </xf>
    <xf numFmtId="181" fontId="0" fillId="10" borderId="8" xfId="0" applyNumberFormat="1" applyFill="1" applyBorder="1">
      <alignment vertical="center"/>
    </xf>
    <xf numFmtId="0" fontId="15" fillId="10" borderId="15" xfId="0" applyFont="1" applyFill="1" applyBorder="1" applyAlignment="1">
      <alignment horizontal="left" vertical="center"/>
    </xf>
    <xf numFmtId="181" fontId="15" fillId="10" borderId="15" xfId="0" applyNumberFormat="1" applyFont="1" applyFill="1" applyBorder="1">
      <alignment vertical="center"/>
    </xf>
    <xf numFmtId="181" fontId="15" fillId="10" borderId="8" xfId="0" applyNumberFormat="1" applyFont="1" applyFill="1" applyBorder="1">
      <alignment vertical="center"/>
    </xf>
    <xf numFmtId="181" fontId="15" fillId="10" borderId="11" xfId="0" applyNumberFormat="1" applyFont="1" applyFill="1" applyBorder="1">
      <alignment vertical="center"/>
    </xf>
    <xf numFmtId="0" fontId="15" fillId="10" borderId="8" xfId="0" applyFont="1" applyFill="1" applyBorder="1" applyAlignment="1">
      <alignment horizontal="right" vertical="center"/>
    </xf>
    <xf numFmtId="0" fontId="0" fillId="10" borderId="11" xfId="0" applyFill="1" applyBorder="1" applyAlignment="1">
      <alignment horizontal="right" vertical="center"/>
    </xf>
    <xf numFmtId="0" fontId="15" fillId="10" borderId="15" xfId="0" applyFont="1" applyFill="1" applyBorder="1" applyAlignment="1">
      <alignment horizontal="right" vertical="center"/>
    </xf>
    <xf numFmtId="0" fontId="5" fillId="10" borderId="8" xfId="0" applyFont="1" applyFill="1" applyBorder="1" applyAlignment="1">
      <alignment horizontal="right" vertical="center"/>
    </xf>
    <xf numFmtId="0" fontId="15" fillId="10" borderId="11" xfId="0" applyFont="1" applyFill="1" applyBorder="1" applyAlignment="1">
      <alignment horizontal="right" vertical="center"/>
    </xf>
    <xf numFmtId="182" fontId="0" fillId="10" borderId="8" xfId="0" applyNumberFormat="1" applyFill="1" applyBorder="1" applyAlignment="1">
      <alignment horizontal="right" vertical="center"/>
    </xf>
    <xf numFmtId="183" fontId="0" fillId="10" borderId="8" xfId="0" applyNumberFormat="1" applyFill="1" applyBorder="1" applyAlignment="1">
      <alignment horizontal="right" vertical="center"/>
    </xf>
    <xf numFmtId="176" fontId="13" fillId="10" borderId="8" xfId="0" applyNumberFormat="1" applyFont="1" applyFill="1" applyBorder="1" applyAlignment="1">
      <alignment horizontal="right" vertical="center"/>
    </xf>
    <xf numFmtId="0" fontId="14" fillId="10" borderId="8" xfId="0" applyFont="1" applyFill="1" applyBorder="1" applyAlignment="1">
      <alignment horizontal="right" vertical="center"/>
    </xf>
    <xf numFmtId="176" fontId="14" fillId="10" borderId="8" xfId="0" applyNumberFormat="1" applyFont="1" applyFill="1" applyBorder="1" applyAlignment="1">
      <alignment horizontal="right" vertical="center"/>
    </xf>
    <xf numFmtId="0" fontId="11" fillId="10" borderId="8" xfId="0" applyFont="1" applyFill="1" applyBorder="1" applyAlignment="1">
      <alignment horizontal="right" vertical="center"/>
    </xf>
    <xf numFmtId="0" fontId="14" fillId="10" borderId="11" xfId="3" applyFill="1" applyBorder="1" applyAlignment="1">
      <alignment horizontal="right" vertical="center"/>
    </xf>
    <xf numFmtId="176" fontId="32" fillId="10" borderId="21" xfId="0" applyNumberFormat="1" applyFont="1" applyFill="1" applyBorder="1" applyAlignment="1">
      <alignment horizontal="right" vertical="center"/>
    </xf>
    <xf numFmtId="176" fontId="0" fillId="10" borderId="21" xfId="0" applyNumberFormat="1" applyFill="1" applyBorder="1" applyAlignment="1">
      <alignment horizontal="right" vertical="center"/>
    </xf>
    <xf numFmtId="176" fontId="5" fillId="10" borderId="11" xfId="0" applyNumberFormat="1" applyFont="1" applyFill="1" applyBorder="1" applyAlignment="1">
      <alignment horizontal="right" vertical="center"/>
    </xf>
    <xf numFmtId="0" fontId="31" fillId="0" borderId="8" xfId="0" applyFont="1" applyBorder="1" applyAlignment="1">
      <alignment vertical="center" shrinkToFit="1"/>
    </xf>
    <xf numFmtId="49" fontId="15" fillId="14" borderId="8" xfId="0" applyNumberFormat="1" applyFont="1" applyFill="1" applyBorder="1" applyAlignment="1">
      <alignment horizontal="left" vertical="center"/>
    </xf>
    <xf numFmtId="0" fontId="15" fillId="14" borderId="8" xfId="0" applyFont="1" applyFill="1" applyBorder="1" applyAlignment="1">
      <alignment horizontal="center" vertical="center"/>
    </xf>
    <xf numFmtId="38" fontId="15" fillId="14" borderId="8" xfId="0" applyNumberFormat="1" applyFont="1" applyFill="1" applyBorder="1" applyAlignment="1">
      <alignment horizontal="right" vertical="center"/>
    </xf>
    <xf numFmtId="0" fontId="37" fillId="0" borderId="8" xfId="0" applyFont="1" applyBorder="1" applyAlignment="1">
      <alignment vertical="center" shrinkToFit="1"/>
    </xf>
    <xf numFmtId="0" fontId="0" fillId="14" borderId="8" xfId="0" applyFill="1" applyBorder="1" applyAlignment="1">
      <alignment horizontal="center" vertical="center"/>
    </xf>
    <xf numFmtId="0" fontId="14" fillId="14" borderId="8" xfId="3" applyFill="1" applyBorder="1"/>
    <xf numFmtId="176" fontId="11" fillId="14" borderId="8" xfId="0" applyNumberFormat="1" applyFont="1" applyFill="1" applyBorder="1" applyAlignment="1">
      <alignment horizontal="center" vertical="center"/>
    </xf>
    <xf numFmtId="0" fontId="14" fillId="14" borderId="8" xfId="3" applyFill="1" applyBorder="1" applyAlignment="1">
      <alignment horizontal="right" vertical="center"/>
    </xf>
    <xf numFmtId="176" fontId="14" fillId="14" borderId="8" xfId="0" applyNumberFormat="1" applyFont="1" applyFill="1" applyBorder="1" applyAlignment="1">
      <alignment horizontal="right" vertical="center"/>
    </xf>
    <xf numFmtId="176" fontId="11" fillId="0" borderId="10" xfId="0" applyNumberFormat="1" applyFont="1" applyBorder="1" applyAlignment="1"/>
    <xf numFmtId="0" fontId="14" fillId="8" borderId="8" xfId="3" applyFill="1" applyBorder="1" applyAlignment="1">
      <alignment vertical="center"/>
    </xf>
    <xf numFmtId="0" fontId="38" fillId="0" borderId="1" xfId="0" applyFont="1" applyBorder="1" applyAlignment="1">
      <alignment horizontal="center" vertical="center" shrinkToFit="1"/>
    </xf>
    <xf numFmtId="0" fontId="40" fillId="0" borderId="8" xfId="0" applyFont="1" applyBorder="1" applyAlignment="1">
      <alignment vertical="center" shrinkToFit="1"/>
    </xf>
    <xf numFmtId="178" fontId="0" fillId="0" borderId="0" xfId="0" applyNumberFormat="1" applyAlignment="1">
      <alignment horizontal="center" vertical="center"/>
    </xf>
    <xf numFmtId="49" fontId="9" fillId="14" borderId="8" xfId="0" applyNumberFormat="1" applyFont="1" applyFill="1" applyBorder="1" applyAlignment="1">
      <alignment horizontal="left" vertical="center"/>
    </xf>
    <xf numFmtId="0" fontId="41" fillId="0" borderId="8" xfId="0" applyFont="1" applyBorder="1" applyAlignment="1">
      <alignment horizontal="center" vertical="center" shrinkToFit="1"/>
    </xf>
    <xf numFmtId="0" fontId="5" fillId="9" borderId="22" xfId="0" applyFont="1" applyFill="1" applyBorder="1" applyAlignment="1">
      <alignment horizontal="center" vertical="center"/>
    </xf>
    <xf numFmtId="49" fontId="9" fillId="14" borderId="15" xfId="0" applyNumberFormat="1" applyFont="1" applyFill="1" applyBorder="1" applyAlignment="1">
      <alignment horizontal="left" vertical="center"/>
    </xf>
    <xf numFmtId="0" fontId="0" fillId="14" borderId="15" xfId="0" applyFill="1" applyBorder="1" applyAlignment="1">
      <alignment horizontal="center" vertical="center"/>
    </xf>
    <xf numFmtId="38" fontId="0" fillId="0" borderId="15" xfId="0" applyNumberFormat="1" applyBorder="1" applyAlignment="1">
      <alignment horizontal="center" vertical="center"/>
    </xf>
    <xf numFmtId="176" fontId="0" fillId="10" borderId="15" xfId="0" applyNumberFormat="1" applyFill="1" applyBorder="1" applyAlignment="1">
      <alignment horizontal="right" vertical="center"/>
    </xf>
    <xf numFmtId="176" fontId="0" fillId="0" borderId="15" xfId="0" applyNumberFormat="1" applyBorder="1" applyAlignment="1"/>
    <xf numFmtId="0" fontId="9" fillId="0" borderId="15" xfId="0" applyFont="1" applyBorder="1" applyAlignment="1">
      <alignment horizontal="left" vertical="center" shrinkToFit="1"/>
    </xf>
    <xf numFmtId="0" fontId="0" fillId="0" borderId="15" xfId="0" applyBorder="1" applyAlignment="1">
      <alignment vertical="center" shrinkToFit="1"/>
    </xf>
    <xf numFmtId="0" fontId="41" fillId="0" borderId="15" xfId="0" applyFont="1" applyBorder="1" applyAlignment="1">
      <alignment horizontal="center" vertical="center" shrinkToFit="1"/>
    </xf>
    <xf numFmtId="56" fontId="0" fillId="0" borderId="15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176" fontId="0" fillId="0" borderId="11" xfId="0" applyNumberFormat="1" applyBorder="1">
      <alignment vertical="center"/>
    </xf>
    <xf numFmtId="178" fontId="9" fillId="0" borderId="8" xfId="0" applyNumberFormat="1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6" fontId="7" fillId="0" borderId="6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" vertical="center"/>
    </xf>
    <xf numFmtId="3" fontId="23" fillId="5" borderId="10" xfId="0" applyNumberFormat="1" applyFont="1" applyFill="1" applyBorder="1" applyAlignment="1">
      <alignment horizontal="center" vertical="center"/>
    </xf>
    <xf numFmtId="3" fontId="23" fillId="5" borderId="14" xfId="0" applyNumberFormat="1" applyFont="1" applyFill="1" applyBorder="1" applyAlignment="1">
      <alignment horizontal="center" vertical="center"/>
    </xf>
    <xf numFmtId="3" fontId="23" fillId="5" borderId="13" xfId="0" applyNumberFormat="1" applyFont="1" applyFill="1" applyBorder="1" applyAlignment="1">
      <alignment horizontal="center" vertical="center"/>
    </xf>
    <xf numFmtId="3" fontId="23" fillId="5" borderId="12" xfId="0" applyNumberFormat="1" applyFont="1" applyFill="1" applyBorder="1" applyAlignment="1">
      <alignment horizontal="center" vertical="center"/>
    </xf>
    <xf numFmtId="3" fontId="23" fillId="5" borderId="20" xfId="0" applyNumberFormat="1" applyFont="1" applyFill="1" applyBorder="1" applyAlignment="1">
      <alignment horizontal="center" vertical="center"/>
    </xf>
    <xf numFmtId="3" fontId="20" fillId="5" borderId="10" xfId="0" applyNumberFormat="1" applyFont="1" applyFill="1" applyBorder="1" applyAlignment="1">
      <alignment horizontal="center" vertical="center"/>
    </xf>
    <xf numFmtId="3" fontId="20" fillId="5" borderId="14" xfId="0" applyNumberFormat="1" applyFont="1" applyFill="1" applyBorder="1" applyAlignment="1">
      <alignment horizontal="center" vertical="center"/>
    </xf>
    <xf numFmtId="3" fontId="20" fillId="5" borderId="13" xfId="0" applyNumberFormat="1" applyFont="1" applyFill="1" applyBorder="1" applyAlignment="1">
      <alignment horizontal="center" vertical="center"/>
    </xf>
    <xf numFmtId="3" fontId="16" fillId="2" borderId="11" xfId="0" applyNumberFormat="1" applyFont="1" applyFill="1" applyBorder="1" applyAlignment="1">
      <alignment horizontal="center" vertical="center"/>
    </xf>
    <xf numFmtId="3" fontId="2" fillId="2" borderId="1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34" fillId="0" borderId="8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</cellXfs>
  <cellStyles count="6">
    <cellStyle name="ハイパーリンク" xfId="2" xr:uid="{00000000-0005-0000-0000-000000000000}"/>
    <cellStyle name="標準" xfId="0" builtinId="0"/>
    <cellStyle name="標準 2" xfId="5" xr:uid="{C2CBC382-4BC1-4D3B-B64A-4DC2C10C5618}"/>
    <cellStyle name="標準 3" xfId="4" xr:uid="{1B9717F3-D5E1-4047-8E84-2BA2544C8F2B}"/>
    <cellStyle name="標準_発注管理表" xfId="3" xr:uid="{00000000-0005-0000-0000-000002000000}"/>
    <cellStyle name="表示済みのハイパーリンク" xfId="1" xr:uid="{00000000-0005-0000-0000-000003000000}"/>
  </cellStyles>
  <dxfs count="0"/>
  <tableStyles count="0" defaultTableStyle="TableStyleMedium9" defaultPivotStyle="PivotStyleMedium9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95E88-9E6E-490D-B7F1-C7FA194DC80E}">
  <sheetPr>
    <tabColor rgb="FF0070C0"/>
  </sheetPr>
  <dimension ref="A2:R261"/>
  <sheetViews>
    <sheetView tabSelected="1" zoomScale="70" zoomScaleNormal="70" workbookViewId="0">
      <pane ySplit="8" topLeftCell="A37" activePane="bottomLeft" state="frozen"/>
      <selection activeCell="B1" sqref="B1"/>
      <selection pane="bottomLeft" activeCell="R46" sqref="R46:R48"/>
    </sheetView>
  </sheetViews>
  <sheetFormatPr defaultColWidth="11.75" defaultRowHeight="13.5" customHeight="1" x14ac:dyDescent="0.15"/>
  <cols>
    <col min="1" max="1" width="12.5" customWidth="1"/>
    <col min="2" max="2" width="10.5" customWidth="1"/>
    <col min="3" max="3" width="6.25" style="5" customWidth="1"/>
    <col min="4" max="4" width="15.25" customWidth="1"/>
    <col min="5" max="5" width="15.5" customWidth="1"/>
    <col min="6" max="6" width="52.5" customWidth="1"/>
    <col min="7" max="7" width="10.75" style="5" customWidth="1"/>
    <col min="8" max="9" width="12.125" style="5" customWidth="1"/>
    <col min="10" max="10" width="7.125" style="10" customWidth="1"/>
    <col min="11" max="11" width="50.5" customWidth="1"/>
    <col min="12" max="12" width="18.125" customWidth="1"/>
    <col min="13" max="13" width="25.875" style="5" customWidth="1"/>
    <col min="14" max="14" width="17" style="5" customWidth="1"/>
    <col min="15" max="15" width="9.25" customWidth="1"/>
    <col min="16" max="16" width="16.375" style="5" customWidth="1"/>
    <col min="17" max="17" width="17.875" style="34" customWidth="1"/>
    <col min="18" max="18" width="19.375" style="34" customWidth="1"/>
  </cols>
  <sheetData>
    <row r="2" spans="1:18" ht="20.100000000000001" customHeight="1" x14ac:dyDescent="0.15">
      <c r="C2" s="322" t="s">
        <v>0</v>
      </c>
      <c r="D2" s="322"/>
      <c r="E2" s="322"/>
      <c r="F2" s="23" t="s">
        <v>247</v>
      </c>
      <c r="H2" s="327" t="s">
        <v>1</v>
      </c>
      <c r="I2" s="328"/>
      <c r="J2" s="329"/>
      <c r="K2" s="9">
        <f>SUM(I:I)</f>
        <v>619291</v>
      </c>
    </row>
    <row r="3" spans="1:18" ht="20.100000000000001" customHeight="1" x14ac:dyDescent="0.15">
      <c r="C3" s="322" t="s">
        <v>2</v>
      </c>
      <c r="D3" s="322"/>
      <c r="E3" s="322"/>
      <c r="F3" s="7" t="s">
        <v>119</v>
      </c>
    </row>
    <row r="4" spans="1:18" ht="20.100000000000001" customHeight="1" x14ac:dyDescent="0.15">
      <c r="C4" s="322" t="s">
        <v>3</v>
      </c>
      <c r="D4" s="322"/>
      <c r="E4" s="322"/>
      <c r="F4" s="7" t="s">
        <v>243</v>
      </c>
      <c r="H4" s="330" t="s">
        <v>388</v>
      </c>
      <c r="I4" s="247"/>
      <c r="J4" s="331" t="s">
        <v>118</v>
      </c>
      <c r="K4" s="331"/>
      <c r="L4" s="331"/>
    </row>
    <row r="5" spans="1:18" ht="20.100000000000001" customHeight="1" x14ac:dyDescent="0.15">
      <c r="C5" s="322" t="s">
        <v>4</v>
      </c>
      <c r="D5" s="322"/>
      <c r="E5" s="322"/>
      <c r="F5" s="8">
        <v>45896</v>
      </c>
      <c r="H5" s="330"/>
      <c r="I5" s="247"/>
      <c r="J5" s="331"/>
      <c r="K5" s="331"/>
      <c r="L5" s="331"/>
    </row>
    <row r="6" spans="1:18" ht="20.100000000000001" customHeight="1" x14ac:dyDescent="0.15">
      <c r="C6" s="322" t="s">
        <v>5</v>
      </c>
      <c r="D6" s="322"/>
      <c r="E6" s="322"/>
      <c r="F6" s="8">
        <v>45897</v>
      </c>
      <c r="H6" s="323" t="s">
        <v>257</v>
      </c>
      <c r="I6" s="323"/>
      <c r="J6" s="323"/>
      <c r="K6" s="323"/>
    </row>
    <row r="8" spans="1:18" s="5" customFormat="1" ht="19.5" customHeight="1" x14ac:dyDescent="0.15">
      <c r="A8" s="167" t="s">
        <v>205</v>
      </c>
      <c r="B8" s="69" t="s">
        <v>64</v>
      </c>
      <c r="C8" s="68" t="s">
        <v>6</v>
      </c>
      <c r="D8" s="2" t="s">
        <v>7</v>
      </c>
      <c r="E8" s="2" t="s">
        <v>8</v>
      </c>
      <c r="F8" s="18" t="s">
        <v>9</v>
      </c>
      <c r="G8" s="18" t="s">
        <v>10</v>
      </c>
      <c r="H8" s="18" t="s">
        <v>11</v>
      </c>
      <c r="I8" s="1" t="s">
        <v>12</v>
      </c>
      <c r="J8" s="1" t="s">
        <v>13</v>
      </c>
      <c r="K8" s="18" t="s">
        <v>14</v>
      </c>
      <c r="L8" s="18" t="s">
        <v>15</v>
      </c>
      <c r="M8" s="18" t="s">
        <v>16</v>
      </c>
      <c r="N8" s="20" t="s">
        <v>17</v>
      </c>
      <c r="O8" s="2" t="s">
        <v>18</v>
      </c>
      <c r="P8" s="18" t="s">
        <v>19</v>
      </c>
      <c r="Q8" s="20" t="s">
        <v>20</v>
      </c>
      <c r="R8" s="6" t="s">
        <v>21</v>
      </c>
    </row>
    <row r="9" spans="1:18" s="5" customFormat="1" ht="19.5" customHeight="1" x14ac:dyDescent="0.15">
      <c r="C9" s="76"/>
      <c r="D9" s="77"/>
      <c r="E9" s="77"/>
      <c r="F9" s="59"/>
      <c r="G9" s="16"/>
      <c r="H9" s="16"/>
      <c r="I9" s="16"/>
      <c r="J9" s="11"/>
      <c r="K9" s="17"/>
      <c r="L9" s="18"/>
      <c r="M9" s="18"/>
      <c r="N9" s="20"/>
      <c r="O9" s="2"/>
      <c r="P9" s="18"/>
      <c r="Q9" s="20"/>
      <c r="R9" s="6"/>
    </row>
    <row r="10" spans="1:18" s="5" customFormat="1" ht="19.5" customHeight="1" x14ac:dyDescent="0.15">
      <c r="C10" s="76"/>
      <c r="D10" s="77"/>
      <c r="E10" s="77"/>
      <c r="F10" s="59"/>
      <c r="G10" s="16"/>
      <c r="H10" s="16"/>
      <c r="I10" s="16"/>
      <c r="J10" s="11"/>
      <c r="K10" s="17"/>
      <c r="L10" s="18"/>
      <c r="M10" s="18"/>
      <c r="N10" s="20"/>
      <c r="O10" s="2"/>
      <c r="P10" s="18"/>
      <c r="Q10" s="20"/>
      <c r="R10" s="6"/>
    </row>
    <row r="11" spans="1:18" ht="18" customHeight="1" x14ac:dyDescent="0.15">
      <c r="B11" s="236"/>
      <c r="C11" s="324" t="s">
        <v>22</v>
      </c>
      <c r="D11" s="325"/>
      <c r="E11" s="325"/>
      <c r="F11" s="326"/>
      <c r="G11" s="24"/>
      <c r="H11" s="24"/>
      <c r="I11" s="16"/>
      <c r="J11" s="11"/>
      <c r="K11" s="13"/>
      <c r="L11" s="19"/>
      <c r="M11" s="3"/>
      <c r="N11" s="20"/>
      <c r="O11" s="6"/>
      <c r="P11" s="6"/>
      <c r="Q11" s="20"/>
      <c r="R11" s="12"/>
    </row>
    <row r="12" spans="1:18" ht="18" customHeight="1" x14ac:dyDescent="0.15">
      <c r="A12" s="79" t="s">
        <v>58</v>
      </c>
      <c r="B12" s="103">
        <v>2</v>
      </c>
      <c r="C12" s="104">
        <v>1</v>
      </c>
      <c r="D12" s="28" t="s">
        <v>27</v>
      </c>
      <c r="E12" s="28" t="s">
        <v>27</v>
      </c>
      <c r="F12" s="202" t="s">
        <v>53</v>
      </c>
      <c r="G12" s="239">
        <v>2</v>
      </c>
      <c r="H12" s="114">
        <v>1032</v>
      </c>
      <c r="I12" s="114">
        <f t="shared" ref="I12:I38" si="0">G12*H12</f>
        <v>2064</v>
      </c>
      <c r="J12" s="38"/>
      <c r="K12" s="45" t="s">
        <v>57</v>
      </c>
      <c r="L12" s="277" t="s">
        <v>391</v>
      </c>
      <c r="M12" s="277" t="s">
        <v>390</v>
      </c>
      <c r="N12" s="33">
        <v>45875</v>
      </c>
      <c r="O12" s="25"/>
      <c r="P12" s="33">
        <v>45896</v>
      </c>
      <c r="Q12" s="33">
        <v>45897</v>
      </c>
      <c r="R12" s="31"/>
    </row>
    <row r="13" spans="1:18" ht="18" customHeight="1" x14ac:dyDescent="0.15">
      <c r="A13" s="79" t="s">
        <v>58</v>
      </c>
      <c r="B13" s="103">
        <v>2</v>
      </c>
      <c r="C13" s="105">
        <f>C12+1</f>
        <v>2</v>
      </c>
      <c r="D13" s="28" t="s">
        <v>27</v>
      </c>
      <c r="E13" s="28" t="s">
        <v>27</v>
      </c>
      <c r="F13" s="202" t="s">
        <v>69</v>
      </c>
      <c r="G13" s="239">
        <v>1</v>
      </c>
      <c r="H13" s="114">
        <v>920</v>
      </c>
      <c r="I13" s="114">
        <f t="shared" si="0"/>
        <v>920</v>
      </c>
      <c r="J13" s="38"/>
      <c r="K13" s="45" t="s">
        <v>57</v>
      </c>
      <c r="L13" s="277" t="s">
        <v>392</v>
      </c>
      <c r="M13" s="277" t="s">
        <v>390</v>
      </c>
      <c r="N13" s="33">
        <v>45875</v>
      </c>
      <c r="O13" s="25"/>
      <c r="P13" s="33">
        <v>45896</v>
      </c>
      <c r="Q13" s="33">
        <v>45897</v>
      </c>
      <c r="R13" s="31"/>
    </row>
    <row r="14" spans="1:18" ht="18" customHeight="1" x14ac:dyDescent="0.15">
      <c r="A14" s="79" t="s">
        <v>54</v>
      </c>
      <c r="B14" s="103">
        <v>2</v>
      </c>
      <c r="C14" s="104">
        <f>C13+1</f>
        <v>3</v>
      </c>
      <c r="D14" s="87" t="s">
        <v>38</v>
      </c>
      <c r="E14" s="87" t="s">
        <v>27</v>
      </c>
      <c r="F14" s="207" t="s">
        <v>361</v>
      </c>
      <c r="G14" s="200">
        <v>1</v>
      </c>
      <c r="H14" s="243">
        <v>3803</v>
      </c>
      <c r="I14" s="114">
        <f t="shared" si="0"/>
        <v>3803</v>
      </c>
      <c r="J14" s="27"/>
      <c r="K14" s="129" t="s">
        <v>194</v>
      </c>
      <c r="L14" s="277"/>
      <c r="M14" s="277" t="s">
        <v>390</v>
      </c>
      <c r="N14" s="33">
        <v>45875</v>
      </c>
      <c r="O14" s="25"/>
      <c r="P14" s="33">
        <v>45896</v>
      </c>
      <c r="Q14" s="33">
        <v>45897</v>
      </c>
      <c r="R14" s="31"/>
    </row>
    <row r="15" spans="1:18" ht="18" customHeight="1" x14ac:dyDescent="0.15">
      <c r="A15" s="188" t="s">
        <v>41</v>
      </c>
      <c r="B15" s="103">
        <v>2</v>
      </c>
      <c r="C15" s="105">
        <f t="shared" ref="C15:C17" si="1">C14+1</f>
        <v>4</v>
      </c>
      <c r="D15" s="28" t="s">
        <v>27</v>
      </c>
      <c r="E15" s="28" t="s">
        <v>27</v>
      </c>
      <c r="F15" s="202" t="s">
        <v>72</v>
      </c>
      <c r="G15" s="239">
        <v>11</v>
      </c>
      <c r="H15" s="114">
        <v>41</v>
      </c>
      <c r="I15" s="114">
        <f t="shared" si="0"/>
        <v>451</v>
      </c>
      <c r="J15" s="41"/>
      <c r="K15" s="45" t="s">
        <v>356</v>
      </c>
      <c r="L15" s="277"/>
      <c r="M15" s="277" t="s">
        <v>390</v>
      </c>
      <c r="N15" s="33">
        <v>45875</v>
      </c>
      <c r="O15" s="25"/>
      <c r="P15" s="33">
        <v>45896</v>
      </c>
      <c r="Q15" s="33">
        <v>45897</v>
      </c>
      <c r="R15" s="31"/>
    </row>
    <row r="16" spans="1:18" ht="18" customHeight="1" x14ac:dyDescent="0.15">
      <c r="A16" s="188" t="s">
        <v>68</v>
      </c>
      <c r="B16" s="103">
        <v>2</v>
      </c>
      <c r="C16" s="105">
        <f t="shared" si="1"/>
        <v>5</v>
      </c>
      <c r="D16" s="40" t="s">
        <v>27</v>
      </c>
      <c r="E16" s="40" t="s">
        <v>27</v>
      </c>
      <c r="F16" s="202" t="s">
        <v>192</v>
      </c>
      <c r="G16" s="188">
        <v>4</v>
      </c>
      <c r="H16" s="122">
        <v>112</v>
      </c>
      <c r="I16" s="107">
        <f t="shared" si="0"/>
        <v>448</v>
      </c>
      <c r="J16" s="27"/>
      <c r="K16" s="174" t="s">
        <v>319</v>
      </c>
      <c r="L16" s="277"/>
      <c r="M16" s="277" t="s">
        <v>390</v>
      </c>
      <c r="N16" s="33">
        <v>45875</v>
      </c>
      <c r="O16" s="25"/>
      <c r="P16" s="33">
        <v>45896</v>
      </c>
      <c r="Q16" s="33">
        <v>45897</v>
      </c>
      <c r="R16" s="31"/>
    </row>
    <row r="17" spans="1:18" ht="18" customHeight="1" x14ac:dyDescent="0.15">
      <c r="A17" s="79" t="s">
        <v>54</v>
      </c>
      <c r="B17" s="103">
        <v>2</v>
      </c>
      <c r="C17" s="105">
        <f t="shared" si="1"/>
        <v>6</v>
      </c>
      <c r="D17" s="87" t="s">
        <v>38</v>
      </c>
      <c r="E17" s="87" t="s">
        <v>27</v>
      </c>
      <c r="F17" s="202" t="s">
        <v>365</v>
      </c>
      <c r="G17" s="188">
        <v>1</v>
      </c>
      <c r="H17" s="203">
        <v>20216</v>
      </c>
      <c r="I17" s="114">
        <f t="shared" si="0"/>
        <v>20216</v>
      </c>
      <c r="J17" s="27"/>
      <c r="K17" s="45" t="s">
        <v>364</v>
      </c>
      <c r="L17" s="277"/>
      <c r="M17" s="277" t="s">
        <v>390</v>
      </c>
      <c r="N17" s="33">
        <v>45875</v>
      </c>
      <c r="O17" s="25"/>
      <c r="P17" s="33">
        <v>45896</v>
      </c>
      <c r="Q17" s="33">
        <v>45897</v>
      </c>
      <c r="R17" s="31"/>
    </row>
    <row r="18" spans="1:18" ht="18" customHeight="1" x14ac:dyDescent="0.15">
      <c r="A18" s="188" t="s">
        <v>41</v>
      </c>
      <c r="B18" s="103">
        <v>2</v>
      </c>
      <c r="C18" s="105">
        <f>C17+1</f>
        <v>7</v>
      </c>
      <c r="D18" s="28" t="s">
        <v>27</v>
      </c>
      <c r="E18" s="28" t="s">
        <v>27</v>
      </c>
      <c r="F18" s="202" t="s">
        <v>232</v>
      </c>
      <c r="G18" s="223">
        <v>3</v>
      </c>
      <c r="H18" s="245">
        <v>232</v>
      </c>
      <c r="I18" s="114">
        <f t="shared" si="0"/>
        <v>696</v>
      </c>
      <c r="J18" s="41"/>
      <c r="K18" s="64" t="s">
        <v>368</v>
      </c>
      <c r="L18" s="277"/>
      <c r="M18" s="277" t="s">
        <v>390</v>
      </c>
      <c r="N18" s="33">
        <v>45875</v>
      </c>
      <c r="O18" s="25"/>
      <c r="P18" s="33">
        <v>45896</v>
      </c>
      <c r="Q18" s="33">
        <v>45897</v>
      </c>
      <c r="R18" s="31"/>
    </row>
    <row r="19" spans="1:18" ht="18" customHeight="1" x14ac:dyDescent="0.15">
      <c r="A19" s="188" t="s">
        <v>41</v>
      </c>
      <c r="B19" s="103">
        <v>2</v>
      </c>
      <c r="C19" s="105">
        <f t="shared" ref="C19:C38" si="2">C18+1</f>
        <v>8</v>
      </c>
      <c r="D19" s="28" t="s">
        <v>27</v>
      </c>
      <c r="E19" s="28" t="s">
        <v>27</v>
      </c>
      <c r="F19" s="202" t="s">
        <v>44</v>
      </c>
      <c r="G19" s="223">
        <v>5</v>
      </c>
      <c r="H19" s="245">
        <v>24</v>
      </c>
      <c r="I19" s="114">
        <f t="shared" si="0"/>
        <v>120</v>
      </c>
      <c r="J19" s="41"/>
      <c r="K19" s="64" t="s">
        <v>70</v>
      </c>
      <c r="L19" s="277"/>
      <c r="M19" s="277" t="s">
        <v>390</v>
      </c>
      <c r="N19" s="33">
        <v>45875</v>
      </c>
      <c r="O19" s="25"/>
      <c r="P19" s="33">
        <v>45896</v>
      </c>
      <c r="Q19" s="33">
        <v>45897</v>
      </c>
      <c r="R19" s="31"/>
    </row>
    <row r="20" spans="1:18" ht="18" customHeight="1" x14ac:dyDescent="0.15">
      <c r="A20" s="188" t="s">
        <v>42</v>
      </c>
      <c r="B20" s="103">
        <v>2</v>
      </c>
      <c r="C20" s="105">
        <f t="shared" si="2"/>
        <v>9</v>
      </c>
      <c r="D20" s="28" t="s">
        <v>27</v>
      </c>
      <c r="E20" s="28" t="s">
        <v>27</v>
      </c>
      <c r="F20" s="202" t="s">
        <v>43</v>
      </c>
      <c r="G20" s="188">
        <v>2</v>
      </c>
      <c r="H20" s="122">
        <v>739</v>
      </c>
      <c r="I20" s="114">
        <f t="shared" si="0"/>
        <v>1478</v>
      </c>
      <c r="J20" s="27"/>
      <c r="K20" s="45" t="s">
        <v>98</v>
      </c>
      <c r="L20" s="277"/>
      <c r="M20" s="277" t="s">
        <v>390</v>
      </c>
      <c r="N20" s="33">
        <v>45875</v>
      </c>
      <c r="O20" s="25"/>
      <c r="P20" s="33">
        <v>45896</v>
      </c>
      <c r="Q20" s="33">
        <v>45897</v>
      </c>
      <c r="R20" s="31"/>
    </row>
    <row r="21" spans="1:18" ht="18" customHeight="1" x14ac:dyDescent="0.15">
      <c r="A21" s="83" t="s">
        <v>41</v>
      </c>
      <c r="B21" s="103">
        <v>2</v>
      </c>
      <c r="C21" s="105">
        <f t="shared" si="2"/>
        <v>10</v>
      </c>
      <c r="D21" s="28" t="s">
        <v>27</v>
      </c>
      <c r="E21" s="28" t="s">
        <v>27</v>
      </c>
      <c r="F21" s="202" t="s">
        <v>45</v>
      </c>
      <c r="G21" s="239">
        <v>12</v>
      </c>
      <c r="H21" s="114">
        <v>41</v>
      </c>
      <c r="I21" s="114">
        <f t="shared" si="0"/>
        <v>492</v>
      </c>
      <c r="J21" s="41"/>
      <c r="K21" s="45" t="s">
        <v>71</v>
      </c>
      <c r="L21" s="277"/>
      <c r="M21" s="277" t="s">
        <v>390</v>
      </c>
      <c r="N21" s="33">
        <v>45875</v>
      </c>
      <c r="O21" s="25"/>
      <c r="P21" s="33">
        <v>45896</v>
      </c>
      <c r="Q21" s="33">
        <v>45897</v>
      </c>
      <c r="R21" s="31"/>
    </row>
    <row r="22" spans="1:18" ht="18" customHeight="1" x14ac:dyDescent="0.15">
      <c r="A22" s="204" t="s">
        <v>40</v>
      </c>
      <c r="B22" s="25"/>
      <c r="C22" s="105">
        <f t="shared" si="2"/>
        <v>11</v>
      </c>
      <c r="D22" s="63" t="s">
        <v>38</v>
      </c>
      <c r="E22" s="28" t="s">
        <v>27</v>
      </c>
      <c r="F22" s="202" t="s">
        <v>366</v>
      </c>
      <c r="G22" s="188">
        <v>1</v>
      </c>
      <c r="H22" s="242">
        <v>2746</v>
      </c>
      <c r="I22" s="114">
        <f t="shared" si="0"/>
        <v>2746</v>
      </c>
      <c r="J22" s="27"/>
      <c r="K22" s="45" t="s">
        <v>357</v>
      </c>
      <c r="L22" s="277"/>
      <c r="M22" s="277" t="s">
        <v>390</v>
      </c>
      <c r="N22" s="33">
        <v>45875</v>
      </c>
      <c r="O22" s="25"/>
      <c r="P22" s="33">
        <v>45896</v>
      </c>
      <c r="Q22" s="33">
        <v>45897</v>
      </c>
      <c r="R22" s="31"/>
    </row>
    <row r="23" spans="1:18" ht="18" customHeight="1" x14ac:dyDescent="0.15">
      <c r="A23" s="188" t="s">
        <v>41</v>
      </c>
      <c r="B23" s="103">
        <v>2</v>
      </c>
      <c r="C23" s="105">
        <f t="shared" si="2"/>
        <v>12</v>
      </c>
      <c r="D23" s="28" t="s">
        <v>27</v>
      </c>
      <c r="E23" s="28" t="s">
        <v>27</v>
      </c>
      <c r="F23" s="202" t="s">
        <v>72</v>
      </c>
      <c r="G23" s="239">
        <v>5</v>
      </c>
      <c r="H23" s="114">
        <v>77</v>
      </c>
      <c r="I23" s="114">
        <f t="shared" si="0"/>
        <v>385</v>
      </c>
      <c r="J23" s="41"/>
      <c r="K23" s="45" t="s">
        <v>358</v>
      </c>
      <c r="L23" s="277"/>
      <c r="M23" s="277" t="s">
        <v>390</v>
      </c>
      <c r="N23" s="33">
        <v>45875</v>
      </c>
      <c r="O23" s="25"/>
      <c r="P23" s="33">
        <v>45896</v>
      </c>
      <c r="Q23" s="33">
        <v>45897</v>
      </c>
      <c r="R23" s="31"/>
    </row>
    <row r="24" spans="1:18" ht="18" customHeight="1" x14ac:dyDescent="0.15">
      <c r="A24" s="188" t="s">
        <v>41</v>
      </c>
      <c r="B24" s="69"/>
      <c r="C24" s="105">
        <f t="shared" si="2"/>
        <v>13</v>
      </c>
      <c r="D24" s="28" t="s">
        <v>27</v>
      </c>
      <c r="E24" s="28" t="s">
        <v>27</v>
      </c>
      <c r="F24" s="202" t="s">
        <v>233</v>
      </c>
      <c r="G24" s="188">
        <v>3</v>
      </c>
      <c r="H24" s="242">
        <v>120</v>
      </c>
      <c r="I24" s="114">
        <f t="shared" si="0"/>
        <v>360</v>
      </c>
      <c r="J24" s="27"/>
      <c r="K24" s="45" t="s">
        <v>367</v>
      </c>
      <c r="L24" s="277"/>
      <c r="M24" s="277" t="s">
        <v>390</v>
      </c>
      <c r="N24" s="33">
        <v>45875</v>
      </c>
      <c r="O24" s="25"/>
      <c r="P24" s="33">
        <v>45896</v>
      </c>
      <c r="Q24" s="33">
        <v>45897</v>
      </c>
      <c r="R24" s="31"/>
    </row>
    <row r="25" spans="1:18" ht="18" customHeight="1" x14ac:dyDescent="0.15">
      <c r="A25" s="79" t="s">
        <v>54</v>
      </c>
      <c r="B25" s="103">
        <v>2</v>
      </c>
      <c r="C25" s="105">
        <f t="shared" si="2"/>
        <v>14</v>
      </c>
      <c r="D25" s="87" t="s">
        <v>38</v>
      </c>
      <c r="E25" s="87" t="s">
        <v>27</v>
      </c>
      <c r="F25" s="202" t="s">
        <v>55</v>
      </c>
      <c r="G25" s="239">
        <v>2</v>
      </c>
      <c r="H25" s="114">
        <v>4896</v>
      </c>
      <c r="I25" s="246">
        <f t="shared" si="0"/>
        <v>9792</v>
      </c>
      <c r="J25" s="38"/>
      <c r="K25" s="45" t="s">
        <v>47</v>
      </c>
      <c r="L25" s="277"/>
      <c r="M25" s="277" t="s">
        <v>390</v>
      </c>
      <c r="N25" s="33">
        <v>45875</v>
      </c>
      <c r="O25" s="25"/>
      <c r="P25" s="33">
        <v>45896</v>
      </c>
      <c r="Q25" s="33">
        <v>45897</v>
      </c>
      <c r="R25" s="31"/>
    </row>
    <row r="26" spans="1:18" ht="18" customHeight="1" x14ac:dyDescent="0.15">
      <c r="A26" s="83" t="s">
        <v>41</v>
      </c>
      <c r="B26" s="103">
        <v>2</v>
      </c>
      <c r="C26" s="105">
        <f t="shared" si="2"/>
        <v>15</v>
      </c>
      <c r="D26" s="28" t="s">
        <v>27</v>
      </c>
      <c r="E26" s="28" t="s">
        <v>27</v>
      </c>
      <c r="F26" s="202" t="s">
        <v>48</v>
      </c>
      <c r="G26" s="239">
        <v>2</v>
      </c>
      <c r="H26" s="114">
        <v>870</v>
      </c>
      <c r="I26" s="246">
        <f t="shared" si="0"/>
        <v>1740</v>
      </c>
      <c r="J26" s="38"/>
      <c r="K26" s="45" t="s">
        <v>59</v>
      </c>
      <c r="L26" s="277"/>
      <c r="M26" s="277" t="s">
        <v>390</v>
      </c>
      <c r="N26" s="33">
        <v>45875</v>
      </c>
      <c r="O26" s="25"/>
      <c r="P26" s="33">
        <v>45896</v>
      </c>
      <c r="Q26" s="33">
        <v>45897</v>
      </c>
      <c r="R26" s="31"/>
    </row>
    <row r="27" spans="1:18" ht="18" customHeight="1" x14ac:dyDescent="0.15">
      <c r="A27" s="79" t="s">
        <v>58</v>
      </c>
      <c r="B27" s="103">
        <v>2</v>
      </c>
      <c r="C27" s="105">
        <f t="shared" si="2"/>
        <v>16</v>
      </c>
      <c r="D27" s="28" t="s">
        <v>27</v>
      </c>
      <c r="E27" s="28" t="s">
        <v>27</v>
      </c>
      <c r="F27" s="202" t="s">
        <v>49</v>
      </c>
      <c r="G27" s="223">
        <v>2</v>
      </c>
      <c r="H27" s="114">
        <v>3643</v>
      </c>
      <c r="I27" s="246">
        <f t="shared" si="0"/>
        <v>7286</v>
      </c>
      <c r="J27" s="38"/>
      <c r="K27" s="45" t="s">
        <v>60</v>
      </c>
      <c r="L27" s="277"/>
      <c r="M27" s="277" t="s">
        <v>390</v>
      </c>
      <c r="N27" s="33">
        <v>45875</v>
      </c>
      <c r="O27" s="25"/>
      <c r="P27" s="33">
        <v>45896</v>
      </c>
      <c r="Q27" s="33">
        <v>45897</v>
      </c>
      <c r="R27" s="31"/>
    </row>
    <row r="28" spans="1:18" ht="18" customHeight="1" x14ac:dyDescent="0.15">
      <c r="A28" s="83" t="s">
        <v>41</v>
      </c>
      <c r="B28" s="103">
        <v>2</v>
      </c>
      <c r="C28" s="105">
        <f t="shared" si="2"/>
        <v>17</v>
      </c>
      <c r="D28" s="28" t="s">
        <v>27</v>
      </c>
      <c r="E28" s="28" t="s">
        <v>27</v>
      </c>
      <c r="F28" s="202" t="s">
        <v>50</v>
      </c>
      <c r="G28" s="223">
        <v>4</v>
      </c>
      <c r="H28" s="114">
        <v>18</v>
      </c>
      <c r="I28" s="246">
        <f t="shared" si="0"/>
        <v>72</v>
      </c>
      <c r="J28" s="38"/>
      <c r="K28" s="45" t="s">
        <v>61</v>
      </c>
      <c r="L28" s="277"/>
      <c r="M28" s="277" t="s">
        <v>390</v>
      </c>
      <c r="N28" s="33">
        <v>45875</v>
      </c>
      <c r="O28" s="25"/>
      <c r="P28" s="33">
        <v>45896</v>
      </c>
      <c r="Q28" s="33">
        <v>45897</v>
      </c>
      <c r="R28" s="31"/>
    </row>
    <row r="29" spans="1:18" ht="18" customHeight="1" x14ac:dyDescent="0.15">
      <c r="A29" s="83" t="s">
        <v>41</v>
      </c>
      <c r="B29" s="103">
        <v>2</v>
      </c>
      <c r="C29" s="105">
        <f t="shared" si="2"/>
        <v>18</v>
      </c>
      <c r="D29" s="28" t="s">
        <v>27</v>
      </c>
      <c r="E29" s="28" t="s">
        <v>27</v>
      </c>
      <c r="F29" s="238" t="s">
        <v>46</v>
      </c>
      <c r="G29" s="240">
        <v>4</v>
      </c>
      <c r="H29" s="114">
        <v>112</v>
      </c>
      <c r="I29" s="246">
        <f t="shared" si="0"/>
        <v>448</v>
      </c>
      <c r="J29" s="38"/>
      <c r="K29" s="45" t="s">
        <v>63</v>
      </c>
      <c r="L29" s="277"/>
      <c r="M29" s="277" t="s">
        <v>390</v>
      </c>
      <c r="N29" s="33">
        <v>45875</v>
      </c>
      <c r="O29" s="25"/>
      <c r="P29" s="33">
        <v>45896</v>
      </c>
      <c r="Q29" s="33">
        <v>45897</v>
      </c>
      <c r="R29" s="31"/>
    </row>
    <row r="30" spans="1:18" ht="18" customHeight="1" x14ac:dyDescent="0.15">
      <c r="A30" s="79" t="s">
        <v>54</v>
      </c>
      <c r="B30" s="103">
        <v>2</v>
      </c>
      <c r="C30" s="105">
        <f t="shared" si="2"/>
        <v>19</v>
      </c>
      <c r="D30" s="87" t="s">
        <v>38</v>
      </c>
      <c r="E30" s="87" t="s">
        <v>27</v>
      </c>
      <c r="F30" s="241" t="s">
        <v>359</v>
      </c>
      <c r="G30" s="223">
        <v>4</v>
      </c>
      <c r="H30" s="244">
        <v>6488</v>
      </c>
      <c r="I30" s="246">
        <f t="shared" si="0"/>
        <v>25952</v>
      </c>
      <c r="J30" s="38"/>
      <c r="K30" s="46" t="s">
        <v>73</v>
      </c>
      <c r="L30" s="277"/>
      <c r="M30" s="277" t="s">
        <v>390</v>
      </c>
      <c r="N30" s="33">
        <v>45875</v>
      </c>
      <c r="O30" s="25"/>
      <c r="P30" s="33">
        <v>45896</v>
      </c>
      <c r="Q30" s="33">
        <v>45897</v>
      </c>
      <c r="R30" s="31"/>
    </row>
    <row r="31" spans="1:18" ht="18" customHeight="1" x14ac:dyDescent="0.15">
      <c r="A31" s="79" t="s">
        <v>54</v>
      </c>
      <c r="B31" s="103">
        <v>2</v>
      </c>
      <c r="C31" s="105">
        <f t="shared" si="2"/>
        <v>20</v>
      </c>
      <c r="D31" s="87" t="s">
        <v>38</v>
      </c>
      <c r="E31" s="87" t="s">
        <v>27</v>
      </c>
      <c r="F31" s="202" t="s">
        <v>363</v>
      </c>
      <c r="G31" s="223">
        <v>1</v>
      </c>
      <c r="H31" s="244">
        <v>6296</v>
      </c>
      <c r="I31" s="114">
        <f t="shared" si="0"/>
        <v>6296</v>
      </c>
      <c r="J31" s="38"/>
      <c r="K31" s="46" t="s">
        <v>74</v>
      </c>
      <c r="L31" s="277"/>
      <c r="M31" s="277" t="s">
        <v>390</v>
      </c>
      <c r="N31" s="33">
        <v>45875</v>
      </c>
      <c r="O31" s="25"/>
      <c r="P31" s="33">
        <v>45896</v>
      </c>
      <c r="Q31" s="33">
        <v>45897</v>
      </c>
      <c r="R31" s="31"/>
    </row>
    <row r="32" spans="1:18" ht="18" customHeight="1" x14ac:dyDescent="0.15">
      <c r="A32" s="79" t="s">
        <v>54</v>
      </c>
      <c r="B32" s="103">
        <v>2</v>
      </c>
      <c r="C32" s="105">
        <f>C31+1</f>
        <v>21</v>
      </c>
      <c r="D32" s="87" t="s">
        <v>38</v>
      </c>
      <c r="E32" s="87" t="s">
        <v>27</v>
      </c>
      <c r="F32" s="202" t="s">
        <v>362</v>
      </c>
      <c r="G32" s="223">
        <v>1</v>
      </c>
      <c r="H32" s="244">
        <v>5637</v>
      </c>
      <c r="I32" s="114">
        <f t="shared" si="0"/>
        <v>5637</v>
      </c>
      <c r="J32" s="38"/>
      <c r="K32" s="45" t="s">
        <v>75</v>
      </c>
      <c r="L32" s="277"/>
      <c r="M32" s="277" t="s">
        <v>390</v>
      </c>
      <c r="N32" s="33">
        <v>45875</v>
      </c>
      <c r="O32" s="25"/>
      <c r="P32" s="33">
        <v>45896</v>
      </c>
      <c r="Q32" s="33">
        <v>45897</v>
      </c>
      <c r="R32" s="31"/>
    </row>
    <row r="33" spans="1:18" ht="18" customHeight="1" x14ac:dyDescent="0.15">
      <c r="A33" s="83" t="s">
        <v>41</v>
      </c>
      <c r="B33" s="103">
        <v>2</v>
      </c>
      <c r="C33" s="105">
        <f t="shared" si="2"/>
        <v>22</v>
      </c>
      <c r="D33" s="66" t="s">
        <v>56</v>
      </c>
      <c r="E33" s="28" t="s">
        <v>27</v>
      </c>
      <c r="F33" s="202" t="s">
        <v>51</v>
      </c>
      <c r="G33" s="239">
        <v>6</v>
      </c>
      <c r="H33" s="114">
        <v>50</v>
      </c>
      <c r="I33" s="114">
        <f t="shared" si="0"/>
        <v>300</v>
      </c>
      <c r="J33" s="38"/>
      <c r="K33" s="45" t="s">
        <v>65</v>
      </c>
      <c r="L33" s="277"/>
      <c r="M33" s="277" t="s">
        <v>390</v>
      </c>
      <c r="N33" s="33">
        <v>45875</v>
      </c>
      <c r="O33" s="25"/>
      <c r="P33" s="33">
        <v>45896</v>
      </c>
      <c r="Q33" s="33">
        <v>45897</v>
      </c>
      <c r="R33" s="31"/>
    </row>
    <row r="34" spans="1:18" ht="18" customHeight="1" x14ac:dyDescent="0.15">
      <c r="A34" s="83" t="s">
        <v>41</v>
      </c>
      <c r="B34" s="103">
        <v>2</v>
      </c>
      <c r="C34" s="105">
        <f t="shared" si="2"/>
        <v>23</v>
      </c>
      <c r="D34" s="28" t="s">
        <v>27</v>
      </c>
      <c r="E34" s="28" t="s">
        <v>27</v>
      </c>
      <c r="F34" s="238" t="s">
        <v>45</v>
      </c>
      <c r="G34" s="240">
        <v>8</v>
      </c>
      <c r="H34" s="114">
        <v>47</v>
      </c>
      <c r="I34" s="114">
        <f t="shared" si="0"/>
        <v>376</v>
      </c>
      <c r="J34" s="41"/>
      <c r="K34" s="45" t="s">
        <v>97</v>
      </c>
      <c r="L34" s="277"/>
      <c r="M34" s="277" t="s">
        <v>390</v>
      </c>
      <c r="N34" s="33">
        <v>45875</v>
      </c>
      <c r="O34" s="25"/>
      <c r="P34" s="33">
        <v>45896</v>
      </c>
      <c r="Q34" s="33">
        <v>45897</v>
      </c>
      <c r="R34" s="31"/>
    </row>
    <row r="35" spans="1:18" ht="18" customHeight="1" x14ac:dyDescent="0.15">
      <c r="A35" s="83" t="s">
        <v>41</v>
      </c>
      <c r="B35" s="103">
        <v>2</v>
      </c>
      <c r="C35" s="105">
        <f t="shared" si="2"/>
        <v>24</v>
      </c>
      <c r="D35" s="28" t="s">
        <v>27</v>
      </c>
      <c r="E35" s="28" t="s">
        <v>27</v>
      </c>
      <c r="F35" s="202" t="s">
        <v>52</v>
      </c>
      <c r="G35" s="239">
        <v>18</v>
      </c>
      <c r="H35" s="114">
        <v>52</v>
      </c>
      <c r="I35" s="114">
        <f t="shared" si="0"/>
        <v>936</v>
      </c>
      <c r="J35" s="38"/>
      <c r="K35" s="45" t="s">
        <v>66</v>
      </c>
      <c r="L35" s="277"/>
      <c r="M35" s="277" t="s">
        <v>390</v>
      </c>
      <c r="N35" s="33">
        <v>45875</v>
      </c>
      <c r="O35" s="25"/>
      <c r="P35" s="33">
        <v>45896</v>
      </c>
      <c r="Q35" s="33">
        <v>45897</v>
      </c>
      <c r="R35" s="31"/>
    </row>
    <row r="36" spans="1:18" ht="18" customHeight="1" x14ac:dyDescent="0.15">
      <c r="A36" s="83" t="s">
        <v>41</v>
      </c>
      <c r="B36" s="103">
        <v>2</v>
      </c>
      <c r="C36" s="105">
        <f t="shared" si="2"/>
        <v>25</v>
      </c>
      <c r="D36" s="28" t="s">
        <v>27</v>
      </c>
      <c r="E36" s="28" t="s">
        <v>27</v>
      </c>
      <c r="F36" s="238" t="s">
        <v>29</v>
      </c>
      <c r="G36" s="240">
        <v>2</v>
      </c>
      <c r="H36" s="114">
        <v>120</v>
      </c>
      <c r="I36" s="114">
        <f t="shared" si="0"/>
        <v>240</v>
      </c>
      <c r="J36" s="38"/>
      <c r="K36" s="45" t="s">
        <v>62</v>
      </c>
      <c r="L36" s="277"/>
      <c r="M36" s="277" t="s">
        <v>390</v>
      </c>
      <c r="N36" s="33">
        <v>45875</v>
      </c>
      <c r="O36" s="25"/>
      <c r="P36" s="33">
        <v>45896</v>
      </c>
      <c r="Q36" s="33">
        <v>45897</v>
      </c>
      <c r="R36" s="31"/>
    </row>
    <row r="37" spans="1:18" ht="18" customHeight="1" x14ac:dyDescent="0.15">
      <c r="A37" s="79" t="s">
        <v>54</v>
      </c>
      <c r="B37" s="103">
        <v>2</v>
      </c>
      <c r="C37" s="105">
        <f t="shared" si="2"/>
        <v>26</v>
      </c>
      <c r="D37" s="87" t="s">
        <v>38</v>
      </c>
      <c r="E37" s="87" t="s">
        <v>27</v>
      </c>
      <c r="F37" s="202" t="s">
        <v>360</v>
      </c>
      <c r="G37" s="223">
        <v>1</v>
      </c>
      <c r="H37" s="244">
        <v>3294</v>
      </c>
      <c r="I37" s="114">
        <f t="shared" si="0"/>
        <v>3294</v>
      </c>
      <c r="J37" s="38"/>
      <c r="K37" s="46" t="s">
        <v>76</v>
      </c>
      <c r="L37" s="277"/>
      <c r="M37" s="277" t="s">
        <v>390</v>
      </c>
      <c r="N37" s="33">
        <v>45875</v>
      </c>
      <c r="O37" s="25"/>
      <c r="P37" s="33">
        <v>45896</v>
      </c>
      <c r="Q37" s="33">
        <v>45897</v>
      </c>
      <c r="R37" s="31"/>
    </row>
    <row r="38" spans="1:18" ht="18" customHeight="1" x14ac:dyDescent="0.15">
      <c r="A38" s="83" t="s">
        <v>41</v>
      </c>
      <c r="B38" s="103">
        <v>2</v>
      </c>
      <c r="C38" s="105">
        <f t="shared" si="2"/>
        <v>27</v>
      </c>
      <c r="D38" s="66" t="s">
        <v>99</v>
      </c>
      <c r="E38" s="28" t="s">
        <v>27</v>
      </c>
      <c r="F38" s="202" t="s">
        <v>77</v>
      </c>
      <c r="G38" s="188">
        <v>10</v>
      </c>
      <c r="H38" s="122">
        <v>364</v>
      </c>
      <c r="I38" s="114">
        <f t="shared" si="0"/>
        <v>3640</v>
      </c>
      <c r="J38" s="27"/>
      <c r="K38" s="45" t="s">
        <v>100</v>
      </c>
      <c r="L38" s="277"/>
      <c r="M38" s="277" t="s">
        <v>390</v>
      </c>
      <c r="N38" s="33">
        <v>45875</v>
      </c>
      <c r="O38" s="25"/>
      <c r="P38" s="33">
        <v>45896</v>
      </c>
      <c r="Q38" s="33">
        <v>45897</v>
      </c>
      <c r="R38" s="31"/>
    </row>
    <row r="39" spans="1:18" ht="17.45" customHeight="1" x14ac:dyDescent="0.15">
      <c r="A39" s="146"/>
      <c r="B39" s="147"/>
      <c r="C39" s="32"/>
      <c r="D39" s="146"/>
      <c r="E39" s="146"/>
      <c r="F39" s="46"/>
      <c r="G39" s="26"/>
      <c r="H39" s="49"/>
      <c r="I39" s="36"/>
      <c r="J39" s="38"/>
      <c r="K39" s="45"/>
      <c r="L39" s="58"/>
      <c r="M39" s="160"/>
      <c r="N39" s="33"/>
      <c r="O39" s="161"/>
      <c r="P39" s="33"/>
      <c r="Q39" s="33"/>
      <c r="R39" s="31"/>
    </row>
    <row r="40" spans="1:18" ht="17.45" customHeight="1" x14ac:dyDescent="0.15">
      <c r="A40" s="79" t="s">
        <v>40</v>
      </c>
      <c r="B40" s="103">
        <v>2</v>
      </c>
      <c r="C40" s="105">
        <f>C38+1</f>
        <v>28</v>
      </c>
      <c r="D40" s="87" t="s">
        <v>38</v>
      </c>
      <c r="E40" s="87" t="s">
        <v>27</v>
      </c>
      <c r="F40" s="292" t="s">
        <v>422</v>
      </c>
      <c r="G40" s="282">
        <v>2</v>
      </c>
      <c r="H40" s="49">
        <v>3313</v>
      </c>
      <c r="I40" s="114">
        <f t="shared" ref="I40:I48" si="3">G40*H40</f>
        <v>6626</v>
      </c>
      <c r="J40" s="38"/>
      <c r="K40" s="45" t="s">
        <v>423</v>
      </c>
      <c r="L40" s="58"/>
      <c r="M40" s="293" t="s">
        <v>424</v>
      </c>
      <c r="N40" s="33">
        <v>45924</v>
      </c>
      <c r="O40" s="161"/>
      <c r="P40" s="33">
        <v>45927</v>
      </c>
      <c r="Q40" s="33">
        <v>45929</v>
      </c>
      <c r="R40" s="31">
        <v>45929</v>
      </c>
    </row>
    <row r="41" spans="1:18" ht="17.45" customHeight="1" x14ac:dyDescent="0.15">
      <c r="A41" s="83" t="s">
        <v>41</v>
      </c>
      <c r="B41" s="103">
        <v>2</v>
      </c>
      <c r="C41" s="105">
        <f>C40+1</f>
        <v>29</v>
      </c>
      <c r="D41" s="28" t="s">
        <v>27</v>
      </c>
      <c r="E41" s="28" t="s">
        <v>27</v>
      </c>
      <c r="F41" s="292" t="s">
        <v>425</v>
      </c>
      <c r="G41" s="282">
        <v>4</v>
      </c>
      <c r="H41" s="49">
        <v>240</v>
      </c>
      <c r="I41" s="114">
        <f t="shared" si="3"/>
        <v>960</v>
      </c>
      <c r="J41" s="38"/>
      <c r="K41" s="45" t="s">
        <v>412</v>
      </c>
      <c r="L41" s="58"/>
      <c r="M41" s="293" t="s">
        <v>424</v>
      </c>
      <c r="N41" s="33">
        <v>45924</v>
      </c>
      <c r="O41" s="161"/>
      <c r="P41" s="33">
        <v>45927</v>
      </c>
      <c r="Q41" s="33">
        <v>45929</v>
      </c>
      <c r="R41" s="31">
        <v>45929</v>
      </c>
    </row>
    <row r="42" spans="1:18" ht="17.45" customHeight="1" x14ac:dyDescent="0.15">
      <c r="A42" s="79" t="s">
        <v>42</v>
      </c>
      <c r="B42" s="103">
        <v>2</v>
      </c>
      <c r="C42" s="105">
        <f t="shared" ref="C42:C48" si="4">C41+1</f>
        <v>30</v>
      </c>
      <c r="D42" s="28" t="s">
        <v>27</v>
      </c>
      <c r="E42" s="28" t="s">
        <v>27</v>
      </c>
      <c r="F42" s="292" t="s">
        <v>426</v>
      </c>
      <c r="G42" s="282">
        <v>4</v>
      </c>
      <c r="H42" s="49">
        <v>460</v>
      </c>
      <c r="I42" s="114">
        <f t="shared" si="3"/>
        <v>1840</v>
      </c>
      <c r="J42" s="38"/>
      <c r="K42" s="45" t="s">
        <v>427</v>
      </c>
      <c r="L42" s="58"/>
      <c r="M42" s="293" t="s">
        <v>424</v>
      </c>
      <c r="N42" s="33">
        <v>45924</v>
      </c>
      <c r="O42" s="161"/>
      <c r="P42" s="33">
        <v>45927</v>
      </c>
      <c r="Q42" s="33">
        <v>45929</v>
      </c>
      <c r="R42" s="31">
        <v>45929</v>
      </c>
    </row>
    <row r="43" spans="1:18" ht="17.45" customHeight="1" x14ac:dyDescent="0.15">
      <c r="A43" s="83" t="s">
        <v>41</v>
      </c>
      <c r="B43" s="103">
        <v>2</v>
      </c>
      <c r="C43" s="105">
        <f t="shared" si="4"/>
        <v>31</v>
      </c>
      <c r="D43" s="28" t="s">
        <v>27</v>
      </c>
      <c r="E43" s="28" t="s">
        <v>27</v>
      </c>
      <c r="F43" s="292" t="s">
        <v>428</v>
      </c>
      <c r="G43" s="282">
        <v>2</v>
      </c>
      <c r="H43" s="49">
        <v>257</v>
      </c>
      <c r="I43" s="114">
        <f t="shared" si="3"/>
        <v>514</v>
      </c>
      <c r="J43" s="38"/>
      <c r="K43" s="45" t="s">
        <v>429</v>
      </c>
      <c r="L43" s="58"/>
      <c r="M43" s="293" t="s">
        <v>424</v>
      </c>
      <c r="N43" s="33">
        <v>45924</v>
      </c>
      <c r="O43" s="161"/>
      <c r="P43" s="33">
        <v>45927</v>
      </c>
      <c r="Q43" s="33">
        <v>45929</v>
      </c>
      <c r="R43" s="31">
        <v>45929</v>
      </c>
    </row>
    <row r="44" spans="1:18" ht="17.45" customHeight="1" x14ac:dyDescent="0.15">
      <c r="A44" s="83" t="s">
        <v>41</v>
      </c>
      <c r="B44" s="103">
        <v>2</v>
      </c>
      <c r="C44" s="105">
        <f t="shared" si="4"/>
        <v>32</v>
      </c>
      <c r="D44" s="146" t="s">
        <v>430</v>
      </c>
      <c r="E44" s="28" t="s">
        <v>27</v>
      </c>
      <c r="F44" s="292" t="s">
        <v>431</v>
      </c>
      <c r="G44" s="282">
        <v>1</v>
      </c>
      <c r="H44" s="49">
        <v>2956</v>
      </c>
      <c r="I44" s="114">
        <f t="shared" si="3"/>
        <v>2956</v>
      </c>
      <c r="J44" s="38"/>
      <c r="K44" s="45" t="s">
        <v>432</v>
      </c>
      <c r="L44" s="58"/>
      <c r="M44" s="293" t="s">
        <v>424</v>
      </c>
      <c r="N44" s="33">
        <v>45924</v>
      </c>
      <c r="O44" s="161"/>
      <c r="P44" s="33">
        <v>45927</v>
      </c>
      <c r="Q44" s="33">
        <v>45929</v>
      </c>
      <c r="R44" s="31">
        <v>45929</v>
      </c>
    </row>
    <row r="45" spans="1:18" ht="17.45" customHeight="1" x14ac:dyDescent="0.15">
      <c r="A45" s="83" t="s">
        <v>41</v>
      </c>
      <c r="B45" s="103">
        <v>2</v>
      </c>
      <c r="C45" s="105">
        <f t="shared" si="4"/>
        <v>33</v>
      </c>
      <c r="D45" s="146" t="s">
        <v>430</v>
      </c>
      <c r="E45" s="28" t="s">
        <v>27</v>
      </c>
      <c r="F45" s="292" t="s">
        <v>433</v>
      </c>
      <c r="G45" s="282">
        <v>1</v>
      </c>
      <c r="H45" s="49">
        <v>2956</v>
      </c>
      <c r="I45" s="114">
        <f t="shared" si="3"/>
        <v>2956</v>
      </c>
      <c r="J45" s="38"/>
      <c r="K45" s="45" t="s">
        <v>432</v>
      </c>
      <c r="L45" s="58"/>
      <c r="M45" s="293" t="s">
        <v>424</v>
      </c>
      <c r="N45" s="33">
        <v>45924</v>
      </c>
      <c r="O45" s="161"/>
      <c r="P45" s="33">
        <v>45927</v>
      </c>
      <c r="Q45" s="33">
        <v>45929</v>
      </c>
      <c r="R45" s="308" t="s">
        <v>438</v>
      </c>
    </row>
    <row r="46" spans="1:18" ht="17.45" customHeight="1" x14ac:dyDescent="0.15">
      <c r="A46" s="83" t="s">
        <v>41</v>
      </c>
      <c r="B46" s="103">
        <v>2</v>
      </c>
      <c r="C46" s="105">
        <f t="shared" si="4"/>
        <v>34</v>
      </c>
      <c r="D46" s="28" t="s">
        <v>27</v>
      </c>
      <c r="E46" s="28" t="s">
        <v>27</v>
      </c>
      <c r="F46" s="292" t="s">
        <v>434</v>
      </c>
      <c r="G46" s="282">
        <v>2</v>
      </c>
      <c r="H46" s="49">
        <v>770</v>
      </c>
      <c r="I46" s="114">
        <f t="shared" si="3"/>
        <v>1540</v>
      </c>
      <c r="J46" s="38"/>
      <c r="K46" s="45" t="s">
        <v>435</v>
      </c>
      <c r="L46" s="58"/>
      <c r="M46" s="293" t="s">
        <v>424</v>
      </c>
      <c r="N46" s="33">
        <v>45924</v>
      </c>
      <c r="O46" s="161"/>
      <c r="P46" s="33">
        <v>45927</v>
      </c>
      <c r="Q46" s="33">
        <v>45929</v>
      </c>
      <c r="R46" s="31">
        <v>45929</v>
      </c>
    </row>
    <row r="47" spans="1:18" ht="17.45" customHeight="1" x14ac:dyDescent="0.15">
      <c r="A47" s="83" t="s">
        <v>41</v>
      </c>
      <c r="B47" s="103">
        <v>2</v>
      </c>
      <c r="C47" s="105">
        <f t="shared" si="4"/>
        <v>35</v>
      </c>
      <c r="D47" s="28" t="s">
        <v>27</v>
      </c>
      <c r="E47" s="28" t="s">
        <v>27</v>
      </c>
      <c r="F47" s="292" t="s">
        <v>417</v>
      </c>
      <c r="G47" s="282">
        <v>2</v>
      </c>
      <c r="H47" s="49">
        <v>210</v>
      </c>
      <c r="I47" s="114">
        <f t="shared" si="3"/>
        <v>420</v>
      </c>
      <c r="J47" s="38"/>
      <c r="K47" s="45" t="s">
        <v>418</v>
      </c>
      <c r="L47" s="58"/>
      <c r="M47" s="293" t="s">
        <v>424</v>
      </c>
      <c r="N47" s="33">
        <v>45924</v>
      </c>
      <c r="O47" s="161"/>
      <c r="P47" s="33">
        <v>45927</v>
      </c>
      <c r="Q47" s="33">
        <v>45929</v>
      </c>
      <c r="R47" s="31">
        <v>45929</v>
      </c>
    </row>
    <row r="48" spans="1:18" ht="17.45" customHeight="1" x14ac:dyDescent="0.15">
      <c r="A48" s="83" t="s">
        <v>41</v>
      </c>
      <c r="B48" s="103">
        <v>2</v>
      </c>
      <c r="C48" s="294">
        <f t="shared" si="4"/>
        <v>36</v>
      </c>
      <c r="D48" s="52" t="s">
        <v>27</v>
      </c>
      <c r="E48" s="52" t="s">
        <v>27</v>
      </c>
      <c r="F48" s="295" t="s">
        <v>436</v>
      </c>
      <c r="G48" s="296">
        <v>2</v>
      </c>
      <c r="H48" s="297">
        <v>460</v>
      </c>
      <c r="I48" s="298">
        <f t="shared" si="3"/>
        <v>920</v>
      </c>
      <c r="J48" s="299"/>
      <c r="K48" s="300" t="s">
        <v>437</v>
      </c>
      <c r="L48" s="301"/>
      <c r="M48" s="302" t="s">
        <v>424</v>
      </c>
      <c r="N48" s="303">
        <v>45924</v>
      </c>
      <c r="O48" s="304"/>
      <c r="P48" s="303">
        <v>45927</v>
      </c>
      <c r="Q48" s="303">
        <v>45929</v>
      </c>
      <c r="R48" s="31">
        <v>45929</v>
      </c>
    </row>
    <row r="49" spans="1:18" ht="17.45" customHeight="1" x14ac:dyDescent="0.15">
      <c r="A49" s="146"/>
      <c r="B49" s="147"/>
      <c r="C49" s="32"/>
      <c r="D49" s="65"/>
      <c r="E49" s="65"/>
      <c r="F49" s="46"/>
      <c r="G49" s="26"/>
      <c r="H49" s="49"/>
      <c r="I49" s="36"/>
      <c r="J49" s="38"/>
      <c r="K49" s="45"/>
      <c r="L49" s="58"/>
      <c r="M49" s="160"/>
      <c r="N49" s="33"/>
      <c r="O49" s="161"/>
      <c r="P49" s="33"/>
      <c r="Q49" s="33"/>
      <c r="R49" s="291"/>
    </row>
    <row r="50" spans="1:18" ht="18" customHeight="1" x14ac:dyDescent="0.15">
      <c r="A50" s="25"/>
      <c r="B50" s="25"/>
      <c r="C50" s="305"/>
      <c r="D50" s="306"/>
      <c r="E50" s="307"/>
      <c r="F50" s="156">
        <f>SUM(I12:I49)</f>
        <v>118920</v>
      </c>
      <c r="G50" s="154"/>
      <c r="H50" s="154"/>
      <c r="I50" s="154"/>
      <c r="J50" s="138"/>
      <c r="K50" s="157"/>
      <c r="L50" s="158"/>
      <c r="M50" s="57"/>
      <c r="N50" s="99"/>
      <c r="O50" s="159"/>
      <c r="P50" s="159"/>
      <c r="Q50" s="99"/>
      <c r="R50" s="92"/>
    </row>
    <row r="51" spans="1:18" ht="18" customHeight="1" x14ac:dyDescent="0.15">
      <c r="A51" s="25"/>
      <c r="B51" s="25"/>
      <c r="C51" s="56"/>
      <c r="D51" s="28"/>
      <c r="E51" s="37"/>
      <c r="F51" s="145"/>
      <c r="G51" s="60"/>
      <c r="H51" s="60"/>
      <c r="I51" s="60"/>
      <c r="J51" s="38"/>
      <c r="K51" s="29"/>
      <c r="L51" s="59"/>
      <c r="M51" s="3"/>
      <c r="N51" s="20"/>
      <c r="O51" s="6"/>
      <c r="P51" s="6"/>
      <c r="Q51" s="20"/>
      <c r="R51" s="12"/>
    </row>
    <row r="52" spans="1:18" ht="18" customHeight="1" x14ac:dyDescent="0.15">
      <c r="A52" s="25"/>
      <c r="B52" s="25"/>
      <c r="C52" s="56"/>
      <c r="D52" s="182"/>
      <c r="E52" s="183"/>
      <c r="F52" s="145"/>
      <c r="G52" s="60"/>
      <c r="H52" s="60"/>
      <c r="I52" s="60"/>
      <c r="J52" s="38"/>
      <c r="K52" s="29"/>
      <c r="L52" s="59"/>
      <c r="M52" s="3"/>
      <c r="N52" s="20"/>
      <c r="O52" s="6"/>
      <c r="P52" s="6"/>
      <c r="Q52" s="20"/>
      <c r="R52" s="12"/>
    </row>
    <row r="53" spans="1:18" ht="18" customHeight="1" x14ac:dyDescent="0.15">
      <c r="A53" s="25"/>
      <c r="B53" s="25"/>
      <c r="C53" s="56"/>
      <c r="D53" s="182"/>
      <c r="E53" s="183"/>
      <c r="F53" s="145"/>
      <c r="G53" s="60"/>
      <c r="H53" s="60"/>
      <c r="I53" s="60"/>
      <c r="J53" s="38"/>
      <c r="K53" s="29"/>
      <c r="L53" s="59"/>
      <c r="M53" s="3"/>
      <c r="N53" s="20"/>
      <c r="O53" s="6"/>
      <c r="P53" s="6"/>
      <c r="Q53" s="20"/>
      <c r="R53" s="12"/>
    </row>
    <row r="54" spans="1:18" ht="18" customHeight="1" x14ac:dyDescent="0.15">
      <c r="A54" s="25"/>
      <c r="B54" s="195"/>
      <c r="C54" s="56"/>
      <c r="D54" s="315" t="s">
        <v>354</v>
      </c>
      <c r="E54" s="316"/>
      <c r="F54" s="314"/>
      <c r="G54" s="60"/>
      <c r="H54" s="60"/>
      <c r="I54" s="60"/>
      <c r="J54" s="38"/>
      <c r="K54" s="29"/>
      <c r="L54" s="59"/>
      <c r="M54" s="3"/>
      <c r="N54" s="20"/>
      <c r="O54" s="6"/>
      <c r="P54" s="6"/>
      <c r="Q54" s="20"/>
      <c r="R54" s="12"/>
    </row>
    <row r="55" spans="1:18" ht="18" customHeight="1" x14ac:dyDescent="0.15">
      <c r="A55" s="188" t="s">
        <v>41</v>
      </c>
      <c r="B55" s="25"/>
      <c r="C55" s="162">
        <f>+C48+1</f>
        <v>37</v>
      </c>
      <c r="D55" s="146" t="s">
        <v>195</v>
      </c>
      <c r="E55" s="66" t="s">
        <v>27</v>
      </c>
      <c r="F55" s="209" t="s">
        <v>248</v>
      </c>
      <c r="G55" s="188">
        <v>1</v>
      </c>
      <c r="H55" s="190">
        <v>10544</v>
      </c>
      <c r="I55" s="122">
        <f t="shared" ref="I55:I125" si="5">G55*H55</f>
        <v>10544</v>
      </c>
      <c r="J55" s="71"/>
      <c r="K55" s="184" t="s">
        <v>249</v>
      </c>
      <c r="L55" s="186"/>
      <c r="M55" s="277" t="s">
        <v>390</v>
      </c>
      <c r="N55" s="33">
        <v>45875</v>
      </c>
      <c r="O55" s="25"/>
      <c r="P55" s="33">
        <v>45896</v>
      </c>
      <c r="Q55" s="33">
        <v>45897</v>
      </c>
      <c r="R55" s="12"/>
    </row>
    <row r="56" spans="1:18" ht="18" customHeight="1" x14ac:dyDescent="0.15">
      <c r="A56" s="188" t="s">
        <v>41</v>
      </c>
      <c r="B56" s="25"/>
      <c r="C56" s="162">
        <f>+C55+1</f>
        <v>38</v>
      </c>
      <c r="D56" s="109" t="s">
        <v>27</v>
      </c>
      <c r="E56" s="109" t="s">
        <v>27</v>
      </c>
      <c r="F56" s="238" t="s">
        <v>264</v>
      </c>
      <c r="G56" s="204">
        <v>1</v>
      </c>
      <c r="H56" s="203">
        <v>13794</v>
      </c>
      <c r="I56" s="122">
        <f t="shared" si="5"/>
        <v>13794</v>
      </c>
      <c r="J56" s="27"/>
      <c r="K56" s="139" t="s">
        <v>196</v>
      </c>
      <c r="L56" s="175" t="s">
        <v>285</v>
      </c>
      <c r="M56" s="277" t="s">
        <v>390</v>
      </c>
      <c r="N56" s="33">
        <v>45875</v>
      </c>
      <c r="O56" s="25"/>
      <c r="P56" s="33">
        <v>45896</v>
      </c>
      <c r="Q56" s="33">
        <v>45897</v>
      </c>
      <c r="R56" s="12"/>
    </row>
    <row r="57" spans="1:18" ht="18" customHeight="1" x14ac:dyDescent="0.15">
      <c r="A57" s="188" t="s">
        <v>41</v>
      </c>
      <c r="B57" s="25"/>
      <c r="C57" s="162">
        <f t="shared" ref="C57:C95" si="6">+C56+1</f>
        <v>39</v>
      </c>
      <c r="D57" s="109" t="s">
        <v>27</v>
      </c>
      <c r="E57" s="109" t="s">
        <v>27</v>
      </c>
      <c r="F57" s="238" t="s">
        <v>263</v>
      </c>
      <c r="G57" s="204">
        <v>1</v>
      </c>
      <c r="H57" s="203">
        <v>7319</v>
      </c>
      <c r="I57" s="122">
        <f t="shared" si="5"/>
        <v>7319</v>
      </c>
      <c r="J57" s="27"/>
      <c r="K57" s="139" t="s">
        <v>201</v>
      </c>
      <c r="L57" s="175" t="s">
        <v>288</v>
      </c>
      <c r="M57" s="277" t="s">
        <v>390</v>
      </c>
      <c r="N57" s="33">
        <v>45875</v>
      </c>
      <c r="O57" s="25"/>
      <c r="P57" s="33">
        <v>45896</v>
      </c>
      <c r="Q57" s="33">
        <v>45897</v>
      </c>
      <c r="R57" s="12"/>
    </row>
    <row r="58" spans="1:18" ht="18" customHeight="1" x14ac:dyDescent="0.15">
      <c r="A58" s="188" t="s">
        <v>41</v>
      </c>
      <c r="B58" s="25"/>
      <c r="C58" s="162">
        <f t="shared" si="6"/>
        <v>40</v>
      </c>
      <c r="D58" s="109" t="s">
        <v>27</v>
      </c>
      <c r="E58" s="109" t="s">
        <v>27</v>
      </c>
      <c r="F58" s="237" t="s">
        <v>197</v>
      </c>
      <c r="G58" s="204">
        <v>2</v>
      </c>
      <c r="H58" s="248">
        <v>667</v>
      </c>
      <c r="I58" s="122">
        <f t="shared" si="5"/>
        <v>1334</v>
      </c>
      <c r="J58" s="27"/>
      <c r="K58" s="139" t="s">
        <v>198</v>
      </c>
      <c r="L58" s="175" t="s">
        <v>289</v>
      </c>
      <c r="M58" s="277" t="s">
        <v>390</v>
      </c>
      <c r="N58" s="33">
        <v>45875</v>
      </c>
      <c r="O58" s="25"/>
      <c r="P58" s="33">
        <v>45896</v>
      </c>
      <c r="Q58" s="33">
        <v>45897</v>
      </c>
      <c r="R58" s="12"/>
    </row>
    <row r="59" spans="1:18" ht="18" customHeight="1" x14ac:dyDescent="0.15">
      <c r="A59" s="188" t="s">
        <v>41</v>
      </c>
      <c r="B59" s="25"/>
      <c r="C59" s="162">
        <f t="shared" si="6"/>
        <v>41</v>
      </c>
      <c r="D59" s="163" t="s">
        <v>202</v>
      </c>
      <c r="E59" s="164" t="s">
        <v>27</v>
      </c>
      <c r="F59" s="249" t="s">
        <v>203</v>
      </c>
      <c r="G59" s="250">
        <v>1</v>
      </c>
      <c r="H59" s="181">
        <v>306</v>
      </c>
      <c r="I59" s="251">
        <f t="shared" si="5"/>
        <v>306</v>
      </c>
      <c r="J59" s="166"/>
      <c r="K59" s="165" t="s">
        <v>204</v>
      </c>
      <c r="L59" s="175" t="s">
        <v>290</v>
      </c>
      <c r="M59" s="277" t="s">
        <v>390</v>
      </c>
      <c r="N59" s="33">
        <v>45875</v>
      </c>
      <c r="O59" s="25"/>
      <c r="P59" s="33">
        <v>45896</v>
      </c>
      <c r="Q59" s="33">
        <v>45897</v>
      </c>
      <c r="R59" s="12"/>
    </row>
    <row r="60" spans="1:18" ht="18" customHeight="1" x14ac:dyDescent="0.15">
      <c r="A60" s="188" t="s">
        <v>41</v>
      </c>
      <c r="B60" s="25"/>
      <c r="C60" s="162">
        <f t="shared" si="6"/>
        <v>42</v>
      </c>
      <c r="D60" s="28" t="s">
        <v>27</v>
      </c>
      <c r="E60" s="28" t="s">
        <v>27</v>
      </c>
      <c r="F60" s="218" t="s">
        <v>199</v>
      </c>
      <c r="G60" s="188">
        <v>4</v>
      </c>
      <c r="H60" s="252">
        <v>2575</v>
      </c>
      <c r="I60" s="253">
        <f t="shared" si="5"/>
        <v>10300</v>
      </c>
      <c r="J60" s="27"/>
      <c r="K60" s="29" t="s">
        <v>200</v>
      </c>
      <c r="L60" s="175" t="s">
        <v>291</v>
      </c>
      <c r="M60" s="277" t="s">
        <v>390</v>
      </c>
      <c r="N60" s="33">
        <v>45875</v>
      </c>
      <c r="O60" s="25"/>
      <c r="P60" s="33">
        <v>45896</v>
      </c>
      <c r="Q60" s="33">
        <v>45897</v>
      </c>
      <c r="R60" s="12"/>
    </row>
    <row r="61" spans="1:18" ht="18" customHeight="1" x14ac:dyDescent="0.15">
      <c r="A61" s="204" t="s">
        <v>40</v>
      </c>
      <c r="B61" s="25"/>
      <c r="C61" s="162">
        <f>+C60+1</f>
        <v>43</v>
      </c>
      <c r="D61" s="63" t="s">
        <v>38</v>
      </c>
      <c r="E61" s="28" t="s">
        <v>27</v>
      </c>
      <c r="F61" s="238" t="s">
        <v>284</v>
      </c>
      <c r="G61" s="204">
        <v>1</v>
      </c>
      <c r="H61" s="203">
        <v>3691</v>
      </c>
      <c r="I61" s="253">
        <f t="shared" si="5"/>
        <v>3691</v>
      </c>
      <c r="J61" s="27"/>
      <c r="K61" s="139" t="s">
        <v>265</v>
      </c>
      <c r="L61" s="175" t="s">
        <v>292</v>
      </c>
      <c r="M61" s="277" t="s">
        <v>390</v>
      </c>
      <c r="N61" s="33">
        <v>45875</v>
      </c>
      <c r="O61" s="25"/>
      <c r="P61" s="33">
        <v>45896</v>
      </c>
      <c r="Q61" s="33">
        <v>45897</v>
      </c>
      <c r="R61" s="12"/>
    </row>
    <row r="62" spans="1:18" ht="18" customHeight="1" x14ac:dyDescent="0.15">
      <c r="A62" s="204" t="s">
        <v>40</v>
      </c>
      <c r="B62" s="25"/>
      <c r="C62" s="162">
        <f t="shared" ref="C62:C63" si="7">+C61+1</f>
        <v>44</v>
      </c>
      <c r="D62" s="63" t="s">
        <v>38</v>
      </c>
      <c r="E62" s="28" t="s">
        <v>27</v>
      </c>
      <c r="F62" s="278" t="s">
        <v>397</v>
      </c>
      <c r="G62" s="279">
        <v>1</v>
      </c>
      <c r="H62" s="280">
        <v>3747</v>
      </c>
      <c r="I62" s="253">
        <f t="shared" si="5"/>
        <v>3747</v>
      </c>
      <c r="J62" s="27"/>
      <c r="K62" s="139" t="s">
        <v>394</v>
      </c>
      <c r="L62" s="175"/>
      <c r="M62" s="281" t="s">
        <v>396</v>
      </c>
      <c r="N62" s="33">
        <v>45903</v>
      </c>
      <c r="O62" s="25"/>
      <c r="P62" s="33">
        <v>45911</v>
      </c>
      <c r="Q62" s="33">
        <v>45912</v>
      </c>
      <c r="R62" s="12"/>
    </row>
    <row r="63" spans="1:18" ht="18" customHeight="1" x14ac:dyDescent="0.15">
      <c r="A63" s="204" t="s">
        <v>398</v>
      </c>
      <c r="B63" s="25"/>
      <c r="C63" s="162">
        <f t="shared" si="7"/>
        <v>45</v>
      </c>
      <c r="D63" s="63" t="s">
        <v>38</v>
      </c>
      <c r="E63" s="28" t="s">
        <v>27</v>
      </c>
      <c r="F63" s="278" t="s">
        <v>393</v>
      </c>
      <c r="G63" s="279">
        <v>1</v>
      </c>
      <c r="H63" s="280">
        <v>6153</v>
      </c>
      <c r="I63" s="253">
        <f t="shared" si="5"/>
        <v>6153</v>
      </c>
      <c r="J63" s="27"/>
      <c r="K63" s="139" t="s">
        <v>395</v>
      </c>
      <c r="L63" s="175"/>
      <c r="M63" s="281" t="s">
        <v>396</v>
      </c>
      <c r="N63" s="33">
        <v>45903</v>
      </c>
      <c r="O63" s="25"/>
      <c r="P63" s="33">
        <v>45911</v>
      </c>
      <c r="Q63" s="33">
        <v>45912</v>
      </c>
      <c r="R63" s="12"/>
    </row>
    <row r="64" spans="1:18" ht="18" customHeight="1" x14ac:dyDescent="0.15">
      <c r="A64" s="83" t="s">
        <v>41</v>
      </c>
      <c r="B64" s="25"/>
      <c r="C64" s="105">
        <f>C61+1</f>
        <v>44</v>
      </c>
      <c r="D64" s="28" t="s">
        <v>27</v>
      </c>
      <c r="E64" s="28" t="s">
        <v>27</v>
      </c>
      <c r="F64" s="238" t="s">
        <v>234</v>
      </c>
      <c r="G64" s="204">
        <v>1</v>
      </c>
      <c r="H64" s="203">
        <v>1326</v>
      </c>
      <c r="I64" s="253">
        <f t="shared" si="5"/>
        <v>1326</v>
      </c>
      <c r="J64" s="27"/>
      <c r="K64" s="139" t="s">
        <v>369</v>
      </c>
      <c r="L64" s="175" t="s">
        <v>293</v>
      </c>
      <c r="M64" s="277" t="s">
        <v>390</v>
      </c>
      <c r="N64" s="33">
        <v>45875</v>
      </c>
      <c r="O64" s="25"/>
      <c r="P64" s="33">
        <v>45896</v>
      </c>
      <c r="Q64" s="33">
        <v>45897</v>
      </c>
      <c r="R64" s="12"/>
    </row>
    <row r="65" spans="1:18" ht="18" customHeight="1" x14ac:dyDescent="0.15">
      <c r="A65" s="83" t="s">
        <v>41</v>
      </c>
      <c r="B65" s="25"/>
      <c r="C65" s="105">
        <f t="shared" ref="C65:C92" si="8">C64+1</f>
        <v>45</v>
      </c>
      <c r="D65" s="28" t="s">
        <v>27</v>
      </c>
      <c r="E65" s="28" t="s">
        <v>27</v>
      </c>
      <c r="F65" s="238" t="s">
        <v>266</v>
      </c>
      <c r="G65" s="204">
        <v>4</v>
      </c>
      <c r="H65" s="203">
        <v>465</v>
      </c>
      <c r="I65" s="253">
        <f t="shared" si="5"/>
        <v>1860</v>
      </c>
      <c r="J65" s="27"/>
      <c r="K65" s="139" t="s">
        <v>370</v>
      </c>
      <c r="L65" s="175" t="s">
        <v>294</v>
      </c>
      <c r="M65" s="277" t="s">
        <v>390</v>
      </c>
      <c r="N65" s="33">
        <v>45875</v>
      </c>
      <c r="O65" s="25"/>
      <c r="P65" s="33">
        <v>45896</v>
      </c>
      <c r="Q65" s="33">
        <v>45897</v>
      </c>
      <c r="R65" s="12"/>
    </row>
    <row r="66" spans="1:18" ht="18" customHeight="1" x14ac:dyDescent="0.15">
      <c r="A66" s="83" t="s">
        <v>41</v>
      </c>
      <c r="B66" s="25"/>
      <c r="C66" s="105">
        <f t="shared" si="8"/>
        <v>46</v>
      </c>
      <c r="D66" s="28" t="s">
        <v>27</v>
      </c>
      <c r="E66" s="28" t="s">
        <v>27</v>
      </c>
      <c r="F66" s="238" t="s">
        <v>235</v>
      </c>
      <c r="G66" s="204">
        <v>1</v>
      </c>
      <c r="H66" s="203">
        <v>1326</v>
      </c>
      <c r="I66" s="253">
        <f t="shared" si="5"/>
        <v>1326</v>
      </c>
      <c r="J66" s="27"/>
      <c r="K66" s="139" t="s">
        <v>369</v>
      </c>
      <c r="L66" s="175" t="s">
        <v>295</v>
      </c>
      <c r="M66" s="277" t="s">
        <v>390</v>
      </c>
      <c r="N66" s="33">
        <v>45875</v>
      </c>
      <c r="O66" s="25"/>
      <c r="P66" s="33">
        <v>45896</v>
      </c>
      <c r="Q66" s="33">
        <v>45897</v>
      </c>
      <c r="R66" s="12"/>
    </row>
    <row r="67" spans="1:18" ht="18" customHeight="1" x14ac:dyDescent="0.15">
      <c r="A67" s="188" t="s">
        <v>41</v>
      </c>
      <c r="B67" s="103">
        <v>2</v>
      </c>
      <c r="C67" s="105">
        <f t="shared" si="8"/>
        <v>47</v>
      </c>
      <c r="D67" s="28" t="s">
        <v>27</v>
      </c>
      <c r="E67" s="28" t="s">
        <v>27</v>
      </c>
      <c r="F67" s="202" t="s">
        <v>45</v>
      </c>
      <c r="G67" s="239">
        <v>6</v>
      </c>
      <c r="H67" s="114">
        <v>77</v>
      </c>
      <c r="I67" s="114">
        <f t="shared" si="5"/>
        <v>462</v>
      </c>
      <c r="J67" s="41"/>
      <c r="K67" s="45" t="s">
        <v>267</v>
      </c>
      <c r="L67" s="175" t="s">
        <v>286</v>
      </c>
      <c r="M67" s="277" t="s">
        <v>390</v>
      </c>
      <c r="N67" s="33">
        <v>45875</v>
      </c>
      <c r="O67" s="25"/>
      <c r="P67" s="33">
        <v>45896</v>
      </c>
      <c r="Q67" s="33">
        <v>45897</v>
      </c>
      <c r="R67" s="12"/>
    </row>
    <row r="68" spans="1:18" ht="18" customHeight="1" x14ac:dyDescent="0.15">
      <c r="A68" s="83" t="s">
        <v>41</v>
      </c>
      <c r="B68" s="25"/>
      <c r="C68" s="105">
        <f t="shared" si="8"/>
        <v>48</v>
      </c>
      <c r="D68" s="28" t="s">
        <v>27</v>
      </c>
      <c r="E68" s="28" t="s">
        <v>27</v>
      </c>
      <c r="F68" s="238" t="s">
        <v>268</v>
      </c>
      <c r="G68" s="204">
        <v>2</v>
      </c>
      <c r="H68" s="203">
        <v>128</v>
      </c>
      <c r="I68" s="114">
        <f t="shared" si="5"/>
        <v>256</v>
      </c>
      <c r="J68" s="27"/>
      <c r="K68" s="139" t="s">
        <v>371</v>
      </c>
      <c r="L68" s="175" t="s">
        <v>296</v>
      </c>
      <c r="M68" s="277" t="s">
        <v>390</v>
      </c>
      <c r="N68" s="33">
        <v>45875</v>
      </c>
      <c r="O68" s="25"/>
      <c r="P68" s="33">
        <v>45896</v>
      </c>
      <c r="Q68" s="33">
        <v>45897</v>
      </c>
      <c r="R68" s="12"/>
    </row>
    <row r="69" spans="1:18" ht="18" customHeight="1" x14ac:dyDescent="0.15">
      <c r="A69" s="83" t="s">
        <v>41</v>
      </c>
      <c r="B69" s="25"/>
      <c r="C69" s="105">
        <f t="shared" si="8"/>
        <v>49</v>
      </c>
      <c r="D69" s="28" t="s">
        <v>27</v>
      </c>
      <c r="E69" s="28" t="s">
        <v>27</v>
      </c>
      <c r="F69" s="238" t="s">
        <v>238</v>
      </c>
      <c r="G69" s="204">
        <v>6</v>
      </c>
      <c r="H69" s="203">
        <v>80</v>
      </c>
      <c r="I69" s="114">
        <f t="shared" si="5"/>
        <v>480</v>
      </c>
      <c r="J69" s="27"/>
      <c r="K69" s="139" t="s">
        <v>367</v>
      </c>
      <c r="L69" s="175" t="s">
        <v>297</v>
      </c>
      <c r="M69" s="277" t="s">
        <v>390</v>
      </c>
      <c r="N69" s="33">
        <v>45875</v>
      </c>
      <c r="O69" s="25"/>
      <c r="P69" s="33">
        <v>45896</v>
      </c>
      <c r="Q69" s="33">
        <v>45897</v>
      </c>
      <c r="R69" s="12"/>
    </row>
    <row r="70" spans="1:18" ht="18" customHeight="1" x14ac:dyDescent="0.15">
      <c r="A70" s="83" t="s">
        <v>41</v>
      </c>
      <c r="B70" s="25"/>
      <c r="C70" s="105">
        <f t="shared" si="8"/>
        <v>50</v>
      </c>
      <c r="D70" s="28" t="s">
        <v>27</v>
      </c>
      <c r="E70" s="28" t="s">
        <v>27</v>
      </c>
      <c r="F70" s="238" t="s">
        <v>239</v>
      </c>
      <c r="G70" s="204">
        <v>1</v>
      </c>
      <c r="H70" s="203">
        <v>2425</v>
      </c>
      <c r="I70" s="114">
        <f t="shared" si="5"/>
        <v>2425</v>
      </c>
      <c r="J70" s="27"/>
      <c r="K70" s="139" t="s">
        <v>372</v>
      </c>
      <c r="L70" s="175" t="s">
        <v>298</v>
      </c>
      <c r="M70" s="277" t="s">
        <v>390</v>
      </c>
      <c r="N70" s="33">
        <v>45875</v>
      </c>
      <c r="O70" s="25"/>
      <c r="P70" s="33">
        <v>45896</v>
      </c>
      <c r="Q70" s="33">
        <v>45897</v>
      </c>
      <c r="R70" s="12"/>
    </row>
    <row r="71" spans="1:18" ht="18" customHeight="1" x14ac:dyDescent="0.15">
      <c r="A71" s="204" t="s">
        <v>54</v>
      </c>
      <c r="B71" s="25"/>
      <c r="C71" s="105">
        <f t="shared" si="8"/>
        <v>51</v>
      </c>
      <c r="D71" s="63" t="s">
        <v>38</v>
      </c>
      <c r="E71" s="28" t="s">
        <v>27</v>
      </c>
      <c r="F71" s="238" t="s">
        <v>282</v>
      </c>
      <c r="G71" s="204">
        <v>1</v>
      </c>
      <c r="H71" s="203">
        <v>11294</v>
      </c>
      <c r="I71" s="114">
        <f t="shared" si="5"/>
        <v>11294</v>
      </c>
      <c r="J71" s="27"/>
      <c r="K71" s="139" t="s">
        <v>269</v>
      </c>
      <c r="L71" s="175" t="s">
        <v>299</v>
      </c>
      <c r="M71" s="277" t="s">
        <v>390</v>
      </c>
      <c r="N71" s="33">
        <v>45875</v>
      </c>
      <c r="O71" s="25"/>
      <c r="P71" s="33">
        <v>45896</v>
      </c>
      <c r="Q71" s="33">
        <v>45897</v>
      </c>
      <c r="R71" s="12"/>
    </row>
    <row r="72" spans="1:18" ht="18" customHeight="1" x14ac:dyDescent="0.15">
      <c r="A72" s="188" t="s">
        <v>41</v>
      </c>
      <c r="B72" s="103">
        <v>2</v>
      </c>
      <c r="C72" s="105">
        <f t="shared" si="8"/>
        <v>52</v>
      </c>
      <c r="D72" s="28" t="s">
        <v>27</v>
      </c>
      <c r="E72" s="28" t="s">
        <v>27</v>
      </c>
      <c r="F72" s="202" t="s">
        <v>45</v>
      </c>
      <c r="G72" s="239">
        <v>6</v>
      </c>
      <c r="H72" s="114">
        <v>77</v>
      </c>
      <c r="I72" s="114">
        <f t="shared" si="5"/>
        <v>462</v>
      </c>
      <c r="J72" s="41"/>
      <c r="K72" s="45" t="s">
        <v>267</v>
      </c>
      <c r="L72" s="175" t="s">
        <v>300</v>
      </c>
      <c r="M72" s="277" t="s">
        <v>390</v>
      </c>
      <c r="N72" s="33">
        <v>45875</v>
      </c>
      <c r="O72" s="25"/>
      <c r="P72" s="33">
        <v>45896</v>
      </c>
      <c r="Q72" s="33">
        <v>45897</v>
      </c>
      <c r="R72" s="12"/>
    </row>
    <row r="73" spans="1:18" ht="18" customHeight="1" x14ac:dyDescent="0.15">
      <c r="A73" s="224" t="s">
        <v>40</v>
      </c>
      <c r="B73" s="25"/>
      <c r="C73" s="105">
        <f t="shared" si="8"/>
        <v>53</v>
      </c>
      <c r="D73" s="56" t="s">
        <v>23</v>
      </c>
      <c r="E73" s="56" t="s">
        <v>23</v>
      </c>
      <c r="F73" s="218" t="s">
        <v>237</v>
      </c>
      <c r="G73" s="188">
        <v>2</v>
      </c>
      <c r="H73" s="203">
        <v>1811</v>
      </c>
      <c r="I73" s="114">
        <f t="shared" si="5"/>
        <v>3622</v>
      </c>
      <c r="J73" s="27"/>
      <c r="K73" s="139" t="s">
        <v>242</v>
      </c>
      <c r="L73" s="175" t="s">
        <v>301</v>
      </c>
      <c r="M73" s="277" t="s">
        <v>390</v>
      </c>
      <c r="N73" s="33">
        <v>45875</v>
      </c>
      <c r="O73" s="25"/>
      <c r="P73" s="33">
        <v>45896</v>
      </c>
      <c r="Q73" s="33">
        <v>45897</v>
      </c>
      <c r="R73" s="12"/>
    </row>
    <row r="74" spans="1:18" ht="18" customHeight="1" x14ac:dyDescent="0.15">
      <c r="A74" s="188" t="s">
        <v>68</v>
      </c>
      <c r="B74" s="103">
        <v>2</v>
      </c>
      <c r="C74" s="105">
        <f t="shared" si="8"/>
        <v>54</v>
      </c>
      <c r="D74" s="40" t="s">
        <v>27</v>
      </c>
      <c r="E74" s="40" t="s">
        <v>27</v>
      </c>
      <c r="F74" s="202" t="s">
        <v>192</v>
      </c>
      <c r="G74" s="188">
        <v>2</v>
      </c>
      <c r="H74" s="122">
        <v>112</v>
      </c>
      <c r="I74" s="107">
        <f t="shared" si="5"/>
        <v>224</v>
      </c>
      <c r="J74" s="27"/>
      <c r="K74" s="113" t="s">
        <v>123</v>
      </c>
      <c r="L74" s="175" t="s">
        <v>302</v>
      </c>
      <c r="M74" s="277" t="s">
        <v>390</v>
      </c>
      <c r="N74" s="33">
        <v>45875</v>
      </c>
      <c r="O74" s="25"/>
      <c r="P74" s="33">
        <v>45896</v>
      </c>
      <c r="Q74" s="33">
        <v>45897</v>
      </c>
      <c r="R74" s="12"/>
    </row>
    <row r="75" spans="1:18" ht="18" customHeight="1" x14ac:dyDescent="0.15">
      <c r="A75" s="188" t="s">
        <v>68</v>
      </c>
      <c r="B75" s="103">
        <v>2</v>
      </c>
      <c r="C75" s="105">
        <f t="shared" si="8"/>
        <v>55</v>
      </c>
      <c r="D75" s="40" t="s">
        <v>27</v>
      </c>
      <c r="E75" s="40" t="s">
        <v>27</v>
      </c>
      <c r="F75" s="202" t="s">
        <v>270</v>
      </c>
      <c r="G75" s="188">
        <v>2</v>
      </c>
      <c r="H75" s="122">
        <v>112</v>
      </c>
      <c r="I75" s="107">
        <f t="shared" si="5"/>
        <v>224</v>
      </c>
      <c r="J75" s="27"/>
      <c r="K75" s="113" t="s">
        <v>123</v>
      </c>
      <c r="L75" s="175" t="s">
        <v>303</v>
      </c>
      <c r="M75" s="277" t="s">
        <v>390</v>
      </c>
      <c r="N75" s="33">
        <v>45875</v>
      </c>
      <c r="O75" s="25"/>
      <c r="P75" s="33">
        <v>45896</v>
      </c>
      <c r="Q75" s="33">
        <v>45897</v>
      </c>
      <c r="R75" s="12"/>
    </row>
    <row r="76" spans="1:18" ht="18" customHeight="1" x14ac:dyDescent="0.15">
      <c r="A76" s="204" t="s">
        <v>54</v>
      </c>
      <c r="B76" s="25"/>
      <c r="C76" s="105">
        <f t="shared" si="8"/>
        <v>56</v>
      </c>
      <c r="D76" s="63" t="s">
        <v>38</v>
      </c>
      <c r="E76" s="28" t="s">
        <v>27</v>
      </c>
      <c r="F76" s="238" t="s">
        <v>283</v>
      </c>
      <c r="G76" s="204">
        <v>1</v>
      </c>
      <c r="H76" s="203">
        <v>13259</v>
      </c>
      <c r="I76" s="107">
        <f t="shared" si="5"/>
        <v>13259</v>
      </c>
      <c r="J76" s="27"/>
      <c r="K76" s="139" t="s">
        <v>271</v>
      </c>
      <c r="L76" s="175" t="s">
        <v>304</v>
      </c>
      <c r="M76" s="277" t="s">
        <v>390</v>
      </c>
      <c r="N76" s="33">
        <v>45875</v>
      </c>
      <c r="O76" s="25"/>
      <c r="P76" s="33">
        <v>45896</v>
      </c>
      <c r="Q76" s="33">
        <v>45897</v>
      </c>
      <c r="R76" s="12"/>
    </row>
    <row r="77" spans="1:18" ht="18" customHeight="1" x14ac:dyDescent="0.15">
      <c r="A77" s="188" t="s">
        <v>41</v>
      </c>
      <c r="B77" s="103">
        <v>2</v>
      </c>
      <c r="C77" s="105">
        <f t="shared" si="8"/>
        <v>57</v>
      </c>
      <c r="D77" s="28" t="s">
        <v>27</v>
      </c>
      <c r="E77" s="28" t="s">
        <v>27</v>
      </c>
      <c r="F77" s="202" t="s">
        <v>45</v>
      </c>
      <c r="G77" s="239">
        <v>6</v>
      </c>
      <c r="H77" s="114">
        <v>77</v>
      </c>
      <c r="I77" s="107">
        <f t="shared" si="5"/>
        <v>462</v>
      </c>
      <c r="J77" s="41"/>
      <c r="K77" s="45" t="s">
        <v>267</v>
      </c>
      <c r="L77" s="175" t="s">
        <v>305</v>
      </c>
      <c r="M77" s="277" t="s">
        <v>390</v>
      </c>
      <c r="N77" s="33">
        <v>45875</v>
      </c>
      <c r="O77" s="25"/>
      <c r="P77" s="33">
        <v>45896</v>
      </c>
      <c r="Q77" s="33">
        <v>45897</v>
      </c>
      <c r="R77" s="12"/>
    </row>
    <row r="78" spans="1:18" ht="18" customHeight="1" x14ac:dyDescent="0.15">
      <c r="A78" s="224" t="s">
        <v>40</v>
      </c>
      <c r="B78" s="25"/>
      <c r="C78" s="105">
        <f t="shared" si="8"/>
        <v>58</v>
      </c>
      <c r="D78" s="56" t="s">
        <v>23</v>
      </c>
      <c r="E78" s="56" t="s">
        <v>23</v>
      </c>
      <c r="F78" s="218" t="s">
        <v>237</v>
      </c>
      <c r="G78" s="188">
        <v>2</v>
      </c>
      <c r="H78" s="203">
        <v>1811</v>
      </c>
      <c r="I78" s="107">
        <f t="shared" si="5"/>
        <v>3622</v>
      </c>
      <c r="J78" s="27"/>
      <c r="K78" s="139" t="s">
        <v>242</v>
      </c>
      <c r="L78" s="175" t="s">
        <v>306</v>
      </c>
      <c r="M78" s="277" t="s">
        <v>390</v>
      </c>
      <c r="N78" s="33">
        <v>45875</v>
      </c>
      <c r="O78" s="25"/>
      <c r="P78" s="33">
        <v>45896</v>
      </c>
      <c r="Q78" s="33">
        <v>45897</v>
      </c>
      <c r="R78" s="12"/>
    </row>
    <row r="79" spans="1:18" ht="18" customHeight="1" x14ac:dyDescent="0.15">
      <c r="A79" s="83" t="s">
        <v>41</v>
      </c>
      <c r="B79" s="25"/>
      <c r="C79" s="105">
        <f t="shared" si="8"/>
        <v>59</v>
      </c>
      <c r="D79" s="56" t="s">
        <v>23</v>
      </c>
      <c r="E79" s="56" t="s">
        <v>23</v>
      </c>
      <c r="F79" s="238" t="s">
        <v>272</v>
      </c>
      <c r="G79" s="204">
        <v>1</v>
      </c>
      <c r="H79" s="203">
        <v>100</v>
      </c>
      <c r="I79" s="107">
        <f t="shared" si="5"/>
        <v>100</v>
      </c>
      <c r="J79" s="27"/>
      <c r="K79" s="139" t="s">
        <v>273</v>
      </c>
      <c r="L79" s="175" t="s">
        <v>307</v>
      </c>
      <c r="M79" s="277" t="s">
        <v>390</v>
      </c>
      <c r="N79" s="33">
        <v>45875</v>
      </c>
      <c r="O79" s="25"/>
      <c r="P79" s="33">
        <v>45896</v>
      </c>
      <c r="Q79" s="33">
        <v>45897</v>
      </c>
      <c r="R79" s="12"/>
    </row>
    <row r="80" spans="1:18" ht="18" customHeight="1" x14ac:dyDescent="0.15">
      <c r="A80" s="188" t="s">
        <v>68</v>
      </c>
      <c r="B80" s="103">
        <v>2</v>
      </c>
      <c r="C80" s="105">
        <f t="shared" si="8"/>
        <v>60</v>
      </c>
      <c r="D80" s="40" t="s">
        <v>27</v>
      </c>
      <c r="E80" s="40" t="s">
        <v>27</v>
      </c>
      <c r="F80" s="202" t="s">
        <v>192</v>
      </c>
      <c r="G80" s="188">
        <v>2</v>
      </c>
      <c r="H80" s="122">
        <v>112</v>
      </c>
      <c r="I80" s="107">
        <f t="shared" si="5"/>
        <v>224</v>
      </c>
      <c r="J80" s="27"/>
      <c r="K80" s="113" t="s">
        <v>123</v>
      </c>
      <c r="L80" s="175" t="s">
        <v>308</v>
      </c>
      <c r="M80" s="277" t="s">
        <v>390</v>
      </c>
      <c r="N80" s="33">
        <v>45875</v>
      </c>
      <c r="O80" s="25"/>
      <c r="P80" s="33">
        <v>45896</v>
      </c>
      <c r="Q80" s="33">
        <v>45897</v>
      </c>
      <c r="R80" s="12"/>
    </row>
    <row r="81" spans="1:18" ht="18" customHeight="1" x14ac:dyDescent="0.15">
      <c r="A81" s="188" t="s">
        <v>68</v>
      </c>
      <c r="B81" s="103">
        <v>2</v>
      </c>
      <c r="C81" s="105">
        <f t="shared" si="8"/>
        <v>61</v>
      </c>
      <c r="D81" s="40" t="s">
        <v>27</v>
      </c>
      <c r="E81" s="40" t="s">
        <v>27</v>
      </c>
      <c r="F81" s="202" t="s">
        <v>270</v>
      </c>
      <c r="G81" s="188">
        <v>2</v>
      </c>
      <c r="H81" s="122">
        <v>112</v>
      </c>
      <c r="I81" s="107">
        <f t="shared" si="5"/>
        <v>224</v>
      </c>
      <c r="J81" s="27"/>
      <c r="K81" s="113" t="s">
        <v>123</v>
      </c>
      <c r="L81" s="175" t="s">
        <v>309</v>
      </c>
      <c r="M81" s="277" t="s">
        <v>390</v>
      </c>
      <c r="N81" s="33">
        <v>45875</v>
      </c>
      <c r="O81" s="25"/>
      <c r="P81" s="33">
        <v>45896</v>
      </c>
      <c r="Q81" s="33">
        <v>45897</v>
      </c>
      <c r="R81" s="12"/>
    </row>
    <row r="82" spans="1:18" ht="18" customHeight="1" x14ac:dyDescent="0.15">
      <c r="A82" s="204" t="s">
        <v>40</v>
      </c>
      <c r="B82" s="25"/>
      <c r="C82" s="105">
        <f t="shared" si="8"/>
        <v>62</v>
      </c>
      <c r="D82" s="63" t="s">
        <v>38</v>
      </c>
      <c r="E82" s="28" t="s">
        <v>27</v>
      </c>
      <c r="F82" s="238" t="s">
        <v>404</v>
      </c>
      <c r="G82" s="204">
        <v>1</v>
      </c>
      <c r="H82" s="203">
        <v>6783</v>
      </c>
      <c r="I82" s="107">
        <f t="shared" si="5"/>
        <v>6783</v>
      </c>
      <c r="J82" s="27"/>
      <c r="K82" s="139" t="s">
        <v>274</v>
      </c>
      <c r="L82" s="175" t="s">
        <v>285</v>
      </c>
      <c r="M82" s="277" t="s">
        <v>390</v>
      </c>
      <c r="N82" s="33">
        <v>45875</v>
      </c>
      <c r="O82" s="25"/>
      <c r="P82" s="33">
        <v>45896</v>
      </c>
      <c r="Q82" s="33">
        <v>45897</v>
      </c>
      <c r="R82" s="12"/>
    </row>
    <row r="83" spans="1:18" ht="18" customHeight="1" x14ac:dyDescent="0.15">
      <c r="A83" s="204" t="s">
        <v>40</v>
      </c>
      <c r="B83" s="25"/>
      <c r="C83" s="105">
        <f t="shared" si="8"/>
        <v>63</v>
      </c>
      <c r="D83" s="63" t="s">
        <v>38</v>
      </c>
      <c r="E83" s="28" t="s">
        <v>27</v>
      </c>
      <c r="F83" s="278" t="s">
        <v>405</v>
      </c>
      <c r="G83" s="204">
        <v>1</v>
      </c>
      <c r="H83" s="203">
        <v>3925</v>
      </c>
      <c r="I83" s="107">
        <f t="shared" si="5"/>
        <v>3925</v>
      </c>
      <c r="J83" s="27"/>
      <c r="K83" s="139" t="s">
        <v>406</v>
      </c>
      <c r="L83" s="175" t="s">
        <v>285</v>
      </c>
      <c r="M83" s="290" t="s">
        <v>407</v>
      </c>
      <c r="N83" s="33">
        <v>45915</v>
      </c>
      <c r="O83" s="25"/>
      <c r="P83" s="33">
        <v>45919</v>
      </c>
      <c r="Q83" s="33">
        <v>45922</v>
      </c>
      <c r="R83" s="12"/>
    </row>
    <row r="84" spans="1:18" ht="18" customHeight="1" x14ac:dyDescent="0.15">
      <c r="A84" s="188" t="s">
        <v>68</v>
      </c>
      <c r="B84" s="25"/>
      <c r="C84" s="105">
        <f t="shared" si="8"/>
        <v>64</v>
      </c>
      <c r="D84" s="40" t="s">
        <v>27</v>
      </c>
      <c r="E84" s="40" t="s">
        <v>27</v>
      </c>
      <c r="F84" s="278" t="s">
        <v>408</v>
      </c>
      <c r="G84" s="204">
        <v>3</v>
      </c>
      <c r="H84" s="203">
        <v>350</v>
      </c>
      <c r="I84" s="107">
        <f t="shared" si="5"/>
        <v>1050</v>
      </c>
      <c r="J84" s="27"/>
      <c r="K84" s="139" t="s">
        <v>409</v>
      </c>
      <c r="L84" s="175" t="s">
        <v>285</v>
      </c>
      <c r="M84" s="290" t="s">
        <v>407</v>
      </c>
      <c r="N84" s="33">
        <v>45915</v>
      </c>
      <c r="O84" s="25"/>
      <c r="P84" s="33">
        <v>45919</v>
      </c>
      <c r="Q84" s="33">
        <v>45922</v>
      </c>
      <c r="R84" s="12"/>
    </row>
    <row r="85" spans="1:18" ht="18" customHeight="1" x14ac:dyDescent="0.15">
      <c r="A85" s="188" t="s">
        <v>68</v>
      </c>
      <c r="B85" s="25"/>
      <c r="C85" s="105">
        <f t="shared" si="8"/>
        <v>65</v>
      </c>
      <c r="D85" s="40" t="s">
        <v>27</v>
      </c>
      <c r="E85" s="40" t="s">
        <v>27</v>
      </c>
      <c r="F85" s="278" t="s">
        <v>410</v>
      </c>
      <c r="G85" s="204">
        <v>1</v>
      </c>
      <c r="H85" s="203">
        <v>289</v>
      </c>
      <c r="I85" s="107">
        <f t="shared" si="5"/>
        <v>289</v>
      </c>
      <c r="J85" s="27"/>
      <c r="K85" s="139" t="s">
        <v>374</v>
      </c>
      <c r="L85" s="175" t="s">
        <v>285</v>
      </c>
      <c r="M85" s="290" t="s">
        <v>407</v>
      </c>
      <c r="N85" s="33">
        <v>45915</v>
      </c>
      <c r="O85" s="25"/>
      <c r="P85" s="33">
        <v>45919</v>
      </c>
      <c r="Q85" s="33">
        <v>45922</v>
      </c>
      <c r="R85" s="12"/>
    </row>
    <row r="86" spans="1:18" ht="18" customHeight="1" x14ac:dyDescent="0.15">
      <c r="A86" s="188" t="s">
        <v>68</v>
      </c>
      <c r="B86" s="25"/>
      <c r="C86" s="105">
        <f t="shared" si="8"/>
        <v>66</v>
      </c>
      <c r="D86" s="40" t="s">
        <v>27</v>
      </c>
      <c r="E86" s="40" t="s">
        <v>27</v>
      </c>
      <c r="F86" s="278" t="s">
        <v>411</v>
      </c>
      <c r="G86" s="204">
        <v>10</v>
      </c>
      <c r="H86" s="203">
        <v>58</v>
      </c>
      <c r="I86" s="107">
        <f t="shared" si="5"/>
        <v>580</v>
      </c>
      <c r="J86" s="27"/>
      <c r="K86" s="139" t="s">
        <v>412</v>
      </c>
      <c r="L86" s="175" t="s">
        <v>285</v>
      </c>
      <c r="M86" s="290" t="s">
        <v>407</v>
      </c>
      <c r="N86" s="33">
        <v>45915</v>
      </c>
      <c r="O86" s="25"/>
      <c r="P86" s="33">
        <v>45919</v>
      </c>
      <c r="Q86" s="33">
        <v>45922</v>
      </c>
      <c r="R86" s="12"/>
    </row>
    <row r="87" spans="1:18" ht="18" customHeight="1" x14ac:dyDescent="0.15">
      <c r="A87" s="204" t="s">
        <v>40</v>
      </c>
      <c r="B87" s="25"/>
      <c r="C87" s="105">
        <f t="shared" si="8"/>
        <v>67</v>
      </c>
      <c r="D87" s="63" t="s">
        <v>38</v>
      </c>
      <c r="E87" s="28" t="s">
        <v>27</v>
      </c>
      <c r="F87" s="278" t="s">
        <v>413</v>
      </c>
      <c r="G87" s="204">
        <v>1</v>
      </c>
      <c r="H87" s="203">
        <v>2646</v>
      </c>
      <c r="I87" s="107">
        <f t="shared" si="5"/>
        <v>2646</v>
      </c>
      <c r="J87" s="27"/>
      <c r="K87" s="139" t="s">
        <v>414</v>
      </c>
      <c r="L87" s="175" t="s">
        <v>285</v>
      </c>
      <c r="M87" s="290" t="s">
        <v>407</v>
      </c>
      <c r="N87" s="33">
        <v>45915</v>
      </c>
      <c r="O87" s="25"/>
      <c r="P87" s="33">
        <v>45919</v>
      </c>
      <c r="Q87" s="33">
        <v>45922</v>
      </c>
      <c r="R87" s="12"/>
    </row>
    <row r="88" spans="1:18" ht="18" customHeight="1" x14ac:dyDescent="0.15">
      <c r="A88" s="188" t="s">
        <v>68</v>
      </c>
      <c r="B88" s="25"/>
      <c r="C88" s="105">
        <f t="shared" si="8"/>
        <v>68</v>
      </c>
      <c r="D88" s="40" t="s">
        <v>27</v>
      </c>
      <c r="E88" s="40" t="s">
        <v>27</v>
      </c>
      <c r="F88" s="278" t="s">
        <v>415</v>
      </c>
      <c r="G88" s="204">
        <v>3</v>
      </c>
      <c r="H88" s="203">
        <v>1183</v>
      </c>
      <c r="I88" s="107">
        <f t="shared" si="5"/>
        <v>3549</v>
      </c>
      <c r="J88" s="27"/>
      <c r="K88" s="139" t="s">
        <v>416</v>
      </c>
      <c r="L88" s="175" t="s">
        <v>285</v>
      </c>
      <c r="M88" s="290" t="s">
        <v>407</v>
      </c>
      <c r="N88" s="33">
        <v>45915</v>
      </c>
      <c r="O88" s="25"/>
      <c r="P88" s="33">
        <v>45919</v>
      </c>
      <c r="Q88" s="33">
        <v>45922</v>
      </c>
      <c r="R88" s="12"/>
    </row>
    <row r="89" spans="1:18" ht="18" customHeight="1" x14ac:dyDescent="0.15">
      <c r="A89" s="188" t="s">
        <v>68</v>
      </c>
      <c r="B89" s="25"/>
      <c r="C89" s="105">
        <f t="shared" si="8"/>
        <v>69</v>
      </c>
      <c r="D89" s="40" t="s">
        <v>27</v>
      </c>
      <c r="E89" s="40" t="s">
        <v>27</v>
      </c>
      <c r="F89" s="278" t="s">
        <v>417</v>
      </c>
      <c r="G89" s="204">
        <v>3</v>
      </c>
      <c r="H89" s="203">
        <v>210</v>
      </c>
      <c r="I89" s="107">
        <f t="shared" si="5"/>
        <v>630</v>
      </c>
      <c r="J89" s="27"/>
      <c r="K89" s="139" t="s">
        <v>418</v>
      </c>
      <c r="L89" s="175" t="s">
        <v>285</v>
      </c>
      <c r="M89" s="290" t="s">
        <v>407</v>
      </c>
      <c r="N89" s="33">
        <v>45915</v>
      </c>
      <c r="O89" s="25"/>
      <c r="P89" s="33">
        <v>45919</v>
      </c>
      <c r="Q89" s="33">
        <v>45922</v>
      </c>
      <c r="R89" s="12"/>
    </row>
    <row r="90" spans="1:18" ht="18" customHeight="1" x14ac:dyDescent="0.15">
      <c r="A90" s="204" t="s">
        <v>40</v>
      </c>
      <c r="B90" s="25"/>
      <c r="C90" s="105">
        <f t="shared" si="8"/>
        <v>70</v>
      </c>
      <c r="D90" s="63" t="s">
        <v>38</v>
      </c>
      <c r="E90" s="28" t="s">
        <v>27</v>
      </c>
      <c r="F90" s="278" t="s">
        <v>419</v>
      </c>
      <c r="G90" s="204">
        <v>1</v>
      </c>
      <c r="H90" s="203">
        <v>4092</v>
      </c>
      <c r="I90" s="107">
        <f t="shared" si="5"/>
        <v>4092</v>
      </c>
      <c r="J90" s="27"/>
      <c r="K90" s="139" t="s">
        <v>420</v>
      </c>
      <c r="L90" s="175" t="s">
        <v>285</v>
      </c>
      <c r="M90" s="290" t="s">
        <v>407</v>
      </c>
      <c r="N90" s="33">
        <v>45915</v>
      </c>
      <c r="O90" s="25"/>
      <c r="P90" s="33">
        <v>45919</v>
      </c>
      <c r="Q90" s="33">
        <v>45922</v>
      </c>
      <c r="R90" s="12"/>
    </row>
    <row r="91" spans="1:18" ht="18" customHeight="1" x14ac:dyDescent="0.15">
      <c r="A91" s="188" t="s">
        <v>41</v>
      </c>
      <c r="B91" s="103">
        <v>2</v>
      </c>
      <c r="C91" s="105">
        <f t="shared" si="8"/>
        <v>71</v>
      </c>
      <c r="D91" s="28" t="s">
        <v>27</v>
      </c>
      <c r="E91" s="28" t="s">
        <v>27</v>
      </c>
      <c r="F91" s="238" t="s">
        <v>236</v>
      </c>
      <c r="G91" s="204">
        <v>2</v>
      </c>
      <c r="H91" s="203">
        <v>53</v>
      </c>
      <c r="I91" s="107">
        <f t="shared" si="5"/>
        <v>106</v>
      </c>
      <c r="J91" s="27"/>
      <c r="K91" s="139" t="s">
        <v>373</v>
      </c>
      <c r="L91" s="175" t="s">
        <v>285</v>
      </c>
      <c r="M91" s="277" t="s">
        <v>390</v>
      </c>
      <c r="N91" s="33">
        <v>45875</v>
      </c>
      <c r="O91" s="25"/>
      <c r="P91" s="33">
        <v>45896</v>
      </c>
      <c r="Q91" s="33">
        <v>45897</v>
      </c>
      <c r="R91" s="12"/>
    </row>
    <row r="92" spans="1:18" ht="18" customHeight="1" x14ac:dyDescent="0.15">
      <c r="A92" s="188" t="s">
        <v>41</v>
      </c>
      <c r="B92" s="103">
        <v>2</v>
      </c>
      <c r="C92" s="105">
        <f t="shared" si="8"/>
        <v>72</v>
      </c>
      <c r="D92" s="28" t="s">
        <v>27</v>
      </c>
      <c r="E92" s="28" t="s">
        <v>27</v>
      </c>
      <c r="F92" s="238" t="s">
        <v>421</v>
      </c>
      <c r="G92" s="204">
        <v>1</v>
      </c>
      <c r="H92" s="203">
        <v>270</v>
      </c>
      <c r="I92" s="107">
        <f t="shared" si="5"/>
        <v>270</v>
      </c>
      <c r="J92" s="27"/>
      <c r="K92" s="139" t="s">
        <v>374</v>
      </c>
      <c r="L92" s="175" t="s">
        <v>285</v>
      </c>
      <c r="M92" s="277" t="s">
        <v>390</v>
      </c>
      <c r="N92" s="33">
        <v>45875</v>
      </c>
      <c r="O92" s="25"/>
      <c r="P92" s="33">
        <v>45896</v>
      </c>
      <c r="Q92" s="33">
        <v>45897</v>
      </c>
      <c r="R92" s="12"/>
    </row>
    <row r="93" spans="1:18" ht="18" customHeight="1" x14ac:dyDescent="0.15">
      <c r="A93" s="188" t="s">
        <v>41</v>
      </c>
      <c r="B93" s="103">
        <v>2</v>
      </c>
      <c r="C93" s="162">
        <f t="shared" si="6"/>
        <v>73</v>
      </c>
      <c r="D93" s="28" t="s">
        <v>27</v>
      </c>
      <c r="E93" s="28" t="s">
        <v>27</v>
      </c>
      <c r="F93" s="202" t="s">
        <v>275</v>
      </c>
      <c r="G93" s="239">
        <v>22</v>
      </c>
      <c r="H93" s="114">
        <v>37</v>
      </c>
      <c r="I93" s="107">
        <f t="shared" si="5"/>
        <v>814</v>
      </c>
      <c r="J93" s="41"/>
      <c r="K93" s="45" t="s">
        <v>276</v>
      </c>
      <c r="L93" s="175" t="s">
        <v>310</v>
      </c>
      <c r="M93" s="277" t="s">
        <v>390</v>
      </c>
      <c r="N93" s="33">
        <v>45875</v>
      </c>
      <c r="O93" s="25"/>
      <c r="P93" s="33">
        <v>45896</v>
      </c>
      <c r="Q93" s="33">
        <v>45897</v>
      </c>
      <c r="R93" s="12"/>
    </row>
    <row r="94" spans="1:18" ht="18" customHeight="1" x14ac:dyDescent="0.15">
      <c r="A94" s="224" t="s">
        <v>40</v>
      </c>
      <c r="B94" s="25"/>
      <c r="C94" s="162">
        <f t="shared" si="6"/>
        <v>74</v>
      </c>
      <c r="D94" s="56" t="s">
        <v>23</v>
      </c>
      <c r="E94" s="56" t="s">
        <v>23</v>
      </c>
      <c r="F94" s="218" t="s">
        <v>237</v>
      </c>
      <c r="G94" s="188">
        <v>3</v>
      </c>
      <c r="H94" s="203">
        <v>1811</v>
      </c>
      <c r="I94" s="107">
        <f t="shared" si="5"/>
        <v>5433</v>
      </c>
      <c r="J94" s="27"/>
      <c r="K94" s="139" t="s">
        <v>242</v>
      </c>
      <c r="L94" s="175" t="s">
        <v>311</v>
      </c>
      <c r="M94" s="277" t="s">
        <v>390</v>
      </c>
      <c r="N94" s="33">
        <v>45875</v>
      </c>
      <c r="O94" s="25"/>
      <c r="P94" s="33">
        <v>45896</v>
      </c>
      <c r="Q94" s="33">
        <v>45897</v>
      </c>
      <c r="R94" s="12"/>
    </row>
    <row r="95" spans="1:18" ht="18" customHeight="1" x14ac:dyDescent="0.15">
      <c r="A95" s="188" t="s">
        <v>41</v>
      </c>
      <c r="B95" s="103">
        <v>2</v>
      </c>
      <c r="C95" s="162">
        <f t="shared" si="6"/>
        <v>75</v>
      </c>
      <c r="D95" s="28" t="s">
        <v>27</v>
      </c>
      <c r="E95" s="28" t="s">
        <v>27</v>
      </c>
      <c r="F95" s="238" t="s">
        <v>277</v>
      </c>
      <c r="G95" s="204">
        <v>6</v>
      </c>
      <c r="H95" s="203">
        <v>14</v>
      </c>
      <c r="I95" s="107">
        <f t="shared" si="5"/>
        <v>84</v>
      </c>
      <c r="J95" s="27"/>
      <c r="K95" s="139" t="s">
        <v>278</v>
      </c>
      <c r="L95" s="175" t="s">
        <v>287</v>
      </c>
      <c r="M95" s="277" t="s">
        <v>390</v>
      </c>
      <c r="N95" s="33">
        <v>45875</v>
      </c>
      <c r="O95" s="25"/>
      <c r="P95" s="33">
        <v>45896</v>
      </c>
      <c r="Q95" s="33">
        <v>45897</v>
      </c>
      <c r="R95" s="12"/>
    </row>
    <row r="96" spans="1:18" ht="18" customHeight="1" x14ac:dyDescent="0.15">
      <c r="A96" s="188" t="s">
        <v>68</v>
      </c>
      <c r="B96" s="103">
        <v>2</v>
      </c>
      <c r="C96" s="63">
        <f>+C95+1</f>
        <v>76</v>
      </c>
      <c r="D96" s="40" t="s">
        <v>27</v>
      </c>
      <c r="E96" s="40" t="s">
        <v>27</v>
      </c>
      <c r="F96" s="202" t="s">
        <v>192</v>
      </c>
      <c r="G96" s="188">
        <v>3</v>
      </c>
      <c r="H96" s="122">
        <v>112</v>
      </c>
      <c r="I96" s="107">
        <f t="shared" si="5"/>
        <v>336</v>
      </c>
      <c r="J96" s="27"/>
      <c r="K96" s="174" t="s">
        <v>252</v>
      </c>
      <c r="L96" s="175" t="s">
        <v>312</v>
      </c>
      <c r="M96" s="277" t="s">
        <v>390</v>
      </c>
      <c r="N96" s="33">
        <v>45875</v>
      </c>
      <c r="O96" s="25"/>
      <c r="P96" s="33">
        <v>45896</v>
      </c>
      <c r="Q96" s="33">
        <v>45897</v>
      </c>
      <c r="R96" s="12"/>
    </row>
    <row r="97" spans="1:18" ht="18" customHeight="1" x14ac:dyDescent="0.15">
      <c r="A97" s="188" t="s">
        <v>68</v>
      </c>
      <c r="B97" s="103">
        <v>2</v>
      </c>
      <c r="C97" s="63">
        <f t="shared" ref="C97:C99" si="9">+C96+1</f>
        <v>77</v>
      </c>
      <c r="D97" s="40" t="s">
        <v>27</v>
      </c>
      <c r="E97" s="40" t="s">
        <v>27</v>
      </c>
      <c r="F97" s="202" t="s">
        <v>279</v>
      </c>
      <c r="G97" s="188">
        <v>3</v>
      </c>
      <c r="H97" s="122">
        <v>112</v>
      </c>
      <c r="I97" s="107">
        <f t="shared" si="5"/>
        <v>336</v>
      </c>
      <c r="J97" s="27"/>
      <c r="K97" s="174" t="s">
        <v>252</v>
      </c>
      <c r="L97" s="175" t="s">
        <v>313</v>
      </c>
      <c r="M97" s="277" t="s">
        <v>390</v>
      </c>
      <c r="N97" s="33">
        <v>45875</v>
      </c>
      <c r="O97" s="25"/>
      <c r="P97" s="33">
        <v>45896</v>
      </c>
      <c r="Q97" s="33">
        <v>45897</v>
      </c>
      <c r="R97" s="12"/>
    </row>
    <row r="98" spans="1:18" ht="18" customHeight="1" x14ac:dyDescent="0.15">
      <c r="A98" s="188" t="s">
        <v>68</v>
      </c>
      <c r="B98" s="103">
        <v>2</v>
      </c>
      <c r="C98" s="63">
        <f t="shared" si="9"/>
        <v>78</v>
      </c>
      <c r="D98" s="40" t="s">
        <v>27</v>
      </c>
      <c r="E98" s="40" t="s">
        <v>27</v>
      </c>
      <c r="F98" s="202" t="s">
        <v>270</v>
      </c>
      <c r="G98" s="188">
        <v>8</v>
      </c>
      <c r="H98" s="122">
        <v>112</v>
      </c>
      <c r="I98" s="107">
        <f t="shared" si="5"/>
        <v>896</v>
      </c>
      <c r="J98" s="27"/>
      <c r="K98" s="174" t="s">
        <v>281</v>
      </c>
      <c r="L98" s="175" t="s">
        <v>314</v>
      </c>
      <c r="M98" s="277" t="s">
        <v>390</v>
      </c>
      <c r="N98" s="33">
        <v>45875</v>
      </c>
      <c r="O98" s="25"/>
      <c r="P98" s="33">
        <v>45896</v>
      </c>
      <c r="Q98" s="33">
        <v>45897</v>
      </c>
      <c r="R98" s="12"/>
    </row>
    <row r="99" spans="1:18" ht="18" customHeight="1" x14ac:dyDescent="0.15">
      <c r="A99" s="188" t="s">
        <v>68</v>
      </c>
      <c r="B99" s="103">
        <v>2</v>
      </c>
      <c r="C99" s="63">
        <f t="shared" si="9"/>
        <v>79</v>
      </c>
      <c r="D99" s="40" t="s">
        <v>27</v>
      </c>
      <c r="E99" s="40" t="s">
        <v>27</v>
      </c>
      <c r="F99" s="238" t="s">
        <v>280</v>
      </c>
      <c r="G99" s="204">
        <v>10</v>
      </c>
      <c r="H99" s="203">
        <v>50</v>
      </c>
      <c r="I99" s="107">
        <f t="shared" si="5"/>
        <v>500</v>
      </c>
      <c r="J99" s="27"/>
      <c r="K99" s="139" t="s">
        <v>375</v>
      </c>
      <c r="L99" s="175" t="s">
        <v>315</v>
      </c>
      <c r="M99" s="277" t="s">
        <v>390</v>
      </c>
      <c r="N99" s="33">
        <v>45875</v>
      </c>
      <c r="O99" s="25"/>
      <c r="P99" s="33">
        <v>45896</v>
      </c>
      <c r="Q99" s="33">
        <v>45897</v>
      </c>
      <c r="R99" s="12"/>
    </row>
    <row r="100" spans="1:18" ht="18" customHeight="1" x14ac:dyDescent="0.15">
      <c r="A100" s="204" t="s">
        <v>54</v>
      </c>
      <c r="B100" s="25"/>
      <c r="C100" s="104">
        <f>C99+1</f>
        <v>80</v>
      </c>
      <c r="D100" s="63" t="s">
        <v>38</v>
      </c>
      <c r="E100" s="28" t="s">
        <v>27</v>
      </c>
      <c r="F100" s="238" t="s">
        <v>345</v>
      </c>
      <c r="G100" s="204">
        <v>1</v>
      </c>
      <c r="H100" s="203">
        <v>8783</v>
      </c>
      <c r="I100" s="107">
        <f t="shared" si="5"/>
        <v>8783</v>
      </c>
      <c r="J100" s="27"/>
      <c r="K100" s="139" t="s">
        <v>316</v>
      </c>
      <c r="L100" s="59" t="s">
        <v>355</v>
      </c>
      <c r="M100" s="277" t="s">
        <v>390</v>
      </c>
      <c r="N100" s="33">
        <v>45875</v>
      </c>
      <c r="O100" s="25"/>
      <c r="P100" s="33">
        <v>45896</v>
      </c>
      <c r="Q100" s="33">
        <v>45897</v>
      </c>
      <c r="R100" s="12"/>
    </row>
    <row r="101" spans="1:18" ht="18" customHeight="1" x14ac:dyDescent="0.15">
      <c r="A101" s="188" t="s">
        <v>68</v>
      </c>
      <c r="B101" s="25"/>
      <c r="C101" s="105">
        <f t="shared" ref="C101:C131" si="10">C100+1</f>
        <v>81</v>
      </c>
      <c r="D101" s="109"/>
      <c r="E101" s="109"/>
      <c r="F101" s="238" t="s">
        <v>317</v>
      </c>
      <c r="G101" s="204">
        <v>4</v>
      </c>
      <c r="H101" s="203">
        <v>55</v>
      </c>
      <c r="I101" s="107">
        <f t="shared" si="5"/>
        <v>220</v>
      </c>
      <c r="J101" s="27"/>
      <c r="K101" s="139" t="s">
        <v>376</v>
      </c>
      <c r="L101" s="59" t="s">
        <v>355</v>
      </c>
      <c r="M101" s="277" t="s">
        <v>390</v>
      </c>
      <c r="N101" s="33">
        <v>45875</v>
      </c>
      <c r="O101" s="25"/>
      <c r="P101" s="33">
        <v>45896</v>
      </c>
      <c r="Q101" s="33">
        <v>45897</v>
      </c>
      <c r="R101" s="12"/>
    </row>
    <row r="102" spans="1:18" ht="18" customHeight="1" x14ac:dyDescent="0.15">
      <c r="A102" s="188" t="s">
        <v>68</v>
      </c>
      <c r="B102" s="25"/>
      <c r="C102" s="105">
        <f t="shared" si="10"/>
        <v>82</v>
      </c>
      <c r="D102" s="109"/>
      <c r="E102" s="109"/>
      <c r="F102" s="238" t="s">
        <v>318</v>
      </c>
      <c r="G102" s="204">
        <v>4</v>
      </c>
      <c r="H102" s="203">
        <v>762</v>
      </c>
      <c r="I102" s="107">
        <f t="shared" si="5"/>
        <v>3048</v>
      </c>
      <c r="J102" s="27"/>
      <c r="K102" s="139" t="s">
        <v>377</v>
      </c>
      <c r="L102" s="59" t="s">
        <v>355</v>
      </c>
      <c r="M102" s="277" t="s">
        <v>390</v>
      </c>
      <c r="N102" s="33">
        <v>45875</v>
      </c>
      <c r="O102" s="25"/>
      <c r="P102" s="33">
        <v>45896</v>
      </c>
      <c r="Q102" s="33">
        <v>45897</v>
      </c>
      <c r="R102" s="12"/>
    </row>
    <row r="103" spans="1:18" ht="18" customHeight="1" x14ac:dyDescent="0.15">
      <c r="A103" s="188" t="s">
        <v>68</v>
      </c>
      <c r="B103" s="103">
        <v>2</v>
      </c>
      <c r="C103" s="105">
        <f t="shared" si="10"/>
        <v>83</v>
      </c>
      <c r="D103" s="40" t="s">
        <v>27</v>
      </c>
      <c r="E103" s="40" t="s">
        <v>27</v>
      </c>
      <c r="F103" s="202" t="s">
        <v>270</v>
      </c>
      <c r="G103" s="188">
        <v>4</v>
      </c>
      <c r="H103" s="122">
        <v>112</v>
      </c>
      <c r="I103" s="107">
        <f t="shared" si="5"/>
        <v>448</v>
      </c>
      <c r="J103" s="27"/>
      <c r="K103" s="174" t="s">
        <v>319</v>
      </c>
      <c r="L103" s="59" t="s">
        <v>355</v>
      </c>
      <c r="M103" s="277" t="s">
        <v>390</v>
      </c>
      <c r="N103" s="33">
        <v>45875</v>
      </c>
      <c r="O103" s="25"/>
      <c r="P103" s="33">
        <v>45896</v>
      </c>
      <c r="Q103" s="33">
        <v>45897</v>
      </c>
      <c r="R103" s="12"/>
    </row>
    <row r="104" spans="1:18" ht="18" customHeight="1" x14ac:dyDescent="0.15">
      <c r="A104" s="204" t="s">
        <v>54</v>
      </c>
      <c r="B104" s="25"/>
      <c r="C104" s="105">
        <f t="shared" si="10"/>
        <v>84</v>
      </c>
      <c r="D104" s="63" t="s">
        <v>38</v>
      </c>
      <c r="E104" s="28" t="s">
        <v>27</v>
      </c>
      <c r="F104" s="238" t="s">
        <v>346</v>
      </c>
      <c r="G104" s="204">
        <v>1</v>
      </c>
      <c r="H104" s="203">
        <v>10548</v>
      </c>
      <c r="I104" s="107">
        <f t="shared" si="5"/>
        <v>10548</v>
      </c>
      <c r="J104" s="27"/>
      <c r="K104" s="139" t="s">
        <v>320</v>
      </c>
      <c r="L104" s="59" t="s">
        <v>355</v>
      </c>
      <c r="M104" s="277" t="s">
        <v>390</v>
      </c>
      <c r="N104" s="33">
        <v>45875</v>
      </c>
      <c r="O104" s="25"/>
      <c r="P104" s="33">
        <v>45896</v>
      </c>
      <c r="Q104" s="33">
        <v>45897</v>
      </c>
      <c r="R104" s="12"/>
    </row>
    <row r="105" spans="1:18" ht="18" customHeight="1" x14ac:dyDescent="0.15">
      <c r="A105" s="204" t="s">
        <v>54</v>
      </c>
      <c r="B105" s="25"/>
      <c r="C105" s="105">
        <f t="shared" si="10"/>
        <v>85</v>
      </c>
      <c r="D105" s="63" t="s">
        <v>38</v>
      </c>
      <c r="E105" s="28" t="s">
        <v>27</v>
      </c>
      <c r="F105" s="238" t="s">
        <v>347</v>
      </c>
      <c r="G105" s="204">
        <v>1</v>
      </c>
      <c r="H105" s="203">
        <v>27646</v>
      </c>
      <c r="I105" s="107">
        <f t="shared" si="5"/>
        <v>27646</v>
      </c>
      <c r="J105" s="27"/>
      <c r="K105" s="139" t="s">
        <v>321</v>
      </c>
      <c r="L105" s="59" t="s">
        <v>355</v>
      </c>
      <c r="M105" s="277" t="s">
        <v>390</v>
      </c>
      <c r="N105" s="33">
        <v>45875</v>
      </c>
      <c r="O105" s="25"/>
      <c r="P105" s="33">
        <v>45896</v>
      </c>
      <c r="Q105" s="33">
        <v>45897</v>
      </c>
      <c r="R105" s="12"/>
    </row>
    <row r="106" spans="1:18" ht="18" customHeight="1" x14ac:dyDescent="0.15">
      <c r="A106" s="88"/>
      <c r="B106" s="25"/>
      <c r="C106" s="105">
        <f t="shared" si="10"/>
        <v>86</v>
      </c>
      <c r="D106" s="109"/>
      <c r="E106" s="109"/>
      <c r="F106" s="238" t="s">
        <v>322</v>
      </c>
      <c r="G106" s="204">
        <v>1</v>
      </c>
      <c r="H106" s="203">
        <v>2148</v>
      </c>
      <c r="I106" s="107">
        <f t="shared" si="5"/>
        <v>2148</v>
      </c>
      <c r="J106" s="27"/>
      <c r="K106" s="254" t="s">
        <v>378</v>
      </c>
      <c r="L106" s="59" t="s">
        <v>355</v>
      </c>
      <c r="M106" s="277" t="s">
        <v>390</v>
      </c>
      <c r="N106" s="33">
        <v>45875</v>
      </c>
      <c r="O106" s="25"/>
      <c r="P106" s="33">
        <v>45896</v>
      </c>
      <c r="Q106" s="33">
        <v>45897</v>
      </c>
      <c r="R106" s="12"/>
    </row>
    <row r="107" spans="1:18" ht="18" customHeight="1" x14ac:dyDescent="0.15">
      <c r="A107" s="88"/>
      <c r="B107" s="25"/>
      <c r="C107" s="105">
        <f t="shared" si="10"/>
        <v>87</v>
      </c>
      <c r="D107" s="109"/>
      <c r="E107" s="109"/>
      <c r="F107" s="238" t="s">
        <v>323</v>
      </c>
      <c r="G107" s="204">
        <v>1</v>
      </c>
      <c r="H107" s="203">
        <v>2970</v>
      </c>
      <c r="I107" s="107">
        <f t="shared" si="5"/>
        <v>2970</v>
      </c>
      <c r="J107" s="27"/>
      <c r="K107" s="139" t="s">
        <v>379</v>
      </c>
      <c r="L107" s="59" t="s">
        <v>355</v>
      </c>
      <c r="M107" s="277" t="s">
        <v>390</v>
      </c>
      <c r="N107" s="33">
        <v>45875</v>
      </c>
      <c r="O107" s="25"/>
      <c r="P107" s="33">
        <v>45896</v>
      </c>
      <c r="Q107" s="33">
        <v>45897</v>
      </c>
      <c r="R107" s="12"/>
    </row>
    <row r="108" spans="1:18" ht="18" customHeight="1" x14ac:dyDescent="0.15">
      <c r="A108" s="188" t="s">
        <v>41</v>
      </c>
      <c r="B108" s="103">
        <v>2</v>
      </c>
      <c r="C108" s="105">
        <f t="shared" si="10"/>
        <v>88</v>
      </c>
      <c r="D108" s="28" t="s">
        <v>27</v>
      </c>
      <c r="E108" s="28" t="s">
        <v>27</v>
      </c>
      <c r="F108" s="202" t="s">
        <v>324</v>
      </c>
      <c r="G108" s="239">
        <v>4</v>
      </c>
      <c r="H108" s="114">
        <v>77</v>
      </c>
      <c r="I108" s="107">
        <f t="shared" si="5"/>
        <v>308</v>
      </c>
      <c r="J108" s="41"/>
      <c r="K108" s="45" t="s">
        <v>325</v>
      </c>
      <c r="L108" s="59" t="s">
        <v>355</v>
      </c>
      <c r="M108" s="277" t="s">
        <v>390</v>
      </c>
      <c r="N108" s="33">
        <v>45875</v>
      </c>
      <c r="O108" s="25"/>
      <c r="P108" s="33">
        <v>45896</v>
      </c>
      <c r="Q108" s="33">
        <v>45897</v>
      </c>
      <c r="R108" s="12"/>
    </row>
    <row r="109" spans="1:18" ht="18" customHeight="1" x14ac:dyDescent="0.15">
      <c r="A109" s="88"/>
      <c r="B109" s="25"/>
      <c r="C109" s="105">
        <f t="shared" si="10"/>
        <v>89</v>
      </c>
      <c r="D109" s="109"/>
      <c r="E109" s="109"/>
      <c r="F109" s="238" t="s">
        <v>326</v>
      </c>
      <c r="G109" s="204">
        <v>1</v>
      </c>
      <c r="H109" s="203">
        <v>4722</v>
      </c>
      <c r="I109" s="107">
        <f t="shared" si="5"/>
        <v>4722</v>
      </c>
      <c r="J109" s="27"/>
      <c r="K109" s="139" t="s">
        <v>380</v>
      </c>
      <c r="L109" s="59" t="s">
        <v>355</v>
      </c>
      <c r="M109" s="277" t="s">
        <v>390</v>
      </c>
      <c r="N109" s="33">
        <v>45875</v>
      </c>
      <c r="O109" s="25"/>
      <c r="P109" s="33">
        <v>45896</v>
      </c>
      <c r="Q109" s="33">
        <v>45897</v>
      </c>
      <c r="R109" s="12"/>
    </row>
    <row r="110" spans="1:18" ht="18" customHeight="1" x14ac:dyDescent="0.15">
      <c r="A110" s="88"/>
      <c r="B110" s="25"/>
      <c r="C110" s="105">
        <f t="shared" si="10"/>
        <v>90</v>
      </c>
      <c r="D110" s="109"/>
      <c r="E110" s="109"/>
      <c r="F110" s="238" t="s">
        <v>327</v>
      </c>
      <c r="G110" s="204">
        <v>1</v>
      </c>
      <c r="H110" s="203">
        <v>3583</v>
      </c>
      <c r="I110" s="107">
        <f t="shared" si="5"/>
        <v>3583</v>
      </c>
      <c r="J110" s="27"/>
      <c r="K110" s="139" t="s">
        <v>381</v>
      </c>
      <c r="L110" s="59" t="s">
        <v>355</v>
      </c>
      <c r="M110" s="277" t="s">
        <v>390</v>
      </c>
      <c r="N110" s="33">
        <v>45875</v>
      </c>
      <c r="O110" s="25"/>
      <c r="P110" s="33">
        <v>45896</v>
      </c>
      <c r="Q110" s="33">
        <v>45897</v>
      </c>
      <c r="R110" s="12"/>
    </row>
    <row r="111" spans="1:18" ht="18" customHeight="1" x14ac:dyDescent="0.15">
      <c r="A111" s="88"/>
      <c r="B111" s="25"/>
      <c r="C111" s="105">
        <f t="shared" si="10"/>
        <v>91</v>
      </c>
      <c r="D111" s="109"/>
      <c r="E111" s="109"/>
      <c r="F111" s="238" t="s">
        <v>328</v>
      </c>
      <c r="G111" s="204">
        <v>2</v>
      </c>
      <c r="H111" s="203">
        <v>82</v>
      </c>
      <c r="I111" s="107">
        <f t="shared" si="5"/>
        <v>164</v>
      </c>
      <c r="J111" s="27"/>
      <c r="K111" s="139" t="s">
        <v>382</v>
      </c>
      <c r="L111" s="59" t="s">
        <v>355</v>
      </c>
      <c r="M111" s="277" t="s">
        <v>390</v>
      </c>
      <c r="N111" s="33">
        <v>45875</v>
      </c>
      <c r="O111" s="25"/>
      <c r="P111" s="33">
        <v>45896</v>
      </c>
      <c r="Q111" s="33">
        <v>45897</v>
      </c>
      <c r="R111" s="12"/>
    </row>
    <row r="112" spans="1:18" ht="18" customHeight="1" x14ac:dyDescent="0.15">
      <c r="A112" s="88"/>
      <c r="B112" s="25"/>
      <c r="C112" s="105">
        <f t="shared" si="10"/>
        <v>92</v>
      </c>
      <c r="D112" s="109"/>
      <c r="E112" s="109"/>
      <c r="F112" s="238" t="s">
        <v>329</v>
      </c>
      <c r="G112" s="204">
        <v>4</v>
      </c>
      <c r="H112" s="203">
        <v>77</v>
      </c>
      <c r="I112" s="107">
        <f t="shared" si="5"/>
        <v>308</v>
      </c>
      <c r="J112" s="27"/>
      <c r="K112" s="139" t="s">
        <v>382</v>
      </c>
      <c r="L112" s="59" t="s">
        <v>355</v>
      </c>
      <c r="M112" s="277" t="s">
        <v>390</v>
      </c>
      <c r="N112" s="33">
        <v>45875</v>
      </c>
      <c r="O112" s="25"/>
      <c r="P112" s="33">
        <v>45896</v>
      </c>
      <c r="Q112" s="33">
        <v>45897</v>
      </c>
      <c r="R112" s="12"/>
    </row>
    <row r="113" spans="1:18" ht="18" customHeight="1" x14ac:dyDescent="0.15">
      <c r="A113" s="224" t="s">
        <v>40</v>
      </c>
      <c r="B113" s="25"/>
      <c r="C113" s="105">
        <f t="shared" si="10"/>
        <v>93</v>
      </c>
      <c r="D113" s="56" t="s">
        <v>23</v>
      </c>
      <c r="E113" s="56" t="s">
        <v>23</v>
      </c>
      <c r="F113" s="218" t="s">
        <v>237</v>
      </c>
      <c r="G113" s="188">
        <v>1</v>
      </c>
      <c r="H113" s="203">
        <v>1811</v>
      </c>
      <c r="I113" s="107">
        <f t="shared" si="5"/>
        <v>1811</v>
      </c>
      <c r="J113" s="27"/>
      <c r="K113" s="139" t="s">
        <v>242</v>
      </c>
      <c r="L113" s="59" t="s">
        <v>355</v>
      </c>
      <c r="M113" s="277" t="s">
        <v>390</v>
      </c>
      <c r="N113" s="33">
        <v>45875</v>
      </c>
      <c r="O113" s="25"/>
      <c r="P113" s="33">
        <v>45896</v>
      </c>
      <c r="Q113" s="33">
        <v>45897</v>
      </c>
      <c r="R113" s="12"/>
    </row>
    <row r="114" spans="1:18" ht="18" customHeight="1" x14ac:dyDescent="0.15">
      <c r="A114" s="188" t="s">
        <v>68</v>
      </c>
      <c r="B114" s="103">
        <v>2</v>
      </c>
      <c r="C114" s="105">
        <f t="shared" si="10"/>
        <v>94</v>
      </c>
      <c r="D114" s="40" t="s">
        <v>27</v>
      </c>
      <c r="E114" s="40" t="s">
        <v>27</v>
      </c>
      <c r="F114" s="202" t="s">
        <v>279</v>
      </c>
      <c r="G114" s="188">
        <v>2</v>
      </c>
      <c r="H114" s="122">
        <v>112</v>
      </c>
      <c r="I114" s="107">
        <f t="shared" si="5"/>
        <v>224</v>
      </c>
      <c r="J114" s="27"/>
      <c r="K114" s="174" t="s">
        <v>252</v>
      </c>
      <c r="L114" s="59" t="s">
        <v>355</v>
      </c>
      <c r="M114" s="277" t="s">
        <v>390</v>
      </c>
      <c r="N114" s="33">
        <v>45875</v>
      </c>
      <c r="O114" s="25"/>
      <c r="P114" s="33">
        <v>45896</v>
      </c>
      <c r="Q114" s="33">
        <v>45897</v>
      </c>
      <c r="R114" s="12"/>
    </row>
    <row r="115" spans="1:18" ht="18" customHeight="1" x14ac:dyDescent="0.15">
      <c r="A115" s="188" t="s">
        <v>68</v>
      </c>
      <c r="B115" s="103">
        <v>2</v>
      </c>
      <c r="C115" s="105">
        <f t="shared" si="10"/>
        <v>95</v>
      </c>
      <c r="D115" s="109" t="s">
        <v>56</v>
      </c>
      <c r="E115" s="40" t="s">
        <v>27</v>
      </c>
      <c r="F115" s="238" t="s">
        <v>240</v>
      </c>
      <c r="G115" s="204">
        <v>1</v>
      </c>
      <c r="H115" s="203">
        <v>442</v>
      </c>
      <c r="I115" s="107">
        <f t="shared" si="5"/>
        <v>442</v>
      </c>
      <c r="J115" s="27"/>
      <c r="K115" s="139" t="s">
        <v>241</v>
      </c>
      <c r="L115" s="59" t="s">
        <v>355</v>
      </c>
      <c r="M115" s="277" t="s">
        <v>390</v>
      </c>
      <c r="N115" s="33">
        <v>45875</v>
      </c>
      <c r="O115" s="25"/>
      <c r="P115" s="33">
        <v>45896</v>
      </c>
      <c r="Q115" s="33">
        <v>45897</v>
      </c>
      <c r="R115" s="12"/>
    </row>
    <row r="116" spans="1:18" ht="18" customHeight="1" x14ac:dyDescent="0.15">
      <c r="A116" s="188" t="s">
        <v>68</v>
      </c>
      <c r="B116" s="103">
        <v>2</v>
      </c>
      <c r="C116" s="105">
        <f t="shared" si="10"/>
        <v>96</v>
      </c>
      <c r="D116" s="109" t="s">
        <v>56</v>
      </c>
      <c r="E116" s="40" t="s">
        <v>27</v>
      </c>
      <c r="F116" s="238" t="s">
        <v>330</v>
      </c>
      <c r="G116" s="204">
        <v>1</v>
      </c>
      <c r="H116" s="203">
        <v>382</v>
      </c>
      <c r="I116" s="107">
        <f t="shared" si="5"/>
        <v>382</v>
      </c>
      <c r="J116" s="27"/>
      <c r="K116" s="139" t="s">
        <v>241</v>
      </c>
      <c r="L116" s="59" t="s">
        <v>355</v>
      </c>
      <c r="M116" s="277" t="s">
        <v>390</v>
      </c>
      <c r="N116" s="33">
        <v>45875</v>
      </c>
      <c r="O116" s="25"/>
      <c r="P116" s="33">
        <v>45896</v>
      </c>
      <c r="Q116" s="33">
        <v>45897</v>
      </c>
      <c r="R116" s="12"/>
    </row>
    <row r="117" spans="1:18" ht="18" customHeight="1" x14ac:dyDescent="0.15">
      <c r="A117" s="224" t="s">
        <v>333</v>
      </c>
      <c r="B117" s="25"/>
      <c r="C117" s="105">
        <f t="shared" si="10"/>
        <v>97</v>
      </c>
      <c r="D117" s="109" t="s">
        <v>332</v>
      </c>
      <c r="E117" s="40" t="s">
        <v>27</v>
      </c>
      <c r="F117" s="238" t="s">
        <v>331</v>
      </c>
      <c r="G117" s="204">
        <v>1</v>
      </c>
      <c r="H117" s="203">
        <v>1924</v>
      </c>
      <c r="I117" s="107">
        <f t="shared" si="5"/>
        <v>1924</v>
      </c>
      <c r="J117" s="27"/>
      <c r="K117" s="139" t="s">
        <v>334</v>
      </c>
      <c r="L117" s="59" t="s">
        <v>355</v>
      </c>
      <c r="M117" s="277" t="s">
        <v>390</v>
      </c>
      <c r="N117" s="33">
        <v>45875</v>
      </c>
      <c r="O117" s="25"/>
      <c r="P117" s="33">
        <v>45896</v>
      </c>
      <c r="Q117" s="33">
        <v>45897</v>
      </c>
      <c r="R117" s="12"/>
    </row>
    <row r="118" spans="1:18" ht="18" customHeight="1" x14ac:dyDescent="0.15">
      <c r="A118" s="204" t="s">
        <v>54</v>
      </c>
      <c r="B118" s="25"/>
      <c r="C118" s="105">
        <f t="shared" si="10"/>
        <v>98</v>
      </c>
      <c r="D118" s="63" t="s">
        <v>38</v>
      </c>
      <c r="E118" s="28" t="s">
        <v>27</v>
      </c>
      <c r="F118" s="238" t="s">
        <v>348</v>
      </c>
      <c r="G118" s="204">
        <v>1</v>
      </c>
      <c r="H118" s="203">
        <v>33362</v>
      </c>
      <c r="I118" s="107">
        <f t="shared" si="5"/>
        <v>33362</v>
      </c>
      <c r="J118" s="27"/>
      <c r="K118" s="139" t="s">
        <v>335</v>
      </c>
      <c r="L118" s="59" t="s">
        <v>355</v>
      </c>
      <c r="M118" s="277" t="s">
        <v>390</v>
      </c>
      <c r="N118" s="33">
        <v>45875</v>
      </c>
      <c r="O118" s="25"/>
      <c r="P118" s="33">
        <v>45896</v>
      </c>
      <c r="Q118" s="33">
        <v>45897</v>
      </c>
      <c r="R118" s="12"/>
    </row>
    <row r="119" spans="1:18" ht="18" customHeight="1" x14ac:dyDescent="0.15">
      <c r="A119" s="188" t="s">
        <v>41</v>
      </c>
      <c r="B119" s="103">
        <v>2</v>
      </c>
      <c r="C119" s="105">
        <f t="shared" si="10"/>
        <v>99</v>
      </c>
      <c r="D119" s="28" t="s">
        <v>27</v>
      </c>
      <c r="E119" s="28" t="s">
        <v>27</v>
      </c>
      <c r="F119" s="202" t="s">
        <v>324</v>
      </c>
      <c r="G119" s="239">
        <v>4</v>
      </c>
      <c r="H119" s="114">
        <v>77</v>
      </c>
      <c r="I119" s="107">
        <f t="shared" si="5"/>
        <v>308</v>
      </c>
      <c r="J119" s="41"/>
      <c r="K119" s="45" t="s">
        <v>336</v>
      </c>
      <c r="L119" s="59" t="s">
        <v>355</v>
      </c>
      <c r="M119" s="277" t="s">
        <v>390</v>
      </c>
      <c r="N119" s="33">
        <v>45875</v>
      </c>
      <c r="O119" s="25"/>
      <c r="P119" s="33">
        <v>45896</v>
      </c>
      <c r="Q119" s="33">
        <v>45897</v>
      </c>
      <c r="R119" s="12"/>
    </row>
    <row r="120" spans="1:18" ht="18" customHeight="1" x14ac:dyDescent="0.15">
      <c r="A120" s="188" t="s">
        <v>41</v>
      </c>
      <c r="B120" s="103">
        <v>2</v>
      </c>
      <c r="C120" s="105">
        <f t="shared" si="10"/>
        <v>100</v>
      </c>
      <c r="D120" s="28" t="s">
        <v>27</v>
      </c>
      <c r="E120" s="28" t="s">
        <v>27</v>
      </c>
      <c r="F120" s="202" t="s">
        <v>45</v>
      </c>
      <c r="G120" s="239">
        <v>4</v>
      </c>
      <c r="H120" s="114">
        <v>77</v>
      </c>
      <c r="I120" s="107">
        <f t="shared" si="5"/>
        <v>308</v>
      </c>
      <c r="J120" s="41"/>
      <c r="K120" s="45" t="s">
        <v>337</v>
      </c>
      <c r="L120" s="59" t="s">
        <v>355</v>
      </c>
      <c r="M120" s="277" t="s">
        <v>390</v>
      </c>
      <c r="N120" s="33">
        <v>45875</v>
      </c>
      <c r="O120" s="25"/>
      <c r="P120" s="33">
        <v>45896</v>
      </c>
      <c r="Q120" s="33">
        <v>45897</v>
      </c>
      <c r="R120" s="12"/>
    </row>
    <row r="121" spans="1:18" ht="18" customHeight="1" x14ac:dyDescent="0.15">
      <c r="A121" s="188" t="s">
        <v>68</v>
      </c>
      <c r="B121" s="103">
        <v>2</v>
      </c>
      <c r="C121" s="105">
        <f t="shared" si="10"/>
        <v>101</v>
      </c>
      <c r="D121" s="40" t="s">
        <v>27</v>
      </c>
      <c r="E121" s="40" t="s">
        <v>27</v>
      </c>
      <c r="F121" s="202" t="s">
        <v>338</v>
      </c>
      <c r="G121" s="188">
        <v>2</v>
      </c>
      <c r="H121" s="122">
        <v>121</v>
      </c>
      <c r="I121" s="107">
        <f t="shared" si="5"/>
        <v>242</v>
      </c>
      <c r="J121" s="27"/>
      <c r="K121" s="174" t="s">
        <v>123</v>
      </c>
      <c r="L121" s="59" t="s">
        <v>355</v>
      </c>
      <c r="M121" s="277" t="s">
        <v>390</v>
      </c>
      <c r="N121" s="33">
        <v>45875</v>
      </c>
      <c r="O121" s="25"/>
      <c r="P121" s="33">
        <v>45896</v>
      </c>
      <c r="Q121" s="33">
        <v>45897</v>
      </c>
      <c r="R121" s="12"/>
    </row>
    <row r="122" spans="1:18" ht="18" customHeight="1" x14ac:dyDescent="0.15">
      <c r="A122" s="204" t="s">
        <v>54</v>
      </c>
      <c r="B122" s="25"/>
      <c r="C122" s="105">
        <f t="shared" si="10"/>
        <v>102</v>
      </c>
      <c r="D122" s="63" t="s">
        <v>38</v>
      </c>
      <c r="E122" s="28" t="s">
        <v>27</v>
      </c>
      <c r="F122" s="238" t="s">
        <v>349</v>
      </c>
      <c r="G122" s="204">
        <v>1</v>
      </c>
      <c r="H122" s="203">
        <v>6231</v>
      </c>
      <c r="I122" s="107">
        <f t="shared" si="5"/>
        <v>6231</v>
      </c>
      <c r="J122" s="27"/>
      <c r="K122" s="139" t="s">
        <v>339</v>
      </c>
      <c r="L122" s="59" t="s">
        <v>355</v>
      </c>
      <c r="M122" s="277" t="s">
        <v>390</v>
      </c>
      <c r="N122" s="33">
        <v>45875</v>
      </c>
      <c r="O122" s="25"/>
      <c r="P122" s="33">
        <v>45896</v>
      </c>
      <c r="Q122" s="33">
        <v>45897</v>
      </c>
      <c r="R122" s="12"/>
    </row>
    <row r="123" spans="1:18" ht="18" customHeight="1" x14ac:dyDescent="0.15">
      <c r="A123" s="83" t="s">
        <v>41</v>
      </c>
      <c r="B123" s="25"/>
      <c r="C123" s="105">
        <f t="shared" si="10"/>
        <v>103</v>
      </c>
      <c r="D123" s="28" t="s">
        <v>27</v>
      </c>
      <c r="E123" s="28" t="s">
        <v>27</v>
      </c>
      <c r="F123" s="238" t="s">
        <v>238</v>
      </c>
      <c r="G123" s="204">
        <v>4</v>
      </c>
      <c r="H123" s="203">
        <v>93</v>
      </c>
      <c r="I123" s="107">
        <f t="shared" si="5"/>
        <v>372</v>
      </c>
      <c r="J123" s="27"/>
      <c r="K123" s="139" t="s">
        <v>340</v>
      </c>
      <c r="L123" s="59" t="s">
        <v>355</v>
      </c>
      <c r="M123" s="277" t="s">
        <v>390</v>
      </c>
      <c r="N123" s="33">
        <v>45875</v>
      </c>
      <c r="O123" s="25"/>
      <c r="P123" s="33">
        <v>45896</v>
      </c>
      <c r="Q123" s="33">
        <v>45897</v>
      </c>
      <c r="R123" s="12"/>
    </row>
    <row r="124" spans="1:18" ht="18" customHeight="1" x14ac:dyDescent="0.15">
      <c r="A124" s="204" t="s">
        <v>54</v>
      </c>
      <c r="B124" s="25"/>
      <c r="C124" s="105">
        <f t="shared" si="10"/>
        <v>104</v>
      </c>
      <c r="D124" s="63" t="s">
        <v>38</v>
      </c>
      <c r="E124" s="28" t="s">
        <v>27</v>
      </c>
      <c r="F124" s="238" t="s">
        <v>350</v>
      </c>
      <c r="G124" s="204">
        <v>1</v>
      </c>
      <c r="H124" s="203">
        <v>7000</v>
      </c>
      <c r="I124" s="107">
        <f t="shared" si="5"/>
        <v>7000</v>
      </c>
      <c r="J124" s="27"/>
      <c r="K124" s="139" t="s">
        <v>341</v>
      </c>
      <c r="L124" s="59" t="s">
        <v>355</v>
      </c>
      <c r="M124" s="277" t="s">
        <v>390</v>
      </c>
      <c r="N124" s="33">
        <v>45875</v>
      </c>
      <c r="O124" s="25"/>
      <c r="P124" s="33">
        <v>45896</v>
      </c>
      <c r="Q124" s="33">
        <v>45897</v>
      </c>
      <c r="R124" s="12"/>
    </row>
    <row r="125" spans="1:18" ht="18" customHeight="1" x14ac:dyDescent="0.15">
      <c r="A125" s="83" t="s">
        <v>41</v>
      </c>
      <c r="B125" s="25"/>
      <c r="C125" s="105">
        <f t="shared" si="10"/>
        <v>105</v>
      </c>
      <c r="D125" s="28" t="s">
        <v>27</v>
      </c>
      <c r="E125" s="28" t="s">
        <v>27</v>
      </c>
      <c r="F125" s="238" t="s">
        <v>238</v>
      </c>
      <c r="G125" s="204">
        <v>4</v>
      </c>
      <c r="H125" s="203">
        <v>93</v>
      </c>
      <c r="I125" s="107">
        <f t="shared" si="5"/>
        <v>372</v>
      </c>
      <c r="J125" s="27"/>
      <c r="K125" s="139" t="s">
        <v>340</v>
      </c>
      <c r="L125" s="59" t="s">
        <v>355</v>
      </c>
      <c r="M125" s="277" t="s">
        <v>390</v>
      </c>
      <c r="N125" s="33">
        <v>45875</v>
      </c>
      <c r="O125" s="25"/>
      <c r="P125" s="33">
        <v>45896</v>
      </c>
      <c r="Q125" s="33">
        <v>45897</v>
      </c>
      <c r="R125" s="12"/>
    </row>
    <row r="126" spans="1:18" ht="18" customHeight="1" x14ac:dyDescent="0.15">
      <c r="A126" s="204" t="s">
        <v>54</v>
      </c>
      <c r="B126" s="25"/>
      <c r="C126" s="105">
        <f t="shared" si="10"/>
        <v>106</v>
      </c>
      <c r="D126" s="63" t="s">
        <v>38</v>
      </c>
      <c r="E126" s="28" t="s">
        <v>27</v>
      </c>
      <c r="F126" s="238" t="s">
        <v>351</v>
      </c>
      <c r="G126" s="204">
        <v>1</v>
      </c>
      <c r="H126" s="203">
        <v>6615</v>
      </c>
      <c r="I126" s="107">
        <f t="shared" ref="I126:I131" si="11">G126*H126</f>
        <v>6615</v>
      </c>
      <c r="J126" s="27"/>
      <c r="K126" s="139" t="s">
        <v>342</v>
      </c>
      <c r="L126" s="59" t="s">
        <v>355</v>
      </c>
      <c r="M126" s="277" t="s">
        <v>390</v>
      </c>
      <c r="N126" s="33">
        <v>45875</v>
      </c>
      <c r="O126" s="25"/>
      <c r="P126" s="33">
        <v>45896</v>
      </c>
      <c r="Q126" s="33">
        <v>45897</v>
      </c>
      <c r="R126" s="12"/>
    </row>
    <row r="127" spans="1:18" ht="18" customHeight="1" x14ac:dyDescent="0.15">
      <c r="A127" s="83" t="s">
        <v>41</v>
      </c>
      <c r="B127" s="25"/>
      <c r="C127" s="105">
        <f t="shared" si="10"/>
        <v>107</v>
      </c>
      <c r="D127" s="28" t="s">
        <v>27</v>
      </c>
      <c r="E127" s="28" t="s">
        <v>27</v>
      </c>
      <c r="F127" s="238" t="s">
        <v>238</v>
      </c>
      <c r="G127" s="204">
        <v>4</v>
      </c>
      <c r="H127" s="203">
        <v>93</v>
      </c>
      <c r="I127" s="107">
        <f t="shared" si="11"/>
        <v>372</v>
      </c>
      <c r="J127" s="27"/>
      <c r="K127" s="139" t="s">
        <v>340</v>
      </c>
      <c r="L127" s="59" t="s">
        <v>355</v>
      </c>
      <c r="M127" s="277" t="s">
        <v>390</v>
      </c>
      <c r="N127" s="33">
        <v>45875</v>
      </c>
      <c r="O127" s="25"/>
      <c r="P127" s="33">
        <v>45896</v>
      </c>
      <c r="Q127" s="33">
        <v>45897</v>
      </c>
      <c r="R127" s="12"/>
    </row>
    <row r="128" spans="1:18" ht="18" customHeight="1" x14ac:dyDescent="0.15">
      <c r="A128" s="204" t="s">
        <v>54</v>
      </c>
      <c r="B128" s="25"/>
      <c r="C128" s="105">
        <f t="shared" si="10"/>
        <v>108</v>
      </c>
      <c r="D128" s="63" t="s">
        <v>38</v>
      </c>
      <c r="E128" s="28" t="s">
        <v>27</v>
      </c>
      <c r="F128" s="238" t="s">
        <v>352</v>
      </c>
      <c r="G128" s="204">
        <v>1</v>
      </c>
      <c r="H128" s="203">
        <v>6079</v>
      </c>
      <c r="I128" s="107">
        <f t="shared" si="11"/>
        <v>6079</v>
      </c>
      <c r="J128" s="27"/>
      <c r="K128" s="139" t="s">
        <v>343</v>
      </c>
      <c r="L128" s="59" t="s">
        <v>355</v>
      </c>
      <c r="M128" s="277" t="s">
        <v>390</v>
      </c>
      <c r="N128" s="33">
        <v>45875</v>
      </c>
      <c r="O128" s="25"/>
      <c r="P128" s="33">
        <v>45896</v>
      </c>
      <c r="Q128" s="33">
        <v>45897</v>
      </c>
      <c r="R128" s="12"/>
    </row>
    <row r="129" spans="1:18" ht="18" customHeight="1" x14ac:dyDescent="0.15">
      <c r="A129" s="83" t="s">
        <v>41</v>
      </c>
      <c r="B129" s="25"/>
      <c r="C129" s="105">
        <f t="shared" si="10"/>
        <v>109</v>
      </c>
      <c r="D129" s="28" t="s">
        <v>27</v>
      </c>
      <c r="E129" s="28" t="s">
        <v>27</v>
      </c>
      <c r="F129" s="238" t="s">
        <v>238</v>
      </c>
      <c r="G129" s="204">
        <v>4</v>
      </c>
      <c r="H129" s="203">
        <v>93</v>
      </c>
      <c r="I129" s="107">
        <f t="shared" si="11"/>
        <v>372</v>
      </c>
      <c r="J129" s="27"/>
      <c r="K129" s="139" t="s">
        <v>340</v>
      </c>
      <c r="L129" s="59" t="s">
        <v>355</v>
      </c>
      <c r="M129" s="277" t="s">
        <v>390</v>
      </c>
      <c r="N129" s="33">
        <v>45875</v>
      </c>
      <c r="O129" s="25"/>
      <c r="P129" s="33">
        <v>45896</v>
      </c>
      <c r="Q129" s="33">
        <v>45897</v>
      </c>
      <c r="R129" s="12"/>
    </row>
    <row r="130" spans="1:18" ht="18" customHeight="1" x14ac:dyDescent="0.15">
      <c r="A130" s="204" t="s">
        <v>54</v>
      </c>
      <c r="B130" s="25"/>
      <c r="C130" s="105">
        <f t="shared" si="10"/>
        <v>110</v>
      </c>
      <c r="D130" s="63" t="s">
        <v>38</v>
      </c>
      <c r="E130" s="28" t="s">
        <v>27</v>
      </c>
      <c r="F130" s="238" t="s">
        <v>353</v>
      </c>
      <c r="G130" s="204">
        <v>1</v>
      </c>
      <c r="H130" s="203">
        <v>6767</v>
      </c>
      <c r="I130" s="107">
        <f t="shared" si="11"/>
        <v>6767</v>
      </c>
      <c r="J130" s="27"/>
      <c r="K130" s="139" t="s">
        <v>344</v>
      </c>
      <c r="L130" s="59" t="s">
        <v>355</v>
      </c>
      <c r="M130" s="277" t="s">
        <v>390</v>
      </c>
      <c r="N130" s="33">
        <v>45875</v>
      </c>
      <c r="O130" s="25"/>
      <c r="P130" s="33">
        <v>45896</v>
      </c>
      <c r="Q130" s="33">
        <v>45897</v>
      </c>
      <c r="R130" s="12"/>
    </row>
    <row r="131" spans="1:18" ht="18" customHeight="1" x14ac:dyDescent="0.15">
      <c r="A131" s="83" t="s">
        <v>41</v>
      </c>
      <c r="B131" s="25"/>
      <c r="C131" s="105">
        <f t="shared" si="10"/>
        <v>111</v>
      </c>
      <c r="D131" s="28" t="s">
        <v>27</v>
      </c>
      <c r="E131" s="28" t="s">
        <v>27</v>
      </c>
      <c r="F131" s="238" t="s">
        <v>238</v>
      </c>
      <c r="G131" s="204">
        <v>4</v>
      </c>
      <c r="H131" s="203">
        <v>93</v>
      </c>
      <c r="I131" s="107">
        <f t="shared" si="11"/>
        <v>372</v>
      </c>
      <c r="J131" s="27"/>
      <c r="K131" s="139" t="s">
        <v>340</v>
      </c>
      <c r="L131" s="59" t="s">
        <v>355</v>
      </c>
      <c r="M131" s="277" t="s">
        <v>390</v>
      </c>
      <c r="N131" s="33">
        <v>45875</v>
      </c>
      <c r="O131" s="25"/>
      <c r="P131" s="33">
        <v>45896</v>
      </c>
      <c r="Q131" s="33">
        <v>45897</v>
      </c>
      <c r="R131" s="12"/>
    </row>
    <row r="132" spans="1:18" ht="18" customHeight="1" x14ac:dyDescent="0.15">
      <c r="A132" s="25"/>
      <c r="B132" s="25"/>
      <c r="C132" s="56"/>
      <c r="D132" s="28"/>
      <c r="E132" s="37"/>
      <c r="F132" s="145"/>
      <c r="G132" s="60"/>
      <c r="H132" s="60"/>
      <c r="I132" s="60"/>
      <c r="J132" s="38"/>
      <c r="K132" s="29"/>
      <c r="L132" s="59"/>
      <c r="M132" s="3"/>
      <c r="N132" s="20"/>
      <c r="O132" s="6"/>
      <c r="P132" s="6"/>
      <c r="Q132" s="20"/>
      <c r="R132" s="12"/>
    </row>
    <row r="133" spans="1:18" ht="18" customHeight="1" x14ac:dyDescent="0.15">
      <c r="A133" s="25"/>
      <c r="B133" s="25"/>
      <c r="C133" s="56"/>
      <c r="D133" s="28"/>
      <c r="E133" s="37"/>
      <c r="F133" s="148">
        <f>SUM(I55:I132)</f>
        <v>269810</v>
      </c>
      <c r="G133" s="60"/>
      <c r="H133" s="60"/>
      <c r="I133" s="60"/>
      <c r="J133" s="38"/>
      <c r="K133" s="29"/>
      <c r="L133" s="59"/>
      <c r="M133" s="3"/>
      <c r="N133" s="20"/>
      <c r="O133" s="6"/>
      <c r="P133" s="6"/>
      <c r="Q133" s="20"/>
      <c r="R133" s="12"/>
    </row>
    <row r="134" spans="1:18" ht="18" customHeight="1" x14ac:dyDescent="0.15">
      <c r="A134" s="25"/>
      <c r="B134" s="25"/>
      <c r="C134" s="56"/>
      <c r="D134" s="28"/>
      <c r="E134" s="37"/>
      <c r="F134" s="145"/>
      <c r="G134" s="60"/>
      <c r="H134" s="60"/>
      <c r="I134" s="60"/>
      <c r="J134" s="38"/>
      <c r="K134" s="29"/>
      <c r="L134" s="59"/>
      <c r="M134" s="3"/>
      <c r="N134" s="20"/>
      <c r="O134" s="6"/>
      <c r="P134" s="6"/>
      <c r="Q134" s="20"/>
      <c r="R134" s="12"/>
    </row>
    <row r="135" spans="1:18" ht="18" customHeight="1" x14ac:dyDescent="0.15">
      <c r="A135" s="25"/>
      <c r="B135" s="25"/>
      <c r="C135" s="56"/>
      <c r="D135" s="28"/>
      <c r="E135" s="37"/>
      <c r="F135" s="145"/>
      <c r="G135" s="60"/>
      <c r="H135" s="60"/>
      <c r="I135" s="60"/>
      <c r="J135" s="38"/>
      <c r="K135" s="29"/>
      <c r="L135" s="59"/>
      <c r="M135" s="3"/>
      <c r="N135" s="20"/>
      <c r="O135" s="6"/>
      <c r="P135" s="6"/>
      <c r="Q135" s="20"/>
      <c r="R135" s="12"/>
    </row>
    <row r="136" spans="1:18" ht="18" customHeight="1" x14ac:dyDescent="0.15">
      <c r="A136" s="25"/>
      <c r="B136" s="25"/>
      <c r="C136" s="56"/>
      <c r="D136" s="28"/>
      <c r="E136" s="37"/>
      <c r="F136" s="145"/>
      <c r="G136" s="60"/>
      <c r="H136" s="60"/>
      <c r="I136" s="60"/>
      <c r="J136" s="38"/>
      <c r="K136" s="29"/>
      <c r="L136" s="59"/>
      <c r="M136" s="3"/>
      <c r="N136" s="20"/>
      <c r="O136" s="6"/>
      <c r="P136" s="6"/>
      <c r="Q136" s="20"/>
      <c r="R136" s="12"/>
    </row>
    <row r="137" spans="1:18" ht="18" customHeight="1" x14ac:dyDescent="0.15">
      <c r="A137" s="25"/>
      <c r="B137" s="25"/>
      <c r="C137" s="56"/>
      <c r="D137" s="28"/>
      <c r="E137" s="37"/>
      <c r="F137" s="145"/>
      <c r="G137" s="60"/>
      <c r="H137" s="60"/>
      <c r="I137" s="60"/>
      <c r="J137" s="38"/>
      <c r="K137" s="29"/>
      <c r="L137" s="59"/>
      <c r="M137" s="3"/>
      <c r="N137" s="20"/>
      <c r="O137" s="6"/>
      <c r="P137" s="6"/>
      <c r="Q137" s="20"/>
      <c r="R137" s="12"/>
    </row>
    <row r="138" spans="1:18" ht="18" customHeight="1" x14ac:dyDescent="0.15">
      <c r="A138" s="25"/>
      <c r="B138" s="25"/>
      <c r="C138" s="56"/>
      <c r="D138" s="28"/>
      <c r="E138" s="37"/>
      <c r="F138" s="145"/>
      <c r="G138" s="60"/>
      <c r="H138" s="60"/>
      <c r="I138" s="60"/>
      <c r="J138" s="38"/>
      <c r="K138" s="29"/>
      <c r="L138" s="59"/>
      <c r="M138" s="3"/>
      <c r="N138" s="20"/>
      <c r="O138" s="6"/>
      <c r="P138" s="6"/>
      <c r="Q138" s="20"/>
      <c r="R138" s="12"/>
    </row>
    <row r="139" spans="1:18" ht="18" customHeight="1" x14ac:dyDescent="0.15">
      <c r="A139" s="25"/>
      <c r="B139" s="195"/>
      <c r="C139" s="56"/>
      <c r="D139" s="312" t="s">
        <v>193</v>
      </c>
      <c r="E139" s="313"/>
      <c r="F139" s="314"/>
      <c r="G139" s="60"/>
      <c r="H139" s="60"/>
      <c r="I139" s="60"/>
      <c r="J139" s="38"/>
      <c r="K139" s="29"/>
      <c r="L139" s="59"/>
      <c r="M139" s="3"/>
      <c r="N139" s="20"/>
      <c r="O139" s="6"/>
      <c r="P139" s="6"/>
      <c r="Q139" s="20"/>
      <c r="R139" s="12"/>
    </row>
    <row r="140" spans="1:18" ht="18" customHeight="1" x14ac:dyDescent="0.15">
      <c r="A140" s="188" t="s">
        <v>40</v>
      </c>
      <c r="B140" s="25"/>
      <c r="C140" s="63">
        <f>+C131+1</f>
        <v>112</v>
      </c>
      <c r="D140" s="63" t="s">
        <v>38</v>
      </c>
      <c r="E140" s="28" t="s">
        <v>27</v>
      </c>
      <c r="F140" s="187" t="s">
        <v>246</v>
      </c>
      <c r="G140" s="188">
        <v>1</v>
      </c>
      <c r="H140" s="190">
        <v>3235</v>
      </c>
      <c r="I140" s="114">
        <f t="shared" ref="I140:I147" si="12">G140*H140</f>
        <v>3235</v>
      </c>
      <c r="J140" s="185"/>
      <c r="K140" s="169" t="s">
        <v>216</v>
      </c>
      <c r="L140" s="277"/>
      <c r="M140" s="277" t="s">
        <v>390</v>
      </c>
      <c r="N140" s="33">
        <v>45875</v>
      </c>
      <c r="O140" s="25"/>
      <c r="P140" s="33">
        <v>45896</v>
      </c>
      <c r="Q140" s="33">
        <v>45897</v>
      </c>
      <c r="R140" s="12"/>
    </row>
    <row r="141" spans="1:18" ht="18" customHeight="1" x14ac:dyDescent="0.15">
      <c r="A141" s="196" t="s">
        <v>41</v>
      </c>
      <c r="B141" s="25"/>
      <c r="C141" s="162">
        <f>+C140+1</f>
        <v>113</v>
      </c>
      <c r="D141" s="26" t="s">
        <v>27</v>
      </c>
      <c r="E141" s="26" t="s">
        <v>27</v>
      </c>
      <c r="F141" s="195" t="s">
        <v>184</v>
      </c>
      <c r="G141" s="188">
        <v>1</v>
      </c>
      <c r="H141" s="190">
        <v>980</v>
      </c>
      <c r="I141" s="268">
        <f>G141*H141</f>
        <v>980</v>
      </c>
      <c r="J141" s="29"/>
      <c r="K141" s="108" t="s">
        <v>185</v>
      </c>
      <c r="L141" s="277"/>
      <c r="M141" s="277" t="s">
        <v>390</v>
      </c>
      <c r="N141" s="33">
        <v>45875</v>
      </c>
      <c r="O141" s="25"/>
      <c r="P141" s="33">
        <v>45896</v>
      </c>
      <c r="Q141" s="33">
        <v>45897</v>
      </c>
      <c r="R141" s="12"/>
    </row>
    <row r="142" spans="1:18" ht="18" customHeight="1" x14ac:dyDescent="0.15">
      <c r="A142" s="188" t="s">
        <v>41</v>
      </c>
      <c r="B142" s="25"/>
      <c r="C142" s="63">
        <f t="shared" ref="C142:C148" si="13">+C141+1</f>
        <v>114</v>
      </c>
      <c r="D142" s="28" t="s">
        <v>27</v>
      </c>
      <c r="E142" s="28" t="s">
        <v>27</v>
      </c>
      <c r="F142" s="189" t="s">
        <v>33</v>
      </c>
      <c r="G142" s="188">
        <v>2</v>
      </c>
      <c r="H142" s="267">
        <v>71</v>
      </c>
      <c r="I142" s="122">
        <f t="shared" si="12"/>
        <v>142</v>
      </c>
      <c r="J142" s="71"/>
      <c r="K142" s="108" t="s">
        <v>186</v>
      </c>
      <c r="L142" s="277"/>
      <c r="M142" s="277" t="s">
        <v>390</v>
      </c>
      <c r="N142" s="33">
        <v>45875</v>
      </c>
      <c r="O142" s="25"/>
      <c r="P142" s="33">
        <v>45896</v>
      </c>
      <c r="Q142" s="33">
        <v>45897</v>
      </c>
      <c r="R142" s="12"/>
    </row>
    <row r="143" spans="1:18" ht="18" customHeight="1" x14ac:dyDescent="0.15">
      <c r="A143" s="188" t="s">
        <v>41</v>
      </c>
      <c r="B143" s="25"/>
      <c r="C143" s="63">
        <f>+C142+1</f>
        <v>115</v>
      </c>
      <c r="D143" s="141" t="s">
        <v>187</v>
      </c>
      <c r="E143" s="28" t="s">
        <v>27</v>
      </c>
      <c r="F143" s="197" t="s">
        <v>215</v>
      </c>
      <c r="G143" s="198">
        <v>1</v>
      </c>
      <c r="H143" s="127">
        <v>145</v>
      </c>
      <c r="I143" s="269">
        <f>G143*H143</f>
        <v>145</v>
      </c>
      <c r="J143" s="140"/>
      <c r="K143" s="142" t="s">
        <v>188</v>
      </c>
      <c r="L143" s="277"/>
      <c r="M143" s="277" t="s">
        <v>390</v>
      </c>
      <c r="N143" s="33">
        <v>45875</v>
      </c>
      <c r="O143" s="25"/>
      <c r="P143" s="33">
        <v>45896</v>
      </c>
      <c r="Q143" s="33">
        <v>45897</v>
      </c>
      <c r="R143" s="12"/>
    </row>
    <row r="144" spans="1:18" ht="18" customHeight="1" x14ac:dyDescent="0.15">
      <c r="A144" s="188" t="s">
        <v>41</v>
      </c>
      <c r="B144" s="25"/>
      <c r="C144" s="63">
        <f t="shared" si="13"/>
        <v>116</v>
      </c>
      <c r="D144" s="28" t="s">
        <v>27</v>
      </c>
      <c r="E144" s="28" t="s">
        <v>27</v>
      </c>
      <c r="F144" s="189" t="s">
        <v>34</v>
      </c>
      <c r="G144" s="188">
        <v>2</v>
      </c>
      <c r="H144" s="267">
        <v>30</v>
      </c>
      <c r="I144" s="122">
        <f t="shared" si="12"/>
        <v>60</v>
      </c>
      <c r="J144" s="71"/>
      <c r="K144" s="108" t="s">
        <v>189</v>
      </c>
      <c r="L144" s="277"/>
      <c r="M144" s="277" t="s">
        <v>390</v>
      </c>
      <c r="N144" s="33">
        <v>45875</v>
      </c>
      <c r="O144" s="25"/>
      <c r="P144" s="33">
        <v>45896</v>
      </c>
      <c r="Q144" s="33">
        <v>45897</v>
      </c>
      <c r="R144" s="12"/>
    </row>
    <row r="145" spans="1:18" ht="18" customHeight="1" x14ac:dyDescent="0.15">
      <c r="A145" s="188" t="s">
        <v>41</v>
      </c>
      <c r="B145" s="25"/>
      <c r="C145" s="63">
        <f>+C144+1</f>
        <v>117</v>
      </c>
      <c r="D145" s="124" t="s">
        <v>27</v>
      </c>
      <c r="E145" s="124" t="s">
        <v>27</v>
      </c>
      <c r="F145" s="195" t="s">
        <v>190</v>
      </c>
      <c r="G145" s="188">
        <v>2</v>
      </c>
      <c r="H145" s="190">
        <v>287</v>
      </c>
      <c r="I145" s="127">
        <f t="shared" si="12"/>
        <v>574</v>
      </c>
      <c r="J145" s="131"/>
      <c r="K145" s="108" t="s">
        <v>140</v>
      </c>
      <c r="L145" s="277"/>
      <c r="M145" s="277" t="s">
        <v>390</v>
      </c>
      <c r="N145" s="33">
        <v>45875</v>
      </c>
      <c r="O145" s="25"/>
      <c r="P145" s="33">
        <v>45896</v>
      </c>
      <c r="Q145" s="33">
        <v>45897</v>
      </c>
      <c r="R145" s="12"/>
    </row>
    <row r="146" spans="1:18" ht="18" customHeight="1" x14ac:dyDescent="0.15">
      <c r="A146" s="188" t="s">
        <v>41</v>
      </c>
      <c r="B146" s="25"/>
      <c r="C146" s="63">
        <f>+C145+1</f>
        <v>118</v>
      </c>
      <c r="D146" s="101" t="s">
        <v>214</v>
      </c>
      <c r="E146" s="101" t="s">
        <v>27</v>
      </c>
      <c r="F146" s="201" t="s">
        <v>212</v>
      </c>
      <c r="G146" s="194">
        <v>1</v>
      </c>
      <c r="H146" s="243">
        <v>388</v>
      </c>
      <c r="I146" s="114">
        <f t="shared" si="12"/>
        <v>388</v>
      </c>
      <c r="J146" s="143"/>
      <c r="K146" s="126" t="s">
        <v>213</v>
      </c>
      <c r="L146" s="277"/>
      <c r="M146" s="277" t="s">
        <v>390</v>
      </c>
      <c r="N146" s="33">
        <v>45875</v>
      </c>
      <c r="O146" s="25"/>
      <c r="P146" s="33">
        <v>45896</v>
      </c>
      <c r="Q146" s="33">
        <v>45897</v>
      </c>
      <c r="R146" s="12"/>
    </row>
    <row r="147" spans="1:18" ht="18" customHeight="1" x14ac:dyDescent="0.15">
      <c r="A147" s="188" t="s">
        <v>41</v>
      </c>
      <c r="B147" s="25"/>
      <c r="C147" s="63">
        <f t="shared" si="13"/>
        <v>119</v>
      </c>
      <c r="D147" s="101" t="s">
        <v>27</v>
      </c>
      <c r="E147" s="109" t="s">
        <v>27</v>
      </c>
      <c r="F147" s="199" t="s">
        <v>135</v>
      </c>
      <c r="G147" s="200">
        <v>2</v>
      </c>
      <c r="H147" s="127">
        <v>128</v>
      </c>
      <c r="I147" s="268">
        <f t="shared" si="12"/>
        <v>256</v>
      </c>
      <c r="J147" s="140"/>
      <c r="K147" s="144" t="s">
        <v>191</v>
      </c>
      <c r="L147" s="277"/>
      <c r="M147" s="277" t="s">
        <v>390</v>
      </c>
      <c r="N147" s="33">
        <v>45875</v>
      </c>
      <c r="O147" s="25"/>
      <c r="P147" s="33">
        <v>45896</v>
      </c>
      <c r="Q147" s="33">
        <v>45897</v>
      </c>
      <c r="R147" s="12"/>
    </row>
    <row r="148" spans="1:18" ht="18" customHeight="1" x14ac:dyDescent="0.15">
      <c r="A148" s="188" t="s">
        <v>41</v>
      </c>
      <c r="B148" s="25"/>
      <c r="C148" s="63">
        <f t="shared" si="13"/>
        <v>120</v>
      </c>
      <c r="D148" s="109" t="s">
        <v>27</v>
      </c>
      <c r="E148" s="109" t="s">
        <v>27</v>
      </c>
      <c r="F148" s="191" t="s">
        <v>35</v>
      </c>
      <c r="G148" s="192">
        <v>2</v>
      </c>
      <c r="H148" s="203">
        <v>127</v>
      </c>
      <c r="I148" s="203">
        <f>G148*H148</f>
        <v>254</v>
      </c>
      <c r="J148" s="61"/>
      <c r="K148" s="90" t="s">
        <v>250</v>
      </c>
      <c r="L148" s="277"/>
      <c r="M148" s="277" t="s">
        <v>390</v>
      </c>
      <c r="N148" s="33">
        <v>45875</v>
      </c>
      <c r="O148" s="25"/>
      <c r="P148" s="33">
        <v>45896</v>
      </c>
      <c r="Q148" s="33">
        <v>45897</v>
      </c>
      <c r="R148" s="12"/>
    </row>
    <row r="149" spans="1:18" ht="18" customHeight="1" x14ac:dyDescent="0.15">
      <c r="A149" s="25"/>
      <c r="B149" s="25"/>
      <c r="C149" s="56"/>
      <c r="D149" s="28"/>
      <c r="E149" s="37"/>
      <c r="F149" s="60"/>
      <c r="G149" s="60"/>
      <c r="H149" s="60"/>
      <c r="I149" s="60"/>
      <c r="J149" s="38"/>
      <c r="K149" s="29"/>
      <c r="L149" s="59"/>
      <c r="M149" s="3"/>
      <c r="N149" s="20"/>
      <c r="O149" s="6"/>
      <c r="P149" s="6"/>
      <c r="Q149" s="20"/>
      <c r="R149" s="12"/>
    </row>
    <row r="150" spans="1:18" ht="18" customHeight="1" x14ac:dyDescent="0.15">
      <c r="A150" s="25"/>
      <c r="B150" s="25"/>
      <c r="C150" s="56"/>
      <c r="D150" s="28"/>
      <c r="E150" s="37"/>
      <c r="F150" s="148">
        <f>SUM(I140:I150)</f>
        <v>6034</v>
      </c>
      <c r="G150" s="60"/>
      <c r="H150" s="60"/>
      <c r="I150" s="60"/>
      <c r="J150" s="38"/>
      <c r="K150" s="29"/>
      <c r="L150" s="59"/>
      <c r="M150" s="3"/>
      <c r="N150" s="20"/>
      <c r="O150" s="6"/>
      <c r="P150" s="6"/>
      <c r="Q150" s="20"/>
      <c r="R150" s="12"/>
    </row>
    <row r="151" spans="1:18" ht="18" customHeight="1" x14ac:dyDescent="0.15">
      <c r="A151" s="25"/>
      <c r="B151" s="25"/>
      <c r="C151" s="56"/>
      <c r="D151" s="28"/>
      <c r="E151" s="37"/>
      <c r="F151" s="60"/>
      <c r="G151" s="60"/>
      <c r="H151" s="60"/>
      <c r="I151" s="60"/>
      <c r="J151" s="38"/>
      <c r="K151" s="29"/>
      <c r="L151" s="59"/>
      <c r="M151" s="3"/>
      <c r="N151" s="20"/>
      <c r="O151" s="6"/>
      <c r="P151" s="6"/>
      <c r="Q151" s="20"/>
      <c r="R151" s="12"/>
    </row>
    <row r="152" spans="1:18" ht="18" customHeight="1" x14ac:dyDescent="0.15">
      <c r="A152" s="25"/>
      <c r="B152" s="25"/>
      <c r="C152" s="56"/>
      <c r="D152" s="28"/>
      <c r="E152" s="37"/>
      <c r="F152" s="53"/>
      <c r="G152" s="54"/>
      <c r="H152" s="55"/>
      <c r="I152" s="36"/>
      <c r="J152" s="26"/>
      <c r="K152" s="35"/>
      <c r="L152" s="59"/>
      <c r="M152" s="3"/>
      <c r="N152" s="20"/>
      <c r="O152" s="6"/>
      <c r="P152" s="6"/>
      <c r="Q152" s="20"/>
      <c r="R152" s="12"/>
    </row>
    <row r="153" spans="1:18" ht="18" customHeight="1" x14ac:dyDescent="0.15">
      <c r="A153" s="25"/>
      <c r="B153" s="25"/>
      <c r="C153" s="56"/>
      <c r="D153" s="28"/>
      <c r="E153" s="37"/>
      <c r="F153" s="173"/>
      <c r="G153" s="54"/>
      <c r="H153" s="55"/>
      <c r="I153" s="36"/>
      <c r="J153" s="26"/>
      <c r="K153" s="35"/>
      <c r="L153" s="59"/>
      <c r="M153" s="3"/>
      <c r="N153" s="20"/>
      <c r="O153" s="6"/>
      <c r="P153" s="6"/>
      <c r="Q153" s="20"/>
      <c r="R153" s="12"/>
    </row>
    <row r="154" spans="1:18" ht="18" customHeight="1" x14ac:dyDescent="0.15">
      <c r="A154" s="25"/>
      <c r="B154" s="195"/>
      <c r="C154" s="56"/>
      <c r="D154" s="315" t="s">
        <v>224</v>
      </c>
      <c r="E154" s="316"/>
      <c r="F154" s="314"/>
      <c r="G154" s="60"/>
      <c r="H154" s="60"/>
      <c r="I154" s="60"/>
      <c r="J154" s="38"/>
      <c r="K154" s="29"/>
      <c r="L154" s="59"/>
      <c r="M154" s="3"/>
      <c r="N154" s="20"/>
      <c r="O154" s="6"/>
      <c r="P154" s="6"/>
      <c r="Q154" s="20"/>
      <c r="R154" s="12"/>
    </row>
    <row r="155" spans="1:18" ht="18" customHeight="1" x14ac:dyDescent="0.15">
      <c r="A155" s="188" t="s">
        <v>40</v>
      </c>
      <c r="B155" s="25"/>
      <c r="C155" s="63">
        <f>+C148+1</f>
        <v>121</v>
      </c>
      <c r="D155" s="63" t="s">
        <v>38</v>
      </c>
      <c r="E155" s="28" t="s">
        <v>27</v>
      </c>
      <c r="F155" s="187" t="s">
        <v>245</v>
      </c>
      <c r="G155" s="188">
        <v>1</v>
      </c>
      <c r="H155" s="190">
        <v>3625</v>
      </c>
      <c r="I155" s="114">
        <f t="shared" ref="I155:I156" si="14">G155*H155</f>
        <v>3625</v>
      </c>
      <c r="J155" s="185"/>
      <c r="K155" s="169" t="s">
        <v>230</v>
      </c>
      <c r="L155" s="277"/>
      <c r="M155" s="277" t="s">
        <v>390</v>
      </c>
      <c r="N155" s="33">
        <v>45875</v>
      </c>
      <c r="O155" s="25"/>
      <c r="P155" s="33">
        <v>45896</v>
      </c>
      <c r="Q155" s="33">
        <v>45897</v>
      </c>
      <c r="R155" s="12"/>
    </row>
    <row r="156" spans="1:18" ht="18" customHeight="1" x14ac:dyDescent="0.15">
      <c r="A156" s="188" t="s">
        <v>41</v>
      </c>
      <c r="B156" s="25"/>
      <c r="C156" s="63">
        <f>+C155+1</f>
        <v>122</v>
      </c>
      <c r="D156" s="28" t="s">
        <v>27</v>
      </c>
      <c r="E156" s="28" t="s">
        <v>27</v>
      </c>
      <c r="F156" s="189" t="s">
        <v>33</v>
      </c>
      <c r="G156" s="188">
        <v>2</v>
      </c>
      <c r="H156" s="267">
        <v>71</v>
      </c>
      <c r="I156" s="122">
        <f t="shared" si="14"/>
        <v>142</v>
      </c>
      <c r="J156" s="71"/>
      <c r="K156" s="108" t="s">
        <v>186</v>
      </c>
      <c r="L156" s="277"/>
      <c r="M156" s="277" t="s">
        <v>390</v>
      </c>
      <c r="N156" s="33">
        <v>45875</v>
      </c>
      <c r="O156" s="25"/>
      <c r="P156" s="33">
        <v>45896</v>
      </c>
      <c r="Q156" s="33">
        <v>45897</v>
      </c>
      <c r="R156" s="12"/>
    </row>
    <row r="157" spans="1:18" ht="18" customHeight="1" x14ac:dyDescent="0.15">
      <c r="A157" s="188" t="s">
        <v>41</v>
      </c>
      <c r="B157" s="25"/>
      <c r="C157" s="63">
        <f>+C156+1</f>
        <v>123</v>
      </c>
      <c r="D157" s="28" t="s">
        <v>27</v>
      </c>
      <c r="E157" s="28" t="s">
        <v>27</v>
      </c>
      <c r="F157" s="189" t="s">
        <v>34</v>
      </c>
      <c r="G157" s="188">
        <v>2</v>
      </c>
      <c r="H157" s="267">
        <v>30</v>
      </c>
      <c r="I157" s="122">
        <f t="shared" ref="I157:I159" si="15">G157*H157</f>
        <v>60</v>
      </c>
      <c r="J157" s="71"/>
      <c r="K157" s="108" t="s">
        <v>189</v>
      </c>
      <c r="L157" s="277"/>
      <c r="M157" s="277" t="s">
        <v>390</v>
      </c>
      <c r="N157" s="33">
        <v>45875</v>
      </c>
      <c r="O157" s="25"/>
      <c r="P157" s="33">
        <v>45896</v>
      </c>
      <c r="Q157" s="33">
        <v>45897</v>
      </c>
      <c r="R157" s="12"/>
    </row>
    <row r="158" spans="1:18" ht="18" customHeight="1" x14ac:dyDescent="0.15">
      <c r="A158" s="188" t="s">
        <v>41</v>
      </c>
      <c r="B158" s="25"/>
      <c r="C158" s="63">
        <f>+C157+1</f>
        <v>124</v>
      </c>
      <c r="D158" s="28" t="s">
        <v>27</v>
      </c>
      <c r="E158" s="28" t="s">
        <v>27</v>
      </c>
      <c r="F158" s="187" t="s">
        <v>231</v>
      </c>
      <c r="G158" s="188">
        <v>4</v>
      </c>
      <c r="H158" s="190">
        <v>247</v>
      </c>
      <c r="I158" s="107">
        <f t="shared" si="15"/>
        <v>988</v>
      </c>
      <c r="J158" s="27"/>
      <c r="K158" s="123" t="s">
        <v>131</v>
      </c>
      <c r="L158" s="277"/>
      <c r="M158" s="277" t="s">
        <v>390</v>
      </c>
      <c r="N158" s="33">
        <v>45875</v>
      </c>
      <c r="O158" s="25"/>
      <c r="P158" s="33">
        <v>45896</v>
      </c>
      <c r="Q158" s="33">
        <v>45897</v>
      </c>
      <c r="R158" s="12"/>
    </row>
    <row r="159" spans="1:18" ht="18" customHeight="1" x14ac:dyDescent="0.15">
      <c r="A159" s="188" t="s">
        <v>41</v>
      </c>
      <c r="B159" s="25"/>
      <c r="C159" s="63">
        <f t="shared" ref="C159" si="16">+C158+1</f>
        <v>125</v>
      </c>
      <c r="D159" s="101" t="s">
        <v>27</v>
      </c>
      <c r="E159" s="101" t="s">
        <v>27</v>
      </c>
      <c r="F159" s="193" t="s">
        <v>137</v>
      </c>
      <c r="G159" s="194">
        <v>3</v>
      </c>
      <c r="H159" s="243">
        <v>207</v>
      </c>
      <c r="I159" s="114">
        <f t="shared" si="15"/>
        <v>621</v>
      </c>
      <c r="J159" s="143"/>
      <c r="K159" s="126" t="s">
        <v>138</v>
      </c>
      <c r="L159" s="277"/>
      <c r="M159" s="277" t="s">
        <v>390</v>
      </c>
      <c r="N159" s="33">
        <v>45875</v>
      </c>
      <c r="O159" s="25"/>
      <c r="P159" s="33">
        <v>45896</v>
      </c>
      <c r="Q159" s="33">
        <v>45897</v>
      </c>
      <c r="R159" s="12"/>
    </row>
    <row r="160" spans="1:18" ht="18" customHeight="1" x14ac:dyDescent="0.15">
      <c r="A160" s="188" t="s">
        <v>41</v>
      </c>
      <c r="B160" s="25"/>
      <c r="C160" s="63">
        <f>+C159+1</f>
        <v>126</v>
      </c>
      <c r="D160" s="109" t="s">
        <v>27</v>
      </c>
      <c r="E160" s="109" t="s">
        <v>27</v>
      </c>
      <c r="F160" s="191" t="s">
        <v>35</v>
      </c>
      <c r="G160" s="192">
        <v>4</v>
      </c>
      <c r="H160" s="203">
        <v>127</v>
      </c>
      <c r="I160" s="203">
        <f>G160*H160</f>
        <v>508</v>
      </c>
      <c r="J160" s="61"/>
      <c r="K160" s="90" t="s">
        <v>251</v>
      </c>
      <c r="L160" s="277"/>
      <c r="M160" s="277" t="s">
        <v>390</v>
      </c>
      <c r="N160" s="33">
        <v>45875</v>
      </c>
      <c r="O160" s="25"/>
      <c r="P160" s="33">
        <v>45896</v>
      </c>
      <c r="Q160" s="33">
        <v>45897</v>
      </c>
      <c r="R160" s="12"/>
    </row>
    <row r="161" spans="1:18" ht="18" customHeight="1" x14ac:dyDescent="0.15">
      <c r="A161" s="25"/>
      <c r="B161" s="25"/>
      <c r="C161" s="56"/>
      <c r="D161" s="28"/>
      <c r="E161" s="37"/>
      <c r="F161" s="60"/>
      <c r="G161" s="60"/>
      <c r="H161" s="60"/>
      <c r="I161" s="60"/>
      <c r="J161" s="38"/>
      <c r="K161" s="29"/>
      <c r="L161" s="59"/>
      <c r="M161" s="3"/>
      <c r="N161" s="20"/>
      <c r="O161" s="6"/>
      <c r="P161" s="6"/>
      <c r="Q161" s="20"/>
      <c r="R161" s="12"/>
    </row>
    <row r="162" spans="1:18" ht="18" customHeight="1" x14ac:dyDescent="0.15">
      <c r="A162" s="25"/>
      <c r="B162" s="25"/>
      <c r="C162" s="56"/>
      <c r="D162" s="28"/>
      <c r="E162" s="37"/>
      <c r="F162" s="148">
        <f>SUM(I155:I162)</f>
        <v>5944</v>
      </c>
      <c r="G162" s="60"/>
      <c r="H162" s="60"/>
      <c r="I162" s="60"/>
      <c r="J162" s="38"/>
      <c r="K162" s="29"/>
      <c r="L162" s="59"/>
      <c r="M162" s="3"/>
      <c r="N162" s="20"/>
      <c r="O162" s="6"/>
      <c r="P162" s="6"/>
      <c r="Q162" s="20"/>
      <c r="R162" s="12"/>
    </row>
    <row r="163" spans="1:18" ht="18" customHeight="1" x14ac:dyDescent="0.15">
      <c r="A163" s="25"/>
      <c r="B163" s="25"/>
      <c r="C163" s="56"/>
      <c r="D163" s="28"/>
      <c r="E163" s="37"/>
      <c r="F163" s="173"/>
      <c r="G163" s="54"/>
      <c r="H163" s="55"/>
      <c r="I163" s="36"/>
      <c r="J163" s="26"/>
      <c r="K163" s="35"/>
      <c r="L163" s="59"/>
      <c r="M163" s="3"/>
      <c r="N163" s="20"/>
      <c r="O163" s="6"/>
      <c r="P163" s="6"/>
      <c r="Q163" s="20"/>
      <c r="R163" s="12"/>
    </row>
    <row r="164" spans="1:18" ht="18" customHeight="1" x14ac:dyDescent="0.15">
      <c r="A164" s="25"/>
      <c r="B164" s="25"/>
      <c r="C164" s="56"/>
      <c r="D164" s="28"/>
      <c r="E164" s="37"/>
      <c r="F164" s="173"/>
      <c r="G164" s="54"/>
      <c r="H164" s="55"/>
      <c r="I164" s="36"/>
      <c r="J164" s="26"/>
      <c r="K164" s="35"/>
      <c r="L164" s="59"/>
      <c r="M164" s="3"/>
      <c r="N164" s="20"/>
      <c r="O164" s="6"/>
      <c r="P164" s="6"/>
      <c r="Q164" s="20"/>
      <c r="R164" s="12"/>
    </row>
    <row r="165" spans="1:18" ht="18" customHeight="1" x14ac:dyDescent="0.15">
      <c r="A165" s="25"/>
      <c r="B165" s="25"/>
      <c r="C165" s="56"/>
      <c r="D165" s="28"/>
      <c r="E165" s="37"/>
      <c r="F165" s="173"/>
      <c r="G165" s="54"/>
      <c r="H165" s="55"/>
      <c r="I165" s="36"/>
      <c r="J165" s="26"/>
      <c r="K165" s="35"/>
      <c r="L165" s="59"/>
      <c r="M165" s="3"/>
      <c r="N165" s="20"/>
      <c r="O165" s="6"/>
      <c r="P165" s="6"/>
      <c r="Q165" s="20"/>
      <c r="R165" s="12"/>
    </row>
    <row r="166" spans="1:18" ht="18" customHeight="1" x14ac:dyDescent="0.15">
      <c r="A166" s="25"/>
      <c r="B166" s="25"/>
      <c r="C166" s="56"/>
      <c r="D166" s="28"/>
      <c r="E166" s="37"/>
      <c r="F166" s="173"/>
      <c r="G166" s="54"/>
      <c r="H166" s="55"/>
      <c r="I166" s="36"/>
      <c r="J166" s="26"/>
      <c r="K166" s="35"/>
      <c r="L166" s="59"/>
      <c r="M166" s="3"/>
      <c r="N166" s="20"/>
      <c r="O166" s="6"/>
      <c r="P166" s="6"/>
      <c r="Q166" s="20"/>
      <c r="R166" s="12"/>
    </row>
    <row r="167" spans="1:18" ht="18" customHeight="1" x14ac:dyDescent="0.15">
      <c r="A167" s="25"/>
      <c r="B167" s="25"/>
      <c r="C167" s="56"/>
      <c r="D167" s="28"/>
      <c r="E167" s="37"/>
      <c r="F167" s="173"/>
      <c r="G167" s="54"/>
      <c r="H167" s="55"/>
      <c r="I167" s="36"/>
      <c r="J167" s="26"/>
      <c r="K167" s="35"/>
      <c r="L167" s="59"/>
      <c r="M167" s="3"/>
      <c r="N167" s="20"/>
      <c r="O167" s="6"/>
      <c r="P167" s="6"/>
      <c r="Q167" s="20"/>
      <c r="R167" s="12"/>
    </row>
    <row r="168" spans="1:18" ht="18" customHeight="1" x14ac:dyDescent="0.15">
      <c r="B168" s="236"/>
      <c r="C168" s="26"/>
      <c r="D168" s="317" t="s">
        <v>143</v>
      </c>
      <c r="E168" s="318"/>
      <c r="F168" s="319"/>
      <c r="G168" s="96"/>
      <c r="H168" s="26"/>
      <c r="I168" s="36"/>
      <c r="J168" s="26"/>
      <c r="K168" s="35"/>
      <c r="L168" s="59"/>
      <c r="M168" s="3"/>
      <c r="N168" s="20"/>
      <c r="O168" s="6"/>
      <c r="P168" s="6"/>
      <c r="Q168" s="20"/>
      <c r="R168" s="12"/>
    </row>
    <row r="169" spans="1:18" ht="18" customHeight="1" x14ac:dyDescent="0.15">
      <c r="A169" s="188" t="s">
        <v>180</v>
      </c>
      <c r="C169" s="63">
        <f>+C160+1</f>
        <v>127</v>
      </c>
      <c r="D169" s="74" t="s">
        <v>23</v>
      </c>
      <c r="E169" s="74" t="s">
        <v>23</v>
      </c>
      <c r="F169" s="255" t="s">
        <v>144</v>
      </c>
      <c r="G169" s="256">
        <v>4</v>
      </c>
      <c r="H169" s="263">
        <v>3370</v>
      </c>
      <c r="I169" s="130">
        <f t="shared" ref="I169:I193" si="17">G169*H169</f>
        <v>13480</v>
      </c>
      <c r="J169" s="27"/>
      <c r="K169" s="168" t="s">
        <v>206</v>
      </c>
      <c r="L169" s="277"/>
      <c r="M169" s="277" t="s">
        <v>390</v>
      </c>
      <c r="N169" s="33">
        <v>45875</v>
      </c>
      <c r="O169" s="25"/>
      <c r="P169" s="33">
        <v>45896</v>
      </c>
      <c r="Q169" s="33">
        <v>45897</v>
      </c>
      <c r="R169" s="12"/>
    </row>
    <row r="170" spans="1:18" ht="18" customHeight="1" x14ac:dyDescent="0.15">
      <c r="A170" s="188" t="s">
        <v>181</v>
      </c>
      <c r="C170" s="63">
        <f t="shared" ref="C170:C193" si="18">+C169+1</f>
        <v>128</v>
      </c>
      <c r="D170" s="40" t="s">
        <v>23</v>
      </c>
      <c r="E170" s="40" t="s">
        <v>23</v>
      </c>
      <c r="F170" s="218" t="s">
        <v>387</v>
      </c>
      <c r="G170" s="257">
        <v>4</v>
      </c>
      <c r="H170" s="262">
        <v>674</v>
      </c>
      <c r="I170" s="132">
        <f t="shared" si="17"/>
        <v>2696</v>
      </c>
      <c r="J170" s="27"/>
      <c r="K170" s="29" t="s">
        <v>145</v>
      </c>
      <c r="L170" s="277"/>
      <c r="M170" s="277" t="s">
        <v>390</v>
      </c>
      <c r="N170" s="33">
        <v>45875</v>
      </c>
      <c r="O170" s="25"/>
      <c r="P170" s="33">
        <v>45896</v>
      </c>
      <c r="Q170" s="33">
        <v>45897</v>
      </c>
      <c r="R170" s="12"/>
    </row>
    <row r="171" spans="1:18" ht="18" customHeight="1" x14ac:dyDescent="0.15">
      <c r="A171" s="224" t="s">
        <v>181</v>
      </c>
      <c r="C171" s="63">
        <f t="shared" si="18"/>
        <v>129</v>
      </c>
      <c r="D171" s="40" t="s">
        <v>56</v>
      </c>
      <c r="E171" s="40" t="s">
        <v>23</v>
      </c>
      <c r="F171" s="187" t="s">
        <v>384</v>
      </c>
      <c r="G171" s="257">
        <v>4</v>
      </c>
      <c r="H171" s="190">
        <v>178</v>
      </c>
      <c r="I171" s="132">
        <f t="shared" si="17"/>
        <v>712</v>
      </c>
      <c r="J171" s="27"/>
      <c r="K171" s="62" t="s">
        <v>209</v>
      </c>
      <c r="L171" s="277"/>
      <c r="M171" s="277" t="s">
        <v>390</v>
      </c>
      <c r="N171" s="33">
        <v>45875</v>
      </c>
      <c r="O171" s="25"/>
      <c r="P171" s="33">
        <v>45896</v>
      </c>
      <c r="Q171" s="33">
        <v>45897</v>
      </c>
      <c r="R171" s="12"/>
    </row>
    <row r="172" spans="1:18" ht="18" customHeight="1" x14ac:dyDescent="0.15">
      <c r="A172" s="188" t="s">
        <v>41</v>
      </c>
      <c r="C172" s="63">
        <f>+C171+1</f>
        <v>130</v>
      </c>
      <c r="D172" s="40" t="s">
        <v>23</v>
      </c>
      <c r="E172" s="40" t="s">
        <v>23</v>
      </c>
      <c r="F172" s="205" t="s">
        <v>146</v>
      </c>
      <c r="G172" s="257">
        <v>4</v>
      </c>
      <c r="H172" s="190">
        <v>186</v>
      </c>
      <c r="I172" s="132">
        <f t="shared" si="17"/>
        <v>744</v>
      </c>
      <c r="J172" s="27"/>
      <c r="K172" s="29" t="s">
        <v>147</v>
      </c>
      <c r="L172" s="277"/>
      <c r="M172" s="277" t="s">
        <v>390</v>
      </c>
      <c r="N172" s="33">
        <v>45875</v>
      </c>
      <c r="O172" s="25"/>
      <c r="P172" s="33">
        <v>45896</v>
      </c>
      <c r="Q172" s="33">
        <v>45897</v>
      </c>
      <c r="R172" s="12"/>
    </row>
    <row r="173" spans="1:18" ht="18" customHeight="1" x14ac:dyDescent="0.15">
      <c r="A173" s="188" t="s">
        <v>41</v>
      </c>
      <c r="C173" s="63">
        <f t="shared" si="18"/>
        <v>131</v>
      </c>
      <c r="D173" s="40" t="s">
        <v>23</v>
      </c>
      <c r="E173" s="40" t="s">
        <v>23</v>
      </c>
      <c r="F173" s="205" t="s">
        <v>148</v>
      </c>
      <c r="G173" s="257">
        <v>4</v>
      </c>
      <c r="H173" s="190">
        <v>64</v>
      </c>
      <c r="I173" s="132">
        <f t="shared" si="17"/>
        <v>256</v>
      </c>
      <c r="J173" s="27"/>
      <c r="K173" s="168" t="s">
        <v>383</v>
      </c>
      <c r="L173" s="277"/>
      <c r="M173" s="277" t="s">
        <v>390</v>
      </c>
      <c r="N173" s="33">
        <v>45875</v>
      </c>
      <c r="O173" s="25"/>
      <c r="P173" s="33">
        <v>45896</v>
      </c>
      <c r="Q173" s="33">
        <v>45897</v>
      </c>
      <c r="R173" s="12"/>
    </row>
    <row r="174" spans="1:18" ht="18" customHeight="1" x14ac:dyDescent="0.15">
      <c r="A174" s="188" t="s">
        <v>41</v>
      </c>
      <c r="C174" s="63">
        <f t="shared" si="18"/>
        <v>132</v>
      </c>
      <c r="D174" s="40" t="s">
        <v>23</v>
      </c>
      <c r="E174" s="40" t="s">
        <v>23</v>
      </c>
      <c r="F174" s="205" t="s">
        <v>149</v>
      </c>
      <c r="G174" s="257">
        <v>8</v>
      </c>
      <c r="H174" s="190">
        <v>53</v>
      </c>
      <c r="I174" s="132">
        <f t="shared" si="17"/>
        <v>424</v>
      </c>
      <c r="J174" s="27"/>
      <c r="K174" s="131" t="s">
        <v>150</v>
      </c>
      <c r="L174" s="277"/>
      <c r="M174" s="277" t="s">
        <v>390</v>
      </c>
      <c r="N174" s="33">
        <v>45875</v>
      </c>
      <c r="O174" s="25"/>
      <c r="P174" s="33">
        <v>45896</v>
      </c>
      <c r="Q174" s="33">
        <v>45897</v>
      </c>
      <c r="R174" s="12"/>
    </row>
    <row r="175" spans="1:18" ht="18" customHeight="1" x14ac:dyDescent="0.15">
      <c r="A175" s="188" t="s">
        <v>182</v>
      </c>
      <c r="C175" s="63">
        <f>+C174+1</f>
        <v>133</v>
      </c>
      <c r="D175" s="40" t="s">
        <v>23</v>
      </c>
      <c r="E175" s="40" t="s">
        <v>23</v>
      </c>
      <c r="F175" s="187" t="s">
        <v>210</v>
      </c>
      <c r="G175" s="257">
        <v>4</v>
      </c>
      <c r="H175" s="190">
        <v>1150</v>
      </c>
      <c r="I175" s="132">
        <f t="shared" si="17"/>
        <v>4600</v>
      </c>
      <c r="J175" s="27"/>
      <c r="K175" s="131" t="s">
        <v>151</v>
      </c>
      <c r="L175" s="277"/>
      <c r="M175" s="277" t="s">
        <v>390</v>
      </c>
      <c r="N175" s="33">
        <v>45875</v>
      </c>
      <c r="O175" s="25"/>
      <c r="P175" s="33">
        <v>45896</v>
      </c>
      <c r="Q175" s="33">
        <v>45897</v>
      </c>
      <c r="R175" s="12"/>
    </row>
    <row r="176" spans="1:18" ht="18" customHeight="1" x14ac:dyDescent="0.15">
      <c r="A176" s="106" t="s">
        <v>41</v>
      </c>
      <c r="C176" s="63">
        <f t="shared" si="18"/>
        <v>134</v>
      </c>
      <c r="D176" s="40" t="s">
        <v>23</v>
      </c>
      <c r="E176" s="40" t="s">
        <v>23</v>
      </c>
      <c r="F176" s="205" t="s">
        <v>152</v>
      </c>
      <c r="G176" s="257">
        <v>6</v>
      </c>
      <c r="H176" s="190">
        <v>19</v>
      </c>
      <c r="I176" s="132">
        <f t="shared" si="17"/>
        <v>114</v>
      </c>
      <c r="J176" s="27"/>
      <c r="K176" s="29" t="s">
        <v>153</v>
      </c>
      <c r="L176" s="277"/>
      <c r="M176" s="277" t="s">
        <v>390</v>
      </c>
      <c r="N176" s="33">
        <v>45875</v>
      </c>
      <c r="O176" s="25"/>
      <c r="P176" s="33">
        <v>45896</v>
      </c>
      <c r="Q176" s="33">
        <v>45897</v>
      </c>
      <c r="R176" s="12"/>
    </row>
    <row r="177" spans="1:18" ht="18" customHeight="1" x14ac:dyDescent="0.15">
      <c r="A177" s="188" t="s">
        <v>41</v>
      </c>
      <c r="C177" s="63">
        <f t="shared" si="18"/>
        <v>135</v>
      </c>
      <c r="D177" s="40" t="s">
        <v>23</v>
      </c>
      <c r="E177" s="40" t="s">
        <v>23</v>
      </c>
      <c r="F177" s="205" t="s">
        <v>154</v>
      </c>
      <c r="G177" s="257">
        <v>8</v>
      </c>
      <c r="H177" s="190">
        <v>19</v>
      </c>
      <c r="I177" s="132">
        <f t="shared" si="17"/>
        <v>152</v>
      </c>
      <c r="J177" s="27"/>
      <c r="K177" s="29" t="s">
        <v>155</v>
      </c>
      <c r="L177" s="277"/>
      <c r="M177" s="277" t="s">
        <v>390</v>
      </c>
      <c r="N177" s="33">
        <v>45875</v>
      </c>
      <c r="O177" s="25"/>
      <c r="P177" s="33">
        <v>45896</v>
      </c>
      <c r="Q177" s="33">
        <v>45897</v>
      </c>
      <c r="R177" s="12"/>
    </row>
    <row r="178" spans="1:18" ht="18" customHeight="1" x14ac:dyDescent="0.15">
      <c r="A178" s="188" t="s">
        <v>182</v>
      </c>
      <c r="C178" s="63">
        <f t="shared" si="18"/>
        <v>136</v>
      </c>
      <c r="D178" s="40" t="s">
        <v>23</v>
      </c>
      <c r="E178" s="40" t="s">
        <v>23</v>
      </c>
      <c r="F178" s="187" t="s">
        <v>208</v>
      </c>
      <c r="G178" s="257">
        <v>2</v>
      </c>
      <c r="H178" s="190">
        <v>801</v>
      </c>
      <c r="I178" s="132">
        <f t="shared" si="17"/>
        <v>1602</v>
      </c>
      <c r="J178" s="27"/>
      <c r="K178" s="131" t="s">
        <v>151</v>
      </c>
      <c r="L178" s="277"/>
      <c r="M178" s="277" t="s">
        <v>390</v>
      </c>
      <c r="N178" s="33">
        <v>45875</v>
      </c>
      <c r="O178" s="25"/>
      <c r="P178" s="33">
        <v>45896</v>
      </c>
      <c r="Q178" s="33">
        <v>45897</v>
      </c>
      <c r="R178" s="12"/>
    </row>
    <row r="179" spans="1:18" ht="18" customHeight="1" x14ac:dyDescent="0.15">
      <c r="A179" s="188" t="s">
        <v>183</v>
      </c>
      <c r="C179" s="63">
        <f>+C178+1</f>
        <v>137</v>
      </c>
      <c r="D179" s="40" t="s">
        <v>23</v>
      </c>
      <c r="E179" s="40" t="s">
        <v>23</v>
      </c>
      <c r="F179" s="205" t="s">
        <v>156</v>
      </c>
      <c r="G179" s="257">
        <v>6</v>
      </c>
      <c r="H179" s="190">
        <v>748</v>
      </c>
      <c r="I179" s="132">
        <f t="shared" si="17"/>
        <v>4488</v>
      </c>
      <c r="J179" s="27"/>
      <c r="K179" s="29" t="s">
        <v>157</v>
      </c>
      <c r="L179" s="277"/>
      <c r="M179" s="277" t="s">
        <v>390</v>
      </c>
      <c r="N179" s="33">
        <v>45875</v>
      </c>
      <c r="O179" s="25"/>
      <c r="P179" s="33">
        <v>45896</v>
      </c>
      <c r="Q179" s="33">
        <v>45897</v>
      </c>
      <c r="R179" s="12"/>
    </row>
    <row r="180" spans="1:18" ht="18" customHeight="1" x14ac:dyDescent="0.15">
      <c r="A180" s="106" t="s">
        <v>41</v>
      </c>
      <c r="C180" s="63">
        <f t="shared" si="18"/>
        <v>138</v>
      </c>
      <c r="D180" s="40" t="s">
        <v>23</v>
      </c>
      <c r="E180" s="40" t="s">
        <v>23</v>
      </c>
      <c r="F180" s="205" t="s">
        <v>158</v>
      </c>
      <c r="G180" s="257">
        <v>10</v>
      </c>
      <c r="H180" s="190">
        <v>14</v>
      </c>
      <c r="I180" s="132">
        <f t="shared" si="17"/>
        <v>140</v>
      </c>
      <c r="J180" s="27"/>
      <c r="K180" s="131" t="s">
        <v>159</v>
      </c>
      <c r="L180" s="277"/>
      <c r="M180" s="277" t="s">
        <v>390</v>
      </c>
      <c r="N180" s="33">
        <v>45875</v>
      </c>
      <c r="O180" s="25"/>
      <c r="P180" s="33">
        <v>45896</v>
      </c>
      <c r="Q180" s="33">
        <v>45897</v>
      </c>
      <c r="R180" s="12"/>
    </row>
    <row r="181" spans="1:18" ht="18" customHeight="1" x14ac:dyDescent="0.15">
      <c r="A181" s="106" t="s">
        <v>41</v>
      </c>
      <c r="C181" s="63">
        <f t="shared" si="18"/>
        <v>139</v>
      </c>
      <c r="D181" s="82" t="s">
        <v>23</v>
      </c>
      <c r="E181" s="82" t="s">
        <v>23</v>
      </c>
      <c r="F181" s="258" t="s">
        <v>160</v>
      </c>
      <c r="G181" s="259">
        <v>10</v>
      </c>
      <c r="H181" s="264">
        <v>14</v>
      </c>
      <c r="I181" s="133">
        <f t="shared" si="17"/>
        <v>140</v>
      </c>
      <c r="J181" s="134"/>
      <c r="K181" s="135" t="s">
        <v>161</v>
      </c>
      <c r="L181" s="277"/>
      <c r="M181" s="277" t="s">
        <v>390</v>
      </c>
      <c r="N181" s="33">
        <v>45875</v>
      </c>
      <c r="O181" s="25"/>
      <c r="P181" s="33">
        <v>45896</v>
      </c>
      <c r="Q181" s="33">
        <v>45897</v>
      </c>
      <c r="R181" s="12"/>
    </row>
    <row r="182" spans="1:18" ht="18" customHeight="1" x14ac:dyDescent="0.15">
      <c r="A182" s="106" t="s">
        <v>41</v>
      </c>
      <c r="C182" s="63">
        <f t="shared" si="18"/>
        <v>140</v>
      </c>
      <c r="D182" s="40" t="s">
        <v>23</v>
      </c>
      <c r="E182" s="40" t="s">
        <v>23</v>
      </c>
      <c r="F182" s="218" t="s">
        <v>162</v>
      </c>
      <c r="G182" s="260">
        <v>16</v>
      </c>
      <c r="H182" s="262">
        <v>15</v>
      </c>
      <c r="I182" s="110">
        <f t="shared" si="17"/>
        <v>240</v>
      </c>
      <c r="J182" s="61"/>
      <c r="K182" s="47" t="s">
        <v>163</v>
      </c>
      <c r="L182" s="277"/>
      <c r="M182" s="277" t="s">
        <v>390</v>
      </c>
      <c r="N182" s="33">
        <v>45875</v>
      </c>
      <c r="O182" s="25"/>
      <c r="P182" s="33">
        <v>45896</v>
      </c>
      <c r="Q182" s="33">
        <v>45897</v>
      </c>
      <c r="R182" s="12"/>
    </row>
    <row r="183" spans="1:18" ht="18" customHeight="1" x14ac:dyDescent="0.15">
      <c r="A183" s="106" t="s">
        <v>182</v>
      </c>
      <c r="C183" s="63">
        <f>+C182+1</f>
        <v>141</v>
      </c>
      <c r="D183" s="40" t="s">
        <v>23</v>
      </c>
      <c r="E183" s="40" t="s">
        <v>23</v>
      </c>
      <c r="F183" s="187" t="s">
        <v>164</v>
      </c>
      <c r="G183" s="257">
        <v>4</v>
      </c>
      <c r="H183" s="190">
        <v>3775</v>
      </c>
      <c r="I183" s="132">
        <f t="shared" si="17"/>
        <v>15100</v>
      </c>
      <c r="J183" s="27"/>
      <c r="K183" s="29" t="s">
        <v>165</v>
      </c>
      <c r="L183" s="277"/>
      <c r="M183" s="277" t="s">
        <v>390</v>
      </c>
      <c r="N183" s="33">
        <v>45875</v>
      </c>
      <c r="O183" s="25"/>
      <c r="P183" s="33">
        <v>45896</v>
      </c>
      <c r="Q183" s="33">
        <v>45897</v>
      </c>
      <c r="R183" s="12"/>
    </row>
    <row r="184" spans="1:18" ht="18" customHeight="1" x14ac:dyDescent="0.15">
      <c r="A184" s="106" t="s">
        <v>182</v>
      </c>
      <c r="C184" s="63">
        <f t="shared" si="18"/>
        <v>142</v>
      </c>
      <c r="D184" s="40" t="s">
        <v>23</v>
      </c>
      <c r="E184" s="40" t="s">
        <v>23</v>
      </c>
      <c r="F184" s="205" t="s">
        <v>166</v>
      </c>
      <c r="G184" s="257">
        <v>2</v>
      </c>
      <c r="H184" s="190">
        <v>2606</v>
      </c>
      <c r="I184" s="132">
        <f t="shared" si="17"/>
        <v>5212</v>
      </c>
      <c r="J184" s="27"/>
      <c r="K184" s="29" t="s">
        <v>167</v>
      </c>
      <c r="L184" s="277"/>
      <c r="M184" s="277" t="s">
        <v>390</v>
      </c>
      <c r="N184" s="33">
        <v>45875</v>
      </c>
      <c r="O184" s="25"/>
      <c r="P184" s="33">
        <v>45896</v>
      </c>
      <c r="Q184" s="33">
        <v>45897</v>
      </c>
      <c r="R184" s="12"/>
    </row>
    <row r="185" spans="1:18" ht="18" customHeight="1" x14ac:dyDescent="0.15">
      <c r="A185" s="204" t="s">
        <v>54</v>
      </c>
      <c r="C185" s="63">
        <f t="shared" si="18"/>
        <v>143</v>
      </c>
      <c r="D185" s="63" t="s">
        <v>38</v>
      </c>
      <c r="E185" s="28" t="s">
        <v>27</v>
      </c>
      <c r="F185" s="187" t="s">
        <v>385</v>
      </c>
      <c r="G185" s="257">
        <v>2</v>
      </c>
      <c r="H185" s="262">
        <v>7527</v>
      </c>
      <c r="I185" s="132">
        <f t="shared" si="17"/>
        <v>15054</v>
      </c>
      <c r="J185" s="26"/>
      <c r="K185" s="136" t="s">
        <v>168</v>
      </c>
      <c r="L185" s="277"/>
      <c r="M185" s="277" t="s">
        <v>390</v>
      </c>
      <c r="N185" s="33">
        <v>45875</v>
      </c>
      <c r="O185" s="25"/>
      <c r="P185" s="33">
        <v>45896</v>
      </c>
      <c r="Q185" s="33">
        <v>45897</v>
      </c>
      <c r="R185" s="12"/>
    </row>
    <row r="186" spans="1:18" ht="18" customHeight="1" x14ac:dyDescent="0.15">
      <c r="A186" s="204" t="s">
        <v>54</v>
      </c>
      <c r="C186" s="63">
        <f t="shared" si="18"/>
        <v>144</v>
      </c>
      <c r="D186" s="63" t="s">
        <v>38</v>
      </c>
      <c r="E186" s="28" t="s">
        <v>27</v>
      </c>
      <c r="F186" s="187" t="s">
        <v>386</v>
      </c>
      <c r="G186" s="257">
        <v>1</v>
      </c>
      <c r="H186" s="262">
        <v>45638</v>
      </c>
      <c r="I186" s="132">
        <f t="shared" si="17"/>
        <v>45638</v>
      </c>
      <c r="J186" s="26"/>
      <c r="K186" s="62" t="s">
        <v>207</v>
      </c>
      <c r="L186" s="277"/>
      <c r="M186" s="277" t="s">
        <v>390</v>
      </c>
      <c r="N186" s="33">
        <v>45875</v>
      </c>
      <c r="O186" s="25"/>
      <c r="P186" s="33">
        <v>45896</v>
      </c>
      <c r="Q186" s="33">
        <v>45897</v>
      </c>
      <c r="R186" s="12"/>
    </row>
    <row r="187" spans="1:18" ht="18" customHeight="1" x14ac:dyDescent="0.15">
      <c r="A187" s="106" t="s">
        <v>41</v>
      </c>
      <c r="C187" s="63">
        <f>+C186+1</f>
        <v>145</v>
      </c>
      <c r="D187" s="56" t="s">
        <v>23</v>
      </c>
      <c r="E187" s="56" t="s">
        <v>23</v>
      </c>
      <c r="F187" s="232" t="s">
        <v>37</v>
      </c>
      <c r="G187" s="232">
        <v>8</v>
      </c>
      <c r="H187" s="265">
        <v>47</v>
      </c>
      <c r="I187" s="114">
        <f t="shared" si="17"/>
        <v>376</v>
      </c>
      <c r="J187" s="38"/>
      <c r="K187" s="72" t="s">
        <v>169</v>
      </c>
      <c r="L187" s="277"/>
      <c r="M187" s="277" t="s">
        <v>390</v>
      </c>
      <c r="N187" s="33">
        <v>45875</v>
      </c>
      <c r="O187" s="25"/>
      <c r="P187" s="33">
        <v>45896</v>
      </c>
      <c r="Q187" s="33">
        <v>45897</v>
      </c>
      <c r="R187" s="12"/>
    </row>
    <row r="188" spans="1:18" ht="18" customHeight="1" x14ac:dyDescent="0.15">
      <c r="A188" s="106" t="s">
        <v>41</v>
      </c>
      <c r="C188" s="63">
        <f t="shared" si="18"/>
        <v>146</v>
      </c>
      <c r="D188" s="56" t="s">
        <v>23</v>
      </c>
      <c r="E188" s="56" t="s">
        <v>23</v>
      </c>
      <c r="F188" s="232" t="s">
        <v>170</v>
      </c>
      <c r="G188" s="232">
        <v>4</v>
      </c>
      <c r="H188" s="265">
        <v>77</v>
      </c>
      <c r="I188" s="114">
        <f t="shared" si="17"/>
        <v>308</v>
      </c>
      <c r="J188" s="38"/>
      <c r="K188" s="72" t="s">
        <v>171</v>
      </c>
      <c r="L188" s="277"/>
      <c r="M188" s="277" t="s">
        <v>390</v>
      </c>
      <c r="N188" s="33">
        <v>45875</v>
      </c>
      <c r="O188" s="25"/>
      <c r="P188" s="33">
        <v>45896</v>
      </c>
      <c r="Q188" s="33">
        <v>45897</v>
      </c>
      <c r="R188" s="12"/>
    </row>
    <row r="189" spans="1:18" ht="18" customHeight="1" x14ac:dyDescent="0.15">
      <c r="A189" s="106" t="s">
        <v>41</v>
      </c>
      <c r="C189" s="63">
        <f t="shared" si="18"/>
        <v>147</v>
      </c>
      <c r="D189" s="74" t="s">
        <v>23</v>
      </c>
      <c r="E189" s="74" t="s">
        <v>23</v>
      </c>
      <c r="F189" s="234" t="s">
        <v>36</v>
      </c>
      <c r="G189" s="261">
        <v>6</v>
      </c>
      <c r="H189" s="266">
        <v>112</v>
      </c>
      <c r="I189" s="137">
        <f t="shared" si="17"/>
        <v>672</v>
      </c>
      <c r="J189" s="84"/>
      <c r="K189" s="85" t="s">
        <v>172</v>
      </c>
      <c r="L189" s="277"/>
      <c r="M189" s="277" t="s">
        <v>390</v>
      </c>
      <c r="N189" s="33">
        <v>45875</v>
      </c>
      <c r="O189" s="25"/>
      <c r="P189" s="33">
        <v>45896</v>
      </c>
      <c r="Q189" s="33">
        <v>45897</v>
      </c>
      <c r="R189" s="12"/>
    </row>
    <row r="190" spans="1:18" ht="18" customHeight="1" x14ac:dyDescent="0.15">
      <c r="A190" s="106" t="s">
        <v>41</v>
      </c>
      <c r="C190" s="63">
        <f>+C189+1</f>
        <v>148</v>
      </c>
      <c r="D190" s="40" t="s">
        <v>23</v>
      </c>
      <c r="E190" s="40" t="s">
        <v>23</v>
      </c>
      <c r="F190" s="205" t="s">
        <v>173</v>
      </c>
      <c r="G190" s="257">
        <v>6</v>
      </c>
      <c r="H190" s="190">
        <v>50</v>
      </c>
      <c r="I190" s="132">
        <f t="shared" si="17"/>
        <v>300</v>
      </c>
      <c r="J190" s="27"/>
      <c r="K190" s="29" t="s">
        <v>174</v>
      </c>
      <c r="L190" s="277"/>
      <c r="M190" s="277" t="s">
        <v>390</v>
      </c>
      <c r="N190" s="33">
        <v>45875</v>
      </c>
      <c r="O190" s="25"/>
      <c r="P190" s="33">
        <v>45896</v>
      </c>
      <c r="Q190" s="33">
        <v>45897</v>
      </c>
      <c r="R190" s="12"/>
    </row>
    <row r="191" spans="1:18" ht="18" customHeight="1" x14ac:dyDescent="0.15">
      <c r="A191" s="106" t="s">
        <v>41</v>
      </c>
      <c r="C191" s="63">
        <f t="shared" si="18"/>
        <v>149</v>
      </c>
      <c r="D191" s="40" t="s">
        <v>23</v>
      </c>
      <c r="E191" s="40" t="s">
        <v>23</v>
      </c>
      <c r="F191" s="205" t="s">
        <v>175</v>
      </c>
      <c r="G191" s="257">
        <v>12</v>
      </c>
      <c r="H191" s="190">
        <v>56</v>
      </c>
      <c r="I191" s="132">
        <f t="shared" si="17"/>
        <v>672</v>
      </c>
      <c r="J191" s="27"/>
      <c r="K191" s="62" t="s">
        <v>211</v>
      </c>
      <c r="L191" s="277"/>
      <c r="M191" s="277" t="s">
        <v>390</v>
      </c>
      <c r="N191" s="33">
        <v>45875</v>
      </c>
      <c r="O191" s="25"/>
      <c r="P191" s="33">
        <v>45896</v>
      </c>
      <c r="Q191" s="33">
        <v>45897</v>
      </c>
      <c r="R191" s="12"/>
    </row>
    <row r="192" spans="1:18" ht="18" customHeight="1" x14ac:dyDescent="0.15">
      <c r="A192" s="106" t="s">
        <v>41</v>
      </c>
      <c r="C192" s="63">
        <f>+C191+1</f>
        <v>150</v>
      </c>
      <c r="D192" s="40" t="s">
        <v>23</v>
      </c>
      <c r="E192" s="40" t="s">
        <v>23</v>
      </c>
      <c r="F192" s="205" t="s">
        <v>176</v>
      </c>
      <c r="G192" s="257">
        <v>4</v>
      </c>
      <c r="H192" s="190">
        <v>56</v>
      </c>
      <c r="I192" s="132">
        <f t="shared" si="17"/>
        <v>224</v>
      </c>
      <c r="J192" s="27"/>
      <c r="K192" s="29" t="s">
        <v>177</v>
      </c>
      <c r="L192" s="277"/>
      <c r="M192" s="277" t="s">
        <v>390</v>
      </c>
      <c r="N192" s="33">
        <v>45875</v>
      </c>
      <c r="O192" s="25"/>
      <c r="P192" s="33">
        <v>45896</v>
      </c>
      <c r="Q192" s="33">
        <v>45897</v>
      </c>
      <c r="R192" s="12"/>
    </row>
    <row r="193" spans="1:18" ht="18" customHeight="1" x14ac:dyDescent="0.15">
      <c r="A193" s="106" t="s">
        <v>41</v>
      </c>
      <c r="C193" s="63">
        <f t="shared" si="18"/>
        <v>151</v>
      </c>
      <c r="D193" s="40" t="s">
        <v>23</v>
      </c>
      <c r="E193" s="40" t="s">
        <v>23</v>
      </c>
      <c r="F193" s="205" t="s">
        <v>178</v>
      </c>
      <c r="G193" s="257">
        <v>4</v>
      </c>
      <c r="H193" s="190">
        <v>56</v>
      </c>
      <c r="I193" s="132">
        <f t="shared" si="17"/>
        <v>224</v>
      </c>
      <c r="J193" s="27"/>
      <c r="K193" s="71" t="s">
        <v>179</v>
      </c>
      <c r="L193" s="277"/>
      <c r="M193" s="277" t="s">
        <v>390</v>
      </c>
      <c r="N193" s="33">
        <v>45875</v>
      </c>
      <c r="O193" s="25"/>
      <c r="P193" s="33">
        <v>45896</v>
      </c>
      <c r="Q193" s="33">
        <v>45897</v>
      </c>
      <c r="R193" s="12"/>
    </row>
    <row r="194" spans="1:18" ht="18" customHeight="1" x14ac:dyDescent="0.15">
      <c r="C194" s="28"/>
      <c r="D194" s="28"/>
      <c r="E194" s="28"/>
      <c r="F194" s="26"/>
      <c r="G194" s="25"/>
      <c r="H194" s="26"/>
      <c r="I194" s="27"/>
      <c r="J194" s="71"/>
      <c r="K194" s="26"/>
      <c r="L194" s="59"/>
      <c r="M194" s="3"/>
      <c r="N194" s="20"/>
      <c r="O194" s="6"/>
      <c r="P194" s="6"/>
      <c r="Q194" s="20"/>
      <c r="R194" s="12"/>
    </row>
    <row r="195" spans="1:18" ht="18" customHeight="1" x14ac:dyDescent="0.15">
      <c r="C195" s="28"/>
      <c r="D195" s="28"/>
      <c r="E195" s="28"/>
      <c r="F195" s="73">
        <f>SUM(I169:I194)</f>
        <v>113568</v>
      </c>
      <c r="G195" s="25"/>
      <c r="H195" s="26"/>
      <c r="I195" s="27"/>
      <c r="J195" s="71"/>
      <c r="K195" s="26"/>
      <c r="L195" s="59"/>
      <c r="M195" s="3"/>
      <c r="N195" s="20"/>
      <c r="O195" s="6"/>
      <c r="P195" s="6"/>
      <c r="Q195" s="20"/>
      <c r="R195" s="12"/>
    </row>
    <row r="196" spans="1:18" ht="18" customHeight="1" x14ac:dyDescent="0.15">
      <c r="C196" s="28"/>
      <c r="D196" s="28"/>
      <c r="E196" s="28"/>
      <c r="F196" s="26"/>
      <c r="G196" s="25"/>
      <c r="H196" s="26"/>
      <c r="I196" s="27"/>
      <c r="J196" s="71"/>
      <c r="K196" s="26"/>
      <c r="L196" s="59"/>
      <c r="M196" s="3"/>
      <c r="N196" s="20"/>
      <c r="O196" s="6"/>
      <c r="P196" s="6"/>
      <c r="Q196" s="20"/>
      <c r="R196" s="12"/>
    </row>
    <row r="197" spans="1:18" ht="18" customHeight="1" x14ac:dyDescent="0.15">
      <c r="C197" s="26"/>
      <c r="D197" s="52"/>
      <c r="E197" s="52"/>
      <c r="F197" s="53"/>
      <c r="G197" s="54"/>
      <c r="H197" s="55"/>
      <c r="I197" s="36"/>
      <c r="J197" s="26"/>
      <c r="K197" s="35"/>
      <c r="L197" s="59"/>
      <c r="M197" s="3"/>
      <c r="N197" s="20"/>
      <c r="O197" s="6"/>
      <c r="P197" s="6"/>
      <c r="Q197" s="20"/>
      <c r="R197" s="12"/>
    </row>
    <row r="198" spans="1:18" ht="18" customHeight="1" x14ac:dyDescent="0.15">
      <c r="C198" s="26"/>
      <c r="D198" s="52"/>
      <c r="E198" s="52"/>
      <c r="F198" s="53"/>
      <c r="G198" s="54"/>
      <c r="H198" s="55"/>
      <c r="I198" s="36"/>
      <c r="J198" s="26"/>
      <c r="K198" s="35"/>
      <c r="L198" s="59"/>
      <c r="M198" s="3"/>
      <c r="N198" s="20"/>
      <c r="O198" s="6"/>
      <c r="P198" s="6"/>
      <c r="Q198" s="20"/>
      <c r="R198" s="12"/>
    </row>
    <row r="199" spans="1:18" ht="18" customHeight="1" x14ac:dyDescent="0.15">
      <c r="B199" s="236"/>
      <c r="C199" s="26"/>
      <c r="D199" s="317" t="s">
        <v>78</v>
      </c>
      <c r="E199" s="318"/>
      <c r="F199" s="319"/>
      <c r="G199" s="54"/>
      <c r="H199" s="55"/>
      <c r="I199" s="36"/>
      <c r="J199" s="26"/>
      <c r="K199" s="35"/>
      <c r="L199" s="59"/>
      <c r="M199" s="3"/>
      <c r="N199" s="20"/>
      <c r="O199" s="6"/>
      <c r="P199" s="6"/>
      <c r="Q199" s="20"/>
      <c r="R199" s="12"/>
    </row>
    <row r="200" spans="1:18" ht="18" customHeight="1" x14ac:dyDescent="0.15">
      <c r="A200" s="204" t="s">
        <v>54</v>
      </c>
      <c r="B200" s="103">
        <v>2</v>
      </c>
      <c r="C200" s="104">
        <f>C193+1</f>
        <v>152</v>
      </c>
      <c r="D200" s="63" t="s">
        <v>38</v>
      </c>
      <c r="E200" s="63" t="s">
        <v>27</v>
      </c>
      <c r="F200" s="228" t="s">
        <v>260</v>
      </c>
      <c r="G200" s="229">
        <v>1</v>
      </c>
      <c r="H200" s="264">
        <v>10487</v>
      </c>
      <c r="I200" s="114">
        <f t="shared" ref="I200:I214" si="19">G200*H200</f>
        <v>10487</v>
      </c>
      <c r="J200" s="26"/>
      <c r="K200" s="35" t="s">
        <v>79</v>
      </c>
      <c r="L200" s="277"/>
      <c r="M200" s="277" t="s">
        <v>390</v>
      </c>
      <c r="N200" s="33">
        <v>45875</v>
      </c>
      <c r="O200" s="25"/>
      <c r="P200" s="33">
        <v>45896</v>
      </c>
      <c r="Q200" s="33">
        <v>45897</v>
      </c>
      <c r="R200" s="12"/>
    </row>
    <row r="201" spans="1:18" ht="18" customHeight="1" x14ac:dyDescent="0.15">
      <c r="A201" s="188" t="s">
        <v>41</v>
      </c>
      <c r="B201" s="103">
        <v>2</v>
      </c>
      <c r="C201" s="63">
        <f t="shared" ref="C201:C214" si="20">+C200+1</f>
        <v>153</v>
      </c>
      <c r="D201" s="56" t="s">
        <v>23</v>
      </c>
      <c r="E201" s="56" t="s">
        <v>23</v>
      </c>
      <c r="F201" s="232" t="s">
        <v>37</v>
      </c>
      <c r="G201" s="233">
        <v>8</v>
      </c>
      <c r="H201" s="270">
        <v>47</v>
      </c>
      <c r="I201" s="114">
        <f t="shared" si="19"/>
        <v>376</v>
      </c>
      <c r="J201" s="38"/>
      <c r="K201" s="72" t="s">
        <v>80</v>
      </c>
      <c r="L201" s="277"/>
      <c r="M201" s="277" t="s">
        <v>390</v>
      </c>
      <c r="N201" s="33">
        <v>45875</v>
      </c>
      <c r="O201" s="25"/>
      <c r="P201" s="33">
        <v>45896</v>
      </c>
      <c r="Q201" s="33">
        <v>45897</v>
      </c>
      <c r="R201" s="12"/>
    </row>
    <row r="202" spans="1:18" ht="18" customHeight="1" x14ac:dyDescent="0.15">
      <c r="A202" s="188" t="s">
        <v>41</v>
      </c>
      <c r="B202" s="103">
        <v>2</v>
      </c>
      <c r="C202" s="63">
        <f t="shared" si="20"/>
        <v>154</v>
      </c>
      <c r="D202" s="56" t="s">
        <v>23</v>
      </c>
      <c r="E202" s="56" t="s">
        <v>23</v>
      </c>
      <c r="F202" s="230" t="s">
        <v>81</v>
      </c>
      <c r="G202" s="231">
        <v>1</v>
      </c>
      <c r="H202" s="262">
        <v>871</v>
      </c>
      <c r="I202" s="114">
        <f t="shared" si="19"/>
        <v>871</v>
      </c>
      <c r="J202" s="26"/>
      <c r="K202" s="35" t="s">
        <v>261</v>
      </c>
      <c r="L202" s="277"/>
      <c r="M202" s="277" t="s">
        <v>390</v>
      </c>
      <c r="N202" s="33">
        <v>45875</v>
      </c>
      <c r="O202" s="25"/>
      <c r="P202" s="33">
        <v>45896</v>
      </c>
      <c r="Q202" s="33">
        <v>45897</v>
      </c>
      <c r="R202" s="12"/>
    </row>
    <row r="203" spans="1:18" ht="18" customHeight="1" x14ac:dyDescent="0.15">
      <c r="A203" s="196" t="s">
        <v>41</v>
      </c>
      <c r="B203" s="103">
        <v>2</v>
      </c>
      <c r="C203" s="63">
        <f t="shared" si="20"/>
        <v>155</v>
      </c>
      <c r="D203" s="74" t="s">
        <v>23</v>
      </c>
      <c r="E203" s="74" t="s">
        <v>23</v>
      </c>
      <c r="F203" s="234" t="s">
        <v>82</v>
      </c>
      <c r="G203" s="235">
        <v>4</v>
      </c>
      <c r="H203" s="266">
        <v>120</v>
      </c>
      <c r="I203" s="114">
        <f t="shared" si="19"/>
        <v>480</v>
      </c>
      <c r="J203" s="84"/>
      <c r="K203" s="85" t="s">
        <v>83</v>
      </c>
      <c r="L203" s="277"/>
      <c r="M203" s="277" t="s">
        <v>390</v>
      </c>
      <c r="N203" s="33">
        <v>45875</v>
      </c>
      <c r="O203" s="25"/>
      <c r="P203" s="33">
        <v>45896</v>
      </c>
      <c r="Q203" s="33">
        <v>45897</v>
      </c>
      <c r="R203" s="12"/>
    </row>
    <row r="204" spans="1:18" ht="18" customHeight="1" x14ac:dyDescent="0.15">
      <c r="A204" s="196" t="s">
        <v>41</v>
      </c>
      <c r="B204" s="103">
        <v>2</v>
      </c>
      <c r="C204" s="63">
        <f t="shared" si="20"/>
        <v>156</v>
      </c>
      <c r="D204" s="74" t="s">
        <v>23</v>
      </c>
      <c r="E204" s="74" t="s">
        <v>23</v>
      </c>
      <c r="F204" s="234" t="s">
        <v>84</v>
      </c>
      <c r="G204" s="235">
        <v>4</v>
      </c>
      <c r="H204" s="266">
        <v>118</v>
      </c>
      <c r="I204" s="114">
        <f t="shared" si="19"/>
        <v>472</v>
      </c>
      <c r="J204" s="84"/>
      <c r="K204" s="85" t="s">
        <v>83</v>
      </c>
      <c r="L204" s="277"/>
      <c r="M204" s="277" t="s">
        <v>390</v>
      </c>
      <c r="N204" s="33">
        <v>45875</v>
      </c>
      <c r="O204" s="25"/>
      <c r="P204" s="33">
        <v>45896</v>
      </c>
      <c r="Q204" s="33">
        <v>45897</v>
      </c>
      <c r="R204" s="12"/>
    </row>
    <row r="205" spans="1:18" ht="18" customHeight="1" x14ac:dyDescent="0.15">
      <c r="A205" s="204" t="s">
        <v>54</v>
      </c>
      <c r="B205" s="103">
        <v>2</v>
      </c>
      <c r="C205" s="63">
        <f t="shared" si="20"/>
        <v>157</v>
      </c>
      <c r="D205" s="63" t="s">
        <v>38</v>
      </c>
      <c r="E205" s="63" t="s">
        <v>27</v>
      </c>
      <c r="F205" s="228" t="s">
        <v>259</v>
      </c>
      <c r="G205" s="229">
        <v>2</v>
      </c>
      <c r="H205" s="264">
        <v>8300</v>
      </c>
      <c r="I205" s="114">
        <f t="shared" si="19"/>
        <v>16600</v>
      </c>
      <c r="J205" s="26"/>
      <c r="K205" s="35" t="s">
        <v>85</v>
      </c>
      <c r="L205" s="277"/>
      <c r="M205" s="277" t="s">
        <v>390</v>
      </c>
      <c r="N205" s="33">
        <v>45875</v>
      </c>
      <c r="O205" s="25"/>
      <c r="P205" s="33">
        <v>45896</v>
      </c>
      <c r="Q205" s="33">
        <v>45897</v>
      </c>
      <c r="R205" s="98"/>
    </row>
    <row r="206" spans="1:18" ht="18" customHeight="1" x14ac:dyDescent="0.15">
      <c r="A206" s="224" t="s">
        <v>42</v>
      </c>
      <c r="B206" s="103">
        <v>2</v>
      </c>
      <c r="C206" s="63">
        <f t="shared" si="20"/>
        <v>158</v>
      </c>
      <c r="D206" s="74" t="s">
        <v>23</v>
      </c>
      <c r="E206" s="74" t="s">
        <v>23</v>
      </c>
      <c r="F206" s="228" t="s">
        <v>86</v>
      </c>
      <c r="G206" s="229">
        <v>4</v>
      </c>
      <c r="H206" s="264">
        <v>292</v>
      </c>
      <c r="I206" s="114">
        <f t="shared" si="19"/>
        <v>1168</v>
      </c>
      <c r="J206" s="26"/>
      <c r="K206" s="30" t="s">
        <v>256</v>
      </c>
      <c r="L206" s="277"/>
      <c r="M206" s="277" t="s">
        <v>390</v>
      </c>
      <c r="N206" s="33">
        <v>45875</v>
      </c>
      <c r="O206" s="25"/>
      <c r="P206" s="33">
        <v>45896</v>
      </c>
      <c r="Q206" s="33">
        <v>45897</v>
      </c>
      <c r="R206" s="31"/>
    </row>
    <row r="207" spans="1:18" ht="18" customHeight="1" x14ac:dyDescent="0.15">
      <c r="A207" s="188" t="s">
        <v>41</v>
      </c>
      <c r="B207" s="103">
        <v>2</v>
      </c>
      <c r="C207" s="63">
        <f t="shared" si="20"/>
        <v>159</v>
      </c>
      <c r="D207" s="56" t="s">
        <v>23</v>
      </c>
      <c r="E207" s="56" t="s">
        <v>23</v>
      </c>
      <c r="F207" s="232" t="s">
        <v>37</v>
      </c>
      <c r="G207" s="233">
        <v>6</v>
      </c>
      <c r="H207" s="270">
        <v>77</v>
      </c>
      <c r="I207" s="114">
        <f t="shared" si="19"/>
        <v>462</v>
      </c>
      <c r="J207" s="38"/>
      <c r="K207" s="72" t="s">
        <v>87</v>
      </c>
      <c r="L207" s="277"/>
      <c r="M207" s="277" t="s">
        <v>390</v>
      </c>
      <c r="N207" s="33">
        <v>45875</v>
      </c>
      <c r="O207" s="25"/>
      <c r="P207" s="33">
        <v>45896</v>
      </c>
      <c r="Q207" s="33">
        <v>45897</v>
      </c>
      <c r="R207" s="31"/>
    </row>
    <row r="208" spans="1:18" ht="18" customHeight="1" x14ac:dyDescent="0.15">
      <c r="A208" s="196" t="s">
        <v>41</v>
      </c>
      <c r="B208" s="103">
        <v>2</v>
      </c>
      <c r="C208" s="63">
        <f t="shared" si="20"/>
        <v>160</v>
      </c>
      <c r="D208" s="74" t="s">
        <v>23</v>
      </c>
      <c r="E208" s="74" t="s">
        <v>23</v>
      </c>
      <c r="F208" s="234" t="s">
        <v>88</v>
      </c>
      <c r="G208" s="235">
        <v>4</v>
      </c>
      <c r="H208" s="266">
        <v>120</v>
      </c>
      <c r="I208" s="114">
        <f t="shared" si="19"/>
        <v>480</v>
      </c>
      <c r="J208" s="84"/>
      <c r="K208" s="85" t="s">
        <v>83</v>
      </c>
      <c r="L208" s="277"/>
      <c r="M208" s="277" t="s">
        <v>390</v>
      </c>
      <c r="N208" s="33">
        <v>45875</v>
      </c>
      <c r="O208" s="25"/>
      <c r="P208" s="33">
        <v>45896</v>
      </c>
      <c r="Q208" s="33">
        <v>45897</v>
      </c>
      <c r="R208" s="31"/>
    </row>
    <row r="209" spans="1:18" ht="18" customHeight="1" x14ac:dyDescent="0.15">
      <c r="A209" s="204" t="s">
        <v>54</v>
      </c>
      <c r="B209" s="103">
        <v>2</v>
      </c>
      <c r="C209" s="63">
        <f t="shared" si="20"/>
        <v>161</v>
      </c>
      <c r="D209" s="63" t="s">
        <v>38</v>
      </c>
      <c r="E209" s="63" t="s">
        <v>27</v>
      </c>
      <c r="F209" s="228" t="s">
        <v>258</v>
      </c>
      <c r="G209" s="229">
        <v>1</v>
      </c>
      <c r="H209" s="264">
        <v>5842</v>
      </c>
      <c r="I209" s="114">
        <f t="shared" si="19"/>
        <v>5842</v>
      </c>
      <c r="J209" s="26"/>
      <c r="K209" s="35" t="s">
        <v>89</v>
      </c>
      <c r="L209" s="277"/>
      <c r="M209" s="277" t="s">
        <v>390</v>
      </c>
      <c r="N209" s="33">
        <v>45875</v>
      </c>
      <c r="O209" s="25"/>
      <c r="P209" s="33">
        <v>45896</v>
      </c>
      <c r="Q209" s="33">
        <v>45897</v>
      </c>
      <c r="R209" s="31"/>
    </row>
    <row r="210" spans="1:18" ht="18" customHeight="1" x14ac:dyDescent="0.15">
      <c r="A210" s="188" t="s">
        <v>41</v>
      </c>
      <c r="B210" s="103">
        <v>2</v>
      </c>
      <c r="C210" s="63">
        <f t="shared" si="20"/>
        <v>162</v>
      </c>
      <c r="D210" s="56" t="s">
        <v>23</v>
      </c>
      <c r="E210" s="56" t="s">
        <v>23</v>
      </c>
      <c r="F210" s="232" t="s">
        <v>90</v>
      </c>
      <c r="G210" s="233">
        <v>4</v>
      </c>
      <c r="H210" s="270">
        <v>77</v>
      </c>
      <c r="I210" s="114">
        <f t="shared" si="19"/>
        <v>308</v>
      </c>
      <c r="J210" s="38"/>
      <c r="K210" s="72" t="s">
        <v>91</v>
      </c>
      <c r="L210" s="277"/>
      <c r="M210" s="277" t="s">
        <v>390</v>
      </c>
      <c r="N210" s="33">
        <v>45875</v>
      </c>
      <c r="O210" s="25"/>
      <c r="P210" s="33">
        <v>45896</v>
      </c>
      <c r="Q210" s="33">
        <v>45897</v>
      </c>
      <c r="R210" s="31"/>
    </row>
    <row r="211" spans="1:18" ht="18" customHeight="1" x14ac:dyDescent="0.15">
      <c r="A211" s="188" t="s">
        <v>41</v>
      </c>
      <c r="B211" s="103">
        <v>2</v>
      </c>
      <c r="C211" s="63">
        <f t="shared" si="20"/>
        <v>163</v>
      </c>
      <c r="D211" s="40" t="s">
        <v>23</v>
      </c>
      <c r="E211" s="40" t="s">
        <v>23</v>
      </c>
      <c r="F211" s="218" t="s">
        <v>82</v>
      </c>
      <c r="G211" s="231">
        <v>4</v>
      </c>
      <c r="H211" s="262">
        <v>120</v>
      </c>
      <c r="I211" s="114">
        <f t="shared" si="19"/>
        <v>480</v>
      </c>
      <c r="J211" s="42"/>
      <c r="K211" s="47" t="s">
        <v>83</v>
      </c>
      <c r="L211" s="277"/>
      <c r="M211" s="277" t="s">
        <v>390</v>
      </c>
      <c r="N211" s="33">
        <v>45875</v>
      </c>
      <c r="O211" s="25"/>
      <c r="P211" s="33">
        <v>45896</v>
      </c>
      <c r="Q211" s="33">
        <v>45897</v>
      </c>
      <c r="R211" s="31"/>
    </row>
    <row r="212" spans="1:18" ht="18" customHeight="1" x14ac:dyDescent="0.15">
      <c r="A212" s="224" t="s">
        <v>40</v>
      </c>
      <c r="B212" s="103">
        <v>2</v>
      </c>
      <c r="C212" s="63">
        <f t="shared" si="20"/>
        <v>164</v>
      </c>
      <c r="D212" s="40" t="s">
        <v>23</v>
      </c>
      <c r="E212" s="40" t="s">
        <v>23</v>
      </c>
      <c r="F212" s="218" t="s">
        <v>94</v>
      </c>
      <c r="G212" s="231">
        <v>1</v>
      </c>
      <c r="H212" s="262">
        <v>6826</v>
      </c>
      <c r="I212" s="114">
        <f t="shared" si="19"/>
        <v>6826</v>
      </c>
      <c r="J212" s="42"/>
      <c r="K212" s="47" t="s">
        <v>96</v>
      </c>
      <c r="L212" s="277"/>
      <c r="M212" s="277" t="s">
        <v>390</v>
      </c>
      <c r="N212" s="33">
        <v>45875</v>
      </c>
      <c r="O212" s="25"/>
      <c r="P212" s="33">
        <v>45896</v>
      </c>
      <c r="Q212" s="33">
        <v>45897</v>
      </c>
      <c r="R212" s="31"/>
    </row>
    <row r="213" spans="1:18" ht="18" customHeight="1" x14ac:dyDescent="0.15">
      <c r="A213" s="188" t="s">
        <v>41</v>
      </c>
      <c r="B213" s="103">
        <v>2</v>
      </c>
      <c r="C213" s="63">
        <f t="shared" si="20"/>
        <v>165</v>
      </c>
      <c r="D213" s="40" t="s">
        <v>23</v>
      </c>
      <c r="E213" s="40" t="s">
        <v>23</v>
      </c>
      <c r="F213" s="218" t="s">
        <v>92</v>
      </c>
      <c r="G213" s="231">
        <v>13</v>
      </c>
      <c r="H213" s="262">
        <v>13</v>
      </c>
      <c r="I213" s="114">
        <f t="shared" si="19"/>
        <v>169</v>
      </c>
      <c r="J213" s="84"/>
      <c r="K213" s="85" t="s">
        <v>262</v>
      </c>
      <c r="L213" s="277"/>
      <c r="M213" s="277" t="s">
        <v>390</v>
      </c>
      <c r="N213" s="33">
        <v>45875</v>
      </c>
      <c r="O213" s="25"/>
      <c r="P213" s="33">
        <v>45896</v>
      </c>
      <c r="Q213" s="33">
        <v>45897</v>
      </c>
      <c r="R213" s="31"/>
    </row>
    <row r="214" spans="1:18" ht="18" customHeight="1" x14ac:dyDescent="0.15">
      <c r="A214" s="188" t="s">
        <v>41</v>
      </c>
      <c r="B214" s="103">
        <v>2</v>
      </c>
      <c r="C214" s="63">
        <f t="shared" si="20"/>
        <v>166</v>
      </c>
      <c r="D214" s="40" t="s">
        <v>56</v>
      </c>
      <c r="E214" s="40" t="s">
        <v>23</v>
      </c>
      <c r="F214" s="218" t="s">
        <v>93</v>
      </c>
      <c r="G214" s="231">
        <v>13</v>
      </c>
      <c r="H214" s="262">
        <v>18</v>
      </c>
      <c r="I214" s="114">
        <f t="shared" si="19"/>
        <v>234</v>
      </c>
      <c r="J214" s="84"/>
      <c r="K214" s="85" t="s">
        <v>95</v>
      </c>
      <c r="L214" s="277"/>
      <c r="M214" s="277" t="s">
        <v>390</v>
      </c>
      <c r="N214" s="33">
        <v>45875</v>
      </c>
      <c r="O214" s="25"/>
      <c r="P214" s="33">
        <v>45896</v>
      </c>
      <c r="Q214" s="33">
        <v>45897</v>
      </c>
      <c r="R214" s="31"/>
    </row>
    <row r="215" spans="1:18" ht="18" customHeight="1" x14ac:dyDescent="0.15">
      <c r="A215" s="5"/>
      <c r="B215" s="93"/>
      <c r="C215" s="28"/>
      <c r="D215" s="82"/>
      <c r="E215" s="82"/>
      <c r="F215" s="47"/>
      <c r="G215" s="94"/>
      <c r="H215" s="95"/>
      <c r="I215" s="48"/>
      <c r="J215" s="84"/>
      <c r="K215" s="85"/>
      <c r="L215" s="59"/>
      <c r="M215" s="3"/>
      <c r="N215" s="20"/>
      <c r="O215" s="6"/>
      <c r="P215" s="97"/>
      <c r="Q215" s="100"/>
      <c r="R215" s="31"/>
    </row>
    <row r="216" spans="1:18" ht="18" customHeight="1" x14ac:dyDescent="0.15">
      <c r="C216" s="26"/>
      <c r="D216" s="52"/>
      <c r="E216" s="52"/>
      <c r="F216" s="73">
        <f>SUM(I200:I214)</f>
        <v>45255</v>
      </c>
      <c r="G216" s="54"/>
      <c r="H216" s="55"/>
      <c r="I216" s="36"/>
      <c r="J216" s="26"/>
      <c r="K216" s="35"/>
      <c r="L216" s="59"/>
      <c r="M216" s="3"/>
      <c r="N216" s="20"/>
      <c r="O216" s="6"/>
      <c r="P216" s="97"/>
      <c r="Q216" s="100"/>
      <c r="R216" s="31"/>
    </row>
    <row r="217" spans="1:18" ht="18" customHeight="1" x14ac:dyDescent="0.15">
      <c r="C217" s="26"/>
      <c r="D217" s="52"/>
      <c r="E217" s="52"/>
      <c r="F217" s="53"/>
      <c r="G217" s="54"/>
      <c r="H217" s="55"/>
      <c r="I217" s="36"/>
      <c r="J217" s="26"/>
      <c r="K217" s="35"/>
      <c r="L217" s="59"/>
      <c r="M217" s="3"/>
      <c r="N217" s="20"/>
      <c r="O217" s="6"/>
      <c r="P217" s="97"/>
      <c r="Q217" s="100"/>
      <c r="R217" s="31"/>
    </row>
    <row r="218" spans="1:18" ht="18" customHeight="1" x14ac:dyDescent="0.15">
      <c r="C218" s="26"/>
      <c r="D218" s="52"/>
      <c r="E218" s="52"/>
      <c r="F218" s="53"/>
      <c r="G218" s="54"/>
      <c r="H218" s="55"/>
      <c r="I218" s="36"/>
      <c r="J218" s="26"/>
      <c r="K218" s="35"/>
      <c r="L218" s="59"/>
      <c r="M218" s="3"/>
      <c r="N218" s="20"/>
      <c r="O218" s="6"/>
      <c r="P218" s="97"/>
      <c r="Q218" s="100"/>
      <c r="R218" s="31"/>
    </row>
    <row r="219" spans="1:18" ht="18" customHeight="1" x14ac:dyDescent="0.15">
      <c r="C219" s="26"/>
      <c r="D219" s="28"/>
      <c r="E219" s="28"/>
      <c r="F219" s="44"/>
      <c r="G219" s="36"/>
      <c r="H219" s="36"/>
      <c r="I219" s="36"/>
      <c r="J219" s="38"/>
      <c r="K219" s="39"/>
      <c r="L219" s="59"/>
      <c r="M219" s="3"/>
      <c r="N219" s="20"/>
      <c r="O219" s="6"/>
      <c r="P219" s="97"/>
      <c r="Q219" s="100"/>
      <c r="R219" s="31"/>
    </row>
    <row r="220" spans="1:18" ht="18" customHeight="1" x14ac:dyDescent="0.15">
      <c r="B220" s="227"/>
      <c r="C220" s="56"/>
      <c r="D220" s="320" t="s">
        <v>28</v>
      </c>
      <c r="E220" s="321"/>
      <c r="F220" s="321"/>
      <c r="G220" s="43"/>
      <c r="H220" s="50"/>
      <c r="I220" s="50"/>
      <c r="J220" s="14"/>
      <c r="K220" s="22"/>
      <c r="L220" s="19"/>
      <c r="M220" s="3"/>
      <c r="N220" s="20"/>
      <c r="O220" s="6"/>
      <c r="P220" s="97"/>
      <c r="Q220" s="100"/>
      <c r="R220" s="31"/>
    </row>
    <row r="221" spans="1:18" ht="18" customHeight="1" x14ac:dyDescent="0.15">
      <c r="A221" s="204" t="s">
        <v>40</v>
      </c>
      <c r="B221" s="103">
        <v>2</v>
      </c>
      <c r="C221" s="63">
        <f>+C214+1</f>
        <v>167</v>
      </c>
      <c r="D221" s="63" t="s">
        <v>38</v>
      </c>
      <c r="E221" s="28" t="s">
        <v>27</v>
      </c>
      <c r="F221" s="202" t="s">
        <v>244</v>
      </c>
      <c r="G221" s="188">
        <v>1</v>
      </c>
      <c r="H221" s="203">
        <v>8940</v>
      </c>
      <c r="I221" s="107">
        <f t="shared" ref="I221:I249" si="21">G221*H221</f>
        <v>8940</v>
      </c>
      <c r="J221" s="27"/>
      <c r="K221" s="184" t="s">
        <v>217</v>
      </c>
      <c r="L221" s="277"/>
      <c r="M221" s="277" t="s">
        <v>390</v>
      </c>
      <c r="N221" s="33">
        <v>45875</v>
      </c>
      <c r="O221" s="25"/>
      <c r="P221" s="33">
        <v>45896</v>
      </c>
      <c r="Q221" s="33">
        <v>45897</v>
      </c>
      <c r="R221" s="31"/>
    </row>
    <row r="222" spans="1:18" ht="18" customHeight="1" x14ac:dyDescent="0.15">
      <c r="A222" s="188" t="s">
        <v>68</v>
      </c>
      <c r="B222" s="103">
        <v>2</v>
      </c>
      <c r="C222" s="63">
        <f>+C221+1</f>
        <v>168</v>
      </c>
      <c r="D222" s="40" t="s">
        <v>27</v>
      </c>
      <c r="E222" s="40" t="s">
        <v>27</v>
      </c>
      <c r="F222" s="202" t="s">
        <v>225</v>
      </c>
      <c r="G222" s="188">
        <v>6</v>
      </c>
      <c r="H222" s="203">
        <v>245</v>
      </c>
      <c r="I222" s="107">
        <f t="shared" si="21"/>
        <v>1470</v>
      </c>
      <c r="J222" s="27"/>
      <c r="K222" s="30" t="s">
        <v>256</v>
      </c>
      <c r="L222" s="277"/>
      <c r="M222" s="277" t="s">
        <v>390</v>
      </c>
      <c r="N222" s="33">
        <v>45875</v>
      </c>
      <c r="O222" s="25"/>
      <c r="P222" s="33">
        <v>45896</v>
      </c>
      <c r="Q222" s="33">
        <v>45897</v>
      </c>
      <c r="R222" s="31"/>
    </row>
    <row r="223" spans="1:18" ht="18" customHeight="1" x14ac:dyDescent="0.15">
      <c r="A223" s="188" t="s">
        <v>68</v>
      </c>
      <c r="B223" s="103">
        <v>2</v>
      </c>
      <c r="C223" s="63">
        <f>+C222+1</f>
        <v>169</v>
      </c>
      <c r="D223" s="40" t="s">
        <v>27</v>
      </c>
      <c r="E223" s="40" t="s">
        <v>27</v>
      </c>
      <c r="F223" s="189" t="s">
        <v>35</v>
      </c>
      <c r="G223" s="188">
        <v>5</v>
      </c>
      <c r="H223" s="122">
        <v>127</v>
      </c>
      <c r="I223" s="107">
        <f t="shared" si="21"/>
        <v>635</v>
      </c>
      <c r="J223" s="27"/>
      <c r="K223" s="174" t="s">
        <v>226</v>
      </c>
      <c r="L223" s="277"/>
      <c r="M223" s="277" t="s">
        <v>390</v>
      </c>
      <c r="N223" s="33">
        <v>45875</v>
      </c>
      <c r="O223" s="25"/>
      <c r="P223" s="33">
        <v>45896</v>
      </c>
      <c r="Q223" s="33">
        <v>45897</v>
      </c>
      <c r="R223" s="31"/>
    </row>
    <row r="224" spans="1:18" ht="18" customHeight="1" x14ac:dyDescent="0.15">
      <c r="A224" s="188" t="s">
        <v>68</v>
      </c>
      <c r="B224" s="103">
        <v>2</v>
      </c>
      <c r="C224" s="63">
        <f>+C223+1</f>
        <v>170</v>
      </c>
      <c r="D224" s="40" t="s">
        <v>27</v>
      </c>
      <c r="E224" s="40" t="s">
        <v>27</v>
      </c>
      <c r="F224" s="202" t="s">
        <v>192</v>
      </c>
      <c r="G224" s="188">
        <v>2</v>
      </c>
      <c r="H224" s="122">
        <v>112</v>
      </c>
      <c r="I224" s="107">
        <f t="shared" si="21"/>
        <v>224</v>
      </c>
      <c r="J224" s="27"/>
      <c r="K224" s="113" t="s">
        <v>123</v>
      </c>
      <c r="L224" s="277"/>
      <c r="M224" s="277" t="s">
        <v>390</v>
      </c>
      <c r="N224" s="33">
        <v>45875</v>
      </c>
      <c r="O224" s="25"/>
      <c r="P224" s="33">
        <v>45896</v>
      </c>
      <c r="Q224" s="33">
        <v>45897</v>
      </c>
      <c r="R224" s="31"/>
    </row>
    <row r="225" spans="1:18" ht="18" customHeight="1" x14ac:dyDescent="0.15">
      <c r="A225" s="188" t="s">
        <v>68</v>
      </c>
      <c r="B225" s="103">
        <v>2</v>
      </c>
      <c r="C225" s="63">
        <f>+C224+1</f>
        <v>171</v>
      </c>
      <c r="D225" s="40" t="s">
        <v>27</v>
      </c>
      <c r="E225" s="40" t="s">
        <v>27</v>
      </c>
      <c r="F225" s="202" t="s">
        <v>227</v>
      </c>
      <c r="G225" s="188">
        <v>10</v>
      </c>
      <c r="H225" s="203">
        <v>15</v>
      </c>
      <c r="I225" s="107">
        <f t="shared" si="21"/>
        <v>150</v>
      </c>
      <c r="J225" s="27"/>
      <c r="K225" s="174" t="s">
        <v>253</v>
      </c>
      <c r="L225" s="277"/>
      <c r="M225" s="277" t="s">
        <v>390</v>
      </c>
      <c r="N225" s="33">
        <v>45875</v>
      </c>
      <c r="O225" s="25"/>
      <c r="P225" s="33">
        <v>45896</v>
      </c>
      <c r="Q225" s="33">
        <v>45897</v>
      </c>
      <c r="R225" s="31"/>
    </row>
    <row r="226" spans="1:18" ht="18" customHeight="1" x14ac:dyDescent="0.15">
      <c r="A226" s="216" t="s">
        <v>42</v>
      </c>
      <c r="B226" s="103">
        <v>2</v>
      </c>
      <c r="C226" s="63">
        <f>+C225+1</f>
        <v>172</v>
      </c>
      <c r="D226" s="40" t="s">
        <v>27</v>
      </c>
      <c r="E226" s="40" t="s">
        <v>27</v>
      </c>
      <c r="F226" s="189" t="s">
        <v>120</v>
      </c>
      <c r="G226" s="188">
        <v>16</v>
      </c>
      <c r="H226" s="122">
        <v>94</v>
      </c>
      <c r="I226" s="107">
        <f t="shared" si="21"/>
        <v>1504</v>
      </c>
      <c r="J226" s="27"/>
      <c r="K226" s="108" t="s">
        <v>121</v>
      </c>
      <c r="L226" s="277"/>
      <c r="M226" s="277" t="s">
        <v>390</v>
      </c>
      <c r="N226" s="33">
        <v>45875</v>
      </c>
      <c r="O226" s="25"/>
      <c r="P226" s="33">
        <v>45896</v>
      </c>
      <c r="Q226" s="33">
        <v>45897</v>
      </c>
      <c r="R226" s="31"/>
    </row>
    <row r="227" spans="1:18" ht="18" customHeight="1" x14ac:dyDescent="0.15">
      <c r="A227" s="216" t="s">
        <v>40</v>
      </c>
      <c r="B227" s="103">
        <v>2</v>
      </c>
      <c r="C227" s="63">
        <f t="shared" ref="C227:C237" si="22">+C226+1</f>
        <v>173</v>
      </c>
      <c r="D227" s="109" t="s">
        <v>27</v>
      </c>
      <c r="E227" s="109" t="s">
        <v>27</v>
      </c>
      <c r="F227" s="214" t="s">
        <v>39</v>
      </c>
      <c r="G227" s="215">
        <v>10</v>
      </c>
      <c r="H227" s="110">
        <v>91</v>
      </c>
      <c r="I227" s="110">
        <f t="shared" si="21"/>
        <v>910</v>
      </c>
      <c r="J227" s="111"/>
      <c r="K227" s="112" t="s">
        <v>122</v>
      </c>
      <c r="L227" s="277"/>
      <c r="M227" s="277" t="s">
        <v>390</v>
      </c>
      <c r="N227" s="33">
        <v>45875</v>
      </c>
      <c r="O227" s="25"/>
      <c r="P227" s="33">
        <v>45896</v>
      </c>
      <c r="Q227" s="33">
        <v>45897</v>
      </c>
      <c r="R227" s="31"/>
    </row>
    <row r="228" spans="1:18" ht="18" customHeight="1" x14ac:dyDescent="0.15">
      <c r="A228" s="188" t="s">
        <v>68</v>
      </c>
      <c r="B228" s="103">
        <v>2</v>
      </c>
      <c r="C228" s="63">
        <f>+C227+1</f>
        <v>174</v>
      </c>
      <c r="D228" s="40" t="s">
        <v>27</v>
      </c>
      <c r="E228" s="40" t="s">
        <v>27</v>
      </c>
      <c r="F228" s="189" t="s">
        <v>35</v>
      </c>
      <c r="G228" s="188">
        <v>2</v>
      </c>
      <c r="H228" s="122">
        <v>127</v>
      </c>
      <c r="I228" s="107">
        <f t="shared" si="21"/>
        <v>254</v>
      </c>
      <c r="J228" s="27"/>
      <c r="K228" s="113" t="s">
        <v>123</v>
      </c>
      <c r="L228" s="277"/>
      <c r="M228" s="277" t="s">
        <v>390</v>
      </c>
      <c r="N228" s="33">
        <v>45875</v>
      </c>
      <c r="O228" s="25"/>
      <c r="P228" s="33">
        <v>45896</v>
      </c>
      <c r="Q228" s="33">
        <v>45897</v>
      </c>
      <c r="R228" s="31"/>
    </row>
    <row r="229" spans="1:18" ht="18" customHeight="1" x14ac:dyDescent="0.15">
      <c r="A229" s="188" t="s">
        <v>102</v>
      </c>
      <c r="B229" s="103">
        <v>2</v>
      </c>
      <c r="C229" s="63">
        <f>+C228+1</f>
        <v>175</v>
      </c>
      <c r="D229" s="28" t="s">
        <v>27</v>
      </c>
      <c r="E229" s="28" t="s">
        <v>27</v>
      </c>
      <c r="F229" s="206" t="s">
        <v>124</v>
      </c>
      <c r="G229" s="204">
        <v>1</v>
      </c>
      <c r="H229" s="243">
        <v>2256</v>
      </c>
      <c r="I229" s="114">
        <f>G229*H229</f>
        <v>2256</v>
      </c>
      <c r="J229" s="37"/>
      <c r="K229" s="115" t="s">
        <v>67</v>
      </c>
      <c r="L229" s="277"/>
      <c r="M229" s="277" t="s">
        <v>390</v>
      </c>
      <c r="N229" s="33">
        <v>45875</v>
      </c>
      <c r="O229" s="25"/>
      <c r="P229" s="33">
        <v>45896</v>
      </c>
      <c r="Q229" s="33">
        <v>45897</v>
      </c>
      <c r="R229" s="31"/>
    </row>
    <row r="230" spans="1:18" ht="18" customHeight="1" x14ac:dyDescent="0.15">
      <c r="A230" s="188" t="s">
        <v>102</v>
      </c>
      <c r="B230" s="103">
        <v>2</v>
      </c>
      <c r="C230" s="63">
        <f t="shared" si="22"/>
        <v>176</v>
      </c>
      <c r="D230" s="28" t="s">
        <v>27</v>
      </c>
      <c r="E230" s="28" t="s">
        <v>27</v>
      </c>
      <c r="F230" s="206" t="s">
        <v>125</v>
      </c>
      <c r="G230" s="204">
        <v>1</v>
      </c>
      <c r="H230" s="243">
        <v>4936</v>
      </c>
      <c r="I230" s="114">
        <f t="shared" si="21"/>
        <v>4936</v>
      </c>
      <c r="J230" s="37"/>
      <c r="K230" s="108" t="s">
        <v>126</v>
      </c>
      <c r="L230" s="277"/>
      <c r="M230" s="277" t="s">
        <v>390</v>
      </c>
      <c r="N230" s="33">
        <v>45875</v>
      </c>
      <c r="O230" s="25"/>
      <c r="P230" s="33">
        <v>45896</v>
      </c>
      <c r="Q230" s="33">
        <v>45897</v>
      </c>
      <c r="R230" s="31"/>
    </row>
    <row r="231" spans="1:18" ht="18" customHeight="1" x14ac:dyDescent="0.15">
      <c r="A231" s="188" t="s">
        <v>103</v>
      </c>
      <c r="B231" s="103">
        <v>2</v>
      </c>
      <c r="C231" s="63">
        <f t="shared" si="22"/>
        <v>177</v>
      </c>
      <c r="D231" s="28" t="s">
        <v>27</v>
      </c>
      <c r="E231" s="28" t="s">
        <v>27</v>
      </c>
      <c r="F231" s="218" t="s">
        <v>31</v>
      </c>
      <c r="G231" s="204">
        <v>1</v>
      </c>
      <c r="H231" s="243">
        <v>5373</v>
      </c>
      <c r="I231" s="114">
        <f t="shared" si="21"/>
        <v>5373</v>
      </c>
      <c r="J231" s="37"/>
      <c r="K231" s="108" t="s">
        <v>127</v>
      </c>
      <c r="L231" s="277"/>
      <c r="M231" s="277" t="s">
        <v>390</v>
      </c>
      <c r="N231" s="33">
        <v>45875</v>
      </c>
      <c r="O231" s="25"/>
      <c r="P231" s="33">
        <v>45896</v>
      </c>
      <c r="Q231" s="33">
        <v>45897</v>
      </c>
      <c r="R231" s="31"/>
    </row>
    <row r="232" spans="1:18" ht="18" customHeight="1" x14ac:dyDescent="0.15">
      <c r="A232" s="188" t="s">
        <v>68</v>
      </c>
      <c r="B232" s="103">
        <v>2</v>
      </c>
      <c r="C232" s="63">
        <f t="shared" si="22"/>
        <v>178</v>
      </c>
      <c r="D232" s="28" t="s">
        <v>27</v>
      </c>
      <c r="E232" s="28" t="s">
        <v>27</v>
      </c>
      <c r="F232" s="218" t="s">
        <v>389</v>
      </c>
      <c r="G232" s="204">
        <v>1</v>
      </c>
      <c r="H232" s="243">
        <v>1638</v>
      </c>
      <c r="I232" s="114">
        <f t="shared" si="21"/>
        <v>1638</v>
      </c>
      <c r="J232" s="116"/>
      <c r="K232" s="108" t="s">
        <v>128</v>
      </c>
      <c r="L232" s="277"/>
      <c r="M232" s="277" t="s">
        <v>390</v>
      </c>
      <c r="N232" s="33">
        <v>45875</v>
      </c>
      <c r="O232" s="25"/>
      <c r="P232" s="33">
        <v>45896</v>
      </c>
      <c r="Q232" s="33">
        <v>45897</v>
      </c>
      <c r="R232" s="31"/>
    </row>
    <row r="233" spans="1:18" ht="18" customHeight="1" x14ac:dyDescent="0.15">
      <c r="A233" s="188" t="s">
        <v>68</v>
      </c>
      <c r="B233" s="103">
        <v>2</v>
      </c>
      <c r="C233" s="63">
        <f t="shared" si="22"/>
        <v>179</v>
      </c>
      <c r="D233" s="28" t="s">
        <v>27</v>
      </c>
      <c r="E233" s="28" t="s">
        <v>27</v>
      </c>
      <c r="F233" s="218" t="s">
        <v>228</v>
      </c>
      <c r="G233" s="204">
        <v>1</v>
      </c>
      <c r="H233" s="243">
        <v>1258</v>
      </c>
      <c r="I233" s="114">
        <f t="shared" si="21"/>
        <v>1258</v>
      </c>
      <c r="J233" s="117"/>
      <c r="K233" s="108" t="s">
        <v>32</v>
      </c>
      <c r="L233" s="277"/>
      <c r="M233" s="277" t="s">
        <v>390</v>
      </c>
      <c r="N233" s="33">
        <v>45875</v>
      </c>
      <c r="O233" s="25"/>
      <c r="P233" s="33">
        <v>45896</v>
      </c>
      <c r="Q233" s="33">
        <v>45897</v>
      </c>
      <c r="R233" s="31"/>
    </row>
    <row r="234" spans="1:18" ht="18" customHeight="1" x14ac:dyDescent="0.15">
      <c r="A234" s="188" t="s">
        <v>68</v>
      </c>
      <c r="B234" s="103">
        <v>2</v>
      </c>
      <c r="C234" s="63">
        <f t="shared" si="22"/>
        <v>180</v>
      </c>
      <c r="D234" s="28" t="s">
        <v>27</v>
      </c>
      <c r="E234" s="28" t="s">
        <v>27</v>
      </c>
      <c r="F234" s="218" t="s">
        <v>229</v>
      </c>
      <c r="G234" s="204">
        <v>1</v>
      </c>
      <c r="H234" s="243">
        <v>1323</v>
      </c>
      <c r="I234" s="114">
        <f t="shared" si="21"/>
        <v>1323</v>
      </c>
      <c r="J234" s="117"/>
      <c r="K234" s="108" t="s">
        <v>32</v>
      </c>
      <c r="L234" s="277"/>
      <c r="M234" s="277" t="s">
        <v>390</v>
      </c>
      <c r="N234" s="33">
        <v>45875</v>
      </c>
      <c r="O234" s="25"/>
      <c r="P234" s="33">
        <v>45896</v>
      </c>
      <c r="Q234" s="33">
        <v>45897</v>
      </c>
      <c r="R234" s="31"/>
    </row>
    <row r="235" spans="1:18" ht="18" customHeight="1" x14ac:dyDescent="0.15">
      <c r="A235" s="188" t="s">
        <v>68</v>
      </c>
      <c r="B235" s="103">
        <v>2</v>
      </c>
      <c r="C235" s="63">
        <f t="shared" si="22"/>
        <v>181</v>
      </c>
      <c r="D235" s="40" t="s">
        <v>27</v>
      </c>
      <c r="E235" s="40" t="s">
        <v>27</v>
      </c>
      <c r="F235" s="214" t="s">
        <v>129</v>
      </c>
      <c r="G235" s="220">
        <v>1</v>
      </c>
      <c r="H235" s="271">
        <v>851</v>
      </c>
      <c r="I235" s="118">
        <f>G235*H235</f>
        <v>851</v>
      </c>
      <c r="J235" s="75"/>
      <c r="K235" s="119" t="s">
        <v>130</v>
      </c>
      <c r="L235" s="277"/>
      <c r="M235" s="277" t="s">
        <v>390</v>
      </c>
      <c r="N235" s="33">
        <v>45875</v>
      </c>
      <c r="O235" s="25"/>
      <c r="P235" s="33">
        <v>45896</v>
      </c>
      <c r="Q235" s="33">
        <v>45897</v>
      </c>
      <c r="R235" s="31"/>
    </row>
    <row r="236" spans="1:18" ht="18" customHeight="1" x14ac:dyDescent="0.15">
      <c r="A236" s="188" t="s">
        <v>68</v>
      </c>
      <c r="B236" s="103">
        <v>2</v>
      </c>
      <c r="C236" s="63">
        <f t="shared" si="22"/>
        <v>182</v>
      </c>
      <c r="D236" s="40" t="s">
        <v>115</v>
      </c>
      <c r="E236" s="40" t="s">
        <v>27</v>
      </c>
      <c r="F236" s="214" t="s">
        <v>116</v>
      </c>
      <c r="G236" s="215">
        <v>1</v>
      </c>
      <c r="H236" s="271">
        <v>1611</v>
      </c>
      <c r="I236" s="120">
        <f>G236*H236</f>
        <v>1611</v>
      </c>
      <c r="J236" s="102"/>
      <c r="K236" s="121" t="s">
        <v>117</v>
      </c>
      <c r="L236" s="277"/>
      <c r="M236" s="277" t="s">
        <v>390</v>
      </c>
      <c r="N236" s="33">
        <v>45875</v>
      </c>
      <c r="O236" s="25"/>
      <c r="P236" s="33">
        <v>45896</v>
      </c>
      <c r="Q236" s="33">
        <v>45897</v>
      </c>
      <c r="R236" s="31"/>
    </row>
    <row r="237" spans="1:18" ht="18" customHeight="1" x14ac:dyDescent="0.15">
      <c r="A237" s="188" t="s">
        <v>68</v>
      </c>
      <c r="B237" s="103">
        <v>2</v>
      </c>
      <c r="C237" s="63">
        <f t="shared" si="22"/>
        <v>183</v>
      </c>
      <c r="D237" s="28" t="s">
        <v>27</v>
      </c>
      <c r="E237" s="28" t="s">
        <v>27</v>
      </c>
      <c r="F237" s="217" t="s">
        <v>104</v>
      </c>
      <c r="G237" s="204">
        <v>1</v>
      </c>
      <c r="H237" s="244">
        <v>951</v>
      </c>
      <c r="I237" s="122">
        <f>G237*H237</f>
        <v>951</v>
      </c>
      <c r="J237" s="89"/>
      <c r="K237" s="90" t="s">
        <v>105</v>
      </c>
      <c r="L237" s="277"/>
      <c r="M237" s="277" t="s">
        <v>390</v>
      </c>
      <c r="N237" s="33">
        <v>45875</v>
      </c>
      <c r="O237" s="25"/>
      <c r="P237" s="33">
        <v>45896</v>
      </c>
      <c r="Q237" s="33">
        <v>45897</v>
      </c>
      <c r="R237" s="31"/>
    </row>
    <row r="238" spans="1:18" ht="18" customHeight="1" x14ac:dyDescent="0.15">
      <c r="A238" s="188" t="s">
        <v>102</v>
      </c>
      <c r="B238" s="103">
        <v>2</v>
      </c>
      <c r="C238" s="63">
        <f>+C237+1</f>
        <v>184</v>
      </c>
      <c r="D238" s="28" t="s">
        <v>27</v>
      </c>
      <c r="E238" s="28" t="s">
        <v>27</v>
      </c>
      <c r="F238" s="205" t="s">
        <v>30</v>
      </c>
      <c r="G238" s="188">
        <v>2</v>
      </c>
      <c r="H238" s="190">
        <v>287</v>
      </c>
      <c r="I238" s="107">
        <f t="shared" si="21"/>
        <v>574</v>
      </c>
      <c r="J238" s="27"/>
      <c r="K238" s="123" t="s">
        <v>131</v>
      </c>
      <c r="L238" s="277"/>
      <c r="M238" s="277" t="s">
        <v>390</v>
      </c>
      <c r="N238" s="33">
        <v>45875</v>
      </c>
      <c r="O238" s="25"/>
      <c r="P238" s="33">
        <v>45896</v>
      </c>
      <c r="Q238" s="33">
        <v>45897</v>
      </c>
      <c r="R238" s="31"/>
    </row>
    <row r="239" spans="1:18" ht="18" customHeight="1" x14ac:dyDescent="0.15">
      <c r="A239" s="188" t="s">
        <v>41</v>
      </c>
      <c r="B239" s="103">
        <v>2</v>
      </c>
      <c r="C239" s="104">
        <f>C238+1</f>
        <v>185</v>
      </c>
      <c r="D239" s="124" t="s">
        <v>132</v>
      </c>
      <c r="E239" s="40" t="s">
        <v>27</v>
      </c>
      <c r="F239" s="206" t="s">
        <v>133</v>
      </c>
      <c r="G239" s="200">
        <v>1</v>
      </c>
      <c r="H239" s="272">
        <v>622</v>
      </c>
      <c r="I239" s="118">
        <f t="shared" si="21"/>
        <v>622</v>
      </c>
      <c r="J239" s="27"/>
      <c r="K239" s="125" t="s">
        <v>134</v>
      </c>
      <c r="L239" s="277"/>
      <c r="M239" s="277" t="s">
        <v>390</v>
      </c>
      <c r="N239" s="33">
        <v>45875</v>
      </c>
      <c r="O239" s="25"/>
      <c r="P239" s="33">
        <v>45896</v>
      </c>
      <c r="Q239" s="33">
        <v>45897</v>
      </c>
      <c r="R239" s="31"/>
    </row>
    <row r="240" spans="1:18" ht="18" customHeight="1" x14ac:dyDescent="0.15">
      <c r="A240" s="188" t="s">
        <v>40</v>
      </c>
      <c r="B240" s="103">
        <v>2</v>
      </c>
      <c r="C240" s="104">
        <f t="shared" ref="C240:C251" si="23">C239+1</f>
        <v>186</v>
      </c>
      <c r="D240" s="40" t="s">
        <v>27</v>
      </c>
      <c r="E240" s="40" t="s">
        <v>27</v>
      </c>
      <c r="F240" s="195" t="s">
        <v>135</v>
      </c>
      <c r="G240" s="188">
        <v>2</v>
      </c>
      <c r="H240" s="190">
        <v>128</v>
      </c>
      <c r="I240" s="118">
        <f t="shared" si="21"/>
        <v>256</v>
      </c>
      <c r="J240" s="67"/>
      <c r="K240" s="108" t="s">
        <v>136</v>
      </c>
      <c r="L240" s="277"/>
      <c r="M240" s="277" t="s">
        <v>390</v>
      </c>
      <c r="N240" s="33">
        <v>45875</v>
      </c>
      <c r="O240" s="25"/>
      <c r="P240" s="33">
        <v>45896</v>
      </c>
      <c r="Q240" s="33">
        <v>45897</v>
      </c>
      <c r="R240" s="31"/>
    </row>
    <row r="241" spans="1:18" ht="18" customHeight="1" x14ac:dyDescent="0.15">
      <c r="A241" s="188" t="s">
        <v>68</v>
      </c>
      <c r="B241" s="103">
        <v>2</v>
      </c>
      <c r="C241" s="104">
        <f>C240+1</f>
        <v>187</v>
      </c>
      <c r="D241" s="124" t="s">
        <v>27</v>
      </c>
      <c r="E241" s="124" t="s">
        <v>27</v>
      </c>
      <c r="F241" s="207" t="s">
        <v>139</v>
      </c>
      <c r="G241" s="208">
        <v>1</v>
      </c>
      <c r="H241" s="243">
        <v>287</v>
      </c>
      <c r="I241" s="127">
        <f t="shared" si="21"/>
        <v>287</v>
      </c>
      <c r="J241" s="128"/>
      <c r="K241" s="150" t="s">
        <v>140</v>
      </c>
      <c r="L241" s="277"/>
      <c r="M241" s="277" t="s">
        <v>390</v>
      </c>
      <c r="N241" s="33">
        <v>45875</v>
      </c>
      <c r="O241" s="25"/>
      <c r="P241" s="33">
        <v>45896</v>
      </c>
      <c r="Q241" s="33">
        <v>45897</v>
      </c>
      <c r="R241" s="31"/>
    </row>
    <row r="242" spans="1:18" ht="18" customHeight="1" x14ac:dyDescent="0.15">
      <c r="A242" s="188" t="s">
        <v>68</v>
      </c>
      <c r="B242" s="103">
        <v>2</v>
      </c>
      <c r="C242" s="104">
        <f>C241+1</f>
        <v>188</v>
      </c>
      <c r="D242" s="28" t="s">
        <v>27</v>
      </c>
      <c r="E242" s="28" t="s">
        <v>27</v>
      </c>
      <c r="F242" s="221" t="s">
        <v>254</v>
      </c>
      <c r="G242" s="188">
        <v>1</v>
      </c>
      <c r="H242" s="114">
        <v>11529</v>
      </c>
      <c r="I242" s="114">
        <f t="shared" si="21"/>
        <v>11529</v>
      </c>
      <c r="J242" s="71"/>
      <c r="K242" s="123" t="s">
        <v>106</v>
      </c>
      <c r="L242" s="277"/>
      <c r="M242" s="277" t="s">
        <v>390</v>
      </c>
      <c r="N242" s="33">
        <v>45875</v>
      </c>
      <c r="O242" s="25"/>
      <c r="P242" s="33">
        <v>45896</v>
      </c>
      <c r="Q242" s="33">
        <v>45897</v>
      </c>
      <c r="R242" s="31"/>
    </row>
    <row r="243" spans="1:18" ht="18" customHeight="1" x14ac:dyDescent="0.15">
      <c r="A243" s="188" t="s">
        <v>68</v>
      </c>
      <c r="B243" s="103">
        <v>2</v>
      </c>
      <c r="C243" s="104">
        <f t="shared" si="23"/>
        <v>189</v>
      </c>
      <c r="D243" s="42" t="s">
        <v>101</v>
      </c>
      <c r="E243" s="28" t="s">
        <v>23</v>
      </c>
      <c r="F243" s="212" t="s">
        <v>107</v>
      </c>
      <c r="G243" s="219">
        <v>2</v>
      </c>
      <c r="H243" s="273">
        <v>1406</v>
      </c>
      <c r="I243" s="122">
        <f t="shared" si="21"/>
        <v>2812</v>
      </c>
      <c r="J243" s="81"/>
      <c r="K243" s="176" t="s">
        <v>108</v>
      </c>
      <c r="L243" s="277"/>
      <c r="M243" s="277" t="s">
        <v>390</v>
      </c>
      <c r="N243" s="33">
        <v>45875</v>
      </c>
      <c r="O243" s="25"/>
      <c r="P243" s="33">
        <v>45896</v>
      </c>
      <c r="Q243" s="33">
        <v>45897</v>
      </c>
      <c r="R243" s="31"/>
    </row>
    <row r="244" spans="1:18" ht="18" customHeight="1" x14ac:dyDescent="0.15">
      <c r="A244" s="188" t="s">
        <v>68</v>
      </c>
      <c r="B244" s="103">
        <v>2</v>
      </c>
      <c r="C244" s="104">
        <f t="shared" si="23"/>
        <v>190</v>
      </c>
      <c r="D244" s="42" t="s">
        <v>101</v>
      </c>
      <c r="E244" s="28" t="s">
        <v>23</v>
      </c>
      <c r="F244" s="212" t="s">
        <v>110</v>
      </c>
      <c r="G244" s="219">
        <v>2</v>
      </c>
      <c r="H244" s="273">
        <v>396</v>
      </c>
      <c r="I244" s="179">
        <f t="shared" si="21"/>
        <v>792</v>
      </c>
      <c r="J244" s="81"/>
      <c r="K244" s="176" t="s">
        <v>109</v>
      </c>
      <c r="L244" s="277"/>
      <c r="M244" s="277" t="s">
        <v>390</v>
      </c>
      <c r="N244" s="33">
        <v>45875</v>
      </c>
      <c r="O244" s="25"/>
      <c r="P244" s="33">
        <v>45896</v>
      </c>
      <c r="Q244" s="33">
        <v>45897</v>
      </c>
      <c r="R244" s="31"/>
    </row>
    <row r="245" spans="1:18" ht="18" customHeight="1" x14ac:dyDescent="0.15">
      <c r="A245" s="188" t="s">
        <v>68</v>
      </c>
      <c r="B245" s="103">
        <v>2</v>
      </c>
      <c r="C245" s="104">
        <f t="shared" si="23"/>
        <v>191</v>
      </c>
      <c r="D245" s="42" t="s">
        <v>101</v>
      </c>
      <c r="E245" s="28" t="s">
        <v>23</v>
      </c>
      <c r="F245" s="212" t="s">
        <v>111</v>
      </c>
      <c r="G245" s="219">
        <v>2</v>
      </c>
      <c r="H245" s="273">
        <v>41</v>
      </c>
      <c r="I245" s="179">
        <f t="shared" si="21"/>
        <v>82</v>
      </c>
      <c r="J245" s="81"/>
      <c r="K245" s="176" t="s">
        <v>112</v>
      </c>
      <c r="L245" s="277"/>
      <c r="M245" s="277" t="s">
        <v>390</v>
      </c>
      <c r="N245" s="33">
        <v>45875</v>
      </c>
      <c r="O245" s="25"/>
      <c r="P245" s="33">
        <v>45896</v>
      </c>
      <c r="Q245" s="33">
        <v>45897</v>
      </c>
      <c r="R245" s="31"/>
    </row>
    <row r="246" spans="1:18" ht="18" customHeight="1" x14ac:dyDescent="0.15">
      <c r="A246" s="224" t="s">
        <v>255</v>
      </c>
      <c r="B246" s="103">
        <v>2</v>
      </c>
      <c r="C246" s="104">
        <f>C245+1</f>
        <v>192</v>
      </c>
      <c r="D246" s="101" t="s">
        <v>27</v>
      </c>
      <c r="E246" s="101" t="s">
        <v>27</v>
      </c>
      <c r="F246" s="222" t="s">
        <v>113</v>
      </c>
      <c r="G246" s="223">
        <v>1</v>
      </c>
      <c r="H246" s="114">
        <v>5451</v>
      </c>
      <c r="I246" s="114">
        <f t="shared" si="21"/>
        <v>5451</v>
      </c>
      <c r="J246" s="38"/>
      <c r="K246" s="177" t="s">
        <v>114</v>
      </c>
      <c r="L246" s="277"/>
      <c r="M246" s="277" t="s">
        <v>390</v>
      </c>
      <c r="N246" s="33">
        <v>45875</v>
      </c>
      <c r="O246" s="25"/>
      <c r="P246" s="33">
        <v>45896</v>
      </c>
      <c r="Q246" s="33">
        <v>45897</v>
      </c>
      <c r="R246" s="31"/>
    </row>
    <row r="247" spans="1:18" ht="18" customHeight="1" x14ac:dyDescent="0.15">
      <c r="A247" s="188" t="s">
        <v>68</v>
      </c>
      <c r="B247" s="103">
        <v>2</v>
      </c>
      <c r="C247" s="104">
        <f t="shared" si="23"/>
        <v>193</v>
      </c>
      <c r="D247" s="83" t="s">
        <v>141</v>
      </c>
      <c r="E247" s="26" t="s">
        <v>23</v>
      </c>
      <c r="F247" s="225" t="s">
        <v>142</v>
      </c>
      <c r="G247" s="226">
        <v>10</v>
      </c>
      <c r="H247" s="244">
        <v>81</v>
      </c>
      <c r="I247" s="180">
        <f t="shared" si="21"/>
        <v>810</v>
      </c>
      <c r="J247" s="41"/>
      <c r="K247" s="125" t="s">
        <v>121</v>
      </c>
      <c r="L247" s="277"/>
      <c r="M247" s="277" t="s">
        <v>390</v>
      </c>
      <c r="N247" s="33">
        <v>45875</v>
      </c>
      <c r="O247" s="25"/>
      <c r="P247" s="33">
        <v>45896</v>
      </c>
      <c r="Q247" s="33">
        <v>45897</v>
      </c>
      <c r="R247" s="31"/>
    </row>
    <row r="248" spans="1:18" ht="18" customHeight="1" x14ac:dyDescent="0.15">
      <c r="A248" s="188" t="s">
        <v>68</v>
      </c>
      <c r="B248" s="103">
        <v>2</v>
      </c>
      <c r="C248" s="104">
        <f>C247+1</f>
        <v>194</v>
      </c>
      <c r="D248" s="170" t="s">
        <v>23</v>
      </c>
      <c r="E248" s="170" t="s">
        <v>23</v>
      </c>
      <c r="F248" s="210" t="s">
        <v>222</v>
      </c>
      <c r="G248" s="211">
        <v>4</v>
      </c>
      <c r="H248" s="274">
        <v>120</v>
      </c>
      <c r="I248" s="275">
        <f t="shared" si="21"/>
        <v>480</v>
      </c>
      <c r="J248" s="171"/>
      <c r="K248" s="178" t="s">
        <v>223</v>
      </c>
      <c r="L248" s="277"/>
      <c r="M248" s="277" t="s">
        <v>390</v>
      </c>
      <c r="N248" s="33">
        <v>45875</v>
      </c>
      <c r="O248" s="25"/>
      <c r="P248" s="33">
        <v>45896</v>
      </c>
      <c r="Q248" s="33">
        <v>45897</v>
      </c>
      <c r="R248" s="31"/>
    </row>
    <row r="249" spans="1:18" ht="18" customHeight="1" x14ac:dyDescent="0.15">
      <c r="A249" s="188" t="s">
        <v>68</v>
      </c>
      <c r="B249" s="103">
        <v>2</v>
      </c>
      <c r="C249" s="104">
        <f t="shared" si="23"/>
        <v>195</v>
      </c>
      <c r="D249" s="149" t="s">
        <v>23</v>
      </c>
      <c r="E249" s="149" t="s">
        <v>23</v>
      </c>
      <c r="F249" s="212" t="s">
        <v>218</v>
      </c>
      <c r="G249" s="213">
        <v>5</v>
      </c>
      <c r="H249" s="273">
        <v>148</v>
      </c>
      <c r="I249" s="276">
        <f t="shared" si="21"/>
        <v>740</v>
      </c>
      <c r="J249" s="172"/>
      <c r="K249" s="176" t="s">
        <v>219</v>
      </c>
      <c r="L249" s="277"/>
      <c r="M249" s="277" t="s">
        <v>390</v>
      </c>
      <c r="N249" s="33">
        <v>45875</v>
      </c>
      <c r="O249" s="25"/>
      <c r="P249" s="33">
        <v>45896</v>
      </c>
      <c r="Q249" s="33">
        <v>45897</v>
      </c>
      <c r="R249" s="31"/>
    </row>
    <row r="250" spans="1:18" ht="18" customHeight="1" x14ac:dyDescent="0.15">
      <c r="A250" s="188" t="s">
        <v>68</v>
      </c>
      <c r="B250" s="103">
        <v>2</v>
      </c>
      <c r="C250" s="104">
        <f t="shared" si="23"/>
        <v>196</v>
      </c>
      <c r="D250" s="124" t="s">
        <v>27</v>
      </c>
      <c r="E250" s="124" t="s">
        <v>27</v>
      </c>
      <c r="F250" s="207" t="s">
        <v>220</v>
      </c>
      <c r="G250" s="208">
        <v>1</v>
      </c>
      <c r="H250" s="243">
        <v>237</v>
      </c>
      <c r="I250" s="127">
        <f>G250*H250</f>
        <v>237</v>
      </c>
      <c r="J250" s="128"/>
      <c r="K250" s="150" t="s">
        <v>221</v>
      </c>
      <c r="L250" s="277"/>
      <c r="M250" s="277" t="s">
        <v>390</v>
      </c>
      <c r="N250" s="33">
        <v>45875</v>
      </c>
      <c r="O250" s="25"/>
      <c r="P250" s="33">
        <v>45896</v>
      </c>
      <c r="Q250" s="33">
        <v>45897</v>
      </c>
      <c r="R250" s="31"/>
    </row>
    <row r="251" spans="1:18" ht="18" customHeight="1" x14ac:dyDescent="0.15">
      <c r="A251" s="188" t="s">
        <v>68</v>
      </c>
      <c r="B251" s="103">
        <v>2</v>
      </c>
      <c r="C251" s="104">
        <f t="shared" si="23"/>
        <v>197</v>
      </c>
      <c r="D251" s="282" t="s">
        <v>399</v>
      </c>
      <c r="E251" s="282" t="s">
        <v>400</v>
      </c>
      <c r="F251" s="283" t="s">
        <v>401</v>
      </c>
      <c r="G251" s="284">
        <v>2</v>
      </c>
      <c r="H251" s="285">
        <v>402</v>
      </c>
      <c r="I251" s="286">
        <f t="shared" ref="I251" si="24">G251*H251</f>
        <v>804</v>
      </c>
      <c r="J251" s="287"/>
      <c r="K251" s="288" t="s">
        <v>402</v>
      </c>
      <c r="L251" s="59"/>
      <c r="M251" s="289" t="s">
        <v>403</v>
      </c>
      <c r="N251" s="33">
        <v>45910</v>
      </c>
      <c r="O251" s="25"/>
      <c r="P251" s="33">
        <v>45911</v>
      </c>
      <c r="Q251" s="33">
        <v>45912</v>
      </c>
      <c r="R251" s="31"/>
    </row>
    <row r="252" spans="1:18" ht="18" customHeight="1" x14ac:dyDescent="0.15">
      <c r="A252" s="65"/>
      <c r="B252" s="69"/>
      <c r="C252" s="32"/>
      <c r="D252" s="28"/>
      <c r="E252" s="28"/>
      <c r="F252" s="35"/>
      <c r="G252" s="42"/>
      <c r="H252" s="51"/>
      <c r="I252" s="49"/>
      <c r="J252" s="26"/>
      <c r="K252" s="25"/>
      <c r="L252" s="59"/>
      <c r="M252" s="3"/>
      <c r="N252" s="80"/>
      <c r="O252" s="6"/>
      <c r="P252" s="91"/>
      <c r="Q252" s="99"/>
      <c r="R252" s="31"/>
    </row>
    <row r="253" spans="1:18" ht="18" customHeight="1" x14ac:dyDescent="0.15">
      <c r="C253" s="151"/>
      <c r="D253" s="152"/>
      <c r="E253" s="152"/>
      <c r="F253" s="153">
        <f>SUM(I221:I252)</f>
        <v>59760</v>
      </c>
      <c r="G253" s="154"/>
      <c r="H253" s="154"/>
      <c r="I253" s="154"/>
      <c r="J253" s="155"/>
      <c r="K253" s="22"/>
      <c r="L253" s="19"/>
      <c r="M253" s="3"/>
      <c r="N253" s="80"/>
      <c r="O253" s="6"/>
      <c r="P253" s="6"/>
      <c r="Q253" s="20"/>
      <c r="R253" s="31"/>
    </row>
    <row r="254" spans="1:18" ht="18" customHeight="1" x14ac:dyDescent="0.15">
      <c r="C254" s="18"/>
      <c r="D254" s="2"/>
      <c r="E254" s="2"/>
      <c r="F254" s="13"/>
      <c r="G254" s="86"/>
      <c r="H254" s="86"/>
      <c r="I254" s="50"/>
      <c r="J254" s="1"/>
      <c r="K254" s="13"/>
      <c r="L254" s="19"/>
      <c r="M254" s="3"/>
      <c r="N254" s="20"/>
      <c r="O254" s="6"/>
      <c r="P254" s="6"/>
      <c r="Q254" s="20"/>
      <c r="R254" s="31"/>
    </row>
    <row r="255" spans="1:18" ht="18" customHeight="1" x14ac:dyDescent="0.15">
      <c r="C255" s="18"/>
      <c r="D255" s="18"/>
      <c r="E255" s="18"/>
      <c r="F255" s="19" t="s">
        <v>24</v>
      </c>
      <c r="G255" s="16"/>
      <c r="H255" s="16"/>
      <c r="I255" s="16">
        <f>G255*H255</f>
        <v>0</v>
      </c>
      <c r="J255" s="11"/>
      <c r="K255" s="13" t="s">
        <v>25</v>
      </c>
      <c r="L255" s="21"/>
      <c r="M255" s="18"/>
      <c r="N255" s="20"/>
      <c r="O255" s="21"/>
      <c r="P255" s="18"/>
      <c r="Q255" s="20"/>
      <c r="R255" s="12"/>
    </row>
    <row r="256" spans="1:18" ht="18" customHeight="1" x14ac:dyDescent="0.15">
      <c r="B256" s="70">
        <v>4</v>
      </c>
      <c r="C256" s="78"/>
      <c r="D256" s="2"/>
      <c r="E256" s="2"/>
      <c r="F256" s="19" t="s">
        <v>25</v>
      </c>
      <c r="G256" s="16"/>
      <c r="H256" s="16">
        <v>5000</v>
      </c>
      <c r="I256" s="16">
        <f>G256*H256</f>
        <v>0</v>
      </c>
      <c r="J256" s="11"/>
      <c r="K256" s="13" t="s">
        <v>26</v>
      </c>
      <c r="L256" s="21"/>
      <c r="M256" s="18"/>
      <c r="N256" s="20"/>
      <c r="O256" s="21"/>
      <c r="P256" s="18"/>
      <c r="Q256" s="20"/>
      <c r="R256" s="6"/>
    </row>
    <row r="257" spans="3:18" ht="18" customHeight="1" x14ac:dyDescent="0.15">
      <c r="C257" s="18"/>
      <c r="D257" s="2"/>
      <c r="E257" s="2"/>
      <c r="F257" s="19" t="s">
        <v>26</v>
      </c>
      <c r="G257" s="16"/>
      <c r="H257" s="16"/>
      <c r="I257" s="16">
        <f>G257*H257</f>
        <v>0</v>
      </c>
      <c r="J257" s="11"/>
      <c r="K257" s="3"/>
      <c r="L257" s="21"/>
      <c r="M257" s="18"/>
      <c r="N257" s="18"/>
      <c r="O257" s="21"/>
      <c r="P257" s="18"/>
      <c r="Q257" s="6"/>
      <c r="R257" s="6"/>
    </row>
    <row r="258" spans="3:18" ht="18" customHeight="1" x14ac:dyDescent="0.15">
      <c r="C258" s="18"/>
      <c r="D258" s="2"/>
      <c r="E258" s="2"/>
      <c r="F258" s="309"/>
      <c r="G258" s="310"/>
      <c r="H258" s="310"/>
      <c r="I258" s="311"/>
      <c r="J258" s="4"/>
      <c r="K258" s="15"/>
    </row>
    <row r="259" spans="3:18" ht="18" customHeight="1" x14ac:dyDescent="0.15"/>
    <row r="260" spans="3:18" ht="18" customHeight="1" x14ac:dyDescent="0.15"/>
    <row r="261" spans="3:18" ht="18" customHeight="1" x14ac:dyDescent="0.15"/>
  </sheetData>
  <autoFilter ref="C8:P261" xr:uid="{00000000-0009-0000-0000-000003000000}"/>
  <mergeCells count="17">
    <mergeCell ref="C6:E6"/>
    <mergeCell ref="H6:K6"/>
    <mergeCell ref="C11:F11"/>
    <mergeCell ref="D54:F54"/>
    <mergeCell ref="C2:E2"/>
    <mergeCell ref="H2:J2"/>
    <mergeCell ref="C3:E3"/>
    <mergeCell ref="C4:E4"/>
    <mergeCell ref="H4:H5"/>
    <mergeCell ref="J4:L5"/>
    <mergeCell ref="C5:E5"/>
    <mergeCell ref="F258:I258"/>
    <mergeCell ref="D139:F139"/>
    <mergeCell ref="D154:F154"/>
    <mergeCell ref="D168:F168"/>
    <mergeCell ref="D199:F199"/>
    <mergeCell ref="D220:F220"/>
  </mergeCells>
  <phoneticPr fontId="10"/>
  <dataValidations disablePrompts="1" count="2">
    <dataValidation imeMode="hiragana" allowBlank="1" showInputMessage="1" showErrorMessage="1" sqref="K227" xr:uid="{9992390E-9C3A-4793-8204-A8CCC2AF1ED1}"/>
    <dataValidation allowBlank="1" showInputMessage="1" showErrorMessage="1" sqref="K149:K151 K50:K54 K154 K248 K161:K162 K132:K139" xr:uid="{6424DBFC-A176-442A-945B-13BAAC19F495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G25" sqref="G25"/>
    </sheetView>
  </sheetViews>
  <sheetFormatPr defaultColWidth="11.75" defaultRowHeight="13.5" customHeight="1" x14ac:dyDescent="0.15"/>
  <sheetData/>
  <phoneticPr fontId="10"/>
  <printOptions gridLines="1"/>
  <pageMargins left="0.7" right="0.7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③原価一覧 (20250806) 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h-saito</dc:creator>
  <cp:lastModifiedBy>shinohara</cp:lastModifiedBy>
  <cp:lastPrinted>2023-01-13T04:52:35Z</cp:lastPrinted>
  <dcterms:created xsi:type="dcterms:W3CDTF">2016-05-16T08:05:24Z</dcterms:created>
  <dcterms:modified xsi:type="dcterms:W3CDTF">2025-09-29T02:18:09Z</dcterms:modified>
</cp:coreProperties>
</file>