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92DF0A90-A052-4141-81B5-BB628A7CF6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25346　原価表  20250808 ③" sheetId="14" r:id="rId1"/>
  </sheets>
  <definedNames>
    <definedName name="_xlnm._FilterDatabase" localSheetId="0" hidden="1">'225346　原価表  20250808 ③'!$F$9:$S$321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9" i="14" l="1"/>
  <c r="L223" i="14"/>
  <c r="F223" i="14"/>
  <c r="L222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I339" i="14" l="1"/>
  <c r="L333" i="14"/>
  <c r="C333" i="14"/>
  <c r="L332" i="14"/>
  <c r="L331" i="14"/>
  <c r="C331" i="14"/>
  <c r="L330" i="14"/>
  <c r="L329" i="14"/>
  <c r="C329" i="14"/>
  <c r="L328" i="14"/>
  <c r="C328" i="14"/>
  <c r="L327" i="14"/>
  <c r="C327" i="14"/>
  <c r="L326" i="14"/>
  <c r="L325" i="14"/>
  <c r="C325" i="14"/>
  <c r="L324" i="14"/>
  <c r="C324" i="14"/>
  <c r="L323" i="14"/>
  <c r="C323" i="14"/>
  <c r="L322" i="14"/>
  <c r="L321" i="14"/>
  <c r="L320" i="14"/>
  <c r="C320" i="14"/>
  <c r="L319" i="14"/>
  <c r="C319" i="14"/>
  <c r="L318" i="14"/>
  <c r="L317" i="14"/>
  <c r="C317" i="14"/>
  <c r="L316" i="14"/>
  <c r="C316" i="14"/>
  <c r="L315" i="14"/>
  <c r="C315" i="14"/>
  <c r="L314" i="14"/>
  <c r="C314" i="14"/>
  <c r="L313" i="14"/>
  <c r="C313" i="14"/>
  <c r="L312" i="14"/>
  <c r="C312" i="14"/>
  <c r="L311" i="14"/>
  <c r="C311" i="14"/>
  <c r="L310" i="14"/>
  <c r="C310" i="14"/>
  <c r="L309" i="14"/>
  <c r="C309" i="14"/>
  <c r="L308" i="14"/>
  <c r="C308" i="14"/>
  <c r="L307" i="14"/>
  <c r="C307" i="14"/>
  <c r="L306" i="14"/>
  <c r="C306" i="14"/>
  <c r="L305" i="14"/>
  <c r="C305" i="14"/>
  <c r="L304" i="14"/>
  <c r="C304" i="14"/>
  <c r="L303" i="14"/>
  <c r="C303" i="14"/>
  <c r="L302" i="14"/>
  <c r="C302" i="14"/>
  <c r="L301" i="14"/>
  <c r="C301" i="14"/>
  <c r="L300" i="14"/>
  <c r="C300" i="14"/>
  <c r="L299" i="14"/>
  <c r="C299" i="14"/>
  <c r="L298" i="14"/>
  <c r="C298" i="14"/>
  <c r="L297" i="14"/>
  <c r="C297" i="14"/>
  <c r="L296" i="14"/>
  <c r="C296" i="14"/>
  <c r="L295" i="14"/>
  <c r="C295" i="14"/>
  <c r="L294" i="14"/>
  <c r="C294" i="14"/>
  <c r="L293" i="14"/>
  <c r="C293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C274" i="14"/>
  <c r="L273" i="14"/>
  <c r="C273" i="14"/>
  <c r="L272" i="14"/>
  <c r="C272" i="14"/>
  <c r="L271" i="14"/>
  <c r="C271" i="14"/>
  <c r="L270" i="14"/>
  <c r="C270" i="14"/>
  <c r="L269" i="14"/>
  <c r="C269" i="14"/>
  <c r="L268" i="14"/>
  <c r="C268" i="14"/>
  <c r="L267" i="14"/>
  <c r="L266" i="14"/>
  <c r="L265" i="14"/>
  <c r="C265" i="14"/>
  <c r="L264" i="14"/>
  <c r="L263" i="14"/>
  <c r="C263" i="14"/>
  <c r="L262" i="14"/>
  <c r="L261" i="14"/>
  <c r="L260" i="14"/>
  <c r="L259" i="14"/>
  <c r="C259" i="14"/>
  <c r="L258" i="14"/>
  <c r="C258" i="14"/>
  <c r="L257" i="14"/>
  <c r="C257" i="14"/>
  <c r="L256" i="14"/>
  <c r="C256" i="14"/>
  <c r="L255" i="14"/>
  <c r="L254" i="14"/>
  <c r="L253" i="14"/>
  <c r="C253" i="14"/>
  <c r="L252" i="14"/>
  <c r="C252" i="14"/>
  <c r="L251" i="14"/>
  <c r="C251" i="14"/>
  <c r="L250" i="14"/>
  <c r="C250" i="14"/>
  <c r="L249" i="14"/>
  <c r="C249" i="14"/>
  <c r="L248" i="14"/>
  <c r="C248" i="14"/>
  <c r="L247" i="14"/>
  <c r="C247" i="14"/>
  <c r="L246" i="14"/>
  <c r="C246" i="14"/>
  <c r="L245" i="14"/>
  <c r="C245" i="14"/>
  <c r="L244" i="14"/>
  <c r="C244" i="14"/>
  <c r="L243" i="14"/>
  <c r="C243" i="14"/>
  <c r="L242" i="14"/>
  <c r="C242" i="14"/>
  <c r="L241" i="14"/>
  <c r="C241" i="14"/>
  <c r="L240" i="14"/>
  <c r="L239" i="14"/>
  <c r="L238" i="14"/>
  <c r="L237" i="14"/>
  <c r="L236" i="14"/>
  <c r="C236" i="14"/>
  <c r="L235" i="14"/>
  <c r="L234" i="14"/>
  <c r="L233" i="14"/>
  <c r="C233" i="14"/>
  <c r="L232" i="14"/>
  <c r="C232" i="14"/>
  <c r="L231" i="14"/>
  <c r="C231" i="14"/>
  <c r="L230" i="14"/>
  <c r="C230" i="14"/>
  <c r="L229" i="14"/>
  <c r="C229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06" i="14"/>
  <c r="L105" i="14"/>
  <c r="L104" i="14"/>
  <c r="L103" i="14"/>
  <c r="L102" i="14"/>
  <c r="L101" i="14"/>
  <c r="L100" i="14"/>
  <c r="L99" i="14"/>
  <c r="L98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F14" i="14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86" i="14" s="1"/>
  <c r="F87" i="14" s="1"/>
  <c r="F88" i="14" s="1"/>
  <c r="F98" i="14" s="1"/>
  <c r="I108" i="14" l="1"/>
  <c r="F99" i="14"/>
  <c r="C288" i="14"/>
  <c r="I288" i="14"/>
  <c r="I335" i="14"/>
  <c r="I29" i="14"/>
  <c r="I172" i="14"/>
  <c r="C340" i="14"/>
  <c r="I141" i="14"/>
  <c r="I90" i="14"/>
  <c r="I225" i="14"/>
  <c r="N2" i="14"/>
  <c r="F100" i="14" l="1"/>
  <c r="F101" i="14" s="1"/>
  <c r="F102" i="14" s="1"/>
  <c r="F103" i="14" s="1"/>
  <c r="F104" i="14" s="1"/>
  <c r="F105" i="14" s="1"/>
  <c r="F106" i="14" s="1"/>
  <c r="F113" i="14" s="1"/>
  <c r="F114" i="14" s="1"/>
  <c r="F115" i="14" s="1"/>
  <c r="F116" i="14" s="1"/>
  <c r="F117" i="14" s="1"/>
  <c r="F118" i="14" s="1"/>
  <c r="F119" i="14" s="1"/>
  <c r="F120" i="14" s="1"/>
  <c r="F121" i="14" s="1"/>
  <c r="F122" i="14" s="1"/>
  <c r="F123" i="14" s="1"/>
  <c r="F124" i="14" s="1"/>
  <c r="F125" i="14" s="1"/>
  <c r="F126" i="14" s="1"/>
  <c r="F127" i="14" s="1"/>
  <c r="F128" i="14" s="1"/>
  <c r="F129" i="14" s="1"/>
  <c r="F130" i="14" s="1"/>
  <c r="F131" i="14" s="1"/>
  <c r="F132" i="14" s="1"/>
  <c r="F133" i="14" s="1"/>
  <c r="F134" i="14" s="1"/>
  <c r="F135" i="14" s="1"/>
  <c r="F136" i="14" s="1"/>
  <c r="F137" i="14" s="1"/>
  <c r="F138" i="14" s="1"/>
  <c r="F139" i="14" s="1"/>
  <c r="F146" i="14" s="1"/>
  <c r="F147" i="14" s="1"/>
  <c r="C346" i="14"/>
  <c r="F148" i="14" l="1"/>
  <c r="F149" i="14" s="1"/>
  <c r="F150" i="14" s="1"/>
  <c r="F151" i="14" s="1"/>
  <c r="F152" i="14" s="1"/>
  <c r="F153" i="14" s="1"/>
  <c r="F154" i="14" s="1"/>
  <c r="F155" i="14" s="1"/>
  <c r="F156" i="14" s="1"/>
  <c r="F157" i="14" s="1"/>
  <c r="F158" i="14" s="1"/>
  <c r="F159" i="14" s="1"/>
  <c r="F160" i="14" s="1"/>
  <c r="F161" i="14" s="1"/>
  <c r="F162" i="14" s="1"/>
  <c r="F163" i="14" s="1"/>
  <c r="F164" i="14" s="1"/>
  <c r="F165" i="14" s="1"/>
  <c r="F166" i="14" s="1"/>
  <c r="F167" i="14" s="1"/>
  <c r="F168" i="14" s="1"/>
  <c r="F169" i="14" s="1"/>
  <c r="F170" i="14" s="1"/>
  <c r="F177" i="14" s="1"/>
  <c r="F178" i="14" l="1"/>
  <c r="F179" i="14" s="1"/>
  <c r="F180" i="14" s="1"/>
  <c r="F181" i="14" s="1"/>
  <c r="F182" i="14" s="1"/>
  <c r="F183" i="14" s="1"/>
  <c r="F184" i="14" s="1"/>
  <c r="F185" i="14" s="1"/>
  <c r="F186" i="14" s="1"/>
  <c r="F187" i="14" s="1"/>
  <c r="F188" i="14" s="1"/>
  <c r="F189" i="14" s="1"/>
  <c r="F190" i="14" s="1"/>
  <c r="F191" i="14" s="1"/>
  <c r="F192" i="14" s="1"/>
  <c r="F193" i="14" s="1"/>
  <c r="F194" i="14" s="1"/>
  <c r="F195" i="14" s="1"/>
  <c r="F196" i="14" s="1"/>
  <c r="F197" i="14" s="1"/>
  <c r="F198" i="14" s="1"/>
  <c r="F199" i="14" l="1"/>
  <c r="F200" i="14" s="1"/>
  <c r="F201" i="14" s="1"/>
  <c r="F202" i="14" s="1"/>
  <c r="F203" i="14" s="1"/>
  <c r="F204" i="14" s="1"/>
  <c r="F205" i="14" s="1"/>
  <c r="F206" i="14" s="1"/>
  <c r="F207" i="14" s="1"/>
  <c r="F208" i="14" s="1"/>
  <c r="F209" i="14" l="1"/>
  <c r="F210" i="14" s="1"/>
  <c r="F211" i="14" s="1"/>
  <c r="F212" i="14" s="1"/>
  <c r="F213" i="14" l="1"/>
  <c r="F214" i="14" s="1"/>
  <c r="F215" i="14" s="1"/>
  <c r="F216" i="14" s="1"/>
  <c r="F217" i="14" s="1"/>
  <c r="F218" i="14" s="1"/>
  <c r="F219" i="14" s="1"/>
  <c r="F220" i="14" s="1"/>
  <c r="F221" i="14" s="1"/>
  <c r="F222" i="14" s="1"/>
  <c r="F230" i="14" l="1"/>
  <c r="F231" i="14" s="1"/>
  <c r="F232" i="14" s="1"/>
  <c r="F233" i="14" s="1"/>
  <c r="F234" i="14" s="1"/>
  <c r="F235" i="14" s="1"/>
  <c r="F236" i="14" s="1"/>
  <c r="F237" i="14" s="1"/>
  <c r="F238" i="14" s="1"/>
  <c r="F239" i="14" s="1"/>
  <c r="F240" i="14" s="1"/>
  <c r="F241" i="14" s="1"/>
  <c r="F242" i="14" s="1"/>
  <c r="F243" i="14" s="1"/>
  <c r="F244" i="14" s="1"/>
  <c r="F245" i="14" s="1"/>
  <c r="F246" i="14" s="1"/>
  <c r="F247" i="14" s="1"/>
  <c r="F248" i="14" s="1"/>
  <c r="F249" i="14" s="1"/>
  <c r="F250" i="14" s="1"/>
  <c r="F251" i="14" s="1"/>
  <c r="F252" i="14" s="1"/>
  <c r="F253" i="14" s="1"/>
  <c r="F254" i="14" s="1"/>
  <c r="F255" i="14" s="1"/>
  <c r="F256" i="14" s="1"/>
  <c r="F257" i="14" s="1"/>
  <c r="F258" i="14" s="1"/>
  <c r="F259" i="14" s="1"/>
  <c r="F260" i="14" s="1"/>
  <c r="F261" i="14" s="1"/>
  <c r="F262" i="14" s="1"/>
  <c r="F263" i="14" s="1"/>
  <c r="F264" i="14" s="1"/>
  <c r="F265" i="14" s="1"/>
  <c r="F266" i="14" s="1"/>
  <c r="F267" i="14" s="1"/>
  <c r="F268" i="14" s="1"/>
  <c r="F269" i="14" s="1"/>
  <c r="F270" i="14" s="1"/>
  <c r="F271" i="14" s="1"/>
  <c r="F272" i="14" s="1"/>
  <c r="F273" i="14" s="1"/>
  <c r="F274" i="14" s="1"/>
  <c r="F275" i="14" s="1"/>
  <c r="F276" i="14" s="1"/>
  <c r="F277" i="14" s="1"/>
  <c r="F278" i="14" s="1"/>
  <c r="F279" i="14" s="1"/>
  <c r="F280" i="14" s="1"/>
  <c r="F281" i="14" s="1"/>
  <c r="F282" i="14" s="1"/>
  <c r="F283" i="14" s="1"/>
  <c r="F284" i="14" s="1"/>
  <c r="F285" i="14" s="1"/>
  <c r="F293" i="14" s="1"/>
  <c r="F294" i="14" s="1"/>
  <c r="F295" i="14" s="1"/>
  <c r="F296" i="14" s="1"/>
  <c r="F297" i="14" s="1"/>
  <c r="F298" i="14" s="1"/>
  <c r="F299" i="14" s="1"/>
  <c r="F300" i="14" s="1"/>
  <c r="F301" i="14" s="1"/>
  <c r="F302" i="14" s="1"/>
  <c r="F303" i="14" s="1"/>
  <c r="F304" i="14" s="1"/>
  <c r="F305" i="14" s="1"/>
  <c r="F306" i="14" s="1"/>
  <c r="F307" i="14" s="1"/>
  <c r="F308" i="14" s="1"/>
  <c r="F309" i="14" s="1"/>
  <c r="F310" i="14" s="1"/>
  <c r="F311" i="14" s="1"/>
  <c r="F312" i="14" s="1"/>
  <c r="F313" i="14" s="1"/>
  <c r="F314" i="14" s="1"/>
  <c r="F315" i="14" s="1"/>
  <c r="F316" i="14" s="1"/>
  <c r="F317" i="14" s="1"/>
  <c r="F318" i="14" s="1"/>
  <c r="F319" i="14" s="1"/>
  <c r="F320" i="14" s="1"/>
  <c r="F321" i="14" s="1"/>
  <c r="F322" i="14" s="1"/>
  <c r="F323" i="14" s="1"/>
  <c r="F324" i="14" s="1"/>
  <c r="F325" i="14" s="1"/>
  <c r="F326" i="14" s="1"/>
  <c r="F327" i="14" s="1"/>
  <c r="F328" i="14" s="1"/>
  <c r="F329" i="14" s="1"/>
  <c r="F330" i="14" s="1"/>
  <c r="F331" i="14" s="1"/>
  <c r="F332" i="14" s="1"/>
  <c r="F333" i="14" s="1"/>
</calcChain>
</file>

<file path=xl/sharedStrings.xml><?xml version="1.0" encoding="utf-8"?>
<sst xmlns="http://schemas.openxmlformats.org/spreadsheetml/2006/main" count="1827" uniqueCount="577">
  <si>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</si>
  <si>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</si>
  <si>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</si>
  <si>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</si>
  <si>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</si>
  <si>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</si>
  <si>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</si>
  <si>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</si>
  <si>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</si>
  <si>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</si>
  <si>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</si>
  <si>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</si>
  <si>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</si>
  <si>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</si>
  <si>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</si>
  <si>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</si>
  <si>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</si>
  <si>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</si>
  <si>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</si>
  <si>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</si>
  <si>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</si>
  <si>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</si>
  <si>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</si>
  <si>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山澤(齋藤）</t>
    <rPh sb="0" eb="2">
      <t>ヤマサワ</t>
    </rPh>
    <rPh sb="3" eb="5">
      <t>サイトウ</t>
    </rPh>
    <phoneticPr fontId="2"/>
  </si>
  <si>
    <t>1日目</t>
    <rPh sb="1" eb="3">
      <t>ヒメ</t>
    </rPh>
    <phoneticPr fontId="2"/>
  </si>
  <si>
    <t>ミスミ</t>
    <phoneticPr fontId="2"/>
  </si>
  <si>
    <t>A8001</t>
    <phoneticPr fontId="2"/>
  </si>
  <si>
    <t>汎用3芯OAタップ 6ヶ口</t>
    <phoneticPr fontId="2"/>
  </si>
  <si>
    <t>配電BOXﾕﾆｯﾄ</t>
    <phoneticPr fontId="2"/>
  </si>
  <si>
    <t>浸け置きﾕﾆｯﾄ</t>
    <rPh sb="0" eb="1">
      <t>ツ</t>
    </rPh>
    <rPh sb="2" eb="3">
      <t>オ</t>
    </rPh>
    <phoneticPr fontId="2"/>
  </si>
  <si>
    <t>1日目</t>
    <rPh sb="1" eb="2">
      <t>ヒ</t>
    </rPh>
    <rPh sb="2" eb="3">
      <t>メ</t>
    </rPh>
    <phoneticPr fontId="2"/>
  </si>
  <si>
    <t>CHNS4</t>
    <phoneticPr fontId="2"/>
  </si>
  <si>
    <t>CRKB4-8</t>
    <phoneticPr fontId="2"/>
  </si>
  <si>
    <t>樹脂付ローレットボルト</t>
    <rPh sb="0" eb="2">
      <t>ジュシ</t>
    </rPh>
    <rPh sb="2" eb="3">
      <t>ツキ</t>
    </rPh>
    <phoneticPr fontId="2"/>
  </si>
  <si>
    <t>ﾐｽﾐ</t>
    <phoneticPr fontId="2"/>
  </si>
  <si>
    <t>KBXS100-100</t>
    <phoneticPr fontId="2"/>
  </si>
  <si>
    <t>金属BOX</t>
    <phoneticPr fontId="2"/>
  </si>
  <si>
    <t>MS3-6</t>
    <phoneticPr fontId="16"/>
  </si>
  <si>
    <t>RSCB4-15</t>
    <phoneticPr fontId="2"/>
  </si>
  <si>
    <t>3日目</t>
    <rPh sb="1" eb="2">
      <t>ヒ</t>
    </rPh>
    <rPh sb="2" eb="3">
      <t>メ</t>
    </rPh>
    <phoneticPr fontId="2"/>
  </si>
  <si>
    <t>3日間</t>
    <rPh sb="1" eb="2">
      <t>ヒ</t>
    </rPh>
    <rPh sb="2" eb="3">
      <t>カン</t>
    </rPh>
    <phoneticPr fontId="16"/>
  </si>
  <si>
    <t>meviy</t>
    <phoneticPr fontId="2"/>
  </si>
  <si>
    <t>PUT4-10-B</t>
    <phoneticPr fontId="2"/>
  </si>
  <si>
    <t>エアチューブ  在庫使用</t>
    <phoneticPr fontId="2"/>
  </si>
  <si>
    <t>PUT6-10-B</t>
    <phoneticPr fontId="2"/>
  </si>
  <si>
    <t>6日目</t>
    <rPh sb="1" eb="2">
      <t>ヒ</t>
    </rPh>
    <rPh sb="2" eb="3">
      <t>メ</t>
    </rPh>
    <phoneticPr fontId="2"/>
  </si>
  <si>
    <t>MVTUP-SUB-3GK-HD2S8</t>
    <phoneticPr fontId="2"/>
  </si>
  <si>
    <t>ﾐﾆｶｯﾌﾟ（30cc）　SETB0178-Z06　30ccｶｯﾌﾟsus材　20230803　</t>
    <phoneticPr fontId="2"/>
  </si>
  <si>
    <t>SV70ﾊﾞﾙﾌﾞﾉｽﾞﾙ位置合わせ治具</t>
    <rPh sb="13" eb="15">
      <t>イチ</t>
    </rPh>
    <rPh sb="15" eb="16">
      <t>ア</t>
    </rPh>
    <rPh sb="18" eb="20">
      <t>ジグ</t>
    </rPh>
    <phoneticPr fontId="2"/>
  </si>
  <si>
    <t>MVSHM-3N02050-3T2-J8B5C</t>
    <phoneticPr fontId="2"/>
  </si>
  <si>
    <r>
      <t>SETA0010-Z04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位置決めベース</t>
    </r>
    <phoneticPr fontId="2"/>
  </si>
  <si>
    <t>MVSHM-3N03002-3T2-EXPLE</t>
    <phoneticPr fontId="2"/>
  </si>
  <si>
    <r>
      <t>SETA0010-Z02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角度切替ベース</t>
    </r>
    <phoneticPr fontId="2"/>
  </si>
  <si>
    <t>MVSHM-ZZ99000-3SZ-7ELAD</t>
    <phoneticPr fontId="2"/>
  </si>
  <si>
    <r>
      <t>SETA0010-Z03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角度切替ブラケット</t>
    </r>
    <phoneticPr fontId="2"/>
  </si>
  <si>
    <t>2日目</t>
    <rPh sb="1" eb="2">
      <t>ヒ</t>
    </rPh>
    <rPh sb="2" eb="3">
      <t>メ</t>
    </rPh>
    <phoneticPr fontId="2"/>
  </si>
  <si>
    <t>AWSS-D-D6-V4-T1.9</t>
    <phoneticPr fontId="2"/>
  </si>
  <si>
    <t>金属ワッシャ　－Ｔ寸公差選択タイプ－</t>
    <phoneticPr fontId="2"/>
  </si>
  <si>
    <t>MS2-6</t>
    <phoneticPr fontId="2"/>
  </si>
  <si>
    <t>ノックピン　ストレート</t>
    <phoneticPr fontId="2"/>
  </si>
  <si>
    <t>JTDA-SUD-A27-B12-T2-X6-Y6-M4-L15-MA4</t>
    <phoneticPr fontId="2"/>
  </si>
  <si>
    <t>押え板</t>
    <phoneticPr fontId="2"/>
  </si>
  <si>
    <t>ASFCS-A27-B14-T0.3-D4.5-E6-C6-P15</t>
    <phoneticPr fontId="2"/>
  </si>
  <si>
    <t>シム</t>
    <phoneticPr fontId="2"/>
  </si>
  <si>
    <t>SCB4-5</t>
    <phoneticPr fontId="2"/>
  </si>
  <si>
    <t>六角穴付きﾎﾞﾙﾄ　M4×5mm　　　　6本</t>
    <rPh sb="21" eb="22">
      <t>ホン</t>
    </rPh>
    <phoneticPr fontId="2"/>
  </si>
  <si>
    <t xml:space="preserve">SPWF4 </t>
    <phoneticPr fontId="2"/>
  </si>
  <si>
    <t>ワッシャ　　平座金　　M4×8mm　　　4個</t>
    <rPh sb="21" eb="22">
      <t>コ</t>
    </rPh>
    <phoneticPr fontId="2"/>
  </si>
  <si>
    <t>5日間</t>
    <rPh sb="1" eb="2">
      <t>ヒ</t>
    </rPh>
    <rPh sb="2" eb="3">
      <t>カン</t>
    </rPh>
    <phoneticPr fontId="2"/>
  </si>
  <si>
    <t>ミスミ</t>
  </si>
  <si>
    <t>WQBB-JW-A22-B8-T15-H6.5-Q45-X6-F10-S10.5-Z3</t>
    <phoneticPr fontId="2"/>
  </si>
  <si>
    <t>位置決めｶﾞｲﾄﾞ受け　2018-09-13-X028　</t>
    <phoneticPr fontId="2"/>
  </si>
  <si>
    <t>1日間</t>
    <rPh sb="1" eb="2">
      <t>ヒ</t>
    </rPh>
    <rPh sb="2" eb="3">
      <t>カン</t>
    </rPh>
    <phoneticPr fontId="28"/>
  </si>
  <si>
    <t>ミニチュアクランプレバー</t>
    <phoneticPr fontId="2"/>
  </si>
  <si>
    <t>HBLFSNF5-SEP</t>
    <phoneticPr fontId="2"/>
  </si>
  <si>
    <t>５シリーズ（溝幅６ｍｍ）　－１列溝用－　突起付反転ブラケット</t>
    <phoneticPr fontId="2"/>
  </si>
  <si>
    <t xml:space="preserve">HBLSS5 </t>
    <phoneticPr fontId="2"/>
  </si>
  <si>
    <t xml:space="preserve"> 薄型ブラケット</t>
    <phoneticPr fontId="2"/>
  </si>
  <si>
    <t>HFC5-2040-S</t>
    <phoneticPr fontId="2"/>
  </si>
  <si>
    <t>3日間</t>
    <rPh sb="1" eb="2">
      <t>ヒ</t>
    </rPh>
    <rPh sb="2" eb="3">
      <t>カン</t>
    </rPh>
    <phoneticPr fontId="28"/>
  </si>
  <si>
    <t>HNTP5-4</t>
    <phoneticPr fontId="2"/>
  </si>
  <si>
    <t>後入れバネナット  6個　凸無し</t>
    <rPh sb="11" eb="12">
      <t>コ</t>
    </rPh>
    <rPh sb="13" eb="14">
      <t>トツ</t>
    </rPh>
    <rPh sb="14" eb="15">
      <t>ナ</t>
    </rPh>
    <phoneticPr fontId="2"/>
  </si>
  <si>
    <t xml:space="preserve">HNTP5-5 </t>
    <phoneticPr fontId="2"/>
  </si>
  <si>
    <t>7日間</t>
    <rPh sb="1" eb="2">
      <t>ヒ</t>
    </rPh>
    <rPh sb="2" eb="3">
      <t>カン</t>
    </rPh>
    <phoneticPr fontId="28"/>
  </si>
  <si>
    <t>NOOSAF4-8-7</t>
    <phoneticPr fontId="2"/>
  </si>
  <si>
    <t>厚型ローレットノブ</t>
    <phoneticPr fontId="2"/>
  </si>
  <si>
    <t xml:space="preserve">SBCB4-6 </t>
    <phoneticPr fontId="2"/>
  </si>
  <si>
    <t xml:space="preserve"> 六角穴付ボタンボルト　　6本</t>
    <rPh sb="14" eb="15">
      <t>ホン</t>
    </rPh>
    <phoneticPr fontId="2"/>
  </si>
  <si>
    <t xml:space="preserve">SCB5-8  </t>
    <phoneticPr fontId="2"/>
  </si>
  <si>
    <t>六角穴付ボルト    4本 在庫使用</t>
    <rPh sb="12" eb="13">
      <t>ホン</t>
    </rPh>
    <phoneticPr fontId="2"/>
  </si>
  <si>
    <t>SCB5-20</t>
    <phoneticPr fontId="2"/>
  </si>
  <si>
    <t>六角穴付ボルト　　16本 在庫使用</t>
    <rPh sb="11" eb="12">
      <t>ホン</t>
    </rPh>
    <phoneticPr fontId="2"/>
  </si>
  <si>
    <t>BLFA-SUD-T2-A20-B20-H29-J15-X8-Y10-W0-N4-E10.5-S5-G10-MA3-LCC1</t>
    <phoneticPr fontId="2"/>
  </si>
  <si>
    <t>SETB0082-X02-1 　U字型外形位置決めﾌﾞﾛｯｸ</t>
    <phoneticPr fontId="2"/>
  </si>
  <si>
    <t>JTAB-SUD-A400-B37-T2-X20-Y10-G20-N4-L200-V180-S10-W20-NA4-CC2</t>
    <phoneticPr fontId="2"/>
  </si>
  <si>
    <t>SETB0082-X03　井桁ﾜｰｸ冶具ﾜｰｸ受け　2mm幅　</t>
    <phoneticPr fontId="2"/>
  </si>
  <si>
    <t>6日間</t>
    <rPh sb="1" eb="2">
      <t>ヒ</t>
    </rPh>
    <rPh sb="2" eb="3">
      <t>カン</t>
    </rPh>
    <phoneticPr fontId="28"/>
  </si>
  <si>
    <t>MVBLK-SUB-2XX-P8KB5</t>
    <phoneticPr fontId="2"/>
  </si>
  <si>
    <r>
      <rPr>
        <sz val="11"/>
        <rFont val="ＭＳ Ｐゴシック"/>
        <family val="3"/>
        <charset val="128"/>
      </rPr>
      <t>SETB0082-X05-1</t>
    </r>
    <r>
      <rPr>
        <sz val="11"/>
        <color indexed="8"/>
        <rFont val="ＭＳ Ｐゴシック"/>
        <family val="3"/>
        <charset val="128"/>
      </rPr>
      <t xml:space="preserve"> ﾜｰｸ押さえ</t>
    </r>
    <phoneticPr fontId="2"/>
  </si>
  <si>
    <t>8日間</t>
    <rPh sb="1" eb="2">
      <t>ヒ</t>
    </rPh>
    <rPh sb="2" eb="3">
      <t>カン</t>
    </rPh>
    <phoneticPr fontId="28"/>
  </si>
  <si>
    <t>MS3-10</t>
    <phoneticPr fontId="2"/>
  </si>
  <si>
    <t>ﾉｯｸﾋﾟﾝ　φ3-10mm　8本</t>
    <rPh sb="16" eb="17">
      <t>ホン</t>
    </rPh>
    <phoneticPr fontId="2"/>
  </si>
  <si>
    <t>MS4-35</t>
    <phoneticPr fontId="2"/>
  </si>
  <si>
    <t>ﾉｯｸﾋﾟﾝ　φ4-35mm　4本</t>
    <rPh sb="16" eb="17">
      <t>ホン</t>
    </rPh>
    <phoneticPr fontId="2"/>
  </si>
  <si>
    <t xml:space="preserve">SCB4-8  </t>
    <phoneticPr fontId="2"/>
  </si>
  <si>
    <t xml:space="preserve">SHNTP5-4  </t>
    <phoneticPr fontId="2"/>
  </si>
  <si>
    <t>後入れバネナット  6個</t>
    <rPh sb="11" eb="12">
      <t>コ</t>
    </rPh>
    <phoneticPr fontId="2"/>
  </si>
  <si>
    <t xml:space="preserve">SHNTP5-5 </t>
    <phoneticPr fontId="2"/>
  </si>
  <si>
    <t>後入れバネナット  10個</t>
    <rPh sb="12" eb="13">
      <t>コ</t>
    </rPh>
    <phoneticPr fontId="2"/>
  </si>
  <si>
    <t>WSSS10-4-1</t>
    <phoneticPr fontId="2"/>
  </si>
  <si>
    <t>金属ﾜｯｼｬｰ　　Ｔ寸選択・指定タイプ　並級</t>
    <rPh sb="0" eb="2">
      <t>キンゾク</t>
    </rPh>
    <phoneticPr fontId="2"/>
  </si>
  <si>
    <t>WSSS10-5-2</t>
    <phoneticPr fontId="2"/>
  </si>
  <si>
    <t>金属ワッシャ　Ｔ寸選択・指定タイプ</t>
    <phoneticPr fontId="2"/>
  </si>
  <si>
    <r>
      <t xml:space="preserve">後入れバネナット  </t>
    </r>
    <r>
      <rPr>
        <b/>
        <sz val="11"/>
        <color rgb="FF0070C0"/>
        <rFont val="ＭＳ Ｐゴシック"/>
        <family val="3"/>
        <charset val="128"/>
        <scheme val="minor"/>
      </rPr>
      <t>4</t>
    </r>
    <r>
      <rPr>
        <sz val="11"/>
        <color theme="1"/>
        <rFont val="ＭＳ Ｐゴシック"/>
        <family val="3"/>
        <charset val="128"/>
        <scheme val="minor"/>
      </rPr>
      <t>個+4個　凸無し</t>
    </r>
    <rPh sb="11" eb="12">
      <t>コ</t>
    </rPh>
    <rPh sb="14" eb="15">
      <t>コ</t>
    </rPh>
    <rPh sb="16" eb="17">
      <t>トツ</t>
    </rPh>
    <rPh sb="17" eb="18">
      <t>ナ</t>
    </rPh>
    <phoneticPr fontId="2"/>
  </si>
  <si>
    <t>ツ－ル治具部分</t>
  </si>
  <si>
    <t>8日目</t>
    <rPh sb="1" eb="2">
      <t>ヒ</t>
    </rPh>
    <rPh sb="2" eb="3">
      <t>メ</t>
    </rPh>
    <phoneticPr fontId="2"/>
  </si>
  <si>
    <t>AETTS10-93-SC46.5-M3-N3</t>
    <phoneticPr fontId="16"/>
  </si>
  <si>
    <t>円形支柱－両端めねじ　2本</t>
    <rPh sb="12" eb="13">
      <t>ホン</t>
    </rPh>
    <phoneticPr fontId="16"/>
  </si>
  <si>
    <t>AETTS8-93-SC46.5-M3-N3</t>
    <phoneticPr fontId="16"/>
  </si>
  <si>
    <t>円形支柱－両端めねじ　1本</t>
    <rPh sb="12" eb="13">
      <t>ホン</t>
    </rPh>
    <phoneticPr fontId="16"/>
  </si>
  <si>
    <t>MVBLK-AMW-2UH-KB7YY</t>
    <phoneticPr fontId="16"/>
  </si>
  <si>
    <t>SETB0075-X01　ﾂｰﾙ取付板</t>
    <phoneticPr fontId="16"/>
  </si>
  <si>
    <t>JPLRS4-P5.0-B7.0</t>
    <phoneticPr fontId="16"/>
  </si>
  <si>
    <t>ﾏｰｶｰﾋﾟﾝ　2本</t>
    <rPh sb="9" eb="10">
      <t>ホン</t>
    </rPh>
    <phoneticPr fontId="2"/>
  </si>
  <si>
    <t>MS3-10</t>
    <phoneticPr fontId="16"/>
  </si>
  <si>
    <t xml:space="preserve">SCB5-8   </t>
    <phoneticPr fontId="16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</si>
  <si>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4本　  社内在庫使用</t>
    </r>
    <rPh sb="10" eb="11">
      <t>ホン</t>
    </rPh>
    <phoneticPr fontId="16"/>
  </si>
  <si>
    <t>SCB5-12</t>
    <phoneticPr fontId="16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</si>
  <si>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6"/>
  </si>
  <si>
    <t>CBSST5-16</t>
    <phoneticPr fontId="16"/>
  </si>
  <si>
    <t>低頭六角穴付ボルト 2本+1本</t>
    <rPh sb="11" eb="12">
      <t>ホン</t>
    </rPh>
    <rPh sb="14" eb="15">
      <t>ホン</t>
    </rPh>
    <phoneticPr fontId="16"/>
  </si>
  <si>
    <t>MVBLK-AMW-2UH-4X1XW</t>
    <phoneticPr fontId="16"/>
  </si>
  <si>
    <t>SETB0075-X02　RA取付板</t>
    <phoneticPr fontId="16"/>
  </si>
  <si>
    <t>CBSST8-16</t>
    <phoneticPr fontId="16"/>
  </si>
  <si>
    <t>低頭六角穴付ボルト　2本</t>
    <rPh sb="11" eb="12">
      <t>ホン</t>
    </rPh>
    <phoneticPr fontId="16"/>
  </si>
  <si>
    <t xml:space="preserve">SCB5-10 </t>
    <phoneticPr fontId="16"/>
  </si>
  <si>
    <t>MVBLK-AMW-2UH-LT9DG</t>
    <phoneticPr fontId="16"/>
  </si>
  <si>
    <t>SETB0075-X03　シャフトホルダ変換板</t>
    <phoneticPr fontId="16"/>
  </si>
  <si>
    <t>ノックピン　－プラス公差－　１本</t>
    <rPh sb="15" eb="16">
      <t>ホン</t>
    </rPh>
    <phoneticPr fontId="16"/>
  </si>
  <si>
    <t>SCB4-12</t>
    <phoneticPr fontId="16"/>
  </si>
  <si>
    <r>
      <t>六角穴付ボルト  　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6"/>
  </si>
  <si>
    <t>5日目</t>
    <rPh sb="1" eb="2">
      <t>ヒ</t>
    </rPh>
    <rPh sb="2" eb="3">
      <t>メ</t>
    </rPh>
    <phoneticPr fontId="2"/>
  </si>
  <si>
    <t>SSTHS10M-MB</t>
    <phoneticPr fontId="16"/>
  </si>
  <si>
    <t>シャフトホルダ　-ブラケット型スタンダードタイプ</t>
    <phoneticPr fontId="16"/>
  </si>
  <si>
    <t>MVBLK-AMW-2UH-AZWZ7</t>
    <phoneticPr fontId="16"/>
  </si>
  <si>
    <t>SETB0075-X04 セットカラー固定ﾌﾞﾗｹｯﾄ</t>
    <phoneticPr fontId="16"/>
  </si>
  <si>
    <t>CBSST5-12</t>
    <phoneticPr fontId="16"/>
  </si>
  <si>
    <t>低頭六角穴付ボルト　1本</t>
    <rPh sb="11" eb="12">
      <t>ホン</t>
    </rPh>
    <phoneticPr fontId="16"/>
  </si>
  <si>
    <t>SSCMW10</t>
    <phoneticPr fontId="16"/>
  </si>
  <si>
    <t>セットカラー　止めねじ固定</t>
    <phoneticPr fontId="16"/>
  </si>
  <si>
    <t>MVBLK-AMW-2UH-D2WFZ</t>
    <phoneticPr fontId="16"/>
  </si>
  <si>
    <t>SETB0075-Y05  補強ﾌﾞﾛｯｸ</t>
    <phoneticPr fontId="16"/>
  </si>
  <si>
    <t>MVBLK-AMW-2UH-KS44C</t>
    <phoneticPr fontId="16"/>
  </si>
  <si>
    <t>SETB0075-Y06　ﾊﾞﾙﾌﾞﾎﾙﾀﾞｰﾌﾞﾗｹｯﾄ</t>
    <phoneticPr fontId="16"/>
  </si>
  <si>
    <t xml:space="preserve">MS3-10 </t>
    <phoneticPr fontId="16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</si>
  <si>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6本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6"/>
  </si>
  <si>
    <t xml:space="preserve">SCB4-10 </t>
    <phoneticPr fontId="16"/>
  </si>
  <si>
    <t>8日間</t>
    <rPh sb="1" eb="2">
      <t>ヒ</t>
    </rPh>
    <rPh sb="2" eb="3">
      <t>カン</t>
    </rPh>
    <phoneticPr fontId="16"/>
  </si>
  <si>
    <t xml:space="preserve">MVBLK-AMW-2GL-8WK59    </t>
    <phoneticPr fontId="16"/>
  </si>
  <si>
    <t xml:space="preserve"> SETB0047-Y04　SV51、SV70、SV91、SV97用ホルダ(P=25)</t>
    <rPh sb="33" eb="34">
      <t>ヨウ</t>
    </rPh>
    <phoneticPr fontId="2"/>
  </si>
  <si>
    <t>SCB4-16</t>
    <phoneticPr fontId="16"/>
  </si>
  <si>
    <t xml:space="preserve">SCB6-10 </t>
    <phoneticPr fontId="16"/>
  </si>
  <si>
    <t>MS3-35</t>
    <phoneticPr fontId="16"/>
  </si>
  <si>
    <t>ノックピン　4本</t>
    <rPh sb="7" eb="8">
      <t>ホン</t>
    </rPh>
    <phoneticPr fontId="16"/>
  </si>
  <si>
    <t>MVBLK-AMW-2UH-KM5D8</t>
    <phoneticPr fontId="16"/>
  </si>
  <si>
    <t>SETB0075-Y07 ｶﾑﾌｧﾛｱ固定ﾌﾞﾛｯｸ</t>
    <phoneticPr fontId="16"/>
  </si>
  <si>
    <t>C-CFA5-13</t>
    <phoneticPr fontId="16"/>
  </si>
  <si>
    <t>カムフォロア　頭部六角穴付　フラットタイプ　2個</t>
    <rPh sb="23" eb="24">
      <t>コ</t>
    </rPh>
    <phoneticPr fontId="16"/>
  </si>
  <si>
    <t>CFBRA5-40</t>
    <phoneticPr fontId="16"/>
  </si>
  <si>
    <t>カムフォロア用ブラケット　2個</t>
    <rPh sb="14" eb="15">
      <t>コ</t>
    </rPh>
    <phoneticPr fontId="16"/>
  </si>
  <si>
    <t>SBCB5-10</t>
    <phoneticPr fontId="16"/>
  </si>
  <si>
    <t>六角穴付ボタンボルト　－ステンレス　4本</t>
    <rPh sb="19" eb="20">
      <t>ホン</t>
    </rPh>
    <phoneticPr fontId="16"/>
  </si>
  <si>
    <t>MVBLK-AMW-2UH-M913F</t>
    <phoneticPr fontId="16"/>
  </si>
  <si>
    <t>SETB0075-Y08 ｶﾑﾌｧﾛｱｶﾞｲﾄﾞ</t>
    <phoneticPr fontId="16"/>
  </si>
  <si>
    <t>SETB0075-Y10 左側ｶﾞｲﾄﾞｶﾊﾞｰ</t>
    <phoneticPr fontId="16"/>
  </si>
  <si>
    <t>SUNCO</t>
    <phoneticPr fontId="16"/>
  </si>
  <si>
    <t>CSHCS-SUS-M3-4</t>
    <phoneticPr fontId="16"/>
  </si>
  <si>
    <t>六角穴付皿ボルト　  2本　×2SET　</t>
    <phoneticPr fontId="16"/>
  </si>
  <si>
    <t>SFB3-8</t>
    <phoneticPr fontId="16"/>
  </si>
  <si>
    <t>六角穴付皿ボルト　  9本　×2SET　</t>
    <phoneticPr fontId="16"/>
  </si>
  <si>
    <t>SCB4-20</t>
    <phoneticPr fontId="16"/>
  </si>
  <si>
    <t>MVSHM-3N02054-37F-R3R62</t>
    <phoneticPr fontId="16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</si>
  <si>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-Y11 上部ｶﾞｲﾄﾞｶﾊﾞｰ</t>
    </r>
    <rPh sb="13" eb="14">
      <t>ウエ</t>
    </rPh>
    <rPh sb="14" eb="15">
      <t>ブ</t>
    </rPh>
    <phoneticPr fontId="16"/>
  </si>
  <si>
    <t>RACW30-40-10</t>
    <phoneticPr fontId="16"/>
  </si>
  <si>
    <t>リブ　　2個</t>
    <rPh sb="5" eb="6">
      <t>コ</t>
    </rPh>
    <phoneticPr fontId="2"/>
  </si>
  <si>
    <t>PSSFGW10-44-M5-N5-WRC11-Y4</t>
    <phoneticPr fontId="16"/>
  </si>
  <si>
    <t>シャフト　両端めねじタイプ</t>
    <phoneticPr fontId="16"/>
  </si>
  <si>
    <t>MVSHM-3N03002011027-2UK-1UMGD</t>
    <phoneticPr fontId="2"/>
  </si>
  <si>
    <t>SETB0075-Z01 電磁弁+レギュラーﾕﾆｯﾄ取付板金</t>
    <phoneticPr fontId="16"/>
  </si>
  <si>
    <t>SCB4-5</t>
    <phoneticPr fontId="16"/>
  </si>
  <si>
    <t>SBCB5-8</t>
    <phoneticPr fontId="16"/>
  </si>
  <si>
    <t>六角穴付ボタンボルト　６本</t>
    <rPh sb="12" eb="13">
      <t>ホン</t>
    </rPh>
    <phoneticPr fontId="16"/>
  </si>
  <si>
    <t>六角穴付きボルト ステンレス　２本</t>
    <rPh sb="16" eb="17">
      <t>ホン</t>
    </rPh>
    <phoneticPr fontId="16"/>
  </si>
  <si>
    <t>制御機材</t>
    <rPh sb="0" eb="2">
      <t>セイギョ</t>
    </rPh>
    <rPh sb="2" eb="4">
      <t>キザイ</t>
    </rPh>
    <phoneticPr fontId="2"/>
  </si>
  <si>
    <t>MNCNL4-M5</t>
    <phoneticPr fontId="2"/>
  </si>
  <si>
    <t>ミニチュアワンタッチ継手　エルボ　　2個</t>
    <rPh sb="19" eb="20">
      <t>コ</t>
    </rPh>
    <phoneticPr fontId="16"/>
  </si>
  <si>
    <t>MNCNL6-M5</t>
    <phoneticPr fontId="2"/>
  </si>
  <si>
    <t>ミニチュアワンタッチ継手　エルボ　3個</t>
    <rPh sb="18" eb="19">
      <t>コ</t>
    </rPh>
    <phoneticPr fontId="16"/>
  </si>
  <si>
    <t>六角穴付ボルト　1本</t>
    <rPh sb="9" eb="10">
      <t>ホン</t>
    </rPh>
    <phoneticPr fontId="16"/>
  </si>
  <si>
    <t>2日間</t>
    <rPh sb="1" eb="2">
      <t>ヒ</t>
    </rPh>
    <rPh sb="2" eb="3">
      <t>カン</t>
    </rPh>
    <phoneticPr fontId="16"/>
  </si>
  <si>
    <t>1日間</t>
    <rPh sb="1" eb="2">
      <t>ヒ</t>
    </rPh>
    <rPh sb="2" eb="3">
      <t>カン</t>
    </rPh>
    <phoneticPr fontId="16"/>
  </si>
  <si>
    <t>MWS-DS37A-HT37</t>
    <phoneticPr fontId="2"/>
  </si>
  <si>
    <t>Dsubコネクタ端子台</t>
    <rPh sb="8" eb="10">
      <t>タンシ</t>
    </rPh>
    <rPh sb="10" eb="11">
      <t>ダイ</t>
    </rPh>
    <phoneticPr fontId="2"/>
  </si>
  <si>
    <t>DINレール</t>
    <phoneticPr fontId="2"/>
  </si>
  <si>
    <t>F1.25-M3</t>
    <phoneticPr fontId="2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</si>
  <si>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2"/>
  </si>
  <si>
    <t>SLBNR4</t>
    <phoneticPr fontId="2"/>
  </si>
  <si>
    <t>M4ﾅｯﾄ</t>
    <phoneticPr fontId="2"/>
  </si>
  <si>
    <t>漏電ブレーカ</t>
    <rPh sb="0" eb="2">
      <t>ロウデン</t>
    </rPh>
    <phoneticPr fontId="2"/>
  </si>
  <si>
    <t>TBS-22</t>
    <phoneticPr fontId="2"/>
  </si>
  <si>
    <t xml:space="preserve">漏電ブレーカ　ｶﾊﾞｰ  1セット </t>
    <phoneticPr fontId="2"/>
  </si>
  <si>
    <t>裸圧着端子（丸型）</t>
    <rPh sb="0" eb="1">
      <t>ハダカ</t>
    </rPh>
    <rPh sb="1" eb="3">
      <t>アッチャク</t>
    </rPh>
    <rPh sb="3" eb="5">
      <t>タンシ</t>
    </rPh>
    <rPh sb="6" eb="7">
      <t>マル</t>
    </rPh>
    <rPh sb="7" eb="8">
      <t>ガタ</t>
    </rPh>
    <phoneticPr fontId="2"/>
  </si>
  <si>
    <t xml:space="preserve">HDV-2 </t>
    <phoneticPr fontId="2"/>
  </si>
  <si>
    <t>PDDJ-PS-JS-37-2.5</t>
    <phoneticPr fontId="2"/>
  </si>
  <si>
    <t>SCB3-12</t>
    <phoneticPr fontId="16"/>
  </si>
  <si>
    <t>M8丸型防水コネクタハーネス  ＳＶＥＭﾛﾝｸﾞ3m　TYPE</t>
    <phoneticPr fontId="2"/>
  </si>
  <si>
    <t>フランジボタン</t>
    <phoneticPr fontId="16"/>
  </si>
  <si>
    <t>日産ﾈｼﾞ</t>
    <rPh sb="0" eb="2">
      <t>ニッサン</t>
    </rPh>
    <phoneticPr fontId="16"/>
  </si>
  <si>
    <t>アルミフレーム　５シリーズ　正方形　20×60ｍｍ　１列溝　４面溝</t>
    <phoneticPr fontId="2"/>
  </si>
  <si>
    <t>アルミフレーム　５シリーズ　正方形　20×20ｍｍ　１列溝　４面溝</t>
    <phoneticPr fontId="2"/>
  </si>
  <si>
    <r>
      <t>FSC10-C-3</t>
    </r>
    <r>
      <rPr>
        <sz val="11"/>
        <color rgb="FF7030A0"/>
        <rFont val="ＭＳ Ｐゴシック"/>
        <family val="3"/>
        <charset val="128"/>
        <scheme val="minor"/>
      </rPr>
      <t>部品不足で頼めない場合⇒</t>
    </r>
    <r>
      <rPr>
        <b/>
        <sz val="11"/>
        <color rgb="FF0070C0"/>
        <rFont val="ＭＳ Ｐゴシック"/>
        <family val="3"/>
        <charset val="128"/>
        <scheme val="minor"/>
      </rPr>
      <t>M8PS-44VFBK-3</t>
    </r>
    <rPh sb="9" eb="11">
      <t>ブヒン</t>
    </rPh>
    <rPh sb="11" eb="13">
      <t>フソク</t>
    </rPh>
    <rPh sb="14" eb="15">
      <t>タノ</t>
    </rPh>
    <rPh sb="18" eb="20">
      <t>バアイ</t>
    </rPh>
    <phoneticPr fontId="2"/>
  </si>
  <si>
    <t>ADR-361-JP</t>
    <phoneticPr fontId="2"/>
  </si>
  <si>
    <t>止め金具　　　　　　6個</t>
    <rPh sb="0" eb="1">
      <t>ト</t>
    </rPh>
    <rPh sb="2" eb="4">
      <t>カナグ</t>
    </rPh>
    <rPh sb="11" eb="12">
      <t>コ</t>
    </rPh>
    <phoneticPr fontId="2"/>
  </si>
  <si>
    <t>SS300 UL 小径・低価格</t>
    <phoneticPr fontId="2"/>
  </si>
  <si>
    <t>SS300-24-2-10</t>
    <phoneticPr fontId="2"/>
  </si>
  <si>
    <t xml:space="preserve">六角穴付ボル  　　　　2本  </t>
    <rPh sb="13" eb="14">
      <t>ホン</t>
    </rPh>
    <phoneticPr fontId="16"/>
  </si>
  <si>
    <r>
      <t>CLMSC5-</t>
    </r>
    <r>
      <rPr>
        <sz val="11"/>
        <rFont val="ＭＳ Ｐゴシック"/>
        <family val="3"/>
        <charset val="128"/>
      </rPr>
      <t>12</t>
    </r>
    <r>
      <rPr>
        <sz val="11"/>
        <rFont val="ＭＳ Ｐゴシック"/>
        <family val="3"/>
        <charset val="128"/>
        <scheme val="minor"/>
      </rPr>
      <t>-B</t>
    </r>
    <phoneticPr fontId="2"/>
  </si>
  <si>
    <r>
      <t>SETB0075-Y09</t>
    </r>
    <r>
      <rPr>
        <b/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3"/>
        <charset val="128"/>
        <scheme val="minor"/>
      </rPr>
      <t>右側ｶﾞｲﾄﾞｶﾊﾞｰ</t>
    </r>
    <phoneticPr fontId="16"/>
  </si>
  <si>
    <t>AXA卓上ﾛﾎﾞｯﾄ固定部品</t>
    <rPh sb="0" eb="5">
      <t>チサチタクジョウ</t>
    </rPh>
    <rPh sb="10" eb="12">
      <t>コテイ</t>
    </rPh>
    <rPh sb="12" eb="14">
      <t>ブヒン</t>
    </rPh>
    <phoneticPr fontId="16"/>
  </si>
  <si>
    <t>SETB0290-Z05 AXAﾛﾎﾞｯﾄ足固定1</t>
    <phoneticPr fontId="16"/>
  </si>
  <si>
    <t>SETB0290-Z06 AXAﾛﾎﾞｯﾄ足固定2</t>
    <phoneticPr fontId="16"/>
  </si>
  <si>
    <t>SETB0290-Z07 AXAﾛﾎﾞｯﾄ足固定3</t>
    <phoneticPr fontId="16"/>
  </si>
  <si>
    <t>SETB0290-Z08 AXAﾛﾎﾞｯﾄ足固定4</t>
    <phoneticPr fontId="16"/>
  </si>
  <si>
    <t>SETB0290-Z09 AXAﾛﾎﾞｯﾄ足固定5</t>
    <phoneticPr fontId="16"/>
  </si>
  <si>
    <t>MVSHM-3N03050-48Z-J1WJ9</t>
  </si>
  <si>
    <t>MVSHM-3N03052-48Z-SDDXJ</t>
  </si>
  <si>
    <t>MVSHM-3N03050-48Z-SZBKE</t>
  </si>
  <si>
    <t>MVSHM-3N03004-48Z-AK68D</t>
  </si>
  <si>
    <t>MVBLK-AMW-48Z-CCBUJ</t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</si>
  <si>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290</t>
    </r>
    <r>
      <rPr>
        <sz val="11"/>
        <color theme="1"/>
        <rFont val="ＭＳ Ｐゴシック"/>
        <family val="3"/>
        <charset val="128"/>
        <scheme val="minor"/>
      </rPr>
      <t>-Z03　カップ受け板金2</t>
    </r>
    <phoneticPr fontId="16"/>
  </si>
  <si>
    <t>MVSHM-3N02052-48Z-35Z5H</t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</si>
  <si>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290</t>
    </r>
    <r>
      <rPr>
        <sz val="11"/>
        <color theme="1"/>
        <rFont val="ＭＳ Ｐゴシック"/>
        <family val="3"/>
        <charset val="128"/>
        <scheme val="minor"/>
      </rPr>
      <t>-Z04　金属BOX受け板金3</t>
    </r>
    <rPh sb="13" eb="15">
      <t>キンゾク</t>
    </rPh>
    <phoneticPr fontId="16"/>
  </si>
  <si>
    <t>MVSHM-3N02052-48Z-KEJMM</t>
  </si>
  <si>
    <t xml:space="preserve"> 第一実業様</t>
    <rPh sb="5" eb="6">
      <t>サマ</t>
    </rPh>
    <phoneticPr fontId="2"/>
  </si>
  <si>
    <t>225346</t>
    <phoneticPr fontId="2"/>
  </si>
  <si>
    <t>SETB0290-A01　AXAﾛﾎﾞｯﾄ400+SV70ﾛｰﾀﾘｰｱｸﾁｭｴﾀｰ＋浸け置き+井桁治具+SVC720F+配電BOX　　原価一覧　20241022</t>
    <phoneticPr fontId="2"/>
  </si>
  <si>
    <t>SETB0134-Z02　金属BOX受皿</t>
    <phoneticPr fontId="16"/>
  </si>
  <si>
    <t>SETB0177-Z01　IG-028_R:取付板金</t>
    <phoneticPr fontId="16"/>
  </si>
  <si>
    <t>SCB4-25</t>
    <phoneticPr fontId="2"/>
  </si>
  <si>
    <t>SETB0177-Z02　IG-028_T取付板金</t>
    <phoneticPr fontId="16"/>
  </si>
  <si>
    <t>六角穴付きﾎﾞﾙﾄ　M4×25mm　　　　2本＋3本</t>
    <rPh sb="22" eb="23">
      <t>ホン</t>
    </rPh>
    <rPh sb="25" eb="26">
      <t>ホン</t>
    </rPh>
    <phoneticPr fontId="2"/>
  </si>
  <si>
    <t>SETB0177-Z05 ｶｯﾌﾟ受けL字ﾌﾞﾗｹｯﾄ</t>
    <phoneticPr fontId="16"/>
  </si>
  <si>
    <t>六角穴付きﾎﾞﾙﾄ　M4×5mm　　　　2本＋2本＋2本＋2本</t>
    <rPh sb="21" eb="22">
      <t>ホン</t>
    </rPh>
    <rPh sb="24" eb="25">
      <t>ホン</t>
    </rPh>
    <phoneticPr fontId="2"/>
  </si>
  <si>
    <t>SETB0177-Z06-1　IG-1500取付板金</t>
    <phoneticPr fontId="16"/>
  </si>
  <si>
    <t>CSHSM-SUS-M3-5</t>
    <phoneticPr fontId="16"/>
  </si>
  <si>
    <t>FNT3</t>
    <phoneticPr fontId="16"/>
  </si>
  <si>
    <t>SETB0177-Z07-1　カップ受け板金1</t>
    <phoneticPr fontId="16"/>
  </si>
  <si>
    <t>B-1100-3</t>
    <phoneticPr fontId="16"/>
  </si>
  <si>
    <t>SFB3-5</t>
    <phoneticPr fontId="16"/>
  </si>
  <si>
    <t>MS2-6</t>
    <phoneticPr fontId="16"/>
  </si>
  <si>
    <t>MSC2-4</t>
    <phoneticPr fontId="16"/>
  </si>
  <si>
    <t>SETB0177-Z08-1　カップ受け板金3</t>
    <phoneticPr fontId="16"/>
  </si>
  <si>
    <t>SETB0177-Z09-2　カップ受け板金4</t>
    <phoneticPr fontId="16"/>
  </si>
  <si>
    <t>蝶ﾅｯﾄ　　1本＋1本＋本</t>
    <rPh sb="7" eb="8">
      <t>ホン</t>
    </rPh>
    <phoneticPr fontId="2"/>
  </si>
  <si>
    <t>2本＋2本＋2本</t>
    <phoneticPr fontId="16"/>
  </si>
  <si>
    <t>六角ﾎﾞﾙﾄ　1本＋1本＋1本</t>
    <phoneticPr fontId="2"/>
  </si>
  <si>
    <t>ノックピン　3個＋3個＋2個＋4本</t>
    <rPh sb="7" eb="8">
      <t>コ</t>
    </rPh>
    <rPh sb="10" eb="11">
      <t>コ</t>
    </rPh>
    <phoneticPr fontId="16"/>
  </si>
  <si>
    <t>UNST5-40</t>
    <phoneticPr fontId="16"/>
  </si>
  <si>
    <t>MVSHM-3N02052-3G9-KGU5X</t>
  </si>
  <si>
    <t>MVSHM-3N02052-3G9-3B8Y4</t>
  </si>
  <si>
    <t>MVSHM-3N02050-3G9-A37AD</t>
  </si>
  <si>
    <t>MVSHM-3N02052-3Y4-191KL</t>
  </si>
  <si>
    <t>MVSHM-3N02006-3Y4-4YZ2U</t>
  </si>
  <si>
    <t>MVTUP-ACW-3Y4-FDYX7</t>
    <phoneticPr fontId="16"/>
  </si>
  <si>
    <t>10日間</t>
    <rPh sb="2" eb="3">
      <t>ヒ</t>
    </rPh>
    <rPh sb="3" eb="4">
      <t>カン</t>
    </rPh>
    <phoneticPr fontId="16"/>
  </si>
  <si>
    <r>
      <t xml:space="preserve">井桁ﾜｰｸ治具 </t>
    </r>
    <r>
      <rPr>
        <b/>
        <sz val="16"/>
        <color indexed="8"/>
        <rFont val="ＭＳ Ｐゴシック"/>
        <family val="3"/>
        <charset val="128"/>
      </rPr>
      <t xml:space="preserve"> 30mm</t>
    </r>
    <r>
      <rPr>
        <sz val="16"/>
        <color indexed="8"/>
        <rFont val="ＭＳ Ｐゴシック"/>
        <family val="3"/>
        <charset val="128"/>
      </rPr>
      <t xml:space="preserve"> 厚みTYPE</t>
    </r>
    <rPh sb="0" eb="2">
      <t>イゲタ</t>
    </rPh>
    <rPh sb="5" eb="7">
      <t>ジグ</t>
    </rPh>
    <rPh sb="14" eb="15">
      <t>アツ</t>
    </rPh>
    <phoneticPr fontId="2"/>
  </si>
  <si>
    <t>SETB0242-Y02　ﾂｰﾙ治具AXA-HV　ﾌﾞﾗｹｯﾄ　</t>
    <phoneticPr fontId="16"/>
  </si>
  <si>
    <t>ノックピン　11本</t>
    <rPh sb="8" eb="9">
      <t>ホン</t>
    </rPh>
    <phoneticPr fontId="16"/>
  </si>
  <si>
    <t>SCB4-8</t>
    <phoneticPr fontId="16"/>
  </si>
  <si>
    <t>アルミフレーム用フレームキャップ　8 個</t>
    <rPh sb="19" eb="20">
      <t>コ</t>
    </rPh>
    <phoneticPr fontId="2"/>
  </si>
  <si>
    <t>HFS5-2020-370-Z5-XA65.5-XB190.5-XC315.5</t>
    <phoneticPr fontId="2"/>
  </si>
  <si>
    <t>NFS5-2040-427-Z5-XA77-XB352</t>
    <phoneticPr fontId="2"/>
  </si>
  <si>
    <t xml:space="preserve">SPWF4 </t>
    <phoneticPr fontId="16"/>
  </si>
  <si>
    <t>ワッシャ:1</t>
    <phoneticPr fontId="16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</si>
  <si>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290</t>
    </r>
    <r>
      <rPr>
        <sz val="11"/>
        <color theme="1"/>
        <rFont val="ＭＳ Ｐゴシック"/>
        <family val="3"/>
        <charset val="128"/>
        <scheme val="minor"/>
      </rPr>
      <t>-X01　井桁ﾜｰｸ冶具ﾍﾞｰｽ- 1 (400mm)</t>
    </r>
    <phoneticPr fontId="2"/>
  </si>
  <si>
    <t>MVBLK-AMW-491-USZU9</t>
  </si>
  <si>
    <t>MVSHM-3N02006-3B5-RX66B</t>
    <phoneticPr fontId="16"/>
  </si>
  <si>
    <t>MVSHM-3N02006-3B5-EEWJS</t>
    <phoneticPr fontId="16"/>
  </si>
  <si>
    <t>ﾋﾗﾁｮｳﾊﾞﾝ B-1100</t>
    <phoneticPr fontId="16"/>
  </si>
  <si>
    <t>ﾛｯｶｸｱﾅﾂｷｻﾗﾎﾞﾙﾄ(SF 4本＋2本</t>
    <phoneticPr fontId="16"/>
  </si>
  <si>
    <t>ﾉｯｸﾋﾟﾝ MS</t>
    <phoneticPr fontId="16"/>
  </si>
  <si>
    <t>ﾉｯｸﾋﾟﾝ-SUS- 3本＋3本</t>
    <phoneticPr fontId="16"/>
  </si>
  <si>
    <t>ｽﾄｯﾊﾟﾎﾞﾙﾄ USS &amp;</t>
    <phoneticPr fontId="16"/>
  </si>
  <si>
    <t>HFS5-2020-560</t>
    <phoneticPr fontId="16"/>
  </si>
  <si>
    <t>HFC5-2020-S</t>
    <phoneticPr fontId="16"/>
  </si>
  <si>
    <t>HNTT5-5　</t>
    <phoneticPr fontId="16"/>
  </si>
  <si>
    <t>先入れナット</t>
    <phoneticPr fontId="16"/>
  </si>
  <si>
    <t xml:space="preserve">SPWF5 </t>
    <phoneticPr fontId="16"/>
  </si>
  <si>
    <t>SFB5-12</t>
    <phoneticPr fontId="16"/>
  </si>
  <si>
    <t>ｱﾙﾐﾌﾚｰﾑｻﾞｲ</t>
    <phoneticPr fontId="16"/>
  </si>
  <si>
    <t>ﾌﾚｰﾑｷｬｯﾌﾟ (HFC)</t>
    <phoneticPr fontId="16"/>
  </si>
  <si>
    <t>ﾛｯｶｸｱﾅﾂｷｻﾗﾎﾞﾙﾄ</t>
    <phoneticPr fontId="16"/>
  </si>
  <si>
    <t>RSAU-PS-500-280-170-K-WB2507310076</t>
    <phoneticPr fontId="16"/>
  </si>
  <si>
    <t>配電BOX  SETB0290-Z10</t>
    <phoneticPr fontId="2"/>
  </si>
  <si>
    <t xml:space="preserve">A8140 </t>
    <phoneticPr fontId="16"/>
  </si>
  <si>
    <t xml:space="preserve"> 汎用3芯OAタップ 2ヶ口</t>
    <phoneticPr fontId="16"/>
  </si>
  <si>
    <t xml:space="preserve">MWS-B3102 </t>
    <phoneticPr fontId="2"/>
  </si>
  <si>
    <t>ｺﾓﾝ端子台</t>
  </si>
  <si>
    <t>PDDU-PT-MS-9-2.5</t>
    <phoneticPr fontId="2"/>
  </si>
  <si>
    <t>Dsubコネクタハーネス</t>
    <phoneticPr fontId="2"/>
  </si>
  <si>
    <t>Dsubコネクタハーネス　ｺﾝﾄﾛｰﾗ　#4-40ショートねじ</t>
    <phoneticPr fontId="2"/>
  </si>
  <si>
    <t>MRB-440</t>
    <phoneticPr fontId="2"/>
  </si>
  <si>
    <t>EBS-32FB-15A</t>
    <phoneticPr fontId="2"/>
  </si>
  <si>
    <t>ｵﾑﾛﾝ</t>
    <phoneticPr fontId="16"/>
  </si>
  <si>
    <t>MY2N-D2 DC24</t>
    <phoneticPr fontId="16"/>
  </si>
  <si>
    <t>MY ミニパワーリレー</t>
    <phoneticPr fontId="16"/>
  </si>
  <si>
    <t>PYFZ-08</t>
    <phoneticPr fontId="16"/>
  </si>
  <si>
    <t>表面接続角型ソケット</t>
    <phoneticPr fontId="16"/>
  </si>
  <si>
    <t>PYC-E1</t>
    <phoneticPr fontId="16"/>
  </si>
  <si>
    <t xml:space="preserve">リレー用共用オプション品 </t>
    <phoneticPr fontId="16"/>
  </si>
  <si>
    <t>ＪＡＰＰY</t>
    <phoneticPr fontId="2"/>
  </si>
  <si>
    <t>カッチンダクト</t>
    <phoneticPr fontId="2"/>
  </si>
  <si>
    <t>富士電機</t>
    <rPh sb="0" eb="2">
      <t>フジ</t>
    </rPh>
    <rPh sb="2" eb="4">
      <t>デンキ</t>
    </rPh>
    <phoneticPr fontId="2"/>
  </si>
  <si>
    <t>CP30FM-2P010</t>
    <phoneticPr fontId="2"/>
  </si>
  <si>
    <t>サーキットプロテクター</t>
    <phoneticPr fontId="2"/>
  </si>
  <si>
    <t>CP30FM-2P007</t>
    <phoneticPr fontId="2"/>
  </si>
  <si>
    <t>ﾜｺﾞ</t>
    <phoneticPr fontId="2"/>
  </si>
  <si>
    <t>2002-1301</t>
    <phoneticPr fontId="2"/>
  </si>
  <si>
    <t>DINレール用中継端子台 2002シリーズ　ｸﾞﾚｰ色　　6個</t>
    <rPh sb="26" eb="27">
      <t>ショク</t>
    </rPh>
    <rPh sb="30" eb="31">
      <t>コ</t>
    </rPh>
    <phoneticPr fontId="2"/>
  </si>
  <si>
    <t>2002-1307</t>
    <phoneticPr fontId="2"/>
  </si>
  <si>
    <t>DINレール用中継端子台 2002シリーズ　ｱｰｽ用ｸﾞﾘｰﾝ色　3個</t>
    <rPh sb="25" eb="26">
      <t>ヨウ</t>
    </rPh>
    <rPh sb="31" eb="32">
      <t>イロ</t>
    </rPh>
    <rPh sb="34" eb="35">
      <t>コ</t>
    </rPh>
    <phoneticPr fontId="2"/>
  </si>
  <si>
    <t>2002-404</t>
    <phoneticPr fontId="2"/>
  </si>
  <si>
    <t>中継用端子台 差込型ジャンパ（絶縁） 2002シリーズ用　3個</t>
    <rPh sb="30" eb="31">
      <t>コ</t>
    </rPh>
    <phoneticPr fontId="2"/>
  </si>
  <si>
    <t>2002-1391</t>
    <phoneticPr fontId="2"/>
  </si>
  <si>
    <t>中継用端子台用エンドプレート　　4個</t>
    <rPh sb="17" eb="18">
      <t>コ</t>
    </rPh>
    <phoneticPr fontId="2"/>
  </si>
  <si>
    <t>37303-2165-000FL(青)</t>
    <phoneticPr fontId="16"/>
  </si>
  <si>
    <t>37103-3163-000FL(橙)</t>
    <phoneticPr fontId="16"/>
  </si>
  <si>
    <t>SS300R　UL規格　小径 8本　TYPE　　ﾊﾟﾄﾗﾝﾌﾟと循環温調用配線とﾛﾎﾞｯﾄ接続用</t>
    <rPh sb="32" eb="34">
      <t>ジュンカン</t>
    </rPh>
    <rPh sb="34" eb="36">
      <t>オンチョウ</t>
    </rPh>
    <rPh sb="36" eb="37">
      <t>ヨウ</t>
    </rPh>
    <rPh sb="37" eb="39">
      <t>ハイセン</t>
    </rPh>
    <phoneticPr fontId="16"/>
  </si>
  <si>
    <t>e-CON　ソケットコネクタ</t>
    <phoneticPr fontId="16"/>
  </si>
  <si>
    <t>MRB-200</t>
    <phoneticPr fontId="2"/>
  </si>
  <si>
    <t>ｵﾑﾛﾝ</t>
    <phoneticPr fontId="2"/>
  </si>
  <si>
    <t>BW55T　</t>
    <phoneticPr fontId="2"/>
  </si>
  <si>
    <t>UPS BWシリーズ 100V 常時商用給電方式</t>
    <phoneticPr fontId="2"/>
  </si>
  <si>
    <t>SFB4-20</t>
    <phoneticPr fontId="16"/>
  </si>
  <si>
    <t>SLBNR4</t>
    <phoneticPr fontId="16"/>
  </si>
  <si>
    <t>SFB5-10</t>
    <phoneticPr fontId="16"/>
  </si>
  <si>
    <t>SHNTP6-5</t>
    <phoneticPr fontId="16"/>
  </si>
  <si>
    <t>AYSK15-10</t>
    <phoneticPr fontId="16"/>
  </si>
  <si>
    <t>SETB0108-Z03  配電BOXｶﾃｰ板</t>
    <phoneticPr fontId="16"/>
  </si>
  <si>
    <t>MVSHM-3N03004-347-YFYBZ</t>
    <phoneticPr fontId="16"/>
  </si>
  <si>
    <t>ﾜｯｼｬﾂｷｳﾚﾀﾝ AYSK</t>
    <phoneticPr fontId="16"/>
  </si>
  <si>
    <t>ｱﾙﾐﾌﾚｰﾑﾖｳﾊﾞﾈﾅｯﾄ</t>
    <phoneticPr fontId="16"/>
  </si>
  <si>
    <t>ﾛｯｶｸｱﾅﾂｷｻﾗﾎﾞﾙﾄ(SFB)</t>
    <phoneticPr fontId="16"/>
  </si>
  <si>
    <t>ﾛｯｶｸｱﾅﾂｷｻﾗﾎﾞﾙﾄ(SFB</t>
    <phoneticPr fontId="16"/>
  </si>
  <si>
    <t>ﾋﾗｻﾞｶﾞﾈ-ﾀﾝﾋﾟﾝﾊﾝﾊﾞｲ-</t>
    <phoneticPr fontId="16"/>
  </si>
  <si>
    <t>ﾅｯﾄ-ﾀﾝﾋﾟﾝﾊﾝﾊﾞｲ-</t>
  </si>
  <si>
    <t>部材重さkg</t>
    <rPh sb="0" eb="2">
      <t>ブザイ</t>
    </rPh>
    <rPh sb="2" eb="3">
      <t>オモ</t>
    </rPh>
    <phoneticPr fontId="2"/>
  </si>
  <si>
    <t>kg</t>
    <phoneticPr fontId="2"/>
  </si>
  <si>
    <t>安全ｶﾊﾞｰﾕﾆｯﾄ</t>
    <rPh sb="0" eb="2">
      <t>アンゼン</t>
    </rPh>
    <phoneticPr fontId="2"/>
  </si>
  <si>
    <t>PATLITE</t>
    <phoneticPr fontId="2"/>
  </si>
  <si>
    <t>LR4-302LJBW-RYG</t>
    <phoneticPr fontId="2"/>
  </si>
  <si>
    <t>シグナルタワー 積層信号灯 LRシリーズ　3色</t>
    <rPh sb="22" eb="23">
      <t>ショク</t>
    </rPh>
    <phoneticPr fontId="2"/>
  </si>
  <si>
    <t>安全ｶﾊﾞｰ部　積層信号灯固定用、排気ﾌﾗﾝｼﾞ固定用</t>
    <rPh sb="0" eb="2">
      <t>アンゼン</t>
    </rPh>
    <rPh sb="6" eb="7">
      <t>ブ</t>
    </rPh>
    <rPh sb="13" eb="15">
      <t>コテイ</t>
    </rPh>
    <rPh sb="15" eb="16">
      <t>ヨウ</t>
    </rPh>
    <rPh sb="17" eb="19">
      <t>ハイキ</t>
    </rPh>
    <rPh sb="24" eb="26">
      <t>コテイ</t>
    </rPh>
    <rPh sb="26" eb="27">
      <t>ヨウ</t>
    </rPh>
    <phoneticPr fontId="2"/>
  </si>
  <si>
    <t xml:space="preserve">SPWF8 </t>
    <phoneticPr fontId="2"/>
  </si>
  <si>
    <t>平座金－単品販売－</t>
    <phoneticPr fontId="2"/>
  </si>
  <si>
    <t>SPWF6</t>
    <phoneticPr fontId="2"/>
  </si>
  <si>
    <t>SHNTP6-6</t>
    <phoneticPr fontId="2"/>
  </si>
  <si>
    <t>後入れバネナット</t>
    <phoneticPr fontId="2"/>
  </si>
  <si>
    <t>安全ｶﾊﾞｰ部　積層信号灯固定用</t>
    <rPh sb="0" eb="2">
      <t>アンゼン</t>
    </rPh>
    <rPh sb="6" eb="7">
      <t>ブ</t>
    </rPh>
    <rPh sb="13" eb="15">
      <t>コテイ</t>
    </rPh>
    <rPh sb="15" eb="16">
      <t>ヨウ</t>
    </rPh>
    <phoneticPr fontId="2"/>
  </si>
  <si>
    <t>SCB6-15</t>
    <phoneticPr fontId="2"/>
  </si>
  <si>
    <t>六角穴付ボルト－ステンレス　 (M6×15)　　2本使用</t>
    <rPh sb="25" eb="26">
      <t>ホン</t>
    </rPh>
    <rPh sb="26" eb="28">
      <t>シヨウ</t>
    </rPh>
    <phoneticPr fontId="2"/>
  </si>
  <si>
    <t>F-PYA-763-303-3</t>
    <phoneticPr fontId="2"/>
  </si>
  <si>
    <t>PETプレート (筐体専用樹脂プレート)</t>
    <phoneticPr fontId="2"/>
  </si>
  <si>
    <t>正面上部扉</t>
    <rPh sb="0" eb="2">
      <t>ショウメン</t>
    </rPh>
    <rPh sb="2" eb="4">
      <t>ジョウブ</t>
    </rPh>
    <rPh sb="4" eb="5">
      <t>トビラ</t>
    </rPh>
    <phoneticPr fontId="2"/>
  </si>
  <si>
    <t>HFC5-2020-S　</t>
    <phoneticPr fontId="2"/>
  </si>
  <si>
    <t>フレームキャップ</t>
    <phoneticPr fontId="2"/>
  </si>
  <si>
    <t>HFS5-2020-754-TPW</t>
    <phoneticPr fontId="2"/>
  </si>
  <si>
    <t>アルミフレーム　５シリーズ　Nタイプ　正方形　２０×２０ｍｍ　１列溝　４面溝</t>
    <phoneticPr fontId="2"/>
  </si>
  <si>
    <t>HHDF19-SSP　</t>
    <phoneticPr fontId="2"/>
  </si>
  <si>
    <t>アルミ取手</t>
    <phoneticPr fontId="2"/>
  </si>
  <si>
    <t>ハタ蝶番</t>
    <phoneticPr fontId="2"/>
  </si>
  <si>
    <t>HSCPF3H-S-287</t>
    <phoneticPr fontId="2"/>
  </si>
  <si>
    <t>パネルクランプ</t>
    <phoneticPr fontId="2"/>
  </si>
  <si>
    <t>HSCPF3H-S-753</t>
    <phoneticPr fontId="2"/>
  </si>
  <si>
    <t>NFS5-2020-329-Z5-XA7.5-XB321.5</t>
    <phoneticPr fontId="2"/>
  </si>
  <si>
    <t>SCB5-25</t>
    <phoneticPr fontId="2"/>
  </si>
  <si>
    <t>六角穴付ボルト－ステンレス　 (M5×25)　　4本使用</t>
    <rPh sb="25" eb="26">
      <t>ホン</t>
    </rPh>
    <rPh sb="26" eb="28">
      <t>シヨウ</t>
    </rPh>
    <phoneticPr fontId="2"/>
  </si>
  <si>
    <t>HBLFSN6-C-SET　</t>
    <phoneticPr fontId="2"/>
  </si>
  <si>
    <t>　突起付反転ブラケット</t>
    <phoneticPr fontId="2"/>
  </si>
  <si>
    <t>安全ｶﾊﾞｰ部</t>
    <rPh sb="0" eb="2">
      <t>アンゼン</t>
    </rPh>
    <rPh sb="6" eb="7">
      <t>ブ</t>
    </rPh>
    <phoneticPr fontId="2"/>
  </si>
  <si>
    <t>HCBR6　</t>
    <phoneticPr fontId="2"/>
  </si>
  <si>
    <t>パネルサポートブラケット</t>
    <phoneticPr fontId="2"/>
  </si>
  <si>
    <t>HFC6-3030-S</t>
    <phoneticPr fontId="2"/>
  </si>
  <si>
    <t>６シリーズ（溝幅８ｍｍ）　アルミフレーム用フレームキャップ</t>
    <phoneticPr fontId="2"/>
  </si>
  <si>
    <t>HFS6-3030-800-LDH-RDH</t>
    <phoneticPr fontId="2"/>
  </si>
  <si>
    <t>アルミフレーム　６シリーズ　正方形　３０×３０ｍｍ　１列溝　４面溝</t>
    <phoneticPr fontId="2"/>
  </si>
  <si>
    <t>HFS6-3030-800</t>
    <phoneticPr fontId="2"/>
  </si>
  <si>
    <t>HFS6-3030-990</t>
    <phoneticPr fontId="2"/>
  </si>
  <si>
    <t>HFS6-3030-1040-Z6-XA100-XB380-XC660-XD940</t>
    <phoneticPr fontId="2"/>
  </si>
  <si>
    <t>HFS6-3030-1040</t>
    <phoneticPr fontId="2"/>
  </si>
  <si>
    <t>HFS6-3030-1050-LCH-RCH</t>
    <phoneticPr fontId="2"/>
  </si>
  <si>
    <t>HFS6-3030-1050</t>
    <phoneticPr fontId="2"/>
  </si>
  <si>
    <t>HMEN6-5-SEP</t>
    <phoneticPr fontId="2"/>
  </si>
  <si>
    <t>ﾏｸﾞﾈｯﾄｷｬｯﾁｬ</t>
    <phoneticPr fontId="2"/>
  </si>
  <si>
    <t>HMER6-5-SEP</t>
    <phoneticPr fontId="2"/>
  </si>
  <si>
    <t>HSJNS6</t>
    <phoneticPr fontId="2"/>
  </si>
  <si>
    <t>６シリーズ（溝幅８ｍｍ）ブラインドジョイント部品　シングルジョイントキット</t>
    <phoneticPr fontId="2"/>
  </si>
  <si>
    <t>PYA4H-503-383-5-F481-G361-N6</t>
    <phoneticPr fontId="2"/>
  </si>
  <si>
    <t>カバープレート (PET材）</t>
    <rPh sb="12" eb="13">
      <t>ザイ</t>
    </rPh>
    <phoneticPr fontId="2"/>
  </si>
  <si>
    <t>PYA6H-798-478-5-F388-G456-N6</t>
    <phoneticPr fontId="2"/>
  </si>
  <si>
    <t>PYA6H-988-503-5-F483-G481-N6</t>
    <phoneticPr fontId="2"/>
  </si>
  <si>
    <t>MVSHM-3N03050-346-FBZBJ</t>
    <phoneticPr fontId="2"/>
  </si>
  <si>
    <t>SETB0108-Z1　スイッチBOX固定ﾌﾞﾗｹｯﾄ</t>
    <phoneticPr fontId="2"/>
  </si>
  <si>
    <t>スイッチBOX固定ﾌﾞﾗｹｯﾄ　AXA用</t>
    <rPh sb="19" eb="20">
      <t>ヨウ</t>
    </rPh>
    <phoneticPr fontId="2"/>
  </si>
  <si>
    <t>六角穴付ボルト－ステンレス　 (M4×8)　　4本使用</t>
    <rPh sb="24" eb="25">
      <t>ホン</t>
    </rPh>
    <rPh sb="25" eb="27">
      <t>シヨウ</t>
    </rPh>
    <phoneticPr fontId="2"/>
  </si>
  <si>
    <t>六角穴付ボルト－ステンレス　 (M5×10)　　2本使用</t>
    <rPh sb="25" eb="26">
      <t>ホン</t>
    </rPh>
    <rPh sb="26" eb="28">
      <t>シヨウ</t>
    </rPh>
    <phoneticPr fontId="2"/>
  </si>
  <si>
    <t>SHNTP6-5</t>
    <phoneticPr fontId="2"/>
  </si>
  <si>
    <t>SCB6-20</t>
    <phoneticPr fontId="2"/>
  </si>
  <si>
    <t>六角穴付ボルト－ステンレス　 (M6×20)　　6本使用</t>
    <rPh sb="25" eb="26">
      <t>ホン</t>
    </rPh>
    <rPh sb="26" eb="28">
      <t>シヨウ</t>
    </rPh>
    <phoneticPr fontId="2"/>
  </si>
  <si>
    <t>排気ﾌﾗﾝｼﾞ固定用</t>
    <phoneticPr fontId="2"/>
  </si>
  <si>
    <t>栗本鐵工所</t>
    <rPh sb="0" eb="2">
      <t>クリモト</t>
    </rPh>
    <rPh sb="2" eb="4">
      <t>テッコウ</t>
    </rPh>
    <rPh sb="4" eb="5">
      <t>ショ</t>
    </rPh>
    <phoneticPr fontId="2"/>
  </si>
  <si>
    <t>SD-Z-TK-150</t>
    <phoneticPr fontId="2"/>
  </si>
  <si>
    <t>スパイラルダクト継手 フランジカラー</t>
    <phoneticPr fontId="2"/>
  </si>
  <si>
    <t>SD-Z-LF-150</t>
    <phoneticPr fontId="2"/>
  </si>
  <si>
    <t>スパイラルダクト継手 フランジ ﾌﾟﾚｰﾄ</t>
    <phoneticPr fontId="2"/>
  </si>
  <si>
    <t>SLBNR6</t>
    <phoneticPr fontId="2"/>
  </si>
  <si>
    <t>ナット</t>
    <phoneticPr fontId="2"/>
  </si>
  <si>
    <t>SHCBM5-12　</t>
    <phoneticPr fontId="2"/>
  </si>
  <si>
    <t>ﾄﾗｽﾄﾈｼﾞ</t>
    <phoneticPr fontId="2"/>
  </si>
  <si>
    <t>SHCBM5-15　</t>
    <phoneticPr fontId="2"/>
  </si>
  <si>
    <t>架台固定用</t>
    <rPh sb="0" eb="2">
      <t>カダイ</t>
    </rPh>
    <rPh sb="2" eb="4">
      <t>コテイ</t>
    </rPh>
    <rPh sb="4" eb="5">
      <t>ヨウ</t>
    </rPh>
    <phoneticPr fontId="2"/>
  </si>
  <si>
    <t>SUNCO</t>
    <phoneticPr fontId="2"/>
  </si>
  <si>
    <t>CSH-SUS-M6-28</t>
    <phoneticPr fontId="2"/>
  </si>
  <si>
    <t>六角穴付ボルト－ステンレス　 (M6×28)　　8本使用</t>
    <rPh sb="25" eb="26">
      <t>ホン</t>
    </rPh>
    <rPh sb="26" eb="28">
      <t>シヨウ</t>
    </rPh>
    <phoneticPr fontId="2"/>
  </si>
  <si>
    <t>HBLFSN6-C-SSP</t>
    <phoneticPr fontId="2"/>
  </si>
  <si>
    <t>SCB6-10</t>
    <phoneticPr fontId="2"/>
  </si>
  <si>
    <t>六角穴付ボルト－ステンレス　 (M6×10)</t>
    <phoneticPr fontId="2"/>
  </si>
  <si>
    <t>架台ﾕﾆｯﾄ</t>
    <rPh sb="0" eb="2">
      <t>カダイ</t>
    </rPh>
    <phoneticPr fontId="2"/>
  </si>
  <si>
    <t xml:space="preserve">HBLBS6 </t>
    <phoneticPr fontId="2"/>
  </si>
  <si>
    <t>６シリーズ（溝幅８ｍｍ）　３０・６０角アルミフレーム用ブラインドブラケット</t>
    <phoneticPr fontId="2"/>
  </si>
  <si>
    <t>ｺﾝﾄﾛｰﾗ棚板部</t>
    <rPh sb="6" eb="8">
      <t>タナイタ</t>
    </rPh>
    <rPh sb="8" eb="9">
      <t>ブ</t>
    </rPh>
    <phoneticPr fontId="2"/>
  </si>
  <si>
    <t>６シリーズ（溝幅８ｍｍ）－１列溝用－　突起付反転ブラケット</t>
    <phoneticPr fontId="2"/>
  </si>
  <si>
    <t>HBLTD6-C-SSP</t>
    <phoneticPr fontId="2"/>
  </si>
  <si>
    <t>６シリーズ（溝幅８ｍｍ）－２列溝用－　押出厚型ブラケット</t>
    <phoneticPr fontId="2"/>
  </si>
  <si>
    <t>架台</t>
  </si>
  <si>
    <t>HCBR6</t>
    <phoneticPr fontId="2"/>
  </si>
  <si>
    <t>パネルサポートブラケット　樹脂タイプ</t>
    <phoneticPr fontId="2"/>
  </si>
  <si>
    <t>HCFT6-250-SET</t>
    <phoneticPr fontId="2"/>
  </si>
  <si>
    <t>ｷｭｽﾀ-、ストッパー付き</t>
    <rPh sb="11" eb="12">
      <t>ツ</t>
    </rPh>
    <phoneticPr fontId="2"/>
  </si>
  <si>
    <t>HFC6-6060-S</t>
    <phoneticPr fontId="2"/>
  </si>
  <si>
    <t>HFS6-3030-210</t>
    <phoneticPr fontId="2"/>
  </si>
  <si>
    <t>HFS6-3030-329</t>
    <phoneticPr fontId="2"/>
  </si>
  <si>
    <t>HFS6-3030-460</t>
    <phoneticPr fontId="2"/>
  </si>
  <si>
    <t>HFS6-3030-542</t>
    <phoneticPr fontId="2"/>
  </si>
  <si>
    <t>HFS6-6060-340</t>
    <phoneticPr fontId="2"/>
  </si>
  <si>
    <t>天面補強　2本、底面補強　2本</t>
    <rPh sb="0" eb="2">
      <t>テンメン</t>
    </rPh>
    <rPh sb="2" eb="4">
      <t>ホキョウ</t>
    </rPh>
    <rPh sb="6" eb="7">
      <t>ホン</t>
    </rPh>
    <rPh sb="8" eb="9">
      <t>ソコ</t>
    </rPh>
    <rPh sb="9" eb="10">
      <t>メン</t>
    </rPh>
    <rPh sb="10" eb="12">
      <t>ホキョウ</t>
    </rPh>
    <rPh sb="14" eb="15">
      <t>ホン</t>
    </rPh>
    <phoneticPr fontId="2"/>
  </si>
  <si>
    <t>HFS6-6060-542</t>
    <phoneticPr fontId="2"/>
  </si>
  <si>
    <t>真中1本追加</t>
    <rPh sb="0" eb="2">
      <t>マンナカ</t>
    </rPh>
    <rPh sb="3" eb="4">
      <t>ポン</t>
    </rPh>
    <rPh sb="4" eb="6">
      <t>ツイカ</t>
    </rPh>
    <phoneticPr fontId="2"/>
  </si>
  <si>
    <t xml:space="preserve">HFS6-6060-854 </t>
    <phoneticPr fontId="2"/>
  </si>
  <si>
    <t>アルミフレーム　６シリーズ　正方形　６０×６０ｍｍ　２列溝　４面溝</t>
    <phoneticPr fontId="2"/>
  </si>
  <si>
    <t>HFS6-6060-980</t>
    <phoneticPr fontId="2"/>
  </si>
  <si>
    <t>PAAL6H-456-271-5.0-F218-G251-N6</t>
    <phoneticPr fontId="2"/>
  </si>
  <si>
    <t>アルミパネル</t>
    <phoneticPr fontId="2"/>
  </si>
  <si>
    <t>ｺﾝﾄﾛｰﾗ棚板部　底板</t>
    <rPh sb="6" eb="8">
      <t>タナイタ</t>
    </rPh>
    <rPh sb="8" eb="9">
      <t>ブ</t>
    </rPh>
    <rPh sb="10" eb="12">
      <t>ソコイタ</t>
    </rPh>
    <phoneticPr fontId="2"/>
  </si>
  <si>
    <t>PAAL6H-458-338-5.0-F218-G316-N6</t>
    <phoneticPr fontId="2"/>
  </si>
  <si>
    <t>下段棚板</t>
    <phoneticPr fontId="2"/>
  </si>
  <si>
    <t>架台部分</t>
    <rPh sb="0" eb="2">
      <t>カダイ</t>
    </rPh>
    <rPh sb="2" eb="4">
      <t>ブブン</t>
    </rPh>
    <phoneticPr fontId="2"/>
  </si>
  <si>
    <r>
      <t>SETB0</t>
    </r>
    <r>
      <rPr>
        <b/>
        <sz val="11"/>
        <color indexed="10"/>
        <rFont val="ＭＳ Ｐゴシック"/>
        <family val="3"/>
        <charset val="128"/>
      </rPr>
      <t>290</t>
    </r>
    <r>
      <rPr>
        <sz val="11"/>
        <rFont val="ＭＳ Ｐゴシック"/>
        <family val="3"/>
        <charset val="128"/>
      </rPr>
      <t>-Z02　天板</t>
    </r>
    <phoneticPr fontId="2"/>
  </si>
  <si>
    <t>天板</t>
    <phoneticPr fontId="2"/>
  </si>
  <si>
    <t>ノックピン　－プラス公差</t>
    <phoneticPr fontId="2"/>
  </si>
  <si>
    <t>SFB5-10</t>
    <phoneticPr fontId="2"/>
  </si>
  <si>
    <t>六角穴付皿ボルト　－ステンレス</t>
    <phoneticPr fontId="2"/>
  </si>
  <si>
    <t>天板固定用</t>
    <rPh sb="2" eb="4">
      <t>コテイ</t>
    </rPh>
    <rPh sb="4" eb="5">
      <t>ヨウ</t>
    </rPh>
    <phoneticPr fontId="2"/>
  </si>
  <si>
    <t>SI2520-315</t>
    <phoneticPr fontId="2"/>
  </si>
  <si>
    <t>配線孔キャップ SALSA</t>
    <phoneticPr fontId="2"/>
  </si>
  <si>
    <t>SHCBM5-12</t>
    <phoneticPr fontId="2"/>
  </si>
  <si>
    <t>SHCBM5-15</t>
    <phoneticPr fontId="2"/>
  </si>
  <si>
    <t>元圧</t>
    <rPh sb="0" eb="1">
      <t>モト</t>
    </rPh>
    <rPh sb="1" eb="2">
      <t>アツ</t>
    </rPh>
    <phoneticPr fontId="2"/>
  </si>
  <si>
    <t>BSLG6</t>
    <phoneticPr fontId="2"/>
  </si>
  <si>
    <t>ワンタッチ継手　ブラインドプラグ</t>
    <phoneticPr fontId="2"/>
  </si>
  <si>
    <t>BVHVU6-3　</t>
    <phoneticPr fontId="2"/>
  </si>
  <si>
    <t>3方弁　ハンドバルブ</t>
    <phoneticPr fontId="2"/>
  </si>
  <si>
    <t>FAMBS-SUD-T2-A60-B120-L60-F40-H45-N6-V48-S65-W30-MA4  　</t>
    <phoneticPr fontId="2"/>
  </si>
  <si>
    <t>ﾚｷﾞｭﾚｰﾀ固定用 Ｌ字ﾌﾞﾗｹｯﾄ</t>
    <rPh sb="11" eb="13">
      <t>リジ</t>
    </rPh>
    <phoneticPr fontId="2"/>
  </si>
  <si>
    <t>日本ピスコ</t>
    <rPh sb="0" eb="2">
      <t>ニホン</t>
    </rPh>
    <phoneticPr fontId="2"/>
  </si>
  <si>
    <t>PAW6-02</t>
    <phoneticPr fontId="2"/>
  </si>
  <si>
    <t>一般配管用 チューブフィッティング ダブルブランチエイ</t>
    <phoneticPr fontId="2"/>
  </si>
  <si>
    <t>六角穴付ボルト－ステンレス　 (M4×10)　2本</t>
    <rPh sb="24" eb="25">
      <t>ホン</t>
    </rPh>
    <phoneticPr fontId="2"/>
  </si>
  <si>
    <t>六角穴付ボルト－ステンレス　 (M6×10)  2本使用</t>
    <rPh sb="25" eb="26">
      <t>ホン</t>
    </rPh>
    <rPh sb="26" eb="28">
      <t>シヨウ</t>
    </rPh>
    <phoneticPr fontId="2"/>
  </si>
  <si>
    <t xml:space="preserve">SLBNR4 </t>
    <phoneticPr fontId="2"/>
  </si>
  <si>
    <t>SHNTP6-4</t>
    <phoneticPr fontId="2"/>
  </si>
  <si>
    <t>ｻﾝﾜｻﾌﾟﾗｲ</t>
    <phoneticPr fontId="2"/>
  </si>
  <si>
    <t>CR-LA601</t>
    <phoneticPr fontId="2"/>
  </si>
  <si>
    <t>デュアルシステムアーム(キーボード台)</t>
    <phoneticPr fontId="2"/>
  </si>
  <si>
    <t>デュアルシステムアーム(キーボード台)固定部分にも使用</t>
    <phoneticPr fontId="2"/>
  </si>
  <si>
    <t>HFS6-6060-150</t>
    <phoneticPr fontId="2"/>
  </si>
  <si>
    <t>架台、デュアルシステムアーム(キーボード台)固定部分にも使用</t>
    <rPh sb="22" eb="26">
      <t>コテイブブン</t>
    </rPh>
    <rPh sb="28" eb="30">
      <t>シヨウ</t>
    </rPh>
    <phoneticPr fontId="2"/>
  </si>
  <si>
    <t>安全ｶﾊﾞｰ（上部架台）</t>
    <rPh sb="0" eb="2">
      <t>アンゼン</t>
    </rPh>
    <rPh sb="7" eb="9">
      <t>ジョウブ</t>
    </rPh>
    <rPh sb="9" eb="11">
      <t>カダイ</t>
    </rPh>
    <phoneticPr fontId="2"/>
  </si>
  <si>
    <t>TOTAL重量</t>
    <rPh sb="5" eb="7">
      <t>ジュウリョウ</t>
    </rPh>
    <phoneticPr fontId="2"/>
  </si>
  <si>
    <t>0.5kg/m</t>
    <phoneticPr fontId="2"/>
  </si>
  <si>
    <t>ULJP-C-ULJPSS-5</t>
    <phoneticPr fontId="2"/>
  </si>
  <si>
    <t>ACコード(プラグ）　　5m</t>
    <phoneticPr fontId="2"/>
  </si>
  <si>
    <t>PYA6H-540-473-5-F259-G451-N6</t>
    <phoneticPr fontId="2"/>
  </si>
  <si>
    <t>カバープレート (PET材）</t>
    <phoneticPr fontId="2"/>
  </si>
  <si>
    <t>架台部分　左右側</t>
    <rPh sb="0" eb="2">
      <t>カダイ</t>
    </rPh>
    <rPh sb="2" eb="4">
      <t>ブブン</t>
    </rPh>
    <rPh sb="5" eb="7">
      <t>サユウ</t>
    </rPh>
    <rPh sb="7" eb="8">
      <t>ガワ</t>
    </rPh>
    <phoneticPr fontId="2"/>
  </si>
  <si>
    <t>十字穴付トラス小ねじ　　M5ﾈｼﾞ×12mm  16個+4個+16個</t>
    <rPh sb="26" eb="27">
      <t>コ</t>
    </rPh>
    <rPh sb="29" eb="30">
      <t>コ</t>
    </rPh>
    <rPh sb="33" eb="34">
      <t>コ</t>
    </rPh>
    <phoneticPr fontId="2"/>
  </si>
  <si>
    <t>架台部分＋ｺﾝﾄﾛｰﾗ棚板部　底板+左右側</t>
    <rPh sb="0" eb="2">
      <t>カダイ</t>
    </rPh>
    <rPh sb="2" eb="4">
      <t>ブブン</t>
    </rPh>
    <rPh sb="18" eb="20">
      <t>サユウ</t>
    </rPh>
    <rPh sb="20" eb="21">
      <t>ガワ</t>
    </rPh>
    <phoneticPr fontId="2"/>
  </si>
  <si>
    <t>十字穴付トラス小ねじ　　M5ﾈｼﾞ×15mm　　8個+2個+8個</t>
    <rPh sb="25" eb="26">
      <t>コ</t>
    </rPh>
    <rPh sb="28" eb="29">
      <t>コ</t>
    </rPh>
    <rPh sb="31" eb="32">
      <t>コ</t>
    </rPh>
    <phoneticPr fontId="2"/>
  </si>
  <si>
    <t>ｺﾝﾄﾛｰﾗ棚板部　底板補強と固定　左右側</t>
    <rPh sb="10" eb="11">
      <t>ソコ</t>
    </rPh>
    <rPh sb="11" eb="12">
      <t>イタ</t>
    </rPh>
    <rPh sb="12" eb="14">
      <t>ホキョウ</t>
    </rPh>
    <rPh sb="15" eb="17">
      <t>コテイ</t>
    </rPh>
    <rPh sb="18" eb="20">
      <t>サユウ</t>
    </rPh>
    <rPh sb="20" eb="21">
      <t>ガワ</t>
    </rPh>
    <phoneticPr fontId="2"/>
  </si>
  <si>
    <r>
      <t>SETB0290-Z01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rFont val="ＭＳ Ｐゴシック"/>
        <family val="3"/>
        <charset val="128"/>
        <scheme val="minor"/>
      </rPr>
      <t>　裏下段　PETパネル</t>
    </r>
    <phoneticPr fontId="2"/>
  </si>
  <si>
    <t>MVSHM-1E05000-494-ESLE5</t>
    <phoneticPr fontId="16"/>
  </si>
  <si>
    <t>PC電源ON/OFF</t>
    <rPh sb="2" eb="4">
      <t>デンゲン</t>
    </rPh>
    <phoneticPr fontId="16"/>
  </si>
  <si>
    <t>AETTF8-150-M4-N3</t>
    <phoneticPr fontId="16"/>
  </si>
  <si>
    <t>BALLC-W3.2-1000</t>
    <phoneticPr fontId="16"/>
  </si>
  <si>
    <t>SBCB3-8</t>
    <phoneticPr fontId="16"/>
  </si>
  <si>
    <t>SBCB3-10</t>
    <phoneticPr fontId="16"/>
  </si>
  <si>
    <t>SHNTP6-3</t>
    <phoneticPr fontId="16"/>
  </si>
  <si>
    <t>WSSS12-4-2</t>
    <phoneticPr fontId="16"/>
  </si>
  <si>
    <t>円形支柱－両端めねじ</t>
    <phoneticPr fontId="16"/>
  </si>
  <si>
    <t>5日間</t>
    <rPh sb="1" eb="2">
      <t>ヒ</t>
    </rPh>
    <rPh sb="2" eb="3">
      <t>カン</t>
    </rPh>
    <phoneticPr fontId="16"/>
  </si>
  <si>
    <t>ボールチェーン</t>
    <phoneticPr fontId="16"/>
  </si>
  <si>
    <t>六角穴付ボタンボルト</t>
    <phoneticPr fontId="16"/>
  </si>
  <si>
    <t>６シリーズ（溝幅８ｍｍ）用　アルミフレーム用後入れバネナット</t>
    <phoneticPr fontId="16"/>
  </si>
  <si>
    <t>SLUNA4-10</t>
    <phoneticPr fontId="16"/>
  </si>
  <si>
    <t>ウレタン付ストッパボルト　六角穴タイプ</t>
    <phoneticPr fontId="16"/>
  </si>
  <si>
    <t>金属ワッシャ　Ｔ寸選択・指定タイプ</t>
    <phoneticPr fontId="16"/>
  </si>
  <si>
    <t>六角穴付ボルト  38本　</t>
    <rPh sb="11" eb="12">
      <t>ホン</t>
    </rPh>
    <phoneticPr fontId="16"/>
  </si>
  <si>
    <t>SETB0290-Z10　AXAﾛﾎﾞｯﾄPC位置変換ﾌﾞﾗｹｯﾄ</t>
    <phoneticPr fontId="16"/>
  </si>
  <si>
    <t>MVSHM-3N03000-494-PWESM</t>
    <phoneticPr fontId="16"/>
  </si>
  <si>
    <t>蝶ﾅｯﾄ　　4本</t>
    <rPh sb="7" eb="8">
      <t>ホン</t>
    </rPh>
    <phoneticPr fontId="2"/>
  </si>
  <si>
    <t>六角ﾎﾞﾙﾄ　4本</t>
    <phoneticPr fontId="2"/>
  </si>
  <si>
    <t xml:space="preserve"> ノックピン    14本   </t>
    <rPh sb="12" eb="13">
      <t>ホン</t>
    </rPh>
    <phoneticPr fontId="16"/>
  </si>
  <si>
    <r>
      <t xml:space="preserve"> ノックピン     11　本　　　  </t>
    </r>
    <r>
      <rPr>
        <sz val="11"/>
        <color rgb="FFFF0000"/>
        <rFont val="ＭＳ Ｐゴシック"/>
        <family val="3"/>
        <charset val="128"/>
        <scheme val="minor"/>
      </rPr>
      <t>　</t>
    </r>
    <phoneticPr fontId="16"/>
  </si>
  <si>
    <r>
      <t xml:space="preserve">六角穴付ボルト   </t>
    </r>
    <r>
      <rPr>
        <sz val="11"/>
        <color rgb="FFFF0000"/>
        <rFont val="ＭＳ Ｐゴシック"/>
        <family val="3"/>
        <charset val="128"/>
        <scheme val="minor"/>
      </rPr>
      <t>2本</t>
    </r>
    <rPh sb="11" eb="12">
      <t>ホン</t>
    </rPh>
    <phoneticPr fontId="16"/>
  </si>
  <si>
    <t xml:space="preserve">低頭六角穴付ボルト  1　本　　　  </t>
    <phoneticPr fontId="16"/>
  </si>
  <si>
    <r>
      <t>ノックピン　　　　 4　本　　　</t>
    </r>
    <r>
      <rPr>
        <sz val="11"/>
        <color rgb="FFFF0000"/>
        <rFont val="ＭＳ Ｐゴシック"/>
        <family val="3"/>
        <charset val="128"/>
        <scheme val="minor"/>
      </rPr>
      <t>　　</t>
    </r>
    <rPh sb="12" eb="13">
      <t>ホン</t>
    </rPh>
    <phoneticPr fontId="16"/>
  </si>
  <si>
    <r>
      <t xml:space="preserve">六角穴付ボルト </t>
    </r>
    <r>
      <rPr>
        <sz val="11"/>
        <color rgb="FFFF0000"/>
        <rFont val="ＭＳ Ｐゴシック"/>
        <family val="3"/>
        <charset val="128"/>
        <scheme val="minor"/>
      </rPr>
      <t xml:space="preserve"> 6本　</t>
    </r>
    <rPh sb="10" eb="11">
      <t>ホン</t>
    </rPh>
    <phoneticPr fontId="16"/>
  </si>
  <si>
    <r>
      <t>六角穴付ボルト  　</t>
    </r>
    <r>
      <rPr>
        <sz val="11"/>
        <color rgb="FFFF0000"/>
        <rFont val="ＭＳ Ｐゴシック"/>
        <family val="3"/>
        <charset val="128"/>
        <scheme val="minor"/>
      </rPr>
      <t xml:space="preserve">2本　 </t>
    </r>
    <phoneticPr fontId="16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</si>
  <si>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 xml:space="preserve">4本　 </t>
    </r>
    <rPh sb="10" eb="11">
      <t>ホン</t>
    </rPh>
    <phoneticPr fontId="16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</si>
  <si>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5本　　</t>
    </r>
    <rPh sb="10" eb="11">
      <t>ホン</t>
    </rPh>
    <phoneticPr fontId="16"/>
  </si>
  <si>
    <r>
      <t>六角穴付ボルト  4</t>
    </r>
    <r>
      <rPr>
        <sz val="11"/>
        <color rgb="FFFF0000"/>
        <rFont val="ＭＳ Ｐゴシック"/>
        <family val="3"/>
        <charset val="128"/>
        <scheme val="minor"/>
      </rPr>
      <t xml:space="preserve">本　　 </t>
    </r>
    <rPh sb="10" eb="11">
      <t>ホン</t>
    </rPh>
    <phoneticPr fontId="16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</si>
  <si>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4本　 </t>
    </r>
    <rPh sb="10" eb="11">
      <t>ホン</t>
    </rPh>
    <phoneticPr fontId="16"/>
  </si>
  <si>
    <t xml:space="preserve">ノックピン       8本　　　  </t>
    <rPh sb="13" eb="14">
      <t>ホン</t>
    </rPh>
    <phoneticPr fontId="16"/>
  </si>
  <si>
    <t>MVSHM-3N02052-42R-RWB57</t>
    <phoneticPr fontId="16"/>
  </si>
  <si>
    <t>MVSHM-3N02050-3G9-LSFK6</t>
    <phoneticPr fontId="16"/>
  </si>
  <si>
    <t>MVSHM-3N03054-3AM-PACME</t>
    <phoneticPr fontId="16"/>
  </si>
  <si>
    <t>CSH-SUS-M5-38</t>
    <phoneticPr fontId="16"/>
  </si>
  <si>
    <t xml:space="preserve">六角穴付きボルト ステンレス </t>
    <phoneticPr fontId="16"/>
  </si>
  <si>
    <t>六角穴付ボルト　　8本 在庫使用</t>
    <rPh sb="10" eb="11">
      <t>ホン</t>
    </rPh>
    <phoneticPr fontId="2"/>
  </si>
  <si>
    <t>AXFH-D15-L10-V4-B</t>
    <phoneticPr fontId="16"/>
  </si>
  <si>
    <r>
      <t>1</t>
    </r>
    <r>
      <rPr>
        <sz val="11"/>
        <rFont val="ＭＳ Ｐゴシック"/>
        <family val="3"/>
        <charset val="128"/>
        <scheme val="minor"/>
      </rPr>
      <t>.25-5</t>
    </r>
    <phoneticPr fontId="2"/>
  </si>
  <si>
    <t>SS300R-22-8-15</t>
    <phoneticPr fontId="16"/>
  </si>
  <si>
    <t>カッチンダクト固定</t>
    <rPh sb="7" eb="9">
      <t>コテイ</t>
    </rPh>
    <phoneticPr fontId="2"/>
  </si>
  <si>
    <t>HFCN6PACK-S</t>
    <phoneticPr fontId="16"/>
  </si>
  <si>
    <t>ケーブルクランプひし形タイプ</t>
    <phoneticPr fontId="16"/>
  </si>
  <si>
    <t>MVSHM-3N03006-492-RJ6X8</t>
    <phoneticPr fontId="16"/>
  </si>
  <si>
    <t>SCB4-10　　　　</t>
    <phoneticPr fontId="2"/>
  </si>
  <si>
    <t>HFS6-3030-385</t>
    <phoneticPr fontId="16"/>
  </si>
  <si>
    <t>SCB4-8　　　</t>
    <phoneticPr fontId="2"/>
  </si>
  <si>
    <t>SCB5-10　　</t>
    <phoneticPr fontId="2"/>
  </si>
  <si>
    <t>③</t>
    <phoneticPr fontId="7"/>
  </si>
  <si>
    <t>仙台営業所にて組立</t>
    <rPh sb="0" eb="2">
      <t>センダイ</t>
    </rPh>
    <rPh sb="2" eb="5">
      <t>エイギョウショ</t>
    </rPh>
    <rPh sb="7" eb="9">
      <t>クミタテ</t>
    </rPh>
    <phoneticPr fontId="16"/>
  </si>
  <si>
    <t>HHPFDLN6-5-SSP</t>
    <phoneticPr fontId="2"/>
  </si>
  <si>
    <t>AB24677FGG</t>
    <phoneticPr fontId="16"/>
  </si>
  <si>
    <t>ST30RSB-23AWG-3-20</t>
    <phoneticPr fontId="2"/>
  </si>
  <si>
    <t>ST30R 【大電×ミスミ】極細高耐久ロボットケーブル（シールド無・有）</t>
    <phoneticPr fontId="2"/>
  </si>
  <si>
    <t>37304-2165-000FL-8P(青)</t>
    <phoneticPr fontId="16"/>
  </si>
  <si>
    <t>37104-3163-000FL-8P(橙)</t>
    <phoneticPr fontId="16"/>
  </si>
  <si>
    <t>ｳﾚﾀﾝｸｯｼｮﾝﾌﾘｰ AXF</t>
    <phoneticPr fontId="16"/>
  </si>
  <si>
    <t>AB246783E8</t>
    <phoneticPr fontId="16"/>
  </si>
  <si>
    <t>バッファロー</t>
    <phoneticPr fontId="16"/>
  </si>
  <si>
    <t>BHDN50BK</t>
    <phoneticPr fontId="16"/>
  </si>
  <si>
    <t>HDMIケーブル ベーシック HIGH SPEED ブラック</t>
    <phoneticPr fontId="16"/>
  </si>
  <si>
    <t xml:space="preserve">
AB24778A53</t>
    <phoneticPr fontId="16"/>
  </si>
  <si>
    <t>3P-W-5</t>
    <phoneticPr fontId="16"/>
  </si>
  <si>
    <t>ACコード 固定長（PSE）両端付き,プラグ形状：A-3</t>
    <phoneticPr fontId="16"/>
  </si>
  <si>
    <t xml:space="preserve">
AB2477AG34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</si>
</sst>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  <numFmt numFmtId="183" formatCode="0_ "/>
  </numFmts>
  <fonts count="4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</font>
    <font>
      <b/>
      <sz val="14"/>
      <color theme="9" tint="-0.499984740745262"/>
      <name val="ＭＳ Ｐゴシック"/>
      <family val="3"/>
      <charset val="128"/>
      <scheme val="minor"/>
    </font>
    <font>
      <b/>
      <sz val="16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b/>
      <sz val="11"/>
      <color indexed="3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sz val="11"/>
      <color rgb="FF7030A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0"/>
      <color rgb="FF020024"/>
      <name val="Arial"/>
      <family val="2"/>
    </font>
    <font>
      <sz val="12"/>
      <color rgb="FF333333"/>
      <name val="ＭＳ Ｐゴシック"/>
      <family val="3"/>
      <charset val="128"/>
      <scheme val="minor"/>
    </font>
    <font>
      <b/>
      <sz val="11"/>
      <color theme="8" tint="-0.249977111117893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  <scheme val="minor"/>
    </font>
    <font>
      <b/>
      <sz val="14"/>
      <color theme="2" tint="-0.749992370372631"/>
      <name val="ＭＳ Ｐゴシック"/>
      <family val="3"/>
      <charset val="128"/>
      <scheme val="minor"/>
    </font>
    <font>
      <b/>
      <sz val="14"/>
      <color rgb="FF0070C0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15" fillId="0" borderId="0">
      <alignment vertical="center"/>
    </xf>
  </cellStyleXfs>
  <cellXfs count="3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15" fillId="0" borderId="1" xfId="2" applyNumberFormat="1" applyBorder="1" applyAlignment="1">
      <alignment horizontal="center" vertical="center"/>
    </xf>
    <xf numFmtId="0" fontId="15" fillId="0" borderId="1" xfId="2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49" fontId="15" fillId="0" borderId="1" xfId="2" applyNumberFormat="1" applyBorder="1" applyAlignment="1">
      <alignment horizontal="left" vertical="center"/>
    </xf>
    <xf numFmtId="0" fontId="15" fillId="0" borderId="1" xfId="2" applyBorder="1">
      <alignment vertical="center"/>
    </xf>
    <xf numFmtId="0" fontId="0" fillId="0" borderId="19" xfId="0" applyBorder="1" applyAlignment="1">
      <alignment vertical="center" shrinkToFit="1"/>
    </xf>
    <xf numFmtId="0" fontId="0" fillId="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0" fillId="0" borderId="1" xfId="0" applyNumberFormat="1" applyBorder="1" applyAlignment="1"/>
    <xf numFmtId="0" fontId="0" fillId="0" borderId="1" xfId="0" applyBorder="1" applyAlignment="1">
      <alignment horizontal="left" vertical="center" shrinkToFit="1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vertical="center" shrinkToFit="1"/>
    </xf>
    <xf numFmtId="0" fontId="0" fillId="0" borderId="17" xfId="0" applyBorder="1" applyAlignment="1">
      <alignment horizontal="center" vertical="center" shrinkToFit="1"/>
    </xf>
    <xf numFmtId="0" fontId="15" fillId="11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0" fontId="15" fillId="0" borderId="1" xfId="0" applyFont="1" applyBorder="1">
      <alignment vertical="center"/>
    </xf>
    <xf numFmtId="56" fontId="0" fillId="0" borderId="2" xfId="0" applyNumberFormat="1" applyBorder="1" applyAlignment="1">
      <alignment horizontal="center" vertical="center"/>
    </xf>
    <xf numFmtId="0" fontId="6" fillId="0" borderId="1" xfId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6" fontId="0" fillId="0" borderId="2" xfId="0" applyNumberFormat="1" applyBorder="1" applyAlignment="1"/>
    <xf numFmtId="0" fontId="15" fillId="0" borderId="1" xfId="0" applyFont="1" applyBorder="1" applyAlignment="1">
      <alignment horizontal="left" vertical="center" shrinkToFit="1"/>
    </xf>
    <xf numFmtId="3" fontId="0" fillId="4" borderId="1" xfId="0" applyNumberForma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 shrinkToFit="1"/>
    </xf>
    <xf numFmtId="0" fontId="9" fillId="0" borderId="0" xfId="0" applyFont="1" applyAlignment="1">
      <alignment horizontal="center" vertical="center"/>
    </xf>
    <xf numFmtId="3" fontId="0" fillId="12" borderId="5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18" fillId="12" borderId="1" xfId="0" applyFont="1" applyFill="1" applyBorder="1">
      <alignment vertical="center"/>
    </xf>
    <xf numFmtId="3" fontId="0" fillId="0" borderId="19" xfId="0" applyNumberFormat="1" applyBorder="1" applyAlignment="1">
      <alignment horizontal="center" vertical="center"/>
    </xf>
    <xf numFmtId="179" fontId="0" fillId="0" borderId="24" xfId="0" applyNumberFormat="1" applyBorder="1" applyAlignment="1">
      <alignment horizontal="center" vertical="center"/>
    </xf>
    <xf numFmtId="38" fontId="15" fillId="0" borderId="1" xfId="2" applyNumberFormat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3" fontId="12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left" vertical="center"/>
    </xf>
    <xf numFmtId="183" fontId="18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1" xfId="0" applyFont="1" applyBorder="1">
      <alignment vertical="center"/>
    </xf>
    <xf numFmtId="0" fontId="12" fillId="4" borderId="18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shrinkToFit="1"/>
    </xf>
    <xf numFmtId="3" fontId="0" fillId="0" borderId="5" xfId="0" applyNumberForma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3" fontId="0" fillId="12" borderId="1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76" fontId="0" fillId="0" borderId="1" xfId="0" applyNumberForma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2" fillId="0" borderId="1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3" xfId="0" applyNumberFormat="1" applyBorder="1" applyAlignment="1"/>
    <xf numFmtId="0" fontId="12" fillId="0" borderId="17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 shrinkToFit="1"/>
    </xf>
    <xf numFmtId="3" fontId="18" fillId="0" borderId="1" xfId="0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0" fontId="12" fillId="0" borderId="0" xfId="0" applyFont="1" applyAlignment="1">
      <alignment horizontal="center" vertical="center"/>
    </xf>
    <xf numFmtId="176" fontId="31" fillId="0" borderId="0" xfId="0" applyNumberFormat="1" applyFont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0" fillId="0" borderId="13" xfId="0" applyNumberFormat="1" applyBorder="1">
      <alignment vertical="center"/>
    </xf>
    <xf numFmtId="0" fontId="0" fillId="0" borderId="17" xfId="0" applyBorder="1" applyAlignment="1">
      <alignment horizontal="left" vertical="center"/>
    </xf>
    <xf numFmtId="176" fontId="0" fillId="0" borderId="17" xfId="0" applyNumberFormat="1" applyBorder="1">
      <alignment vertical="center"/>
    </xf>
    <xf numFmtId="176" fontId="0" fillId="0" borderId="13" xfId="0" applyNumberFormat="1" applyBorder="1" applyAlignment="1"/>
    <xf numFmtId="0" fontId="15" fillId="0" borderId="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>
      <alignment vertical="center"/>
    </xf>
    <xf numFmtId="0" fontId="18" fillId="0" borderId="2" xfId="0" applyFont="1" applyBorder="1" applyAlignment="1">
      <alignment horizontal="left" vertical="center"/>
    </xf>
    <xf numFmtId="176" fontId="6" fillId="0" borderId="4" xfId="0" applyNumberFormat="1" applyFont="1" applyBorder="1" applyAlignment="1"/>
    <xf numFmtId="0" fontId="6" fillId="0" borderId="3" xfId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shrinkToFit="1"/>
    </xf>
    <xf numFmtId="0" fontId="12" fillId="4" borderId="13" xfId="0" applyFont="1" applyFill="1" applyBorder="1" applyAlignment="1">
      <alignment horizontal="center" vertical="center"/>
    </xf>
    <xf numFmtId="3" fontId="12" fillId="4" borderId="13" xfId="0" applyNumberFormat="1" applyFont="1" applyFill="1" applyBorder="1" applyAlignment="1">
      <alignment horizontal="center" vertical="center"/>
    </xf>
    <xf numFmtId="176" fontId="13" fillId="9" borderId="2" xfId="0" applyNumberFormat="1" applyFont="1" applyFill="1" applyBorder="1">
      <alignment vertical="center"/>
    </xf>
    <xf numFmtId="176" fontId="13" fillId="9" borderId="8" xfId="0" applyNumberFormat="1" applyFont="1" applyFill="1" applyBorder="1">
      <alignment vertical="center"/>
    </xf>
    <xf numFmtId="176" fontId="13" fillId="9" borderId="9" xfId="0" applyNumberFormat="1" applyFont="1" applyFill="1" applyBorder="1">
      <alignment vertical="center"/>
    </xf>
    <xf numFmtId="0" fontId="29" fillId="0" borderId="1" xfId="0" applyFont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38" fontId="15" fillId="0" borderId="8" xfId="2" applyNumberFormat="1" applyBorder="1" applyAlignment="1">
      <alignment horizontal="center" vertical="center"/>
    </xf>
    <xf numFmtId="3" fontId="15" fillId="0" borderId="9" xfId="2" applyNumberFormat="1" applyBorder="1" applyAlignment="1">
      <alignment horizontal="center" vertical="center"/>
    </xf>
    <xf numFmtId="49" fontId="18" fillId="0" borderId="2" xfId="2" applyNumberFormat="1" applyFont="1" applyBorder="1" applyAlignment="1">
      <alignment horizontal="left" vertical="center"/>
    </xf>
    <xf numFmtId="0" fontId="18" fillId="0" borderId="8" xfId="2" applyFont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0" fillId="7" borderId="1" xfId="0" applyNumberFormat="1" applyFill="1" applyBorder="1" applyAlignment="1">
      <alignment horizontal="right" vertical="center"/>
    </xf>
    <xf numFmtId="0" fontId="0" fillId="11" borderId="1" xfId="0" applyFill="1" applyBorder="1">
      <alignment vertical="center"/>
    </xf>
    <xf numFmtId="176" fontId="0" fillId="7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3" borderId="21" xfId="0" applyFill="1" applyBorder="1" applyAlignment="1">
      <alignment horizontal="center" vertical="center"/>
    </xf>
    <xf numFmtId="38" fontId="0" fillId="7" borderId="1" xfId="0" applyNumberFormat="1" applyFill="1" applyBorder="1" applyAlignment="1">
      <alignment horizontal="center" vertical="center"/>
    </xf>
    <xf numFmtId="176" fontId="6" fillId="7" borderId="2" xfId="0" applyNumberFormat="1" applyFont="1" applyFill="1" applyBorder="1" applyAlignment="1">
      <alignment horizontal="center" vertical="center"/>
    </xf>
    <xf numFmtId="176" fontId="18" fillId="7" borderId="17" xfId="0" applyNumberFormat="1" applyFont="1" applyFill="1" applyBorder="1" applyAlignment="1">
      <alignment horizontal="right" vertical="center"/>
    </xf>
    <xf numFmtId="0" fontId="6" fillId="11" borderId="2" xfId="0" applyFont="1" applyFill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76" fontId="0" fillId="0" borderId="23" xfId="0" applyNumberFormat="1" applyBorder="1">
      <alignment vertical="center"/>
    </xf>
    <xf numFmtId="0" fontId="0" fillId="0" borderId="23" xfId="0" applyBorder="1" applyAlignment="1">
      <alignment horizontal="left" vertical="center"/>
    </xf>
    <xf numFmtId="0" fontId="34" fillId="0" borderId="0" xfId="0" applyFont="1">
      <alignment vertical="center"/>
    </xf>
    <xf numFmtId="0" fontId="0" fillId="0" borderId="9" xfId="0" applyBorder="1" applyAlignment="1">
      <alignment horizontal="center" vertical="center"/>
    </xf>
    <xf numFmtId="183" fontId="18" fillId="12" borderId="1" xfId="0" applyNumberFormat="1" applyFont="1" applyFill="1" applyBorder="1" applyAlignment="1">
      <alignment horizontal="right" vertical="center"/>
    </xf>
    <xf numFmtId="0" fontId="9" fillId="13" borderId="1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83" fontId="18" fillId="12" borderId="3" xfId="0" applyNumberFormat="1" applyFont="1" applyFill="1" applyBorder="1" applyAlignment="1">
      <alignment horizontal="right" vertical="center"/>
    </xf>
    <xf numFmtId="0" fontId="0" fillId="12" borderId="1" xfId="0" applyFill="1" applyBorder="1" applyAlignment="1">
      <alignment horizontal="right" vertical="center"/>
    </xf>
    <xf numFmtId="0" fontId="22" fillId="0" borderId="1" xfId="1" applyFont="1" applyBorder="1" applyAlignment="1">
      <alignment horizontal="center" vertical="center"/>
    </xf>
    <xf numFmtId="183" fontId="18" fillId="0" borderId="1" xfId="0" applyNumberFormat="1" applyFont="1" applyBorder="1" applyAlignment="1">
      <alignment horizontal="right" vertical="center"/>
    </xf>
    <xf numFmtId="3" fontId="0" fillId="12" borderId="9" xfId="0" applyNumberFormat="1" applyFill="1" applyBorder="1" applyAlignment="1">
      <alignment horizontal="center" vertical="center"/>
    </xf>
    <xf numFmtId="176" fontId="13" fillId="9" borderId="1" xfId="0" applyNumberFormat="1" applyFont="1" applyFill="1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3" fontId="18" fillId="16" borderId="1" xfId="0" applyNumberFormat="1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18" fillId="16" borderId="1" xfId="0" applyFont="1" applyFill="1" applyBorder="1">
      <alignment vertical="center"/>
    </xf>
    <xf numFmtId="0" fontId="6" fillId="12" borderId="1" xfId="0" applyFont="1" applyFill="1" applyBorder="1" applyAlignment="1">
      <alignment horizontal="left" vertical="center"/>
    </xf>
    <xf numFmtId="0" fontId="9" fillId="17" borderId="28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" fillId="3" borderId="1" xfId="0" applyFont="1" applyFill="1" applyBorder="1">
      <alignment vertical="center"/>
    </xf>
    <xf numFmtId="49" fontId="18" fillId="0" borderId="2" xfId="0" applyNumberFormat="1" applyFont="1" applyBorder="1" applyAlignment="1">
      <alignment horizontal="left" vertical="center"/>
    </xf>
    <xf numFmtId="176" fontId="18" fillId="0" borderId="8" xfId="0" applyNumberFormat="1" applyFon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15" fillId="7" borderId="1" xfId="2" applyFill="1" applyBorder="1" applyAlignment="1">
      <alignment horizontal="center" vertical="center"/>
    </xf>
    <xf numFmtId="176" fontId="18" fillId="7" borderId="1" xfId="0" applyNumberFormat="1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left" vertical="center"/>
    </xf>
    <xf numFmtId="49" fontId="18" fillId="7" borderId="1" xfId="0" applyNumberFormat="1" applyFont="1" applyFill="1" applyBorder="1" applyAlignment="1">
      <alignment horizontal="left" vertical="center"/>
    </xf>
    <xf numFmtId="49" fontId="15" fillId="7" borderId="1" xfId="2" applyNumberForma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176" fontId="15" fillId="7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left" vertical="center" wrapText="1"/>
    </xf>
    <xf numFmtId="0" fontId="0" fillId="7" borderId="0" xfId="0" applyFill="1">
      <alignment vertical="center"/>
    </xf>
    <xf numFmtId="49" fontId="0" fillId="7" borderId="1" xfId="0" applyNumberFormat="1" applyFill="1" applyBorder="1" applyAlignment="1">
      <alignment horizontal="left" vertical="center"/>
    </xf>
    <xf numFmtId="0" fontId="18" fillId="7" borderId="1" xfId="0" applyFont="1" applyFill="1" applyBorder="1">
      <alignment vertical="center"/>
    </xf>
    <xf numFmtId="0" fontId="18" fillId="7" borderId="2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left" vertical="center"/>
    </xf>
    <xf numFmtId="183" fontId="1" fillId="7" borderId="1" xfId="0" applyNumberFormat="1" applyFont="1" applyFill="1" applyBorder="1" applyAlignment="1">
      <alignment horizontal="center" vertical="center"/>
    </xf>
    <xf numFmtId="0" fontId="6" fillId="7" borderId="1" xfId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3" fontId="15" fillId="7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>
      <alignment vertical="center"/>
    </xf>
    <xf numFmtId="180" fontId="6" fillId="7" borderId="1" xfId="0" applyNumberFormat="1" applyFont="1" applyFill="1" applyBorder="1" applyAlignment="1">
      <alignment horizontal="center" vertical="center"/>
    </xf>
    <xf numFmtId="181" fontId="18" fillId="7" borderId="1" xfId="0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20" xfId="0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183" fontId="0" fillId="7" borderId="3" xfId="0" applyNumberFormat="1" applyFill="1" applyBorder="1">
      <alignment vertical="center"/>
    </xf>
    <xf numFmtId="183" fontId="0" fillId="7" borderId="1" xfId="0" applyNumberFormat="1" applyFill="1" applyBorder="1">
      <alignment vertical="center"/>
    </xf>
    <xf numFmtId="0" fontId="0" fillId="7" borderId="1" xfId="0" applyFill="1" applyBorder="1" applyAlignment="1">
      <alignment horizontal="left" vertical="center"/>
    </xf>
    <xf numFmtId="0" fontId="18" fillId="7" borderId="5" xfId="0" applyFont="1" applyFill="1" applyBorder="1" applyAlignment="1">
      <alignment horizontal="left" vertical="center"/>
    </xf>
    <xf numFmtId="183" fontId="18" fillId="7" borderId="5" xfId="0" applyNumberFormat="1" applyFont="1" applyFill="1" applyBorder="1">
      <alignment vertical="center"/>
    </xf>
    <xf numFmtId="183" fontId="18" fillId="7" borderId="1" xfId="0" applyNumberFormat="1" applyFont="1" applyFill="1" applyBorder="1">
      <alignment vertical="center"/>
    </xf>
    <xf numFmtId="0" fontId="12" fillId="7" borderId="1" xfId="0" applyFont="1" applyFill="1" applyBorder="1">
      <alignment vertical="center"/>
    </xf>
    <xf numFmtId="0" fontId="18" fillId="7" borderId="3" xfId="0" applyFont="1" applyFill="1" applyBorder="1" applyAlignment="1">
      <alignment horizontal="left" vertical="center"/>
    </xf>
    <xf numFmtId="183" fontId="18" fillId="7" borderId="3" xfId="0" applyNumberFormat="1" applyFont="1" applyFill="1" applyBorder="1">
      <alignment vertical="center"/>
    </xf>
    <xf numFmtId="0" fontId="18" fillId="7" borderId="1" xfId="2" applyFont="1" applyFill="1" applyBorder="1" applyAlignment="1">
      <alignment horizontal="left" vertical="center"/>
    </xf>
    <xf numFmtId="183" fontId="18" fillId="7" borderId="1" xfId="2" applyNumberFormat="1" applyFont="1" applyFill="1" applyBorder="1" applyAlignment="1">
      <alignment horizontal="center" vertical="center"/>
    </xf>
    <xf numFmtId="0" fontId="1" fillId="7" borderId="1" xfId="0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83" fontId="18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right" vertical="center"/>
    </xf>
    <xf numFmtId="0" fontId="0" fillId="7" borderId="5" xfId="0" applyFill="1" applyBorder="1">
      <alignment vertical="center"/>
    </xf>
    <xf numFmtId="0" fontId="6" fillId="7" borderId="1" xfId="1" applyFill="1" applyBorder="1" applyAlignment="1">
      <alignment horizontal="left" vertical="center"/>
    </xf>
    <xf numFmtId="0" fontId="18" fillId="7" borderId="2" xfId="0" applyFont="1" applyFill="1" applyBorder="1">
      <alignment vertical="center"/>
    </xf>
    <xf numFmtId="0" fontId="18" fillId="7" borderId="1" xfId="0" applyFont="1" applyFill="1" applyBorder="1" applyAlignment="1">
      <alignment vertical="center" shrinkToFit="1"/>
    </xf>
    <xf numFmtId="0" fontId="6" fillId="7" borderId="3" xfId="1" applyFill="1" applyBorder="1"/>
    <xf numFmtId="176" fontId="6" fillId="7" borderId="3" xfId="0" applyNumberFormat="1" applyFont="1" applyFill="1" applyBorder="1" applyAlignment="1">
      <alignment horizontal="center" vertical="center"/>
    </xf>
    <xf numFmtId="0" fontId="6" fillId="7" borderId="2" xfId="0" applyFont="1" applyFill="1" applyBorder="1">
      <alignment vertical="center"/>
    </xf>
    <xf numFmtId="183" fontId="0" fillId="7" borderId="1" xfId="0" applyNumberForma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0" fontId="18" fillId="7" borderId="1" xfId="2" applyFont="1" applyFill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8" fillId="7" borderId="1" xfId="0" applyFont="1" applyFill="1" applyBorder="1" applyAlignment="1">
      <alignment vertical="center" wrapText="1"/>
    </xf>
    <xf numFmtId="0" fontId="6" fillId="7" borderId="2" xfId="1" applyFill="1" applyBorder="1" applyAlignment="1">
      <alignment horizontal="left" vertical="center"/>
    </xf>
    <xf numFmtId="38" fontId="18" fillId="7" borderId="1" xfId="0" applyNumberFormat="1" applyFont="1" applyFill="1" applyBorder="1" applyAlignment="1">
      <alignment horizontal="right" vertical="center"/>
    </xf>
    <xf numFmtId="183" fontId="18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35" fillId="7" borderId="0" xfId="0" applyFont="1" applyFill="1">
      <alignment vertical="center"/>
    </xf>
    <xf numFmtId="0" fontId="0" fillId="7" borderId="5" xfId="0" applyFill="1" applyBorder="1" applyAlignment="1">
      <alignment horizontal="right" vertical="center"/>
    </xf>
    <xf numFmtId="0" fontId="0" fillId="7" borderId="1" xfId="0" applyFill="1" applyBorder="1" applyAlignment="1">
      <alignment vertical="center" wrapText="1"/>
    </xf>
    <xf numFmtId="0" fontId="6" fillId="7" borderId="1" xfId="0" applyFont="1" applyFill="1" applyBorder="1" applyAlignment="1">
      <alignment horizontal="right" vertical="center"/>
    </xf>
    <xf numFmtId="176" fontId="18" fillId="0" borderId="1" xfId="0" applyNumberFormat="1" applyFont="1" applyBorder="1">
      <alignment vertical="center"/>
    </xf>
    <xf numFmtId="38" fontId="0" fillId="7" borderId="1" xfId="0" applyNumberFormat="1" applyFill="1" applyBorder="1" applyAlignment="1">
      <alignment horizontal="right" vertical="center"/>
    </xf>
    <xf numFmtId="0" fontId="36" fillId="0" borderId="19" xfId="0" applyFont="1" applyBorder="1" applyAlignment="1">
      <alignment vertical="center" shrinkToFit="1"/>
    </xf>
    <xf numFmtId="38" fontId="15" fillId="7" borderId="1" xfId="2" applyNumberFormat="1" applyFill="1" applyBorder="1" applyAlignment="1">
      <alignment horizontal="center" vertical="center"/>
    </xf>
    <xf numFmtId="181" fontId="0" fillId="7" borderId="1" xfId="0" applyNumberFormat="1" applyFill="1" applyBorder="1" applyAlignment="1">
      <alignment horizontal="center" vertical="center"/>
    </xf>
    <xf numFmtId="38" fontId="1" fillId="7" borderId="2" xfId="0" applyNumberFormat="1" applyFont="1" applyFill="1" applyBorder="1" applyAlignment="1">
      <alignment horizontal="center" vertical="center"/>
    </xf>
    <xf numFmtId="176" fontId="22" fillId="7" borderId="1" xfId="0" applyNumberFormat="1" applyFont="1" applyFill="1" applyBorder="1" applyAlignment="1">
      <alignment horizontal="center" vertical="center"/>
    </xf>
    <xf numFmtId="38" fontId="18" fillId="7" borderId="1" xfId="0" applyNumberFormat="1" applyFont="1" applyFill="1" applyBorder="1" applyAlignment="1">
      <alignment horizontal="center" vertical="center"/>
    </xf>
    <xf numFmtId="38" fontId="18" fillId="7" borderId="9" xfId="0" applyNumberFormat="1" applyFont="1" applyFill="1" applyBorder="1" applyAlignment="1">
      <alignment horizontal="center" vertical="center"/>
    </xf>
    <xf numFmtId="38" fontId="1" fillId="7" borderId="1" xfId="0" applyNumberFormat="1" applyFont="1" applyFill="1" applyBorder="1" applyAlignment="1">
      <alignment horizontal="center" vertical="center"/>
    </xf>
    <xf numFmtId="0" fontId="22" fillId="7" borderId="1" xfId="1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76" fontId="0" fillId="7" borderId="3" xfId="0" applyNumberFormat="1" applyFill="1" applyBorder="1">
      <alignment vertical="center"/>
    </xf>
    <xf numFmtId="176" fontId="0" fillId="7" borderId="1" xfId="0" applyNumberFormat="1" applyFill="1" applyBorder="1">
      <alignment vertical="center"/>
    </xf>
    <xf numFmtId="0" fontId="18" fillId="7" borderId="5" xfId="0" applyFont="1" applyFill="1" applyBorder="1" applyAlignment="1">
      <alignment horizontal="center" vertical="center"/>
    </xf>
    <xf numFmtId="176" fontId="18" fillId="7" borderId="5" xfId="0" applyNumberFormat="1" applyFont="1" applyFill="1" applyBorder="1">
      <alignment vertical="center"/>
    </xf>
    <xf numFmtId="176" fontId="18" fillId="7" borderId="1" xfId="0" applyNumberFormat="1" applyFont="1" applyFill="1" applyBorder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176" fontId="18" fillId="7" borderId="3" xfId="0" applyNumberFormat="1" applyFont="1" applyFill="1" applyBorder="1">
      <alignment vertical="center"/>
    </xf>
    <xf numFmtId="38" fontId="0" fillId="7" borderId="1" xfId="0" applyNumberFormat="1" applyFill="1" applyBorder="1">
      <alignment vertical="center"/>
    </xf>
    <xf numFmtId="176" fontId="6" fillId="7" borderId="1" xfId="0" applyNumberFormat="1" applyFont="1" applyFill="1" applyBorder="1" applyAlignment="1">
      <alignment horizontal="right" vertical="center"/>
    </xf>
    <xf numFmtId="0" fontId="6" fillId="7" borderId="1" xfId="1" applyFill="1" applyBorder="1" applyAlignment="1">
      <alignment horizontal="center" vertical="center"/>
    </xf>
    <xf numFmtId="56" fontId="0" fillId="0" borderId="17" xfId="0" applyNumberFormat="1" applyBorder="1" applyAlignment="1">
      <alignment horizontal="center" vertical="center"/>
    </xf>
    <xf numFmtId="0" fontId="37" fillId="0" borderId="1" xfId="2" applyFont="1" applyBorder="1" applyAlignment="1">
      <alignment horizontal="center" vertical="center"/>
    </xf>
    <xf numFmtId="176" fontId="18" fillId="0" borderId="2" xfId="0" applyNumberFormat="1" applyFont="1" applyBorder="1">
      <alignment vertical="center"/>
    </xf>
    <xf numFmtId="0" fontId="15" fillId="3" borderId="2" xfId="0" applyFont="1" applyFill="1" applyBorder="1">
      <alignment vertical="center"/>
    </xf>
    <xf numFmtId="0" fontId="18" fillId="3" borderId="0" xfId="0" applyFont="1" applyFill="1">
      <alignment vertical="center"/>
    </xf>
    <xf numFmtId="0" fontId="6" fillId="7" borderId="1" xfId="1" applyFill="1" applyBorder="1" applyAlignment="1">
      <alignment horizontal="right" vertical="center"/>
    </xf>
    <xf numFmtId="0" fontId="6" fillId="7" borderId="3" xfId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82" fontId="18" fillId="7" borderId="1" xfId="0" applyNumberFormat="1" applyFont="1" applyFill="1" applyBorder="1" applyAlignment="1">
      <alignment horizontal="center" vertical="center"/>
    </xf>
    <xf numFmtId="38" fontId="0" fillId="7" borderId="5" xfId="0" applyNumberFormat="1" applyFill="1" applyBorder="1">
      <alignment vertical="center"/>
    </xf>
    <xf numFmtId="0" fontId="38" fillId="0" borderId="17" xfId="0" applyFont="1" applyBorder="1" applyAlignment="1">
      <alignment horizontal="center" vertical="center" shrinkToFit="1"/>
    </xf>
    <xf numFmtId="0" fontId="18" fillId="17" borderId="5" xfId="0" applyFont="1" applyFill="1" applyBorder="1" applyAlignment="1">
      <alignment horizontal="left" vertical="center"/>
    </xf>
    <xf numFmtId="0" fontId="39" fillId="0" borderId="17" xfId="0" applyFont="1" applyBorder="1" applyAlignment="1">
      <alignment horizontal="center" vertical="center" shrinkToFit="1"/>
    </xf>
    <xf numFmtId="0" fontId="40" fillId="0" borderId="17" xfId="0" applyFont="1" applyBorder="1" applyAlignment="1">
      <alignment horizontal="center" vertical="center" shrinkToFit="1"/>
    </xf>
    <xf numFmtId="176" fontId="13" fillId="9" borderId="14" xfId="0" applyNumberFormat="1" applyFont="1" applyFill="1" applyBorder="1" applyAlignment="1">
      <alignment horizontal="center" vertical="center"/>
    </xf>
    <xf numFmtId="176" fontId="13" fillId="9" borderId="15" xfId="0" applyNumberFormat="1" applyFont="1" applyFill="1" applyBorder="1" applyAlignment="1">
      <alignment horizontal="center" vertical="center"/>
    </xf>
    <xf numFmtId="176" fontId="13" fillId="9" borderId="16" xfId="0" applyNumberFormat="1" applyFont="1" applyFill="1" applyBorder="1" applyAlignment="1">
      <alignment horizontal="center" vertical="center"/>
    </xf>
    <xf numFmtId="3" fontId="21" fillId="3" borderId="4" xfId="0" applyNumberFormat="1" applyFont="1" applyFill="1" applyBorder="1" applyAlignment="1">
      <alignment horizontal="center" vertical="center"/>
    </xf>
    <xf numFmtId="3" fontId="21" fillId="3" borderId="27" xfId="0" applyNumberFormat="1" applyFont="1" applyFill="1" applyBorder="1" applyAlignment="1">
      <alignment horizontal="center" vertical="center"/>
    </xf>
    <xf numFmtId="3" fontId="21" fillId="3" borderId="12" xfId="0" applyNumberFormat="1" applyFont="1" applyFill="1" applyBorder="1" applyAlignment="1">
      <alignment horizontal="center" vertical="center"/>
    </xf>
    <xf numFmtId="3" fontId="21" fillId="3" borderId="2" xfId="0" applyNumberFormat="1" applyFont="1" applyFill="1" applyBorder="1" applyAlignment="1">
      <alignment horizontal="center" vertical="center"/>
    </xf>
    <xf numFmtId="3" fontId="21" fillId="3" borderId="8" xfId="0" applyNumberFormat="1" applyFont="1" applyFill="1" applyBorder="1" applyAlignment="1">
      <alignment horizontal="center" vertical="center"/>
    </xf>
    <xf numFmtId="3" fontId="21" fillId="3" borderId="9" xfId="0" applyNumberFormat="1" applyFont="1" applyFill="1" applyBorder="1" applyAlignment="1">
      <alignment horizontal="center" vertical="center"/>
    </xf>
    <xf numFmtId="176" fontId="13" fillId="9" borderId="2" xfId="0" applyNumberFormat="1" applyFont="1" applyFill="1" applyBorder="1" applyAlignment="1">
      <alignment horizontal="center" vertical="center"/>
    </xf>
    <xf numFmtId="176" fontId="13" fillId="9" borderId="8" xfId="0" applyNumberFormat="1" applyFont="1" applyFill="1" applyBorder="1" applyAlignment="1">
      <alignment horizontal="center" vertical="center"/>
    </xf>
    <xf numFmtId="176" fontId="13" fillId="9" borderId="9" xfId="0" applyNumberFormat="1" applyFont="1" applyFill="1" applyBorder="1" applyAlignment="1">
      <alignment horizontal="center" vertical="center"/>
    </xf>
    <xf numFmtId="3" fontId="21" fillId="10" borderId="2" xfId="0" applyNumberFormat="1" applyFont="1" applyFill="1" applyBorder="1" applyAlignment="1">
      <alignment horizontal="center" vertical="center"/>
    </xf>
    <xf numFmtId="3" fontId="21" fillId="10" borderId="8" xfId="0" applyNumberFormat="1" applyFont="1" applyFill="1" applyBorder="1" applyAlignment="1">
      <alignment horizontal="center" vertical="center"/>
    </xf>
    <xf numFmtId="3" fontId="21" fillId="10" borderId="9" xfId="0" applyNumberFormat="1" applyFont="1" applyFill="1" applyBorder="1" applyAlignment="1">
      <alignment horizontal="center" vertical="center"/>
    </xf>
    <xf numFmtId="0" fontId="20" fillId="3" borderId="2" xfId="1" applyFont="1" applyFill="1" applyBorder="1" applyAlignment="1">
      <alignment horizontal="center" vertical="center"/>
    </xf>
    <xf numFmtId="0" fontId="20" fillId="3" borderId="8" xfId="1" applyFont="1" applyFill="1" applyBorder="1" applyAlignment="1">
      <alignment horizontal="center" vertical="center"/>
    </xf>
    <xf numFmtId="0" fontId="20" fillId="3" borderId="9" xfId="1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176" fontId="13" fillId="9" borderId="22" xfId="0" applyNumberFormat="1" applyFont="1" applyFill="1" applyBorder="1" applyAlignment="1">
      <alignment horizontal="center" vertical="center"/>
    </xf>
    <xf numFmtId="176" fontId="13" fillId="9" borderId="20" xfId="0" applyNumberFormat="1" applyFont="1" applyFill="1" applyBorder="1" applyAlignment="1">
      <alignment horizontal="center" vertical="center"/>
    </xf>
    <xf numFmtId="176" fontId="13" fillId="9" borderId="26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38" fontId="11" fillId="5" borderId="10" xfId="0" applyNumberFormat="1" applyFont="1" applyFill="1" applyBorder="1" applyAlignment="1">
      <alignment horizontal="left" vertical="center" shrinkToFit="1"/>
    </xf>
    <xf numFmtId="38" fontId="11" fillId="5" borderId="11" xfId="0" applyNumberFormat="1" applyFont="1" applyFill="1" applyBorder="1" applyAlignment="1">
      <alignment horizontal="left" vertical="center" shrinkToFit="1"/>
    </xf>
    <xf numFmtId="38" fontId="11" fillId="5" borderId="4" xfId="0" applyNumberFormat="1" applyFont="1" applyFill="1" applyBorder="1" applyAlignment="1">
      <alignment horizontal="left" vertical="center" shrinkToFit="1"/>
    </xf>
    <xf numFmtId="38" fontId="11" fillId="5" borderId="12" xfId="0" applyNumberFormat="1" applyFont="1" applyFill="1" applyBorder="1" applyAlignment="1">
      <alignment horizontal="left" vertical="center" shrinkToFit="1"/>
    </xf>
    <xf numFmtId="0" fontId="14" fillId="10" borderId="1" xfId="0" applyFont="1" applyFill="1" applyBorder="1" applyAlignment="1">
      <alignment horizontal="center" vertical="center"/>
    </xf>
  </cellXfs>
  <cellStyles count="3"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D3F0-22A1-41E2-8850-7E5B5D296BBA}">
  <sheetPr>
    <tabColor rgb="FF0070C0"/>
  </sheetPr>
  <dimension ref="A2:U349"/>
  <sheetViews>
    <sheetView tabSelected="1" zoomScale="78" zoomScaleNormal="78" workbookViewId="0">
      <pane xSplit="14" ySplit="9" topLeftCell="P323" activePane="bottomRight" state="frozen"/>
      <selection pane="topRight" activeCell="K1" sqref="K1"/>
      <selection pane="bottomLeft" activeCell="A9" sqref="A9"/>
      <selection pane="bottomRight" activeCell="U317" sqref="U317:U333"/>
    </sheetView>
  </sheetViews>
  <sheetFormatPr defaultRowHeight="13.5" x14ac:dyDescent="0.15"/>
  <cols>
    <col min="2" max="2" width="5.875" customWidth="1"/>
    <col min="3" max="3" width="12.625" customWidth="1"/>
    <col min="4" max="4" width="4.5" customWidth="1"/>
    <col min="5" max="5" width="9" customWidth="1"/>
    <col min="6" max="6" width="13.25" style="3" customWidth="1"/>
    <col min="7" max="7" width="14.375" bestFit="1" customWidth="1"/>
    <col min="8" max="8" width="13.125" bestFit="1" customWidth="1"/>
    <col min="9" max="9" width="57.125" customWidth="1"/>
    <col min="10" max="10" width="6.25" style="3" customWidth="1"/>
    <col min="11" max="12" width="9.875" style="8" bestFit="1" customWidth="1"/>
    <col min="13" max="13" width="5.75" style="8" customWidth="1"/>
    <col min="14" max="14" width="36.5" customWidth="1"/>
    <col min="15" max="15" width="23.875" customWidth="1"/>
    <col min="16" max="16" width="20.375" style="3" customWidth="1"/>
    <col min="17" max="17" width="13.75" style="10" customWidth="1"/>
    <col min="18" max="18" width="6.375" customWidth="1"/>
    <col min="19" max="19" width="13.25" style="8" customWidth="1"/>
    <col min="20" max="20" width="14.5" style="12" customWidth="1"/>
    <col min="21" max="21" width="15.625" style="13" customWidth="1"/>
  </cols>
  <sheetData>
    <row r="2" spans="1:21" ht="20.100000000000001" customHeight="1" x14ac:dyDescent="0.15">
      <c r="F2" s="317" t="s">
        <v>11</v>
      </c>
      <c r="G2" s="317"/>
      <c r="H2" s="317"/>
      <c r="I2" s="9" t="s">
        <v>243</v>
      </c>
      <c r="K2" s="318" t="s">
        <v>15</v>
      </c>
      <c r="L2" s="319"/>
      <c r="M2" s="320"/>
      <c r="N2" s="7">
        <f>SUM(L:L)</f>
        <v>954797</v>
      </c>
    </row>
    <row r="3" spans="1:21" ht="20.100000000000001" customHeight="1" x14ac:dyDescent="0.15">
      <c r="F3" s="317" t="s">
        <v>10</v>
      </c>
      <c r="G3" s="317"/>
      <c r="H3" s="317"/>
      <c r="I3" s="5" t="s">
        <v>23</v>
      </c>
    </row>
    <row r="4" spans="1:21" ht="20.100000000000001" customHeight="1" x14ac:dyDescent="0.15">
      <c r="F4" s="317" t="s">
        <v>12</v>
      </c>
      <c r="G4" s="317"/>
      <c r="H4" s="317"/>
      <c r="I4" s="32" t="s">
        <v>244</v>
      </c>
      <c r="L4" s="33"/>
      <c r="N4" s="321" t="s">
        <v>245</v>
      </c>
      <c r="O4" s="322"/>
    </row>
    <row r="5" spans="1:21" ht="20.100000000000001" customHeight="1" x14ac:dyDescent="0.15">
      <c r="F5" s="317" t="s">
        <v>13</v>
      </c>
      <c r="G5" s="317"/>
      <c r="H5" s="317"/>
      <c r="I5" s="6">
        <v>45901</v>
      </c>
      <c r="K5" s="325" t="s">
        <v>560</v>
      </c>
      <c r="L5" s="325"/>
      <c r="N5" s="323"/>
      <c r="O5" s="324"/>
    </row>
    <row r="6" spans="1:21" ht="20.100000000000001" customHeight="1" x14ac:dyDescent="0.15">
      <c r="F6" s="317" t="s">
        <v>14</v>
      </c>
      <c r="G6" s="317"/>
      <c r="H6" s="317"/>
      <c r="I6" s="6">
        <v>45902</v>
      </c>
      <c r="K6" s="325"/>
      <c r="L6" s="325"/>
      <c r="N6" s="15"/>
      <c r="O6" s="20"/>
    </row>
    <row r="7" spans="1:21" ht="20.100000000000001" customHeight="1" x14ac:dyDescent="0.15">
      <c r="F7" s="17"/>
      <c r="G7" s="17"/>
      <c r="H7" s="17"/>
      <c r="I7" s="16"/>
      <c r="N7" s="15"/>
      <c r="O7" s="20"/>
      <c r="P7" s="18"/>
    </row>
    <row r="9" spans="1:21" s="3" customFormat="1" ht="19.7" customHeight="1" x14ac:dyDescent="0.15">
      <c r="B9" s="1"/>
      <c r="C9" s="168" t="s">
        <v>356</v>
      </c>
      <c r="E9" s="1" t="s">
        <v>22</v>
      </c>
      <c r="F9" s="4" t="s">
        <v>4</v>
      </c>
      <c r="G9" s="4" t="s">
        <v>9</v>
      </c>
      <c r="H9" s="4" t="s">
        <v>5</v>
      </c>
      <c r="I9" s="1" t="s">
        <v>8</v>
      </c>
      <c r="J9" s="1" t="s">
        <v>0</v>
      </c>
      <c r="K9" s="27" t="s">
        <v>1</v>
      </c>
      <c r="L9" s="34" t="s">
        <v>2</v>
      </c>
      <c r="M9" s="2" t="s">
        <v>18</v>
      </c>
      <c r="N9" s="1" t="s">
        <v>3</v>
      </c>
      <c r="O9" s="1" t="s">
        <v>17</v>
      </c>
      <c r="P9" s="1" t="s">
        <v>16</v>
      </c>
      <c r="Q9" s="11" t="s">
        <v>6</v>
      </c>
      <c r="R9" s="4" t="s">
        <v>19</v>
      </c>
      <c r="S9" s="1" t="s">
        <v>7</v>
      </c>
      <c r="T9" s="11" t="s">
        <v>20</v>
      </c>
      <c r="U9" s="14" t="s">
        <v>21</v>
      </c>
    </row>
    <row r="10" spans="1:21" s="3" customFormat="1" ht="19.7" customHeight="1" x14ac:dyDescent="0.15">
      <c r="D10" s="31"/>
      <c r="E10" s="1"/>
      <c r="F10" s="4"/>
      <c r="G10" s="4"/>
      <c r="H10" s="4"/>
      <c r="I10" s="25"/>
      <c r="J10" s="1"/>
      <c r="K10" s="21"/>
      <c r="L10" s="35"/>
      <c r="M10" s="2"/>
      <c r="N10" s="24"/>
      <c r="O10" s="22"/>
      <c r="P10" s="4"/>
      <c r="Q10" s="11"/>
      <c r="R10" s="4"/>
      <c r="S10" s="19"/>
      <c r="T10" s="19"/>
      <c r="U10" s="14"/>
    </row>
    <row r="11" spans="1:21" s="3" customFormat="1" ht="19.5" customHeight="1" x14ac:dyDescent="0.15">
      <c r="E11" s="50"/>
      <c r="F11" s="84"/>
      <c r="G11" s="43"/>
      <c r="H11" s="43"/>
      <c r="I11" s="46"/>
      <c r="J11" s="44"/>
      <c r="K11" s="82"/>
      <c r="L11" s="43"/>
      <c r="M11" s="44"/>
      <c r="N11" s="47"/>
      <c r="O11" s="44"/>
      <c r="P11" s="44"/>
      <c r="Q11" s="11"/>
      <c r="R11" s="80"/>
      <c r="S11" s="38"/>
      <c r="T11" s="39"/>
      <c r="U11" s="41"/>
    </row>
    <row r="12" spans="1:21" s="3" customFormat="1" ht="19.5" customHeight="1" x14ac:dyDescent="0.15">
      <c r="E12" s="57"/>
      <c r="F12" s="311" t="s">
        <v>228</v>
      </c>
      <c r="G12" s="312"/>
      <c r="H12" s="312"/>
      <c r="I12" s="313"/>
      <c r="J12" s="44"/>
      <c r="K12" s="82"/>
      <c r="L12" s="43"/>
      <c r="M12" s="44"/>
      <c r="N12" s="47"/>
      <c r="O12" s="44"/>
      <c r="P12" s="44"/>
      <c r="Q12" s="11"/>
      <c r="R12" s="80"/>
      <c r="S12" s="38"/>
      <c r="T12" s="39"/>
      <c r="U12" s="41"/>
    </row>
    <row r="13" spans="1:21" s="3" customFormat="1" ht="19.5" customHeight="1" x14ac:dyDescent="0.15">
      <c r="A13" s="193" t="s">
        <v>39</v>
      </c>
      <c r="B13" s="1"/>
      <c r="C13" s="1"/>
      <c r="D13" s="49"/>
      <c r="E13" s="50"/>
      <c r="F13" s="140">
        <v>1</v>
      </c>
      <c r="G13" s="69" t="s">
        <v>41</v>
      </c>
      <c r="H13" s="4" t="s">
        <v>25</v>
      </c>
      <c r="I13" s="196" t="s">
        <v>234</v>
      </c>
      <c r="J13" s="190">
        <v>4</v>
      </c>
      <c r="K13" s="259">
        <v>2212</v>
      </c>
      <c r="L13" s="153">
        <f t="shared" ref="L13:L26" si="0">J13*K13</f>
        <v>8848</v>
      </c>
      <c r="M13" s="44"/>
      <c r="N13" s="47" t="s">
        <v>229</v>
      </c>
      <c r="O13" s="44"/>
      <c r="P13" s="280" t="s">
        <v>563</v>
      </c>
      <c r="Q13" s="11">
        <v>45876</v>
      </c>
      <c r="R13" s="80"/>
      <c r="S13" s="279">
        <v>45901</v>
      </c>
      <c r="T13" s="39">
        <v>45902</v>
      </c>
      <c r="U13" s="45">
        <v>45902</v>
      </c>
    </row>
    <row r="14" spans="1:21" s="3" customFormat="1" ht="19.5" customHeight="1" x14ac:dyDescent="0.15">
      <c r="A14" s="193" t="s">
        <v>39</v>
      </c>
      <c r="B14" s="1"/>
      <c r="C14" s="1"/>
      <c r="D14" s="49"/>
      <c r="E14" s="50"/>
      <c r="F14" s="134">
        <f t="shared" ref="F14:F23" si="1">F13+1</f>
        <v>2</v>
      </c>
      <c r="G14" s="69" t="s">
        <v>41</v>
      </c>
      <c r="H14" s="4" t="s">
        <v>25</v>
      </c>
      <c r="I14" s="196" t="s">
        <v>235</v>
      </c>
      <c r="J14" s="190">
        <v>4</v>
      </c>
      <c r="K14" s="259">
        <v>2424</v>
      </c>
      <c r="L14" s="153">
        <f t="shared" si="0"/>
        <v>9696</v>
      </c>
      <c r="M14" s="44"/>
      <c r="N14" s="47" t="s">
        <v>230</v>
      </c>
      <c r="O14" s="44"/>
      <c r="P14" s="280" t="s">
        <v>563</v>
      </c>
      <c r="Q14" s="11">
        <v>45876</v>
      </c>
      <c r="R14" s="80"/>
      <c r="S14" s="279">
        <v>45901</v>
      </c>
      <c r="T14" s="39">
        <v>45902</v>
      </c>
      <c r="U14" s="45">
        <v>45902</v>
      </c>
    </row>
    <row r="15" spans="1:21" s="3" customFormat="1" ht="19.5" customHeight="1" x14ac:dyDescent="0.15">
      <c r="A15" s="193" t="s">
        <v>39</v>
      </c>
      <c r="B15" s="1"/>
      <c r="C15" s="1"/>
      <c r="D15" s="49"/>
      <c r="E15" s="50"/>
      <c r="F15" s="134">
        <f t="shared" si="1"/>
        <v>3</v>
      </c>
      <c r="G15" s="69" t="s">
        <v>41</v>
      </c>
      <c r="H15" s="4" t="s">
        <v>25</v>
      </c>
      <c r="I15" s="196" t="s">
        <v>237</v>
      </c>
      <c r="J15" s="190">
        <v>4</v>
      </c>
      <c r="K15" s="259">
        <v>2446</v>
      </c>
      <c r="L15" s="153">
        <f t="shared" si="0"/>
        <v>9784</v>
      </c>
      <c r="M15" s="44"/>
      <c r="N15" s="47" t="s">
        <v>231</v>
      </c>
      <c r="O15" s="44"/>
      <c r="P15" s="280" t="s">
        <v>563</v>
      </c>
      <c r="Q15" s="11">
        <v>45876</v>
      </c>
      <c r="R15" s="80"/>
      <c r="S15" s="279">
        <v>45901</v>
      </c>
      <c r="T15" s="39">
        <v>45902</v>
      </c>
      <c r="U15" s="45">
        <v>45902</v>
      </c>
    </row>
    <row r="16" spans="1:21" s="3" customFormat="1" ht="19.5" customHeight="1" x14ac:dyDescent="0.15">
      <c r="A16" s="197" t="s">
        <v>115</v>
      </c>
      <c r="B16" s="1"/>
      <c r="C16" s="1"/>
      <c r="D16" s="49"/>
      <c r="E16" s="50"/>
      <c r="F16" s="134">
        <f t="shared" si="1"/>
        <v>4</v>
      </c>
      <c r="G16" s="69" t="s">
        <v>41</v>
      </c>
      <c r="H16" s="4" t="s">
        <v>25</v>
      </c>
      <c r="I16" s="196" t="s">
        <v>238</v>
      </c>
      <c r="J16" s="190">
        <v>4</v>
      </c>
      <c r="K16" s="259">
        <v>8003</v>
      </c>
      <c r="L16" s="153">
        <f t="shared" si="0"/>
        <v>32012</v>
      </c>
      <c r="M16" s="44"/>
      <c r="N16" s="47" t="s">
        <v>232</v>
      </c>
      <c r="O16" s="44"/>
      <c r="P16" s="280" t="s">
        <v>563</v>
      </c>
      <c r="Q16" s="11">
        <v>45876</v>
      </c>
      <c r="R16" s="80"/>
      <c r="S16" s="279">
        <v>45901</v>
      </c>
      <c r="T16" s="39">
        <v>45902</v>
      </c>
      <c r="U16" s="45">
        <v>45902</v>
      </c>
    </row>
    <row r="17" spans="1:21" s="3" customFormat="1" ht="19.5" customHeight="1" x14ac:dyDescent="0.15">
      <c r="A17" s="193" t="s">
        <v>39</v>
      </c>
      <c r="B17" s="1"/>
      <c r="C17" s="1"/>
      <c r="D17" s="49"/>
      <c r="E17" s="50"/>
      <c r="F17" s="134">
        <f t="shared" si="1"/>
        <v>5</v>
      </c>
      <c r="G17" s="69" t="s">
        <v>41</v>
      </c>
      <c r="H17" s="4" t="s">
        <v>25</v>
      </c>
      <c r="I17" s="196" t="s">
        <v>236</v>
      </c>
      <c r="J17" s="190">
        <v>2</v>
      </c>
      <c r="K17" s="259">
        <v>3369</v>
      </c>
      <c r="L17" s="153">
        <f t="shared" si="0"/>
        <v>6738</v>
      </c>
      <c r="M17" s="44"/>
      <c r="N17" s="47" t="s">
        <v>233</v>
      </c>
      <c r="O17" s="44"/>
      <c r="P17" s="280" t="s">
        <v>563</v>
      </c>
      <c r="Q17" s="11">
        <v>45876</v>
      </c>
      <c r="R17" s="80"/>
      <c r="S17" s="279">
        <v>45901</v>
      </c>
      <c r="T17" s="39">
        <v>45902</v>
      </c>
      <c r="U17" s="45">
        <v>45902</v>
      </c>
    </row>
    <row r="18" spans="1:21" s="3" customFormat="1" ht="19.5" customHeight="1" x14ac:dyDescent="0.15">
      <c r="A18" s="193" t="s">
        <v>30</v>
      </c>
      <c r="B18" s="1"/>
      <c r="C18" s="1"/>
      <c r="D18" s="49"/>
      <c r="E18" s="50"/>
      <c r="F18" s="134">
        <f>F17+1</f>
        <v>6</v>
      </c>
      <c r="G18" s="4" t="s">
        <v>25</v>
      </c>
      <c r="H18" s="4" t="s">
        <v>25</v>
      </c>
      <c r="I18" s="195" t="s">
        <v>125</v>
      </c>
      <c r="J18" s="191">
        <v>38</v>
      </c>
      <c r="K18" s="153">
        <v>14</v>
      </c>
      <c r="L18" s="153">
        <f t="shared" si="0"/>
        <v>532</v>
      </c>
      <c r="M18" s="67"/>
      <c r="N18" s="133" t="s">
        <v>526</v>
      </c>
      <c r="O18" s="44"/>
      <c r="P18" s="280" t="s">
        <v>563</v>
      </c>
      <c r="Q18" s="11">
        <v>45876</v>
      </c>
      <c r="R18" s="80"/>
      <c r="S18" s="279">
        <v>45901</v>
      </c>
      <c r="T18" s="39">
        <v>45902</v>
      </c>
      <c r="U18" s="45">
        <v>45902</v>
      </c>
    </row>
    <row r="19" spans="1:21" s="3" customFormat="1" ht="19.5" customHeight="1" x14ac:dyDescent="0.15">
      <c r="A19" s="193" t="s">
        <v>30</v>
      </c>
      <c r="B19" s="1"/>
      <c r="C19" s="1"/>
      <c r="D19" s="49"/>
      <c r="E19" s="50"/>
      <c r="F19" s="134">
        <f t="shared" si="1"/>
        <v>7</v>
      </c>
      <c r="G19" s="4" t="s">
        <v>25</v>
      </c>
      <c r="H19" s="4" t="s">
        <v>25</v>
      </c>
      <c r="I19" s="192" t="s">
        <v>293</v>
      </c>
      <c r="J19" s="191">
        <v>2</v>
      </c>
      <c r="K19" s="153">
        <v>266</v>
      </c>
      <c r="L19" s="153">
        <f t="shared" si="0"/>
        <v>532</v>
      </c>
      <c r="M19" s="67"/>
      <c r="N19" s="52" t="s">
        <v>299</v>
      </c>
      <c r="O19" s="44"/>
      <c r="P19" s="280" t="s">
        <v>563</v>
      </c>
      <c r="Q19" s="11">
        <v>45876</v>
      </c>
      <c r="R19" s="80"/>
      <c r="S19" s="279">
        <v>45901</v>
      </c>
      <c r="T19" s="39">
        <v>45902</v>
      </c>
      <c r="U19" s="45">
        <v>45902</v>
      </c>
    </row>
    <row r="20" spans="1:21" s="3" customFormat="1" ht="19.5" customHeight="1" x14ac:dyDescent="0.15">
      <c r="A20" s="193" t="s">
        <v>30</v>
      </c>
      <c r="B20" s="1"/>
      <c r="C20" s="1"/>
      <c r="D20" s="49"/>
      <c r="E20" s="50"/>
      <c r="F20" s="134">
        <f t="shared" si="1"/>
        <v>8</v>
      </c>
      <c r="G20" s="4" t="s">
        <v>25</v>
      </c>
      <c r="H20" s="4" t="s">
        <v>25</v>
      </c>
      <c r="I20" s="192" t="s">
        <v>294</v>
      </c>
      <c r="J20" s="191">
        <v>4</v>
      </c>
      <c r="K20" s="153">
        <v>46</v>
      </c>
      <c r="L20" s="153">
        <f t="shared" si="0"/>
        <v>184</v>
      </c>
      <c r="M20" s="67"/>
      <c r="N20" s="52" t="s">
        <v>300</v>
      </c>
      <c r="O20" s="44"/>
      <c r="P20" s="280" t="s">
        <v>563</v>
      </c>
      <c r="Q20" s="11">
        <v>45876</v>
      </c>
      <c r="R20" s="80"/>
      <c r="S20" s="279">
        <v>45901</v>
      </c>
      <c r="T20" s="39">
        <v>45902</v>
      </c>
      <c r="U20" s="45">
        <v>45902</v>
      </c>
    </row>
    <row r="21" spans="1:21" s="3" customFormat="1" ht="19.5" customHeight="1" x14ac:dyDescent="0.15">
      <c r="A21" s="193" t="s">
        <v>30</v>
      </c>
      <c r="B21" s="1"/>
      <c r="C21" s="1"/>
      <c r="D21" s="49"/>
      <c r="E21" s="50"/>
      <c r="F21" s="134">
        <f t="shared" si="1"/>
        <v>9</v>
      </c>
      <c r="G21" s="4" t="s">
        <v>25</v>
      </c>
      <c r="H21" s="4" t="s">
        <v>25</v>
      </c>
      <c r="I21" s="192" t="s">
        <v>295</v>
      </c>
      <c r="J21" s="191">
        <v>22</v>
      </c>
      <c r="K21" s="153">
        <v>15</v>
      </c>
      <c r="L21" s="153">
        <f t="shared" si="0"/>
        <v>330</v>
      </c>
      <c r="M21" s="67"/>
      <c r="N21" s="52" t="s">
        <v>296</v>
      </c>
      <c r="O21" s="44"/>
      <c r="P21" s="280" t="s">
        <v>563</v>
      </c>
      <c r="Q21" s="11">
        <v>45876</v>
      </c>
      <c r="R21" s="80"/>
      <c r="S21" s="279">
        <v>45901</v>
      </c>
      <c r="T21" s="39">
        <v>45902</v>
      </c>
      <c r="U21" s="45">
        <v>45902</v>
      </c>
    </row>
    <row r="22" spans="1:21" s="3" customFormat="1" ht="19.5" customHeight="1" x14ac:dyDescent="0.15">
      <c r="A22" s="193" t="s">
        <v>30</v>
      </c>
      <c r="B22" s="1"/>
      <c r="C22" s="1"/>
      <c r="D22" s="49"/>
      <c r="E22" s="50"/>
      <c r="F22" s="134">
        <f t="shared" si="1"/>
        <v>10</v>
      </c>
      <c r="G22" s="4" t="s">
        <v>25</v>
      </c>
      <c r="H22" s="4" t="s">
        <v>25</v>
      </c>
      <c r="I22" s="192" t="s">
        <v>297</v>
      </c>
      <c r="J22" s="191">
        <v>14</v>
      </c>
      <c r="K22" s="153">
        <v>91</v>
      </c>
      <c r="L22" s="153">
        <f t="shared" si="0"/>
        <v>1274</v>
      </c>
      <c r="M22" s="67"/>
      <c r="N22" s="52" t="s">
        <v>283</v>
      </c>
      <c r="O22" s="44"/>
      <c r="P22" s="280" t="s">
        <v>563</v>
      </c>
      <c r="Q22" s="11">
        <v>45876</v>
      </c>
      <c r="R22" s="80"/>
      <c r="S22" s="279">
        <v>45901</v>
      </c>
      <c r="T22" s="39">
        <v>45902</v>
      </c>
      <c r="U22" s="45">
        <v>45902</v>
      </c>
    </row>
    <row r="23" spans="1:21" s="3" customFormat="1" ht="19.5" customHeight="1" x14ac:dyDescent="0.15">
      <c r="A23" s="193" t="s">
        <v>30</v>
      </c>
      <c r="B23" s="1"/>
      <c r="C23" s="1"/>
      <c r="D23" s="49"/>
      <c r="E23" s="50"/>
      <c r="F23" s="134">
        <f t="shared" si="1"/>
        <v>11</v>
      </c>
      <c r="G23" s="4" t="s">
        <v>25</v>
      </c>
      <c r="H23" s="4" t="s">
        <v>25</v>
      </c>
      <c r="I23" s="192" t="s">
        <v>298</v>
      </c>
      <c r="J23" s="191">
        <v>8</v>
      </c>
      <c r="K23" s="153">
        <v>76</v>
      </c>
      <c r="L23" s="153">
        <f t="shared" si="0"/>
        <v>608</v>
      </c>
      <c r="M23" s="67"/>
      <c r="N23" s="52" t="s">
        <v>301</v>
      </c>
      <c r="O23" s="44"/>
      <c r="P23" s="280" t="s">
        <v>563</v>
      </c>
      <c r="Q23" s="11">
        <v>45876</v>
      </c>
      <c r="R23" s="80"/>
      <c r="S23" s="279">
        <v>45901</v>
      </c>
      <c r="T23" s="39">
        <v>45902</v>
      </c>
      <c r="U23" s="45">
        <v>45902</v>
      </c>
    </row>
    <row r="24" spans="1:21" s="3" customFormat="1" ht="19.5" customHeight="1" x14ac:dyDescent="0.15">
      <c r="A24" s="193" t="s">
        <v>30</v>
      </c>
      <c r="B24" s="1"/>
      <c r="C24" s="1"/>
      <c r="D24" s="49"/>
      <c r="E24" s="142">
        <v>5</v>
      </c>
      <c r="F24" s="89">
        <f t="shared" ref="F24:F25" si="2">+F23+1</f>
        <v>12</v>
      </c>
      <c r="G24" s="4" t="s">
        <v>25</v>
      </c>
      <c r="H24" s="4" t="s">
        <v>25</v>
      </c>
      <c r="I24" s="194" t="s">
        <v>31</v>
      </c>
      <c r="J24" s="193">
        <v>4</v>
      </c>
      <c r="K24" s="260">
        <v>71</v>
      </c>
      <c r="L24" s="261">
        <f t="shared" si="0"/>
        <v>284</v>
      </c>
      <c r="M24" s="2"/>
      <c r="N24" s="62" t="s">
        <v>529</v>
      </c>
      <c r="O24" s="44"/>
      <c r="P24" s="280" t="s">
        <v>563</v>
      </c>
      <c r="Q24" s="11">
        <v>45876</v>
      </c>
      <c r="R24" s="80"/>
      <c r="S24" s="279">
        <v>45901</v>
      </c>
      <c r="T24" s="39">
        <v>45902</v>
      </c>
      <c r="U24" s="45">
        <v>45902</v>
      </c>
    </row>
    <row r="25" spans="1:21" s="3" customFormat="1" ht="19.5" customHeight="1" x14ac:dyDescent="0.15">
      <c r="A25" s="193" t="s">
        <v>30</v>
      </c>
      <c r="B25" s="1"/>
      <c r="C25" s="1"/>
      <c r="D25" s="49"/>
      <c r="E25" s="142">
        <v>5</v>
      </c>
      <c r="F25" s="89">
        <f t="shared" si="2"/>
        <v>13</v>
      </c>
      <c r="G25" s="4" t="s">
        <v>25</v>
      </c>
      <c r="H25" s="4" t="s">
        <v>25</v>
      </c>
      <c r="I25" s="194" t="s">
        <v>38</v>
      </c>
      <c r="J25" s="193">
        <v>4</v>
      </c>
      <c r="K25" s="260">
        <v>30</v>
      </c>
      <c r="L25" s="261">
        <f t="shared" si="0"/>
        <v>120</v>
      </c>
      <c r="M25" s="2"/>
      <c r="N25" s="62" t="s">
        <v>530</v>
      </c>
      <c r="O25" s="44"/>
      <c r="P25" s="280" t="s">
        <v>563</v>
      </c>
      <c r="Q25" s="11">
        <v>45876</v>
      </c>
      <c r="R25" s="80"/>
      <c r="S25" s="279">
        <v>45901</v>
      </c>
      <c r="T25" s="39">
        <v>45902</v>
      </c>
      <c r="U25" s="45">
        <v>45902</v>
      </c>
    </row>
    <row r="26" spans="1:21" s="3" customFormat="1" ht="19.5" customHeight="1" x14ac:dyDescent="0.15">
      <c r="A26" s="197" t="s">
        <v>115</v>
      </c>
      <c r="B26" s="121"/>
      <c r="C26" s="121"/>
      <c r="D26" s="132"/>
      <c r="E26" s="57">
        <v>2</v>
      </c>
      <c r="F26" s="134">
        <f>F25+1</f>
        <v>14</v>
      </c>
      <c r="G26" s="69" t="s">
        <v>41</v>
      </c>
      <c r="H26" s="4" t="s">
        <v>25</v>
      </c>
      <c r="I26" s="192" t="s">
        <v>528</v>
      </c>
      <c r="J26" s="191">
        <v>1</v>
      </c>
      <c r="K26" s="153">
        <v>7150</v>
      </c>
      <c r="L26" s="153">
        <f t="shared" si="0"/>
        <v>7150</v>
      </c>
      <c r="M26" s="67"/>
      <c r="N26" s="52" t="s">
        <v>527</v>
      </c>
      <c r="O26" s="44"/>
      <c r="P26" s="280" t="s">
        <v>563</v>
      </c>
      <c r="Q26" s="11">
        <v>45876</v>
      </c>
      <c r="R26" s="80"/>
      <c r="S26" s="279">
        <v>45901</v>
      </c>
      <c r="T26" s="39">
        <v>45902</v>
      </c>
      <c r="U26" s="45">
        <v>45902</v>
      </c>
    </row>
    <row r="27" spans="1:21" s="3" customFormat="1" ht="19.5" customHeight="1" x14ac:dyDescent="0.15">
      <c r="A27" s="160"/>
      <c r="B27" s="160"/>
      <c r="C27" s="160"/>
      <c r="D27" s="160"/>
      <c r="E27" s="50"/>
      <c r="F27" s="114"/>
      <c r="G27" s="4"/>
      <c r="H27" s="4"/>
      <c r="I27" s="186"/>
      <c r="J27" s="187"/>
      <c r="K27" s="188"/>
      <c r="L27" s="189"/>
      <c r="M27" s="67"/>
      <c r="N27" s="52"/>
      <c r="O27" s="44"/>
      <c r="P27" s="44"/>
      <c r="Q27" s="11"/>
      <c r="R27" s="80"/>
      <c r="S27" s="38"/>
      <c r="T27" s="39"/>
      <c r="U27" s="41"/>
    </row>
    <row r="28" spans="1:21" s="3" customFormat="1" ht="19.5" customHeight="1" x14ac:dyDescent="0.15">
      <c r="E28" s="50"/>
      <c r="F28" s="84"/>
      <c r="G28" s="43"/>
      <c r="H28" s="43"/>
      <c r="I28" s="146"/>
      <c r="J28" s="147"/>
      <c r="K28" s="144"/>
      <c r="L28" s="145"/>
      <c r="M28" s="44"/>
      <c r="N28" s="47"/>
      <c r="O28" s="44"/>
      <c r="P28" s="44"/>
      <c r="Q28" s="11"/>
      <c r="R28" s="80"/>
      <c r="S28" s="38"/>
      <c r="T28" s="39"/>
      <c r="U28" s="41"/>
    </row>
    <row r="29" spans="1:21" s="3" customFormat="1" ht="19.5" customHeight="1" x14ac:dyDescent="0.15">
      <c r="E29" s="50"/>
      <c r="F29" s="84"/>
      <c r="G29" s="43"/>
      <c r="H29" s="43"/>
      <c r="I29" s="302">
        <f>SUM(L13:L27)</f>
        <v>78092</v>
      </c>
      <c r="J29" s="303"/>
      <c r="K29" s="303"/>
      <c r="L29" s="304"/>
      <c r="M29" s="44"/>
      <c r="N29" s="47"/>
      <c r="O29" s="44"/>
      <c r="P29" s="44"/>
      <c r="Q29" s="11"/>
      <c r="R29" s="80"/>
      <c r="S29" s="38"/>
      <c r="T29" s="39"/>
      <c r="U29" s="41"/>
    </row>
    <row r="30" spans="1:21" s="3" customFormat="1" ht="19.5" customHeight="1" x14ac:dyDescent="0.15">
      <c r="E30" s="50"/>
      <c r="F30" s="84"/>
      <c r="G30" s="43"/>
      <c r="H30" s="43"/>
      <c r="I30" s="46"/>
      <c r="J30" s="44"/>
      <c r="K30" s="82"/>
      <c r="L30" s="43"/>
      <c r="M30" s="44"/>
      <c r="N30" s="47"/>
      <c r="O30" s="44"/>
      <c r="P30" s="44"/>
      <c r="Q30" s="11"/>
      <c r="R30" s="80"/>
      <c r="S30" s="38"/>
      <c r="T30" s="39"/>
      <c r="U30" s="41"/>
    </row>
    <row r="31" spans="1:21" s="3" customFormat="1" ht="19.5" customHeight="1" x14ac:dyDescent="0.15">
      <c r="E31" s="50"/>
      <c r="F31" s="84"/>
      <c r="G31" s="43"/>
      <c r="H31" s="43"/>
      <c r="I31" s="46"/>
      <c r="J31" s="44"/>
      <c r="K31" s="82"/>
      <c r="L31" s="43"/>
      <c r="M31" s="44"/>
      <c r="N31" s="47"/>
      <c r="O31" s="44"/>
      <c r="P31" s="44"/>
      <c r="Q31" s="11"/>
      <c r="R31" s="80"/>
      <c r="S31" s="38"/>
      <c r="T31" s="39"/>
      <c r="U31" s="41"/>
    </row>
    <row r="32" spans="1:21" s="3" customFormat="1" ht="19.5" customHeight="1" x14ac:dyDescent="0.15">
      <c r="E32" s="50"/>
      <c r="F32" s="84"/>
      <c r="G32" s="43"/>
      <c r="H32" s="43"/>
      <c r="I32" s="46"/>
      <c r="J32" s="44"/>
      <c r="K32" s="82"/>
      <c r="L32" s="43"/>
      <c r="M32" s="44"/>
      <c r="N32" s="47"/>
      <c r="O32" s="44"/>
      <c r="P32" s="44"/>
      <c r="Q32" s="11"/>
      <c r="R32" s="80"/>
      <c r="S32" s="38"/>
      <c r="T32" s="39"/>
      <c r="U32" s="41"/>
    </row>
    <row r="33" spans="1:21" s="3" customFormat="1" ht="19.5" customHeight="1" x14ac:dyDescent="0.15">
      <c r="A33"/>
      <c r="B33"/>
      <c r="C33"/>
      <c r="D33"/>
      <c r="E33" s="202"/>
      <c r="F33" s="311" t="s">
        <v>114</v>
      </c>
      <c r="G33" s="312"/>
      <c r="H33" s="312"/>
      <c r="I33" s="313"/>
      <c r="J33" s="107"/>
      <c r="K33" s="107"/>
      <c r="L33" s="108"/>
      <c r="M33" s="109"/>
      <c r="N33" s="110"/>
      <c r="O33" s="54"/>
      <c r="P33" s="44"/>
      <c r="Q33" s="11"/>
      <c r="R33" s="80"/>
      <c r="S33" s="38"/>
      <c r="T33" s="39"/>
      <c r="U33" s="41"/>
    </row>
    <row r="34" spans="1:21" s="3" customFormat="1" ht="19.5" customHeight="1" x14ac:dyDescent="0.15">
      <c r="A34" s="56" t="s">
        <v>115</v>
      </c>
      <c r="B34" s="121"/>
      <c r="C34" s="121"/>
      <c r="D34" s="132"/>
      <c r="E34" s="57">
        <v>2</v>
      </c>
      <c r="F34" s="135">
        <f>F26+1</f>
        <v>15</v>
      </c>
      <c r="G34" s="4" t="s">
        <v>25</v>
      </c>
      <c r="H34" s="4" t="s">
        <v>25</v>
      </c>
      <c r="I34" s="194" t="s">
        <v>116</v>
      </c>
      <c r="J34" s="198">
        <v>2</v>
      </c>
      <c r="K34" s="153">
        <v>1032</v>
      </c>
      <c r="L34" s="153">
        <f t="shared" ref="L34:L88" si="3">J34*K34</f>
        <v>2064</v>
      </c>
      <c r="M34" s="51"/>
      <c r="N34" s="68" t="s">
        <v>117</v>
      </c>
      <c r="O34" s="83"/>
      <c r="P34" s="280" t="s">
        <v>563</v>
      </c>
      <c r="Q34" s="11">
        <v>45876</v>
      </c>
      <c r="R34" s="80"/>
      <c r="S34" s="279">
        <v>45901</v>
      </c>
      <c r="T34" s="39">
        <v>45902</v>
      </c>
      <c r="U34" s="45">
        <v>45902</v>
      </c>
    </row>
    <row r="35" spans="1:21" s="3" customFormat="1" ht="19.5" customHeight="1" x14ac:dyDescent="0.15">
      <c r="A35" s="56" t="s">
        <v>115</v>
      </c>
      <c r="B35" s="121"/>
      <c r="C35" s="121"/>
      <c r="D35" s="132"/>
      <c r="E35" s="57">
        <v>2</v>
      </c>
      <c r="F35" s="134">
        <f t="shared" ref="F35:F88" si="4">F34+1</f>
        <v>16</v>
      </c>
      <c r="G35" s="4" t="s">
        <v>25</v>
      </c>
      <c r="H35" s="4" t="s">
        <v>25</v>
      </c>
      <c r="I35" s="194" t="s">
        <v>118</v>
      </c>
      <c r="J35" s="198">
        <v>1</v>
      </c>
      <c r="K35" s="153">
        <v>963</v>
      </c>
      <c r="L35" s="153">
        <f t="shared" si="3"/>
        <v>963</v>
      </c>
      <c r="M35" s="51"/>
      <c r="N35" s="68" t="s">
        <v>119</v>
      </c>
      <c r="O35" s="83"/>
      <c r="P35" s="280" t="s">
        <v>563</v>
      </c>
      <c r="Q35" s="11">
        <v>45876</v>
      </c>
      <c r="R35" s="80"/>
      <c r="S35" s="279">
        <v>45901</v>
      </c>
      <c r="T35" s="39">
        <v>45902</v>
      </c>
      <c r="U35" s="45">
        <v>45902</v>
      </c>
    </row>
    <row r="36" spans="1:21" s="3" customFormat="1" ht="19.5" customHeight="1" x14ac:dyDescent="0.15">
      <c r="A36" s="197" t="s">
        <v>115</v>
      </c>
      <c r="B36" s="121"/>
      <c r="C36" s="121"/>
      <c r="D36" s="132"/>
      <c r="E36" s="57">
        <v>2</v>
      </c>
      <c r="F36" s="134">
        <f t="shared" si="4"/>
        <v>17</v>
      </c>
      <c r="G36" s="69" t="s">
        <v>41</v>
      </c>
      <c r="H36" s="4" t="s">
        <v>25</v>
      </c>
      <c r="I36" s="194" t="s">
        <v>120</v>
      </c>
      <c r="J36" s="153">
        <v>1</v>
      </c>
      <c r="K36" s="153">
        <v>15321</v>
      </c>
      <c r="L36" s="153">
        <f t="shared" si="3"/>
        <v>15321</v>
      </c>
      <c r="M36" s="67"/>
      <c r="N36" s="68" t="s">
        <v>121</v>
      </c>
      <c r="O36" s="83"/>
      <c r="P36" s="280" t="s">
        <v>563</v>
      </c>
      <c r="Q36" s="11">
        <v>45876</v>
      </c>
      <c r="R36" s="80"/>
      <c r="S36" s="279">
        <v>45901</v>
      </c>
      <c r="T36" s="39">
        <v>45902</v>
      </c>
      <c r="U36" s="45">
        <v>45902</v>
      </c>
    </row>
    <row r="37" spans="1:21" s="3" customFormat="1" ht="19.5" customHeight="1" x14ac:dyDescent="0.15">
      <c r="A37" s="197" t="s">
        <v>55</v>
      </c>
      <c r="B37" s="121"/>
      <c r="C37" s="121"/>
      <c r="D37" s="132"/>
      <c r="E37" s="57">
        <v>2</v>
      </c>
      <c r="F37" s="134">
        <f t="shared" si="4"/>
        <v>18</v>
      </c>
      <c r="G37" s="4" t="s">
        <v>25</v>
      </c>
      <c r="H37" s="4" t="s">
        <v>25</v>
      </c>
      <c r="I37" s="194" t="s">
        <v>122</v>
      </c>
      <c r="J37" s="153">
        <v>2</v>
      </c>
      <c r="K37" s="153">
        <v>739</v>
      </c>
      <c r="L37" s="153">
        <f t="shared" si="3"/>
        <v>1478</v>
      </c>
      <c r="M37" s="51"/>
      <c r="N37" s="68" t="s">
        <v>123</v>
      </c>
      <c r="O37" s="83"/>
      <c r="P37" s="280" t="s">
        <v>563</v>
      </c>
      <c r="Q37" s="11">
        <v>45876</v>
      </c>
      <c r="R37" s="80"/>
      <c r="S37" s="279">
        <v>45901</v>
      </c>
      <c r="T37" s="39">
        <v>45902</v>
      </c>
      <c r="U37" s="45">
        <v>45902</v>
      </c>
    </row>
    <row r="38" spans="1:21" s="3" customFormat="1" ht="19.5" customHeight="1" x14ac:dyDescent="0.15">
      <c r="A38" s="193" t="s">
        <v>30</v>
      </c>
      <c r="B38" s="1"/>
      <c r="C38" s="1"/>
      <c r="D38" s="49"/>
      <c r="E38" s="57">
        <v>2</v>
      </c>
      <c r="F38" s="134">
        <f t="shared" si="4"/>
        <v>19</v>
      </c>
      <c r="G38" s="4" t="s">
        <v>25</v>
      </c>
      <c r="H38" s="4" t="s">
        <v>25</v>
      </c>
      <c r="I38" s="195" t="s">
        <v>124</v>
      </c>
      <c r="J38" s="191">
        <v>14</v>
      </c>
      <c r="K38" s="153">
        <v>41</v>
      </c>
      <c r="L38" s="153">
        <f t="shared" si="3"/>
        <v>574</v>
      </c>
      <c r="M38" s="67"/>
      <c r="N38" s="68" t="s">
        <v>531</v>
      </c>
      <c r="O38" s="83"/>
      <c r="P38" s="280" t="s">
        <v>563</v>
      </c>
      <c r="Q38" s="11">
        <v>45876</v>
      </c>
      <c r="R38" s="80"/>
      <c r="S38" s="279">
        <v>45901</v>
      </c>
      <c r="T38" s="39">
        <v>45902</v>
      </c>
      <c r="U38" s="45">
        <v>45902</v>
      </c>
    </row>
    <row r="39" spans="1:21" s="3" customFormat="1" ht="19.5" customHeight="1" x14ac:dyDescent="0.15">
      <c r="A39" s="193" t="s">
        <v>30</v>
      </c>
      <c r="B39" s="1"/>
      <c r="C39" s="1"/>
      <c r="D39" s="49"/>
      <c r="E39" s="57">
        <v>2</v>
      </c>
      <c r="F39" s="134">
        <f t="shared" si="4"/>
        <v>20</v>
      </c>
      <c r="G39" s="4" t="s">
        <v>25</v>
      </c>
      <c r="H39" s="4" t="s">
        <v>25</v>
      </c>
      <c r="I39" s="195" t="s">
        <v>125</v>
      </c>
      <c r="J39" s="191">
        <v>4</v>
      </c>
      <c r="K39" s="153">
        <v>118</v>
      </c>
      <c r="L39" s="153">
        <f t="shared" si="3"/>
        <v>472</v>
      </c>
      <c r="M39" s="67"/>
      <c r="N39" s="52" t="s">
        <v>126</v>
      </c>
      <c r="O39" s="83"/>
      <c r="P39" s="280" t="s">
        <v>563</v>
      </c>
      <c r="Q39" s="11">
        <v>45876</v>
      </c>
      <c r="R39" s="80"/>
      <c r="S39" s="279">
        <v>45901</v>
      </c>
      <c r="T39" s="39">
        <v>45902</v>
      </c>
      <c r="U39" s="45">
        <v>45902</v>
      </c>
    </row>
    <row r="40" spans="1:21" s="3" customFormat="1" ht="19.5" customHeight="1" x14ac:dyDescent="0.15">
      <c r="A40" s="193" t="s">
        <v>30</v>
      </c>
      <c r="B40" s="1"/>
      <c r="C40" s="1"/>
      <c r="D40" s="49"/>
      <c r="E40" s="57">
        <v>2</v>
      </c>
      <c r="F40" s="134">
        <f t="shared" si="4"/>
        <v>21</v>
      </c>
      <c r="G40" s="4" t="s">
        <v>25</v>
      </c>
      <c r="H40" s="4" t="s">
        <v>25</v>
      </c>
      <c r="I40" s="195" t="s">
        <v>127</v>
      </c>
      <c r="J40" s="191">
        <v>2</v>
      </c>
      <c r="K40" s="153">
        <v>113</v>
      </c>
      <c r="L40" s="153">
        <f t="shared" si="3"/>
        <v>226</v>
      </c>
      <c r="M40" s="67"/>
      <c r="N40" s="68" t="s">
        <v>128</v>
      </c>
      <c r="O40" s="83"/>
      <c r="P40" s="280" t="s">
        <v>563</v>
      </c>
      <c r="Q40" s="11">
        <v>45876</v>
      </c>
      <c r="R40" s="80"/>
      <c r="S40" s="279">
        <v>45901</v>
      </c>
      <c r="T40" s="39">
        <v>45902</v>
      </c>
      <c r="U40" s="45">
        <v>45902</v>
      </c>
    </row>
    <row r="41" spans="1:21" s="3" customFormat="1" ht="19.5" customHeight="1" x14ac:dyDescent="0.15">
      <c r="A41" s="193" t="s">
        <v>30</v>
      </c>
      <c r="B41" s="1"/>
      <c r="C41" s="1"/>
      <c r="D41" s="49"/>
      <c r="E41" s="57">
        <v>2</v>
      </c>
      <c r="F41" s="134">
        <f t="shared" si="4"/>
        <v>22</v>
      </c>
      <c r="G41" s="4" t="s">
        <v>25</v>
      </c>
      <c r="H41" s="4" t="s">
        <v>25</v>
      </c>
      <c r="I41" s="195" t="s">
        <v>129</v>
      </c>
      <c r="J41" s="191">
        <v>3</v>
      </c>
      <c r="K41" s="153">
        <v>38</v>
      </c>
      <c r="L41" s="153">
        <f t="shared" si="3"/>
        <v>114</v>
      </c>
      <c r="M41" s="67"/>
      <c r="N41" s="111" t="s">
        <v>130</v>
      </c>
      <c r="O41" s="83"/>
      <c r="P41" s="280" t="s">
        <v>563</v>
      </c>
      <c r="Q41" s="11">
        <v>45876</v>
      </c>
      <c r="R41" s="80"/>
      <c r="S41" s="279">
        <v>45901</v>
      </c>
      <c r="T41" s="39">
        <v>45902</v>
      </c>
      <c r="U41" s="45">
        <v>45902</v>
      </c>
    </row>
    <row r="42" spans="1:21" s="3" customFormat="1" ht="19.5" customHeight="1" x14ac:dyDescent="0.15">
      <c r="A42" s="197" t="s">
        <v>115</v>
      </c>
      <c r="B42" s="121"/>
      <c r="C42" s="121"/>
      <c r="D42" s="132"/>
      <c r="E42" s="57">
        <v>2</v>
      </c>
      <c r="F42" s="134">
        <f t="shared" si="4"/>
        <v>23</v>
      </c>
      <c r="G42" s="69" t="s">
        <v>41</v>
      </c>
      <c r="H42" s="4" t="s">
        <v>25</v>
      </c>
      <c r="I42" s="194" t="s">
        <v>131</v>
      </c>
      <c r="J42" s="153">
        <v>1</v>
      </c>
      <c r="K42" s="153">
        <v>6380</v>
      </c>
      <c r="L42" s="153">
        <f t="shared" si="3"/>
        <v>6380</v>
      </c>
      <c r="M42" s="67"/>
      <c r="N42" s="68" t="s">
        <v>132</v>
      </c>
      <c r="O42" s="83"/>
      <c r="P42" s="280" t="s">
        <v>563</v>
      </c>
      <c r="Q42" s="11">
        <v>45876</v>
      </c>
      <c r="R42" s="80"/>
      <c r="S42" s="279">
        <v>45901</v>
      </c>
      <c r="T42" s="39">
        <v>45902</v>
      </c>
      <c r="U42" s="45">
        <v>45902</v>
      </c>
    </row>
    <row r="43" spans="1:21" s="3" customFormat="1" ht="19.5" customHeight="1" x14ac:dyDescent="0.15">
      <c r="A43" s="193" t="s">
        <v>30</v>
      </c>
      <c r="B43" s="1"/>
      <c r="C43" s="1"/>
      <c r="D43" s="49"/>
      <c r="E43" s="57">
        <v>2</v>
      </c>
      <c r="F43" s="134">
        <f t="shared" si="4"/>
        <v>24</v>
      </c>
      <c r="G43" s="4" t="s">
        <v>25</v>
      </c>
      <c r="H43" s="4" t="s">
        <v>25</v>
      </c>
      <c r="I43" s="194" t="s">
        <v>133</v>
      </c>
      <c r="J43" s="153">
        <v>2</v>
      </c>
      <c r="K43" s="153">
        <v>91</v>
      </c>
      <c r="L43" s="153">
        <f t="shared" si="3"/>
        <v>182</v>
      </c>
      <c r="M43" s="67"/>
      <c r="N43" s="68" t="s">
        <v>134</v>
      </c>
      <c r="O43" s="83"/>
      <c r="P43" s="280" t="s">
        <v>563</v>
      </c>
      <c r="Q43" s="11">
        <v>45876</v>
      </c>
      <c r="R43" s="80"/>
      <c r="S43" s="279">
        <v>45901</v>
      </c>
      <c r="T43" s="39">
        <v>45902</v>
      </c>
      <c r="U43" s="45">
        <v>45902</v>
      </c>
    </row>
    <row r="44" spans="1:21" s="3" customFormat="1" ht="19.5" customHeight="1" x14ac:dyDescent="0.15">
      <c r="A44" s="193" t="s">
        <v>30</v>
      </c>
      <c r="B44" s="1"/>
      <c r="C44" s="1"/>
      <c r="D44" s="49"/>
      <c r="E44" s="57">
        <v>2</v>
      </c>
      <c r="F44" s="134">
        <f t="shared" si="4"/>
        <v>25</v>
      </c>
      <c r="G44" s="4" t="s">
        <v>25</v>
      </c>
      <c r="H44" s="4" t="s">
        <v>25</v>
      </c>
      <c r="I44" s="195" t="s">
        <v>124</v>
      </c>
      <c r="J44" s="191">
        <v>11</v>
      </c>
      <c r="K44" s="153">
        <v>41</v>
      </c>
      <c r="L44" s="153">
        <f t="shared" si="3"/>
        <v>451</v>
      </c>
      <c r="M44" s="67"/>
      <c r="N44" s="52" t="s">
        <v>532</v>
      </c>
      <c r="O44" s="83"/>
      <c r="P44" s="280" t="s">
        <v>563</v>
      </c>
      <c r="Q44" s="11">
        <v>45876</v>
      </c>
      <c r="R44" s="80"/>
      <c r="S44" s="279">
        <v>45901</v>
      </c>
      <c r="T44" s="39">
        <v>45902</v>
      </c>
      <c r="U44" s="45">
        <v>45902</v>
      </c>
    </row>
    <row r="45" spans="1:21" s="3" customFormat="1" ht="19.5" customHeight="1" x14ac:dyDescent="0.15">
      <c r="A45" s="193" t="s">
        <v>30</v>
      </c>
      <c r="B45" s="1"/>
      <c r="C45" s="1"/>
      <c r="D45" s="49"/>
      <c r="E45" s="57">
        <v>2</v>
      </c>
      <c r="F45" s="134">
        <f t="shared" si="4"/>
        <v>26</v>
      </c>
      <c r="G45" s="4" t="s">
        <v>25</v>
      </c>
      <c r="H45" s="4" t="s">
        <v>25</v>
      </c>
      <c r="I45" s="195" t="s">
        <v>135</v>
      </c>
      <c r="J45" s="191">
        <v>2</v>
      </c>
      <c r="K45" s="198">
        <v>113</v>
      </c>
      <c r="L45" s="153">
        <f t="shared" si="3"/>
        <v>226</v>
      </c>
      <c r="M45" s="67"/>
      <c r="N45" s="52" t="s">
        <v>533</v>
      </c>
      <c r="O45" s="83"/>
      <c r="P45" s="280" t="s">
        <v>563</v>
      </c>
      <c r="Q45" s="11">
        <v>45876</v>
      </c>
      <c r="R45" s="80"/>
      <c r="S45" s="279">
        <v>45901</v>
      </c>
      <c r="T45" s="39">
        <v>45902</v>
      </c>
      <c r="U45" s="45">
        <v>45902</v>
      </c>
    </row>
    <row r="46" spans="1:21" s="3" customFormat="1" ht="19.5" customHeight="1" x14ac:dyDescent="0.15">
      <c r="A46" s="197" t="s">
        <v>115</v>
      </c>
      <c r="B46" s="121"/>
      <c r="C46" s="121"/>
      <c r="D46" s="132"/>
      <c r="E46" s="57">
        <v>2</v>
      </c>
      <c r="F46" s="134">
        <f t="shared" si="4"/>
        <v>27</v>
      </c>
      <c r="G46" s="69" t="s">
        <v>41</v>
      </c>
      <c r="H46" s="4" t="s">
        <v>25</v>
      </c>
      <c r="I46" s="194" t="s">
        <v>136</v>
      </c>
      <c r="J46" s="153">
        <v>1</v>
      </c>
      <c r="K46" s="153">
        <v>6397</v>
      </c>
      <c r="L46" s="153">
        <f t="shared" si="3"/>
        <v>6397</v>
      </c>
      <c r="M46" s="67"/>
      <c r="N46" s="68" t="s">
        <v>137</v>
      </c>
      <c r="O46" s="83"/>
      <c r="P46" s="280" t="s">
        <v>563</v>
      </c>
      <c r="Q46" s="11">
        <v>45876</v>
      </c>
      <c r="R46" s="80"/>
      <c r="S46" s="279">
        <v>45901</v>
      </c>
      <c r="T46" s="39">
        <v>45902</v>
      </c>
      <c r="U46" s="45">
        <v>45902</v>
      </c>
    </row>
    <row r="47" spans="1:21" s="3" customFormat="1" ht="19.5" customHeight="1" x14ac:dyDescent="0.15">
      <c r="A47" s="193" t="s">
        <v>30</v>
      </c>
      <c r="B47" s="1"/>
      <c r="C47" s="1"/>
      <c r="D47" s="49"/>
      <c r="E47" s="57">
        <v>2</v>
      </c>
      <c r="F47" s="134">
        <f t="shared" si="4"/>
        <v>28</v>
      </c>
      <c r="G47" s="4" t="s">
        <v>25</v>
      </c>
      <c r="H47" s="4" t="s">
        <v>25</v>
      </c>
      <c r="I47" s="195" t="s">
        <v>129</v>
      </c>
      <c r="J47" s="191">
        <v>1</v>
      </c>
      <c r="K47" s="153">
        <v>82</v>
      </c>
      <c r="L47" s="153">
        <f t="shared" si="3"/>
        <v>82</v>
      </c>
      <c r="M47" s="67"/>
      <c r="N47" s="68" t="s">
        <v>534</v>
      </c>
      <c r="O47" s="83"/>
      <c r="P47" s="280" t="s">
        <v>563</v>
      </c>
      <c r="Q47" s="11">
        <v>45876</v>
      </c>
      <c r="R47" s="80"/>
      <c r="S47" s="279">
        <v>45901</v>
      </c>
      <c r="T47" s="39">
        <v>45902</v>
      </c>
      <c r="U47" s="45">
        <v>45902</v>
      </c>
    </row>
    <row r="48" spans="1:21" s="3" customFormat="1" ht="19.5" customHeight="1" x14ac:dyDescent="0.15">
      <c r="A48" s="193" t="s">
        <v>30</v>
      </c>
      <c r="B48" s="1"/>
      <c r="C48" s="1"/>
      <c r="D48" s="49"/>
      <c r="E48" s="57">
        <v>2</v>
      </c>
      <c r="F48" s="134">
        <f t="shared" si="4"/>
        <v>29</v>
      </c>
      <c r="G48" s="4" t="s">
        <v>25</v>
      </c>
      <c r="H48" s="4" t="s">
        <v>25</v>
      </c>
      <c r="I48" s="194" t="s">
        <v>37</v>
      </c>
      <c r="J48" s="153">
        <v>4</v>
      </c>
      <c r="K48" s="153">
        <v>77</v>
      </c>
      <c r="L48" s="153">
        <f t="shared" si="3"/>
        <v>308</v>
      </c>
      <c r="M48" s="67"/>
      <c r="N48" s="68" t="s">
        <v>138</v>
      </c>
      <c r="O48" s="83"/>
      <c r="P48" s="280" t="s">
        <v>563</v>
      </c>
      <c r="Q48" s="11">
        <v>45876</v>
      </c>
      <c r="R48" s="80"/>
      <c r="S48" s="279">
        <v>45901</v>
      </c>
      <c r="T48" s="39">
        <v>45902</v>
      </c>
      <c r="U48" s="45">
        <v>45902</v>
      </c>
    </row>
    <row r="49" spans="1:21" s="3" customFormat="1" ht="19.5" customHeight="1" x14ac:dyDescent="0.15">
      <c r="A49" s="193" t="s">
        <v>30</v>
      </c>
      <c r="B49" s="1"/>
      <c r="C49" s="1"/>
      <c r="D49" s="49"/>
      <c r="E49" s="57">
        <v>2</v>
      </c>
      <c r="F49" s="134">
        <f t="shared" si="4"/>
        <v>30</v>
      </c>
      <c r="G49" s="4" t="s">
        <v>25</v>
      </c>
      <c r="H49" s="4" t="s">
        <v>25</v>
      </c>
      <c r="I49" s="195" t="s">
        <v>124</v>
      </c>
      <c r="J49" s="191">
        <v>4</v>
      </c>
      <c r="K49" s="153">
        <v>77</v>
      </c>
      <c r="L49" s="153">
        <f t="shared" si="3"/>
        <v>308</v>
      </c>
      <c r="M49" s="67"/>
      <c r="N49" s="52" t="s">
        <v>535</v>
      </c>
      <c r="O49" s="83"/>
      <c r="P49" s="280" t="s">
        <v>563</v>
      </c>
      <c r="Q49" s="11">
        <v>45876</v>
      </c>
      <c r="R49" s="80"/>
      <c r="S49" s="279">
        <v>45901</v>
      </c>
      <c r="T49" s="39">
        <v>45902</v>
      </c>
      <c r="U49" s="45">
        <v>45902</v>
      </c>
    </row>
    <row r="50" spans="1:21" s="3" customFormat="1" ht="19.5" customHeight="1" x14ac:dyDescent="0.15">
      <c r="A50" s="193" t="s">
        <v>30</v>
      </c>
      <c r="B50" s="1"/>
      <c r="C50" s="1"/>
      <c r="D50" s="49"/>
      <c r="E50" s="57">
        <v>2</v>
      </c>
      <c r="F50" s="134">
        <f t="shared" si="4"/>
        <v>31</v>
      </c>
      <c r="G50" s="4" t="s">
        <v>25</v>
      </c>
      <c r="H50" s="4" t="s">
        <v>25</v>
      </c>
      <c r="I50" s="195" t="s">
        <v>139</v>
      </c>
      <c r="J50" s="191">
        <v>4</v>
      </c>
      <c r="K50" s="153">
        <v>120</v>
      </c>
      <c r="L50" s="153">
        <f t="shared" si="3"/>
        <v>480</v>
      </c>
      <c r="M50" s="67"/>
      <c r="N50" s="52" t="s">
        <v>538</v>
      </c>
      <c r="O50" s="83"/>
      <c r="P50" s="280" t="s">
        <v>563</v>
      </c>
      <c r="Q50" s="11">
        <v>45876</v>
      </c>
      <c r="R50" s="80"/>
      <c r="S50" s="279">
        <v>45901</v>
      </c>
      <c r="T50" s="39">
        <v>45902</v>
      </c>
      <c r="U50" s="45">
        <v>45902</v>
      </c>
    </row>
    <row r="51" spans="1:21" s="3" customFormat="1" ht="19.5" customHeight="1" x14ac:dyDescent="0.15">
      <c r="A51" s="193" t="s">
        <v>30</v>
      </c>
      <c r="B51" s="1"/>
      <c r="C51" s="1"/>
      <c r="D51" s="49"/>
      <c r="E51" s="57">
        <v>2</v>
      </c>
      <c r="F51" s="134">
        <f t="shared" si="4"/>
        <v>32</v>
      </c>
      <c r="G51" s="4" t="s">
        <v>25</v>
      </c>
      <c r="H51" s="4" t="s">
        <v>25</v>
      </c>
      <c r="I51" s="195" t="s">
        <v>127</v>
      </c>
      <c r="J51" s="191">
        <v>2</v>
      </c>
      <c r="K51" s="153">
        <v>113</v>
      </c>
      <c r="L51" s="153">
        <f t="shared" si="3"/>
        <v>226</v>
      </c>
      <c r="M51" s="67"/>
      <c r="N51" s="52" t="s">
        <v>537</v>
      </c>
      <c r="O51" s="83"/>
      <c r="P51" s="280" t="s">
        <v>563</v>
      </c>
      <c r="Q51" s="11">
        <v>45876</v>
      </c>
      <c r="R51" s="80"/>
      <c r="S51" s="279">
        <v>45901</v>
      </c>
      <c r="T51" s="39">
        <v>45902</v>
      </c>
      <c r="U51" s="45">
        <v>45902</v>
      </c>
    </row>
    <row r="52" spans="1:21" s="3" customFormat="1" ht="19.5" customHeight="1" x14ac:dyDescent="0.15">
      <c r="A52" s="197" t="s">
        <v>141</v>
      </c>
      <c r="B52" s="121"/>
      <c r="C52" s="121"/>
      <c r="D52" s="132"/>
      <c r="E52" s="57">
        <v>2</v>
      </c>
      <c r="F52" s="134">
        <f t="shared" si="4"/>
        <v>33</v>
      </c>
      <c r="G52" s="4" t="s">
        <v>25</v>
      </c>
      <c r="H52" s="4" t="s">
        <v>25</v>
      </c>
      <c r="I52" s="194" t="s">
        <v>142</v>
      </c>
      <c r="J52" s="153">
        <v>1</v>
      </c>
      <c r="K52" s="153">
        <v>1350</v>
      </c>
      <c r="L52" s="153">
        <f t="shared" si="3"/>
        <v>1350</v>
      </c>
      <c r="M52" s="67"/>
      <c r="N52" s="68" t="s">
        <v>143</v>
      </c>
      <c r="O52" s="83"/>
      <c r="P52" s="280" t="s">
        <v>563</v>
      </c>
      <c r="Q52" s="11">
        <v>45876</v>
      </c>
      <c r="R52" s="80"/>
      <c r="S52" s="279">
        <v>45901</v>
      </c>
      <c r="T52" s="39">
        <v>45902</v>
      </c>
      <c r="U52" s="45">
        <v>45902</v>
      </c>
    </row>
    <row r="53" spans="1:21" s="3" customFormat="1" ht="19.5" customHeight="1" x14ac:dyDescent="0.15">
      <c r="A53" s="197" t="s">
        <v>115</v>
      </c>
      <c r="B53" s="121"/>
      <c r="C53" s="121"/>
      <c r="D53" s="132"/>
      <c r="E53" s="57">
        <v>2</v>
      </c>
      <c r="F53" s="134">
        <f t="shared" si="4"/>
        <v>34</v>
      </c>
      <c r="G53" s="69" t="s">
        <v>41</v>
      </c>
      <c r="H53" s="4" t="s">
        <v>25</v>
      </c>
      <c r="I53" s="194" t="s">
        <v>144</v>
      </c>
      <c r="J53" s="153">
        <v>1</v>
      </c>
      <c r="K53" s="153">
        <v>5771</v>
      </c>
      <c r="L53" s="153">
        <f t="shared" si="3"/>
        <v>5771</v>
      </c>
      <c r="M53" s="67"/>
      <c r="N53" s="68" t="s">
        <v>145</v>
      </c>
      <c r="O53" s="83"/>
      <c r="P53" s="280" t="s">
        <v>563</v>
      </c>
      <c r="Q53" s="11">
        <v>45876</v>
      </c>
      <c r="R53" s="80"/>
      <c r="S53" s="279">
        <v>45901</v>
      </c>
      <c r="T53" s="39">
        <v>45902</v>
      </c>
      <c r="U53" s="45">
        <v>45902</v>
      </c>
    </row>
    <row r="54" spans="1:21" s="3" customFormat="1" ht="19.5" customHeight="1" x14ac:dyDescent="0.15">
      <c r="A54" s="193" t="s">
        <v>30</v>
      </c>
      <c r="B54" s="1"/>
      <c r="C54" s="1"/>
      <c r="D54" s="49"/>
      <c r="E54" s="57">
        <v>2</v>
      </c>
      <c r="F54" s="134">
        <f t="shared" si="4"/>
        <v>35</v>
      </c>
      <c r="G54" s="4" t="s">
        <v>25</v>
      </c>
      <c r="H54" s="4" t="s">
        <v>25</v>
      </c>
      <c r="I54" s="194" t="s">
        <v>146</v>
      </c>
      <c r="J54" s="153">
        <v>1</v>
      </c>
      <c r="K54" s="198">
        <v>82</v>
      </c>
      <c r="L54" s="153">
        <f t="shared" si="3"/>
        <v>82</v>
      </c>
      <c r="M54" s="67"/>
      <c r="N54" s="111" t="s">
        <v>147</v>
      </c>
      <c r="O54" s="83"/>
      <c r="P54" s="280" t="s">
        <v>563</v>
      </c>
      <c r="Q54" s="11">
        <v>45876</v>
      </c>
      <c r="R54" s="80"/>
      <c r="S54" s="279">
        <v>45901</v>
      </c>
      <c r="T54" s="39">
        <v>45902</v>
      </c>
      <c r="U54" s="45">
        <v>45902</v>
      </c>
    </row>
    <row r="55" spans="1:21" s="3" customFormat="1" ht="19.5" customHeight="1" x14ac:dyDescent="0.15">
      <c r="A55" s="193" t="s">
        <v>30</v>
      </c>
      <c r="B55" s="1"/>
      <c r="C55" s="1"/>
      <c r="D55" s="49"/>
      <c r="E55" s="57">
        <v>2</v>
      </c>
      <c r="F55" s="134">
        <f t="shared" si="4"/>
        <v>36</v>
      </c>
      <c r="G55" s="4" t="s">
        <v>25</v>
      </c>
      <c r="H55" s="4" t="s">
        <v>25</v>
      </c>
      <c r="I55" s="195" t="s">
        <v>139</v>
      </c>
      <c r="J55" s="191">
        <v>6</v>
      </c>
      <c r="K55" s="153">
        <v>120</v>
      </c>
      <c r="L55" s="153">
        <f t="shared" si="3"/>
        <v>720</v>
      </c>
      <c r="M55" s="67"/>
      <c r="N55" s="52" t="s">
        <v>536</v>
      </c>
      <c r="O55" s="83"/>
      <c r="P55" s="280" t="s">
        <v>563</v>
      </c>
      <c r="Q55" s="11">
        <v>45876</v>
      </c>
      <c r="R55" s="80"/>
      <c r="S55" s="279">
        <v>45901</v>
      </c>
      <c r="T55" s="39">
        <v>45902</v>
      </c>
      <c r="U55" s="45">
        <v>45902</v>
      </c>
    </row>
    <row r="56" spans="1:21" s="3" customFormat="1" ht="19.5" customHeight="1" x14ac:dyDescent="0.15">
      <c r="A56" s="193" t="s">
        <v>30</v>
      </c>
      <c r="B56" s="1"/>
      <c r="C56" s="1"/>
      <c r="D56" s="49"/>
      <c r="E56" s="57">
        <v>2</v>
      </c>
      <c r="F56" s="134">
        <f t="shared" si="4"/>
        <v>37</v>
      </c>
      <c r="G56" s="4" t="s">
        <v>25</v>
      </c>
      <c r="H56" s="4" t="s">
        <v>25</v>
      </c>
      <c r="I56" s="194" t="s">
        <v>148</v>
      </c>
      <c r="J56" s="153">
        <v>1</v>
      </c>
      <c r="K56" s="153">
        <v>536</v>
      </c>
      <c r="L56" s="153">
        <f t="shared" si="3"/>
        <v>536</v>
      </c>
      <c r="M56" s="67"/>
      <c r="N56" s="68" t="s">
        <v>149</v>
      </c>
      <c r="O56" s="83"/>
      <c r="P56" s="280" t="s">
        <v>563</v>
      </c>
      <c r="Q56" s="11">
        <v>45876</v>
      </c>
      <c r="R56" s="80"/>
      <c r="S56" s="279">
        <v>45901</v>
      </c>
      <c r="T56" s="39">
        <v>45902</v>
      </c>
      <c r="U56" s="45">
        <v>45902</v>
      </c>
    </row>
    <row r="57" spans="1:21" s="3" customFormat="1" ht="19.5" customHeight="1" x14ac:dyDescent="0.15">
      <c r="A57" s="197" t="s">
        <v>115</v>
      </c>
      <c r="B57" s="121"/>
      <c r="C57" s="121"/>
      <c r="D57" s="132"/>
      <c r="E57" s="57">
        <v>2</v>
      </c>
      <c r="F57" s="134">
        <f t="shared" si="4"/>
        <v>38</v>
      </c>
      <c r="G57" s="69" t="s">
        <v>41</v>
      </c>
      <c r="H57" s="4" t="s">
        <v>25</v>
      </c>
      <c r="I57" s="194" t="s">
        <v>150</v>
      </c>
      <c r="J57" s="153">
        <v>1</v>
      </c>
      <c r="K57" s="153">
        <v>6289</v>
      </c>
      <c r="L57" s="153">
        <f t="shared" si="3"/>
        <v>6289</v>
      </c>
      <c r="M57" s="67"/>
      <c r="N57" s="68" t="s">
        <v>151</v>
      </c>
      <c r="O57" s="83"/>
      <c r="P57" s="280" t="s">
        <v>563</v>
      </c>
      <c r="Q57" s="11">
        <v>45876</v>
      </c>
      <c r="R57" s="80"/>
      <c r="S57" s="279">
        <v>45901</v>
      </c>
      <c r="T57" s="39">
        <v>45902</v>
      </c>
      <c r="U57" s="45">
        <v>45902</v>
      </c>
    </row>
    <row r="58" spans="1:21" s="3" customFormat="1" ht="19.5" customHeight="1" x14ac:dyDescent="0.15">
      <c r="A58" s="197" t="s">
        <v>115</v>
      </c>
      <c r="B58" s="121"/>
      <c r="C58" s="121"/>
      <c r="D58" s="132"/>
      <c r="E58" s="57">
        <v>2</v>
      </c>
      <c r="F58" s="134">
        <f t="shared" si="4"/>
        <v>39</v>
      </c>
      <c r="G58" s="69" t="s">
        <v>41</v>
      </c>
      <c r="H58" s="4" t="s">
        <v>25</v>
      </c>
      <c r="I58" s="201" t="s">
        <v>152</v>
      </c>
      <c r="J58" s="198">
        <v>1</v>
      </c>
      <c r="K58" s="153">
        <v>4957</v>
      </c>
      <c r="L58" s="153">
        <f t="shared" si="3"/>
        <v>4957</v>
      </c>
      <c r="M58" s="67"/>
      <c r="N58" s="68" t="s">
        <v>153</v>
      </c>
      <c r="O58" s="83"/>
      <c r="P58" s="280" t="s">
        <v>563</v>
      </c>
      <c r="Q58" s="11">
        <v>45876</v>
      </c>
      <c r="R58" s="80"/>
      <c r="S58" s="279">
        <v>45901</v>
      </c>
      <c r="T58" s="39">
        <v>45902</v>
      </c>
      <c r="U58" s="45">
        <v>45902</v>
      </c>
    </row>
    <row r="59" spans="1:21" s="3" customFormat="1" ht="19.5" customHeight="1" x14ac:dyDescent="0.15">
      <c r="A59" s="193" t="s">
        <v>30</v>
      </c>
      <c r="B59" s="1"/>
      <c r="C59" s="1"/>
      <c r="D59" s="49"/>
      <c r="E59" s="57">
        <v>2</v>
      </c>
      <c r="F59" s="134">
        <f t="shared" si="4"/>
        <v>40</v>
      </c>
      <c r="G59" s="4" t="s">
        <v>25</v>
      </c>
      <c r="H59" s="4" t="s">
        <v>25</v>
      </c>
      <c r="I59" s="194" t="s">
        <v>154</v>
      </c>
      <c r="J59" s="198">
        <v>6</v>
      </c>
      <c r="K59" s="153">
        <v>77</v>
      </c>
      <c r="L59" s="153">
        <f t="shared" si="3"/>
        <v>462</v>
      </c>
      <c r="M59" s="67"/>
      <c r="N59" s="68" t="s">
        <v>155</v>
      </c>
      <c r="O59" s="83"/>
      <c r="P59" s="280" t="s">
        <v>563</v>
      </c>
      <c r="Q59" s="11">
        <v>45876</v>
      </c>
      <c r="R59" s="80"/>
      <c r="S59" s="279">
        <v>45901</v>
      </c>
      <c r="T59" s="39">
        <v>45902</v>
      </c>
      <c r="U59" s="45">
        <v>45902</v>
      </c>
    </row>
    <row r="60" spans="1:21" s="3" customFormat="1" ht="19.5" customHeight="1" x14ac:dyDescent="0.15">
      <c r="A60" s="193" t="s">
        <v>30</v>
      </c>
      <c r="B60" s="1"/>
      <c r="C60" s="1"/>
      <c r="D60" s="49"/>
      <c r="E60" s="57">
        <v>2</v>
      </c>
      <c r="F60" s="134">
        <f t="shared" si="4"/>
        <v>41</v>
      </c>
      <c r="G60" s="4" t="s">
        <v>25</v>
      </c>
      <c r="H60" s="4" t="s">
        <v>25</v>
      </c>
      <c r="I60" s="195" t="s">
        <v>156</v>
      </c>
      <c r="J60" s="191">
        <v>5</v>
      </c>
      <c r="K60" s="153">
        <v>112</v>
      </c>
      <c r="L60" s="153">
        <f t="shared" si="3"/>
        <v>560</v>
      </c>
      <c r="M60" s="67"/>
      <c r="N60" s="52" t="s">
        <v>539</v>
      </c>
      <c r="O60" s="83"/>
      <c r="P60" s="280" t="s">
        <v>563</v>
      </c>
      <c r="Q60" s="11">
        <v>45876</v>
      </c>
      <c r="R60" s="80"/>
      <c r="S60" s="279">
        <v>45901</v>
      </c>
      <c r="T60" s="39">
        <v>45902</v>
      </c>
      <c r="U60" s="45">
        <v>45902</v>
      </c>
    </row>
    <row r="61" spans="1:21" s="3" customFormat="1" ht="19.5" customHeight="1" x14ac:dyDescent="0.15">
      <c r="A61" s="197" t="s">
        <v>39</v>
      </c>
      <c r="B61" s="121"/>
      <c r="C61" s="121"/>
      <c r="D61" s="132"/>
      <c r="E61" s="57">
        <v>2</v>
      </c>
      <c r="F61" s="134">
        <f t="shared" si="4"/>
        <v>42</v>
      </c>
      <c r="G61" s="69" t="s">
        <v>41</v>
      </c>
      <c r="H61" s="4"/>
      <c r="I61" s="195" t="s">
        <v>543</v>
      </c>
      <c r="J61" s="191">
        <v>1</v>
      </c>
      <c r="K61" s="153">
        <v>3803</v>
      </c>
      <c r="L61" s="153">
        <f t="shared" si="3"/>
        <v>3803</v>
      </c>
      <c r="M61" s="67"/>
      <c r="N61" s="68" t="s">
        <v>276</v>
      </c>
      <c r="O61" s="83"/>
      <c r="P61" s="280" t="s">
        <v>563</v>
      </c>
      <c r="Q61" s="11">
        <v>45876</v>
      </c>
      <c r="R61" s="80"/>
      <c r="S61" s="279">
        <v>45901</v>
      </c>
      <c r="T61" s="39">
        <v>45902</v>
      </c>
      <c r="U61" s="45">
        <v>45902</v>
      </c>
    </row>
    <row r="62" spans="1:21" s="3" customFormat="1" ht="19.5" customHeight="1" x14ac:dyDescent="0.15">
      <c r="A62" s="193" t="s">
        <v>30</v>
      </c>
      <c r="B62" s="1"/>
      <c r="C62" s="1"/>
      <c r="D62" s="49"/>
      <c r="E62" s="57">
        <v>2</v>
      </c>
      <c r="F62" s="134">
        <f t="shared" si="4"/>
        <v>43</v>
      </c>
      <c r="G62" s="4" t="s">
        <v>25</v>
      </c>
      <c r="H62" s="4" t="s">
        <v>25</v>
      </c>
      <c r="I62" s="194" t="s">
        <v>259</v>
      </c>
      <c r="J62" s="153">
        <v>11</v>
      </c>
      <c r="K62" s="153">
        <v>41</v>
      </c>
      <c r="L62" s="262">
        <f t="shared" si="3"/>
        <v>451</v>
      </c>
      <c r="M62" s="51"/>
      <c r="N62" s="68" t="s">
        <v>277</v>
      </c>
      <c r="O62" s="83"/>
      <c r="P62" s="280" t="s">
        <v>563</v>
      </c>
      <c r="Q62" s="11">
        <v>45876</v>
      </c>
      <c r="R62" s="80"/>
      <c r="S62" s="279">
        <v>45901</v>
      </c>
      <c r="T62" s="39">
        <v>45902</v>
      </c>
      <c r="U62" s="45">
        <v>45902</v>
      </c>
    </row>
    <row r="63" spans="1:21" s="3" customFormat="1" ht="19.5" customHeight="1" x14ac:dyDescent="0.15">
      <c r="A63" s="193" t="s">
        <v>30</v>
      </c>
      <c r="B63" s="1"/>
      <c r="C63" s="1"/>
      <c r="D63" s="49"/>
      <c r="E63" s="57">
        <v>2</v>
      </c>
      <c r="F63" s="134">
        <f t="shared" si="4"/>
        <v>44</v>
      </c>
      <c r="G63" s="4" t="s">
        <v>25</v>
      </c>
      <c r="H63" s="4" t="s">
        <v>25</v>
      </c>
      <c r="I63" s="195" t="s">
        <v>278</v>
      </c>
      <c r="J63" s="191">
        <v>4</v>
      </c>
      <c r="K63" s="153">
        <v>112</v>
      </c>
      <c r="L63" s="153">
        <f t="shared" si="3"/>
        <v>448</v>
      </c>
      <c r="M63" s="67"/>
      <c r="N63" s="52" t="s">
        <v>540</v>
      </c>
      <c r="O63" s="83"/>
      <c r="P63" s="280" t="s">
        <v>563</v>
      </c>
      <c r="Q63" s="11">
        <v>45876</v>
      </c>
      <c r="R63" s="80"/>
      <c r="S63" s="279">
        <v>45901</v>
      </c>
      <c r="T63" s="39">
        <v>45902</v>
      </c>
      <c r="U63" s="45">
        <v>45902</v>
      </c>
    </row>
    <row r="64" spans="1:21" s="3" customFormat="1" ht="19.5" customHeight="1" x14ac:dyDescent="0.15">
      <c r="A64" s="197" t="s">
        <v>157</v>
      </c>
      <c r="B64" s="121"/>
      <c r="C64" s="121"/>
      <c r="D64" s="132"/>
      <c r="E64" s="57">
        <v>2</v>
      </c>
      <c r="F64" s="134">
        <f t="shared" si="4"/>
        <v>45</v>
      </c>
      <c r="G64" s="69" t="s">
        <v>41</v>
      </c>
      <c r="H64" s="4" t="s">
        <v>25</v>
      </c>
      <c r="I64" s="194" t="s">
        <v>158</v>
      </c>
      <c r="J64" s="198">
        <v>1</v>
      </c>
      <c r="K64" s="153">
        <v>8216</v>
      </c>
      <c r="L64" s="262">
        <f t="shared" si="3"/>
        <v>8216</v>
      </c>
      <c r="M64" s="51"/>
      <c r="N64" s="62" t="s">
        <v>159</v>
      </c>
      <c r="O64" s="83"/>
      <c r="P64" s="280" t="s">
        <v>563</v>
      </c>
      <c r="Q64" s="11">
        <v>45876</v>
      </c>
      <c r="R64" s="80"/>
      <c r="S64" s="279">
        <v>45901</v>
      </c>
      <c r="T64" s="39">
        <v>45902</v>
      </c>
      <c r="U64" s="45">
        <v>45902</v>
      </c>
    </row>
    <row r="65" spans="1:21" s="3" customFormat="1" ht="19.5" customHeight="1" x14ac:dyDescent="0.15">
      <c r="A65" s="193" t="s">
        <v>30</v>
      </c>
      <c r="B65" s="1"/>
      <c r="C65" s="1"/>
      <c r="D65" s="49"/>
      <c r="E65" s="57">
        <v>2</v>
      </c>
      <c r="F65" s="134">
        <f t="shared" si="4"/>
        <v>46</v>
      </c>
      <c r="G65" s="4" t="s">
        <v>25</v>
      </c>
      <c r="H65" s="4" t="s">
        <v>25</v>
      </c>
      <c r="I65" s="195" t="s">
        <v>160</v>
      </c>
      <c r="J65" s="191">
        <v>2</v>
      </c>
      <c r="K65" s="153">
        <v>120</v>
      </c>
      <c r="L65" s="262">
        <f t="shared" si="3"/>
        <v>240</v>
      </c>
      <c r="M65" s="51"/>
      <c r="N65" s="68" t="s">
        <v>140</v>
      </c>
      <c r="O65" s="83"/>
      <c r="P65" s="280" t="s">
        <v>563</v>
      </c>
      <c r="Q65" s="11">
        <v>45876</v>
      </c>
      <c r="R65" s="80"/>
      <c r="S65" s="279">
        <v>45901</v>
      </c>
      <c r="T65" s="39">
        <v>45902</v>
      </c>
      <c r="U65" s="45">
        <v>45902</v>
      </c>
    </row>
    <row r="66" spans="1:21" s="3" customFormat="1" ht="19.5" customHeight="1" x14ac:dyDescent="0.15">
      <c r="A66" s="193" t="s">
        <v>30</v>
      </c>
      <c r="B66" s="1"/>
      <c r="C66" s="1"/>
      <c r="D66" s="49"/>
      <c r="E66" s="57">
        <v>2</v>
      </c>
      <c r="F66" s="134">
        <f t="shared" si="4"/>
        <v>47</v>
      </c>
      <c r="G66" s="4" t="s">
        <v>25</v>
      </c>
      <c r="H66" s="4" t="s">
        <v>25</v>
      </c>
      <c r="I66" s="194" t="s">
        <v>161</v>
      </c>
      <c r="J66" s="153">
        <v>1</v>
      </c>
      <c r="K66" s="198">
        <v>113</v>
      </c>
      <c r="L66" s="262">
        <f t="shared" si="3"/>
        <v>113</v>
      </c>
      <c r="M66" s="51"/>
      <c r="N66" s="68" t="s">
        <v>198</v>
      </c>
      <c r="O66" s="83"/>
      <c r="P66" s="280" t="s">
        <v>563</v>
      </c>
      <c r="Q66" s="11">
        <v>45876</v>
      </c>
      <c r="R66" s="80"/>
      <c r="S66" s="279">
        <v>45901</v>
      </c>
      <c r="T66" s="39">
        <v>45902</v>
      </c>
      <c r="U66" s="45">
        <v>45902</v>
      </c>
    </row>
    <row r="67" spans="1:21" s="3" customFormat="1" ht="19.5" customHeight="1" x14ac:dyDescent="0.15">
      <c r="A67" s="193" t="s">
        <v>30</v>
      </c>
      <c r="B67" s="1"/>
      <c r="C67" s="1"/>
      <c r="D67" s="49"/>
      <c r="E67" s="57">
        <v>2</v>
      </c>
      <c r="F67" s="134">
        <f t="shared" si="4"/>
        <v>48</v>
      </c>
      <c r="G67" s="4" t="s">
        <v>25</v>
      </c>
      <c r="H67" s="4" t="s">
        <v>25</v>
      </c>
      <c r="I67" s="194" t="s">
        <v>162</v>
      </c>
      <c r="J67" s="153">
        <v>4</v>
      </c>
      <c r="K67" s="153">
        <v>77</v>
      </c>
      <c r="L67" s="262">
        <f t="shared" si="3"/>
        <v>308</v>
      </c>
      <c r="M67" s="51"/>
      <c r="N67" s="68" t="s">
        <v>163</v>
      </c>
      <c r="O67" s="83"/>
      <c r="P67" s="280" t="s">
        <v>563</v>
      </c>
      <c r="Q67" s="11">
        <v>45876</v>
      </c>
      <c r="R67" s="80"/>
      <c r="S67" s="279">
        <v>45901</v>
      </c>
      <c r="T67" s="39">
        <v>45902</v>
      </c>
      <c r="U67" s="45">
        <v>45902</v>
      </c>
    </row>
    <row r="68" spans="1:21" s="3" customFormat="1" ht="19.5" customHeight="1" x14ac:dyDescent="0.15">
      <c r="A68" s="197" t="s">
        <v>115</v>
      </c>
      <c r="B68" s="121"/>
      <c r="C68" s="121"/>
      <c r="D68" s="132"/>
      <c r="E68" s="57">
        <v>2</v>
      </c>
      <c r="F68" s="134">
        <f t="shared" si="4"/>
        <v>49</v>
      </c>
      <c r="G68" s="69" t="s">
        <v>41</v>
      </c>
      <c r="H68" s="4" t="s">
        <v>25</v>
      </c>
      <c r="I68" s="194" t="s">
        <v>164</v>
      </c>
      <c r="J68" s="198">
        <v>2</v>
      </c>
      <c r="K68" s="153">
        <v>4896</v>
      </c>
      <c r="L68" s="262">
        <f t="shared" si="3"/>
        <v>9792</v>
      </c>
      <c r="M68" s="51"/>
      <c r="N68" s="68" t="s">
        <v>165</v>
      </c>
      <c r="O68" s="83"/>
      <c r="P68" s="280" t="s">
        <v>563</v>
      </c>
      <c r="Q68" s="11">
        <v>45876</v>
      </c>
      <c r="R68" s="80"/>
      <c r="S68" s="279">
        <v>45901</v>
      </c>
      <c r="T68" s="39">
        <v>45902</v>
      </c>
      <c r="U68" s="45">
        <v>45902</v>
      </c>
    </row>
    <row r="69" spans="1:21" s="3" customFormat="1" ht="19.5" customHeight="1" x14ac:dyDescent="0.15">
      <c r="A69" s="1" t="s">
        <v>30</v>
      </c>
      <c r="B69" s="1"/>
      <c r="C69" s="1"/>
      <c r="D69" s="49"/>
      <c r="E69" s="57">
        <v>2</v>
      </c>
      <c r="F69" s="134">
        <f t="shared" si="4"/>
        <v>50</v>
      </c>
      <c r="G69" s="4" t="s">
        <v>25</v>
      </c>
      <c r="H69" s="4" t="s">
        <v>25</v>
      </c>
      <c r="I69" s="194" t="s">
        <v>166</v>
      </c>
      <c r="J69" s="198">
        <v>2</v>
      </c>
      <c r="K69" s="153">
        <v>870</v>
      </c>
      <c r="L69" s="262">
        <f t="shared" si="3"/>
        <v>1740</v>
      </c>
      <c r="M69" s="51"/>
      <c r="N69" s="68" t="s">
        <v>167</v>
      </c>
      <c r="O69" s="83"/>
      <c r="P69" s="280" t="s">
        <v>563</v>
      </c>
      <c r="Q69" s="11">
        <v>45876</v>
      </c>
      <c r="R69" s="80"/>
      <c r="S69" s="279">
        <v>45901</v>
      </c>
      <c r="T69" s="39">
        <v>45902</v>
      </c>
      <c r="U69" s="45">
        <v>45902</v>
      </c>
    </row>
    <row r="70" spans="1:21" s="3" customFormat="1" ht="19.5" customHeight="1" x14ac:dyDescent="0.15">
      <c r="A70" s="121" t="s">
        <v>141</v>
      </c>
      <c r="B70" s="121"/>
      <c r="C70" s="121"/>
      <c r="D70" s="132"/>
      <c r="E70" s="57">
        <v>2</v>
      </c>
      <c r="F70" s="134">
        <f t="shared" si="4"/>
        <v>51</v>
      </c>
      <c r="G70" s="4" t="s">
        <v>25</v>
      </c>
      <c r="H70" s="4" t="s">
        <v>25</v>
      </c>
      <c r="I70" s="194" t="s">
        <v>168</v>
      </c>
      <c r="J70" s="153">
        <v>2</v>
      </c>
      <c r="K70" s="153">
        <v>3643</v>
      </c>
      <c r="L70" s="262">
        <f t="shared" si="3"/>
        <v>7286</v>
      </c>
      <c r="M70" s="51"/>
      <c r="N70" s="68" t="s">
        <v>169</v>
      </c>
      <c r="O70" s="83"/>
      <c r="P70" s="280" t="s">
        <v>563</v>
      </c>
      <c r="Q70" s="11">
        <v>45876</v>
      </c>
      <c r="R70" s="80"/>
      <c r="S70" s="279">
        <v>45901</v>
      </c>
      <c r="T70" s="39">
        <v>45902</v>
      </c>
      <c r="U70" s="45">
        <v>45902</v>
      </c>
    </row>
    <row r="71" spans="1:21" s="3" customFormat="1" ht="19.5" customHeight="1" x14ac:dyDescent="0.15">
      <c r="A71" s="193" t="s">
        <v>30</v>
      </c>
      <c r="B71" s="1"/>
      <c r="C71" s="1"/>
      <c r="D71" s="49"/>
      <c r="E71" s="57">
        <v>2</v>
      </c>
      <c r="F71" s="134">
        <f t="shared" si="4"/>
        <v>52</v>
      </c>
      <c r="G71" s="4" t="s">
        <v>25</v>
      </c>
      <c r="H71" s="4" t="s">
        <v>25</v>
      </c>
      <c r="I71" s="194" t="s">
        <v>170</v>
      </c>
      <c r="J71" s="153">
        <v>4</v>
      </c>
      <c r="K71" s="153">
        <v>18</v>
      </c>
      <c r="L71" s="262">
        <f t="shared" si="3"/>
        <v>72</v>
      </c>
      <c r="M71" s="51"/>
      <c r="N71" s="68" t="s">
        <v>171</v>
      </c>
      <c r="O71" s="83"/>
      <c r="P71" s="280" t="s">
        <v>563</v>
      </c>
      <c r="Q71" s="11">
        <v>45876</v>
      </c>
      <c r="R71" s="80"/>
      <c r="S71" s="279">
        <v>45901</v>
      </c>
      <c r="T71" s="39">
        <v>45902</v>
      </c>
      <c r="U71" s="45">
        <v>45902</v>
      </c>
    </row>
    <row r="72" spans="1:21" s="3" customFormat="1" ht="19.5" customHeight="1" x14ac:dyDescent="0.15">
      <c r="A72" s="193" t="s">
        <v>30</v>
      </c>
      <c r="B72" s="1"/>
      <c r="C72" s="1"/>
      <c r="D72" s="49"/>
      <c r="E72" s="57">
        <v>2</v>
      </c>
      <c r="F72" s="134">
        <f t="shared" si="4"/>
        <v>53</v>
      </c>
      <c r="G72" s="4" t="s">
        <v>25</v>
      </c>
      <c r="H72" s="4" t="s">
        <v>25</v>
      </c>
      <c r="I72" s="195" t="s">
        <v>156</v>
      </c>
      <c r="J72" s="191">
        <v>4</v>
      </c>
      <c r="K72" s="153">
        <v>112</v>
      </c>
      <c r="L72" s="262">
        <f t="shared" si="3"/>
        <v>448</v>
      </c>
      <c r="M72" s="51"/>
      <c r="N72" s="52" t="s">
        <v>541</v>
      </c>
      <c r="O72" s="83"/>
      <c r="P72" s="280" t="s">
        <v>563</v>
      </c>
      <c r="Q72" s="11">
        <v>45876</v>
      </c>
      <c r="R72" s="80"/>
      <c r="S72" s="279">
        <v>45901</v>
      </c>
      <c r="T72" s="39">
        <v>45902</v>
      </c>
      <c r="U72" s="45">
        <v>45902</v>
      </c>
    </row>
    <row r="73" spans="1:21" s="3" customFormat="1" ht="19.5" customHeight="1" x14ac:dyDescent="0.15">
      <c r="A73" s="197" t="s">
        <v>115</v>
      </c>
      <c r="B73" s="121"/>
      <c r="C73" s="121"/>
      <c r="D73" s="132"/>
      <c r="E73" s="57">
        <v>2</v>
      </c>
      <c r="F73" s="134">
        <f t="shared" si="4"/>
        <v>54</v>
      </c>
      <c r="G73" s="69" t="s">
        <v>41</v>
      </c>
      <c r="H73" s="4" t="s">
        <v>25</v>
      </c>
      <c r="I73" s="201" t="s">
        <v>172</v>
      </c>
      <c r="J73" s="153">
        <v>4</v>
      </c>
      <c r="K73" s="153">
        <v>3401</v>
      </c>
      <c r="L73" s="262">
        <f t="shared" si="3"/>
        <v>13604</v>
      </c>
      <c r="M73" s="51"/>
      <c r="N73" s="61" t="s">
        <v>173</v>
      </c>
      <c r="O73" s="83"/>
      <c r="P73" s="280" t="s">
        <v>563</v>
      </c>
      <c r="Q73" s="11">
        <v>45876</v>
      </c>
      <c r="R73" s="80"/>
      <c r="S73" s="279">
        <v>45901</v>
      </c>
      <c r="T73" s="39">
        <v>45902</v>
      </c>
      <c r="U73" s="45">
        <v>45902</v>
      </c>
    </row>
    <row r="74" spans="1:21" s="3" customFormat="1" ht="19.5" customHeight="1" x14ac:dyDescent="0.15">
      <c r="A74" s="197" t="s">
        <v>39</v>
      </c>
      <c r="B74" s="121"/>
      <c r="C74" s="121"/>
      <c r="D74" s="132"/>
      <c r="E74" s="57">
        <v>2</v>
      </c>
      <c r="F74" s="134">
        <f t="shared" si="4"/>
        <v>55</v>
      </c>
      <c r="G74" s="69" t="s">
        <v>41</v>
      </c>
      <c r="H74" s="4" t="s">
        <v>25</v>
      </c>
      <c r="I74" s="195" t="s">
        <v>286</v>
      </c>
      <c r="J74" s="153">
        <v>1</v>
      </c>
      <c r="K74" s="153">
        <v>5060</v>
      </c>
      <c r="L74" s="153">
        <f t="shared" si="3"/>
        <v>5060</v>
      </c>
      <c r="M74" s="51"/>
      <c r="N74" s="25" t="s">
        <v>227</v>
      </c>
      <c r="O74" s="83"/>
      <c r="P74" s="280" t="s">
        <v>563</v>
      </c>
      <c r="Q74" s="11">
        <v>45876</v>
      </c>
      <c r="R74" s="80"/>
      <c r="S74" s="279">
        <v>45901</v>
      </c>
      <c r="T74" s="39">
        <v>45902</v>
      </c>
      <c r="U74" s="45">
        <v>45902</v>
      </c>
    </row>
    <row r="75" spans="1:21" s="3" customFormat="1" ht="19.5" customHeight="1" x14ac:dyDescent="0.15">
      <c r="A75" s="197" t="s">
        <v>39</v>
      </c>
      <c r="B75" s="121"/>
      <c r="C75" s="121"/>
      <c r="D75" s="132"/>
      <c r="E75" s="57">
        <v>2</v>
      </c>
      <c r="F75" s="134">
        <f t="shared" si="4"/>
        <v>56</v>
      </c>
      <c r="G75" s="69" t="s">
        <v>41</v>
      </c>
      <c r="H75" s="4" t="s">
        <v>25</v>
      </c>
      <c r="I75" s="195" t="s">
        <v>287</v>
      </c>
      <c r="J75" s="153">
        <v>1</v>
      </c>
      <c r="K75" s="153">
        <v>5060</v>
      </c>
      <c r="L75" s="153">
        <f t="shared" si="3"/>
        <v>5060</v>
      </c>
      <c r="M75" s="51"/>
      <c r="N75" s="52" t="s">
        <v>174</v>
      </c>
      <c r="O75" s="83"/>
      <c r="P75" s="280" t="s">
        <v>563</v>
      </c>
      <c r="Q75" s="11">
        <v>45876</v>
      </c>
      <c r="R75" s="80"/>
      <c r="S75" s="279">
        <v>45901</v>
      </c>
      <c r="T75" s="39">
        <v>45902</v>
      </c>
      <c r="U75" s="45">
        <v>45902</v>
      </c>
    </row>
    <row r="76" spans="1:21" s="3" customFormat="1" ht="19.5" customHeight="1" x14ac:dyDescent="0.15">
      <c r="A76" s="193" t="s">
        <v>30</v>
      </c>
      <c r="B76" s="1"/>
      <c r="C76" s="1"/>
      <c r="D76" s="49"/>
      <c r="E76" s="57">
        <v>2</v>
      </c>
      <c r="F76" s="134">
        <f t="shared" si="4"/>
        <v>57</v>
      </c>
      <c r="G76" s="59" t="s">
        <v>175</v>
      </c>
      <c r="H76" s="4" t="s">
        <v>25</v>
      </c>
      <c r="I76" s="194" t="s">
        <v>176</v>
      </c>
      <c r="J76" s="153">
        <v>4</v>
      </c>
      <c r="K76" s="153">
        <v>50</v>
      </c>
      <c r="L76" s="153">
        <f t="shared" si="3"/>
        <v>200</v>
      </c>
      <c r="M76" s="51"/>
      <c r="N76" s="68" t="s">
        <v>177</v>
      </c>
      <c r="O76" s="83"/>
      <c r="P76" s="280" t="s">
        <v>563</v>
      </c>
      <c r="Q76" s="11">
        <v>45876</v>
      </c>
      <c r="R76" s="80"/>
      <c r="S76" s="279">
        <v>45901</v>
      </c>
      <c r="T76" s="39">
        <v>45902</v>
      </c>
      <c r="U76" s="45">
        <v>45902</v>
      </c>
    </row>
    <row r="77" spans="1:21" s="3" customFormat="1" ht="19.5" customHeight="1" x14ac:dyDescent="0.15">
      <c r="A77" s="193" t="s">
        <v>30</v>
      </c>
      <c r="B77" s="1"/>
      <c r="C77" s="1"/>
      <c r="D77" s="49"/>
      <c r="E77" s="57">
        <v>2</v>
      </c>
      <c r="F77" s="134">
        <f t="shared" si="4"/>
        <v>58</v>
      </c>
      <c r="G77" s="4" t="s">
        <v>25</v>
      </c>
      <c r="H77" s="4" t="s">
        <v>25</v>
      </c>
      <c r="I77" s="195" t="s">
        <v>154</v>
      </c>
      <c r="J77" s="191">
        <v>8</v>
      </c>
      <c r="K77" s="153">
        <v>47</v>
      </c>
      <c r="L77" s="153">
        <f t="shared" si="3"/>
        <v>376</v>
      </c>
      <c r="M77" s="67"/>
      <c r="N77" s="68" t="s">
        <v>542</v>
      </c>
      <c r="O77" s="83"/>
      <c r="P77" s="280" t="s">
        <v>563</v>
      </c>
      <c r="Q77" s="11">
        <v>45876</v>
      </c>
      <c r="R77" s="80"/>
      <c r="S77" s="279">
        <v>45901</v>
      </c>
      <c r="T77" s="39">
        <v>45902</v>
      </c>
      <c r="U77" s="45">
        <v>45902</v>
      </c>
    </row>
    <row r="78" spans="1:21" s="3" customFormat="1" ht="19.5" customHeight="1" x14ac:dyDescent="0.15">
      <c r="A78" s="193" t="s">
        <v>30</v>
      </c>
      <c r="B78" s="1"/>
      <c r="C78" s="1"/>
      <c r="D78" s="49"/>
      <c r="E78" s="57">
        <v>2</v>
      </c>
      <c r="F78" s="134">
        <f t="shared" si="4"/>
        <v>59</v>
      </c>
      <c r="G78" s="4" t="s">
        <v>25</v>
      </c>
      <c r="H78" s="4" t="s">
        <v>25</v>
      </c>
      <c r="I78" s="194" t="s">
        <v>178</v>
      </c>
      <c r="J78" s="153">
        <v>20</v>
      </c>
      <c r="K78" s="153">
        <v>52</v>
      </c>
      <c r="L78" s="153">
        <f t="shared" si="3"/>
        <v>1040</v>
      </c>
      <c r="M78" s="51"/>
      <c r="N78" s="68" t="s">
        <v>179</v>
      </c>
      <c r="O78" s="83"/>
      <c r="P78" s="280" t="s">
        <v>563</v>
      </c>
      <c r="Q78" s="11">
        <v>45876</v>
      </c>
      <c r="R78" s="80"/>
      <c r="S78" s="279">
        <v>45901</v>
      </c>
      <c r="T78" s="39">
        <v>45902</v>
      </c>
      <c r="U78" s="45">
        <v>45902</v>
      </c>
    </row>
    <row r="79" spans="1:21" s="3" customFormat="1" ht="19.5" customHeight="1" x14ac:dyDescent="0.15">
      <c r="A79" s="193" t="s">
        <v>30</v>
      </c>
      <c r="B79" s="1"/>
      <c r="C79" s="1"/>
      <c r="D79" s="49"/>
      <c r="E79" s="57">
        <v>2</v>
      </c>
      <c r="F79" s="134">
        <f t="shared" si="4"/>
        <v>60</v>
      </c>
      <c r="G79" s="4" t="s">
        <v>25</v>
      </c>
      <c r="H79" s="4" t="s">
        <v>25</v>
      </c>
      <c r="I79" s="195" t="s">
        <v>180</v>
      </c>
      <c r="J79" s="191">
        <v>2</v>
      </c>
      <c r="K79" s="153">
        <v>120</v>
      </c>
      <c r="L79" s="153">
        <f t="shared" si="3"/>
        <v>240</v>
      </c>
      <c r="M79" s="51"/>
      <c r="N79" s="133" t="s">
        <v>225</v>
      </c>
      <c r="O79" s="83"/>
      <c r="P79" s="280" t="s">
        <v>563</v>
      </c>
      <c r="Q79" s="11">
        <v>45876</v>
      </c>
      <c r="R79" s="80"/>
      <c r="S79" s="279">
        <v>45901</v>
      </c>
      <c r="T79" s="39">
        <v>45902</v>
      </c>
      <c r="U79" s="45">
        <v>45902</v>
      </c>
    </row>
    <row r="80" spans="1:21" s="3" customFormat="1" ht="19.5" customHeight="1" x14ac:dyDescent="0.15">
      <c r="A80" s="197" t="s">
        <v>39</v>
      </c>
      <c r="B80" s="121"/>
      <c r="C80" s="121"/>
      <c r="D80" s="132"/>
      <c r="E80" s="57">
        <v>2</v>
      </c>
      <c r="F80" s="134">
        <f t="shared" si="4"/>
        <v>61</v>
      </c>
      <c r="G80" s="69" t="s">
        <v>41</v>
      </c>
      <c r="H80" s="4" t="s">
        <v>25</v>
      </c>
      <c r="I80" s="194" t="s">
        <v>181</v>
      </c>
      <c r="J80" s="153">
        <v>1</v>
      </c>
      <c r="K80" s="153">
        <v>2620</v>
      </c>
      <c r="L80" s="153">
        <f t="shared" si="3"/>
        <v>2620</v>
      </c>
      <c r="M80" s="51"/>
      <c r="N80" s="61" t="s">
        <v>182</v>
      </c>
      <c r="O80" s="83"/>
      <c r="P80" s="280" t="s">
        <v>563</v>
      </c>
      <c r="Q80" s="11">
        <v>45876</v>
      </c>
      <c r="R80" s="80"/>
      <c r="S80" s="279">
        <v>45901</v>
      </c>
      <c r="T80" s="39">
        <v>45902</v>
      </c>
      <c r="U80" s="45">
        <v>45902</v>
      </c>
    </row>
    <row r="81" spans="1:21" s="3" customFormat="1" ht="19.5" customHeight="1" x14ac:dyDescent="0.15">
      <c r="A81" s="197" t="s">
        <v>45</v>
      </c>
      <c r="B81" s="121"/>
      <c r="C81" s="121"/>
      <c r="D81" s="132"/>
      <c r="E81" s="57">
        <v>2</v>
      </c>
      <c r="F81" s="134">
        <f t="shared" si="4"/>
        <v>62</v>
      </c>
      <c r="G81" s="4" t="s">
        <v>25</v>
      </c>
      <c r="H81" s="4" t="s">
        <v>25</v>
      </c>
      <c r="I81" s="194" t="s">
        <v>183</v>
      </c>
      <c r="J81" s="153">
        <v>2</v>
      </c>
      <c r="K81" s="153">
        <v>1584</v>
      </c>
      <c r="L81" s="153">
        <f t="shared" si="3"/>
        <v>3168</v>
      </c>
      <c r="M81" s="51"/>
      <c r="N81" s="68" t="s">
        <v>184</v>
      </c>
      <c r="O81" s="83"/>
      <c r="P81" s="280" t="s">
        <v>563</v>
      </c>
      <c r="Q81" s="11">
        <v>45876</v>
      </c>
      <c r="R81" s="80"/>
      <c r="S81" s="279">
        <v>45901</v>
      </c>
      <c r="T81" s="39">
        <v>45902</v>
      </c>
      <c r="U81" s="45">
        <v>45902</v>
      </c>
    </row>
    <row r="82" spans="1:21" s="3" customFormat="1" ht="19.5" customHeight="1" x14ac:dyDescent="0.15">
      <c r="A82" s="197" t="s">
        <v>39</v>
      </c>
      <c r="B82" s="121"/>
      <c r="C82" s="121"/>
      <c r="D82" s="132"/>
      <c r="E82" s="57">
        <v>2</v>
      </c>
      <c r="F82" s="134">
        <f t="shared" si="4"/>
        <v>63</v>
      </c>
      <c r="G82" s="4" t="s">
        <v>25</v>
      </c>
      <c r="H82" s="4" t="s">
        <v>25</v>
      </c>
      <c r="I82" s="194" t="s">
        <v>185</v>
      </c>
      <c r="J82" s="153">
        <v>1</v>
      </c>
      <c r="K82" s="153">
        <v>2545</v>
      </c>
      <c r="L82" s="153">
        <f t="shared" si="3"/>
        <v>2545</v>
      </c>
      <c r="M82" s="51"/>
      <c r="N82" s="68" t="s">
        <v>186</v>
      </c>
      <c r="O82" s="83"/>
      <c r="P82" s="280" t="s">
        <v>563</v>
      </c>
      <c r="Q82" s="11">
        <v>45876</v>
      </c>
      <c r="R82" s="80"/>
      <c r="S82" s="279">
        <v>45901</v>
      </c>
      <c r="T82" s="39">
        <v>45902</v>
      </c>
      <c r="U82" s="45">
        <v>45902</v>
      </c>
    </row>
    <row r="83" spans="1:21" s="3" customFormat="1" ht="19.5" customHeight="1" x14ac:dyDescent="0.15">
      <c r="A83" s="197" t="s">
        <v>39</v>
      </c>
      <c r="B83" s="121"/>
      <c r="C83" s="121"/>
      <c r="D83" s="132"/>
      <c r="E83" s="57">
        <v>2</v>
      </c>
      <c r="F83" s="134">
        <f t="shared" si="4"/>
        <v>64</v>
      </c>
      <c r="G83" s="69" t="s">
        <v>41</v>
      </c>
      <c r="H83" s="4" t="s">
        <v>25</v>
      </c>
      <c r="I83" s="194" t="s">
        <v>187</v>
      </c>
      <c r="J83" s="153">
        <v>1</v>
      </c>
      <c r="K83" s="191">
        <v>4070</v>
      </c>
      <c r="L83" s="153">
        <f>J83*K83</f>
        <v>4070</v>
      </c>
      <c r="M83" s="51"/>
      <c r="N83" s="68" t="s">
        <v>188</v>
      </c>
      <c r="O83" s="83"/>
      <c r="P83" s="280" t="s">
        <v>563</v>
      </c>
      <c r="Q83" s="11">
        <v>45876</v>
      </c>
      <c r="R83" s="80"/>
      <c r="S83" s="279">
        <v>45901</v>
      </c>
      <c r="T83" s="39">
        <v>45902</v>
      </c>
      <c r="U83" s="45">
        <v>45902</v>
      </c>
    </row>
    <row r="84" spans="1:21" s="3" customFormat="1" ht="19.5" customHeight="1" x14ac:dyDescent="0.15">
      <c r="A84" s="193" t="s">
        <v>30</v>
      </c>
      <c r="B84" s="1"/>
      <c r="C84" s="1"/>
      <c r="D84" s="49"/>
      <c r="E84" s="57">
        <v>2</v>
      </c>
      <c r="F84" s="134">
        <f t="shared" si="4"/>
        <v>65</v>
      </c>
      <c r="G84" s="4" t="s">
        <v>25</v>
      </c>
      <c r="H84" s="4" t="s">
        <v>25</v>
      </c>
      <c r="I84" s="195" t="s">
        <v>189</v>
      </c>
      <c r="J84" s="191">
        <v>2</v>
      </c>
      <c r="K84" s="153">
        <v>127</v>
      </c>
      <c r="L84" s="153">
        <f t="shared" ref="L84:L86" si="5">J84*K84</f>
        <v>254</v>
      </c>
      <c r="M84" s="51"/>
      <c r="N84" s="133" t="s">
        <v>225</v>
      </c>
      <c r="O84" s="83"/>
      <c r="P84" s="280" t="s">
        <v>563</v>
      </c>
      <c r="Q84" s="11">
        <v>45876</v>
      </c>
      <c r="R84" s="80"/>
      <c r="S84" s="279">
        <v>45901</v>
      </c>
      <c r="T84" s="39">
        <v>45902</v>
      </c>
      <c r="U84" s="45">
        <v>45902</v>
      </c>
    </row>
    <row r="85" spans="1:21" s="3" customFormat="1" ht="19.5" customHeight="1" x14ac:dyDescent="0.15">
      <c r="A85" s="193" t="s">
        <v>30</v>
      </c>
      <c r="B85" s="1"/>
      <c r="C85" s="1"/>
      <c r="D85" s="49"/>
      <c r="E85" s="57">
        <v>2</v>
      </c>
      <c r="F85" s="134">
        <f t="shared" si="4"/>
        <v>66</v>
      </c>
      <c r="G85" s="4" t="s">
        <v>25</v>
      </c>
      <c r="H85" s="4" t="s">
        <v>25</v>
      </c>
      <c r="I85" s="194" t="s">
        <v>190</v>
      </c>
      <c r="J85" s="153">
        <v>6</v>
      </c>
      <c r="K85" s="191">
        <v>20</v>
      </c>
      <c r="L85" s="153">
        <f t="shared" si="5"/>
        <v>120</v>
      </c>
      <c r="M85" s="51"/>
      <c r="N85" s="68" t="s">
        <v>191</v>
      </c>
      <c r="O85" s="83"/>
      <c r="P85" s="280" t="s">
        <v>563</v>
      </c>
      <c r="Q85" s="11">
        <v>45876</v>
      </c>
      <c r="R85" s="80"/>
      <c r="S85" s="279">
        <v>45901</v>
      </c>
      <c r="T85" s="39">
        <v>45902</v>
      </c>
      <c r="U85" s="45">
        <v>45902</v>
      </c>
    </row>
    <row r="86" spans="1:21" s="3" customFormat="1" ht="19.5" customHeight="1" x14ac:dyDescent="0.15">
      <c r="A86" s="193" t="s">
        <v>30</v>
      </c>
      <c r="B86" s="1"/>
      <c r="C86" s="1"/>
      <c r="D86" s="49"/>
      <c r="E86" s="57">
        <v>2</v>
      </c>
      <c r="F86" s="134">
        <f t="shared" si="4"/>
        <v>67</v>
      </c>
      <c r="G86" s="4" t="s">
        <v>25</v>
      </c>
      <c r="H86" s="4" t="s">
        <v>25</v>
      </c>
      <c r="I86" s="194" t="s">
        <v>214</v>
      </c>
      <c r="J86" s="153">
        <v>2</v>
      </c>
      <c r="K86" s="191">
        <v>112</v>
      </c>
      <c r="L86" s="153">
        <f t="shared" si="5"/>
        <v>224</v>
      </c>
      <c r="M86" s="51"/>
      <c r="N86" s="68" t="s">
        <v>192</v>
      </c>
      <c r="O86" s="83"/>
      <c r="P86" s="280" t="s">
        <v>563</v>
      </c>
      <c r="Q86" s="11">
        <v>45876</v>
      </c>
      <c r="R86" s="80"/>
      <c r="S86" s="279">
        <v>45901</v>
      </c>
      <c r="T86" s="39">
        <v>45902</v>
      </c>
      <c r="U86" s="45">
        <v>45902</v>
      </c>
    </row>
    <row r="87" spans="1:21" s="3" customFormat="1" ht="19.5" customHeight="1" x14ac:dyDescent="0.15">
      <c r="A87" s="193" t="s">
        <v>30</v>
      </c>
      <c r="B87" s="1"/>
      <c r="C87" s="1"/>
      <c r="D87" s="49"/>
      <c r="E87" s="57">
        <v>2</v>
      </c>
      <c r="F87" s="134">
        <f t="shared" si="4"/>
        <v>68</v>
      </c>
      <c r="G87" s="4" t="s">
        <v>25</v>
      </c>
      <c r="H87" s="4" t="s">
        <v>25</v>
      </c>
      <c r="I87" s="194" t="s">
        <v>194</v>
      </c>
      <c r="J87" s="193">
        <v>2</v>
      </c>
      <c r="K87" s="156">
        <v>287</v>
      </c>
      <c r="L87" s="156">
        <f t="shared" si="3"/>
        <v>574</v>
      </c>
      <c r="M87" s="51"/>
      <c r="N87" s="68" t="s">
        <v>195</v>
      </c>
      <c r="O87" s="83"/>
      <c r="P87" s="280" t="s">
        <v>563</v>
      </c>
      <c r="Q87" s="11">
        <v>45876</v>
      </c>
      <c r="R87" s="80"/>
      <c r="S87" s="279">
        <v>45901</v>
      </c>
      <c r="T87" s="39">
        <v>45902</v>
      </c>
      <c r="U87" s="45">
        <v>45902</v>
      </c>
    </row>
    <row r="88" spans="1:21" s="3" customFormat="1" ht="19.5" customHeight="1" x14ac:dyDescent="0.15">
      <c r="A88" s="193" t="s">
        <v>30</v>
      </c>
      <c r="B88" s="1"/>
      <c r="C88" s="1"/>
      <c r="D88" s="49"/>
      <c r="E88" s="57">
        <v>2</v>
      </c>
      <c r="F88" s="134">
        <f t="shared" si="4"/>
        <v>69</v>
      </c>
      <c r="G88" s="4" t="s">
        <v>25</v>
      </c>
      <c r="H88" s="4" t="s">
        <v>25</v>
      </c>
      <c r="I88" s="194" t="s">
        <v>196</v>
      </c>
      <c r="J88" s="193">
        <v>3</v>
      </c>
      <c r="K88" s="156">
        <v>287</v>
      </c>
      <c r="L88" s="156">
        <f t="shared" si="3"/>
        <v>861</v>
      </c>
      <c r="M88" s="51"/>
      <c r="N88" s="68" t="s">
        <v>197</v>
      </c>
      <c r="O88" s="83"/>
      <c r="P88" s="280" t="s">
        <v>563</v>
      </c>
      <c r="Q88" s="11">
        <v>45876</v>
      </c>
      <c r="R88" s="80"/>
      <c r="S88" s="279">
        <v>45901</v>
      </c>
      <c r="T88" s="39">
        <v>45902</v>
      </c>
      <c r="U88" s="45">
        <v>45902</v>
      </c>
    </row>
    <row r="89" spans="1:21" s="3" customFormat="1" ht="19.5" customHeight="1" x14ac:dyDescent="0.15">
      <c r="A89"/>
      <c r="B89"/>
      <c r="C89"/>
      <c r="D89"/>
      <c r="E89" s="24"/>
      <c r="F89" s="122"/>
      <c r="G89" s="40"/>
      <c r="H89" s="40"/>
      <c r="I89" s="113"/>
      <c r="J89" s="114"/>
      <c r="K89" s="115"/>
      <c r="L89" s="116"/>
      <c r="M89" s="117"/>
      <c r="N89" s="118"/>
      <c r="O89" s="54"/>
      <c r="P89" s="44"/>
      <c r="Q89" s="11"/>
      <c r="R89" s="80"/>
      <c r="S89" s="38"/>
      <c r="T89" s="39"/>
      <c r="U89" s="41"/>
    </row>
    <row r="90" spans="1:21" s="3" customFormat="1" ht="19.5" customHeight="1" x14ac:dyDescent="0.15">
      <c r="A90"/>
      <c r="B90"/>
      <c r="C90"/>
      <c r="D90"/>
      <c r="E90" s="24"/>
      <c r="F90" s="123"/>
      <c r="G90" s="40"/>
      <c r="H90" s="119"/>
      <c r="I90" s="314">
        <f>SUM(L34:L88)</f>
        <v>129912</v>
      </c>
      <c r="J90" s="315"/>
      <c r="K90" s="315"/>
      <c r="L90" s="316"/>
      <c r="M90" s="120"/>
      <c r="N90" s="118"/>
      <c r="O90" s="54"/>
      <c r="P90" s="44"/>
      <c r="Q90" s="11"/>
      <c r="R90" s="80"/>
      <c r="S90" s="38"/>
      <c r="T90" s="39"/>
      <c r="U90" s="41"/>
    </row>
    <row r="91" spans="1:21" s="3" customFormat="1" ht="19.5" customHeight="1" x14ac:dyDescent="0.15">
      <c r="E91" s="50"/>
      <c r="F91" s="84"/>
      <c r="G91" s="43"/>
      <c r="H91" s="43"/>
      <c r="I91" s="46"/>
      <c r="J91" s="44"/>
      <c r="K91" s="82"/>
      <c r="L91" s="43"/>
      <c r="M91" s="44"/>
      <c r="N91" s="47"/>
      <c r="O91" s="44"/>
      <c r="P91" s="44"/>
      <c r="Q91" s="11"/>
      <c r="R91" s="80"/>
      <c r="S91" s="38"/>
      <c r="T91" s="39"/>
      <c r="U91" s="41"/>
    </row>
    <row r="92" spans="1:21" s="3" customFormat="1" ht="19.5" customHeight="1" x14ac:dyDescent="0.15">
      <c r="E92" s="50"/>
      <c r="F92" s="84"/>
      <c r="G92" s="43"/>
      <c r="H92" s="43"/>
      <c r="I92" s="46"/>
      <c r="J92" s="44"/>
      <c r="K92" s="82"/>
      <c r="L92" s="43"/>
      <c r="M92" s="44"/>
      <c r="N92" s="47"/>
      <c r="O92" s="44"/>
      <c r="P92" s="44"/>
      <c r="Q92" s="11"/>
      <c r="R92" s="80"/>
      <c r="S92" s="38"/>
      <c r="T92" s="39"/>
      <c r="U92" s="41"/>
    </row>
    <row r="93" spans="1:21" s="3" customFormat="1" ht="19.5" customHeight="1" x14ac:dyDescent="0.15">
      <c r="E93" s="50"/>
      <c r="F93" s="84"/>
      <c r="G93" s="43"/>
      <c r="H93" s="43"/>
      <c r="I93" s="46"/>
      <c r="J93" s="44"/>
      <c r="K93" s="82"/>
      <c r="L93" s="43"/>
      <c r="M93" s="44"/>
      <c r="N93" s="47"/>
      <c r="O93" s="44"/>
      <c r="P93" s="44"/>
      <c r="Q93" s="11"/>
      <c r="R93" s="80"/>
      <c r="S93" s="38"/>
      <c r="T93" s="39"/>
      <c r="U93" s="41"/>
    </row>
    <row r="94" spans="1:21" s="3" customFormat="1" ht="19.5" customHeight="1" x14ac:dyDescent="0.15">
      <c r="E94" s="50"/>
      <c r="F94" s="84"/>
      <c r="G94" s="43"/>
      <c r="H94" s="43"/>
      <c r="I94" s="46"/>
      <c r="J94" s="44"/>
      <c r="K94" s="82"/>
      <c r="L94" s="43"/>
      <c r="M94" s="44"/>
      <c r="N94" s="47"/>
      <c r="O94" s="44"/>
      <c r="P94" s="44"/>
      <c r="Q94" s="11"/>
      <c r="R94" s="80"/>
      <c r="S94" s="38"/>
      <c r="T94" s="39"/>
      <c r="U94" s="41"/>
    </row>
    <row r="95" spans="1:21" s="3" customFormat="1" ht="19.5" customHeight="1" x14ac:dyDescent="0.15">
      <c r="E95" s="50"/>
      <c r="F95" s="84"/>
      <c r="G95" s="43"/>
      <c r="H95" s="43"/>
      <c r="I95" s="46"/>
      <c r="J95" s="44"/>
      <c r="K95" s="82"/>
      <c r="L95" s="43"/>
      <c r="M95" s="44"/>
      <c r="N95" s="47"/>
      <c r="O95" s="44"/>
      <c r="P95" s="44"/>
      <c r="Q95" s="11"/>
      <c r="R95" s="80"/>
      <c r="S95" s="38"/>
      <c r="T95" s="39"/>
      <c r="U95" s="41"/>
    </row>
    <row r="96" spans="1:21" s="3" customFormat="1" ht="19.5" customHeight="1" x14ac:dyDescent="0.15">
      <c r="E96" s="50"/>
      <c r="F96" s="84"/>
      <c r="G96" s="43"/>
      <c r="H96" s="43"/>
      <c r="I96" s="46"/>
      <c r="J96" s="44"/>
      <c r="K96" s="82"/>
      <c r="L96" s="43"/>
      <c r="M96" s="44"/>
      <c r="N96" s="47"/>
      <c r="O96" s="44"/>
      <c r="P96" s="44"/>
      <c r="Q96" s="11"/>
      <c r="R96" s="80"/>
      <c r="S96" s="38"/>
      <c r="T96" s="39"/>
      <c r="U96" s="41"/>
    </row>
    <row r="97" spans="1:21" ht="18" customHeight="1" x14ac:dyDescent="0.15">
      <c r="E97" s="202"/>
      <c r="F97" s="193"/>
      <c r="G97" s="299" t="s">
        <v>48</v>
      </c>
      <c r="H97" s="300"/>
      <c r="I97" s="301"/>
      <c r="J97" s="86"/>
      <c r="K97" s="87"/>
      <c r="L97" s="29"/>
      <c r="M97" s="1"/>
      <c r="N97" s="88"/>
      <c r="O97" s="48"/>
      <c r="P97" s="55"/>
      <c r="Q97" s="39"/>
      <c r="R97" s="41"/>
      <c r="S97" s="41"/>
      <c r="T97" s="39"/>
      <c r="U97" s="45"/>
    </row>
    <row r="98" spans="1:21" ht="18" customHeight="1" x14ac:dyDescent="0.15">
      <c r="A98" s="193" t="s">
        <v>39</v>
      </c>
      <c r="B98" s="1"/>
      <c r="C98" s="1"/>
      <c r="D98" s="49"/>
      <c r="E98" s="141">
        <v>15</v>
      </c>
      <c r="F98" s="89">
        <f>+F88+1</f>
        <v>70</v>
      </c>
      <c r="G98" s="4" t="s">
        <v>25</v>
      </c>
      <c r="H98" s="4" t="s">
        <v>25</v>
      </c>
      <c r="I98" s="195" t="s">
        <v>49</v>
      </c>
      <c r="J98" s="200">
        <v>1</v>
      </c>
      <c r="K98" s="263">
        <v>2484</v>
      </c>
      <c r="L98" s="263">
        <f t="shared" ref="L98:L102" si="6">J98*K98</f>
        <v>2484</v>
      </c>
      <c r="M98" s="60"/>
      <c r="N98" s="88" t="s">
        <v>50</v>
      </c>
      <c r="O98" s="48"/>
      <c r="P98" s="280" t="s">
        <v>563</v>
      </c>
      <c r="Q98" s="11">
        <v>45876</v>
      </c>
      <c r="R98" s="80"/>
      <c r="S98" s="279">
        <v>45901</v>
      </c>
      <c r="T98" s="39">
        <v>45902</v>
      </c>
      <c r="U98" s="45">
        <v>45902</v>
      </c>
    </row>
    <row r="99" spans="1:21" ht="18" customHeight="1" x14ac:dyDescent="0.15">
      <c r="A99" s="193" t="s">
        <v>39</v>
      </c>
      <c r="B99" s="1"/>
      <c r="C99" s="1"/>
      <c r="D99" s="49"/>
      <c r="E99" s="141">
        <v>15</v>
      </c>
      <c r="F99" s="89">
        <f>+F98+1</f>
        <v>71</v>
      </c>
      <c r="G99" s="4" t="s">
        <v>25</v>
      </c>
      <c r="H99" s="4" t="s">
        <v>25</v>
      </c>
      <c r="I99" s="195" t="s">
        <v>51</v>
      </c>
      <c r="J99" s="200">
        <v>1</v>
      </c>
      <c r="K99" s="263">
        <v>2581</v>
      </c>
      <c r="L99" s="263">
        <f t="shared" si="6"/>
        <v>2581</v>
      </c>
      <c r="M99" s="60"/>
      <c r="N99" s="88" t="s">
        <v>52</v>
      </c>
      <c r="O99" s="48"/>
      <c r="P99" s="280" t="s">
        <v>563</v>
      </c>
      <c r="Q99" s="11">
        <v>45876</v>
      </c>
      <c r="R99" s="80"/>
      <c r="S99" s="279">
        <v>45901</v>
      </c>
      <c r="T99" s="39">
        <v>45902</v>
      </c>
      <c r="U99" s="45">
        <v>45902</v>
      </c>
    </row>
    <row r="100" spans="1:21" ht="18" customHeight="1" x14ac:dyDescent="0.15">
      <c r="A100" s="193" t="s">
        <v>45</v>
      </c>
      <c r="B100" s="1"/>
      <c r="C100" s="1"/>
      <c r="D100" s="49"/>
      <c r="E100" s="141">
        <v>15</v>
      </c>
      <c r="F100" s="89">
        <f t="shared" ref="F100:F106" si="7">+F99+1</f>
        <v>72</v>
      </c>
      <c r="G100" s="4" t="s">
        <v>25</v>
      </c>
      <c r="H100" s="4" t="s">
        <v>25</v>
      </c>
      <c r="I100" s="195" t="s">
        <v>53</v>
      </c>
      <c r="J100" s="200">
        <v>1</v>
      </c>
      <c r="K100" s="263">
        <v>6480</v>
      </c>
      <c r="L100" s="263">
        <f t="shared" si="6"/>
        <v>6480</v>
      </c>
      <c r="M100" s="60"/>
      <c r="N100" s="88" t="s">
        <v>54</v>
      </c>
      <c r="O100" s="48"/>
      <c r="P100" s="280" t="s">
        <v>563</v>
      </c>
      <c r="Q100" s="11">
        <v>45876</v>
      </c>
      <c r="R100" s="80"/>
      <c r="S100" s="279">
        <v>45901</v>
      </c>
      <c r="T100" s="39">
        <v>45902</v>
      </c>
      <c r="U100" s="45">
        <v>45902</v>
      </c>
    </row>
    <row r="101" spans="1:21" ht="18" customHeight="1" x14ac:dyDescent="0.15">
      <c r="A101" s="193" t="s">
        <v>55</v>
      </c>
      <c r="B101" s="1"/>
      <c r="C101" s="1"/>
      <c r="D101" s="49"/>
      <c r="E101" s="141">
        <v>15</v>
      </c>
      <c r="F101" s="89">
        <f t="shared" si="7"/>
        <v>73</v>
      </c>
      <c r="G101" s="4" t="s">
        <v>25</v>
      </c>
      <c r="H101" s="4" t="s">
        <v>25</v>
      </c>
      <c r="I101" s="195" t="s">
        <v>56</v>
      </c>
      <c r="J101" s="200">
        <v>2</v>
      </c>
      <c r="K101" s="263">
        <v>244</v>
      </c>
      <c r="L101" s="263">
        <f t="shared" si="6"/>
        <v>488</v>
      </c>
      <c r="M101" s="60"/>
      <c r="N101" s="88" t="s">
        <v>57</v>
      </c>
      <c r="O101" s="48"/>
      <c r="P101" s="280" t="s">
        <v>563</v>
      </c>
      <c r="Q101" s="11">
        <v>45876</v>
      </c>
      <c r="R101" s="80"/>
      <c r="S101" s="279">
        <v>45901</v>
      </c>
      <c r="T101" s="39">
        <v>45902</v>
      </c>
      <c r="U101" s="45">
        <v>45902</v>
      </c>
    </row>
    <row r="102" spans="1:21" ht="18" customHeight="1" x14ac:dyDescent="0.15">
      <c r="A102" s="193" t="s">
        <v>30</v>
      </c>
      <c r="B102" s="1"/>
      <c r="C102" s="1"/>
      <c r="D102" s="49"/>
      <c r="E102" s="141">
        <v>15</v>
      </c>
      <c r="F102" s="89">
        <f t="shared" si="7"/>
        <v>74</v>
      </c>
      <c r="G102" s="4" t="s">
        <v>25</v>
      </c>
      <c r="H102" s="4" t="s">
        <v>25</v>
      </c>
      <c r="I102" s="195" t="s">
        <v>58</v>
      </c>
      <c r="J102" s="200">
        <v>7</v>
      </c>
      <c r="K102" s="263">
        <v>47</v>
      </c>
      <c r="L102" s="263">
        <f t="shared" si="6"/>
        <v>329</v>
      </c>
      <c r="M102" s="60"/>
      <c r="N102" s="88" t="s">
        <v>59</v>
      </c>
      <c r="O102" s="48"/>
      <c r="P102" s="280" t="s">
        <v>563</v>
      </c>
      <c r="Q102" s="11">
        <v>45876</v>
      </c>
      <c r="R102" s="80"/>
      <c r="S102" s="279">
        <v>45901</v>
      </c>
      <c r="T102" s="39">
        <v>45902</v>
      </c>
      <c r="U102" s="45">
        <v>45902</v>
      </c>
    </row>
    <row r="103" spans="1:21" ht="18" customHeight="1" x14ac:dyDescent="0.15">
      <c r="A103" s="193" t="s">
        <v>39</v>
      </c>
      <c r="B103" s="1"/>
      <c r="C103" s="1"/>
      <c r="D103" s="49"/>
      <c r="E103" s="141">
        <v>15</v>
      </c>
      <c r="F103" s="89">
        <f t="shared" si="7"/>
        <v>75</v>
      </c>
      <c r="G103" s="4" t="s">
        <v>25</v>
      </c>
      <c r="H103" s="4" t="s">
        <v>25</v>
      </c>
      <c r="I103" s="203" t="s">
        <v>60</v>
      </c>
      <c r="J103" s="193">
        <v>1</v>
      </c>
      <c r="K103" s="156">
        <v>1016</v>
      </c>
      <c r="L103" s="156">
        <f>J103*K103</f>
        <v>1016</v>
      </c>
      <c r="M103" s="2"/>
      <c r="N103" s="24" t="s">
        <v>61</v>
      </c>
      <c r="O103" s="48"/>
      <c r="P103" s="280" t="s">
        <v>563</v>
      </c>
      <c r="Q103" s="11">
        <v>45876</v>
      </c>
      <c r="R103" s="80"/>
      <c r="S103" s="279">
        <v>45901</v>
      </c>
      <c r="T103" s="39">
        <v>45902</v>
      </c>
      <c r="U103" s="45">
        <v>45902</v>
      </c>
    </row>
    <row r="104" spans="1:21" ht="18" customHeight="1" x14ac:dyDescent="0.15">
      <c r="A104" s="193" t="s">
        <v>30</v>
      </c>
      <c r="B104" s="1"/>
      <c r="C104" s="1"/>
      <c r="D104" s="49"/>
      <c r="E104" s="141">
        <v>15</v>
      </c>
      <c r="F104" s="89">
        <f t="shared" si="7"/>
        <v>76</v>
      </c>
      <c r="G104" s="4" t="s">
        <v>25</v>
      </c>
      <c r="H104" s="4" t="s">
        <v>25</v>
      </c>
      <c r="I104" s="203" t="s">
        <v>62</v>
      </c>
      <c r="J104" s="193">
        <v>1</v>
      </c>
      <c r="K104" s="156">
        <v>742</v>
      </c>
      <c r="L104" s="156">
        <f>J104*K104</f>
        <v>742</v>
      </c>
      <c r="M104" s="2"/>
      <c r="N104" s="24" t="s">
        <v>63</v>
      </c>
      <c r="O104" s="48"/>
      <c r="P104" s="280" t="s">
        <v>563</v>
      </c>
      <c r="Q104" s="11">
        <v>45876</v>
      </c>
      <c r="R104" s="80"/>
      <c r="S104" s="279">
        <v>45901</v>
      </c>
      <c r="T104" s="39">
        <v>45902</v>
      </c>
      <c r="U104" s="45">
        <v>45902</v>
      </c>
    </row>
    <row r="105" spans="1:21" ht="18" customHeight="1" x14ac:dyDescent="0.15">
      <c r="A105" s="193" t="s">
        <v>30</v>
      </c>
      <c r="B105" s="1"/>
      <c r="C105" s="1"/>
      <c r="D105" s="49"/>
      <c r="E105" s="141">
        <v>15</v>
      </c>
      <c r="F105" s="89">
        <f t="shared" si="7"/>
        <v>77</v>
      </c>
      <c r="G105" s="112" t="s">
        <v>25</v>
      </c>
      <c r="H105" s="112" t="s">
        <v>25</v>
      </c>
      <c r="I105" s="204" t="s">
        <v>64</v>
      </c>
      <c r="J105" s="205">
        <v>10</v>
      </c>
      <c r="K105" s="263">
        <v>17</v>
      </c>
      <c r="L105" s="263">
        <f>J105*K105</f>
        <v>170</v>
      </c>
      <c r="M105" s="60"/>
      <c r="N105" s="88" t="s">
        <v>65</v>
      </c>
      <c r="O105" s="48"/>
      <c r="P105" s="280" t="s">
        <v>563</v>
      </c>
      <c r="Q105" s="11">
        <v>45876</v>
      </c>
      <c r="R105" s="80"/>
      <c r="S105" s="279">
        <v>45901</v>
      </c>
      <c r="T105" s="39">
        <v>45902</v>
      </c>
      <c r="U105" s="45">
        <v>45902</v>
      </c>
    </row>
    <row r="106" spans="1:21" ht="18" customHeight="1" x14ac:dyDescent="0.15">
      <c r="A106" s="193" t="s">
        <v>30</v>
      </c>
      <c r="B106" s="1"/>
      <c r="C106" s="1"/>
      <c r="D106" s="49"/>
      <c r="E106" s="141">
        <v>15</v>
      </c>
      <c r="F106" s="89">
        <f t="shared" si="7"/>
        <v>78</v>
      </c>
      <c r="G106" s="112" t="s">
        <v>25</v>
      </c>
      <c r="H106" s="112" t="s">
        <v>25</v>
      </c>
      <c r="I106" s="204" t="s">
        <v>66</v>
      </c>
      <c r="J106" s="205">
        <v>6</v>
      </c>
      <c r="K106" s="263">
        <v>91</v>
      </c>
      <c r="L106" s="264">
        <f>J106*K106</f>
        <v>546</v>
      </c>
      <c r="M106" s="60"/>
      <c r="N106" s="88" t="s">
        <v>67</v>
      </c>
      <c r="O106" s="48"/>
      <c r="P106" s="280" t="s">
        <v>563</v>
      </c>
      <c r="Q106" s="11">
        <v>45876</v>
      </c>
      <c r="R106" s="80"/>
      <c r="S106" s="279">
        <v>45901</v>
      </c>
      <c r="T106" s="39">
        <v>45902</v>
      </c>
      <c r="U106" s="45">
        <v>45902</v>
      </c>
    </row>
    <row r="107" spans="1:21" ht="18" customHeight="1" x14ac:dyDescent="0.15">
      <c r="E107" s="24"/>
      <c r="F107" s="1"/>
      <c r="G107" s="91"/>
      <c r="H107" s="91"/>
      <c r="I107" s="92"/>
      <c r="J107" s="86"/>
      <c r="K107" s="87"/>
      <c r="L107" s="29"/>
      <c r="M107" s="1"/>
      <c r="N107" s="88"/>
      <c r="O107" s="48"/>
      <c r="P107" s="90"/>
      <c r="Q107" s="81"/>
      <c r="R107" s="41"/>
      <c r="S107" s="63"/>
      <c r="T107" s="19"/>
      <c r="U107" s="45"/>
    </row>
    <row r="108" spans="1:21" ht="18" customHeight="1" x14ac:dyDescent="0.15">
      <c r="E108" s="24"/>
      <c r="F108" s="1"/>
      <c r="G108" s="91"/>
      <c r="H108" s="91"/>
      <c r="I108" s="302">
        <f>SUM(L98:L108)</f>
        <v>14836</v>
      </c>
      <c r="J108" s="303"/>
      <c r="K108" s="303"/>
      <c r="L108" s="304"/>
      <c r="M108" s="1"/>
      <c r="N108" s="88"/>
      <c r="O108" s="48"/>
      <c r="P108" s="90"/>
      <c r="Q108" s="81"/>
      <c r="R108" s="41"/>
      <c r="S108" s="63"/>
      <c r="T108" s="19"/>
      <c r="U108" s="45"/>
    </row>
    <row r="109" spans="1:21" s="3" customFormat="1" ht="19.5" customHeight="1" x14ac:dyDescent="0.15">
      <c r="E109" s="1"/>
      <c r="F109" s="84"/>
      <c r="G109" s="43"/>
      <c r="H109" s="43"/>
      <c r="I109" s="46"/>
      <c r="J109" s="44"/>
      <c r="K109" s="82"/>
      <c r="L109" s="43"/>
      <c r="M109" s="44"/>
      <c r="N109" s="47"/>
      <c r="O109" s="48"/>
      <c r="P109" s="90"/>
      <c r="Q109" s="81"/>
      <c r="R109" s="41"/>
      <c r="S109" s="63"/>
      <c r="T109" s="19"/>
      <c r="U109" s="45"/>
    </row>
    <row r="110" spans="1:21" s="3" customFormat="1" ht="19.5" customHeight="1" x14ac:dyDescent="0.15">
      <c r="E110" s="1"/>
      <c r="F110" s="84"/>
      <c r="G110" s="43"/>
      <c r="H110" s="43"/>
      <c r="I110" s="46"/>
      <c r="J110" s="44"/>
      <c r="K110" s="82"/>
      <c r="L110" s="43"/>
      <c r="M110" s="44"/>
      <c r="N110" s="47"/>
      <c r="O110" s="48"/>
      <c r="P110" s="90"/>
      <c r="Q110" s="81"/>
      <c r="R110" s="41"/>
      <c r="S110" s="63"/>
      <c r="T110" s="19"/>
      <c r="U110" s="45"/>
    </row>
    <row r="111" spans="1:21" s="3" customFormat="1" ht="19.5" customHeight="1" x14ac:dyDescent="0.15">
      <c r="E111" s="1"/>
      <c r="F111" s="84"/>
      <c r="G111" s="43"/>
      <c r="H111" s="43"/>
      <c r="I111" s="46"/>
      <c r="J111" s="44"/>
      <c r="K111" s="82"/>
      <c r="L111" s="43"/>
      <c r="M111" s="44"/>
      <c r="N111" s="47"/>
      <c r="O111" s="48"/>
      <c r="P111" s="90"/>
      <c r="Q111" s="81"/>
      <c r="R111" s="41"/>
      <c r="S111" s="63"/>
      <c r="T111" s="19"/>
      <c r="U111" s="45"/>
    </row>
    <row r="112" spans="1:21" ht="18" customHeight="1" x14ac:dyDescent="0.15">
      <c r="E112" s="216"/>
      <c r="F112" s="217"/>
      <c r="G112" s="305" t="s">
        <v>29</v>
      </c>
      <c r="H112" s="306"/>
      <c r="I112" s="307"/>
      <c r="J112" s="1"/>
      <c r="K112" s="1"/>
      <c r="L112" s="2"/>
      <c r="M112" s="2"/>
      <c r="N112" s="1"/>
      <c r="O112" s="48"/>
      <c r="P112" s="90"/>
      <c r="Q112" s="81"/>
      <c r="R112" s="41"/>
      <c r="S112" s="63"/>
      <c r="T112" s="19"/>
      <c r="U112" s="45"/>
    </row>
    <row r="113" spans="1:21" ht="18" customHeight="1" x14ac:dyDescent="0.15">
      <c r="A113" s="193" t="s">
        <v>30</v>
      </c>
      <c r="B113" s="1"/>
      <c r="C113" s="1"/>
      <c r="D113" s="49"/>
      <c r="E113" s="142">
        <v>5</v>
      </c>
      <c r="F113" s="134">
        <f>+F106+1</f>
        <v>79</v>
      </c>
      <c r="G113" s="4" t="s">
        <v>34</v>
      </c>
      <c r="H113" s="4" t="s">
        <v>34</v>
      </c>
      <c r="I113" s="206" t="s">
        <v>35</v>
      </c>
      <c r="J113" s="207">
        <v>1</v>
      </c>
      <c r="K113" s="265">
        <v>5500</v>
      </c>
      <c r="L113" s="261">
        <f t="shared" ref="L113:L137" si="8">J113*K113</f>
        <v>5500</v>
      </c>
      <c r="M113" s="65"/>
      <c r="N113" s="66" t="s">
        <v>36</v>
      </c>
      <c r="O113" s="48"/>
      <c r="P113" s="280" t="s">
        <v>563</v>
      </c>
      <c r="Q113" s="11">
        <v>45876</v>
      </c>
      <c r="R113" s="80"/>
      <c r="S113" s="279">
        <v>45901</v>
      </c>
      <c r="T113" s="39">
        <v>45902</v>
      </c>
      <c r="U113" s="45">
        <v>45902</v>
      </c>
    </row>
    <row r="114" spans="1:21" ht="18" customHeight="1" x14ac:dyDescent="0.15">
      <c r="A114" s="197" t="s">
        <v>40</v>
      </c>
      <c r="B114" s="121"/>
      <c r="C114" s="121"/>
      <c r="D114" s="132"/>
      <c r="E114" s="142">
        <v>5</v>
      </c>
      <c r="F114" s="134">
        <f t="shared" ref="F114:F139" si="9">+F113+1</f>
        <v>80</v>
      </c>
      <c r="G114" s="69" t="s">
        <v>41</v>
      </c>
      <c r="H114" s="4" t="s">
        <v>25</v>
      </c>
      <c r="I114" s="195" t="s">
        <v>545</v>
      </c>
      <c r="J114" s="200">
        <v>1</v>
      </c>
      <c r="K114" s="213">
        <v>4870</v>
      </c>
      <c r="L114" s="261">
        <f t="shared" si="8"/>
        <v>4870</v>
      </c>
      <c r="M114" s="60"/>
      <c r="N114" s="85" t="s">
        <v>246</v>
      </c>
      <c r="O114" s="48"/>
      <c r="P114" s="280" t="s">
        <v>563</v>
      </c>
      <c r="Q114" s="11">
        <v>45876</v>
      </c>
      <c r="R114" s="80"/>
      <c r="S114" s="279">
        <v>45901</v>
      </c>
      <c r="T114" s="39">
        <v>45902</v>
      </c>
      <c r="U114" s="45">
        <v>45902</v>
      </c>
    </row>
    <row r="115" spans="1:21" ht="18" customHeight="1" x14ac:dyDescent="0.15">
      <c r="A115" s="132" t="s">
        <v>40</v>
      </c>
      <c r="B115" s="121"/>
      <c r="C115" s="121"/>
      <c r="D115" s="132"/>
      <c r="E115" s="142">
        <v>5</v>
      </c>
      <c r="F115" s="134">
        <f t="shared" si="9"/>
        <v>81</v>
      </c>
      <c r="G115" s="69" t="s">
        <v>41</v>
      </c>
      <c r="H115" s="4" t="s">
        <v>25</v>
      </c>
      <c r="I115" s="195" t="s">
        <v>268</v>
      </c>
      <c r="J115" s="200">
        <v>1</v>
      </c>
      <c r="K115" s="213">
        <v>2530</v>
      </c>
      <c r="L115" s="261">
        <f t="shared" si="8"/>
        <v>2530</v>
      </c>
      <c r="M115" s="60"/>
      <c r="N115" s="85" t="s">
        <v>247</v>
      </c>
      <c r="O115" s="48"/>
      <c r="P115" s="280" t="s">
        <v>563</v>
      </c>
      <c r="Q115" s="11">
        <v>45876</v>
      </c>
      <c r="R115" s="80"/>
      <c r="S115" s="279">
        <v>45901</v>
      </c>
      <c r="T115" s="39">
        <v>45902</v>
      </c>
      <c r="U115" s="45">
        <v>45902</v>
      </c>
    </row>
    <row r="116" spans="1:21" ht="18" customHeight="1" x14ac:dyDescent="0.15">
      <c r="A116" s="193" t="s">
        <v>30</v>
      </c>
      <c r="B116" s="1"/>
      <c r="C116" s="1"/>
      <c r="D116" s="49"/>
      <c r="E116" s="141">
        <v>15</v>
      </c>
      <c r="F116" s="134">
        <f t="shared" si="9"/>
        <v>82</v>
      </c>
      <c r="G116" s="112" t="s">
        <v>25</v>
      </c>
      <c r="H116" s="112" t="s">
        <v>25</v>
      </c>
      <c r="I116" s="195" t="s">
        <v>37</v>
      </c>
      <c r="J116" s="200">
        <v>12</v>
      </c>
      <c r="K116" s="213">
        <v>41</v>
      </c>
      <c r="L116" s="261">
        <f t="shared" si="8"/>
        <v>492</v>
      </c>
      <c r="M116" s="60"/>
      <c r="N116" s="85" t="s">
        <v>266</v>
      </c>
      <c r="O116" s="48"/>
      <c r="P116" s="280" t="s">
        <v>563</v>
      </c>
      <c r="Q116" s="11">
        <v>45876</v>
      </c>
      <c r="R116" s="80"/>
      <c r="S116" s="279">
        <v>45901</v>
      </c>
      <c r="T116" s="39">
        <v>45902</v>
      </c>
      <c r="U116" s="45">
        <v>45902</v>
      </c>
    </row>
    <row r="117" spans="1:21" ht="18" customHeight="1" x14ac:dyDescent="0.15">
      <c r="A117" s="193" t="s">
        <v>30</v>
      </c>
      <c r="B117" s="1"/>
      <c r="C117" s="1"/>
      <c r="D117" s="49"/>
      <c r="E117" s="141">
        <v>15</v>
      </c>
      <c r="F117" s="134">
        <f t="shared" si="9"/>
        <v>83</v>
      </c>
      <c r="G117" s="112" t="s">
        <v>25</v>
      </c>
      <c r="H117" s="112" t="s">
        <v>25</v>
      </c>
      <c r="I117" s="204" t="s">
        <v>64</v>
      </c>
      <c r="J117" s="205">
        <v>8</v>
      </c>
      <c r="K117" s="263">
        <v>127</v>
      </c>
      <c r="L117" s="261">
        <f t="shared" si="8"/>
        <v>1016</v>
      </c>
      <c r="M117" s="60"/>
      <c r="N117" s="88" t="s">
        <v>252</v>
      </c>
      <c r="O117" s="48"/>
      <c r="P117" s="280" t="s">
        <v>563</v>
      </c>
      <c r="Q117" s="11">
        <v>45876</v>
      </c>
      <c r="R117" s="80"/>
      <c r="S117" s="279">
        <v>45901</v>
      </c>
      <c r="T117" s="39">
        <v>45902</v>
      </c>
      <c r="U117" s="45">
        <v>45902</v>
      </c>
    </row>
    <row r="118" spans="1:21" ht="18" customHeight="1" x14ac:dyDescent="0.15">
      <c r="A118" s="193" t="s">
        <v>30</v>
      </c>
      <c r="B118" s="1"/>
      <c r="C118" s="1"/>
      <c r="D118" s="49"/>
      <c r="E118" s="141">
        <v>15</v>
      </c>
      <c r="F118" s="134">
        <f t="shared" si="9"/>
        <v>84</v>
      </c>
      <c r="G118" s="112" t="s">
        <v>25</v>
      </c>
      <c r="H118" s="112" t="s">
        <v>25</v>
      </c>
      <c r="I118" s="204" t="s">
        <v>248</v>
      </c>
      <c r="J118" s="205">
        <v>5</v>
      </c>
      <c r="K118" s="263">
        <v>120</v>
      </c>
      <c r="L118" s="261">
        <f t="shared" si="8"/>
        <v>600</v>
      </c>
      <c r="M118" s="60"/>
      <c r="N118" s="88" t="s">
        <v>250</v>
      </c>
      <c r="O118" s="48"/>
      <c r="P118" s="280" t="s">
        <v>563</v>
      </c>
      <c r="Q118" s="11">
        <v>45876</v>
      </c>
      <c r="R118" s="80"/>
      <c r="S118" s="279">
        <v>45901</v>
      </c>
      <c r="T118" s="39">
        <v>45902</v>
      </c>
      <c r="U118" s="45">
        <v>45902</v>
      </c>
    </row>
    <row r="119" spans="1:21" ht="18" customHeight="1" x14ac:dyDescent="0.15">
      <c r="A119" s="197" t="s">
        <v>40</v>
      </c>
      <c r="B119" s="121"/>
      <c r="C119" s="121"/>
      <c r="D119" s="132"/>
      <c r="E119" s="142">
        <v>5</v>
      </c>
      <c r="F119" s="134">
        <f t="shared" si="9"/>
        <v>85</v>
      </c>
      <c r="G119" s="69" t="s">
        <v>41</v>
      </c>
      <c r="H119" s="4" t="s">
        <v>25</v>
      </c>
      <c r="I119" s="195" t="s">
        <v>269</v>
      </c>
      <c r="J119" s="200">
        <v>1</v>
      </c>
      <c r="K119" s="213">
        <v>2720</v>
      </c>
      <c r="L119" s="261">
        <f t="shared" si="8"/>
        <v>2720</v>
      </c>
      <c r="M119" s="60"/>
      <c r="N119" s="85" t="s">
        <v>249</v>
      </c>
      <c r="O119" s="48"/>
      <c r="P119" s="280" t="s">
        <v>563</v>
      </c>
      <c r="Q119" s="11">
        <v>45876</v>
      </c>
      <c r="R119" s="80"/>
      <c r="S119" s="279">
        <v>45901</v>
      </c>
      <c r="T119" s="39">
        <v>45902</v>
      </c>
      <c r="U119" s="45">
        <v>45902</v>
      </c>
    </row>
    <row r="120" spans="1:21" ht="18" customHeight="1" x14ac:dyDescent="0.15">
      <c r="A120" s="197" t="s">
        <v>40</v>
      </c>
      <c r="B120" s="121"/>
      <c r="C120" s="121"/>
      <c r="D120" s="132"/>
      <c r="E120" s="142">
        <v>5</v>
      </c>
      <c r="F120" s="134">
        <f t="shared" si="9"/>
        <v>86</v>
      </c>
      <c r="G120" s="69" t="s">
        <v>41</v>
      </c>
      <c r="H120" s="4" t="s">
        <v>25</v>
      </c>
      <c r="I120" s="195" t="s">
        <v>270</v>
      </c>
      <c r="J120" s="200">
        <v>2</v>
      </c>
      <c r="K120" s="213">
        <v>2070</v>
      </c>
      <c r="L120" s="261">
        <f t="shared" si="8"/>
        <v>4140</v>
      </c>
      <c r="M120" s="60"/>
      <c r="N120" s="85" t="s">
        <v>251</v>
      </c>
      <c r="O120" s="48"/>
      <c r="P120" s="280" t="s">
        <v>563</v>
      </c>
      <c r="Q120" s="11">
        <v>45876</v>
      </c>
      <c r="R120" s="80"/>
      <c r="S120" s="279">
        <v>45901</v>
      </c>
      <c r="T120" s="39">
        <v>45902</v>
      </c>
      <c r="U120" s="45">
        <v>45902</v>
      </c>
    </row>
    <row r="121" spans="1:21" ht="18" customHeight="1" x14ac:dyDescent="0.15">
      <c r="A121" s="197" t="s">
        <v>40</v>
      </c>
      <c r="B121" s="125"/>
      <c r="C121" s="125"/>
      <c r="D121" s="2"/>
      <c r="E121" s="142"/>
      <c r="F121" s="134">
        <f t="shared" si="9"/>
        <v>87</v>
      </c>
      <c r="G121" s="69" t="s">
        <v>41</v>
      </c>
      <c r="H121" s="4" t="s">
        <v>25</v>
      </c>
      <c r="I121" s="195" t="s">
        <v>544</v>
      </c>
      <c r="J121" s="200">
        <v>1</v>
      </c>
      <c r="K121" s="213">
        <v>2550</v>
      </c>
      <c r="L121" s="261">
        <f t="shared" si="8"/>
        <v>2550</v>
      </c>
      <c r="M121" s="60"/>
      <c r="N121" s="85" t="s">
        <v>253</v>
      </c>
      <c r="O121" s="48"/>
      <c r="P121" s="280" t="s">
        <v>563</v>
      </c>
      <c r="Q121" s="11">
        <v>45876</v>
      </c>
      <c r="R121" s="80"/>
      <c r="S121" s="279">
        <v>45901</v>
      </c>
      <c r="T121" s="39">
        <v>45902</v>
      </c>
      <c r="U121" s="45">
        <v>45902</v>
      </c>
    </row>
    <row r="122" spans="1:21" ht="18" customHeight="1" x14ac:dyDescent="0.15">
      <c r="A122" s="193" t="s">
        <v>30</v>
      </c>
      <c r="B122" s="1"/>
      <c r="C122" s="1"/>
      <c r="D122" s="49"/>
      <c r="E122" s="142">
        <v>5</v>
      </c>
      <c r="F122" s="134">
        <f t="shared" si="9"/>
        <v>88</v>
      </c>
      <c r="G122" s="4" t="s">
        <v>25</v>
      </c>
      <c r="H122" s="4" t="s">
        <v>25</v>
      </c>
      <c r="I122" s="194" t="s">
        <v>31</v>
      </c>
      <c r="J122" s="193">
        <v>3</v>
      </c>
      <c r="K122" s="260">
        <v>71</v>
      </c>
      <c r="L122" s="261">
        <f t="shared" si="8"/>
        <v>213</v>
      </c>
      <c r="M122" s="2"/>
      <c r="N122" s="62" t="s">
        <v>263</v>
      </c>
      <c r="O122" s="48"/>
      <c r="P122" s="280" t="s">
        <v>563</v>
      </c>
      <c r="Q122" s="11">
        <v>45876</v>
      </c>
      <c r="R122" s="80"/>
      <c r="S122" s="279">
        <v>45901</v>
      </c>
      <c r="T122" s="39">
        <v>45902</v>
      </c>
      <c r="U122" s="45">
        <v>45902</v>
      </c>
    </row>
    <row r="123" spans="1:21" ht="18" customHeight="1" x14ac:dyDescent="0.15">
      <c r="A123" s="193" t="s">
        <v>30</v>
      </c>
      <c r="B123" s="1"/>
      <c r="C123" s="1"/>
      <c r="D123" s="2"/>
      <c r="E123" s="142"/>
      <c r="F123" s="134">
        <f t="shared" si="9"/>
        <v>89</v>
      </c>
      <c r="G123" s="4" t="s">
        <v>25</v>
      </c>
      <c r="H123" s="4" t="s">
        <v>25</v>
      </c>
      <c r="I123" s="195" t="s">
        <v>254</v>
      </c>
      <c r="J123" s="200">
        <v>6</v>
      </c>
      <c r="K123" s="213">
        <v>219</v>
      </c>
      <c r="L123" s="261">
        <f t="shared" si="8"/>
        <v>1314</v>
      </c>
      <c r="M123" s="60"/>
      <c r="N123" s="85" t="s">
        <v>264</v>
      </c>
      <c r="O123" s="48"/>
      <c r="P123" s="280" t="s">
        <v>563</v>
      </c>
      <c r="Q123" s="11">
        <v>45876</v>
      </c>
      <c r="R123" s="80"/>
      <c r="S123" s="279">
        <v>45901</v>
      </c>
      <c r="T123" s="39">
        <v>45902</v>
      </c>
      <c r="U123" s="45">
        <v>45902</v>
      </c>
    </row>
    <row r="124" spans="1:21" ht="18" customHeight="1" x14ac:dyDescent="0.15">
      <c r="A124" s="193" t="s">
        <v>30</v>
      </c>
      <c r="B124" s="1"/>
      <c r="C124" s="1"/>
      <c r="D124" s="2"/>
      <c r="E124" s="142"/>
      <c r="F124" s="134">
        <f t="shared" si="9"/>
        <v>90</v>
      </c>
      <c r="G124" s="4" t="s">
        <v>25</v>
      </c>
      <c r="H124" s="4" t="s">
        <v>25</v>
      </c>
      <c r="I124" s="195" t="s">
        <v>255</v>
      </c>
      <c r="J124" s="200">
        <v>6</v>
      </c>
      <c r="K124" s="213">
        <v>47</v>
      </c>
      <c r="L124" s="261">
        <f t="shared" si="8"/>
        <v>282</v>
      </c>
      <c r="M124" s="60"/>
      <c r="N124" s="85" t="s">
        <v>264</v>
      </c>
      <c r="O124" s="48"/>
      <c r="P124" s="280" t="s">
        <v>563</v>
      </c>
      <c r="Q124" s="11">
        <v>45876</v>
      </c>
      <c r="R124" s="80"/>
      <c r="S124" s="279">
        <v>45901</v>
      </c>
      <c r="T124" s="39">
        <v>45902</v>
      </c>
      <c r="U124" s="45">
        <v>45902</v>
      </c>
    </row>
    <row r="125" spans="1:21" ht="18" customHeight="1" x14ac:dyDescent="0.15">
      <c r="A125" s="193" t="s">
        <v>30</v>
      </c>
      <c r="B125" s="1"/>
      <c r="C125" s="1"/>
      <c r="D125" s="49"/>
      <c r="E125" s="142">
        <v>5</v>
      </c>
      <c r="F125" s="134">
        <f t="shared" si="9"/>
        <v>91</v>
      </c>
      <c r="G125" s="4" t="s">
        <v>25</v>
      </c>
      <c r="H125" s="4" t="s">
        <v>25</v>
      </c>
      <c r="I125" s="194" t="s">
        <v>38</v>
      </c>
      <c r="J125" s="193">
        <v>3</v>
      </c>
      <c r="K125" s="260">
        <v>30</v>
      </c>
      <c r="L125" s="261">
        <f t="shared" si="8"/>
        <v>90</v>
      </c>
      <c r="M125" s="2"/>
      <c r="N125" s="62" t="s">
        <v>265</v>
      </c>
      <c r="O125" s="48"/>
      <c r="P125" s="280" t="s">
        <v>563</v>
      </c>
      <c r="Q125" s="11">
        <v>45876</v>
      </c>
      <c r="R125" s="80"/>
      <c r="S125" s="279">
        <v>45901</v>
      </c>
      <c r="T125" s="39">
        <v>45902</v>
      </c>
      <c r="U125" s="45">
        <v>45902</v>
      </c>
    </row>
    <row r="126" spans="1:21" ht="18" customHeight="1" x14ac:dyDescent="0.15">
      <c r="A126" s="197" t="s">
        <v>40</v>
      </c>
      <c r="B126" s="1"/>
      <c r="C126" s="1"/>
      <c r="D126" s="132"/>
      <c r="E126" s="142">
        <v>5</v>
      </c>
      <c r="F126" s="134">
        <f t="shared" si="9"/>
        <v>92</v>
      </c>
      <c r="G126" s="69" t="s">
        <v>41</v>
      </c>
      <c r="H126" s="4" t="s">
        <v>25</v>
      </c>
      <c r="I126" s="195" t="s">
        <v>271</v>
      </c>
      <c r="J126" s="200">
        <v>1</v>
      </c>
      <c r="K126" s="213">
        <v>3391</v>
      </c>
      <c r="L126" s="261">
        <f t="shared" si="8"/>
        <v>3391</v>
      </c>
      <c r="M126" s="60"/>
      <c r="N126" s="85" t="s">
        <v>256</v>
      </c>
      <c r="O126" s="48"/>
      <c r="P126" s="280" t="s">
        <v>563</v>
      </c>
      <c r="Q126" s="11">
        <v>45876</v>
      </c>
      <c r="R126" s="80"/>
      <c r="S126" s="279">
        <v>45901</v>
      </c>
      <c r="T126" s="39">
        <v>45902</v>
      </c>
      <c r="U126" s="45">
        <v>45902</v>
      </c>
    </row>
    <row r="127" spans="1:21" ht="18" customHeight="1" x14ac:dyDescent="0.15">
      <c r="A127" s="193" t="s">
        <v>30</v>
      </c>
      <c r="B127" s="1"/>
      <c r="C127" s="1"/>
      <c r="D127" s="2"/>
      <c r="E127" s="142"/>
      <c r="F127" s="134">
        <f t="shared" si="9"/>
        <v>93</v>
      </c>
      <c r="G127" s="4" t="s">
        <v>25</v>
      </c>
      <c r="H127" s="4" t="s">
        <v>25</v>
      </c>
      <c r="I127" s="195" t="s">
        <v>257</v>
      </c>
      <c r="J127" s="200">
        <v>1</v>
      </c>
      <c r="K127" s="213">
        <v>167</v>
      </c>
      <c r="L127" s="261">
        <f t="shared" si="8"/>
        <v>167</v>
      </c>
      <c r="M127" s="60"/>
      <c r="N127" s="85" t="s">
        <v>288</v>
      </c>
      <c r="O127" s="48"/>
      <c r="P127" s="280" t="s">
        <v>563</v>
      </c>
      <c r="Q127" s="11">
        <v>45876</v>
      </c>
      <c r="R127" s="80"/>
      <c r="S127" s="279">
        <v>45901</v>
      </c>
      <c r="T127" s="39">
        <v>45902</v>
      </c>
      <c r="U127" s="45">
        <v>45902</v>
      </c>
    </row>
    <row r="128" spans="1:21" ht="18" customHeight="1" x14ac:dyDescent="0.15">
      <c r="A128" s="193" t="s">
        <v>30</v>
      </c>
      <c r="B128" s="1"/>
      <c r="C128" s="1"/>
      <c r="D128" s="2"/>
      <c r="E128" s="142"/>
      <c r="F128" s="134">
        <f t="shared" si="9"/>
        <v>94</v>
      </c>
      <c r="G128" s="1" t="s">
        <v>25</v>
      </c>
      <c r="H128" s="1" t="s">
        <v>25</v>
      </c>
      <c r="I128" s="195" t="s">
        <v>258</v>
      </c>
      <c r="J128" s="200">
        <v>4</v>
      </c>
      <c r="K128" s="213">
        <v>103</v>
      </c>
      <c r="L128" s="261">
        <f t="shared" si="8"/>
        <v>412</v>
      </c>
      <c r="M128" s="60"/>
      <c r="N128" s="85" t="s">
        <v>289</v>
      </c>
      <c r="O128" s="48"/>
      <c r="P128" s="280" t="s">
        <v>563</v>
      </c>
      <c r="Q128" s="11">
        <v>45876</v>
      </c>
      <c r="R128" s="80"/>
      <c r="S128" s="279">
        <v>45901</v>
      </c>
      <c r="T128" s="39">
        <v>45902</v>
      </c>
      <c r="U128" s="45">
        <v>45902</v>
      </c>
    </row>
    <row r="129" spans="1:21" ht="18" customHeight="1" x14ac:dyDescent="0.15">
      <c r="A129" s="193" t="s">
        <v>30</v>
      </c>
      <c r="B129" s="1"/>
      <c r="C129" s="1"/>
      <c r="D129" s="49"/>
      <c r="E129" s="142">
        <v>5</v>
      </c>
      <c r="F129" s="134">
        <f t="shared" si="9"/>
        <v>95</v>
      </c>
      <c r="G129" s="1" t="s">
        <v>25</v>
      </c>
      <c r="H129" s="1" t="s">
        <v>25</v>
      </c>
      <c r="I129" s="208" t="s">
        <v>32</v>
      </c>
      <c r="J129" s="209">
        <v>1</v>
      </c>
      <c r="K129" s="266">
        <v>69</v>
      </c>
      <c r="L129" s="261">
        <f t="shared" si="8"/>
        <v>69</v>
      </c>
      <c r="M129" s="2"/>
      <c r="N129" s="64" t="s">
        <v>33</v>
      </c>
      <c r="O129" s="48"/>
      <c r="P129" s="280" t="s">
        <v>563</v>
      </c>
      <c r="Q129" s="11">
        <v>45876</v>
      </c>
      <c r="R129" s="80"/>
      <c r="S129" s="279">
        <v>45901</v>
      </c>
      <c r="T129" s="39">
        <v>45902</v>
      </c>
      <c r="U129" s="45">
        <v>45902</v>
      </c>
    </row>
    <row r="130" spans="1:21" ht="18" customHeight="1" x14ac:dyDescent="0.15">
      <c r="A130" s="193" t="s">
        <v>30</v>
      </c>
      <c r="B130" s="1"/>
      <c r="C130" s="1"/>
      <c r="D130" s="2"/>
      <c r="E130" s="142"/>
      <c r="F130" s="134">
        <f t="shared" si="9"/>
        <v>96</v>
      </c>
      <c r="G130" s="1" t="s">
        <v>25</v>
      </c>
      <c r="H130" s="1" t="s">
        <v>25</v>
      </c>
      <c r="I130" s="195" t="s">
        <v>259</v>
      </c>
      <c r="J130" s="200">
        <v>3</v>
      </c>
      <c r="K130" s="213">
        <v>187</v>
      </c>
      <c r="L130" s="261">
        <f t="shared" si="8"/>
        <v>561</v>
      </c>
      <c r="M130" s="60"/>
      <c r="N130" s="85" t="s">
        <v>290</v>
      </c>
      <c r="O130" s="48"/>
      <c r="P130" s="280" t="s">
        <v>563</v>
      </c>
      <c r="Q130" s="11">
        <v>45876</v>
      </c>
      <c r="R130" s="80"/>
      <c r="S130" s="279">
        <v>45901</v>
      </c>
      <c r="T130" s="39">
        <v>45902</v>
      </c>
      <c r="U130" s="45">
        <v>45902</v>
      </c>
    </row>
    <row r="131" spans="1:21" ht="18" customHeight="1" x14ac:dyDescent="0.15">
      <c r="A131" s="193" t="s">
        <v>30</v>
      </c>
      <c r="B131" s="1"/>
      <c r="C131" s="1"/>
      <c r="D131" s="2"/>
      <c r="E131" s="142"/>
      <c r="F131" s="134">
        <f t="shared" si="9"/>
        <v>97</v>
      </c>
      <c r="G131" s="1" t="s">
        <v>25</v>
      </c>
      <c r="H131" s="1" t="s">
        <v>25</v>
      </c>
      <c r="I131" s="195" t="s">
        <v>260</v>
      </c>
      <c r="J131" s="200">
        <v>6</v>
      </c>
      <c r="K131" s="213">
        <v>65</v>
      </c>
      <c r="L131" s="261">
        <f t="shared" si="8"/>
        <v>390</v>
      </c>
      <c r="M131" s="60"/>
      <c r="N131" s="85" t="s">
        <v>291</v>
      </c>
      <c r="O131" s="48"/>
      <c r="P131" s="280" t="s">
        <v>563</v>
      </c>
      <c r="Q131" s="11">
        <v>45876</v>
      </c>
      <c r="R131" s="80"/>
      <c r="S131" s="279">
        <v>45901</v>
      </c>
      <c r="T131" s="39">
        <v>45902</v>
      </c>
      <c r="U131" s="45">
        <v>45902</v>
      </c>
    </row>
    <row r="132" spans="1:21" ht="18" customHeight="1" x14ac:dyDescent="0.15">
      <c r="A132" s="197" t="s">
        <v>40</v>
      </c>
      <c r="B132" s="121"/>
      <c r="C132" s="121"/>
      <c r="D132" s="132"/>
      <c r="E132" s="142">
        <v>5</v>
      </c>
      <c r="F132" s="134">
        <f t="shared" si="9"/>
        <v>98</v>
      </c>
      <c r="G132" s="69" t="s">
        <v>41</v>
      </c>
      <c r="H132" s="4" t="s">
        <v>25</v>
      </c>
      <c r="I132" s="195" t="s">
        <v>272</v>
      </c>
      <c r="J132" s="200">
        <v>1</v>
      </c>
      <c r="K132" s="213">
        <v>2365</v>
      </c>
      <c r="L132" s="261">
        <f t="shared" si="8"/>
        <v>2365</v>
      </c>
      <c r="M132" s="60"/>
      <c r="N132" s="85" t="s">
        <v>261</v>
      </c>
      <c r="O132" s="48"/>
      <c r="P132" s="280" t="s">
        <v>563</v>
      </c>
      <c r="Q132" s="11">
        <v>45876</v>
      </c>
      <c r="R132" s="80"/>
      <c r="S132" s="279">
        <v>45901</v>
      </c>
      <c r="T132" s="39">
        <v>45902</v>
      </c>
      <c r="U132" s="45">
        <v>45902</v>
      </c>
    </row>
    <row r="133" spans="1:21" ht="18" customHeight="1" x14ac:dyDescent="0.15">
      <c r="A133" s="197" t="s">
        <v>274</v>
      </c>
      <c r="B133" s="125"/>
      <c r="C133" s="125"/>
      <c r="D133" s="2"/>
      <c r="E133" s="142"/>
      <c r="F133" s="134">
        <f t="shared" si="9"/>
        <v>99</v>
      </c>
      <c r="G133" s="69" t="s">
        <v>41</v>
      </c>
      <c r="H133" s="4" t="s">
        <v>25</v>
      </c>
      <c r="I133" s="195" t="s">
        <v>273</v>
      </c>
      <c r="J133" s="200">
        <v>1</v>
      </c>
      <c r="K133" s="213">
        <v>6148</v>
      </c>
      <c r="L133" s="261">
        <f t="shared" si="8"/>
        <v>6148</v>
      </c>
      <c r="M133" s="60"/>
      <c r="N133" s="85" t="s">
        <v>262</v>
      </c>
      <c r="O133" s="48"/>
      <c r="P133" s="280" t="s">
        <v>563</v>
      </c>
      <c r="Q133" s="11">
        <v>45876</v>
      </c>
      <c r="R133" s="80"/>
      <c r="S133" s="279">
        <v>45901</v>
      </c>
      <c r="T133" s="39">
        <v>45902</v>
      </c>
      <c r="U133" s="45">
        <v>45902</v>
      </c>
    </row>
    <row r="134" spans="1:21" ht="18" customHeight="1" x14ac:dyDescent="0.15">
      <c r="A134" s="215" t="s">
        <v>45</v>
      </c>
      <c r="B134" s="1"/>
      <c r="C134" s="1"/>
      <c r="D134" s="1"/>
      <c r="E134" s="142">
        <v>5</v>
      </c>
      <c r="F134" s="134">
        <f t="shared" si="9"/>
        <v>100</v>
      </c>
      <c r="G134" s="69" t="s">
        <v>41</v>
      </c>
      <c r="H134" s="4" t="s">
        <v>25</v>
      </c>
      <c r="I134" s="195" t="s">
        <v>46</v>
      </c>
      <c r="J134" s="200">
        <v>1</v>
      </c>
      <c r="K134" s="213">
        <v>3897</v>
      </c>
      <c r="L134" s="263">
        <f t="shared" si="8"/>
        <v>3897</v>
      </c>
      <c r="M134" s="60"/>
      <c r="N134" s="85" t="s">
        <v>47</v>
      </c>
      <c r="O134" s="48"/>
      <c r="P134" s="280" t="s">
        <v>563</v>
      </c>
      <c r="Q134" s="11">
        <v>45876</v>
      </c>
      <c r="R134" s="80"/>
      <c r="S134" s="279">
        <v>45901</v>
      </c>
      <c r="T134" s="39">
        <v>45902</v>
      </c>
      <c r="U134" s="45">
        <v>45902</v>
      </c>
    </row>
    <row r="135" spans="1:21" ht="18" customHeight="1" x14ac:dyDescent="0.15">
      <c r="A135" s="197" t="s">
        <v>40</v>
      </c>
      <c r="B135" s="121"/>
      <c r="C135" s="121"/>
      <c r="D135" s="132"/>
      <c r="E135" s="142">
        <v>5</v>
      </c>
      <c r="F135" s="134">
        <f t="shared" si="9"/>
        <v>101</v>
      </c>
      <c r="G135" s="69" t="s">
        <v>41</v>
      </c>
      <c r="H135" s="4" t="s">
        <v>25</v>
      </c>
      <c r="I135" s="210" t="s">
        <v>240</v>
      </c>
      <c r="J135" s="193">
        <v>1</v>
      </c>
      <c r="K135" s="193">
        <v>3491</v>
      </c>
      <c r="L135" s="153">
        <f t="shared" si="8"/>
        <v>3491</v>
      </c>
      <c r="M135" s="2"/>
      <c r="N135" s="23" t="s">
        <v>239</v>
      </c>
      <c r="O135" s="48"/>
      <c r="P135" s="280" t="s">
        <v>563</v>
      </c>
      <c r="Q135" s="11">
        <v>45876</v>
      </c>
      <c r="R135" s="80"/>
      <c r="S135" s="279">
        <v>45901</v>
      </c>
      <c r="T135" s="39">
        <v>45902</v>
      </c>
      <c r="U135" s="45">
        <v>45902</v>
      </c>
    </row>
    <row r="136" spans="1:21" ht="18" customHeight="1" x14ac:dyDescent="0.15">
      <c r="A136" s="197" t="s">
        <v>40</v>
      </c>
      <c r="B136" s="121"/>
      <c r="C136" s="121"/>
      <c r="D136" s="132"/>
      <c r="E136" s="142">
        <v>5</v>
      </c>
      <c r="F136" s="134">
        <f t="shared" si="9"/>
        <v>102</v>
      </c>
      <c r="G136" s="69" t="s">
        <v>41</v>
      </c>
      <c r="H136" s="4" t="s">
        <v>25</v>
      </c>
      <c r="I136" s="210" t="s">
        <v>242</v>
      </c>
      <c r="J136" s="193">
        <v>1</v>
      </c>
      <c r="K136" s="193">
        <v>5348</v>
      </c>
      <c r="L136" s="153">
        <f t="shared" si="8"/>
        <v>5348</v>
      </c>
      <c r="M136" s="2"/>
      <c r="N136" s="23" t="s">
        <v>241</v>
      </c>
      <c r="O136" s="48"/>
      <c r="P136" s="280" t="s">
        <v>563</v>
      </c>
      <c r="Q136" s="11">
        <v>45876</v>
      </c>
      <c r="R136" s="80"/>
      <c r="S136" s="279">
        <v>45901</v>
      </c>
      <c r="T136" s="39">
        <v>45902</v>
      </c>
      <c r="U136" s="45">
        <v>45902</v>
      </c>
    </row>
    <row r="137" spans="1:21" ht="18" customHeight="1" x14ac:dyDescent="0.15">
      <c r="A137" s="197" t="s">
        <v>30</v>
      </c>
      <c r="B137" s="121"/>
      <c r="C137" s="121"/>
      <c r="D137" s="132"/>
      <c r="E137" s="142"/>
      <c r="F137" s="134">
        <f t="shared" si="9"/>
        <v>103</v>
      </c>
      <c r="G137" s="1" t="s">
        <v>25</v>
      </c>
      <c r="H137" s="1" t="s">
        <v>25</v>
      </c>
      <c r="I137" s="210" t="s">
        <v>267</v>
      </c>
      <c r="J137" s="193">
        <v>2</v>
      </c>
      <c r="K137" s="193">
        <v>281</v>
      </c>
      <c r="L137" s="153">
        <f t="shared" si="8"/>
        <v>562</v>
      </c>
      <c r="M137" s="2"/>
      <c r="N137" s="23" t="s">
        <v>292</v>
      </c>
      <c r="O137" s="48"/>
      <c r="P137" s="280" t="s">
        <v>563</v>
      </c>
      <c r="Q137" s="11">
        <v>45876</v>
      </c>
      <c r="R137" s="80"/>
      <c r="S137" s="279">
        <v>45901</v>
      </c>
      <c r="T137" s="39">
        <v>45902</v>
      </c>
      <c r="U137" s="45">
        <v>45902</v>
      </c>
    </row>
    <row r="138" spans="1:21" ht="18" customHeight="1" x14ac:dyDescent="0.15">
      <c r="A138" s="197" t="s">
        <v>30</v>
      </c>
      <c r="B138" s="121"/>
      <c r="C138" s="121"/>
      <c r="D138" s="132"/>
      <c r="E138" s="142">
        <v>5</v>
      </c>
      <c r="F138" s="134">
        <f t="shared" si="9"/>
        <v>104</v>
      </c>
      <c r="G138" s="73" t="s">
        <v>25</v>
      </c>
      <c r="H138" s="73" t="s">
        <v>25</v>
      </c>
      <c r="I138" s="211" t="s">
        <v>42</v>
      </c>
      <c r="J138" s="212">
        <v>1</v>
      </c>
      <c r="K138" s="244">
        <v>821</v>
      </c>
      <c r="L138" s="244">
        <f>J138*K138</f>
        <v>821</v>
      </c>
      <c r="M138" s="74"/>
      <c r="N138" s="75" t="s">
        <v>43</v>
      </c>
      <c r="O138" s="48"/>
      <c r="P138" s="280" t="s">
        <v>563</v>
      </c>
      <c r="Q138" s="11">
        <v>45876</v>
      </c>
      <c r="R138" s="80"/>
      <c r="S138" s="279">
        <v>45901</v>
      </c>
      <c r="T138" s="39">
        <v>45902</v>
      </c>
      <c r="U138" s="45">
        <v>45902</v>
      </c>
    </row>
    <row r="139" spans="1:21" ht="18" customHeight="1" x14ac:dyDescent="0.15">
      <c r="A139" s="197" t="s">
        <v>30</v>
      </c>
      <c r="B139" s="121"/>
      <c r="C139" s="121"/>
      <c r="D139" s="132"/>
      <c r="E139" s="142">
        <v>5</v>
      </c>
      <c r="F139" s="134">
        <f t="shared" si="9"/>
        <v>105</v>
      </c>
      <c r="G139" s="73" t="s">
        <v>25</v>
      </c>
      <c r="H139" s="73" t="s">
        <v>25</v>
      </c>
      <c r="I139" s="211" t="s">
        <v>44</v>
      </c>
      <c r="J139" s="212">
        <v>1</v>
      </c>
      <c r="K139" s="244">
        <v>1336</v>
      </c>
      <c r="L139" s="244">
        <f>J139*K139</f>
        <v>1336</v>
      </c>
      <c r="M139" s="74"/>
      <c r="N139" s="75" t="s">
        <v>43</v>
      </c>
      <c r="O139" s="48"/>
      <c r="P139" s="280" t="s">
        <v>563</v>
      </c>
      <c r="Q139" s="11">
        <v>45876</v>
      </c>
      <c r="R139" s="80"/>
      <c r="S139" s="279">
        <v>45901</v>
      </c>
      <c r="T139" s="39">
        <v>45902</v>
      </c>
      <c r="U139" s="45">
        <v>45902</v>
      </c>
    </row>
    <row r="140" spans="1:21" ht="18" customHeight="1" x14ac:dyDescent="0.15">
      <c r="F140" s="58"/>
      <c r="G140" s="73"/>
      <c r="H140" s="73"/>
      <c r="I140" s="23"/>
      <c r="J140" s="1"/>
      <c r="K140" s="29"/>
      <c r="L140" s="29"/>
      <c r="M140" s="2"/>
      <c r="N140" s="66"/>
      <c r="O140" s="48"/>
      <c r="P140" s="90"/>
      <c r="Q140" s="81"/>
      <c r="R140" s="41"/>
      <c r="S140" s="63"/>
      <c r="T140" s="19"/>
      <c r="U140" s="45"/>
    </row>
    <row r="141" spans="1:21" ht="18" customHeight="1" x14ac:dyDescent="0.15">
      <c r="F141" s="1"/>
      <c r="G141" s="77"/>
      <c r="H141" s="77"/>
      <c r="I141" s="302">
        <f>SUM(L113:L140)</f>
        <v>55275</v>
      </c>
      <c r="J141" s="303"/>
      <c r="K141" s="303"/>
      <c r="L141" s="304"/>
      <c r="M141" s="78"/>
      <c r="N141" s="79"/>
      <c r="O141" s="48"/>
      <c r="P141" s="90"/>
      <c r="Q141" s="81"/>
      <c r="R141" s="41"/>
      <c r="S141" s="63"/>
      <c r="T141" s="19"/>
      <c r="U141" s="45"/>
    </row>
    <row r="142" spans="1:21" s="3" customFormat="1" ht="19.5" customHeight="1" x14ac:dyDescent="0.15">
      <c r="E142" s="50"/>
      <c r="F142" s="84"/>
      <c r="G142" s="43"/>
      <c r="H142" s="43"/>
      <c r="I142" s="46"/>
      <c r="J142" s="44"/>
      <c r="K142" s="82"/>
      <c r="L142" s="43"/>
      <c r="M142" s="44"/>
      <c r="N142" s="47"/>
      <c r="O142" s="48"/>
      <c r="P142" s="90"/>
      <c r="Q142" s="81"/>
      <c r="R142" s="41"/>
      <c r="S142" s="63"/>
      <c r="T142" s="19"/>
      <c r="U142" s="45"/>
    </row>
    <row r="143" spans="1:21" s="3" customFormat="1" ht="19.5" customHeight="1" x14ac:dyDescent="0.15">
      <c r="E143" s="50"/>
      <c r="F143" s="84"/>
      <c r="G143" s="43"/>
      <c r="H143" s="43"/>
      <c r="I143" s="46"/>
      <c r="J143" s="44"/>
      <c r="K143" s="82"/>
      <c r="L143" s="43"/>
      <c r="M143" s="44"/>
      <c r="N143" s="47"/>
      <c r="O143" s="48"/>
      <c r="P143" s="90"/>
      <c r="Q143" s="81"/>
      <c r="R143" s="41"/>
      <c r="S143" s="63"/>
      <c r="T143" s="19"/>
      <c r="U143" s="45"/>
    </row>
    <row r="144" spans="1:21" s="3" customFormat="1" ht="19.5" customHeight="1" x14ac:dyDescent="0.15">
      <c r="E144" s="50"/>
      <c r="F144" s="84"/>
      <c r="G144" s="43"/>
      <c r="H144" s="43"/>
      <c r="I144" s="46"/>
      <c r="J144" s="44"/>
      <c r="K144" s="82"/>
      <c r="L144" s="43"/>
      <c r="M144" s="44"/>
      <c r="N144" s="47"/>
      <c r="O144" s="48"/>
      <c r="P144" s="90"/>
      <c r="Q144" s="81"/>
      <c r="R144" s="41"/>
      <c r="S144" s="63"/>
      <c r="T144" s="19"/>
      <c r="U144" s="45"/>
    </row>
    <row r="145" spans="1:21" s="97" customFormat="1" ht="19.7" customHeight="1" x14ac:dyDescent="0.15">
      <c r="A145" s="1"/>
      <c r="B145" s="1"/>
      <c r="C145" s="1"/>
      <c r="D145" s="1"/>
      <c r="E145" s="193"/>
      <c r="F145" s="148"/>
      <c r="G145" s="299" t="s">
        <v>275</v>
      </c>
      <c r="H145" s="300"/>
      <c r="I145" s="301"/>
      <c r="J145" s="24"/>
      <c r="K145" s="1"/>
      <c r="L145" s="2"/>
      <c r="M145" s="94"/>
      <c r="N145" s="1"/>
      <c r="O145" s="48"/>
      <c r="P145" s="90"/>
      <c r="Q145" s="81"/>
      <c r="R145" s="41"/>
      <c r="S145" s="63"/>
      <c r="T145" s="19"/>
      <c r="U145" s="45"/>
    </row>
    <row r="146" spans="1:21" s="97" customFormat="1" ht="19.7" customHeight="1" x14ac:dyDescent="0.15">
      <c r="A146" s="193" t="s">
        <v>68</v>
      </c>
      <c r="B146" s="1"/>
      <c r="C146" s="1"/>
      <c r="D146" s="49"/>
      <c r="E146" s="143">
        <v>4</v>
      </c>
      <c r="F146" s="69">
        <f>+F139+1</f>
        <v>106</v>
      </c>
      <c r="G146" s="104" t="s">
        <v>69</v>
      </c>
      <c r="H146" s="104" t="s">
        <v>69</v>
      </c>
      <c r="I146" s="218" t="s">
        <v>70</v>
      </c>
      <c r="J146" s="219">
        <v>4</v>
      </c>
      <c r="K146" s="267">
        <v>3370</v>
      </c>
      <c r="L146" s="268">
        <f t="shared" ref="L146:L170" si="10">J146*K146</f>
        <v>13480</v>
      </c>
      <c r="M146" s="2"/>
      <c r="N146" s="23" t="s">
        <v>71</v>
      </c>
      <c r="O146" s="48"/>
      <c r="P146" s="280" t="s">
        <v>563</v>
      </c>
      <c r="Q146" s="11">
        <v>45876</v>
      </c>
      <c r="R146" s="80"/>
      <c r="S146" s="279">
        <v>45901</v>
      </c>
      <c r="T146" s="39">
        <v>45902</v>
      </c>
      <c r="U146" s="45">
        <v>45902</v>
      </c>
    </row>
    <row r="147" spans="1:21" s="97" customFormat="1" ht="19.7" customHeight="1" x14ac:dyDescent="0.15">
      <c r="A147" s="193" t="s">
        <v>72</v>
      </c>
      <c r="B147" s="1"/>
      <c r="C147" s="1"/>
      <c r="D147" s="49"/>
      <c r="E147" s="143">
        <v>4</v>
      </c>
      <c r="F147" s="69">
        <f t="shared" ref="F147:F170" si="11">+F146+1</f>
        <v>107</v>
      </c>
      <c r="G147" s="73" t="s">
        <v>69</v>
      </c>
      <c r="H147" s="73" t="s">
        <v>69</v>
      </c>
      <c r="I147" s="199" t="s">
        <v>226</v>
      </c>
      <c r="J147" s="220">
        <v>4</v>
      </c>
      <c r="K147" s="200">
        <v>674</v>
      </c>
      <c r="L147" s="269">
        <f t="shared" si="10"/>
        <v>2696</v>
      </c>
      <c r="M147" s="2"/>
      <c r="N147" s="23" t="s">
        <v>73</v>
      </c>
      <c r="O147" s="48"/>
      <c r="P147" s="280" t="s">
        <v>563</v>
      </c>
      <c r="Q147" s="11">
        <v>45876</v>
      </c>
      <c r="R147" s="80"/>
      <c r="S147" s="279">
        <v>45901</v>
      </c>
      <c r="T147" s="39">
        <v>45902</v>
      </c>
      <c r="U147" s="45">
        <v>45902</v>
      </c>
    </row>
    <row r="148" spans="1:21" s="97" customFormat="1" ht="19.7" customHeight="1" x14ac:dyDescent="0.15">
      <c r="A148" s="193" t="s">
        <v>72</v>
      </c>
      <c r="B148" s="1"/>
      <c r="C148" s="1"/>
      <c r="D148" s="49"/>
      <c r="E148" s="143"/>
      <c r="F148" s="69">
        <f t="shared" si="11"/>
        <v>108</v>
      </c>
      <c r="G148" s="73" t="s">
        <v>175</v>
      </c>
      <c r="H148" s="73" t="s">
        <v>69</v>
      </c>
      <c r="I148" s="199" t="s">
        <v>546</v>
      </c>
      <c r="J148" s="220">
        <v>4</v>
      </c>
      <c r="K148" s="200">
        <v>178</v>
      </c>
      <c r="L148" s="269">
        <f t="shared" si="10"/>
        <v>712</v>
      </c>
      <c r="M148" s="2"/>
      <c r="N148" s="23" t="s">
        <v>547</v>
      </c>
      <c r="O148" s="48"/>
      <c r="P148" s="280" t="s">
        <v>563</v>
      </c>
      <c r="Q148" s="11">
        <v>45876</v>
      </c>
      <c r="R148" s="80"/>
      <c r="S148" s="279">
        <v>45901</v>
      </c>
      <c r="T148" s="39">
        <v>45902</v>
      </c>
      <c r="U148" s="45">
        <v>45902</v>
      </c>
    </row>
    <row r="149" spans="1:21" s="97" customFormat="1" ht="19.7" customHeight="1" x14ac:dyDescent="0.15">
      <c r="A149" s="193" t="s">
        <v>30</v>
      </c>
      <c r="B149" s="1"/>
      <c r="C149" s="1"/>
      <c r="D149" s="49"/>
      <c r="E149" s="143">
        <v>4</v>
      </c>
      <c r="F149" s="69">
        <f t="shared" si="11"/>
        <v>109</v>
      </c>
      <c r="G149" s="73" t="s">
        <v>69</v>
      </c>
      <c r="H149" s="73" t="s">
        <v>69</v>
      </c>
      <c r="I149" s="221" t="s">
        <v>74</v>
      </c>
      <c r="J149" s="220">
        <v>4</v>
      </c>
      <c r="K149" s="193">
        <v>186</v>
      </c>
      <c r="L149" s="269">
        <f t="shared" si="10"/>
        <v>744</v>
      </c>
      <c r="M149" s="2"/>
      <c r="N149" s="23" t="s">
        <v>75</v>
      </c>
      <c r="O149" s="48"/>
      <c r="P149" s="280" t="s">
        <v>563</v>
      </c>
      <c r="Q149" s="11">
        <v>45876</v>
      </c>
      <c r="R149" s="80"/>
      <c r="S149" s="279">
        <v>45901</v>
      </c>
      <c r="T149" s="39">
        <v>45902</v>
      </c>
      <c r="U149" s="45">
        <v>45902</v>
      </c>
    </row>
    <row r="150" spans="1:21" s="97" customFormat="1" ht="19.7" customHeight="1" x14ac:dyDescent="0.15">
      <c r="A150" s="193" t="s">
        <v>30</v>
      </c>
      <c r="B150" s="1"/>
      <c r="C150" s="1"/>
      <c r="D150" s="49"/>
      <c r="E150" s="143">
        <v>4</v>
      </c>
      <c r="F150" s="69">
        <f t="shared" si="11"/>
        <v>110</v>
      </c>
      <c r="G150" s="73" t="s">
        <v>69</v>
      </c>
      <c r="H150" s="73" t="s">
        <v>69</v>
      </c>
      <c r="I150" s="221" t="s">
        <v>76</v>
      </c>
      <c r="J150" s="220">
        <v>4</v>
      </c>
      <c r="K150" s="193">
        <v>64</v>
      </c>
      <c r="L150" s="269">
        <f t="shared" si="10"/>
        <v>256</v>
      </c>
      <c r="M150" s="2"/>
      <c r="N150" s="23" t="s">
        <v>77</v>
      </c>
      <c r="O150" s="48"/>
      <c r="P150" s="280" t="s">
        <v>563</v>
      </c>
      <c r="Q150" s="11">
        <v>45876</v>
      </c>
      <c r="R150" s="80"/>
      <c r="S150" s="279">
        <v>45901</v>
      </c>
      <c r="T150" s="39">
        <v>45902</v>
      </c>
      <c r="U150" s="45">
        <v>45902</v>
      </c>
    </row>
    <row r="151" spans="1:21" s="97" customFormat="1" ht="19.7" customHeight="1" x14ac:dyDescent="0.15">
      <c r="A151" s="193" t="s">
        <v>30</v>
      </c>
      <c r="B151" s="1"/>
      <c r="C151" s="1"/>
      <c r="D151" s="49"/>
      <c r="E151" s="143">
        <v>4</v>
      </c>
      <c r="F151" s="69">
        <f t="shared" si="11"/>
        <v>111</v>
      </c>
      <c r="G151" s="73" t="s">
        <v>69</v>
      </c>
      <c r="H151" s="73" t="s">
        <v>69</v>
      </c>
      <c r="I151" s="221" t="s">
        <v>78</v>
      </c>
      <c r="J151" s="220">
        <v>8</v>
      </c>
      <c r="K151" s="193">
        <v>53</v>
      </c>
      <c r="L151" s="269">
        <f t="shared" si="10"/>
        <v>424</v>
      </c>
      <c r="M151" s="2"/>
      <c r="N151" s="23" t="s">
        <v>279</v>
      </c>
      <c r="O151" s="48"/>
      <c r="P151" s="280" t="s">
        <v>563</v>
      </c>
      <c r="Q151" s="11">
        <v>45876</v>
      </c>
      <c r="R151" s="80"/>
      <c r="S151" s="279">
        <v>45901</v>
      </c>
      <c r="T151" s="39">
        <v>45902</v>
      </c>
      <c r="U151" s="45">
        <v>45902</v>
      </c>
    </row>
    <row r="152" spans="1:21" s="97" customFormat="1" ht="19.7" customHeight="1" x14ac:dyDescent="0.15">
      <c r="A152" s="193" t="s">
        <v>79</v>
      </c>
      <c r="B152" s="1"/>
      <c r="C152" s="1"/>
      <c r="D152" s="49"/>
      <c r="E152" s="143">
        <v>4</v>
      </c>
      <c r="F152" s="69">
        <f t="shared" si="11"/>
        <v>112</v>
      </c>
      <c r="G152" s="73" t="s">
        <v>69</v>
      </c>
      <c r="H152" s="73" t="s">
        <v>69</v>
      </c>
      <c r="I152" s="221" t="s">
        <v>280</v>
      </c>
      <c r="J152" s="220">
        <v>4</v>
      </c>
      <c r="K152" s="193">
        <v>864</v>
      </c>
      <c r="L152" s="269">
        <f t="shared" si="10"/>
        <v>3456</v>
      </c>
      <c r="M152" s="2"/>
      <c r="N152" s="23" t="s">
        <v>219</v>
      </c>
      <c r="O152" s="48"/>
      <c r="P152" s="280" t="s">
        <v>563</v>
      </c>
      <c r="Q152" s="11">
        <v>45876</v>
      </c>
      <c r="R152" s="80"/>
      <c r="S152" s="279">
        <v>45901</v>
      </c>
      <c r="T152" s="39">
        <v>45902</v>
      </c>
      <c r="U152" s="45">
        <v>45902</v>
      </c>
    </row>
    <row r="153" spans="1:21" s="97" customFormat="1" ht="19.7" customHeight="1" x14ac:dyDescent="0.15">
      <c r="A153" s="193" t="s">
        <v>30</v>
      </c>
      <c r="B153" s="1"/>
      <c r="C153" s="1"/>
      <c r="D153" s="49"/>
      <c r="E153" s="143">
        <v>4</v>
      </c>
      <c r="F153" s="69">
        <f t="shared" si="11"/>
        <v>113</v>
      </c>
      <c r="G153" s="73" t="s">
        <v>69</v>
      </c>
      <c r="H153" s="73" t="s">
        <v>69</v>
      </c>
      <c r="I153" s="221" t="s">
        <v>80</v>
      </c>
      <c r="J153" s="220">
        <v>6</v>
      </c>
      <c r="K153" s="193">
        <v>19</v>
      </c>
      <c r="L153" s="269">
        <f t="shared" si="10"/>
        <v>114</v>
      </c>
      <c r="M153" s="2"/>
      <c r="N153" s="23" t="s">
        <v>81</v>
      </c>
      <c r="O153" s="48"/>
      <c r="P153" s="280" t="s">
        <v>563</v>
      </c>
      <c r="Q153" s="11">
        <v>45876</v>
      </c>
      <c r="R153" s="80"/>
      <c r="S153" s="279">
        <v>45901</v>
      </c>
      <c r="T153" s="39">
        <v>45902</v>
      </c>
      <c r="U153" s="45">
        <v>45902</v>
      </c>
    </row>
    <row r="154" spans="1:21" s="97" customFormat="1" ht="19.7" customHeight="1" x14ac:dyDescent="0.15">
      <c r="A154" s="193" t="s">
        <v>30</v>
      </c>
      <c r="B154" s="1"/>
      <c r="C154" s="1"/>
      <c r="D154" s="49"/>
      <c r="E154" s="143">
        <v>4</v>
      </c>
      <c r="F154" s="69">
        <f t="shared" si="11"/>
        <v>114</v>
      </c>
      <c r="G154" s="73" t="s">
        <v>69</v>
      </c>
      <c r="H154" s="73" t="s">
        <v>69</v>
      </c>
      <c r="I154" s="221" t="s">
        <v>82</v>
      </c>
      <c r="J154" s="220">
        <v>8</v>
      </c>
      <c r="K154" s="193">
        <v>19</v>
      </c>
      <c r="L154" s="269">
        <f t="shared" si="10"/>
        <v>152</v>
      </c>
      <c r="M154" s="2"/>
      <c r="N154" s="23" t="s">
        <v>113</v>
      </c>
      <c r="O154" s="48"/>
      <c r="P154" s="280" t="s">
        <v>563</v>
      </c>
      <c r="Q154" s="11">
        <v>45876</v>
      </c>
      <c r="R154" s="80"/>
      <c r="S154" s="279">
        <v>45901</v>
      </c>
      <c r="T154" s="39">
        <v>45902</v>
      </c>
      <c r="U154" s="45">
        <v>45902</v>
      </c>
    </row>
    <row r="155" spans="1:21" s="97" customFormat="1" ht="19.7" customHeight="1" x14ac:dyDescent="0.15">
      <c r="A155" s="193" t="s">
        <v>79</v>
      </c>
      <c r="B155" s="1"/>
      <c r="C155" s="1"/>
      <c r="D155" s="49"/>
      <c r="E155" s="143">
        <v>4</v>
      </c>
      <c r="F155" s="69">
        <f t="shared" si="11"/>
        <v>115</v>
      </c>
      <c r="G155" s="73" t="s">
        <v>69</v>
      </c>
      <c r="H155" s="73" t="s">
        <v>69</v>
      </c>
      <c r="I155" s="221" t="s">
        <v>281</v>
      </c>
      <c r="J155" s="220">
        <v>2</v>
      </c>
      <c r="K155" s="193">
        <v>783</v>
      </c>
      <c r="L155" s="269">
        <f t="shared" si="10"/>
        <v>1566</v>
      </c>
      <c r="M155" s="2"/>
      <c r="N155" s="23" t="s">
        <v>218</v>
      </c>
      <c r="O155" s="48"/>
      <c r="P155" s="280" t="s">
        <v>563</v>
      </c>
      <c r="Q155" s="11">
        <v>45876</v>
      </c>
      <c r="R155" s="80"/>
      <c r="S155" s="279">
        <v>45901</v>
      </c>
      <c r="T155" s="39">
        <v>45902</v>
      </c>
      <c r="U155" s="45">
        <v>45902</v>
      </c>
    </row>
    <row r="156" spans="1:21" s="97" customFormat="1" ht="19.7" customHeight="1" x14ac:dyDescent="0.15">
      <c r="A156" s="193" t="s">
        <v>83</v>
      </c>
      <c r="B156" s="1"/>
      <c r="C156" s="1"/>
      <c r="D156" s="49"/>
      <c r="E156" s="143">
        <v>4</v>
      </c>
      <c r="F156" s="69">
        <f t="shared" si="11"/>
        <v>116</v>
      </c>
      <c r="G156" s="73" t="s">
        <v>69</v>
      </c>
      <c r="H156" s="73" t="s">
        <v>69</v>
      </c>
      <c r="I156" s="221" t="s">
        <v>84</v>
      </c>
      <c r="J156" s="220">
        <v>6</v>
      </c>
      <c r="K156" s="193">
        <v>748</v>
      </c>
      <c r="L156" s="269">
        <f t="shared" si="10"/>
        <v>4488</v>
      </c>
      <c r="M156" s="2"/>
      <c r="N156" s="23" t="s">
        <v>85</v>
      </c>
      <c r="O156" s="48"/>
      <c r="P156" s="280" t="s">
        <v>563</v>
      </c>
      <c r="Q156" s="11">
        <v>45876</v>
      </c>
      <c r="R156" s="80"/>
      <c r="S156" s="279">
        <v>45901</v>
      </c>
      <c r="T156" s="39">
        <v>45902</v>
      </c>
      <c r="U156" s="45">
        <v>45902</v>
      </c>
    </row>
    <row r="157" spans="1:21" s="97" customFormat="1" ht="19.7" customHeight="1" x14ac:dyDescent="0.15">
      <c r="A157" s="193" t="s">
        <v>30</v>
      </c>
      <c r="B157" s="1"/>
      <c r="C157" s="1"/>
      <c r="D157" s="49"/>
      <c r="E157" s="143">
        <v>4</v>
      </c>
      <c r="F157" s="69">
        <f t="shared" si="11"/>
        <v>117</v>
      </c>
      <c r="G157" s="73" t="s">
        <v>69</v>
      </c>
      <c r="H157" s="73" t="s">
        <v>69</v>
      </c>
      <c r="I157" s="221" t="s">
        <v>86</v>
      </c>
      <c r="J157" s="220">
        <v>6</v>
      </c>
      <c r="K157" s="193">
        <v>14</v>
      </c>
      <c r="L157" s="269">
        <f t="shared" si="10"/>
        <v>84</v>
      </c>
      <c r="M157" s="2"/>
      <c r="N157" s="23" t="s">
        <v>87</v>
      </c>
      <c r="O157" s="48"/>
      <c r="P157" s="280" t="s">
        <v>563</v>
      </c>
      <c r="Q157" s="11">
        <v>45876</v>
      </c>
      <c r="R157" s="80"/>
      <c r="S157" s="279">
        <v>45901</v>
      </c>
      <c r="T157" s="39">
        <v>45902</v>
      </c>
      <c r="U157" s="45">
        <v>45902</v>
      </c>
    </row>
    <row r="158" spans="1:21" s="97" customFormat="1" ht="19.7" customHeight="1" x14ac:dyDescent="0.15">
      <c r="A158" s="193" t="s">
        <v>30</v>
      </c>
      <c r="B158" s="1"/>
      <c r="C158" s="1"/>
      <c r="D158" s="49"/>
      <c r="E158" s="143">
        <v>4</v>
      </c>
      <c r="F158" s="69">
        <f t="shared" si="11"/>
        <v>118</v>
      </c>
      <c r="G158" s="30" t="s">
        <v>69</v>
      </c>
      <c r="H158" s="30" t="s">
        <v>69</v>
      </c>
      <c r="I158" s="222" t="s">
        <v>88</v>
      </c>
      <c r="J158" s="223">
        <v>4</v>
      </c>
      <c r="K158" s="270">
        <v>118</v>
      </c>
      <c r="L158" s="271">
        <f t="shared" si="10"/>
        <v>472</v>
      </c>
      <c r="M158" s="99"/>
      <c r="N158" s="100" t="s">
        <v>89</v>
      </c>
      <c r="O158" s="48"/>
      <c r="P158" s="280" t="s">
        <v>563</v>
      </c>
      <c r="Q158" s="11">
        <v>45876</v>
      </c>
      <c r="R158" s="80"/>
      <c r="S158" s="279">
        <v>45901</v>
      </c>
      <c r="T158" s="39">
        <v>45902</v>
      </c>
      <c r="U158" s="45">
        <v>45902</v>
      </c>
    </row>
    <row r="159" spans="1:21" s="97" customFormat="1" ht="19.7" customHeight="1" x14ac:dyDescent="0.15">
      <c r="A159" s="193" t="s">
        <v>30</v>
      </c>
      <c r="B159" s="1"/>
      <c r="C159" s="1"/>
      <c r="D159" s="49"/>
      <c r="E159" s="143">
        <v>4</v>
      </c>
      <c r="F159" s="69">
        <f t="shared" si="11"/>
        <v>119</v>
      </c>
      <c r="G159" s="73" t="s">
        <v>69</v>
      </c>
      <c r="H159" s="73" t="s">
        <v>69</v>
      </c>
      <c r="I159" s="199" t="s">
        <v>90</v>
      </c>
      <c r="J159" s="224">
        <v>12</v>
      </c>
      <c r="K159" s="200">
        <v>15</v>
      </c>
      <c r="L159" s="272">
        <f t="shared" si="10"/>
        <v>180</v>
      </c>
      <c r="M159" s="60"/>
      <c r="N159" s="71" t="s">
        <v>91</v>
      </c>
      <c r="O159" s="48"/>
      <c r="P159" s="280" t="s">
        <v>563</v>
      </c>
      <c r="Q159" s="11">
        <v>45876</v>
      </c>
      <c r="R159" s="80"/>
      <c r="S159" s="279">
        <v>45901</v>
      </c>
      <c r="T159" s="39">
        <v>45902</v>
      </c>
      <c r="U159" s="45">
        <v>45902</v>
      </c>
    </row>
    <row r="160" spans="1:21" s="97" customFormat="1" ht="19.7" customHeight="1" x14ac:dyDescent="0.15">
      <c r="A160" s="193" t="s">
        <v>79</v>
      </c>
      <c r="B160" s="1"/>
      <c r="C160" s="1"/>
      <c r="D160" s="49"/>
      <c r="E160" s="143">
        <v>4</v>
      </c>
      <c r="F160" s="69">
        <f t="shared" si="11"/>
        <v>120</v>
      </c>
      <c r="G160" s="73" t="s">
        <v>69</v>
      </c>
      <c r="H160" s="73" t="s">
        <v>69</v>
      </c>
      <c r="I160" s="221" t="s">
        <v>92</v>
      </c>
      <c r="J160" s="220">
        <v>4</v>
      </c>
      <c r="K160" s="193">
        <v>3775</v>
      </c>
      <c r="L160" s="269">
        <f t="shared" si="10"/>
        <v>15100</v>
      </c>
      <c r="M160" s="2"/>
      <c r="N160" s="23" t="s">
        <v>93</v>
      </c>
      <c r="O160" s="48"/>
      <c r="P160" s="280" t="s">
        <v>563</v>
      </c>
      <c r="Q160" s="11">
        <v>45876</v>
      </c>
      <c r="R160" s="80"/>
      <c r="S160" s="279">
        <v>45901</v>
      </c>
      <c r="T160" s="39">
        <v>45902</v>
      </c>
      <c r="U160" s="45">
        <v>45902</v>
      </c>
    </row>
    <row r="161" spans="1:21" s="97" customFormat="1" ht="19.7" customHeight="1" x14ac:dyDescent="0.15">
      <c r="A161" s="193" t="s">
        <v>79</v>
      </c>
      <c r="B161" s="1"/>
      <c r="C161" s="1"/>
      <c r="D161" s="49"/>
      <c r="E161" s="143">
        <v>4</v>
      </c>
      <c r="F161" s="69">
        <f t="shared" si="11"/>
        <v>121</v>
      </c>
      <c r="G161" s="73" t="s">
        <v>69</v>
      </c>
      <c r="H161" s="73" t="s">
        <v>69</v>
      </c>
      <c r="I161" s="221" t="s">
        <v>94</v>
      </c>
      <c r="J161" s="220">
        <v>2</v>
      </c>
      <c r="K161" s="193">
        <v>2606</v>
      </c>
      <c r="L161" s="269">
        <f t="shared" si="10"/>
        <v>5212</v>
      </c>
      <c r="M161" s="2"/>
      <c r="N161" s="23" t="s">
        <v>95</v>
      </c>
      <c r="O161" s="48"/>
      <c r="P161" s="280" t="s">
        <v>563</v>
      </c>
      <c r="Q161" s="11">
        <v>45876</v>
      </c>
      <c r="R161" s="80"/>
      <c r="S161" s="279">
        <v>45901</v>
      </c>
      <c r="T161" s="39">
        <v>45902</v>
      </c>
      <c r="U161" s="45">
        <v>45902</v>
      </c>
    </row>
    <row r="162" spans="1:21" s="97" customFormat="1" ht="19.7" customHeight="1" x14ac:dyDescent="0.15">
      <c r="A162" s="193" t="s">
        <v>96</v>
      </c>
      <c r="B162" s="1"/>
      <c r="C162" s="1"/>
      <c r="D162" s="49"/>
      <c r="E162" s="143">
        <v>4</v>
      </c>
      <c r="F162" s="69">
        <f t="shared" si="11"/>
        <v>122</v>
      </c>
      <c r="G162" s="69" t="s">
        <v>41</v>
      </c>
      <c r="H162" s="69" t="s">
        <v>25</v>
      </c>
      <c r="I162" s="221" t="s">
        <v>97</v>
      </c>
      <c r="J162" s="220">
        <v>2</v>
      </c>
      <c r="K162" s="193">
        <v>7393</v>
      </c>
      <c r="L162" s="269">
        <f t="shared" si="10"/>
        <v>14786</v>
      </c>
      <c r="M162" s="1"/>
      <c r="N162" s="101" t="s">
        <v>98</v>
      </c>
      <c r="O162" s="48"/>
      <c r="P162" s="280" t="s">
        <v>563</v>
      </c>
      <c r="Q162" s="11">
        <v>45876</v>
      </c>
      <c r="R162" s="80"/>
      <c r="S162" s="279">
        <v>45901</v>
      </c>
      <c r="T162" s="39">
        <v>45902</v>
      </c>
      <c r="U162" s="45">
        <v>45902</v>
      </c>
    </row>
    <row r="163" spans="1:21" s="97" customFormat="1" ht="19.7" customHeight="1" x14ac:dyDescent="0.15">
      <c r="A163" s="193" t="s">
        <v>99</v>
      </c>
      <c r="B163" s="1"/>
      <c r="C163" s="1"/>
      <c r="D163" s="49"/>
      <c r="E163" s="143">
        <v>4</v>
      </c>
      <c r="F163" s="69">
        <f t="shared" si="11"/>
        <v>123</v>
      </c>
      <c r="G163" s="69" t="s">
        <v>41</v>
      </c>
      <c r="H163" s="69" t="s">
        <v>25</v>
      </c>
      <c r="I163" s="221" t="s">
        <v>285</v>
      </c>
      <c r="J163" s="220">
        <v>1</v>
      </c>
      <c r="K163" s="193">
        <v>43350</v>
      </c>
      <c r="L163" s="269">
        <f t="shared" si="10"/>
        <v>43350</v>
      </c>
      <c r="M163" s="1"/>
      <c r="N163" s="23" t="s">
        <v>284</v>
      </c>
      <c r="O163" s="48"/>
      <c r="P163" s="280" t="s">
        <v>563</v>
      </c>
      <c r="Q163" s="11">
        <v>45876</v>
      </c>
      <c r="R163" s="80"/>
      <c r="S163" s="279">
        <v>45901</v>
      </c>
      <c r="T163" s="39">
        <v>45902</v>
      </c>
      <c r="U163" s="45">
        <v>45902</v>
      </c>
    </row>
    <row r="164" spans="1:21" s="97" customFormat="1" ht="19.7" customHeight="1" x14ac:dyDescent="0.15">
      <c r="A164" s="193" t="s">
        <v>30</v>
      </c>
      <c r="B164" s="1"/>
      <c r="C164" s="1"/>
      <c r="D164" s="49"/>
      <c r="E164" s="143">
        <v>4</v>
      </c>
      <c r="F164" s="69">
        <f t="shared" si="11"/>
        <v>124</v>
      </c>
      <c r="G164" s="139" t="s">
        <v>69</v>
      </c>
      <c r="H164" s="139" t="s">
        <v>69</v>
      </c>
      <c r="I164" s="225" t="s">
        <v>100</v>
      </c>
      <c r="J164" s="225">
        <v>8</v>
      </c>
      <c r="K164" s="273">
        <v>47</v>
      </c>
      <c r="L164" s="151">
        <f t="shared" si="10"/>
        <v>376</v>
      </c>
      <c r="M164" s="51"/>
      <c r="N164" s="103" t="s">
        <v>101</v>
      </c>
      <c r="O164" s="48"/>
      <c r="P164" s="280" t="s">
        <v>563</v>
      </c>
      <c r="Q164" s="11">
        <v>45876</v>
      </c>
      <c r="R164" s="80"/>
      <c r="S164" s="279">
        <v>45901</v>
      </c>
      <c r="T164" s="39">
        <v>45902</v>
      </c>
      <c r="U164" s="45">
        <v>45902</v>
      </c>
    </row>
    <row r="165" spans="1:21" s="97" customFormat="1" ht="19.7" customHeight="1" x14ac:dyDescent="0.15">
      <c r="A165" s="193" t="s">
        <v>30</v>
      </c>
      <c r="B165" s="1"/>
      <c r="C165" s="1"/>
      <c r="D165" s="49"/>
      <c r="E165" s="143">
        <v>4</v>
      </c>
      <c r="F165" s="69">
        <f t="shared" si="11"/>
        <v>125</v>
      </c>
      <c r="G165" s="139" t="s">
        <v>69</v>
      </c>
      <c r="H165" s="139" t="s">
        <v>69</v>
      </c>
      <c r="I165" s="225" t="s">
        <v>102</v>
      </c>
      <c r="J165" s="225">
        <v>4</v>
      </c>
      <c r="K165" s="273">
        <v>77</v>
      </c>
      <c r="L165" s="151">
        <f t="shared" si="10"/>
        <v>308</v>
      </c>
      <c r="M165" s="51"/>
      <c r="N165" s="103" t="s">
        <v>103</v>
      </c>
      <c r="O165" s="48"/>
      <c r="P165" s="280" t="s">
        <v>563</v>
      </c>
      <c r="Q165" s="11">
        <v>45876</v>
      </c>
      <c r="R165" s="80"/>
      <c r="S165" s="279">
        <v>45901</v>
      </c>
      <c r="T165" s="39">
        <v>45902</v>
      </c>
      <c r="U165" s="45">
        <v>45902</v>
      </c>
    </row>
    <row r="166" spans="1:21" s="97" customFormat="1" ht="19.7" customHeight="1" x14ac:dyDescent="0.15">
      <c r="A166" s="193" t="s">
        <v>30</v>
      </c>
      <c r="B166" s="1"/>
      <c r="C166" s="1"/>
      <c r="D166" s="49"/>
      <c r="E166" s="143">
        <v>4</v>
      </c>
      <c r="F166" s="69">
        <f t="shared" si="11"/>
        <v>126</v>
      </c>
      <c r="G166" s="104" t="s">
        <v>69</v>
      </c>
      <c r="H166" s="104" t="s">
        <v>69</v>
      </c>
      <c r="I166" s="226" t="s">
        <v>104</v>
      </c>
      <c r="J166" s="227">
        <v>8</v>
      </c>
      <c r="K166" s="274">
        <v>112</v>
      </c>
      <c r="L166" s="275">
        <f t="shared" si="10"/>
        <v>896</v>
      </c>
      <c r="M166" s="106"/>
      <c r="N166" s="105" t="s">
        <v>548</v>
      </c>
      <c r="O166" s="48"/>
      <c r="P166" s="280" t="s">
        <v>563</v>
      </c>
      <c r="Q166" s="11">
        <v>45876</v>
      </c>
      <c r="R166" s="80"/>
      <c r="S166" s="279">
        <v>45901</v>
      </c>
      <c r="T166" s="39">
        <v>45902</v>
      </c>
      <c r="U166" s="45">
        <v>45902</v>
      </c>
    </row>
    <row r="167" spans="1:21" s="97" customFormat="1" ht="19.7" customHeight="1" x14ac:dyDescent="0.15">
      <c r="A167" s="193" t="s">
        <v>30</v>
      </c>
      <c r="B167" s="1"/>
      <c r="C167" s="1"/>
      <c r="D167" s="49"/>
      <c r="E167" s="143">
        <v>4</v>
      </c>
      <c r="F167" s="69">
        <f t="shared" si="11"/>
        <v>127</v>
      </c>
      <c r="G167" s="73" t="s">
        <v>69</v>
      </c>
      <c r="H167" s="73" t="s">
        <v>69</v>
      </c>
      <c r="I167" s="221" t="s">
        <v>105</v>
      </c>
      <c r="J167" s="220">
        <v>6</v>
      </c>
      <c r="K167" s="193">
        <v>50</v>
      </c>
      <c r="L167" s="269">
        <f t="shared" si="10"/>
        <v>300</v>
      </c>
      <c r="M167" s="2"/>
      <c r="N167" s="23" t="s">
        <v>106</v>
      </c>
      <c r="O167" s="48"/>
      <c r="P167" s="280" t="s">
        <v>563</v>
      </c>
      <c r="Q167" s="11">
        <v>45876</v>
      </c>
      <c r="R167" s="80"/>
      <c r="S167" s="279">
        <v>45901</v>
      </c>
      <c r="T167" s="39">
        <v>45902</v>
      </c>
      <c r="U167" s="45">
        <v>45902</v>
      </c>
    </row>
    <row r="168" spans="1:21" s="97" customFormat="1" ht="19.7" customHeight="1" x14ac:dyDescent="0.15">
      <c r="A168" s="193" t="s">
        <v>30</v>
      </c>
      <c r="B168" s="1"/>
      <c r="C168" s="1"/>
      <c r="D168" s="49"/>
      <c r="E168" s="143">
        <v>4</v>
      </c>
      <c r="F168" s="69">
        <f t="shared" si="11"/>
        <v>128</v>
      </c>
      <c r="G168" s="73" t="s">
        <v>69</v>
      </c>
      <c r="H168" s="73" t="s">
        <v>69</v>
      </c>
      <c r="I168" s="221" t="s">
        <v>107</v>
      </c>
      <c r="J168" s="220">
        <v>10</v>
      </c>
      <c r="K168" s="193">
        <v>56</v>
      </c>
      <c r="L168" s="269">
        <f t="shared" si="10"/>
        <v>560</v>
      </c>
      <c r="M168" s="2"/>
      <c r="N168" s="23" t="s">
        <v>108</v>
      </c>
      <c r="O168" s="48"/>
      <c r="P168" s="280" t="s">
        <v>563</v>
      </c>
      <c r="Q168" s="11">
        <v>45876</v>
      </c>
      <c r="R168" s="80"/>
      <c r="S168" s="279">
        <v>45901</v>
      </c>
      <c r="T168" s="39">
        <v>45902</v>
      </c>
      <c r="U168" s="45">
        <v>45902</v>
      </c>
    </row>
    <row r="169" spans="1:21" s="97" customFormat="1" ht="19.7" customHeight="1" x14ac:dyDescent="0.15">
      <c r="A169" s="193" t="s">
        <v>30</v>
      </c>
      <c r="B169" s="1"/>
      <c r="C169" s="1"/>
      <c r="D169" s="49"/>
      <c r="E169" s="143">
        <v>4</v>
      </c>
      <c r="F169" s="69">
        <f t="shared" si="11"/>
        <v>129</v>
      </c>
      <c r="G169" s="73" t="s">
        <v>69</v>
      </c>
      <c r="H169" s="73" t="s">
        <v>69</v>
      </c>
      <c r="I169" s="221" t="s">
        <v>109</v>
      </c>
      <c r="J169" s="220">
        <v>4</v>
      </c>
      <c r="K169" s="193">
        <v>56</v>
      </c>
      <c r="L169" s="269">
        <f t="shared" si="10"/>
        <v>224</v>
      </c>
      <c r="M169" s="2"/>
      <c r="N169" s="23" t="s">
        <v>110</v>
      </c>
      <c r="O169" s="48"/>
      <c r="P169" s="280" t="s">
        <v>563</v>
      </c>
      <c r="Q169" s="11">
        <v>45876</v>
      </c>
      <c r="R169" s="80"/>
      <c r="S169" s="279">
        <v>45901</v>
      </c>
      <c r="T169" s="39">
        <v>45902</v>
      </c>
      <c r="U169" s="45">
        <v>45902</v>
      </c>
    </row>
    <row r="170" spans="1:21" s="97" customFormat="1" ht="19.7" customHeight="1" x14ac:dyDescent="0.15">
      <c r="A170" s="193" t="s">
        <v>30</v>
      </c>
      <c r="B170" s="1"/>
      <c r="C170" s="1"/>
      <c r="D170" s="49"/>
      <c r="E170" s="143">
        <v>4</v>
      </c>
      <c r="F170" s="69">
        <f t="shared" si="11"/>
        <v>130</v>
      </c>
      <c r="G170" s="73" t="s">
        <v>69</v>
      </c>
      <c r="H170" s="73" t="s">
        <v>69</v>
      </c>
      <c r="I170" s="221" t="s">
        <v>111</v>
      </c>
      <c r="J170" s="220">
        <v>4</v>
      </c>
      <c r="K170" s="193">
        <v>56</v>
      </c>
      <c r="L170" s="269">
        <f t="shared" si="10"/>
        <v>224</v>
      </c>
      <c r="M170" s="2"/>
      <c r="N170" s="94" t="s">
        <v>112</v>
      </c>
      <c r="O170" s="48"/>
      <c r="P170" s="280" t="s">
        <v>563</v>
      </c>
      <c r="Q170" s="11">
        <v>45876</v>
      </c>
      <c r="R170" s="80"/>
      <c r="S170" s="279">
        <v>45901</v>
      </c>
      <c r="T170" s="39">
        <v>45902</v>
      </c>
      <c r="U170" s="45">
        <v>45902</v>
      </c>
    </row>
    <row r="171" spans="1:21" s="97" customFormat="1" ht="19.7" customHeight="1" x14ac:dyDescent="0.15">
      <c r="A171" s="1"/>
      <c r="B171" s="1"/>
      <c r="C171" s="1"/>
      <c r="D171" s="1"/>
      <c r="E171" s="1"/>
      <c r="F171" s="4"/>
      <c r="G171" s="4"/>
      <c r="H171" s="4"/>
      <c r="I171" s="1"/>
      <c r="J171" s="24"/>
      <c r="K171" s="1"/>
      <c r="L171" s="2"/>
      <c r="M171" s="94"/>
      <c r="N171" s="1"/>
      <c r="O171" s="48"/>
      <c r="P171" s="90"/>
      <c r="Q171" s="81"/>
      <c r="R171" s="41"/>
      <c r="S171" s="63"/>
      <c r="T171" s="19"/>
      <c r="U171" s="45"/>
    </row>
    <row r="172" spans="1:21" s="97" customFormat="1" ht="19.7" customHeight="1" x14ac:dyDescent="0.15">
      <c r="A172" s="1"/>
      <c r="B172" s="1"/>
      <c r="C172" s="1"/>
      <c r="D172" s="1"/>
      <c r="E172" s="1"/>
      <c r="F172" s="4"/>
      <c r="G172" s="4"/>
      <c r="H172" s="4"/>
      <c r="I172" s="136">
        <f>SUM(L146:L170)</f>
        <v>110160</v>
      </c>
      <c r="J172" s="137"/>
      <c r="K172" s="137"/>
      <c r="L172" s="138"/>
      <c r="M172" s="94"/>
      <c r="N172" s="1"/>
      <c r="O172" s="48"/>
      <c r="P172" s="90"/>
      <c r="Q172" s="81"/>
      <c r="R172" s="41"/>
      <c r="S172" s="63"/>
      <c r="T172" s="19"/>
      <c r="U172" s="45"/>
    </row>
    <row r="173" spans="1:21" s="3" customFormat="1" ht="19.5" customHeight="1" x14ac:dyDescent="0.15">
      <c r="E173" s="50"/>
      <c r="F173" s="84"/>
      <c r="G173" s="43"/>
      <c r="H173" s="43"/>
      <c r="I173" s="46"/>
      <c r="J173" s="44"/>
      <c r="K173" s="82"/>
      <c r="L173" s="43"/>
      <c r="M173" s="44"/>
      <c r="N173" s="47"/>
      <c r="O173" s="48"/>
      <c r="P173" s="90"/>
      <c r="Q173" s="81"/>
      <c r="R173" s="41"/>
      <c r="S173" s="63"/>
      <c r="T173" s="19"/>
      <c r="U173" s="45"/>
    </row>
    <row r="174" spans="1:21" s="3" customFormat="1" ht="19.5" customHeight="1" x14ac:dyDescent="0.15">
      <c r="E174" s="50"/>
      <c r="F174" s="84"/>
      <c r="G174" s="43"/>
      <c r="H174" s="43"/>
      <c r="I174" s="46"/>
      <c r="J174" s="44"/>
      <c r="K174" s="82"/>
      <c r="L174" s="43"/>
      <c r="M174" s="44"/>
      <c r="N174" s="47"/>
      <c r="O174" s="48"/>
      <c r="P174" s="90"/>
      <c r="Q174" s="81"/>
      <c r="R174" s="41"/>
      <c r="S174" s="63"/>
      <c r="T174" s="19"/>
      <c r="U174" s="45"/>
    </row>
    <row r="175" spans="1:21" s="3" customFormat="1" ht="19.5" customHeight="1" x14ac:dyDescent="0.15">
      <c r="E175" s="50"/>
      <c r="F175" s="84"/>
      <c r="G175" s="43"/>
      <c r="H175" s="43"/>
      <c r="I175" s="46"/>
      <c r="J175" s="44"/>
      <c r="K175" s="82"/>
      <c r="L175" s="43"/>
      <c r="M175" s="44"/>
      <c r="N175" s="47"/>
      <c r="O175" s="48"/>
      <c r="P175" s="90"/>
      <c r="Q175" s="81"/>
      <c r="R175" s="41"/>
      <c r="S175" s="63"/>
      <c r="T175" s="19"/>
      <c r="U175" s="45"/>
    </row>
    <row r="176" spans="1:21" s="3" customFormat="1" ht="19.7" customHeight="1" x14ac:dyDescent="0.15">
      <c r="D176" s="214"/>
      <c r="E176" s="193"/>
      <c r="F176" s="308" t="s">
        <v>28</v>
      </c>
      <c r="G176" s="309"/>
      <c r="H176" s="309"/>
      <c r="I176" s="310"/>
      <c r="J176" s="1"/>
      <c r="K176" s="36"/>
      <c r="L176" s="35"/>
      <c r="M176" s="26"/>
      <c r="N176" s="24"/>
      <c r="O176" s="48"/>
      <c r="P176" s="90"/>
      <c r="Q176" s="81"/>
      <c r="R176" s="41"/>
      <c r="S176" s="63"/>
      <c r="T176" s="19"/>
      <c r="U176" s="45"/>
    </row>
    <row r="177" spans="1:21" s="3" customFormat="1" ht="19.7" customHeight="1" x14ac:dyDescent="0.15">
      <c r="A177" s="193" t="s">
        <v>24</v>
      </c>
      <c r="B177" s="1"/>
      <c r="C177" s="1">
        <v>15</v>
      </c>
      <c r="D177" s="49"/>
      <c r="E177" s="124">
        <v>3</v>
      </c>
      <c r="F177" s="135">
        <f>+F170+1</f>
        <v>131</v>
      </c>
      <c r="G177" s="93" t="s">
        <v>25</v>
      </c>
      <c r="H177" s="93" t="s">
        <v>25</v>
      </c>
      <c r="I177" s="230" t="s">
        <v>26</v>
      </c>
      <c r="J177" s="231">
        <v>1</v>
      </c>
      <c r="K177" s="151">
        <v>5451</v>
      </c>
      <c r="L177" s="151">
        <f t="shared" ref="L177:L218" si="12">J177*K177</f>
        <v>5451</v>
      </c>
      <c r="M177" s="51"/>
      <c r="N177" s="52" t="s">
        <v>27</v>
      </c>
      <c r="O177" s="258" t="s">
        <v>561</v>
      </c>
      <c r="P177" s="289" t="s">
        <v>569</v>
      </c>
      <c r="Q177" s="81">
        <v>45876</v>
      </c>
      <c r="R177" s="41"/>
      <c r="S177" s="63">
        <v>45901</v>
      </c>
      <c r="T177" s="19">
        <v>45902</v>
      </c>
      <c r="U177" s="45">
        <v>45902</v>
      </c>
    </row>
    <row r="178" spans="1:21" s="3" customFormat="1" ht="19.7" customHeight="1" x14ac:dyDescent="0.15">
      <c r="A178" s="193" t="s">
        <v>24</v>
      </c>
      <c r="B178" s="1"/>
      <c r="C178" s="1"/>
      <c r="D178" s="49"/>
      <c r="E178" s="124">
        <v>3</v>
      </c>
      <c r="F178" s="135">
        <f>+F177+1</f>
        <v>132</v>
      </c>
      <c r="G178" s="93" t="s">
        <v>25</v>
      </c>
      <c r="H178" s="93" t="s">
        <v>25</v>
      </c>
      <c r="I178" s="230" t="s">
        <v>304</v>
      </c>
      <c r="J178" s="231">
        <v>1</v>
      </c>
      <c r="K178" s="151">
        <v>2728</v>
      </c>
      <c r="L178" s="151">
        <f t="shared" si="12"/>
        <v>2728</v>
      </c>
      <c r="M178" s="67"/>
      <c r="N178" s="52" t="s">
        <v>305</v>
      </c>
      <c r="O178" s="258" t="s">
        <v>561</v>
      </c>
      <c r="P178" s="289" t="s">
        <v>569</v>
      </c>
      <c r="Q178" s="81">
        <v>45876</v>
      </c>
      <c r="R178" s="41"/>
      <c r="S178" s="63">
        <v>45901</v>
      </c>
      <c r="T178" s="19">
        <v>45902</v>
      </c>
      <c r="U178" s="45">
        <v>45902</v>
      </c>
    </row>
    <row r="179" spans="1:21" s="3" customFormat="1" ht="19.7" customHeight="1" x14ac:dyDescent="0.15">
      <c r="A179" s="197" t="s">
        <v>40</v>
      </c>
      <c r="B179" s="121"/>
      <c r="C179" s="121"/>
      <c r="D179" s="132"/>
      <c r="E179" s="124">
        <v>3</v>
      </c>
      <c r="F179" s="135">
        <f t="shared" ref="F179:F223" si="13">+F178+1</f>
        <v>133</v>
      </c>
      <c r="G179" s="4" t="s">
        <v>25</v>
      </c>
      <c r="H179" s="4" t="s">
        <v>25</v>
      </c>
      <c r="I179" s="228" t="s">
        <v>302</v>
      </c>
      <c r="J179" s="229">
        <v>1</v>
      </c>
      <c r="K179" s="245">
        <v>22169</v>
      </c>
      <c r="L179" s="156">
        <f t="shared" si="12"/>
        <v>22169</v>
      </c>
      <c r="M179" s="2"/>
      <c r="N179" s="88" t="s">
        <v>303</v>
      </c>
      <c r="O179" s="258" t="s">
        <v>561</v>
      </c>
      <c r="P179" s="289" t="s">
        <v>569</v>
      </c>
      <c r="Q179" s="81">
        <v>45876</v>
      </c>
      <c r="R179" s="41"/>
      <c r="S179" s="63">
        <v>45901</v>
      </c>
      <c r="T179" s="19">
        <v>45902</v>
      </c>
      <c r="U179" s="45">
        <v>45902</v>
      </c>
    </row>
    <row r="180" spans="1:21" s="3" customFormat="1" ht="19.7" customHeight="1" x14ac:dyDescent="0.15">
      <c r="A180" s="197" t="s">
        <v>40</v>
      </c>
      <c r="B180" s="121"/>
      <c r="C180" s="121"/>
      <c r="D180" s="132"/>
      <c r="E180" s="124"/>
      <c r="F180" s="135">
        <f t="shared" si="13"/>
        <v>134</v>
      </c>
      <c r="G180" s="69" t="s">
        <v>41</v>
      </c>
      <c r="H180" s="69" t="s">
        <v>25</v>
      </c>
      <c r="I180" s="228" t="s">
        <v>349</v>
      </c>
      <c r="J180" s="229">
        <v>1</v>
      </c>
      <c r="K180" s="245">
        <v>7130</v>
      </c>
      <c r="L180" s="156">
        <f t="shared" si="12"/>
        <v>7130</v>
      </c>
      <c r="M180" s="2"/>
      <c r="N180" s="88" t="s">
        <v>348</v>
      </c>
      <c r="O180" s="258" t="s">
        <v>561</v>
      </c>
      <c r="P180" s="289" t="s">
        <v>569</v>
      </c>
      <c r="Q180" s="81">
        <v>45876</v>
      </c>
      <c r="R180" s="41"/>
      <c r="S180" s="63">
        <v>45901</v>
      </c>
      <c r="T180" s="19">
        <v>45902</v>
      </c>
      <c r="U180" s="45">
        <v>45902</v>
      </c>
    </row>
    <row r="181" spans="1:21" s="3" customFormat="1" ht="19.7" customHeight="1" x14ac:dyDescent="0.15">
      <c r="A181" s="193" t="s">
        <v>24</v>
      </c>
      <c r="B181" s="1"/>
      <c r="C181" s="1"/>
      <c r="D181" s="121"/>
      <c r="E181" s="50"/>
      <c r="F181" s="135">
        <f t="shared" si="13"/>
        <v>135</v>
      </c>
      <c r="G181" s="4" t="s">
        <v>25</v>
      </c>
      <c r="H181" s="4" t="s">
        <v>25</v>
      </c>
      <c r="I181" s="228" t="s">
        <v>343</v>
      </c>
      <c r="J181" s="229">
        <v>4</v>
      </c>
      <c r="K181" s="245">
        <v>94</v>
      </c>
      <c r="L181" s="156">
        <f t="shared" si="12"/>
        <v>376</v>
      </c>
      <c r="M181" s="2"/>
      <c r="N181" s="88" t="s">
        <v>353</v>
      </c>
      <c r="O181" s="258" t="s">
        <v>561</v>
      </c>
      <c r="P181" s="289" t="s">
        <v>569</v>
      </c>
      <c r="Q181" s="81">
        <v>45876</v>
      </c>
      <c r="R181" s="41"/>
      <c r="S181" s="63">
        <v>45901</v>
      </c>
      <c r="T181" s="19">
        <v>45902</v>
      </c>
      <c r="U181" s="45">
        <v>45902</v>
      </c>
    </row>
    <row r="182" spans="1:21" s="3" customFormat="1" ht="19.7" customHeight="1" x14ac:dyDescent="0.15">
      <c r="A182" s="193" t="s">
        <v>24</v>
      </c>
      <c r="B182" s="1"/>
      <c r="C182" s="1"/>
      <c r="D182" s="121"/>
      <c r="E182" s="50"/>
      <c r="F182" s="135">
        <f t="shared" si="13"/>
        <v>136</v>
      </c>
      <c r="G182" s="4" t="s">
        <v>25</v>
      </c>
      <c r="H182" s="4" t="s">
        <v>25</v>
      </c>
      <c r="I182" s="228" t="s">
        <v>282</v>
      </c>
      <c r="J182" s="229">
        <v>4</v>
      </c>
      <c r="K182" s="245">
        <v>91</v>
      </c>
      <c r="L182" s="156">
        <f t="shared" si="12"/>
        <v>364</v>
      </c>
      <c r="M182" s="2"/>
      <c r="N182" s="88" t="s">
        <v>354</v>
      </c>
      <c r="O182" s="258" t="s">
        <v>561</v>
      </c>
      <c r="P182" s="289" t="s">
        <v>569</v>
      </c>
      <c r="Q182" s="81">
        <v>45876</v>
      </c>
      <c r="R182" s="41"/>
      <c r="S182" s="63">
        <v>45901</v>
      </c>
      <c r="T182" s="19">
        <v>45902</v>
      </c>
      <c r="U182" s="45">
        <v>45902</v>
      </c>
    </row>
    <row r="183" spans="1:21" s="3" customFormat="1" ht="19.7" customHeight="1" x14ac:dyDescent="0.15">
      <c r="A183" s="193" t="s">
        <v>24</v>
      </c>
      <c r="B183" s="1"/>
      <c r="C183" s="1"/>
      <c r="D183" s="121"/>
      <c r="E183" s="50"/>
      <c r="F183" s="135">
        <f t="shared" si="13"/>
        <v>137</v>
      </c>
      <c r="G183" s="4" t="s">
        <v>25</v>
      </c>
      <c r="H183" s="4" t="s">
        <v>25</v>
      </c>
      <c r="I183" s="228" t="s">
        <v>344</v>
      </c>
      <c r="J183" s="229">
        <v>4</v>
      </c>
      <c r="K183" s="245">
        <v>75</v>
      </c>
      <c r="L183" s="156">
        <f t="shared" si="12"/>
        <v>300</v>
      </c>
      <c r="M183" s="2"/>
      <c r="N183" s="167" t="s">
        <v>355</v>
      </c>
      <c r="O183" s="258" t="s">
        <v>561</v>
      </c>
      <c r="P183" s="289" t="s">
        <v>569</v>
      </c>
      <c r="Q183" s="81">
        <v>45876</v>
      </c>
      <c r="R183" s="41"/>
      <c r="S183" s="63">
        <v>45901</v>
      </c>
      <c r="T183" s="19">
        <v>45902</v>
      </c>
      <c r="U183" s="45">
        <v>45902</v>
      </c>
    </row>
    <row r="184" spans="1:21" s="3" customFormat="1" ht="19.7" customHeight="1" x14ac:dyDescent="0.15">
      <c r="A184" s="193" t="s">
        <v>24</v>
      </c>
      <c r="B184" s="1"/>
      <c r="C184" s="1"/>
      <c r="D184" s="121"/>
      <c r="E184" s="50"/>
      <c r="F184" s="135">
        <f t="shared" si="13"/>
        <v>138</v>
      </c>
      <c r="G184" s="4" t="s">
        <v>25</v>
      </c>
      <c r="H184" s="4" t="s">
        <v>25</v>
      </c>
      <c r="I184" s="228" t="s">
        <v>345</v>
      </c>
      <c r="J184" s="229">
        <v>4</v>
      </c>
      <c r="K184" s="245">
        <v>95</v>
      </c>
      <c r="L184" s="156">
        <f t="shared" si="12"/>
        <v>380</v>
      </c>
      <c r="M184" s="2"/>
      <c r="N184" s="88" t="s">
        <v>352</v>
      </c>
      <c r="O184" s="258" t="s">
        <v>561</v>
      </c>
      <c r="P184" s="289" t="s">
        <v>569</v>
      </c>
      <c r="Q184" s="81">
        <v>45876</v>
      </c>
      <c r="R184" s="41"/>
      <c r="S184" s="63">
        <v>45901</v>
      </c>
      <c r="T184" s="19">
        <v>45902</v>
      </c>
      <c r="U184" s="45">
        <v>45902</v>
      </c>
    </row>
    <row r="185" spans="1:21" s="3" customFormat="1" ht="19.7" customHeight="1" x14ac:dyDescent="0.15">
      <c r="A185" s="193" t="s">
        <v>24</v>
      </c>
      <c r="B185" s="1"/>
      <c r="C185" s="1"/>
      <c r="D185" s="121"/>
      <c r="E185" s="50"/>
      <c r="F185" s="135">
        <f t="shared" si="13"/>
        <v>139</v>
      </c>
      <c r="G185" s="4" t="s">
        <v>25</v>
      </c>
      <c r="H185" s="4" t="s">
        <v>25</v>
      </c>
      <c r="I185" s="228" t="s">
        <v>346</v>
      </c>
      <c r="J185" s="229">
        <v>4</v>
      </c>
      <c r="K185" s="245">
        <v>52</v>
      </c>
      <c r="L185" s="156">
        <f t="shared" si="12"/>
        <v>208</v>
      </c>
      <c r="M185" s="2"/>
      <c r="N185" s="88" t="s">
        <v>351</v>
      </c>
      <c r="O185" s="258" t="s">
        <v>561</v>
      </c>
      <c r="P185" s="289" t="s">
        <v>569</v>
      </c>
      <c r="Q185" s="81">
        <v>45876</v>
      </c>
      <c r="R185" s="41"/>
      <c r="S185" s="63">
        <v>45901</v>
      </c>
      <c r="T185" s="19">
        <v>45902</v>
      </c>
      <c r="U185" s="45">
        <v>45902</v>
      </c>
    </row>
    <row r="186" spans="1:21" s="3" customFormat="1" ht="19.7" customHeight="1" x14ac:dyDescent="0.15">
      <c r="A186" s="193" t="s">
        <v>24</v>
      </c>
      <c r="B186" s="1"/>
      <c r="C186" s="1"/>
      <c r="D186" s="121"/>
      <c r="E186" s="50"/>
      <c r="F186" s="135">
        <f t="shared" si="13"/>
        <v>140</v>
      </c>
      <c r="G186" s="4" t="s">
        <v>25</v>
      </c>
      <c r="H186" s="4" t="s">
        <v>25</v>
      </c>
      <c r="I186" s="228" t="s">
        <v>549</v>
      </c>
      <c r="J186" s="229">
        <v>4</v>
      </c>
      <c r="K186" s="245">
        <v>297</v>
      </c>
      <c r="L186" s="156">
        <f t="shared" si="12"/>
        <v>1188</v>
      </c>
      <c r="M186" s="2"/>
      <c r="N186" s="88" t="s">
        <v>568</v>
      </c>
      <c r="O186" s="258" t="s">
        <v>561</v>
      </c>
      <c r="P186" s="289" t="s">
        <v>569</v>
      </c>
      <c r="Q186" s="81">
        <v>45876</v>
      </c>
      <c r="R186" s="41"/>
      <c r="S186" s="63">
        <v>45901</v>
      </c>
      <c r="T186" s="19">
        <v>45902</v>
      </c>
      <c r="U186" s="45">
        <v>45902</v>
      </c>
    </row>
    <row r="187" spans="1:21" s="3" customFormat="1" ht="19.7" customHeight="1" x14ac:dyDescent="0.15">
      <c r="A187" s="193" t="s">
        <v>24</v>
      </c>
      <c r="B187" s="1"/>
      <c r="C187" s="1"/>
      <c r="D187" s="121"/>
      <c r="E187" s="50"/>
      <c r="F187" s="135">
        <f t="shared" si="13"/>
        <v>141</v>
      </c>
      <c r="G187" s="4" t="s">
        <v>25</v>
      </c>
      <c r="H187" s="4" t="s">
        <v>25</v>
      </c>
      <c r="I187" s="228" t="s">
        <v>347</v>
      </c>
      <c r="J187" s="229">
        <v>4</v>
      </c>
      <c r="K187" s="245">
        <v>277</v>
      </c>
      <c r="L187" s="156">
        <f t="shared" si="12"/>
        <v>1108</v>
      </c>
      <c r="M187" s="2"/>
      <c r="N187" s="88" t="s">
        <v>350</v>
      </c>
      <c r="O187" s="258" t="s">
        <v>561</v>
      </c>
      <c r="P187" s="289" t="s">
        <v>569</v>
      </c>
      <c r="Q187" s="81">
        <v>45876</v>
      </c>
      <c r="R187" s="41"/>
      <c r="S187" s="63">
        <v>45901</v>
      </c>
      <c r="T187" s="19">
        <v>45902</v>
      </c>
      <c r="U187" s="45">
        <v>45902</v>
      </c>
    </row>
    <row r="188" spans="1:21" s="3" customFormat="1" ht="19.7" customHeight="1" x14ac:dyDescent="0.15">
      <c r="A188" s="197" t="s">
        <v>199</v>
      </c>
      <c r="B188" s="121"/>
      <c r="C188" s="121"/>
      <c r="D188" s="132"/>
      <c r="E188" s="124">
        <v>3</v>
      </c>
      <c r="F188" s="135">
        <f t="shared" si="13"/>
        <v>142</v>
      </c>
      <c r="G188" s="4" t="s">
        <v>25</v>
      </c>
      <c r="H188" s="4" t="s">
        <v>25</v>
      </c>
      <c r="I188" s="234" t="s">
        <v>213</v>
      </c>
      <c r="J188" s="200">
        <v>1</v>
      </c>
      <c r="K188" s="284">
        <v>5751</v>
      </c>
      <c r="L188" s="151">
        <f t="shared" si="12"/>
        <v>5751</v>
      </c>
      <c r="M188" s="98"/>
      <c r="N188" s="152" t="s">
        <v>309</v>
      </c>
      <c r="O188" s="258" t="s">
        <v>561</v>
      </c>
      <c r="P188" s="289" t="s">
        <v>569</v>
      </c>
      <c r="Q188" s="81">
        <v>45876</v>
      </c>
      <c r="R188" s="41"/>
      <c r="S188" s="63">
        <v>45901</v>
      </c>
      <c r="T188" s="19">
        <v>45902</v>
      </c>
      <c r="U188" s="45">
        <v>45902</v>
      </c>
    </row>
    <row r="189" spans="1:21" s="3" customFormat="1" ht="19.7" customHeight="1" x14ac:dyDescent="0.15">
      <c r="A189" s="197" t="s">
        <v>199</v>
      </c>
      <c r="B189" s="121"/>
      <c r="C189" s="121"/>
      <c r="D189" s="132"/>
      <c r="E189" s="124">
        <v>3</v>
      </c>
      <c r="F189" s="135">
        <f t="shared" si="13"/>
        <v>143</v>
      </c>
      <c r="G189" s="4" t="s">
        <v>25</v>
      </c>
      <c r="H189" s="4" t="s">
        <v>25</v>
      </c>
      <c r="I189" s="199" t="s">
        <v>308</v>
      </c>
      <c r="J189" s="200">
        <v>1</v>
      </c>
      <c r="K189" s="278">
        <v>2256</v>
      </c>
      <c r="L189" s="153">
        <f>J189*K189</f>
        <v>2256</v>
      </c>
      <c r="M189" s="98"/>
      <c r="N189" s="24" t="s">
        <v>310</v>
      </c>
      <c r="O189" s="258" t="s">
        <v>561</v>
      </c>
      <c r="P189" s="289" t="s">
        <v>569</v>
      </c>
      <c r="Q189" s="81">
        <v>45876</v>
      </c>
      <c r="R189" s="41"/>
      <c r="S189" s="63">
        <v>45901</v>
      </c>
      <c r="T189" s="19">
        <v>45902</v>
      </c>
      <c r="U189" s="45">
        <v>45902</v>
      </c>
    </row>
    <row r="190" spans="1:21" s="3" customFormat="1" ht="19.7" customHeight="1" x14ac:dyDescent="0.15">
      <c r="A190" s="197" t="s">
        <v>40</v>
      </c>
      <c r="B190" s="121"/>
      <c r="C190" s="121"/>
      <c r="D190" s="132"/>
      <c r="E190" s="124">
        <v>3</v>
      </c>
      <c r="F190" s="135">
        <f t="shared" si="13"/>
        <v>144</v>
      </c>
      <c r="G190" s="4" t="s">
        <v>69</v>
      </c>
      <c r="H190" s="4" t="s">
        <v>69</v>
      </c>
      <c r="I190" s="221" t="s">
        <v>220</v>
      </c>
      <c r="J190" s="233">
        <v>1</v>
      </c>
      <c r="K190" s="193">
        <v>1600</v>
      </c>
      <c r="L190" s="156">
        <f>J190*K190</f>
        <v>1600</v>
      </c>
      <c r="M190" s="94"/>
      <c r="N190" s="88" t="s">
        <v>215</v>
      </c>
      <c r="O190" s="258" t="s">
        <v>561</v>
      </c>
      <c r="P190" s="289" t="s">
        <v>569</v>
      </c>
      <c r="Q190" s="81">
        <v>45876</v>
      </c>
      <c r="R190" s="41"/>
      <c r="S190" s="63">
        <v>45901</v>
      </c>
      <c r="T190" s="19">
        <v>45902</v>
      </c>
      <c r="U190" s="45">
        <v>45902</v>
      </c>
    </row>
    <row r="191" spans="1:21" s="3" customFormat="1" ht="19.7" customHeight="1" x14ac:dyDescent="0.15">
      <c r="A191" s="197" t="s">
        <v>200</v>
      </c>
      <c r="B191" s="121"/>
      <c r="C191" s="121"/>
      <c r="D191" s="132"/>
      <c r="E191" s="124">
        <v>3</v>
      </c>
      <c r="F191" s="135">
        <f t="shared" si="13"/>
        <v>145</v>
      </c>
      <c r="G191" s="4" t="s">
        <v>25</v>
      </c>
      <c r="H191" s="4" t="s">
        <v>25</v>
      </c>
      <c r="I191" s="199" t="s">
        <v>201</v>
      </c>
      <c r="J191" s="200">
        <v>1</v>
      </c>
      <c r="K191" s="278">
        <v>5373</v>
      </c>
      <c r="L191" s="153">
        <f t="shared" si="12"/>
        <v>5373</v>
      </c>
      <c r="M191" s="98"/>
      <c r="N191" s="24" t="s">
        <v>202</v>
      </c>
      <c r="O191" s="258" t="s">
        <v>561</v>
      </c>
      <c r="P191" s="289" t="s">
        <v>569</v>
      </c>
      <c r="Q191" s="81">
        <v>45876</v>
      </c>
      <c r="R191" s="41"/>
      <c r="S191" s="63">
        <v>45901</v>
      </c>
      <c r="T191" s="19">
        <v>45902</v>
      </c>
      <c r="U191" s="45">
        <v>45902</v>
      </c>
    </row>
    <row r="192" spans="1:21" s="3" customFormat="1" ht="19.7" customHeight="1" x14ac:dyDescent="0.15">
      <c r="A192" s="197" t="s">
        <v>200</v>
      </c>
      <c r="B192" s="121"/>
      <c r="C192" s="121"/>
      <c r="D192" s="132"/>
      <c r="E192" s="124">
        <v>3</v>
      </c>
      <c r="F192" s="135">
        <f t="shared" si="13"/>
        <v>146</v>
      </c>
      <c r="G192" s="4" t="s">
        <v>25</v>
      </c>
      <c r="H192" s="4" t="s">
        <v>25</v>
      </c>
      <c r="I192" s="195" t="s">
        <v>306</v>
      </c>
      <c r="J192" s="235">
        <v>1</v>
      </c>
      <c r="K192" s="263">
        <v>1638</v>
      </c>
      <c r="L192" s="257">
        <f t="shared" si="12"/>
        <v>1638</v>
      </c>
      <c r="M192" s="60"/>
      <c r="N192" s="88" t="s">
        <v>307</v>
      </c>
      <c r="O192" s="258" t="s">
        <v>561</v>
      </c>
      <c r="P192" s="289" t="s">
        <v>569</v>
      </c>
      <c r="Q192" s="81">
        <v>45876</v>
      </c>
      <c r="R192" s="41"/>
      <c r="S192" s="63">
        <v>45901</v>
      </c>
      <c r="T192" s="19">
        <v>45902</v>
      </c>
      <c r="U192" s="45">
        <v>45902</v>
      </c>
    </row>
    <row r="193" spans="1:21" s="3" customFormat="1" ht="19.7" customHeight="1" x14ac:dyDescent="0.15">
      <c r="A193" s="197" t="s">
        <v>40</v>
      </c>
      <c r="B193" s="121"/>
      <c r="C193" s="121"/>
      <c r="D193" s="132"/>
      <c r="E193" s="124">
        <v>3</v>
      </c>
      <c r="F193" s="135">
        <f t="shared" si="13"/>
        <v>147</v>
      </c>
      <c r="G193" s="4" t="s">
        <v>25</v>
      </c>
      <c r="H193" s="4" t="s">
        <v>25</v>
      </c>
      <c r="I193" s="199" t="s">
        <v>339</v>
      </c>
      <c r="J193" s="200">
        <v>2</v>
      </c>
      <c r="K193" s="278">
        <v>1320</v>
      </c>
      <c r="L193" s="153">
        <f t="shared" si="12"/>
        <v>2640</v>
      </c>
      <c r="M193" s="26"/>
      <c r="N193" s="24" t="s">
        <v>203</v>
      </c>
      <c r="O193" s="258" t="s">
        <v>561</v>
      </c>
      <c r="P193" s="289" t="s">
        <v>569</v>
      </c>
      <c r="Q193" s="81">
        <v>45876</v>
      </c>
      <c r="R193" s="41"/>
      <c r="S193" s="63">
        <v>45901</v>
      </c>
      <c r="T193" s="19">
        <v>45902</v>
      </c>
      <c r="U193" s="45">
        <v>45902</v>
      </c>
    </row>
    <row r="194" spans="1:21" s="3" customFormat="1" ht="19.7" customHeight="1" x14ac:dyDescent="0.15">
      <c r="A194" s="197" t="s">
        <v>40</v>
      </c>
      <c r="B194" s="121"/>
      <c r="C194" s="121"/>
      <c r="D194" s="132"/>
      <c r="E194" s="124">
        <v>3</v>
      </c>
      <c r="F194" s="135">
        <f t="shared" si="13"/>
        <v>148</v>
      </c>
      <c r="G194" s="4" t="s">
        <v>25</v>
      </c>
      <c r="H194" s="4" t="s">
        <v>25</v>
      </c>
      <c r="I194" s="199" t="s">
        <v>311</v>
      </c>
      <c r="J194" s="200">
        <v>1</v>
      </c>
      <c r="K194" s="278">
        <v>1543</v>
      </c>
      <c r="L194" s="153">
        <f t="shared" si="12"/>
        <v>1543</v>
      </c>
      <c r="M194" s="26"/>
      <c r="N194" s="24" t="s">
        <v>203</v>
      </c>
      <c r="O194" s="258" t="s">
        <v>561</v>
      </c>
      <c r="P194" s="289" t="s">
        <v>569</v>
      </c>
      <c r="Q194" s="81">
        <v>45876</v>
      </c>
      <c r="R194" s="41"/>
      <c r="S194" s="63">
        <v>45901</v>
      </c>
      <c r="T194" s="19">
        <v>45902</v>
      </c>
      <c r="U194" s="45">
        <v>45902</v>
      </c>
    </row>
    <row r="195" spans="1:21" s="3" customFormat="1" ht="19.7" customHeight="1" x14ac:dyDescent="0.15">
      <c r="A195" s="197" t="s">
        <v>200</v>
      </c>
      <c r="B195" s="121"/>
      <c r="C195" s="121"/>
      <c r="D195" s="132"/>
      <c r="E195" s="124">
        <v>3</v>
      </c>
      <c r="F195" s="135">
        <f t="shared" si="13"/>
        <v>149</v>
      </c>
      <c r="G195" s="4" t="s">
        <v>217</v>
      </c>
      <c r="H195" s="4" t="s">
        <v>25</v>
      </c>
      <c r="I195" s="199">
        <v>620704006</v>
      </c>
      <c r="J195" s="200">
        <v>10</v>
      </c>
      <c r="K195" s="278">
        <v>36</v>
      </c>
      <c r="L195" s="153">
        <f t="shared" si="12"/>
        <v>360</v>
      </c>
      <c r="M195" s="26"/>
      <c r="N195" s="24" t="s">
        <v>216</v>
      </c>
      <c r="O195" s="258" t="s">
        <v>561</v>
      </c>
      <c r="P195" s="289" t="s">
        <v>569</v>
      </c>
      <c r="Q195" s="81">
        <v>45876</v>
      </c>
      <c r="R195" s="41"/>
      <c r="S195" s="63">
        <v>45901</v>
      </c>
      <c r="T195" s="19">
        <v>45902</v>
      </c>
      <c r="U195" s="45">
        <v>45902</v>
      </c>
    </row>
    <row r="196" spans="1:21" s="3" customFormat="1" ht="19.7" customHeight="1" x14ac:dyDescent="0.15">
      <c r="A196" s="197" t="s">
        <v>200</v>
      </c>
      <c r="B196" s="1"/>
      <c r="C196" s="1"/>
      <c r="D196" s="1"/>
      <c r="E196" s="124">
        <v>3</v>
      </c>
      <c r="F196" s="135">
        <f t="shared" si="13"/>
        <v>150</v>
      </c>
      <c r="G196" s="112" t="s">
        <v>25</v>
      </c>
      <c r="H196" s="112" t="s">
        <v>25</v>
      </c>
      <c r="I196" s="199" t="s">
        <v>204</v>
      </c>
      <c r="J196" s="200">
        <v>2</v>
      </c>
      <c r="K196" s="278">
        <v>733</v>
      </c>
      <c r="L196" s="191">
        <f t="shared" si="12"/>
        <v>1466</v>
      </c>
      <c r="M196" s="281"/>
      <c r="N196" s="88" t="s">
        <v>205</v>
      </c>
      <c r="O196" s="258" t="s">
        <v>561</v>
      </c>
      <c r="P196" s="289" t="s">
        <v>569</v>
      </c>
      <c r="Q196" s="81">
        <v>45876</v>
      </c>
      <c r="R196" s="41"/>
      <c r="S196" s="63">
        <v>45901</v>
      </c>
      <c r="T196" s="19">
        <v>45902</v>
      </c>
      <c r="U196" s="45">
        <v>45902</v>
      </c>
    </row>
    <row r="197" spans="1:21" s="3" customFormat="1" ht="19.7" customHeight="1" x14ac:dyDescent="0.15">
      <c r="A197" s="197" t="s">
        <v>200</v>
      </c>
      <c r="B197" s="1"/>
      <c r="C197" s="1"/>
      <c r="D197" s="1"/>
      <c r="E197" s="124"/>
      <c r="F197" s="135">
        <f t="shared" si="13"/>
        <v>151</v>
      </c>
      <c r="G197" s="4" t="s">
        <v>322</v>
      </c>
      <c r="H197" s="4" t="s">
        <v>25</v>
      </c>
      <c r="I197" s="203" t="s">
        <v>323</v>
      </c>
      <c r="J197" s="193">
        <v>1</v>
      </c>
      <c r="K197" s="249">
        <v>4150</v>
      </c>
      <c r="L197" s="257">
        <f t="shared" si="12"/>
        <v>4150</v>
      </c>
      <c r="M197" s="2"/>
      <c r="N197" s="24" t="s">
        <v>324</v>
      </c>
      <c r="O197" s="258" t="s">
        <v>561</v>
      </c>
      <c r="P197" s="289" t="s">
        <v>569</v>
      </c>
      <c r="Q197" s="81">
        <v>45876</v>
      </c>
      <c r="R197" s="41"/>
      <c r="S197" s="63">
        <v>45901</v>
      </c>
      <c r="T197" s="19">
        <v>45902</v>
      </c>
      <c r="U197" s="45">
        <v>45902</v>
      </c>
    </row>
    <row r="198" spans="1:21" s="3" customFormat="1" ht="19.7" customHeight="1" x14ac:dyDescent="0.15">
      <c r="A198" s="197" t="s">
        <v>200</v>
      </c>
      <c r="B198" s="1"/>
      <c r="C198" s="1"/>
      <c r="D198" s="1"/>
      <c r="E198" s="124"/>
      <c r="F198" s="135">
        <f t="shared" si="13"/>
        <v>152</v>
      </c>
      <c r="G198" s="4" t="s">
        <v>322</v>
      </c>
      <c r="H198" s="4" t="s">
        <v>25</v>
      </c>
      <c r="I198" s="203" t="s">
        <v>325</v>
      </c>
      <c r="J198" s="193">
        <v>1</v>
      </c>
      <c r="K198" s="249">
        <v>4150</v>
      </c>
      <c r="L198" s="257">
        <f>J198*K198</f>
        <v>4150</v>
      </c>
      <c r="M198" s="2"/>
      <c r="N198" s="24" t="s">
        <v>324</v>
      </c>
      <c r="O198" s="258" t="s">
        <v>561</v>
      </c>
      <c r="P198" s="289" t="s">
        <v>569</v>
      </c>
      <c r="Q198" s="81">
        <v>45876</v>
      </c>
      <c r="R198" s="41"/>
      <c r="S198" s="63">
        <v>45901</v>
      </c>
      <c r="T198" s="19">
        <v>45902</v>
      </c>
      <c r="U198" s="45">
        <v>45902</v>
      </c>
    </row>
    <row r="199" spans="1:21" s="3" customFormat="1" ht="19.7" customHeight="1" x14ac:dyDescent="0.15">
      <c r="A199" s="197" t="s">
        <v>200</v>
      </c>
      <c r="B199" s="1"/>
      <c r="C199" s="1"/>
      <c r="D199" s="1"/>
      <c r="E199" s="124">
        <v>3</v>
      </c>
      <c r="F199" s="135">
        <f>+F198+1</f>
        <v>153</v>
      </c>
      <c r="G199" s="112" t="s">
        <v>25</v>
      </c>
      <c r="H199" s="112" t="s">
        <v>25</v>
      </c>
      <c r="I199" s="247" t="s">
        <v>206</v>
      </c>
      <c r="J199" s="200">
        <v>10</v>
      </c>
      <c r="K199" s="191">
        <v>75</v>
      </c>
      <c r="L199" s="191">
        <f>J199*K199</f>
        <v>750</v>
      </c>
      <c r="M199" s="246"/>
      <c r="N199" s="88" t="s">
        <v>207</v>
      </c>
      <c r="O199" s="258" t="s">
        <v>561</v>
      </c>
      <c r="P199" s="289" t="s">
        <v>569</v>
      </c>
      <c r="Q199" s="81">
        <v>45876</v>
      </c>
      <c r="R199" s="41"/>
      <c r="S199" s="63">
        <v>45901</v>
      </c>
      <c r="T199" s="19">
        <v>45902</v>
      </c>
      <c r="U199" s="45">
        <v>45902</v>
      </c>
    </row>
    <row r="200" spans="1:21" s="3" customFormat="1" ht="19.7" customHeight="1" x14ac:dyDescent="0.15">
      <c r="A200" s="197" t="s">
        <v>200</v>
      </c>
      <c r="B200" s="121"/>
      <c r="C200" s="121"/>
      <c r="D200" s="132"/>
      <c r="E200" s="124">
        <v>3</v>
      </c>
      <c r="F200" s="135">
        <f t="shared" si="13"/>
        <v>154</v>
      </c>
      <c r="G200" s="59" t="s">
        <v>25</v>
      </c>
      <c r="H200" s="59" t="s">
        <v>25</v>
      </c>
      <c r="I200" s="237" t="s">
        <v>312</v>
      </c>
      <c r="J200" s="200">
        <v>1</v>
      </c>
      <c r="K200" s="198">
        <v>6542</v>
      </c>
      <c r="L200" s="198">
        <f t="shared" si="12"/>
        <v>6542</v>
      </c>
      <c r="M200" s="125"/>
      <c r="N200" s="70" t="s">
        <v>208</v>
      </c>
      <c r="O200" s="258" t="s">
        <v>561</v>
      </c>
      <c r="P200" s="289" t="s">
        <v>569</v>
      </c>
      <c r="Q200" s="81">
        <v>45876</v>
      </c>
      <c r="R200" s="41"/>
      <c r="S200" s="63">
        <v>45901</v>
      </c>
      <c r="T200" s="19">
        <v>45902</v>
      </c>
      <c r="U200" s="45">
        <v>45902</v>
      </c>
    </row>
    <row r="201" spans="1:21" s="3" customFormat="1" ht="19.7" customHeight="1" x14ac:dyDescent="0.15">
      <c r="A201" s="197" t="s">
        <v>200</v>
      </c>
      <c r="B201" s="121"/>
      <c r="C201" s="121"/>
      <c r="D201" s="132"/>
      <c r="E201" s="124">
        <v>3</v>
      </c>
      <c r="F201" s="135">
        <f t="shared" si="13"/>
        <v>155</v>
      </c>
      <c r="G201" s="112" t="s">
        <v>25</v>
      </c>
      <c r="H201" s="112" t="s">
        <v>25</v>
      </c>
      <c r="I201" s="238" t="s">
        <v>209</v>
      </c>
      <c r="J201" s="200">
        <v>1</v>
      </c>
      <c r="K201" s="263">
        <v>208</v>
      </c>
      <c r="L201" s="263">
        <f>J201*K201</f>
        <v>208</v>
      </c>
      <c r="M201" s="60"/>
      <c r="N201" s="88" t="s">
        <v>210</v>
      </c>
      <c r="O201" s="258" t="s">
        <v>561</v>
      </c>
      <c r="P201" s="289" t="s">
        <v>569</v>
      </c>
      <c r="Q201" s="81">
        <v>45876</v>
      </c>
      <c r="R201" s="41"/>
      <c r="S201" s="63">
        <v>45901</v>
      </c>
      <c r="T201" s="19">
        <v>45902</v>
      </c>
      <c r="U201" s="45">
        <v>45902</v>
      </c>
    </row>
    <row r="202" spans="1:21" s="3" customFormat="1" ht="19.7" customHeight="1" x14ac:dyDescent="0.15">
      <c r="A202" s="197" t="s">
        <v>200</v>
      </c>
      <c r="B202" s="121"/>
      <c r="C202" s="121"/>
      <c r="D202" s="132"/>
      <c r="E202" s="124">
        <v>3</v>
      </c>
      <c r="F202" s="135">
        <f t="shared" si="13"/>
        <v>156</v>
      </c>
      <c r="G202" s="59" t="s">
        <v>25</v>
      </c>
      <c r="H202" s="59" t="s">
        <v>25</v>
      </c>
      <c r="I202" s="239" t="s">
        <v>500</v>
      </c>
      <c r="J202" s="200">
        <v>1</v>
      </c>
      <c r="K202" s="198">
        <v>4880</v>
      </c>
      <c r="L202" s="198">
        <f t="shared" ref="L202" si="14">J202*K202</f>
        <v>4880</v>
      </c>
      <c r="M202" s="125"/>
      <c r="N202" s="62" t="s">
        <v>501</v>
      </c>
      <c r="O202" s="258" t="s">
        <v>561</v>
      </c>
      <c r="P202" s="289" t="s">
        <v>569</v>
      </c>
      <c r="Q202" s="81">
        <v>45876</v>
      </c>
      <c r="R202" s="41"/>
      <c r="S202" s="63">
        <v>45901</v>
      </c>
      <c r="T202" s="19">
        <v>45902</v>
      </c>
      <c r="U202" s="45">
        <v>45902</v>
      </c>
    </row>
    <row r="203" spans="1:21" s="3" customFormat="1" ht="19.7" customHeight="1" x14ac:dyDescent="0.15">
      <c r="A203" s="197" t="s">
        <v>200</v>
      </c>
      <c r="B203" s="1"/>
      <c r="C203" s="1"/>
      <c r="D203" s="1"/>
      <c r="E203" s="124">
        <v>3</v>
      </c>
      <c r="F203" s="135">
        <f t="shared" si="13"/>
        <v>157</v>
      </c>
      <c r="G203" s="112" t="s">
        <v>25</v>
      </c>
      <c r="H203" s="112" t="s">
        <v>25</v>
      </c>
      <c r="I203" s="248" t="s">
        <v>550</v>
      </c>
      <c r="J203" s="200">
        <v>1</v>
      </c>
      <c r="K203" s="191">
        <v>714</v>
      </c>
      <c r="L203" s="191">
        <f t="shared" si="12"/>
        <v>714</v>
      </c>
      <c r="M203" s="60"/>
      <c r="N203" s="71" t="s">
        <v>211</v>
      </c>
      <c r="O203" s="258" t="s">
        <v>561</v>
      </c>
      <c r="P203" s="289" t="s">
        <v>569</v>
      </c>
      <c r="Q203" s="81">
        <v>45876</v>
      </c>
      <c r="R203" s="41"/>
      <c r="S203" s="63">
        <v>45901</v>
      </c>
      <c r="T203" s="19">
        <v>45902</v>
      </c>
      <c r="U203" s="45">
        <v>45902</v>
      </c>
    </row>
    <row r="204" spans="1:21" s="3" customFormat="1" ht="19.7" customHeight="1" x14ac:dyDescent="0.15">
      <c r="A204" s="197" t="s">
        <v>200</v>
      </c>
      <c r="B204" s="121"/>
      <c r="C204" s="121"/>
      <c r="D204" s="132"/>
      <c r="E204" s="124">
        <v>3</v>
      </c>
      <c r="F204" s="135">
        <f t="shared" si="13"/>
        <v>158</v>
      </c>
      <c r="G204" s="4" t="s">
        <v>25</v>
      </c>
      <c r="H204" s="4" t="s">
        <v>25</v>
      </c>
      <c r="I204" s="282" t="s">
        <v>564</v>
      </c>
      <c r="J204" s="193">
        <v>1</v>
      </c>
      <c r="K204" s="153">
        <v>9631</v>
      </c>
      <c r="L204" s="153">
        <f t="shared" si="12"/>
        <v>9631</v>
      </c>
      <c r="M204" s="94"/>
      <c r="N204" s="154" t="s">
        <v>565</v>
      </c>
      <c r="O204" s="258" t="s">
        <v>561</v>
      </c>
      <c r="P204" s="289" t="s">
        <v>569</v>
      </c>
      <c r="Q204" s="81">
        <v>45876</v>
      </c>
      <c r="R204" s="41"/>
      <c r="S204" s="63">
        <v>45901</v>
      </c>
      <c r="T204" s="19">
        <v>45902</v>
      </c>
      <c r="U204" s="45">
        <v>45902</v>
      </c>
    </row>
    <row r="205" spans="1:21" s="3" customFormat="1" ht="19.7" customHeight="1" x14ac:dyDescent="0.15">
      <c r="A205" s="193" t="s">
        <v>200</v>
      </c>
      <c r="B205" s="1"/>
      <c r="C205" s="1"/>
      <c r="D205" s="49"/>
      <c r="E205" s="124">
        <v>3</v>
      </c>
      <c r="F205" s="135">
        <f t="shared" si="13"/>
        <v>159</v>
      </c>
      <c r="G205" s="112" t="s">
        <v>25</v>
      </c>
      <c r="H205" s="112" t="s">
        <v>25</v>
      </c>
      <c r="I205" s="195" t="s">
        <v>224</v>
      </c>
      <c r="J205" s="200">
        <v>1</v>
      </c>
      <c r="K205" s="249">
        <v>1956</v>
      </c>
      <c r="L205" s="276">
        <f t="shared" si="12"/>
        <v>1956</v>
      </c>
      <c r="M205" s="2"/>
      <c r="N205" s="24" t="s">
        <v>223</v>
      </c>
      <c r="O205" s="258" t="s">
        <v>561</v>
      </c>
      <c r="P205" s="289" t="s">
        <v>569</v>
      </c>
      <c r="Q205" s="81">
        <v>45876</v>
      </c>
      <c r="R205" s="41"/>
      <c r="S205" s="63">
        <v>45901</v>
      </c>
      <c r="T205" s="19">
        <v>45902</v>
      </c>
      <c r="U205" s="45">
        <v>45902</v>
      </c>
    </row>
    <row r="206" spans="1:21" s="3" customFormat="1" ht="19.7" customHeight="1" x14ac:dyDescent="0.15">
      <c r="A206" s="197" t="s">
        <v>200</v>
      </c>
      <c r="B206" s="1"/>
      <c r="C206" s="1"/>
      <c r="D206" s="155"/>
      <c r="E206" s="42">
        <v>8</v>
      </c>
      <c r="F206" s="135">
        <f t="shared" si="13"/>
        <v>160</v>
      </c>
      <c r="G206" s="72" t="s">
        <v>313</v>
      </c>
      <c r="H206" s="4" t="s">
        <v>69</v>
      </c>
      <c r="I206" s="240" t="s">
        <v>314</v>
      </c>
      <c r="J206" s="241">
        <v>2</v>
      </c>
      <c r="K206" s="285">
        <v>1406</v>
      </c>
      <c r="L206" s="156">
        <f t="shared" si="12"/>
        <v>2812</v>
      </c>
      <c r="M206" s="129"/>
      <c r="N206" s="130" t="s">
        <v>315</v>
      </c>
      <c r="O206" s="258" t="s">
        <v>561</v>
      </c>
      <c r="P206" s="289" t="s">
        <v>569</v>
      </c>
      <c r="Q206" s="81">
        <v>45876</v>
      </c>
      <c r="R206" s="41"/>
      <c r="S206" s="63">
        <v>45901</v>
      </c>
      <c r="T206" s="19">
        <v>45902</v>
      </c>
      <c r="U206" s="45">
        <v>45902</v>
      </c>
    </row>
    <row r="207" spans="1:21" s="3" customFormat="1" ht="19.7" customHeight="1" x14ac:dyDescent="0.15">
      <c r="A207" s="197" t="s">
        <v>200</v>
      </c>
      <c r="B207" s="1"/>
      <c r="C207" s="1"/>
      <c r="D207" s="155"/>
      <c r="E207" s="42">
        <v>8</v>
      </c>
      <c r="F207" s="135">
        <f t="shared" si="13"/>
        <v>161</v>
      </c>
      <c r="G207" s="72" t="s">
        <v>313</v>
      </c>
      <c r="H207" s="4" t="s">
        <v>69</v>
      </c>
      <c r="I207" s="240" t="s">
        <v>316</v>
      </c>
      <c r="J207" s="241">
        <v>2</v>
      </c>
      <c r="K207" s="285">
        <v>396</v>
      </c>
      <c r="L207" s="157">
        <f t="shared" si="12"/>
        <v>792</v>
      </c>
      <c r="M207" s="129"/>
      <c r="N207" s="130" t="s">
        <v>317</v>
      </c>
      <c r="O207" s="258" t="s">
        <v>561</v>
      </c>
      <c r="P207" s="289" t="s">
        <v>569</v>
      </c>
      <c r="Q207" s="81">
        <v>45876</v>
      </c>
      <c r="R207" s="41"/>
      <c r="S207" s="63">
        <v>45901</v>
      </c>
      <c r="T207" s="19">
        <v>45902</v>
      </c>
      <c r="U207" s="45">
        <v>45902</v>
      </c>
    </row>
    <row r="208" spans="1:21" s="3" customFormat="1" ht="19.7" customHeight="1" x14ac:dyDescent="0.15">
      <c r="A208" s="197" t="s">
        <v>200</v>
      </c>
      <c r="B208" s="1"/>
      <c r="C208" s="1"/>
      <c r="D208" s="155"/>
      <c r="E208" s="42">
        <v>8</v>
      </c>
      <c r="F208" s="135">
        <f t="shared" si="13"/>
        <v>162</v>
      </c>
      <c r="G208" s="72" t="s">
        <v>313</v>
      </c>
      <c r="H208" s="4" t="s">
        <v>69</v>
      </c>
      <c r="I208" s="240" t="s">
        <v>318</v>
      </c>
      <c r="J208" s="241">
        <v>2</v>
      </c>
      <c r="K208" s="285">
        <v>41</v>
      </c>
      <c r="L208" s="157">
        <f t="shared" si="12"/>
        <v>82</v>
      </c>
      <c r="M208" s="129"/>
      <c r="N208" s="130" t="s">
        <v>319</v>
      </c>
      <c r="O208" s="258" t="s">
        <v>561</v>
      </c>
      <c r="P208" s="289" t="s">
        <v>569</v>
      </c>
      <c r="Q208" s="81">
        <v>45876</v>
      </c>
      <c r="R208" s="41"/>
      <c r="S208" s="63">
        <v>45901</v>
      </c>
      <c r="T208" s="19">
        <v>45902</v>
      </c>
      <c r="U208" s="45">
        <v>45902</v>
      </c>
    </row>
    <row r="209" spans="1:21" s="3" customFormat="1" ht="19.7" customHeight="1" x14ac:dyDescent="0.15">
      <c r="A209" s="214" t="s">
        <v>30</v>
      </c>
      <c r="B209" s="1"/>
      <c r="C209" s="1"/>
      <c r="D209" s="1"/>
      <c r="E209" s="50"/>
      <c r="F209" s="135">
        <f>+F208+1</f>
        <v>163</v>
      </c>
      <c r="G209" s="4" t="s">
        <v>326</v>
      </c>
      <c r="H209" s="4" t="s">
        <v>69</v>
      </c>
      <c r="I209" s="199" t="s">
        <v>327</v>
      </c>
      <c r="J209" s="193">
        <v>8</v>
      </c>
      <c r="K209" s="193">
        <v>138</v>
      </c>
      <c r="L209" s="156">
        <f t="shared" si="12"/>
        <v>1104</v>
      </c>
      <c r="M209" s="1"/>
      <c r="N209" s="23" t="s">
        <v>328</v>
      </c>
      <c r="O209" s="258" t="s">
        <v>561</v>
      </c>
      <c r="P209" s="289" t="s">
        <v>569</v>
      </c>
      <c r="Q209" s="81">
        <v>45876</v>
      </c>
      <c r="R209" s="41"/>
      <c r="S209" s="63">
        <v>45901</v>
      </c>
      <c r="T209" s="19">
        <v>45902</v>
      </c>
      <c r="U209" s="45">
        <v>45902</v>
      </c>
    </row>
    <row r="210" spans="1:21" s="3" customFormat="1" ht="19.7" customHeight="1" x14ac:dyDescent="0.15">
      <c r="A210" s="214" t="s">
        <v>30</v>
      </c>
      <c r="B210" s="1"/>
      <c r="C210" s="1"/>
      <c r="D210" s="1"/>
      <c r="E210" s="50"/>
      <c r="F210" s="135">
        <f t="shared" si="13"/>
        <v>164</v>
      </c>
      <c r="G210" s="4" t="s">
        <v>326</v>
      </c>
      <c r="H210" s="4" t="s">
        <v>69</v>
      </c>
      <c r="I210" s="199" t="s">
        <v>329</v>
      </c>
      <c r="J210" s="193">
        <v>4</v>
      </c>
      <c r="K210" s="193">
        <v>464</v>
      </c>
      <c r="L210" s="156">
        <f t="shared" si="12"/>
        <v>1856</v>
      </c>
      <c r="M210" s="1"/>
      <c r="N210" s="23" t="s">
        <v>330</v>
      </c>
      <c r="O210" s="258" t="s">
        <v>561</v>
      </c>
      <c r="P210" s="289" t="s">
        <v>569</v>
      </c>
      <c r="Q210" s="81">
        <v>45876</v>
      </c>
      <c r="R210" s="41"/>
      <c r="S210" s="63">
        <v>45901</v>
      </c>
      <c r="T210" s="19">
        <v>45902</v>
      </c>
      <c r="U210" s="45">
        <v>45902</v>
      </c>
    </row>
    <row r="211" spans="1:21" s="3" customFormat="1" ht="19.7" customHeight="1" x14ac:dyDescent="0.15">
      <c r="A211" s="214" t="s">
        <v>30</v>
      </c>
      <c r="B211" s="1"/>
      <c r="C211" s="1"/>
      <c r="D211" s="1"/>
      <c r="E211" s="50"/>
      <c r="F211" s="135">
        <f t="shared" si="13"/>
        <v>165</v>
      </c>
      <c r="G211" s="4" t="s">
        <v>326</v>
      </c>
      <c r="H211" s="4" t="s">
        <v>69</v>
      </c>
      <c r="I211" s="199" t="s">
        <v>331</v>
      </c>
      <c r="J211" s="193">
        <v>5</v>
      </c>
      <c r="K211" s="193">
        <v>223</v>
      </c>
      <c r="L211" s="156">
        <f t="shared" si="12"/>
        <v>1115</v>
      </c>
      <c r="M211" s="1"/>
      <c r="N211" s="23" t="s">
        <v>332</v>
      </c>
      <c r="O211" s="258" t="s">
        <v>561</v>
      </c>
      <c r="P211" s="289" t="s">
        <v>569</v>
      </c>
      <c r="Q211" s="81">
        <v>45876</v>
      </c>
      <c r="R211" s="41"/>
      <c r="S211" s="63">
        <v>45901</v>
      </c>
      <c r="T211" s="19">
        <v>45902</v>
      </c>
      <c r="U211" s="45">
        <v>45902</v>
      </c>
    </row>
    <row r="212" spans="1:21" s="3" customFormat="1" ht="19.7" customHeight="1" x14ac:dyDescent="0.15">
      <c r="A212" s="214" t="s">
        <v>30</v>
      </c>
      <c r="B212" s="1"/>
      <c r="C212" s="1"/>
      <c r="D212" s="1"/>
      <c r="E212" s="50"/>
      <c r="F212" s="135">
        <f t="shared" si="13"/>
        <v>166</v>
      </c>
      <c r="G212" s="4" t="s">
        <v>326</v>
      </c>
      <c r="H212" s="4" t="s">
        <v>69</v>
      </c>
      <c r="I212" s="199" t="s">
        <v>333</v>
      </c>
      <c r="J212" s="193">
        <v>5</v>
      </c>
      <c r="K212" s="193">
        <v>104</v>
      </c>
      <c r="L212" s="156">
        <f t="shared" si="12"/>
        <v>520</v>
      </c>
      <c r="M212" s="1"/>
      <c r="N212" s="23" t="s">
        <v>334</v>
      </c>
      <c r="O212" s="258" t="s">
        <v>561</v>
      </c>
      <c r="P212" s="289" t="s">
        <v>569</v>
      </c>
      <c r="Q212" s="81">
        <v>45876</v>
      </c>
      <c r="R212" s="41"/>
      <c r="S212" s="63">
        <v>45901</v>
      </c>
      <c r="T212" s="19">
        <v>45902</v>
      </c>
      <c r="U212" s="45">
        <v>45902</v>
      </c>
    </row>
    <row r="213" spans="1:21" s="3" customFormat="1" ht="19.7" customHeight="1" x14ac:dyDescent="0.15">
      <c r="A213" s="214" t="s">
        <v>30</v>
      </c>
      <c r="B213" s="1"/>
      <c r="C213" s="1"/>
      <c r="D213" s="1"/>
      <c r="E213" s="50"/>
      <c r="F213" s="135">
        <f>+F212+1</f>
        <v>167</v>
      </c>
      <c r="G213" s="4" t="s">
        <v>25</v>
      </c>
      <c r="H213" s="4" t="s">
        <v>25</v>
      </c>
      <c r="I213" s="242" t="s">
        <v>335</v>
      </c>
      <c r="J213" s="200">
        <v>1</v>
      </c>
      <c r="K213" s="191">
        <v>1138</v>
      </c>
      <c r="L213" s="205">
        <f t="shared" si="12"/>
        <v>1138</v>
      </c>
      <c r="M213" s="60"/>
      <c r="N213" s="128" t="s">
        <v>338</v>
      </c>
      <c r="O213" s="258" t="s">
        <v>561</v>
      </c>
      <c r="P213" s="289" t="s">
        <v>569</v>
      </c>
      <c r="Q213" s="81">
        <v>45876</v>
      </c>
      <c r="R213" s="41"/>
      <c r="S213" s="63">
        <v>45901</v>
      </c>
      <c r="T213" s="19">
        <v>45902</v>
      </c>
      <c r="U213" s="45">
        <v>45902</v>
      </c>
    </row>
    <row r="214" spans="1:21" s="3" customFormat="1" ht="19.7" customHeight="1" x14ac:dyDescent="0.15">
      <c r="A214" s="214" t="s">
        <v>30</v>
      </c>
      <c r="B214" s="1"/>
      <c r="C214" s="1"/>
      <c r="D214" s="1"/>
      <c r="E214" s="50"/>
      <c r="F214" s="135">
        <f t="shared" si="13"/>
        <v>168</v>
      </c>
      <c r="G214" s="4" t="s">
        <v>25</v>
      </c>
      <c r="H214" s="4" t="s">
        <v>25</v>
      </c>
      <c r="I214" s="242" t="s">
        <v>336</v>
      </c>
      <c r="J214" s="200">
        <v>1</v>
      </c>
      <c r="K214" s="191">
        <v>1079</v>
      </c>
      <c r="L214" s="205">
        <f t="shared" si="12"/>
        <v>1079</v>
      </c>
      <c r="M214" s="60"/>
      <c r="N214" s="128" t="s">
        <v>338</v>
      </c>
      <c r="O214" s="258" t="s">
        <v>561</v>
      </c>
      <c r="P214" s="289" t="s">
        <v>569</v>
      </c>
      <c r="Q214" s="81">
        <v>45876</v>
      </c>
      <c r="R214" s="41"/>
      <c r="S214" s="63">
        <v>45901</v>
      </c>
      <c r="T214" s="19">
        <v>45902</v>
      </c>
      <c r="U214" s="45">
        <v>45902</v>
      </c>
    </row>
    <row r="215" spans="1:21" s="3" customFormat="1" ht="19.7" customHeight="1" x14ac:dyDescent="0.15">
      <c r="A215" s="214" t="s">
        <v>30</v>
      </c>
      <c r="B215" s="1"/>
      <c r="C215" s="1"/>
      <c r="D215" s="1"/>
      <c r="E215" s="50"/>
      <c r="F215" s="135">
        <f t="shared" si="13"/>
        <v>169</v>
      </c>
      <c r="G215" s="4" t="s">
        <v>25</v>
      </c>
      <c r="H215" s="4" t="s">
        <v>25</v>
      </c>
      <c r="I215" s="185" t="s">
        <v>566</v>
      </c>
      <c r="J215" s="200">
        <v>1</v>
      </c>
      <c r="K215" s="191">
        <v>2888</v>
      </c>
      <c r="L215" s="205">
        <f t="shared" si="12"/>
        <v>2888</v>
      </c>
      <c r="M215" s="60"/>
      <c r="N215" s="128" t="s">
        <v>338</v>
      </c>
      <c r="O215" s="258" t="s">
        <v>561</v>
      </c>
      <c r="P215" s="289" t="s">
        <v>569</v>
      </c>
      <c r="Q215" s="81">
        <v>45876</v>
      </c>
      <c r="R215" s="41"/>
      <c r="S215" s="63">
        <v>45901</v>
      </c>
      <c r="T215" s="19">
        <v>45902</v>
      </c>
      <c r="U215" s="45">
        <v>45902</v>
      </c>
    </row>
    <row r="216" spans="1:21" s="3" customFormat="1" ht="19.7" customHeight="1" x14ac:dyDescent="0.15">
      <c r="A216" s="214" t="s">
        <v>30</v>
      </c>
      <c r="B216" s="1"/>
      <c r="C216" s="1"/>
      <c r="D216" s="1"/>
      <c r="E216" s="50"/>
      <c r="F216" s="135">
        <f t="shared" si="13"/>
        <v>170</v>
      </c>
      <c r="G216" s="4" t="s">
        <v>25</v>
      </c>
      <c r="H216" s="4" t="s">
        <v>25</v>
      </c>
      <c r="I216" s="283" t="s">
        <v>567</v>
      </c>
      <c r="J216" s="200">
        <v>1</v>
      </c>
      <c r="K216" s="191">
        <v>1241</v>
      </c>
      <c r="L216" s="205">
        <f t="shared" si="12"/>
        <v>1241</v>
      </c>
      <c r="M216" s="60"/>
      <c r="N216" s="128" t="s">
        <v>338</v>
      </c>
      <c r="O216" s="258" t="s">
        <v>561</v>
      </c>
      <c r="P216" s="289" t="s">
        <v>569</v>
      </c>
      <c r="Q216" s="81">
        <v>45876</v>
      </c>
      <c r="R216" s="41"/>
      <c r="S216" s="63">
        <v>45901</v>
      </c>
      <c r="T216" s="19">
        <v>45902</v>
      </c>
      <c r="U216" s="45">
        <v>45902</v>
      </c>
    </row>
    <row r="217" spans="1:21" s="3" customFormat="1" ht="19.7" customHeight="1" x14ac:dyDescent="0.15">
      <c r="A217" s="214" t="s">
        <v>30</v>
      </c>
      <c r="B217" s="1"/>
      <c r="C217" s="1"/>
      <c r="D217" s="1"/>
      <c r="E217" s="50"/>
      <c r="F217" s="135">
        <f t="shared" si="13"/>
        <v>171</v>
      </c>
      <c r="G217" s="4" t="s">
        <v>25</v>
      </c>
      <c r="H217" s="4" t="s">
        <v>25</v>
      </c>
      <c r="I217" s="199" t="s">
        <v>551</v>
      </c>
      <c r="J217" s="243">
        <v>1</v>
      </c>
      <c r="K217" s="153">
        <v>7262</v>
      </c>
      <c r="L217" s="205">
        <f t="shared" si="12"/>
        <v>7262</v>
      </c>
      <c r="M217" s="94"/>
      <c r="N217" s="23" t="s">
        <v>337</v>
      </c>
      <c r="O217" s="258" t="s">
        <v>561</v>
      </c>
      <c r="P217" s="289" t="s">
        <v>569</v>
      </c>
      <c r="Q217" s="81">
        <v>45876</v>
      </c>
      <c r="R217" s="41"/>
      <c r="S217" s="63">
        <v>45901</v>
      </c>
      <c r="T217" s="19">
        <v>45902</v>
      </c>
      <c r="U217" s="45">
        <v>45902</v>
      </c>
    </row>
    <row r="218" spans="1:21" s="3" customFormat="1" ht="19.7" customHeight="1" x14ac:dyDescent="0.15">
      <c r="A218" s="197" t="s">
        <v>200</v>
      </c>
      <c r="B218" s="121"/>
      <c r="C218" s="121"/>
      <c r="D218" s="132"/>
      <c r="E218" s="124">
        <v>3</v>
      </c>
      <c r="F218" s="135">
        <f t="shared" si="13"/>
        <v>172</v>
      </c>
      <c r="G218" s="73" t="s">
        <v>25</v>
      </c>
      <c r="H218" s="126" t="s">
        <v>25</v>
      </c>
      <c r="I218" s="195" t="s">
        <v>212</v>
      </c>
      <c r="J218" s="232">
        <v>8</v>
      </c>
      <c r="K218" s="244">
        <v>91</v>
      </c>
      <c r="L218" s="287">
        <f t="shared" si="12"/>
        <v>728</v>
      </c>
      <c r="M218" s="127"/>
      <c r="N218" s="88" t="s">
        <v>222</v>
      </c>
      <c r="O218" s="258" t="s">
        <v>561</v>
      </c>
      <c r="P218" s="289" t="s">
        <v>569</v>
      </c>
      <c r="Q218" s="81">
        <v>45876</v>
      </c>
      <c r="R218" s="41"/>
      <c r="S218" s="63">
        <v>45901</v>
      </c>
      <c r="T218" s="19">
        <v>45902</v>
      </c>
      <c r="U218" s="45">
        <v>45902</v>
      </c>
    </row>
    <row r="219" spans="1:21" s="3" customFormat="1" ht="19.7" customHeight="1" x14ac:dyDescent="0.15">
      <c r="A219" s="197" t="s">
        <v>200</v>
      </c>
      <c r="B219" s="1"/>
      <c r="C219" s="1"/>
      <c r="D219" s="49"/>
      <c r="E219" s="124">
        <v>3</v>
      </c>
      <c r="F219" s="135">
        <f t="shared" si="13"/>
        <v>173</v>
      </c>
      <c r="G219" s="73" t="s">
        <v>320</v>
      </c>
      <c r="H219" s="73" t="s">
        <v>25</v>
      </c>
      <c r="I219" s="211" t="s">
        <v>221</v>
      </c>
      <c r="J219" s="232">
        <v>1</v>
      </c>
      <c r="K219" s="277">
        <v>1611</v>
      </c>
      <c r="L219" s="158">
        <f>J219*K219</f>
        <v>1611</v>
      </c>
      <c r="M219" s="127"/>
      <c r="N219" s="159" t="s">
        <v>321</v>
      </c>
      <c r="O219" s="258" t="s">
        <v>561</v>
      </c>
      <c r="P219" s="289" t="s">
        <v>569</v>
      </c>
      <c r="Q219" s="81">
        <v>45876</v>
      </c>
      <c r="R219" s="41"/>
      <c r="S219" s="63">
        <v>45901</v>
      </c>
      <c r="T219" s="19">
        <v>45902</v>
      </c>
      <c r="U219" s="45">
        <v>45902</v>
      </c>
    </row>
    <row r="220" spans="1:21" s="3" customFormat="1" ht="19.7" customHeight="1" x14ac:dyDescent="0.15">
      <c r="A220" s="197" t="s">
        <v>200</v>
      </c>
      <c r="B220" s="121"/>
      <c r="C220" s="121"/>
      <c r="D220" s="132"/>
      <c r="E220" s="124">
        <v>3</v>
      </c>
      <c r="F220" s="135">
        <f t="shared" si="13"/>
        <v>174</v>
      </c>
      <c r="G220" s="4" t="s">
        <v>217</v>
      </c>
      <c r="H220" s="4" t="s">
        <v>25</v>
      </c>
      <c r="I220" s="199">
        <v>620704006</v>
      </c>
      <c r="J220" s="200">
        <v>10</v>
      </c>
      <c r="K220" s="278">
        <v>36</v>
      </c>
      <c r="L220" s="153">
        <f t="shared" ref="L220" si="15">J220*K220</f>
        <v>360</v>
      </c>
      <c r="M220" s="26"/>
      <c r="N220" s="24" t="s">
        <v>216</v>
      </c>
      <c r="O220" s="258" t="s">
        <v>561</v>
      </c>
      <c r="P220" s="289" t="s">
        <v>569</v>
      </c>
      <c r="Q220" s="81">
        <v>45876</v>
      </c>
      <c r="R220" s="41"/>
      <c r="S220" s="63">
        <v>45901</v>
      </c>
      <c r="T220" s="19">
        <v>45902</v>
      </c>
      <c r="U220" s="45">
        <v>45902</v>
      </c>
    </row>
    <row r="221" spans="1:21" s="3" customFormat="1" ht="19.7" customHeight="1" x14ac:dyDescent="0.15">
      <c r="A221" s="197" t="s">
        <v>200</v>
      </c>
      <c r="B221" s="161"/>
      <c r="C221" s="161"/>
      <c r="D221" s="161"/>
      <c r="E221" s="162"/>
      <c r="F221" s="135">
        <f t="shared" si="13"/>
        <v>175</v>
      </c>
      <c r="G221" s="91" t="s">
        <v>340</v>
      </c>
      <c r="H221" s="91" t="s">
        <v>69</v>
      </c>
      <c r="I221" s="222" t="s">
        <v>341</v>
      </c>
      <c r="J221" s="236">
        <v>1</v>
      </c>
      <c r="K221" s="286">
        <v>31375</v>
      </c>
      <c r="L221" s="288">
        <f t="shared" ref="L221:L223" si="16">J221*K221</f>
        <v>31375</v>
      </c>
      <c r="M221" s="163"/>
      <c r="N221" s="164" t="s">
        <v>342</v>
      </c>
      <c r="O221" s="258" t="s">
        <v>561</v>
      </c>
      <c r="P221" s="289" t="s">
        <v>569</v>
      </c>
      <c r="Q221" s="81">
        <v>45876</v>
      </c>
      <c r="R221" s="41"/>
      <c r="S221" s="63">
        <v>45901</v>
      </c>
      <c r="T221" s="19">
        <v>45902</v>
      </c>
      <c r="U221" s="45">
        <v>45902</v>
      </c>
    </row>
    <row r="222" spans="1:21" s="3" customFormat="1" ht="19.7" customHeight="1" x14ac:dyDescent="0.15">
      <c r="A222" s="214" t="s">
        <v>30</v>
      </c>
      <c r="B222" s="1"/>
      <c r="C222" s="1"/>
      <c r="D222" s="1"/>
      <c r="E222" s="50"/>
      <c r="F222" s="135">
        <f t="shared" si="13"/>
        <v>176</v>
      </c>
      <c r="G222" s="91" t="s">
        <v>570</v>
      </c>
      <c r="H222" s="91" t="s">
        <v>69</v>
      </c>
      <c r="I222" s="290" t="s">
        <v>571</v>
      </c>
      <c r="J222" s="236">
        <v>1</v>
      </c>
      <c r="K222" s="286">
        <v>3889</v>
      </c>
      <c r="L222" s="288">
        <f t="shared" si="16"/>
        <v>3889</v>
      </c>
      <c r="M222" s="163"/>
      <c r="N222" s="164" t="s">
        <v>572</v>
      </c>
      <c r="O222" s="258"/>
      <c r="P222" s="291" t="s">
        <v>573</v>
      </c>
      <c r="Q222" s="81">
        <v>45909</v>
      </c>
      <c r="R222" s="41"/>
      <c r="S222" s="63">
        <v>45910</v>
      </c>
      <c r="T222" s="19">
        <v>45911</v>
      </c>
      <c r="U222" s="45">
        <v>45911</v>
      </c>
    </row>
    <row r="223" spans="1:21" s="3" customFormat="1" ht="19.7" customHeight="1" x14ac:dyDescent="0.15">
      <c r="A223" s="197" t="s">
        <v>200</v>
      </c>
      <c r="B223" s="161"/>
      <c r="C223" s="161"/>
      <c r="D223" s="161"/>
      <c r="E223" s="162"/>
      <c r="F223" s="135">
        <f t="shared" si="13"/>
        <v>177</v>
      </c>
      <c r="G223" s="73" t="s">
        <v>25</v>
      </c>
      <c r="H223" s="126" t="s">
        <v>25</v>
      </c>
      <c r="I223" s="290" t="s">
        <v>574</v>
      </c>
      <c r="J223" s="236">
        <v>1</v>
      </c>
      <c r="K223" s="286">
        <v>1045</v>
      </c>
      <c r="L223" s="288">
        <f t="shared" si="16"/>
        <v>1045</v>
      </c>
      <c r="M223" s="163"/>
      <c r="N223" s="164" t="s">
        <v>575</v>
      </c>
      <c r="O223" s="258"/>
      <c r="P223" s="292" t="s">
        <v>576</v>
      </c>
      <c r="Q223" s="81">
        <v>45909</v>
      </c>
      <c r="R223" s="41"/>
      <c r="S223" s="63">
        <v>45910</v>
      </c>
      <c r="T223" s="19">
        <v>45911</v>
      </c>
      <c r="U223" s="45">
        <v>45911</v>
      </c>
    </row>
    <row r="224" spans="1:21" s="3" customFormat="1" ht="19.7" customHeight="1" x14ac:dyDescent="0.15">
      <c r="A224" s="121"/>
      <c r="B224" s="121"/>
      <c r="C224" s="121"/>
      <c r="D224" s="121"/>
      <c r="E224" s="50"/>
      <c r="F224" s="4"/>
      <c r="G224" s="4"/>
      <c r="H224" s="4"/>
      <c r="I224" s="71"/>
      <c r="J224" s="24"/>
      <c r="K224" s="1"/>
      <c r="L224" s="22"/>
      <c r="M224" s="1"/>
      <c r="N224" s="23"/>
      <c r="O224" s="48"/>
      <c r="P224" s="90"/>
      <c r="Q224" s="81"/>
      <c r="R224" s="41"/>
      <c r="S224" s="63"/>
      <c r="T224" s="19"/>
      <c r="U224" s="45"/>
    </row>
    <row r="225" spans="1:21" s="3" customFormat="1" ht="19.7" customHeight="1" x14ac:dyDescent="0.15">
      <c r="A225"/>
      <c r="B225"/>
      <c r="C225"/>
      <c r="D225"/>
      <c r="E225"/>
      <c r="F225" s="150"/>
      <c r="G225" s="149"/>
      <c r="H225" s="149"/>
      <c r="I225" s="293">
        <f>SUM(L177:L224)</f>
        <v>157907</v>
      </c>
      <c r="J225" s="294"/>
      <c r="K225" s="294"/>
      <c r="L225" s="295"/>
      <c r="M225" s="165"/>
      <c r="N225" s="166"/>
      <c r="O225" s="48"/>
      <c r="P225" s="90"/>
      <c r="Q225" s="81"/>
      <c r="R225" s="41"/>
      <c r="S225" s="63"/>
      <c r="T225" s="19"/>
      <c r="U225" s="45"/>
    </row>
    <row r="226" spans="1:21" s="3" customFormat="1" ht="19.7" customHeight="1" x14ac:dyDescent="0.15">
      <c r="E226" s="50"/>
      <c r="F226" s="112"/>
      <c r="G226" s="131"/>
      <c r="H226" s="93"/>
      <c r="I226" s="102"/>
      <c r="J226" s="28"/>
      <c r="K226" s="36"/>
      <c r="L226" s="36"/>
      <c r="M226" s="51"/>
      <c r="N226" s="52"/>
      <c r="O226" s="48"/>
      <c r="P226" s="90"/>
      <c r="Q226" s="81"/>
      <c r="R226" s="41"/>
      <c r="S226" s="63"/>
      <c r="T226" s="19"/>
      <c r="U226" s="45"/>
    </row>
    <row r="227" spans="1:21" s="3" customFormat="1" ht="19.7" customHeight="1" x14ac:dyDescent="0.15">
      <c r="E227" s="50"/>
      <c r="F227" s="112"/>
      <c r="G227" s="131"/>
      <c r="H227" s="93"/>
      <c r="I227" s="102"/>
      <c r="J227" s="28"/>
      <c r="K227" s="36"/>
      <c r="L227" s="36"/>
      <c r="M227" s="51"/>
      <c r="N227" s="52"/>
      <c r="O227" s="48"/>
      <c r="P227" s="90"/>
      <c r="Q227" s="81"/>
      <c r="R227" s="41"/>
      <c r="S227" s="63"/>
      <c r="T227" s="19"/>
      <c r="U227" s="45"/>
    </row>
    <row r="228" spans="1:21" s="3" customFormat="1" ht="19.7" customHeight="1" x14ac:dyDescent="0.15">
      <c r="E228" s="50"/>
      <c r="F228" s="171"/>
      <c r="G228" s="296" t="s">
        <v>358</v>
      </c>
      <c r="H228" s="297"/>
      <c r="I228" s="298"/>
      <c r="J228" s="172"/>
      <c r="K228" s="173"/>
      <c r="L228" s="98"/>
      <c r="M228" s="78"/>
      <c r="N228" s="79"/>
      <c r="O228" s="48"/>
      <c r="P228" s="90"/>
      <c r="Q228" s="81"/>
      <c r="R228" s="41"/>
      <c r="S228" s="63"/>
      <c r="T228" s="19"/>
      <c r="U228" s="45"/>
    </row>
    <row r="229" spans="1:21" s="3" customFormat="1" ht="19.7" customHeight="1" x14ac:dyDescent="0.15">
      <c r="A229" s="197" t="s">
        <v>200</v>
      </c>
      <c r="C229" s="168">
        <f>1.15*J229</f>
        <v>1.1499999999999999</v>
      </c>
      <c r="E229" s="50"/>
      <c r="F229" s="69">
        <f>+F223+1</f>
        <v>178</v>
      </c>
      <c r="G229" s="4" t="s">
        <v>359</v>
      </c>
      <c r="H229" s="4" t="s">
        <v>193</v>
      </c>
      <c r="I229" s="221" t="s">
        <v>360</v>
      </c>
      <c r="J229" s="250">
        <v>1</v>
      </c>
      <c r="K229" s="204">
        <v>14600</v>
      </c>
      <c r="L229" s="272">
        <f t="shared" ref="L229:L234" si="17">J229*K229</f>
        <v>14600</v>
      </c>
      <c r="M229" s="78"/>
      <c r="N229" s="88" t="s">
        <v>361</v>
      </c>
      <c r="O229" s="95" t="s">
        <v>362</v>
      </c>
      <c r="P229" s="280" t="s">
        <v>563</v>
      </c>
      <c r="Q229" s="11">
        <v>45876</v>
      </c>
      <c r="R229" s="80"/>
      <c r="S229" s="279">
        <v>45901</v>
      </c>
      <c r="T229" s="39">
        <v>45902</v>
      </c>
      <c r="U229" s="45">
        <v>45902</v>
      </c>
    </row>
    <row r="230" spans="1:21" s="3" customFormat="1" ht="19.7" customHeight="1" x14ac:dyDescent="0.15">
      <c r="A230" s="197" t="s">
        <v>200</v>
      </c>
      <c r="C230" s="168">
        <f>0.003*J230</f>
        <v>2.4E-2</v>
      </c>
      <c r="E230" s="50"/>
      <c r="F230" s="69">
        <f t="shared" ref="F230:F285" si="18">+F229+1</f>
        <v>179</v>
      </c>
      <c r="G230" s="112" t="s">
        <v>25</v>
      </c>
      <c r="H230" s="112" t="s">
        <v>25</v>
      </c>
      <c r="I230" s="199" t="s">
        <v>363</v>
      </c>
      <c r="J230" s="250">
        <v>8</v>
      </c>
      <c r="K230" s="204">
        <v>98</v>
      </c>
      <c r="L230" s="272">
        <f t="shared" si="17"/>
        <v>784</v>
      </c>
      <c r="M230" s="78"/>
      <c r="N230" s="88" t="s">
        <v>364</v>
      </c>
      <c r="O230" s="95" t="s">
        <v>362</v>
      </c>
      <c r="P230" s="280" t="s">
        <v>563</v>
      </c>
      <c r="Q230" s="11">
        <v>45876</v>
      </c>
      <c r="R230" s="80"/>
      <c r="S230" s="279">
        <v>45901</v>
      </c>
      <c r="T230" s="39">
        <v>45902</v>
      </c>
      <c r="U230" s="45">
        <v>45902</v>
      </c>
    </row>
    <row r="231" spans="1:21" s="3" customFormat="1" ht="19.7" customHeight="1" x14ac:dyDescent="0.15">
      <c r="A231" s="197" t="s">
        <v>200</v>
      </c>
      <c r="C231" s="168">
        <f>0.002*J231</f>
        <v>2.8000000000000001E-2</v>
      </c>
      <c r="E231" s="50"/>
      <c r="F231" s="69">
        <f t="shared" si="18"/>
        <v>180</v>
      </c>
      <c r="G231" s="112" t="s">
        <v>25</v>
      </c>
      <c r="H231" s="112" t="s">
        <v>25</v>
      </c>
      <c r="I231" s="199" t="s">
        <v>365</v>
      </c>
      <c r="J231" s="250">
        <v>14</v>
      </c>
      <c r="K231" s="204">
        <v>98</v>
      </c>
      <c r="L231" s="272">
        <f t="shared" si="17"/>
        <v>1372</v>
      </c>
      <c r="M231" s="78"/>
      <c r="N231" s="88" t="s">
        <v>364</v>
      </c>
      <c r="O231" s="95" t="s">
        <v>362</v>
      </c>
      <c r="P231" s="280" t="s">
        <v>563</v>
      </c>
      <c r="Q231" s="11">
        <v>45876</v>
      </c>
      <c r="R231" s="80"/>
      <c r="S231" s="279">
        <v>45901</v>
      </c>
      <c r="T231" s="39">
        <v>45902</v>
      </c>
      <c r="U231" s="45">
        <v>45902</v>
      </c>
    </row>
    <row r="232" spans="1:21" s="3" customFormat="1" ht="19.7" customHeight="1" x14ac:dyDescent="0.15">
      <c r="A232" s="197" t="s">
        <v>200</v>
      </c>
      <c r="C232" s="1">
        <f>0.01*J232</f>
        <v>0.02</v>
      </c>
      <c r="E232" s="50"/>
      <c r="F232" s="69">
        <f t="shared" si="18"/>
        <v>181</v>
      </c>
      <c r="G232" s="112" t="s">
        <v>25</v>
      </c>
      <c r="H232" s="112" t="s">
        <v>25</v>
      </c>
      <c r="I232" s="221" t="s">
        <v>366</v>
      </c>
      <c r="J232" s="250">
        <v>2</v>
      </c>
      <c r="K232" s="251">
        <v>47</v>
      </c>
      <c r="L232" s="269">
        <f t="shared" si="17"/>
        <v>94</v>
      </c>
      <c r="M232" s="78"/>
      <c r="N232" s="88" t="s">
        <v>367</v>
      </c>
      <c r="O232" s="95" t="s">
        <v>368</v>
      </c>
      <c r="P232" s="280" t="s">
        <v>563</v>
      </c>
      <c r="Q232" s="11">
        <v>45876</v>
      </c>
      <c r="R232" s="80"/>
      <c r="S232" s="279">
        <v>45901</v>
      </c>
      <c r="T232" s="39">
        <v>45902</v>
      </c>
      <c r="U232" s="45">
        <v>45902</v>
      </c>
    </row>
    <row r="233" spans="1:21" s="3" customFormat="1" ht="19.7" customHeight="1" x14ac:dyDescent="0.15">
      <c r="A233" s="197" t="s">
        <v>200</v>
      </c>
      <c r="C233" s="1">
        <f>0.01*J233</f>
        <v>0.06</v>
      </c>
      <c r="E233" s="50"/>
      <c r="F233" s="69">
        <f t="shared" si="18"/>
        <v>182</v>
      </c>
      <c r="G233" s="112" t="s">
        <v>25</v>
      </c>
      <c r="H233" s="112" t="s">
        <v>25</v>
      </c>
      <c r="I233" s="211" t="s">
        <v>369</v>
      </c>
      <c r="J233" s="255">
        <v>6</v>
      </c>
      <c r="K233" s="269">
        <v>116</v>
      </c>
      <c r="L233" s="269">
        <f t="shared" si="17"/>
        <v>696</v>
      </c>
      <c r="M233" s="98"/>
      <c r="N233" s="24" t="s">
        <v>370</v>
      </c>
      <c r="O233" s="95" t="s">
        <v>362</v>
      </c>
      <c r="P233" s="280" t="s">
        <v>563</v>
      </c>
      <c r="Q233" s="11">
        <v>45876</v>
      </c>
      <c r="R233" s="80"/>
      <c r="S233" s="279">
        <v>45901</v>
      </c>
      <c r="T233" s="39">
        <v>45902</v>
      </c>
      <c r="U233" s="45">
        <v>45902</v>
      </c>
    </row>
    <row r="234" spans="1:21" s="3" customFormat="1" ht="19.5" customHeight="1" x14ac:dyDescent="0.15">
      <c r="A234" s="197" t="s">
        <v>199</v>
      </c>
      <c r="C234" s="168">
        <v>2.2000000000000002</v>
      </c>
      <c r="E234" s="50"/>
      <c r="F234" s="69">
        <f t="shared" si="18"/>
        <v>183</v>
      </c>
      <c r="G234" s="112" t="s">
        <v>25</v>
      </c>
      <c r="H234" s="112" t="s">
        <v>25</v>
      </c>
      <c r="I234" s="211" t="s">
        <v>371</v>
      </c>
      <c r="J234" s="255">
        <v>1</v>
      </c>
      <c r="K234" s="269">
        <v>1427</v>
      </c>
      <c r="L234" s="269">
        <f t="shared" si="17"/>
        <v>1427</v>
      </c>
      <c r="M234" s="26"/>
      <c r="N234" s="24" t="s">
        <v>372</v>
      </c>
      <c r="O234" s="95" t="s">
        <v>373</v>
      </c>
      <c r="P234" s="280" t="s">
        <v>563</v>
      </c>
      <c r="Q234" s="11">
        <v>45876</v>
      </c>
      <c r="R234" s="80"/>
      <c r="S234" s="279">
        <v>45901</v>
      </c>
      <c r="T234" s="39">
        <v>45902</v>
      </c>
      <c r="U234" s="45">
        <v>45902</v>
      </c>
    </row>
    <row r="235" spans="1:21" s="3" customFormat="1" ht="19.5" customHeight="1" x14ac:dyDescent="0.15">
      <c r="A235" s="197" t="s">
        <v>200</v>
      </c>
      <c r="C235" s="168">
        <v>2.2000000000000002</v>
      </c>
      <c r="E235" s="50"/>
      <c r="F235" s="69">
        <f t="shared" si="18"/>
        <v>184</v>
      </c>
      <c r="G235" s="112" t="s">
        <v>25</v>
      </c>
      <c r="H235" s="112" t="s">
        <v>25</v>
      </c>
      <c r="I235" s="211" t="s">
        <v>374</v>
      </c>
      <c r="J235" s="255">
        <v>4</v>
      </c>
      <c r="K235" s="269">
        <v>46</v>
      </c>
      <c r="L235" s="269">
        <f t="shared" ref="L235:L238" si="19">J235*K235</f>
        <v>184</v>
      </c>
      <c r="M235" s="26"/>
      <c r="N235" s="24" t="s">
        <v>375</v>
      </c>
      <c r="O235" s="95" t="s">
        <v>373</v>
      </c>
      <c r="P235" s="280" t="s">
        <v>563</v>
      </c>
      <c r="Q235" s="11">
        <v>45876</v>
      </c>
      <c r="R235" s="80"/>
      <c r="S235" s="279">
        <v>45901</v>
      </c>
      <c r="T235" s="39">
        <v>45902</v>
      </c>
      <c r="U235" s="45">
        <v>45902</v>
      </c>
    </row>
    <row r="236" spans="1:21" s="3" customFormat="1" ht="19.5" customHeight="1" x14ac:dyDescent="0.15">
      <c r="A236" s="197" t="s">
        <v>199</v>
      </c>
      <c r="B236" s="1" t="s">
        <v>499</v>
      </c>
      <c r="C236" s="168">
        <f>+(954/1000)*0.5*J236</f>
        <v>0.95399999999999996</v>
      </c>
      <c r="E236" s="50"/>
      <c r="F236" s="69">
        <f t="shared" si="18"/>
        <v>185</v>
      </c>
      <c r="G236" s="174" t="s">
        <v>69</v>
      </c>
      <c r="H236" s="174" t="s">
        <v>69</v>
      </c>
      <c r="I236" s="221" t="s">
        <v>376</v>
      </c>
      <c r="J236" s="250">
        <v>2</v>
      </c>
      <c r="K236" s="251">
        <v>690</v>
      </c>
      <c r="L236" s="269">
        <f t="shared" si="19"/>
        <v>1380</v>
      </c>
      <c r="M236" s="2"/>
      <c r="N236" s="88" t="s">
        <v>377</v>
      </c>
      <c r="O236" s="95" t="s">
        <v>373</v>
      </c>
      <c r="P236" s="280" t="s">
        <v>563</v>
      </c>
      <c r="Q236" s="11">
        <v>45876</v>
      </c>
      <c r="R236" s="80"/>
      <c r="S236" s="279">
        <v>45901</v>
      </c>
      <c r="T236" s="39">
        <v>45902</v>
      </c>
      <c r="U236" s="45">
        <v>45902</v>
      </c>
    </row>
    <row r="237" spans="1:21" s="3" customFormat="1" ht="19.5" customHeight="1" x14ac:dyDescent="0.15">
      <c r="A237" s="197" t="s">
        <v>200</v>
      </c>
      <c r="C237" s="168">
        <v>0.15</v>
      </c>
      <c r="E237" s="1"/>
      <c r="F237" s="69">
        <f t="shared" si="18"/>
        <v>186</v>
      </c>
      <c r="G237" s="174" t="s">
        <v>69</v>
      </c>
      <c r="H237" s="174" t="s">
        <v>69</v>
      </c>
      <c r="I237" s="211" t="s">
        <v>378</v>
      </c>
      <c r="J237" s="255">
        <v>1</v>
      </c>
      <c r="K237" s="269">
        <v>1122</v>
      </c>
      <c r="L237" s="269">
        <f t="shared" si="19"/>
        <v>1122</v>
      </c>
      <c r="M237" s="26"/>
      <c r="N237" s="24" t="s">
        <v>379</v>
      </c>
      <c r="O237" s="95" t="s">
        <v>373</v>
      </c>
      <c r="P237" s="280" t="s">
        <v>563</v>
      </c>
      <c r="Q237" s="11">
        <v>45876</v>
      </c>
      <c r="R237" s="80"/>
      <c r="S237" s="279">
        <v>45901</v>
      </c>
      <c r="T237" s="39">
        <v>45902</v>
      </c>
      <c r="U237" s="45">
        <v>45902</v>
      </c>
    </row>
    <row r="238" spans="1:21" s="3" customFormat="1" ht="19.149999999999999" customHeight="1" x14ac:dyDescent="0.15">
      <c r="A238" s="197" t="s">
        <v>200</v>
      </c>
      <c r="C238" s="168">
        <v>0.05</v>
      </c>
      <c r="E238" s="1"/>
      <c r="F238" s="69">
        <f t="shared" si="18"/>
        <v>187</v>
      </c>
      <c r="G238" s="174" t="s">
        <v>69</v>
      </c>
      <c r="H238" s="174" t="s">
        <v>69</v>
      </c>
      <c r="I238" s="211" t="s">
        <v>562</v>
      </c>
      <c r="J238" s="255">
        <v>2</v>
      </c>
      <c r="K238" s="269">
        <v>526</v>
      </c>
      <c r="L238" s="269">
        <f t="shared" si="19"/>
        <v>1052</v>
      </c>
      <c r="M238" s="26"/>
      <c r="N238" s="24" t="s">
        <v>380</v>
      </c>
      <c r="O238" s="95" t="s">
        <v>373</v>
      </c>
      <c r="P238" s="280" t="s">
        <v>563</v>
      </c>
      <c r="Q238" s="11">
        <v>45876</v>
      </c>
      <c r="R238" s="80"/>
      <c r="S238" s="279">
        <v>45901</v>
      </c>
      <c r="T238" s="39">
        <v>45902</v>
      </c>
      <c r="U238" s="45">
        <v>45902</v>
      </c>
    </row>
    <row r="239" spans="1:21" s="3" customFormat="1" ht="19.7" customHeight="1" x14ac:dyDescent="0.15">
      <c r="A239" s="197" t="s">
        <v>200</v>
      </c>
      <c r="C239" s="168">
        <v>0.05</v>
      </c>
      <c r="D239" s="53"/>
      <c r="E239" s="1"/>
      <c r="F239" s="69">
        <f t="shared" si="18"/>
        <v>188</v>
      </c>
      <c r="G239" s="112" t="s">
        <v>25</v>
      </c>
      <c r="H239" s="112" t="s">
        <v>25</v>
      </c>
      <c r="I239" s="211" t="s">
        <v>381</v>
      </c>
      <c r="J239" s="255">
        <v>2</v>
      </c>
      <c r="K239" s="269">
        <v>168</v>
      </c>
      <c r="L239" s="269">
        <f>J239*K239</f>
        <v>336</v>
      </c>
      <c r="M239" s="26"/>
      <c r="N239" s="24" t="s">
        <v>382</v>
      </c>
      <c r="O239" s="95" t="s">
        <v>373</v>
      </c>
      <c r="P239" s="280" t="s">
        <v>563</v>
      </c>
      <c r="Q239" s="11">
        <v>45876</v>
      </c>
      <c r="R239" s="80"/>
      <c r="S239" s="279">
        <v>45901</v>
      </c>
      <c r="T239" s="39">
        <v>45902</v>
      </c>
      <c r="U239" s="45">
        <v>45902</v>
      </c>
    </row>
    <row r="240" spans="1:21" s="3" customFormat="1" ht="19.7" customHeight="1" x14ac:dyDescent="0.15">
      <c r="A240" s="197" t="s">
        <v>200</v>
      </c>
      <c r="C240" s="168">
        <v>0.05</v>
      </c>
      <c r="D240" s="53"/>
      <c r="E240" s="1"/>
      <c r="F240" s="69">
        <f t="shared" si="18"/>
        <v>189</v>
      </c>
      <c r="G240" s="112" t="s">
        <v>25</v>
      </c>
      <c r="H240" s="112" t="s">
        <v>25</v>
      </c>
      <c r="I240" s="211" t="s">
        <v>383</v>
      </c>
      <c r="J240" s="255">
        <v>2</v>
      </c>
      <c r="K240" s="269">
        <v>465</v>
      </c>
      <c r="L240" s="269">
        <f>J240*K240</f>
        <v>930</v>
      </c>
      <c r="M240" s="26"/>
      <c r="N240" s="24" t="s">
        <v>382</v>
      </c>
      <c r="O240" s="95" t="s">
        <v>373</v>
      </c>
      <c r="P240" s="280" t="s">
        <v>563</v>
      </c>
      <c r="Q240" s="11">
        <v>45876</v>
      </c>
      <c r="R240" s="80"/>
      <c r="S240" s="279">
        <v>45901</v>
      </c>
      <c r="T240" s="39">
        <v>45902</v>
      </c>
      <c r="U240" s="45">
        <v>45902</v>
      </c>
    </row>
    <row r="241" spans="1:21" s="3" customFormat="1" ht="19.7" customHeight="1" x14ac:dyDescent="0.15">
      <c r="A241" s="197" t="s">
        <v>40</v>
      </c>
      <c r="C241" s="168">
        <f>+(329/1000)*0.5*J241</f>
        <v>0.32900000000000001</v>
      </c>
      <c r="D241" s="53"/>
      <c r="E241" s="1"/>
      <c r="F241" s="69">
        <f t="shared" si="18"/>
        <v>190</v>
      </c>
      <c r="G241" s="174" t="s">
        <v>69</v>
      </c>
      <c r="H241" s="174" t="s">
        <v>69</v>
      </c>
      <c r="I241" s="221" t="s">
        <v>384</v>
      </c>
      <c r="J241" s="250">
        <v>2</v>
      </c>
      <c r="K241" s="251">
        <v>630</v>
      </c>
      <c r="L241" s="269">
        <f>J241*K241</f>
        <v>1260</v>
      </c>
      <c r="M241" s="2"/>
      <c r="N241" s="88" t="s">
        <v>377</v>
      </c>
      <c r="O241" s="95" t="s">
        <v>373</v>
      </c>
      <c r="P241" s="280" t="s">
        <v>563</v>
      </c>
      <c r="Q241" s="11">
        <v>45876</v>
      </c>
      <c r="R241" s="80"/>
      <c r="S241" s="279">
        <v>45901</v>
      </c>
      <c r="T241" s="39">
        <v>45902</v>
      </c>
      <c r="U241" s="45">
        <v>45902</v>
      </c>
    </row>
    <row r="242" spans="1:21" s="3" customFormat="1" ht="19.7" customHeight="1" x14ac:dyDescent="0.15">
      <c r="A242" s="197" t="s">
        <v>200</v>
      </c>
      <c r="C242" s="1">
        <f>0.01*J242</f>
        <v>0.04</v>
      </c>
      <c r="D242" s="53"/>
      <c r="E242" s="1"/>
      <c r="F242" s="69">
        <f t="shared" si="18"/>
        <v>191</v>
      </c>
      <c r="G242" s="112" t="s">
        <v>25</v>
      </c>
      <c r="H242" s="112" t="s">
        <v>25</v>
      </c>
      <c r="I242" s="211" t="s">
        <v>385</v>
      </c>
      <c r="J242" s="255">
        <v>4</v>
      </c>
      <c r="K242" s="269">
        <v>126</v>
      </c>
      <c r="L242" s="269">
        <f>J242*K242</f>
        <v>504</v>
      </c>
      <c r="M242" s="98"/>
      <c r="N242" s="24" t="s">
        <v>386</v>
      </c>
      <c r="O242" s="95" t="s">
        <v>373</v>
      </c>
      <c r="P242" s="280" t="s">
        <v>563</v>
      </c>
      <c r="Q242" s="11">
        <v>45876</v>
      </c>
      <c r="R242" s="80"/>
      <c r="S242" s="279">
        <v>45901</v>
      </c>
      <c r="T242" s="39">
        <v>45902</v>
      </c>
      <c r="U242" s="45">
        <v>45902</v>
      </c>
    </row>
    <row r="243" spans="1:21" s="3" customFormat="1" ht="19.7" customHeight="1" x14ac:dyDescent="0.15">
      <c r="A243" s="197" t="s">
        <v>200</v>
      </c>
      <c r="C243" s="168">
        <f>0.03*J243</f>
        <v>1.3199999999999998</v>
      </c>
      <c r="D243" s="53"/>
      <c r="E243" s="1"/>
      <c r="F243" s="69">
        <f t="shared" si="18"/>
        <v>192</v>
      </c>
      <c r="G243" s="174" t="s">
        <v>69</v>
      </c>
      <c r="H243" s="174" t="s">
        <v>69</v>
      </c>
      <c r="I243" s="221" t="s">
        <v>387</v>
      </c>
      <c r="J243" s="250">
        <v>44</v>
      </c>
      <c r="K243" s="251">
        <v>194</v>
      </c>
      <c r="L243" s="269">
        <f t="shared" ref="L243:L250" si="20">J243*K243</f>
        <v>8536</v>
      </c>
      <c r="M243" s="78"/>
      <c r="N243" s="88" t="s">
        <v>388</v>
      </c>
      <c r="O243" s="95" t="s">
        <v>389</v>
      </c>
      <c r="P243" s="280" t="s">
        <v>563</v>
      </c>
      <c r="Q243" s="11">
        <v>45876</v>
      </c>
      <c r="R243" s="80"/>
      <c r="S243" s="279">
        <v>45901</v>
      </c>
      <c r="T243" s="39">
        <v>45902</v>
      </c>
      <c r="U243" s="45">
        <v>45902</v>
      </c>
    </row>
    <row r="244" spans="1:21" s="3" customFormat="1" ht="19.7" customHeight="1" x14ac:dyDescent="0.15">
      <c r="A244" s="197" t="s">
        <v>200</v>
      </c>
      <c r="C244" s="168">
        <f>0.007*J244</f>
        <v>8.4000000000000005E-2</v>
      </c>
      <c r="D244" s="53"/>
      <c r="E244" s="1"/>
      <c r="F244" s="69">
        <f t="shared" si="18"/>
        <v>193</v>
      </c>
      <c r="G244" s="174" t="s">
        <v>69</v>
      </c>
      <c r="H244" s="174" t="s">
        <v>69</v>
      </c>
      <c r="I244" s="221" t="s">
        <v>390</v>
      </c>
      <c r="J244" s="250">
        <v>12</v>
      </c>
      <c r="K244" s="251">
        <v>40</v>
      </c>
      <c r="L244" s="269">
        <f t="shared" si="20"/>
        <v>480</v>
      </c>
      <c r="M244" s="78"/>
      <c r="N244" s="88" t="s">
        <v>391</v>
      </c>
      <c r="O244" s="95" t="s">
        <v>389</v>
      </c>
      <c r="P244" s="280" t="s">
        <v>563</v>
      </c>
      <c r="Q244" s="11">
        <v>45876</v>
      </c>
      <c r="R244" s="80"/>
      <c r="S244" s="279">
        <v>45901</v>
      </c>
      <c r="T244" s="39">
        <v>45902</v>
      </c>
      <c r="U244" s="45">
        <v>45902</v>
      </c>
    </row>
    <row r="245" spans="1:21" s="3" customFormat="1" ht="19.7" customHeight="1" x14ac:dyDescent="0.15">
      <c r="A245" s="197" t="s">
        <v>200</v>
      </c>
      <c r="C245" s="168">
        <f>0.005*J245</f>
        <v>0.02</v>
      </c>
      <c r="D245" s="53"/>
      <c r="E245" s="1"/>
      <c r="F245" s="69">
        <f t="shared" si="18"/>
        <v>194</v>
      </c>
      <c r="G245" s="174" t="s">
        <v>69</v>
      </c>
      <c r="H245" s="174" t="s">
        <v>69</v>
      </c>
      <c r="I245" s="221" t="s">
        <v>392</v>
      </c>
      <c r="J245" s="250">
        <v>4</v>
      </c>
      <c r="K245" s="251">
        <v>53</v>
      </c>
      <c r="L245" s="269">
        <f t="shared" si="20"/>
        <v>212</v>
      </c>
      <c r="M245" s="78"/>
      <c r="N245" s="88" t="s">
        <v>393</v>
      </c>
      <c r="O245" s="95" t="s">
        <v>389</v>
      </c>
      <c r="P245" s="280" t="s">
        <v>563</v>
      </c>
      <c r="Q245" s="11">
        <v>45876</v>
      </c>
      <c r="R245" s="80"/>
      <c r="S245" s="279">
        <v>45901</v>
      </c>
      <c r="T245" s="39">
        <v>45902</v>
      </c>
      <c r="U245" s="45">
        <v>45902</v>
      </c>
    </row>
    <row r="246" spans="1:21" s="3" customFormat="1" ht="19.7" customHeight="1" x14ac:dyDescent="0.15">
      <c r="A246" s="197" t="s">
        <v>200</v>
      </c>
      <c r="C246" s="168">
        <f>+(385/1000)*0.9*J246</f>
        <v>0.69300000000000006</v>
      </c>
      <c r="D246" s="53"/>
      <c r="E246" s="1"/>
      <c r="F246" s="69">
        <f t="shared" si="18"/>
        <v>195</v>
      </c>
      <c r="G246" s="174" t="s">
        <v>69</v>
      </c>
      <c r="H246" s="174" t="s">
        <v>69</v>
      </c>
      <c r="I246" s="221" t="s">
        <v>557</v>
      </c>
      <c r="J246" s="250">
        <v>2</v>
      </c>
      <c r="K246" s="251">
        <v>346</v>
      </c>
      <c r="L246" s="269">
        <f t="shared" si="20"/>
        <v>692</v>
      </c>
      <c r="M246" s="78"/>
      <c r="N246" s="88" t="s">
        <v>395</v>
      </c>
      <c r="O246" s="95" t="s">
        <v>389</v>
      </c>
      <c r="P246" s="280" t="s">
        <v>563</v>
      </c>
      <c r="Q246" s="11">
        <v>45876</v>
      </c>
      <c r="R246" s="80"/>
      <c r="S246" s="279">
        <v>45901</v>
      </c>
      <c r="T246" s="39">
        <v>45902</v>
      </c>
      <c r="U246" s="45">
        <v>45902</v>
      </c>
    </row>
    <row r="247" spans="1:21" s="3" customFormat="1" ht="19.7" customHeight="1" x14ac:dyDescent="0.15">
      <c r="A247" s="197" t="s">
        <v>200</v>
      </c>
      <c r="C247" s="168">
        <f>+(800/1000)*0.9*J247</f>
        <v>1.4400000000000002</v>
      </c>
      <c r="D247" s="53"/>
      <c r="E247" s="1"/>
      <c r="F247" s="69">
        <f t="shared" si="18"/>
        <v>196</v>
      </c>
      <c r="G247" s="174" t="s">
        <v>69</v>
      </c>
      <c r="H247" s="174" t="s">
        <v>69</v>
      </c>
      <c r="I247" s="221" t="s">
        <v>394</v>
      </c>
      <c r="J247" s="250">
        <v>2</v>
      </c>
      <c r="K247" s="251">
        <v>970</v>
      </c>
      <c r="L247" s="269">
        <f t="shared" si="20"/>
        <v>1940</v>
      </c>
      <c r="M247" s="78"/>
      <c r="N247" s="88" t="s">
        <v>395</v>
      </c>
      <c r="O247" s="95" t="s">
        <v>389</v>
      </c>
      <c r="P247" s="280" t="s">
        <v>563</v>
      </c>
      <c r="Q247" s="11">
        <v>45876</v>
      </c>
      <c r="R247" s="80"/>
      <c r="S247" s="279">
        <v>45901</v>
      </c>
      <c r="T247" s="39">
        <v>45902</v>
      </c>
      <c r="U247" s="45">
        <v>45902</v>
      </c>
    </row>
    <row r="248" spans="1:21" s="3" customFormat="1" ht="19.7" customHeight="1" x14ac:dyDescent="0.15">
      <c r="A248" s="197" t="s">
        <v>200</v>
      </c>
      <c r="C248" s="168">
        <f>+(800/1000)*0.9*J248</f>
        <v>2.16</v>
      </c>
      <c r="D248" s="53"/>
      <c r="E248" s="1"/>
      <c r="F248" s="69">
        <f t="shared" si="18"/>
        <v>197</v>
      </c>
      <c r="G248" s="174" t="s">
        <v>69</v>
      </c>
      <c r="H248" s="174" t="s">
        <v>69</v>
      </c>
      <c r="I248" s="221" t="s">
        <v>396</v>
      </c>
      <c r="J248" s="250">
        <v>3</v>
      </c>
      <c r="K248" s="251">
        <v>732</v>
      </c>
      <c r="L248" s="269">
        <f t="shared" si="20"/>
        <v>2196</v>
      </c>
      <c r="M248" s="78"/>
      <c r="N248" s="88" t="s">
        <v>395</v>
      </c>
      <c r="O248" s="95" t="s">
        <v>389</v>
      </c>
      <c r="P248" s="280" t="s">
        <v>563</v>
      </c>
      <c r="Q248" s="11">
        <v>45876</v>
      </c>
      <c r="R248" s="80"/>
      <c r="S248" s="279">
        <v>45901</v>
      </c>
      <c r="T248" s="39">
        <v>45902</v>
      </c>
      <c r="U248" s="45">
        <v>45902</v>
      </c>
    </row>
    <row r="249" spans="1:21" s="3" customFormat="1" ht="19.7" customHeight="1" x14ac:dyDescent="0.15">
      <c r="A249" s="197" t="s">
        <v>200</v>
      </c>
      <c r="C249" s="168">
        <f>+(990/1000)*0.9*J249</f>
        <v>1.782</v>
      </c>
      <c r="D249" s="53"/>
      <c r="E249" s="1"/>
      <c r="F249" s="69">
        <f t="shared" si="18"/>
        <v>198</v>
      </c>
      <c r="G249" s="174" t="s">
        <v>69</v>
      </c>
      <c r="H249" s="174" t="s">
        <v>69</v>
      </c>
      <c r="I249" s="221" t="s">
        <v>397</v>
      </c>
      <c r="J249" s="255">
        <v>2</v>
      </c>
      <c r="K249" s="269">
        <v>910</v>
      </c>
      <c r="L249" s="269">
        <f t="shared" si="20"/>
        <v>1820</v>
      </c>
      <c r="M249" s="26"/>
      <c r="N249" s="88" t="s">
        <v>395</v>
      </c>
      <c r="O249" s="95" t="s">
        <v>389</v>
      </c>
      <c r="P249" s="280" t="s">
        <v>563</v>
      </c>
      <c r="Q249" s="11">
        <v>45876</v>
      </c>
      <c r="R249" s="80"/>
      <c r="S249" s="279">
        <v>45901</v>
      </c>
      <c r="T249" s="39">
        <v>45902</v>
      </c>
      <c r="U249" s="45">
        <v>45902</v>
      </c>
    </row>
    <row r="250" spans="1:21" s="3" customFormat="1" ht="19.7" customHeight="1" x14ac:dyDescent="0.15">
      <c r="A250" s="197" t="s">
        <v>40</v>
      </c>
      <c r="C250" s="168">
        <f>+(1040/1000)*0.9*J251</f>
        <v>2.8080000000000003</v>
      </c>
      <c r="D250" s="53"/>
      <c r="E250" s="1"/>
      <c r="F250" s="69">
        <f t="shared" si="18"/>
        <v>199</v>
      </c>
      <c r="G250" s="174" t="s">
        <v>69</v>
      </c>
      <c r="H250" s="174" t="s">
        <v>69</v>
      </c>
      <c r="I250" s="221" t="s">
        <v>398</v>
      </c>
      <c r="J250" s="250">
        <v>2</v>
      </c>
      <c r="K250" s="251">
        <v>1980</v>
      </c>
      <c r="L250" s="269">
        <f t="shared" si="20"/>
        <v>3960</v>
      </c>
      <c r="M250" s="2"/>
      <c r="N250" s="88" t="s">
        <v>395</v>
      </c>
      <c r="O250" s="95" t="s">
        <v>389</v>
      </c>
      <c r="P250" s="280" t="s">
        <v>563</v>
      </c>
      <c r="Q250" s="11">
        <v>45876</v>
      </c>
      <c r="R250" s="80"/>
      <c r="S250" s="279">
        <v>45901</v>
      </c>
      <c r="T250" s="39">
        <v>45902</v>
      </c>
      <c r="U250" s="45">
        <v>45902</v>
      </c>
    </row>
    <row r="251" spans="1:21" s="3" customFormat="1" ht="19.7" customHeight="1" x14ac:dyDescent="0.15">
      <c r="A251" s="197" t="s">
        <v>200</v>
      </c>
      <c r="C251" s="168">
        <f>+(1040/1000)*0.9*J251</f>
        <v>2.8080000000000003</v>
      </c>
      <c r="D251" s="53"/>
      <c r="E251" s="1"/>
      <c r="F251" s="69">
        <f t="shared" si="18"/>
        <v>200</v>
      </c>
      <c r="G251" s="174" t="s">
        <v>69</v>
      </c>
      <c r="H251" s="174" t="s">
        <v>69</v>
      </c>
      <c r="I251" s="221" t="s">
        <v>399</v>
      </c>
      <c r="J251" s="250">
        <v>3</v>
      </c>
      <c r="K251" s="251">
        <v>950</v>
      </c>
      <c r="L251" s="269">
        <f>J251*K251</f>
        <v>2850</v>
      </c>
      <c r="M251" s="78"/>
      <c r="N251" s="88" t="s">
        <v>395</v>
      </c>
      <c r="O251" s="95" t="s">
        <v>389</v>
      </c>
      <c r="P251" s="280" t="s">
        <v>563</v>
      </c>
      <c r="Q251" s="11">
        <v>45876</v>
      </c>
      <c r="R251" s="80"/>
      <c r="S251" s="279">
        <v>45901</v>
      </c>
      <c r="T251" s="39">
        <v>45902</v>
      </c>
      <c r="U251" s="45">
        <v>45902</v>
      </c>
    </row>
    <row r="252" spans="1:21" s="3" customFormat="1" ht="19.7" customHeight="1" x14ac:dyDescent="0.15">
      <c r="A252" s="197" t="s">
        <v>40</v>
      </c>
      <c r="C252" s="168">
        <f>+(1050/1000)*0.9*J252</f>
        <v>1.8900000000000001</v>
      </c>
      <c r="D252" s="53"/>
      <c r="E252" s="1"/>
      <c r="F252" s="69">
        <f t="shared" si="18"/>
        <v>201</v>
      </c>
      <c r="G252" s="174" t="s">
        <v>69</v>
      </c>
      <c r="H252" s="174" t="s">
        <v>69</v>
      </c>
      <c r="I252" s="211" t="s">
        <v>400</v>
      </c>
      <c r="J252" s="255">
        <v>2</v>
      </c>
      <c r="K252" s="269">
        <v>1197</v>
      </c>
      <c r="L252" s="269">
        <f>J252*K252</f>
        <v>2394</v>
      </c>
      <c r="M252" s="26"/>
      <c r="N252" s="88" t="s">
        <v>395</v>
      </c>
      <c r="O252" s="95" t="s">
        <v>389</v>
      </c>
      <c r="P252" s="280" t="s">
        <v>563</v>
      </c>
      <c r="Q252" s="11">
        <v>45876</v>
      </c>
      <c r="R252" s="80"/>
      <c r="S252" s="279">
        <v>45901</v>
      </c>
      <c r="T252" s="39">
        <v>45902</v>
      </c>
      <c r="U252" s="45">
        <v>45902</v>
      </c>
    </row>
    <row r="253" spans="1:21" s="3" customFormat="1" ht="19.7" customHeight="1" x14ac:dyDescent="0.15">
      <c r="A253" s="197" t="s">
        <v>200</v>
      </c>
      <c r="C253" s="168">
        <f>+(1050/1000)*0.9*J253</f>
        <v>1.8900000000000001</v>
      </c>
      <c r="D253" s="53"/>
      <c r="E253" s="1"/>
      <c r="F253" s="69">
        <f t="shared" si="18"/>
        <v>202</v>
      </c>
      <c r="G253" s="174" t="s">
        <v>69</v>
      </c>
      <c r="H253" s="174" t="s">
        <v>69</v>
      </c>
      <c r="I253" s="221" t="s">
        <v>401</v>
      </c>
      <c r="J253" s="255">
        <v>2</v>
      </c>
      <c r="K253" s="269">
        <v>960</v>
      </c>
      <c r="L253" s="269">
        <f t="shared" ref="L253:L270" si="21">J253*K253</f>
        <v>1920</v>
      </c>
      <c r="M253" s="26"/>
      <c r="N253" s="88" t="s">
        <v>395</v>
      </c>
      <c r="O253" s="95" t="s">
        <v>389</v>
      </c>
      <c r="P253" s="280" t="s">
        <v>563</v>
      </c>
      <c r="Q253" s="11">
        <v>45876</v>
      </c>
      <c r="R253" s="80"/>
      <c r="S253" s="279">
        <v>45901</v>
      </c>
      <c r="T253" s="39">
        <v>45902</v>
      </c>
      <c r="U253" s="45">
        <v>45902</v>
      </c>
    </row>
    <row r="254" spans="1:21" s="3" customFormat="1" ht="19.7" customHeight="1" x14ac:dyDescent="0.15">
      <c r="A254" s="197" t="s">
        <v>200</v>
      </c>
      <c r="C254" s="168">
        <v>0.1</v>
      </c>
      <c r="D254" s="53"/>
      <c r="E254" s="1"/>
      <c r="F254" s="69">
        <f t="shared" si="18"/>
        <v>203</v>
      </c>
      <c r="G254" s="174" t="s">
        <v>69</v>
      </c>
      <c r="H254" s="174" t="s">
        <v>69</v>
      </c>
      <c r="I254" s="221" t="s">
        <v>402</v>
      </c>
      <c r="J254" s="250">
        <v>1</v>
      </c>
      <c r="K254" s="251">
        <v>834</v>
      </c>
      <c r="L254" s="269">
        <f t="shared" si="21"/>
        <v>834</v>
      </c>
      <c r="M254" s="2"/>
      <c r="N254" s="88" t="s">
        <v>403</v>
      </c>
      <c r="O254" s="95" t="s">
        <v>389</v>
      </c>
      <c r="P254" s="280" t="s">
        <v>563</v>
      </c>
      <c r="Q254" s="11">
        <v>45876</v>
      </c>
      <c r="R254" s="80"/>
      <c r="S254" s="279">
        <v>45901</v>
      </c>
      <c r="T254" s="39">
        <v>45902</v>
      </c>
      <c r="U254" s="45">
        <v>45902</v>
      </c>
    </row>
    <row r="255" spans="1:21" s="3" customFormat="1" ht="19.7" customHeight="1" x14ac:dyDescent="0.15">
      <c r="A255" s="197" t="s">
        <v>200</v>
      </c>
      <c r="C255" s="168">
        <v>0.15</v>
      </c>
      <c r="D255" s="53"/>
      <c r="E255" s="1"/>
      <c r="F255" s="69">
        <f t="shared" si="18"/>
        <v>204</v>
      </c>
      <c r="G255" s="174" t="s">
        <v>69</v>
      </c>
      <c r="H255" s="174" t="s">
        <v>69</v>
      </c>
      <c r="I255" s="221" t="s">
        <v>404</v>
      </c>
      <c r="J255" s="250">
        <v>1</v>
      </c>
      <c r="K255" s="251">
        <v>1916</v>
      </c>
      <c r="L255" s="269">
        <f t="shared" si="21"/>
        <v>1916</v>
      </c>
      <c r="M255" s="2"/>
      <c r="N255" s="88" t="s">
        <v>403</v>
      </c>
      <c r="O255" s="95" t="s">
        <v>389</v>
      </c>
      <c r="P255" s="280" t="s">
        <v>563</v>
      </c>
      <c r="Q255" s="11">
        <v>45876</v>
      </c>
      <c r="R255" s="80"/>
      <c r="S255" s="279">
        <v>45901</v>
      </c>
      <c r="T255" s="39">
        <v>45902</v>
      </c>
      <c r="U255" s="45">
        <v>45902</v>
      </c>
    </row>
    <row r="256" spans="1:21" s="3" customFormat="1" ht="19.7" customHeight="1" x14ac:dyDescent="0.15">
      <c r="A256" s="197" t="s">
        <v>200</v>
      </c>
      <c r="C256" s="168">
        <f>0.005*J256</f>
        <v>0.02</v>
      </c>
      <c r="D256" s="53"/>
      <c r="E256" s="1"/>
      <c r="F256" s="69">
        <f t="shared" si="18"/>
        <v>205</v>
      </c>
      <c r="G256" s="174" t="s">
        <v>69</v>
      </c>
      <c r="H256" s="174" t="s">
        <v>69</v>
      </c>
      <c r="I256" s="221" t="s">
        <v>405</v>
      </c>
      <c r="J256" s="250">
        <v>4</v>
      </c>
      <c r="K256" s="251">
        <v>242</v>
      </c>
      <c r="L256" s="269">
        <f t="shared" si="21"/>
        <v>968</v>
      </c>
      <c r="M256" s="78"/>
      <c r="N256" s="88" t="s">
        <v>406</v>
      </c>
      <c r="O256" s="95" t="s">
        <v>389</v>
      </c>
      <c r="P256" s="280" t="s">
        <v>563</v>
      </c>
      <c r="Q256" s="11">
        <v>45876</v>
      </c>
      <c r="R256" s="80"/>
      <c r="S256" s="279">
        <v>45901</v>
      </c>
      <c r="T256" s="39">
        <v>45902</v>
      </c>
      <c r="U256" s="45">
        <v>45902</v>
      </c>
    </row>
    <row r="257" spans="1:21" s="3" customFormat="1" ht="19.7" customHeight="1" x14ac:dyDescent="0.15">
      <c r="A257" s="197" t="s">
        <v>40</v>
      </c>
      <c r="C257" s="168">
        <f>1.172*J257</f>
        <v>4.6879999999999997</v>
      </c>
      <c r="D257" s="53"/>
      <c r="E257" s="1"/>
      <c r="F257" s="69">
        <f t="shared" si="18"/>
        <v>206</v>
      </c>
      <c r="G257" s="174" t="s">
        <v>69</v>
      </c>
      <c r="H257" s="174" t="s">
        <v>69</v>
      </c>
      <c r="I257" s="221" t="s">
        <v>407</v>
      </c>
      <c r="J257" s="250">
        <v>4</v>
      </c>
      <c r="K257" s="251">
        <v>2484</v>
      </c>
      <c r="L257" s="269">
        <f t="shared" si="21"/>
        <v>9936</v>
      </c>
      <c r="M257" s="78"/>
      <c r="N257" s="88" t="s">
        <v>408</v>
      </c>
      <c r="O257" s="95" t="s">
        <v>389</v>
      </c>
      <c r="P257" s="280" t="s">
        <v>563</v>
      </c>
      <c r="Q257" s="11">
        <v>45876</v>
      </c>
      <c r="R257" s="80"/>
      <c r="S257" s="279">
        <v>45901</v>
      </c>
      <c r="T257" s="39">
        <v>45902</v>
      </c>
      <c r="U257" s="45">
        <v>45902</v>
      </c>
    </row>
    <row r="258" spans="1:21" s="3" customFormat="1" ht="19.7" customHeight="1" x14ac:dyDescent="0.15">
      <c r="A258" s="197" t="s">
        <v>40</v>
      </c>
      <c r="C258" s="168">
        <f>2.09*J258</f>
        <v>2.09</v>
      </c>
      <c r="D258" s="53"/>
      <c r="E258" s="1"/>
      <c r="F258" s="69">
        <f t="shared" si="18"/>
        <v>207</v>
      </c>
      <c r="G258" s="174" t="s">
        <v>69</v>
      </c>
      <c r="H258" s="174" t="s">
        <v>69</v>
      </c>
      <c r="I258" s="221" t="s">
        <v>409</v>
      </c>
      <c r="J258" s="250">
        <v>1</v>
      </c>
      <c r="K258" s="251">
        <v>3762</v>
      </c>
      <c r="L258" s="269">
        <f t="shared" si="21"/>
        <v>3762</v>
      </c>
      <c r="M258" s="78"/>
      <c r="N258" s="88" t="s">
        <v>408</v>
      </c>
      <c r="O258" s="95" t="s">
        <v>389</v>
      </c>
      <c r="P258" s="280" t="s">
        <v>563</v>
      </c>
      <c r="Q258" s="11">
        <v>45876</v>
      </c>
      <c r="R258" s="80"/>
      <c r="S258" s="279">
        <v>45901</v>
      </c>
      <c r="T258" s="39">
        <v>45902</v>
      </c>
      <c r="U258" s="45">
        <v>45902</v>
      </c>
    </row>
    <row r="259" spans="1:21" s="3" customFormat="1" ht="19.7" customHeight="1" x14ac:dyDescent="0.15">
      <c r="A259" s="197" t="s">
        <v>40</v>
      </c>
      <c r="C259" s="168">
        <f>2.09*J259</f>
        <v>8.36</v>
      </c>
      <c r="D259" s="53"/>
      <c r="E259" s="1"/>
      <c r="F259" s="69">
        <f t="shared" si="18"/>
        <v>208</v>
      </c>
      <c r="G259" s="174" t="s">
        <v>69</v>
      </c>
      <c r="H259" s="174" t="s">
        <v>69</v>
      </c>
      <c r="I259" s="221" t="s">
        <v>410</v>
      </c>
      <c r="J259" s="250">
        <v>4</v>
      </c>
      <c r="K259" s="251">
        <v>5157</v>
      </c>
      <c r="L259" s="269">
        <f t="shared" si="21"/>
        <v>20628</v>
      </c>
      <c r="M259" s="78"/>
      <c r="N259" s="88" t="s">
        <v>408</v>
      </c>
      <c r="O259" s="95" t="s">
        <v>389</v>
      </c>
      <c r="P259" s="280" t="s">
        <v>563</v>
      </c>
      <c r="Q259" s="11">
        <v>45876</v>
      </c>
      <c r="R259" s="80"/>
      <c r="S259" s="279">
        <v>45901</v>
      </c>
      <c r="T259" s="39">
        <v>45902</v>
      </c>
      <c r="U259" s="45">
        <v>45902</v>
      </c>
    </row>
    <row r="260" spans="1:21" s="3" customFormat="1" ht="19.7" customHeight="1" x14ac:dyDescent="0.15">
      <c r="A260" s="197" t="s">
        <v>40</v>
      </c>
      <c r="C260" s="168">
        <v>0.2</v>
      </c>
      <c r="D260" s="53"/>
      <c r="E260" s="1"/>
      <c r="F260" s="69">
        <f t="shared" si="18"/>
        <v>209</v>
      </c>
      <c r="G260" s="4" t="s">
        <v>41</v>
      </c>
      <c r="H260" s="174" t="s">
        <v>69</v>
      </c>
      <c r="I260" s="221" t="s">
        <v>411</v>
      </c>
      <c r="J260" s="250">
        <v>1</v>
      </c>
      <c r="K260" s="251">
        <v>3140</v>
      </c>
      <c r="L260" s="269">
        <f t="shared" si="21"/>
        <v>3140</v>
      </c>
      <c r="M260" s="78"/>
      <c r="N260" s="88" t="s">
        <v>412</v>
      </c>
      <c r="O260" s="95" t="s">
        <v>413</v>
      </c>
      <c r="P260" s="280" t="s">
        <v>563</v>
      </c>
      <c r="Q260" s="11">
        <v>45876</v>
      </c>
      <c r="R260" s="80"/>
      <c r="S260" s="279">
        <v>45901</v>
      </c>
      <c r="T260" s="39">
        <v>45902</v>
      </c>
      <c r="U260" s="45">
        <v>45902</v>
      </c>
    </row>
    <row r="261" spans="1:21" s="3" customFormat="1" ht="19.7" customHeight="1" x14ac:dyDescent="0.15">
      <c r="A261" s="197" t="s">
        <v>200</v>
      </c>
      <c r="C261" s="168">
        <v>0.05</v>
      </c>
      <c r="D261" s="53"/>
      <c r="E261" s="1"/>
      <c r="F261" s="69">
        <f t="shared" si="18"/>
        <v>210</v>
      </c>
      <c r="G261" s="174" t="s">
        <v>69</v>
      </c>
      <c r="H261" s="174" t="s">
        <v>69</v>
      </c>
      <c r="I261" s="199" t="s">
        <v>558</v>
      </c>
      <c r="J261" s="250">
        <v>4</v>
      </c>
      <c r="K261" s="235">
        <v>112</v>
      </c>
      <c r="L261" s="272">
        <f t="shared" si="21"/>
        <v>448</v>
      </c>
      <c r="M261" s="60"/>
      <c r="N261" s="88" t="s">
        <v>414</v>
      </c>
      <c r="O261" s="95" t="s">
        <v>413</v>
      </c>
      <c r="P261" s="280" t="s">
        <v>563</v>
      </c>
      <c r="Q261" s="11">
        <v>45876</v>
      </c>
      <c r="R261" s="80"/>
      <c r="S261" s="279">
        <v>45901</v>
      </c>
      <c r="T261" s="39">
        <v>45902</v>
      </c>
      <c r="U261" s="45">
        <v>45902</v>
      </c>
    </row>
    <row r="262" spans="1:21" s="3" customFormat="1" ht="19.7" customHeight="1" x14ac:dyDescent="0.15">
      <c r="A262" s="197" t="s">
        <v>200</v>
      </c>
      <c r="C262" s="168">
        <v>0.05</v>
      </c>
      <c r="D262" s="53"/>
      <c r="E262" s="1"/>
      <c r="F262" s="69">
        <f t="shared" si="18"/>
        <v>211</v>
      </c>
      <c r="G262" s="174" t="s">
        <v>69</v>
      </c>
      <c r="H262" s="174" t="s">
        <v>69</v>
      </c>
      <c r="I262" s="199" t="s">
        <v>559</v>
      </c>
      <c r="J262" s="250">
        <v>2</v>
      </c>
      <c r="K262" s="235">
        <v>113</v>
      </c>
      <c r="L262" s="272">
        <f t="shared" si="21"/>
        <v>226</v>
      </c>
      <c r="M262" s="60"/>
      <c r="N262" s="88" t="s">
        <v>415</v>
      </c>
      <c r="O262" s="95" t="s">
        <v>413</v>
      </c>
      <c r="P262" s="280" t="s">
        <v>563</v>
      </c>
      <c r="Q262" s="11">
        <v>45876</v>
      </c>
      <c r="R262" s="80"/>
      <c r="S262" s="279">
        <v>45901</v>
      </c>
      <c r="T262" s="39">
        <v>45902</v>
      </c>
      <c r="U262" s="45">
        <v>45902</v>
      </c>
    </row>
    <row r="263" spans="1:21" s="3" customFormat="1" ht="19.7" customHeight="1" x14ac:dyDescent="0.15">
      <c r="A263" s="197" t="s">
        <v>200</v>
      </c>
      <c r="C263" s="1">
        <f>0.01*J263</f>
        <v>0.02</v>
      </c>
      <c r="D263" s="53"/>
      <c r="E263" s="1"/>
      <c r="F263" s="69">
        <f t="shared" si="18"/>
        <v>212</v>
      </c>
      <c r="G263" s="112" t="s">
        <v>25</v>
      </c>
      <c r="H263" s="112" t="s">
        <v>25</v>
      </c>
      <c r="I263" s="254" t="s">
        <v>416</v>
      </c>
      <c r="J263" s="253">
        <v>2</v>
      </c>
      <c r="K263" s="236">
        <v>52</v>
      </c>
      <c r="L263" s="269">
        <f t="shared" si="21"/>
        <v>104</v>
      </c>
      <c r="M263" s="2"/>
      <c r="N263" s="88" t="s">
        <v>367</v>
      </c>
      <c r="O263" s="95" t="s">
        <v>413</v>
      </c>
      <c r="P263" s="280" t="s">
        <v>563</v>
      </c>
      <c r="Q263" s="11">
        <v>45876</v>
      </c>
      <c r="R263" s="80"/>
      <c r="S263" s="279">
        <v>45901</v>
      </c>
      <c r="T263" s="39">
        <v>45902</v>
      </c>
      <c r="U263" s="45">
        <v>45902</v>
      </c>
    </row>
    <row r="264" spans="1:21" s="3" customFormat="1" ht="19.7" customHeight="1" x14ac:dyDescent="0.15">
      <c r="A264" s="197" t="s">
        <v>40</v>
      </c>
      <c r="C264" s="168">
        <v>3</v>
      </c>
      <c r="D264" s="53"/>
      <c r="E264" s="1"/>
      <c r="F264" s="69">
        <f t="shared" si="18"/>
        <v>213</v>
      </c>
      <c r="G264" s="4" t="s">
        <v>41</v>
      </c>
      <c r="H264" s="174" t="s">
        <v>69</v>
      </c>
      <c r="I264" s="204" t="s">
        <v>510</v>
      </c>
      <c r="J264" s="250">
        <v>1</v>
      </c>
      <c r="K264" s="251">
        <v>16557</v>
      </c>
      <c r="L264" s="269">
        <f t="shared" si="21"/>
        <v>16557</v>
      </c>
      <c r="M264" s="78"/>
      <c r="N264" s="88" t="s">
        <v>509</v>
      </c>
      <c r="O264" s="95" t="s">
        <v>389</v>
      </c>
      <c r="P264" s="280" t="s">
        <v>563</v>
      </c>
      <c r="Q264" s="11">
        <v>45876</v>
      </c>
      <c r="R264" s="80"/>
      <c r="S264" s="279">
        <v>45901</v>
      </c>
      <c r="T264" s="39">
        <v>45902</v>
      </c>
      <c r="U264" s="45">
        <v>45902</v>
      </c>
    </row>
    <row r="265" spans="1:21" s="3" customFormat="1" ht="19.7" customHeight="1" x14ac:dyDescent="0.15">
      <c r="A265" s="197" t="s">
        <v>200</v>
      </c>
      <c r="C265" s="1">
        <f>0.01*J265</f>
        <v>0.06</v>
      </c>
      <c r="D265" s="53"/>
      <c r="E265" s="1"/>
      <c r="F265" s="69">
        <f t="shared" si="18"/>
        <v>214</v>
      </c>
      <c r="G265" s="112" t="s">
        <v>25</v>
      </c>
      <c r="H265" s="112" t="s">
        <v>25</v>
      </c>
      <c r="I265" s="211" t="s">
        <v>417</v>
      </c>
      <c r="J265" s="255">
        <v>6</v>
      </c>
      <c r="K265" s="269">
        <v>126</v>
      </c>
      <c r="L265" s="269">
        <f t="shared" si="21"/>
        <v>756</v>
      </c>
      <c r="M265" s="98"/>
      <c r="N265" s="24" t="s">
        <v>418</v>
      </c>
      <c r="O265" s="95" t="s">
        <v>419</v>
      </c>
      <c r="P265" s="280" t="s">
        <v>563</v>
      </c>
      <c r="Q265" s="11">
        <v>45876</v>
      </c>
      <c r="R265" s="80"/>
      <c r="S265" s="279">
        <v>45901</v>
      </c>
      <c r="T265" s="39">
        <v>45902</v>
      </c>
      <c r="U265" s="45">
        <v>45902</v>
      </c>
    </row>
    <row r="266" spans="1:21" s="3" customFormat="1" ht="19.7" customHeight="1" x14ac:dyDescent="0.15">
      <c r="A266" s="197" t="s">
        <v>200</v>
      </c>
      <c r="C266" s="168">
        <v>0.2</v>
      </c>
      <c r="D266" s="53"/>
      <c r="E266" s="1"/>
      <c r="F266" s="69">
        <f t="shared" si="18"/>
        <v>215</v>
      </c>
      <c r="G266" s="174" t="s">
        <v>420</v>
      </c>
      <c r="H266" s="174" t="s">
        <v>69</v>
      </c>
      <c r="I266" s="221" t="s">
        <v>421</v>
      </c>
      <c r="J266" s="250">
        <v>1</v>
      </c>
      <c r="K266" s="251">
        <v>1518</v>
      </c>
      <c r="L266" s="269">
        <f t="shared" si="21"/>
        <v>1518</v>
      </c>
      <c r="M266" s="78"/>
      <c r="N266" s="88" t="s">
        <v>422</v>
      </c>
      <c r="O266" s="95" t="s">
        <v>419</v>
      </c>
      <c r="P266" s="280" t="s">
        <v>563</v>
      </c>
      <c r="Q266" s="11">
        <v>45876</v>
      </c>
      <c r="R266" s="80"/>
      <c r="S266" s="279">
        <v>45901</v>
      </c>
      <c r="T266" s="39">
        <v>45902</v>
      </c>
      <c r="U266" s="45">
        <v>45902</v>
      </c>
    </row>
    <row r="267" spans="1:21" s="3" customFormat="1" ht="19.7" customHeight="1" x14ac:dyDescent="0.15">
      <c r="A267" s="197" t="s">
        <v>200</v>
      </c>
      <c r="C267" s="168">
        <v>0.15</v>
      </c>
      <c r="D267" s="53"/>
      <c r="E267" s="1"/>
      <c r="F267" s="69">
        <f t="shared" si="18"/>
        <v>216</v>
      </c>
      <c r="G267" s="174" t="s">
        <v>420</v>
      </c>
      <c r="H267" s="174" t="s">
        <v>69</v>
      </c>
      <c r="I267" s="221" t="s">
        <v>423</v>
      </c>
      <c r="J267" s="250">
        <v>1</v>
      </c>
      <c r="K267" s="251">
        <v>3004</v>
      </c>
      <c r="L267" s="269">
        <f t="shared" si="21"/>
        <v>3004</v>
      </c>
      <c r="M267" s="78"/>
      <c r="N267" s="88" t="s">
        <v>424</v>
      </c>
      <c r="O267" s="95" t="s">
        <v>419</v>
      </c>
      <c r="P267" s="280" t="s">
        <v>563</v>
      </c>
      <c r="Q267" s="11">
        <v>45876</v>
      </c>
      <c r="R267" s="80"/>
      <c r="S267" s="279">
        <v>45901</v>
      </c>
      <c r="T267" s="39">
        <v>45902</v>
      </c>
      <c r="U267" s="45">
        <v>45902</v>
      </c>
    </row>
    <row r="268" spans="1:21" s="3" customFormat="1" ht="19.7" customHeight="1" x14ac:dyDescent="0.15">
      <c r="A268" s="197" t="s">
        <v>200</v>
      </c>
      <c r="C268" s="1">
        <f>0.01*J268</f>
        <v>0.06</v>
      </c>
      <c r="D268" s="53"/>
      <c r="E268" s="1"/>
      <c r="F268" s="69">
        <f t="shared" si="18"/>
        <v>217</v>
      </c>
      <c r="G268" s="174" t="s">
        <v>69</v>
      </c>
      <c r="H268" s="174" t="s">
        <v>69</v>
      </c>
      <c r="I268" s="216" t="s">
        <v>425</v>
      </c>
      <c r="J268" s="251">
        <v>6</v>
      </c>
      <c r="K268" s="216">
        <v>89</v>
      </c>
      <c r="L268" s="269">
        <f t="shared" si="21"/>
        <v>534</v>
      </c>
      <c r="M268" s="2"/>
      <c r="N268" s="88" t="s">
        <v>426</v>
      </c>
      <c r="O268" s="95" t="s">
        <v>419</v>
      </c>
      <c r="P268" s="280" t="s">
        <v>563</v>
      </c>
      <c r="Q268" s="11">
        <v>45876</v>
      </c>
      <c r="R268" s="80"/>
      <c r="S268" s="279">
        <v>45901</v>
      </c>
      <c r="T268" s="39">
        <v>45902</v>
      </c>
      <c r="U268" s="45">
        <v>45902</v>
      </c>
    </row>
    <row r="269" spans="1:21" s="3" customFormat="1" ht="19.7" customHeight="1" x14ac:dyDescent="0.15">
      <c r="A269" s="197" t="s">
        <v>200</v>
      </c>
      <c r="C269" s="168">
        <f>0.002*J269</f>
        <v>2.4E-2</v>
      </c>
      <c r="D269" s="53"/>
      <c r="E269" s="1"/>
      <c r="F269" s="69">
        <f t="shared" si="18"/>
        <v>218</v>
      </c>
      <c r="G269" s="112" t="s">
        <v>25</v>
      </c>
      <c r="H269" s="112" t="s">
        <v>25</v>
      </c>
      <c r="I269" s="199" t="s">
        <v>365</v>
      </c>
      <c r="J269" s="250">
        <v>12</v>
      </c>
      <c r="K269" s="204">
        <v>98</v>
      </c>
      <c r="L269" s="272">
        <f t="shared" si="21"/>
        <v>1176</v>
      </c>
      <c r="M269" s="78"/>
      <c r="N269" s="88" t="s">
        <v>364</v>
      </c>
      <c r="O269" s="95" t="s">
        <v>419</v>
      </c>
      <c r="P269" s="280" t="s">
        <v>563</v>
      </c>
      <c r="Q269" s="11">
        <v>45876</v>
      </c>
      <c r="R269" s="80"/>
      <c r="S269" s="279">
        <v>45901</v>
      </c>
      <c r="T269" s="39">
        <v>45902</v>
      </c>
      <c r="U269" s="45">
        <v>45902</v>
      </c>
    </row>
    <row r="270" spans="1:21" s="3" customFormat="1" ht="19.7" customHeight="1" x14ac:dyDescent="0.15">
      <c r="A270" s="197" t="s">
        <v>200</v>
      </c>
      <c r="C270" s="168">
        <f>0.003*J270</f>
        <v>1.8000000000000002E-2</v>
      </c>
      <c r="D270" s="53"/>
      <c r="E270" s="1"/>
      <c r="F270" s="69">
        <f t="shared" si="18"/>
        <v>219</v>
      </c>
      <c r="G270" s="112" t="s">
        <v>25</v>
      </c>
      <c r="H270" s="112" t="s">
        <v>25</v>
      </c>
      <c r="I270" s="199" t="s">
        <v>363</v>
      </c>
      <c r="J270" s="250">
        <v>6</v>
      </c>
      <c r="K270" s="204">
        <v>98</v>
      </c>
      <c r="L270" s="272">
        <f t="shared" si="21"/>
        <v>588</v>
      </c>
      <c r="M270" s="78"/>
      <c r="N270" s="88" t="s">
        <v>364</v>
      </c>
      <c r="O270" s="95" t="s">
        <v>419</v>
      </c>
      <c r="P270" s="280" t="s">
        <v>563</v>
      </c>
      <c r="Q270" s="11">
        <v>45876</v>
      </c>
      <c r="R270" s="80"/>
      <c r="S270" s="279">
        <v>45901</v>
      </c>
      <c r="T270" s="39">
        <v>45902</v>
      </c>
      <c r="U270" s="45">
        <v>45902</v>
      </c>
    </row>
    <row r="271" spans="1:21" s="3" customFormat="1" ht="19.7" customHeight="1" x14ac:dyDescent="0.15">
      <c r="A271" s="197" t="s">
        <v>200</v>
      </c>
      <c r="C271" s="1">
        <f>0.008*J271</f>
        <v>0.32</v>
      </c>
      <c r="D271" s="53"/>
      <c r="E271" s="1"/>
      <c r="F271" s="69">
        <f t="shared" si="18"/>
        <v>220</v>
      </c>
      <c r="G271" s="174" t="s">
        <v>69</v>
      </c>
      <c r="H271" s="174" t="s">
        <v>69</v>
      </c>
      <c r="I271" s="221" t="s">
        <v>427</v>
      </c>
      <c r="J271" s="250">
        <v>40</v>
      </c>
      <c r="K271" s="251">
        <v>35</v>
      </c>
      <c r="L271" s="269">
        <f>J271*K271</f>
        <v>1400</v>
      </c>
      <c r="M271" s="78"/>
      <c r="N271" s="88" t="s">
        <v>428</v>
      </c>
      <c r="O271" s="95" t="s">
        <v>389</v>
      </c>
      <c r="P271" s="280" t="s">
        <v>563</v>
      </c>
      <c r="Q271" s="11">
        <v>45876</v>
      </c>
      <c r="R271" s="80"/>
      <c r="S271" s="279">
        <v>45901</v>
      </c>
      <c r="T271" s="39">
        <v>45902</v>
      </c>
      <c r="U271" s="45">
        <v>45902</v>
      </c>
    </row>
    <row r="272" spans="1:21" s="3" customFormat="1" ht="19.7" customHeight="1" x14ac:dyDescent="0.15">
      <c r="A272" s="197" t="s">
        <v>200</v>
      </c>
      <c r="C272" s="1">
        <f>0.008*J272</f>
        <v>9.6000000000000002E-2</v>
      </c>
      <c r="D272" s="53"/>
      <c r="E272" s="1"/>
      <c r="F272" s="69">
        <f t="shared" si="18"/>
        <v>221</v>
      </c>
      <c r="G272" s="174" t="s">
        <v>69</v>
      </c>
      <c r="H272" s="174" t="s">
        <v>69</v>
      </c>
      <c r="I272" s="221" t="s">
        <v>429</v>
      </c>
      <c r="J272" s="250">
        <v>12</v>
      </c>
      <c r="K272" s="251">
        <v>35</v>
      </c>
      <c r="L272" s="269">
        <f>J272*K272</f>
        <v>420</v>
      </c>
      <c r="M272" s="78"/>
      <c r="N272" s="88" t="s">
        <v>428</v>
      </c>
      <c r="O272" s="95" t="s">
        <v>389</v>
      </c>
      <c r="P272" s="280" t="s">
        <v>563</v>
      </c>
      <c r="Q272" s="11">
        <v>45876</v>
      </c>
      <c r="R272" s="80"/>
      <c r="S272" s="279">
        <v>45901</v>
      </c>
      <c r="T272" s="39">
        <v>45902</v>
      </c>
      <c r="U272" s="45">
        <v>45902</v>
      </c>
    </row>
    <row r="273" spans="1:21" s="3" customFormat="1" ht="19.7" customHeight="1" x14ac:dyDescent="0.15">
      <c r="A273" s="197" t="s">
        <v>200</v>
      </c>
      <c r="C273" s="1">
        <f>0.01*J273</f>
        <v>0.08</v>
      </c>
      <c r="D273" s="53"/>
      <c r="E273" s="1"/>
      <c r="F273" s="69">
        <f t="shared" si="18"/>
        <v>222</v>
      </c>
      <c r="G273" s="112" t="s">
        <v>25</v>
      </c>
      <c r="H273" s="112" t="s">
        <v>25</v>
      </c>
      <c r="I273" s="254" t="s">
        <v>366</v>
      </c>
      <c r="J273" s="253">
        <v>8</v>
      </c>
      <c r="K273" s="236">
        <v>47</v>
      </c>
      <c r="L273" s="269">
        <f>J273*K273</f>
        <v>376</v>
      </c>
      <c r="M273" s="2"/>
      <c r="N273" s="88" t="s">
        <v>367</v>
      </c>
      <c r="O273" s="95" t="s">
        <v>430</v>
      </c>
      <c r="P273" s="280" t="s">
        <v>563</v>
      </c>
      <c r="Q273" s="11">
        <v>45876</v>
      </c>
      <c r="R273" s="80"/>
      <c r="S273" s="279">
        <v>45901</v>
      </c>
      <c r="T273" s="39">
        <v>45902</v>
      </c>
      <c r="U273" s="45">
        <v>45902</v>
      </c>
    </row>
    <row r="274" spans="1:21" s="3" customFormat="1" ht="19.7" customHeight="1" x14ac:dyDescent="0.15">
      <c r="A274" s="197" t="s">
        <v>200</v>
      </c>
      <c r="C274" s="1">
        <f>0.01*J274</f>
        <v>0.1</v>
      </c>
      <c r="D274" s="53"/>
      <c r="E274" s="1"/>
      <c r="F274" s="69">
        <f t="shared" si="18"/>
        <v>223</v>
      </c>
      <c r="G274" s="112" t="s">
        <v>431</v>
      </c>
      <c r="H274" s="112" t="s">
        <v>25</v>
      </c>
      <c r="I274" s="211" t="s">
        <v>432</v>
      </c>
      <c r="J274" s="255">
        <v>10</v>
      </c>
      <c r="K274" s="269">
        <v>129</v>
      </c>
      <c r="L274" s="269">
        <f>J274*K274</f>
        <v>1290</v>
      </c>
      <c r="M274" s="98"/>
      <c r="N274" s="24" t="s">
        <v>433</v>
      </c>
      <c r="O274" s="95" t="s">
        <v>430</v>
      </c>
      <c r="P274" s="280" t="s">
        <v>563</v>
      </c>
      <c r="Q274" s="11">
        <v>45876</v>
      </c>
      <c r="R274" s="80"/>
      <c r="S274" s="279">
        <v>45901</v>
      </c>
      <c r="T274" s="39">
        <v>45902</v>
      </c>
      <c r="U274" s="45">
        <v>45902</v>
      </c>
    </row>
    <row r="275" spans="1:21" s="3" customFormat="1" ht="19.7" customHeight="1" x14ac:dyDescent="0.15">
      <c r="A275" s="197" t="s">
        <v>519</v>
      </c>
      <c r="C275" s="168">
        <v>0.15</v>
      </c>
      <c r="D275" s="53"/>
      <c r="E275" s="1"/>
      <c r="F275" s="69">
        <f t="shared" si="18"/>
        <v>224</v>
      </c>
      <c r="G275" s="112" t="s">
        <v>25</v>
      </c>
      <c r="H275" s="112" t="s">
        <v>25</v>
      </c>
      <c r="I275" s="204" t="s">
        <v>512</v>
      </c>
      <c r="J275" s="250">
        <v>1</v>
      </c>
      <c r="K275" s="251">
        <v>582</v>
      </c>
      <c r="L275" s="269">
        <f t="shared" ref="L275:L281" si="22">J275*K275</f>
        <v>582</v>
      </c>
      <c r="M275" s="78"/>
      <c r="N275" s="88" t="s">
        <v>518</v>
      </c>
      <c r="O275" s="95" t="s">
        <v>511</v>
      </c>
      <c r="P275" s="280" t="s">
        <v>563</v>
      </c>
      <c r="Q275" s="11">
        <v>45876</v>
      </c>
      <c r="R275" s="80"/>
      <c r="S275" s="279">
        <v>45901</v>
      </c>
      <c r="T275" s="39">
        <v>45902</v>
      </c>
      <c r="U275" s="45">
        <v>45902</v>
      </c>
    </row>
    <row r="276" spans="1:21" s="3" customFormat="1" ht="19.7" customHeight="1" x14ac:dyDescent="0.15">
      <c r="A276" s="197" t="s">
        <v>40</v>
      </c>
      <c r="C276" s="168">
        <v>0.2</v>
      </c>
      <c r="D276" s="53"/>
      <c r="E276" s="1"/>
      <c r="F276" s="69">
        <f t="shared" si="18"/>
        <v>225</v>
      </c>
      <c r="G276" s="112" t="s">
        <v>25</v>
      </c>
      <c r="H276" s="112" t="s">
        <v>25</v>
      </c>
      <c r="I276" s="204" t="s">
        <v>513</v>
      </c>
      <c r="J276" s="250">
        <v>1</v>
      </c>
      <c r="K276" s="251">
        <v>990</v>
      </c>
      <c r="L276" s="269">
        <f t="shared" si="22"/>
        <v>990</v>
      </c>
      <c r="M276" s="78"/>
      <c r="N276" s="88" t="s">
        <v>520</v>
      </c>
      <c r="O276" s="95" t="s">
        <v>511</v>
      </c>
      <c r="P276" s="280" t="s">
        <v>563</v>
      </c>
      <c r="Q276" s="11">
        <v>45876</v>
      </c>
      <c r="R276" s="80"/>
      <c r="S276" s="279">
        <v>45901</v>
      </c>
      <c r="T276" s="39">
        <v>45902</v>
      </c>
      <c r="U276" s="45">
        <v>45902</v>
      </c>
    </row>
    <row r="277" spans="1:21" s="3" customFormat="1" ht="19.7" customHeight="1" x14ac:dyDescent="0.15">
      <c r="A277" s="197" t="s">
        <v>200</v>
      </c>
      <c r="C277" s="168">
        <v>0.01</v>
      </c>
      <c r="D277" s="53"/>
      <c r="E277" s="1"/>
      <c r="F277" s="69">
        <f t="shared" si="18"/>
        <v>226</v>
      </c>
      <c r="G277" s="112" t="s">
        <v>25</v>
      </c>
      <c r="H277" s="112" t="s">
        <v>25</v>
      </c>
      <c r="I277" s="204" t="s">
        <v>514</v>
      </c>
      <c r="J277" s="250">
        <v>1</v>
      </c>
      <c r="K277" s="251">
        <v>14</v>
      </c>
      <c r="L277" s="269">
        <f t="shared" si="22"/>
        <v>14</v>
      </c>
      <c r="M277" s="78"/>
      <c r="N277" s="88" t="s">
        <v>521</v>
      </c>
      <c r="O277" s="95" t="s">
        <v>511</v>
      </c>
      <c r="P277" s="280" t="s">
        <v>563</v>
      </c>
      <c r="Q277" s="11">
        <v>45876</v>
      </c>
      <c r="R277" s="80"/>
      <c r="S277" s="279">
        <v>45901</v>
      </c>
      <c r="T277" s="39">
        <v>45902</v>
      </c>
      <c r="U277" s="45">
        <v>45902</v>
      </c>
    </row>
    <row r="278" spans="1:21" s="3" customFormat="1" ht="19.7" customHeight="1" x14ac:dyDescent="0.15">
      <c r="A278" s="197" t="s">
        <v>200</v>
      </c>
      <c r="C278" s="168">
        <v>0.01</v>
      </c>
      <c r="D278" s="53"/>
      <c r="E278" s="1"/>
      <c r="F278" s="69">
        <f t="shared" si="18"/>
        <v>227</v>
      </c>
      <c r="G278" s="112" t="s">
        <v>25</v>
      </c>
      <c r="H278" s="112" t="s">
        <v>25</v>
      </c>
      <c r="I278" s="204" t="s">
        <v>515</v>
      </c>
      <c r="J278" s="250">
        <v>1</v>
      </c>
      <c r="K278" s="251">
        <v>14</v>
      </c>
      <c r="L278" s="269">
        <f t="shared" si="22"/>
        <v>14</v>
      </c>
      <c r="M278" s="78"/>
      <c r="N278" s="88" t="s">
        <v>521</v>
      </c>
      <c r="O278" s="95" t="s">
        <v>511</v>
      </c>
      <c r="P278" s="280" t="s">
        <v>563</v>
      </c>
      <c r="Q278" s="11">
        <v>45876</v>
      </c>
      <c r="R278" s="80"/>
      <c r="S278" s="279">
        <v>45901</v>
      </c>
      <c r="T278" s="39">
        <v>45902</v>
      </c>
      <c r="U278" s="45">
        <v>45902</v>
      </c>
    </row>
    <row r="279" spans="1:21" s="3" customFormat="1" ht="19.7" customHeight="1" x14ac:dyDescent="0.15">
      <c r="A279" s="197" t="s">
        <v>200</v>
      </c>
      <c r="C279" s="168">
        <v>0.01</v>
      </c>
      <c r="D279" s="53"/>
      <c r="E279" s="1"/>
      <c r="F279" s="69">
        <f t="shared" si="18"/>
        <v>228</v>
      </c>
      <c r="G279" s="112" t="s">
        <v>25</v>
      </c>
      <c r="H279" s="112" t="s">
        <v>25</v>
      </c>
      <c r="I279" s="204" t="s">
        <v>516</v>
      </c>
      <c r="J279" s="250">
        <v>1</v>
      </c>
      <c r="K279" s="251">
        <v>53</v>
      </c>
      <c r="L279" s="269">
        <f t="shared" si="22"/>
        <v>53</v>
      </c>
      <c r="M279" s="78"/>
      <c r="N279" s="88" t="s">
        <v>522</v>
      </c>
      <c r="O279" s="95" t="s">
        <v>511</v>
      </c>
      <c r="P279" s="280" t="s">
        <v>563</v>
      </c>
      <c r="Q279" s="11">
        <v>45876</v>
      </c>
      <c r="R279" s="80"/>
      <c r="S279" s="279">
        <v>45901</v>
      </c>
      <c r="T279" s="39">
        <v>45902</v>
      </c>
      <c r="U279" s="45">
        <v>45902</v>
      </c>
    </row>
    <row r="280" spans="1:21" s="3" customFormat="1" ht="19.7" customHeight="1" x14ac:dyDescent="0.15">
      <c r="A280" s="197" t="s">
        <v>200</v>
      </c>
      <c r="C280" s="168">
        <v>0.05</v>
      </c>
      <c r="D280" s="53"/>
      <c r="E280" s="1"/>
      <c r="F280" s="69">
        <f t="shared" si="18"/>
        <v>229</v>
      </c>
      <c r="G280" s="112" t="s">
        <v>25</v>
      </c>
      <c r="H280" s="112" t="s">
        <v>25</v>
      </c>
      <c r="I280" s="204" t="s">
        <v>523</v>
      </c>
      <c r="J280" s="250">
        <v>1</v>
      </c>
      <c r="K280" s="251">
        <v>241</v>
      </c>
      <c r="L280" s="269">
        <f t="shared" si="22"/>
        <v>241</v>
      </c>
      <c r="M280" s="78"/>
      <c r="N280" s="88" t="s">
        <v>524</v>
      </c>
      <c r="O280" s="95" t="s">
        <v>511</v>
      </c>
      <c r="P280" s="280" t="s">
        <v>563</v>
      </c>
      <c r="Q280" s="11">
        <v>45876</v>
      </c>
      <c r="R280" s="80"/>
      <c r="S280" s="279">
        <v>45901</v>
      </c>
      <c r="T280" s="39">
        <v>45902</v>
      </c>
      <c r="U280" s="45">
        <v>45902</v>
      </c>
    </row>
    <row r="281" spans="1:21" s="3" customFormat="1" ht="19.7" customHeight="1" x14ac:dyDescent="0.15">
      <c r="A281" s="197" t="s">
        <v>200</v>
      </c>
      <c r="C281" s="168">
        <v>0.05</v>
      </c>
      <c r="D281" s="53"/>
      <c r="E281" s="1"/>
      <c r="F281" s="69">
        <f t="shared" si="18"/>
        <v>230</v>
      </c>
      <c r="G281" s="112" t="s">
        <v>25</v>
      </c>
      <c r="H281" s="112" t="s">
        <v>25</v>
      </c>
      <c r="I281" s="204" t="s">
        <v>517</v>
      </c>
      <c r="J281" s="250">
        <v>1</v>
      </c>
      <c r="K281" s="251">
        <v>56</v>
      </c>
      <c r="L281" s="269">
        <f t="shared" si="22"/>
        <v>56</v>
      </c>
      <c r="M281" s="78"/>
      <c r="N281" s="88" t="s">
        <v>525</v>
      </c>
      <c r="O281" s="95" t="s">
        <v>511</v>
      </c>
      <c r="P281" s="280" t="s">
        <v>563</v>
      </c>
      <c r="Q281" s="11">
        <v>45876</v>
      </c>
      <c r="R281" s="80"/>
      <c r="S281" s="279">
        <v>45901</v>
      </c>
      <c r="T281" s="39">
        <v>45902</v>
      </c>
      <c r="U281" s="45">
        <v>45902</v>
      </c>
    </row>
    <row r="282" spans="1:21" s="3" customFormat="1" ht="19.7" customHeight="1" x14ac:dyDescent="0.15">
      <c r="A282" s="197" t="s">
        <v>200</v>
      </c>
      <c r="C282" s="1">
        <v>5.0000000000000001E-3</v>
      </c>
      <c r="D282" s="53"/>
      <c r="E282" s="1"/>
      <c r="F282" s="69">
        <f t="shared" si="18"/>
        <v>231</v>
      </c>
      <c r="G282" s="112" t="s">
        <v>25</v>
      </c>
      <c r="H282" s="112" t="s">
        <v>25</v>
      </c>
      <c r="I282" s="199" t="s">
        <v>363</v>
      </c>
      <c r="J282" s="250">
        <v>4</v>
      </c>
      <c r="K282" s="200">
        <v>98</v>
      </c>
      <c r="L282" s="191">
        <f t="shared" ref="L282:L285" si="23">J282*K282</f>
        <v>392</v>
      </c>
      <c r="M282" s="78"/>
      <c r="N282" s="79" t="s">
        <v>364</v>
      </c>
      <c r="O282" s="95"/>
      <c r="P282" s="280" t="s">
        <v>563</v>
      </c>
      <c r="Q282" s="11">
        <v>45876</v>
      </c>
      <c r="R282" s="80"/>
      <c r="S282" s="279">
        <v>45901</v>
      </c>
      <c r="T282" s="39">
        <v>45902</v>
      </c>
      <c r="U282" s="45">
        <v>45902</v>
      </c>
    </row>
    <row r="283" spans="1:21" s="3" customFormat="1" ht="19.7" customHeight="1" x14ac:dyDescent="0.15">
      <c r="A283" s="197" t="s">
        <v>200</v>
      </c>
      <c r="C283" s="1">
        <v>5.0000000000000001E-3</v>
      </c>
      <c r="D283" s="53"/>
      <c r="E283" s="1"/>
      <c r="F283" s="69">
        <f t="shared" si="18"/>
        <v>232</v>
      </c>
      <c r="G283" s="112" t="s">
        <v>25</v>
      </c>
      <c r="H283" s="112" t="s">
        <v>25</v>
      </c>
      <c r="I283" s="199" t="s">
        <v>365</v>
      </c>
      <c r="J283" s="250">
        <v>4</v>
      </c>
      <c r="K283" s="200">
        <v>98</v>
      </c>
      <c r="L283" s="191">
        <f t="shared" si="23"/>
        <v>392</v>
      </c>
      <c r="M283" s="78"/>
      <c r="N283" s="79" t="s">
        <v>364</v>
      </c>
      <c r="O283" s="95"/>
      <c r="P283" s="280" t="s">
        <v>563</v>
      </c>
      <c r="Q283" s="11">
        <v>45876</v>
      </c>
      <c r="R283" s="80"/>
      <c r="S283" s="279">
        <v>45901</v>
      </c>
      <c r="T283" s="39">
        <v>45902</v>
      </c>
      <c r="U283" s="45">
        <v>45902</v>
      </c>
    </row>
    <row r="284" spans="1:21" s="3" customFormat="1" ht="19.7" customHeight="1" x14ac:dyDescent="0.15">
      <c r="A284" s="197" t="s">
        <v>200</v>
      </c>
      <c r="C284" s="1">
        <v>5.0000000000000001E-3</v>
      </c>
      <c r="D284" s="53"/>
      <c r="E284" s="1"/>
      <c r="F284" s="69">
        <f t="shared" si="18"/>
        <v>233</v>
      </c>
      <c r="G284" s="112" t="s">
        <v>25</v>
      </c>
      <c r="H284" s="112" t="s">
        <v>25</v>
      </c>
      <c r="I284" s="221" t="s">
        <v>366</v>
      </c>
      <c r="J284" s="250">
        <v>4</v>
      </c>
      <c r="K284" s="193">
        <v>47</v>
      </c>
      <c r="L284" s="153">
        <f t="shared" si="23"/>
        <v>188</v>
      </c>
      <c r="M284" s="78"/>
      <c r="N284" s="88" t="s">
        <v>367</v>
      </c>
      <c r="O284" s="95"/>
      <c r="P284" s="280" t="s">
        <v>563</v>
      </c>
      <c r="Q284" s="11">
        <v>45876</v>
      </c>
      <c r="R284" s="80"/>
      <c r="S284" s="279">
        <v>45901</v>
      </c>
      <c r="T284" s="39">
        <v>45902</v>
      </c>
      <c r="U284" s="45">
        <v>45902</v>
      </c>
    </row>
    <row r="285" spans="1:21" s="3" customFormat="1" ht="19.7" customHeight="1" x14ac:dyDescent="0.15">
      <c r="A285" s="197" t="s">
        <v>200</v>
      </c>
      <c r="C285" s="1">
        <v>5.0000000000000001E-3</v>
      </c>
      <c r="D285" s="53"/>
      <c r="E285" s="1"/>
      <c r="F285" s="69">
        <f t="shared" si="18"/>
        <v>234</v>
      </c>
      <c r="G285" s="112" t="s">
        <v>25</v>
      </c>
      <c r="H285" s="112" t="s">
        <v>25</v>
      </c>
      <c r="I285" s="211" t="s">
        <v>435</v>
      </c>
      <c r="J285" s="255">
        <v>10</v>
      </c>
      <c r="K285" s="153">
        <v>14</v>
      </c>
      <c r="L285" s="153">
        <f t="shared" si="23"/>
        <v>140</v>
      </c>
      <c r="M285" s="98"/>
      <c r="N285" s="24" t="s">
        <v>436</v>
      </c>
      <c r="O285" s="95"/>
      <c r="P285" s="280" t="s">
        <v>563</v>
      </c>
      <c r="Q285" s="11">
        <v>45876</v>
      </c>
      <c r="R285" s="80"/>
      <c r="S285" s="279">
        <v>45901</v>
      </c>
      <c r="T285" s="39">
        <v>45902</v>
      </c>
      <c r="U285" s="45">
        <v>45902</v>
      </c>
    </row>
    <row r="286" spans="1:21" s="3" customFormat="1" ht="19.7" customHeight="1" x14ac:dyDescent="0.15">
      <c r="C286" s="168"/>
      <c r="D286" s="53"/>
      <c r="E286" s="1"/>
      <c r="F286" s="4"/>
      <c r="G286" s="174"/>
      <c r="H286" s="174"/>
      <c r="I286" s="23"/>
      <c r="J286" s="175"/>
      <c r="K286" s="27"/>
      <c r="L286" s="98"/>
      <c r="M286" s="2"/>
      <c r="N286" s="88"/>
      <c r="O286" s="23"/>
      <c r="P286" s="4"/>
      <c r="Q286" s="11"/>
      <c r="R286" s="4"/>
      <c r="S286" s="19"/>
      <c r="T286" s="19"/>
      <c r="U286" s="14"/>
    </row>
    <row r="287" spans="1:21" s="3" customFormat="1" ht="19.7" customHeight="1" x14ac:dyDescent="0.15">
      <c r="C287" s="3" t="s">
        <v>497</v>
      </c>
      <c r="D287" s="53"/>
      <c r="E287" s="1"/>
      <c r="F287" s="96"/>
      <c r="G287" s="96"/>
      <c r="H287" s="96"/>
      <c r="I287" s="23"/>
      <c r="J287" s="169"/>
      <c r="K287" s="173"/>
      <c r="L287" s="98"/>
      <c r="M287" s="78"/>
      <c r="N287" s="79"/>
      <c r="O287" s="95"/>
      <c r="P287" s="4"/>
      <c r="Q287" s="11"/>
      <c r="R287" s="4"/>
      <c r="S287" s="19"/>
      <c r="T287" s="19"/>
      <c r="U287" s="14"/>
    </row>
    <row r="288" spans="1:21" s="3" customFormat="1" ht="19.7" customHeight="1" x14ac:dyDescent="0.15">
      <c r="C288" s="170">
        <f>SUM(C229:C286)</f>
        <v>44.536000000000001</v>
      </c>
      <c r="D288" s="53"/>
      <c r="E288" s="1"/>
      <c r="F288" s="176"/>
      <c r="G288" s="96"/>
      <c r="H288" s="96"/>
      <c r="I288" s="177">
        <f>SUM(L228:L286)</f>
        <v>125384</v>
      </c>
      <c r="J288" s="169"/>
      <c r="K288" s="173"/>
      <c r="L288" s="98"/>
      <c r="M288" s="78"/>
      <c r="N288" s="79"/>
      <c r="O288" s="95"/>
      <c r="P288" s="4"/>
      <c r="Q288" s="11"/>
      <c r="R288" s="4"/>
      <c r="S288" s="19"/>
      <c r="T288" s="19"/>
      <c r="U288" s="14"/>
    </row>
    <row r="289" spans="1:21" s="3" customFormat="1" ht="19.7" customHeight="1" x14ac:dyDescent="0.15">
      <c r="C289" s="76" t="s">
        <v>357</v>
      </c>
      <c r="D289" s="53"/>
      <c r="E289" s="1"/>
      <c r="F289" s="96"/>
      <c r="G289" s="96"/>
      <c r="H289" s="96"/>
      <c r="I289" s="23"/>
      <c r="J289" s="169"/>
      <c r="K289" s="173"/>
      <c r="L289" s="98"/>
      <c r="M289" s="78"/>
      <c r="N289" s="79"/>
      <c r="O289" s="95"/>
      <c r="P289" s="4"/>
      <c r="Q289" s="11"/>
      <c r="R289" s="4"/>
      <c r="S289" s="19"/>
      <c r="T289" s="19"/>
      <c r="U289" s="14"/>
    </row>
    <row r="290" spans="1:21" s="3" customFormat="1" ht="19.7" customHeight="1" x14ac:dyDescent="0.15">
      <c r="C290" s="76"/>
      <c r="D290" s="53"/>
      <c r="E290" s="1"/>
      <c r="F290" s="96"/>
      <c r="G290" s="96"/>
      <c r="H290" s="96"/>
      <c r="I290" s="23"/>
      <c r="J290" s="169"/>
      <c r="K290" s="173"/>
      <c r="L290" s="98"/>
      <c r="M290" s="78"/>
      <c r="N290" s="79"/>
      <c r="O290" s="95"/>
      <c r="P290" s="4"/>
      <c r="Q290" s="11"/>
      <c r="R290" s="4"/>
      <c r="S290" s="19"/>
      <c r="T290" s="19"/>
      <c r="U290" s="14"/>
    </row>
    <row r="291" spans="1:21" s="3" customFormat="1" ht="19.7" customHeight="1" x14ac:dyDescent="0.15">
      <c r="C291" s="76"/>
      <c r="D291" s="53"/>
      <c r="E291" s="1"/>
      <c r="F291" s="96"/>
      <c r="G291" s="96"/>
      <c r="H291" s="96"/>
      <c r="I291" s="23"/>
      <c r="J291" s="169"/>
      <c r="K291" s="173"/>
      <c r="L291" s="98"/>
      <c r="M291" s="78"/>
      <c r="N291" s="79"/>
      <c r="O291" s="95"/>
      <c r="P291" s="4"/>
      <c r="Q291" s="11"/>
      <c r="R291" s="4"/>
      <c r="S291" s="19"/>
      <c r="T291" s="19"/>
      <c r="U291" s="14"/>
    </row>
    <row r="292" spans="1:21" s="3" customFormat="1" ht="19.7" customHeight="1" x14ac:dyDescent="0.15">
      <c r="D292" s="53"/>
      <c r="E292" s="1"/>
      <c r="F292" s="148"/>
      <c r="G292" s="299" t="s">
        <v>437</v>
      </c>
      <c r="H292" s="300"/>
      <c r="I292" s="301"/>
      <c r="J292" s="169"/>
      <c r="K292" s="173"/>
      <c r="L292" s="98"/>
      <c r="M292" s="78"/>
      <c r="N292" s="79"/>
      <c r="O292" s="95"/>
      <c r="P292" s="4"/>
      <c r="Q292" s="11"/>
      <c r="R292" s="4"/>
      <c r="S292" s="19"/>
      <c r="T292" s="19"/>
      <c r="U292" s="14"/>
    </row>
    <row r="293" spans="1:21" s="3" customFormat="1" ht="19.7" customHeight="1" x14ac:dyDescent="0.15">
      <c r="A293" s="197" t="s">
        <v>200</v>
      </c>
      <c r="C293" s="1">
        <f>0.035*J293</f>
        <v>0.31500000000000006</v>
      </c>
      <c r="D293" s="53"/>
      <c r="E293" s="1"/>
      <c r="F293" s="69">
        <f>+F285+1</f>
        <v>235</v>
      </c>
      <c r="G293" s="174" t="s">
        <v>69</v>
      </c>
      <c r="H293" s="174" t="s">
        <v>69</v>
      </c>
      <c r="I293" s="216" t="s">
        <v>438</v>
      </c>
      <c r="J293" s="251">
        <v>9</v>
      </c>
      <c r="K293" s="216">
        <v>156</v>
      </c>
      <c r="L293" s="269">
        <f>J293*K293</f>
        <v>1404</v>
      </c>
      <c r="M293" s="2"/>
      <c r="N293" s="88" t="s">
        <v>439</v>
      </c>
      <c r="O293" s="71" t="s">
        <v>440</v>
      </c>
      <c r="P293" s="280" t="s">
        <v>563</v>
      </c>
      <c r="Q293" s="11">
        <v>45876</v>
      </c>
      <c r="R293" s="80"/>
      <c r="S293" s="279">
        <v>45901</v>
      </c>
      <c r="T293" s="39">
        <v>45902</v>
      </c>
      <c r="U293" s="45">
        <v>45902</v>
      </c>
    </row>
    <row r="294" spans="1:21" s="3" customFormat="1" ht="19.7" customHeight="1" x14ac:dyDescent="0.15">
      <c r="A294" s="197" t="s">
        <v>200</v>
      </c>
      <c r="C294" s="1">
        <f>0.03*J294</f>
        <v>0.6</v>
      </c>
      <c r="D294" s="53"/>
      <c r="E294" s="1"/>
      <c r="F294" s="69">
        <f>+F293+1</f>
        <v>236</v>
      </c>
      <c r="G294" s="174" t="s">
        <v>69</v>
      </c>
      <c r="H294" s="174" t="s">
        <v>69</v>
      </c>
      <c r="I294" s="216" t="s">
        <v>434</v>
      </c>
      <c r="J294" s="251">
        <v>20</v>
      </c>
      <c r="K294" s="216">
        <v>247</v>
      </c>
      <c r="L294" s="269">
        <f>J294*K294</f>
        <v>4940</v>
      </c>
      <c r="M294" s="2"/>
      <c r="N294" s="88" t="s">
        <v>441</v>
      </c>
      <c r="O294" s="71" t="s">
        <v>440</v>
      </c>
      <c r="P294" s="280" t="s">
        <v>563</v>
      </c>
      <c r="Q294" s="11">
        <v>45876</v>
      </c>
      <c r="R294" s="80"/>
      <c r="S294" s="279">
        <v>45901</v>
      </c>
      <c r="T294" s="39">
        <v>45902</v>
      </c>
      <c r="U294" s="45">
        <v>45902</v>
      </c>
    </row>
    <row r="295" spans="1:21" s="3" customFormat="1" ht="19.7" customHeight="1" x14ac:dyDescent="0.15">
      <c r="A295" s="197" t="s">
        <v>200</v>
      </c>
      <c r="C295" s="1">
        <f>0.135*J295</f>
        <v>7.5600000000000005</v>
      </c>
      <c r="D295" s="53"/>
      <c r="E295" s="1"/>
      <c r="F295" s="69">
        <f t="shared" ref="F295:F333" si="24">+F294+1</f>
        <v>237</v>
      </c>
      <c r="G295" s="174" t="s">
        <v>69</v>
      </c>
      <c r="H295" s="174" t="s">
        <v>69</v>
      </c>
      <c r="I295" s="216" t="s">
        <v>442</v>
      </c>
      <c r="J295" s="251">
        <v>56</v>
      </c>
      <c r="K295" s="216">
        <v>520</v>
      </c>
      <c r="L295" s="269">
        <f t="shared" ref="L295:L325" si="25">J295*K295</f>
        <v>29120</v>
      </c>
      <c r="M295" s="2"/>
      <c r="N295" s="88" t="s">
        <v>443</v>
      </c>
      <c r="O295" s="23" t="s">
        <v>444</v>
      </c>
      <c r="P295" s="280" t="s">
        <v>563</v>
      </c>
      <c r="Q295" s="11">
        <v>45876</v>
      </c>
      <c r="R295" s="80"/>
      <c r="S295" s="279">
        <v>45901</v>
      </c>
      <c r="T295" s="39">
        <v>45902</v>
      </c>
      <c r="U295" s="45">
        <v>45902</v>
      </c>
    </row>
    <row r="296" spans="1:21" s="3" customFormat="1" ht="19.7" customHeight="1" x14ac:dyDescent="0.15">
      <c r="A296" s="197" t="s">
        <v>200</v>
      </c>
      <c r="C296" s="1">
        <f>0.007*J296</f>
        <v>0.14000000000000001</v>
      </c>
      <c r="D296" s="53"/>
      <c r="E296" s="1"/>
      <c r="F296" s="69">
        <f t="shared" si="24"/>
        <v>238</v>
      </c>
      <c r="G296" s="178" t="s">
        <v>25</v>
      </c>
      <c r="H296" s="178" t="s">
        <v>25</v>
      </c>
      <c r="I296" s="252" t="s">
        <v>445</v>
      </c>
      <c r="J296" s="250">
        <v>20</v>
      </c>
      <c r="K296" s="251">
        <v>40</v>
      </c>
      <c r="L296" s="269">
        <f t="shared" si="25"/>
        <v>800</v>
      </c>
      <c r="M296" s="78"/>
      <c r="N296" s="88" t="s">
        <v>446</v>
      </c>
      <c r="O296" s="23" t="s">
        <v>508</v>
      </c>
      <c r="P296" s="280" t="s">
        <v>563</v>
      </c>
      <c r="Q296" s="11">
        <v>45876</v>
      </c>
      <c r="R296" s="80"/>
      <c r="S296" s="279">
        <v>45901</v>
      </c>
      <c r="T296" s="39">
        <v>45902</v>
      </c>
      <c r="U296" s="45">
        <v>45902</v>
      </c>
    </row>
    <row r="297" spans="1:21" s="3" customFormat="1" ht="19.7" customHeight="1" x14ac:dyDescent="0.15">
      <c r="A297" s="197" t="s">
        <v>200</v>
      </c>
      <c r="C297" s="1">
        <f>1.445*J297</f>
        <v>5.78</v>
      </c>
      <c r="D297" s="53"/>
      <c r="E297" s="1"/>
      <c r="F297" s="69">
        <f t="shared" si="24"/>
        <v>239</v>
      </c>
      <c r="G297" s="174" t="s">
        <v>69</v>
      </c>
      <c r="H297" s="174" t="s">
        <v>69</v>
      </c>
      <c r="I297" s="216" t="s">
        <v>447</v>
      </c>
      <c r="J297" s="251">
        <v>4</v>
      </c>
      <c r="K297" s="216">
        <v>7835</v>
      </c>
      <c r="L297" s="269">
        <f t="shared" si="25"/>
        <v>31340</v>
      </c>
      <c r="M297" s="2"/>
      <c r="N297" s="88" t="s">
        <v>448</v>
      </c>
      <c r="O297" s="23" t="s">
        <v>444</v>
      </c>
      <c r="P297" s="280" t="s">
        <v>563</v>
      </c>
      <c r="Q297" s="11">
        <v>45876</v>
      </c>
      <c r="R297" s="80"/>
      <c r="S297" s="279">
        <v>45901</v>
      </c>
      <c r="T297" s="39">
        <v>45902</v>
      </c>
      <c r="U297" s="45">
        <v>45902</v>
      </c>
    </row>
    <row r="298" spans="1:21" s="3" customFormat="1" ht="19.7" customHeight="1" x14ac:dyDescent="0.15">
      <c r="A298" s="197" t="s">
        <v>200</v>
      </c>
      <c r="C298" s="1">
        <f>0.005*J298</f>
        <v>0.02</v>
      </c>
      <c r="D298" s="53"/>
      <c r="E298" s="1"/>
      <c r="F298" s="69">
        <f t="shared" si="24"/>
        <v>240</v>
      </c>
      <c r="G298" s="174" t="s">
        <v>69</v>
      </c>
      <c r="H298" s="174" t="s">
        <v>69</v>
      </c>
      <c r="I298" s="216" t="s">
        <v>392</v>
      </c>
      <c r="J298" s="251">
        <v>4</v>
      </c>
      <c r="K298" s="216">
        <v>53</v>
      </c>
      <c r="L298" s="269">
        <f t="shared" si="25"/>
        <v>212</v>
      </c>
      <c r="M298" s="2"/>
      <c r="N298" s="88" t="s">
        <v>393</v>
      </c>
      <c r="O298" s="71" t="s">
        <v>440</v>
      </c>
      <c r="P298" s="280" t="s">
        <v>563</v>
      </c>
      <c r="Q298" s="11">
        <v>45876</v>
      </c>
      <c r="R298" s="80"/>
      <c r="S298" s="279">
        <v>45901</v>
      </c>
      <c r="T298" s="39">
        <v>45902</v>
      </c>
      <c r="U298" s="45">
        <v>45902</v>
      </c>
    </row>
    <row r="299" spans="1:21" s="3" customFormat="1" ht="19.7" customHeight="1" x14ac:dyDescent="0.15">
      <c r="A299" s="197" t="s">
        <v>200</v>
      </c>
      <c r="C299" s="1">
        <f>0.01*J299</f>
        <v>0.08</v>
      </c>
      <c r="D299" s="53"/>
      <c r="E299" s="1"/>
      <c r="F299" s="69">
        <f t="shared" si="24"/>
        <v>241</v>
      </c>
      <c r="G299" s="174" t="s">
        <v>69</v>
      </c>
      <c r="H299" s="174" t="s">
        <v>69</v>
      </c>
      <c r="I299" s="216" t="s">
        <v>449</v>
      </c>
      <c r="J299" s="251">
        <v>8</v>
      </c>
      <c r="K299" s="216">
        <v>118</v>
      </c>
      <c r="L299" s="269">
        <f t="shared" si="25"/>
        <v>944</v>
      </c>
      <c r="M299" s="2"/>
      <c r="N299" s="88" t="s">
        <v>393</v>
      </c>
      <c r="O299" s="23" t="s">
        <v>444</v>
      </c>
      <c r="P299" s="280" t="s">
        <v>563</v>
      </c>
      <c r="Q299" s="11">
        <v>45876</v>
      </c>
      <c r="R299" s="80"/>
      <c r="S299" s="279">
        <v>45901</v>
      </c>
      <c r="T299" s="39">
        <v>45902</v>
      </c>
      <c r="U299" s="45">
        <v>45902</v>
      </c>
    </row>
    <row r="300" spans="1:21" s="3" customFormat="1" ht="19.7" customHeight="1" x14ac:dyDescent="0.15">
      <c r="A300" s="197" t="s">
        <v>200</v>
      </c>
      <c r="C300" s="1">
        <f>+(210/1000)*0.9*J300</f>
        <v>0.75600000000000001</v>
      </c>
      <c r="D300" s="53"/>
      <c r="E300" s="1"/>
      <c r="F300" s="69">
        <f t="shared" si="24"/>
        <v>242</v>
      </c>
      <c r="G300" s="174" t="s">
        <v>69</v>
      </c>
      <c r="H300" s="174" t="s">
        <v>69</v>
      </c>
      <c r="I300" s="216" t="s">
        <v>450</v>
      </c>
      <c r="J300" s="251">
        <v>4</v>
      </c>
      <c r="K300" s="216">
        <v>407</v>
      </c>
      <c r="L300" s="269">
        <f t="shared" si="25"/>
        <v>1628</v>
      </c>
      <c r="M300" s="2"/>
      <c r="N300" s="88" t="s">
        <v>395</v>
      </c>
      <c r="O300" s="71" t="s">
        <v>440</v>
      </c>
      <c r="P300" s="280" t="s">
        <v>563</v>
      </c>
      <c r="Q300" s="11">
        <v>45876</v>
      </c>
      <c r="R300" s="80"/>
      <c r="S300" s="279">
        <v>45901</v>
      </c>
      <c r="T300" s="39">
        <v>45902</v>
      </c>
      <c r="U300" s="45">
        <v>45902</v>
      </c>
    </row>
    <row r="301" spans="1:21" s="3" customFormat="1" ht="19.7" customHeight="1" x14ac:dyDescent="0.15">
      <c r="A301" s="197" t="s">
        <v>200</v>
      </c>
      <c r="C301" s="1">
        <f>+(329/1000)*0.9*J301</f>
        <v>0.59220000000000006</v>
      </c>
      <c r="D301" s="53"/>
      <c r="E301" s="1"/>
      <c r="F301" s="69">
        <f t="shared" si="24"/>
        <v>243</v>
      </c>
      <c r="G301" s="174" t="s">
        <v>69</v>
      </c>
      <c r="H301" s="174" t="s">
        <v>69</v>
      </c>
      <c r="I301" s="216" t="s">
        <v>451</v>
      </c>
      <c r="J301" s="251">
        <v>2</v>
      </c>
      <c r="K301" s="216">
        <v>297</v>
      </c>
      <c r="L301" s="269">
        <f t="shared" si="25"/>
        <v>594</v>
      </c>
      <c r="M301" s="2"/>
      <c r="N301" s="88" t="s">
        <v>395</v>
      </c>
      <c r="O301" s="71" t="s">
        <v>440</v>
      </c>
      <c r="P301" s="280" t="s">
        <v>563</v>
      </c>
      <c r="Q301" s="11">
        <v>45876</v>
      </c>
      <c r="R301" s="80"/>
      <c r="S301" s="279">
        <v>45901</v>
      </c>
      <c r="T301" s="39">
        <v>45902</v>
      </c>
      <c r="U301" s="45">
        <v>45902</v>
      </c>
    </row>
    <row r="302" spans="1:21" s="3" customFormat="1" ht="19.7" customHeight="1" x14ac:dyDescent="0.15">
      <c r="A302" s="197" t="s">
        <v>200</v>
      </c>
      <c r="C302" s="1">
        <f>+(460/1000)*0.9*J302</f>
        <v>0.82800000000000007</v>
      </c>
      <c r="D302" s="53"/>
      <c r="E302" s="1"/>
      <c r="F302" s="69">
        <f t="shared" si="24"/>
        <v>244</v>
      </c>
      <c r="G302" s="174" t="s">
        <v>69</v>
      </c>
      <c r="H302" s="174" t="s">
        <v>69</v>
      </c>
      <c r="I302" s="216" t="s">
        <v>452</v>
      </c>
      <c r="J302" s="251">
        <v>2</v>
      </c>
      <c r="K302" s="216">
        <v>415</v>
      </c>
      <c r="L302" s="269">
        <f t="shared" si="25"/>
        <v>830</v>
      </c>
      <c r="M302" s="2"/>
      <c r="N302" s="88" t="s">
        <v>395</v>
      </c>
      <c r="O302" s="71" t="s">
        <v>440</v>
      </c>
      <c r="P302" s="280" t="s">
        <v>563</v>
      </c>
      <c r="Q302" s="11">
        <v>45876</v>
      </c>
      <c r="R302" s="80"/>
      <c r="S302" s="279">
        <v>45901</v>
      </c>
      <c r="T302" s="39">
        <v>45902</v>
      </c>
      <c r="U302" s="45">
        <v>45902</v>
      </c>
    </row>
    <row r="303" spans="1:21" s="3" customFormat="1" ht="19.7" customHeight="1" x14ac:dyDescent="0.15">
      <c r="A303" s="197" t="s">
        <v>200</v>
      </c>
      <c r="C303" s="1">
        <f>+(542/1000)*0.9*J303</f>
        <v>0.97560000000000013</v>
      </c>
      <c r="D303" s="53"/>
      <c r="E303" s="1"/>
      <c r="F303" s="69">
        <f t="shared" si="24"/>
        <v>245</v>
      </c>
      <c r="G303" s="174" t="s">
        <v>69</v>
      </c>
      <c r="H303" s="174" t="s">
        <v>69</v>
      </c>
      <c r="I303" s="216" t="s">
        <v>453</v>
      </c>
      <c r="J303" s="251">
        <v>2</v>
      </c>
      <c r="K303" s="216">
        <v>495</v>
      </c>
      <c r="L303" s="269">
        <f t="shared" si="25"/>
        <v>990</v>
      </c>
      <c r="M303" s="2"/>
      <c r="N303" s="88" t="s">
        <v>395</v>
      </c>
      <c r="O303" s="23" t="s">
        <v>444</v>
      </c>
      <c r="P303" s="280" t="s">
        <v>563</v>
      </c>
      <c r="Q303" s="11">
        <v>45876</v>
      </c>
      <c r="R303" s="80"/>
      <c r="S303" s="279">
        <v>45901</v>
      </c>
      <c r="T303" s="39">
        <v>45902</v>
      </c>
      <c r="U303" s="45">
        <v>45902</v>
      </c>
    </row>
    <row r="304" spans="1:21" s="3" customFormat="1" ht="19.7" customHeight="1" x14ac:dyDescent="0.15">
      <c r="A304" s="197" t="s">
        <v>200</v>
      </c>
      <c r="C304" s="1">
        <f>+(340/1000)*2.63*J304</f>
        <v>3.5768</v>
      </c>
      <c r="D304" s="53"/>
      <c r="E304" s="1"/>
      <c r="F304" s="69">
        <f t="shared" si="24"/>
        <v>246</v>
      </c>
      <c r="G304" s="174" t="s">
        <v>69</v>
      </c>
      <c r="H304" s="174" t="s">
        <v>69</v>
      </c>
      <c r="I304" s="204" t="s">
        <v>454</v>
      </c>
      <c r="J304" s="235">
        <v>4</v>
      </c>
      <c r="K304" s="216">
        <v>891</v>
      </c>
      <c r="L304" s="269">
        <f t="shared" si="25"/>
        <v>3564</v>
      </c>
      <c r="M304" s="2"/>
      <c r="N304" s="88" t="s">
        <v>455</v>
      </c>
      <c r="O304" s="23" t="s">
        <v>444</v>
      </c>
      <c r="P304" s="280" t="s">
        <v>563</v>
      </c>
      <c r="Q304" s="11">
        <v>45876</v>
      </c>
      <c r="R304" s="80"/>
      <c r="S304" s="279">
        <v>45901</v>
      </c>
      <c r="T304" s="39">
        <v>45902</v>
      </c>
      <c r="U304" s="45">
        <v>45902</v>
      </c>
    </row>
    <row r="305" spans="1:21" s="3" customFormat="1" ht="19.7" customHeight="1" x14ac:dyDescent="0.15">
      <c r="A305" s="197" t="s">
        <v>200</v>
      </c>
      <c r="C305" s="1">
        <f>+(542/1000)*2.63*J305</f>
        <v>7.1273</v>
      </c>
      <c r="D305" s="53"/>
      <c r="E305" s="1"/>
      <c r="F305" s="69">
        <f t="shared" si="24"/>
        <v>247</v>
      </c>
      <c r="G305" s="174" t="s">
        <v>69</v>
      </c>
      <c r="H305" s="174" t="s">
        <v>69</v>
      </c>
      <c r="I305" s="216" t="s">
        <v>456</v>
      </c>
      <c r="J305" s="251">
        <v>5</v>
      </c>
      <c r="K305" s="216">
        <v>1425</v>
      </c>
      <c r="L305" s="269">
        <f t="shared" si="25"/>
        <v>7125</v>
      </c>
      <c r="M305" s="2"/>
      <c r="N305" s="88" t="s">
        <v>457</v>
      </c>
      <c r="O305" s="23" t="s">
        <v>444</v>
      </c>
      <c r="P305" s="280" t="s">
        <v>563</v>
      </c>
      <c r="Q305" s="11">
        <v>45876</v>
      </c>
      <c r="R305" s="80"/>
      <c r="S305" s="279">
        <v>45901</v>
      </c>
      <c r="T305" s="39">
        <v>45902</v>
      </c>
      <c r="U305" s="45">
        <v>45902</v>
      </c>
    </row>
    <row r="306" spans="1:21" s="3" customFormat="1" ht="19.7" customHeight="1" x14ac:dyDescent="0.15">
      <c r="A306" s="197" t="s">
        <v>200</v>
      </c>
      <c r="C306" s="1">
        <f>+(854/1000)*2.63*J306</f>
        <v>8.9840799999999987</v>
      </c>
      <c r="D306" s="53"/>
      <c r="E306" s="1"/>
      <c r="F306" s="69">
        <f t="shared" si="24"/>
        <v>248</v>
      </c>
      <c r="G306" s="174" t="s">
        <v>69</v>
      </c>
      <c r="H306" s="174" t="s">
        <v>69</v>
      </c>
      <c r="I306" s="216" t="s">
        <v>458</v>
      </c>
      <c r="J306" s="251">
        <v>4</v>
      </c>
      <c r="K306" s="216">
        <v>2257</v>
      </c>
      <c r="L306" s="269">
        <f t="shared" si="25"/>
        <v>9028</v>
      </c>
      <c r="M306" s="2"/>
      <c r="N306" s="88" t="s">
        <v>459</v>
      </c>
      <c r="O306" s="23" t="s">
        <v>444</v>
      </c>
      <c r="P306" s="280" t="s">
        <v>563</v>
      </c>
      <c r="Q306" s="11">
        <v>45876</v>
      </c>
      <c r="R306" s="80"/>
      <c r="S306" s="279">
        <v>45901</v>
      </c>
      <c r="T306" s="39">
        <v>45902</v>
      </c>
      <c r="U306" s="45">
        <v>45902</v>
      </c>
    </row>
    <row r="307" spans="1:21" s="3" customFormat="1" ht="19.7" customHeight="1" x14ac:dyDescent="0.15">
      <c r="A307" s="197" t="s">
        <v>200</v>
      </c>
      <c r="C307" s="1">
        <f>+(980/1000)*2.63*J307</f>
        <v>15.464399999999999</v>
      </c>
      <c r="D307" s="53"/>
      <c r="E307" s="1"/>
      <c r="F307" s="69">
        <f t="shared" si="24"/>
        <v>249</v>
      </c>
      <c r="G307" s="174" t="s">
        <v>69</v>
      </c>
      <c r="H307" s="174" t="s">
        <v>69</v>
      </c>
      <c r="I307" s="216" t="s">
        <v>460</v>
      </c>
      <c r="J307" s="251">
        <v>6</v>
      </c>
      <c r="K307" s="216">
        <v>2583</v>
      </c>
      <c r="L307" s="269">
        <f t="shared" si="25"/>
        <v>15498</v>
      </c>
      <c r="M307" s="2"/>
      <c r="N307" s="88" t="s">
        <v>459</v>
      </c>
      <c r="O307" s="23" t="s">
        <v>444</v>
      </c>
      <c r="P307" s="280" t="s">
        <v>563</v>
      </c>
      <c r="Q307" s="11">
        <v>45876</v>
      </c>
      <c r="R307" s="80"/>
      <c r="S307" s="279">
        <v>45901</v>
      </c>
      <c r="T307" s="39">
        <v>45902</v>
      </c>
      <c r="U307" s="45">
        <v>45902</v>
      </c>
    </row>
    <row r="308" spans="1:21" s="3" customFormat="1" ht="19.7" customHeight="1" x14ac:dyDescent="0.15">
      <c r="A308" s="197" t="s">
        <v>40</v>
      </c>
      <c r="C308" s="184">
        <f>1.7*J308</f>
        <v>1.7</v>
      </c>
      <c r="D308" s="53"/>
      <c r="E308" s="1"/>
      <c r="F308" s="69">
        <f t="shared" si="24"/>
        <v>250</v>
      </c>
      <c r="G308" s="174" t="s">
        <v>69</v>
      </c>
      <c r="H308" s="174" t="s">
        <v>69</v>
      </c>
      <c r="I308" s="216" t="s">
        <v>461</v>
      </c>
      <c r="J308" s="251">
        <v>1</v>
      </c>
      <c r="K308" s="216">
        <v>8197</v>
      </c>
      <c r="L308" s="269">
        <f t="shared" si="25"/>
        <v>8197</v>
      </c>
      <c r="M308" s="2"/>
      <c r="N308" s="88" t="s">
        <v>462</v>
      </c>
      <c r="O308" s="71" t="s">
        <v>463</v>
      </c>
      <c r="P308" s="280" t="s">
        <v>563</v>
      </c>
      <c r="Q308" s="11">
        <v>45876</v>
      </c>
      <c r="R308" s="80"/>
      <c r="S308" s="279">
        <v>45901</v>
      </c>
      <c r="T308" s="39">
        <v>45902</v>
      </c>
      <c r="U308" s="45">
        <v>45902</v>
      </c>
    </row>
    <row r="309" spans="1:21" s="3" customFormat="1" ht="19.7" customHeight="1" x14ac:dyDescent="0.15">
      <c r="A309" s="197" t="s">
        <v>40</v>
      </c>
      <c r="C309" s="184">
        <f>2.1*J309</f>
        <v>8.4</v>
      </c>
      <c r="D309" s="53"/>
      <c r="E309" s="1"/>
      <c r="F309" s="69">
        <f t="shared" si="24"/>
        <v>251</v>
      </c>
      <c r="G309" s="174" t="s">
        <v>69</v>
      </c>
      <c r="H309" s="174" t="s">
        <v>69</v>
      </c>
      <c r="I309" s="216" t="s">
        <v>464</v>
      </c>
      <c r="J309" s="251">
        <v>4</v>
      </c>
      <c r="K309" s="216">
        <v>9900</v>
      </c>
      <c r="L309" s="269">
        <f t="shared" si="25"/>
        <v>39600</v>
      </c>
      <c r="M309" s="2"/>
      <c r="N309" s="88" t="s">
        <v>465</v>
      </c>
      <c r="O309" s="95" t="s">
        <v>466</v>
      </c>
      <c r="P309" s="280" t="s">
        <v>563</v>
      </c>
      <c r="Q309" s="11">
        <v>45876</v>
      </c>
      <c r="R309" s="80"/>
      <c r="S309" s="279">
        <v>45901</v>
      </c>
      <c r="T309" s="39">
        <v>45902</v>
      </c>
      <c r="U309" s="45">
        <v>45902</v>
      </c>
    </row>
    <row r="310" spans="1:21" s="3" customFormat="1" ht="19.7" customHeight="1" x14ac:dyDescent="0.15">
      <c r="A310" s="197" t="s">
        <v>40</v>
      </c>
      <c r="C310" s="184">
        <f>1.5*J310</f>
        <v>6</v>
      </c>
      <c r="D310" s="53"/>
      <c r="E310" s="1"/>
      <c r="F310" s="69">
        <f t="shared" si="24"/>
        <v>252</v>
      </c>
      <c r="G310" s="174" t="s">
        <v>69</v>
      </c>
      <c r="H310" s="174" t="s">
        <v>69</v>
      </c>
      <c r="I310" s="216" t="s">
        <v>502</v>
      </c>
      <c r="J310" s="253">
        <v>4</v>
      </c>
      <c r="K310" s="236">
        <v>3227</v>
      </c>
      <c r="L310" s="269">
        <f t="shared" si="25"/>
        <v>12908</v>
      </c>
      <c r="M310" s="2"/>
      <c r="N310" s="88" t="s">
        <v>503</v>
      </c>
      <c r="O310" s="95" t="s">
        <v>504</v>
      </c>
      <c r="P310" s="280" t="s">
        <v>563</v>
      </c>
      <c r="Q310" s="11">
        <v>45876</v>
      </c>
      <c r="R310" s="80"/>
      <c r="S310" s="279">
        <v>45901</v>
      </c>
      <c r="T310" s="39">
        <v>45902</v>
      </c>
      <c r="U310" s="45">
        <v>45902</v>
      </c>
    </row>
    <row r="311" spans="1:21" s="3" customFormat="1" ht="19.7" customHeight="1" x14ac:dyDescent="0.15">
      <c r="A311" s="197" t="s">
        <v>40</v>
      </c>
      <c r="C311" s="1">
        <f>13*J311</f>
        <v>13</v>
      </c>
      <c r="D311" s="53"/>
      <c r="E311" s="1"/>
      <c r="F311" s="69">
        <f t="shared" si="24"/>
        <v>253</v>
      </c>
      <c r="G311" s="4" t="s">
        <v>41</v>
      </c>
      <c r="H311" s="174" t="s">
        <v>69</v>
      </c>
      <c r="I311" s="216" t="s">
        <v>555</v>
      </c>
      <c r="J311" s="253">
        <v>1</v>
      </c>
      <c r="K311" s="236">
        <v>49506</v>
      </c>
      <c r="L311" s="269">
        <f t="shared" si="25"/>
        <v>49506</v>
      </c>
      <c r="M311" s="2"/>
      <c r="N311" s="88" t="s">
        <v>467</v>
      </c>
      <c r="O311" s="71" t="s">
        <v>468</v>
      </c>
      <c r="P311" s="280" t="s">
        <v>563</v>
      </c>
      <c r="Q311" s="11">
        <v>45876</v>
      </c>
      <c r="R311" s="80"/>
      <c r="S311" s="279">
        <v>45901</v>
      </c>
      <c r="T311" s="39">
        <v>45902</v>
      </c>
      <c r="U311" s="45">
        <v>45902</v>
      </c>
    </row>
    <row r="312" spans="1:21" s="3" customFormat="1" ht="19.7" customHeight="1" x14ac:dyDescent="0.15">
      <c r="A312" s="197" t="s">
        <v>200</v>
      </c>
      <c r="C312" s="1">
        <f>0.005*J312</f>
        <v>0.08</v>
      </c>
      <c r="D312" s="53"/>
      <c r="E312" s="1"/>
      <c r="F312" s="69">
        <f t="shared" si="24"/>
        <v>254</v>
      </c>
      <c r="G312" s="112" t="s">
        <v>25</v>
      </c>
      <c r="H312" s="112" t="s">
        <v>25</v>
      </c>
      <c r="I312" s="254" t="s">
        <v>100</v>
      </c>
      <c r="J312" s="253">
        <v>16</v>
      </c>
      <c r="K312" s="236">
        <v>41</v>
      </c>
      <c r="L312" s="269">
        <f t="shared" si="25"/>
        <v>656</v>
      </c>
      <c r="M312" s="2"/>
      <c r="N312" s="88" t="s">
        <v>469</v>
      </c>
      <c r="O312" s="71" t="s">
        <v>468</v>
      </c>
      <c r="P312" s="280" t="s">
        <v>563</v>
      </c>
      <c r="Q312" s="11">
        <v>45876</v>
      </c>
      <c r="R312" s="80"/>
      <c r="S312" s="279">
        <v>45901</v>
      </c>
      <c r="T312" s="39">
        <v>45902</v>
      </c>
      <c r="U312" s="45">
        <v>45902</v>
      </c>
    </row>
    <row r="313" spans="1:21" s="3" customFormat="1" ht="19.7" customHeight="1" x14ac:dyDescent="0.15">
      <c r="A313" s="197" t="s">
        <v>200</v>
      </c>
      <c r="C313" s="1">
        <f>0.01*J313</f>
        <v>0.24</v>
      </c>
      <c r="D313" s="53"/>
      <c r="E313" s="1"/>
      <c r="F313" s="69">
        <f t="shared" si="24"/>
        <v>255</v>
      </c>
      <c r="G313" s="112" t="s">
        <v>25</v>
      </c>
      <c r="H313" s="112" t="s">
        <v>25</v>
      </c>
      <c r="I313" s="254" t="s">
        <v>470</v>
      </c>
      <c r="J313" s="253">
        <v>24</v>
      </c>
      <c r="K313" s="236">
        <v>54</v>
      </c>
      <c r="L313" s="269">
        <f t="shared" si="25"/>
        <v>1296</v>
      </c>
      <c r="M313" s="2"/>
      <c r="N313" s="88" t="s">
        <v>471</v>
      </c>
      <c r="O313" s="23" t="s">
        <v>472</v>
      </c>
      <c r="P313" s="280" t="s">
        <v>563</v>
      </c>
      <c r="Q313" s="11">
        <v>45876</v>
      </c>
      <c r="R313" s="80"/>
      <c r="S313" s="279">
        <v>45901</v>
      </c>
      <c r="T313" s="39">
        <v>45902</v>
      </c>
      <c r="U313" s="45">
        <v>45902</v>
      </c>
    </row>
    <row r="314" spans="1:21" s="3" customFormat="1" ht="19.7" customHeight="1" x14ac:dyDescent="0.15">
      <c r="A314" s="197" t="s">
        <v>200</v>
      </c>
      <c r="C314" s="1">
        <f>0.01*J314</f>
        <v>0.24</v>
      </c>
      <c r="D314" s="53"/>
      <c r="E314" s="1"/>
      <c r="F314" s="69">
        <f t="shared" si="24"/>
        <v>256</v>
      </c>
      <c r="G314" s="112" t="s">
        <v>25</v>
      </c>
      <c r="H314" s="112" t="s">
        <v>25</v>
      </c>
      <c r="I314" s="254" t="s">
        <v>416</v>
      </c>
      <c r="J314" s="253">
        <v>24</v>
      </c>
      <c r="K314" s="236">
        <v>52</v>
      </c>
      <c r="L314" s="269">
        <f t="shared" si="25"/>
        <v>1248</v>
      </c>
      <c r="M314" s="2"/>
      <c r="N314" s="88" t="s">
        <v>367</v>
      </c>
      <c r="O314" s="23" t="s">
        <v>472</v>
      </c>
      <c r="P314" s="280" t="s">
        <v>563</v>
      </c>
      <c r="Q314" s="11">
        <v>45876</v>
      </c>
      <c r="R314" s="80"/>
      <c r="S314" s="279">
        <v>45901</v>
      </c>
      <c r="T314" s="39">
        <v>45902</v>
      </c>
      <c r="U314" s="45">
        <v>45902</v>
      </c>
    </row>
    <row r="315" spans="1:21" s="3" customFormat="1" ht="19.7" customHeight="1" x14ac:dyDescent="0.15">
      <c r="A315" s="197" t="s">
        <v>200</v>
      </c>
      <c r="C315" s="1">
        <f>0.086*J315</f>
        <v>0.34399999999999997</v>
      </c>
      <c r="D315" s="53"/>
      <c r="E315" s="1"/>
      <c r="F315" s="69">
        <f t="shared" si="24"/>
        <v>257</v>
      </c>
      <c r="G315" s="174" t="s">
        <v>69</v>
      </c>
      <c r="H315" s="174" t="s">
        <v>69</v>
      </c>
      <c r="I315" s="254" t="s">
        <v>473</v>
      </c>
      <c r="J315" s="253">
        <v>4</v>
      </c>
      <c r="K315" s="236">
        <v>5329</v>
      </c>
      <c r="L315" s="269">
        <f t="shared" si="25"/>
        <v>21316</v>
      </c>
      <c r="M315" s="2"/>
      <c r="N315" s="88" t="s">
        <v>474</v>
      </c>
      <c r="O315" s="71" t="s">
        <v>468</v>
      </c>
      <c r="P315" s="280" t="s">
        <v>563</v>
      </c>
      <c r="Q315" s="11">
        <v>45876</v>
      </c>
      <c r="R315" s="80"/>
      <c r="S315" s="279">
        <v>45901</v>
      </c>
      <c r="T315" s="39">
        <v>45902</v>
      </c>
      <c r="U315" s="45">
        <v>45902</v>
      </c>
    </row>
    <row r="316" spans="1:21" s="3" customFormat="1" ht="19.7" customHeight="1" x14ac:dyDescent="0.15">
      <c r="A316" s="197" t="s">
        <v>200</v>
      </c>
      <c r="C316" s="1">
        <f>0.008*J316</f>
        <v>0.28800000000000003</v>
      </c>
      <c r="D316" s="53"/>
      <c r="E316" s="1"/>
      <c r="F316" s="69">
        <f t="shared" si="24"/>
        <v>258</v>
      </c>
      <c r="G316" s="112" t="s">
        <v>25</v>
      </c>
      <c r="H316" s="112" t="s">
        <v>25</v>
      </c>
      <c r="I316" s="221" t="s">
        <v>475</v>
      </c>
      <c r="J316" s="250">
        <v>36</v>
      </c>
      <c r="K316" s="251">
        <v>35</v>
      </c>
      <c r="L316" s="269">
        <f t="shared" si="25"/>
        <v>1260</v>
      </c>
      <c r="M316" s="78"/>
      <c r="N316" s="88" t="s">
        <v>505</v>
      </c>
      <c r="O316" s="95" t="s">
        <v>506</v>
      </c>
      <c r="P316" s="280" t="s">
        <v>563</v>
      </c>
      <c r="Q316" s="11">
        <v>45876</v>
      </c>
      <c r="R316" s="80"/>
      <c r="S316" s="279">
        <v>45901</v>
      </c>
      <c r="T316" s="39">
        <v>45902</v>
      </c>
      <c r="U316" s="45">
        <v>45902</v>
      </c>
    </row>
    <row r="317" spans="1:21" s="3" customFormat="1" ht="19.7" customHeight="1" x14ac:dyDescent="0.15">
      <c r="A317" s="197" t="s">
        <v>200</v>
      </c>
      <c r="C317" s="1">
        <f>0.008*J317</f>
        <v>0.14400000000000002</v>
      </c>
      <c r="D317" s="53"/>
      <c r="E317" s="1"/>
      <c r="F317" s="69">
        <f t="shared" si="24"/>
        <v>259</v>
      </c>
      <c r="G317" s="112" t="s">
        <v>25</v>
      </c>
      <c r="H317" s="112" t="s">
        <v>25</v>
      </c>
      <c r="I317" s="221" t="s">
        <v>476</v>
      </c>
      <c r="J317" s="250">
        <v>18</v>
      </c>
      <c r="K317" s="251">
        <v>35</v>
      </c>
      <c r="L317" s="269">
        <f t="shared" si="25"/>
        <v>630</v>
      </c>
      <c r="M317" s="78"/>
      <c r="N317" s="88" t="s">
        <v>507</v>
      </c>
      <c r="O317" s="95" t="s">
        <v>506</v>
      </c>
      <c r="P317" s="280" t="s">
        <v>563</v>
      </c>
      <c r="Q317" s="11">
        <v>45876</v>
      </c>
      <c r="R317" s="80"/>
      <c r="S317" s="279">
        <v>45901</v>
      </c>
      <c r="T317" s="39">
        <v>45902</v>
      </c>
      <c r="U317" s="45">
        <v>45902</v>
      </c>
    </row>
    <row r="318" spans="1:21" s="3" customFormat="1" ht="19.7" customHeight="1" x14ac:dyDescent="0.15">
      <c r="A318" s="197" t="s">
        <v>200</v>
      </c>
      <c r="C318" s="1">
        <v>0.05</v>
      </c>
      <c r="D318" s="53"/>
      <c r="E318" s="1"/>
      <c r="F318" s="69">
        <f t="shared" si="24"/>
        <v>260</v>
      </c>
      <c r="G318" s="112" t="s">
        <v>25</v>
      </c>
      <c r="H318" s="112" t="s">
        <v>25</v>
      </c>
      <c r="I318" s="242" t="s">
        <v>478</v>
      </c>
      <c r="J318" s="251">
        <v>3</v>
      </c>
      <c r="K318" s="276">
        <v>128</v>
      </c>
      <c r="L318" s="276">
        <f t="shared" si="25"/>
        <v>384</v>
      </c>
      <c r="M318" s="2"/>
      <c r="N318" s="94" t="s">
        <v>479</v>
      </c>
      <c r="O318" s="23" t="s">
        <v>477</v>
      </c>
      <c r="P318" s="280" t="s">
        <v>563</v>
      </c>
      <c r="Q318" s="11">
        <v>45876</v>
      </c>
      <c r="R318" s="80"/>
      <c r="S318" s="279">
        <v>45901</v>
      </c>
      <c r="T318" s="39">
        <v>45902</v>
      </c>
      <c r="U318" s="45">
        <v>45902</v>
      </c>
    </row>
    <row r="319" spans="1:21" s="3" customFormat="1" ht="19.7" customHeight="1" x14ac:dyDescent="0.15">
      <c r="A319" s="197" t="s">
        <v>40</v>
      </c>
      <c r="C319" s="1">
        <f>0.025*J319</f>
        <v>2.5000000000000001E-2</v>
      </c>
      <c r="D319" s="53"/>
      <c r="E319" s="1"/>
      <c r="F319" s="69">
        <f t="shared" si="24"/>
        <v>261</v>
      </c>
      <c r="G319" s="112" t="s">
        <v>25</v>
      </c>
      <c r="H319" s="112" t="s">
        <v>25</v>
      </c>
      <c r="I319" s="211" t="s">
        <v>480</v>
      </c>
      <c r="J319" s="255">
        <v>1</v>
      </c>
      <c r="K319" s="269">
        <v>851</v>
      </c>
      <c r="L319" s="269">
        <f t="shared" si="25"/>
        <v>851</v>
      </c>
      <c r="M319" s="26"/>
      <c r="N319" s="24" t="s">
        <v>481</v>
      </c>
      <c r="O319" s="23" t="s">
        <v>477</v>
      </c>
      <c r="P319" s="280" t="s">
        <v>563</v>
      </c>
      <c r="Q319" s="11">
        <v>45876</v>
      </c>
      <c r="R319" s="80"/>
      <c r="S319" s="279">
        <v>45901</v>
      </c>
      <c r="T319" s="39">
        <v>45902</v>
      </c>
      <c r="U319" s="45">
        <v>45902</v>
      </c>
    </row>
    <row r="320" spans="1:21" s="3" customFormat="1" ht="19.7" customHeight="1" x14ac:dyDescent="0.15">
      <c r="A320" s="197" t="s">
        <v>40</v>
      </c>
      <c r="C320" s="1">
        <f>0.185*J320</f>
        <v>0.185</v>
      </c>
      <c r="D320" s="53"/>
      <c r="E320" s="1"/>
      <c r="F320" s="69">
        <f t="shared" si="24"/>
        <v>262</v>
      </c>
      <c r="G320" s="174" t="s">
        <v>69</v>
      </c>
      <c r="H320" s="174" t="s">
        <v>69</v>
      </c>
      <c r="I320" s="216" t="s">
        <v>482</v>
      </c>
      <c r="J320" s="251">
        <v>1</v>
      </c>
      <c r="K320" s="216">
        <v>2514</v>
      </c>
      <c r="L320" s="269">
        <f t="shared" si="25"/>
        <v>2514</v>
      </c>
      <c r="M320" s="2"/>
      <c r="N320" s="88" t="s">
        <v>483</v>
      </c>
      <c r="O320" s="23" t="s">
        <v>477</v>
      </c>
      <c r="P320" s="280" t="s">
        <v>563</v>
      </c>
      <c r="Q320" s="11">
        <v>45876</v>
      </c>
      <c r="R320" s="80"/>
      <c r="S320" s="279">
        <v>45901</v>
      </c>
      <c r="T320" s="39">
        <v>45902</v>
      </c>
      <c r="U320" s="45">
        <v>45902</v>
      </c>
    </row>
    <row r="321" spans="1:21" s="3" customFormat="1" ht="19.7" customHeight="1" x14ac:dyDescent="0.15">
      <c r="A321" s="197" t="s">
        <v>200</v>
      </c>
      <c r="C321" s="1">
        <v>0.04</v>
      </c>
      <c r="D321" s="31"/>
      <c r="E321" s="1"/>
      <c r="F321" s="69">
        <f t="shared" si="24"/>
        <v>263</v>
      </c>
      <c r="G321" s="28" t="s">
        <v>484</v>
      </c>
      <c r="H321" s="112" t="s">
        <v>25</v>
      </c>
      <c r="I321" s="242" t="s">
        <v>485</v>
      </c>
      <c r="J321" s="251">
        <v>1</v>
      </c>
      <c r="K321" s="276">
        <v>1022</v>
      </c>
      <c r="L321" s="276">
        <f t="shared" si="25"/>
        <v>1022</v>
      </c>
      <c r="M321" s="2"/>
      <c r="N321" s="94" t="s">
        <v>486</v>
      </c>
      <c r="O321" s="23" t="s">
        <v>477</v>
      </c>
      <c r="P321" s="280" t="s">
        <v>563</v>
      </c>
      <c r="Q321" s="11">
        <v>45876</v>
      </c>
      <c r="R321" s="80"/>
      <c r="S321" s="279">
        <v>45901</v>
      </c>
      <c r="T321" s="39">
        <v>45902</v>
      </c>
      <c r="U321" s="45">
        <v>45902</v>
      </c>
    </row>
    <row r="322" spans="1:21" s="3" customFormat="1" ht="18" customHeight="1" x14ac:dyDescent="0.15">
      <c r="A322" s="197" t="s">
        <v>200</v>
      </c>
      <c r="C322" s="1">
        <v>0.05</v>
      </c>
      <c r="D322" s="31"/>
      <c r="E322" s="1"/>
      <c r="F322" s="69">
        <f t="shared" si="24"/>
        <v>264</v>
      </c>
      <c r="G322" s="112" t="s">
        <v>25</v>
      </c>
      <c r="H322" s="112" t="s">
        <v>25</v>
      </c>
      <c r="I322" s="211" t="s">
        <v>556</v>
      </c>
      <c r="J322" s="255">
        <v>2</v>
      </c>
      <c r="K322" s="272">
        <v>112</v>
      </c>
      <c r="L322" s="272">
        <f t="shared" si="25"/>
        <v>224</v>
      </c>
      <c r="M322" s="256"/>
      <c r="N322" s="88" t="s">
        <v>487</v>
      </c>
      <c r="O322" s="23" t="s">
        <v>477</v>
      </c>
      <c r="P322" s="280" t="s">
        <v>563</v>
      </c>
      <c r="Q322" s="11">
        <v>45876</v>
      </c>
      <c r="R322" s="80"/>
      <c r="S322" s="279">
        <v>45901</v>
      </c>
      <c r="T322" s="39">
        <v>45902</v>
      </c>
      <c r="U322" s="45">
        <v>45902</v>
      </c>
    </row>
    <row r="323" spans="1:21" s="3" customFormat="1" ht="18" customHeight="1" x14ac:dyDescent="0.15">
      <c r="A323" s="197" t="s">
        <v>200</v>
      </c>
      <c r="C323" s="1">
        <f>0.01*J323</f>
        <v>0.02</v>
      </c>
      <c r="D323" s="31"/>
      <c r="E323" s="1"/>
      <c r="F323" s="69">
        <f t="shared" si="24"/>
        <v>265</v>
      </c>
      <c r="G323" s="112" t="s">
        <v>25</v>
      </c>
      <c r="H323" s="112" t="s">
        <v>25</v>
      </c>
      <c r="I323" s="211" t="s">
        <v>435</v>
      </c>
      <c r="J323" s="255">
        <v>2</v>
      </c>
      <c r="K323" s="269">
        <v>113</v>
      </c>
      <c r="L323" s="269">
        <f t="shared" si="25"/>
        <v>226</v>
      </c>
      <c r="M323" s="98"/>
      <c r="N323" s="24" t="s">
        <v>488</v>
      </c>
      <c r="O323" s="23" t="s">
        <v>477</v>
      </c>
      <c r="P323" s="280" t="s">
        <v>563</v>
      </c>
      <c r="Q323" s="11">
        <v>45876</v>
      </c>
      <c r="R323" s="80"/>
      <c r="S323" s="279">
        <v>45901</v>
      </c>
      <c r="T323" s="39">
        <v>45902</v>
      </c>
      <c r="U323" s="45">
        <v>45902</v>
      </c>
    </row>
    <row r="324" spans="1:21" s="3" customFormat="1" ht="18" customHeight="1" x14ac:dyDescent="0.15">
      <c r="A324" s="197" t="s">
        <v>200</v>
      </c>
      <c r="C324" s="1">
        <f>0.01*J324</f>
        <v>0.02</v>
      </c>
      <c r="D324" s="31"/>
      <c r="E324" s="1"/>
      <c r="F324" s="69">
        <f t="shared" si="24"/>
        <v>266</v>
      </c>
      <c r="G324" s="112" t="s">
        <v>25</v>
      </c>
      <c r="H324" s="112" t="s">
        <v>25</v>
      </c>
      <c r="I324" s="221" t="s">
        <v>366</v>
      </c>
      <c r="J324" s="250">
        <v>2</v>
      </c>
      <c r="K324" s="251">
        <v>47</v>
      </c>
      <c r="L324" s="269">
        <f t="shared" si="25"/>
        <v>94</v>
      </c>
      <c r="M324" s="78"/>
      <c r="N324" s="88" t="s">
        <v>367</v>
      </c>
      <c r="O324" s="23" t="s">
        <v>477</v>
      </c>
      <c r="P324" s="280" t="s">
        <v>563</v>
      </c>
      <c r="Q324" s="11">
        <v>45876</v>
      </c>
      <c r="R324" s="80"/>
      <c r="S324" s="279">
        <v>45901</v>
      </c>
      <c r="T324" s="39">
        <v>45902</v>
      </c>
      <c r="U324" s="45">
        <v>45902</v>
      </c>
    </row>
    <row r="325" spans="1:21" s="3" customFormat="1" ht="18" customHeight="1" x14ac:dyDescent="0.15">
      <c r="A325" s="197" t="s">
        <v>200</v>
      </c>
      <c r="C325" s="1">
        <f>0.005*J325</f>
        <v>0.01</v>
      </c>
      <c r="D325" s="31"/>
      <c r="E325" s="1"/>
      <c r="F325" s="69">
        <f t="shared" si="24"/>
        <v>267</v>
      </c>
      <c r="G325" s="174" t="s">
        <v>69</v>
      </c>
      <c r="H325" s="174" t="s">
        <v>69</v>
      </c>
      <c r="I325" s="216" t="s">
        <v>489</v>
      </c>
      <c r="J325" s="251">
        <v>2</v>
      </c>
      <c r="K325" s="216">
        <v>75</v>
      </c>
      <c r="L325" s="269">
        <f t="shared" si="25"/>
        <v>150</v>
      </c>
      <c r="M325" s="2"/>
      <c r="N325" s="88" t="s">
        <v>426</v>
      </c>
      <c r="O325" s="23" t="s">
        <v>477</v>
      </c>
      <c r="P325" s="280" t="s">
        <v>563</v>
      </c>
      <c r="Q325" s="11">
        <v>45876</v>
      </c>
      <c r="R325" s="80"/>
      <c r="S325" s="279">
        <v>45901</v>
      </c>
      <c r="T325" s="39">
        <v>45902</v>
      </c>
      <c r="U325" s="45">
        <v>45902</v>
      </c>
    </row>
    <row r="326" spans="1:21" ht="19.7" customHeight="1" x14ac:dyDescent="0.15">
      <c r="A326" s="197" t="s">
        <v>200</v>
      </c>
      <c r="C326" s="1">
        <v>4</v>
      </c>
      <c r="D326" s="31"/>
      <c r="E326" s="1"/>
      <c r="F326" s="69">
        <f t="shared" si="24"/>
        <v>268</v>
      </c>
      <c r="G326" s="179" t="s">
        <v>491</v>
      </c>
      <c r="H326" s="179" t="s">
        <v>25</v>
      </c>
      <c r="I326" s="195" t="s">
        <v>492</v>
      </c>
      <c r="J326" s="235">
        <v>1</v>
      </c>
      <c r="K326" s="249">
        <v>24900</v>
      </c>
      <c r="L326" s="269">
        <f t="shared" ref="L326:L331" si="26">J326*K326</f>
        <v>24900</v>
      </c>
      <c r="M326" s="180"/>
      <c r="N326" s="181" t="s">
        <v>493</v>
      </c>
      <c r="O326" s="23" t="s">
        <v>494</v>
      </c>
      <c r="P326" s="280" t="s">
        <v>563</v>
      </c>
      <c r="Q326" s="11">
        <v>45876</v>
      </c>
      <c r="R326" s="80"/>
      <c r="S326" s="279">
        <v>45901</v>
      </c>
      <c r="T326" s="39">
        <v>45902</v>
      </c>
      <c r="U326" s="45">
        <v>45902</v>
      </c>
    </row>
    <row r="327" spans="1:21" ht="19.7" customHeight="1" x14ac:dyDescent="0.15">
      <c r="A327" s="197" t="s">
        <v>200</v>
      </c>
      <c r="C327" s="1">
        <f>+(150/1000)*2.63*J327</f>
        <v>0.39449999999999996</v>
      </c>
      <c r="D327" s="31"/>
      <c r="E327" s="1"/>
      <c r="F327" s="69">
        <f t="shared" si="24"/>
        <v>269</v>
      </c>
      <c r="G327" s="174" t="s">
        <v>69</v>
      </c>
      <c r="H327" s="174" t="s">
        <v>69</v>
      </c>
      <c r="I327" s="204" t="s">
        <v>495</v>
      </c>
      <c r="J327" s="235">
        <v>1</v>
      </c>
      <c r="K327" s="216">
        <v>792</v>
      </c>
      <c r="L327" s="269">
        <f t="shared" si="26"/>
        <v>792</v>
      </c>
      <c r="M327" s="2"/>
      <c r="N327" s="88" t="s">
        <v>459</v>
      </c>
      <c r="O327" s="23" t="s">
        <v>494</v>
      </c>
      <c r="P327" s="280" t="s">
        <v>563</v>
      </c>
      <c r="Q327" s="11">
        <v>45876</v>
      </c>
      <c r="R327" s="80"/>
      <c r="S327" s="279">
        <v>45901</v>
      </c>
      <c r="T327" s="39">
        <v>45902</v>
      </c>
      <c r="U327" s="45">
        <v>45902</v>
      </c>
    </row>
    <row r="328" spans="1:21" ht="19.7" customHeight="1" x14ac:dyDescent="0.15">
      <c r="A328" s="197" t="s">
        <v>200</v>
      </c>
      <c r="C328" s="1">
        <f>0.01*J328</f>
        <v>0.01</v>
      </c>
      <c r="D328" s="31"/>
      <c r="E328" s="1"/>
      <c r="F328" s="69">
        <f t="shared" si="24"/>
        <v>270</v>
      </c>
      <c r="G328" s="174" t="s">
        <v>69</v>
      </c>
      <c r="H328" s="174" t="s">
        <v>69</v>
      </c>
      <c r="I328" s="216" t="s">
        <v>449</v>
      </c>
      <c r="J328" s="251">
        <v>1</v>
      </c>
      <c r="K328" s="216">
        <v>118</v>
      </c>
      <c r="L328" s="269">
        <f t="shared" si="26"/>
        <v>118</v>
      </c>
      <c r="M328" s="2"/>
      <c r="N328" s="88" t="s">
        <v>393</v>
      </c>
      <c r="O328" s="23" t="s">
        <v>496</v>
      </c>
      <c r="P328" s="280" t="s">
        <v>563</v>
      </c>
      <c r="Q328" s="11">
        <v>45876</v>
      </c>
      <c r="R328" s="80"/>
      <c r="S328" s="279">
        <v>45901</v>
      </c>
      <c r="T328" s="39">
        <v>45902</v>
      </c>
      <c r="U328" s="45">
        <v>45902</v>
      </c>
    </row>
    <row r="329" spans="1:21" ht="19.7" customHeight="1" x14ac:dyDescent="0.15">
      <c r="A329" s="197" t="s">
        <v>200</v>
      </c>
      <c r="C329" s="1">
        <f>0.135*J329</f>
        <v>0.27</v>
      </c>
      <c r="D329" s="31"/>
      <c r="E329" s="1"/>
      <c r="F329" s="69">
        <f t="shared" si="24"/>
        <v>271</v>
      </c>
      <c r="G329" s="174" t="s">
        <v>69</v>
      </c>
      <c r="H329" s="174" t="s">
        <v>69</v>
      </c>
      <c r="I329" s="216" t="s">
        <v>442</v>
      </c>
      <c r="J329" s="251">
        <v>2</v>
      </c>
      <c r="K329" s="216">
        <v>520</v>
      </c>
      <c r="L329" s="269">
        <f t="shared" si="26"/>
        <v>1040</v>
      </c>
      <c r="M329" s="2"/>
      <c r="N329" s="88" t="s">
        <v>443</v>
      </c>
      <c r="O329" s="23" t="s">
        <v>496</v>
      </c>
      <c r="P329" s="280" t="s">
        <v>563</v>
      </c>
      <c r="Q329" s="11">
        <v>45876</v>
      </c>
      <c r="R329" s="80"/>
      <c r="S329" s="279">
        <v>45901</v>
      </c>
      <c r="T329" s="39">
        <v>45902</v>
      </c>
      <c r="U329" s="45">
        <v>45902</v>
      </c>
    </row>
    <row r="330" spans="1:21" s="3" customFormat="1" ht="19.7" customHeight="1" x14ac:dyDescent="0.15">
      <c r="A330" s="197" t="s">
        <v>200</v>
      </c>
      <c r="B330" s="1"/>
      <c r="C330" s="1"/>
      <c r="D330" s="49"/>
      <c r="E330" s="124">
        <v>3</v>
      </c>
      <c r="F330" s="69">
        <f t="shared" si="24"/>
        <v>272</v>
      </c>
      <c r="G330" s="73" t="s">
        <v>320</v>
      </c>
      <c r="H330" s="73" t="s">
        <v>25</v>
      </c>
      <c r="I330" s="211" t="s">
        <v>221</v>
      </c>
      <c r="J330" s="232">
        <v>2</v>
      </c>
      <c r="K330" s="277">
        <v>1611</v>
      </c>
      <c r="L330" s="158">
        <f t="shared" si="26"/>
        <v>3222</v>
      </c>
      <c r="M330" s="127"/>
      <c r="N330" s="159" t="s">
        <v>321</v>
      </c>
      <c r="O330" s="48"/>
      <c r="P330" s="280" t="s">
        <v>563</v>
      </c>
      <c r="Q330" s="11">
        <v>45876</v>
      </c>
      <c r="R330" s="80"/>
      <c r="S330" s="279">
        <v>45901</v>
      </c>
      <c r="T330" s="39">
        <v>45902</v>
      </c>
      <c r="U330" s="45">
        <v>45902</v>
      </c>
    </row>
    <row r="331" spans="1:21" s="3" customFormat="1" ht="19.7" customHeight="1" x14ac:dyDescent="0.15">
      <c r="A331" s="197" t="s">
        <v>200</v>
      </c>
      <c r="C331" s="1">
        <f>0.01*J331</f>
        <v>0.2</v>
      </c>
      <c r="D331" s="31"/>
      <c r="E331" s="1"/>
      <c r="F331" s="69">
        <f t="shared" si="24"/>
        <v>273</v>
      </c>
      <c r="G331" s="112" t="s">
        <v>25</v>
      </c>
      <c r="H331" s="112" t="s">
        <v>25</v>
      </c>
      <c r="I331" s="221" t="s">
        <v>490</v>
      </c>
      <c r="J331" s="250">
        <v>20</v>
      </c>
      <c r="K331" s="251">
        <v>53</v>
      </c>
      <c r="L331" s="269">
        <f t="shared" si="26"/>
        <v>1060</v>
      </c>
      <c r="M331" s="78"/>
      <c r="N331" s="88" t="s">
        <v>367</v>
      </c>
      <c r="O331" s="23" t="s">
        <v>552</v>
      </c>
      <c r="P331" s="280" t="s">
        <v>563</v>
      </c>
      <c r="Q331" s="11">
        <v>45876</v>
      </c>
      <c r="R331" s="80"/>
      <c r="S331" s="279">
        <v>45901</v>
      </c>
      <c r="T331" s="39">
        <v>45902</v>
      </c>
      <c r="U331" s="45">
        <v>45902</v>
      </c>
    </row>
    <row r="332" spans="1:21" s="3" customFormat="1" ht="19.7" customHeight="1" x14ac:dyDescent="0.15">
      <c r="A332" s="197" t="s">
        <v>200</v>
      </c>
      <c r="B332" s="121"/>
      <c r="C332" s="121"/>
      <c r="D332" s="132"/>
      <c r="E332" s="124">
        <v>3</v>
      </c>
      <c r="F332" s="69">
        <f t="shared" si="24"/>
        <v>274</v>
      </c>
      <c r="G332" s="4" t="s">
        <v>217</v>
      </c>
      <c r="H332" s="4" t="s">
        <v>25</v>
      </c>
      <c r="I332" s="199">
        <v>620704006</v>
      </c>
      <c r="J332" s="200">
        <v>20</v>
      </c>
      <c r="K332" s="278">
        <v>36</v>
      </c>
      <c r="L332" s="153">
        <f t="shared" ref="L332:L333" si="27">J332*K332</f>
        <v>720</v>
      </c>
      <c r="M332" s="26"/>
      <c r="N332" s="24" t="s">
        <v>216</v>
      </c>
      <c r="O332" s="23" t="s">
        <v>552</v>
      </c>
      <c r="P332" s="280" t="s">
        <v>563</v>
      </c>
      <c r="Q332" s="11">
        <v>45876</v>
      </c>
      <c r="R332" s="80"/>
      <c r="S332" s="279">
        <v>45901</v>
      </c>
      <c r="T332" s="39">
        <v>45902</v>
      </c>
      <c r="U332" s="45">
        <v>45902</v>
      </c>
    </row>
    <row r="333" spans="1:21" ht="19.7" customHeight="1" x14ac:dyDescent="0.15">
      <c r="A333" s="197" t="s">
        <v>200</v>
      </c>
      <c r="B333" s="3"/>
      <c r="C333" s="1">
        <f>0.01*J333</f>
        <v>0.01</v>
      </c>
      <c r="D333" s="31"/>
      <c r="E333" s="1"/>
      <c r="F333" s="69">
        <f t="shared" si="24"/>
        <v>275</v>
      </c>
      <c r="G333" s="112" t="s">
        <v>25</v>
      </c>
      <c r="H333" s="112" t="s">
        <v>25</v>
      </c>
      <c r="I333" s="203" t="s">
        <v>553</v>
      </c>
      <c r="J333" s="251">
        <v>1</v>
      </c>
      <c r="K333" s="257">
        <v>1280</v>
      </c>
      <c r="L333" s="153">
        <f t="shared" si="27"/>
        <v>1280</v>
      </c>
      <c r="M333" s="2"/>
      <c r="N333" s="52" t="s">
        <v>554</v>
      </c>
      <c r="O333" s="95"/>
      <c r="P333" s="280" t="s">
        <v>563</v>
      </c>
      <c r="Q333" s="11">
        <v>45876</v>
      </c>
      <c r="R333" s="80"/>
      <c r="S333" s="279">
        <v>45901</v>
      </c>
      <c r="T333" s="39">
        <v>45902</v>
      </c>
      <c r="U333" s="45">
        <v>45902</v>
      </c>
    </row>
    <row r="334" spans="1:21" ht="19.7" customHeight="1" x14ac:dyDescent="0.15">
      <c r="C334" s="1"/>
      <c r="D334" s="31"/>
      <c r="E334" s="37"/>
      <c r="F334" s="4"/>
      <c r="G334" s="4"/>
      <c r="H334" s="4"/>
      <c r="I334" s="182"/>
      <c r="J334" s="175"/>
      <c r="K334" s="27"/>
      <c r="L334" s="98"/>
      <c r="M334" s="78"/>
      <c r="N334" s="52"/>
      <c r="O334" s="95"/>
      <c r="P334" s="4"/>
      <c r="Q334" s="11"/>
      <c r="R334" s="4"/>
      <c r="S334" s="19"/>
      <c r="T334" s="19"/>
      <c r="U334" s="14"/>
    </row>
    <row r="335" spans="1:21" ht="19.7" customHeight="1" x14ac:dyDescent="0.15">
      <c r="C335" s="1"/>
      <c r="D335" s="31"/>
      <c r="E335" s="37"/>
      <c r="F335" s="4"/>
      <c r="G335" s="112"/>
      <c r="H335" s="112"/>
      <c r="I335" s="177">
        <f>SUM(L293:L330)</f>
        <v>280171</v>
      </c>
      <c r="J335" s="175"/>
      <c r="K335" s="27"/>
      <c r="L335" s="98"/>
      <c r="M335" s="2"/>
      <c r="N335" s="88"/>
      <c r="O335" s="23"/>
      <c r="P335" s="4"/>
      <c r="Q335" s="11"/>
      <c r="R335" s="4"/>
      <c r="S335" s="19"/>
      <c r="T335" s="19"/>
      <c r="U335" s="14"/>
    </row>
    <row r="336" spans="1:21" ht="19.7" customHeight="1" x14ac:dyDescent="0.15">
      <c r="C336" s="1"/>
      <c r="D336" s="31"/>
      <c r="E336" s="37"/>
      <c r="F336" s="4"/>
      <c r="G336" s="112"/>
      <c r="H336" s="112"/>
      <c r="I336" s="23"/>
      <c r="J336" s="175"/>
      <c r="K336" s="27"/>
      <c r="L336" s="98"/>
      <c r="M336" s="2"/>
      <c r="N336" s="88"/>
      <c r="O336" s="23"/>
      <c r="P336" s="4"/>
      <c r="Q336" s="11"/>
      <c r="R336" s="4"/>
      <c r="S336" s="19"/>
      <c r="T336" s="19"/>
      <c r="U336" s="14"/>
    </row>
    <row r="337" spans="1:21" x14ac:dyDescent="0.15">
      <c r="C337" s="1"/>
      <c r="F337" s="4"/>
      <c r="G337" s="112"/>
      <c r="H337" s="112"/>
      <c r="I337" s="23"/>
      <c r="J337" s="175"/>
      <c r="K337" s="27"/>
      <c r="L337" s="98"/>
      <c r="M337" s="78"/>
      <c r="N337" s="88"/>
      <c r="O337" s="95"/>
    </row>
    <row r="338" spans="1:21" x14ac:dyDescent="0.15">
      <c r="C338" s="1"/>
      <c r="F338" s="4"/>
      <c r="G338" s="4"/>
      <c r="H338" s="4"/>
      <c r="I338" s="182"/>
      <c r="J338" s="175"/>
      <c r="K338" s="27"/>
      <c r="L338" s="98"/>
      <c r="M338" s="78"/>
      <c r="N338" s="52"/>
      <c r="O338" s="95"/>
    </row>
    <row r="339" spans="1:21" ht="18.75" x14ac:dyDescent="0.15">
      <c r="C339" s="3" t="s">
        <v>466</v>
      </c>
      <c r="F339" s="96"/>
      <c r="G339" s="96"/>
      <c r="H339" s="96"/>
      <c r="I339" s="177">
        <f>SUM(L338:L339)</f>
        <v>0</v>
      </c>
      <c r="J339" s="169"/>
      <c r="K339" s="173"/>
      <c r="L339" s="98"/>
      <c r="M339" s="78"/>
      <c r="N339" s="79"/>
      <c r="O339" s="95"/>
    </row>
    <row r="340" spans="1:21" x14ac:dyDescent="0.15">
      <c r="C340" s="170">
        <f>SUM(C293:C339)</f>
        <v>88.519880000000001</v>
      </c>
      <c r="F340" s="176"/>
      <c r="G340" s="96"/>
      <c r="H340" s="96"/>
      <c r="I340" s="97"/>
      <c r="J340" s="169"/>
      <c r="K340" s="173"/>
      <c r="L340" s="98"/>
      <c r="M340" s="78"/>
      <c r="N340" s="79"/>
      <c r="O340" s="95"/>
    </row>
    <row r="341" spans="1:21" s="3" customFormat="1" x14ac:dyDescent="0.15">
      <c r="A341"/>
      <c r="B341"/>
      <c r="C341" s="76" t="s">
        <v>357</v>
      </c>
      <c r="D341"/>
      <c r="E341"/>
      <c r="F341" s="96"/>
      <c r="G341" s="96"/>
      <c r="H341" s="96"/>
      <c r="I341" s="182"/>
      <c r="J341" s="169"/>
      <c r="K341" s="173"/>
      <c r="L341" s="98"/>
      <c r="M341" s="78"/>
      <c r="N341" s="79"/>
      <c r="O341" s="95"/>
      <c r="Q341" s="10"/>
      <c r="R341"/>
      <c r="S341" s="8"/>
      <c r="T341" s="12"/>
      <c r="U341" s="13"/>
    </row>
    <row r="342" spans="1:21" s="3" customFormat="1" x14ac:dyDescent="0.15">
      <c r="A342"/>
      <c r="B342"/>
      <c r="D342"/>
      <c r="E342"/>
      <c r="F342" s="96"/>
      <c r="G342" s="96"/>
      <c r="H342" s="96"/>
      <c r="I342" s="182"/>
      <c r="J342" s="169"/>
      <c r="K342" s="173"/>
      <c r="L342" s="98"/>
      <c r="M342" s="78"/>
      <c r="N342" s="79"/>
      <c r="O342" s="95"/>
      <c r="Q342" s="10"/>
      <c r="R342"/>
      <c r="S342" s="8"/>
      <c r="T342" s="12"/>
      <c r="U342" s="13"/>
    </row>
    <row r="343" spans="1:21" s="3" customFormat="1" x14ac:dyDescent="0.15">
      <c r="A343"/>
      <c r="B343"/>
      <c r="D343"/>
      <c r="E343"/>
      <c r="F343" s="96"/>
      <c r="G343" s="96"/>
      <c r="H343" s="96"/>
      <c r="I343" s="182"/>
      <c r="J343" s="169"/>
      <c r="K343" s="173"/>
      <c r="L343" s="98"/>
      <c r="M343" s="78"/>
      <c r="N343" s="79"/>
      <c r="O343" s="95"/>
      <c r="Q343" s="10"/>
      <c r="R343"/>
      <c r="S343" s="8"/>
      <c r="T343" s="12"/>
      <c r="U343" s="13"/>
    </row>
    <row r="344" spans="1:21" s="3" customFormat="1" x14ac:dyDescent="0.15">
      <c r="A344"/>
      <c r="B344"/>
      <c r="D344"/>
      <c r="E344"/>
      <c r="F344" s="96"/>
      <c r="G344" s="96"/>
      <c r="H344" s="96"/>
      <c r="I344" s="182"/>
      <c r="J344" s="169"/>
      <c r="K344" s="173"/>
      <c r="L344" s="98"/>
      <c r="M344" s="78"/>
      <c r="N344" s="79"/>
      <c r="O344" s="95"/>
      <c r="Q344" s="10"/>
      <c r="R344"/>
      <c r="S344" s="8"/>
      <c r="T344" s="12"/>
      <c r="U344" s="13"/>
    </row>
    <row r="345" spans="1:21" s="3" customFormat="1" ht="14.25" thickBot="1" x14ac:dyDescent="0.2">
      <c r="A345"/>
      <c r="B345"/>
      <c r="C345" s="3" t="s">
        <v>498</v>
      </c>
      <c r="D345"/>
      <c r="E345"/>
      <c r="F345" s="96"/>
      <c r="G345" s="96"/>
      <c r="H345" s="96"/>
      <c r="I345" s="182"/>
      <c r="J345" s="169"/>
      <c r="K345" s="173"/>
      <c r="L345" s="98"/>
      <c r="M345" s="78"/>
      <c r="N345" s="79"/>
      <c r="O345" s="95"/>
      <c r="Q345" s="10"/>
      <c r="R345"/>
      <c r="S345" s="8"/>
      <c r="T345" s="12"/>
      <c r="U345" s="13"/>
    </row>
    <row r="346" spans="1:21" s="3" customFormat="1" ht="14.25" thickBot="1" x14ac:dyDescent="0.2">
      <c r="A346"/>
      <c r="B346"/>
      <c r="C346" s="183" t="e">
        <f>+C340+C288+#REF!</f>
        <v>#REF!</v>
      </c>
      <c r="D346"/>
      <c r="E346"/>
      <c r="F346" s="176"/>
      <c r="G346" s="96"/>
      <c r="H346" s="96"/>
      <c r="I346" s="182"/>
      <c r="J346" s="169"/>
      <c r="K346" s="173"/>
      <c r="L346" s="98"/>
      <c r="M346" s="78"/>
      <c r="N346" s="79"/>
      <c r="O346" s="95"/>
      <c r="Q346" s="10"/>
      <c r="R346"/>
      <c r="S346" s="8"/>
      <c r="T346" s="12"/>
      <c r="U346" s="13"/>
    </row>
    <row r="347" spans="1:21" s="3" customFormat="1" x14ac:dyDescent="0.15">
      <c r="A347"/>
      <c r="B347"/>
      <c r="C347" s="76" t="s">
        <v>357</v>
      </c>
      <c r="D347"/>
      <c r="E347"/>
      <c r="F347" s="96"/>
      <c r="G347" s="96"/>
      <c r="H347" s="96"/>
      <c r="I347" s="182"/>
      <c r="J347" s="169"/>
      <c r="K347" s="173"/>
      <c r="L347" s="98"/>
      <c r="M347" s="78"/>
      <c r="N347" s="79"/>
      <c r="O347" s="95"/>
      <c r="Q347" s="10"/>
      <c r="R347"/>
      <c r="S347" s="8"/>
      <c r="T347" s="12"/>
      <c r="U347" s="13"/>
    </row>
    <row r="348" spans="1:21" s="3" customFormat="1" x14ac:dyDescent="0.15">
      <c r="A348"/>
      <c r="B348"/>
      <c r="D348"/>
      <c r="E348"/>
      <c r="F348" s="96"/>
      <c r="G348" s="96"/>
      <c r="H348" s="96"/>
      <c r="I348" s="182"/>
      <c r="J348" s="169"/>
      <c r="K348" s="173"/>
      <c r="L348" s="98"/>
      <c r="M348" s="78"/>
      <c r="N348" s="79"/>
      <c r="O348" s="95"/>
      <c r="Q348" s="10"/>
      <c r="R348"/>
      <c r="S348" s="8"/>
      <c r="T348" s="12"/>
      <c r="U348" s="13"/>
    </row>
    <row r="349" spans="1:21" s="3" customFormat="1" x14ac:dyDescent="0.15">
      <c r="A349"/>
      <c r="B349"/>
      <c r="D349"/>
      <c r="E349"/>
      <c r="F349" s="96"/>
      <c r="G349" s="96"/>
      <c r="H349" s="96"/>
      <c r="I349" s="182"/>
      <c r="J349" s="169"/>
      <c r="K349" s="173"/>
      <c r="L349" s="98"/>
      <c r="M349" s="78"/>
      <c r="N349" s="79"/>
      <c r="O349" s="95"/>
      <c r="Q349" s="10"/>
      <c r="R349"/>
      <c r="S349" s="8"/>
      <c r="T349" s="12"/>
      <c r="U349" s="13"/>
    </row>
  </sheetData>
  <autoFilter ref="F9:S321" xr:uid="{00000000-0009-0000-0000-000000000000}"/>
  <mergeCells count="21">
    <mergeCell ref="N4:O5"/>
    <mergeCell ref="F5:H5"/>
    <mergeCell ref="K5:L6"/>
    <mergeCell ref="F6:H6"/>
    <mergeCell ref="F12:I12"/>
    <mergeCell ref="I29:L29"/>
    <mergeCell ref="F33:I33"/>
    <mergeCell ref="I90:L90"/>
    <mergeCell ref="F2:H2"/>
    <mergeCell ref="K2:M2"/>
    <mergeCell ref="F3:H3"/>
    <mergeCell ref="F4:H4"/>
    <mergeCell ref="I225:L225"/>
    <mergeCell ref="G228:I228"/>
    <mergeCell ref="G292:I292"/>
    <mergeCell ref="G97:I97"/>
    <mergeCell ref="I108:L108"/>
    <mergeCell ref="G112:I112"/>
    <mergeCell ref="I141:L141"/>
    <mergeCell ref="G145:I145"/>
    <mergeCell ref="F176:I176"/>
  </mergeCells>
  <phoneticPr fontId="16"/>
  <dataValidations count="2">
    <dataValidation allowBlank="1" showInputMessage="1" showErrorMessage="1" sqref="N89:N90" xr:uid="{F6AD3BAC-D30C-4B56-AEF8-7CCFE689AD9D}"/>
    <dataValidation imeMode="hiragana" allowBlank="1" showInputMessage="1" showErrorMessage="1" sqref="N129" xr:uid="{009781E6-8847-431A-8883-C7771E16BB61}"/>
  </dataValidations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225346　原価表  20250808 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shinohara</cp:lastModifiedBy>
  <cp:lastPrinted>2018-06-15T01:25:43Z</cp:lastPrinted>
  <dcterms:created xsi:type="dcterms:W3CDTF">2011-12-13T06:48:43Z</dcterms:created>
  <dcterms:modified xsi:type="dcterms:W3CDTF">2025-09-17T05:55:42Z</dcterms:modified>
</cp:coreProperties>
</file>