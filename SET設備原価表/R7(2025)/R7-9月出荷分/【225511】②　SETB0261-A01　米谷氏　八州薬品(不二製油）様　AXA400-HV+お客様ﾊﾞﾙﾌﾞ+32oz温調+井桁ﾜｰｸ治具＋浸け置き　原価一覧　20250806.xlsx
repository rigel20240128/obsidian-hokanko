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4DC5C460-D674-4505-9787-CBB8F6E30AC2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見積もり依頼　原価一覧 (20250806) ②" sheetId="16" r:id="rId1"/>
    <sheet name="Sheet3" sheetId="3" r:id="rId2"/>
  </sheets>
  <definedNames>
    <definedName name="_xlnm._FilterDatabase" localSheetId="0" hidden="1">'見積もり依頼　原価一覧 (20250806) ②'!$C$10:$P$61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1" i="16" l="1"/>
  <c r="I24" i="16"/>
  <c r="C24" i="16"/>
  <c r="I16" i="16"/>
  <c r="I57" i="16"/>
  <c r="I56" i="16"/>
  <c r="I55" i="16"/>
  <c r="I51" i="16"/>
  <c r="I50" i="16"/>
  <c r="I49" i="16"/>
  <c r="I48" i="16"/>
  <c r="I47" i="16"/>
  <c r="I38" i="16"/>
  <c r="I31" i="16"/>
  <c r="I23" i="16"/>
  <c r="I14" i="16"/>
  <c r="C15" i="16"/>
  <c r="C16" i="16" s="1"/>
  <c r="F26" i="16" l="1"/>
  <c r="C23" i="16"/>
  <c r="F40" i="16"/>
  <c r="F33" i="16"/>
  <c r="K2" i="16"/>
  <c r="F53" i="16"/>
  <c r="F18" i="16"/>
  <c r="C38" i="16" l="1"/>
  <c r="C47" i="16" s="1"/>
  <c r="C48" i="16" s="1"/>
  <c r="C49" i="16" s="1"/>
  <c r="C50" i="16" s="1"/>
  <c r="C51" i="16" s="1"/>
</calcChain>
</file>

<file path=xl/sharedStrings.xml><?xml version="1.0" encoding="utf-8"?>
<sst xmlns="http://schemas.openxmlformats.org/spreadsheetml/2006/main" count="131" uniqueCount="78">
  <si>
    <t>お客先名</t>
  </si>
  <si>
    <t>合計金額</t>
  </si>
  <si>
    <t>担当営業</t>
  </si>
  <si>
    <t>受注番号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</si>
  <si>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</si>
  <si>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</si>
  <si>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</si>
  <si>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</si>
  <si>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</si>
  <si>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</si>
  <si>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</si>
  <si>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</si>
  <si>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</si>
  <si>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</si>
  <si>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</si>
  <si>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</si>
  <si>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</si>
  <si>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</si>
  <si>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</si>
  <si>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</si>
  <si>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</si>
  <si>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</si>
  <si>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運送費</t>
  </si>
  <si>
    <t>設計費</t>
  </si>
  <si>
    <t>組立調整費</t>
  </si>
  <si>
    <t>配電部分</t>
    <rPh sb="0" eb="2">
      <t>ハイデン</t>
    </rPh>
    <rPh sb="2" eb="4">
      <t>ブブン</t>
    </rPh>
    <phoneticPr fontId="10"/>
  </si>
  <si>
    <t>AW10-M5BG-A</t>
    <phoneticPr fontId="12"/>
  </si>
  <si>
    <t>モノタロウなら8日間</t>
    <rPh sb="8" eb="9">
      <t>ヒ</t>
    </rPh>
    <rPh sb="9" eb="10">
      <t>カン</t>
    </rPh>
    <phoneticPr fontId="10"/>
  </si>
  <si>
    <t>1日目</t>
    <rPh sb="1" eb="2">
      <t>ヒ</t>
    </rPh>
    <rPh sb="2" eb="3">
      <t>メ</t>
    </rPh>
    <phoneticPr fontId="12"/>
  </si>
  <si>
    <t>出荷依頼項目NO.</t>
    <rPh sb="0" eb="4">
      <t>シュッカイライ</t>
    </rPh>
    <rPh sb="4" eb="6">
      <t>コウモク</t>
    </rPh>
    <phoneticPr fontId="10"/>
  </si>
  <si>
    <t>1日目</t>
    <rPh sb="1" eb="3">
      <t>ヒメ</t>
    </rPh>
    <phoneticPr fontId="12"/>
  </si>
  <si>
    <t>10日目</t>
    <rPh sb="2" eb="3">
      <t>ヒ</t>
    </rPh>
    <rPh sb="3" eb="4">
      <t>メ</t>
    </rPh>
    <phoneticPr fontId="12"/>
  </si>
  <si>
    <t>　SETB0261-A01 AXA400-HV+お客様ﾊﾞﾙﾌﾞ+32oz温調+井桁ﾜｰｸ治具＋浸け置き</t>
    <phoneticPr fontId="10"/>
  </si>
  <si>
    <t>米谷</t>
    <rPh sb="0" eb="2">
      <t>ヨネタニ</t>
    </rPh>
    <phoneticPr fontId="10"/>
  </si>
  <si>
    <t>SMC</t>
  </si>
  <si>
    <t>制御機材</t>
    <rPh sb="0" eb="1">
      <t>セイ</t>
    </rPh>
    <rPh sb="1" eb="2">
      <t>オ</t>
    </rPh>
    <rPh sb="2" eb="4">
      <t>キザイ</t>
    </rPh>
    <phoneticPr fontId="12"/>
  </si>
  <si>
    <t>フィルタレギュレータ</t>
    <phoneticPr fontId="12"/>
  </si>
  <si>
    <t>SMC</t>
    <phoneticPr fontId="12"/>
  </si>
  <si>
    <t>910ccｶｰﾄﾘｯﾁ加圧用レギュレーターﾕﾆｯﾄ</t>
    <rPh sb="11" eb="13">
      <t>カアツ</t>
    </rPh>
    <rPh sb="13" eb="14">
      <t>ヨウ</t>
    </rPh>
    <phoneticPr fontId="12"/>
  </si>
  <si>
    <t>スリーハイ社</t>
    <phoneticPr fontId="10"/>
  </si>
  <si>
    <t>910ccｶｰﾄﾘｯﾁ温調ﾕﾆｯﾄ</t>
    <rPh sb="11" eb="13">
      <t>オンチョウ</t>
    </rPh>
    <phoneticPr fontId="12"/>
  </si>
  <si>
    <t>納期</t>
    <rPh sb="0" eb="2">
      <t>ノウキ</t>
    </rPh>
    <phoneticPr fontId="10"/>
  </si>
  <si>
    <t>仕様：100V 210W
φ72X300mm
リード線 1m/端末処理なし
K熱電対付 1m/端末処理なし</t>
    <phoneticPr fontId="10"/>
  </si>
  <si>
    <t xml:space="preserve">
シリコーンスポンジ断熱材付
10mmt
マジックテープ脱着式</t>
    <phoneticPr fontId="10"/>
  </si>
  <si>
    <t>IR1010-01BEA-A</t>
    <phoneticPr fontId="12"/>
  </si>
  <si>
    <t>精密レギュレータ IR1000-A  0.01～0.4MPa</t>
    <phoneticPr fontId="12"/>
  </si>
  <si>
    <t>SS5Y3-20-03</t>
    <phoneticPr fontId="12"/>
  </si>
  <si>
    <t>一体型ﾍﾞｰｽﾏﾆﾎｰﾙﾄﾞ</t>
    <rPh sb="0" eb="2">
      <t>イッタイ</t>
    </rPh>
    <rPh sb="2" eb="3">
      <t>ガタ</t>
    </rPh>
    <phoneticPr fontId="12"/>
  </si>
  <si>
    <t>*SY3120-5LZE-C4</t>
    <phoneticPr fontId="12"/>
  </si>
  <si>
    <t>ｼﾝｸﾞﾙｿﾚﾉｲﾄﾞﾊﾞﾙﾌﾞ</t>
  </si>
  <si>
    <t>*SY3000-26-9A</t>
    <phoneticPr fontId="10"/>
  </si>
  <si>
    <t>ﾌﾞﾗﾝｷﾝｸﾞﾌﾟﾚｰﾄASSY</t>
  </si>
  <si>
    <t>ｻｲﾚﾝｻ　ｺﾝﾊﾟｸﾄﾀｲﾌﾟ</t>
  </si>
  <si>
    <t>ﾊﾞﾙﾍﾟｯﾄﾊﾞﾙﾌﾞ駆動用レギュレーターﾕﾆｯﾄ</t>
    <rPh sb="12" eb="14">
      <t>クドウ</t>
    </rPh>
    <rPh sb="14" eb="15">
      <t>ヨウ</t>
    </rPh>
    <phoneticPr fontId="12"/>
  </si>
  <si>
    <t>IR1010-01BG-A</t>
    <phoneticPr fontId="12"/>
  </si>
  <si>
    <t xml:space="preserve"> 過昇温防止器ユニット</t>
    <phoneticPr fontId="12"/>
  </si>
  <si>
    <t>ｱｽﾞﾜﾝ</t>
    <phoneticPr fontId="12"/>
  </si>
  <si>
    <t>TXN800WAL 過昇温防止器</t>
    <phoneticPr fontId="12"/>
  </si>
  <si>
    <t>3-6824-01　温度過昇防止器 （アラート用出力付）</t>
    <phoneticPr fontId="12"/>
  </si>
  <si>
    <t>Ｎo.225511</t>
    <phoneticPr fontId="10"/>
  </si>
  <si>
    <t>AN10-01</t>
    <phoneticPr fontId="10"/>
  </si>
  <si>
    <t>書類番号 14874</t>
    <phoneticPr fontId="10"/>
  </si>
  <si>
    <t>30日目</t>
    <rPh sb="2" eb="3">
      <t>ヒ</t>
    </rPh>
    <rPh sb="3" eb="4">
      <t>メ</t>
    </rPh>
    <phoneticPr fontId="12"/>
  </si>
  <si>
    <t>送料</t>
    <rPh sb="0" eb="2">
      <t>ソウリョウ</t>
    </rPh>
    <phoneticPr fontId="10"/>
  </si>
  <si>
    <t>書類番号　14874内容　　ヒーター+熱電対</t>
    <rPh sb="0" eb="2">
      <t>ショルイ</t>
    </rPh>
    <rPh sb="2" eb="4">
      <t>バンゴウ</t>
    </rPh>
    <rPh sb="10" eb="12">
      <t>ナイヨウ</t>
    </rPh>
    <rPh sb="19" eb="22">
      <t>ネツデンツイ</t>
    </rPh>
    <phoneticPr fontId="12"/>
  </si>
  <si>
    <t>書類番号　14874内容　断熱ｽﾎﾟﾝｼﾞ</t>
    <rPh sb="13" eb="15">
      <t>ダンネツ</t>
    </rPh>
    <phoneticPr fontId="12"/>
  </si>
  <si>
    <t>書類番号　14874内容　　送料</t>
    <rPh sb="14" eb="16">
      <t>ソウリョウ</t>
    </rPh>
    <phoneticPr fontId="10"/>
  </si>
  <si>
    <t>　　図面NO.　SETB-0261-A01</t>
    <rPh sb="2" eb="4">
      <t>ズメン</t>
    </rPh>
    <phoneticPr fontId="10"/>
  </si>
  <si>
    <t>八洲薬品(不二製油）　様</t>
    <rPh sb="11" eb="12">
      <t>サマ</t>
    </rPh>
    <phoneticPr fontId="10"/>
  </si>
  <si>
    <t>②</t>
    <phoneticPr fontId="10"/>
  </si>
  <si>
    <t>印部分は見積お願い致します。</t>
    <rPh sb="0" eb="1">
      <t>シルシ</t>
    </rPh>
    <rPh sb="1" eb="3">
      <t>ブブン</t>
    </rPh>
    <rPh sb="4" eb="6">
      <t>ミツモリ</t>
    </rPh>
    <rPh sb="7" eb="8">
      <t>ネガ</t>
    </rPh>
    <rPh sb="9" eb="10">
      <t>イタ</t>
    </rPh>
    <phoneticPr fontId="10"/>
  </si>
  <si>
    <t>仙台営業所へ</t>
    <rPh sb="0" eb="2">
      <t>センダイ</t>
    </rPh>
    <rPh sb="2" eb="5">
      <t>エイギョウショ</t>
    </rPh>
    <phoneticPr fontId="10"/>
  </si>
  <si>
    <r>
      <t>9</t>
    </r>
    <r>
      <rPr>
        <sz val="11"/>
        <color theme="1"/>
        <rFont val="ＭＳ Ｐゴシック"/>
        <family val="3"/>
        <charset val="128"/>
        <scheme val="minor"/>
      </rPr>
      <t>/8・仙台営業所着</t>
    </r>
    <rPh sb="4" eb="6">
      <t>センダイ</t>
    </rPh>
    <rPh sb="6" eb="9">
      <t>エイギョウショ</t>
    </rPh>
    <rPh sb="9" eb="10">
      <t>チャク</t>
    </rPh>
    <phoneticPr fontId="10"/>
  </si>
  <si>
    <t>石鍋</t>
    <rPh sb="0" eb="2">
      <t>イシナベ</t>
    </rPh>
    <phoneticPr fontId="10"/>
  </si>
  <si>
    <t>9/18・仙台営業所着</t>
    <rPh sb="5" eb="7">
      <t>センダイ</t>
    </rPh>
    <rPh sb="7" eb="10">
      <t>エイギョウショ</t>
    </rPh>
    <rPh sb="10" eb="11">
      <t>チャク</t>
    </rPh>
    <phoneticPr fontId="10"/>
  </si>
  <si>
    <t>9/5・仙台営業所着</t>
    <rPh sb="4" eb="6">
      <t>センダイ</t>
    </rPh>
    <rPh sb="6" eb="9">
      <t>エイギョウショ</t>
    </rPh>
    <rPh sb="9" eb="10">
      <t>チャク</t>
    </rPh>
    <phoneticPr fontId="10"/>
  </si>
  <si>
    <t>369207-1</t>
    <phoneticPr fontId="10"/>
  </si>
  <si>
    <t>9/2・仙台営業所着</t>
    <rPh sb="4" eb="6">
      <t>センダイ</t>
    </rPh>
    <rPh sb="6" eb="9">
      <t>エイギョウショ</t>
    </rPh>
    <rPh sb="9" eb="10">
      <t>チャク</t>
    </rPh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</si>
</sst>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"/>
    <numFmt numFmtId="181" formatCode="#,##0_ "/>
    <numFmt numFmtId="182" formatCode="&quot;¥&quot;#,##0_);[Red]\(&quot;¥&quot;#,##0\)"/>
  </numFmts>
  <fonts count="24" x14ac:knownFonts="1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9.9499999999999993"/>
      <color rgb="FF000000"/>
      <name val="ＭＳ Ｐゴシック"/>
      <family val="3"/>
      <charset val="128"/>
    </font>
    <font>
      <b/>
      <sz val="13.95"/>
      <color theme="1"/>
      <name val="ＭＳ Ｐゴシック"/>
      <family val="3"/>
      <charset val="128"/>
      <scheme val="minor"/>
    </font>
    <font>
      <b/>
      <sz val="12"/>
      <color rgb="FF00000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2"/>
      <color rgb="FFFF0000"/>
      <name val="ＭＳ Ｐゴシック"/>
      <family val="3"/>
      <charset val="128"/>
      <scheme val="minor"/>
    </font>
    <font>
      <b/>
      <sz val="18"/>
      <color theme="1"/>
      <name val="ＭＳ Ｐゴシック"/>
      <family val="3"/>
      <charset val="128"/>
      <scheme val="minor"/>
    </font>
    <font>
      <b/>
      <sz val="11"/>
      <color theme="9" tint="-0.249977111117893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b/>
      <sz val="14"/>
      <color theme="9" tint="-0.249977111117893"/>
      <name val="ＭＳ Ｐゴシック"/>
      <family val="3"/>
      <charset val="128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58998382518997772"/>
        <bgColor indexed="64"/>
      </patternFill>
    </fill>
    <fill>
      <patternFill patternType="solid">
        <fgColor rgb="FFFFFF99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/>
    <xf numFmtId="0" fontId="9" fillId="0" borderId="0">
      <alignment vertical="center"/>
    </xf>
    <xf numFmtId="0" fontId="14" fillId="0" borderId="0">
      <alignment vertical="center"/>
    </xf>
  </cellStyleXfs>
  <cellXfs count="150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176" fontId="0" fillId="0" borderId="1" xfId="0" applyNumberFormat="1" applyBorder="1">
      <alignment vertical="center"/>
    </xf>
    <xf numFmtId="0" fontId="0" fillId="0" borderId="0" xfId="0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/>
    <xf numFmtId="178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76" fontId="0" fillId="0" borderId="3" xfId="0" applyNumberFormat="1" applyBorder="1">
      <alignment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shrinkToFit="1"/>
    </xf>
    <xf numFmtId="179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3" xfId="0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8" xfId="0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178" fontId="0" fillId="0" borderId="8" xfId="0" applyNumberForma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5" fillId="0" borderId="8" xfId="0" applyFont="1" applyBorder="1">
      <alignment vertical="center"/>
    </xf>
    <xf numFmtId="176" fontId="0" fillId="0" borderId="8" xfId="0" applyNumberFormat="1" applyBorder="1" applyAlignment="1">
      <alignment horizontal="center" vertical="center"/>
    </xf>
    <xf numFmtId="176" fontId="0" fillId="0" borderId="8" xfId="0" applyNumberFormat="1" applyBorder="1">
      <alignment vertical="center"/>
    </xf>
    <xf numFmtId="176" fontId="0" fillId="0" borderId="8" xfId="0" applyNumberFormat="1" applyBorder="1" applyAlignment="1"/>
    <xf numFmtId="0" fontId="0" fillId="0" borderId="8" xfId="0" applyBorder="1" applyAlignment="1">
      <alignment horizontal="left" vertical="center" shrinkToFit="1"/>
    </xf>
    <xf numFmtId="176" fontId="0" fillId="0" borderId="10" xfId="0" applyNumberFormat="1" applyBorder="1" applyAlignment="1"/>
    <xf numFmtId="0" fontId="15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9" fontId="5" fillId="0" borderId="8" xfId="0" applyNumberFormat="1" applyFont="1" applyBorder="1" applyAlignment="1">
      <alignment vertical="center" shrinkToFit="1"/>
    </xf>
    <xf numFmtId="0" fontId="9" fillId="0" borderId="0" xfId="0" applyFont="1">
      <alignment vertical="center"/>
    </xf>
    <xf numFmtId="38" fontId="0" fillId="0" borderId="8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38" fontId="15" fillId="0" borderId="8" xfId="0" applyNumberFormat="1" applyFont="1" applyBorder="1" applyAlignment="1">
      <alignment horizontal="center" vertical="center"/>
    </xf>
    <xf numFmtId="3" fontId="0" fillId="0" borderId="15" xfId="0" applyNumberFormat="1" applyBorder="1" applyAlignment="1">
      <alignment horizontal="center" vertical="center"/>
    </xf>
    <xf numFmtId="176" fontId="17" fillId="0" borderId="15" xfId="0" applyNumberFormat="1" applyFont="1" applyBorder="1" applyAlignment="1">
      <alignment horizontal="center" vertical="center"/>
    </xf>
    <xf numFmtId="180" fontId="15" fillId="0" borderId="15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0" fillId="0" borderId="7" xfId="0" applyBorder="1" applyAlignment="1">
      <alignment vertical="center" shrinkToFit="1"/>
    </xf>
    <xf numFmtId="176" fontId="7" fillId="0" borderId="15" xfId="0" applyNumberFormat="1" applyFont="1" applyBorder="1" applyAlignment="1">
      <alignment horizontal="center" vertical="center"/>
    </xf>
    <xf numFmtId="3" fontId="0" fillId="8" borderId="8" xfId="0" applyNumberForma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right" vertical="center"/>
    </xf>
    <xf numFmtId="3" fontId="0" fillId="0" borderId="7" xfId="0" applyNumberForma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179" fontId="0" fillId="0" borderId="9" xfId="0" applyNumberFormat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9" fillId="7" borderId="8" xfId="0" applyFont="1" applyFill="1" applyBorder="1">
      <alignment vertical="center"/>
    </xf>
    <xf numFmtId="0" fontId="0" fillId="9" borderId="8" xfId="0" applyFill="1" applyBorder="1" applyAlignment="1">
      <alignment horizontal="center" vertical="center"/>
    </xf>
    <xf numFmtId="56" fontId="0" fillId="0" borderId="10" xfId="0" applyNumberFormat="1" applyBorder="1" applyAlignment="1">
      <alignment horizontal="center" vertical="center"/>
    </xf>
    <xf numFmtId="0" fontId="14" fillId="7" borderId="8" xfId="3" applyFill="1" applyBorder="1" applyAlignment="1">
      <alignment vertical="center"/>
    </xf>
    <xf numFmtId="177" fontId="0" fillId="0" borderId="2" xfId="0" applyNumberFormat="1" applyBorder="1" applyAlignment="1">
      <alignment horizontal="center" vertical="center"/>
    </xf>
    <xf numFmtId="179" fontId="0" fillId="0" borderId="3" xfId="0" applyNumberFormat="1" applyBorder="1" applyAlignment="1">
      <alignment horizontal="center" vertical="center"/>
    </xf>
    <xf numFmtId="179" fontId="0" fillId="0" borderId="8" xfId="0" applyNumberFormat="1" applyBorder="1" applyAlignment="1">
      <alignment horizontal="center" vertical="center"/>
    </xf>
    <xf numFmtId="0" fontId="2" fillId="10" borderId="8" xfId="0" applyFont="1" applyFill="1" applyBorder="1" applyAlignment="1">
      <alignment horizontal="center" vertical="center"/>
    </xf>
    <xf numFmtId="3" fontId="5" fillId="8" borderId="2" xfId="0" applyNumberFormat="1" applyFont="1" applyFill="1" applyBorder="1" applyAlignment="1">
      <alignment horizontal="center" vertical="center"/>
    </xf>
    <xf numFmtId="38" fontId="0" fillId="0" borderId="8" xfId="0" applyNumberFormat="1" applyBorder="1">
      <alignment vertical="center"/>
    </xf>
    <xf numFmtId="0" fontId="0" fillId="7" borderId="8" xfId="0" applyFill="1" applyBorder="1" applyAlignment="1">
      <alignment horizontal="left" vertical="center"/>
    </xf>
    <xf numFmtId="0" fontId="15" fillId="9" borderId="8" xfId="0" applyFont="1" applyFill="1" applyBorder="1" applyAlignment="1">
      <alignment horizontal="left" vertical="center"/>
    </xf>
    <xf numFmtId="0" fontId="0" fillId="9" borderId="8" xfId="0" applyFill="1" applyBorder="1" applyAlignment="1">
      <alignment horizontal="right" vertical="center"/>
    </xf>
    <xf numFmtId="176" fontId="0" fillId="9" borderId="8" xfId="0" applyNumberFormat="1" applyFill="1" applyBorder="1" applyAlignment="1">
      <alignment horizontal="right" vertical="center"/>
    </xf>
    <xf numFmtId="0" fontId="0" fillId="9" borderId="10" xfId="0" applyFill="1" applyBorder="1" applyAlignment="1">
      <alignment horizontal="center" vertical="center"/>
    </xf>
    <xf numFmtId="176" fontId="7" fillId="0" borderId="16" xfId="0" applyNumberFormat="1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176" fontId="20" fillId="5" borderId="8" xfId="0" applyNumberFormat="1" applyFont="1" applyFill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176" fontId="17" fillId="5" borderId="4" xfId="0" applyNumberFormat="1" applyFont="1" applyFill="1" applyBorder="1" applyAlignment="1">
      <alignment horizontal="center" vertical="center"/>
    </xf>
    <xf numFmtId="176" fontId="7" fillId="0" borderId="11" xfId="0" applyNumberFormat="1" applyFont="1" applyBorder="1">
      <alignment vertical="center"/>
    </xf>
    <xf numFmtId="176" fontId="0" fillId="0" borderId="5" xfId="0" applyNumberFormat="1" applyBorder="1">
      <alignment vertical="center"/>
    </xf>
    <xf numFmtId="3" fontId="0" fillId="8" borderId="11" xfId="0" applyNumberForma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left" vertical="center"/>
    </xf>
    <xf numFmtId="0" fontId="0" fillId="8" borderId="8" xfId="0" applyFill="1" applyBorder="1" applyAlignment="1">
      <alignment horizontal="center" vertical="center"/>
    </xf>
    <xf numFmtId="0" fontId="0" fillId="8" borderId="8" xfId="0" applyFill="1" applyBorder="1">
      <alignment vertical="center"/>
    </xf>
    <xf numFmtId="176" fontId="11" fillId="0" borderId="10" xfId="0" applyNumberFormat="1" applyFont="1" applyBorder="1" applyAlignment="1"/>
    <xf numFmtId="0" fontId="14" fillId="9" borderId="8" xfId="3" applyFill="1" applyBorder="1"/>
    <xf numFmtId="176" fontId="11" fillId="9" borderId="8" xfId="0" applyNumberFormat="1" applyFont="1" applyFill="1" applyBorder="1" applyAlignment="1">
      <alignment horizontal="center" vertical="center"/>
    </xf>
    <xf numFmtId="176" fontId="17" fillId="0" borderId="16" xfId="0" applyNumberFormat="1" applyFont="1" applyBorder="1" applyAlignment="1">
      <alignment horizontal="center" vertical="center"/>
    </xf>
    <xf numFmtId="0" fontId="15" fillId="8" borderId="8" xfId="0" applyFont="1" applyFill="1" applyBorder="1" applyAlignment="1">
      <alignment horizontal="center" vertical="center"/>
    </xf>
    <xf numFmtId="0" fontId="19" fillId="8" borderId="0" xfId="0" applyFont="1" applyFill="1">
      <alignment vertical="center"/>
    </xf>
    <xf numFmtId="0" fontId="11" fillId="9" borderId="8" xfId="0" applyFont="1" applyFill="1" applyBorder="1" applyAlignment="1">
      <alignment horizontal="center" vertical="center"/>
    </xf>
    <xf numFmtId="0" fontId="14" fillId="0" borderId="8" xfId="0" applyFont="1" applyBorder="1">
      <alignment vertical="center"/>
    </xf>
    <xf numFmtId="3" fontId="15" fillId="8" borderId="8" xfId="0" applyNumberFormat="1" applyFont="1" applyFill="1" applyBorder="1" applyAlignment="1">
      <alignment horizontal="center" vertical="center"/>
    </xf>
    <xf numFmtId="0" fontId="14" fillId="9" borderId="8" xfId="3" applyFill="1" applyBorder="1" applyAlignment="1">
      <alignment horizontal="right" vertical="center"/>
    </xf>
    <xf numFmtId="176" fontId="14" fillId="0" borderId="8" xfId="0" applyNumberFormat="1" applyFont="1" applyBorder="1" applyAlignment="1">
      <alignment horizontal="right" vertical="center"/>
    </xf>
    <xf numFmtId="176" fontId="0" fillId="0" borderId="8" xfId="0" applyNumberFormat="1" applyBorder="1" applyAlignment="1">
      <alignment horizontal="right" vertical="center"/>
    </xf>
    <xf numFmtId="181" fontId="0" fillId="0" borderId="8" xfId="0" applyNumberFormat="1" applyBorder="1" applyAlignment="1">
      <alignment horizontal="right" vertical="center"/>
    </xf>
    <xf numFmtId="3" fontId="0" fillId="0" borderId="12" xfId="0" applyNumberFormat="1" applyBorder="1" applyAlignment="1">
      <alignment horizontal="center" vertical="center"/>
    </xf>
    <xf numFmtId="176" fontId="0" fillId="0" borderId="17" xfId="0" applyNumberFormat="1" applyBorder="1">
      <alignment vertical="center"/>
    </xf>
    <xf numFmtId="0" fontId="13" fillId="9" borderId="8" xfId="0" applyFont="1" applyFill="1" applyBorder="1" applyAlignment="1">
      <alignment horizontal="center" vertical="center"/>
    </xf>
    <xf numFmtId="0" fontId="11" fillId="9" borderId="8" xfId="0" applyFont="1" applyFill="1" applyBorder="1">
      <alignment vertical="center"/>
    </xf>
    <xf numFmtId="176" fontId="11" fillId="9" borderId="8" xfId="0" applyNumberFormat="1" applyFont="1" applyFill="1" applyBorder="1" applyAlignment="1">
      <alignment horizontal="right" vertical="center"/>
    </xf>
    <xf numFmtId="0" fontId="9" fillId="8" borderId="8" xfId="0" applyFont="1" applyFill="1" applyBorder="1">
      <alignment vertical="center"/>
    </xf>
    <xf numFmtId="3" fontId="0" fillId="9" borderId="8" xfId="0" applyNumberFormat="1" applyFill="1" applyBorder="1" applyAlignment="1">
      <alignment horizontal="center" vertical="center"/>
    </xf>
    <xf numFmtId="176" fontId="13" fillId="9" borderId="8" xfId="0" applyNumberFormat="1" applyFont="1" applyFill="1" applyBorder="1" applyAlignment="1">
      <alignment horizontal="right" vertical="center"/>
    </xf>
    <xf numFmtId="176" fontId="11" fillId="9" borderId="10" xfId="0" applyNumberFormat="1" applyFont="1" applyFill="1" applyBorder="1" applyAlignment="1">
      <alignment horizontal="left" vertical="center"/>
    </xf>
    <xf numFmtId="0" fontId="9" fillId="8" borderId="7" xfId="0" applyFont="1" applyFill="1" applyBorder="1" applyAlignment="1">
      <alignment vertical="center" shrinkToFit="1"/>
    </xf>
    <xf numFmtId="0" fontId="9" fillId="8" borderId="8" xfId="0" applyFont="1" applyFill="1" applyBorder="1" applyAlignment="1">
      <alignment horizontal="center" vertical="center"/>
    </xf>
    <xf numFmtId="0" fontId="9" fillId="8" borderId="11" xfId="0" applyFont="1" applyFill="1" applyBorder="1" applyAlignment="1">
      <alignment horizontal="center" vertical="center"/>
    </xf>
    <xf numFmtId="0" fontId="14" fillId="9" borderId="8" xfId="0" applyFont="1" applyFill="1" applyBorder="1">
      <alignment vertical="center"/>
    </xf>
    <xf numFmtId="176" fontId="0" fillId="9" borderId="8" xfId="0" applyNumberFormat="1" applyFill="1" applyBorder="1" applyAlignment="1">
      <alignment horizontal="center" vertical="center"/>
    </xf>
    <xf numFmtId="176" fontId="0" fillId="9" borderId="8" xfId="0" applyNumberFormat="1" applyFill="1" applyBorder="1">
      <alignment vertical="center"/>
    </xf>
    <xf numFmtId="176" fontId="14" fillId="9" borderId="8" xfId="0" applyNumberFormat="1" applyFont="1" applyFill="1" applyBorder="1">
      <alignment vertical="center"/>
    </xf>
    <xf numFmtId="176" fontId="0" fillId="9" borderId="10" xfId="0" applyNumberFormat="1" applyFill="1" applyBorder="1" applyAlignment="1"/>
    <xf numFmtId="0" fontId="0" fillId="9" borderId="8" xfId="0" applyFill="1" applyBorder="1" applyAlignment="1">
      <alignment horizontal="left" vertical="center"/>
    </xf>
    <xf numFmtId="0" fontId="0" fillId="9" borderId="0" xfId="0" applyFill="1" applyAlignment="1">
      <alignment horizontal="center" vertical="center"/>
    </xf>
    <xf numFmtId="0" fontId="23" fillId="0" borderId="0" xfId="0" applyFont="1" applyAlignment="1">
      <alignment horizontal="left" vertical="center"/>
    </xf>
    <xf numFmtId="182" fontId="20" fillId="5" borderId="8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 shrinkToFit="1"/>
    </xf>
    <xf numFmtId="177" fontId="9" fillId="0" borderId="1" xfId="0" applyNumberFormat="1" applyFont="1" applyBorder="1" applyAlignment="1">
      <alignment horizontal="center" vertical="center"/>
    </xf>
    <xf numFmtId="3" fontId="9" fillId="9" borderId="8" xfId="0" applyNumberFormat="1" applyFont="1" applyFill="1" applyBorder="1" applyAlignment="1">
      <alignment horizontal="center" vertical="center"/>
    </xf>
    <xf numFmtId="0" fontId="9" fillId="0" borderId="7" xfId="0" applyFont="1" applyBorder="1" applyAlignment="1">
      <alignment vertical="center" shrinkToFit="1"/>
    </xf>
    <xf numFmtId="0" fontId="3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3" fontId="18" fillId="4" borderId="10" xfId="0" applyNumberFormat="1" applyFont="1" applyFill="1" applyBorder="1" applyAlignment="1">
      <alignment horizontal="center" vertical="center"/>
    </xf>
    <xf numFmtId="3" fontId="18" fillId="4" borderId="14" xfId="0" applyNumberFormat="1" applyFont="1" applyFill="1" applyBorder="1" applyAlignment="1">
      <alignment horizontal="center" vertical="center"/>
    </xf>
    <xf numFmtId="3" fontId="18" fillId="4" borderId="13" xfId="0" applyNumberFormat="1" applyFont="1" applyFill="1" applyBorder="1" applyAlignment="1">
      <alignment horizontal="center" vertical="center"/>
    </xf>
    <xf numFmtId="3" fontId="18" fillId="4" borderId="12" xfId="0" applyNumberFormat="1" applyFont="1" applyFill="1" applyBorder="1" applyAlignment="1">
      <alignment horizontal="center" vertical="center"/>
    </xf>
    <xf numFmtId="3" fontId="18" fillId="4" borderId="17" xfId="0" applyNumberFormat="1" applyFont="1" applyFill="1" applyBorder="1" applyAlignment="1">
      <alignment horizontal="center" vertical="center"/>
    </xf>
    <xf numFmtId="3" fontId="16" fillId="2" borderId="11" xfId="0" applyNumberFormat="1" applyFont="1" applyFill="1" applyBorder="1" applyAlignment="1">
      <alignment horizontal="center" vertical="center"/>
    </xf>
    <xf numFmtId="3" fontId="2" fillId="2" borderId="11" xfId="0" applyNumberFormat="1" applyFont="1" applyFill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176" fontId="7" fillId="0" borderId="6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3" fontId="2" fillId="11" borderId="10" xfId="0" applyNumberFormat="1" applyFont="1" applyFill="1" applyBorder="1" applyAlignment="1">
      <alignment horizontal="center" vertical="center"/>
    </xf>
    <xf numFmtId="3" fontId="2" fillId="11" borderId="14" xfId="0" applyNumberFormat="1" applyFont="1" applyFill="1" applyBorder="1" applyAlignment="1">
      <alignment horizontal="center" vertical="center"/>
    </xf>
    <xf numFmtId="3" fontId="2" fillId="11" borderId="13" xfId="0" applyNumberFormat="1" applyFont="1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</cellXfs>
  <cellStyles count="6">
    <cellStyle name="ハイパーリンク" xfId="2" xr:uid="{00000000-0005-0000-0000-000000000000}"/>
    <cellStyle name="標準" xfId="0" builtinId="0"/>
    <cellStyle name="標準 2" xfId="5" xr:uid="{C2CBC382-4BC1-4D3B-B64A-4DC2C10C5618}"/>
    <cellStyle name="標準 3" xfId="4" xr:uid="{1B9717F3-D5E1-4047-8E84-2BA2544C8F2B}"/>
    <cellStyle name="標準_発注管理表" xfId="3" xr:uid="{00000000-0005-0000-0000-000002000000}"/>
    <cellStyle name="表示済みのハイパーリンク" xfId="1" xr:uid="{00000000-0005-0000-0000-000003000000}"/>
  </cellStyles>
  <dxfs count="0"/>
  <tableStyles count="0" defaultTableStyle="TableStyleMedium9" defaultPivotStyle="PivotStyleMedium9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753E7-AF7F-4459-8AB2-78F900AEE91B}">
  <sheetPr>
    <tabColor rgb="FFFFC000"/>
  </sheetPr>
  <dimension ref="A2:R61"/>
  <sheetViews>
    <sheetView tabSelected="1" topLeftCell="B1" zoomScale="70" zoomScaleNormal="70" workbookViewId="0">
      <pane ySplit="10" topLeftCell="A11" activePane="bottomLeft" state="frozen"/>
      <selection activeCell="B1" sqref="B1"/>
      <selection pane="bottomLeft" activeCell="Q25" sqref="Q25"/>
    </sheetView>
  </sheetViews>
  <sheetFormatPr defaultColWidth="11.81640625" defaultRowHeight="13.5" customHeight="1" x14ac:dyDescent="0.2"/>
  <cols>
    <col min="1" max="1" width="18.6328125" customWidth="1"/>
    <col min="2" max="2" width="17" customWidth="1"/>
    <col min="3" max="3" width="6.1796875" style="5" customWidth="1"/>
    <col min="4" max="4" width="15.1796875" customWidth="1"/>
    <col min="5" max="5" width="15.453125" customWidth="1"/>
    <col min="6" max="6" width="71.453125" customWidth="1"/>
    <col min="7" max="7" width="10.81640625" style="5" customWidth="1"/>
    <col min="8" max="9" width="12.08984375" style="5" customWidth="1"/>
    <col min="10" max="10" width="7.08984375" style="10" customWidth="1"/>
    <col min="11" max="11" width="50.453125" customWidth="1"/>
    <col min="12" max="12" width="24.90625" customWidth="1"/>
    <col min="13" max="13" width="23" style="5" customWidth="1"/>
    <col min="14" max="14" width="17" style="5" customWidth="1"/>
    <col min="15" max="15" width="9.1796875" customWidth="1"/>
    <col min="16" max="16" width="16.36328125" style="5" customWidth="1"/>
    <col min="17" max="17" width="17.90625" style="29" customWidth="1"/>
    <col min="18" max="18" width="19.36328125" style="29" customWidth="1"/>
  </cols>
  <sheetData>
    <row r="2" spans="1:18" ht="20.149999999999999" customHeight="1" x14ac:dyDescent="0.2">
      <c r="C2" s="128" t="s">
        <v>0</v>
      </c>
      <c r="D2" s="128"/>
      <c r="E2" s="128"/>
      <c r="F2" s="22" t="s">
        <v>68</v>
      </c>
      <c r="H2" s="129" t="s">
        <v>1</v>
      </c>
      <c r="I2" s="130"/>
      <c r="J2" s="131"/>
      <c r="K2" s="9">
        <f>SUM(I:I)</f>
        <v>206470</v>
      </c>
    </row>
    <row r="3" spans="1:18" ht="20.149999999999999" customHeight="1" x14ac:dyDescent="0.2">
      <c r="C3" s="128" t="s">
        <v>2</v>
      </c>
      <c r="D3" s="128"/>
      <c r="E3" s="128"/>
      <c r="F3" s="7" t="s">
        <v>33</v>
      </c>
    </row>
    <row r="4" spans="1:18" ht="20.149999999999999" customHeight="1" x14ac:dyDescent="0.2">
      <c r="C4" s="128" t="s">
        <v>3</v>
      </c>
      <c r="D4" s="128"/>
      <c r="E4" s="128"/>
      <c r="F4" s="7" t="s">
        <v>59</v>
      </c>
      <c r="H4" s="133" t="s">
        <v>69</v>
      </c>
      <c r="I4" s="132" t="s">
        <v>32</v>
      </c>
      <c r="J4" s="132"/>
      <c r="K4" s="132"/>
      <c r="L4" s="39"/>
    </row>
    <row r="5" spans="1:18" ht="20.149999999999999" customHeight="1" x14ac:dyDescent="0.2">
      <c r="C5" s="128" t="s">
        <v>4</v>
      </c>
      <c r="D5" s="128"/>
      <c r="E5" s="128"/>
      <c r="F5" s="8">
        <v>45908</v>
      </c>
      <c r="H5" s="133"/>
      <c r="I5" s="132"/>
      <c r="J5" s="132"/>
      <c r="K5" s="132"/>
    </row>
    <row r="6" spans="1:18" ht="20.149999999999999" customHeight="1" x14ac:dyDescent="0.2">
      <c r="C6" s="128" t="s">
        <v>5</v>
      </c>
      <c r="D6" s="128"/>
      <c r="E6" s="128"/>
      <c r="F6" s="8">
        <v>45909</v>
      </c>
      <c r="H6" s="144" t="s">
        <v>67</v>
      </c>
      <c r="I6" s="144"/>
      <c r="J6" s="144"/>
      <c r="K6" s="144"/>
    </row>
    <row r="8" spans="1:18" ht="29" customHeight="1" x14ac:dyDescent="0.2">
      <c r="H8" s="121"/>
      <c r="I8" s="122" t="s">
        <v>70</v>
      </c>
    </row>
    <row r="10" spans="1:18" s="5" customFormat="1" ht="19.5" customHeight="1" x14ac:dyDescent="0.2">
      <c r="A10" s="86" t="s">
        <v>41</v>
      </c>
      <c r="B10" s="54" t="s">
        <v>29</v>
      </c>
      <c r="C10" s="53" t="s">
        <v>6</v>
      </c>
      <c r="D10" s="2" t="s">
        <v>7</v>
      </c>
      <c r="E10" s="2" t="s">
        <v>8</v>
      </c>
      <c r="F10" s="17" t="s">
        <v>9</v>
      </c>
      <c r="G10" s="17" t="s">
        <v>10</v>
      </c>
      <c r="H10" s="17" t="s">
        <v>11</v>
      </c>
      <c r="I10" s="1" t="s">
        <v>12</v>
      </c>
      <c r="J10" s="1" t="s">
        <v>13</v>
      </c>
      <c r="K10" s="17" t="s">
        <v>14</v>
      </c>
      <c r="L10" s="17" t="s">
        <v>15</v>
      </c>
      <c r="M10" s="17" t="s">
        <v>16</v>
      </c>
      <c r="N10" s="19" t="s">
        <v>17</v>
      </c>
      <c r="O10" s="2" t="s">
        <v>18</v>
      </c>
      <c r="P10" s="17" t="s">
        <v>19</v>
      </c>
      <c r="Q10" s="19" t="s">
        <v>20</v>
      </c>
      <c r="R10" s="6" t="s">
        <v>21</v>
      </c>
    </row>
    <row r="11" spans="1:18" ht="18" customHeight="1" x14ac:dyDescent="0.2">
      <c r="A11" s="23"/>
      <c r="B11" s="23"/>
      <c r="C11" s="47"/>
      <c r="D11" s="25"/>
      <c r="E11" s="32"/>
      <c r="F11" s="76"/>
      <c r="G11" s="49"/>
      <c r="H11" s="49"/>
      <c r="I11" s="49"/>
      <c r="J11" s="33"/>
      <c r="K11" s="26"/>
      <c r="L11" s="48"/>
      <c r="M11" s="3"/>
      <c r="N11" s="19"/>
      <c r="O11" s="6"/>
      <c r="P11" s="6"/>
      <c r="Q11" s="19"/>
      <c r="R11" s="12"/>
    </row>
    <row r="12" spans="1:18" ht="18" customHeight="1" x14ac:dyDescent="0.2">
      <c r="A12" s="23"/>
      <c r="B12" s="23"/>
      <c r="C12" s="47"/>
      <c r="D12" s="103"/>
      <c r="E12" s="104"/>
      <c r="F12" s="76"/>
      <c r="G12" s="49"/>
      <c r="H12" s="49"/>
      <c r="I12" s="49"/>
      <c r="J12" s="33"/>
      <c r="K12" s="26"/>
      <c r="L12" s="48"/>
      <c r="M12" s="3"/>
      <c r="N12" s="19"/>
      <c r="O12" s="6"/>
      <c r="P12" s="6"/>
      <c r="Q12" s="19"/>
      <c r="R12" s="12"/>
    </row>
    <row r="13" spans="1:18" ht="18" customHeight="1" x14ac:dyDescent="0.2">
      <c r="A13" s="23"/>
      <c r="B13" s="89"/>
      <c r="C13" s="47"/>
      <c r="D13" s="137" t="s">
        <v>40</v>
      </c>
      <c r="E13" s="138"/>
      <c r="F13" s="136"/>
      <c r="G13" s="49"/>
      <c r="H13" s="49"/>
      <c r="I13" s="49"/>
      <c r="J13" s="33"/>
      <c r="K13" s="26"/>
      <c r="L13" s="48"/>
      <c r="M13" s="3"/>
      <c r="N13" s="19"/>
      <c r="O13" s="6"/>
      <c r="P13" s="6"/>
      <c r="Q13" s="19"/>
      <c r="R13" s="12"/>
    </row>
    <row r="14" spans="1:18" ht="18" customHeight="1" x14ac:dyDescent="0.2">
      <c r="A14" s="113" t="s">
        <v>62</v>
      </c>
      <c r="B14" s="23"/>
      <c r="C14" s="50">
        <v>1</v>
      </c>
      <c r="D14" s="77" t="s">
        <v>39</v>
      </c>
      <c r="E14" s="77" t="s">
        <v>39</v>
      </c>
      <c r="F14" s="87" t="s">
        <v>64</v>
      </c>
      <c r="G14" s="148">
        <v>1</v>
      </c>
      <c r="H14" s="52">
        <v>81000</v>
      </c>
      <c r="I14" s="101">
        <f t="shared" ref="I14:I16" si="0">G14*H14</f>
        <v>81000</v>
      </c>
      <c r="J14" s="56"/>
      <c r="K14" s="87" t="s">
        <v>42</v>
      </c>
      <c r="L14" s="112" t="s">
        <v>61</v>
      </c>
      <c r="M14" s="124" t="s">
        <v>71</v>
      </c>
      <c r="N14" s="19">
        <v>45876</v>
      </c>
      <c r="O14" s="6"/>
      <c r="P14" s="125" t="s">
        <v>72</v>
      </c>
      <c r="Q14" s="125" t="s">
        <v>74</v>
      </c>
      <c r="R14" s="12"/>
    </row>
    <row r="15" spans="1:18" ht="18" customHeight="1" x14ac:dyDescent="0.2">
      <c r="A15" s="114" t="s">
        <v>62</v>
      </c>
      <c r="B15" s="23"/>
      <c r="C15" s="85">
        <f>+C14+1</f>
        <v>2</v>
      </c>
      <c r="D15" s="77" t="s">
        <v>39</v>
      </c>
      <c r="E15" s="77" t="s">
        <v>39</v>
      </c>
      <c r="F15" s="108" t="s">
        <v>65</v>
      </c>
      <c r="G15" s="149"/>
      <c r="H15" s="52"/>
      <c r="I15" s="102"/>
      <c r="J15" s="26"/>
      <c r="K15" s="108" t="s">
        <v>43</v>
      </c>
      <c r="L15" s="112" t="s">
        <v>61</v>
      </c>
      <c r="M15" s="124" t="s">
        <v>71</v>
      </c>
      <c r="N15" s="19">
        <v>45876</v>
      </c>
      <c r="O15" s="6"/>
      <c r="P15" s="125" t="s">
        <v>72</v>
      </c>
      <c r="Q15" s="125" t="s">
        <v>74</v>
      </c>
      <c r="R15" s="12"/>
    </row>
    <row r="16" spans="1:18" ht="18" customHeight="1" x14ac:dyDescent="0.2">
      <c r="A16" s="114" t="s">
        <v>62</v>
      </c>
      <c r="B16" s="23"/>
      <c r="C16" s="85">
        <f t="shared" ref="C16" si="1">+C15+1</f>
        <v>3</v>
      </c>
      <c r="D16" s="77" t="s">
        <v>39</v>
      </c>
      <c r="E16" s="77" t="s">
        <v>39</v>
      </c>
      <c r="F16" s="108" t="s">
        <v>66</v>
      </c>
      <c r="G16" s="88">
        <v>1</v>
      </c>
      <c r="H16" s="52">
        <v>2000</v>
      </c>
      <c r="I16" s="101">
        <f t="shared" si="0"/>
        <v>2000</v>
      </c>
      <c r="J16" s="56"/>
      <c r="K16" s="108" t="s">
        <v>63</v>
      </c>
      <c r="L16" s="112" t="s">
        <v>61</v>
      </c>
      <c r="M16" s="124" t="s">
        <v>71</v>
      </c>
      <c r="N16" s="19">
        <v>45876</v>
      </c>
      <c r="O16" s="6"/>
      <c r="P16" s="125" t="s">
        <v>72</v>
      </c>
      <c r="Q16" s="125" t="s">
        <v>74</v>
      </c>
      <c r="R16" s="12"/>
    </row>
    <row r="17" spans="1:18" ht="18" customHeight="1" x14ac:dyDescent="0.2">
      <c r="A17" s="23"/>
      <c r="B17" s="23"/>
      <c r="C17" s="47"/>
      <c r="D17" s="25"/>
      <c r="E17" s="32"/>
      <c r="F17" s="76"/>
      <c r="G17" s="49"/>
      <c r="H17" s="49"/>
      <c r="I17" s="49"/>
      <c r="J17" s="33"/>
      <c r="K17" s="26"/>
      <c r="L17" s="48"/>
      <c r="M17" s="3"/>
      <c r="N17" s="19"/>
      <c r="O17" s="6"/>
      <c r="P17" s="6"/>
      <c r="Q17" s="19"/>
      <c r="R17" s="12"/>
    </row>
    <row r="18" spans="1:18" ht="18" customHeight="1" x14ac:dyDescent="0.2">
      <c r="A18" s="23"/>
      <c r="B18" s="23"/>
      <c r="C18" s="47"/>
      <c r="D18" s="25"/>
      <c r="E18" s="32"/>
      <c r="F18" s="78">
        <f>SUM(I14:I17)</f>
        <v>83000</v>
      </c>
      <c r="G18" s="49"/>
      <c r="H18" s="49"/>
      <c r="I18" s="49"/>
      <c r="J18" s="33"/>
      <c r="K18" s="26"/>
      <c r="L18" s="48"/>
      <c r="M18" s="3"/>
      <c r="N18" s="19"/>
      <c r="O18" s="6"/>
      <c r="P18" s="6"/>
      <c r="Q18" s="19"/>
      <c r="R18" s="12"/>
    </row>
    <row r="19" spans="1:18" ht="18" customHeight="1" x14ac:dyDescent="0.2">
      <c r="A19" s="23"/>
      <c r="B19" s="23"/>
      <c r="C19" s="47"/>
      <c r="D19" s="25"/>
      <c r="E19" s="32"/>
      <c r="F19" s="76"/>
      <c r="G19" s="49"/>
      <c r="H19" s="49"/>
      <c r="I19" s="49"/>
      <c r="J19" s="33"/>
      <c r="K19" s="26"/>
      <c r="L19" s="48"/>
      <c r="M19" s="3"/>
      <c r="N19" s="19"/>
      <c r="O19" s="6"/>
      <c r="P19" s="6"/>
      <c r="Q19" s="19"/>
      <c r="R19" s="12"/>
    </row>
    <row r="20" spans="1:18" ht="18" customHeight="1" x14ac:dyDescent="0.2">
      <c r="A20" s="23"/>
      <c r="B20" s="23"/>
      <c r="C20" s="47"/>
      <c r="D20" s="25"/>
      <c r="E20" s="32"/>
      <c r="F20" s="76"/>
      <c r="G20" s="49"/>
      <c r="H20" s="49"/>
      <c r="I20" s="49"/>
      <c r="J20" s="33"/>
      <c r="K20" s="26"/>
      <c r="L20" s="48"/>
      <c r="M20" s="3"/>
      <c r="N20" s="19"/>
      <c r="O20" s="6"/>
      <c r="P20" s="6"/>
      <c r="Q20" s="19"/>
      <c r="R20" s="12"/>
    </row>
    <row r="21" spans="1:18" ht="18" customHeight="1" x14ac:dyDescent="0.2">
      <c r="A21" s="23"/>
      <c r="B21" s="23"/>
      <c r="C21" s="47"/>
      <c r="D21" s="25"/>
      <c r="E21" s="32"/>
      <c r="F21" s="76"/>
      <c r="G21" s="49"/>
      <c r="H21" s="49"/>
      <c r="I21" s="49"/>
      <c r="J21" s="33"/>
      <c r="K21" s="26"/>
      <c r="L21" s="48"/>
      <c r="M21" s="3"/>
      <c r="N21" s="19"/>
      <c r="O21" s="6"/>
      <c r="P21" s="6"/>
      <c r="Q21" s="19"/>
      <c r="R21" s="12"/>
    </row>
    <row r="22" spans="1:18" ht="18" customHeight="1" x14ac:dyDescent="0.2">
      <c r="A22" s="23"/>
      <c r="B22" s="23"/>
      <c r="C22" s="25"/>
      <c r="D22" s="145" t="s">
        <v>55</v>
      </c>
      <c r="E22" s="146"/>
      <c r="F22" s="146"/>
      <c r="G22" s="147"/>
      <c r="H22" s="32"/>
      <c r="I22" s="32"/>
      <c r="J22" s="35"/>
      <c r="K22" s="26"/>
      <c r="L22" s="48"/>
      <c r="M22" s="3"/>
      <c r="N22" s="19"/>
      <c r="O22" s="6"/>
      <c r="P22" s="6"/>
      <c r="Q22" s="19"/>
      <c r="R22" s="12"/>
    </row>
    <row r="23" spans="1:18" ht="18" customHeight="1" x14ac:dyDescent="0.2">
      <c r="A23" s="94" t="s">
        <v>28</v>
      </c>
      <c r="B23" s="23"/>
      <c r="C23" s="98">
        <f>+C16+1</f>
        <v>4</v>
      </c>
      <c r="D23" s="109" t="s">
        <v>56</v>
      </c>
      <c r="E23" s="126" t="s">
        <v>73</v>
      </c>
      <c r="F23" s="115" t="s">
        <v>57</v>
      </c>
      <c r="G23" s="116">
        <v>2</v>
      </c>
      <c r="H23" s="117">
        <v>39900</v>
      </c>
      <c r="I23" s="118">
        <f>G23*H23</f>
        <v>79800</v>
      </c>
      <c r="J23" s="119"/>
      <c r="K23" s="120" t="s">
        <v>58</v>
      </c>
      <c r="L23" s="127" t="s">
        <v>76</v>
      </c>
      <c r="M23" s="124" t="s">
        <v>71</v>
      </c>
      <c r="N23" s="19">
        <v>45887</v>
      </c>
      <c r="O23" s="6"/>
      <c r="P23" s="125" t="s">
        <v>72</v>
      </c>
      <c r="Q23" s="125" t="s">
        <v>77</v>
      </c>
      <c r="R23" s="12"/>
    </row>
    <row r="24" spans="1:18" ht="18" customHeight="1" x14ac:dyDescent="0.2">
      <c r="A24" s="94"/>
      <c r="B24" s="23"/>
      <c r="C24" s="98">
        <f>+C23+1</f>
        <v>5</v>
      </c>
      <c r="D24" s="109"/>
      <c r="E24" s="126"/>
      <c r="F24" s="115" t="s">
        <v>63</v>
      </c>
      <c r="G24" s="116">
        <v>1</v>
      </c>
      <c r="H24" s="117">
        <v>1000</v>
      </c>
      <c r="I24" s="118">
        <f>G24*H24</f>
        <v>1000</v>
      </c>
      <c r="J24" s="119"/>
      <c r="K24" s="120"/>
      <c r="L24" s="48"/>
      <c r="M24" s="124"/>
      <c r="N24" s="19"/>
      <c r="O24" s="6"/>
      <c r="P24" s="125"/>
      <c r="Q24" s="19"/>
      <c r="R24" s="12"/>
    </row>
    <row r="25" spans="1:18" ht="18" customHeight="1" x14ac:dyDescent="0.2">
      <c r="A25" s="23"/>
      <c r="B25" s="23"/>
      <c r="C25" s="25"/>
      <c r="D25" s="25"/>
      <c r="E25" s="25"/>
      <c r="F25" s="97"/>
      <c r="G25" s="31"/>
      <c r="H25" s="32"/>
      <c r="I25" s="32"/>
      <c r="J25" s="35"/>
      <c r="K25" s="26"/>
      <c r="L25" s="48"/>
      <c r="M25" s="3"/>
      <c r="N25" s="19"/>
      <c r="O25" s="6"/>
      <c r="P25" s="6"/>
      <c r="Q25" s="19"/>
      <c r="R25" s="12"/>
    </row>
    <row r="26" spans="1:18" ht="18" customHeight="1" x14ac:dyDescent="0.2">
      <c r="A26" s="23"/>
      <c r="B26" s="23"/>
      <c r="C26" s="25"/>
      <c r="D26" s="24"/>
      <c r="E26" s="24"/>
      <c r="F26" s="123">
        <f>SUM(I23:I25)</f>
        <v>80800</v>
      </c>
      <c r="G26" s="31"/>
      <c r="H26" s="32"/>
      <c r="I26" s="32"/>
      <c r="J26" s="35"/>
      <c r="K26" s="34"/>
      <c r="L26" s="48"/>
      <c r="M26" s="3"/>
      <c r="N26" s="19"/>
      <c r="O26" s="6"/>
      <c r="P26" s="6"/>
      <c r="Q26" s="19"/>
      <c r="R26" s="12"/>
    </row>
    <row r="27" spans="1:18" ht="18" customHeight="1" x14ac:dyDescent="0.2">
      <c r="A27" s="23"/>
      <c r="B27" s="23"/>
      <c r="C27" s="47"/>
      <c r="D27" s="25"/>
      <c r="E27" s="32"/>
      <c r="F27" s="76"/>
      <c r="G27" s="49"/>
      <c r="H27" s="49"/>
      <c r="I27" s="49"/>
      <c r="J27" s="33"/>
      <c r="K27" s="26"/>
      <c r="L27" s="48"/>
      <c r="M27" s="3"/>
      <c r="N27" s="19"/>
      <c r="O27" s="6"/>
      <c r="P27" s="6"/>
      <c r="Q27" s="19"/>
      <c r="R27" s="12"/>
    </row>
    <row r="28" spans="1:18" ht="18" customHeight="1" x14ac:dyDescent="0.2">
      <c r="A28" s="23"/>
      <c r="B28" s="23"/>
      <c r="C28" s="47"/>
      <c r="D28" s="25"/>
      <c r="E28" s="32"/>
      <c r="F28" s="76"/>
      <c r="G28" s="49"/>
      <c r="H28" s="49"/>
      <c r="I28" s="49"/>
      <c r="J28" s="33"/>
      <c r="K28" s="26"/>
      <c r="L28" s="48"/>
      <c r="M28" s="3"/>
      <c r="N28" s="19"/>
      <c r="O28" s="6"/>
      <c r="P28" s="6"/>
      <c r="Q28" s="19"/>
      <c r="R28" s="12"/>
    </row>
    <row r="29" spans="1:18" ht="18" customHeight="1" x14ac:dyDescent="0.2">
      <c r="A29" s="23"/>
      <c r="B29" s="23"/>
      <c r="C29" s="47"/>
      <c r="D29" s="25"/>
      <c r="E29" s="32"/>
      <c r="F29" s="76"/>
      <c r="G29" s="49"/>
      <c r="H29" s="49"/>
      <c r="I29" s="49"/>
      <c r="J29" s="33"/>
      <c r="K29" s="26"/>
      <c r="L29" s="48"/>
      <c r="M29" s="3"/>
      <c r="N29" s="19"/>
      <c r="O29" s="6"/>
      <c r="P29" s="6"/>
      <c r="Q29" s="19"/>
      <c r="R29" s="12"/>
    </row>
    <row r="30" spans="1:18" ht="18" customHeight="1" x14ac:dyDescent="0.2">
      <c r="A30" s="23"/>
      <c r="B30" s="89"/>
      <c r="C30" s="47"/>
      <c r="D30" s="134" t="s">
        <v>38</v>
      </c>
      <c r="E30" s="135"/>
      <c r="F30" s="136"/>
      <c r="G30" s="49"/>
      <c r="H30" s="49"/>
      <c r="I30" s="49"/>
      <c r="J30" s="33"/>
      <c r="K30" s="26"/>
      <c r="L30" s="48"/>
      <c r="M30" s="3"/>
      <c r="N30" s="19"/>
      <c r="O30" s="6"/>
      <c r="P30" s="6"/>
      <c r="Q30" s="19"/>
      <c r="R30" s="12"/>
    </row>
    <row r="31" spans="1:18" ht="18" customHeight="1" x14ac:dyDescent="0.2">
      <c r="A31" s="59" t="s">
        <v>31</v>
      </c>
      <c r="B31" s="23"/>
      <c r="C31" s="50">
        <f>+C24+1</f>
        <v>6</v>
      </c>
      <c r="D31" s="96" t="s">
        <v>37</v>
      </c>
      <c r="E31" s="105" t="s">
        <v>35</v>
      </c>
      <c r="F31" s="106" t="s">
        <v>44</v>
      </c>
      <c r="G31" s="96">
        <v>1</v>
      </c>
      <c r="H31" s="107">
        <v>10610</v>
      </c>
      <c r="I31" s="110">
        <f>G31*H31</f>
        <v>10610</v>
      </c>
      <c r="J31" s="111"/>
      <c r="K31" s="106" t="s">
        <v>45</v>
      </c>
      <c r="L31" s="48"/>
      <c r="M31" s="124" t="s">
        <v>71</v>
      </c>
      <c r="N31" s="19">
        <v>45877</v>
      </c>
      <c r="O31" s="6"/>
      <c r="P31" s="125" t="s">
        <v>72</v>
      </c>
      <c r="Q31" s="125" t="s">
        <v>75</v>
      </c>
      <c r="R31" s="12"/>
    </row>
    <row r="32" spans="1:18" ht="18" customHeight="1" x14ac:dyDescent="0.2">
      <c r="A32" s="23"/>
      <c r="B32" s="23"/>
      <c r="C32" s="47"/>
      <c r="D32" s="25"/>
      <c r="E32" s="32"/>
      <c r="F32" s="49"/>
      <c r="G32" s="49"/>
      <c r="H32" s="49"/>
      <c r="I32" s="49"/>
      <c r="J32" s="33"/>
      <c r="K32" s="26"/>
      <c r="L32" s="48"/>
      <c r="M32" s="3"/>
      <c r="N32" s="19"/>
      <c r="O32" s="6"/>
      <c r="P32" s="6"/>
      <c r="Q32" s="19"/>
      <c r="R32" s="12"/>
    </row>
    <row r="33" spans="1:18" ht="18" customHeight="1" x14ac:dyDescent="0.2">
      <c r="A33" s="23"/>
      <c r="B33" s="23"/>
      <c r="C33" s="47"/>
      <c r="D33" s="25"/>
      <c r="E33" s="32"/>
      <c r="F33" s="78">
        <f>SUM(I31:I33)</f>
        <v>10610</v>
      </c>
      <c r="G33" s="49"/>
      <c r="H33" s="49"/>
      <c r="I33" s="49"/>
      <c r="J33" s="33"/>
      <c r="K33" s="26"/>
      <c r="L33" s="48"/>
      <c r="M33" s="3"/>
      <c r="N33" s="19"/>
      <c r="O33" s="6"/>
      <c r="P33" s="6"/>
      <c r="Q33" s="19"/>
      <c r="R33" s="12"/>
    </row>
    <row r="34" spans="1:18" ht="18" customHeight="1" x14ac:dyDescent="0.2">
      <c r="A34" s="23"/>
      <c r="B34" s="23"/>
      <c r="C34" s="47"/>
      <c r="D34" s="25"/>
      <c r="E34" s="32"/>
      <c r="F34" s="49"/>
      <c r="G34" s="49"/>
      <c r="H34" s="49"/>
      <c r="I34" s="49"/>
      <c r="J34" s="33"/>
      <c r="K34" s="26"/>
      <c r="L34" s="48"/>
      <c r="M34" s="3"/>
      <c r="N34" s="19"/>
      <c r="O34" s="6"/>
      <c r="P34" s="6"/>
      <c r="Q34" s="19"/>
      <c r="R34" s="12"/>
    </row>
    <row r="35" spans="1:18" ht="18" customHeight="1" x14ac:dyDescent="0.2">
      <c r="A35" s="23"/>
      <c r="B35" s="23"/>
      <c r="C35" s="47"/>
      <c r="D35" s="25"/>
      <c r="E35" s="32"/>
      <c r="F35" s="44"/>
      <c r="G35" s="45"/>
      <c r="H35" s="46"/>
      <c r="I35" s="31"/>
      <c r="J35" s="24"/>
      <c r="K35" s="30"/>
      <c r="L35" s="48"/>
      <c r="M35" s="3"/>
      <c r="N35" s="19"/>
      <c r="O35" s="6"/>
      <c r="P35" s="6"/>
      <c r="Q35" s="19"/>
      <c r="R35" s="12"/>
    </row>
    <row r="36" spans="1:18" ht="18" customHeight="1" x14ac:dyDescent="0.2">
      <c r="A36" s="23"/>
      <c r="B36" s="23"/>
      <c r="C36" s="47"/>
      <c r="D36" s="25"/>
      <c r="E36" s="32"/>
      <c r="F36" s="93"/>
      <c r="G36" s="45"/>
      <c r="H36" s="46"/>
      <c r="I36" s="31"/>
      <c r="J36" s="24"/>
      <c r="K36" s="30"/>
      <c r="L36" s="48"/>
      <c r="M36" s="3"/>
      <c r="N36" s="19"/>
      <c r="O36" s="6"/>
      <c r="P36" s="6"/>
      <c r="Q36" s="19"/>
      <c r="R36" s="12"/>
    </row>
    <row r="37" spans="1:18" ht="18" customHeight="1" x14ac:dyDescent="0.2">
      <c r="A37" s="23"/>
      <c r="B37" s="89"/>
      <c r="C37" s="47"/>
      <c r="D37" s="137" t="s">
        <v>53</v>
      </c>
      <c r="E37" s="138"/>
      <c r="F37" s="136"/>
      <c r="G37" s="49"/>
      <c r="H37" s="49"/>
      <c r="I37" s="49"/>
      <c r="J37" s="33"/>
      <c r="K37" s="26"/>
      <c r="L37" s="48"/>
      <c r="M37" s="3"/>
      <c r="N37" s="19"/>
      <c r="O37" s="6"/>
      <c r="P37" s="6"/>
      <c r="Q37" s="19"/>
      <c r="R37" s="12"/>
    </row>
    <row r="38" spans="1:18" ht="18" customHeight="1" x14ac:dyDescent="0.2">
      <c r="A38" s="59" t="s">
        <v>31</v>
      </c>
      <c r="B38" s="23"/>
      <c r="C38" s="50">
        <f>+C31+1</f>
        <v>7</v>
      </c>
      <c r="D38" s="96" t="s">
        <v>37</v>
      </c>
      <c r="E38" s="105" t="s">
        <v>35</v>
      </c>
      <c r="F38" s="106" t="s">
        <v>54</v>
      </c>
      <c r="G38" s="96">
        <v>2</v>
      </c>
      <c r="H38" s="107">
        <v>10500</v>
      </c>
      <c r="I38" s="110">
        <f>G38*H38</f>
        <v>21000</v>
      </c>
      <c r="J38" s="111"/>
      <c r="K38" s="106" t="s">
        <v>45</v>
      </c>
      <c r="L38" s="48"/>
      <c r="M38" s="124" t="s">
        <v>71</v>
      </c>
      <c r="N38" s="19">
        <v>45877</v>
      </c>
      <c r="O38" s="6"/>
      <c r="P38" s="125" t="s">
        <v>72</v>
      </c>
      <c r="Q38" s="125" t="s">
        <v>75</v>
      </c>
      <c r="R38" s="12"/>
    </row>
    <row r="39" spans="1:18" ht="18" customHeight="1" x14ac:dyDescent="0.2">
      <c r="A39" s="23"/>
      <c r="B39" s="23"/>
      <c r="C39" s="47"/>
      <c r="D39" s="25"/>
      <c r="E39" s="32"/>
      <c r="F39" s="49"/>
      <c r="G39" s="49"/>
      <c r="H39" s="49"/>
      <c r="I39" s="49"/>
      <c r="J39" s="33"/>
      <c r="K39" s="26"/>
      <c r="L39" s="48"/>
      <c r="M39" s="3"/>
      <c r="N39" s="19"/>
      <c r="O39" s="6"/>
      <c r="P39" s="6"/>
      <c r="Q39" s="19"/>
      <c r="R39" s="12"/>
    </row>
    <row r="40" spans="1:18" ht="18" customHeight="1" x14ac:dyDescent="0.2">
      <c r="A40" s="23"/>
      <c r="B40" s="23"/>
      <c r="C40" s="47"/>
      <c r="D40" s="25"/>
      <c r="E40" s="32"/>
      <c r="F40" s="78">
        <f>SUM(I38:I40)</f>
        <v>21000</v>
      </c>
      <c r="G40" s="49"/>
      <c r="H40" s="49"/>
      <c r="I40" s="49"/>
      <c r="J40" s="33"/>
      <c r="K40" s="26"/>
      <c r="L40" s="48"/>
      <c r="M40" s="3"/>
      <c r="N40" s="19"/>
      <c r="O40" s="6"/>
      <c r="P40" s="6"/>
      <c r="Q40" s="19"/>
      <c r="R40" s="12"/>
    </row>
    <row r="41" spans="1:18" ht="18" customHeight="1" x14ac:dyDescent="0.2">
      <c r="A41" s="23"/>
      <c r="B41" s="23"/>
      <c r="C41" s="47"/>
      <c r="D41" s="25"/>
      <c r="E41" s="32"/>
      <c r="F41" s="93"/>
      <c r="G41" s="45"/>
      <c r="H41" s="46"/>
      <c r="I41" s="31"/>
      <c r="J41" s="24"/>
      <c r="K41" s="30"/>
      <c r="L41" s="48"/>
      <c r="M41" s="3"/>
      <c r="N41" s="19"/>
      <c r="O41" s="6"/>
      <c r="P41" s="6"/>
      <c r="Q41" s="19"/>
      <c r="R41" s="12"/>
    </row>
    <row r="42" spans="1:18" ht="18" customHeight="1" x14ac:dyDescent="0.2">
      <c r="A42" s="23"/>
      <c r="B42" s="23"/>
      <c r="C42" s="47"/>
      <c r="D42" s="25"/>
      <c r="E42" s="32"/>
      <c r="F42" s="93"/>
      <c r="G42" s="45"/>
      <c r="H42" s="46"/>
      <c r="I42" s="31"/>
      <c r="J42" s="24"/>
      <c r="K42" s="30"/>
      <c r="L42" s="48"/>
      <c r="M42" s="3"/>
      <c r="N42" s="19"/>
      <c r="O42" s="6"/>
      <c r="P42" s="6"/>
      <c r="Q42" s="19"/>
      <c r="R42" s="12"/>
    </row>
    <row r="43" spans="1:18" ht="18" customHeight="1" x14ac:dyDescent="0.2">
      <c r="C43" s="24"/>
      <c r="D43" s="43"/>
      <c r="E43" s="43"/>
      <c r="F43" s="44"/>
      <c r="G43" s="45"/>
      <c r="H43" s="46"/>
      <c r="I43" s="31"/>
      <c r="J43" s="24"/>
      <c r="K43" s="30"/>
      <c r="L43" s="48"/>
      <c r="M43" s="3"/>
      <c r="N43" s="19"/>
      <c r="O43" s="6"/>
      <c r="P43" s="65"/>
      <c r="Q43" s="67"/>
      <c r="R43" s="27"/>
    </row>
    <row r="44" spans="1:18" ht="18" customHeight="1" x14ac:dyDescent="0.2">
      <c r="C44" s="24"/>
      <c r="D44" s="43"/>
      <c r="E44" s="43"/>
      <c r="F44" s="44"/>
      <c r="G44" s="45"/>
      <c r="H44" s="46"/>
      <c r="I44" s="31"/>
      <c r="J44" s="24"/>
      <c r="K44" s="30"/>
      <c r="L44" s="48"/>
      <c r="M44" s="3"/>
      <c r="N44" s="19"/>
      <c r="O44" s="6"/>
      <c r="P44" s="65"/>
      <c r="Q44" s="67"/>
      <c r="R44" s="27"/>
    </row>
    <row r="45" spans="1:18" ht="18" customHeight="1" x14ac:dyDescent="0.2">
      <c r="C45" s="24"/>
      <c r="D45" s="25"/>
      <c r="E45" s="25"/>
      <c r="F45" s="38"/>
      <c r="G45" s="31"/>
      <c r="H45" s="31"/>
      <c r="I45" s="31"/>
      <c r="J45" s="33"/>
      <c r="K45" s="34"/>
      <c r="L45" s="48"/>
      <c r="M45" s="3"/>
      <c r="N45" s="19"/>
      <c r="O45" s="6"/>
      <c r="P45" s="65"/>
      <c r="Q45" s="67"/>
      <c r="R45" s="27"/>
    </row>
    <row r="46" spans="1:18" ht="18" customHeight="1" x14ac:dyDescent="0.2">
      <c r="B46" s="95"/>
      <c r="C46" s="47"/>
      <c r="D46" s="139" t="s">
        <v>25</v>
      </c>
      <c r="E46" s="140"/>
      <c r="F46" s="140"/>
      <c r="G46" s="37"/>
      <c r="H46" s="41"/>
      <c r="I46" s="41"/>
      <c r="J46" s="14"/>
      <c r="K46" s="21"/>
      <c r="L46" s="18"/>
      <c r="M46" s="3"/>
      <c r="N46" s="19"/>
      <c r="O46" s="6"/>
      <c r="P46" s="65"/>
      <c r="Q46" s="67"/>
      <c r="R46" s="27"/>
    </row>
    <row r="47" spans="1:18" ht="18" customHeight="1" x14ac:dyDescent="0.2">
      <c r="A47" s="59" t="s">
        <v>30</v>
      </c>
      <c r="B47" s="68">
        <v>2</v>
      </c>
      <c r="C47" s="50">
        <f>+C38+1</f>
        <v>8</v>
      </c>
      <c r="D47" s="62" t="s">
        <v>34</v>
      </c>
      <c r="E47" s="62" t="s">
        <v>35</v>
      </c>
      <c r="F47" s="72" t="s">
        <v>26</v>
      </c>
      <c r="G47" s="62">
        <v>1</v>
      </c>
      <c r="H47" s="73">
        <v>3040</v>
      </c>
      <c r="I47" s="74">
        <f t="shared" ref="I47" si="2">G47*H47</f>
        <v>3040</v>
      </c>
      <c r="J47" s="75"/>
      <c r="K47" s="71" t="s">
        <v>36</v>
      </c>
      <c r="L47" s="70"/>
      <c r="M47" s="124" t="s">
        <v>71</v>
      </c>
      <c r="N47" s="19">
        <v>45877</v>
      </c>
      <c r="O47" s="6"/>
      <c r="P47" s="125" t="s">
        <v>72</v>
      </c>
      <c r="Q47" s="125" t="s">
        <v>75</v>
      </c>
      <c r="R47" s="27"/>
    </row>
    <row r="48" spans="1:18" ht="18" customHeight="1" x14ac:dyDescent="0.2">
      <c r="A48" s="61" t="s">
        <v>27</v>
      </c>
      <c r="B48" s="68">
        <v>2</v>
      </c>
      <c r="C48" s="69">
        <f>C47+1</f>
        <v>9</v>
      </c>
      <c r="D48" s="62" t="s">
        <v>34</v>
      </c>
      <c r="E48" s="62" t="s">
        <v>35</v>
      </c>
      <c r="F48" s="91" t="s">
        <v>46</v>
      </c>
      <c r="G48" s="92">
        <v>1</v>
      </c>
      <c r="H48" s="99">
        <v>2340</v>
      </c>
      <c r="I48" s="100">
        <f t="shared" ref="I48:I51" si="3">G48*H48</f>
        <v>2340</v>
      </c>
      <c r="J48" s="90"/>
      <c r="K48" s="64" t="s">
        <v>47</v>
      </c>
      <c r="L48" s="18"/>
      <c r="M48" s="124" t="s">
        <v>71</v>
      </c>
      <c r="N48" s="19">
        <v>45877</v>
      </c>
      <c r="O48" s="6"/>
      <c r="P48" s="125" t="s">
        <v>72</v>
      </c>
      <c r="Q48" s="125" t="s">
        <v>75</v>
      </c>
      <c r="R48" s="79"/>
    </row>
    <row r="49" spans="1:18" ht="18" customHeight="1" x14ac:dyDescent="0.2">
      <c r="A49" s="61"/>
      <c r="B49" s="68">
        <v>2</v>
      </c>
      <c r="C49" s="69">
        <f t="shared" ref="C49:C51" si="4">C48+1</f>
        <v>10</v>
      </c>
      <c r="D49" s="62" t="s">
        <v>34</v>
      </c>
      <c r="E49" s="62" t="s">
        <v>35</v>
      </c>
      <c r="F49" s="91" t="s">
        <v>48</v>
      </c>
      <c r="G49" s="92">
        <v>1</v>
      </c>
      <c r="H49" s="99">
        <v>4740</v>
      </c>
      <c r="I49" s="100">
        <f t="shared" si="3"/>
        <v>4740</v>
      </c>
      <c r="J49" s="90"/>
      <c r="K49" s="64" t="s">
        <v>49</v>
      </c>
      <c r="L49" s="18"/>
      <c r="M49" s="124" t="s">
        <v>71</v>
      </c>
      <c r="N49" s="19">
        <v>45877</v>
      </c>
      <c r="O49" s="6"/>
      <c r="P49" s="125" t="s">
        <v>72</v>
      </c>
      <c r="Q49" s="125" t="s">
        <v>75</v>
      </c>
      <c r="R49" s="79"/>
    </row>
    <row r="50" spans="1:18" ht="18" customHeight="1" x14ac:dyDescent="0.2">
      <c r="A50" s="61"/>
      <c r="B50" s="68">
        <v>2</v>
      </c>
      <c r="C50" s="69">
        <f t="shared" si="4"/>
        <v>11</v>
      </c>
      <c r="D50" s="62" t="s">
        <v>34</v>
      </c>
      <c r="E50" s="62" t="s">
        <v>35</v>
      </c>
      <c r="F50" s="91" t="s">
        <v>50</v>
      </c>
      <c r="G50" s="92">
        <v>2</v>
      </c>
      <c r="H50" s="99">
        <v>210</v>
      </c>
      <c r="I50" s="100">
        <f t="shared" si="3"/>
        <v>420</v>
      </c>
      <c r="J50" s="90"/>
      <c r="K50" s="64" t="s">
        <v>51</v>
      </c>
      <c r="L50" s="18"/>
      <c r="M50" s="124" t="s">
        <v>71</v>
      </c>
      <c r="N50" s="19">
        <v>45877</v>
      </c>
      <c r="O50" s="6"/>
      <c r="P50" s="125" t="s">
        <v>72</v>
      </c>
      <c r="Q50" s="125" t="s">
        <v>75</v>
      </c>
      <c r="R50" s="79"/>
    </row>
    <row r="51" spans="1:18" ht="18" customHeight="1" x14ac:dyDescent="0.2">
      <c r="A51" s="61"/>
      <c r="B51" s="68">
        <v>2</v>
      </c>
      <c r="C51" s="69">
        <f t="shared" si="4"/>
        <v>12</v>
      </c>
      <c r="D51" s="62" t="s">
        <v>34</v>
      </c>
      <c r="E51" s="62" t="s">
        <v>35</v>
      </c>
      <c r="F51" s="91" t="s">
        <v>60</v>
      </c>
      <c r="G51" s="92">
        <v>2</v>
      </c>
      <c r="H51" s="99">
        <v>260</v>
      </c>
      <c r="I51" s="100">
        <f t="shared" si="3"/>
        <v>520</v>
      </c>
      <c r="J51" s="90"/>
      <c r="K51" s="64" t="s">
        <v>52</v>
      </c>
      <c r="L51" s="18"/>
      <c r="M51" s="124" t="s">
        <v>71</v>
      </c>
      <c r="N51" s="19">
        <v>45877</v>
      </c>
      <c r="O51" s="6"/>
      <c r="P51" s="125" t="s">
        <v>72</v>
      </c>
      <c r="Q51" s="125" t="s">
        <v>75</v>
      </c>
      <c r="R51" s="79"/>
    </row>
    <row r="52" spans="1:18" ht="18" customHeight="1" x14ac:dyDescent="0.2">
      <c r="A52" s="51"/>
      <c r="B52" s="54"/>
      <c r="C52" s="28"/>
      <c r="D52" s="25"/>
      <c r="E52" s="25"/>
      <c r="F52" s="30"/>
      <c r="G52" s="36"/>
      <c r="H52" s="42"/>
      <c r="I52" s="40"/>
      <c r="J52" s="24"/>
      <c r="K52" s="23"/>
      <c r="L52" s="48"/>
      <c r="M52" s="3"/>
      <c r="N52" s="58"/>
      <c r="O52" s="6"/>
      <c r="P52" s="63"/>
      <c r="Q52" s="66"/>
      <c r="R52" s="79"/>
    </row>
    <row r="53" spans="1:18" ht="18" customHeight="1" x14ac:dyDescent="0.2">
      <c r="C53" s="80"/>
      <c r="D53" s="81"/>
      <c r="E53" s="81"/>
      <c r="F53" s="82">
        <f>SUM(I47:I52)</f>
        <v>11060</v>
      </c>
      <c r="G53" s="83"/>
      <c r="H53" s="83"/>
      <c r="I53" s="83"/>
      <c r="J53" s="84"/>
      <c r="K53" s="21"/>
      <c r="L53" s="18"/>
      <c r="M53" s="3"/>
      <c r="N53" s="58"/>
      <c r="O53" s="6"/>
      <c r="P53" s="6"/>
      <c r="Q53" s="19"/>
      <c r="R53" s="12"/>
    </row>
    <row r="54" spans="1:18" ht="18" customHeight="1" x14ac:dyDescent="0.2">
      <c r="C54" s="17"/>
      <c r="D54" s="2"/>
      <c r="E54" s="2"/>
      <c r="F54" s="13"/>
      <c r="G54" s="60"/>
      <c r="H54" s="60"/>
      <c r="I54" s="41"/>
      <c r="J54" s="1"/>
      <c r="K54" s="13"/>
      <c r="L54" s="18"/>
      <c r="M54" s="3"/>
      <c r="N54" s="19"/>
      <c r="O54" s="6"/>
      <c r="P54" s="6"/>
      <c r="Q54" s="19"/>
      <c r="R54" s="12"/>
    </row>
    <row r="55" spans="1:18" ht="18" customHeight="1" x14ac:dyDescent="0.2">
      <c r="C55" s="17"/>
      <c r="D55" s="17"/>
      <c r="E55" s="17"/>
      <c r="F55" s="18" t="s">
        <v>22</v>
      </c>
      <c r="G55" s="16"/>
      <c r="H55" s="16"/>
      <c r="I55" s="16">
        <f>G55*H55</f>
        <v>0</v>
      </c>
      <c r="J55" s="11"/>
      <c r="K55" s="13" t="s">
        <v>23</v>
      </c>
      <c r="L55" s="20"/>
      <c r="M55" s="17"/>
      <c r="N55" s="19"/>
      <c r="O55" s="20"/>
      <c r="P55" s="17"/>
      <c r="Q55" s="19"/>
      <c r="R55" s="12"/>
    </row>
    <row r="56" spans="1:18" ht="18" customHeight="1" x14ac:dyDescent="0.2">
      <c r="B56" s="55">
        <v>4</v>
      </c>
      <c r="C56" s="57"/>
      <c r="D56" s="2"/>
      <c r="E56" s="2"/>
      <c r="F56" s="18" t="s">
        <v>23</v>
      </c>
      <c r="G56" s="16"/>
      <c r="H56" s="16">
        <v>5000</v>
      </c>
      <c r="I56" s="16">
        <f>G56*H56</f>
        <v>0</v>
      </c>
      <c r="J56" s="11"/>
      <c r="K56" s="13" t="s">
        <v>24</v>
      </c>
      <c r="L56" s="20"/>
      <c r="M56" s="17"/>
      <c r="N56" s="19"/>
      <c r="O56" s="20"/>
      <c r="P56" s="17"/>
      <c r="Q56" s="19"/>
      <c r="R56" s="6"/>
    </row>
    <row r="57" spans="1:18" ht="18" customHeight="1" x14ac:dyDescent="0.2">
      <c r="C57" s="17"/>
      <c r="D57" s="2"/>
      <c r="E57" s="2"/>
      <c r="F57" s="18" t="s">
        <v>24</v>
      </c>
      <c r="G57" s="16"/>
      <c r="H57" s="16"/>
      <c r="I57" s="16">
        <f>G57*H57</f>
        <v>0</v>
      </c>
      <c r="J57" s="11"/>
      <c r="K57" s="3"/>
      <c r="L57" s="20"/>
      <c r="M57" s="17"/>
      <c r="N57" s="17"/>
      <c r="O57" s="20"/>
      <c r="P57" s="17"/>
      <c r="Q57" s="6"/>
      <c r="R57" s="6"/>
    </row>
    <row r="58" spans="1:18" ht="18" customHeight="1" x14ac:dyDescent="0.2">
      <c r="C58" s="17"/>
      <c r="D58" s="2"/>
      <c r="E58" s="2"/>
      <c r="F58" s="141"/>
      <c r="G58" s="142"/>
      <c r="H58" s="142"/>
      <c r="I58" s="143"/>
      <c r="J58" s="4"/>
      <c r="K58" s="15"/>
    </row>
    <row r="59" spans="1:18" ht="18" customHeight="1" x14ac:dyDescent="0.2"/>
    <row r="60" spans="1:18" ht="18" customHeight="1" x14ac:dyDescent="0.2"/>
    <row r="61" spans="1:18" ht="18" customHeight="1" x14ac:dyDescent="0.2"/>
  </sheetData>
  <autoFilter ref="C10:P61" xr:uid="{00000000-0009-0000-0000-000003000000}"/>
  <mergeCells count="16">
    <mergeCell ref="D30:F30"/>
    <mergeCell ref="D37:F37"/>
    <mergeCell ref="D46:F46"/>
    <mergeCell ref="F58:I58"/>
    <mergeCell ref="C6:E6"/>
    <mergeCell ref="H6:K6"/>
    <mergeCell ref="D13:F13"/>
    <mergeCell ref="D22:G22"/>
    <mergeCell ref="G14:G15"/>
    <mergeCell ref="C2:E2"/>
    <mergeCell ref="H2:J2"/>
    <mergeCell ref="C3:E3"/>
    <mergeCell ref="C4:E4"/>
    <mergeCell ref="C5:E5"/>
    <mergeCell ref="I4:K5"/>
    <mergeCell ref="H4:H5"/>
  </mergeCells>
  <phoneticPr fontId="10"/>
  <dataValidations disablePrompts="1" count="2">
    <dataValidation imeMode="hiragana" allowBlank="1" showInputMessage="1" showErrorMessage="1" sqref="K22:K25" xr:uid="{3EE1260B-A3EC-49AD-9291-9DF212181CAC}"/>
    <dataValidation allowBlank="1" showInputMessage="1" showErrorMessage="1" sqref="K32:K34 K37 K39:K40 K17:K21 K27:K30 K11:K13" xr:uid="{96ACC735-367D-412E-8B81-312EC8691356}"/>
  </dataValidations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G25" sqref="G25"/>
    </sheetView>
  </sheetViews>
  <sheetFormatPr defaultColWidth="11.81640625" defaultRowHeight="13.5" customHeight="1" x14ac:dyDescent="0.2"/>
  <sheetData/>
  <phoneticPr fontId="10"/>
  <printOptions gridLines="1"/>
  <pageMargins left="0.7" right="0.7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見積もり依頼　原価一覧 (20250806) ②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松丸Ｍ</cp:lastModifiedBy>
  <cp:lastPrinted>2023-01-13T04:52:35Z</cp:lastPrinted>
  <dcterms:created xsi:type="dcterms:W3CDTF">2016-05-16T08:05:24Z</dcterms:created>
  <dcterms:modified xsi:type="dcterms:W3CDTF">2025-08-25T01:40:51Z</dcterms:modified>
</cp:coreProperties>
</file>