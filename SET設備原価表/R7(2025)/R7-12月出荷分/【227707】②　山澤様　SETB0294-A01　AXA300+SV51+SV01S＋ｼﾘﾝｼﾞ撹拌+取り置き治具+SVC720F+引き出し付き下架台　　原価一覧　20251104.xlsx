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570A15AD-FE3D-4976-B0AB-548190431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27707　原価表  20251104 ②" sheetId="14" r:id="rId1"/>
  </sheets>
  <definedNames>
    <definedName name="_xlnm._FilterDatabase" localSheetId="0" hidden="1">'227707　原価表  20251104 ②'!$F$9:$S$31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4" l="1"/>
  <c r="C21" i="14"/>
  <c r="L15" i="14"/>
  <c r="L14" i="14"/>
  <c r="I38" i="14"/>
  <c r="L31" i="14"/>
  <c r="C31" i="14"/>
  <c r="L30" i="14"/>
  <c r="C30" i="14"/>
  <c r="L29" i="14"/>
  <c r="C29" i="14"/>
  <c r="L28" i="14"/>
  <c r="C28" i="14"/>
  <c r="C24" i="14"/>
  <c r="F15" i="14"/>
  <c r="F21" i="14" s="1"/>
  <c r="F28" i="14" s="1"/>
  <c r="C39" i="14" l="1"/>
  <c r="C45" i="14" s="1"/>
  <c r="I17" i="14"/>
  <c r="N2" i="14"/>
  <c r="I34" i="14"/>
  <c r="F29" i="14" l="1"/>
  <c r="F30" i="14" l="1"/>
  <c r="F31" i="14" s="1"/>
</calcChain>
</file>

<file path=xl/sharedStrings.xml><?xml version="1.0" encoding="utf-8"?>
<sst xmlns="http://schemas.openxmlformats.org/spreadsheetml/2006/main" count="84" uniqueCount="65">
  <si>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</si>
  <si>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</si>
  <si>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</si>
  <si>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</si>
  <si>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</si>
  <si>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</si>
  <si>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</si>
  <si>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</si>
  <si>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</si>
  <si>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</si>
  <si>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</si>
  <si>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</si>
  <si>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</si>
  <si>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</si>
  <si>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</si>
  <si>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</si>
  <si>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</si>
  <si>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</si>
  <si>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</si>
  <si>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</si>
  <si>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</si>
  <si>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</si>
  <si>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</si>
  <si>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山澤(齋藤）</t>
    <rPh sb="0" eb="2">
      <t>ヤマサワ</t>
    </rPh>
    <rPh sb="3" eb="5">
      <t>サイトウ</t>
    </rPh>
    <phoneticPr fontId="2"/>
  </si>
  <si>
    <t>1日間</t>
    <rPh sb="1" eb="2">
      <t>ヒ</t>
    </rPh>
    <rPh sb="2" eb="3">
      <t>カン</t>
    </rPh>
    <phoneticPr fontId="15"/>
  </si>
  <si>
    <t>部材重さkg</t>
    <rPh sb="0" eb="2">
      <t>ブザイ</t>
    </rPh>
    <rPh sb="2" eb="3">
      <t>オモ</t>
    </rPh>
    <phoneticPr fontId="2"/>
  </si>
  <si>
    <t>kg</t>
    <phoneticPr fontId="2"/>
  </si>
  <si>
    <t>架台ﾕﾆｯﾄ</t>
    <rPh sb="0" eb="2">
      <t>カダイ</t>
    </rPh>
    <phoneticPr fontId="2"/>
  </si>
  <si>
    <t>架台部分</t>
    <rPh sb="0" eb="2">
      <t>カダイ</t>
    </rPh>
    <rPh sb="2" eb="4">
      <t>ブブン</t>
    </rPh>
    <phoneticPr fontId="2"/>
  </si>
  <si>
    <t>SMC</t>
  </si>
  <si>
    <t>ＡＷ２０Ｋ－０２Ｅ－D</t>
    <phoneticPr fontId="2"/>
  </si>
  <si>
    <t>１／４　レギュレーター　（逆流機能付）</t>
  </si>
  <si>
    <t>元圧</t>
    <rPh sb="0" eb="1">
      <t>モト</t>
    </rPh>
    <rPh sb="1" eb="2">
      <t>アツ</t>
    </rPh>
    <phoneticPr fontId="2"/>
  </si>
  <si>
    <t>ＫＱ２Ｌ０６－０２Ａ</t>
    <phoneticPr fontId="2"/>
  </si>
  <si>
    <t>１／４　Ø６　継ぎ手</t>
  </si>
  <si>
    <t>ＶＨＳ２０－０２-D</t>
    <phoneticPr fontId="2"/>
  </si>
  <si>
    <t>１／４　三方弁</t>
  </si>
  <si>
    <t>Ｙ２００Ｔ－D</t>
    <phoneticPr fontId="2"/>
  </si>
  <si>
    <t>１／４　エアコンビネーション　</t>
  </si>
  <si>
    <t>TOTAL重量</t>
    <rPh sb="5" eb="7">
      <t>ジュウリョウ</t>
    </rPh>
    <phoneticPr fontId="2"/>
  </si>
  <si>
    <t>SETB0294-A01　AXA300+SV51+SV01S＋ｼﾘﾝｼﾞ撹拌+取り置き治具+SVC720F+引き出し付き下架台</t>
    <phoneticPr fontId="15"/>
  </si>
  <si>
    <t>ｼﾘﾝｼﾞ加圧ﾚｷﾞｭﾚｰﾀ</t>
    <rPh sb="5" eb="7">
      <t>カアツ</t>
    </rPh>
    <phoneticPr fontId="2"/>
  </si>
  <si>
    <t>SMC</t>
    <phoneticPr fontId="2"/>
  </si>
  <si>
    <t>ISE20-N-M-M5-L</t>
    <phoneticPr fontId="2"/>
  </si>
  <si>
    <t xml:space="preserve">デジタル圧力スイッチ（SMC） </t>
    <phoneticPr fontId="2"/>
  </si>
  <si>
    <t>シリンジ加圧レギュレータユニット（0.0～1Mpa）</t>
    <rPh sb="4" eb="6">
      <t>カアツ</t>
    </rPh>
    <phoneticPr fontId="2"/>
  </si>
  <si>
    <t>ARP20K-01H-1</t>
    <phoneticPr fontId="2"/>
  </si>
  <si>
    <t>逆流機能付直動精密レギュレータ（SMC）</t>
    <phoneticPr fontId="2"/>
  </si>
  <si>
    <t>シリンジ加圧レギュレータユニット（0.4Mpa）</t>
    <rPh sb="4" eb="6">
      <t>カアツ</t>
    </rPh>
    <phoneticPr fontId="2"/>
  </si>
  <si>
    <t>8日以内</t>
    <rPh sb="1" eb="2">
      <t>ヒ</t>
    </rPh>
    <rPh sb="2" eb="4">
      <t>イナイ</t>
    </rPh>
    <phoneticPr fontId="1"/>
  </si>
  <si>
    <t>ﾛﾎﾞｯﾄ附属分</t>
    <rPh sb="5" eb="7">
      <t>フゾク</t>
    </rPh>
    <rPh sb="7" eb="8">
      <t>ブン</t>
    </rPh>
    <phoneticPr fontId="2"/>
  </si>
  <si>
    <t>227707</t>
    <phoneticPr fontId="2"/>
  </si>
  <si>
    <t>スタンレー電気様(明伸工機株式会社)</t>
    <rPh sb="5" eb="7">
      <t>デンキ</t>
    </rPh>
    <rPh sb="7" eb="8">
      <t>サマ</t>
    </rPh>
    <phoneticPr fontId="2"/>
  </si>
  <si>
    <t>6日以内</t>
    <rPh sb="1" eb="2">
      <t>ヒ</t>
    </rPh>
    <rPh sb="2" eb="4">
      <t>イナイ</t>
    </rPh>
    <phoneticPr fontId="1"/>
  </si>
  <si>
    <t>ACS株式会社</t>
  </si>
  <si>
    <t>ACS株式会社</t>
    <phoneticPr fontId="2"/>
  </si>
  <si>
    <t>②</t>
    <phoneticPr fontId="7"/>
  </si>
  <si>
    <t>見積もり、発注依頼分</t>
    <rPh sb="0" eb="2">
      <t>ミツ</t>
    </rPh>
    <rPh sb="5" eb="7">
      <t>ハッチュウ</t>
    </rPh>
    <rPh sb="7" eb="9">
      <t>イライ</t>
    </rPh>
    <rPh sb="9" eb="10">
      <t>ブン</t>
    </rPh>
    <phoneticPr fontId="15"/>
  </si>
  <si>
    <t>見積もり22-25-01352A</t>
    <rPh sb="0" eb="2">
      <t>ミツ</t>
    </rPh>
    <phoneticPr fontId="15"/>
  </si>
  <si>
    <t>ﾃｰﾌﾞﾙﾀｯﾌﾟとIOｹｰﾌﾞﾙ</t>
    <phoneticPr fontId="2"/>
  </si>
  <si>
    <t>エレコム</t>
    <phoneticPr fontId="15"/>
  </si>
  <si>
    <t>モノタロウ</t>
    <phoneticPr fontId="15"/>
  </si>
  <si>
    <t xml:space="preserve"> USB3-E20BK</t>
    <phoneticPr fontId="15"/>
  </si>
  <si>
    <t>USB延長ケーブル A-A 3.0 3重シールドケーブル RoHS 2m</t>
    <phoneticPr fontId="15"/>
  </si>
  <si>
    <t>https://www.monotaro.com/p/1798/4146/?t.q=usb3.0+%E5%BB%B6%E9%95%B7%E3%82%B1%E3%83%BC%E3%83%96%E3%83%AB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</si>
</sst>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#,##0_ "/>
    <numFmt numFmtId="182" formatCode="0_ "/>
  </numFmts>
  <fonts count="25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b/>
      <sz val="16"/>
      <color theme="9" tint="-0.249977111117893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/>
    <xf numFmtId="0" fontId="14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9" fontId="0" fillId="0" borderId="13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3" fontId="14" fillId="0" borderId="1" xfId="2" applyNumberFormat="1" applyBorder="1" applyAlignment="1">
      <alignment horizontal="center" vertical="center"/>
    </xf>
    <xf numFmtId="0" fontId="14" fillId="0" borderId="1" xfId="2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49" fontId="14" fillId="0" borderId="1" xfId="2" applyNumberFormat="1" applyBorder="1" applyAlignment="1">
      <alignment horizontal="left" vertical="center"/>
    </xf>
    <xf numFmtId="0" fontId="14" fillId="0" borderId="1" xfId="2" applyBorder="1">
      <alignment vertical="center"/>
    </xf>
    <xf numFmtId="0" fontId="0" fillId="0" borderId="15" xfId="0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13" xfId="0" applyBorder="1" applyAlignment="1">
      <alignment horizontal="center" vertical="center" shrinkToFit="1"/>
    </xf>
    <xf numFmtId="38" fontId="16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6" fillId="9" borderId="1" xfId="0" applyFont="1" applyFill="1" applyBorder="1">
      <alignment vertical="center"/>
    </xf>
    <xf numFmtId="3" fontId="0" fillId="0" borderId="15" xfId="0" applyNumberFormat="1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38" fontId="14" fillId="0" borderId="1" xfId="2" applyNumberForma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82" fontId="16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1" xfId="0" applyFont="1" applyBorder="1">
      <alignment vertical="center"/>
    </xf>
    <xf numFmtId="0" fontId="11" fillId="4" borderId="14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shrinkToFit="1"/>
    </xf>
    <xf numFmtId="3" fontId="0" fillId="0" borderId="5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3" fontId="0" fillId="9" borderId="1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6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3" fontId="16" fillId="0" borderId="1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2" fontId="16" fillId="9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right" vertical="center"/>
    </xf>
    <xf numFmtId="182" fontId="16" fillId="0" borderId="1" xfId="0" applyNumberFormat="1" applyFont="1" applyBorder="1" applyAlignment="1">
      <alignment horizontal="right" vertical="center"/>
    </xf>
    <xf numFmtId="3" fontId="0" fillId="9" borderId="9" xfId="0" applyNumberForma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8" fillId="11" borderId="1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6" fillId="10" borderId="2" xfId="0" applyFont="1" applyFill="1" applyBorder="1">
      <alignment vertical="center"/>
    </xf>
    <xf numFmtId="0" fontId="0" fillId="10" borderId="1" xfId="0" applyFill="1" applyBorder="1" applyAlignment="1">
      <alignment horizontal="right" vertical="center"/>
    </xf>
    <xf numFmtId="38" fontId="0" fillId="10" borderId="1" xfId="0" applyNumberFormat="1" applyFill="1" applyBorder="1">
      <alignment vertical="center"/>
    </xf>
    <xf numFmtId="38" fontId="0" fillId="11" borderId="1" xfId="0" applyNumberFormat="1" applyFill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3" fontId="16" fillId="0" borderId="9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76" fontId="12" fillId="8" borderId="2" xfId="0" applyNumberFormat="1" applyFont="1" applyFill="1" applyBorder="1" applyAlignment="1">
      <alignment horizontal="center" vertical="center"/>
    </xf>
    <xf numFmtId="3" fontId="16" fillId="10" borderId="1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left" vertical="center"/>
    </xf>
    <xf numFmtId="180" fontId="16" fillId="10" borderId="3" xfId="1" applyNumberFormat="1" applyFont="1" applyFill="1" applyBorder="1" applyAlignment="1">
      <alignment horizontal="right" vertical="center"/>
    </xf>
    <xf numFmtId="38" fontId="16" fillId="10" borderId="19" xfId="0" applyNumberFormat="1" applyFont="1" applyFill="1" applyBorder="1" applyAlignment="1">
      <alignment horizontal="right" vertical="center"/>
    </xf>
    <xf numFmtId="0" fontId="16" fillId="10" borderId="2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  <xf numFmtId="180" fontId="16" fillId="10" borderId="1" xfId="1" applyNumberFormat="1" applyFont="1" applyFill="1" applyBorder="1" applyAlignment="1">
      <alignment horizontal="right" vertical="center"/>
    </xf>
    <xf numFmtId="38" fontId="6" fillId="10" borderId="1" xfId="0" applyNumberFormat="1" applyFont="1" applyFill="1" applyBorder="1">
      <alignment vertical="center"/>
    </xf>
    <xf numFmtId="49" fontId="16" fillId="0" borderId="2" xfId="0" applyNumberFormat="1" applyFont="1" applyBorder="1" applyAlignment="1">
      <alignment horizontal="left" vertical="center"/>
    </xf>
    <xf numFmtId="176" fontId="12" fillId="0" borderId="1" xfId="0" applyNumberFormat="1" applyFont="1" applyBorder="1">
      <alignment vertical="center"/>
    </xf>
    <xf numFmtId="38" fontId="22" fillId="0" borderId="0" xfId="0" applyNumberFormat="1" applyFont="1">
      <alignment vertical="center"/>
    </xf>
    <xf numFmtId="38" fontId="16" fillId="11" borderId="1" xfId="0" applyNumberFormat="1" applyFont="1" applyFill="1" applyBorder="1" applyAlignment="1">
      <alignment horizontal="right" vertical="center"/>
    </xf>
    <xf numFmtId="0" fontId="16" fillId="0" borderId="1" xfId="3" applyFont="1" applyFill="1" applyBorder="1" applyAlignment="1">
      <alignment horizontal="left" vertical="center"/>
    </xf>
    <xf numFmtId="56" fontId="23" fillId="0" borderId="1" xfId="0" applyNumberFormat="1" applyFont="1" applyBorder="1" applyAlignment="1">
      <alignment horizontal="center" vertical="center"/>
    </xf>
    <xf numFmtId="3" fontId="14" fillId="11" borderId="1" xfId="2" applyNumberFormat="1" applyFill="1" applyBorder="1" applyAlignment="1">
      <alignment horizontal="center" vertical="center"/>
    </xf>
    <xf numFmtId="49" fontId="14" fillId="11" borderId="1" xfId="2" applyNumberFormat="1" applyFill="1" applyBorder="1" applyAlignment="1">
      <alignment horizontal="left" vertical="center"/>
    </xf>
    <xf numFmtId="0" fontId="14" fillId="11" borderId="1" xfId="2" applyFill="1" applyBorder="1" applyAlignment="1">
      <alignment horizontal="center" vertical="center"/>
    </xf>
    <xf numFmtId="38" fontId="14" fillId="11" borderId="1" xfId="2" applyNumberFormat="1" applyFill="1" applyBorder="1" applyAlignment="1">
      <alignment horizontal="center" vertical="center"/>
    </xf>
    <xf numFmtId="38" fontId="6" fillId="11" borderId="1" xfId="0" applyNumberFormat="1" applyFont="1" applyFill="1" applyBorder="1">
      <alignment vertical="center"/>
    </xf>
    <xf numFmtId="0" fontId="18" fillId="0" borderId="15" xfId="3" applyBorder="1" applyAlignment="1">
      <alignment vertical="center" wrapText="1" shrinkToFit="1"/>
    </xf>
    <xf numFmtId="38" fontId="10" fillId="5" borderId="10" xfId="0" applyNumberFormat="1" applyFont="1" applyFill="1" applyBorder="1" applyAlignment="1">
      <alignment horizontal="left" vertical="center" shrinkToFit="1"/>
    </xf>
    <xf numFmtId="38" fontId="10" fillId="5" borderId="11" xfId="0" applyNumberFormat="1" applyFont="1" applyFill="1" applyBorder="1" applyAlignment="1">
      <alignment horizontal="left" vertical="center" shrinkToFit="1"/>
    </xf>
    <xf numFmtId="38" fontId="10" fillId="5" borderId="4" xfId="0" applyNumberFormat="1" applyFont="1" applyFill="1" applyBorder="1" applyAlignment="1">
      <alignment horizontal="left" vertical="center" shrinkToFit="1"/>
    </xf>
    <xf numFmtId="38" fontId="10" fillId="5" borderId="12" xfId="0" applyNumberFormat="1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3" fontId="19" fillId="3" borderId="2" xfId="0" applyNumberFormat="1" applyFont="1" applyFill="1" applyBorder="1" applyAlignment="1">
      <alignment horizontal="center" vertical="center"/>
    </xf>
    <xf numFmtId="3" fontId="19" fillId="3" borderId="8" xfId="0" applyNumberFormat="1" applyFont="1" applyFill="1" applyBorder="1" applyAlignment="1">
      <alignment horizontal="center" vertical="center"/>
    </xf>
    <xf numFmtId="3" fontId="19" fillId="3" borderId="9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4" fillId="3" borderId="2" xfId="1" applyFont="1" applyFill="1" applyBorder="1" applyAlignment="1">
      <alignment horizontal="center" vertical="center"/>
    </xf>
    <xf numFmtId="0" fontId="24" fillId="3" borderId="8" xfId="1" applyFont="1" applyFill="1" applyBorder="1" applyAlignment="1">
      <alignment horizontal="center" vertical="center"/>
    </xf>
    <xf numFmtId="0" fontId="24" fillId="3" borderId="9" xfId="1" applyFont="1" applyFill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1798/4146/?t.q=usb3.0+%E5%BB%B6%E9%95%B7%E3%82%B1%E3%83%BC%E3%83%96%E3%83%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5514-63F7-4473-804E-A2C6A6FD100C}">
  <sheetPr>
    <tabColor rgb="FFFFFF00"/>
  </sheetPr>
  <dimension ref="A2:U48"/>
  <sheetViews>
    <sheetView tabSelected="1" zoomScale="85" zoomScaleNormal="85" workbookViewId="0">
      <pane xSplit="14" ySplit="9" topLeftCell="Q10" activePane="bottomRight" state="frozen"/>
      <selection pane="topRight" activeCell="K1" sqref="K1"/>
      <selection pane="bottomLeft" activeCell="A9" sqref="A9"/>
      <selection pane="bottomRight" activeCell="U22" sqref="U22"/>
    </sheetView>
  </sheetViews>
  <sheetFormatPr defaultRowHeight="13.5" x14ac:dyDescent="0.15"/>
  <cols>
    <col min="2" max="2" width="5.875" customWidth="1"/>
    <col min="3" max="3" width="12.625" customWidth="1"/>
    <col min="4" max="4" width="4.5" customWidth="1"/>
    <col min="5" max="5" width="9" customWidth="1"/>
    <col min="6" max="6" width="13.25" style="3" customWidth="1"/>
    <col min="7" max="7" width="14.375" bestFit="1" customWidth="1"/>
    <col min="8" max="8" width="13.125" bestFit="1" customWidth="1"/>
    <col min="9" max="9" width="47.875" customWidth="1"/>
    <col min="10" max="10" width="6.25" style="3" customWidth="1"/>
    <col min="11" max="12" width="9.875" style="8" bestFit="1" customWidth="1"/>
    <col min="13" max="13" width="5.75" style="8" customWidth="1"/>
    <col min="14" max="14" width="46.125" customWidth="1"/>
    <col min="15" max="15" width="23.875" customWidth="1"/>
    <col min="16" max="16" width="20.375" style="3" customWidth="1"/>
    <col min="17" max="17" width="13.75" style="10" customWidth="1"/>
    <col min="18" max="18" width="6.375" customWidth="1"/>
    <col min="19" max="19" width="13.25" style="8" customWidth="1"/>
    <col min="20" max="20" width="14.5" style="12" customWidth="1"/>
    <col min="21" max="21" width="15.625" style="13" customWidth="1"/>
  </cols>
  <sheetData>
    <row r="2" spans="1:21" ht="20.100000000000001" customHeight="1" x14ac:dyDescent="0.15">
      <c r="F2" s="134" t="s">
        <v>11</v>
      </c>
      <c r="G2" s="134"/>
      <c r="H2" s="134"/>
      <c r="I2" s="9" t="s">
        <v>52</v>
      </c>
      <c r="K2" s="139" t="s">
        <v>15</v>
      </c>
      <c r="L2" s="140"/>
      <c r="M2" s="141"/>
      <c r="N2" s="7">
        <f>SUM(L:L)</f>
        <v>19468</v>
      </c>
    </row>
    <row r="3" spans="1:21" ht="20.100000000000001" customHeight="1" x14ac:dyDescent="0.15">
      <c r="F3" s="134" t="s">
        <v>10</v>
      </c>
      <c r="G3" s="134"/>
      <c r="H3" s="134"/>
      <c r="I3" s="5" t="s">
        <v>23</v>
      </c>
    </row>
    <row r="4" spans="1:21" ht="20.100000000000001" customHeight="1" x14ac:dyDescent="0.15">
      <c r="F4" s="134" t="s">
        <v>12</v>
      </c>
      <c r="G4" s="134"/>
      <c r="H4" s="134"/>
      <c r="I4" s="30" t="s">
        <v>51</v>
      </c>
      <c r="L4" s="31"/>
      <c r="N4" s="130" t="s">
        <v>40</v>
      </c>
      <c r="O4" s="131"/>
    </row>
    <row r="5" spans="1:21" ht="20.100000000000001" customHeight="1" x14ac:dyDescent="0.15">
      <c r="F5" s="134" t="s">
        <v>13</v>
      </c>
      <c r="G5" s="134"/>
      <c r="H5" s="134"/>
      <c r="I5" s="6">
        <v>45986</v>
      </c>
      <c r="K5" s="135" t="s">
        <v>56</v>
      </c>
      <c r="L5" s="135"/>
      <c r="N5" s="132"/>
      <c r="O5" s="133"/>
    </row>
    <row r="6" spans="1:21" ht="20.100000000000001" customHeight="1" x14ac:dyDescent="0.15">
      <c r="F6" s="134" t="s">
        <v>14</v>
      </c>
      <c r="G6" s="134"/>
      <c r="H6" s="134"/>
      <c r="I6" s="6">
        <v>45987</v>
      </c>
      <c r="K6" s="135"/>
      <c r="L6" s="135"/>
      <c r="N6" s="15"/>
      <c r="O6" s="20"/>
    </row>
    <row r="7" spans="1:21" ht="20.100000000000001" customHeight="1" x14ac:dyDescent="0.15">
      <c r="F7" s="17"/>
      <c r="G7" s="17"/>
      <c r="H7" s="17"/>
      <c r="I7" s="16"/>
      <c r="N7" s="120" t="s">
        <v>57</v>
      </c>
      <c r="O7" s="20"/>
      <c r="P7" s="18"/>
    </row>
    <row r="9" spans="1:21" s="3" customFormat="1" ht="19.7" customHeight="1" x14ac:dyDescent="0.15">
      <c r="B9" s="1"/>
      <c r="C9" s="80" t="s">
        <v>25</v>
      </c>
      <c r="E9" s="1" t="s">
        <v>22</v>
      </c>
      <c r="F9" s="4" t="s">
        <v>4</v>
      </c>
      <c r="G9" s="4" t="s">
        <v>9</v>
      </c>
      <c r="H9" s="4" t="s">
        <v>5</v>
      </c>
      <c r="I9" s="1" t="s">
        <v>8</v>
      </c>
      <c r="J9" s="1" t="s">
        <v>0</v>
      </c>
      <c r="K9" s="26" t="s">
        <v>1</v>
      </c>
      <c r="L9" s="32" t="s">
        <v>2</v>
      </c>
      <c r="M9" s="2" t="s">
        <v>18</v>
      </c>
      <c r="N9" s="1" t="s">
        <v>3</v>
      </c>
      <c r="O9" s="1" t="s">
        <v>17</v>
      </c>
      <c r="P9" s="1" t="s">
        <v>16</v>
      </c>
      <c r="Q9" s="11" t="s">
        <v>6</v>
      </c>
      <c r="R9" s="4" t="s">
        <v>19</v>
      </c>
      <c r="S9" s="1" t="s">
        <v>7</v>
      </c>
      <c r="T9" s="11" t="s">
        <v>20</v>
      </c>
      <c r="U9" s="14" t="s">
        <v>21</v>
      </c>
    </row>
    <row r="10" spans="1:21" s="3" customFormat="1" ht="19.7" customHeight="1" x14ac:dyDescent="0.15">
      <c r="D10" s="29"/>
      <c r="E10" s="1"/>
      <c r="F10" s="4"/>
      <c r="G10" s="4"/>
      <c r="H10" s="4"/>
      <c r="I10" s="25"/>
      <c r="J10" s="1"/>
      <c r="K10" s="21"/>
      <c r="L10" s="33"/>
      <c r="M10" s="2"/>
      <c r="N10" s="24"/>
      <c r="O10" s="22"/>
      <c r="P10" s="4"/>
      <c r="Q10" s="11"/>
      <c r="R10" s="4"/>
      <c r="S10" s="19"/>
      <c r="T10" s="19"/>
      <c r="U10" s="14"/>
    </row>
    <row r="11" spans="1:21" s="3" customFormat="1" ht="19.5" customHeight="1" x14ac:dyDescent="0.15">
      <c r="E11" s="46"/>
      <c r="F11" s="61"/>
      <c r="G11" s="39"/>
      <c r="H11" s="39"/>
      <c r="I11" s="42"/>
      <c r="J11" s="40"/>
      <c r="K11" s="60"/>
      <c r="L11" s="39"/>
      <c r="M11" s="40"/>
      <c r="N11" s="43"/>
      <c r="O11" s="40"/>
      <c r="P11" s="40"/>
      <c r="Q11" s="11"/>
      <c r="R11" s="58"/>
      <c r="S11" s="36"/>
      <c r="T11" s="37"/>
      <c r="U11" s="38"/>
    </row>
    <row r="12" spans="1:21" s="3" customFormat="1" ht="19.5" customHeight="1" x14ac:dyDescent="0.15">
      <c r="E12" s="46"/>
      <c r="F12" s="61"/>
      <c r="G12" s="39"/>
      <c r="H12" s="39"/>
      <c r="I12" s="42"/>
      <c r="J12" s="40"/>
      <c r="K12" s="60"/>
      <c r="L12" s="39"/>
      <c r="M12" s="40"/>
      <c r="N12" s="43"/>
      <c r="O12" s="40"/>
      <c r="P12" s="40"/>
      <c r="Q12" s="11"/>
      <c r="R12" s="58"/>
      <c r="S12" s="36"/>
      <c r="T12" s="37"/>
      <c r="U12" s="38"/>
    </row>
    <row r="13" spans="1:21" ht="18" customHeight="1" x14ac:dyDescent="0.15">
      <c r="E13" s="91"/>
      <c r="F13" s="89"/>
      <c r="G13" s="136" t="s">
        <v>41</v>
      </c>
      <c r="H13" s="137"/>
      <c r="I13" s="138"/>
      <c r="J13" s="62"/>
      <c r="K13" s="63"/>
      <c r="L13" s="28"/>
      <c r="M13" s="1"/>
      <c r="N13" s="64"/>
      <c r="O13" s="44"/>
      <c r="P13" s="49"/>
      <c r="Q13" s="37"/>
      <c r="R13" s="38"/>
      <c r="S13" s="38"/>
      <c r="T13" s="37"/>
      <c r="U13" s="41"/>
    </row>
    <row r="14" spans="1:21" ht="18" customHeight="1" x14ac:dyDescent="0.15">
      <c r="A14" s="89" t="s">
        <v>53</v>
      </c>
      <c r="B14" s="89"/>
      <c r="C14" s="1">
        <v>0.1</v>
      </c>
      <c r="D14" s="45"/>
      <c r="E14" s="78"/>
      <c r="F14" s="65">
        <v>1</v>
      </c>
      <c r="G14" s="108" t="s">
        <v>42</v>
      </c>
      <c r="H14" s="108" t="s">
        <v>54</v>
      </c>
      <c r="I14" s="109" t="s">
        <v>43</v>
      </c>
      <c r="J14" s="110">
        <v>1</v>
      </c>
      <c r="K14" s="121">
        <v>5500</v>
      </c>
      <c r="L14" s="111">
        <f t="shared" ref="L14:L15" si="0">J14*K14</f>
        <v>5500</v>
      </c>
      <c r="M14" s="112"/>
      <c r="N14" s="113" t="s">
        <v>44</v>
      </c>
      <c r="O14" s="122" t="s">
        <v>58</v>
      </c>
      <c r="P14" s="23" t="s">
        <v>45</v>
      </c>
      <c r="Q14" s="59">
        <v>45966</v>
      </c>
      <c r="R14" s="38"/>
      <c r="S14" s="52">
        <v>45979</v>
      </c>
      <c r="T14" s="19">
        <v>45975</v>
      </c>
      <c r="U14" s="41">
        <v>45974</v>
      </c>
    </row>
    <row r="15" spans="1:21" ht="18" customHeight="1" x14ac:dyDescent="0.15">
      <c r="A15" s="89" t="s">
        <v>49</v>
      </c>
      <c r="B15" s="89"/>
      <c r="C15" s="1">
        <v>0.2</v>
      </c>
      <c r="D15" s="45"/>
      <c r="E15" s="78"/>
      <c r="F15" s="65">
        <f t="shared" ref="F15" si="1">+F14+1</f>
        <v>2</v>
      </c>
      <c r="G15" s="108" t="s">
        <v>42</v>
      </c>
      <c r="H15" s="114" t="s">
        <v>54</v>
      </c>
      <c r="I15" s="115" t="s">
        <v>46</v>
      </c>
      <c r="J15" s="116">
        <v>1</v>
      </c>
      <c r="K15" s="121">
        <v>4490</v>
      </c>
      <c r="L15" s="117">
        <f t="shared" si="0"/>
        <v>4490</v>
      </c>
      <c r="M15" s="112"/>
      <c r="N15" s="115" t="s">
        <v>47</v>
      </c>
      <c r="O15" s="122" t="s">
        <v>58</v>
      </c>
      <c r="P15" s="23" t="s">
        <v>48</v>
      </c>
      <c r="Q15" s="59">
        <v>45966</v>
      </c>
      <c r="R15" s="38"/>
      <c r="S15" s="52">
        <v>45979</v>
      </c>
      <c r="T15" s="123">
        <v>45980</v>
      </c>
      <c r="U15" s="41">
        <v>45974</v>
      </c>
    </row>
    <row r="16" spans="1:21" ht="18" customHeight="1" x14ac:dyDescent="0.15">
      <c r="A16" s="1"/>
      <c r="B16" s="1"/>
      <c r="C16" s="1"/>
      <c r="D16" s="1"/>
      <c r="E16" s="99"/>
      <c r="F16" s="100"/>
      <c r="G16" s="4"/>
      <c r="H16" s="4"/>
      <c r="I16" s="118"/>
      <c r="J16" s="54"/>
      <c r="K16" s="50"/>
      <c r="L16" s="50"/>
      <c r="M16" s="51"/>
      <c r="N16" s="64"/>
      <c r="O16" s="44"/>
      <c r="P16" s="66"/>
      <c r="Q16" s="59"/>
      <c r="R16" s="38"/>
      <c r="S16" s="52"/>
      <c r="T16" s="19"/>
      <c r="U16" s="41"/>
    </row>
    <row r="17" spans="1:21" ht="18" customHeight="1" x14ac:dyDescent="0.15">
      <c r="E17" s="24"/>
      <c r="F17" s="1"/>
      <c r="G17" s="67"/>
      <c r="H17" s="67"/>
      <c r="I17" s="107">
        <f>SUM(L14:L16)</f>
        <v>9990</v>
      </c>
      <c r="J17" s="119"/>
      <c r="K17" s="119"/>
      <c r="L17" s="119"/>
      <c r="M17" s="1"/>
      <c r="N17" s="64"/>
      <c r="O17" s="44"/>
      <c r="P17" s="66"/>
      <c r="Q17" s="59"/>
      <c r="R17" s="38"/>
      <c r="S17" s="52"/>
      <c r="T17" s="19"/>
      <c r="U17" s="41"/>
    </row>
    <row r="18" spans="1:21" s="3" customFormat="1" ht="19.5" customHeight="1" x14ac:dyDescent="0.15">
      <c r="E18" s="1"/>
      <c r="F18" s="61"/>
      <c r="G18" s="39"/>
      <c r="H18" s="39"/>
      <c r="I18" s="42"/>
      <c r="J18" s="40"/>
      <c r="K18" s="60"/>
      <c r="L18" s="39"/>
      <c r="M18" s="40"/>
      <c r="N18" s="43"/>
      <c r="O18" s="44"/>
      <c r="P18" s="66"/>
      <c r="Q18" s="59"/>
      <c r="R18" s="38"/>
      <c r="S18" s="52"/>
      <c r="T18" s="19"/>
      <c r="U18" s="41"/>
    </row>
    <row r="19" spans="1:21" s="3" customFormat="1" ht="19.5" customHeight="1" x14ac:dyDescent="0.15">
      <c r="E19" s="1"/>
      <c r="F19" s="61"/>
      <c r="G19" s="39"/>
      <c r="H19" s="39"/>
      <c r="I19" s="42"/>
      <c r="J19" s="40"/>
      <c r="K19" s="60"/>
      <c r="L19" s="39"/>
      <c r="M19" s="40"/>
      <c r="N19" s="43"/>
      <c r="O19" s="44"/>
      <c r="P19" s="66"/>
      <c r="Q19" s="59"/>
      <c r="R19" s="38"/>
      <c r="S19" s="52"/>
      <c r="T19" s="19"/>
      <c r="U19" s="41"/>
    </row>
    <row r="20" spans="1:21" s="3" customFormat="1" ht="19.5" customHeight="1" x14ac:dyDescent="0.15">
      <c r="E20" s="1"/>
      <c r="F20" s="61"/>
      <c r="G20" s="142" t="s">
        <v>59</v>
      </c>
      <c r="H20" s="143"/>
      <c r="I20" s="143"/>
      <c r="J20" s="144"/>
      <c r="K20" s="60"/>
      <c r="L20" s="39"/>
      <c r="M20" s="40"/>
      <c r="N20" s="43"/>
      <c r="O20" s="44"/>
      <c r="P20" s="66"/>
      <c r="Q20" s="59"/>
      <c r="R20" s="38"/>
      <c r="S20" s="52"/>
      <c r="T20" s="19"/>
      <c r="U20" s="41"/>
    </row>
    <row r="21" spans="1:21" s="3" customFormat="1" ht="19.5" customHeight="1" x14ac:dyDescent="0.15">
      <c r="A21" s="90" t="s">
        <v>24</v>
      </c>
      <c r="B21" s="92">
        <v>0.2</v>
      </c>
      <c r="C21" s="1">
        <f>+B21*J21</f>
        <v>0.2</v>
      </c>
      <c r="D21" s="105"/>
      <c r="E21" s="1"/>
      <c r="F21" s="53">
        <f>+F15+1</f>
        <v>3</v>
      </c>
      <c r="G21" s="124" t="s">
        <v>60</v>
      </c>
      <c r="H21" s="124" t="s">
        <v>61</v>
      </c>
      <c r="I21" s="125" t="s">
        <v>62</v>
      </c>
      <c r="J21" s="126">
        <v>1</v>
      </c>
      <c r="K21" s="127">
        <v>1798</v>
      </c>
      <c r="L21" s="128">
        <f t="shared" ref="L21" si="2">J21*K21</f>
        <v>1798</v>
      </c>
      <c r="M21" s="40"/>
      <c r="N21" s="43" t="s">
        <v>63</v>
      </c>
      <c r="O21" s="129" t="s">
        <v>64</v>
      </c>
      <c r="P21" s="66"/>
      <c r="Q21" s="59">
        <v>45974</v>
      </c>
      <c r="R21" s="38"/>
      <c r="S21" s="52"/>
      <c r="T21" s="19">
        <v>45978</v>
      </c>
      <c r="U21" s="41">
        <v>45975</v>
      </c>
    </row>
    <row r="22" spans="1:21" s="3" customFormat="1" ht="19.7" customHeight="1" x14ac:dyDescent="0.15">
      <c r="D22" s="1"/>
      <c r="E22" s="46"/>
      <c r="F22" s="103"/>
      <c r="G22" s="76"/>
      <c r="H22" s="68"/>
      <c r="I22" s="74"/>
      <c r="J22" s="27"/>
      <c r="K22" s="34"/>
      <c r="L22" s="34"/>
      <c r="M22" s="47"/>
      <c r="N22" s="48"/>
      <c r="O22" s="44"/>
      <c r="P22" s="66"/>
      <c r="Q22" s="59"/>
      <c r="R22" s="38"/>
      <c r="S22" s="52"/>
      <c r="T22" s="19"/>
      <c r="U22" s="41"/>
    </row>
    <row r="23" spans="1:21" s="3" customFormat="1" ht="19.7" customHeight="1" x14ac:dyDescent="0.15">
      <c r="C23" s="3" t="s">
        <v>50</v>
      </c>
      <c r="D23" s="1"/>
      <c r="E23" s="1"/>
      <c r="F23" s="85"/>
      <c r="G23" s="71"/>
      <c r="H23" s="71"/>
      <c r="I23" s="23"/>
      <c r="J23" s="81"/>
      <c r="K23" s="83"/>
      <c r="L23" s="73"/>
      <c r="M23" s="56"/>
      <c r="N23" s="57"/>
      <c r="O23" s="70"/>
      <c r="P23" s="4"/>
      <c r="Q23" s="11"/>
      <c r="R23" s="4"/>
      <c r="S23" s="19"/>
      <c r="T23" s="19"/>
      <c r="U23" s="14"/>
    </row>
    <row r="24" spans="1:21" s="3" customFormat="1" ht="19.7" customHeight="1" x14ac:dyDescent="0.15">
      <c r="C24" s="102">
        <f>SUM(C11:C19)</f>
        <v>0.30000000000000004</v>
      </c>
      <c r="D24" s="1"/>
      <c r="E24" s="1"/>
      <c r="F24" s="85"/>
      <c r="G24" s="71"/>
      <c r="H24" s="71"/>
      <c r="I24" s="101"/>
      <c r="J24" s="81"/>
      <c r="K24" s="83"/>
      <c r="L24" s="73"/>
      <c r="M24" s="56"/>
      <c r="N24" s="57"/>
      <c r="O24" s="70"/>
      <c r="P24" s="4"/>
      <c r="Q24" s="11"/>
      <c r="R24" s="4"/>
      <c r="S24" s="19"/>
      <c r="T24" s="19"/>
      <c r="U24" s="14"/>
    </row>
    <row r="25" spans="1:21" s="3" customFormat="1" ht="19.7" customHeight="1" x14ac:dyDescent="0.15">
      <c r="C25" s="55" t="s">
        <v>26</v>
      </c>
      <c r="D25" s="1"/>
      <c r="E25" s="1"/>
      <c r="F25" s="85"/>
      <c r="G25" s="71"/>
      <c r="H25" s="71"/>
      <c r="I25" s="23"/>
      <c r="J25" s="81"/>
      <c r="K25" s="83"/>
      <c r="L25" s="73"/>
      <c r="M25" s="56"/>
      <c r="N25" s="57"/>
      <c r="O25" s="70"/>
      <c r="P25" s="4"/>
      <c r="Q25" s="11"/>
      <c r="R25" s="4"/>
      <c r="S25" s="19"/>
      <c r="T25" s="19"/>
      <c r="U25" s="14"/>
    </row>
    <row r="26" spans="1:21" s="3" customFormat="1" ht="19.7" customHeight="1" x14ac:dyDescent="0.15">
      <c r="C26" s="55"/>
      <c r="D26" s="1"/>
      <c r="E26" s="1"/>
      <c r="F26" s="85"/>
      <c r="G26" s="71"/>
      <c r="H26" s="71"/>
      <c r="I26" s="23"/>
      <c r="J26" s="81"/>
      <c r="K26" s="83"/>
      <c r="L26" s="73"/>
      <c r="M26" s="56"/>
      <c r="N26" s="57"/>
      <c r="O26" s="70"/>
      <c r="P26" s="4"/>
      <c r="Q26" s="11"/>
      <c r="R26" s="4"/>
      <c r="S26" s="19"/>
      <c r="T26" s="19"/>
      <c r="U26" s="14"/>
    </row>
    <row r="27" spans="1:21" s="3" customFormat="1" ht="19.7" customHeight="1" x14ac:dyDescent="0.15">
      <c r="D27" s="104"/>
      <c r="E27" s="77"/>
      <c r="F27" s="79"/>
      <c r="G27" s="136" t="s">
        <v>27</v>
      </c>
      <c r="H27" s="137"/>
      <c r="I27" s="138"/>
      <c r="J27" s="81"/>
      <c r="K27" s="83"/>
      <c r="L27" s="73"/>
      <c r="M27" s="56"/>
      <c r="N27" s="57"/>
      <c r="O27" s="70"/>
      <c r="P27" s="4"/>
      <c r="Q27" s="11"/>
      <c r="R27" s="4"/>
      <c r="S27" s="19"/>
      <c r="T27" s="19"/>
      <c r="U27" s="14"/>
    </row>
    <row r="28" spans="1:21" s="3" customFormat="1" ht="19.7" customHeight="1" x14ac:dyDescent="0.15">
      <c r="A28" s="90" t="s">
        <v>24</v>
      </c>
      <c r="B28" s="92">
        <v>0.2</v>
      </c>
      <c r="C28" s="1">
        <f>+B28*J28</f>
        <v>0.2</v>
      </c>
      <c r="D28" s="105"/>
      <c r="E28" s="1"/>
      <c r="F28" s="53">
        <f>+F21+1</f>
        <v>4</v>
      </c>
      <c r="G28" s="93" t="s">
        <v>29</v>
      </c>
      <c r="H28" s="94" t="s">
        <v>55</v>
      </c>
      <c r="I28" s="95" t="s">
        <v>30</v>
      </c>
      <c r="J28" s="96">
        <v>1</v>
      </c>
      <c r="K28" s="98">
        <v>4090</v>
      </c>
      <c r="L28" s="97">
        <f t="shared" ref="L28:L29" si="3">J28*K28</f>
        <v>4090</v>
      </c>
      <c r="M28" s="2"/>
      <c r="N28" s="69" t="s">
        <v>31</v>
      </c>
      <c r="O28" s="122" t="s">
        <v>58</v>
      </c>
      <c r="P28" s="23" t="s">
        <v>32</v>
      </c>
      <c r="Q28" s="59">
        <v>45966</v>
      </c>
      <c r="R28" s="4"/>
      <c r="S28" s="52">
        <v>45979</v>
      </c>
      <c r="T28" s="19">
        <v>45975</v>
      </c>
      <c r="U28" s="14">
        <v>45974</v>
      </c>
    </row>
    <row r="29" spans="1:21" s="3" customFormat="1" ht="19.7" customHeight="1" x14ac:dyDescent="0.15">
      <c r="A29" s="92"/>
      <c r="B29" s="92">
        <v>0.1</v>
      </c>
      <c r="C29" s="1">
        <f>+B29*J29</f>
        <v>0.1</v>
      </c>
      <c r="D29" s="105"/>
      <c r="E29" s="1"/>
      <c r="F29" s="53">
        <f>+F28+1</f>
        <v>5</v>
      </c>
      <c r="G29" s="93" t="s">
        <v>29</v>
      </c>
      <c r="H29" s="94" t="s">
        <v>54</v>
      </c>
      <c r="I29" s="95" t="s">
        <v>33</v>
      </c>
      <c r="J29" s="96">
        <v>1</v>
      </c>
      <c r="K29" s="98">
        <v>190</v>
      </c>
      <c r="L29" s="97">
        <f t="shared" si="3"/>
        <v>190</v>
      </c>
      <c r="M29" s="2"/>
      <c r="N29" s="69" t="s">
        <v>34</v>
      </c>
      <c r="O29" s="122" t="s">
        <v>58</v>
      </c>
      <c r="P29" s="23" t="s">
        <v>32</v>
      </c>
      <c r="Q29" s="59">
        <v>45966</v>
      </c>
      <c r="R29" s="4"/>
      <c r="S29" s="52">
        <v>45979</v>
      </c>
      <c r="T29" s="19">
        <v>45975</v>
      </c>
      <c r="U29" s="14">
        <v>45974</v>
      </c>
    </row>
    <row r="30" spans="1:21" s="3" customFormat="1" ht="19.7" customHeight="1" x14ac:dyDescent="0.15">
      <c r="A30" s="92"/>
      <c r="B30" s="92">
        <v>0.1</v>
      </c>
      <c r="C30" s="1">
        <f>+B30*J30</f>
        <v>0.1</v>
      </c>
      <c r="D30" s="106"/>
      <c r="E30" s="1"/>
      <c r="F30" s="53">
        <f>+F29+1</f>
        <v>6</v>
      </c>
      <c r="G30" s="93" t="s">
        <v>29</v>
      </c>
      <c r="H30" s="94" t="s">
        <v>54</v>
      </c>
      <c r="I30" s="95" t="s">
        <v>35</v>
      </c>
      <c r="J30" s="96">
        <v>1</v>
      </c>
      <c r="K30" s="98">
        <v>2930</v>
      </c>
      <c r="L30" s="97">
        <f t="shared" ref="L30:L31" si="4">J30*K30</f>
        <v>2930</v>
      </c>
      <c r="M30" s="2"/>
      <c r="N30" s="69" t="s">
        <v>36</v>
      </c>
      <c r="O30" s="122" t="s">
        <v>58</v>
      </c>
      <c r="P30" s="23" t="s">
        <v>32</v>
      </c>
      <c r="Q30" s="59">
        <v>45966</v>
      </c>
      <c r="R30" s="4"/>
      <c r="S30" s="52">
        <v>45979</v>
      </c>
      <c r="T30" s="19">
        <v>45975</v>
      </c>
      <c r="U30" s="14">
        <v>45974</v>
      </c>
    </row>
    <row r="31" spans="1:21" s="3" customFormat="1" ht="19.7" customHeight="1" x14ac:dyDescent="0.15">
      <c r="A31" s="92"/>
      <c r="B31" s="92">
        <v>0.1</v>
      </c>
      <c r="C31" s="1">
        <f>+B31*J31</f>
        <v>0.1</v>
      </c>
      <c r="D31" s="106"/>
      <c r="E31" s="1"/>
      <c r="F31" s="53">
        <f t="shared" ref="F31" si="5">+F30+1</f>
        <v>7</v>
      </c>
      <c r="G31" s="93" t="s">
        <v>29</v>
      </c>
      <c r="H31" s="94" t="s">
        <v>54</v>
      </c>
      <c r="I31" s="95" t="s">
        <v>37</v>
      </c>
      <c r="J31" s="96">
        <v>1</v>
      </c>
      <c r="K31" s="98">
        <v>470</v>
      </c>
      <c r="L31" s="97">
        <f t="shared" si="4"/>
        <v>470</v>
      </c>
      <c r="M31" s="2"/>
      <c r="N31" s="69" t="s">
        <v>38</v>
      </c>
      <c r="O31" s="122" t="s">
        <v>58</v>
      </c>
      <c r="P31" s="23" t="s">
        <v>32</v>
      </c>
      <c r="Q31" s="59">
        <v>45966</v>
      </c>
      <c r="R31" s="4"/>
      <c r="S31" s="52">
        <v>45979</v>
      </c>
      <c r="T31" s="19">
        <v>45975</v>
      </c>
      <c r="U31" s="14">
        <v>45974</v>
      </c>
    </row>
    <row r="32" spans="1:21" ht="19.7" customHeight="1" x14ac:dyDescent="0.15">
      <c r="C32" s="1"/>
      <c r="D32" s="29"/>
      <c r="E32" s="35"/>
      <c r="F32" s="4"/>
      <c r="G32" s="4"/>
      <c r="H32" s="4"/>
      <c r="I32" s="87"/>
      <c r="J32" s="84"/>
      <c r="K32" s="26"/>
      <c r="L32" s="73"/>
      <c r="M32" s="56"/>
      <c r="N32" s="48"/>
      <c r="O32" s="70"/>
      <c r="P32" s="4"/>
      <c r="Q32" s="11"/>
      <c r="R32" s="4"/>
      <c r="S32" s="19"/>
      <c r="T32" s="19"/>
      <c r="U32" s="14"/>
    </row>
    <row r="33" spans="3:21" ht="19.7" customHeight="1" x14ac:dyDescent="0.15">
      <c r="C33" s="1"/>
      <c r="D33" s="29"/>
      <c r="E33" s="35"/>
      <c r="F33" s="4"/>
      <c r="G33" s="4"/>
      <c r="H33" s="4"/>
      <c r="I33" s="87"/>
      <c r="J33" s="84"/>
      <c r="K33" s="26"/>
      <c r="L33" s="73"/>
      <c r="M33" s="56"/>
      <c r="N33" s="48"/>
      <c r="O33" s="70"/>
      <c r="P33" s="4"/>
      <c r="Q33" s="11"/>
      <c r="R33" s="4"/>
      <c r="S33" s="19"/>
      <c r="T33" s="19"/>
      <c r="U33" s="14"/>
    </row>
    <row r="34" spans="3:21" ht="19.7" customHeight="1" x14ac:dyDescent="0.15">
      <c r="C34" s="1"/>
      <c r="D34" s="29"/>
      <c r="E34" s="35"/>
      <c r="F34" s="4"/>
      <c r="G34" s="75"/>
      <c r="H34" s="75"/>
      <c r="I34" s="86">
        <f>SUM(L28:L32)</f>
        <v>7680</v>
      </c>
      <c r="J34" s="84"/>
      <c r="K34" s="26"/>
      <c r="L34" s="73"/>
      <c r="M34" s="2"/>
      <c r="N34" s="64"/>
      <c r="O34" s="23"/>
      <c r="P34" s="4"/>
      <c r="Q34" s="11"/>
      <c r="R34" s="4"/>
      <c r="S34" s="19"/>
      <c r="T34" s="19"/>
      <c r="U34" s="14"/>
    </row>
    <row r="35" spans="3:21" ht="19.7" customHeight="1" x14ac:dyDescent="0.15">
      <c r="C35" s="1"/>
      <c r="D35" s="29"/>
      <c r="E35" s="35"/>
      <c r="F35" s="4"/>
      <c r="G35" s="75"/>
      <c r="H35" s="75"/>
      <c r="I35" s="23"/>
      <c r="J35" s="84"/>
      <c r="K35" s="26"/>
      <c r="L35" s="73"/>
      <c r="M35" s="2"/>
      <c r="N35" s="64"/>
      <c r="O35" s="23"/>
      <c r="P35" s="4"/>
      <c r="Q35" s="11"/>
      <c r="R35" s="4"/>
      <c r="S35" s="19"/>
      <c r="T35" s="19"/>
      <c r="U35" s="14"/>
    </row>
    <row r="36" spans="3:21" x14ac:dyDescent="0.15">
      <c r="C36" s="1"/>
      <c r="F36" s="4"/>
      <c r="G36" s="75"/>
      <c r="H36" s="75"/>
      <c r="I36" s="23"/>
      <c r="J36" s="84"/>
      <c r="K36" s="26"/>
      <c r="L36" s="73"/>
      <c r="M36" s="56"/>
      <c r="N36" s="64"/>
      <c r="O36" s="70"/>
    </row>
    <row r="37" spans="3:21" x14ac:dyDescent="0.15">
      <c r="C37" s="1"/>
      <c r="F37" s="4"/>
      <c r="G37" s="4"/>
      <c r="H37" s="4"/>
      <c r="I37" s="87"/>
      <c r="J37" s="84"/>
      <c r="K37" s="26"/>
      <c r="L37" s="73"/>
      <c r="M37" s="56"/>
      <c r="N37" s="48"/>
      <c r="O37" s="70"/>
    </row>
    <row r="38" spans="3:21" ht="18.75" x14ac:dyDescent="0.15">
      <c r="C38" s="3" t="s">
        <v>28</v>
      </c>
      <c r="F38" s="71"/>
      <c r="G38" s="71"/>
      <c r="H38" s="71"/>
      <c r="I38" s="86">
        <f>SUM(L37:L38)</f>
        <v>0</v>
      </c>
      <c r="J38" s="81"/>
      <c r="K38" s="83"/>
      <c r="L38" s="73"/>
      <c r="M38" s="56"/>
      <c r="N38" s="57"/>
      <c r="O38" s="70"/>
    </row>
    <row r="39" spans="3:21" x14ac:dyDescent="0.15">
      <c r="C39" s="82">
        <f>SUM(C28:C38)</f>
        <v>0.5</v>
      </c>
      <c r="F39" s="85"/>
      <c r="G39" s="71"/>
      <c r="H39" s="71"/>
      <c r="I39" s="72"/>
      <c r="J39" s="81"/>
      <c r="K39" s="83"/>
      <c r="L39" s="73"/>
      <c r="M39" s="56"/>
      <c r="N39" s="57"/>
      <c r="O39" s="70"/>
    </row>
    <row r="40" spans="3:21" x14ac:dyDescent="0.15">
      <c r="C40" s="55" t="s">
        <v>26</v>
      </c>
      <c r="F40" s="71"/>
      <c r="G40" s="71"/>
      <c r="H40" s="71"/>
      <c r="I40" s="87"/>
      <c r="J40" s="81"/>
      <c r="K40" s="83"/>
      <c r="L40" s="73"/>
      <c r="M40" s="56"/>
      <c r="N40" s="57"/>
      <c r="O40" s="70"/>
    </row>
    <row r="41" spans="3:21" x14ac:dyDescent="0.15">
      <c r="C41" s="3"/>
      <c r="F41" s="71"/>
      <c r="G41" s="71"/>
      <c r="H41" s="71"/>
      <c r="I41" s="87"/>
      <c r="J41" s="81"/>
      <c r="K41" s="83"/>
      <c r="L41" s="73"/>
      <c r="M41" s="56"/>
      <c r="N41" s="57"/>
      <c r="O41" s="70"/>
    </row>
    <row r="42" spans="3:21" x14ac:dyDescent="0.15">
      <c r="C42" s="3"/>
      <c r="F42" s="71"/>
      <c r="G42" s="71"/>
      <c r="H42" s="71"/>
      <c r="I42" s="87"/>
      <c r="J42" s="81"/>
      <c r="K42" s="83"/>
      <c r="L42" s="73"/>
      <c r="M42" s="56"/>
      <c r="N42" s="57"/>
      <c r="O42" s="70"/>
    </row>
    <row r="43" spans="3:21" x14ac:dyDescent="0.15">
      <c r="C43" s="3"/>
      <c r="F43" s="71"/>
      <c r="G43" s="71"/>
      <c r="H43" s="71"/>
      <c r="I43" s="87"/>
      <c r="J43" s="81"/>
      <c r="K43" s="83"/>
      <c r="L43" s="73"/>
      <c r="M43" s="56"/>
      <c r="N43" s="57"/>
      <c r="O43" s="70"/>
    </row>
    <row r="44" spans="3:21" ht="14.25" thickBot="1" x14ac:dyDescent="0.2">
      <c r="C44" s="3" t="s">
        <v>39</v>
      </c>
      <c r="F44" s="71"/>
      <c r="G44" s="71"/>
      <c r="H44" s="71"/>
      <c r="I44" s="87"/>
      <c r="J44" s="81"/>
      <c r="K44" s="83"/>
      <c r="L44" s="73"/>
      <c r="M44" s="56"/>
      <c r="N44" s="57"/>
      <c r="O44" s="70"/>
    </row>
    <row r="45" spans="3:21" ht="14.25" thickBot="1" x14ac:dyDescent="0.2">
      <c r="C45" s="88" t="e">
        <f>+C39+C24+#REF!</f>
        <v>#REF!</v>
      </c>
      <c r="F45" s="85"/>
      <c r="G45" s="71"/>
      <c r="H45" s="71"/>
      <c r="I45" s="87"/>
      <c r="J45" s="81"/>
      <c r="K45" s="83"/>
      <c r="L45" s="73"/>
      <c r="M45" s="56"/>
      <c r="N45" s="57"/>
      <c r="O45" s="70"/>
    </row>
    <row r="46" spans="3:21" x14ac:dyDescent="0.15">
      <c r="C46" s="55" t="s">
        <v>26</v>
      </c>
      <c r="F46" s="71"/>
      <c r="G46" s="71"/>
      <c r="H46" s="71"/>
      <c r="I46" s="87"/>
      <c r="J46" s="81"/>
      <c r="K46" s="83"/>
      <c r="L46" s="73"/>
      <c r="M46" s="56"/>
      <c r="N46" s="57"/>
      <c r="O46" s="70"/>
    </row>
    <row r="47" spans="3:21" x14ac:dyDescent="0.15">
      <c r="C47" s="3"/>
      <c r="F47" s="71"/>
      <c r="G47" s="71"/>
      <c r="H47" s="71"/>
      <c r="I47" s="87"/>
      <c r="J47" s="81"/>
      <c r="K47" s="83"/>
      <c r="L47" s="73"/>
      <c r="M47" s="56"/>
      <c r="N47" s="57"/>
      <c r="O47" s="70"/>
    </row>
    <row r="48" spans="3:21" x14ac:dyDescent="0.15">
      <c r="C48" s="3"/>
      <c r="F48" s="71"/>
      <c r="G48" s="71"/>
      <c r="H48" s="71"/>
      <c r="I48" s="87"/>
      <c r="J48" s="81"/>
      <c r="K48" s="83"/>
      <c r="L48" s="73"/>
      <c r="M48" s="56"/>
      <c r="N48" s="57"/>
      <c r="O48" s="70"/>
    </row>
  </sheetData>
  <autoFilter ref="F9:S31" xr:uid="{00000000-0009-0000-0000-000000000000}"/>
  <mergeCells count="11">
    <mergeCell ref="F2:H2"/>
    <mergeCell ref="K2:M2"/>
    <mergeCell ref="F3:H3"/>
    <mergeCell ref="F4:H4"/>
    <mergeCell ref="G20:J20"/>
    <mergeCell ref="N4:O5"/>
    <mergeCell ref="F5:H5"/>
    <mergeCell ref="K5:L6"/>
    <mergeCell ref="F6:H6"/>
    <mergeCell ref="G27:I27"/>
    <mergeCell ref="G13:I13"/>
  </mergeCells>
  <phoneticPr fontId="15"/>
  <hyperlinks>
    <hyperlink ref="O21" r:id="rId1" xr:uid="{482C8AC4-08AC-4A9D-80F2-791BDC52B058}"/>
  </hyperlinks>
  <pageMargins left="0.2" right="0.2" top="0.36" bottom="0.41" header="0.3" footer="0.3"/>
  <pageSetup paperSize="9" scale="7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227707　原価表  20251104 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shinohara</cp:lastModifiedBy>
  <cp:lastPrinted>2018-06-15T01:25:43Z</cp:lastPrinted>
  <dcterms:created xsi:type="dcterms:W3CDTF">2011-12-13T06:48:43Z</dcterms:created>
  <dcterms:modified xsi:type="dcterms:W3CDTF">2025-11-14T07:00:05Z</dcterms:modified>
</cp:coreProperties>
</file>