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7923449-0EDA-4403-910E-6E81605D75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27707　原価表  20251104③ " sheetId="15" r:id="rId1"/>
  </sheets>
  <definedNames>
    <definedName name="_xlnm._FilterDatabase" localSheetId="0" hidden="1">'227707　原価表  20251104③ '!$F$9:$S$198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5" l="1"/>
  <c r="F74" i="15"/>
  <c r="F75" i="15" s="1"/>
  <c r="F76" i="15" s="1"/>
  <c r="L72" i="15"/>
  <c r="F72" i="15"/>
  <c r="L103" i="15"/>
  <c r="L82" i="15"/>
  <c r="L165" i="15"/>
  <c r="C165" i="15"/>
  <c r="L164" i="15"/>
  <c r="C164" i="15"/>
  <c r="L199" i="15"/>
  <c r="L64" i="15"/>
  <c r="I205" i="15"/>
  <c r="L198" i="15"/>
  <c r="C198" i="15"/>
  <c r="L197" i="15"/>
  <c r="L196" i="15"/>
  <c r="C196" i="15"/>
  <c r="L195" i="15"/>
  <c r="L194" i="15"/>
  <c r="C194" i="15"/>
  <c r="L193" i="15"/>
  <c r="C193" i="15"/>
  <c r="L192" i="15"/>
  <c r="C192" i="15"/>
  <c r="L191" i="15"/>
  <c r="L190" i="15"/>
  <c r="L189" i="15"/>
  <c r="C189" i="15"/>
  <c r="L188" i="15"/>
  <c r="C188" i="15"/>
  <c r="L187" i="15"/>
  <c r="L186" i="15"/>
  <c r="C186" i="15"/>
  <c r="L185" i="15"/>
  <c r="C185" i="15"/>
  <c r="L184" i="15"/>
  <c r="C184" i="15"/>
  <c r="L183" i="15"/>
  <c r="C183" i="15"/>
  <c r="L182" i="15"/>
  <c r="C182" i="15"/>
  <c r="L181" i="15"/>
  <c r="C181" i="15"/>
  <c r="L180" i="15"/>
  <c r="C180" i="15"/>
  <c r="L179" i="15"/>
  <c r="C179" i="15"/>
  <c r="L178" i="15"/>
  <c r="C178" i="15"/>
  <c r="L177" i="15"/>
  <c r="C177" i="15"/>
  <c r="L176" i="15"/>
  <c r="C176" i="15"/>
  <c r="L175" i="15"/>
  <c r="C175" i="15"/>
  <c r="L174" i="15"/>
  <c r="C174" i="15"/>
  <c r="L173" i="15"/>
  <c r="C173" i="15"/>
  <c r="L172" i="15"/>
  <c r="C172" i="15"/>
  <c r="L171" i="15"/>
  <c r="C171" i="15"/>
  <c r="L170" i="15"/>
  <c r="C170" i="15"/>
  <c r="L169" i="15"/>
  <c r="C169" i="15"/>
  <c r="L168" i="15"/>
  <c r="C168" i="15"/>
  <c r="L167" i="15"/>
  <c r="C167" i="15"/>
  <c r="L166" i="15"/>
  <c r="C166" i="15"/>
  <c r="L163" i="15"/>
  <c r="C163" i="15"/>
  <c r="L162" i="15"/>
  <c r="C162" i="15"/>
  <c r="L161" i="15"/>
  <c r="L160" i="15"/>
  <c r="C160" i="15"/>
  <c r="L159" i="15"/>
  <c r="C159" i="15"/>
  <c r="L158" i="15"/>
  <c r="C158" i="15"/>
  <c r="L157" i="15"/>
  <c r="C157" i="15"/>
  <c r="L156" i="15"/>
  <c r="C156" i="15"/>
  <c r="L155" i="15"/>
  <c r="C155" i="15"/>
  <c r="L154" i="15"/>
  <c r="C154" i="15"/>
  <c r="L153" i="15"/>
  <c r="C153" i="15"/>
  <c r="L152" i="15"/>
  <c r="C152" i="15"/>
  <c r="L151" i="15"/>
  <c r="C151" i="15"/>
  <c r="L150" i="15"/>
  <c r="C150" i="15"/>
  <c r="L149" i="15"/>
  <c r="C149" i="15"/>
  <c r="L148" i="15"/>
  <c r="C148" i="15"/>
  <c r="L147" i="15"/>
  <c r="C147" i="15"/>
  <c r="L146" i="15"/>
  <c r="L145" i="15"/>
  <c r="C145" i="15"/>
  <c r="L144" i="15"/>
  <c r="C144" i="15"/>
  <c r="L143" i="15"/>
  <c r="C143" i="15"/>
  <c r="L142" i="15"/>
  <c r="L141" i="15"/>
  <c r="L140" i="15"/>
  <c r="L139" i="15"/>
  <c r="C139" i="15"/>
  <c r="L138" i="15"/>
  <c r="C138" i="15"/>
  <c r="L137" i="15"/>
  <c r="C137" i="15"/>
  <c r="L136" i="15"/>
  <c r="C136" i="15"/>
  <c r="L135" i="15"/>
  <c r="C135" i="15"/>
  <c r="L134" i="15"/>
  <c r="C134" i="15"/>
  <c r="L133" i="15"/>
  <c r="L132" i="15"/>
  <c r="L131" i="15"/>
  <c r="L130" i="15"/>
  <c r="C130" i="15"/>
  <c r="L129" i="15"/>
  <c r="L128" i="15"/>
  <c r="C128" i="15"/>
  <c r="L127" i="15"/>
  <c r="C127" i="15"/>
  <c r="L126" i="15"/>
  <c r="C126" i="15"/>
  <c r="L125" i="15"/>
  <c r="C125" i="15"/>
  <c r="L124" i="15"/>
  <c r="C124" i="15"/>
  <c r="L123" i="15"/>
  <c r="C123" i="15"/>
  <c r="L122" i="15"/>
  <c r="C122" i="15"/>
  <c r="L121" i="15"/>
  <c r="C121" i="15"/>
  <c r="L120" i="15"/>
  <c r="C120" i="15"/>
  <c r="L119" i="15"/>
  <c r="C119" i="15"/>
  <c r="L118" i="15"/>
  <c r="C118" i="15"/>
  <c r="L117" i="15"/>
  <c r="C117" i="15"/>
  <c r="L116" i="15"/>
  <c r="C116" i="15"/>
  <c r="L115" i="15"/>
  <c r="C115" i="15"/>
  <c r="L114" i="15"/>
  <c r="C109" i="15"/>
  <c r="L102" i="15"/>
  <c r="L101" i="15"/>
  <c r="L100" i="15"/>
  <c r="L99" i="15"/>
  <c r="L98" i="15"/>
  <c r="L97" i="15"/>
  <c r="I106" i="15" s="1"/>
  <c r="L91" i="15"/>
  <c r="L90" i="15"/>
  <c r="L89" i="15"/>
  <c r="L81" i="15"/>
  <c r="L80" i="15"/>
  <c r="L79" i="15"/>
  <c r="L78" i="15"/>
  <c r="L77" i="15"/>
  <c r="L76" i="15"/>
  <c r="L75" i="15"/>
  <c r="L74" i="15"/>
  <c r="L73" i="15"/>
  <c r="L71" i="15"/>
  <c r="I85" i="15" s="1"/>
  <c r="L63" i="15"/>
  <c r="L62" i="15"/>
  <c r="L61" i="15"/>
  <c r="L60" i="15"/>
  <c r="L59" i="15"/>
  <c r="L58" i="15"/>
  <c r="L57" i="15"/>
  <c r="L56" i="15"/>
  <c r="L55" i="15"/>
  <c r="L54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4" i="15"/>
  <c r="L23" i="15"/>
  <c r="L22" i="15"/>
  <c r="L21" i="15"/>
  <c r="L20" i="15"/>
  <c r="L19" i="15"/>
  <c r="L18" i="15"/>
  <c r="L17" i="15"/>
  <c r="L16" i="15"/>
  <c r="L15" i="15"/>
  <c r="L14" i="15"/>
  <c r="F15" i="15"/>
  <c r="F16" i="15" s="1"/>
  <c r="F17" i="15" s="1"/>
  <c r="F18" i="15" s="1"/>
  <c r="F19" i="15" s="1"/>
  <c r="F20" i="15" s="1"/>
  <c r="F21" i="15" s="1"/>
  <c r="F22" i="15" s="1"/>
  <c r="F23" i="15" s="1"/>
  <c r="F24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54" i="15" s="1"/>
  <c r="F55" i="15" s="1"/>
  <c r="F56" i="15" s="1"/>
  <c r="F57" i="15" s="1"/>
  <c r="F58" i="15" s="1"/>
  <c r="F59" i="15" s="1"/>
  <c r="F60" i="15" s="1"/>
  <c r="F61" i="15" s="1"/>
  <c r="F62" i="15" s="1"/>
  <c r="I26" i="15" l="1"/>
  <c r="I50" i="15"/>
  <c r="I201" i="15"/>
  <c r="I93" i="15"/>
  <c r="N2" i="15"/>
  <c r="C206" i="15"/>
  <c r="C212" i="15" s="1"/>
  <c r="I66" i="15"/>
  <c r="F63" i="15"/>
  <c r="F64" i="15" s="1"/>
  <c r="F71" i="15" s="1"/>
  <c r="F77" i="15" s="1"/>
  <c r="F78" i="15" s="1"/>
  <c r="F79" i="15" s="1"/>
  <c r="F80" i="15" s="1"/>
  <c r="F81" i="15" s="1"/>
  <c r="F82" i="15" l="1"/>
  <c r="F89" i="15" s="1"/>
  <c r="F90" i="15" s="1"/>
  <c r="F91" i="15" s="1"/>
  <c r="F97" i="15" s="1"/>
  <c r="F98" i="15" s="1"/>
  <c r="F99" i="15" s="1"/>
  <c r="F100" i="15" s="1"/>
  <c r="F101" i="15" s="1"/>
  <c r="F102" i="15" s="1"/>
  <c r="F103" i="15" l="1"/>
  <c r="F114" i="15" s="1"/>
  <c r="F115" i="15" s="1"/>
  <c r="F116" i="15" s="1"/>
  <c r="F117" i="15" s="1"/>
  <c r="F118" i="15" s="1"/>
  <c r="F119" i="15" s="1"/>
  <c r="F120" i="15" s="1"/>
  <c r="F121" i="15" s="1"/>
  <c r="F122" i="15" s="1"/>
  <c r="F123" i="15" s="1"/>
  <c r="F124" i="15" s="1"/>
  <c r="F125" i="15" s="1"/>
  <c r="F126" i="15" s="1"/>
  <c r="F127" i="15" s="1"/>
  <c r="F128" i="15" s="1"/>
  <c r="F129" i="15" s="1"/>
  <c r="F130" i="15" s="1"/>
  <c r="F131" i="15" s="1"/>
  <c r="F132" i="15" s="1"/>
  <c r="F133" i="15" s="1"/>
  <c r="F134" i="15" s="1"/>
  <c r="F135" i="15" s="1"/>
  <c r="F136" i="15" s="1"/>
  <c r="F137" i="15" s="1"/>
  <c r="F138" i="15" s="1"/>
  <c r="F139" i="15" s="1"/>
  <c r="F140" i="15" s="1"/>
  <c r="F141" i="15" s="1"/>
  <c r="F142" i="15" s="1"/>
  <c r="F143" i="15" s="1"/>
  <c r="F144" i="15" s="1"/>
  <c r="F145" i="15" s="1"/>
  <c r="F146" i="15" s="1"/>
  <c r="F147" i="15" s="1"/>
  <c r="F148" i="15" s="1"/>
  <c r="F149" i="15" s="1"/>
  <c r="F150" i="15" s="1"/>
  <c r="F151" i="15" s="1"/>
  <c r="F152" i="15" s="1"/>
  <c r="F153" i="15" s="1"/>
  <c r="F154" i="15" s="1"/>
  <c r="F155" i="15" s="1"/>
  <c r="F156" i="15" s="1"/>
  <c r="F157" i="15" s="1"/>
  <c r="F158" i="15" s="1"/>
  <c r="F159" i="15" s="1"/>
  <c r="F160" i="15" s="1"/>
  <c r="F161" i="15" s="1"/>
  <c r="F162" i="15" s="1"/>
  <c r="F163" i="15" s="1"/>
  <c r="F164" i="15" s="1"/>
  <c r="F165" i="15" s="1"/>
  <c r="F166" i="15" s="1"/>
  <c r="F167" i="15" s="1"/>
  <c r="F168" i="15" s="1"/>
  <c r="F169" i="15" s="1"/>
  <c r="F170" i="15" s="1"/>
  <c r="F171" i="15" s="1"/>
  <c r="F172" i="15" s="1"/>
  <c r="F173" i="15" s="1"/>
  <c r="F174" i="15" s="1"/>
  <c r="F175" i="15" s="1"/>
  <c r="F176" i="15" s="1"/>
  <c r="F177" i="15" s="1"/>
  <c r="F178" i="15" s="1"/>
  <c r="F179" i="15" s="1"/>
  <c r="F180" i="15" s="1"/>
  <c r="F181" i="15" s="1"/>
  <c r="F182" i="15" s="1"/>
  <c r="F183" i="15" s="1"/>
  <c r="F184" i="15" s="1"/>
  <c r="F185" i="15" s="1"/>
  <c r="F186" i="15" s="1"/>
  <c r="F187" i="15" s="1"/>
  <c r="F188" i="15" s="1"/>
  <c r="F189" i="15" s="1"/>
  <c r="F190" i="15" s="1"/>
  <c r="F191" i="15" s="1"/>
  <c r="F192" i="15" s="1"/>
  <c r="F193" i="15" s="1"/>
  <c r="F194" i="15" s="1"/>
  <c r="F195" i="15" s="1"/>
  <c r="F196" i="15" s="1"/>
  <c r="F197" i="15" s="1"/>
  <c r="F198" i="15" s="1"/>
  <c r="F199" i="15" s="1"/>
</calcChain>
</file>

<file path=xl/sharedStrings.xml><?xml version="1.0" encoding="utf-8"?>
<sst xmlns="http://schemas.openxmlformats.org/spreadsheetml/2006/main" count="1190" uniqueCount="326">
  <si>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</si>
  <si>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</si>
  <si>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</si>
  <si>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</si>
  <si>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</si>
  <si>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</si>
  <si>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</si>
  <si>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</si>
  <si>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</si>
  <si>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</si>
  <si>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</si>
  <si>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</si>
  <si>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</si>
  <si>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</si>
  <si>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</si>
  <si>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</si>
  <si>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</si>
  <si>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</si>
  <si>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</si>
  <si>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</si>
  <si>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</si>
  <si>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</si>
  <si>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</si>
  <si>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山澤(齋藤）</t>
    <rPh sb="0" eb="2">
      <t>ヤマサワ</t>
    </rPh>
    <rPh sb="3" eb="5">
      <t>サイトウ</t>
    </rPh>
    <phoneticPr fontId="2"/>
  </si>
  <si>
    <t>1日目</t>
    <rPh sb="1" eb="3">
      <t>ヒメ</t>
    </rPh>
    <phoneticPr fontId="2"/>
  </si>
  <si>
    <t>ミスミ</t>
    <phoneticPr fontId="2"/>
  </si>
  <si>
    <t>1日目</t>
    <rPh sb="1" eb="2">
      <t>ヒ</t>
    </rPh>
    <rPh sb="2" eb="3">
      <t>メ</t>
    </rPh>
    <phoneticPr fontId="2"/>
  </si>
  <si>
    <t>CHNS4</t>
    <phoneticPr fontId="2"/>
  </si>
  <si>
    <t>ﾐｽﾐ</t>
    <phoneticPr fontId="2"/>
  </si>
  <si>
    <t>RSCB4-15</t>
    <phoneticPr fontId="2"/>
  </si>
  <si>
    <t>3日目</t>
    <rPh sb="1" eb="2">
      <t>ヒ</t>
    </rPh>
    <rPh sb="2" eb="3">
      <t>メ</t>
    </rPh>
    <phoneticPr fontId="2"/>
  </si>
  <si>
    <t>3日間</t>
    <rPh sb="1" eb="2">
      <t>ヒ</t>
    </rPh>
    <rPh sb="2" eb="3">
      <t>カン</t>
    </rPh>
    <phoneticPr fontId="15"/>
  </si>
  <si>
    <t>meviy</t>
    <phoneticPr fontId="2"/>
  </si>
  <si>
    <t>6日目</t>
    <rPh sb="1" eb="2">
      <t>ヒ</t>
    </rPh>
    <rPh sb="2" eb="3">
      <t>メ</t>
    </rPh>
    <phoneticPr fontId="2"/>
  </si>
  <si>
    <t>MS2-6</t>
    <phoneticPr fontId="2"/>
  </si>
  <si>
    <t>ミスミ</t>
  </si>
  <si>
    <t>MS3-10</t>
    <phoneticPr fontId="2"/>
  </si>
  <si>
    <t>ﾉｯｸﾋﾟﾝ　φ3-10mm　8本</t>
    <rPh sb="16" eb="17">
      <t>ホン</t>
    </rPh>
    <phoneticPr fontId="2"/>
  </si>
  <si>
    <t xml:space="preserve">SCB4-8  </t>
    <phoneticPr fontId="2"/>
  </si>
  <si>
    <t>ツ－ル治具部分</t>
  </si>
  <si>
    <t>8日目</t>
    <rPh sb="1" eb="2">
      <t>ヒ</t>
    </rPh>
    <rPh sb="2" eb="3">
      <t>メ</t>
    </rPh>
    <phoneticPr fontId="2"/>
  </si>
  <si>
    <t xml:space="preserve">SCB5-8   </t>
    <phoneticPr fontId="15"/>
  </si>
  <si>
    <t>5日目</t>
    <rPh sb="1" eb="2">
      <t>ヒ</t>
    </rPh>
    <rPh sb="2" eb="3">
      <t>メ</t>
    </rPh>
    <phoneticPr fontId="2"/>
  </si>
  <si>
    <t>MNCNL4-M5</t>
    <phoneticPr fontId="2"/>
  </si>
  <si>
    <t>1日間</t>
    <rPh sb="1" eb="2">
      <t>ヒ</t>
    </rPh>
    <rPh sb="2" eb="3">
      <t>カン</t>
    </rPh>
    <phoneticPr fontId="15"/>
  </si>
  <si>
    <t>フランジボタン</t>
    <phoneticPr fontId="15"/>
  </si>
  <si>
    <t>日産ﾈｼﾞ</t>
    <rPh sb="0" eb="2">
      <t>ニッサン</t>
    </rPh>
    <phoneticPr fontId="15"/>
  </si>
  <si>
    <t>ADR-361-JP</t>
    <phoneticPr fontId="2"/>
  </si>
  <si>
    <t>AXA卓上ﾛﾎﾞｯﾄ固定部品</t>
    <rPh sb="0" eb="5">
      <t>チサチタクジョウ</t>
    </rPh>
    <rPh sb="10" eb="12">
      <t>コテイ</t>
    </rPh>
    <rPh sb="12" eb="14">
      <t>ブヒン</t>
    </rPh>
    <phoneticPr fontId="15"/>
  </si>
  <si>
    <t>SETB0290-Z05 AXAﾛﾎﾞｯﾄ足固定1</t>
    <phoneticPr fontId="15"/>
  </si>
  <si>
    <t>SETB0290-Z06 AXAﾛﾎﾞｯﾄ足固定2</t>
    <phoneticPr fontId="15"/>
  </si>
  <si>
    <t>SETB0290-Z07 AXAﾛﾎﾞｯﾄ足固定3</t>
    <phoneticPr fontId="15"/>
  </si>
  <si>
    <t>SETB0290-Z08 AXAﾛﾎﾞｯﾄ足固定4</t>
    <phoneticPr fontId="15"/>
  </si>
  <si>
    <t>MVSHM-3N03050-48Z-J1WJ9</t>
  </si>
  <si>
    <t>MVSHM-3N03052-48Z-SDDXJ</t>
  </si>
  <si>
    <t>MVSHM-3N03004-48Z-AK68D</t>
  </si>
  <si>
    <t>MVBLK-AMW-48Z-CCBUJ</t>
  </si>
  <si>
    <t>ワッシャ:1</t>
    <phoneticPr fontId="15"/>
  </si>
  <si>
    <t>HFC5-2020-S</t>
    <phoneticPr fontId="15"/>
  </si>
  <si>
    <t>HNTT5-5　</t>
    <phoneticPr fontId="15"/>
  </si>
  <si>
    <t>先入れナット</t>
    <phoneticPr fontId="15"/>
  </si>
  <si>
    <t xml:space="preserve">SPWF5 </t>
    <phoneticPr fontId="15"/>
  </si>
  <si>
    <t>SFB5-12</t>
    <phoneticPr fontId="15"/>
  </si>
  <si>
    <t>ｱﾙﾐﾌﾚｰﾑｻﾞｲ</t>
    <phoneticPr fontId="15"/>
  </si>
  <si>
    <t>ﾌﾚｰﾑｷｬｯﾌﾟ (HFC)</t>
    <phoneticPr fontId="15"/>
  </si>
  <si>
    <t>ﾛｯｶｸｱﾅﾂｷｻﾗﾎﾞﾙﾄ</t>
    <phoneticPr fontId="15"/>
  </si>
  <si>
    <t>ＪＡＰＰY</t>
    <phoneticPr fontId="2"/>
  </si>
  <si>
    <t>カッチンダクト</t>
    <phoneticPr fontId="2"/>
  </si>
  <si>
    <t>SHNTP6-5</t>
    <phoneticPr fontId="15"/>
  </si>
  <si>
    <t>部材重さkg</t>
    <rPh sb="0" eb="2">
      <t>ブザイ</t>
    </rPh>
    <rPh sb="2" eb="3">
      <t>オモ</t>
    </rPh>
    <phoneticPr fontId="2"/>
  </si>
  <si>
    <t>kg</t>
    <phoneticPr fontId="2"/>
  </si>
  <si>
    <t>SHNTP6-6</t>
    <phoneticPr fontId="2"/>
  </si>
  <si>
    <t>後入れバネナット</t>
    <phoneticPr fontId="2"/>
  </si>
  <si>
    <t>６シリーズ（溝幅８ｍｍ）　アルミフレーム用フレームキャップ</t>
    <phoneticPr fontId="2"/>
  </si>
  <si>
    <t>アルミフレーム　６シリーズ　正方形　３０×３０ｍｍ　１列溝　４面溝</t>
    <phoneticPr fontId="2"/>
  </si>
  <si>
    <t>SHNTP6-5</t>
    <phoneticPr fontId="2"/>
  </si>
  <si>
    <t>ナット</t>
    <phoneticPr fontId="2"/>
  </si>
  <si>
    <t>HBLFSN6-C-SSP</t>
    <phoneticPr fontId="2"/>
  </si>
  <si>
    <t>SCB6-10</t>
    <phoneticPr fontId="2"/>
  </si>
  <si>
    <t>架台ﾕﾆｯﾄ</t>
    <rPh sb="0" eb="2">
      <t>カダイ</t>
    </rPh>
    <phoneticPr fontId="2"/>
  </si>
  <si>
    <t xml:space="preserve">HBLBS6 </t>
    <phoneticPr fontId="2"/>
  </si>
  <si>
    <t>６シリーズ（溝幅８ｍｍ）　３０・６０角アルミフレーム用ブラインドブラケット</t>
    <phoneticPr fontId="2"/>
  </si>
  <si>
    <t>６シリーズ（溝幅８ｍｍ）－１列溝用－　突起付反転ブラケット</t>
    <phoneticPr fontId="2"/>
  </si>
  <si>
    <t>HBLTD6-C-SSP</t>
    <phoneticPr fontId="2"/>
  </si>
  <si>
    <t>６シリーズ（溝幅８ｍｍ）－２列溝用－　押出厚型ブラケット</t>
    <phoneticPr fontId="2"/>
  </si>
  <si>
    <t>HCBR6</t>
    <phoneticPr fontId="2"/>
  </si>
  <si>
    <t>HFC6-6060-S</t>
    <phoneticPr fontId="2"/>
  </si>
  <si>
    <t>天面補強　2本、底面補強　2本</t>
    <rPh sb="0" eb="2">
      <t>テンメン</t>
    </rPh>
    <rPh sb="2" eb="4">
      <t>ホキョウ</t>
    </rPh>
    <rPh sb="6" eb="7">
      <t>ホン</t>
    </rPh>
    <rPh sb="8" eb="9">
      <t>ソコ</t>
    </rPh>
    <rPh sb="9" eb="10">
      <t>メン</t>
    </rPh>
    <rPh sb="10" eb="12">
      <t>ホキョウ</t>
    </rPh>
    <rPh sb="14" eb="15">
      <t>ホン</t>
    </rPh>
    <phoneticPr fontId="2"/>
  </si>
  <si>
    <t>真中1本追加</t>
    <rPh sb="0" eb="2">
      <t>マンナカ</t>
    </rPh>
    <rPh sb="3" eb="4">
      <t>ポン</t>
    </rPh>
    <rPh sb="4" eb="6">
      <t>ツイカ</t>
    </rPh>
    <phoneticPr fontId="2"/>
  </si>
  <si>
    <t>アルミフレーム　６シリーズ　正方形　６０×６０ｍｍ　２列溝　４面溝</t>
    <phoneticPr fontId="2"/>
  </si>
  <si>
    <t>ｺﾝﾄﾛｰﾗ棚板部　底板</t>
    <rPh sb="6" eb="8">
      <t>タナイタ</t>
    </rPh>
    <rPh sb="8" eb="9">
      <t>ブ</t>
    </rPh>
    <rPh sb="10" eb="12">
      <t>ソコイタ</t>
    </rPh>
    <phoneticPr fontId="2"/>
  </si>
  <si>
    <t>架台部分</t>
    <rPh sb="0" eb="2">
      <t>カダイ</t>
    </rPh>
    <rPh sb="2" eb="4">
      <t>ブブン</t>
    </rPh>
    <phoneticPr fontId="2"/>
  </si>
  <si>
    <t>天板</t>
    <phoneticPr fontId="2"/>
  </si>
  <si>
    <t>ノックピン　－プラス公差</t>
    <phoneticPr fontId="2"/>
  </si>
  <si>
    <t>SFB5-10</t>
    <phoneticPr fontId="2"/>
  </si>
  <si>
    <t>六角穴付皿ボルト　－ステンレス</t>
    <phoneticPr fontId="2"/>
  </si>
  <si>
    <t>天板固定用</t>
    <rPh sb="2" eb="4">
      <t>コテイ</t>
    </rPh>
    <rPh sb="4" eb="5">
      <t>ヨウ</t>
    </rPh>
    <phoneticPr fontId="2"/>
  </si>
  <si>
    <t>SI2520-315</t>
    <phoneticPr fontId="2"/>
  </si>
  <si>
    <t>配線孔キャップ SALSA</t>
    <phoneticPr fontId="2"/>
  </si>
  <si>
    <t>SHCBM5-15</t>
    <phoneticPr fontId="2"/>
  </si>
  <si>
    <t>元圧</t>
    <rPh sb="0" eb="1">
      <t>モト</t>
    </rPh>
    <rPh sb="1" eb="2">
      <t>アツ</t>
    </rPh>
    <phoneticPr fontId="2"/>
  </si>
  <si>
    <t>BSLG6</t>
    <phoneticPr fontId="2"/>
  </si>
  <si>
    <t>ワンタッチ継手　ブラインドプラグ</t>
    <phoneticPr fontId="2"/>
  </si>
  <si>
    <t>BVHVU6-3　</t>
    <phoneticPr fontId="2"/>
  </si>
  <si>
    <t>3方弁　ハンドバルブ</t>
    <phoneticPr fontId="2"/>
  </si>
  <si>
    <t>FAMBS-SUD-T2-A60-B120-L60-F40-H45-N6-V48-S65-W30-MA4  　</t>
    <phoneticPr fontId="2"/>
  </si>
  <si>
    <t>ﾚｷﾞｭﾚｰﾀ固定用 Ｌ字ﾌﾞﾗｹｯﾄ</t>
    <rPh sb="11" eb="13">
      <t>リジ</t>
    </rPh>
    <phoneticPr fontId="2"/>
  </si>
  <si>
    <t>日本ピスコ</t>
    <rPh sb="0" eb="2">
      <t>ニホン</t>
    </rPh>
    <phoneticPr fontId="2"/>
  </si>
  <si>
    <t>PAW6-02</t>
    <phoneticPr fontId="2"/>
  </si>
  <si>
    <t>一般配管用 チューブフィッティング ダブルブランチエイ</t>
    <phoneticPr fontId="2"/>
  </si>
  <si>
    <t>六角穴付ボルト－ステンレス　 (M4×10)　2本</t>
    <rPh sb="24" eb="25">
      <t>ホン</t>
    </rPh>
    <phoneticPr fontId="2"/>
  </si>
  <si>
    <t>六角穴付ボルト－ステンレス　 (M6×10)  2本使用</t>
    <rPh sb="25" eb="26">
      <t>ホン</t>
    </rPh>
    <rPh sb="26" eb="28">
      <t>シヨウ</t>
    </rPh>
    <phoneticPr fontId="2"/>
  </si>
  <si>
    <t xml:space="preserve">SLBNR4 </t>
    <phoneticPr fontId="2"/>
  </si>
  <si>
    <t>SHNTP6-4</t>
    <phoneticPr fontId="2"/>
  </si>
  <si>
    <t>CR-LA601</t>
    <phoneticPr fontId="2"/>
  </si>
  <si>
    <t>TOTAL重量</t>
    <rPh sb="5" eb="7">
      <t>ジュウリョウ</t>
    </rPh>
    <phoneticPr fontId="2"/>
  </si>
  <si>
    <t>架台部分　左右側</t>
    <rPh sb="0" eb="2">
      <t>カダイ</t>
    </rPh>
    <rPh sb="2" eb="4">
      <t>ブブン</t>
    </rPh>
    <rPh sb="5" eb="7">
      <t>サユウ</t>
    </rPh>
    <rPh sb="7" eb="8">
      <t>ガワ</t>
    </rPh>
    <phoneticPr fontId="2"/>
  </si>
  <si>
    <t>5日間</t>
    <rPh sb="1" eb="2">
      <t>ヒ</t>
    </rPh>
    <rPh sb="2" eb="3">
      <t>カン</t>
    </rPh>
    <phoneticPr fontId="15"/>
  </si>
  <si>
    <t>六角穴付ボタンボルト</t>
    <phoneticPr fontId="15"/>
  </si>
  <si>
    <t>六角穴付ボルト  38本　</t>
    <rPh sb="11" eb="12">
      <t>ホン</t>
    </rPh>
    <phoneticPr fontId="15"/>
  </si>
  <si>
    <t>カッチンダクト固定</t>
    <rPh sb="7" eb="9">
      <t>コテイ</t>
    </rPh>
    <phoneticPr fontId="2"/>
  </si>
  <si>
    <t>HFCN6PACK-S</t>
    <phoneticPr fontId="15"/>
  </si>
  <si>
    <t>ケーブルクランプひし形タイプ</t>
    <phoneticPr fontId="15"/>
  </si>
  <si>
    <t>SCB4-10　　　　</t>
    <phoneticPr fontId="2"/>
  </si>
  <si>
    <t>HFS5-2020-460</t>
    <phoneticPr fontId="15"/>
  </si>
  <si>
    <t>SETB0294-A01　AXA300+SV51+SV01S＋ｼﾘﾝｼﾞ撹拌+取り置き治具+SVC720F+引き出し付き下架台</t>
    <phoneticPr fontId="15"/>
  </si>
  <si>
    <t>駿河精機</t>
    <rPh sb="0" eb="4">
      <t>スルガセイキ</t>
    </rPh>
    <phoneticPr fontId="2"/>
  </si>
  <si>
    <t>BSS16-40C</t>
    <phoneticPr fontId="2"/>
  </si>
  <si>
    <t>リニアボールガイド SSステージ 無電解ニッケルメッキ</t>
    <phoneticPr fontId="2"/>
  </si>
  <si>
    <t>AJPNGB4-P6.00-B6.0-G4-GC</t>
    <phoneticPr fontId="2"/>
  </si>
  <si>
    <t>位置決めピン 高硬度ステンレス</t>
    <phoneticPr fontId="2"/>
  </si>
  <si>
    <t>CBSST5-16</t>
    <phoneticPr fontId="2"/>
  </si>
  <si>
    <t>低頭六角穴付ボルト</t>
    <phoneticPr fontId="2"/>
  </si>
  <si>
    <t>ﾉｯｸピン　φ3-10　4本</t>
    <rPh sb="13" eb="14">
      <t>ホン</t>
    </rPh>
    <phoneticPr fontId="2"/>
  </si>
  <si>
    <t>MS4-8</t>
    <phoneticPr fontId="2"/>
  </si>
  <si>
    <t>ﾉｯｸピン　φ4-8　1本+1本+2本</t>
    <rPh sb="12" eb="13">
      <t>ホン</t>
    </rPh>
    <rPh sb="15" eb="16">
      <t>ホン</t>
    </rPh>
    <rPh sb="18" eb="19">
      <t>ホン</t>
    </rPh>
    <phoneticPr fontId="2"/>
  </si>
  <si>
    <t xml:space="preserve">SCB3-8 </t>
    <phoneticPr fontId="2"/>
  </si>
  <si>
    <t>六角穴付ボルト　M3ﾈｼﾞ×8mm　4本</t>
    <phoneticPr fontId="2"/>
  </si>
  <si>
    <t>MVSHM-3N02052-42R-RWB57</t>
    <phoneticPr fontId="2"/>
  </si>
  <si>
    <r>
      <rPr>
        <b/>
        <sz val="11"/>
        <color indexed="8"/>
        <rFont val="ＭＳ Ｐゴシック"/>
        <family val="3"/>
        <charset val="128"/>
      </rPr>
      <t>SETB0242-Y02</t>
    </r>
    <r>
      <rPr>
        <sz val="11"/>
        <color theme="1"/>
        <rFont val="ＭＳ Ｐゴシック"/>
        <family val="3"/>
        <charset val="128"/>
        <scheme val="minor"/>
      </rPr>
      <t>　ﾂｰﾙ治具AXA-HV　ﾌﾞﾗｹｯﾄ　</t>
    </r>
    <phoneticPr fontId="2"/>
  </si>
  <si>
    <t>ﾉｯｸピン　φ2-6　11本</t>
    <rPh sb="13" eb="14">
      <t>ホン</t>
    </rPh>
    <phoneticPr fontId="2"/>
  </si>
  <si>
    <t>SCB4-6</t>
    <phoneticPr fontId="2"/>
  </si>
  <si>
    <t>六角穴付ボルト　M4ﾈｼﾞ×6mm　4本</t>
    <phoneticPr fontId="2"/>
  </si>
  <si>
    <t>MS2-8</t>
    <phoneticPr fontId="2"/>
  </si>
  <si>
    <t>ﾉｯｸピン　φ2-8　3本</t>
    <rPh sb="12" eb="13">
      <t>ホン</t>
    </rPh>
    <phoneticPr fontId="2"/>
  </si>
  <si>
    <t>SCB4-8</t>
    <phoneticPr fontId="2"/>
  </si>
  <si>
    <t>六角穴付ボルト　M4ﾈｼﾞ×8mm　4本</t>
    <phoneticPr fontId="2"/>
  </si>
  <si>
    <t>MVBLK-AMW-46E-E85NM</t>
    <phoneticPr fontId="2"/>
  </si>
  <si>
    <r>
      <rPr>
        <b/>
        <sz val="11"/>
        <color indexed="8"/>
        <rFont val="ＭＳ Ｐゴシック"/>
        <family val="3"/>
        <charset val="128"/>
      </rPr>
      <t>SETB027</t>
    </r>
    <r>
      <rPr>
        <b/>
        <sz val="11"/>
        <color indexed="10"/>
        <rFont val="ＭＳ Ｐゴシック"/>
        <family val="3"/>
        <charset val="128"/>
      </rPr>
      <t>6-</t>
    </r>
    <r>
      <rPr>
        <b/>
        <sz val="11"/>
        <color indexed="8"/>
        <rFont val="ＭＳ Ｐゴシック"/>
        <family val="3"/>
        <charset val="128"/>
      </rPr>
      <t>Y01</t>
    </r>
    <r>
      <rPr>
        <sz val="11"/>
        <color theme="1"/>
        <rFont val="ＭＳ Ｐゴシック"/>
        <family val="3"/>
        <charset val="128"/>
        <scheme val="minor"/>
      </rPr>
      <t xml:space="preserve"> 変換ﾊﾞﾙﾌﾞﾌﾞﾗｹｯﾄ</t>
    </r>
    <phoneticPr fontId="2"/>
  </si>
  <si>
    <t>SCB3-10</t>
    <phoneticPr fontId="2"/>
  </si>
  <si>
    <t>六角穴付ボルト　M3ﾈｼﾞ×10mm　4本</t>
    <phoneticPr fontId="2"/>
  </si>
  <si>
    <t>MVBLK-POW-44B-K525A</t>
    <phoneticPr fontId="2"/>
  </si>
  <si>
    <r>
      <rPr>
        <b/>
        <sz val="11"/>
        <color indexed="8"/>
        <rFont val="ＭＳ Ｐゴシック"/>
        <family val="3"/>
        <charset val="128"/>
      </rPr>
      <t>SETB0242-Y08</t>
    </r>
    <r>
      <rPr>
        <sz val="11"/>
        <color theme="1"/>
        <rFont val="ＭＳ Ｐゴシック"/>
        <family val="3"/>
        <charset val="128"/>
        <scheme val="minor"/>
      </rPr>
      <t xml:space="preserve"> ｶﾒﾗ変換ﾌﾞﾗｹｯﾄｽﾍﾟｰｻ</t>
    </r>
    <phoneticPr fontId="2"/>
  </si>
  <si>
    <t>SCB4-14</t>
    <phoneticPr fontId="2"/>
  </si>
  <si>
    <t>六角穴付ボルト　M4ﾈｼﾞ×14mm　2本</t>
    <phoneticPr fontId="2"/>
  </si>
  <si>
    <t>ｼﾘﾝｼﾞ加圧ﾚｷﾞｭﾚｰﾀ</t>
    <rPh sb="5" eb="7">
      <t>カアツ</t>
    </rPh>
    <phoneticPr fontId="2"/>
  </si>
  <si>
    <t>MVSHM-3N02050-32J-7GYH8</t>
    <phoneticPr fontId="2"/>
  </si>
  <si>
    <t>SETB-0073-Z20　ARP20K取付板金3</t>
    <phoneticPr fontId="2"/>
  </si>
  <si>
    <t>シリンジ加圧レギュレータユニット</t>
    <rPh sb="4" eb="6">
      <t>カアツ</t>
    </rPh>
    <phoneticPr fontId="2"/>
  </si>
  <si>
    <t>MSYL4-M5</t>
    <phoneticPr fontId="2"/>
  </si>
  <si>
    <t>Φ4分岐継手</t>
    <phoneticPr fontId="2"/>
  </si>
  <si>
    <t>MNCNL4-1</t>
    <phoneticPr fontId="2"/>
  </si>
  <si>
    <t>Φ4ミニチュアワンタッチ継手</t>
    <phoneticPr fontId="2"/>
  </si>
  <si>
    <t>MSHRT3</t>
    <phoneticPr fontId="2"/>
  </si>
  <si>
    <t>小型切替バルブ トグルタイプ</t>
    <phoneticPr fontId="2"/>
  </si>
  <si>
    <t xml:space="preserve">Φ4ミニチュアワンタッチ継手 </t>
    <phoneticPr fontId="2"/>
  </si>
  <si>
    <t>MNCNP6-M5</t>
    <phoneticPr fontId="2"/>
  </si>
  <si>
    <t>Φ6ミニチュアワンタッチ継手</t>
    <phoneticPr fontId="2"/>
  </si>
  <si>
    <t>37103-3101-000FL</t>
    <phoneticPr fontId="2"/>
  </si>
  <si>
    <t>e-CONコネクタ(プラグ)</t>
    <phoneticPr fontId="2"/>
  </si>
  <si>
    <t>e-CON(ソケット)コネクタ付ケーブル</t>
    <phoneticPr fontId="2"/>
  </si>
  <si>
    <t>蝶ﾅｯﾄ</t>
    <phoneticPr fontId="2"/>
  </si>
  <si>
    <t>六角ﾎﾞﾙﾄ</t>
    <phoneticPr fontId="2"/>
  </si>
  <si>
    <t>3日目</t>
    <rPh sb="1" eb="2">
      <t>ヒ</t>
    </rPh>
    <rPh sb="2" eb="3">
      <t>メ</t>
    </rPh>
    <phoneticPr fontId="1"/>
  </si>
  <si>
    <t>1日目</t>
    <rPh sb="1" eb="2">
      <t>ヒ</t>
    </rPh>
    <rPh sb="2" eb="3">
      <t>メ</t>
    </rPh>
    <phoneticPr fontId="1"/>
  </si>
  <si>
    <t>当日出荷</t>
    <rPh sb="0" eb="2">
      <t>トウジツ</t>
    </rPh>
    <rPh sb="2" eb="4">
      <t>シュッカ</t>
    </rPh>
    <phoneticPr fontId="1"/>
  </si>
  <si>
    <t>2日目</t>
    <rPh sb="1" eb="2">
      <t>ヒ</t>
    </rPh>
    <rPh sb="2" eb="3">
      <t>メ</t>
    </rPh>
    <phoneticPr fontId="1"/>
  </si>
  <si>
    <t xml:space="preserve">ﾜｰｸ治具用ﾍﾞｰｽ板 </t>
    <rPh sb="3" eb="5">
      <t>ジグ</t>
    </rPh>
    <rPh sb="5" eb="6">
      <t>ヨウ</t>
    </rPh>
    <rPh sb="10" eb="11">
      <t>イタ</t>
    </rPh>
    <phoneticPr fontId="2"/>
  </si>
  <si>
    <t>8日間</t>
    <rPh sb="1" eb="2">
      <t>ヒ</t>
    </rPh>
    <rPh sb="2" eb="3">
      <t>カン</t>
    </rPh>
    <phoneticPr fontId="2"/>
  </si>
  <si>
    <t>B19-2</t>
    <phoneticPr fontId="15"/>
  </si>
  <si>
    <t>MS4-10</t>
    <phoneticPr fontId="2"/>
  </si>
  <si>
    <t>ﾉｯｸﾋﾟﾝ　φ4-10mm　2本</t>
    <rPh sb="16" eb="17">
      <t>ホン</t>
    </rPh>
    <phoneticPr fontId="2"/>
  </si>
  <si>
    <t>ケーブルブッシュ（グロメット・オープンタイプ）</t>
    <phoneticPr fontId="15"/>
  </si>
  <si>
    <t>六角穴付ボルト    8本 在庫使用</t>
    <rPh sb="12" eb="13">
      <t>ホン</t>
    </rPh>
    <phoneticPr fontId="2"/>
  </si>
  <si>
    <t>バッファロー</t>
    <phoneticPr fontId="2"/>
  </si>
  <si>
    <t>BTMSKL3750WH</t>
    <phoneticPr fontId="2"/>
  </si>
  <si>
    <t>電源タップ 3ピン式 7個口 ホワイト 集中スイッチ 変換アダプター付　15A</t>
    <phoneticPr fontId="2"/>
  </si>
  <si>
    <t>デュアルシステムアーム　ﾃｰﾌﾞﾙ部無し</t>
    <phoneticPr fontId="15"/>
  </si>
  <si>
    <t>HCHJS65-N</t>
    <phoneticPr fontId="2"/>
  </si>
  <si>
    <t>アルミフレーム用キャスタ　コーナー取付タイプ　重荷重用</t>
    <phoneticPr fontId="2"/>
  </si>
  <si>
    <t>HFS6-3030-300</t>
    <phoneticPr fontId="2"/>
  </si>
  <si>
    <t>HFS6-3060-589</t>
    <phoneticPr fontId="2"/>
  </si>
  <si>
    <r>
      <t>アルミフレーム　６シリーズ　正方形　３０×</t>
    </r>
    <r>
      <rPr>
        <b/>
        <sz val="11"/>
        <color rgb="FFFF0000"/>
        <rFont val="ＭＳ Ｐゴシック"/>
        <family val="3"/>
        <charset val="128"/>
        <scheme val="minor"/>
      </rPr>
      <t>6０</t>
    </r>
    <r>
      <rPr>
        <sz val="11"/>
        <rFont val="ＭＳ Ｐゴシック"/>
        <family val="3"/>
        <charset val="128"/>
        <scheme val="minor"/>
      </rPr>
      <t>ｍｍ　１列溝　４面溝</t>
    </r>
    <phoneticPr fontId="2"/>
  </si>
  <si>
    <t>HFS6-6060-588</t>
    <phoneticPr fontId="2"/>
  </si>
  <si>
    <t xml:space="preserve">HFS6-6060-630 </t>
    <phoneticPr fontId="2"/>
  </si>
  <si>
    <t>HMEN6-6-SEP</t>
    <phoneticPr fontId="15"/>
  </si>
  <si>
    <t>観音扉　PET材</t>
    <rPh sb="0" eb="3">
      <t>カンノントビラ</t>
    </rPh>
    <rPh sb="4" eb="8">
      <t>セイカザイ</t>
    </rPh>
    <phoneticPr fontId="15"/>
  </si>
  <si>
    <t>扉ユニット</t>
    <phoneticPr fontId="15"/>
  </si>
  <si>
    <t>HHPFLN6-SSP　</t>
    <phoneticPr fontId="15"/>
  </si>
  <si>
    <t>HHPFRN6-SSP　</t>
    <phoneticPr fontId="15"/>
  </si>
  <si>
    <t>SHCBM5-10</t>
    <phoneticPr fontId="2"/>
  </si>
  <si>
    <t>十字穴付トラス小ねじ　　M5ﾈｼﾞ×10mm  4個</t>
    <rPh sb="25" eb="26">
      <t>コ</t>
    </rPh>
    <phoneticPr fontId="2"/>
  </si>
  <si>
    <t>十字穴付トラス小ねじ　　M5ﾈｼﾞ×15mm　　2個</t>
    <rPh sb="25" eb="26">
      <t>コ</t>
    </rPh>
    <phoneticPr fontId="2"/>
  </si>
  <si>
    <t>十字穴付トラス小ねじ　　M5ﾈｼﾞ×10mm  16個</t>
    <phoneticPr fontId="2"/>
  </si>
  <si>
    <t>十字穴付トラス小ねじ　　M5ﾈｼﾞ×15mm　　8個</t>
    <rPh sb="25" eb="26">
      <t>コ</t>
    </rPh>
    <phoneticPr fontId="2"/>
  </si>
  <si>
    <t>PHSUS6H-586-298-1.5-F282-G276-N6</t>
    <phoneticPr fontId="15"/>
  </si>
  <si>
    <t>カバープレート (SUS材　t=1.5）</t>
    <phoneticPr fontId="2"/>
  </si>
  <si>
    <t>十字穴付トラス小ねじ　　M5ﾈｼﾞ×10mm  12個</t>
    <phoneticPr fontId="2"/>
  </si>
  <si>
    <t>十字穴付トラス小ねじ　　M5ﾈｼﾞ×15mm　　6個</t>
    <rPh sb="25" eb="26">
      <t>コ</t>
    </rPh>
    <phoneticPr fontId="2"/>
  </si>
  <si>
    <t>パネルサポートブラケット　樹脂タイプ　6個</t>
    <rPh sb="20" eb="21">
      <t>コ</t>
    </rPh>
    <phoneticPr fontId="2"/>
  </si>
  <si>
    <t>SCB5-10</t>
    <phoneticPr fontId="2"/>
  </si>
  <si>
    <t>六角穴付ボルト－ステンレス　 (M5×10)　2本</t>
    <rPh sb="24" eb="25">
      <t>ホン</t>
    </rPh>
    <phoneticPr fontId="2"/>
  </si>
  <si>
    <t>SETB0294-Z02　側面ｶﾊﾞｰ</t>
    <phoneticPr fontId="15"/>
  </si>
  <si>
    <t>meviy</t>
    <phoneticPr fontId="15"/>
  </si>
  <si>
    <t>十字穴付トラス小ねじ　　M5ﾈｼﾞ×10mm  4個</t>
    <phoneticPr fontId="2"/>
  </si>
  <si>
    <t>パネルサポートブラケット　樹脂タイプ　2個</t>
    <rPh sb="20" eb="21">
      <t>コ</t>
    </rPh>
    <phoneticPr fontId="2"/>
  </si>
  <si>
    <t>引き出し部分</t>
    <rPh sb="0" eb="1">
      <t>ヒ</t>
    </rPh>
    <rPh sb="2" eb="3">
      <t>ダ</t>
    </rPh>
    <rPh sb="4" eb="6">
      <t>ブブン</t>
    </rPh>
    <phoneticPr fontId="15"/>
  </si>
  <si>
    <t>SHBLBSL6</t>
    <phoneticPr fontId="15"/>
  </si>
  <si>
    <t>SETB0294-Z04　引き出し奥側面板</t>
    <rPh sb="17" eb="18">
      <t>オク</t>
    </rPh>
    <rPh sb="18" eb="19">
      <t>ソク</t>
    </rPh>
    <rPh sb="19" eb="20">
      <t>メン</t>
    </rPh>
    <phoneticPr fontId="15"/>
  </si>
  <si>
    <t>HBLFSN6-C-SSP</t>
    <phoneticPr fontId="15"/>
  </si>
  <si>
    <t>HFS6-3030-280</t>
    <phoneticPr fontId="15"/>
  </si>
  <si>
    <t>MS3-8</t>
    <phoneticPr fontId="2"/>
  </si>
  <si>
    <t>SR3614</t>
    <phoneticPr fontId="15"/>
  </si>
  <si>
    <t xml:space="preserve">SBCB4-6  </t>
    <phoneticPr fontId="15"/>
  </si>
  <si>
    <t>ﾛﾎﾞｯﾄ附属分</t>
    <rPh sb="5" eb="7">
      <t>フゾク</t>
    </rPh>
    <rPh sb="7" eb="8">
      <t>ブン</t>
    </rPh>
    <phoneticPr fontId="2"/>
  </si>
  <si>
    <t>アルミフレーム 6シリーズ 正方形 30×30mm 1列溝 4面溝</t>
    <phoneticPr fontId="15"/>
  </si>
  <si>
    <t>６シリーズ（溝幅８ｍｍ）－１列溝用－　突起付反転ブラケット</t>
    <phoneticPr fontId="15"/>
  </si>
  <si>
    <t>６シリーズ（溝幅８ｍｍ）　３０・６０角アルミフレーム用ブラインドブラケット</t>
    <phoneticPr fontId="15"/>
  </si>
  <si>
    <t>アルミフレーム用後入れバネナット</t>
    <phoneticPr fontId="15"/>
  </si>
  <si>
    <t>左用　ハタ蝶番・異形用ハタ蝶番</t>
    <phoneticPr fontId="15"/>
  </si>
  <si>
    <t>右用　ハタ蝶番・異形用ハタ蝶番</t>
    <phoneticPr fontId="15"/>
  </si>
  <si>
    <t>フレーム取付用マグネットキャッチセット</t>
    <phoneticPr fontId="15"/>
  </si>
  <si>
    <r>
      <t>30ccｼﾘﾝｼﾞ撹拌　</t>
    </r>
    <r>
      <rPr>
        <sz val="16"/>
        <color rgb="FF0070C0"/>
        <rFont val="ＭＳ Ｐゴシック"/>
        <family val="3"/>
        <charset val="128"/>
        <scheme val="minor"/>
      </rPr>
      <t>取り置き</t>
    </r>
    <r>
      <rPr>
        <sz val="16"/>
        <color theme="1"/>
        <rFont val="ＭＳ Ｐゴシック"/>
        <family val="3"/>
        <charset val="128"/>
        <scheme val="minor"/>
      </rPr>
      <t>　ﾕﾆｯﾄ</t>
    </r>
    <phoneticPr fontId="2"/>
  </si>
  <si>
    <t>227707</t>
    <phoneticPr fontId="2"/>
  </si>
  <si>
    <t>スタンレー電気様(明伸工機株式会社)</t>
    <rPh sb="5" eb="7">
      <t>デンキ</t>
    </rPh>
    <rPh sb="7" eb="8">
      <t>サマ</t>
    </rPh>
    <phoneticPr fontId="2"/>
  </si>
  <si>
    <t>HTUC6-PY-721-428</t>
    <phoneticPr fontId="15"/>
  </si>
  <si>
    <t>SETB0294-Z07 架台下段棚板</t>
    <phoneticPr fontId="2"/>
  </si>
  <si>
    <t>SETB0294-Z08 架台ｺﾝﾄﾛｰﾗ棚板</t>
    <phoneticPr fontId="2"/>
  </si>
  <si>
    <r>
      <t>SETB0</t>
    </r>
    <r>
      <rPr>
        <sz val="11"/>
        <rFont val="ＭＳ Ｐゴシック"/>
        <family val="3"/>
        <charset val="128"/>
      </rPr>
      <t>294-Z03-1　天板</t>
    </r>
    <phoneticPr fontId="2"/>
  </si>
  <si>
    <t>SETB0294-Z05　引き出し手前側面板　左</t>
    <rPh sb="17" eb="19">
      <t>テマエ</t>
    </rPh>
    <rPh sb="19" eb="20">
      <t>ソク</t>
    </rPh>
    <rPh sb="20" eb="21">
      <t>メン</t>
    </rPh>
    <phoneticPr fontId="15"/>
  </si>
  <si>
    <t>SETB0294-Z09　引き出し手前側面板　右</t>
    <rPh sb="17" eb="19">
      <t>テマエ</t>
    </rPh>
    <rPh sb="19" eb="20">
      <t>ソク</t>
    </rPh>
    <rPh sb="20" eb="21">
      <t>メン</t>
    </rPh>
    <phoneticPr fontId="15"/>
  </si>
  <si>
    <t>MVSHM-3N03006-4BZ-Y37HJ</t>
  </si>
  <si>
    <t>MVSHM-3N03006-4BZ-2JKKR</t>
  </si>
  <si>
    <t>SETB0294-Z11　ﾏｸﾞﾈｯﾄｷｬｯﾁｬﾌﾞﾗｹｯﾄ</t>
    <phoneticPr fontId="15"/>
  </si>
  <si>
    <t>MVSHM-3N03002-4BZ-8XRB3</t>
    <phoneticPr fontId="15"/>
  </si>
  <si>
    <t>MVSHM-3N03050-4BZ-XHUDP</t>
  </si>
  <si>
    <t>MVSHM-3N03002-4BZ-3K4X3</t>
  </si>
  <si>
    <t>MVSHM-3N02000-4BZ-RZ4SE</t>
  </si>
  <si>
    <t>MVSHM-3N02000-4BZ-GGAPK</t>
  </si>
  <si>
    <t>MVSHM-3N03006-4BZ-TBB7W</t>
  </si>
  <si>
    <t>MVSHM-3N01500-4BZ-NE43A</t>
  </si>
  <si>
    <t>HFS6-3030-335</t>
    <phoneticPr fontId="2"/>
  </si>
  <si>
    <t>HFS6-3030-730</t>
    <phoneticPr fontId="2"/>
  </si>
  <si>
    <t>HFS6-6060-335</t>
    <phoneticPr fontId="2"/>
  </si>
  <si>
    <t>HFS6-6060-844</t>
    <phoneticPr fontId="2"/>
  </si>
  <si>
    <t>SETB0108-Z1　スイッチBOX固定ﾌﾞﾗｹｯﾄ</t>
    <phoneticPr fontId="15"/>
  </si>
  <si>
    <t xml:space="preserve">SCB4-8  </t>
    <phoneticPr fontId="15"/>
  </si>
  <si>
    <t>六角穴付ボルト</t>
    <phoneticPr fontId="15"/>
  </si>
  <si>
    <t>MVSHM-3N03050-346-FBZBJ</t>
    <phoneticPr fontId="15"/>
  </si>
  <si>
    <t>パネルサポートブラケット　樹脂タイプ　8個</t>
    <rPh sb="20" eb="21">
      <t>コ</t>
    </rPh>
    <phoneticPr fontId="2"/>
  </si>
  <si>
    <t>HFS6-3060-693</t>
    <phoneticPr fontId="15"/>
  </si>
  <si>
    <t>アルミフレーム 6シリーズ 正方形 30×60mm 1列溝 4面溝</t>
    <phoneticPr fontId="15"/>
  </si>
  <si>
    <t>SFB5-8</t>
    <phoneticPr fontId="2"/>
  </si>
  <si>
    <t>SFB5-15</t>
    <phoneticPr fontId="2"/>
  </si>
  <si>
    <t>六角穴付ボルト－ステンレス　 (M6×10)  6本使用</t>
    <rPh sb="25" eb="26">
      <t>ホン</t>
    </rPh>
    <rPh sb="26" eb="28">
      <t>シヨウ</t>
    </rPh>
    <phoneticPr fontId="2"/>
  </si>
  <si>
    <t>MS3-6</t>
    <phoneticPr fontId="2"/>
  </si>
  <si>
    <t>スライドレール　２段引　中荷重・スチールタイプ</t>
    <phoneticPr fontId="15"/>
  </si>
  <si>
    <t>SETB0294－Z06　レギュレーター取付板金</t>
    <phoneticPr fontId="2"/>
  </si>
  <si>
    <t>六角穴付きﾎﾞﾙﾄ　 (M4×12)　　6本</t>
    <rPh sb="21" eb="22">
      <t>ホン</t>
    </rPh>
    <phoneticPr fontId="2"/>
  </si>
  <si>
    <t>ﾉｯｸピン　φ4-10　2本</t>
    <rPh sb="13" eb="14">
      <t>ホン</t>
    </rPh>
    <phoneticPr fontId="2"/>
  </si>
  <si>
    <t>ﾉｯｸピン　φ3-10　7本</t>
    <rPh sb="13" eb="14">
      <t>ホン</t>
    </rPh>
    <phoneticPr fontId="2"/>
  </si>
  <si>
    <t>ﾉｯｸピン　φ3-8　2本</t>
    <rPh sb="12" eb="13">
      <t>ホン</t>
    </rPh>
    <phoneticPr fontId="2"/>
  </si>
  <si>
    <t xml:space="preserve">SBCB4-8  </t>
    <phoneticPr fontId="15"/>
  </si>
  <si>
    <t>SETB-0073-Z23 ｼﾘﾝｼﾞﾚｷﾞｭｰﾚﾀﾕﾆｯﾄﾌﾞﾗｹｯﾄ</t>
    <phoneticPr fontId="2"/>
  </si>
  <si>
    <t>MVSHM-3N03050-33N-3R94Z</t>
    <phoneticPr fontId="15"/>
  </si>
  <si>
    <t>SETB0294-X01　ﾜｰｸ治具ﾍﾞｰｽ</t>
  </si>
  <si>
    <t>MVBLK-AMW-4C1-78RHT</t>
  </si>
  <si>
    <t>MVBLK-AMW-4C1-A8RA6</t>
  </si>
  <si>
    <r>
      <rPr>
        <b/>
        <sz val="11"/>
        <color indexed="8"/>
        <rFont val="ＭＳ Ｐゴシック"/>
        <family val="3"/>
        <charset val="128"/>
      </rPr>
      <t>SETB0294-Y07</t>
    </r>
    <r>
      <rPr>
        <sz val="11"/>
        <color theme="1"/>
        <rFont val="ＭＳ Ｐゴシック"/>
        <family val="3"/>
        <charset val="128"/>
        <scheme val="minor"/>
      </rPr>
      <t xml:space="preserve"> ｶﾒﾗ変換ﾌﾞﾗｹｯﾄ</t>
    </r>
    <phoneticPr fontId="2"/>
  </si>
  <si>
    <t>MVSHM-3N03002-4C1-PMJPM</t>
    <phoneticPr fontId="15"/>
  </si>
  <si>
    <t>DSDJ-SS-MS-9-2.5</t>
    <phoneticPr fontId="15"/>
  </si>
  <si>
    <t>2日目</t>
    <rPh sb="1" eb="3">
      <t>ヒメ</t>
    </rPh>
    <phoneticPr fontId="2"/>
  </si>
  <si>
    <t>BHDN30BK</t>
    <phoneticPr fontId="15"/>
  </si>
  <si>
    <t>U02-AM-AF-2</t>
    <phoneticPr fontId="15"/>
  </si>
  <si>
    <t>USB2.0 Aタイプ延長ケーブル　　ｵｽ、メス</t>
    <phoneticPr fontId="15"/>
  </si>
  <si>
    <t>Dsubコネクタ付ケーブル　　メス、メス</t>
    <phoneticPr fontId="15"/>
  </si>
  <si>
    <t>HDMIケーブル ベーシック HIGH SPEED ブラック　ｵｽ、ｵｽ</t>
    <phoneticPr fontId="15"/>
  </si>
  <si>
    <t>撹拌ユニット</t>
    <rPh sb="0" eb="2">
      <t>カクハン</t>
    </rPh>
    <phoneticPr fontId="2"/>
  </si>
  <si>
    <t>Dsubコネクタ ハンダ付けタイプ/プレスコンタクト</t>
    <phoneticPr fontId="15"/>
  </si>
  <si>
    <t>DB-37SP</t>
    <phoneticPr fontId="15"/>
  </si>
  <si>
    <t>Dsubコネクタ EMI対策品/汎用品　樹脂フード</t>
    <phoneticPr fontId="15"/>
  </si>
  <si>
    <t>MDA-37H-M2.6</t>
    <phoneticPr fontId="15"/>
  </si>
  <si>
    <t>SECON-S-R-3-3</t>
    <phoneticPr fontId="2"/>
  </si>
  <si>
    <r>
      <t>SETB</t>
    </r>
    <r>
      <rPr>
        <b/>
        <sz val="11"/>
        <color rgb="FFFF0000"/>
        <rFont val="ＭＳ Ｐゴシック"/>
        <family val="3"/>
        <charset val="128"/>
        <scheme val="minor"/>
      </rPr>
      <t>0294</t>
    </r>
    <r>
      <rPr>
        <sz val="11"/>
        <color theme="1"/>
        <rFont val="ＭＳ Ｐゴシック"/>
        <family val="3"/>
        <charset val="128"/>
        <scheme val="minor"/>
      </rPr>
      <t>-Z10 AXAﾛﾎﾞｯﾄ足固定5</t>
    </r>
    <phoneticPr fontId="15"/>
  </si>
  <si>
    <t>ﾃｰﾌﾞﾙﾀｯﾌﾟとIOｹｰﾌﾞﾙ</t>
    <phoneticPr fontId="2"/>
  </si>
  <si>
    <t>MVSHM-3N03004-4BZ-6EALE</t>
    <phoneticPr fontId="15"/>
  </si>
  <si>
    <t>SETB0294-Z01-1　引き出し底板</t>
    <phoneticPr fontId="15"/>
  </si>
  <si>
    <r>
      <rPr>
        <b/>
        <sz val="11"/>
        <color indexed="8"/>
        <rFont val="ＭＳ Ｐゴシック"/>
        <family val="3"/>
        <charset val="128"/>
      </rPr>
      <t>SETB0294-Y01</t>
    </r>
    <r>
      <rPr>
        <sz val="11"/>
        <color theme="1"/>
        <rFont val="ＭＳ Ｐゴシック"/>
        <family val="3"/>
        <charset val="128"/>
        <scheme val="minor"/>
      </rPr>
      <t>　ﾂｰﾙ治具ﾌﾞﾗｹｯﾄ</t>
    </r>
    <phoneticPr fontId="2"/>
  </si>
  <si>
    <t>MVSHM-3N03052-4C1-JZ557</t>
    <phoneticPr fontId="15"/>
  </si>
  <si>
    <t>MVSHM-3N02050-3PG-F4J1T</t>
    <phoneticPr fontId="2"/>
  </si>
  <si>
    <t>SETB0164-Z07-1 ｼﾘﾝｼﾞ撹拌取り置きｽﾃｰ</t>
    <phoneticPr fontId="2"/>
  </si>
  <si>
    <t xml:space="preserve">227707-1 H-SAITOU </t>
    <phoneticPr fontId="15"/>
  </si>
  <si>
    <t>ﾐｽﾐ品お客様注文No.</t>
    <rPh sb="3" eb="4">
      <t>ヒン</t>
    </rPh>
    <rPh sb="5" eb="7">
      <t>キャクサマ</t>
    </rPh>
    <rPh sb="7" eb="9">
      <t>チュウモン</t>
    </rPh>
    <phoneticPr fontId="15"/>
  </si>
  <si>
    <t xml:space="preserve">227707-2 H-SAITOU </t>
    <phoneticPr fontId="15"/>
  </si>
  <si>
    <t xml:space="preserve">227707-3 H-SAITOU </t>
    <phoneticPr fontId="15"/>
  </si>
  <si>
    <t xml:space="preserve">227707-4 H-SAITOU </t>
    <phoneticPr fontId="15"/>
  </si>
  <si>
    <t xml:space="preserve">227707-5 H-SAITOU </t>
    <phoneticPr fontId="15"/>
  </si>
  <si>
    <t xml:space="preserve">227707-6 H-SAITOU </t>
    <phoneticPr fontId="15"/>
  </si>
  <si>
    <t xml:space="preserve">227707-7 H-SAITOU </t>
    <phoneticPr fontId="15"/>
  </si>
  <si>
    <t>③</t>
    <phoneticPr fontId="7"/>
  </si>
  <si>
    <t xml:space="preserve">
AB249679A3</t>
    <phoneticPr fontId="15"/>
  </si>
  <si>
    <t>SMC</t>
    <phoneticPr fontId="2"/>
  </si>
  <si>
    <t>AN10-01</t>
    <phoneticPr fontId="15"/>
  </si>
  <si>
    <t>ｻｲﾚﾝｻ</t>
    <phoneticPr fontId="15"/>
  </si>
  <si>
    <t xml:space="preserve">
AB2497C95F</t>
    <phoneticPr fontId="15"/>
  </si>
  <si>
    <r>
      <t>HFC6-3030-S</t>
    </r>
    <r>
      <rPr>
        <b/>
        <sz val="11"/>
        <color rgb="FFFF0000"/>
        <rFont val="ＭＳ Ｐゴシック"/>
        <family val="3"/>
        <charset val="128"/>
        <scheme val="minor"/>
      </rPr>
      <t xml:space="preserve">  次回は下記の物</t>
    </r>
    <rPh sb="13" eb="15">
      <t>ジカイ</t>
    </rPh>
    <rPh sb="16" eb="18">
      <t>カキ</t>
    </rPh>
    <rPh sb="19" eb="20">
      <t>モノ</t>
    </rPh>
    <phoneticPr fontId="2"/>
  </si>
  <si>
    <t>HFC6-3060-S</t>
    <phoneticPr fontId="2"/>
  </si>
  <si>
    <t>AB24A73143</t>
    <phoneticPr fontId="15"/>
  </si>
  <si>
    <t>USRDS4-6</t>
    <phoneticPr fontId="15"/>
  </si>
  <si>
    <t>ワンタッチ継手　レデューサ</t>
    <phoneticPr fontId="15"/>
  </si>
  <si>
    <t>AB24AB46C7</t>
    <phoneticPr fontId="15"/>
  </si>
  <si>
    <t>PDDU-PT-MS-9-2.5</t>
    <phoneticPr fontId="15"/>
  </si>
  <si>
    <t xml:space="preserve">Dsubコネクタ付ケーブル </t>
    <phoneticPr fontId="15"/>
  </si>
  <si>
    <t>MVSHM-3N03052-4DD-7F2MA</t>
    <phoneticPr fontId="15"/>
  </si>
  <si>
    <r>
      <t>SETB0294－Z06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レギュレーター取付板金</t>
    </r>
    <phoneticPr fontId="2"/>
  </si>
  <si>
    <t>AB24AE1DGC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</si>
</sst>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  <numFmt numFmtId="182" formatCode="0_ "/>
  </numFmts>
  <fonts count="3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16"/>
      <color rgb="FF0070C0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4"/>
      <color theme="8" tint="-0.249977111117893"/>
      <name val="ＭＳ Ｐゴシック"/>
      <family val="3"/>
      <charset val="128"/>
      <scheme val="minor"/>
    </font>
    <font>
      <b/>
      <sz val="12"/>
      <color rgb="FF00B05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4" fillId="0" borderId="0">
      <alignment vertical="center"/>
    </xf>
  </cellStyleXfs>
  <cellXfs count="29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14" fillId="0" borderId="1" xfId="2" applyNumberFormat="1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49" fontId="14" fillId="0" borderId="1" xfId="2" applyNumberFormat="1" applyBorder="1" applyAlignment="1">
      <alignment horizontal="left" vertical="center"/>
    </xf>
    <xf numFmtId="0" fontId="14" fillId="0" borderId="1" xfId="2" applyBorder="1">
      <alignment vertical="center"/>
    </xf>
    <xf numFmtId="0" fontId="0" fillId="0" borderId="19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/>
    </xf>
    <xf numFmtId="38" fontId="17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0" fillId="0" borderId="2" xfId="0" applyNumberFormat="1" applyBorder="1" applyAlignment="1"/>
    <xf numFmtId="3" fontId="0" fillId="4" borderId="1" xfId="0" applyNumberForma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0" fillId="11" borderId="5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11" borderId="1" xfId="0" applyFont="1" applyFill="1" applyBorder="1">
      <alignment vertical="center"/>
    </xf>
    <xf numFmtId="3" fontId="0" fillId="0" borderId="19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38" fontId="14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11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left" vertical="center"/>
    </xf>
    <xf numFmtId="182" fontId="1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7" fillId="0" borderId="1" xfId="0" applyFont="1" applyBorder="1">
      <alignment vertical="center"/>
    </xf>
    <xf numFmtId="0" fontId="11" fillId="4" borderId="1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shrinkToFit="1"/>
    </xf>
    <xf numFmtId="3" fontId="0" fillId="0" borderId="5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3" fontId="0" fillId="11" borderId="1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176" fontId="17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3" xfId="0" applyNumberFormat="1" applyBorder="1" applyAlignment="1"/>
    <xf numFmtId="0" fontId="11" fillId="0" borderId="17" xfId="0" applyFont="1" applyBorder="1" applyAlignment="1">
      <alignment horizontal="left" vertical="center"/>
    </xf>
    <xf numFmtId="3" fontId="17" fillId="0" borderId="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0" fontId="14" fillId="0" borderId="1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6" fillId="0" borderId="2" xfId="0" applyNumberFormat="1" applyFont="1" applyBorder="1">
      <alignment vertical="center"/>
    </xf>
    <xf numFmtId="0" fontId="18" fillId="0" borderId="5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shrinkToFit="1"/>
    </xf>
    <xf numFmtId="0" fontId="11" fillId="4" borderId="13" xfId="0" applyFont="1" applyFill="1" applyBorder="1" applyAlignment="1">
      <alignment horizontal="center" vertical="center"/>
    </xf>
    <xf numFmtId="3" fontId="11" fillId="4" borderId="13" xfId="0" applyNumberFormat="1" applyFont="1" applyFill="1" applyBorder="1" applyAlignment="1">
      <alignment horizontal="center" vertical="center"/>
    </xf>
    <xf numFmtId="176" fontId="12" fillId="8" borderId="2" xfId="0" applyNumberFormat="1" applyFont="1" applyFill="1" applyBorder="1">
      <alignment vertical="center"/>
    </xf>
    <xf numFmtId="176" fontId="12" fillId="8" borderId="8" xfId="0" applyNumberFormat="1" applyFont="1" applyFill="1" applyBorder="1">
      <alignment vertical="center"/>
    </xf>
    <xf numFmtId="176" fontId="12" fillId="8" borderId="9" xfId="0" applyNumberFormat="1" applyFont="1" applyFill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38" fontId="14" fillId="0" borderId="8" xfId="2" applyNumberFormat="1" applyBorder="1" applyAlignment="1">
      <alignment horizontal="center" vertical="center"/>
    </xf>
    <xf numFmtId="3" fontId="14" fillId="0" borderId="9" xfId="2" applyNumberFormat="1" applyBorder="1" applyAlignment="1">
      <alignment horizontal="center" vertical="center"/>
    </xf>
    <xf numFmtId="49" fontId="17" fillId="0" borderId="2" xfId="2" applyNumberFormat="1" applyFont="1" applyBorder="1" applyAlignment="1">
      <alignment horizontal="left" vertical="center"/>
    </xf>
    <xf numFmtId="0" fontId="17" fillId="0" borderId="8" xfId="2" applyFont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6" fontId="17" fillId="6" borderId="17" xfId="0" applyNumberFormat="1" applyFont="1" applyFill="1" applyBorder="1" applyAlignment="1">
      <alignment horizontal="right" vertical="center"/>
    </xf>
    <xf numFmtId="0" fontId="6" fillId="10" borderId="2" xfId="0" applyFont="1" applyFill="1" applyBorder="1">
      <alignment vertical="center"/>
    </xf>
    <xf numFmtId="176" fontId="0" fillId="0" borderId="23" xfId="0" applyNumberFormat="1" applyBorder="1">
      <alignment vertical="center"/>
    </xf>
    <xf numFmtId="0" fontId="0" fillId="0" borderId="23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2" fontId="17" fillId="11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right" vertical="center"/>
    </xf>
    <xf numFmtId="0" fontId="21" fillId="0" borderId="1" xfId="1" applyFont="1" applyBorder="1" applyAlignment="1">
      <alignment horizontal="center" vertical="center"/>
    </xf>
    <xf numFmtId="182" fontId="17" fillId="0" borderId="1" xfId="0" applyNumberFormat="1" applyFont="1" applyBorder="1" applyAlignment="1">
      <alignment horizontal="right" vertical="center"/>
    </xf>
    <xf numFmtId="3" fontId="0" fillId="11" borderId="9" xfId="0" applyNumberForma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9" fillId="15" borderId="26" xfId="0" applyFon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14" fillId="6" borderId="1" xfId="2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left" vertical="center"/>
    </xf>
    <xf numFmtId="49" fontId="14" fillId="6" borderId="1" xfId="2" applyNumberForma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49" fontId="0" fillId="6" borderId="1" xfId="0" applyNumberForma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6" borderId="20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>
      <alignment vertical="center"/>
    </xf>
    <xf numFmtId="182" fontId="17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3" fontId="17" fillId="4" borderId="1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10" borderId="1" xfId="0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176" fontId="12" fillId="0" borderId="1" xfId="0" applyNumberFormat="1" applyFont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5" xfId="0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38" fontId="14" fillId="6" borderId="1" xfId="2" applyNumberFormat="1" applyFill="1" applyBorder="1" applyAlignment="1">
      <alignment horizontal="center" vertical="center"/>
    </xf>
    <xf numFmtId="0" fontId="0" fillId="6" borderId="5" xfId="0" applyFill="1" applyBorder="1">
      <alignment vertical="center"/>
    </xf>
    <xf numFmtId="0" fontId="17" fillId="6" borderId="1" xfId="0" applyFont="1" applyFill="1" applyBorder="1">
      <alignment vertical="center"/>
    </xf>
    <xf numFmtId="0" fontId="17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 wrapText="1"/>
    </xf>
    <xf numFmtId="0" fontId="28" fillId="6" borderId="0" xfId="0" applyFont="1" applyFill="1">
      <alignment vertical="center"/>
    </xf>
    <xf numFmtId="0" fontId="0" fillId="6" borderId="2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182" fontId="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>
      <alignment vertical="center"/>
    </xf>
    <xf numFmtId="0" fontId="11" fillId="6" borderId="1" xfId="0" applyFont="1" applyFill="1" applyBorder="1" applyAlignment="1">
      <alignment horizontal="center" vertical="center"/>
    </xf>
    <xf numFmtId="49" fontId="0" fillId="6" borderId="9" xfId="0" applyNumberFormat="1" applyFill="1" applyBorder="1" applyAlignment="1">
      <alignment horizontal="left" vertical="center"/>
    </xf>
    <xf numFmtId="3" fontId="11" fillId="4" borderId="18" xfId="0" applyNumberFormat="1" applyFont="1" applyFill="1" applyBorder="1" applyAlignment="1">
      <alignment horizontal="center" vertical="center"/>
    </xf>
    <xf numFmtId="180" fontId="17" fillId="6" borderId="1" xfId="0" applyNumberFormat="1" applyFont="1" applyFill="1" applyBorder="1" applyAlignment="1">
      <alignment horizontal="right" vertical="center"/>
    </xf>
    <xf numFmtId="180" fontId="17" fillId="6" borderId="1" xfId="0" applyNumberFormat="1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182" fontId="0" fillId="6" borderId="3" xfId="0" applyNumberFormat="1" applyFill="1" applyBorder="1">
      <alignment vertical="center"/>
    </xf>
    <xf numFmtId="0" fontId="17" fillId="6" borderId="5" xfId="0" applyFont="1" applyFill="1" applyBorder="1" applyAlignment="1">
      <alignment horizontal="left" vertical="center"/>
    </xf>
    <xf numFmtId="182" fontId="17" fillId="6" borderId="5" xfId="0" applyNumberFormat="1" applyFont="1" applyFill="1" applyBorder="1">
      <alignment vertical="center"/>
    </xf>
    <xf numFmtId="0" fontId="0" fillId="6" borderId="3" xfId="0" applyFill="1" applyBorder="1" applyAlignment="1">
      <alignment horizontal="center" vertical="center"/>
    </xf>
    <xf numFmtId="38" fontId="0" fillId="6" borderId="1" xfId="0" applyNumberFormat="1" applyFill="1" applyBorder="1">
      <alignment vertical="center"/>
    </xf>
    <xf numFmtId="0" fontId="0" fillId="6" borderId="2" xfId="0" applyFill="1" applyBorder="1" applyAlignment="1">
      <alignment horizontal="center" vertical="center"/>
    </xf>
    <xf numFmtId="38" fontId="17" fillId="6" borderId="1" xfId="0" applyNumberFormat="1" applyFont="1" applyFill="1" applyBorder="1">
      <alignment vertical="center"/>
    </xf>
    <xf numFmtId="176" fontId="17" fillId="6" borderId="1" xfId="0" applyNumberFormat="1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0" fillId="0" borderId="1" xfId="2" applyFont="1" applyBorder="1">
      <alignment vertical="center"/>
    </xf>
    <xf numFmtId="0" fontId="29" fillId="6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right" vertical="center"/>
    </xf>
    <xf numFmtId="38" fontId="17" fillId="6" borderId="1" xfId="0" applyNumberFormat="1" applyFont="1" applyFill="1" applyBorder="1" applyAlignment="1">
      <alignment horizontal="right" vertical="center"/>
    </xf>
    <xf numFmtId="180" fontId="0" fillId="6" borderId="1" xfId="0" applyNumberFormat="1" applyFill="1" applyBorder="1" applyAlignment="1">
      <alignment horizontal="right" vertical="center"/>
    </xf>
    <xf numFmtId="180" fontId="0" fillId="6" borderId="1" xfId="0" applyNumberFormat="1" applyFill="1" applyBorder="1" applyAlignment="1">
      <alignment horizontal="center" vertical="center"/>
    </xf>
    <xf numFmtId="38" fontId="0" fillId="6" borderId="1" xfId="0" applyNumberForma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>
      <alignment vertical="center"/>
    </xf>
    <xf numFmtId="176" fontId="0" fillId="6" borderId="3" xfId="0" applyNumberFormat="1" applyFill="1" applyBorder="1">
      <alignment vertical="center"/>
    </xf>
    <xf numFmtId="0" fontId="17" fillId="6" borderId="5" xfId="0" applyFont="1" applyFill="1" applyBorder="1" applyAlignment="1">
      <alignment horizontal="center" vertical="center"/>
    </xf>
    <xf numFmtId="176" fontId="17" fillId="6" borderId="5" xfId="0" applyNumberFormat="1" applyFont="1" applyFill="1" applyBorder="1">
      <alignment vertical="center"/>
    </xf>
    <xf numFmtId="176" fontId="17" fillId="6" borderId="1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0" fontId="6" fillId="6" borderId="1" xfId="1" applyFill="1" applyBorder="1" applyAlignment="1">
      <alignment horizontal="center" vertical="center"/>
    </xf>
    <xf numFmtId="38" fontId="0" fillId="6" borderId="1" xfId="0" applyNumberFormat="1" applyFill="1" applyBorder="1" applyAlignment="1">
      <alignment horizontal="right" vertical="center"/>
    </xf>
    <xf numFmtId="0" fontId="31" fillId="0" borderId="1" xfId="2" applyFont="1" applyBorder="1" applyAlignment="1">
      <alignment horizontal="center" vertical="center"/>
    </xf>
    <xf numFmtId="49" fontId="14" fillId="15" borderId="1" xfId="2" applyNumberFormat="1" applyFill="1" applyBorder="1" applyAlignment="1">
      <alignment horizontal="left" vertical="center"/>
    </xf>
    <xf numFmtId="0" fontId="14" fillId="15" borderId="1" xfId="2" applyFill="1" applyBorder="1" applyAlignment="1">
      <alignment horizontal="right" vertical="center"/>
    </xf>
    <xf numFmtId="38" fontId="14" fillId="15" borderId="1" xfId="2" applyNumberFormat="1" applyFill="1" applyBorder="1" applyAlignment="1">
      <alignment horizontal="right" vertical="center"/>
    </xf>
    <xf numFmtId="176" fontId="0" fillId="15" borderId="1" xfId="0" applyNumberFormat="1" applyFill="1" applyBorder="1" applyAlignment="1">
      <alignment horizontal="right" vertical="center"/>
    </xf>
    <xf numFmtId="0" fontId="14" fillId="0" borderId="2" xfId="2" applyBorder="1" applyAlignment="1">
      <alignment horizontal="center" vertical="center"/>
    </xf>
    <xf numFmtId="0" fontId="14" fillId="0" borderId="1" xfId="2" applyBorder="1" applyAlignment="1">
      <alignment horizontal="left" vertical="center" shrinkToFit="1"/>
    </xf>
    <xf numFmtId="3" fontId="24" fillId="0" borderId="1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17" fillId="15" borderId="3" xfId="0" applyNumberFormat="1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15" borderId="1" xfId="0" applyFill="1" applyBorder="1" applyAlignment="1">
      <alignment horizontal="right" vertical="center"/>
    </xf>
    <xf numFmtId="176" fontId="0" fillId="15" borderId="1" xfId="0" applyNumberFormat="1" applyFill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3" fontId="17" fillId="15" borderId="1" xfId="0" applyNumberFormat="1" applyFont="1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0" fontId="0" fillId="15" borderId="8" xfId="0" applyFill="1" applyBorder="1" applyAlignment="1">
      <alignment horizontal="center" vertical="center"/>
    </xf>
    <xf numFmtId="38" fontId="17" fillId="15" borderId="1" xfId="0" applyNumberFormat="1" applyFont="1" applyFill="1" applyBorder="1" applyAlignment="1">
      <alignment horizontal="right" vertical="center"/>
    </xf>
    <xf numFmtId="38" fontId="17" fillId="15" borderId="1" xfId="0" applyNumberFormat="1" applyFont="1" applyFill="1" applyBorder="1">
      <alignment vertical="center"/>
    </xf>
    <xf numFmtId="3" fontId="11" fillId="4" borderId="22" xfId="0" applyNumberFormat="1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left" vertical="center"/>
    </xf>
    <xf numFmtId="0" fontId="0" fillId="15" borderId="5" xfId="0" applyFill="1" applyBorder="1">
      <alignment vertical="center"/>
    </xf>
    <xf numFmtId="0" fontId="0" fillId="15" borderId="5" xfId="0" applyFill="1" applyBorder="1" applyAlignment="1">
      <alignment horizontal="center" vertical="center"/>
    </xf>
    <xf numFmtId="38" fontId="0" fillId="15" borderId="5" xfId="0" applyNumberFormat="1" applyFill="1" applyBorder="1">
      <alignment vertical="center"/>
    </xf>
    <xf numFmtId="0" fontId="0" fillId="0" borderId="5" xfId="0" applyBorder="1" applyAlignment="1">
      <alignment horizontal="left" vertical="center"/>
    </xf>
    <xf numFmtId="38" fontId="10" fillId="5" borderId="10" xfId="0" applyNumberFormat="1" applyFont="1" applyFill="1" applyBorder="1" applyAlignment="1">
      <alignment horizontal="left" vertical="center" shrinkToFit="1"/>
    </xf>
    <xf numFmtId="38" fontId="10" fillId="5" borderId="11" xfId="0" applyNumberFormat="1" applyFont="1" applyFill="1" applyBorder="1" applyAlignment="1">
      <alignment horizontal="left" vertical="center" shrinkToFit="1"/>
    </xf>
    <xf numFmtId="38" fontId="10" fillId="5" borderId="4" xfId="0" applyNumberFormat="1" applyFont="1" applyFill="1" applyBorder="1" applyAlignment="1">
      <alignment horizontal="left" vertical="center" shrinkToFit="1"/>
    </xf>
    <xf numFmtId="38" fontId="10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176" fontId="12" fillId="8" borderId="2" xfId="0" applyNumberFormat="1" applyFont="1" applyFill="1" applyBorder="1" applyAlignment="1">
      <alignment horizontal="center" vertical="center"/>
    </xf>
    <xf numFmtId="176" fontId="12" fillId="8" borderId="8" xfId="0" applyNumberFormat="1" applyFont="1" applyFill="1" applyBorder="1" applyAlignment="1">
      <alignment horizontal="center" vertical="center"/>
    </xf>
    <xf numFmtId="176" fontId="12" fillId="8" borderId="9" xfId="0" applyNumberFormat="1" applyFont="1" applyFill="1" applyBorder="1" applyAlignment="1">
      <alignment horizontal="center" vertical="center"/>
    </xf>
    <xf numFmtId="176" fontId="12" fillId="8" borderId="22" xfId="0" applyNumberFormat="1" applyFont="1" applyFill="1" applyBorder="1" applyAlignment="1">
      <alignment horizontal="center" vertical="center"/>
    </xf>
    <xf numFmtId="176" fontId="12" fillId="8" borderId="20" xfId="0" applyNumberFormat="1" applyFont="1" applyFill="1" applyBorder="1" applyAlignment="1">
      <alignment horizontal="center" vertical="center"/>
    </xf>
    <xf numFmtId="176" fontId="12" fillId="8" borderId="2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6" fontId="12" fillId="8" borderId="14" xfId="0" applyNumberFormat="1" applyFont="1" applyFill="1" applyBorder="1" applyAlignment="1">
      <alignment horizontal="center" vertical="center"/>
    </xf>
    <xf numFmtId="176" fontId="12" fillId="8" borderId="15" xfId="0" applyNumberFormat="1" applyFont="1" applyFill="1" applyBorder="1" applyAlignment="1">
      <alignment horizontal="center" vertical="center"/>
    </xf>
    <xf numFmtId="176" fontId="12" fillId="8" borderId="16" xfId="0" applyNumberFormat="1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3" fontId="20" fillId="3" borderId="8" xfId="0" applyNumberFormat="1" applyFont="1" applyFill="1" applyBorder="1" applyAlignment="1">
      <alignment horizontal="center" vertical="center"/>
    </xf>
    <xf numFmtId="3" fontId="20" fillId="3" borderId="9" xfId="0" applyNumberFormat="1" applyFont="1" applyFill="1" applyBorder="1" applyAlignment="1">
      <alignment horizontal="center" vertical="center"/>
    </xf>
    <xf numFmtId="3" fontId="20" fillId="9" borderId="2" xfId="0" applyNumberFormat="1" applyFont="1" applyFill="1" applyBorder="1" applyAlignment="1">
      <alignment horizontal="center" vertical="center"/>
    </xf>
    <xf numFmtId="3" fontId="20" fillId="9" borderId="8" xfId="0" applyNumberFormat="1" applyFont="1" applyFill="1" applyBorder="1" applyAlignment="1">
      <alignment horizontal="center" vertical="center"/>
    </xf>
    <xf numFmtId="3" fontId="20" fillId="9" borderId="9" xfId="0" applyNumberFormat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center"/>
    </xf>
    <xf numFmtId="0" fontId="19" fillId="3" borderId="8" xfId="1" applyFont="1" applyFill="1" applyBorder="1" applyAlignment="1">
      <alignment horizontal="center" vertical="center"/>
    </xf>
    <xf numFmtId="0" fontId="19" fillId="3" borderId="9" xfId="1" applyFon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1B32-8EEE-4112-AEB6-C5820EBAF579}">
  <sheetPr>
    <tabColor rgb="FF00B0F0"/>
  </sheetPr>
  <dimension ref="A2:U215"/>
  <sheetViews>
    <sheetView tabSelected="1" zoomScale="85" zoomScaleNormal="85" workbookViewId="0">
      <pane xSplit="14" ySplit="9" topLeftCell="O66" activePane="bottomRight" state="frozen"/>
      <selection pane="topRight" activeCell="K1" sqref="K1"/>
      <selection pane="bottomLeft" activeCell="A9" sqref="A9"/>
      <selection pane="bottomRight" activeCell="I169" sqref="I169"/>
    </sheetView>
  </sheetViews>
  <sheetFormatPr defaultRowHeight="13.2" x14ac:dyDescent="0.2"/>
  <cols>
    <col min="1" max="1" width="7.88671875" customWidth="1"/>
    <col min="2" max="2" width="17.77734375" customWidth="1"/>
    <col min="3" max="3" width="11.109375" customWidth="1"/>
    <col min="4" max="4" width="4.5546875" customWidth="1"/>
    <col min="5" max="5" width="7.77734375" customWidth="1"/>
    <col min="6" max="6" width="8.6640625" style="3" customWidth="1"/>
    <col min="7" max="7" width="12.5546875" customWidth="1"/>
    <col min="8" max="8" width="13.109375" bestFit="1" customWidth="1"/>
    <col min="9" max="9" width="47.88671875" customWidth="1"/>
    <col min="10" max="10" width="6.21875" style="3" customWidth="1"/>
    <col min="11" max="12" width="9.88671875" style="8" bestFit="1" customWidth="1"/>
    <col min="13" max="13" width="5.77734375" style="8" customWidth="1"/>
    <col min="14" max="14" width="46.109375" customWidth="1"/>
    <col min="15" max="15" width="19.21875" customWidth="1"/>
    <col min="16" max="16" width="20.33203125" style="3" customWidth="1"/>
    <col min="17" max="17" width="13.77734375" style="10" customWidth="1"/>
    <col min="18" max="18" width="6.33203125" customWidth="1"/>
    <col min="19" max="19" width="13.21875" style="8" customWidth="1"/>
    <col min="20" max="20" width="14.44140625" style="12" customWidth="1"/>
    <col min="21" max="21" width="15.6640625" style="13" customWidth="1"/>
  </cols>
  <sheetData>
    <row r="2" spans="1:21" ht="20.100000000000001" customHeight="1" x14ac:dyDescent="0.2">
      <c r="F2" s="266" t="s">
        <v>11</v>
      </c>
      <c r="G2" s="266"/>
      <c r="H2" s="266"/>
      <c r="I2" s="9" t="s">
        <v>234</v>
      </c>
      <c r="K2" s="277" t="s">
        <v>15</v>
      </c>
      <c r="L2" s="278"/>
      <c r="M2" s="279"/>
      <c r="N2" s="7">
        <f>SUM(L:L)</f>
        <v>532538</v>
      </c>
    </row>
    <row r="3" spans="1:21" ht="20.100000000000001" customHeight="1" x14ac:dyDescent="0.2">
      <c r="F3" s="266" t="s">
        <v>10</v>
      </c>
      <c r="G3" s="266"/>
      <c r="H3" s="266"/>
      <c r="I3" s="5" t="s">
        <v>23</v>
      </c>
    </row>
    <row r="4" spans="1:21" ht="20.100000000000001" customHeight="1" x14ac:dyDescent="0.2">
      <c r="F4" s="266" t="s">
        <v>12</v>
      </c>
      <c r="G4" s="266"/>
      <c r="H4" s="266"/>
      <c r="I4" s="32" t="s">
        <v>233</v>
      </c>
      <c r="L4" s="33"/>
      <c r="N4" s="262" t="s">
        <v>125</v>
      </c>
      <c r="O4" s="263"/>
    </row>
    <row r="5" spans="1:21" ht="20.100000000000001" customHeight="1" x14ac:dyDescent="0.2">
      <c r="F5" s="266" t="s">
        <v>13</v>
      </c>
      <c r="G5" s="266"/>
      <c r="H5" s="266"/>
      <c r="I5" s="6">
        <v>45978</v>
      </c>
      <c r="K5" s="267" t="s">
        <v>309</v>
      </c>
      <c r="L5" s="267"/>
      <c r="N5" s="264"/>
      <c r="O5" s="265"/>
    </row>
    <row r="6" spans="1:21" ht="20.100000000000001" customHeight="1" x14ac:dyDescent="0.2">
      <c r="F6" s="266" t="s">
        <v>14</v>
      </c>
      <c r="G6" s="266"/>
      <c r="H6" s="266"/>
      <c r="I6" s="6">
        <v>45979</v>
      </c>
      <c r="K6" s="267"/>
      <c r="L6" s="267"/>
      <c r="N6" s="15"/>
      <c r="O6" s="20"/>
    </row>
    <row r="7" spans="1:21" ht="20.100000000000001" customHeight="1" x14ac:dyDescent="0.2">
      <c r="F7" s="17"/>
      <c r="G7" s="17"/>
      <c r="H7" s="17"/>
      <c r="I7" s="16"/>
      <c r="N7" s="15"/>
      <c r="O7" s="20"/>
      <c r="P7" s="18"/>
    </row>
    <row r="9" spans="1:21" s="3" customFormat="1" ht="19.649999999999999" customHeight="1" x14ac:dyDescent="0.2">
      <c r="B9" s="213" t="s">
        <v>302</v>
      </c>
      <c r="C9" s="128" t="s">
        <v>69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7" t="s">
        <v>1</v>
      </c>
      <c r="L9" s="34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649999999999999" customHeight="1" x14ac:dyDescent="0.2">
      <c r="D10" s="31"/>
      <c r="E10" s="1"/>
      <c r="F10" s="4"/>
      <c r="G10" s="4"/>
      <c r="H10" s="4"/>
      <c r="I10" s="25"/>
      <c r="J10" s="1"/>
      <c r="K10" s="21"/>
      <c r="L10" s="35"/>
      <c r="M10" s="2"/>
      <c r="N10" s="24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2">
      <c r="E11" s="49"/>
      <c r="F11" s="72"/>
      <c r="G11" s="42"/>
      <c r="H11" s="42"/>
      <c r="I11" s="45"/>
      <c r="J11" s="43"/>
      <c r="K11" s="70"/>
      <c r="L11" s="42"/>
      <c r="M11" s="43"/>
      <c r="N11" s="46"/>
      <c r="O11" s="43"/>
      <c r="P11" s="43"/>
      <c r="Q11" s="11"/>
      <c r="R11" s="68"/>
      <c r="S11" s="38"/>
      <c r="T11" s="39"/>
      <c r="U11" s="41"/>
    </row>
    <row r="12" spans="1:21" s="3" customFormat="1" ht="19.5" customHeight="1" x14ac:dyDescent="0.2">
      <c r="E12" s="49"/>
      <c r="F12" s="72"/>
      <c r="G12" s="42"/>
      <c r="H12" s="42"/>
      <c r="I12" s="45"/>
      <c r="J12" s="43"/>
      <c r="K12" s="70"/>
      <c r="L12" s="42"/>
      <c r="M12" s="43"/>
      <c r="N12" s="46"/>
      <c r="O12" s="43"/>
      <c r="P12" s="43"/>
      <c r="Q12" s="11"/>
      <c r="R12" s="68"/>
      <c r="S12" s="38"/>
      <c r="T12" s="39"/>
      <c r="U12" s="41"/>
    </row>
    <row r="13" spans="1:21" s="3" customFormat="1" ht="19.5" customHeight="1" x14ac:dyDescent="0.2">
      <c r="E13" s="54"/>
      <c r="F13" s="268" t="s">
        <v>48</v>
      </c>
      <c r="G13" s="269"/>
      <c r="H13" s="269"/>
      <c r="I13" s="270"/>
      <c r="J13" s="43"/>
      <c r="K13" s="70"/>
      <c r="L13" s="42"/>
      <c r="M13" s="43"/>
      <c r="N13" s="46"/>
      <c r="O13" s="43"/>
      <c r="P13" s="43"/>
      <c r="Q13" s="11"/>
      <c r="R13" s="68"/>
      <c r="S13" s="38"/>
      <c r="T13" s="39"/>
      <c r="U13" s="41"/>
    </row>
    <row r="14" spans="1:21" s="3" customFormat="1" ht="19.5" customHeight="1" x14ac:dyDescent="0.2">
      <c r="A14" s="144" t="s">
        <v>30</v>
      </c>
      <c r="B14" s="214" t="s">
        <v>301</v>
      </c>
      <c r="C14" s="1">
        <v>0.26</v>
      </c>
      <c r="D14" s="144"/>
      <c r="E14" s="54"/>
      <c r="F14" s="114">
        <v>1</v>
      </c>
      <c r="G14" s="60" t="s">
        <v>32</v>
      </c>
      <c r="H14" s="4" t="s">
        <v>25</v>
      </c>
      <c r="I14" s="146" t="s">
        <v>53</v>
      </c>
      <c r="J14" s="141">
        <v>4</v>
      </c>
      <c r="K14" s="182">
        <v>2212</v>
      </c>
      <c r="L14" s="221">
        <f t="shared" ref="L14:L24" si="0">J14*K14</f>
        <v>8848</v>
      </c>
      <c r="M14" s="43"/>
      <c r="N14" s="46" t="s">
        <v>49</v>
      </c>
      <c r="O14" s="43"/>
      <c r="P14" s="236" t="s">
        <v>310</v>
      </c>
      <c r="Q14" s="11">
        <v>45965</v>
      </c>
      <c r="R14" s="68"/>
      <c r="S14" s="220">
        <v>45978</v>
      </c>
      <c r="T14" s="39">
        <v>45979</v>
      </c>
      <c r="U14" s="41"/>
    </row>
    <row r="15" spans="1:21" s="3" customFormat="1" ht="19.5" customHeight="1" x14ac:dyDescent="0.2">
      <c r="A15" s="144" t="s">
        <v>30</v>
      </c>
      <c r="B15" s="214" t="s">
        <v>301</v>
      </c>
      <c r="C15" s="1">
        <v>0.56000000000000005</v>
      </c>
      <c r="D15" s="144"/>
      <c r="E15" s="54"/>
      <c r="F15" s="107">
        <f t="shared" ref="F15:F24" si="1">F14+1</f>
        <v>2</v>
      </c>
      <c r="G15" s="60" t="s">
        <v>32</v>
      </c>
      <c r="H15" s="4" t="s">
        <v>25</v>
      </c>
      <c r="I15" s="146" t="s">
        <v>54</v>
      </c>
      <c r="J15" s="141">
        <v>4</v>
      </c>
      <c r="K15" s="182">
        <v>2424</v>
      </c>
      <c r="L15" s="221">
        <f t="shared" si="0"/>
        <v>9696</v>
      </c>
      <c r="M15" s="43"/>
      <c r="N15" s="46" t="s">
        <v>50</v>
      </c>
      <c r="O15" s="43"/>
      <c r="P15" s="236" t="s">
        <v>310</v>
      </c>
      <c r="Q15" s="11">
        <v>45965</v>
      </c>
      <c r="R15" s="68"/>
      <c r="S15" s="220">
        <v>45978</v>
      </c>
      <c r="T15" s="39">
        <v>45979</v>
      </c>
      <c r="U15" s="41"/>
    </row>
    <row r="16" spans="1:21" s="3" customFormat="1" ht="19.5" customHeight="1" x14ac:dyDescent="0.2">
      <c r="A16" s="144" t="s">
        <v>30</v>
      </c>
      <c r="B16" s="214" t="s">
        <v>301</v>
      </c>
      <c r="C16" s="1">
        <v>0.45</v>
      </c>
      <c r="D16" s="144"/>
      <c r="E16" s="54"/>
      <c r="F16" s="107">
        <f t="shared" si="1"/>
        <v>3</v>
      </c>
      <c r="G16" s="60" t="s">
        <v>32</v>
      </c>
      <c r="H16" s="4" t="s">
        <v>25</v>
      </c>
      <c r="I16" s="146" t="s">
        <v>55</v>
      </c>
      <c r="J16" s="141">
        <v>4</v>
      </c>
      <c r="K16" s="182">
        <v>2446</v>
      </c>
      <c r="L16" s="221">
        <f t="shared" si="0"/>
        <v>9784</v>
      </c>
      <c r="M16" s="43"/>
      <c r="N16" s="46" t="s">
        <v>51</v>
      </c>
      <c r="O16" s="43"/>
      <c r="P16" s="236" t="s">
        <v>310</v>
      </c>
      <c r="Q16" s="11">
        <v>45965</v>
      </c>
      <c r="R16" s="68"/>
      <c r="S16" s="220">
        <v>45978</v>
      </c>
      <c r="T16" s="39">
        <v>45979</v>
      </c>
      <c r="U16" s="41"/>
    </row>
    <row r="17" spans="1:21" s="3" customFormat="1" ht="19.5" customHeight="1" x14ac:dyDescent="0.2">
      <c r="A17" s="147" t="s">
        <v>40</v>
      </c>
      <c r="B17" s="214" t="s">
        <v>301</v>
      </c>
      <c r="C17" s="1">
        <v>0.3</v>
      </c>
      <c r="D17" s="144"/>
      <c r="E17" s="54"/>
      <c r="F17" s="107">
        <f t="shared" si="1"/>
        <v>4</v>
      </c>
      <c r="G17" s="60" t="s">
        <v>32</v>
      </c>
      <c r="H17" s="4" t="s">
        <v>25</v>
      </c>
      <c r="I17" s="146" t="s">
        <v>56</v>
      </c>
      <c r="J17" s="141">
        <v>4</v>
      </c>
      <c r="K17" s="182">
        <v>8003</v>
      </c>
      <c r="L17" s="221">
        <f t="shared" si="0"/>
        <v>32012</v>
      </c>
      <c r="M17" s="43"/>
      <c r="N17" s="46" t="s">
        <v>52</v>
      </c>
      <c r="O17" s="43"/>
      <c r="P17" s="236" t="s">
        <v>310</v>
      </c>
      <c r="Q17" s="11">
        <v>45965</v>
      </c>
      <c r="R17" s="68"/>
      <c r="S17" s="220">
        <v>45978</v>
      </c>
      <c r="T17" s="39">
        <v>45979</v>
      </c>
      <c r="U17" s="41"/>
    </row>
    <row r="18" spans="1:21" s="3" customFormat="1" ht="19.5" customHeight="1" x14ac:dyDescent="0.2">
      <c r="A18" s="144" t="s">
        <v>30</v>
      </c>
      <c r="B18" s="214" t="s">
        <v>301</v>
      </c>
      <c r="C18" s="1">
        <v>0.76</v>
      </c>
      <c r="D18" s="144"/>
      <c r="E18" s="54"/>
      <c r="F18" s="107">
        <f t="shared" si="1"/>
        <v>5</v>
      </c>
      <c r="G18" s="60" t="s">
        <v>32</v>
      </c>
      <c r="H18" s="4" t="s">
        <v>25</v>
      </c>
      <c r="I18" s="146" t="s">
        <v>245</v>
      </c>
      <c r="J18" s="141">
        <v>2</v>
      </c>
      <c r="K18" s="182">
        <v>3536</v>
      </c>
      <c r="L18" s="221">
        <f t="shared" si="0"/>
        <v>7072</v>
      </c>
      <c r="M18" s="43"/>
      <c r="N18" s="211" t="s">
        <v>293</v>
      </c>
      <c r="O18" s="43"/>
      <c r="P18" s="236" t="s">
        <v>310</v>
      </c>
      <c r="Q18" s="11">
        <v>45965</v>
      </c>
      <c r="R18" s="68"/>
      <c r="S18" s="220">
        <v>45978</v>
      </c>
      <c r="T18" s="39">
        <v>45979</v>
      </c>
      <c r="U18" s="41"/>
    </row>
    <row r="19" spans="1:21" s="3" customFormat="1" ht="19.5" customHeight="1" x14ac:dyDescent="0.2">
      <c r="A19" s="144" t="s">
        <v>26</v>
      </c>
      <c r="B19" s="214" t="s">
        <v>301</v>
      </c>
      <c r="C19" s="1">
        <v>0.05</v>
      </c>
      <c r="D19" s="144"/>
      <c r="E19" s="54"/>
      <c r="F19" s="107">
        <f t="shared" si="1"/>
        <v>6</v>
      </c>
      <c r="G19" s="4" t="s">
        <v>25</v>
      </c>
      <c r="H19" s="4" t="s">
        <v>25</v>
      </c>
      <c r="I19" s="145" t="s">
        <v>41</v>
      </c>
      <c r="J19" s="142">
        <v>40</v>
      </c>
      <c r="K19" s="221">
        <v>14</v>
      </c>
      <c r="L19" s="221">
        <f t="shared" si="0"/>
        <v>560</v>
      </c>
      <c r="M19" s="59"/>
      <c r="N19" s="106" t="s">
        <v>119</v>
      </c>
      <c r="O19" s="43"/>
      <c r="P19" s="236" t="s">
        <v>310</v>
      </c>
      <c r="Q19" s="11">
        <v>45965</v>
      </c>
      <c r="R19" s="68"/>
      <c r="S19" s="220">
        <v>45978</v>
      </c>
      <c r="T19" s="39">
        <v>45979</v>
      </c>
      <c r="U19" s="41"/>
    </row>
    <row r="20" spans="1:21" s="3" customFormat="1" ht="19.5" customHeight="1" x14ac:dyDescent="0.2">
      <c r="A20" s="144" t="s">
        <v>26</v>
      </c>
      <c r="B20" s="214" t="s">
        <v>301</v>
      </c>
      <c r="C20" s="1">
        <v>0.5</v>
      </c>
      <c r="D20" s="144"/>
      <c r="E20" s="54"/>
      <c r="F20" s="107">
        <f t="shared" si="1"/>
        <v>7</v>
      </c>
      <c r="G20" s="4" t="s">
        <v>25</v>
      </c>
      <c r="H20" s="4" t="s">
        <v>25</v>
      </c>
      <c r="I20" s="143" t="s">
        <v>124</v>
      </c>
      <c r="J20" s="142">
        <v>2</v>
      </c>
      <c r="K20" s="221">
        <v>230</v>
      </c>
      <c r="L20" s="221">
        <f t="shared" si="0"/>
        <v>460</v>
      </c>
      <c r="M20" s="59"/>
      <c r="N20" s="51" t="s">
        <v>63</v>
      </c>
      <c r="O20" s="43"/>
      <c r="P20" s="236" t="s">
        <v>310</v>
      </c>
      <c r="Q20" s="11">
        <v>45965</v>
      </c>
      <c r="R20" s="68"/>
      <c r="S20" s="220">
        <v>45978</v>
      </c>
      <c r="T20" s="39">
        <v>45979</v>
      </c>
      <c r="U20" s="41"/>
    </row>
    <row r="21" spans="1:21" s="3" customFormat="1" ht="19.5" customHeight="1" x14ac:dyDescent="0.2">
      <c r="A21" s="144" t="s">
        <v>26</v>
      </c>
      <c r="B21" s="214" t="s">
        <v>301</v>
      </c>
      <c r="C21" s="1">
        <v>0.05</v>
      </c>
      <c r="D21" s="144"/>
      <c r="E21" s="54"/>
      <c r="F21" s="107">
        <f t="shared" si="1"/>
        <v>8</v>
      </c>
      <c r="G21" s="4" t="s">
        <v>25</v>
      </c>
      <c r="H21" s="4" t="s">
        <v>25</v>
      </c>
      <c r="I21" s="143" t="s">
        <v>58</v>
      </c>
      <c r="J21" s="142">
        <v>4</v>
      </c>
      <c r="K21" s="221">
        <v>46</v>
      </c>
      <c r="L21" s="221">
        <f t="shared" si="0"/>
        <v>184</v>
      </c>
      <c r="M21" s="59"/>
      <c r="N21" s="51" t="s">
        <v>64</v>
      </c>
      <c r="O21" s="43"/>
      <c r="P21" s="236" t="s">
        <v>310</v>
      </c>
      <c r="Q21" s="11">
        <v>45965</v>
      </c>
      <c r="R21" s="68"/>
      <c r="S21" s="220">
        <v>45978</v>
      </c>
      <c r="T21" s="39">
        <v>45979</v>
      </c>
      <c r="U21" s="41"/>
    </row>
    <row r="22" spans="1:21" s="3" customFormat="1" ht="19.5" customHeight="1" x14ac:dyDescent="0.2">
      <c r="A22" s="144" t="s">
        <v>26</v>
      </c>
      <c r="B22" s="214" t="s">
        <v>301</v>
      </c>
      <c r="C22" s="1">
        <v>0.05</v>
      </c>
      <c r="D22" s="144"/>
      <c r="E22" s="54"/>
      <c r="F22" s="107">
        <f t="shared" si="1"/>
        <v>9</v>
      </c>
      <c r="G22" s="4" t="s">
        <v>25</v>
      </c>
      <c r="H22" s="4" t="s">
        <v>25</v>
      </c>
      <c r="I22" s="143" t="s">
        <v>59</v>
      </c>
      <c r="J22" s="142">
        <v>22</v>
      </c>
      <c r="K22" s="221">
        <v>15</v>
      </c>
      <c r="L22" s="221">
        <f t="shared" si="0"/>
        <v>330</v>
      </c>
      <c r="M22" s="59"/>
      <c r="N22" s="51" t="s">
        <v>60</v>
      </c>
      <c r="O22" s="43"/>
      <c r="P22" s="236" t="s">
        <v>310</v>
      </c>
      <c r="Q22" s="11">
        <v>45965</v>
      </c>
      <c r="R22" s="68"/>
      <c r="S22" s="220">
        <v>45978</v>
      </c>
      <c r="T22" s="39">
        <v>45979</v>
      </c>
      <c r="U22" s="41"/>
    </row>
    <row r="23" spans="1:21" s="3" customFormat="1" ht="19.5" customHeight="1" x14ac:dyDescent="0.2">
      <c r="A23" s="144" t="s">
        <v>26</v>
      </c>
      <c r="B23" s="214" t="s">
        <v>301</v>
      </c>
      <c r="C23" s="1">
        <v>0.05</v>
      </c>
      <c r="D23" s="144"/>
      <c r="E23" s="54"/>
      <c r="F23" s="107">
        <f t="shared" si="1"/>
        <v>10</v>
      </c>
      <c r="G23" s="4" t="s">
        <v>25</v>
      </c>
      <c r="H23" s="4" t="s">
        <v>25</v>
      </c>
      <c r="I23" s="143" t="s">
        <v>61</v>
      </c>
      <c r="J23" s="142">
        <v>20</v>
      </c>
      <c r="K23" s="221">
        <v>93</v>
      </c>
      <c r="L23" s="221">
        <f t="shared" si="0"/>
        <v>1860</v>
      </c>
      <c r="M23" s="59"/>
      <c r="N23" s="51" t="s">
        <v>57</v>
      </c>
      <c r="O23" s="43"/>
      <c r="P23" s="236" t="s">
        <v>310</v>
      </c>
      <c r="Q23" s="11">
        <v>45965</v>
      </c>
      <c r="R23" s="68"/>
      <c r="S23" s="220">
        <v>45978</v>
      </c>
      <c r="T23" s="39">
        <v>45979</v>
      </c>
      <c r="U23" s="41"/>
    </row>
    <row r="24" spans="1:21" s="3" customFormat="1" ht="19.5" customHeight="1" x14ac:dyDescent="0.2">
      <c r="A24" s="144" t="s">
        <v>26</v>
      </c>
      <c r="B24" s="214" t="s">
        <v>301</v>
      </c>
      <c r="C24" s="1">
        <v>0.05</v>
      </c>
      <c r="D24" s="54"/>
      <c r="E24" s="54"/>
      <c r="F24" s="107">
        <f t="shared" si="1"/>
        <v>11</v>
      </c>
      <c r="G24" s="4" t="s">
        <v>25</v>
      </c>
      <c r="H24" s="4" t="s">
        <v>25</v>
      </c>
      <c r="I24" s="143" t="s">
        <v>62</v>
      </c>
      <c r="J24" s="142">
        <v>8</v>
      </c>
      <c r="K24" s="221">
        <v>78</v>
      </c>
      <c r="L24" s="221">
        <f t="shared" si="0"/>
        <v>624</v>
      </c>
      <c r="M24" s="59"/>
      <c r="N24" s="51" t="s">
        <v>65</v>
      </c>
      <c r="O24" s="43"/>
      <c r="P24" s="236" t="s">
        <v>310</v>
      </c>
      <c r="Q24" s="11">
        <v>45965</v>
      </c>
      <c r="R24" s="68"/>
      <c r="S24" s="220">
        <v>45978</v>
      </c>
      <c r="T24" s="39">
        <v>45979</v>
      </c>
      <c r="U24" s="41"/>
    </row>
    <row r="25" spans="1:21" s="3" customFormat="1" ht="19.5" customHeight="1" x14ac:dyDescent="0.2">
      <c r="E25" s="49"/>
      <c r="F25" s="72"/>
      <c r="G25" s="42"/>
      <c r="H25" s="42"/>
      <c r="I25" s="120"/>
      <c r="J25" s="121"/>
      <c r="K25" s="118"/>
      <c r="L25" s="119"/>
      <c r="M25" s="43"/>
      <c r="N25" s="46"/>
      <c r="O25" s="43"/>
      <c r="P25" s="43"/>
      <c r="Q25" s="11"/>
      <c r="R25" s="68"/>
      <c r="S25" s="38"/>
      <c r="T25" s="39"/>
      <c r="U25" s="41"/>
    </row>
    <row r="26" spans="1:21" s="3" customFormat="1" ht="19.5" customHeight="1" x14ac:dyDescent="0.2">
      <c r="E26" s="49"/>
      <c r="F26" s="72"/>
      <c r="G26" s="42"/>
      <c r="H26" s="42"/>
      <c r="I26" s="271">
        <f>SUM(L14:L25)</f>
        <v>71430</v>
      </c>
      <c r="J26" s="272"/>
      <c r="K26" s="272"/>
      <c r="L26" s="273"/>
      <c r="M26" s="43"/>
      <c r="N26" s="46"/>
      <c r="O26" s="43"/>
      <c r="P26" s="43"/>
      <c r="Q26" s="11"/>
      <c r="R26" s="68"/>
      <c r="S26" s="38"/>
      <c r="T26" s="39"/>
      <c r="U26" s="41"/>
    </row>
    <row r="27" spans="1:21" s="3" customFormat="1" ht="19.5" customHeight="1" x14ac:dyDescent="0.2">
      <c r="E27" s="49"/>
      <c r="F27" s="72"/>
      <c r="G27" s="42"/>
      <c r="H27" s="42"/>
      <c r="I27" s="45"/>
      <c r="J27" s="43"/>
      <c r="K27" s="70"/>
      <c r="L27" s="42"/>
      <c r="M27" s="43"/>
      <c r="N27" s="46"/>
      <c r="O27" s="43"/>
      <c r="P27" s="43"/>
      <c r="Q27" s="11"/>
      <c r="R27" s="68"/>
      <c r="S27" s="38"/>
      <c r="T27" s="39"/>
      <c r="U27" s="41"/>
    </row>
    <row r="28" spans="1:21" s="3" customFormat="1" ht="19.5" customHeight="1" x14ac:dyDescent="0.2">
      <c r="E28" s="49"/>
      <c r="F28" s="72"/>
      <c r="G28" s="42"/>
      <c r="H28" s="42"/>
      <c r="I28" s="45"/>
      <c r="J28" s="43"/>
      <c r="K28" s="70"/>
      <c r="L28" s="42"/>
      <c r="M28" s="43"/>
      <c r="N28" s="46"/>
      <c r="O28" s="43"/>
      <c r="P28" s="43"/>
      <c r="Q28" s="11"/>
      <c r="R28" s="68"/>
      <c r="S28" s="38"/>
      <c r="T28" s="39"/>
      <c r="U28" s="41"/>
    </row>
    <row r="29" spans="1:21" s="3" customFormat="1" ht="19.5" customHeight="1" x14ac:dyDescent="0.2">
      <c r="A29"/>
      <c r="B29"/>
      <c r="C29"/>
      <c r="D29"/>
      <c r="E29" s="150"/>
      <c r="F29" s="268" t="s">
        <v>39</v>
      </c>
      <c r="G29" s="269"/>
      <c r="H29" s="269"/>
      <c r="I29" s="270"/>
      <c r="J29" s="91"/>
      <c r="K29" s="91"/>
      <c r="L29" s="92"/>
      <c r="M29" s="93"/>
      <c r="N29" s="94"/>
      <c r="O29" s="52"/>
      <c r="P29" s="43"/>
      <c r="Q29" s="11"/>
      <c r="R29" s="68"/>
      <c r="S29" s="38"/>
      <c r="T29" s="39"/>
      <c r="U29" s="41"/>
    </row>
    <row r="30" spans="1:21" s="3" customFormat="1" ht="19.5" customHeight="1" x14ac:dyDescent="0.2">
      <c r="A30" s="163" t="s">
        <v>26</v>
      </c>
      <c r="B30" s="215" t="s">
        <v>303</v>
      </c>
      <c r="C30" s="99">
        <v>1.2999999999999999E-2</v>
      </c>
      <c r="D30" s="147"/>
      <c r="E30" s="54"/>
      <c r="F30" s="161">
        <f>+F24+1</f>
        <v>12</v>
      </c>
      <c r="G30" s="4" t="s">
        <v>25</v>
      </c>
      <c r="H30" s="4" t="s">
        <v>25</v>
      </c>
      <c r="I30" s="151" t="s">
        <v>180</v>
      </c>
      <c r="J30" s="153">
        <v>2</v>
      </c>
      <c r="K30" s="204">
        <v>187</v>
      </c>
      <c r="L30" s="222">
        <f t="shared" ref="L30:L48" si="2">J30*K30</f>
        <v>374</v>
      </c>
      <c r="M30" s="205"/>
      <c r="N30" s="162" t="s">
        <v>269</v>
      </c>
      <c r="O30" s="71"/>
      <c r="P30" s="236" t="s">
        <v>310</v>
      </c>
      <c r="Q30" s="11">
        <v>45965</v>
      </c>
      <c r="R30" s="68"/>
      <c r="S30" s="220">
        <v>45978</v>
      </c>
      <c r="T30" s="39">
        <v>45979</v>
      </c>
      <c r="U30" s="41"/>
    </row>
    <row r="31" spans="1:21" s="3" customFormat="1" ht="19.5" customHeight="1" x14ac:dyDescent="0.2">
      <c r="A31" s="163" t="s">
        <v>40</v>
      </c>
      <c r="B31" s="215" t="s">
        <v>303</v>
      </c>
      <c r="C31" s="99">
        <v>0.5</v>
      </c>
      <c r="D31" s="147"/>
      <c r="E31" s="54"/>
      <c r="F31" s="161">
        <f t="shared" ref="F31:F48" si="3">+F30+1</f>
        <v>13</v>
      </c>
      <c r="G31" s="4" t="s">
        <v>32</v>
      </c>
      <c r="H31" s="4" t="s">
        <v>25</v>
      </c>
      <c r="I31" s="151" t="s">
        <v>277</v>
      </c>
      <c r="J31" s="153">
        <v>1</v>
      </c>
      <c r="K31" s="204">
        <v>15921</v>
      </c>
      <c r="L31" s="222">
        <f t="shared" si="2"/>
        <v>15921</v>
      </c>
      <c r="M31" s="205"/>
      <c r="N31" s="162" t="s">
        <v>297</v>
      </c>
      <c r="O31" s="71"/>
      <c r="P31" s="236" t="s">
        <v>310</v>
      </c>
      <c r="Q31" s="11">
        <v>45965</v>
      </c>
      <c r="R31" s="68"/>
      <c r="S31" s="220">
        <v>45978</v>
      </c>
      <c r="T31" s="39">
        <v>45979</v>
      </c>
      <c r="U31" s="41"/>
    </row>
    <row r="32" spans="1:21" s="3" customFormat="1" ht="19.5" customHeight="1" x14ac:dyDescent="0.2">
      <c r="A32" s="163" t="s">
        <v>26</v>
      </c>
      <c r="B32" s="215" t="s">
        <v>303</v>
      </c>
      <c r="C32" s="99"/>
      <c r="D32" s="147"/>
      <c r="E32" s="54"/>
      <c r="F32" s="161">
        <f t="shared" si="3"/>
        <v>14</v>
      </c>
      <c r="G32" s="4" t="s">
        <v>126</v>
      </c>
      <c r="H32" s="4" t="s">
        <v>25</v>
      </c>
      <c r="I32" s="151" t="s">
        <v>127</v>
      </c>
      <c r="J32" s="153">
        <v>1</v>
      </c>
      <c r="K32" s="204">
        <v>18441</v>
      </c>
      <c r="L32" s="222">
        <f t="shared" si="2"/>
        <v>18441</v>
      </c>
      <c r="M32" s="205"/>
      <c r="N32" s="162" t="s">
        <v>128</v>
      </c>
      <c r="O32" s="71"/>
      <c r="P32" s="236" t="s">
        <v>310</v>
      </c>
      <c r="Q32" s="11">
        <v>45965</v>
      </c>
      <c r="R32" s="68"/>
      <c r="S32" s="220">
        <v>45978</v>
      </c>
      <c r="T32" s="39">
        <v>45979</v>
      </c>
      <c r="U32" s="41"/>
    </row>
    <row r="33" spans="1:21" s="3" customFormat="1" ht="19.5" customHeight="1" x14ac:dyDescent="0.2">
      <c r="A33" s="163" t="s">
        <v>42</v>
      </c>
      <c r="B33" s="215" t="s">
        <v>303</v>
      </c>
      <c r="C33" s="99">
        <v>0.05</v>
      </c>
      <c r="D33" s="147"/>
      <c r="E33" s="54"/>
      <c r="F33" s="161">
        <f t="shared" si="3"/>
        <v>15</v>
      </c>
      <c r="G33" s="4" t="s">
        <v>25</v>
      </c>
      <c r="H33" s="4" t="s">
        <v>25</v>
      </c>
      <c r="I33" s="151" t="s">
        <v>129</v>
      </c>
      <c r="J33" s="153">
        <v>2</v>
      </c>
      <c r="K33" s="204">
        <v>792</v>
      </c>
      <c r="L33" s="222">
        <f t="shared" si="2"/>
        <v>1584</v>
      </c>
      <c r="M33" s="205"/>
      <c r="N33" s="162" t="s">
        <v>130</v>
      </c>
      <c r="O33" s="71"/>
      <c r="P33" s="236" t="s">
        <v>310</v>
      </c>
      <c r="Q33" s="11">
        <v>45965</v>
      </c>
      <c r="R33" s="68"/>
      <c r="S33" s="220">
        <v>45978</v>
      </c>
      <c r="T33" s="39">
        <v>45979</v>
      </c>
      <c r="U33" s="41"/>
    </row>
    <row r="34" spans="1:21" s="3" customFormat="1" ht="19.5" customHeight="1" x14ac:dyDescent="0.2">
      <c r="A34" s="163" t="s">
        <v>26</v>
      </c>
      <c r="B34" s="215" t="s">
        <v>303</v>
      </c>
      <c r="C34" s="99">
        <v>1.4999999999999999E-2</v>
      </c>
      <c r="D34" s="147"/>
      <c r="E34" s="54"/>
      <c r="F34" s="161">
        <f t="shared" si="3"/>
        <v>16</v>
      </c>
      <c r="G34" s="4" t="s">
        <v>25</v>
      </c>
      <c r="H34" s="4" t="s">
        <v>25</v>
      </c>
      <c r="I34" s="151" t="s">
        <v>131</v>
      </c>
      <c r="J34" s="153">
        <v>2</v>
      </c>
      <c r="K34" s="204">
        <v>82</v>
      </c>
      <c r="L34" s="222">
        <f t="shared" si="2"/>
        <v>164</v>
      </c>
      <c r="M34" s="205"/>
      <c r="N34" s="162" t="s">
        <v>132</v>
      </c>
      <c r="O34" s="71"/>
      <c r="P34" s="236" t="s">
        <v>310</v>
      </c>
      <c r="Q34" s="11">
        <v>45965</v>
      </c>
      <c r="R34" s="68"/>
      <c r="S34" s="220">
        <v>45978</v>
      </c>
      <c r="T34" s="39">
        <v>45979</v>
      </c>
      <c r="U34" s="41"/>
    </row>
    <row r="35" spans="1:21" s="3" customFormat="1" ht="19.5" customHeight="1" x14ac:dyDescent="0.2">
      <c r="A35" s="163" t="s">
        <v>26</v>
      </c>
      <c r="B35" s="215" t="s">
        <v>303</v>
      </c>
      <c r="C35" s="99">
        <v>0.01</v>
      </c>
      <c r="D35" s="147"/>
      <c r="E35" s="54"/>
      <c r="F35" s="161">
        <f t="shared" si="3"/>
        <v>17</v>
      </c>
      <c r="G35" s="4" t="s">
        <v>25</v>
      </c>
      <c r="H35" s="4" t="s">
        <v>25</v>
      </c>
      <c r="I35" s="145" t="s">
        <v>36</v>
      </c>
      <c r="J35" s="184">
        <v>4</v>
      </c>
      <c r="K35" s="206">
        <v>77</v>
      </c>
      <c r="L35" s="207">
        <f t="shared" si="2"/>
        <v>308</v>
      </c>
      <c r="M35" s="208"/>
      <c r="N35" s="209" t="s">
        <v>133</v>
      </c>
      <c r="O35" s="71"/>
      <c r="P35" s="236" t="s">
        <v>310</v>
      </c>
      <c r="Q35" s="11">
        <v>45965</v>
      </c>
      <c r="R35" s="68"/>
      <c r="S35" s="220">
        <v>45978</v>
      </c>
      <c r="T35" s="39">
        <v>45979</v>
      </c>
      <c r="U35" s="41"/>
    </row>
    <row r="36" spans="1:21" s="3" customFormat="1" ht="19.5" customHeight="1" x14ac:dyDescent="0.2">
      <c r="A36" s="163" t="s">
        <v>26</v>
      </c>
      <c r="B36" s="215" t="s">
        <v>303</v>
      </c>
      <c r="C36" s="99">
        <v>0.01</v>
      </c>
      <c r="D36" s="147"/>
      <c r="E36" s="54"/>
      <c r="F36" s="161">
        <f t="shared" si="3"/>
        <v>18</v>
      </c>
      <c r="G36" s="4" t="s">
        <v>25</v>
      </c>
      <c r="H36" s="4" t="s">
        <v>25</v>
      </c>
      <c r="I36" s="151" t="s">
        <v>134</v>
      </c>
      <c r="J36" s="153">
        <v>4</v>
      </c>
      <c r="K36" s="204">
        <v>77</v>
      </c>
      <c r="L36" s="222">
        <f t="shared" si="2"/>
        <v>308</v>
      </c>
      <c r="M36" s="205"/>
      <c r="N36" s="162" t="s">
        <v>135</v>
      </c>
      <c r="O36" s="71"/>
      <c r="P36" s="236" t="s">
        <v>310</v>
      </c>
      <c r="Q36" s="11">
        <v>45965</v>
      </c>
      <c r="R36" s="68"/>
      <c r="S36" s="220">
        <v>45978</v>
      </c>
      <c r="T36" s="39">
        <v>45979</v>
      </c>
      <c r="U36" s="41"/>
    </row>
    <row r="37" spans="1:21" s="3" customFormat="1" ht="19.5" customHeight="1" x14ac:dyDescent="0.2">
      <c r="A37" s="163" t="s">
        <v>26</v>
      </c>
      <c r="B37" s="215" t="s">
        <v>303</v>
      </c>
      <c r="C37" s="99">
        <v>0.01</v>
      </c>
      <c r="D37" s="147"/>
      <c r="E37" s="54"/>
      <c r="F37" s="161">
        <f t="shared" si="3"/>
        <v>19</v>
      </c>
      <c r="G37" s="4" t="s">
        <v>25</v>
      </c>
      <c r="H37" s="4" t="s">
        <v>25</v>
      </c>
      <c r="I37" s="151" t="s">
        <v>136</v>
      </c>
      <c r="J37" s="153">
        <v>4</v>
      </c>
      <c r="K37" s="204">
        <v>105</v>
      </c>
      <c r="L37" s="222">
        <f t="shared" si="2"/>
        <v>420</v>
      </c>
      <c r="M37" s="205"/>
      <c r="N37" s="162" t="s">
        <v>137</v>
      </c>
      <c r="O37" s="71"/>
      <c r="P37" s="236" t="s">
        <v>310</v>
      </c>
      <c r="Q37" s="11">
        <v>45965</v>
      </c>
      <c r="R37" s="68"/>
      <c r="S37" s="220">
        <v>45978</v>
      </c>
      <c r="T37" s="39">
        <v>45979</v>
      </c>
      <c r="U37" s="41"/>
    </row>
    <row r="38" spans="1:21" s="3" customFormat="1" ht="19.5" customHeight="1" x14ac:dyDescent="0.2">
      <c r="A38" s="163" t="s">
        <v>30</v>
      </c>
      <c r="B38" s="215" t="s">
        <v>303</v>
      </c>
      <c r="C38" s="99">
        <v>0.27500000000000002</v>
      </c>
      <c r="D38" s="147"/>
      <c r="E38" s="54"/>
      <c r="F38" s="161">
        <f t="shared" si="3"/>
        <v>20</v>
      </c>
      <c r="G38" s="4" t="s">
        <v>32</v>
      </c>
      <c r="H38" s="4" t="s">
        <v>25</v>
      </c>
      <c r="I38" s="151" t="s">
        <v>138</v>
      </c>
      <c r="J38" s="153">
        <v>1</v>
      </c>
      <c r="K38" s="204">
        <v>3803</v>
      </c>
      <c r="L38" s="222">
        <f t="shared" si="2"/>
        <v>3803</v>
      </c>
      <c r="M38" s="205"/>
      <c r="N38" s="162" t="s">
        <v>139</v>
      </c>
      <c r="O38" s="71"/>
      <c r="P38" s="236" t="s">
        <v>310</v>
      </c>
      <c r="Q38" s="11">
        <v>45965</v>
      </c>
      <c r="R38" s="68"/>
      <c r="S38" s="220">
        <v>45978</v>
      </c>
      <c r="T38" s="39">
        <v>45979</v>
      </c>
      <c r="U38" s="41"/>
    </row>
    <row r="39" spans="1:21" s="3" customFormat="1" ht="19.5" customHeight="1" x14ac:dyDescent="0.2">
      <c r="A39" s="163" t="s">
        <v>26</v>
      </c>
      <c r="B39" s="215" t="s">
        <v>303</v>
      </c>
      <c r="C39" s="99">
        <v>5.0000000000000001E-3</v>
      </c>
      <c r="D39" s="147"/>
      <c r="E39" s="54"/>
      <c r="F39" s="161">
        <f t="shared" si="3"/>
        <v>21</v>
      </c>
      <c r="G39" s="4" t="s">
        <v>25</v>
      </c>
      <c r="H39" s="4" t="s">
        <v>25</v>
      </c>
      <c r="I39" s="194" t="s">
        <v>34</v>
      </c>
      <c r="J39" s="153">
        <v>11</v>
      </c>
      <c r="K39" s="204">
        <v>41</v>
      </c>
      <c r="L39" s="222">
        <f t="shared" si="2"/>
        <v>451</v>
      </c>
      <c r="M39" s="205"/>
      <c r="N39" s="162" t="s">
        <v>140</v>
      </c>
      <c r="O39" s="71"/>
      <c r="P39" s="236" t="s">
        <v>310</v>
      </c>
      <c r="Q39" s="11">
        <v>45965</v>
      </c>
      <c r="R39" s="68"/>
      <c r="S39" s="220">
        <v>45978</v>
      </c>
      <c r="T39" s="39">
        <v>45979</v>
      </c>
      <c r="U39" s="41"/>
    </row>
    <row r="40" spans="1:21" s="3" customFormat="1" ht="19.5" customHeight="1" x14ac:dyDescent="0.2">
      <c r="A40" s="163" t="s">
        <v>26</v>
      </c>
      <c r="B40" s="215" t="s">
        <v>303</v>
      </c>
      <c r="C40" s="99">
        <v>0.01</v>
      </c>
      <c r="D40" s="147"/>
      <c r="E40" s="54"/>
      <c r="F40" s="161">
        <f t="shared" si="3"/>
        <v>22</v>
      </c>
      <c r="G40" s="4" t="s">
        <v>25</v>
      </c>
      <c r="H40" s="4" t="s">
        <v>25</v>
      </c>
      <c r="I40" s="151" t="s">
        <v>141</v>
      </c>
      <c r="J40" s="153">
        <v>4</v>
      </c>
      <c r="K40" s="204">
        <v>112</v>
      </c>
      <c r="L40" s="222">
        <f t="shared" si="2"/>
        <v>448</v>
      </c>
      <c r="M40" s="205"/>
      <c r="N40" s="162" t="s">
        <v>142</v>
      </c>
      <c r="O40" s="71"/>
      <c r="P40" s="236" t="s">
        <v>310</v>
      </c>
      <c r="Q40" s="11">
        <v>45965</v>
      </c>
      <c r="R40" s="68"/>
      <c r="S40" s="220">
        <v>45978</v>
      </c>
      <c r="T40" s="39">
        <v>45979</v>
      </c>
      <c r="U40" s="41"/>
    </row>
    <row r="41" spans="1:21" s="3" customFormat="1" ht="19.5" customHeight="1" x14ac:dyDescent="0.2">
      <c r="A41" s="163" t="s">
        <v>30</v>
      </c>
      <c r="B41" s="215" t="s">
        <v>303</v>
      </c>
      <c r="C41" s="99">
        <v>5.2999999999999999E-2</v>
      </c>
      <c r="D41" s="147"/>
      <c r="E41" s="54"/>
      <c r="F41" s="161">
        <f t="shared" si="3"/>
        <v>23</v>
      </c>
      <c r="G41" s="4" t="s">
        <v>32</v>
      </c>
      <c r="H41" s="4" t="s">
        <v>25</v>
      </c>
      <c r="I41" s="194" t="s">
        <v>279</v>
      </c>
      <c r="J41" s="153">
        <v>1</v>
      </c>
      <c r="K41" s="204">
        <v>2679</v>
      </c>
      <c r="L41" s="222">
        <f t="shared" si="2"/>
        <v>2679</v>
      </c>
      <c r="M41" s="205"/>
      <c r="N41" s="162" t="s">
        <v>278</v>
      </c>
      <c r="O41" s="71"/>
      <c r="P41" s="236" t="s">
        <v>310</v>
      </c>
      <c r="Q41" s="11">
        <v>45965</v>
      </c>
      <c r="R41" s="68"/>
      <c r="S41" s="220">
        <v>45978</v>
      </c>
      <c r="T41" s="39">
        <v>45979</v>
      </c>
      <c r="U41" s="41"/>
    </row>
    <row r="42" spans="1:21" s="3" customFormat="1" ht="19.5" customHeight="1" x14ac:dyDescent="0.2">
      <c r="A42" s="163" t="s">
        <v>26</v>
      </c>
      <c r="B42" s="215" t="s">
        <v>303</v>
      </c>
      <c r="C42" s="99">
        <v>5.0000000000000001E-3</v>
      </c>
      <c r="D42" s="147"/>
      <c r="E42" s="54"/>
      <c r="F42" s="161">
        <f t="shared" si="3"/>
        <v>24</v>
      </c>
      <c r="G42" s="4" t="s">
        <v>25</v>
      </c>
      <c r="H42" s="4" t="s">
        <v>25</v>
      </c>
      <c r="I42" s="194" t="s">
        <v>143</v>
      </c>
      <c r="J42" s="153">
        <v>3</v>
      </c>
      <c r="K42" s="204">
        <v>187</v>
      </c>
      <c r="L42" s="222">
        <f t="shared" si="2"/>
        <v>561</v>
      </c>
      <c r="M42" s="205"/>
      <c r="N42" s="162" t="s">
        <v>144</v>
      </c>
      <c r="O42" s="71"/>
      <c r="P42" s="236" t="s">
        <v>310</v>
      </c>
      <c r="Q42" s="11">
        <v>45965</v>
      </c>
      <c r="R42" s="68"/>
      <c r="S42" s="220">
        <v>45978</v>
      </c>
      <c r="T42" s="39">
        <v>45979</v>
      </c>
      <c r="U42" s="41"/>
    </row>
    <row r="43" spans="1:21" s="3" customFormat="1" ht="19.5" customHeight="1" x14ac:dyDescent="0.2">
      <c r="A43" s="163" t="s">
        <v>26</v>
      </c>
      <c r="B43" s="215" t="s">
        <v>303</v>
      </c>
      <c r="C43" s="99">
        <v>0.01</v>
      </c>
      <c r="D43" s="147"/>
      <c r="E43" s="54"/>
      <c r="F43" s="161">
        <f t="shared" si="3"/>
        <v>25</v>
      </c>
      <c r="G43" s="4" t="s">
        <v>25</v>
      </c>
      <c r="H43" s="4" t="s">
        <v>25</v>
      </c>
      <c r="I43" s="151" t="s">
        <v>145</v>
      </c>
      <c r="J43" s="153">
        <v>4</v>
      </c>
      <c r="K43" s="204">
        <v>112</v>
      </c>
      <c r="L43" s="222">
        <f t="shared" si="2"/>
        <v>448</v>
      </c>
      <c r="M43" s="205"/>
      <c r="N43" s="162" t="s">
        <v>146</v>
      </c>
      <c r="O43" s="71"/>
      <c r="P43" s="236" t="s">
        <v>310</v>
      </c>
      <c r="Q43" s="11">
        <v>45965</v>
      </c>
      <c r="R43" s="68"/>
      <c r="S43" s="220">
        <v>45978</v>
      </c>
      <c r="T43" s="39">
        <v>45979</v>
      </c>
      <c r="U43" s="41"/>
    </row>
    <row r="44" spans="1:21" s="3" customFormat="1" ht="19.5" customHeight="1" x14ac:dyDescent="0.2">
      <c r="A44" s="163" t="s">
        <v>40</v>
      </c>
      <c r="B44" s="215" t="s">
        <v>303</v>
      </c>
      <c r="C44" s="99">
        <v>0.185</v>
      </c>
      <c r="D44" s="147"/>
      <c r="E44" s="54"/>
      <c r="F44" s="161">
        <f t="shared" si="3"/>
        <v>26</v>
      </c>
      <c r="G44" s="4" t="s">
        <v>32</v>
      </c>
      <c r="H44" s="4" t="s">
        <v>25</v>
      </c>
      <c r="I44" s="194" t="s">
        <v>147</v>
      </c>
      <c r="J44" s="153">
        <v>1</v>
      </c>
      <c r="K44" s="204">
        <v>17018</v>
      </c>
      <c r="L44" s="222">
        <f t="shared" si="2"/>
        <v>17018</v>
      </c>
      <c r="M44" s="205"/>
      <c r="N44" s="162" t="s">
        <v>148</v>
      </c>
      <c r="O44" s="71"/>
      <c r="P44" s="236" t="s">
        <v>310</v>
      </c>
      <c r="Q44" s="11">
        <v>45965</v>
      </c>
      <c r="R44" s="68"/>
      <c r="S44" s="220">
        <v>45978</v>
      </c>
      <c r="T44" s="39">
        <v>45979</v>
      </c>
      <c r="U44" s="41"/>
    </row>
    <row r="45" spans="1:21" s="3" customFormat="1" ht="19.5" customHeight="1" x14ac:dyDescent="0.2">
      <c r="A45" s="163" t="s">
        <v>26</v>
      </c>
      <c r="B45" s="215" t="s">
        <v>303</v>
      </c>
      <c r="C45" s="99">
        <v>0.01</v>
      </c>
      <c r="D45" s="147"/>
      <c r="E45" s="54"/>
      <c r="F45" s="161">
        <f t="shared" si="3"/>
        <v>27</v>
      </c>
      <c r="G45" s="4" t="s">
        <v>25</v>
      </c>
      <c r="H45" s="4" t="s">
        <v>25</v>
      </c>
      <c r="I45" s="151" t="s">
        <v>36</v>
      </c>
      <c r="J45" s="153">
        <v>7</v>
      </c>
      <c r="K45" s="204">
        <v>47</v>
      </c>
      <c r="L45" s="222">
        <f t="shared" si="2"/>
        <v>329</v>
      </c>
      <c r="M45" s="205"/>
      <c r="N45" s="162" t="s">
        <v>270</v>
      </c>
      <c r="O45" s="71"/>
      <c r="P45" s="236" t="s">
        <v>310</v>
      </c>
      <c r="Q45" s="11">
        <v>45965</v>
      </c>
      <c r="R45" s="68"/>
      <c r="S45" s="220">
        <v>45978</v>
      </c>
      <c r="T45" s="39">
        <v>45979</v>
      </c>
      <c r="U45" s="41"/>
    </row>
    <row r="46" spans="1:21" s="3" customFormat="1" ht="19.5" customHeight="1" x14ac:dyDescent="0.2">
      <c r="A46" s="163" t="s">
        <v>26</v>
      </c>
      <c r="B46" s="215" t="s">
        <v>303</v>
      </c>
      <c r="C46" s="99">
        <v>0.01</v>
      </c>
      <c r="D46" s="147"/>
      <c r="E46" s="54"/>
      <c r="F46" s="161">
        <f>+F45+1</f>
        <v>28</v>
      </c>
      <c r="G46" s="4" t="s">
        <v>25</v>
      </c>
      <c r="H46" s="4" t="s">
        <v>25</v>
      </c>
      <c r="I46" s="151" t="s">
        <v>149</v>
      </c>
      <c r="J46" s="153">
        <v>4</v>
      </c>
      <c r="K46" s="204">
        <v>112</v>
      </c>
      <c r="L46" s="222">
        <f t="shared" si="2"/>
        <v>448</v>
      </c>
      <c r="M46" s="205"/>
      <c r="N46" s="162" t="s">
        <v>150</v>
      </c>
      <c r="O46" s="71"/>
      <c r="P46" s="236" t="s">
        <v>310</v>
      </c>
      <c r="Q46" s="11">
        <v>45965</v>
      </c>
      <c r="R46" s="68"/>
      <c r="S46" s="220">
        <v>45978</v>
      </c>
      <c r="T46" s="39">
        <v>45979</v>
      </c>
      <c r="U46" s="41"/>
    </row>
    <row r="47" spans="1:21" s="3" customFormat="1" ht="19.5" customHeight="1" x14ac:dyDescent="0.2">
      <c r="A47" s="1" t="s">
        <v>33</v>
      </c>
      <c r="B47" s="215" t="s">
        <v>303</v>
      </c>
      <c r="C47" s="99">
        <v>1.4999999999999999E-2</v>
      </c>
      <c r="D47" s="147"/>
      <c r="E47" s="54"/>
      <c r="F47" s="161">
        <f t="shared" si="3"/>
        <v>29</v>
      </c>
      <c r="G47" s="4" t="s">
        <v>32</v>
      </c>
      <c r="H47" s="4" t="s">
        <v>25</v>
      </c>
      <c r="I47" s="194" t="s">
        <v>151</v>
      </c>
      <c r="J47" s="153">
        <v>1</v>
      </c>
      <c r="K47" s="204">
        <v>4267</v>
      </c>
      <c r="L47" s="222">
        <f t="shared" si="2"/>
        <v>4267</v>
      </c>
      <c r="M47" s="205"/>
      <c r="N47" s="162" t="s">
        <v>152</v>
      </c>
      <c r="O47" s="71"/>
      <c r="P47" s="236" t="s">
        <v>310</v>
      </c>
      <c r="Q47" s="11">
        <v>45965</v>
      </c>
      <c r="R47" s="68"/>
      <c r="S47" s="220">
        <v>45978</v>
      </c>
      <c r="T47" s="39">
        <v>45979</v>
      </c>
      <c r="U47" s="41"/>
    </row>
    <row r="48" spans="1:21" s="3" customFormat="1" ht="19.5" customHeight="1" x14ac:dyDescent="0.2">
      <c r="A48" s="1" t="s">
        <v>26</v>
      </c>
      <c r="B48" s="215" t="s">
        <v>303</v>
      </c>
      <c r="C48" s="99">
        <v>3</v>
      </c>
      <c r="D48" s="147"/>
      <c r="E48" s="54"/>
      <c r="F48" s="161">
        <f t="shared" si="3"/>
        <v>30</v>
      </c>
      <c r="G48" s="4" t="s">
        <v>25</v>
      </c>
      <c r="H48" s="4" t="s">
        <v>25</v>
      </c>
      <c r="I48" s="151" t="s">
        <v>153</v>
      </c>
      <c r="J48" s="153">
        <v>2</v>
      </c>
      <c r="K48" s="204">
        <v>120</v>
      </c>
      <c r="L48" s="222">
        <f t="shared" si="2"/>
        <v>240</v>
      </c>
      <c r="M48" s="205"/>
      <c r="N48" s="162" t="s">
        <v>154</v>
      </c>
      <c r="O48" s="71"/>
      <c r="P48" s="236" t="s">
        <v>310</v>
      </c>
      <c r="Q48" s="11">
        <v>45965</v>
      </c>
      <c r="R48" s="68"/>
      <c r="S48" s="220">
        <v>45978</v>
      </c>
      <c r="T48" s="39">
        <v>45979</v>
      </c>
      <c r="U48" s="41"/>
    </row>
    <row r="49" spans="1:21" s="3" customFormat="1" ht="19.5" customHeight="1" x14ac:dyDescent="0.2">
      <c r="A49" s="99"/>
      <c r="B49" s="99"/>
      <c r="C49" s="99"/>
      <c r="D49" s="99"/>
      <c r="E49" s="49"/>
      <c r="F49" s="173"/>
      <c r="G49" s="95"/>
      <c r="H49" s="95"/>
      <c r="I49" s="61"/>
      <c r="J49" s="62"/>
      <c r="K49" s="62"/>
      <c r="L49" s="56"/>
      <c r="M49" s="56"/>
      <c r="N49" s="61"/>
      <c r="O49" s="174"/>
      <c r="P49" s="43"/>
      <c r="Q49" s="11"/>
      <c r="R49" s="68"/>
      <c r="S49" s="38"/>
      <c r="T49" s="39"/>
      <c r="U49" s="41"/>
    </row>
    <row r="50" spans="1:21" s="3" customFormat="1" ht="19.5" customHeight="1" x14ac:dyDescent="0.2">
      <c r="A50"/>
      <c r="B50"/>
      <c r="C50"/>
      <c r="D50"/>
      <c r="E50" s="24"/>
      <c r="F50" s="100"/>
      <c r="G50" s="40"/>
      <c r="H50" s="97"/>
      <c r="I50" s="274">
        <f>SUM(L30:L49)</f>
        <v>68212</v>
      </c>
      <c r="J50" s="275"/>
      <c r="K50" s="275"/>
      <c r="L50" s="276"/>
      <c r="M50" s="98"/>
      <c r="N50" s="96"/>
      <c r="O50" s="52"/>
      <c r="P50" s="43"/>
      <c r="Q50" s="11"/>
      <c r="R50" s="68"/>
      <c r="S50" s="38"/>
      <c r="T50" s="39"/>
      <c r="U50" s="41"/>
    </row>
    <row r="51" spans="1:21" s="3" customFormat="1" ht="19.5" customHeight="1" x14ac:dyDescent="0.2">
      <c r="E51" s="49"/>
      <c r="F51" s="72"/>
      <c r="G51" s="42"/>
      <c r="H51" s="42"/>
      <c r="I51" s="45"/>
      <c r="J51" s="43"/>
      <c r="K51" s="70"/>
      <c r="L51" s="42"/>
      <c r="M51" s="43"/>
      <c r="N51" s="46"/>
      <c r="O51" s="43"/>
      <c r="P51" s="43"/>
      <c r="Q51" s="11"/>
      <c r="R51" s="68"/>
      <c r="S51" s="38"/>
      <c r="T51" s="39"/>
      <c r="U51" s="41"/>
    </row>
    <row r="52" spans="1:21" s="3" customFormat="1" ht="19.5" customHeight="1" x14ac:dyDescent="0.2">
      <c r="E52" s="49"/>
      <c r="F52" s="72"/>
      <c r="G52" s="42"/>
      <c r="H52" s="42"/>
      <c r="I52" s="45"/>
      <c r="J52" s="43"/>
      <c r="K52" s="70"/>
      <c r="L52" s="42"/>
      <c r="M52" s="43"/>
      <c r="N52" s="46"/>
      <c r="O52" s="43"/>
      <c r="P52" s="43"/>
      <c r="Q52" s="11"/>
      <c r="R52" s="68"/>
      <c r="S52" s="38"/>
      <c r="T52" s="39"/>
      <c r="U52" s="41"/>
    </row>
    <row r="53" spans="1:21" ht="18" customHeight="1" x14ac:dyDescent="0.2">
      <c r="E53" s="150"/>
      <c r="F53" s="144"/>
      <c r="G53" s="283" t="s">
        <v>155</v>
      </c>
      <c r="H53" s="284"/>
      <c r="I53" s="285"/>
      <c r="J53" s="74"/>
      <c r="K53" s="75"/>
      <c r="L53" s="29"/>
      <c r="M53" s="1"/>
      <c r="N53" s="76"/>
      <c r="O53" s="47"/>
      <c r="P53" s="53"/>
      <c r="Q53" s="39"/>
      <c r="R53" s="41"/>
      <c r="S53" s="41"/>
      <c r="T53" s="39"/>
      <c r="U53" s="44"/>
    </row>
    <row r="54" spans="1:21" ht="18" customHeight="1" x14ac:dyDescent="0.2">
      <c r="A54" s="144" t="s">
        <v>173</v>
      </c>
      <c r="B54" s="212" t="s">
        <v>304</v>
      </c>
      <c r="C54" s="1">
        <v>0.26</v>
      </c>
      <c r="D54" s="144"/>
      <c r="E54" s="115">
        <v>15</v>
      </c>
      <c r="F54" s="195">
        <f>+F48+1</f>
        <v>31</v>
      </c>
      <c r="G54" s="164" t="s">
        <v>32</v>
      </c>
      <c r="H54" s="164" t="s">
        <v>35</v>
      </c>
      <c r="I54" s="184" t="s">
        <v>156</v>
      </c>
      <c r="J54" s="197">
        <v>1</v>
      </c>
      <c r="K54" s="223">
        <v>2650</v>
      </c>
      <c r="L54" s="206">
        <f t="shared" ref="L54:L64" si="4">J54*K54</f>
        <v>2650</v>
      </c>
      <c r="M54" s="56"/>
      <c r="N54" s="61" t="s">
        <v>157</v>
      </c>
      <c r="O54" s="23" t="s">
        <v>158</v>
      </c>
      <c r="P54" s="236" t="s">
        <v>310</v>
      </c>
      <c r="Q54" s="11">
        <v>45965</v>
      </c>
      <c r="R54" s="68"/>
      <c r="S54" s="220">
        <v>45978</v>
      </c>
      <c r="T54" s="39">
        <v>45979</v>
      </c>
      <c r="U54" s="44"/>
    </row>
    <row r="55" spans="1:21" ht="18" customHeight="1" x14ac:dyDescent="0.2">
      <c r="A55" s="144" t="s">
        <v>173</v>
      </c>
      <c r="B55" s="212" t="s">
        <v>304</v>
      </c>
      <c r="C55" s="1">
        <v>0.42</v>
      </c>
      <c r="D55" s="144"/>
      <c r="E55" s="115"/>
      <c r="F55" s="77">
        <f>+F54+1</f>
        <v>32</v>
      </c>
      <c r="G55" s="164" t="s">
        <v>32</v>
      </c>
      <c r="H55" s="164" t="s">
        <v>35</v>
      </c>
      <c r="I55" s="184" t="s">
        <v>274</v>
      </c>
      <c r="J55" s="197">
        <v>1</v>
      </c>
      <c r="K55" s="223">
        <v>3070</v>
      </c>
      <c r="L55" s="206">
        <f t="shared" si="4"/>
        <v>3070</v>
      </c>
      <c r="M55" s="56"/>
      <c r="N55" s="61" t="s">
        <v>273</v>
      </c>
      <c r="O55" s="23" t="s">
        <v>158</v>
      </c>
      <c r="P55" s="236" t="s">
        <v>310</v>
      </c>
      <c r="Q55" s="11">
        <v>45965</v>
      </c>
      <c r="R55" s="68"/>
      <c r="S55" s="220">
        <v>45978</v>
      </c>
      <c r="T55" s="39">
        <v>45979</v>
      </c>
      <c r="U55" s="44"/>
    </row>
    <row r="56" spans="1:21" ht="18" customHeight="1" x14ac:dyDescent="0.2">
      <c r="A56" s="163" t="s">
        <v>26</v>
      </c>
      <c r="B56" s="212" t="s">
        <v>304</v>
      </c>
      <c r="C56" s="99">
        <v>0.01</v>
      </c>
      <c r="D56" s="105"/>
      <c r="E56" s="54"/>
      <c r="F56" s="77">
        <f t="shared" ref="F56:F64" si="5">+F55+1</f>
        <v>33</v>
      </c>
      <c r="G56" s="4" t="s">
        <v>25</v>
      </c>
      <c r="H56" s="4" t="s">
        <v>25</v>
      </c>
      <c r="I56" s="151" t="s">
        <v>221</v>
      </c>
      <c r="J56" s="153">
        <v>2</v>
      </c>
      <c r="K56" s="204">
        <v>187</v>
      </c>
      <c r="L56" s="222">
        <f t="shared" si="4"/>
        <v>374</v>
      </c>
      <c r="M56" s="2"/>
      <c r="N56" s="162" t="s">
        <v>271</v>
      </c>
      <c r="O56" s="23" t="s">
        <v>158</v>
      </c>
      <c r="P56" s="236" t="s">
        <v>310</v>
      </c>
      <c r="Q56" s="11">
        <v>45965</v>
      </c>
      <c r="R56" s="68"/>
      <c r="S56" s="220">
        <v>45978</v>
      </c>
      <c r="T56" s="39">
        <v>45979</v>
      </c>
      <c r="U56" s="44"/>
    </row>
    <row r="57" spans="1:21" ht="18" customHeight="1" x14ac:dyDescent="0.2">
      <c r="A57" s="144" t="s">
        <v>174</v>
      </c>
      <c r="B57" s="212" t="s">
        <v>304</v>
      </c>
      <c r="C57" s="1">
        <v>0.01</v>
      </c>
      <c r="D57" s="48"/>
      <c r="E57" s="115"/>
      <c r="F57" s="77">
        <f t="shared" si="5"/>
        <v>34</v>
      </c>
      <c r="G57" s="95" t="s">
        <v>35</v>
      </c>
      <c r="H57" s="95" t="s">
        <v>35</v>
      </c>
      <c r="I57" s="184" t="s">
        <v>159</v>
      </c>
      <c r="J57" s="197">
        <v>1</v>
      </c>
      <c r="K57" s="223">
        <v>356</v>
      </c>
      <c r="L57" s="206">
        <f t="shared" si="4"/>
        <v>356</v>
      </c>
      <c r="M57" s="56"/>
      <c r="N57" s="76" t="s">
        <v>160</v>
      </c>
      <c r="O57" s="23" t="s">
        <v>158</v>
      </c>
      <c r="P57" s="236" t="s">
        <v>310</v>
      </c>
      <c r="Q57" s="11">
        <v>45965</v>
      </c>
      <c r="R57" s="68"/>
      <c r="S57" s="220">
        <v>45978</v>
      </c>
      <c r="T57" s="39">
        <v>45979</v>
      </c>
      <c r="U57" s="44"/>
    </row>
    <row r="58" spans="1:21" ht="18" customHeight="1" x14ac:dyDescent="0.2">
      <c r="A58" s="144" t="s">
        <v>174</v>
      </c>
      <c r="B58" s="212" t="s">
        <v>304</v>
      </c>
      <c r="C58" s="1">
        <v>0.01</v>
      </c>
      <c r="D58" s="48"/>
      <c r="E58" s="115"/>
      <c r="F58" s="77">
        <f t="shared" si="5"/>
        <v>35</v>
      </c>
      <c r="G58" s="95" t="s">
        <v>35</v>
      </c>
      <c r="H58" s="95" t="s">
        <v>35</v>
      </c>
      <c r="I58" s="184" t="s">
        <v>161</v>
      </c>
      <c r="J58" s="196">
        <v>2</v>
      </c>
      <c r="K58" s="223">
        <v>297</v>
      </c>
      <c r="L58" s="206">
        <f t="shared" si="4"/>
        <v>594</v>
      </c>
      <c r="M58" s="56"/>
      <c r="N58" s="61" t="s">
        <v>162</v>
      </c>
      <c r="O58" s="23" t="s">
        <v>158</v>
      </c>
      <c r="P58" s="236" t="s">
        <v>310</v>
      </c>
      <c r="Q58" s="11">
        <v>45965</v>
      </c>
      <c r="R58" s="68"/>
      <c r="S58" s="220">
        <v>45978</v>
      </c>
      <c r="T58" s="39">
        <v>45979</v>
      </c>
      <c r="U58" s="44"/>
    </row>
    <row r="59" spans="1:21" ht="18" customHeight="1" x14ac:dyDescent="0.2">
      <c r="A59" s="144" t="s">
        <v>174</v>
      </c>
      <c r="B59" s="212" t="s">
        <v>304</v>
      </c>
      <c r="C59" s="1">
        <v>0.01</v>
      </c>
      <c r="D59" s="48"/>
      <c r="E59" s="115"/>
      <c r="F59" s="77">
        <f t="shared" si="5"/>
        <v>36</v>
      </c>
      <c r="G59" s="95" t="s">
        <v>35</v>
      </c>
      <c r="H59" s="95" t="s">
        <v>35</v>
      </c>
      <c r="I59" s="184" t="s">
        <v>163</v>
      </c>
      <c r="J59" s="196">
        <v>1</v>
      </c>
      <c r="K59" s="223">
        <v>3237</v>
      </c>
      <c r="L59" s="206">
        <f t="shared" si="4"/>
        <v>3237</v>
      </c>
      <c r="M59" s="56"/>
      <c r="N59" s="76" t="s">
        <v>164</v>
      </c>
      <c r="O59" s="23" t="s">
        <v>158</v>
      </c>
      <c r="P59" s="236" t="s">
        <v>310</v>
      </c>
      <c r="Q59" s="11">
        <v>45965</v>
      </c>
      <c r="R59" s="68"/>
      <c r="S59" s="220">
        <v>45978</v>
      </c>
      <c r="T59" s="39">
        <v>45979</v>
      </c>
      <c r="U59" s="44"/>
    </row>
    <row r="60" spans="1:21" ht="18" customHeight="1" x14ac:dyDescent="0.2">
      <c r="A60" s="144" t="s">
        <v>174</v>
      </c>
      <c r="B60" s="212" t="s">
        <v>304</v>
      </c>
      <c r="C60" s="1">
        <v>0.05</v>
      </c>
      <c r="D60" s="48"/>
      <c r="E60" s="115"/>
      <c r="F60" s="77">
        <f t="shared" si="5"/>
        <v>37</v>
      </c>
      <c r="G60" s="95" t="s">
        <v>35</v>
      </c>
      <c r="H60" s="95" t="s">
        <v>35</v>
      </c>
      <c r="I60" s="184" t="s">
        <v>43</v>
      </c>
      <c r="J60" s="196">
        <v>1</v>
      </c>
      <c r="K60" s="223">
        <v>346</v>
      </c>
      <c r="L60" s="206">
        <f t="shared" si="4"/>
        <v>346</v>
      </c>
      <c r="M60" s="56"/>
      <c r="N60" s="76" t="s">
        <v>165</v>
      </c>
      <c r="O60" s="23" t="s">
        <v>158</v>
      </c>
      <c r="P60" s="236" t="s">
        <v>310</v>
      </c>
      <c r="Q60" s="11">
        <v>45965</v>
      </c>
      <c r="R60" s="68"/>
      <c r="S60" s="220">
        <v>45978</v>
      </c>
      <c r="T60" s="39">
        <v>45979</v>
      </c>
      <c r="U60" s="44"/>
    </row>
    <row r="61" spans="1:21" ht="18" customHeight="1" x14ac:dyDescent="0.2">
      <c r="A61" s="144" t="s">
        <v>174</v>
      </c>
      <c r="B61" s="212" t="s">
        <v>304</v>
      </c>
      <c r="C61" s="1">
        <v>0.05</v>
      </c>
      <c r="D61" s="48"/>
      <c r="E61" s="115"/>
      <c r="F61" s="77">
        <f t="shared" si="5"/>
        <v>38</v>
      </c>
      <c r="G61" s="95" t="s">
        <v>35</v>
      </c>
      <c r="H61" s="95" t="s">
        <v>35</v>
      </c>
      <c r="I61" s="184" t="s">
        <v>166</v>
      </c>
      <c r="J61" s="196">
        <v>1</v>
      </c>
      <c r="K61" s="223">
        <v>247</v>
      </c>
      <c r="L61" s="206">
        <f t="shared" si="4"/>
        <v>247</v>
      </c>
      <c r="M61" s="56"/>
      <c r="N61" s="76" t="s">
        <v>167</v>
      </c>
      <c r="O61" s="23" t="s">
        <v>158</v>
      </c>
      <c r="P61" s="236" t="s">
        <v>310</v>
      </c>
      <c r="Q61" s="11">
        <v>45965</v>
      </c>
      <c r="R61" s="68"/>
      <c r="S61" s="220">
        <v>45978</v>
      </c>
      <c r="T61" s="39">
        <v>45979</v>
      </c>
      <c r="U61" s="44"/>
    </row>
    <row r="62" spans="1:21" ht="18" customHeight="1" x14ac:dyDescent="0.2">
      <c r="A62" s="144" t="s">
        <v>174</v>
      </c>
      <c r="B62" s="212" t="s">
        <v>304</v>
      </c>
      <c r="C62" s="1">
        <v>0.01</v>
      </c>
      <c r="D62" s="48"/>
      <c r="E62" s="115"/>
      <c r="F62" s="77">
        <f>+F61+1</f>
        <v>39</v>
      </c>
      <c r="G62" s="4" t="s">
        <v>25</v>
      </c>
      <c r="H62" s="4" t="s">
        <v>25</v>
      </c>
      <c r="I62" s="151" t="s">
        <v>27</v>
      </c>
      <c r="J62" s="144">
        <v>2</v>
      </c>
      <c r="K62" s="224">
        <v>83</v>
      </c>
      <c r="L62" s="204">
        <f t="shared" si="4"/>
        <v>166</v>
      </c>
      <c r="M62" s="2"/>
      <c r="N62" s="24" t="s">
        <v>171</v>
      </c>
      <c r="O62" s="23" t="s">
        <v>158</v>
      </c>
      <c r="P62" s="236" t="s">
        <v>310</v>
      </c>
      <c r="Q62" s="11">
        <v>45965</v>
      </c>
      <c r="R62" s="68"/>
      <c r="S62" s="220">
        <v>45978</v>
      </c>
      <c r="T62" s="39">
        <v>45979</v>
      </c>
      <c r="U62" s="44"/>
    </row>
    <row r="63" spans="1:21" ht="18" customHeight="1" x14ac:dyDescent="0.2">
      <c r="A63" s="144" t="s">
        <v>174</v>
      </c>
      <c r="B63" s="212" t="s">
        <v>304</v>
      </c>
      <c r="C63" s="1">
        <v>0.02</v>
      </c>
      <c r="D63" s="48"/>
      <c r="E63" s="115">
        <v>15</v>
      </c>
      <c r="F63" s="77">
        <f t="shared" si="5"/>
        <v>40</v>
      </c>
      <c r="G63" s="4" t="s">
        <v>25</v>
      </c>
      <c r="H63" s="4" t="s">
        <v>25</v>
      </c>
      <c r="I63" s="151" t="s">
        <v>29</v>
      </c>
      <c r="J63" s="144">
        <v>2</v>
      </c>
      <c r="K63" s="224">
        <v>32</v>
      </c>
      <c r="L63" s="204">
        <f t="shared" si="4"/>
        <v>64</v>
      </c>
      <c r="M63" s="2"/>
      <c r="N63" s="24" t="s">
        <v>172</v>
      </c>
      <c r="O63" s="23" t="s">
        <v>158</v>
      </c>
      <c r="P63" s="236" t="s">
        <v>310</v>
      </c>
      <c r="Q63" s="11">
        <v>45965</v>
      </c>
      <c r="R63" s="68"/>
      <c r="S63" s="220">
        <v>45978</v>
      </c>
      <c r="T63" s="39">
        <v>45979</v>
      </c>
      <c r="U63" s="44"/>
    </row>
    <row r="64" spans="1:21" ht="18" customHeight="1" x14ac:dyDescent="0.2">
      <c r="A64" s="144" t="s">
        <v>174</v>
      </c>
      <c r="B64" s="212" t="s">
        <v>304</v>
      </c>
      <c r="C64" s="1">
        <v>0.01</v>
      </c>
      <c r="D64" s="48"/>
      <c r="E64" s="115">
        <v>15</v>
      </c>
      <c r="F64" s="77">
        <f t="shared" si="5"/>
        <v>41</v>
      </c>
      <c r="G64" s="4" t="s">
        <v>25</v>
      </c>
      <c r="H64" s="4" t="s">
        <v>25</v>
      </c>
      <c r="I64" s="151" t="s">
        <v>272</v>
      </c>
      <c r="J64" s="144">
        <v>2</v>
      </c>
      <c r="K64" s="224">
        <v>14</v>
      </c>
      <c r="L64" s="204">
        <f t="shared" si="4"/>
        <v>28</v>
      </c>
      <c r="M64" s="2"/>
      <c r="N64" s="24" t="s">
        <v>118</v>
      </c>
      <c r="O64" s="23" t="s">
        <v>158</v>
      </c>
      <c r="P64" s="236" t="s">
        <v>310</v>
      </c>
      <c r="Q64" s="11">
        <v>45965</v>
      </c>
      <c r="R64" s="68"/>
      <c r="S64" s="220">
        <v>45978</v>
      </c>
      <c r="T64" s="39">
        <v>45979</v>
      </c>
      <c r="U64" s="44"/>
    </row>
    <row r="65" spans="1:21" ht="18" customHeight="1" x14ac:dyDescent="0.2">
      <c r="A65" s="1"/>
      <c r="B65" s="1"/>
      <c r="C65" s="1"/>
      <c r="D65" s="1"/>
      <c r="E65" s="165"/>
      <c r="F65" s="166"/>
      <c r="G65" s="4"/>
      <c r="H65" s="4"/>
      <c r="I65" s="73"/>
      <c r="J65" s="62"/>
      <c r="K65" s="55"/>
      <c r="L65" s="55"/>
      <c r="M65" s="56"/>
      <c r="N65" s="76"/>
      <c r="O65" s="47"/>
      <c r="P65" s="78"/>
      <c r="Q65" s="69"/>
      <c r="R65" s="41"/>
      <c r="S65" s="57"/>
      <c r="T65" s="19"/>
      <c r="U65" s="44"/>
    </row>
    <row r="66" spans="1:21" ht="18" customHeight="1" x14ac:dyDescent="0.2">
      <c r="E66" s="24"/>
      <c r="F66" s="1"/>
      <c r="G66" s="79"/>
      <c r="H66" s="79"/>
      <c r="I66" s="271">
        <f>SUM(L54:L65)</f>
        <v>11132</v>
      </c>
      <c r="J66" s="272"/>
      <c r="K66" s="272"/>
      <c r="L66" s="273"/>
      <c r="M66" s="1"/>
      <c r="N66" s="76"/>
      <c r="O66" s="47"/>
      <c r="P66" s="78"/>
      <c r="Q66" s="69"/>
      <c r="R66" s="41"/>
      <c r="S66" s="57"/>
      <c r="T66" s="19"/>
      <c r="U66" s="44"/>
    </row>
    <row r="67" spans="1:21" s="3" customFormat="1" ht="19.5" customHeight="1" x14ac:dyDescent="0.2">
      <c r="E67" s="1"/>
      <c r="F67" s="72"/>
      <c r="G67" s="42"/>
      <c r="H67" s="42"/>
      <c r="I67" s="45"/>
      <c r="J67" s="43"/>
      <c r="K67" s="70"/>
      <c r="L67" s="42"/>
      <c r="M67" s="43"/>
      <c r="N67" s="46"/>
      <c r="O67" s="47"/>
      <c r="P67" s="78"/>
      <c r="Q67" s="69"/>
      <c r="R67" s="41"/>
      <c r="S67" s="57"/>
      <c r="T67" s="19"/>
      <c r="U67" s="44"/>
    </row>
    <row r="68" spans="1:21" s="3" customFormat="1" ht="19.5" customHeight="1" x14ac:dyDescent="0.2">
      <c r="E68" s="1"/>
      <c r="F68" s="72"/>
      <c r="G68" s="42"/>
      <c r="H68" s="42"/>
      <c r="I68" s="45"/>
      <c r="J68" s="43"/>
      <c r="K68" s="70"/>
      <c r="L68" s="42"/>
      <c r="M68" s="43"/>
      <c r="N68" s="46"/>
      <c r="O68" s="47"/>
      <c r="P68" s="78"/>
      <c r="Q68" s="69"/>
      <c r="R68" s="41"/>
      <c r="S68" s="57"/>
      <c r="T68" s="19"/>
      <c r="U68" s="44"/>
    </row>
    <row r="69" spans="1:21" s="3" customFormat="1" ht="19.5" customHeight="1" x14ac:dyDescent="0.2">
      <c r="E69" s="1"/>
      <c r="F69" s="72"/>
      <c r="G69" s="42"/>
      <c r="H69" s="42"/>
      <c r="I69" s="45"/>
      <c r="J69" s="43"/>
      <c r="K69" s="70"/>
      <c r="L69" s="42"/>
      <c r="M69" s="43"/>
      <c r="N69" s="46"/>
      <c r="O69" s="47"/>
      <c r="P69" s="78"/>
      <c r="Q69" s="69"/>
      <c r="R69" s="41"/>
      <c r="S69" s="57"/>
      <c r="T69" s="19"/>
      <c r="U69" s="44"/>
    </row>
    <row r="70" spans="1:21" ht="18" customHeight="1" x14ac:dyDescent="0.2">
      <c r="E70" s="153"/>
      <c r="F70" s="154"/>
      <c r="G70" s="286" t="s">
        <v>232</v>
      </c>
      <c r="H70" s="287"/>
      <c r="I70" s="288"/>
      <c r="J70" s="1"/>
      <c r="K70" s="1"/>
      <c r="L70" s="2"/>
      <c r="M70" s="2"/>
      <c r="N70" s="1"/>
      <c r="O70" s="47"/>
      <c r="P70" s="78"/>
      <c r="Q70" s="69"/>
      <c r="R70" s="41"/>
      <c r="S70" s="57"/>
      <c r="T70" s="19"/>
      <c r="U70" s="44"/>
    </row>
    <row r="71" spans="1:21" ht="18" customHeight="1" x14ac:dyDescent="0.2">
      <c r="A71" s="144" t="s">
        <v>30</v>
      </c>
      <c r="B71" s="216" t="s">
        <v>305</v>
      </c>
      <c r="C71" s="1">
        <v>0.44</v>
      </c>
      <c r="D71" s="144"/>
      <c r="E71" s="116">
        <v>5</v>
      </c>
      <c r="F71" s="107">
        <f>F64+1</f>
        <v>42</v>
      </c>
      <c r="G71" s="167" t="s">
        <v>32</v>
      </c>
      <c r="H71" s="4" t="s">
        <v>25</v>
      </c>
      <c r="I71" s="155" t="s">
        <v>298</v>
      </c>
      <c r="J71" s="144">
        <v>1</v>
      </c>
      <c r="K71" s="144">
        <v>4592</v>
      </c>
      <c r="L71" s="221">
        <f t="shared" ref="L71:L78" si="6">J71*K71</f>
        <v>4592</v>
      </c>
      <c r="M71" s="81"/>
      <c r="N71" s="23" t="s">
        <v>267</v>
      </c>
      <c r="O71" s="1" t="s">
        <v>287</v>
      </c>
      <c r="P71" s="236" t="s">
        <v>310</v>
      </c>
      <c r="Q71" s="11">
        <v>45965</v>
      </c>
      <c r="R71" s="68"/>
      <c r="S71" s="220">
        <v>45978</v>
      </c>
      <c r="T71" s="39">
        <v>45979</v>
      </c>
      <c r="U71" s="44"/>
    </row>
    <row r="72" spans="1:21" ht="18" customHeight="1" x14ac:dyDescent="0.2">
      <c r="A72" s="144" t="s">
        <v>30</v>
      </c>
      <c r="B72" s="216" t="s">
        <v>305</v>
      </c>
      <c r="C72" s="1">
        <v>0.44</v>
      </c>
      <c r="D72" s="144"/>
      <c r="E72" s="116">
        <v>5</v>
      </c>
      <c r="F72" s="107">
        <f>F71+1</f>
        <v>43</v>
      </c>
      <c r="G72" s="167" t="s">
        <v>32</v>
      </c>
      <c r="H72" s="292" t="s">
        <v>25</v>
      </c>
      <c r="I72" s="293" t="s">
        <v>323</v>
      </c>
      <c r="J72" s="294">
        <v>1</v>
      </c>
      <c r="K72" s="294">
        <v>4886</v>
      </c>
      <c r="L72" s="248">
        <f t="shared" si="6"/>
        <v>4886</v>
      </c>
      <c r="M72" s="81"/>
      <c r="N72" s="23" t="s">
        <v>324</v>
      </c>
      <c r="O72" s="1" t="s">
        <v>287</v>
      </c>
      <c r="P72" s="295" t="s">
        <v>325</v>
      </c>
      <c r="Q72" s="69">
        <v>46003</v>
      </c>
      <c r="R72" s="41"/>
      <c r="S72" s="57">
        <v>46008</v>
      </c>
      <c r="T72" s="19">
        <v>46009</v>
      </c>
      <c r="U72" s="44"/>
    </row>
    <row r="73" spans="1:21" ht="18" customHeight="1" x14ac:dyDescent="0.2">
      <c r="A73" s="163" t="s">
        <v>26</v>
      </c>
      <c r="B73" s="216" t="s">
        <v>305</v>
      </c>
      <c r="C73" s="1">
        <v>0.01</v>
      </c>
      <c r="D73" s="48"/>
      <c r="E73" s="116"/>
      <c r="F73" s="107">
        <f t="shared" ref="F73:F76" si="7">F72+1</f>
        <v>44</v>
      </c>
      <c r="G73" s="4" t="s">
        <v>25</v>
      </c>
      <c r="H73" s="4" t="s">
        <v>25</v>
      </c>
      <c r="I73" s="151" t="s">
        <v>27</v>
      </c>
      <c r="J73" s="144">
        <v>2</v>
      </c>
      <c r="K73" s="225">
        <v>83</v>
      </c>
      <c r="L73" s="226">
        <f t="shared" si="6"/>
        <v>166</v>
      </c>
      <c r="M73" s="81"/>
      <c r="N73" s="24" t="s">
        <v>171</v>
      </c>
      <c r="O73" s="1" t="s">
        <v>287</v>
      </c>
      <c r="P73" s="236" t="s">
        <v>310</v>
      </c>
      <c r="Q73" s="11">
        <v>45965</v>
      </c>
      <c r="R73" s="68"/>
      <c r="S73" s="220">
        <v>45978</v>
      </c>
      <c r="T73" s="39">
        <v>45979</v>
      </c>
      <c r="U73" s="44"/>
    </row>
    <row r="74" spans="1:21" ht="18" customHeight="1" x14ac:dyDescent="0.2">
      <c r="A74" s="163" t="s">
        <v>26</v>
      </c>
      <c r="B74" s="216" t="s">
        <v>305</v>
      </c>
      <c r="C74" s="1">
        <v>0.01</v>
      </c>
      <c r="D74" s="48"/>
      <c r="E74" s="116"/>
      <c r="F74" s="107">
        <f t="shared" si="7"/>
        <v>45</v>
      </c>
      <c r="G74" s="4" t="s">
        <v>25</v>
      </c>
      <c r="H74" s="4" t="s">
        <v>25</v>
      </c>
      <c r="I74" s="151" t="s">
        <v>29</v>
      </c>
      <c r="J74" s="144">
        <v>2</v>
      </c>
      <c r="K74" s="225">
        <v>32</v>
      </c>
      <c r="L74" s="226">
        <f t="shared" si="6"/>
        <v>64</v>
      </c>
      <c r="M74" s="81"/>
      <c r="N74" s="24" t="s">
        <v>172</v>
      </c>
      <c r="O74" s="1" t="s">
        <v>287</v>
      </c>
      <c r="P74" s="236" t="s">
        <v>310</v>
      </c>
      <c r="Q74" s="11">
        <v>45965</v>
      </c>
      <c r="R74" s="68"/>
      <c r="S74" s="220">
        <v>45978</v>
      </c>
      <c r="T74" s="39">
        <v>45979</v>
      </c>
      <c r="U74" s="44"/>
    </row>
    <row r="75" spans="1:21" ht="18" customHeight="1" x14ac:dyDescent="0.2">
      <c r="A75" s="163" t="s">
        <v>40</v>
      </c>
      <c r="B75" s="216" t="s">
        <v>305</v>
      </c>
      <c r="C75" s="1">
        <v>0.22</v>
      </c>
      <c r="D75" s="144"/>
      <c r="E75" s="116"/>
      <c r="F75" s="107">
        <f t="shared" si="7"/>
        <v>46</v>
      </c>
      <c r="G75" s="170" t="s">
        <v>32</v>
      </c>
      <c r="H75" s="169" t="s">
        <v>28</v>
      </c>
      <c r="I75" s="184" t="s">
        <v>299</v>
      </c>
      <c r="J75" s="144">
        <v>1</v>
      </c>
      <c r="K75" s="226">
        <v>2720</v>
      </c>
      <c r="L75" s="204">
        <f t="shared" si="6"/>
        <v>2720</v>
      </c>
      <c r="M75" s="2"/>
      <c r="N75" s="23" t="s">
        <v>300</v>
      </c>
      <c r="O75" s="1" t="s">
        <v>287</v>
      </c>
      <c r="P75" s="236" t="s">
        <v>310</v>
      </c>
      <c r="Q75" s="11">
        <v>45965</v>
      </c>
      <c r="R75" s="68"/>
      <c r="S75" s="220">
        <v>45978</v>
      </c>
      <c r="T75" s="39">
        <v>45979</v>
      </c>
      <c r="U75" s="44"/>
    </row>
    <row r="76" spans="1:21" ht="18" customHeight="1" x14ac:dyDescent="0.2">
      <c r="A76" s="163" t="s">
        <v>26</v>
      </c>
      <c r="B76" s="216" t="s">
        <v>305</v>
      </c>
      <c r="C76" s="1">
        <v>0.01</v>
      </c>
      <c r="D76" s="48"/>
      <c r="E76" s="116"/>
      <c r="F76" s="107">
        <f t="shared" si="7"/>
        <v>47</v>
      </c>
      <c r="G76" s="4" t="s">
        <v>25</v>
      </c>
      <c r="H76" s="4" t="s">
        <v>25</v>
      </c>
      <c r="I76" s="190" t="s">
        <v>179</v>
      </c>
      <c r="J76" s="191">
        <v>5</v>
      </c>
      <c r="K76" s="227">
        <v>173</v>
      </c>
      <c r="L76" s="204">
        <f t="shared" si="6"/>
        <v>865</v>
      </c>
      <c r="M76" s="168"/>
      <c r="N76" s="58" t="s">
        <v>182</v>
      </c>
      <c r="O76" s="1" t="s">
        <v>287</v>
      </c>
      <c r="P76" s="236" t="s">
        <v>310</v>
      </c>
      <c r="Q76" s="11">
        <v>45965</v>
      </c>
      <c r="R76" s="68"/>
      <c r="S76" s="220">
        <v>45978</v>
      </c>
      <c r="T76" s="39">
        <v>45979</v>
      </c>
      <c r="U76" s="44"/>
    </row>
    <row r="77" spans="1:21" ht="18" customHeight="1" x14ac:dyDescent="0.2">
      <c r="A77" s="144" t="s">
        <v>26</v>
      </c>
      <c r="B77" s="216" t="s">
        <v>305</v>
      </c>
      <c r="C77" s="1">
        <v>0.01</v>
      </c>
      <c r="D77" s="48"/>
      <c r="E77" s="117">
        <v>4</v>
      </c>
      <c r="F77" s="107">
        <f t="shared" ref="F74:F79" si="8">F76+1</f>
        <v>48</v>
      </c>
      <c r="G77" s="112" t="s">
        <v>35</v>
      </c>
      <c r="H77" s="112" t="s">
        <v>35</v>
      </c>
      <c r="I77" s="192" t="s">
        <v>36</v>
      </c>
      <c r="J77" s="193">
        <v>2</v>
      </c>
      <c r="K77" s="193">
        <v>187</v>
      </c>
      <c r="L77" s="222">
        <f t="shared" si="6"/>
        <v>374</v>
      </c>
      <c r="M77" s="50"/>
      <c r="N77" s="90" t="s">
        <v>37</v>
      </c>
      <c r="O77" s="1" t="s">
        <v>287</v>
      </c>
      <c r="P77" s="236" t="s">
        <v>310</v>
      </c>
      <c r="Q77" s="11">
        <v>45965</v>
      </c>
      <c r="R77" s="68"/>
      <c r="S77" s="220">
        <v>45978</v>
      </c>
      <c r="T77" s="39">
        <v>45979</v>
      </c>
      <c r="U77" s="44"/>
    </row>
    <row r="78" spans="1:21" ht="18" customHeight="1" x14ac:dyDescent="0.2">
      <c r="A78" s="144" t="s">
        <v>26</v>
      </c>
      <c r="B78" s="216" t="s">
        <v>305</v>
      </c>
      <c r="C78" s="1">
        <v>0.01</v>
      </c>
      <c r="D78" s="48"/>
      <c r="E78" s="117">
        <v>4</v>
      </c>
      <c r="F78" s="107">
        <f t="shared" si="8"/>
        <v>49</v>
      </c>
      <c r="G78" s="112" t="s">
        <v>35</v>
      </c>
      <c r="H78" s="112" t="s">
        <v>35</v>
      </c>
      <c r="I78" s="192" t="s">
        <v>180</v>
      </c>
      <c r="J78" s="193">
        <v>2</v>
      </c>
      <c r="K78" s="193">
        <v>187</v>
      </c>
      <c r="L78" s="222">
        <f t="shared" si="6"/>
        <v>374</v>
      </c>
      <c r="M78" s="50"/>
      <c r="N78" s="90" t="s">
        <v>181</v>
      </c>
      <c r="O78" s="1" t="s">
        <v>287</v>
      </c>
      <c r="P78" s="236" t="s">
        <v>310</v>
      </c>
      <c r="Q78" s="11">
        <v>45965</v>
      </c>
      <c r="R78" s="68"/>
      <c r="S78" s="220">
        <v>45978</v>
      </c>
      <c r="T78" s="39">
        <v>45979</v>
      </c>
      <c r="U78" s="44"/>
    </row>
    <row r="79" spans="1:21" ht="18" customHeight="1" x14ac:dyDescent="0.2">
      <c r="A79" s="163" t="s">
        <v>26</v>
      </c>
      <c r="B79" s="216" t="s">
        <v>305</v>
      </c>
      <c r="C79" s="1">
        <v>0.05</v>
      </c>
      <c r="D79" s="48"/>
      <c r="E79" s="116"/>
      <c r="F79" s="107">
        <f t="shared" si="8"/>
        <v>50</v>
      </c>
      <c r="G79" s="4" t="s">
        <v>25</v>
      </c>
      <c r="H79" s="4" t="s">
        <v>25</v>
      </c>
      <c r="I79" s="152" t="s">
        <v>141</v>
      </c>
      <c r="J79" s="156">
        <v>2</v>
      </c>
      <c r="K79" s="142">
        <v>112</v>
      </c>
      <c r="L79" s="228">
        <f>J79*K79</f>
        <v>224</v>
      </c>
      <c r="M79" s="85"/>
      <c r="N79" s="23" t="s">
        <v>268</v>
      </c>
      <c r="O79" s="1" t="s">
        <v>287</v>
      </c>
      <c r="P79" s="236" t="s">
        <v>310</v>
      </c>
      <c r="Q79" s="11">
        <v>45965</v>
      </c>
      <c r="R79" s="68"/>
      <c r="S79" s="220">
        <v>45978</v>
      </c>
      <c r="T79" s="39">
        <v>45979</v>
      </c>
      <c r="U79" s="44"/>
    </row>
    <row r="80" spans="1:21" ht="18" customHeight="1" x14ac:dyDescent="0.2">
      <c r="A80" s="144" t="s">
        <v>175</v>
      </c>
      <c r="B80" s="216" t="s">
        <v>305</v>
      </c>
      <c r="C80" s="1">
        <v>0.05</v>
      </c>
      <c r="D80" s="48"/>
      <c r="E80" s="115"/>
      <c r="F80" s="77">
        <f t="shared" ref="F80:F82" si="9">+F79+1</f>
        <v>51</v>
      </c>
      <c r="G80" s="95" t="s">
        <v>35</v>
      </c>
      <c r="H80" s="95" t="s">
        <v>35</v>
      </c>
      <c r="I80" s="184" t="s">
        <v>168</v>
      </c>
      <c r="J80" s="196">
        <v>1</v>
      </c>
      <c r="K80" s="223">
        <v>1064</v>
      </c>
      <c r="L80" s="206">
        <f t="shared" ref="L80:L82" si="10">J80*K80</f>
        <v>1064</v>
      </c>
      <c r="M80" s="56"/>
      <c r="N80" s="76" t="s">
        <v>169</v>
      </c>
      <c r="O80" s="1" t="s">
        <v>287</v>
      </c>
      <c r="P80" s="236" t="s">
        <v>310</v>
      </c>
      <c r="Q80" s="11">
        <v>45965</v>
      </c>
      <c r="R80" s="68"/>
      <c r="S80" s="220">
        <v>45978</v>
      </c>
      <c r="T80" s="39">
        <v>45979</v>
      </c>
      <c r="U80" s="44"/>
    </row>
    <row r="81" spans="1:21" ht="18" customHeight="1" x14ac:dyDescent="0.2">
      <c r="A81" s="144" t="s">
        <v>176</v>
      </c>
      <c r="B81" s="216" t="s">
        <v>305</v>
      </c>
      <c r="C81" s="1">
        <v>0.05</v>
      </c>
      <c r="D81" s="48"/>
      <c r="E81" s="115"/>
      <c r="F81" s="77">
        <f t="shared" si="9"/>
        <v>52</v>
      </c>
      <c r="G81" s="95" t="s">
        <v>35</v>
      </c>
      <c r="H81" s="95" t="s">
        <v>35</v>
      </c>
      <c r="I81" s="184" t="s">
        <v>292</v>
      </c>
      <c r="J81" s="196">
        <v>1</v>
      </c>
      <c r="K81" s="223">
        <v>3128</v>
      </c>
      <c r="L81" s="206">
        <f t="shared" si="10"/>
        <v>3128</v>
      </c>
      <c r="M81" s="56"/>
      <c r="N81" s="76" t="s">
        <v>170</v>
      </c>
      <c r="O81" s="1" t="s">
        <v>287</v>
      </c>
      <c r="P81" s="236" t="s">
        <v>310</v>
      </c>
      <c r="Q81" s="11">
        <v>45965</v>
      </c>
      <c r="R81" s="68"/>
      <c r="S81" s="220">
        <v>45978</v>
      </c>
      <c r="T81" s="39">
        <v>45979</v>
      </c>
      <c r="U81" s="44"/>
    </row>
    <row r="82" spans="1:21" ht="18" customHeight="1" x14ac:dyDescent="0.2">
      <c r="A82" s="144" t="s">
        <v>174</v>
      </c>
      <c r="B82" s="216" t="s">
        <v>305</v>
      </c>
      <c r="C82" s="1">
        <v>0.05</v>
      </c>
      <c r="D82" s="48"/>
      <c r="E82" s="115"/>
      <c r="F82" s="77">
        <f t="shared" si="9"/>
        <v>53</v>
      </c>
      <c r="G82" s="250" t="s">
        <v>35</v>
      </c>
      <c r="H82" s="250" t="s">
        <v>35</v>
      </c>
      <c r="I82" s="251" t="s">
        <v>318</v>
      </c>
      <c r="J82" s="252">
        <v>1</v>
      </c>
      <c r="K82" s="253">
        <v>240</v>
      </c>
      <c r="L82" s="254">
        <f t="shared" si="10"/>
        <v>240</v>
      </c>
      <c r="M82" s="2"/>
      <c r="N82" s="58" t="s">
        <v>319</v>
      </c>
      <c r="O82" s="47"/>
      <c r="P82" s="78" t="s">
        <v>320</v>
      </c>
      <c r="Q82" s="69">
        <v>46000</v>
      </c>
      <c r="R82" s="41"/>
      <c r="S82" s="57">
        <v>46002</v>
      </c>
      <c r="T82" s="19">
        <v>46003</v>
      </c>
      <c r="U82" s="44"/>
    </row>
    <row r="83" spans="1:21" ht="18" customHeight="1" x14ac:dyDescent="0.2">
      <c r="D83" s="24"/>
      <c r="E83" s="24"/>
      <c r="F83" s="102"/>
      <c r="G83" s="30"/>
      <c r="H83" s="30"/>
      <c r="I83" s="81"/>
      <c r="J83" s="172"/>
      <c r="K83" s="139"/>
      <c r="L83" s="140"/>
      <c r="M83" s="2"/>
      <c r="N83" s="58"/>
      <c r="O83" s="47"/>
      <c r="P83" s="78"/>
      <c r="Q83" s="69"/>
      <c r="R83" s="41"/>
      <c r="S83" s="57"/>
      <c r="T83" s="19"/>
      <c r="U83" s="44"/>
    </row>
    <row r="84" spans="1:21" ht="18" customHeight="1" x14ac:dyDescent="0.2">
      <c r="D84" s="24"/>
      <c r="E84" s="24"/>
      <c r="F84" s="102"/>
      <c r="G84" s="30"/>
      <c r="H84" s="30"/>
      <c r="I84" s="81"/>
      <c r="J84" s="172"/>
      <c r="K84" s="139"/>
      <c r="L84" s="140"/>
      <c r="M84" s="2"/>
      <c r="N84" s="58"/>
      <c r="O84" s="47"/>
      <c r="P84" s="78"/>
      <c r="Q84" s="69"/>
      <c r="R84" s="41"/>
      <c r="S84" s="57"/>
      <c r="T84" s="19"/>
      <c r="U84" s="44"/>
    </row>
    <row r="85" spans="1:21" ht="18" customHeight="1" x14ac:dyDescent="0.2">
      <c r="D85" s="24"/>
      <c r="E85" s="24"/>
      <c r="F85" s="1"/>
      <c r="G85" s="65"/>
      <c r="H85" s="65"/>
      <c r="I85" s="271">
        <f>SUM(L71:L83)</f>
        <v>18697</v>
      </c>
      <c r="J85" s="272"/>
      <c r="K85" s="272"/>
      <c r="L85" s="273"/>
      <c r="M85" s="66"/>
      <c r="N85" s="67"/>
      <c r="O85" s="47"/>
      <c r="P85" s="78"/>
      <c r="Q85" s="69"/>
      <c r="R85" s="41"/>
      <c r="S85" s="57"/>
      <c r="T85" s="19"/>
      <c r="U85" s="44"/>
    </row>
    <row r="86" spans="1:21" s="3" customFormat="1" ht="19.5" customHeight="1" x14ac:dyDescent="0.2">
      <c r="D86" s="1"/>
      <c r="E86" s="49"/>
      <c r="F86" s="72"/>
      <c r="G86" s="42"/>
      <c r="H86" s="42"/>
      <c r="I86" s="45"/>
      <c r="J86" s="43"/>
      <c r="K86" s="70"/>
      <c r="L86" s="42"/>
      <c r="M86" s="43"/>
      <c r="N86" s="46"/>
      <c r="O86" s="47"/>
      <c r="P86" s="78"/>
      <c r="Q86" s="69"/>
      <c r="R86" s="41"/>
      <c r="S86" s="57"/>
      <c r="T86" s="19"/>
      <c r="U86" s="44"/>
    </row>
    <row r="87" spans="1:21" s="3" customFormat="1" ht="19.5" customHeight="1" x14ac:dyDescent="0.2">
      <c r="D87" s="1"/>
      <c r="E87" s="49"/>
      <c r="F87" s="72"/>
      <c r="G87" s="42"/>
      <c r="H87" s="42"/>
      <c r="I87" s="45"/>
      <c r="J87" s="43"/>
      <c r="K87" s="70"/>
      <c r="L87" s="42"/>
      <c r="M87" s="43"/>
      <c r="N87" s="46"/>
      <c r="O87" s="47"/>
      <c r="P87" s="78"/>
      <c r="Q87" s="69"/>
      <c r="R87" s="41"/>
      <c r="S87" s="57"/>
      <c r="T87" s="19"/>
      <c r="U87" s="44"/>
    </row>
    <row r="88" spans="1:21" s="84" customFormat="1" ht="19.649999999999999" customHeight="1" x14ac:dyDescent="0.2">
      <c r="A88" s="1"/>
      <c r="B88" s="1"/>
      <c r="C88" s="1"/>
      <c r="D88" s="1"/>
      <c r="E88" s="144"/>
      <c r="F88" s="122"/>
      <c r="G88" s="283" t="s">
        <v>177</v>
      </c>
      <c r="H88" s="284"/>
      <c r="I88" s="285"/>
      <c r="J88" s="24"/>
      <c r="K88" s="1"/>
      <c r="L88" s="2"/>
      <c r="M88" s="81"/>
      <c r="N88" s="1"/>
      <c r="O88" s="47"/>
      <c r="P88" s="78"/>
      <c r="Q88" s="69"/>
      <c r="R88" s="41"/>
      <c r="S88" s="57"/>
      <c r="T88" s="19"/>
      <c r="U88" s="44"/>
    </row>
    <row r="89" spans="1:21" s="84" customFormat="1" ht="19.649999999999999" customHeight="1" x14ac:dyDescent="0.2">
      <c r="A89" s="144" t="s">
        <v>178</v>
      </c>
      <c r="B89" s="217" t="s">
        <v>306</v>
      </c>
      <c r="C89" s="1">
        <v>2</v>
      </c>
      <c r="D89" s="48"/>
      <c r="E89" s="117">
        <v>4</v>
      </c>
      <c r="F89" s="60">
        <f>+F82+1</f>
        <v>54</v>
      </c>
      <c r="G89" s="171" t="s">
        <v>35</v>
      </c>
      <c r="H89" s="171" t="s">
        <v>35</v>
      </c>
      <c r="I89" s="155" t="s">
        <v>276</v>
      </c>
      <c r="J89" s="200">
        <v>1</v>
      </c>
      <c r="K89" s="203">
        <v>25400</v>
      </c>
      <c r="L89" s="229">
        <f t="shared" ref="L89:L91" si="11">J89*K89</f>
        <v>25400</v>
      </c>
      <c r="M89" s="2"/>
      <c r="N89" s="23" t="s">
        <v>275</v>
      </c>
      <c r="O89" s="47"/>
      <c r="P89" s="236" t="s">
        <v>310</v>
      </c>
      <c r="Q89" s="11">
        <v>45965</v>
      </c>
      <c r="R89" s="68"/>
      <c r="S89" s="220">
        <v>45978</v>
      </c>
      <c r="T89" s="39">
        <v>45979</v>
      </c>
      <c r="U89" s="44"/>
    </row>
    <row r="90" spans="1:21" s="84" customFormat="1" ht="19.649999999999999" customHeight="1" x14ac:dyDescent="0.2">
      <c r="A90" s="144" t="s">
        <v>26</v>
      </c>
      <c r="B90" s="217" t="s">
        <v>306</v>
      </c>
      <c r="C90" s="1">
        <v>0.05</v>
      </c>
      <c r="D90" s="48"/>
      <c r="E90" s="117">
        <v>4</v>
      </c>
      <c r="F90" s="60">
        <f>+F89+1</f>
        <v>55</v>
      </c>
      <c r="G90" s="30" t="s">
        <v>35</v>
      </c>
      <c r="H90" s="30" t="s">
        <v>35</v>
      </c>
      <c r="I90" s="201" t="s">
        <v>38</v>
      </c>
      <c r="J90" s="202">
        <v>6</v>
      </c>
      <c r="K90" s="230">
        <v>112</v>
      </c>
      <c r="L90" s="231">
        <f t="shared" si="11"/>
        <v>672</v>
      </c>
      <c r="M90" s="86"/>
      <c r="N90" s="87" t="s">
        <v>183</v>
      </c>
      <c r="O90" s="47"/>
      <c r="P90" s="236" t="s">
        <v>310</v>
      </c>
      <c r="Q90" s="11">
        <v>45965</v>
      </c>
      <c r="R90" s="68"/>
      <c r="S90" s="220">
        <v>45978</v>
      </c>
      <c r="T90" s="39">
        <v>45979</v>
      </c>
      <c r="U90" s="44"/>
    </row>
    <row r="91" spans="1:21" s="84" customFormat="1" ht="19.649999999999999" customHeight="1" x14ac:dyDescent="0.2">
      <c r="A91" s="144" t="s">
        <v>26</v>
      </c>
      <c r="B91" s="217" t="s">
        <v>306</v>
      </c>
      <c r="C91" s="1">
        <v>0.01</v>
      </c>
      <c r="D91" s="48"/>
      <c r="E91" s="117">
        <v>4</v>
      </c>
      <c r="F91" s="60">
        <f>+F90+1</f>
        <v>56</v>
      </c>
      <c r="G91" s="112" t="s">
        <v>35</v>
      </c>
      <c r="H91" s="112" t="s">
        <v>35</v>
      </c>
      <c r="I91" s="192" t="s">
        <v>36</v>
      </c>
      <c r="J91" s="192">
        <v>4</v>
      </c>
      <c r="K91" s="193">
        <v>77</v>
      </c>
      <c r="L91" s="222">
        <f t="shared" si="11"/>
        <v>308</v>
      </c>
      <c r="M91" s="50"/>
      <c r="N91" s="90" t="s">
        <v>37</v>
      </c>
      <c r="O91" s="47"/>
      <c r="P91" s="236" t="s">
        <v>310</v>
      </c>
      <c r="Q91" s="11">
        <v>45965</v>
      </c>
      <c r="R91" s="68"/>
      <c r="S91" s="220">
        <v>45978</v>
      </c>
      <c r="T91" s="39">
        <v>45979</v>
      </c>
      <c r="U91" s="44"/>
    </row>
    <row r="92" spans="1:21" s="84" customFormat="1" ht="19.649999999999999" customHeight="1" x14ac:dyDescent="0.2">
      <c r="A92" s="1"/>
      <c r="B92" s="1"/>
      <c r="C92" s="1"/>
      <c r="D92" s="1"/>
      <c r="E92" s="1"/>
      <c r="F92" s="4"/>
      <c r="G92" s="4"/>
      <c r="H92" s="4"/>
      <c r="I92" s="1"/>
      <c r="J92" s="24"/>
      <c r="K92" s="1"/>
      <c r="L92" s="2"/>
      <c r="M92" s="81"/>
      <c r="N92" s="1"/>
      <c r="O92" s="47"/>
      <c r="P92" s="78"/>
      <c r="Q92" s="69"/>
      <c r="R92" s="41"/>
      <c r="S92" s="57"/>
      <c r="T92" s="19"/>
      <c r="U92" s="44"/>
    </row>
    <row r="93" spans="1:21" s="84" customFormat="1" ht="19.649999999999999" customHeight="1" x14ac:dyDescent="0.2">
      <c r="A93" s="1"/>
      <c r="B93" s="1"/>
      <c r="C93" s="1"/>
      <c r="D93" s="1"/>
      <c r="E93" s="1"/>
      <c r="F93" s="4"/>
      <c r="G93" s="4"/>
      <c r="H93" s="4"/>
      <c r="I93" s="109">
        <f>SUM(L89:L92)</f>
        <v>26380</v>
      </c>
      <c r="J93" s="110"/>
      <c r="K93" s="110"/>
      <c r="L93" s="111"/>
      <c r="M93" s="81"/>
      <c r="N93" s="1"/>
      <c r="O93" s="47"/>
      <c r="P93" s="78"/>
      <c r="Q93" s="69"/>
      <c r="R93" s="41"/>
      <c r="S93" s="57"/>
      <c r="T93" s="19"/>
      <c r="U93" s="44"/>
    </row>
    <row r="94" spans="1:21" s="3" customFormat="1" ht="19.5" customHeight="1" x14ac:dyDescent="0.2">
      <c r="D94" s="1"/>
      <c r="E94" s="49"/>
      <c r="F94" s="72"/>
      <c r="G94" s="42"/>
      <c r="H94" s="42"/>
      <c r="I94" s="45"/>
      <c r="J94" s="43"/>
      <c r="K94" s="70"/>
      <c r="L94" s="42"/>
      <c r="M94" s="43"/>
      <c r="N94" s="46"/>
      <c r="O94" s="47"/>
      <c r="P94" s="78"/>
      <c r="Q94" s="69"/>
      <c r="R94" s="41"/>
      <c r="S94" s="57"/>
      <c r="T94" s="19"/>
      <c r="U94" s="44"/>
    </row>
    <row r="95" spans="1:21" s="3" customFormat="1" ht="19.5" customHeight="1" x14ac:dyDescent="0.2">
      <c r="D95" s="1"/>
      <c r="E95" s="49"/>
      <c r="F95" s="72"/>
      <c r="G95" s="42"/>
      <c r="H95" s="42"/>
      <c r="I95" s="45"/>
      <c r="J95" s="43"/>
      <c r="K95" s="70"/>
      <c r="L95" s="42"/>
      <c r="M95" s="43"/>
      <c r="N95" s="46"/>
      <c r="O95" s="47"/>
      <c r="P95" s="78"/>
      <c r="Q95" s="69"/>
      <c r="R95" s="41"/>
      <c r="S95" s="57"/>
      <c r="T95" s="19"/>
      <c r="U95" s="44"/>
    </row>
    <row r="96" spans="1:21" s="3" customFormat="1" ht="19.649999999999999" customHeight="1" x14ac:dyDescent="0.2">
      <c r="D96" s="144"/>
      <c r="E96" s="144"/>
      <c r="F96" s="289" t="s">
        <v>294</v>
      </c>
      <c r="G96" s="290"/>
      <c r="H96" s="290"/>
      <c r="I96" s="291"/>
      <c r="J96" s="1"/>
      <c r="K96" s="36"/>
      <c r="L96" s="35"/>
      <c r="M96" s="26"/>
      <c r="N96" s="24"/>
      <c r="O96" s="47"/>
      <c r="P96" s="78"/>
      <c r="Q96" s="69"/>
      <c r="R96" s="41"/>
      <c r="S96" s="57"/>
      <c r="T96" s="19"/>
      <c r="U96" s="44"/>
    </row>
    <row r="97" spans="1:21" s="3" customFormat="1" ht="19.649999999999999" customHeight="1" x14ac:dyDescent="0.2">
      <c r="A97" s="144" t="s">
        <v>24</v>
      </c>
      <c r="B97" s="218" t="s">
        <v>307</v>
      </c>
      <c r="C97" s="1">
        <v>1.5</v>
      </c>
      <c r="D97" s="48"/>
      <c r="E97" s="101">
        <v>3</v>
      </c>
      <c r="F97" s="108">
        <f>+F91+1</f>
        <v>57</v>
      </c>
      <c r="G97" s="80" t="s">
        <v>184</v>
      </c>
      <c r="H97" s="80" t="s">
        <v>25</v>
      </c>
      <c r="I97" s="198" t="s">
        <v>185</v>
      </c>
      <c r="J97" s="199">
        <v>1</v>
      </c>
      <c r="K97" s="222">
        <v>3871</v>
      </c>
      <c r="L97" s="222">
        <f t="shared" ref="L97:L103" si="12">J97*K97</f>
        <v>3871</v>
      </c>
      <c r="M97" s="50"/>
      <c r="N97" s="51" t="s">
        <v>186</v>
      </c>
      <c r="O97" s="47"/>
      <c r="P97" s="236" t="s">
        <v>310</v>
      </c>
      <c r="Q97" s="11">
        <v>45965</v>
      </c>
      <c r="R97" s="68"/>
      <c r="S97" s="220">
        <v>45978</v>
      </c>
      <c r="T97" s="39">
        <v>45979</v>
      </c>
      <c r="U97" s="44"/>
    </row>
    <row r="98" spans="1:21" s="3" customFormat="1" ht="19.649999999999999" customHeight="1" x14ac:dyDescent="0.2">
      <c r="A98" s="144" t="s">
        <v>24</v>
      </c>
      <c r="B98" s="218" t="s">
        <v>307</v>
      </c>
      <c r="C98" s="1">
        <v>0.5</v>
      </c>
      <c r="D98" s="48"/>
      <c r="E98" s="101"/>
      <c r="F98" s="108">
        <f>+F97+1</f>
        <v>58</v>
      </c>
      <c r="G98" s="80" t="s">
        <v>184</v>
      </c>
      <c r="H98" s="80" t="s">
        <v>25</v>
      </c>
      <c r="I98" s="198" t="s">
        <v>282</v>
      </c>
      <c r="J98" s="199">
        <v>1</v>
      </c>
      <c r="K98" s="222">
        <v>3489</v>
      </c>
      <c r="L98" s="222">
        <f t="shared" si="12"/>
        <v>3489</v>
      </c>
      <c r="M98" s="50"/>
      <c r="N98" s="51" t="s">
        <v>286</v>
      </c>
      <c r="O98" s="47"/>
      <c r="P98" s="236" t="s">
        <v>310</v>
      </c>
      <c r="Q98" s="11">
        <v>45965</v>
      </c>
      <c r="R98" s="68"/>
      <c r="S98" s="220">
        <v>45978</v>
      </c>
      <c r="T98" s="39">
        <v>45979</v>
      </c>
      <c r="U98" s="44"/>
    </row>
    <row r="99" spans="1:21" s="3" customFormat="1" ht="19.649999999999999" customHeight="1" x14ac:dyDescent="0.2">
      <c r="A99" s="144" t="s">
        <v>281</v>
      </c>
      <c r="B99" s="218" t="s">
        <v>307</v>
      </c>
      <c r="C99" s="99">
        <v>0.3</v>
      </c>
      <c r="D99" s="99"/>
      <c r="E99" s="49"/>
      <c r="F99" s="108">
        <f t="shared" ref="F99:F103" si="13">+F98+1</f>
        <v>59</v>
      </c>
      <c r="G99" s="80" t="s">
        <v>25</v>
      </c>
      <c r="H99" s="80" t="s">
        <v>25</v>
      </c>
      <c r="I99" s="148" t="s">
        <v>280</v>
      </c>
      <c r="J99" s="144">
        <v>1</v>
      </c>
      <c r="K99" s="144">
        <v>3250</v>
      </c>
      <c r="L99" s="222">
        <f t="shared" si="12"/>
        <v>3250</v>
      </c>
      <c r="M99" s="1"/>
      <c r="N99" s="23" t="s">
        <v>285</v>
      </c>
      <c r="O99" s="47"/>
      <c r="P99" s="236" t="s">
        <v>310</v>
      </c>
      <c r="Q99" s="11">
        <v>45965</v>
      </c>
      <c r="R99" s="68"/>
      <c r="S99" s="220">
        <v>45978</v>
      </c>
      <c r="T99" s="39">
        <v>45979</v>
      </c>
      <c r="U99" s="44"/>
    </row>
    <row r="100" spans="1:21" s="3" customFormat="1" ht="19.649999999999999" customHeight="1" x14ac:dyDescent="0.2">
      <c r="A100" s="144" t="s">
        <v>24</v>
      </c>
      <c r="B100" s="218" t="s">
        <v>307</v>
      </c>
      <c r="C100" s="99">
        <v>0.2</v>
      </c>
      <c r="D100" s="99"/>
      <c r="E100" s="49"/>
      <c r="F100" s="108">
        <f t="shared" si="13"/>
        <v>60</v>
      </c>
      <c r="G100" s="80" t="s">
        <v>25</v>
      </c>
      <c r="H100" s="80" t="s">
        <v>25</v>
      </c>
      <c r="I100" s="148" t="s">
        <v>283</v>
      </c>
      <c r="J100" s="153">
        <v>1</v>
      </c>
      <c r="K100" s="144">
        <v>1347</v>
      </c>
      <c r="L100" s="222">
        <f t="shared" si="12"/>
        <v>1347</v>
      </c>
      <c r="M100" s="1"/>
      <c r="N100" s="23" t="s">
        <v>284</v>
      </c>
      <c r="O100" s="47"/>
      <c r="P100" s="236" t="s">
        <v>310</v>
      </c>
      <c r="Q100" s="11">
        <v>45965</v>
      </c>
      <c r="R100" s="68"/>
      <c r="S100" s="220">
        <v>45978</v>
      </c>
      <c r="T100" s="39">
        <v>45979</v>
      </c>
      <c r="U100" s="44"/>
    </row>
    <row r="101" spans="1:21" s="3" customFormat="1" ht="19.649999999999999" customHeight="1" x14ac:dyDescent="0.2">
      <c r="A101" s="144" t="s">
        <v>24</v>
      </c>
      <c r="B101" s="218" t="s">
        <v>307</v>
      </c>
      <c r="C101" s="99">
        <v>0.05</v>
      </c>
      <c r="D101" s="99"/>
      <c r="E101" s="49"/>
      <c r="F101" s="108">
        <f t="shared" si="13"/>
        <v>61</v>
      </c>
      <c r="G101" s="80" t="s">
        <v>25</v>
      </c>
      <c r="H101" s="80" t="s">
        <v>25</v>
      </c>
      <c r="I101" s="148" t="s">
        <v>289</v>
      </c>
      <c r="J101" s="153">
        <v>1</v>
      </c>
      <c r="K101" s="144">
        <v>451</v>
      </c>
      <c r="L101" s="222">
        <f t="shared" si="12"/>
        <v>451</v>
      </c>
      <c r="M101" s="1"/>
      <c r="N101" s="23" t="s">
        <v>288</v>
      </c>
      <c r="O101" s="47"/>
      <c r="P101" s="236" t="s">
        <v>310</v>
      </c>
      <c r="Q101" s="11">
        <v>45965</v>
      </c>
      <c r="R101" s="68"/>
      <c r="S101" s="220">
        <v>45978</v>
      </c>
      <c r="T101" s="39">
        <v>45979</v>
      </c>
      <c r="U101" s="44"/>
    </row>
    <row r="102" spans="1:21" s="3" customFormat="1" ht="19.649999999999999" customHeight="1" x14ac:dyDescent="0.2">
      <c r="A102" s="144" t="s">
        <v>24</v>
      </c>
      <c r="B102" s="218" t="s">
        <v>307</v>
      </c>
      <c r="C102" s="99">
        <v>0.05</v>
      </c>
      <c r="D102" s="99"/>
      <c r="E102" s="49"/>
      <c r="F102" s="108">
        <f t="shared" si="13"/>
        <v>62</v>
      </c>
      <c r="G102" s="80" t="s">
        <v>25</v>
      </c>
      <c r="H102" s="80" t="s">
        <v>25</v>
      </c>
      <c r="I102" s="148" t="s">
        <v>291</v>
      </c>
      <c r="J102" s="153">
        <v>1</v>
      </c>
      <c r="K102" s="144">
        <v>365</v>
      </c>
      <c r="L102" s="222">
        <f t="shared" si="12"/>
        <v>365</v>
      </c>
      <c r="M102" s="1"/>
      <c r="N102" s="23" t="s">
        <v>290</v>
      </c>
      <c r="O102" s="47"/>
      <c r="P102" s="236" t="s">
        <v>310</v>
      </c>
      <c r="Q102" s="11">
        <v>45965</v>
      </c>
      <c r="R102" s="68"/>
      <c r="S102" s="220">
        <v>45978</v>
      </c>
      <c r="T102" s="39">
        <v>45979</v>
      </c>
      <c r="U102" s="44"/>
    </row>
    <row r="103" spans="1:21" s="3" customFormat="1" ht="19.649999999999999" customHeight="1" x14ac:dyDescent="0.2">
      <c r="A103" s="144" t="s">
        <v>281</v>
      </c>
      <c r="B103" s="218" t="s">
        <v>307</v>
      </c>
      <c r="C103" s="210"/>
      <c r="D103" s="99"/>
      <c r="E103" s="49"/>
      <c r="F103" s="255">
        <f t="shared" si="13"/>
        <v>63</v>
      </c>
      <c r="G103" s="256" t="s">
        <v>25</v>
      </c>
      <c r="H103" s="256" t="s">
        <v>25</v>
      </c>
      <c r="I103" s="257" t="s">
        <v>321</v>
      </c>
      <c r="J103" s="258">
        <v>1</v>
      </c>
      <c r="K103" s="259">
        <v>2256</v>
      </c>
      <c r="L103" s="260">
        <f t="shared" si="12"/>
        <v>2256</v>
      </c>
      <c r="M103" s="75"/>
      <c r="N103" s="261" t="s">
        <v>322</v>
      </c>
      <c r="O103" s="47"/>
      <c r="P103" s="78" t="s">
        <v>320</v>
      </c>
      <c r="Q103" s="69">
        <v>46000</v>
      </c>
      <c r="R103" s="41"/>
      <c r="S103" s="57">
        <v>46002</v>
      </c>
      <c r="T103" s="19">
        <v>46003</v>
      </c>
      <c r="U103" s="44"/>
    </row>
    <row r="104" spans="1:21" s="3" customFormat="1" ht="19.649999999999999" customHeight="1" x14ac:dyDescent="0.2">
      <c r="A104" s="210"/>
      <c r="B104" s="210"/>
      <c r="C104" s="210"/>
      <c r="D104" s="99"/>
      <c r="E104" s="49"/>
      <c r="F104" s="4"/>
      <c r="G104" s="4"/>
      <c r="H104" s="4"/>
      <c r="I104" s="61"/>
      <c r="J104" s="24"/>
      <c r="K104" s="1"/>
      <c r="L104" s="22"/>
      <c r="M104" s="1"/>
      <c r="N104" s="23"/>
      <c r="O104" s="47"/>
      <c r="P104" s="78"/>
      <c r="Q104" s="69"/>
      <c r="R104" s="41"/>
      <c r="S104" s="57"/>
      <c r="T104" s="19"/>
      <c r="U104" s="44"/>
    </row>
    <row r="105" spans="1:21" s="3" customFormat="1" ht="19.649999999999999" customHeight="1" x14ac:dyDescent="0.2">
      <c r="A105" s="210"/>
      <c r="B105" s="210"/>
      <c r="C105" s="210"/>
      <c r="D105" s="99"/>
      <c r="E105" s="49"/>
      <c r="F105" s="4"/>
      <c r="G105" s="4"/>
      <c r="H105" s="4"/>
      <c r="I105" s="61"/>
      <c r="J105" s="24"/>
      <c r="K105" s="1"/>
      <c r="L105" s="22"/>
      <c r="M105" s="1"/>
      <c r="N105" s="23"/>
      <c r="O105" s="47"/>
      <c r="P105" s="78"/>
      <c r="Q105" s="69"/>
      <c r="R105" s="41"/>
      <c r="S105" s="57"/>
      <c r="T105" s="19"/>
      <c r="U105" s="44"/>
    </row>
    <row r="106" spans="1:21" s="3" customFormat="1" ht="19.649999999999999" customHeight="1" x14ac:dyDescent="0.2">
      <c r="A106"/>
      <c r="B106"/>
      <c r="C106"/>
      <c r="D106" s="24"/>
      <c r="E106" s="24"/>
      <c r="F106" s="177"/>
      <c r="G106" s="123"/>
      <c r="H106" s="123"/>
      <c r="I106" s="280">
        <f>SUM(L97:L105)</f>
        <v>15029</v>
      </c>
      <c r="J106" s="281"/>
      <c r="K106" s="281"/>
      <c r="L106" s="282"/>
      <c r="M106" s="126"/>
      <c r="N106" s="127"/>
      <c r="O106" s="47"/>
      <c r="P106" s="78"/>
      <c r="Q106" s="69"/>
      <c r="R106" s="41"/>
      <c r="S106" s="57"/>
      <c r="T106" s="19"/>
      <c r="U106" s="44"/>
    </row>
    <row r="107" spans="1:21" s="3" customFormat="1" ht="19.649999999999999" customHeight="1" x14ac:dyDescent="0.2">
      <c r="D107" s="1"/>
      <c r="E107" s="49"/>
      <c r="F107" s="178"/>
      <c r="G107" s="104"/>
      <c r="H107" s="80"/>
      <c r="I107" s="89"/>
      <c r="J107" s="28"/>
      <c r="K107" s="36"/>
      <c r="L107" s="36"/>
      <c r="M107" s="50"/>
      <c r="N107" s="51"/>
      <c r="O107" s="47"/>
      <c r="P107" s="78"/>
      <c r="Q107" s="69"/>
      <c r="R107" s="41"/>
      <c r="S107" s="57"/>
      <c r="T107" s="19"/>
      <c r="U107" s="44"/>
    </row>
    <row r="108" spans="1:21" s="3" customFormat="1" ht="19.649999999999999" customHeight="1" x14ac:dyDescent="0.2">
      <c r="C108" s="3" t="s">
        <v>224</v>
      </c>
      <c r="D108" s="1"/>
      <c r="E108" s="1"/>
      <c r="F108" s="134"/>
      <c r="G108" s="83"/>
      <c r="H108" s="83"/>
      <c r="I108" s="23"/>
      <c r="J108" s="129"/>
      <c r="K108" s="131"/>
      <c r="L108" s="85"/>
      <c r="M108" s="66"/>
      <c r="N108" s="67"/>
      <c r="O108" s="82"/>
      <c r="P108" s="4"/>
      <c r="Q108" s="11"/>
      <c r="R108" s="4"/>
      <c r="S108" s="19"/>
      <c r="T108" s="19"/>
      <c r="U108" s="14"/>
    </row>
    <row r="109" spans="1:21" s="3" customFormat="1" ht="19.649999999999999" customHeight="1" x14ac:dyDescent="0.2">
      <c r="C109" s="176">
        <f>SUM(C14:C106)</f>
        <v>14.135999999999999</v>
      </c>
      <c r="D109" s="1"/>
      <c r="E109" s="1"/>
      <c r="F109" s="134"/>
      <c r="G109" s="83"/>
      <c r="H109" s="83"/>
      <c r="I109" s="175"/>
      <c r="J109" s="129"/>
      <c r="K109" s="131"/>
      <c r="L109" s="85"/>
      <c r="M109" s="66"/>
      <c r="N109" s="67"/>
      <c r="O109" s="82"/>
      <c r="P109" s="4"/>
      <c r="Q109" s="11"/>
      <c r="R109" s="4"/>
      <c r="S109" s="19"/>
      <c r="T109" s="19"/>
      <c r="U109" s="14"/>
    </row>
    <row r="110" spans="1:21" s="3" customFormat="1" ht="19.649999999999999" customHeight="1" x14ac:dyDescent="0.2">
      <c r="C110" s="64" t="s">
        <v>70</v>
      </c>
      <c r="D110" s="1"/>
      <c r="E110" s="1"/>
      <c r="F110" s="134"/>
      <c r="G110" s="83"/>
      <c r="H110" s="83"/>
      <c r="I110" s="23"/>
      <c r="J110" s="129"/>
      <c r="K110" s="131"/>
      <c r="L110" s="85"/>
      <c r="M110" s="66"/>
      <c r="N110" s="67"/>
      <c r="O110" s="82"/>
      <c r="P110" s="4"/>
      <c r="Q110" s="11"/>
      <c r="R110" s="4"/>
      <c r="S110" s="19"/>
      <c r="T110" s="19"/>
      <c r="U110" s="14"/>
    </row>
    <row r="111" spans="1:21" s="3" customFormat="1" ht="19.649999999999999" customHeight="1" x14ac:dyDescent="0.2">
      <c r="C111" s="64"/>
      <c r="D111" s="1"/>
      <c r="E111" s="1"/>
      <c r="F111" s="134"/>
      <c r="G111" s="83"/>
      <c r="H111" s="83"/>
      <c r="I111" s="23"/>
      <c r="J111" s="129"/>
      <c r="K111" s="131"/>
      <c r="L111" s="85"/>
      <c r="M111" s="66"/>
      <c r="N111" s="67"/>
      <c r="O111" s="82"/>
      <c r="P111" s="4"/>
      <c r="Q111" s="11"/>
      <c r="R111" s="4"/>
      <c r="S111" s="19"/>
      <c r="T111" s="19"/>
      <c r="U111" s="14"/>
    </row>
    <row r="112" spans="1:21" s="3" customFormat="1" ht="19.649999999999999" customHeight="1" x14ac:dyDescent="0.2">
      <c r="C112" s="64"/>
      <c r="D112" s="1"/>
      <c r="E112" s="1"/>
      <c r="F112" s="134"/>
      <c r="G112" s="83"/>
      <c r="H112" s="83"/>
      <c r="I112" s="23"/>
      <c r="J112" s="129"/>
      <c r="K112" s="131"/>
      <c r="L112" s="85"/>
      <c r="M112" s="66"/>
      <c r="N112" s="67"/>
      <c r="O112" s="82"/>
      <c r="P112" s="4"/>
      <c r="Q112" s="11"/>
      <c r="R112" s="4"/>
      <c r="S112" s="19"/>
      <c r="T112" s="19"/>
      <c r="U112" s="14"/>
    </row>
    <row r="113" spans="1:21" s="3" customFormat="1" ht="19.649999999999999" customHeight="1" x14ac:dyDescent="0.2">
      <c r="D113" s="179"/>
      <c r="E113" s="113"/>
      <c r="F113" s="122"/>
      <c r="G113" s="283" t="s">
        <v>79</v>
      </c>
      <c r="H113" s="284"/>
      <c r="I113" s="285"/>
      <c r="J113" s="129"/>
      <c r="K113" s="131"/>
      <c r="L113" s="85"/>
      <c r="M113" s="66"/>
      <c r="N113" s="67"/>
      <c r="O113" s="82"/>
      <c r="P113" s="4"/>
      <c r="Q113" s="11"/>
      <c r="R113" s="4"/>
      <c r="S113" s="19"/>
      <c r="T113" s="19"/>
      <c r="U113" s="14"/>
    </row>
    <row r="114" spans="1:21" s="3" customFormat="1" ht="19.649999999999999" customHeight="1" x14ac:dyDescent="0.2">
      <c r="A114" s="147" t="s">
        <v>44</v>
      </c>
      <c r="B114" s="219" t="s">
        <v>308</v>
      </c>
      <c r="C114" s="1">
        <v>6.5</v>
      </c>
      <c r="D114" s="188"/>
      <c r="E114" s="1"/>
      <c r="F114" s="60">
        <f>+F103+1</f>
        <v>64</v>
      </c>
      <c r="G114" s="132" t="s">
        <v>35</v>
      </c>
      <c r="H114" s="132" t="s">
        <v>35</v>
      </c>
      <c r="I114" s="153" t="s">
        <v>114</v>
      </c>
      <c r="J114" s="159">
        <v>1</v>
      </c>
      <c r="K114" s="153">
        <v>24900</v>
      </c>
      <c r="L114" s="228">
        <f>J114*K114</f>
        <v>24900</v>
      </c>
      <c r="M114" s="2"/>
      <c r="N114" s="76" t="s">
        <v>187</v>
      </c>
      <c r="O114" s="82" t="s">
        <v>91</v>
      </c>
      <c r="P114" s="236" t="s">
        <v>310</v>
      </c>
      <c r="Q114" s="11">
        <v>45965</v>
      </c>
      <c r="R114" s="68"/>
      <c r="S114" s="220">
        <v>45978</v>
      </c>
      <c r="T114" s="39">
        <v>45979</v>
      </c>
      <c r="U114" s="14"/>
    </row>
    <row r="115" spans="1:21" s="3" customFormat="1" ht="19.649999999999999" customHeight="1" x14ac:dyDescent="0.2">
      <c r="A115" s="147" t="s">
        <v>44</v>
      </c>
      <c r="B115" s="219" t="s">
        <v>308</v>
      </c>
      <c r="C115" s="1">
        <f>0.035*J115</f>
        <v>0.28000000000000003</v>
      </c>
      <c r="D115" s="188"/>
      <c r="E115" s="1"/>
      <c r="F115" s="60">
        <f>+F114+1</f>
        <v>65</v>
      </c>
      <c r="G115" s="132" t="s">
        <v>35</v>
      </c>
      <c r="H115" s="132" t="s">
        <v>35</v>
      </c>
      <c r="I115" s="153" t="s">
        <v>80</v>
      </c>
      <c r="J115" s="159">
        <v>8</v>
      </c>
      <c r="K115" s="153">
        <v>156</v>
      </c>
      <c r="L115" s="228">
        <f>J115*K115</f>
        <v>1248</v>
      </c>
      <c r="M115" s="2"/>
      <c r="N115" s="76" t="s">
        <v>81</v>
      </c>
      <c r="O115" s="82" t="s">
        <v>91</v>
      </c>
      <c r="P115" s="236" t="s">
        <v>310</v>
      </c>
      <c r="Q115" s="11">
        <v>45965</v>
      </c>
      <c r="R115" s="68"/>
      <c r="S115" s="220">
        <v>45978</v>
      </c>
      <c r="T115" s="39">
        <v>45979</v>
      </c>
      <c r="U115" s="14"/>
    </row>
    <row r="116" spans="1:21" s="3" customFormat="1" ht="19.649999999999999" customHeight="1" x14ac:dyDescent="0.2">
      <c r="A116" s="147" t="s">
        <v>44</v>
      </c>
      <c r="B116" s="219" t="s">
        <v>308</v>
      </c>
      <c r="C116" s="1">
        <f>0.025*J116</f>
        <v>0.75</v>
      </c>
      <c r="D116" s="188"/>
      <c r="E116" s="1"/>
      <c r="F116" s="60">
        <f t="shared" ref="F116:F180" si="14">+F115+1</f>
        <v>66</v>
      </c>
      <c r="G116" s="132" t="s">
        <v>35</v>
      </c>
      <c r="H116" s="132" t="s">
        <v>35</v>
      </c>
      <c r="I116" s="153" t="s">
        <v>77</v>
      </c>
      <c r="J116" s="159">
        <v>30</v>
      </c>
      <c r="K116" s="153">
        <v>247</v>
      </c>
      <c r="L116" s="228">
        <f>J116*K116</f>
        <v>7410</v>
      </c>
      <c r="M116" s="2"/>
      <c r="N116" s="76" t="s">
        <v>82</v>
      </c>
      <c r="O116" s="82" t="s">
        <v>91</v>
      </c>
      <c r="P116" s="236" t="s">
        <v>310</v>
      </c>
      <c r="Q116" s="11">
        <v>45965</v>
      </c>
      <c r="R116" s="68"/>
      <c r="S116" s="220">
        <v>45978</v>
      </c>
      <c r="T116" s="39">
        <v>45979</v>
      </c>
      <c r="U116" s="14"/>
    </row>
    <row r="117" spans="1:21" s="3" customFormat="1" ht="19.649999999999999" customHeight="1" x14ac:dyDescent="0.2">
      <c r="A117" s="147" t="s">
        <v>44</v>
      </c>
      <c r="B117" s="219" t="s">
        <v>308</v>
      </c>
      <c r="C117" s="1">
        <f>0.135*J117</f>
        <v>6.2100000000000009</v>
      </c>
      <c r="D117" s="188"/>
      <c r="E117" s="1"/>
      <c r="F117" s="60">
        <f t="shared" si="14"/>
        <v>67</v>
      </c>
      <c r="G117" s="132" t="s">
        <v>35</v>
      </c>
      <c r="H117" s="132" t="s">
        <v>35</v>
      </c>
      <c r="I117" s="153" t="s">
        <v>83</v>
      </c>
      <c r="J117" s="159">
        <v>46</v>
      </c>
      <c r="K117" s="153">
        <v>520</v>
      </c>
      <c r="L117" s="228">
        <f t="shared" ref="L117:L194" si="15">J117*K117</f>
        <v>23920</v>
      </c>
      <c r="M117" s="2"/>
      <c r="N117" s="76" t="s">
        <v>84</v>
      </c>
      <c r="O117" s="82" t="s">
        <v>91</v>
      </c>
      <c r="P117" s="236" t="s">
        <v>310</v>
      </c>
      <c r="Q117" s="11">
        <v>45965</v>
      </c>
      <c r="R117" s="68"/>
      <c r="S117" s="220">
        <v>45978</v>
      </c>
      <c r="T117" s="39">
        <v>45979</v>
      </c>
      <c r="U117" s="14"/>
    </row>
    <row r="118" spans="1:21" s="3" customFormat="1" ht="19.649999999999999" customHeight="1" x14ac:dyDescent="0.2">
      <c r="A118" s="147" t="s">
        <v>44</v>
      </c>
      <c r="B118" s="219" t="s">
        <v>308</v>
      </c>
      <c r="C118" s="1">
        <f>1.445*J118</f>
        <v>5.78</v>
      </c>
      <c r="D118" s="188"/>
      <c r="E118" s="1"/>
      <c r="F118" s="60">
        <f t="shared" si="14"/>
        <v>68</v>
      </c>
      <c r="G118" s="132" t="s">
        <v>35</v>
      </c>
      <c r="H118" s="132" t="s">
        <v>35</v>
      </c>
      <c r="I118" s="153" t="s">
        <v>188</v>
      </c>
      <c r="J118" s="159">
        <v>4</v>
      </c>
      <c r="K118" s="153">
        <v>4931</v>
      </c>
      <c r="L118" s="228">
        <f t="shared" si="15"/>
        <v>19724</v>
      </c>
      <c r="M118" s="2"/>
      <c r="N118" s="76" t="s">
        <v>189</v>
      </c>
      <c r="O118" s="82" t="s">
        <v>91</v>
      </c>
      <c r="P118" s="236" t="s">
        <v>310</v>
      </c>
      <c r="Q118" s="11">
        <v>45965</v>
      </c>
      <c r="R118" s="68"/>
      <c r="S118" s="220">
        <v>45978</v>
      </c>
      <c r="T118" s="39">
        <v>45979</v>
      </c>
      <c r="U118" s="14"/>
    </row>
    <row r="119" spans="1:21" s="3" customFormat="1" ht="19.649999999999999" customHeight="1" x14ac:dyDescent="0.2">
      <c r="A119" s="147" t="s">
        <v>44</v>
      </c>
      <c r="B119" s="219" t="s">
        <v>308</v>
      </c>
      <c r="C119" s="1">
        <f>0.01*J119</f>
        <v>0.08</v>
      </c>
      <c r="D119" s="188"/>
      <c r="E119" s="1"/>
      <c r="F119" s="60">
        <f t="shared" si="14"/>
        <v>69</v>
      </c>
      <c r="G119" s="132" t="s">
        <v>35</v>
      </c>
      <c r="H119" s="132" t="s">
        <v>35</v>
      </c>
      <c r="I119" s="153" t="s">
        <v>86</v>
      </c>
      <c r="J119" s="159">
        <v>8</v>
      </c>
      <c r="K119" s="153">
        <v>118</v>
      </c>
      <c r="L119" s="228">
        <f t="shared" si="15"/>
        <v>944</v>
      </c>
      <c r="M119" s="2"/>
      <c r="N119" s="76" t="s">
        <v>73</v>
      </c>
      <c r="O119" s="82" t="s">
        <v>91</v>
      </c>
      <c r="P119" s="236" t="s">
        <v>310</v>
      </c>
      <c r="Q119" s="11">
        <v>45965</v>
      </c>
      <c r="R119" s="68"/>
      <c r="S119" s="220">
        <v>45978</v>
      </c>
      <c r="T119" s="39">
        <v>45979</v>
      </c>
      <c r="U119" s="14"/>
    </row>
    <row r="120" spans="1:21" s="3" customFormat="1" ht="19.649999999999999" customHeight="1" x14ac:dyDescent="0.2">
      <c r="A120" s="147" t="s">
        <v>44</v>
      </c>
      <c r="B120" s="219" t="s">
        <v>308</v>
      </c>
      <c r="C120" s="1">
        <f>+(210/1000)*0.9*J120</f>
        <v>0.75600000000000001</v>
      </c>
      <c r="D120" s="188"/>
      <c r="E120" s="1"/>
      <c r="F120" s="60">
        <f t="shared" si="14"/>
        <v>70</v>
      </c>
      <c r="G120" s="132" t="s">
        <v>35</v>
      </c>
      <c r="H120" s="132" t="s">
        <v>35</v>
      </c>
      <c r="I120" s="153" t="s">
        <v>190</v>
      </c>
      <c r="J120" s="159">
        <v>4</v>
      </c>
      <c r="K120" s="153">
        <v>287</v>
      </c>
      <c r="L120" s="228">
        <f t="shared" si="15"/>
        <v>1148</v>
      </c>
      <c r="M120" s="2"/>
      <c r="N120" s="76" t="s">
        <v>74</v>
      </c>
      <c r="O120" s="82" t="s">
        <v>91</v>
      </c>
      <c r="P120" s="236" t="s">
        <v>310</v>
      </c>
      <c r="Q120" s="11">
        <v>45965</v>
      </c>
      <c r="R120" s="68"/>
      <c r="S120" s="220">
        <v>45978</v>
      </c>
      <c r="T120" s="39">
        <v>45979</v>
      </c>
      <c r="U120" s="14"/>
    </row>
    <row r="121" spans="1:21" s="3" customFormat="1" ht="19.649999999999999" customHeight="1" x14ac:dyDescent="0.2">
      <c r="A121" s="147" t="s">
        <v>44</v>
      </c>
      <c r="B121" s="219" t="s">
        <v>308</v>
      </c>
      <c r="C121" s="1">
        <f>+(329/1000)*0.9*J121</f>
        <v>1.1844000000000001</v>
      </c>
      <c r="D121" s="188"/>
      <c r="E121" s="1"/>
      <c r="F121" s="60">
        <f t="shared" si="14"/>
        <v>71</v>
      </c>
      <c r="G121" s="132" t="s">
        <v>35</v>
      </c>
      <c r="H121" s="132" t="s">
        <v>35</v>
      </c>
      <c r="I121" s="153" t="s">
        <v>251</v>
      </c>
      <c r="J121" s="159">
        <v>4</v>
      </c>
      <c r="K121" s="153">
        <v>316</v>
      </c>
      <c r="L121" s="228">
        <f t="shared" si="15"/>
        <v>1264</v>
      </c>
      <c r="M121" s="2"/>
      <c r="N121" s="76" t="s">
        <v>74</v>
      </c>
      <c r="O121" s="82" t="s">
        <v>91</v>
      </c>
      <c r="P121" s="236" t="s">
        <v>310</v>
      </c>
      <c r="Q121" s="11">
        <v>45965</v>
      </c>
      <c r="R121" s="68"/>
      <c r="S121" s="220">
        <v>45978</v>
      </c>
      <c r="T121" s="39">
        <v>45979</v>
      </c>
      <c r="U121" s="14"/>
    </row>
    <row r="122" spans="1:21" s="3" customFormat="1" ht="19.649999999999999" customHeight="1" x14ac:dyDescent="0.2">
      <c r="A122" s="147" t="s">
        <v>44</v>
      </c>
      <c r="B122" s="219" t="s">
        <v>308</v>
      </c>
      <c r="C122" s="1">
        <f>+(460/1000)*0.9*J122</f>
        <v>0.82800000000000007</v>
      </c>
      <c r="D122" s="188"/>
      <c r="E122" s="1"/>
      <c r="F122" s="60">
        <f t="shared" si="14"/>
        <v>72</v>
      </c>
      <c r="G122" s="132" t="s">
        <v>35</v>
      </c>
      <c r="H122" s="132" t="s">
        <v>35</v>
      </c>
      <c r="I122" s="153" t="s">
        <v>252</v>
      </c>
      <c r="J122" s="159">
        <v>2</v>
      </c>
      <c r="K122" s="153">
        <v>693</v>
      </c>
      <c r="L122" s="228">
        <f t="shared" si="15"/>
        <v>1386</v>
      </c>
      <c r="M122" s="2"/>
      <c r="N122" s="76" t="s">
        <v>74</v>
      </c>
      <c r="O122" s="82" t="s">
        <v>91</v>
      </c>
      <c r="P122" s="236" t="s">
        <v>310</v>
      </c>
      <c r="Q122" s="11">
        <v>45965</v>
      </c>
      <c r="R122" s="68"/>
      <c r="S122" s="220">
        <v>45978</v>
      </c>
      <c r="T122" s="39">
        <v>45979</v>
      </c>
      <c r="U122" s="14"/>
    </row>
    <row r="123" spans="1:21" s="3" customFormat="1" ht="19.649999999999999" customHeight="1" x14ac:dyDescent="0.2">
      <c r="A123" s="147" t="s">
        <v>44</v>
      </c>
      <c r="B123" s="219" t="s">
        <v>308</v>
      </c>
      <c r="C123" s="1">
        <f>+(542/1000)*0.9*J123</f>
        <v>0.97560000000000013</v>
      </c>
      <c r="D123" s="188"/>
      <c r="E123" s="1"/>
      <c r="F123" s="60">
        <f t="shared" si="14"/>
        <v>73</v>
      </c>
      <c r="G123" s="132" t="s">
        <v>35</v>
      </c>
      <c r="H123" s="132" t="s">
        <v>35</v>
      </c>
      <c r="I123" s="153" t="s">
        <v>191</v>
      </c>
      <c r="J123" s="159">
        <v>2</v>
      </c>
      <c r="K123" s="153">
        <v>960</v>
      </c>
      <c r="L123" s="228">
        <f t="shared" si="15"/>
        <v>1920</v>
      </c>
      <c r="M123" s="2"/>
      <c r="N123" s="76" t="s">
        <v>192</v>
      </c>
      <c r="O123" s="82" t="s">
        <v>91</v>
      </c>
      <c r="P123" s="236" t="s">
        <v>310</v>
      </c>
      <c r="Q123" s="11">
        <v>45965</v>
      </c>
      <c r="R123" s="68"/>
      <c r="S123" s="220">
        <v>45978</v>
      </c>
      <c r="T123" s="39">
        <v>45979</v>
      </c>
      <c r="U123" s="14"/>
    </row>
    <row r="124" spans="1:21" s="3" customFormat="1" ht="19.649999999999999" customHeight="1" x14ac:dyDescent="0.2">
      <c r="A124" s="147" t="s">
        <v>44</v>
      </c>
      <c r="B124" s="219" t="s">
        <v>308</v>
      </c>
      <c r="C124" s="1">
        <f>+(340/1000)*2.63*J124</f>
        <v>3.5768</v>
      </c>
      <c r="D124" s="188"/>
      <c r="E124" s="1"/>
      <c r="F124" s="60">
        <f t="shared" si="14"/>
        <v>74</v>
      </c>
      <c r="G124" s="132" t="s">
        <v>35</v>
      </c>
      <c r="H124" s="132" t="s">
        <v>35</v>
      </c>
      <c r="I124" s="184" t="s">
        <v>253</v>
      </c>
      <c r="J124" s="185">
        <v>4</v>
      </c>
      <c r="K124" s="153">
        <v>920</v>
      </c>
      <c r="L124" s="228">
        <f t="shared" si="15"/>
        <v>3680</v>
      </c>
      <c r="M124" s="2"/>
      <c r="N124" s="76" t="s">
        <v>87</v>
      </c>
      <c r="O124" s="82" t="s">
        <v>91</v>
      </c>
      <c r="P124" s="236" t="s">
        <v>310</v>
      </c>
      <c r="Q124" s="11">
        <v>45965</v>
      </c>
      <c r="R124" s="68"/>
      <c r="S124" s="220">
        <v>45978</v>
      </c>
      <c r="T124" s="39">
        <v>45979</v>
      </c>
      <c r="U124" s="14"/>
    </row>
    <row r="125" spans="1:21" s="3" customFormat="1" ht="19.649999999999999" customHeight="1" x14ac:dyDescent="0.2">
      <c r="A125" s="147" t="s">
        <v>44</v>
      </c>
      <c r="B125" s="219" t="s">
        <v>308</v>
      </c>
      <c r="C125" s="1">
        <f>+(542/1000)*2.63*J125</f>
        <v>7.1273</v>
      </c>
      <c r="D125" s="188"/>
      <c r="E125" s="1"/>
      <c r="F125" s="60">
        <f t="shared" si="14"/>
        <v>75</v>
      </c>
      <c r="G125" s="132" t="s">
        <v>35</v>
      </c>
      <c r="H125" s="132" t="s">
        <v>35</v>
      </c>
      <c r="I125" s="153" t="s">
        <v>193</v>
      </c>
      <c r="J125" s="159">
        <v>5</v>
      </c>
      <c r="K125" s="153">
        <v>1623</v>
      </c>
      <c r="L125" s="228">
        <f t="shared" si="15"/>
        <v>8115</v>
      </c>
      <c r="M125" s="2"/>
      <c r="N125" s="76" t="s">
        <v>88</v>
      </c>
      <c r="O125" s="82" t="s">
        <v>91</v>
      </c>
      <c r="P125" s="236" t="s">
        <v>310</v>
      </c>
      <c r="Q125" s="11">
        <v>45965</v>
      </c>
      <c r="R125" s="68"/>
      <c r="S125" s="220">
        <v>45978</v>
      </c>
      <c r="T125" s="39">
        <v>45979</v>
      </c>
      <c r="U125" s="14"/>
    </row>
    <row r="126" spans="1:21" s="3" customFormat="1" ht="19.649999999999999" customHeight="1" x14ac:dyDescent="0.2">
      <c r="A126" s="147" t="s">
        <v>44</v>
      </c>
      <c r="B126" s="219" t="s">
        <v>308</v>
      </c>
      <c r="C126" s="1">
        <f>+(854/1000)*2.63*J126</f>
        <v>13.476119999999998</v>
      </c>
      <c r="D126" s="188"/>
      <c r="E126" s="1"/>
      <c r="F126" s="60">
        <f t="shared" si="14"/>
        <v>76</v>
      </c>
      <c r="G126" s="132" t="s">
        <v>35</v>
      </c>
      <c r="H126" s="132" t="s">
        <v>35</v>
      </c>
      <c r="I126" s="153" t="s">
        <v>194</v>
      </c>
      <c r="J126" s="159">
        <v>6</v>
      </c>
      <c r="K126" s="153">
        <v>1742</v>
      </c>
      <c r="L126" s="228">
        <f t="shared" si="15"/>
        <v>10452</v>
      </c>
      <c r="M126" s="2"/>
      <c r="N126" s="76" t="s">
        <v>89</v>
      </c>
      <c r="O126" s="82" t="s">
        <v>91</v>
      </c>
      <c r="P126" s="236" t="s">
        <v>310</v>
      </c>
      <c r="Q126" s="11">
        <v>45965</v>
      </c>
      <c r="R126" s="68"/>
      <c r="S126" s="220">
        <v>45978</v>
      </c>
      <c r="T126" s="39">
        <v>45979</v>
      </c>
      <c r="U126" s="14"/>
    </row>
    <row r="127" spans="1:21" s="3" customFormat="1" ht="19.649999999999999" customHeight="1" x14ac:dyDescent="0.2">
      <c r="A127" s="147" t="s">
        <v>44</v>
      </c>
      <c r="B127" s="219" t="s">
        <v>308</v>
      </c>
      <c r="C127" s="1">
        <f>+(980/1000)*2.63*J127</f>
        <v>10.3096</v>
      </c>
      <c r="D127" s="188"/>
      <c r="E127" s="1"/>
      <c r="F127" s="60">
        <f t="shared" si="14"/>
        <v>77</v>
      </c>
      <c r="G127" s="132" t="s">
        <v>35</v>
      </c>
      <c r="H127" s="132" t="s">
        <v>35</v>
      </c>
      <c r="I127" s="153" t="s">
        <v>254</v>
      </c>
      <c r="J127" s="159">
        <v>4</v>
      </c>
      <c r="K127" s="153">
        <v>2336</v>
      </c>
      <c r="L127" s="228">
        <f t="shared" si="15"/>
        <v>9344</v>
      </c>
      <c r="M127" s="2"/>
      <c r="N127" s="76" t="s">
        <v>89</v>
      </c>
      <c r="O127" s="82" t="s">
        <v>91</v>
      </c>
      <c r="P127" s="236" t="s">
        <v>310</v>
      </c>
      <c r="Q127" s="11">
        <v>45965</v>
      </c>
      <c r="R127" s="68"/>
      <c r="S127" s="220">
        <v>45978</v>
      </c>
      <c r="T127" s="39">
        <v>45979</v>
      </c>
      <c r="U127" s="14"/>
    </row>
    <row r="128" spans="1:21" s="3" customFormat="1" ht="19.649999999999999" customHeight="1" x14ac:dyDescent="0.2">
      <c r="A128" s="147" t="s">
        <v>31</v>
      </c>
      <c r="B128" s="219" t="s">
        <v>308</v>
      </c>
      <c r="C128" s="1">
        <f>0.15*J128</f>
        <v>0.3</v>
      </c>
      <c r="D128" s="188"/>
      <c r="E128" s="1"/>
      <c r="F128" s="60">
        <f t="shared" si="14"/>
        <v>78</v>
      </c>
      <c r="G128" s="132" t="s">
        <v>35</v>
      </c>
      <c r="H128" s="132" t="s">
        <v>35</v>
      </c>
      <c r="I128" s="153" t="s">
        <v>244</v>
      </c>
      <c r="J128" s="159">
        <v>2</v>
      </c>
      <c r="K128" s="153">
        <v>2034</v>
      </c>
      <c r="L128" s="228">
        <f t="shared" si="15"/>
        <v>4068</v>
      </c>
      <c r="M128" s="205"/>
      <c r="N128" s="76" t="s">
        <v>243</v>
      </c>
      <c r="O128" s="82" t="s">
        <v>91</v>
      </c>
      <c r="P128" s="236" t="s">
        <v>310</v>
      </c>
      <c r="Q128" s="11">
        <v>45965</v>
      </c>
      <c r="R128" s="68"/>
      <c r="S128" s="220">
        <v>45978</v>
      </c>
      <c r="T128" s="39">
        <v>45979</v>
      </c>
      <c r="U128" s="14"/>
    </row>
    <row r="129" spans="1:21" s="3" customFormat="1" ht="19.649999999999999" customHeight="1" x14ac:dyDescent="0.2">
      <c r="A129" s="147" t="s">
        <v>44</v>
      </c>
      <c r="B129" s="219" t="s">
        <v>308</v>
      </c>
      <c r="C129" s="1">
        <v>0.15</v>
      </c>
      <c r="D129" s="188"/>
      <c r="E129" s="1"/>
      <c r="F129" s="60">
        <f t="shared" si="14"/>
        <v>79</v>
      </c>
      <c r="G129" s="132" t="s">
        <v>35</v>
      </c>
      <c r="H129" s="132" t="s">
        <v>35</v>
      </c>
      <c r="I129" s="153" t="s">
        <v>195</v>
      </c>
      <c r="J129" s="159">
        <v>4</v>
      </c>
      <c r="K129" s="153">
        <v>1112</v>
      </c>
      <c r="L129" s="228">
        <f t="shared" si="15"/>
        <v>4448</v>
      </c>
      <c r="M129" s="2"/>
      <c r="N129" s="76" t="s">
        <v>231</v>
      </c>
      <c r="O129" s="82" t="s">
        <v>91</v>
      </c>
      <c r="P129" s="236" t="s">
        <v>310</v>
      </c>
      <c r="Q129" s="11">
        <v>45965</v>
      </c>
      <c r="R129" s="68"/>
      <c r="S129" s="220">
        <v>45978</v>
      </c>
      <c r="T129" s="39">
        <v>45979</v>
      </c>
      <c r="U129" s="14"/>
    </row>
    <row r="130" spans="1:21" s="3" customFormat="1" ht="19.649999999999999" customHeight="1" x14ac:dyDescent="0.2">
      <c r="A130" s="147" t="s">
        <v>44</v>
      </c>
      <c r="B130" s="219" t="s">
        <v>308</v>
      </c>
      <c r="C130" s="1">
        <f>0.005*J130</f>
        <v>0.02</v>
      </c>
      <c r="D130" s="188"/>
      <c r="E130" s="1"/>
      <c r="F130" s="60">
        <f t="shared" si="14"/>
        <v>80</v>
      </c>
      <c r="G130" s="95" t="s">
        <v>25</v>
      </c>
      <c r="H130" s="95" t="s">
        <v>25</v>
      </c>
      <c r="I130" s="186" t="s">
        <v>221</v>
      </c>
      <c r="J130" s="180">
        <v>4</v>
      </c>
      <c r="K130" s="183">
        <v>77</v>
      </c>
      <c r="L130" s="228">
        <f t="shared" si="15"/>
        <v>308</v>
      </c>
      <c r="M130" s="2"/>
      <c r="N130" s="76" t="s">
        <v>93</v>
      </c>
      <c r="O130" s="82" t="s">
        <v>91</v>
      </c>
      <c r="P130" s="236" t="s">
        <v>310</v>
      </c>
      <c r="Q130" s="11">
        <v>45965</v>
      </c>
      <c r="R130" s="68"/>
      <c r="S130" s="220">
        <v>45978</v>
      </c>
      <c r="T130" s="39">
        <v>45979</v>
      </c>
      <c r="U130" s="14"/>
    </row>
    <row r="131" spans="1:21" s="3" customFormat="1" ht="19.649999999999999" customHeight="1" x14ac:dyDescent="0.2">
      <c r="A131" s="147" t="s">
        <v>117</v>
      </c>
      <c r="B131" s="219" t="s">
        <v>308</v>
      </c>
      <c r="C131" s="1">
        <v>6</v>
      </c>
      <c r="D131" s="188"/>
      <c r="E131" s="1"/>
      <c r="F131" s="60">
        <f t="shared" si="14"/>
        <v>81</v>
      </c>
      <c r="G131" s="132" t="s">
        <v>35</v>
      </c>
      <c r="H131" s="132" t="s">
        <v>35</v>
      </c>
      <c r="I131" s="153" t="s">
        <v>235</v>
      </c>
      <c r="J131" s="159">
        <v>1</v>
      </c>
      <c r="K131" s="153">
        <v>17467</v>
      </c>
      <c r="L131" s="228">
        <f t="shared" si="15"/>
        <v>17467</v>
      </c>
      <c r="M131" s="2"/>
      <c r="N131" s="76" t="s">
        <v>197</v>
      </c>
      <c r="O131" s="23" t="s">
        <v>196</v>
      </c>
      <c r="P131" s="236" t="s">
        <v>310</v>
      </c>
      <c r="Q131" s="11">
        <v>45965</v>
      </c>
      <c r="R131" s="68"/>
      <c r="S131" s="220">
        <v>45978</v>
      </c>
      <c r="T131" s="39">
        <v>45979</v>
      </c>
      <c r="U131" s="14"/>
    </row>
    <row r="132" spans="1:21" s="3" customFormat="1" ht="19.649999999999999" customHeight="1" x14ac:dyDescent="0.2">
      <c r="A132" s="147" t="s">
        <v>44</v>
      </c>
      <c r="B132" s="219" t="s">
        <v>308</v>
      </c>
      <c r="C132" s="1">
        <v>0.05</v>
      </c>
      <c r="D132" s="188"/>
      <c r="E132" s="1"/>
      <c r="F132" s="60">
        <f t="shared" si="14"/>
        <v>82</v>
      </c>
      <c r="G132" s="132" t="s">
        <v>35</v>
      </c>
      <c r="H132" s="132" t="s">
        <v>35</v>
      </c>
      <c r="I132" s="153" t="s">
        <v>198</v>
      </c>
      <c r="J132" s="159">
        <v>2</v>
      </c>
      <c r="K132" s="153">
        <v>760</v>
      </c>
      <c r="L132" s="228">
        <f t="shared" si="15"/>
        <v>1520</v>
      </c>
      <c r="M132" s="2"/>
      <c r="N132" s="76" t="s">
        <v>229</v>
      </c>
      <c r="O132" s="23" t="s">
        <v>196</v>
      </c>
      <c r="P132" s="236" t="s">
        <v>310</v>
      </c>
      <c r="Q132" s="11">
        <v>45965</v>
      </c>
      <c r="R132" s="68"/>
      <c r="S132" s="220">
        <v>45978</v>
      </c>
      <c r="T132" s="39">
        <v>45979</v>
      </c>
      <c r="U132" s="14"/>
    </row>
    <row r="133" spans="1:21" s="3" customFormat="1" ht="19.649999999999999" customHeight="1" x14ac:dyDescent="0.2">
      <c r="A133" s="147" t="s">
        <v>44</v>
      </c>
      <c r="B133" s="219" t="s">
        <v>308</v>
      </c>
      <c r="C133" s="1">
        <v>0.05</v>
      </c>
      <c r="D133" s="188"/>
      <c r="E133" s="1"/>
      <c r="F133" s="60">
        <f t="shared" si="14"/>
        <v>83</v>
      </c>
      <c r="G133" s="132" t="s">
        <v>35</v>
      </c>
      <c r="H133" s="132" t="s">
        <v>35</v>
      </c>
      <c r="I133" s="153" t="s">
        <v>199</v>
      </c>
      <c r="J133" s="159">
        <v>2</v>
      </c>
      <c r="K133" s="153">
        <v>760</v>
      </c>
      <c r="L133" s="228">
        <f t="shared" si="15"/>
        <v>1520</v>
      </c>
      <c r="M133" s="2"/>
      <c r="N133" s="76" t="s">
        <v>230</v>
      </c>
      <c r="O133" s="23" t="s">
        <v>196</v>
      </c>
      <c r="P133" s="236" t="s">
        <v>310</v>
      </c>
      <c r="Q133" s="11">
        <v>45965</v>
      </c>
      <c r="R133" s="68"/>
      <c r="S133" s="220">
        <v>45978</v>
      </c>
      <c r="T133" s="39">
        <v>45979</v>
      </c>
      <c r="U133" s="14"/>
    </row>
    <row r="134" spans="1:21" s="3" customFormat="1" ht="19.2" customHeight="1" x14ac:dyDescent="0.2">
      <c r="A134" s="147" t="s">
        <v>31</v>
      </c>
      <c r="B134" s="219" t="s">
        <v>308</v>
      </c>
      <c r="C134" s="1">
        <f>2.16*J134</f>
        <v>6.48</v>
      </c>
      <c r="D134" s="188"/>
      <c r="E134" s="1"/>
      <c r="F134" s="60">
        <f t="shared" si="14"/>
        <v>84</v>
      </c>
      <c r="G134" s="132" t="s">
        <v>35</v>
      </c>
      <c r="H134" s="132" t="s">
        <v>35</v>
      </c>
      <c r="I134" s="153" t="s">
        <v>205</v>
      </c>
      <c r="J134" s="180">
        <v>3</v>
      </c>
      <c r="K134" s="183">
        <v>8623</v>
      </c>
      <c r="L134" s="228">
        <f t="shared" si="15"/>
        <v>25869</v>
      </c>
      <c r="M134" s="2"/>
      <c r="N134" s="76" t="s">
        <v>206</v>
      </c>
      <c r="O134" s="82" t="s">
        <v>116</v>
      </c>
      <c r="P134" s="236" t="s">
        <v>310</v>
      </c>
      <c r="Q134" s="11">
        <v>45965</v>
      </c>
      <c r="R134" s="68"/>
      <c r="S134" s="220">
        <v>45978</v>
      </c>
      <c r="T134" s="39">
        <v>45979</v>
      </c>
      <c r="U134" s="14"/>
    </row>
    <row r="135" spans="1:21" s="3" customFormat="1" ht="19.649999999999999" customHeight="1" x14ac:dyDescent="0.2">
      <c r="A135" s="147" t="s">
        <v>44</v>
      </c>
      <c r="B135" s="219" t="s">
        <v>308</v>
      </c>
      <c r="C135" s="1">
        <f>0.007*J135</f>
        <v>4.2000000000000003E-2</v>
      </c>
      <c r="D135" s="188"/>
      <c r="E135" s="1"/>
      <c r="F135" s="60">
        <f t="shared" si="14"/>
        <v>85</v>
      </c>
      <c r="G135" s="136" t="s">
        <v>25</v>
      </c>
      <c r="H135" s="136" t="s">
        <v>25</v>
      </c>
      <c r="I135" s="187" t="s">
        <v>85</v>
      </c>
      <c r="J135" s="158">
        <v>6</v>
      </c>
      <c r="K135" s="159">
        <v>40</v>
      </c>
      <c r="L135" s="228">
        <f t="shared" si="15"/>
        <v>240</v>
      </c>
      <c r="M135" s="66"/>
      <c r="N135" s="76" t="s">
        <v>209</v>
      </c>
      <c r="O135" s="82" t="s">
        <v>91</v>
      </c>
      <c r="P135" s="236" t="s">
        <v>310</v>
      </c>
      <c r="Q135" s="11">
        <v>45965</v>
      </c>
      <c r="R135" s="68"/>
      <c r="S135" s="220">
        <v>45978</v>
      </c>
      <c r="T135" s="39">
        <v>45979</v>
      </c>
      <c r="U135" s="14"/>
    </row>
    <row r="136" spans="1:21" s="3" customFormat="1" ht="19.649999999999999" customHeight="1" x14ac:dyDescent="0.2">
      <c r="A136" s="147" t="s">
        <v>44</v>
      </c>
      <c r="B136" s="219" t="s">
        <v>308</v>
      </c>
      <c r="C136" s="1">
        <f>0.008*J136</f>
        <v>9.6000000000000002E-2</v>
      </c>
      <c r="D136" s="188"/>
      <c r="E136" s="1"/>
      <c r="F136" s="60">
        <f t="shared" si="14"/>
        <v>86</v>
      </c>
      <c r="G136" s="95" t="s">
        <v>25</v>
      </c>
      <c r="H136" s="95" t="s">
        <v>25</v>
      </c>
      <c r="I136" s="155" t="s">
        <v>200</v>
      </c>
      <c r="J136" s="158">
        <v>12</v>
      </c>
      <c r="K136" s="159">
        <v>35</v>
      </c>
      <c r="L136" s="228">
        <f t="shared" si="15"/>
        <v>420</v>
      </c>
      <c r="M136" s="66"/>
      <c r="N136" s="76" t="s">
        <v>207</v>
      </c>
      <c r="O136" s="82" t="s">
        <v>91</v>
      </c>
      <c r="P136" s="236" t="s">
        <v>310</v>
      </c>
      <c r="Q136" s="11">
        <v>45965</v>
      </c>
      <c r="R136" s="68"/>
      <c r="S136" s="220">
        <v>45978</v>
      </c>
      <c r="T136" s="39">
        <v>45979</v>
      </c>
      <c r="U136" s="14"/>
    </row>
    <row r="137" spans="1:21" s="3" customFormat="1" ht="19.649999999999999" customHeight="1" x14ac:dyDescent="0.2">
      <c r="A137" s="147" t="s">
        <v>44</v>
      </c>
      <c r="B137" s="219" t="s">
        <v>308</v>
      </c>
      <c r="C137" s="1">
        <f>0.008*J137</f>
        <v>4.8000000000000001E-2</v>
      </c>
      <c r="D137" s="188"/>
      <c r="E137" s="1"/>
      <c r="F137" s="60">
        <f t="shared" si="14"/>
        <v>87</v>
      </c>
      <c r="G137" s="95" t="s">
        <v>25</v>
      </c>
      <c r="H137" s="95" t="s">
        <v>25</v>
      </c>
      <c r="I137" s="155" t="s">
        <v>99</v>
      </c>
      <c r="J137" s="158">
        <v>6</v>
      </c>
      <c r="K137" s="159">
        <v>35</v>
      </c>
      <c r="L137" s="228">
        <f t="shared" si="15"/>
        <v>210</v>
      </c>
      <c r="M137" s="66"/>
      <c r="N137" s="76" t="s">
        <v>208</v>
      </c>
      <c r="O137" s="82" t="s">
        <v>91</v>
      </c>
      <c r="P137" s="236" t="s">
        <v>310</v>
      </c>
      <c r="Q137" s="11">
        <v>45965</v>
      </c>
      <c r="R137" s="68"/>
      <c r="S137" s="220">
        <v>45978</v>
      </c>
      <c r="T137" s="39">
        <v>45979</v>
      </c>
      <c r="U137" s="14"/>
    </row>
    <row r="138" spans="1:21" s="3" customFormat="1" ht="19.649999999999999" customHeight="1" x14ac:dyDescent="0.2">
      <c r="A138" s="147" t="s">
        <v>31</v>
      </c>
      <c r="B138" s="219" t="s">
        <v>308</v>
      </c>
      <c r="C138" s="1">
        <f>1.5*J138</f>
        <v>1.5</v>
      </c>
      <c r="D138" s="188"/>
      <c r="E138" s="1"/>
      <c r="F138" s="60">
        <f t="shared" si="14"/>
        <v>88</v>
      </c>
      <c r="G138" s="132" t="s">
        <v>35</v>
      </c>
      <c r="H138" s="132" t="s">
        <v>35</v>
      </c>
      <c r="I138" s="153" t="s">
        <v>258</v>
      </c>
      <c r="J138" s="159">
        <v>1</v>
      </c>
      <c r="K138" s="153">
        <v>3140</v>
      </c>
      <c r="L138" s="232">
        <f t="shared" si="15"/>
        <v>3140</v>
      </c>
      <c r="M138" s="205"/>
      <c r="N138" s="76" t="s">
        <v>255</v>
      </c>
      <c r="O138" s="82" t="s">
        <v>91</v>
      </c>
      <c r="P138" s="236" t="s">
        <v>310</v>
      </c>
      <c r="Q138" s="11">
        <v>45965</v>
      </c>
      <c r="R138" s="68"/>
      <c r="S138" s="220">
        <v>45978</v>
      </c>
      <c r="T138" s="39">
        <v>45979</v>
      </c>
      <c r="U138" s="14"/>
    </row>
    <row r="139" spans="1:21" s="3" customFormat="1" ht="19.649999999999999" customHeight="1" x14ac:dyDescent="0.2">
      <c r="A139" s="147" t="s">
        <v>44</v>
      </c>
      <c r="B139" s="219" t="s">
        <v>308</v>
      </c>
      <c r="C139" s="1">
        <f>0.008*J139</f>
        <v>3.2000000000000001E-2</v>
      </c>
      <c r="D139" s="188"/>
      <c r="E139" s="1"/>
      <c r="F139" s="60">
        <f t="shared" si="14"/>
        <v>89</v>
      </c>
      <c r="G139" s="95" t="s">
        <v>25</v>
      </c>
      <c r="H139" s="95" t="s">
        <v>25</v>
      </c>
      <c r="I139" s="153" t="s">
        <v>256</v>
      </c>
      <c r="J139" s="159">
        <v>4</v>
      </c>
      <c r="K139" s="153">
        <v>112</v>
      </c>
      <c r="L139" s="232">
        <f t="shared" si="15"/>
        <v>448</v>
      </c>
      <c r="M139" s="2"/>
      <c r="N139" s="76" t="s">
        <v>257</v>
      </c>
      <c r="O139" s="82" t="s">
        <v>91</v>
      </c>
      <c r="P139" s="236" t="s">
        <v>310</v>
      </c>
      <c r="Q139" s="11">
        <v>45965</v>
      </c>
      <c r="R139" s="68"/>
      <c r="S139" s="220">
        <v>45978</v>
      </c>
      <c r="T139" s="39">
        <v>45979</v>
      </c>
      <c r="U139" s="14"/>
    </row>
    <row r="140" spans="1:21" s="3" customFormat="1" ht="19.649999999999999" customHeight="1" x14ac:dyDescent="0.2">
      <c r="A140" s="147" t="s">
        <v>44</v>
      </c>
      <c r="B140" s="219" t="s">
        <v>308</v>
      </c>
      <c r="C140" s="1">
        <v>0.05</v>
      </c>
      <c r="D140" s="189"/>
      <c r="E140" s="1"/>
      <c r="F140" s="60">
        <f t="shared" si="14"/>
        <v>90</v>
      </c>
      <c r="G140" s="95" t="s">
        <v>25</v>
      </c>
      <c r="H140" s="95" t="s">
        <v>25</v>
      </c>
      <c r="I140" s="152" t="s">
        <v>210</v>
      </c>
      <c r="J140" s="160">
        <v>2</v>
      </c>
      <c r="K140" s="232">
        <v>113</v>
      </c>
      <c r="L140" s="232">
        <f t="shared" si="15"/>
        <v>226</v>
      </c>
      <c r="M140" s="88"/>
      <c r="N140" s="76" t="s">
        <v>211</v>
      </c>
      <c r="O140" s="82" t="s">
        <v>91</v>
      </c>
      <c r="P140" s="236" t="s">
        <v>310</v>
      </c>
      <c r="Q140" s="11">
        <v>45965</v>
      </c>
      <c r="R140" s="68"/>
      <c r="S140" s="220">
        <v>45978</v>
      </c>
      <c r="T140" s="39">
        <v>45979</v>
      </c>
      <c r="U140" s="14"/>
    </row>
    <row r="141" spans="1:21" s="3" customFormat="1" ht="19.649999999999999" customHeight="1" x14ac:dyDescent="0.2">
      <c r="A141" s="147" t="s">
        <v>44</v>
      </c>
      <c r="B141" s="219" t="s">
        <v>308</v>
      </c>
      <c r="C141" s="1">
        <v>0.05</v>
      </c>
      <c r="D141" s="189"/>
      <c r="E141" s="1"/>
      <c r="F141" s="60">
        <f t="shared" si="14"/>
        <v>91</v>
      </c>
      <c r="G141" s="95" t="s">
        <v>25</v>
      </c>
      <c r="H141" s="95" t="s">
        <v>25</v>
      </c>
      <c r="I141" s="153" t="s">
        <v>68</v>
      </c>
      <c r="J141" s="180">
        <v>2</v>
      </c>
      <c r="K141" s="183">
        <v>52</v>
      </c>
      <c r="L141" s="232">
        <f t="shared" si="15"/>
        <v>104</v>
      </c>
      <c r="M141" s="2"/>
      <c r="N141" s="76" t="s">
        <v>228</v>
      </c>
      <c r="O141" s="82" t="s">
        <v>91</v>
      </c>
      <c r="P141" s="236" t="s">
        <v>310</v>
      </c>
      <c r="Q141" s="11">
        <v>45965</v>
      </c>
      <c r="R141" s="68"/>
      <c r="S141" s="220">
        <v>45978</v>
      </c>
      <c r="T141" s="39">
        <v>45979</v>
      </c>
      <c r="U141" s="14"/>
    </row>
    <row r="142" spans="1:21" s="3" customFormat="1" ht="19.649999999999999" customHeight="1" x14ac:dyDescent="0.2">
      <c r="A142" s="147" t="s">
        <v>31</v>
      </c>
      <c r="B142" s="219" t="s">
        <v>308</v>
      </c>
      <c r="C142" s="1">
        <v>2</v>
      </c>
      <c r="D142" s="188"/>
      <c r="E142" s="1"/>
      <c r="F142" s="60">
        <f t="shared" si="14"/>
        <v>92</v>
      </c>
      <c r="G142" s="132" t="s">
        <v>213</v>
      </c>
      <c r="H142" s="95" t="s">
        <v>25</v>
      </c>
      <c r="I142" s="153" t="s">
        <v>250</v>
      </c>
      <c r="J142" s="180">
        <v>1</v>
      </c>
      <c r="K142" s="183">
        <v>6449</v>
      </c>
      <c r="L142" s="232">
        <f t="shared" si="15"/>
        <v>6449</v>
      </c>
      <c r="M142" s="205"/>
      <c r="N142" s="76" t="s">
        <v>212</v>
      </c>
      <c r="O142" s="82" t="s">
        <v>91</v>
      </c>
      <c r="P142" s="236" t="s">
        <v>310</v>
      </c>
      <c r="Q142" s="11">
        <v>45965</v>
      </c>
      <c r="R142" s="68"/>
      <c r="S142" s="220">
        <v>45978</v>
      </c>
      <c r="T142" s="39">
        <v>45979</v>
      </c>
      <c r="U142" s="14"/>
    </row>
    <row r="143" spans="1:21" s="3" customFormat="1" ht="19.649999999999999" customHeight="1" x14ac:dyDescent="0.2">
      <c r="A143" s="147" t="s">
        <v>44</v>
      </c>
      <c r="B143" s="219" t="s">
        <v>308</v>
      </c>
      <c r="C143" s="1">
        <f>0.007*J143</f>
        <v>1.4E-2</v>
      </c>
      <c r="D143" s="188"/>
      <c r="E143" s="1"/>
      <c r="F143" s="60">
        <f t="shared" si="14"/>
        <v>93</v>
      </c>
      <c r="G143" s="136" t="s">
        <v>25</v>
      </c>
      <c r="H143" s="136" t="s">
        <v>25</v>
      </c>
      <c r="I143" s="187" t="s">
        <v>85</v>
      </c>
      <c r="J143" s="158">
        <v>2</v>
      </c>
      <c r="K143" s="159">
        <v>40</v>
      </c>
      <c r="L143" s="228">
        <f t="shared" si="15"/>
        <v>80</v>
      </c>
      <c r="M143" s="66"/>
      <c r="N143" s="76" t="s">
        <v>215</v>
      </c>
      <c r="O143" s="82" t="s">
        <v>91</v>
      </c>
      <c r="P143" s="236" t="s">
        <v>310</v>
      </c>
      <c r="Q143" s="11">
        <v>45965</v>
      </c>
      <c r="R143" s="68"/>
      <c r="S143" s="220">
        <v>45978</v>
      </c>
      <c r="T143" s="39">
        <v>45979</v>
      </c>
      <c r="U143" s="14"/>
    </row>
    <row r="144" spans="1:21" s="3" customFormat="1" ht="19.649999999999999" customHeight="1" x14ac:dyDescent="0.2">
      <c r="A144" s="147" t="s">
        <v>44</v>
      </c>
      <c r="B144" s="219" t="s">
        <v>308</v>
      </c>
      <c r="C144" s="1">
        <f>0.008*J144</f>
        <v>3.2000000000000001E-2</v>
      </c>
      <c r="D144" s="188"/>
      <c r="E144" s="1"/>
      <c r="F144" s="60">
        <f t="shared" si="14"/>
        <v>94</v>
      </c>
      <c r="G144" s="95" t="s">
        <v>25</v>
      </c>
      <c r="H144" s="95" t="s">
        <v>25</v>
      </c>
      <c r="I144" s="155" t="s">
        <v>200</v>
      </c>
      <c r="J144" s="158">
        <v>4</v>
      </c>
      <c r="K144" s="159">
        <v>35</v>
      </c>
      <c r="L144" s="228">
        <f t="shared" si="15"/>
        <v>140</v>
      </c>
      <c r="M144" s="66"/>
      <c r="N144" s="76" t="s">
        <v>214</v>
      </c>
      <c r="O144" s="82" t="s">
        <v>91</v>
      </c>
      <c r="P144" s="236" t="s">
        <v>310</v>
      </c>
      <c r="Q144" s="11">
        <v>45965</v>
      </c>
      <c r="R144" s="68"/>
      <c r="S144" s="220">
        <v>45978</v>
      </c>
      <c r="T144" s="39">
        <v>45979</v>
      </c>
      <c r="U144" s="14"/>
    </row>
    <row r="145" spans="1:21" s="3" customFormat="1" ht="19.649999999999999" customHeight="1" x14ac:dyDescent="0.2">
      <c r="A145" s="147" t="s">
        <v>44</v>
      </c>
      <c r="B145" s="219" t="s">
        <v>308</v>
      </c>
      <c r="C145" s="1">
        <f>0.008*J145</f>
        <v>1.6E-2</v>
      </c>
      <c r="D145" s="188"/>
      <c r="E145" s="1"/>
      <c r="F145" s="60">
        <f t="shared" si="14"/>
        <v>95</v>
      </c>
      <c r="G145" s="95" t="s">
        <v>25</v>
      </c>
      <c r="H145" s="95" t="s">
        <v>25</v>
      </c>
      <c r="I145" s="155" t="s">
        <v>99</v>
      </c>
      <c r="J145" s="158">
        <v>2</v>
      </c>
      <c r="K145" s="159">
        <v>35</v>
      </c>
      <c r="L145" s="228">
        <f t="shared" si="15"/>
        <v>70</v>
      </c>
      <c r="M145" s="66"/>
      <c r="N145" s="76" t="s">
        <v>202</v>
      </c>
      <c r="O145" s="82" t="s">
        <v>91</v>
      </c>
      <c r="P145" s="236" t="s">
        <v>310</v>
      </c>
      <c r="Q145" s="11">
        <v>45965</v>
      </c>
      <c r="R145" s="68"/>
      <c r="S145" s="220">
        <v>45978</v>
      </c>
      <c r="T145" s="39">
        <v>45979</v>
      </c>
      <c r="U145" s="14"/>
    </row>
    <row r="146" spans="1:21" s="3" customFormat="1" ht="19.649999999999999" customHeight="1" x14ac:dyDescent="0.2">
      <c r="A146" s="147" t="s">
        <v>31</v>
      </c>
      <c r="B146" s="219" t="s">
        <v>308</v>
      </c>
      <c r="C146" s="1">
        <v>16.600000000000001</v>
      </c>
      <c r="D146" s="188"/>
      <c r="E146" s="1"/>
      <c r="F146" s="60">
        <f t="shared" si="14"/>
        <v>96</v>
      </c>
      <c r="G146" s="4" t="s">
        <v>32</v>
      </c>
      <c r="H146" s="132" t="s">
        <v>35</v>
      </c>
      <c r="I146" s="153" t="s">
        <v>249</v>
      </c>
      <c r="J146" s="180">
        <v>1</v>
      </c>
      <c r="K146" s="183">
        <v>39576</v>
      </c>
      <c r="L146" s="228">
        <f t="shared" si="15"/>
        <v>39576</v>
      </c>
      <c r="M146" s="205"/>
      <c r="N146" s="76" t="s">
        <v>238</v>
      </c>
      <c r="O146" s="61" t="s">
        <v>92</v>
      </c>
      <c r="P146" s="236" t="s">
        <v>310</v>
      </c>
      <c r="Q146" s="11">
        <v>45965</v>
      </c>
      <c r="R146" s="68"/>
      <c r="S146" s="220">
        <v>45978</v>
      </c>
      <c r="T146" s="39">
        <v>45979</v>
      </c>
      <c r="U146" s="14"/>
    </row>
    <row r="147" spans="1:21" s="3" customFormat="1" ht="19.649999999999999" customHeight="1" x14ac:dyDescent="0.2">
      <c r="A147" s="147" t="s">
        <v>44</v>
      </c>
      <c r="B147" s="219" t="s">
        <v>308</v>
      </c>
      <c r="C147" s="1">
        <f>0.005*J147</f>
        <v>0.03</v>
      </c>
      <c r="D147" s="188"/>
      <c r="E147" s="1"/>
      <c r="F147" s="60">
        <f t="shared" si="14"/>
        <v>97</v>
      </c>
      <c r="G147" s="95" t="s">
        <v>25</v>
      </c>
      <c r="H147" s="95" t="s">
        <v>25</v>
      </c>
      <c r="I147" s="186" t="s">
        <v>221</v>
      </c>
      <c r="J147" s="180">
        <v>6</v>
      </c>
      <c r="K147" s="183">
        <v>77</v>
      </c>
      <c r="L147" s="228">
        <f t="shared" si="15"/>
        <v>462</v>
      </c>
      <c r="M147" s="2"/>
      <c r="N147" s="76" t="s">
        <v>93</v>
      </c>
      <c r="O147" s="61" t="s">
        <v>92</v>
      </c>
      <c r="P147" s="236" t="s">
        <v>310</v>
      </c>
      <c r="Q147" s="11">
        <v>45965</v>
      </c>
      <c r="R147" s="68"/>
      <c r="S147" s="220">
        <v>45978</v>
      </c>
      <c r="T147" s="39">
        <v>45979</v>
      </c>
      <c r="U147" s="14"/>
    </row>
    <row r="148" spans="1:21" s="3" customFormat="1" ht="19.649999999999999" customHeight="1" x14ac:dyDescent="0.2">
      <c r="A148" s="147" t="s">
        <v>44</v>
      </c>
      <c r="B148" s="219" t="s">
        <v>308</v>
      </c>
      <c r="C148" s="1">
        <f>0.005*J148</f>
        <v>0.04</v>
      </c>
      <c r="D148" s="188"/>
      <c r="E148" s="1"/>
      <c r="F148" s="60">
        <f t="shared" si="14"/>
        <v>98</v>
      </c>
      <c r="G148" s="95" t="s">
        <v>25</v>
      </c>
      <c r="H148" s="95" t="s">
        <v>25</v>
      </c>
      <c r="I148" s="186" t="s">
        <v>36</v>
      </c>
      <c r="J148" s="180">
        <v>8</v>
      </c>
      <c r="K148" s="183">
        <v>47</v>
      </c>
      <c r="L148" s="228">
        <f t="shared" si="15"/>
        <v>376</v>
      </c>
      <c r="M148" s="2"/>
      <c r="N148" s="76" t="s">
        <v>93</v>
      </c>
      <c r="O148" s="61" t="s">
        <v>92</v>
      </c>
      <c r="P148" s="236" t="s">
        <v>310</v>
      </c>
      <c r="Q148" s="11">
        <v>45965</v>
      </c>
      <c r="R148" s="68"/>
      <c r="S148" s="220">
        <v>45978</v>
      </c>
      <c r="T148" s="39">
        <v>45979</v>
      </c>
      <c r="U148" s="14"/>
    </row>
    <row r="149" spans="1:21" s="3" customFormat="1" ht="19.649999999999999" customHeight="1" x14ac:dyDescent="0.2">
      <c r="A149" s="147" t="s">
        <v>44</v>
      </c>
      <c r="B149" s="219" t="s">
        <v>308</v>
      </c>
      <c r="C149" s="1">
        <f>0.01*J149</f>
        <v>0.24</v>
      </c>
      <c r="D149" s="188"/>
      <c r="E149" s="1"/>
      <c r="F149" s="60">
        <f t="shared" si="14"/>
        <v>99</v>
      </c>
      <c r="G149" s="95" t="s">
        <v>25</v>
      </c>
      <c r="H149" s="95" t="s">
        <v>25</v>
      </c>
      <c r="I149" s="186" t="s">
        <v>94</v>
      </c>
      <c r="J149" s="180">
        <v>24</v>
      </c>
      <c r="K149" s="183">
        <v>56</v>
      </c>
      <c r="L149" s="228">
        <f t="shared" si="15"/>
        <v>1344</v>
      </c>
      <c r="M149" s="2"/>
      <c r="N149" s="76" t="s">
        <v>95</v>
      </c>
      <c r="O149" s="23" t="s">
        <v>96</v>
      </c>
      <c r="P149" s="236" t="s">
        <v>310</v>
      </c>
      <c r="Q149" s="11">
        <v>45965</v>
      </c>
      <c r="R149" s="68"/>
      <c r="S149" s="220">
        <v>45978</v>
      </c>
      <c r="T149" s="39">
        <v>45979</v>
      </c>
      <c r="U149" s="14"/>
    </row>
    <row r="150" spans="1:21" s="3" customFormat="1" ht="19.649999999999999" customHeight="1" x14ac:dyDescent="0.2">
      <c r="A150" s="147" t="s">
        <v>44</v>
      </c>
      <c r="B150" s="219" t="s">
        <v>308</v>
      </c>
      <c r="C150" s="1">
        <f>0.01*J150</f>
        <v>0.24</v>
      </c>
      <c r="D150" s="188"/>
      <c r="E150" s="1"/>
      <c r="F150" s="60">
        <f t="shared" si="14"/>
        <v>100</v>
      </c>
      <c r="G150" s="95" t="s">
        <v>25</v>
      </c>
      <c r="H150" s="95" t="s">
        <v>25</v>
      </c>
      <c r="I150" s="186" t="s">
        <v>75</v>
      </c>
      <c r="J150" s="180">
        <v>24</v>
      </c>
      <c r="K150" s="183">
        <v>52</v>
      </c>
      <c r="L150" s="228">
        <f t="shared" si="15"/>
        <v>1248</v>
      </c>
      <c r="M150" s="2"/>
      <c r="N150" s="76" t="s">
        <v>72</v>
      </c>
      <c r="O150" s="23" t="s">
        <v>96</v>
      </c>
      <c r="P150" s="236" t="s">
        <v>310</v>
      </c>
      <c r="Q150" s="11">
        <v>45965</v>
      </c>
      <c r="R150" s="68"/>
      <c r="S150" s="220">
        <v>45978</v>
      </c>
      <c r="T150" s="39">
        <v>45979</v>
      </c>
      <c r="U150" s="14"/>
    </row>
    <row r="151" spans="1:21" s="3" customFormat="1" ht="19.649999999999999" customHeight="1" x14ac:dyDescent="0.2">
      <c r="A151" s="147" t="s">
        <v>44</v>
      </c>
      <c r="B151" s="219" t="s">
        <v>308</v>
      </c>
      <c r="C151" s="1">
        <f>0.086*J151</f>
        <v>0.17199999999999999</v>
      </c>
      <c r="D151" s="188"/>
      <c r="E151" s="1"/>
      <c r="F151" s="60">
        <f t="shared" si="14"/>
        <v>101</v>
      </c>
      <c r="G151" s="132" t="s">
        <v>35</v>
      </c>
      <c r="H151" s="132" t="s">
        <v>35</v>
      </c>
      <c r="I151" s="186" t="s">
        <v>97</v>
      </c>
      <c r="J151" s="180">
        <v>2</v>
      </c>
      <c r="K151" s="183">
        <v>5329</v>
      </c>
      <c r="L151" s="228">
        <f t="shared" si="15"/>
        <v>10658</v>
      </c>
      <c r="M151" s="2"/>
      <c r="N151" s="76" t="s">
        <v>98</v>
      </c>
      <c r="O151" s="61" t="s">
        <v>92</v>
      </c>
      <c r="P151" s="236" t="s">
        <v>310</v>
      </c>
      <c r="Q151" s="11">
        <v>45965</v>
      </c>
      <c r="R151" s="68"/>
      <c r="S151" s="220">
        <v>45978</v>
      </c>
      <c r="T151" s="39">
        <v>45979</v>
      </c>
      <c r="U151" s="14"/>
    </row>
    <row r="152" spans="1:21" s="3" customFormat="1" ht="19.649999999999999" customHeight="1" x14ac:dyDescent="0.2">
      <c r="A152" s="147" t="s">
        <v>31</v>
      </c>
      <c r="B152" s="219" t="s">
        <v>308</v>
      </c>
      <c r="C152" s="1">
        <f>1.59*J152</f>
        <v>6.36</v>
      </c>
      <c r="D152" s="188"/>
      <c r="E152" s="1"/>
      <c r="F152" s="60">
        <f t="shared" si="14"/>
        <v>102</v>
      </c>
      <c r="G152" s="132" t="s">
        <v>35</v>
      </c>
      <c r="H152" s="132" t="s">
        <v>35</v>
      </c>
      <c r="I152" s="153" t="s">
        <v>248</v>
      </c>
      <c r="J152" s="159">
        <v>4</v>
      </c>
      <c r="K152" s="153">
        <v>4881</v>
      </c>
      <c r="L152" s="228">
        <f t="shared" si="15"/>
        <v>19524</v>
      </c>
      <c r="M152" s="205"/>
      <c r="N152" s="76" t="s">
        <v>236</v>
      </c>
      <c r="O152" s="82" t="s">
        <v>91</v>
      </c>
      <c r="P152" s="236" t="s">
        <v>310</v>
      </c>
      <c r="Q152" s="11">
        <v>45965</v>
      </c>
      <c r="R152" s="68"/>
      <c r="S152" s="220">
        <v>45978</v>
      </c>
      <c r="T152" s="39">
        <v>45979</v>
      </c>
      <c r="U152" s="14"/>
    </row>
    <row r="153" spans="1:21" s="3" customFormat="1" ht="19.649999999999999" customHeight="1" x14ac:dyDescent="0.2">
      <c r="A153" s="147" t="s">
        <v>44</v>
      </c>
      <c r="B153" s="219" t="s">
        <v>308</v>
      </c>
      <c r="C153" s="1">
        <f>0.008*J153</f>
        <v>0.128</v>
      </c>
      <c r="D153" s="188"/>
      <c r="E153" s="1"/>
      <c r="F153" s="60">
        <f t="shared" si="14"/>
        <v>103</v>
      </c>
      <c r="G153" s="95" t="s">
        <v>25</v>
      </c>
      <c r="H153" s="95" t="s">
        <v>25</v>
      </c>
      <c r="I153" s="155" t="s">
        <v>200</v>
      </c>
      <c r="J153" s="158">
        <v>16</v>
      </c>
      <c r="K153" s="159">
        <v>35</v>
      </c>
      <c r="L153" s="228">
        <f t="shared" si="15"/>
        <v>560</v>
      </c>
      <c r="M153" s="66"/>
      <c r="N153" s="76" t="s">
        <v>203</v>
      </c>
      <c r="O153" s="82" t="s">
        <v>91</v>
      </c>
      <c r="P153" s="236" t="s">
        <v>310</v>
      </c>
      <c r="Q153" s="11">
        <v>45965</v>
      </c>
      <c r="R153" s="68"/>
      <c r="S153" s="220">
        <v>45978</v>
      </c>
      <c r="T153" s="39">
        <v>45979</v>
      </c>
      <c r="U153" s="14"/>
    </row>
    <row r="154" spans="1:21" s="3" customFormat="1" ht="19.649999999999999" customHeight="1" x14ac:dyDescent="0.2">
      <c r="A154" s="147" t="s">
        <v>44</v>
      </c>
      <c r="B154" s="219" t="s">
        <v>308</v>
      </c>
      <c r="C154" s="1">
        <f>0.008*J154</f>
        <v>6.4000000000000001E-2</v>
      </c>
      <c r="D154" s="188"/>
      <c r="E154" s="1"/>
      <c r="F154" s="60">
        <f t="shared" si="14"/>
        <v>104</v>
      </c>
      <c r="G154" s="95" t="s">
        <v>25</v>
      </c>
      <c r="H154" s="95" t="s">
        <v>25</v>
      </c>
      <c r="I154" s="155" t="s">
        <v>99</v>
      </c>
      <c r="J154" s="158">
        <v>8</v>
      </c>
      <c r="K154" s="159">
        <v>35</v>
      </c>
      <c r="L154" s="228">
        <f t="shared" si="15"/>
        <v>280</v>
      </c>
      <c r="M154" s="66"/>
      <c r="N154" s="76" t="s">
        <v>204</v>
      </c>
      <c r="O154" s="82" t="s">
        <v>91</v>
      </c>
      <c r="P154" s="236" t="s">
        <v>310</v>
      </c>
      <c r="Q154" s="11">
        <v>45965</v>
      </c>
      <c r="R154" s="68"/>
      <c r="S154" s="220">
        <v>45978</v>
      </c>
      <c r="T154" s="39">
        <v>45979</v>
      </c>
      <c r="U154" s="14"/>
    </row>
    <row r="155" spans="1:21" s="3" customFormat="1" ht="19.649999999999999" customHeight="1" x14ac:dyDescent="0.2">
      <c r="A155" s="147" t="s">
        <v>44</v>
      </c>
      <c r="B155" s="219" t="s">
        <v>308</v>
      </c>
      <c r="C155" s="1">
        <f>0.007*J155</f>
        <v>5.6000000000000001E-2</v>
      </c>
      <c r="D155" s="188"/>
      <c r="E155" s="1"/>
      <c r="F155" s="60">
        <f t="shared" si="14"/>
        <v>105</v>
      </c>
      <c r="G155" s="136" t="s">
        <v>25</v>
      </c>
      <c r="H155" s="136" t="s">
        <v>25</v>
      </c>
      <c r="I155" s="187" t="s">
        <v>85</v>
      </c>
      <c r="J155" s="158">
        <v>8</v>
      </c>
      <c r="K155" s="159">
        <v>40</v>
      </c>
      <c r="L155" s="228">
        <f t="shared" si="15"/>
        <v>320</v>
      </c>
      <c r="M155" s="66"/>
      <c r="N155" s="76" t="s">
        <v>259</v>
      </c>
      <c r="O155" s="82" t="s">
        <v>91</v>
      </c>
      <c r="P155" s="236" t="s">
        <v>310</v>
      </c>
      <c r="Q155" s="11">
        <v>45965</v>
      </c>
      <c r="R155" s="68"/>
      <c r="S155" s="220">
        <v>45978</v>
      </c>
      <c r="T155" s="39">
        <v>45979</v>
      </c>
      <c r="U155" s="14"/>
    </row>
    <row r="156" spans="1:21" s="3" customFormat="1" ht="19.649999999999999" customHeight="1" x14ac:dyDescent="0.2">
      <c r="A156" s="147" t="s">
        <v>31</v>
      </c>
      <c r="B156" s="219" t="s">
        <v>308</v>
      </c>
      <c r="C156" s="1">
        <f>3.7*J156</f>
        <v>3.7</v>
      </c>
      <c r="D156" s="188"/>
      <c r="E156" s="1"/>
      <c r="F156" s="60">
        <f t="shared" si="14"/>
        <v>106</v>
      </c>
      <c r="G156" s="132" t="s">
        <v>35</v>
      </c>
      <c r="H156" s="132" t="s">
        <v>35</v>
      </c>
      <c r="I156" s="153" t="s">
        <v>247</v>
      </c>
      <c r="J156" s="159">
        <v>1</v>
      </c>
      <c r="K156" s="153">
        <v>9718</v>
      </c>
      <c r="L156" s="228">
        <f t="shared" si="15"/>
        <v>9718</v>
      </c>
      <c r="M156" s="205"/>
      <c r="N156" s="76" t="s">
        <v>237</v>
      </c>
      <c r="O156" s="61" t="s">
        <v>90</v>
      </c>
      <c r="P156" s="236" t="s">
        <v>310</v>
      </c>
      <c r="Q156" s="11">
        <v>45965</v>
      </c>
      <c r="R156" s="68"/>
      <c r="S156" s="220">
        <v>45978</v>
      </c>
      <c r="T156" s="39">
        <v>45979</v>
      </c>
      <c r="U156" s="14"/>
    </row>
    <row r="157" spans="1:21" s="3" customFormat="1" ht="19.649999999999999" customHeight="1" x14ac:dyDescent="0.2">
      <c r="A157" s="147" t="s">
        <v>44</v>
      </c>
      <c r="B157" s="219" t="s">
        <v>308</v>
      </c>
      <c r="C157" s="1">
        <f>0.008*J157</f>
        <v>3.2000000000000001E-2</v>
      </c>
      <c r="D157" s="188"/>
      <c r="E157" s="1"/>
      <c r="F157" s="60">
        <f t="shared" si="14"/>
        <v>107</v>
      </c>
      <c r="G157" s="95" t="s">
        <v>25</v>
      </c>
      <c r="H157" s="95" t="s">
        <v>25</v>
      </c>
      <c r="I157" s="155" t="s">
        <v>200</v>
      </c>
      <c r="J157" s="158">
        <v>4</v>
      </c>
      <c r="K157" s="159">
        <v>35</v>
      </c>
      <c r="L157" s="228">
        <f t="shared" si="15"/>
        <v>140</v>
      </c>
      <c r="M157" s="66"/>
      <c r="N157" s="76" t="s">
        <v>201</v>
      </c>
      <c r="O157" s="82" t="s">
        <v>91</v>
      </c>
      <c r="P157" s="236" t="s">
        <v>310</v>
      </c>
      <c r="Q157" s="11">
        <v>45965</v>
      </c>
      <c r="R157" s="68"/>
      <c r="S157" s="220">
        <v>45978</v>
      </c>
      <c r="T157" s="39">
        <v>45979</v>
      </c>
      <c r="U157" s="14"/>
    </row>
    <row r="158" spans="1:21" s="3" customFormat="1" ht="19.649999999999999" customHeight="1" x14ac:dyDescent="0.2">
      <c r="A158" s="147" t="s">
        <v>44</v>
      </c>
      <c r="B158" s="219" t="s">
        <v>308</v>
      </c>
      <c r="C158" s="1">
        <f>0.008*J158</f>
        <v>4.8000000000000001E-2</v>
      </c>
      <c r="D158" s="188"/>
      <c r="E158" s="1"/>
      <c r="F158" s="60">
        <f t="shared" si="14"/>
        <v>108</v>
      </c>
      <c r="G158" s="95" t="s">
        <v>25</v>
      </c>
      <c r="H158" s="95" t="s">
        <v>25</v>
      </c>
      <c r="I158" s="155" t="s">
        <v>99</v>
      </c>
      <c r="J158" s="158">
        <v>6</v>
      </c>
      <c r="K158" s="159">
        <v>35</v>
      </c>
      <c r="L158" s="228">
        <f t="shared" si="15"/>
        <v>210</v>
      </c>
      <c r="M158" s="66"/>
      <c r="N158" s="76" t="s">
        <v>202</v>
      </c>
      <c r="O158" s="82" t="s">
        <v>91</v>
      </c>
      <c r="P158" s="236" t="s">
        <v>310</v>
      </c>
      <c r="Q158" s="11">
        <v>45965</v>
      </c>
      <c r="R158" s="68"/>
      <c r="S158" s="220">
        <v>45978</v>
      </c>
      <c r="T158" s="39">
        <v>45979</v>
      </c>
      <c r="U158" s="14"/>
    </row>
    <row r="159" spans="1:21" s="3" customFormat="1" ht="19.649999999999999" customHeight="1" x14ac:dyDescent="0.2">
      <c r="A159" s="147" t="s">
        <v>44</v>
      </c>
      <c r="B159" s="219" t="s">
        <v>308</v>
      </c>
      <c r="C159" s="1">
        <f>0.007*J159</f>
        <v>4.2000000000000003E-2</v>
      </c>
      <c r="D159" s="188"/>
      <c r="E159" s="1"/>
      <c r="F159" s="60">
        <f t="shared" si="14"/>
        <v>109</v>
      </c>
      <c r="G159" s="136" t="s">
        <v>25</v>
      </c>
      <c r="H159" s="136" t="s">
        <v>25</v>
      </c>
      <c r="I159" s="187" t="s">
        <v>85</v>
      </c>
      <c r="J159" s="158">
        <v>6</v>
      </c>
      <c r="K159" s="159">
        <v>40</v>
      </c>
      <c r="L159" s="228">
        <f t="shared" si="15"/>
        <v>240</v>
      </c>
      <c r="M159" s="66"/>
      <c r="N159" s="76" t="s">
        <v>215</v>
      </c>
      <c r="O159" s="82" t="s">
        <v>91</v>
      </c>
      <c r="P159" s="236" t="s">
        <v>310</v>
      </c>
      <c r="Q159" s="11">
        <v>45965</v>
      </c>
      <c r="R159" s="68"/>
      <c r="S159" s="220">
        <v>45978</v>
      </c>
      <c r="T159" s="39">
        <v>45979</v>
      </c>
      <c r="U159" s="14"/>
    </row>
    <row r="160" spans="1:21" s="3" customFormat="1" ht="19.649999999999999" customHeight="1" x14ac:dyDescent="0.2">
      <c r="A160" s="147" t="s">
        <v>44</v>
      </c>
      <c r="B160" s="219" t="s">
        <v>308</v>
      </c>
      <c r="C160" s="1">
        <f>0.008*J160</f>
        <v>6.4000000000000001E-2</v>
      </c>
      <c r="D160" s="188"/>
      <c r="E160" s="1"/>
      <c r="F160" s="60">
        <f t="shared" si="14"/>
        <v>110</v>
      </c>
      <c r="G160" s="136" t="s">
        <v>25</v>
      </c>
      <c r="H160" s="136" t="s">
        <v>25</v>
      </c>
      <c r="I160" s="155" t="s">
        <v>217</v>
      </c>
      <c r="J160" s="158">
        <v>8</v>
      </c>
      <c r="K160" s="159">
        <v>267</v>
      </c>
      <c r="L160" s="228">
        <f t="shared" si="15"/>
        <v>2136</v>
      </c>
      <c r="M160" s="2"/>
      <c r="N160" s="76" t="s">
        <v>227</v>
      </c>
      <c r="O160" s="82" t="s">
        <v>91</v>
      </c>
      <c r="P160" s="236" t="s">
        <v>310</v>
      </c>
      <c r="Q160" s="11">
        <v>45965</v>
      </c>
      <c r="R160" s="68"/>
      <c r="S160" s="220">
        <v>45978</v>
      </c>
      <c r="T160" s="39">
        <v>45979</v>
      </c>
      <c r="U160" s="14"/>
    </row>
    <row r="161" spans="1:21" ht="19.649999999999999" customHeight="1" x14ac:dyDescent="0.2">
      <c r="A161" s="147" t="s">
        <v>44</v>
      </c>
      <c r="B161" s="219" t="s">
        <v>308</v>
      </c>
      <c r="C161" s="1">
        <v>0.1</v>
      </c>
      <c r="D161" s="189"/>
      <c r="E161" s="37"/>
      <c r="F161" s="60">
        <f t="shared" si="14"/>
        <v>111</v>
      </c>
      <c r="G161" s="136" t="s">
        <v>25</v>
      </c>
      <c r="H161" s="136" t="s">
        <v>25</v>
      </c>
      <c r="I161" s="181" t="s">
        <v>219</v>
      </c>
      <c r="J161" s="158">
        <v>4</v>
      </c>
      <c r="K161" s="159">
        <v>247</v>
      </c>
      <c r="L161" s="221">
        <f t="shared" si="15"/>
        <v>988</v>
      </c>
      <c r="M161" s="66"/>
      <c r="N161" s="51" t="s">
        <v>226</v>
      </c>
      <c r="O161" s="82" t="s">
        <v>216</v>
      </c>
      <c r="P161" s="236" t="s">
        <v>310</v>
      </c>
      <c r="Q161" s="11">
        <v>45965</v>
      </c>
      <c r="R161" s="68"/>
      <c r="S161" s="220">
        <v>45978</v>
      </c>
      <c r="T161" s="39">
        <v>45979</v>
      </c>
      <c r="U161" s="14"/>
    </row>
    <row r="162" spans="1:21" ht="19.649999999999999" customHeight="1" x14ac:dyDescent="0.2">
      <c r="A162" s="147" t="s">
        <v>44</v>
      </c>
      <c r="B162" s="219" t="s">
        <v>308</v>
      </c>
      <c r="C162" s="1">
        <f>+(280/1000)*0.9*J162</f>
        <v>0.50400000000000011</v>
      </c>
      <c r="D162" s="189"/>
      <c r="E162" s="37"/>
      <c r="F162" s="60">
        <f t="shared" si="14"/>
        <v>112</v>
      </c>
      <c r="G162" s="136" t="s">
        <v>25</v>
      </c>
      <c r="H162" s="136" t="s">
        <v>25</v>
      </c>
      <c r="I162" s="181" t="s">
        <v>220</v>
      </c>
      <c r="J162" s="158">
        <v>2</v>
      </c>
      <c r="K162" s="159">
        <v>427</v>
      </c>
      <c r="L162" s="221">
        <f t="shared" si="15"/>
        <v>854</v>
      </c>
      <c r="M162" s="66"/>
      <c r="N162" s="51" t="s">
        <v>225</v>
      </c>
      <c r="O162" s="82" t="s">
        <v>216</v>
      </c>
      <c r="P162" s="236" t="s">
        <v>310</v>
      </c>
      <c r="Q162" s="11">
        <v>45965</v>
      </c>
      <c r="R162" s="68"/>
      <c r="S162" s="220">
        <v>45978</v>
      </c>
      <c r="T162" s="39">
        <v>45979</v>
      </c>
      <c r="U162" s="14"/>
    </row>
    <row r="163" spans="1:21" ht="19.649999999999999" customHeight="1" x14ac:dyDescent="0.2">
      <c r="A163" s="147" t="s">
        <v>44</v>
      </c>
      <c r="B163" s="219" t="s">
        <v>308</v>
      </c>
      <c r="C163" s="1">
        <f>+(693/1000)*1.8*J163</f>
        <v>2.4947999999999997</v>
      </c>
      <c r="D163" s="189"/>
      <c r="E163" s="37"/>
      <c r="F163" s="60">
        <f t="shared" si="14"/>
        <v>113</v>
      </c>
      <c r="G163" s="136" t="s">
        <v>25</v>
      </c>
      <c r="H163" s="136" t="s">
        <v>25</v>
      </c>
      <c r="I163" s="181" t="s">
        <v>260</v>
      </c>
      <c r="J163" s="158">
        <v>2</v>
      </c>
      <c r="K163" s="159">
        <v>432</v>
      </c>
      <c r="L163" s="221">
        <f t="shared" si="15"/>
        <v>864</v>
      </c>
      <c r="M163" s="66"/>
      <c r="N163" s="51" t="s">
        <v>261</v>
      </c>
      <c r="O163" s="82" t="s">
        <v>216</v>
      </c>
      <c r="P163" s="236" t="s">
        <v>310</v>
      </c>
      <c r="Q163" s="11">
        <v>45965</v>
      </c>
      <c r="R163" s="68"/>
      <c r="S163" s="220">
        <v>45978</v>
      </c>
      <c r="T163" s="39">
        <v>45979</v>
      </c>
      <c r="U163" s="14"/>
    </row>
    <row r="164" spans="1:21" ht="19.649999999999999" customHeight="1" x14ac:dyDescent="0.2">
      <c r="A164" s="147" t="s">
        <v>44</v>
      </c>
      <c r="B164" s="219" t="s">
        <v>308</v>
      </c>
      <c r="C164" s="1">
        <f>0.005*J164</f>
        <v>0.02</v>
      </c>
      <c r="D164" s="188"/>
      <c r="E164" s="1"/>
      <c r="F164" s="60">
        <f t="shared" si="14"/>
        <v>114</v>
      </c>
      <c r="G164" s="136" t="s">
        <v>25</v>
      </c>
      <c r="H164" s="136" t="s">
        <v>25</v>
      </c>
      <c r="I164" s="153" t="s">
        <v>315</v>
      </c>
      <c r="J164" s="159">
        <v>4</v>
      </c>
      <c r="K164" s="153">
        <v>53</v>
      </c>
      <c r="L164" s="221">
        <f t="shared" si="15"/>
        <v>212</v>
      </c>
      <c r="M164" s="2"/>
      <c r="N164" s="76" t="s">
        <v>73</v>
      </c>
      <c r="O164" s="82" t="s">
        <v>216</v>
      </c>
      <c r="P164" s="236" t="s">
        <v>310</v>
      </c>
      <c r="Q164" s="11">
        <v>45965</v>
      </c>
      <c r="R164" s="68"/>
      <c r="S164" s="220">
        <v>45978</v>
      </c>
      <c r="T164" s="39">
        <v>45979</v>
      </c>
      <c r="U164" s="14"/>
    </row>
    <row r="165" spans="1:21" ht="19.649999999999999" customHeight="1" x14ac:dyDescent="0.2">
      <c r="A165" s="147" t="s">
        <v>44</v>
      </c>
      <c r="B165" s="219" t="s">
        <v>308</v>
      </c>
      <c r="C165" s="1">
        <f>0.005*J165</f>
        <v>0.02</v>
      </c>
      <c r="D165" s="188"/>
      <c r="E165" s="1"/>
      <c r="F165" s="60">
        <f t="shared" si="14"/>
        <v>115</v>
      </c>
      <c r="G165" s="245" t="s">
        <v>25</v>
      </c>
      <c r="H165" s="245" t="s">
        <v>25</v>
      </c>
      <c r="I165" s="246" t="s">
        <v>316</v>
      </c>
      <c r="J165" s="247">
        <v>4</v>
      </c>
      <c r="K165" s="246">
        <v>210</v>
      </c>
      <c r="L165" s="248">
        <f t="shared" si="15"/>
        <v>840</v>
      </c>
      <c r="M165" s="2"/>
      <c r="N165" s="76" t="s">
        <v>73</v>
      </c>
      <c r="O165" s="82" t="s">
        <v>216</v>
      </c>
      <c r="P165" s="249" t="s">
        <v>317</v>
      </c>
      <c r="Q165" s="11">
        <v>45993</v>
      </c>
      <c r="R165" s="68"/>
      <c r="S165" s="220">
        <v>45994</v>
      </c>
      <c r="T165" s="39">
        <v>45995</v>
      </c>
      <c r="U165" s="14"/>
    </row>
    <row r="166" spans="1:21" s="3" customFormat="1" ht="19.649999999999999" customHeight="1" x14ac:dyDescent="0.2">
      <c r="A166" s="147" t="s">
        <v>31</v>
      </c>
      <c r="B166" s="219" t="s">
        <v>308</v>
      </c>
      <c r="C166" s="1">
        <f>1.47*J166</f>
        <v>1.47</v>
      </c>
      <c r="D166" s="188"/>
      <c r="E166" s="1"/>
      <c r="F166" s="60">
        <f t="shared" si="14"/>
        <v>116</v>
      </c>
      <c r="G166" s="4" t="s">
        <v>32</v>
      </c>
      <c r="H166" s="132" t="s">
        <v>35</v>
      </c>
      <c r="I166" s="181" t="s">
        <v>295</v>
      </c>
      <c r="J166" s="158">
        <v>1</v>
      </c>
      <c r="K166" s="159">
        <v>11909</v>
      </c>
      <c r="L166" s="221">
        <f t="shared" si="15"/>
        <v>11909</v>
      </c>
      <c r="M166" s="205"/>
      <c r="N166" s="51" t="s">
        <v>296</v>
      </c>
      <c r="O166" s="82" t="s">
        <v>216</v>
      </c>
      <c r="P166" s="236" t="s">
        <v>310</v>
      </c>
      <c r="Q166" s="11">
        <v>45965</v>
      </c>
      <c r="R166" s="68"/>
      <c r="S166" s="220">
        <v>45978</v>
      </c>
      <c r="T166" s="39">
        <v>45979</v>
      </c>
      <c r="U166" s="14"/>
    </row>
    <row r="167" spans="1:21" s="3" customFormat="1" ht="19.649999999999999" customHeight="1" x14ac:dyDescent="0.2">
      <c r="A167" s="147" t="s">
        <v>44</v>
      </c>
      <c r="B167" s="219" t="s">
        <v>308</v>
      </c>
      <c r="C167" s="1">
        <f>0.007*J167</f>
        <v>1.4E-2</v>
      </c>
      <c r="D167" s="188"/>
      <c r="E167" s="1"/>
      <c r="F167" s="60">
        <f t="shared" si="14"/>
        <v>117</v>
      </c>
      <c r="G167" s="136" t="s">
        <v>25</v>
      </c>
      <c r="H167" s="136" t="s">
        <v>25</v>
      </c>
      <c r="I167" s="187" t="s">
        <v>85</v>
      </c>
      <c r="J167" s="158">
        <v>2</v>
      </c>
      <c r="K167" s="159">
        <v>40</v>
      </c>
      <c r="L167" s="228">
        <f t="shared" si="15"/>
        <v>80</v>
      </c>
      <c r="M167" s="66"/>
      <c r="N167" s="76" t="s">
        <v>215</v>
      </c>
      <c r="O167" s="82" t="s">
        <v>216</v>
      </c>
      <c r="P167" s="236" t="s">
        <v>310</v>
      </c>
      <c r="Q167" s="11">
        <v>45965</v>
      </c>
      <c r="R167" s="68"/>
      <c r="S167" s="220">
        <v>45978</v>
      </c>
      <c r="T167" s="39">
        <v>45979</v>
      </c>
      <c r="U167" s="14"/>
    </row>
    <row r="168" spans="1:21" s="3" customFormat="1" ht="19.649999999999999" customHeight="1" x14ac:dyDescent="0.2">
      <c r="A168" s="147" t="s">
        <v>44</v>
      </c>
      <c r="B168" s="219" t="s">
        <v>308</v>
      </c>
      <c r="C168" s="1">
        <f>0.01*J168</f>
        <v>0.04</v>
      </c>
      <c r="D168" s="188"/>
      <c r="E168" s="1"/>
      <c r="F168" s="60">
        <f t="shared" si="14"/>
        <v>118</v>
      </c>
      <c r="G168" s="95" t="s">
        <v>25</v>
      </c>
      <c r="H168" s="95" t="s">
        <v>25</v>
      </c>
      <c r="I168" s="186" t="s">
        <v>262</v>
      </c>
      <c r="J168" s="180">
        <v>4</v>
      </c>
      <c r="K168" s="183">
        <v>97</v>
      </c>
      <c r="L168" s="228">
        <f t="shared" si="15"/>
        <v>388</v>
      </c>
      <c r="M168" s="2"/>
      <c r="N168" s="76" t="s">
        <v>95</v>
      </c>
      <c r="O168" s="82" t="s">
        <v>216</v>
      </c>
      <c r="P168" s="236" t="s">
        <v>310</v>
      </c>
      <c r="Q168" s="11">
        <v>45965</v>
      </c>
      <c r="R168" s="68"/>
      <c r="S168" s="220">
        <v>45978</v>
      </c>
      <c r="T168" s="39">
        <v>45979</v>
      </c>
      <c r="U168" s="14"/>
    </row>
    <row r="169" spans="1:21" s="3" customFormat="1" ht="19.649999999999999" customHeight="1" x14ac:dyDescent="0.2">
      <c r="A169" s="147" t="s">
        <v>44</v>
      </c>
      <c r="B169" s="219" t="s">
        <v>308</v>
      </c>
      <c r="C169" s="1">
        <f>0.01*J169</f>
        <v>0.02</v>
      </c>
      <c r="D169" s="188"/>
      <c r="E169" s="1"/>
      <c r="F169" s="60">
        <f t="shared" si="14"/>
        <v>119</v>
      </c>
      <c r="G169" s="95" t="s">
        <v>25</v>
      </c>
      <c r="H169" s="95" t="s">
        <v>25</v>
      </c>
      <c r="I169" s="186" t="s">
        <v>263</v>
      </c>
      <c r="J169" s="180">
        <v>2</v>
      </c>
      <c r="K169" s="183">
        <v>157</v>
      </c>
      <c r="L169" s="228">
        <f t="shared" si="15"/>
        <v>314</v>
      </c>
      <c r="M169" s="2"/>
      <c r="N169" s="76" t="s">
        <v>95</v>
      </c>
      <c r="O169" s="82" t="s">
        <v>216</v>
      </c>
      <c r="P169" s="236" t="s">
        <v>310</v>
      </c>
      <c r="Q169" s="11">
        <v>45965</v>
      </c>
      <c r="R169" s="68"/>
      <c r="S169" s="220">
        <v>45978</v>
      </c>
      <c r="T169" s="39">
        <v>45979</v>
      </c>
      <c r="U169" s="14"/>
    </row>
    <row r="170" spans="1:21" s="3" customFormat="1" ht="19.649999999999999" customHeight="1" x14ac:dyDescent="0.2">
      <c r="A170" s="147" t="s">
        <v>31</v>
      </c>
      <c r="B170" s="219" t="s">
        <v>308</v>
      </c>
      <c r="C170" s="1">
        <f>1.5*J170</f>
        <v>3</v>
      </c>
      <c r="D170" s="188"/>
      <c r="E170" s="1"/>
      <c r="F170" s="60">
        <f t="shared" si="14"/>
        <v>120</v>
      </c>
      <c r="G170" s="4" t="s">
        <v>32</v>
      </c>
      <c r="H170" s="132" t="s">
        <v>35</v>
      </c>
      <c r="I170" s="181" t="s">
        <v>246</v>
      </c>
      <c r="J170" s="158">
        <v>2</v>
      </c>
      <c r="K170" s="159">
        <v>3892</v>
      </c>
      <c r="L170" s="221">
        <f t="shared" si="15"/>
        <v>7784</v>
      </c>
      <c r="M170" s="205"/>
      <c r="N170" s="137" t="s">
        <v>218</v>
      </c>
      <c r="O170" s="82" t="s">
        <v>216</v>
      </c>
      <c r="P170" s="236" t="s">
        <v>310</v>
      </c>
      <c r="Q170" s="11">
        <v>45965</v>
      </c>
      <c r="R170" s="68"/>
      <c r="S170" s="220">
        <v>45978</v>
      </c>
      <c r="T170" s="39">
        <v>45979</v>
      </c>
      <c r="U170" s="14"/>
    </row>
    <row r="171" spans="1:21" s="3" customFormat="1" ht="19.649999999999999" customHeight="1" x14ac:dyDescent="0.2">
      <c r="A171" s="147" t="s">
        <v>44</v>
      </c>
      <c r="B171" s="219" t="s">
        <v>308</v>
      </c>
      <c r="C171" s="1">
        <f>0.01*J171</f>
        <v>0.06</v>
      </c>
      <c r="D171" s="189"/>
      <c r="E171" s="1"/>
      <c r="F171" s="60">
        <f t="shared" si="14"/>
        <v>121</v>
      </c>
      <c r="G171" s="95" t="s">
        <v>25</v>
      </c>
      <c r="H171" s="95" t="s">
        <v>25</v>
      </c>
      <c r="I171" s="155" t="s">
        <v>75</v>
      </c>
      <c r="J171" s="158">
        <v>6</v>
      </c>
      <c r="K171" s="159">
        <v>52</v>
      </c>
      <c r="L171" s="228">
        <f t="shared" si="15"/>
        <v>312</v>
      </c>
      <c r="M171" s="66"/>
      <c r="N171" s="76" t="s">
        <v>72</v>
      </c>
      <c r="O171" s="82" t="s">
        <v>216</v>
      </c>
      <c r="P171" s="236" t="s">
        <v>310</v>
      </c>
      <c r="Q171" s="11">
        <v>45965</v>
      </c>
      <c r="R171" s="68"/>
      <c r="S171" s="220">
        <v>45978</v>
      </c>
      <c r="T171" s="39">
        <v>45979</v>
      </c>
      <c r="U171" s="14"/>
    </row>
    <row r="172" spans="1:21" s="3" customFormat="1" ht="19.649999999999999" customHeight="1" x14ac:dyDescent="0.2">
      <c r="A172" s="147" t="s">
        <v>44</v>
      </c>
      <c r="B172" s="219" t="s">
        <v>308</v>
      </c>
      <c r="C172" s="1">
        <f>0.005*J172</f>
        <v>0.04</v>
      </c>
      <c r="D172" s="188"/>
      <c r="E172" s="1"/>
      <c r="F172" s="60">
        <f t="shared" si="14"/>
        <v>122</v>
      </c>
      <c r="G172" s="95" t="s">
        <v>25</v>
      </c>
      <c r="H172" s="95" t="s">
        <v>25</v>
      </c>
      <c r="I172" s="186" t="s">
        <v>221</v>
      </c>
      <c r="J172" s="180">
        <v>8</v>
      </c>
      <c r="K172" s="183">
        <v>47</v>
      </c>
      <c r="L172" s="221">
        <f t="shared" si="15"/>
        <v>376</v>
      </c>
      <c r="M172" s="2"/>
      <c r="N172" s="76" t="s">
        <v>93</v>
      </c>
      <c r="O172" s="82" t="s">
        <v>216</v>
      </c>
      <c r="P172" s="236" t="s">
        <v>310</v>
      </c>
      <c r="Q172" s="11">
        <v>45965</v>
      </c>
      <c r="R172" s="68"/>
      <c r="S172" s="220">
        <v>45978</v>
      </c>
      <c r="T172" s="39">
        <v>45979</v>
      </c>
      <c r="U172" s="14"/>
    </row>
    <row r="173" spans="1:21" s="3" customFormat="1" ht="19.649999999999999" customHeight="1" x14ac:dyDescent="0.2">
      <c r="A173" s="147" t="s">
        <v>44</v>
      </c>
      <c r="B173" s="219" t="s">
        <v>308</v>
      </c>
      <c r="C173" s="1">
        <f>0.005*J173</f>
        <v>0.02</v>
      </c>
      <c r="D173" s="188"/>
      <c r="E173" s="1"/>
      <c r="F173" s="60">
        <f t="shared" si="14"/>
        <v>123</v>
      </c>
      <c r="G173" s="95" t="s">
        <v>25</v>
      </c>
      <c r="H173" s="95" t="s">
        <v>25</v>
      </c>
      <c r="I173" s="186" t="s">
        <v>36</v>
      </c>
      <c r="J173" s="180">
        <v>4</v>
      </c>
      <c r="K173" s="183">
        <v>77</v>
      </c>
      <c r="L173" s="221">
        <f t="shared" si="15"/>
        <v>308</v>
      </c>
      <c r="M173" s="2"/>
      <c r="N173" s="76" t="s">
        <v>93</v>
      </c>
      <c r="O173" s="82" t="s">
        <v>216</v>
      </c>
      <c r="P173" s="236" t="s">
        <v>310</v>
      </c>
      <c r="Q173" s="11">
        <v>45965</v>
      </c>
      <c r="R173" s="68"/>
      <c r="S173" s="220">
        <v>45978</v>
      </c>
      <c r="T173" s="39">
        <v>45979</v>
      </c>
      <c r="U173" s="14"/>
    </row>
    <row r="174" spans="1:21" s="3" customFormat="1" ht="19.649999999999999" customHeight="1" x14ac:dyDescent="0.2">
      <c r="A174" s="147" t="s">
        <v>44</v>
      </c>
      <c r="B174" s="219" t="s">
        <v>308</v>
      </c>
      <c r="C174" s="1">
        <f>0.01*J174</f>
        <v>0.06</v>
      </c>
      <c r="D174" s="189"/>
      <c r="E174" s="1"/>
      <c r="F174" s="60">
        <f t="shared" si="14"/>
        <v>124</v>
      </c>
      <c r="G174" s="95" t="s">
        <v>25</v>
      </c>
      <c r="H174" s="95" t="s">
        <v>25</v>
      </c>
      <c r="I174" s="152" t="s">
        <v>210</v>
      </c>
      <c r="J174" s="160">
        <v>6</v>
      </c>
      <c r="K174" s="228">
        <v>113</v>
      </c>
      <c r="L174" s="228">
        <f t="shared" si="15"/>
        <v>678</v>
      </c>
      <c r="M174" s="85"/>
      <c r="N174" s="24" t="s">
        <v>264</v>
      </c>
      <c r="O174" s="82" t="s">
        <v>216</v>
      </c>
      <c r="P174" s="236" t="s">
        <v>310</v>
      </c>
      <c r="Q174" s="11">
        <v>45965</v>
      </c>
      <c r="R174" s="68"/>
      <c r="S174" s="220">
        <v>45978</v>
      </c>
      <c r="T174" s="39">
        <v>45979</v>
      </c>
      <c r="U174" s="14"/>
    </row>
    <row r="175" spans="1:21" ht="19.649999999999999" customHeight="1" x14ac:dyDescent="0.2">
      <c r="A175" s="147" t="s">
        <v>31</v>
      </c>
      <c r="B175" s="219" t="s">
        <v>308</v>
      </c>
      <c r="C175" s="1">
        <f>0.6*J175</f>
        <v>0.6</v>
      </c>
      <c r="D175" s="188"/>
      <c r="E175" s="1"/>
      <c r="F175" s="60">
        <f t="shared" si="14"/>
        <v>125</v>
      </c>
      <c r="G175" s="4" t="s">
        <v>32</v>
      </c>
      <c r="H175" s="132" t="s">
        <v>35</v>
      </c>
      <c r="I175" s="181" t="s">
        <v>241</v>
      </c>
      <c r="J175" s="158">
        <v>1</v>
      </c>
      <c r="K175" s="159">
        <v>4147</v>
      </c>
      <c r="L175" s="221">
        <f t="shared" si="15"/>
        <v>4147</v>
      </c>
      <c r="M175" s="205"/>
      <c r="N175" s="137" t="s">
        <v>239</v>
      </c>
      <c r="O175" s="82" t="s">
        <v>216</v>
      </c>
      <c r="P175" s="236" t="s">
        <v>310</v>
      </c>
      <c r="Q175" s="11">
        <v>45965</v>
      </c>
      <c r="R175" s="68"/>
      <c r="S175" s="220">
        <v>45978</v>
      </c>
      <c r="T175" s="39">
        <v>45979</v>
      </c>
      <c r="U175" s="14"/>
    </row>
    <row r="176" spans="1:21" s="3" customFormat="1" ht="19.649999999999999" customHeight="1" x14ac:dyDescent="0.2">
      <c r="A176" s="147" t="s">
        <v>44</v>
      </c>
      <c r="B176" s="219" t="s">
        <v>308</v>
      </c>
      <c r="C176" s="1">
        <f>0.01*J176</f>
        <v>0.03</v>
      </c>
      <c r="D176" s="189"/>
      <c r="E176" s="1"/>
      <c r="F176" s="60">
        <f t="shared" si="14"/>
        <v>126</v>
      </c>
      <c r="G176" s="95" t="s">
        <v>25</v>
      </c>
      <c r="H176" s="95" t="s">
        <v>25</v>
      </c>
      <c r="I176" s="155" t="s">
        <v>75</v>
      </c>
      <c r="J176" s="158">
        <v>3</v>
      </c>
      <c r="K176" s="159">
        <v>52</v>
      </c>
      <c r="L176" s="228">
        <f t="shared" si="15"/>
        <v>156</v>
      </c>
      <c r="M176" s="66"/>
      <c r="N176" s="76" t="s">
        <v>72</v>
      </c>
      <c r="O176" s="82" t="s">
        <v>216</v>
      </c>
      <c r="P176" s="236" t="s">
        <v>310</v>
      </c>
      <c r="Q176" s="11">
        <v>45965</v>
      </c>
      <c r="R176" s="68"/>
      <c r="S176" s="220">
        <v>45978</v>
      </c>
      <c r="T176" s="39">
        <v>45979</v>
      </c>
      <c r="U176" s="14"/>
    </row>
    <row r="177" spans="1:21" s="3" customFormat="1" ht="19.649999999999999" customHeight="1" x14ac:dyDescent="0.2">
      <c r="A177" s="147" t="s">
        <v>44</v>
      </c>
      <c r="B177" s="219" t="s">
        <v>308</v>
      </c>
      <c r="C177" s="1">
        <f>0.005*J177</f>
        <v>0.02</v>
      </c>
      <c r="D177" s="188"/>
      <c r="E177" s="1"/>
      <c r="F177" s="60">
        <f t="shared" si="14"/>
        <v>127</v>
      </c>
      <c r="G177" s="95" t="s">
        <v>25</v>
      </c>
      <c r="H177" s="95" t="s">
        <v>25</v>
      </c>
      <c r="I177" s="186" t="s">
        <v>265</v>
      </c>
      <c r="J177" s="180">
        <v>4</v>
      </c>
      <c r="K177" s="183">
        <v>77</v>
      </c>
      <c r="L177" s="221">
        <f t="shared" si="15"/>
        <v>308</v>
      </c>
      <c r="M177" s="2"/>
      <c r="N177" s="76" t="s">
        <v>93</v>
      </c>
      <c r="O177" s="82" t="s">
        <v>216</v>
      </c>
      <c r="P177" s="236" t="s">
        <v>310</v>
      </c>
      <c r="Q177" s="11">
        <v>45965</v>
      </c>
      <c r="R177" s="68"/>
      <c r="S177" s="220">
        <v>45978</v>
      </c>
      <c r="T177" s="39">
        <v>45979</v>
      </c>
      <c r="U177" s="14"/>
    </row>
    <row r="178" spans="1:21" s="3" customFormat="1" ht="19.649999999999999" customHeight="1" x14ac:dyDescent="0.2">
      <c r="A178" s="147" t="s">
        <v>44</v>
      </c>
      <c r="B178" s="219" t="s">
        <v>308</v>
      </c>
      <c r="C178" s="1">
        <f>0.005*J178</f>
        <v>0.01</v>
      </c>
      <c r="D178" s="188"/>
      <c r="E178" s="1"/>
      <c r="F178" s="60">
        <f t="shared" si="14"/>
        <v>128</v>
      </c>
      <c r="G178" s="95" t="s">
        <v>25</v>
      </c>
      <c r="H178" s="95" t="s">
        <v>25</v>
      </c>
      <c r="I178" s="186" t="s">
        <v>221</v>
      </c>
      <c r="J178" s="180">
        <v>2</v>
      </c>
      <c r="K178" s="183">
        <v>187</v>
      </c>
      <c r="L178" s="221">
        <f t="shared" si="15"/>
        <v>374</v>
      </c>
      <c r="M178" s="2"/>
      <c r="N178" s="76" t="s">
        <v>93</v>
      </c>
      <c r="O178" s="82" t="s">
        <v>216</v>
      </c>
      <c r="P178" s="236" t="s">
        <v>310</v>
      </c>
      <c r="Q178" s="11">
        <v>45965</v>
      </c>
      <c r="R178" s="68"/>
      <c r="S178" s="220">
        <v>45978</v>
      </c>
      <c r="T178" s="39">
        <v>45979</v>
      </c>
      <c r="U178" s="14"/>
    </row>
    <row r="179" spans="1:21" s="3" customFormat="1" ht="19.649999999999999" customHeight="1" x14ac:dyDescent="0.2">
      <c r="A179" s="147" t="s">
        <v>44</v>
      </c>
      <c r="B179" s="219" t="s">
        <v>308</v>
      </c>
      <c r="C179" s="1">
        <f>0.01*J179</f>
        <v>0.03</v>
      </c>
      <c r="D179" s="188"/>
      <c r="E179" s="1"/>
      <c r="F179" s="60">
        <f t="shared" si="14"/>
        <v>129</v>
      </c>
      <c r="G179" s="95" t="s">
        <v>25</v>
      </c>
      <c r="H179" s="95" t="s">
        <v>25</v>
      </c>
      <c r="I179" s="186" t="s">
        <v>94</v>
      </c>
      <c r="J179" s="180">
        <v>3</v>
      </c>
      <c r="K179" s="183">
        <v>124</v>
      </c>
      <c r="L179" s="228">
        <f t="shared" si="15"/>
        <v>372</v>
      </c>
      <c r="M179" s="2"/>
      <c r="N179" s="76" t="s">
        <v>95</v>
      </c>
      <c r="O179" s="82" t="s">
        <v>216</v>
      </c>
      <c r="P179" s="236" t="s">
        <v>310</v>
      </c>
      <c r="Q179" s="11">
        <v>45965</v>
      </c>
      <c r="R179" s="68"/>
      <c r="S179" s="220">
        <v>45978</v>
      </c>
      <c r="T179" s="39">
        <v>45979</v>
      </c>
      <c r="U179" s="14"/>
    </row>
    <row r="180" spans="1:21" ht="19.649999999999999" customHeight="1" x14ac:dyDescent="0.2">
      <c r="A180" s="147" t="s">
        <v>31</v>
      </c>
      <c r="B180" s="219" t="s">
        <v>308</v>
      </c>
      <c r="C180" s="1">
        <f>0.6*J180</f>
        <v>0.6</v>
      </c>
      <c r="D180" s="188"/>
      <c r="E180" s="1"/>
      <c r="F180" s="60">
        <f t="shared" si="14"/>
        <v>130</v>
      </c>
      <c r="G180" s="4" t="s">
        <v>32</v>
      </c>
      <c r="H180" s="132" t="s">
        <v>35</v>
      </c>
      <c r="I180" s="181" t="s">
        <v>242</v>
      </c>
      <c r="J180" s="158">
        <v>1</v>
      </c>
      <c r="K180" s="159">
        <v>4147</v>
      </c>
      <c r="L180" s="221">
        <f t="shared" si="15"/>
        <v>4147</v>
      </c>
      <c r="M180" s="205"/>
      <c r="N180" s="137" t="s">
        <v>240</v>
      </c>
      <c r="O180" s="82" t="s">
        <v>216</v>
      </c>
      <c r="P180" s="236" t="s">
        <v>310</v>
      </c>
      <c r="Q180" s="11">
        <v>45965</v>
      </c>
      <c r="R180" s="68"/>
      <c r="S180" s="220">
        <v>45978</v>
      </c>
      <c r="T180" s="39">
        <v>45979</v>
      </c>
      <c r="U180" s="14"/>
    </row>
    <row r="181" spans="1:21" s="3" customFormat="1" ht="19.649999999999999" customHeight="1" x14ac:dyDescent="0.2">
      <c r="A181" s="147" t="s">
        <v>44</v>
      </c>
      <c r="B181" s="219" t="s">
        <v>308</v>
      </c>
      <c r="C181" s="1">
        <f>0.01*J181</f>
        <v>0.03</v>
      </c>
      <c r="D181" s="189"/>
      <c r="E181" s="1"/>
      <c r="F181" s="60">
        <f t="shared" ref="F181:F192" si="16">+F180+1</f>
        <v>131</v>
      </c>
      <c r="G181" s="95" t="s">
        <v>25</v>
      </c>
      <c r="H181" s="95" t="s">
        <v>25</v>
      </c>
      <c r="I181" s="155" t="s">
        <v>75</v>
      </c>
      <c r="J181" s="158">
        <v>3</v>
      </c>
      <c r="K181" s="159">
        <v>52</v>
      </c>
      <c r="L181" s="228">
        <f t="shared" si="15"/>
        <v>156</v>
      </c>
      <c r="M181" s="66"/>
      <c r="N181" s="76" t="s">
        <v>72</v>
      </c>
      <c r="O181" s="82" t="s">
        <v>216</v>
      </c>
      <c r="P181" s="236" t="s">
        <v>310</v>
      </c>
      <c r="Q181" s="11">
        <v>45965</v>
      </c>
      <c r="R181" s="68"/>
      <c r="S181" s="220">
        <v>45978</v>
      </c>
      <c r="T181" s="39">
        <v>45979</v>
      </c>
      <c r="U181" s="14"/>
    </row>
    <row r="182" spans="1:21" s="3" customFormat="1" ht="19.649999999999999" customHeight="1" x14ac:dyDescent="0.2">
      <c r="A182" s="147" t="s">
        <v>44</v>
      </c>
      <c r="B182" s="219" t="s">
        <v>308</v>
      </c>
      <c r="C182" s="1">
        <f>0.005*J182</f>
        <v>0.02</v>
      </c>
      <c r="D182" s="188"/>
      <c r="E182" s="1"/>
      <c r="F182" s="60">
        <f t="shared" si="16"/>
        <v>132</v>
      </c>
      <c r="G182" s="95" t="s">
        <v>25</v>
      </c>
      <c r="H182" s="95" t="s">
        <v>25</v>
      </c>
      <c r="I182" s="186" t="s">
        <v>265</v>
      </c>
      <c r="J182" s="180">
        <v>4</v>
      </c>
      <c r="K182" s="183">
        <v>77</v>
      </c>
      <c r="L182" s="221">
        <f t="shared" si="15"/>
        <v>308</v>
      </c>
      <c r="M182" s="2"/>
      <c r="N182" s="76" t="s">
        <v>93</v>
      </c>
      <c r="O182" s="82" t="s">
        <v>216</v>
      </c>
      <c r="P182" s="236" t="s">
        <v>310</v>
      </c>
      <c r="Q182" s="11">
        <v>45965</v>
      </c>
      <c r="R182" s="68"/>
      <c r="S182" s="220">
        <v>45978</v>
      </c>
      <c r="T182" s="39">
        <v>45979</v>
      </c>
      <c r="U182" s="14"/>
    </row>
    <row r="183" spans="1:21" s="3" customFormat="1" ht="19.649999999999999" customHeight="1" x14ac:dyDescent="0.2">
      <c r="A183" s="147" t="s">
        <v>44</v>
      </c>
      <c r="B183" s="219" t="s">
        <v>308</v>
      </c>
      <c r="C183" s="1">
        <f>0.005*J183</f>
        <v>0.01</v>
      </c>
      <c r="D183" s="188"/>
      <c r="E183" s="1"/>
      <c r="F183" s="60">
        <f t="shared" si="16"/>
        <v>133</v>
      </c>
      <c r="G183" s="95" t="s">
        <v>25</v>
      </c>
      <c r="H183" s="95" t="s">
        <v>25</v>
      </c>
      <c r="I183" s="186" t="s">
        <v>221</v>
      </c>
      <c r="J183" s="180">
        <v>2</v>
      </c>
      <c r="K183" s="183">
        <v>187</v>
      </c>
      <c r="L183" s="221">
        <f t="shared" si="15"/>
        <v>374</v>
      </c>
      <c r="M183" s="2"/>
      <c r="N183" s="76" t="s">
        <v>93</v>
      </c>
      <c r="O183" s="82" t="s">
        <v>216</v>
      </c>
      <c r="P183" s="236" t="s">
        <v>310</v>
      </c>
      <c r="Q183" s="11">
        <v>45965</v>
      </c>
      <c r="R183" s="68"/>
      <c r="S183" s="220">
        <v>45978</v>
      </c>
      <c r="T183" s="39">
        <v>45979</v>
      </c>
      <c r="U183" s="14"/>
    </row>
    <row r="184" spans="1:21" s="3" customFormat="1" ht="19.649999999999999" customHeight="1" x14ac:dyDescent="0.2">
      <c r="A184" s="147" t="s">
        <v>44</v>
      </c>
      <c r="B184" s="219" t="s">
        <v>308</v>
      </c>
      <c r="C184" s="1">
        <f>0.01*J184</f>
        <v>0.03</v>
      </c>
      <c r="D184" s="188"/>
      <c r="E184" s="1"/>
      <c r="F184" s="60">
        <f t="shared" si="16"/>
        <v>134</v>
      </c>
      <c r="G184" s="95" t="s">
        <v>25</v>
      </c>
      <c r="H184" s="95" t="s">
        <v>25</v>
      </c>
      <c r="I184" s="186" t="s">
        <v>94</v>
      </c>
      <c r="J184" s="180">
        <v>3</v>
      </c>
      <c r="K184" s="183">
        <v>124</v>
      </c>
      <c r="L184" s="228">
        <f t="shared" si="15"/>
        <v>372</v>
      </c>
      <c r="M184" s="2"/>
      <c r="N184" s="76" t="s">
        <v>95</v>
      </c>
      <c r="O184" s="82" t="s">
        <v>216</v>
      </c>
      <c r="P184" s="236" t="s">
        <v>310</v>
      </c>
      <c r="Q184" s="11">
        <v>45965</v>
      </c>
      <c r="R184" s="68"/>
      <c r="S184" s="220">
        <v>45978</v>
      </c>
      <c r="T184" s="39">
        <v>45979</v>
      </c>
      <c r="U184" s="14"/>
    </row>
    <row r="185" spans="1:21" s="3" customFormat="1" ht="19.649999999999999" customHeight="1" x14ac:dyDescent="0.2">
      <c r="A185" s="147" t="s">
        <v>44</v>
      </c>
      <c r="B185" s="219" t="s">
        <v>308</v>
      </c>
      <c r="C185" s="1">
        <f>0.4*J185</f>
        <v>0.8</v>
      </c>
      <c r="D185" s="188"/>
      <c r="E185" s="1"/>
      <c r="F185" s="60">
        <f t="shared" si="16"/>
        <v>135</v>
      </c>
      <c r="G185" s="95" t="s">
        <v>25</v>
      </c>
      <c r="H185" s="95" t="s">
        <v>25</v>
      </c>
      <c r="I185" s="186" t="s">
        <v>222</v>
      </c>
      <c r="J185" s="180">
        <v>2</v>
      </c>
      <c r="K185" s="183">
        <v>1072</v>
      </c>
      <c r="L185" s="228">
        <f t="shared" si="15"/>
        <v>2144</v>
      </c>
      <c r="M185" s="2"/>
      <c r="N185" s="76" t="s">
        <v>266</v>
      </c>
      <c r="O185" s="82" t="s">
        <v>216</v>
      </c>
      <c r="P185" s="236" t="s">
        <v>310</v>
      </c>
      <c r="Q185" s="11">
        <v>45965</v>
      </c>
      <c r="R185" s="68"/>
      <c r="S185" s="220">
        <v>45978</v>
      </c>
      <c r="T185" s="39">
        <v>45979</v>
      </c>
      <c r="U185" s="14"/>
    </row>
    <row r="186" spans="1:21" s="3" customFormat="1" ht="19.649999999999999" customHeight="1" x14ac:dyDescent="0.2">
      <c r="A186" s="147" t="s">
        <v>44</v>
      </c>
      <c r="B186" s="219" t="s">
        <v>308</v>
      </c>
      <c r="C186" s="1">
        <f>0.01*J186</f>
        <v>0.14000000000000001</v>
      </c>
      <c r="D186" s="188"/>
      <c r="E186" s="1"/>
      <c r="F186" s="60">
        <f t="shared" si="16"/>
        <v>136</v>
      </c>
      <c r="G186" s="95" t="s">
        <v>25</v>
      </c>
      <c r="H186" s="95" t="s">
        <v>25</v>
      </c>
      <c r="I186" s="186" t="s">
        <v>223</v>
      </c>
      <c r="J186" s="180">
        <v>14</v>
      </c>
      <c r="K186" s="183">
        <v>14</v>
      </c>
      <c r="L186" s="228">
        <f t="shared" si="15"/>
        <v>196</v>
      </c>
      <c r="M186" s="2"/>
      <c r="N186" s="76" t="s">
        <v>118</v>
      </c>
      <c r="O186" s="82" t="s">
        <v>216</v>
      </c>
      <c r="P186" s="236" t="s">
        <v>310</v>
      </c>
      <c r="Q186" s="11">
        <v>45965</v>
      </c>
      <c r="R186" s="68"/>
      <c r="S186" s="220">
        <v>45978</v>
      </c>
      <c r="T186" s="39">
        <v>45979</v>
      </c>
      <c r="U186" s="14"/>
    </row>
    <row r="187" spans="1:21" s="3" customFormat="1" ht="19.649999999999999" customHeight="1" x14ac:dyDescent="0.2">
      <c r="A187" s="147" t="s">
        <v>44</v>
      </c>
      <c r="B187" s="219" t="s">
        <v>308</v>
      </c>
      <c r="C187" s="1">
        <v>0.05</v>
      </c>
      <c r="D187" s="188"/>
      <c r="E187" s="1"/>
      <c r="F187" s="60">
        <f t="shared" si="16"/>
        <v>137</v>
      </c>
      <c r="G187" s="95" t="s">
        <v>25</v>
      </c>
      <c r="H187" s="95" t="s">
        <v>25</v>
      </c>
      <c r="I187" s="157" t="s">
        <v>101</v>
      </c>
      <c r="J187" s="159">
        <v>3</v>
      </c>
      <c r="K187" s="204">
        <v>158</v>
      </c>
      <c r="L187" s="204">
        <f t="shared" si="15"/>
        <v>474</v>
      </c>
      <c r="M187" s="2"/>
      <c r="N187" s="81" t="s">
        <v>102</v>
      </c>
      <c r="O187" s="23" t="s">
        <v>100</v>
      </c>
      <c r="P187" s="236" t="s">
        <v>310</v>
      </c>
      <c r="Q187" s="11">
        <v>45965</v>
      </c>
      <c r="R187" s="68"/>
      <c r="S187" s="220">
        <v>45978</v>
      </c>
      <c r="T187" s="39">
        <v>45979</v>
      </c>
      <c r="U187" s="14"/>
    </row>
    <row r="188" spans="1:21" s="3" customFormat="1" ht="19.649999999999999" customHeight="1" x14ac:dyDescent="0.2">
      <c r="A188" s="147" t="s">
        <v>31</v>
      </c>
      <c r="B188" s="219" t="s">
        <v>308</v>
      </c>
      <c r="C188" s="1">
        <f>0.025*J188</f>
        <v>2.5000000000000001E-2</v>
      </c>
      <c r="D188" s="188"/>
      <c r="E188" s="1"/>
      <c r="F188" s="60">
        <f t="shared" si="16"/>
        <v>138</v>
      </c>
      <c r="G188" s="95" t="s">
        <v>25</v>
      </c>
      <c r="H188" s="95" t="s">
        <v>25</v>
      </c>
      <c r="I188" s="152" t="s">
        <v>103</v>
      </c>
      <c r="J188" s="160">
        <v>1</v>
      </c>
      <c r="K188" s="228">
        <v>1019</v>
      </c>
      <c r="L188" s="228">
        <f t="shared" si="15"/>
        <v>1019</v>
      </c>
      <c r="M188" s="26"/>
      <c r="N188" s="24" t="s">
        <v>104</v>
      </c>
      <c r="O188" s="23" t="s">
        <v>100</v>
      </c>
      <c r="P188" s="236" t="s">
        <v>310</v>
      </c>
      <c r="Q188" s="11">
        <v>45965</v>
      </c>
      <c r="R188" s="68"/>
      <c r="S188" s="220">
        <v>45978</v>
      </c>
      <c r="T188" s="39">
        <v>45979</v>
      </c>
      <c r="U188" s="14"/>
    </row>
    <row r="189" spans="1:21" s="3" customFormat="1" ht="19.649999999999999" customHeight="1" x14ac:dyDescent="0.2">
      <c r="A189" s="147" t="s">
        <v>31</v>
      </c>
      <c r="B189" s="219" t="s">
        <v>308</v>
      </c>
      <c r="C189" s="1">
        <f>0.185*J189</f>
        <v>0.185</v>
      </c>
      <c r="D189" s="188"/>
      <c r="E189" s="1"/>
      <c r="F189" s="60">
        <f t="shared" si="16"/>
        <v>139</v>
      </c>
      <c r="G189" s="132" t="s">
        <v>35</v>
      </c>
      <c r="H189" s="132" t="s">
        <v>35</v>
      </c>
      <c r="I189" s="153" t="s">
        <v>105</v>
      </c>
      <c r="J189" s="159">
        <v>1</v>
      </c>
      <c r="K189" s="153">
        <v>2762</v>
      </c>
      <c r="L189" s="228">
        <f t="shared" si="15"/>
        <v>2762</v>
      </c>
      <c r="M189" s="2"/>
      <c r="N189" s="76" t="s">
        <v>106</v>
      </c>
      <c r="O189" s="23" t="s">
        <v>100</v>
      </c>
      <c r="P189" s="236" t="s">
        <v>310</v>
      </c>
      <c r="Q189" s="11">
        <v>45965</v>
      </c>
      <c r="R189" s="68"/>
      <c r="S189" s="220">
        <v>45978</v>
      </c>
      <c r="T189" s="39">
        <v>45979</v>
      </c>
      <c r="U189" s="14"/>
    </row>
    <row r="190" spans="1:21" s="3" customFormat="1" ht="19.649999999999999" customHeight="1" x14ac:dyDescent="0.2">
      <c r="A190" s="147" t="s">
        <v>44</v>
      </c>
      <c r="B190" s="219" t="s">
        <v>308</v>
      </c>
      <c r="C190" s="1">
        <v>0.04</v>
      </c>
      <c r="D190" s="189"/>
      <c r="E190" s="1"/>
      <c r="F190" s="60">
        <f t="shared" si="16"/>
        <v>140</v>
      </c>
      <c r="G190" s="28" t="s">
        <v>107</v>
      </c>
      <c r="H190" s="95" t="s">
        <v>25</v>
      </c>
      <c r="I190" s="157" t="s">
        <v>108</v>
      </c>
      <c r="J190" s="159">
        <v>2</v>
      </c>
      <c r="K190" s="204">
        <v>1039</v>
      </c>
      <c r="L190" s="204">
        <f t="shared" si="15"/>
        <v>2078</v>
      </c>
      <c r="M190" s="2"/>
      <c r="N190" s="81" t="s">
        <v>109</v>
      </c>
      <c r="O190" s="23" t="s">
        <v>100</v>
      </c>
      <c r="P190" s="236" t="s">
        <v>310</v>
      </c>
      <c r="Q190" s="11">
        <v>45965</v>
      </c>
      <c r="R190" s="68"/>
      <c r="S190" s="220">
        <v>45978</v>
      </c>
      <c r="T190" s="39">
        <v>45979</v>
      </c>
      <c r="U190" s="14"/>
    </row>
    <row r="191" spans="1:21" s="3" customFormat="1" ht="18" customHeight="1" x14ac:dyDescent="0.2">
      <c r="A191" s="147" t="s">
        <v>44</v>
      </c>
      <c r="B191" s="219" t="s">
        <v>308</v>
      </c>
      <c r="C191" s="1">
        <v>0.05</v>
      </c>
      <c r="D191" s="189"/>
      <c r="E191" s="1"/>
      <c r="F191" s="60">
        <f t="shared" si="16"/>
        <v>141</v>
      </c>
      <c r="G191" s="95" t="s">
        <v>25</v>
      </c>
      <c r="H191" s="95" t="s">
        <v>25</v>
      </c>
      <c r="I191" s="152" t="s">
        <v>123</v>
      </c>
      <c r="J191" s="160">
        <v>2</v>
      </c>
      <c r="K191" s="232">
        <v>112</v>
      </c>
      <c r="L191" s="232">
        <f t="shared" si="15"/>
        <v>224</v>
      </c>
      <c r="M191" s="88"/>
      <c r="N191" s="76" t="s">
        <v>110</v>
      </c>
      <c r="O191" s="23" t="s">
        <v>100</v>
      </c>
      <c r="P191" s="236" t="s">
        <v>310</v>
      </c>
      <c r="Q191" s="11">
        <v>45965</v>
      </c>
      <c r="R191" s="68"/>
      <c r="S191" s="220">
        <v>45978</v>
      </c>
      <c r="T191" s="39">
        <v>45979</v>
      </c>
      <c r="U191" s="14"/>
    </row>
    <row r="192" spans="1:21" s="3" customFormat="1" ht="18" customHeight="1" x14ac:dyDescent="0.2">
      <c r="A192" s="147" t="s">
        <v>44</v>
      </c>
      <c r="B192" s="219" t="s">
        <v>308</v>
      </c>
      <c r="C192" s="1">
        <f>0.01*J192</f>
        <v>0.02</v>
      </c>
      <c r="D192" s="189"/>
      <c r="E192" s="1"/>
      <c r="F192" s="60">
        <f t="shared" si="16"/>
        <v>142</v>
      </c>
      <c r="G192" s="95" t="s">
        <v>25</v>
      </c>
      <c r="H192" s="95" t="s">
        <v>25</v>
      </c>
      <c r="I192" s="152" t="s">
        <v>78</v>
      </c>
      <c r="J192" s="160">
        <v>2</v>
      </c>
      <c r="K192" s="228">
        <v>113</v>
      </c>
      <c r="L192" s="228">
        <f t="shared" si="15"/>
        <v>226</v>
      </c>
      <c r="M192" s="85"/>
      <c r="N192" s="24" t="s">
        <v>111</v>
      </c>
      <c r="O192" s="23" t="s">
        <v>100</v>
      </c>
      <c r="P192" s="236" t="s">
        <v>310</v>
      </c>
      <c r="Q192" s="11">
        <v>45965</v>
      </c>
      <c r="R192" s="68"/>
      <c r="S192" s="220">
        <v>45978</v>
      </c>
      <c r="T192" s="39">
        <v>45979</v>
      </c>
      <c r="U192" s="14"/>
    </row>
    <row r="193" spans="1:21" s="3" customFormat="1" ht="18" customHeight="1" x14ac:dyDescent="0.2">
      <c r="A193" s="147" t="s">
        <v>44</v>
      </c>
      <c r="B193" s="219" t="s">
        <v>308</v>
      </c>
      <c r="C193" s="1">
        <f>0.01*J193</f>
        <v>0.02</v>
      </c>
      <c r="D193" s="189"/>
      <c r="E193" s="1"/>
      <c r="F193" s="60">
        <f>+F192+1</f>
        <v>143</v>
      </c>
      <c r="G193" s="95" t="s">
        <v>25</v>
      </c>
      <c r="H193" s="95" t="s">
        <v>25</v>
      </c>
      <c r="I193" s="155" t="s">
        <v>71</v>
      </c>
      <c r="J193" s="158">
        <v>2</v>
      </c>
      <c r="K193" s="159">
        <v>47</v>
      </c>
      <c r="L193" s="228">
        <f t="shared" si="15"/>
        <v>94</v>
      </c>
      <c r="M193" s="66"/>
      <c r="N193" s="76" t="s">
        <v>72</v>
      </c>
      <c r="O193" s="23" t="s">
        <v>100</v>
      </c>
      <c r="P193" s="236" t="s">
        <v>310</v>
      </c>
      <c r="Q193" s="11">
        <v>45965</v>
      </c>
      <c r="R193" s="68"/>
      <c r="S193" s="220">
        <v>45978</v>
      </c>
      <c r="T193" s="39">
        <v>45979</v>
      </c>
      <c r="U193" s="14"/>
    </row>
    <row r="194" spans="1:21" s="3" customFormat="1" ht="18" customHeight="1" x14ac:dyDescent="0.2">
      <c r="A194" s="147" t="s">
        <v>44</v>
      </c>
      <c r="B194" s="219" t="s">
        <v>308</v>
      </c>
      <c r="C194" s="1">
        <f>0.005*J194</f>
        <v>0.01</v>
      </c>
      <c r="D194" s="189"/>
      <c r="E194" s="1"/>
      <c r="F194" s="60">
        <f t="shared" ref="F194:F199" si="17">+F193+1</f>
        <v>144</v>
      </c>
      <c r="G194" s="132" t="s">
        <v>35</v>
      </c>
      <c r="H194" s="132" t="s">
        <v>35</v>
      </c>
      <c r="I194" s="153" t="s">
        <v>112</v>
      </c>
      <c r="J194" s="159">
        <v>2</v>
      </c>
      <c r="K194" s="153">
        <v>81</v>
      </c>
      <c r="L194" s="228">
        <f t="shared" si="15"/>
        <v>162</v>
      </c>
      <c r="M194" s="2"/>
      <c r="N194" s="76" t="s">
        <v>76</v>
      </c>
      <c r="O194" s="23" t="s">
        <v>100</v>
      </c>
      <c r="P194" s="236" t="s">
        <v>310</v>
      </c>
      <c r="Q194" s="11">
        <v>45965</v>
      </c>
      <c r="R194" s="68"/>
      <c r="S194" s="220">
        <v>45978</v>
      </c>
      <c r="T194" s="39">
        <v>45979</v>
      </c>
      <c r="U194" s="14"/>
    </row>
    <row r="195" spans="1:21" s="3" customFormat="1" ht="19.649999999999999" customHeight="1" x14ac:dyDescent="0.2">
      <c r="A195" s="147" t="s">
        <v>44</v>
      </c>
      <c r="B195" s="219" t="s">
        <v>308</v>
      </c>
      <c r="C195" s="1"/>
      <c r="D195" s="144"/>
      <c r="E195" s="101">
        <v>3</v>
      </c>
      <c r="F195" s="60">
        <f t="shared" si="17"/>
        <v>145</v>
      </c>
      <c r="G195" s="63" t="s">
        <v>66</v>
      </c>
      <c r="H195" s="63" t="s">
        <v>25</v>
      </c>
      <c r="I195" s="152" t="s">
        <v>47</v>
      </c>
      <c r="J195" s="156">
        <v>2</v>
      </c>
      <c r="K195" s="233">
        <v>1611</v>
      </c>
      <c r="L195" s="124">
        <f t="shared" ref="L195:L199" si="18">J195*K195</f>
        <v>3222</v>
      </c>
      <c r="M195" s="103"/>
      <c r="N195" s="125" t="s">
        <v>67</v>
      </c>
      <c r="O195" s="47"/>
      <c r="P195" s="236" t="s">
        <v>310</v>
      </c>
      <c r="Q195" s="11">
        <v>45965</v>
      </c>
      <c r="R195" s="68"/>
      <c r="S195" s="220">
        <v>45978</v>
      </c>
      <c r="T195" s="39">
        <v>45979</v>
      </c>
      <c r="U195" s="44"/>
    </row>
    <row r="196" spans="1:21" s="3" customFormat="1" ht="19.649999999999999" customHeight="1" x14ac:dyDescent="0.2">
      <c r="A196" s="147" t="s">
        <v>44</v>
      </c>
      <c r="B196" s="219" t="s">
        <v>308</v>
      </c>
      <c r="C196" s="1">
        <f>0.01*J196</f>
        <v>0.2</v>
      </c>
      <c r="D196" s="189"/>
      <c r="E196" s="1"/>
      <c r="F196" s="60">
        <f t="shared" si="17"/>
        <v>146</v>
      </c>
      <c r="G196" s="95" t="s">
        <v>25</v>
      </c>
      <c r="H196" s="95" t="s">
        <v>25</v>
      </c>
      <c r="I196" s="155" t="s">
        <v>113</v>
      </c>
      <c r="J196" s="158">
        <v>20</v>
      </c>
      <c r="K196" s="159">
        <v>53</v>
      </c>
      <c r="L196" s="228">
        <f t="shared" si="18"/>
        <v>1060</v>
      </c>
      <c r="M196" s="66"/>
      <c r="N196" s="76" t="s">
        <v>72</v>
      </c>
      <c r="O196" s="23" t="s">
        <v>120</v>
      </c>
      <c r="P196" s="236" t="s">
        <v>310</v>
      </c>
      <c r="Q196" s="11">
        <v>45965</v>
      </c>
      <c r="R196" s="68"/>
      <c r="S196" s="220">
        <v>45978</v>
      </c>
      <c r="T196" s="39">
        <v>45979</v>
      </c>
      <c r="U196" s="14"/>
    </row>
    <row r="197" spans="1:21" s="3" customFormat="1" ht="19.649999999999999" customHeight="1" x14ac:dyDescent="0.2">
      <c r="A197" s="147" t="s">
        <v>44</v>
      </c>
      <c r="B197" s="219" t="s">
        <v>308</v>
      </c>
      <c r="C197" s="99"/>
      <c r="D197" s="147"/>
      <c r="E197" s="101">
        <v>3</v>
      </c>
      <c r="F197" s="60">
        <f t="shared" si="17"/>
        <v>147</v>
      </c>
      <c r="G197" s="4" t="s">
        <v>46</v>
      </c>
      <c r="H197" s="4" t="s">
        <v>25</v>
      </c>
      <c r="I197" s="148">
        <v>620704006</v>
      </c>
      <c r="J197" s="149">
        <v>20</v>
      </c>
      <c r="K197" s="234">
        <v>36</v>
      </c>
      <c r="L197" s="221">
        <f t="shared" si="18"/>
        <v>720</v>
      </c>
      <c r="M197" s="26"/>
      <c r="N197" s="24" t="s">
        <v>45</v>
      </c>
      <c r="O197" s="23" t="s">
        <v>120</v>
      </c>
      <c r="P197" s="236" t="s">
        <v>310</v>
      </c>
      <c r="Q197" s="11">
        <v>45965</v>
      </c>
      <c r="R197" s="68"/>
      <c r="S197" s="220">
        <v>45978</v>
      </c>
      <c r="T197" s="39">
        <v>45979</v>
      </c>
      <c r="U197" s="44"/>
    </row>
    <row r="198" spans="1:21" ht="19.649999999999999" customHeight="1" x14ac:dyDescent="0.2">
      <c r="A198" s="147" t="s">
        <v>44</v>
      </c>
      <c r="B198" s="219" t="s">
        <v>308</v>
      </c>
      <c r="C198" s="1">
        <f>0.01*J198</f>
        <v>0.01</v>
      </c>
      <c r="D198" s="144"/>
      <c r="E198" s="1"/>
      <c r="F198" s="60">
        <f t="shared" si="17"/>
        <v>148</v>
      </c>
      <c r="G198" s="95" t="s">
        <v>25</v>
      </c>
      <c r="H198" s="95" t="s">
        <v>25</v>
      </c>
      <c r="I198" s="151" t="s">
        <v>121</v>
      </c>
      <c r="J198" s="159">
        <v>1</v>
      </c>
      <c r="K198" s="235">
        <v>1280</v>
      </c>
      <c r="L198" s="221">
        <f t="shared" si="18"/>
        <v>1280</v>
      </c>
      <c r="M198" s="2"/>
      <c r="N198" s="51" t="s">
        <v>122</v>
      </c>
      <c r="O198" s="82"/>
      <c r="P198" s="236" t="s">
        <v>310</v>
      </c>
      <c r="Q198" s="11">
        <v>45965</v>
      </c>
      <c r="R198" s="68"/>
      <c r="S198" s="220">
        <v>45978</v>
      </c>
      <c r="T198" s="39">
        <v>45979</v>
      </c>
      <c r="U198" s="14"/>
    </row>
    <row r="199" spans="1:21" ht="19.649999999999999" customHeight="1" x14ac:dyDescent="0.2">
      <c r="A199" s="147" t="s">
        <v>44</v>
      </c>
      <c r="B199" s="219" t="s">
        <v>308</v>
      </c>
      <c r="C199" s="1"/>
      <c r="D199" s="144"/>
      <c r="E199" s="1"/>
      <c r="F199" s="60">
        <f t="shared" si="17"/>
        <v>149</v>
      </c>
      <c r="G199" s="95" t="s">
        <v>311</v>
      </c>
      <c r="H199" s="95" t="s">
        <v>25</v>
      </c>
      <c r="I199" s="237" t="s">
        <v>312</v>
      </c>
      <c r="J199" s="238">
        <v>1</v>
      </c>
      <c r="K199" s="239">
        <v>402</v>
      </c>
      <c r="L199" s="240">
        <f t="shared" si="18"/>
        <v>402</v>
      </c>
      <c r="M199" s="241"/>
      <c r="N199" s="242" t="s">
        <v>313</v>
      </c>
      <c r="O199" s="82"/>
      <c r="P199" s="243" t="s">
        <v>314</v>
      </c>
      <c r="Q199" s="11">
        <v>45967</v>
      </c>
      <c r="R199" s="4"/>
      <c r="S199" s="220">
        <v>45978</v>
      </c>
      <c r="T199" s="39">
        <v>45979</v>
      </c>
      <c r="U199" s="14"/>
    </row>
    <row r="200" spans="1:21" ht="19.649999999999999" customHeight="1" x14ac:dyDescent="0.2">
      <c r="C200" s="1"/>
      <c r="D200" s="244"/>
      <c r="E200" s="37"/>
      <c r="F200" s="4"/>
      <c r="G200" s="4"/>
      <c r="H200" s="4"/>
      <c r="I200" s="137"/>
      <c r="J200" s="133"/>
      <c r="K200" s="27"/>
      <c r="L200" s="85"/>
      <c r="M200" s="66"/>
      <c r="N200" s="51"/>
      <c r="O200" s="82"/>
      <c r="P200" s="4"/>
      <c r="Q200" s="11"/>
      <c r="R200" s="4"/>
      <c r="S200" s="19"/>
      <c r="T200" s="19"/>
      <c r="U200" s="14"/>
    </row>
    <row r="201" spans="1:21" ht="19.649999999999999" customHeight="1" x14ac:dyDescent="0.2">
      <c r="C201" s="1"/>
      <c r="D201" s="31"/>
      <c r="E201" s="37"/>
      <c r="F201" s="4"/>
      <c r="G201" s="95"/>
      <c r="H201" s="95"/>
      <c r="I201" s="135">
        <f>SUM(L114:L199)</f>
        <v>321658</v>
      </c>
      <c r="J201" s="133"/>
      <c r="K201" s="27"/>
      <c r="L201" s="85"/>
      <c r="M201" s="2"/>
      <c r="N201" s="76"/>
      <c r="O201" s="23"/>
      <c r="P201" s="4"/>
      <c r="Q201" s="11"/>
      <c r="R201" s="4"/>
      <c r="S201" s="19"/>
      <c r="T201" s="19"/>
      <c r="U201" s="14"/>
    </row>
    <row r="202" spans="1:21" ht="19.649999999999999" customHeight="1" x14ac:dyDescent="0.2">
      <c r="C202" s="1"/>
      <c r="D202" s="31"/>
      <c r="E202" s="37"/>
      <c r="F202" s="4"/>
      <c r="G202" s="95"/>
      <c r="H202" s="95"/>
      <c r="I202" s="23"/>
      <c r="J202" s="133"/>
      <c r="K202" s="27"/>
      <c r="L202" s="85"/>
      <c r="M202" s="2"/>
      <c r="N202" s="76"/>
      <c r="O202" s="23"/>
      <c r="P202" s="4"/>
      <c r="Q202" s="11"/>
      <c r="R202" s="4"/>
      <c r="S202" s="19"/>
      <c r="T202" s="19"/>
      <c r="U202" s="14"/>
    </row>
    <row r="203" spans="1:21" x14ac:dyDescent="0.2">
      <c r="C203" s="1"/>
      <c r="F203" s="4"/>
      <c r="G203" s="95"/>
      <c r="H203" s="95"/>
      <c r="I203" s="23"/>
      <c r="J203" s="133"/>
      <c r="K203" s="27"/>
      <c r="L203" s="85"/>
      <c r="M203" s="66"/>
      <c r="N203" s="76"/>
      <c r="O203" s="82"/>
    </row>
    <row r="204" spans="1:21" x14ac:dyDescent="0.2">
      <c r="C204" s="1"/>
      <c r="F204" s="4"/>
      <c r="G204" s="4"/>
      <c r="H204" s="4"/>
      <c r="I204" s="137"/>
      <c r="J204" s="133"/>
      <c r="K204" s="27"/>
      <c r="L204" s="85"/>
      <c r="M204" s="66"/>
      <c r="N204" s="51"/>
      <c r="O204" s="82"/>
    </row>
    <row r="205" spans="1:21" ht="19.2" x14ac:dyDescent="0.2">
      <c r="C205" s="3" t="s">
        <v>91</v>
      </c>
      <c r="F205" s="83"/>
      <c r="G205" s="83"/>
      <c r="H205" s="83"/>
      <c r="I205" s="135">
        <f>SUM(L204:L205)</f>
        <v>0</v>
      </c>
      <c r="J205" s="129"/>
      <c r="K205" s="131"/>
      <c r="L205" s="85"/>
      <c r="M205" s="66"/>
      <c r="N205" s="67"/>
      <c r="O205" s="82"/>
    </row>
    <row r="206" spans="1:21" x14ac:dyDescent="0.2">
      <c r="C206" s="130">
        <f>SUM(C114:C205)</f>
        <v>113.37261999999998</v>
      </c>
      <c r="F206" s="134"/>
      <c r="G206" s="83"/>
      <c r="H206" s="83"/>
      <c r="I206" s="84"/>
      <c r="J206" s="129"/>
      <c r="K206" s="131"/>
      <c r="L206" s="85"/>
      <c r="M206" s="66"/>
      <c r="N206" s="67"/>
      <c r="O206" s="82"/>
    </row>
    <row r="207" spans="1:21" x14ac:dyDescent="0.2">
      <c r="C207" s="64" t="s">
        <v>70</v>
      </c>
      <c r="F207" s="83"/>
      <c r="G207" s="83"/>
      <c r="H207" s="83"/>
      <c r="I207" s="137"/>
      <c r="J207" s="129"/>
      <c r="K207" s="131"/>
      <c r="L207" s="85"/>
      <c r="M207" s="66"/>
      <c r="N207" s="67"/>
      <c r="O207" s="82"/>
    </row>
    <row r="208" spans="1:21" x14ac:dyDescent="0.2">
      <c r="C208" s="3"/>
      <c r="F208" s="83"/>
      <c r="G208" s="83"/>
      <c r="H208" s="83"/>
      <c r="I208" s="137"/>
      <c r="J208" s="129"/>
      <c r="K208" s="131"/>
      <c r="L208" s="85"/>
      <c r="M208" s="66"/>
      <c r="N208" s="67"/>
      <c r="O208" s="82"/>
    </row>
    <row r="209" spans="3:15" x14ac:dyDescent="0.2">
      <c r="C209" s="3"/>
      <c r="F209" s="83"/>
      <c r="G209" s="83"/>
      <c r="H209" s="83"/>
      <c r="I209" s="137"/>
      <c r="J209" s="129"/>
      <c r="K209" s="131"/>
      <c r="L209" s="85"/>
      <c r="M209" s="66"/>
      <c r="N209" s="67"/>
      <c r="O209" s="82"/>
    </row>
    <row r="210" spans="3:15" x14ac:dyDescent="0.2">
      <c r="C210" s="3"/>
      <c r="F210" s="83"/>
      <c r="G210" s="83"/>
      <c r="H210" s="83"/>
      <c r="I210" s="137"/>
      <c r="J210" s="129"/>
      <c r="K210" s="131"/>
      <c r="L210" s="85"/>
      <c r="M210" s="66"/>
      <c r="N210" s="67"/>
      <c r="O210" s="82"/>
    </row>
    <row r="211" spans="3:15" ht="13.8" thickBot="1" x14ac:dyDescent="0.25">
      <c r="C211" s="3" t="s">
        <v>115</v>
      </c>
      <c r="F211" s="83"/>
      <c r="G211" s="83"/>
      <c r="H211" s="83"/>
      <c r="I211" s="137"/>
      <c r="J211" s="129"/>
      <c r="K211" s="131"/>
      <c r="L211" s="85"/>
      <c r="M211" s="66"/>
      <c r="N211" s="67"/>
      <c r="O211" s="82"/>
    </row>
    <row r="212" spans="3:15" ht="13.8" thickBot="1" x14ac:dyDescent="0.25">
      <c r="C212" s="138" t="e">
        <f>+C206+C109+#REF!</f>
        <v>#REF!</v>
      </c>
      <c r="F212" s="134"/>
      <c r="G212" s="83"/>
      <c r="H212" s="83"/>
      <c r="I212" s="137"/>
      <c r="J212" s="129"/>
      <c r="K212" s="131"/>
      <c r="L212" s="85"/>
      <c r="M212" s="66"/>
      <c r="N212" s="67"/>
      <c r="O212" s="82"/>
    </row>
    <row r="213" spans="3:15" x14ac:dyDescent="0.2">
      <c r="C213" s="64" t="s">
        <v>70</v>
      </c>
      <c r="F213" s="83"/>
      <c r="G213" s="83"/>
      <c r="H213" s="83"/>
      <c r="I213" s="137"/>
      <c r="J213" s="129"/>
      <c r="K213" s="131"/>
      <c r="L213" s="85"/>
      <c r="M213" s="66"/>
      <c r="N213" s="67"/>
      <c r="O213" s="82"/>
    </row>
    <row r="214" spans="3:15" x14ac:dyDescent="0.2">
      <c r="C214" s="3"/>
      <c r="F214" s="83"/>
      <c r="G214" s="83"/>
      <c r="H214" s="83"/>
      <c r="I214" s="137"/>
      <c r="J214" s="129"/>
      <c r="K214" s="131"/>
      <c r="L214" s="85"/>
      <c r="M214" s="66"/>
      <c r="N214" s="67"/>
      <c r="O214" s="82"/>
    </row>
    <row r="215" spans="3:15" x14ac:dyDescent="0.2">
      <c r="C215" s="3"/>
      <c r="F215" s="83"/>
      <c r="G215" s="83"/>
      <c r="H215" s="83"/>
      <c r="I215" s="137"/>
      <c r="J215" s="129"/>
      <c r="K215" s="131"/>
      <c r="L215" s="85"/>
      <c r="M215" s="66"/>
      <c r="N215" s="67"/>
      <c r="O215" s="82"/>
    </row>
  </sheetData>
  <autoFilter ref="F9:S198" xr:uid="{00000000-0009-0000-0000-000000000000}"/>
  <mergeCells count="20">
    <mergeCell ref="I106:L106"/>
    <mergeCell ref="G113:I113"/>
    <mergeCell ref="G53:I53"/>
    <mergeCell ref="I66:L66"/>
    <mergeCell ref="G70:I70"/>
    <mergeCell ref="I85:L85"/>
    <mergeCell ref="G88:I88"/>
    <mergeCell ref="F96:I96"/>
    <mergeCell ref="I26:L26"/>
    <mergeCell ref="F29:I29"/>
    <mergeCell ref="I50:L50"/>
    <mergeCell ref="F2:H2"/>
    <mergeCell ref="K2:M2"/>
    <mergeCell ref="F3:H3"/>
    <mergeCell ref="F4:H4"/>
    <mergeCell ref="N4:O5"/>
    <mergeCell ref="F5:H5"/>
    <mergeCell ref="K5:L6"/>
    <mergeCell ref="F6:H6"/>
    <mergeCell ref="F13:I13"/>
  </mergeCells>
  <phoneticPr fontId="15"/>
  <dataValidations count="2">
    <dataValidation allowBlank="1" showInputMessage="1" showErrorMessage="1" sqref="N50" xr:uid="{A854FDAB-9AA9-4514-A6BB-5B64677B76F2}"/>
    <dataValidation imeMode="hiragana" allowBlank="1" showInputMessage="1" showErrorMessage="1" sqref="N79" xr:uid="{0B6DB2FE-18C2-413E-A2B0-1BFBDE989105}"/>
  </dataValidations>
  <pageMargins left="0.2" right="0.2" top="0.36" bottom="0.41" header="0.3" footer="0.3"/>
  <pageSetup paperSize="9" scale="70" orientation="landscape" r:id="rId1"/>
  <ignoredErrors>
    <ignoredError sqref="C185 C180 C175 C170 C159 C13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227707　原価表  20251104③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2025-12-12T07:51:08Z</dcterms:modified>
</cp:coreProperties>
</file>