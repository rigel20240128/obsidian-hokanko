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-saito\AppData\Local\Microsoft\Windows\INetCache\Content.Outlook\2XFZ23FT\"/>
    </mc:Choice>
  </mc:AlternateContent>
  <xr:revisionPtr revIDLastSave="0" documentId="13_ncr:1_{9C5C53C6-8796-4490-B252-E5B75B7C58A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227707　原価表  20251024 ①" sheetId="13" r:id="rId1"/>
  </sheets>
  <definedNames>
    <definedName name="_xlnm._FilterDatabase" localSheetId="0" hidden="1">'227707　原価表  20251024 ①'!$F$9:$S$17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6" i="13" l="1"/>
  <c r="C20" i="13"/>
  <c r="I19" i="13"/>
  <c r="L14" i="13"/>
  <c r="L13" i="13"/>
  <c r="F13" i="13"/>
  <c r="F14" i="13" s="1"/>
  <c r="L12" i="13"/>
  <c r="N2" i="13" l="1"/>
  <c r="I16" i="13"/>
</calcChain>
</file>

<file path=xl/sharedStrings.xml><?xml version="1.0" encoding="utf-8"?>
<sst xmlns="http://schemas.openxmlformats.org/spreadsheetml/2006/main" count="47" uniqueCount="39">
  <si>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</si>
  <si>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</si>
  <si>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</si>
  <si>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</si>
  <si>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</si>
  <si>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</si>
  <si>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</si>
  <si>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</si>
  <si>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</si>
  <si>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</si>
  <si>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</si>
  <si>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</si>
  <si>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</si>
  <si>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</si>
  <si>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</si>
  <si>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</si>
  <si>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</si>
  <si>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</si>
  <si>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</si>
  <si>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</si>
  <si>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</si>
  <si>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</si>
  <si>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出荷依頼項目NO.</t>
    <rPh sb="0" eb="2">
      <t>シュッカ</t>
    </rPh>
    <rPh sb="2" eb="4">
      <t>イライ</t>
    </rPh>
    <rPh sb="4" eb="6">
      <t>コウモク</t>
    </rPh>
    <phoneticPr fontId="6"/>
  </si>
  <si>
    <t>山澤(齋藤）</t>
    <rPh sb="0" eb="2">
      <t>ヤマサワ</t>
    </rPh>
    <rPh sb="3" eb="5">
      <t>サイトウ</t>
    </rPh>
    <phoneticPr fontId="1"/>
  </si>
  <si>
    <t>AXA卓上ﾛﾎﾞｯﾄ</t>
    <rPh sb="0" eb="5">
      <t>チサチタクジョウ</t>
    </rPh>
    <phoneticPr fontId="13"/>
  </si>
  <si>
    <t>SET</t>
  </si>
  <si>
    <t>専用PCｺﾝﾄﾛｰﾗ ﾓﾆﾀｰ ｷｰﾎﾞｰﾄﾞ &amp; ﾏｳｽ【ﾛﾎﾞｯﾄ付属品】</t>
    <rPh sb="35" eb="38">
      <t>フゾクヒン</t>
    </rPh>
    <phoneticPr fontId="1"/>
  </si>
  <si>
    <t>PCｿﾌﾄ 外部ｽｲｯﾁ 含む【ﾛﾎﾞｯﾄ付属品】</t>
  </si>
  <si>
    <t>1カ月</t>
    <rPh sb="2" eb="3">
      <t>ゲツ</t>
    </rPh>
    <phoneticPr fontId="13"/>
  </si>
  <si>
    <t>部材重さkg</t>
    <rPh sb="0" eb="2">
      <t>ブザイ</t>
    </rPh>
    <rPh sb="2" eb="3">
      <t>オモ</t>
    </rPh>
    <phoneticPr fontId="1"/>
  </si>
  <si>
    <t>kg</t>
    <phoneticPr fontId="1"/>
  </si>
  <si>
    <t>架台部分</t>
    <rPh sb="0" eb="2">
      <t>カダイ</t>
    </rPh>
    <rPh sb="2" eb="4">
      <t>ブブン</t>
    </rPh>
    <phoneticPr fontId="1"/>
  </si>
  <si>
    <t>TOTAL重量</t>
    <rPh sb="5" eb="7">
      <t>ジュウリョウ</t>
    </rPh>
    <phoneticPr fontId="1"/>
  </si>
  <si>
    <t>AXA300-ＨV</t>
    <phoneticPr fontId="13"/>
  </si>
  <si>
    <t>AXELIAｼﾘｰｽﾞAXA-ＨV（300角）</t>
    <phoneticPr fontId="13"/>
  </si>
  <si>
    <t>SETB0294-A01　AXA300+SV51+SV01S＋ｼﾘﾝｼﾞ撹拌+取り置き治具+SVC720F+引き出し付き下架台</t>
    <phoneticPr fontId="13"/>
  </si>
  <si>
    <t>227707</t>
    <phoneticPr fontId="1"/>
  </si>
  <si>
    <t>①</t>
    <phoneticPr fontId="6"/>
  </si>
  <si>
    <t>スタンレー電気様(明伸工機株式会社)</t>
    <rPh sb="5" eb="7">
      <t>デンキ</t>
    </rPh>
    <rPh sb="7" eb="8">
      <t>サマ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</si>
</sst>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  <numFmt numFmtId="181" formatCode="#,##0_ "/>
    <numFmt numFmtId="182" formatCode="0_ "/>
  </numFmts>
  <fonts count="16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sz val="22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>
      <alignment vertical="center"/>
    </xf>
  </cellStyleXfs>
  <cellXfs count="9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38" fontId="0" fillId="0" borderId="0" xfId="0" applyNumberFormat="1">
      <alignment vertical="center"/>
    </xf>
    <xf numFmtId="177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3" fontId="0" fillId="0" borderId="0" xfId="0" applyNumberFormat="1">
      <alignment vertical="center"/>
    </xf>
    <xf numFmtId="38" fontId="0" fillId="0" borderId="1" xfId="0" applyNumberFormat="1" applyBorder="1" applyAlignment="1">
      <alignment horizontal="right" vertical="center"/>
    </xf>
    <xf numFmtId="38" fontId="0" fillId="0" borderId="1" xfId="0" applyNumberFormat="1" applyBorder="1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5" xfId="0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56" fontId="0" fillId="0" borderId="0" xfId="0" applyNumberFormat="1" applyAlignment="1">
      <alignment horizontal="right" vertical="center"/>
    </xf>
    <xf numFmtId="0" fontId="0" fillId="0" borderId="2" xfId="0" applyBorder="1" applyAlignment="1">
      <alignment horizontal="right" vertical="center"/>
    </xf>
    <xf numFmtId="181" fontId="0" fillId="0" borderId="1" xfId="0" applyNumberFormat="1" applyBorder="1" applyAlignment="1">
      <alignment horizontal="right" vertical="center"/>
    </xf>
    <xf numFmtId="176" fontId="0" fillId="0" borderId="14" xfId="0" applyNumberFormat="1" applyBorder="1" applyAlignment="1">
      <alignment horizontal="center" vertical="center"/>
    </xf>
    <xf numFmtId="176" fontId="0" fillId="0" borderId="14" xfId="0" applyNumberFormat="1" applyBorder="1" applyAlignment="1"/>
    <xf numFmtId="0" fontId="0" fillId="0" borderId="14" xfId="0" applyBorder="1" applyAlignment="1">
      <alignment horizontal="left" vertical="center" shrinkToFit="1"/>
    </xf>
    <xf numFmtId="0" fontId="0" fillId="0" borderId="14" xfId="0" applyBorder="1" applyAlignment="1">
      <alignment horizontal="center" vertical="center"/>
    </xf>
    <xf numFmtId="179" fontId="0" fillId="0" borderId="14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177" fontId="0" fillId="0" borderId="14" xfId="0" applyNumberForma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3" fontId="12" fillId="0" borderId="1" xfId="1" applyNumberFormat="1" applyBorder="1" applyAlignment="1">
      <alignment horizontal="center" vertical="center"/>
    </xf>
    <xf numFmtId="0" fontId="12" fillId="0" borderId="1" xfId="1" applyBorder="1" applyAlignment="1">
      <alignment horizontal="left" vertical="center"/>
    </xf>
    <xf numFmtId="3" fontId="12" fillId="0" borderId="2" xfId="1" applyNumberFormat="1" applyBorder="1" applyAlignment="1">
      <alignment horizontal="center" vertical="center"/>
    </xf>
    <xf numFmtId="0" fontId="12" fillId="0" borderId="2" xfId="1" applyBorder="1" applyAlignment="1">
      <alignment horizontal="center" vertical="center"/>
    </xf>
    <xf numFmtId="0" fontId="12" fillId="0" borderId="1" xfId="1" applyBorder="1" applyAlignment="1">
      <alignment horizontal="center" vertical="center"/>
    </xf>
    <xf numFmtId="178" fontId="0" fillId="0" borderId="14" xfId="0" applyNumberFormat="1" applyBorder="1" applyAlignment="1">
      <alignment horizontal="center" vertical="center"/>
    </xf>
    <xf numFmtId="49" fontId="12" fillId="0" borderId="1" xfId="1" applyNumberFormat="1" applyBorder="1" applyAlignment="1">
      <alignment horizontal="left" vertical="center"/>
    </xf>
    <xf numFmtId="3" fontId="12" fillId="0" borderId="4" xfId="1" applyNumberFormat="1" applyBorder="1" applyAlignment="1">
      <alignment horizontal="center" vertical="center"/>
    </xf>
    <xf numFmtId="38" fontId="12" fillId="0" borderId="4" xfId="1" applyNumberFormat="1" applyBorder="1" applyAlignment="1">
      <alignment horizontal="center" vertical="center"/>
    </xf>
    <xf numFmtId="0" fontId="12" fillId="0" borderId="8" xfId="1" applyBorder="1" applyAlignment="1">
      <alignment horizontal="center" vertical="center"/>
    </xf>
    <xf numFmtId="0" fontId="12" fillId="0" borderId="1" xfId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7" fillId="0" borderId="0" xfId="0" applyFont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15" fillId="8" borderId="1" xfId="0" applyFont="1" applyFill="1" applyBorder="1">
      <alignment vertical="center"/>
    </xf>
    <xf numFmtId="3" fontId="0" fillId="0" borderId="16" xfId="0" applyNumberFormat="1" applyBorder="1" applyAlignment="1">
      <alignment horizontal="center" vertical="center"/>
    </xf>
    <xf numFmtId="3" fontId="12" fillId="0" borderId="8" xfId="1" applyNumberFormat="1" applyBorder="1" applyAlignment="1">
      <alignment horizontal="center" vertical="center"/>
    </xf>
    <xf numFmtId="0" fontId="12" fillId="0" borderId="4" xfId="1" applyBorder="1">
      <alignment vertical="center"/>
    </xf>
    <xf numFmtId="0" fontId="12" fillId="0" borderId="4" xfId="1" applyBorder="1" applyAlignment="1">
      <alignment horizontal="center" vertical="center"/>
    </xf>
    <xf numFmtId="179" fontId="0" fillId="0" borderId="18" xfId="0" applyNumberFormat="1" applyBorder="1" applyAlignment="1">
      <alignment horizontal="center" vertical="center"/>
    </xf>
    <xf numFmtId="38" fontId="12" fillId="0" borderId="1" xfId="1" applyNumberForma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3" fontId="0" fillId="8" borderId="1" xfId="0" applyNumberForma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176" fontId="0" fillId="0" borderId="1" xfId="0" applyNumberFormat="1" applyBorder="1">
      <alignment vertical="center"/>
    </xf>
    <xf numFmtId="0" fontId="0" fillId="10" borderId="1" xfId="0" applyFill="1" applyBorder="1" applyAlignment="1">
      <alignment horizontal="center" vertical="center"/>
    </xf>
    <xf numFmtId="3" fontId="0" fillId="4" borderId="15" xfId="0" applyNumberFormat="1" applyFill="1" applyBorder="1" applyAlignment="1">
      <alignment horizontal="center" vertical="center"/>
    </xf>
    <xf numFmtId="3" fontId="9" fillId="4" borderId="17" xfId="0" applyNumberFormat="1" applyFont="1" applyFill="1" applyBorder="1" applyAlignment="1">
      <alignment horizontal="center" vertical="center"/>
    </xf>
    <xf numFmtId="3" fontId="9" fillId="4" borderId="1" xfId="0" applyNumberFormat="1" applyFont="1" applyFill="1" applyBorder="1" applyAlignment="1">
      <alignment horizontal="center" vertical="center"/>
    </xf>
    <xf numFmtId="49" fontId="12" fillId="4" borderId="1" xfId="1" applyNumberFormat="1" applyFill="1" applyBorder="1" applyAlignment="1">
      <alignment horizontal="left" vertical="center"/>
    </xf>
    <xf numFmtId="0" fontId="12" fillId="4" borderId="1" xfId="1" applyFill="1" applyBorder="1" applyAlignment="1">
      <alignment horizontal="center" vertical="center"/>
    </xf>
    <xf numFmtId="0" fontId="12" fillId="4" borderId="1" xfId="1" applyFill="1" applyBorder="1" applyAlignment="1">
      <alignment horizontal="left" vertical="center"/>
    </xf>
    <xf numFmtId="49" fontId="12" fillId="4" borderId="4" xfId="1" applyNumberFormat="1" applyFill="1" applyBorder="1" applyAlignment="1">
      <alignment horizontal="left" vertical="center"/>
    </xf>
    <xf numFmtId="0" fontId="12" fillId="4" borderId="4" xfId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82" fontId="15" fillId="8" borderId="1" xfId="0" applyNumberFormat="1" applyFont="1" applyFill="1" applyBorder="1" applyAlignment="1">
      <alignment horizontal="right" vertical="center"/>
    </xf>
    <xf numFmtId="0" fontId="7" fillId="9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right" vertical="center"/>
    </xf>
    <xf numFmtId="182" fontId="15" fillId="0" borderId="1" xfId="0" applyNumberFormat="1" applyFont="1" applyBorder="1" applyAlignment="1">
      <alignment horizontal="right" vertical="center"/>
    </xf>
    <xf numFmtId="3" fontId="0" fillId="8" borderId="7" xfId="0" applyNumberFormat="1" applyFill="1" applyBorder="1" applyAlignment="1">
      <alignment horizontal="center" vertical="center"/>
    </xf>
    <xf numFmtId="176" fontId="10" fillId="7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7" fillId="11" borderId="19" xfId="0" applyFont="1" applyFill="1" applyBorder="1" applyAlignment="1">
      <alignment horizontal="center" vertical="center"/>
    </xf>
    <xf numFmtId="38" fontId="8" fillId="5" borderId="8" xfId="0" applyNumberFormat="1" applyFont="1" applyFill="1" applyBorder="1" applyAlignment="1">
      <alignment horizontal="left" vertical="center" shrinkToFit="1"/>
    </xf>
    <xf numFmtId="38" fontId="8" fillId="5" borderId="9" xfId="0" applyNumberFormat="1" applyFont="1" applyFill="1" applyBorder="1" applyAlignment="1">
      <alignment horizontal="left" vertical="center" shrinkToFit="1"/>
    </xf>
    <xf numFmtId="38" fontId="8" fillId="5" borderId="3" xfId="0" applyNumberFormat="1" applyFont="1" applyFill="1" applyBorder="1" applyAlignment="1">
      <alignment horizontal="left" vertical="center" shrinkToFit="1"/>
    </xf>
    <xf numFmtId="38" fontId="8" fillId="5" borderId="10" xfId="0" applyNumberFormat="1" applyFont="1" applyFill="1" applyBorder="1" applyAlignment="1">
      <alignment horizontal="left" vertical="center" shrinkToFit="1"/>
    </xf>
    <xf numFmtId="0" fontId="4" fillId="2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176" fontId="10" fillId="7" borderId="2" xfId="0" applyNumberFormat="1" applyFont="1" applyFill="1" applyBorder="1" applyAlignment="1">
      <alignment horizontal="center" vertical="center"/>
    </xf>
    <xf numFmtId="176" fontId="10" fillId="7" borderId="6" xfId="0" applyNumberFormat="1" applyFont="1" applyFill="1" applyBorder="1" applyAlignment="1">
      <alignment horizontal="center" vertical="center"/>
    </xf>
    <xf numFmtId="176" fontId="10" fillId="7" borderId="7" xfId="0" applyNumberFormat="1" applyFont="1" applyFill="1" applyBorder="1" applyAlignment="1">
      <alignment horizontal="center" vertical="center"/>
    </xf>
  </cellXfs>
  <cellStyles count="2">
    <cellStyle name="標準" xfId="0" builtinId="0"/>
    <cellStyle name="標準 3" xfId="1" xr:uid="{DC7DCAA0-6465-40DD-8C0A-A3E444632F39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9387E-0E53-42F1-91AC-E6DFBB8C6A82}">
  <sheetPr>
    <tabColor theme="2" tint="-0.249977111117893"/>
  </sheetPr>
  <dimension ref="A2:U29"/>
  <sheetViews>
    <sheetView tabSelected="1" zoomScale="85" zoomScaleNormal="85" workbookViewId="0">
      <pane xSplit="14" ySplit="9" topLeftCell="O10" activePane="bottomRight" state="frozen"/>
      <selection pane="topRight" activeCell="K1" sqref="K1"/>
      <selection pane="bottomLeft" activeCell="A9" sqref="A9"/>
      <selection pane="bottomRight" activeCell="I24" sqref="I24:I25"/>
    </sheetView>
  </sheetViews>
  <sheetFormatPr defaultRowHeight="13.2" x14ac:dyDescent="0.2"/>
  <cols>
    <col min="2" max="2" width="5.88671875" customWidth="1"/>
    <col min="3" max="3" width="12.6640625" customWidth="1"/>
    <col min="4" max="4" width="4.5546875" customWidth="1"/>
    <col min="5" max="5" width="9" customWidth="1"/>
    <col min="6" max="6" width="13.21875" style="3" customWidth="1"/>
    <col min="7" max="7" width="14.33203125" bestFit="1" customWidth="1"/>
    <col min="8" max="8" width="13.109375" bestFit="1" customWidth="1"/>
    <col min="9" max="9" width="61.109375" customWidth="1"/>
    <col min="10" max="10" width="6.21875" style="3" customWidth="1"/>
    <col min="11" max="12" width="9.88671875" style="8" bestFit="1" customWidth="1"/>
    <col min="13" max="13" width="5.77734375" style="8" customWidth="1"/>
    <col min="14" max="14" width="54.33203125" customWidth="1"/>
    <col min="15" max="15" width="23.88671875" customWidth="1"/>
    <col min="16" max="16" width="20.33203125" style="3" customWidth="1"/>
    <col min="17" max="17" width="13.77734375" style="10" customWidth="1"/>
    <col min="18" max="18" width="6.33203125" customWidth="1"/>
    <col min="19" max="19" width="13.21875" style="8" customWidth="1"/>
    <col min="20" max="20" width="14.44140625" style="12" customWidth="1"/>
    <col min="21" max="21" width="15.6640625" style="13" customWidth="1"/>
  </cols>
  <sheetData>
    <row r="2" spans="1:21" ht="20.100000000000001" customHeight="1" x14ac:dyDescent="0.2">
      <c r="F2" s="88" t="s">
        <v>11</v>
      </c>
      <c r="G2" s="88"/>
      <c r="H2" s="88"/>
      <c r="I2" s="9" t="s">
        <v>38</v>
      </c>
      <c r="K2" s="90" t="s">
        <v>15</v>
      </c>
      <c r="L2" s="91"/>
      <c r="M2" s="92"/>
      <c r="N2" s="7">
        <f>SUM(L:L)</f>
        <v>1064000</v>
      </c>
    </row>
    <row r="3" spans="1:21" ht="20.100000000000001" customHeight="1" x14ac:dyDescent="0.2">
      <c r="F3" s="88" t="s">
        <v>10</v>
      </c>
      <c r="G3" s="88"/>
      <c r="H3" s="88"/>
      <c r="I3" s="5" t="s">
        <v>23</v>
      </c>
    </row>
    <row r="4" spans="1:21" ht="20.100000000000001" customHeight="1" x14ac:dyDescent="0.2">
      <c r="F4" s="88" t="s">
        <v>12</v>
      </c>
      <c r="G4" s="88"/>
      <c r="H4" s="88"/>
      <c r="I4" s="27" t="s">
        <v>36</v>
      </c>
      <c r="L4" s="28"/>
      <c r="N4" s="84" t="s">
        <v>35</v>
      </c>
      <c r="O4" s="85"/>
    </row>
    <row r="5" spans="1:21" ht="20.100000000000001" customHeight="1" x14ac:dyDescent="0.2">
      <c r="F5" s="88" t="s">
        <v>13</v>
      </c>
      <c r="G5" s="88"/>
      <c r="H5" s="88"/>
      <c r="I5" s="6">
        <v>45986</v>
      </c>
      <c r="K5" s="89" t="s">
        <v>37</v>
      </c>
      <c r="L5" s="89"/>
      <c r="N5" s="86"/>
      <c r="O5" s="87"/>
    </row>
    <row r="6" spans="1:21" ht="20.100000000000001" customHeight="1" x14ac:dyDescent="0.2">
      <c r="F6" s="88" t="s">
        <v>14</v>
      </c>
      <c r="G6" s="88"/>
      <c r="H6" s="88"/>
      <c r="I6" s="6">
        <v>45987</v>
      </c>
      <c r="K6" s="89"/>
      <c r="L6" s="89"/>
      <c r="N6" s="15"/>
      <c r="O6" s="20"/>
    </row>
    <row r="7" spans="1:21" ht="20.100000000000001" customHeight="1" x14ac:dyDescent="0.2">
      <c r="F7" s="17"/>
      <c r="G7" s="17"/>
      <c r="H7" s="17"/>
      <c r="I7" s="16"/>
      <c r="N7" s="15"/>
      <c r="O7" s="20"/>
      <c r="P7" s="18"/>
    </row>
    <row r="9" spans="1:21" s="3" customFormat="1" ht="19.649999999999999" customHeight="1" x14ac:dyDescent="0.2">
      <c r="B9" s="1"/>
      <c r="C9" s="75" t="s">
        <v>29</v>
      </c>
      <c r="E9" s="1" t="s">
        <v>22</v>
      </c>
      <c r="F9" s="4" t="s">
        <v>4</v>
      </c>
      <c r="G9" s="4" t="s">
        <v>9</v>
      </c>
      <c r="H9" s="4" t="s">
        <v>5</v>
      </c>
      <c r="I9" s="1" t="s">
        <v>8</v>
      </c>
      <c r="J9" s="1" t="s">
        <v>0</v>
      </c>
      <c r="K9" s="25" t="s">
        <v>1</v>
      </c>
      <c r="L9" s="29" t="s">
        <v>2</v>
      </c>
      <c r="M9" s="2" t="s">
        <v>18</v>
      </c>
      <c r="N9" s="1" t="s">
        <v>3</v>
      </c>
      <c r="O9" s="1" t="s">
        <v>17</v>
      </c>
      <c r="P9" s="1" t="s">
        <v>16</v>
      </c>
      <c r="Q9" s="11" t="s">
        <v>6</v>
      </c>
      <c r="R9" s="4" t="s">
        <v>19</v>
      </c>
      <c r="S9" s="1" t="s">
        <v>7</v>
      </c>
      <c r="T9" s="11" t="s">
        <v>20</v>
      </c>
      <c r="U9" s="14" t="s">
        <v>21</v>
      </c>
    </row>
    <row r="10" spans="1:21" s="3" customFormat="1" ht="19.649999999999999" customHeight="1" x14ac:dyDescent="0.2">
      <c r="D10" s="26"/>
      <c r="E10" s="1"/>
      <c r="F10" s="4"/>
      <c r="G10" s="4"/>
      <c r="H10" s="4"/>
      <c r="I10" s="24"/>
      <c r="J10" s="1"/>
      <c r="K10" s="21"/>
      <c r="L10" s="30"/>
      <c r="M10" s="2"/>
      <c r="N10" s="23"/>
      <c r="O10" s="22"/>
      <c r="P10" s="4"/>
      <c r="Q10" s="11"/>
      <c r="R10" s="4"/>
      <c r="S10" s="19"/>
      <c r="T10" s="19"/>
      <c r="U10" s="14"/>
    </row>
    <row r="11" spans="1:21" s="3" customFormat="1" ht="19.5" customHeight="1" x14ac:dyDescent="0.2">
      <c r="F11" s="93" t="s">
        <v>24</v>
      </c>
      <c r="G11" s="94"/>
      <c r="H11" s="94"/>
      <c r="I11" s="95"/>
      <c r="J11" s="31"/>
      <c r="K11" s="31"/>
      <c r="L11" s="31"/>
      <c r="M11" s="32"/>
      <c r="N11" s="33"/>
      <c r="O11" s="34"/>
      <c r="P11" s="34"/>
      <c r="Q11" s="35"/>
      <c r="R11" s="36"/>
      <c r="S11" s="34"/>
      <c r="T11" s="35"/>
      <c r="U11" s="37"/>
    </row>
    <row r="12" spans="1:21" s="3" customFormat="1" ht="19.5" customHeight="1" x14ac:dyDescent="0.2">
      <c r="A12" s="3" t="s">
        <v>28</v>
      </c>
      <c r="C12" s="1">
        <v>47.5</v>
      </c>
      <c r="D12" s="66"/>
      <c r="E12" s="38">
        <v>1</v>
      </c>
      <c r="F12" s="67">
        <v>1</v>
      </c>
      <c r="G12" s="39" t="s">
        <v>25</v>
      </c>
      <c r="H12" s="39" t="s">
        <v>25</v>
      </c>
      <c r="I12" s="72" t="s">
        <v>33</v>
      </c>
      <c r="J12" s="71">
        <v>1</v>
      </c>
      <c r="K12" s="39">
        <v>1064000</v>
      </c>
      <c r="L12" s="41">
        <f>K12*J12</f>
        <v>1064000</v>
      </c>
      <c r="M12" s="42"/>
      <c r="N12" s="40" t="s">
        <v>34</v>
      </c>
      <c r="O12" s="43"/>
      <c r="P12" s="43"/>
      <c r="Q12" s="35"/>
      <c r="R12" s="36"/>
      <c r="S12" s="34"/>
      <c r="T12" s="35"/>
      <c r="U12" s="44">
        <v>44964</v>
      </c>
    </row>
    <row r="13" spans="1:21" s="3" customFormat="1" ht="19.5" customHeight="1" x14ac:dyDescent="0.2">
      <c r="A13" s="3" t="s">
        <v>28</v>
      </c>
      <c r="C13" s="1">
        <v>10.5</v>
      </c>
      <c r="D13" s="66"/>
      <c r="E13" s="38">
        <v>1</v>
      </c>
      <c r="F13" s="68">
        <f>F12+1</f>
        <v>2</v>
      </c>
      <c r="G13" s="46" t="s">
        <v>25</v>
      </c>
      <c r="H13" s="39" t="s">
        <v>25</v>
      </c>
      <c r="I13" s="70" t="s">
        <v>26</v>
      </c>
      <c r="J13" s="71">
        <v>1</v>
      </c>
      <c r="K13" s="39">
        <v>0</v>
      </c>
      <c r="L13" s="41">
        <f t="shared" ref="L13:L14" si="0">K13*J13</f>
        <v>0</v>
      </c>
      <c r="M13" s="42"/>
      <c r="N13" s="40"/>
      <c r="O13" s="43"/>
      <c r="P13" s="43"/>
      <c r="Q13" s="35"/>
      <c r="R13" s="36"/>
      <c r="S13" s="34"/>
      <c r="T13" s="35"/>
      <c r="U13" s="37"/>
    </row>
    <row r="14" spans="1:21" s="3" customFormat="1" ht="19.5" customHeight="1" x14ac:dyDescent="0.2">
      <c r="A14" s="3" t="s">
        <v>28</v>
      </c>
      <c r="C14" s="1"/>
      <c r="D14" s="66"/>
      <c r="E14" s="38">
        <v>1</v>
      </c>
      <c r="F14" s="69">
        <f t="shared" ref="F14" si="1">F13+1</f>
        <v>3</v>
      </c>
      <c r="G14" s="39" t="s">
        <v>25</v>
      </c>
      <c r="H14" s="46" t="s">
        <v>25</v>
      </c>
      <c r="I14" s="73" t="s">
        <v>27</v>
      </c>
      <c r="J14" s="74">
        <v>1</v>
      </c>
      <c r="K14" s="47">
        <v>0</v>
      </c>
      <c r="L14" s="56">
        <f t="shared" si="0"/>
        <v>0</v>
      </c>
      <c r="M14" s="48"/>
      <c r="N14" s="57"/>
      <c r="O14" s="58"/>
      <c r="P14" s="58"/>
      <c r="Q14" s="59"/>
      <c r="R14" s="36"/>
      <c r="S14" s="34"/>
      <c r="T14" s="35"/>
      <c r="U14" s="37"/>
    </row>
    <row r="15" spans="1:21" s="3" customFormat="1" ht="19.5" customHeight="1" x14ac:dyDescent="0.2">
      <c r="E15" s="50"/>
      <c r="F15" s="61"/>
      <c r="G15" s="39"/>
      <c r="H15" s="39"/>
      <c r="I15" s="45"/>
      <c r="J15" s="43"/>
      <c r="K15" s="60"/>
      <c r="L15" s="39"/>
      <c r="M15" s="43"/>
      <c r="N15" s="49"/>
      <c r="O15" s="43"/>
      <c r="P15" s="43"/>
      <c r="Q15" s="11"/>
      <c r="R15" s="55"/>
      <c r="S15" s="34"/>
      <c r="T15" s="35"/>
      <c r="U15" s="37"/>
    </row>
    <row r="16" spans="1:21" s="3" customFormat="1" ht="19.5" customHeight="1" x14ac:dyDescent="0.2">
      <c r="E16" s="50"/>
      <c r="F16" s="61"/>
      <c r="G16" s="39"/>
      <c r="H16" s="39"/>
      <c r="I16" s="96">
        <f>SUM(L12:L14)</f>
        <v>1064000</v>
      </c>
      <c r="J16" s="97"/>
      <c r="K16" s="97"/>
      <c r="L16" s="98"/>
      <c r="M16" s="43"/>
      <c r="N16" s="49"/>
      <c r="O16" s="43"/>
      <c r="P16" s="43"/>
      <c r="Q16" s="11"/>
      <c r="R16" s="55"/>
      <c r="S16" s="34"/>
      <c r="T16" s="35"/>
      <c r="U16" s="37"/>
    </row>
    <row r="17" spans="3:21" s="3" customFormat="1" ht="19.5" customHeight="1" x14ac:dyDescent="0.2">
      <c r="E17" s="50"/>
      <c r="F17" s="61"/>
      <c r="G17" s="39"/>
      <c r="H17" s="39"/>
      <c r="I17" s="45"/>
      <c r="J17" s="43"/>
      <c r="K17" s="60"/>
      <c r="L17" s="39"/>
      <c r="M17" s="43"/>
      <c r="N17" s="49"/>
      <c r="O17" s="43"/>
      <c r="P17" s="43"/>
      <c r="Q17" s="11"/>
      <c r="R17" s="55"/>
      <c r="S17" s="34"/>
      <c r="T17" s="35"/>
      <c r="U17" s="37"/>
    </row>
    <row r="18" spans="3:21" x14ac:dyDescent="0.2">
      <c r="C18" s="1"/>
      <c r="F18" s="4"/>
      <c r="G18" s="4"/>
      <c r="H18" s="4"/>
      <c r="I18" s="82"/>
      <c r="J18" s="79"/>
      <c r="K18" s="25"/>
      <c r="L18" s="65"/>
      <c r="M18" s="53"/>
      <c r="N18" s="51"/>
      <c r="O18" s="62"/>
    </row>
    <row r="19" spans="3:21" ht="19.2" x14ac:dyDescent="0.2">
      <c r="C19" s="3" t="s">
        <v>31</v>
      </c>
      <c r="F19" s="63"/>
      <c r="G19" s="63"/>
      <c r="H19" s="63"/>
      <c r="I19" s="81">
        <f>SUM(L18:L19)</f>
        <v>0</v>
      </c>
      <c r="J19" s="76"/>
      <c r="K19" s="78"/>
      <c r="L19" s="65"/>
      <c r="M19" s="53"/>
      <c r="N19" s="54"/>
      <c r="O19" s="62"/>
    </row>
    <row r="20" spans="3:21" x14ac:dyDescent="0.2">
      <c r="C20" s="77">
        <f>SUM(C12:C19)</f>
        <v>58</v>
      </c>
      <c r="F20" s="80"/>
      <c r="G20" s="63"/>
      <c r="H20" s="63"/>
      <c r="I20" s="64"/>
      <c r="J20" s="76"/>
      <c r="K20" s="78"/>
      <c r="L20" s="65"/>
      <c r="M20" s="53"/>
      <c r="N20" s="54"/>
      <c r="O20" s="62"/>
    </row>
    <row r="21" spans="3:21" x14ac:dyDescent="0.2">
      <c r="C21" s="52" t="s">
        <v>30</v>
      </c>
      <c r="F21" s="63"/>
      <c r="G21" s="63"/>
      <c r="H21" s="63"/>
      <c r="I21" s="82"/>
      <c r="J21" s="76"/>
      <c r="K21" s="78"/>
      <c r="L21" s="65"/>
      <c r="M21" s="53"/>
      <c r="N21" s="54"/>
      <c r="O21" s="62"/>
    </row>
    <row r="22" spans="3:21" x14ac:dyDescent="0.2">
      <c r="C22" s="3"/>
      <c r="F22" s="63"/>
      <c r="G22" s="63"/>
      <c r="H22" s="63"/>
      <c r="I22" s="82"/>
      <c r="J22" s="76"/>
      <c r="K22" s="78"/>
      <c r="L22" s="65"/>
      <c r="M22" s="53"/>
      <c r="N22" s="54"/>
      <c r="O22" s="62"/>
    </row>
    <row r="23" spans="3:21" x14ac:dyDescent="0.2">
      <c r="C23" s="3"/>
      <c r="F23" s="63"/>
      <c r="G23" s="63"/>
      <c r="H23" s="63"/>
      <c r="I23" s="82"/>
      <c r="J23" s="76"/>
      <c r="K23" s="78"/>
      <c r="L23" s="65"/>
      <c r="M23" s="53"/>
      <c r="N23" s="54"/>
      <c r="O23" s="62"/>
    </row>
    <row r="24" spans="3:21" x14ac:dyDescent="0.2">
      <c r="C24" s="3"/>
      <c r="F24" s="63"/>
      <c r="G24" s="63"/>
      <c r="H24" s="63"/>
      <c r="I24" s="82"/>
      <c r="J24" s="76"/>
      <c r="K24" s="78"/>
      <c r="L24" s="65"/>
      <c r="M24" s="53"/>
      <c r="N24" s="54"/>
      <c r="O24" s="62"/>
    </row>
    <row r="25" spans="3:21" ht="13.8" thickBot="1" x14ac:dyDescent="0.25">
      <c r="C25" s="3" t="s">
        <v>32</v>
      </c>
      <c r="F25" s="63"/>
      <c r="G25" s="63"/>
      <c r="H25" s="63"/>
      <c r="I25" s="82"/>
      <c r="J25" s="76"/>
      <c r="K25" s="78"/>
      <c r="L25" s="65"/>
      <c r="M25" s="53"/>
      <c r="N25" s="54"/>
      <c r="O25" s="62"/>
    </row>
    <row r="26" spans="3:21" ht="13.8" thickBot="1" x14ac:dyDescent="0.25">
      <c r="C26" s="83">
        <f>+C20</f>
        <v>58</v>
      </c>
      <c r="F26" s="80"/>
      <c r="G26" s="63"/>
      <c r="H26" s="63"/>
      <c r="I26" s="82"/>
      <c r="J26" s="76"/>
      <c r="K26" s="78"/>
      <c r="L26" s="65"/>
      <c r="M26" s="53"/>
      <c r="N26" s="54"/>
      <c r="O26" s="62"/>
    </row>
    <row r="27" spans="3:21" x14ac:dyDescent="0.2">
      <c r="C27" s="52" t="s">
        <v>30</v>
      </c>
      <c r="F27" s="63"/>
      <c r="G27" s="63"/>
      <c r="H27" s="63"/>
      <c r="I27" s="82"/>
      <c r="J27" s="76"/>
      <c r="K27" s="78"/>
      <c r="L27" s="65"/>
      <c r="M27" s="53"/>
      <c r="N27" s="54"/>
      <c r="O27" s="62"/>
    </row>
    <row r="28" spans="3:21" x14ac:dyDescent="0.2">
      <c r="C28" s="3"/>
      <c r="F28" s="63"/>
      <c r="G28" s="63"/>
      <c r="H28" s="63"/>
      <c r="I28" s="82"/>
      <c r="J28" s="76"/>
      <c r="K28" s="78"/>
      <c r="L28" s="65"/>
      <c r="M28" s="53"/>
      <c r="N28" s="54"/>
      <c r="O28" s="62"/>
    </row>
    <row r="29" spans="3:21" x14ac:dyDescent="0.2">
      <c r="C29" s="3"/>
      <c r="F29" s="63"/>
      <c r="G29" s="63"/>
      <c r="H29" s="63"/>
      <c r="I29" s="82"/>
      <c r="J29" s="76"/>
      <c r="K29" s="78"/>
      <c r="L29" s="65"/>
      <c r="M29" s="53"/>
      <c r="N29" s="54"/>
      <c r="O29" s="62"/>
    </row>
  </sheetData>
  <autoFilter ref="F9:S17" xr:uid="{00000000-0009-0000-0000-000000000000}"/>
  <mergeCells count="10">
    <mergeCell ref="F11:I11"/>
    <mergeCell ref="I16:L16"/>
    <mergeCell ref="N4:O5"/>
    <mergeCell ref="F5:H5"/>
    <mergeCell ref="K5:L6"/>
    <mergeCell ref="F6:H6"/>
    <mergeCell ref="F2:H2"/>
    <mergeCell ref="K2:M2"/>
    <mergeCell ref="F3:H3"/>
    <mergeCell ref="F4:H4"/>
  </mergeCells>
  <phoneticPr fontId="13"/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227707　原価表  20251024 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齋藤 秀昭</dc:creator>
  <cp:lastModifiedBy>齋藤 秀昭</cp:lastModifiedBy>
  <cp:lastPrinted>2018-06-15T01:25:43Z</cp:lastPrinted>
  <dcterms:created xsi:type="dcterms:W3CDTF">2011-12-13T06:48:43Z</dcterms:created>
  <dcterms:modified xsi:type="dcterms:W3CDTF">2025-10-24T02:18:57Z</dcterms:modified>
</cp:coreProperties>
</file>