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77E7EE8-995E-472E-ABB8-A351BDB8BC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原価表!$B$9:$O$33</definedName>
  </definedNames>
  <calcPr calcId="181029"/>
  <fileRecoveryPr autoRecover="0"/>
</workbook>
</file>

<file path=xl/calcChain.xml><?xml version="1.0" encoding="utf-8"?>
<calcChain xmlns="http://schemas.openxmlformats.org/spreadsheetml/2006/main">
  <c r="H29" i="1" l="1"/>
  <c r="H15" i="1"/>
  <c r="H16" i="1"/>
  <c r="H12" i="1"/>
  <c r="H13" i="1"/>
  <c r="H14" i="1"/>
  <c r="H30" i="1"/>
  <c r="H31" i="1"/>
  <c r="H17" i="1"/>
  <c r="H18" i="1"/>
  <c r="H19" i="1"/>
  <c r="H20" i="1"/>
  <c r="H21" i="1"/>
  <c r="H22" i="1"/>
  <c r="H23" i="1"/>
  <c r="H24" i="1"/>
  <c r="H25" i="1"/>
  <c r="H26" i="1"/>
  <c r="H27" i="1"/>
  <c r="H28" i="1"/>
  <c r="H32" i="1"/>
  <c r="H33" i="1"/>
  <c r="J2" i="1" l="1"/>
</calcChain>
</file>

<file path=xl/sharedStrings.xml><?xml version="1.0" encoding="utf-8"?>
<sst xmlns="http://schemas.openxmlformats.org/spreadsheetml/2006/main" count="143" uniqueCount="81">
  <si>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</si>
  <si>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</si>
  <si>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</si>
  <si>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</si>
  <si>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</si>
  <si>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</si>
  <si>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</si>
  <si>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</si>
  <si>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</si>
  <si>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</si>
  <si>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</si>
  <si>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</si>
  <si>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</si>
  <si>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</si>
  <si>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</si>
  <si>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</si>
  <si>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</si>
  <si>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</si>
  <si>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</si>
  <si>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</si>
  <si>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</si>
  <si>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</si>
  <si>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MISUMI</t>
    <phoneticPr fontId="5"/>
  </si>
  <si>
    <t>SMC</t>
    <phoneticPr fontId="1"/>
  </si>
  <si>
    <t>SET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</si>
  <si>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</si>
  <si>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</si>
  <si>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■SETA0236-Y01-A(ﾂｰﾙﾌﾟﾚｰﾄ)</t>
  </si>
  <si>
    <t>■SETA0236-Y02-A(ｼﾘﾝﾀﾞﾌﾟﾚｰﾄ)</t>
  </si>
  <si>
    <t>MWS-DS37A-HT37</t>
  </si>
  <si>
    <t>MWI-COM-P10N10</t>
  </si>
  <si>
    <t>TWSSS10-4.5-5</t>
  </si>
  <si>
    <t>■SETA0236-Y03-A(延長ﾌﾞﾛｯｸ)</t>
    <phoneticPr fontId="1"/>
  </si>
  <si>
    <t>東京時計精密</t>
    <rPh sb="0" eb="4">
      <t>トウキョウトケイ</t>
    </rPh>
    <rPh sb="4" eb="6">
      <t>セイミツ</t>
    </rPh>
    <phoneticPr fontId="1"/>
  </si>
  <si>
    <t>吉鶴</t>
    <rPh sb="0" eb="2">
      <t>ヨシヅル</t>
    </rPh>
    <phoneticPr fontId="1"/>
  </si>
  <si>
    <t>ACON-CYB-10WAI-NP-3-0-DN</t>
    <phoneticPr fontId="1"/>
  </si>
  <si>
    <t>MVBLK-AMW-41J-DMBJJ</t>
  </si>
  <si>
    <t>MVBLK-AMW-41J-94SHU</t>
  </si>
  <si>
    <t>IAI</t>
    <phoneticPr fontId="5"/>
  </si>
  <si>
    <t>RCA2-TCA3NA-I-10-2-30-A3-S</t>
    <phoneticPr fontId="1"/>
  </si>
  <si>
    <t>MVBLK-AMW-41L-7KKR4</t>
  </si>
  <si>
    <t>MVBLK-AMW-41L-EYUF4</t>
  </si>
  <si>
    <t>■SETA0236-X01-A(ﾜｰｸｼﾞｸﾞﾍﾞｰｽ-1)</t>
  </si>
  <si>
    <t>■SETA0236-X02-A(ﾜｰｸｼﾞｸﾞﾍﾞｰｽ-2)</t>
  </si>
  <si>
    <t>MVSHM-3N02002-41J-N1RH3</t>
  </si>
  <si>
    <t>TKR-TWE1</t>
  </si>
  <si>
    <t>MVBLK-AMW-41L-WS3TG</t>
  </si>
  <si>
    <t>ﾛﾎﾞｼﾘﾝﾀﾞ</t>
    <phoneticPr fontId="1"/>
  </si>
  <si>
    <t>ｺﾝﾄﾛｰﾗｰ</t>
    <phoneticPr fontId="1"/>
  </si>
  <si>
    <t>MR7706TJ3</t>
  </si>
  <si>
    <t>NEDUL-PT-JS-9-3</t>
  </si>
  <si>
    <t>■SETA0236-Z01-A(背面ﾌﾟﾚｰﾄ)</t>
  </si>
  <si>
    <t>SDR-120-24</t>
  </si>
  <si>
    <t>MRB-90</t>
  </si>
  <si>
    <t>MRB-310</t>
  </si>
  <si>
    <t>NEDJL-PS-SB-37-1</t>
  </si>
  <si>
    <t>3M-3</t>
  </si>
  <si>
    <t>Dｻﾌﾞﾊｰﾈｽ(ﾏﾙ)</t>
  </si>
  <si>
    <t>ﾀｯﾌﾟ ｺ-ﾄﾞﾘｰﾙ ｽｲﾝｸﾞﾌﾟﾗｸﾞ</t>
  </si>
  <si>
    <t>DINﾚｰﾙ</t>
  </si>
  <si>
    <t>ｱｸｾｻﾘｰ ﾌﾟﾘﾝﾄｷﾊﾞﾝTKRｼﾘｰｽﾞ</t>
  </si>
  <si>
    <t>ｷﾝｿﾞｸﾜｯｼｬ (TWSSS)</t>
  </si>
  <si>
    <t>DSUBﾊｰﾈｽ</t>
  </si>
  <si>
    <t>ｺﾓﾝﾀﾝｼﾀﾞｲ</t>
  </si>
  <si>
    <t>ﾈｼﾞﾍﾝｶﾝｼｷﾀﾝｼﾀﾞｲ</t>
  </si>
  <si>
    <t>ACｺｰﾄﾞ</t>
  </si>
  <si>
    <t>SWﾃﾞﾝｹﾞﾝ ﾚｰﾙﾂｷ(MEANWELL)</t>
  </si>
  <si>
    <t>Web発注済</t>
    <rPh sb="3" eb="6">
      <t>ハッチュウスミ</t>
    </rPh>
    <phoneticPr fontId="1"/>
  </si>
  <si>
    <t>発注願います</t>
    <rPh sb="0" eb="3">
      <t>ハッチュウネガ</t>
    </rPh>
    <phoneticPr fontId="1"/>
  </si>
  <si>
    <t>AXA200-HV</t>
    <phoneticPr fontId="1"/>
  </si>
  <si>
    <t>AXHD-01001K</t>
    <phoneticPr fontId="1"/>
  </si>
  <si>
    <t>AXELIAｼﾘｰｽﾞ 200</t>
    <phoneticPr fontId="1"/>
  </si>
  <si>
    <t>ﾁｯﾌﾟﾊｲﾄﾃﾞｨﾃｸﾄｷｯﾄ</t>
    <phoneticPr fontId="1"/>
  </si>
  <si>
    <t>在庫なき場合は発注願います</t>
    <rPh sb="0" eb="2">
      <t>ザイコ</t>
    </rPh>
    <rPh sb="4" eb="6">
      <t>バアイ</t>
    </rPh>
    <rPh sb="7" eb="10">
      <t>ハッチュウネガ</t>
    </rPh>
    <phoneticPr fontId="1"/>
  </si>
  <si>
    <t>3
ﾂｰﾙｼﾞｸﾞ</t>
    <phoneticPr fontId="1"/>
  </si>
  <si>
    <t>5
ﾜｰｸｼﾞｸﾞ</t>
    <phoneticPr fontId="1"/>
  </si>
  <si>
    <t>3
電気関係</t>
    <rPh sb="3" eb="7">
      <t>デンキカンケイ</t>
    </rPh>
    <phoneticPr fontId="1"/>
  </si>
  <si>
    <t>日伝</t>
    <rPh sb="0" eb="2">
      <t>ニチデン</t>
    </rPh>
    <phoneticPr fontId="1"/>
  </si>
  <si>
    <t>ﾀｰﾐﾅﾙﾘﾚｰ</t>
    <phoneticPr fontId="1"/>
  </si>
  <si>
    <t>G6D-F4B DC24</t>
    <phoneticPr fontId="1"/>
  </si>
  <si>
    <t>Web発注済</t>
    <rPh sb="0" eb="6">
      <t>ウェBハッチュウスミ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</si>
</sst>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6" fillId="0" borderId="0" xfId="0" applyNumberFormat="1" applyFont="1">
      <alignment vertical="center"/>
    </xf>
    <xf numFmtId="56" fontId="0" fillId="0" borderId="1" xfId="0" applyNumberFormat="1" applyBorder="1" applyAlignment="1">
      <alignment horizontal="center"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41" fontId="0" fillId="0" borderId="0" xfId="0" applyNumberFormat="1">
      <alignment vertical="center"/>
    </xf>
    <xf numFmtId="41" fontId="0" fillId="0" borderId="0" xfId="0" applyNumberFormat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41" fontId="0" fillId="3" borderId="1" xfId="0" applyNumberFormat="1" applyFill="1" applyBorder="1">
      <alignment vertical="center"/>
    </xf>
    <xf numFmtId="41" fontId="0" fillId="0" borderId="2" xfId="0" applyNumberFormat="1" applyBorder="1" applyAlignment="1">
      <alignment horizontal="right" vertical="center"/>
    </xf>
    <xf numFmtId="179" fontId="0" fillId="0" borderId="0" xfId="0" applyNumberForma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38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38" fontId="0" fillId="0" borderId="0" xfId="0" applyNumberFormat="1" applyAlignment="1">
      <alignment horizontal="left" vertical="center"/>
    </xf>
    <xf numFmtId="179" fontId="0" fillId="0" borderId="1" xfId="0" applyNumberFormat="1" applyBorder="1" applyAlignment="1">
      <alignment horizontal="left" vertical="center"/>
    </xf>
    <xf numFmtId="3" fontId="0" fillId="0" borderId="5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3" borderId="1" xfId="0" applyNumberFormat="1" applyFill="1" applyBorder="1">
      <alignment vertical="center"/>
    </xf>
    <xf numFmtId="41" fontId="0" fillId="3" borderId="2" xfId="0" applyNumberFormat="1" applyFill="1" applyBorder="1" applyAlignment="1">
      <alignment horizontal="right" vertical="center"/>
    </xf>
    <xf numFmtId="179" fontId="0" fillId="3" borderId="1" xfId="0" applyNumberFormat="1" applyFill="1" applyBorder="1" applyAlignment="1">
      <alignment horizontal="left" vertical="center"/>
    </xf>
    <xf numFmtId="56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4"/>
  <sheetViews>
    <sheetView tabSelected="1" zoomScale="85" zoomScaleNormal="85" workbookViewId="0">
      <pane xSplit="8" topLeftCell="I1" activePane="topRight" state="frozen"/>
      <selection pane="topRight"/>
    </sheetView>
  </sheetViews>
  <sheetFormatPr defaultColWidth="9" defaultRowHeight="13.5" x14ac:dyDescent="0.15"/>
  <cols>
    <col min="1" max="1" width="2.625" customWidth="1"/>
    <col min="2" max="2" width="14.375" style="3" bestFit="1" customWidth="1"/>
    <col min="3" max="4" width="20.625" customWidth="1"/>
    <col min="5" max="5" width="33.5" customWidth="1"/>
    <col min="6" max="6" width="6.25" style="3" customWidth="1"/>
    <col min="7" max="7" width="20.5" style="28" customWidth="1"/>
    <col min="8" max="8" width="11.875" style="28" bestFit="1" customWidth="1"/>
    <col min="9" max="9" width="14.375" style="4" customWidth="1"/>
    <col min="10" max="10" width="35.25" bestFit="1" customWidth="1"/>
    <col min="11" max="11" width="26" customWidth="1"/>
    <col min="12" max="12" width="28.125" style="40" customWidth="1"/>
    <col min="13" max="13" width="13.75" style="25" customWidth="1"/>
    <col min="14" max="14" width="6.375" customWidth="1"/>
    <col min="15" max="15" width="13.25" style="3" customWidth="1"/>
    <col min="16" max="16" width="14.5" style="34" customWidth="1"/>
    <col min="17" max="17" width="15.625" style="25" customWidth="1"/>
  </cols>
  <sheetData>
    <row r="2" spans="2:17" ht="20.100000000000001" customHeight="1" x14ac:dyDescent="0.15">
      <c r="B2" s="55" t="s">
        <v>11</v>
      </c>
      <c r="C2" s="55"/>
      <c r="D2" s="55"/>
      <c r="E2" s="1" t="s">
        <v>33</v>
      </c>
      <c r="G2" s="56" t="s">
        <v>15</v>
      </c>
      <c r="H2" s="57"/>
      <c r="I2" s="58"/>
      <c r="J2" s="2">
        <f>SUM(H:H)</f>
        <v>513461</v>
      </c>
    </row>
    <row r="3" spans="2:17" ht="20.100000000000001" customHeight="1" x14ac:dyDescent="0.15">
      <c r="B3" s="55" t="s">
        <v>10</v>
      </c>
      <c r="C3" s="55"/>
      <c r="D3" s="55"/>
      <c r="E3" s="5" t="s">
        <v>34</v>
      </c>
      <c r="P3" s="35"/>
    </row>
    <row r="4" spans="2:17" ht="20.100000000000001" customHeight="1" x14ac:dyDescent="0.15">
      <c r="B4" s="55" t="s">
        <v>12</v>
      </c>
      <c r="C4" s="55"/>
      <c r="D4" s="55"/>
      <c r="E4" s="5">
        <v>220074</v>
      </c>
      <c r="I4" s="17"/>
      <c r="J4" s="4"/>
      <c r="K4" s="20"/>
      <c r="L4" s="41"/>
    </row>
    <row r="5" spans="2:17" ht="20.100000000000001" customHeight="1" x14ac:dyDescent="0.15">
      <c r="B5" s="55" t="s">
        <v>13</v>
      </c>
      <c r="C5" s="55"/>
      <c r="D5" s="55"/>
      <c r="E5" s="6">
        <v>45681</v>
      </c>
      <c r="G5" s="29"/>
      <c r="I5" s="23"/>
      <c r="J5" s="17"/>
      <c r="K5" s="22"/>
      <c r="L5" s="42"/>
    </row>
    <row r="6" spans="2:17" ht="20.100000000000001" customHeight="1" x14ac:dyDescent="0.15">
      <c r="B6" s="55" t="s">
        <v>14</v>
      </c>
      <c r="C6" s="55"/>
      <c r="D6" s="55"/>
      <c r="E6" s="6">
        <v>45700</v>
      </c>
      <c r="I6" s="24"/>
      <c r="J6" s="18"/>
      <c r="K6" s="21"/>
      <c r="L6" s="43"/>
    </row>
    <row r="7" spans="2:17" ht="20.100000000000001" customHeight="1" x14ac:dyDescent="0.15">
      <c r="B7" s="7"/>
      <c r="C7" s="7"/>
      <c r="D7" s="7"/>
      <c r="E7" s="16"/>
      <c r="J7" s="17"/>
      <c r="L7" s="44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30" t="s">
        <v>1</v>
      </c>
      <c r="H9" s="31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2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s="3" customFormat="1" ht="19.7" customHeight="1" x14ac:dyDescent="0.15">
      <c r="B10" s="46">
        <v>1</v>
      </c>
      <c r="C10" s="8" t="s">
        <v>24</v>
      </c>
      <c r="D10" s="8" t="s">
        <v>24</v>
      </c>
      <c r="E10" s="39" t="s">
        <v>69</v>
      </c>
      <c r="F10" s="9">
        <v>1</v>
      </c>
      <c r="G10" s="30"/>
      <c r="H10" s="31"/>
      <c r="I10" s="10"/>
      <c r="J10" s="39" t="s">
        <v>71</v>
      </c>
      <c r="K10" s="38" t="s">
        <v>73</v>
      </c>
      <c r="L10" s="9"/>
      <c r="M10" s="12">
        <v>45638</v>
      </c>
      <c r="N10" s="8"/>
      <c r="O10" s="9"/>
      <c r="P10" s="11"/>
      <c r="Q10" s="12">
        <v>45672</v>
      </c>
    </row>
    <row r="11" spans="2:17" s="3" customFormat="1" ht="19.7" customHeight="1" x14ac:dyDescent="0.15">
      <c r="B11" s="46">
        <v>2</v>
      </c>
      <c r="C11" s="8" t="s">
        <v>24</v>
      </c>
      <c r="D11" s="8" t="s">
        <v>24</v>
      </c>
      <c r="E11" s="39" t="s">
        <v>70</v>
      </c>
      <c r="F11" s="9">
        <v>1</v>
      </c>
      <c r="G11" s="30"/>
      <c r="H11" s="31"/>
      <c r="I11" s="10"/>
      <c r="J11" s="39" t="s">
        <v>72</v>
      </c>
      <c r="K11" s="38" t="s">
        <v>73</v>
      </c>
      <c r="L11" s="9"/>
      <c r="M11" s="12">
        <v>45638</v>
      </c>
      <c r="N11" s="8"/>
      <c r="O11" s="9"/>
      <c r="P11" s="11"/>
      <c r="Q11" s="12">
        <v>45672</v>
      </c>
    </row>
    <row r="12" spans="2:17" s="3" customFormat="1" ht="19.7" customHeight="1" x14ac:dyDescent="0.15">
      <c r="B12" s="59" t="s">
        <v>74</v>
      </c>
      <c r="C12" s="26" t="s">
        <v>22</v>
      </c>
      <c r="D12" s="26" t="s">
        <v>22</v>
      </c>
      <c r="E12" s="13" t="s">
        <v>46</v>
      </c>
      <c r="F12" s="9">
        <v>1</v>
      </c>
      <c r="G12" s="47">
        <v>9605</v>
      </c>
      <c r="H12" s="33">
        <f t="shared" ref="H12:H29" si="0">F12*G12</f>
        <v>9605</v>
      </c>
      <c r="I12" s="15"/>
      <c r="J12" s="45" t="s">
        <v>27</v>
      </c>
      <c r="K12" s="9" t="s">
        <v>67</v>
      </c>
      <c r="L12" s="45"/>
      <c r="M12" s="12"/>
      <c r="N12" s="19"/>
      <c r="O12" s="19"/>
      <c r="P12" s="11"/>
      <c r="Q12" s="12">
        <v>45651</v>
      </c>
    </row>
    <row r="13" spans="2:17" s="3" customFormat="1" ht="19.7" customHeight="1" x14ac:dyDescent="0.15">
      <c r="B13" s="60"/>
      <c r="C13" s="26" t="s">
        <v>22</v>
      </c>
      <c r="D13" s="26" t="s">
        <v>22</v>
      </c>
      <c r="E13" s="13" t="s">
        <v>36</v>
      </c>
      <c r="F13" s="9">
        <v>1</v>
      </c>
      <c r="G13" s="47">
        <v>4827</v>
      </c>
      <c r="H13" s="33">
        <f t="shared" si="0"/>
        <v>4827</v>
      </c>
      <c r="I13" s="15"/>
      <c r="J13" s="45" t="s">
        <v>28</v>
      </c>
      <c r="K13" s="9" t="s">
        <v>67</v>
      </c>
      <c r="L13" s="45"/>
      <c r="M13" s="12"/>
      <c r="N13" s="19"/>
      <c r="O13" s="19"/>
      <c r="P13" s="11"/>
      <c r="Q13" s="12">
        <v>45651</v>
      </c>
    </row>
    <row r="14" spans="2:17" s="3" customFormat="1" ht="19.7" customHeight="1" x14ac:dyDescent="0.15">
      <c r="B14" s="60"/>
      <c r="C14" s="26" t="s">
        <v>22</v>
      </c>
      <c r="D14" s="26" t="s">
        <v>22</v>
      </c>
      <c r="E14" s="13" t="s">
        <v>37</v>
      </c>
      <c r="F14" s="9">
        <v>1</v>
      </c>
      <c r="G14" s="47">
        <v>4712</v>
      </c>
      <c r="H14" s="33">
        <f t="shared" si="0"/>
        <v>4712</v>
      </c>
      <c r="I14" s="15"/>
      <c r="J14" s="45" t="s">
        <v>32</v>
      </c>
      <c r="K14" s="9" t="s">
        <v>67</v>
      </c>
      <c r="L14" s="45"/>
      <c r="M14" s="12"/>
      <c r="N14" s="19"/>
      <c r="O14" s="19"/>
      <c r="P14" s="11"/>
      <c r="Q14" s="12">
        <v>45651</v>
      </c>
    </row>
    <row r="15" spans="2:17" s="3" customFormat="1" ht="19.7" customHeight="1" x14ac:dyDescent="0.15">
      <c r="B15" s="60"/>
      <c r="C15" s="26" t="s">
        <v>38</v>
      </c>
      <c r="D15" s="26" t="s">
        <v>77</v>
      </c>
      <c r="E15" s="13" t="s">
        <v>39</v>
      </c>
      <c r="F15" s="9">
        <v>1</v>
      </c>
      <c r="G15" s="47">
        <v>56340</v>
      </c>
      <c r="H15" s="33">
        <f t="shared" si="0"/>
        <v>56340</v>
      </c>
      <c r="I15" s="9"/>
      <c r="J15" s="15" t="s">
        <v>47</v>
      </c>
      <c r="K15" s="38" t="s">
        <v>68</v>
      </c>
      <c r="L15" s="39"/>
      <c r="M15" s="12">
        <v>45642</v>
      </c>
      <c r="N15" s="8"/>
      <c r="O15" s="19">
        <v>45308</v>
      </c>
      <c r="P15" s="11">
        <v>45308</v>
      </c>
      <c r="Q15" s="12">
        <v>45673</v>
      </c>
    </row>
    <row r="16" spans="2:17" s="3" customFormat="1" ht="19.7" customHeight="1" x14ac:dyDescent="0.15">
      <c r="B16" s="60"/>
      <c r="C16" s="26" t="s">
        <v>38</v>
      </c>
      <c r="D16" s="26" t="s">
        <v>77</v>
      </c>
      <c r="E16" s="13" t="s">
        <v>35</v>
      </c>
      <c r="F16" s="9">
        <v>1</v>
      </c>
      <c r="G16" s="47">
        <v>11120</v>
      </c>
      <c r="H16" s="33">
        <f t="shared" si="0"/>
        <v>11120</v>
      </c>
      <c r="I16" s="9"/>
      <c r="J16" s="13" t="s">
        <v>48</v>
      </c>
      <c r="K16" s="38" t="s">
        <v>68</v>
      </c>
      <c r="L16" s="39"/>
      <c r="M16" s="12">
        <v>45642</v>
      </c>
      <c r="N16" s="8"/>
      <c r="O16" s="19">
        <v>45308</v>
      </c>
      <c r="P16" s="11">
        <v>45308</v>
      </c>
      <c r="Q16" s="12">
        <v>45673</v>
      </c>
    </row>
    <row r="17" spans="2:17" s="3" customFormat="1" ht="19.7" customHeight="1" x14ac:dyDescent="0.15">
      <c r="B17" s="59" t="s">
        <v>76</v>
      </c>
      <c r="C17" s="26" t="s">
        <v>22</v>
      </c>
      <c r="D17" s="26" t="s">
        <v>22</v>
      </c>
      <c r="E17" s="13" t="s">
        <v>44</v>
      </c>
      <c r="F17" s="9">
        <v>1</v>
      </c>
      <c r="G17" s="47">
        <v>4959</v>
      </c>
      <c r="H17" s="33">
        <f t="shared" si="0"/>
        <v>4959</v>
      </c>
      <c r="I17" s="9"/>
      <c r="J17" s="13" t="s">
        <v>51</v>
      </c>
      <c r="K17" s="9" t="s">
        <v>67</v>
      </c>
      <c r="L17" s="39"/>
      <c r="M17" s="12"/>
      <c r="N17" s="8"/>
      <c r="O17" s="19"/>
      <c r="P17" s="11"/>
      <c r="Q17" s="12">
        <v>45644</v>
      </c>
    </row>
    <row r="18" spans="2:17" s="3" customFormat="1" ht="19.7" customHeight="1" x14ac:dyDescent="0.15">
      <c r="B18" s="61"/>
      <c r="C18" s="26" t="s">
        <v>23</v>
      </c>
      <c r="D18" s="26" t="s">
        <v>22</v>
      </c>
      <c r="E18" s="13" t="s">
        <v>52</v>
      </c>
      <c r="F18" s="9">
        <v>1</v>
      </c>
      <c r="G18" s="47">
        <v>7360</v>
      </c>
      <c r="H18" s="33">
        <f t="shared" si="0"/>
        <v>7360</v>
      </c>
      <c r="I18" s="9"/>
      <c r="J18" s="13" t="s">
        <v>66</v>
      </c>
      <c r="K18" s="9" t="s">
        <v>67</v>
      </c>
      <c r="L18" s="39"/>
      <c r="M18" s="12"/>
      <c r="N18" s="8"/>
      <c r="O18" s="19"/>
      <c r="P18" s="11"/>
      <c r="Q18" s="12">
        <v>45642</v>
      </c>
    </row>
    <row r="19" spans="2:17" s="3" customFormat="1" ht="19.7" customHeight="1" x14ac:dyDescent="0.15">
      <c r="B19" s="61"/>
      <c r="C19" s="26" t="s">
        <v>23</v>
      </c>
      <c r="D19" s="26" t="s">
        <v>22</v>
      </c>
      <c r="E19" s="13" t="s">
        <v>56</v>
      </c>
      <c r="F19" s="9">
        <v>1</v>
      </c>
      <c r="G19" s="47">
        <v>632</v>
      </c>
      <c r="H19" s="33">
        <f t="shared" si="0"/>
        <v>632</v>
      </c>
      <c r="I19" s="9"/>
      <c r="J19" s="13" t="s">
        <v>65</v>
      </c>
      <c r="K19" s="9" t="s">
        <v>67</v>
      </c>
      <c r="L19" s="39"/>
      <c r="M19" s="12"/>
      <c r="N19" s="8"/>
      <c r="O19" s="19"/>
      <c r="P19" s="11"/>
      <c r="Q19" s="12">
        <v>45642</v>
      </c>
    </row>
    <row r="20" spans="2:17" s="3" customFormat="1" ht="19.7" customHeight="1" x14ac:dyDescent="0.15">
      <c r="B20" s="61"/>
      <c r="C20" s="9" t="s">
        <v>23</v>
      </c>
      <c r="D20" s="26" t="s">
        <v>22</v>
      </c>
      <c r="E20" s="13" t="s">
        <v>29</v>
      </c>
      <c r="F20" s="9">
        <v>1</v>
      </c>
      <c r="G20" s="47">
        <v>5117</v>
      </c>
      <c r="H20" s="33">
        <f t="shared" si="0"/>
        <v>5117</v>
      </c>
      <c r="I20" s="9"/>
      <c r="J20" s="13" t="s">
        <v>64</v>
      </c>
      <c r="K20" s="9" t="s">
        <v>67</v>
      </c>
      <c r="L20" s="39"/>
      <c r="M20" s="12"/>
      <c r="N20" s="8"/>
      <c r="O20" s="19"/>
      <c r="P20" s="11"/>
      <c r="Q20" s="12">
        <v>45642</v>
      </c>
    </row>
    <row r="21" spans="2:17" s="3" customFormat="1" ht="19.7" customHeight="1" x14ac:dyDescent="0.15">
      <c r="B21" s="61"/>
      <c r="C21" s="26" t="s">
        <v>22</v>
      </c>
      <c r="D21" s="26" t="s">
        <v>22</v>
      </c>
      <c r="E21" s="13" t="s">
        <v>30</v>
      </c>
      <c r="F21" s="9">
        <v>2</v>
      </c>
      <c r="G21" s="47">
        <v>4239</v>
      </c>
      <c r="H21" s="33">
        <f t="shared" si="0"/>
        <v>8478</v>
      </c>
      <c r="I21" s="15"/>
      <c r="J21" s="13" t="s">
        <v>63</v>
      </c>
      <c r="K21" s="9" t="s">
        <v>67</v>
      </c>
      <c r="L21" s="45"/>
      <c r="M21" s="12"/>
      <c r="N21" s="19"/>
      <c r="O21" s="19"/>
      <c r="P21" s="11"/>
      <c r="Q21" s="12">
        <v>45642</v>
      </c>
    </row>
    <row r="22" spans="2:17" s="3" customFormat="1" ht="19.7" customHeight="1" x14ac:dyDescent="0.15">
      <c r="B22" s="61"/>
      <c r="C22" s="26" t="s">
        <v>22</v>
      </c>
      <c r="D22" s="26" t="s">
        <v>22</v>
      </c>
      <c r="E22" s="13" t="s">
        <v>55</v>
      </c>
      <c r="F22" s="9">
        <v>1</v>
      </c>
      <c r="G22" s="47">
        <v>7224</v>
      </c>
      <c r="H22" s="33">
        <f t="shared" si="0"/>
        <v>7224</v>
      </c>
      <c r="I22" s="15"/>
      <c r="J22" s="13" t="s">
        <v>62</v>
      </c>
      <c r="K22" s="9" t="s">
        <v>67</v>
      </c>
      <c r="L22" s="45"/>
      <c r="M22" s="12"/>
      <c r="N22" s="19"/>
      <c r="O22" s="19"/>
      <c r="P22" s="11"/>
      <c r="Q22" s="12">
        <v>45642</v>
      </c>
    </row>
    <row r="23" spans="2:17" s="3" customFormat="1" ht="19.7" customHeight="1" x14ac:dyDescent="0.15">
      <c r="B23" s="61"/>
      <c r="C23" s="26" t="s">
        <v>22</v>
      </c>
      <c r="D23" s="26" t="s">
        <v>22</v>
      </c>
      <c r="E23" s="13" t="s">
        <v>31</v>
      </c>
      <c r="F23" s="9">
        <v>4</v>
      </c>
      <c r="G23" s="47">
        <v>370</v>
      </c>
      <c r="H23" s="33">
        <f t="shared" si="0"/>
        <v>1480</v>
      </c>
      <c r="I23" s="15"/>
      <c r="J23" s="13" t="s">
        <v>61</v>
      </c>
      <c r="K23" s="9" t="s">
        <v>67</v>
      </c>
      <c r="L23" s="45"/>
      <c r="M23" s="12"/>
      <c r="N23" s="19"/>
      <c r="O23" s="19"/>
      <c r="P23" s="11"/>
      <c r="Q23" s="12">
        <v>45642</v>
      </c>
    </row>
    <row r="24" spans="2:17" s="3" customFormat="1" ht="19.7" customHeight="1" x14ac:dyDescent="0.15">
      <c r="B24" s="61"/>
      <c r="C24" s="26" t="s">
        <v>22</v>
      </c>
      <c r="D24" s="26" t="s">
        <v>22</v>
      </c>
      <c r="E24" s="13" t="s">
        <v>45</v>
      </c>
      <c r="F24" s="9">
        <v>2</v>
      </c>
      <c r="G24" s="47">
        <v>251</v>
      </c>
      <c r="H24" s="33">
        <f t="shared" si="0"/>
        <v>502</v>
      </c>
      <c r="I24" s="15"/>
      <c r="J24" s="13" t="s">
        <v>60</v>
      </c>
      <c r="K24" s="9" t="s">
        <v>67</v>
      </c>
      <c r="L24" s="45"/>
      <c r="M24" s="12"/>
      <c r="N24" s="19"/>
      <c r="O24" s="19"/>
      <c r="P24" s="11"/>
      <c r="Q24" s="12">
        <v>45642</v>
      </c>
    </row>
    <row r="25" spans="2:17" s="3" customFormat="1" ht="19.7" customHeight="1" x14ac:dyDescent="0.15">
      <c r="B25" s="61"/>
      <c r="C25" s="26" t="s">
        <v>22</v>
      </c>
      <c r="D25" s="26" t="s">
        <v>22</v>
      </c>
      <c r="E25" s="13" t="s">
        <v>54</v>
      </c>
      <c r="F25" s="9">
        <v>1</v>
      </c>
      <c r="G25" s="47">
        <v>1536</v>
      </c>
      <c r="H25" s="33">
        <f t="shared" si="0"/>
        <v>1536</v>
      </c>
      <c r="I25" s="15"/>
      <c r="J25" s="13" t="s">
        <v>59</v>
      </c>
      <c r="K25" s="9" t="s">
        <v>67</v>
      </c>
      <c r="L25" s="45"/>
      <c r="M25" s="12"/>
      <c r="N25" s="19"/>
      <c r="O25" s="19"/>
      <c r="P25" s="11"/>
      <c r="Q25" s="12">
        <v>45643</v>
      </c>
    </row>
    <row r="26" spans="2:17" s="3" customFormat="1" ht="19.7" customHeight="1" x14ac:dyDescent="0.15">
      <c r="B26" s="61"/>
      <c r="C26" s="26" t="s">
        <v>22</v>
      </c>
      <c r="D26" s="26" t="s">
        <v>22</v>
      </c>
      <c r="E26" s="13" t="s">
        <v>53</v>
      </c>
      <c r="F26" s="9">
        <v>1</v>
      </c>
      <c r="G26" s="47">
        <v>1259</v>
      </c>
      <c r="H26" s="33">
        <f t="shared" si="0"/>
        <v>1259</v>
      </c>
      <c r="I26" s="15"/>
      <c r="J26" s="13" t="s">
        <v>59</v>
      </c>
      <c r="K26" s="9" t="s">
        <v>67</v>
      </c>
      <c r="L26" s="45"/>
      <c r="M26" s="12"/>
      <c r="N26" s="19"/>
      <c r="O26" s="19"/>
      <c r="P26" s="11"/>
      <c r="Q26" s="12">
        <v>45643</v>
      </c>
    </row>
    <row r="27" spans="2:17" s="3" customFormat="1" ht="19.7" customHeight="1" x14ac:dyDescent="0.15">
      <c r="B27" s="61"/>
      <c r="C27" s="26" t="s">
        <v>22</v>
      </c>
      <c r="D27" s="26" t="s">
        <v>22</v>
      </c>
      <c r="E27" s="13" t="s">
        <v>49</v>
      </c>
      <c r="F27" s="9">
        <v>1</v>
      </c>
      <c r="G27" s="47">
        <v>4567</v>
      </c>
      <c r="H27" s="33">
        <f t="shared" si="0"/>
        <v>4567</v>
      </c>
      <c r="I27" s="15"/>
      <c r="J27" s="13" t="s">
        <v>58</v>
      </c>
      <c r="K27" s="9" t="s">
        <v>67</v>
      </c>
      <c r="L27" s="45"/>
      <c r="M27" s="12"/>
      <c r="N27" s="19"/>
      <c r="O27" s="19"/>
      <c r="P27" s="11"/>
      <c r="Q27" s="12">
        <v>45642</v>
      </c>
    </row>
    <row r="28" spans="2:17" s="3" customFormat="1" ht="19.7" customHeight="1" x14ac:dyDescent="0.15">
      <c r="B28" s="61"/>
      <c r="C28" s="26" t="s">
        <v>22</v>
      </c>
      <c r="D28" s="26" t="s">
        <v>22</v>
      </c>
      <c r="E28" s="13" t="s">
        <v>50</v>
      </c>
      <c r="F28" s="9">
        <v>2</v>
      </c>
      <c r="G28" s="47">
        <v>3489</v>
      </c>
      <c r="H28" s="33">
        <f t="shared" si="0"/>
        <v>6978</v>
      </c>
      <c r="I28" s="15"/>
      <c r="J28" s="13" t="s">
        <v>57</v>
      </c>
      <c r="K28" s="9" t="s">
        <v>67</v>
      </c>
      <c r="L28" s="45"/>
      <c r="M28" s="12"/>
      <c r="N28" s="19"/>
      <c r="O28" s="19"/>
      <c r="P28" s="11"/>
      <c r="Q28" s="12">
        <v>45642</v>
      </c>
    </row>
    <row r="29" spans="2:17" s="52" customFormat="1" ht="19.7" customHeight="1" x14ac:dyDescent="0.15">
      <c r="B29" s="62"/>
      <c r="C29" s="26" t="s">
        <v>22</v>
      </c>
      <c r="D29" s="26" t="s">
        <v>22</v>
      </c>
      <c r="E29" s="15" t="s">
        <v>79</v>
      </c>
      <c r="F29" s="26">
        <v>1</v>
      </c>
      <c r="G29" s="48">
        <v>3252</v>
      </c>
      <c r="H29" s="49">
        <f t="shared" si="0"/>
        <v>3252</v>
      </c>
      <c r="I29" s="15"/>
      <c r="J29" s="15" t="s">
        <v>78</v>
      </c>
      <c r="K29" s="26" t="s">
        <v>80</v>
      </c>
      <c r="L29" s="50"/>
      <c r="M29" s="14"/>
      <c r="N29" s="51"/>
      <c r="O29" s="51"/>
      <c r="P29" s="36"/>
      <c r="Q29" s="14">
        <v>45691</v>
      </c>
    </row>
    <row r="30" spans="2:17" s="3" customFormat="1" ht="19.7" customHeight="1" x14ac:dyDescent="0.15">
      <c r="B30" s="59" t="s">
        <v>75</v>
      </c>
      <c r="C30" s="26" t="s">
        <v>22</v>
      </c>
      <c r="D30" s="26" t="s">
        <v>22</v>
      </c>
      <c r="E30" s="13" t="s">
        <v>40</v>
      </c>
      <c r="F30" s="9">
        <v>1</v>
      </c>
      <c r="G30" s="47">
        <v>8283</v>
      </c>
      <c r="H30" s="33">
        <f>F30*G30</f>
        <v>8283</v>
      </c>
      <c r="I30" s="9"/>
      <c r="J30" s="13" t="s">
        <v>42</v>
      </c>
      <c r="K30" s="9" t="s">
        <v>67</v>
      </c>
      <c r="L30" s="39"/>
      <c r="M30" s="12"/>
      <c r="N30" s="8"/>
      <c r="O30" s="19"/>
      <c r="P30" s="11"/>
      <c r="Q30" s="12">
        <v>45651</v>
      </c>
    </row>
    <row r="31" spans="2:17" s="3" customFormat="1" ht="19.7" customHeight="1" x14ac:dyDescent="0.15">
      <c r="B31" s="54"/>
      <c r="C31" s="26" t="s">
        <v>22</v>
      </c>
      <c r="D31" s="26" t="s">
        <v>22</v>
      </c>
      <c r="E31" s="13" t="s">
        <v>41</v>
      </c>
      <c r="F31" s="9">
        <v>1</v>
      </c>
      <c r="G31" s="47">
        <v>5230</v>
      </c>
      <c r="H31" s="33">
        <f>F31*G31</f>
        <v>5230</v>
      </c>
      <c r="I31" s="9"/>
      <c r="J31" s="13" t="s">
        <v>43</v>
      </c>
      <c r="K31" s="9" t="s">
        <v>67</v>
      </c>
      <c r="L31" s="39"/>
      <c r="M31" s="12"/>
      <c r="N31" s="8"/>
      <c r="O31" s="19"/>
      <c r="P31" s="11"/>
      <c r="Q31" s="12">
        <v>45651</v>
      </c>
    </row>
    <row r="32" spans="2:17" s="3" customFormat="1" ht="19.7" customHeight="1" x14ac:dyDescent="0.15">
      <c r="B32" s="53">
        <v>7</v>
      </c>
      <c r="C32" s="26" t="s">
        <v>24</v>
      </c>
      <c r="D32" s="26" t="s">
        <v>24</v>
      </c>
      <c r="E32" s="13" t="s">
        <v>25</v>
      </c>
      <c r="F32" s="26">
        <v>40</v>
      </c>
      <c r="G32" s="48">
        <v>5000</v>
      </c>
      <c r="H32" s="33">
        <f t="shared" ref="H32:H33" si="1">F32*G32</f>
        <v>200000</v>
      </c>
      <c r="I32" s="15"/>
      <c r="J32" s="15"/>
      <c r="K32" s="9"/>
      <c r="L32" s="45"/>
      <c r="M32" s="12"/>
      <c r="N32" s="19"/>
      <c r="O32" s="19"/>
      <c r="P32" s="11"/>
      <c r="Q32" s="12"/>
    </row>
    <row r="33" spans="2:17" s="3" customFormat="1" ht="19.7" customHeight="1" x14ac:dyDescent="0.15">
      <c r="B33" s="54"/>
      <c r="C33" s="26" t="s">
        <v>24</v>
      </c>
      <c r="D33" s="26" t="s">
        <v>24</v>
      </c>
      <c r="E33" s="13" t="s">
        <v>26</v>
      </c>
      <c r="F33" s="26">
        <v>32</v>
      </c>
      <c r="G33" s="48">
        <v>5000</v>
      </c>
      <c r="H33" s="33">
        <f t="shared" si="1"/>
        <v>160000</v>
      </c>
      <c r="I33" s="15"/>
      <c r="J33" s="15"/>
      <c r="K33" s="9"/>
      <c r="L33" s="45"/>
      <c r="M33" s="12"/>
      <c r="N33" s="19"/>
      <c r="O33" s="19"/>
      <c r="P33" s="11"/>
      <c r="Q33" s="12"/>
    </row>
    <row r="34" spans="2:17" ht="19.5" customHeight="1" x14ac:dyDescent="0.15">
      <c r="B34" s="26"/>
      <c r="C34" s="15"/>
      <c r="D34" s="15"/>
      <c r="E34" s="15"/>
      <c r="F34" s="26"/>
      <c r="G34" s="32"/>
      <c r="H34" s="33"/>
      <c r="I34" s="27"/>
      <c r="J34" s="15"/>
      <c r="K34" s="15"/>
      <c r="L34" s="37"/>
      <c r="M34" s="14"/>
      <c r="N34" s="15"/>
      <c r="O34" s="26"/>
      <c r="P34" s="36"/>
      <c r="Q34" s="14"/>
    </row>
  </sheetData>
  <autoFilter ref="B9:O21" xr:uid="{00000000-0009-0000-0000-000000000000}"/>
  <mergeCells count="10">
    <mergeCell ref="B32:B33"/>
    <mergeCell ref="B6:D6"/>
    <mergeCell ref="G2:I2"/>
    <mergeCell ref="B2:D2"/>
    <mergeCell ref="B3:D3"/>
    <mergeCell ref="B4:D4"/>
    <mergeCell ref="B5:D5"/>
    <mergeCell ref="B12:B16"/>
    <mergeCell ref="B30:B31"/>
    <mergeCell ref="B17:B29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2023-01-10T11:04:14Z</cp:lastPrinted>
  <dcterms:created xsi:type="dcterms:W3CDTF">2011-12-13T06:48:43Z</dcterms:created>
  <dcterms:modified xsi:type="dcterms:W3CDTF">2025-02-27T02:20:42Z</dcterms:modified>
</cp:coreProperties>
</file>