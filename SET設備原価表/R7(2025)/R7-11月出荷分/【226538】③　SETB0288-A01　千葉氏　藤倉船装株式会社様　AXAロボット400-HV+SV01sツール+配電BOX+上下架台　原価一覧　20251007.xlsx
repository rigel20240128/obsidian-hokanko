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0FB8910-458C-4755-99ED-D34F667170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(2268538)③　20251008" sheetId="15" r:id="rId1"/>
    <sheet name="Sheet1" sheetId="1" r:id="rId2"/>
    <sheet name="Sheet2" sheetId="2" r:id="rId3"/>
    <sheet name="Sheet3" sheetId="3" r:id="rId4"/>
  </sheets>
  <definedNames>
    <definedName name="_xlnm._FilterDatabase" localSheetId="0" hidden="1">' (2268538)③　20251008'!$D$8:$Q$238</definedName>
    <definedName name="_xlnm._FilterDatabase" localSheetId="1">Sheet1!$B$8:$O$8</definedName>
    <definedName name="_xlnm.Print_Area" localSheetId="0">' (2268538)③　20251008'!$C$1:$L$157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2" i="15" l="1"/>
  <c r="J56" i="15"/>
  <c r="J55" i="15"/>
  <c r="J163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2" i="15"/>
  <c r="J161" i="15"/>
  <c r="J160" i="15"/>
  <c r="J159" i="15"/>
  <c r="C159" i="15"/>
  <c r="J158" i="15"/>
  <c r="J157" i="15"/>
  <c r="C157" i="15"/>
  <c r="J156" i="15"/>
  <c r="C156" i="15"/>
  <c r="J155" i="15"/>
  <c r="J154" i="15"/>
  <c r="C154" i="15"/>
  <c r="J153" i="15"/>
  <c r="C153" i="15"/>
  <c r="J152" i="15"/>
  <c r="J151" i="15"/>
  <c r="C151" i="15"/>
  <c r="J150" i="15"/>
  <c r="C150" i="15"/>
  <c r="J149" i="15"/>
  <c r="C149" i="15"/>
  <c r="J148" i="15"/>
  <c r="C148" i="15"/>
  <c r="J147" i="15"/>
  <c r="C147" i="15"/>
  <c r="J146" i="15"/>
  <c r="C146" i="15"/>
  <c r="J145" i="15"/>
  <c r="J144" i="15"/>
  <c r="J143" i="15"/>
  <c r="J142" i="15"/>
  <c r="C142" i="15"/>
  <c r="J141" i="15"/>
  <c r="C141" i="15"/>
  <c r="J140" i="15"/>
  <c r="C140" i="15"/>
  <c r="J139" i="15"/>
  <c r="C139" i="15"/>
  <c r="J138" i="15"/>
  <c r="C138" i="15"/>
  <c r="J137" i="15"/>
  <c r="C137" i="15"/>
  <c r="J136" i="15"/>
  <c r="C136" i="15"/>
  <c r="J135" i="15"/>
  <c r="C135" i="15"/>
  <c r="J134" i="15"/>
  <c r="C134" i="15"/>
  <c r="J133" i="15"/>
  <c r="C133" i="15"/>
  <c r="J132" i="15"/>
  <c r="C132" i="15"/>
  <c r="J131" i="15"/>
  <c r="C131" i="15"/>
  <c r="J130" i="15"/>
  <c r="C130" i="15"/>
  <c r="J129" i="15"/>
  <c r="C129" i="15"/>
  <c r="J122" i="15"/>
  <c r="C122" i="15"/>
  <c r="J121" i="15"/>
  <c r="C121" i="15"/>
  <c r="J120" i="15"/>
  <c r="C120" i="15"/>
  <c r="J119" i="15"/>
  <c r="C119" i="15"/>
  <c r="J118" i="15"/>
  <c r="C118" i="15"/>
  <c r="J117" i="15"/>
  <c r="C117" i="15"/>
  <c r="J116" i="15"/>
  <c r="C116" i="15"/>
  <c r="J115" i="15"/>
  <c r="C115" i="15"/>
  <c r="J114" i="15"/>
  <c r="C114" i="15"/>
  <c r="J113" i="15"/>
  <c r="C113" i="15"/>
  <c r="J112" i="15"/>
  <c r="C112" i="15"/>
  <c r="J111" i="15"/>
  <c r="C111" i="15"/>
  <c r="J110" i="15"/>
  <c r="C110" i="15"/>
  <c r="J109" i="15"/>
  <c r="C109" i="15"/>
  <c r="J108" i="15"/>
  <c r="C108" i="15"/>
  <c r="J107" i="15"/>
  <c r="J106" i="15"/>
  <c r="J105" i="15"/>
  <c r="C105" i="15"/>
  <c r="J104" i="15"/>
  <c r="J103" i="15"/>
  <c r="J102" i="15"/>
  <c r="J101" i="15"/>
  <c r="J100" i="15"/>
  <c r="J99" i="15"/>
  <c r="C99" i="15"/>
  <c r="J98" i="15"/>
  <c r="C98" i="15"/>
  <c r="J97" i="15"/>
  <c r="C97" i="15"/>
  <c r="J96" i="15"/>
  <c r="C96" i="15"/>
  <c r="J95" i="15"/>
  <c r="C95" i="15"/>
  <c r="J94" i="15"/>
  <c r="C94" i="15"/>
  <c r="J93" i="15"/>
  <c r="C93" i="15"/>
  <c r="J92" i="15"/>
  <c r="C92" i="15"/>
  <c r="J91" i="15"/>
  <c r="C91" i="15"/>
  <c r="J90" i="15"/>
  <c r="C90" i="15"/>
  <c r="J89" i="15"/>
  <c r="C89" i="15"/>
  <c r="J88" i="15"/>
  <c r="J87" i="15"/>
  <c r="C87" i="15"/>
  <c r="J86" i="15"/>
  <c r="C86" i="15"/>
  <c r="J85" i="15"/>
  <c r="C85" i="15"/>
  <c r="J84" i="15"/>
  <c r="C84" i="15"/>
  <c r="J83" i="15"/>
  <c r="C83" i="15"/>
  <c r="J82" i="15"/>
  <c r="C82" i="15"/>
  <c r="J81" i="15"/>
  <c r="C81" i="15"/>
  <c r="J80" i="15"/>
  <c r="C80" i="15"/>
  <c r="J79" i="15"/>
  <c r="C79" i="15"/>
  <c r="J78" i="15"/>
  <c r="C78" i="15"/>
  <c r="J77" i="15"/>
  <c r="C77" i="15"/>
  <c r="J76" i="15"/>
  <c r="C76" i="15"/>
  <c r="J75" i="15"/>
  <c r="J74" i="15"/>
  <c r="J73" i="15"/>
  <c r="J72" i="15"/>
  <c r="J71" i="15"/>
  <c r="J70" i="15"/>
  <c r="J69" i="15"/>
  <c r="J68" i="15"/>
  <c r="C68" i="15"/>
  <c r="J67" i="15"/>
  <c r="C67" i="15"/>
  <c r="J66" i="15"/>
  <c r="C66" i="15"/>
  <c r="J65" i="15"/>
  <c r="C65" i="15"/>
  <c r="J64" i="15"/>
  <c r="C64" i="15"/>
  <c r="J57" i="15"/>
  <c r="J54" i="15"/>
  <c r="J53" i="15"/>
  <c r="J47" i="15"/>
  <c r="J46" i="15"/>
  <c r="J45" i="15"/>
  <c r="J44" i="15"/>
  <c r="J43" i="15"/>
  <c r="J37" i="15"/>
  <c r="J36" i="15"/>
  <c r="J35" i="15"/>
  <c r="J34" i="15"/>
  <c r="J33" i="15"/>
  <c r="J32" i="15"/>
  <c r="J31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D13" i="15"/>
  <c r="D14" i="15" s="1"/>
  <c r="D15" i="15" s="1"/>
  <c r="D16" i="15" s="1"/>
  <c r="D17" i="15" s="1"/>
  <c r="D18" i="15" s="1"/>
  <c r="D19" i="15" s="1"/>
  <c r="D20" i="15" s="1"/>
  <c r="D21" i="15" s="1"/>
  <c r="D22" i="15" s="1"/>
  <c r="D23" i="15" s="1"/>
  <c r="D24" i="15" s="1"/>
  <c r="D25" i="15" s="1"/>
  <c r="D31" i="15" s="1"/>
  <c r="D32" i="15" s="1"/>
  <c r="D33" i="15" s="1"/>
  <c r="D34" i="15" s="1"/>
  <c r="D35" i="15" s="1"/>
  <c r="D36" i="15" s="1"/>
  <c r="D37" i="15" s="1"/>
  <c r="D43" i="15" s="1"/>
  <c r="D44" i="15" s="1"/>
  <c r="D45" i="15" s="1"/>
  <c r="D46" i="15" s="1"/>
  <c r="D47" i="15" s="1"/>
  <c r="D53" i="15" s="1"/>
  <c r="D54" i="15" s="1"/>
  <c r="D55" i="15" s="1"/>
  <c r="D56" i="15" s="1"/>
  <c r="D57" i="15" s="1"/>
  <c r="C124" i="15" l="1"/>
  <c r="D64" i="15"/>
  <c r="D65" i="15" s="1"/>
  <c r="D66" i="15" s="1"/>
  <c r="D67" i="15" s="1"/>
  <c r="D68" i="15" s="1"/>
  <c r="D69" i="15" s="1"/>
  <c r="D70" i="15" s="1"/>
  <c r="D71" i="15" s="1"/>
  <c r="D72" i="15" s="1"/>
  <c r="D73" i="15" s="1"/>
  <c r="D74" i="15" s="1"/>
  <c r="D75" i="15" s="1"/>
  <c r="D76" i="15" s="1"/>
  <c r="D77" i="15" s="1"/>
  <c r="D78" i="15" s="1"/>
  <c r="D79" i="15" s="1"/>
  <c r="D80" i="15" s="1"/>
  <c r="D81" i="15" s="1"/>
  <c r="D82" i="15" s="1"/>
  <c r="D83" i="15" s="1"/>
  <c r="D84" i="15" s="1"/>
  <c r="D85" i="15" s="1"/>
  <c r="D86" i="15" s="1"/>
  <c r="D87" i="15" s="1"/>
  <c r="D88" i="15" s="1"/>
  <c r="D89" i="15" s="1"/>
  <c r="D90" i="15" s="1"/>
  <c r="D91" i="15" s="1"/>
  <c r="D92" i="15" s="1"/>
  <c r="D93" i="15" s="1"/>
  <c r="D94" i="15" s="1"/>
  <c r="D95" i="15" s="1"/>
  <c r="D96" i="15" s="1"/>
  <c r="D97" i="15" s="1"/>
  <c r="D98" i="15" s="1"/>
  <c r="D99" i="15" s="1"/>
  <c r="D100" i="15" s="1"/>
  <c r="D101" i="15" s="1"/>
  <c r="D102" i="15" s="1"/>
  <c r="D103" i="15" s="1"/>
  <c r="D104" i="15" s="1"/>
  <c r="D105" i="15" s="1"/>
  <c r="D106" i="15" s="1"/>
  <c r="D107" i="15" s="1"/>
  <c r="D108" i="15" s="1"/>
  <c r="D109" i="15" s="1"/>
  <c r="D110" i="15" s="1"/>
  <c r="D111" i="15" s="1"/>
  <c r="D112" i="15" s="1"/>
  <c r="D113" i="15" s="1"/>
  <c r="D114" i="15" s="1"/>
  <c r="D115" i="15" s="1"/>
  <c r="D116" i="15" s="1"/>
  <c r="D117" i="15" s="1"/>
  <c r="D118" i="15" s="1"/>
  <c r="D119" i="15" s="1"/>
  <c r="D120" i="15" s="1"/>
  <c r="D121" i="15" s="1"/>
  <c r="D122" i="15" s="1"/>
  <c r="D129" i="15" s="1"/>
  <c r="D130" i="15" s="1"/>
  <c r="D131" i="15" s="1"/>
  <c r="D132" i="15" s="1"/>
  <c r="D133" i="15" s="1"/>
  <c r="D134" i="15" s="1"/>
  <c r="D135" i="15" s="1"/>
  <c r="D136" i="15" s="1"/>
  <c r="D137" i="15" s="1"/>
  <c r="D138" i="15" s="1"/>
  <c r="D139" i="15" s="1"/>
  <c r="D140" i="15" s="1"/>
  <c r="D141" i="15" s="1"/>
  <c r="D142" i="15" s="1"/>
  <c r="D143" i="15" s="1"/>
  <c r="D144" i="15" s="1"/>
  <c r="D145" i="15" s="1"/>
  <c r="D146" i="15" s="1"/>
  <c r="D147" i="15" s="1"/>
  <c r="D148" i="15" s="1"/>
  <c r="D149" i="15" s="1"/>
  <c r="D150" i="15" s="1"/>
  <c r="D151" i="15" s="1"/>
  <c r="G27" i="15"/>
  <c r="G165" i="15"/>
  <c r="C215" i="15"/>
  <c r="G49" i="15"/>
  <c r="G59" i="15"/>
  <c r="G214" i="15"/>
  <c r="L2" i="15"/>
  <c r="G39" i="15"/>
  <c r="G124" i="15"/>
  <c r="C221" i="15" l="1"/>
  <c r="D152" i="15"/>
  <c r="D153" i="15" s="1"/>
  <c r="D154" i="15" s="1"/>
  <c r="D155" i="15" l="1"/>
  <c r="D156" i="15" s="1"/>
  <c r="D157" i="15" s="1"/>
  <c r="D158" i="15" l="1"/>
  <c r="D159" i="15" s="1"/>
  <c r="D160" i="15" s="1"/>
  <c r="D161" i="15" s="1"/>
  <c r="D162" i="15" s="1"/>
  <c r="D163" i="15" s="1"/>
  <c r="D170" i="15" s="1"/>
  <c r="D171" i="15" s="1"/>
  <c r="D172" i="15" s="1"/>
  <c r="D173" i="15" s="1"/>
  <c r="D174" i="15" s="1"/>
  <c r="D175" i="15" s="1"/>
  <c r="D176" i="15" s="1"/>
  <c r="D177" i="15" s="1"/>
  <c r="D178" i="15" s="1"/>
  <c r="D179" i="15" s="1"/>
  <c r="D180" i="15" s="1"/>
  <c r="D181" i="15" s="1"/>
  <c r="D182" i="15" s="1"/>
  <c r="D183" i="15" s="1"/>
  <c r="D184" i="15" l="1"/>
  <c r="D185" i="15" s="1"/>
  <c r="D186" i="15" s="1"/>
  <c r="D187" i="15" s="1"/>
  <c r="D188" i="15" s="1"/>
  <c r="D189" i="15" s="1"/>
  <c r="D190" i="15" s="1"/>
  <c r="D191" i="15" s="1"/>
  <c r="D192" i="15" s="1"/>
  <c r="D193" i="15" s="1"/>
  <c r="D194" i="15" s="1"/>
  <c r="D195" i="15" s="1"/>
  <c r="D196" i="15" s="1"/>
  <c r="D197" i="15" s="1"/>
  <c r="D198" i="15" s="1"/>
  <c r="D199" i="15" s="1"/>
  <c r="D200" i="15" s="1"/>
  <c r="D201" i="15" s="1"/>
  <c r="D202" i="15" s="1"/>
  <c r="D203" i="15" s="1"/>
  <c r="D204" i="15" s="1"/>
  <c r="D205" i="15" s="1"/>
  <c r="D206" i="15" s="1"/>
  <c r="D207" i="15" s="1"/>
  <c r="D208" i="15" s="1"/>
  <c r="D209" i="15" s="1"/>
  <c r="D210" i="15" s="1"/>
  <c r="D211" i="15" s="1"/>
  <c r="D212" i="15" s="1"/>
  <c r="H93" i="1" l="1"/>
  <c r="H92" i="1"/>
  <c r="H91" i="1"/>
  <c r="H83" i="1"/>
  <c r="H82" i="1"/>
  <c r="H81" i="1"/>
  <c r="H80" i="1"/>
  <c r="H79" i="1"/>
  <c r="H78" i="1"/>
  <c r="H77" i="1"/>
  <c r="H76" i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E84" i="1" l="1"/>
  <c r="E59" i="1"/>
  <c r="E72" i="1"/>
  <c r="E34" i="1"/>
  <c r="J2" i="1"/>
</calcChain>
</file>

<file path=xl/sharedStrings.xml><?xml version="1.0" encoding="utf-8"?>
<sst xmlns="http://schemas.openxmlformats.org/spreadsheetml/2006/main" count="1439" uniqueCount="524">
  <si>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</si>
  <si>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</si>
  <si>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</si>
  <si>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</si>
  <si>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</si>
  <si>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</si>
  <si>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</si>
  <si>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</si>
  <si>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</si>
  <si>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</si>
  <si>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</si>
  <si>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</si>
  <si>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</si>
  <si>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</si>
  <si>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</si>
  <si>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</si>
  <si>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</si>
  <si>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</si>
  <si>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</si>
  <si>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</si>
  <si>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</si>
  <si>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</si>
  <si>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</si>
  <si>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</si>
  <si>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</si>
  <si>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</si>
  <si>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</si>
  <si>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</si>
  <si>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</si>
  <si>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</si>
  <si>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</si>
  <si>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</si>
  <si>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</si>
  <si>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</si>
  <si>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</si>
  <si>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</si>
  <si>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</si>
  <si>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</si>
  <si>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</si>
  <si>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</si>
  <si>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</si>
  <si>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</si>
  <si>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</si>
  <si>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</si>
  <si>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</si>
  <si>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</si>
  <si>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</si>
  <si>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</si>
  <si>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</si>
  <si>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</si>
  <si>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</si>
  <si>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</si>
  <si>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</si>
  <si>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</si>
  <si>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</si>
  <si>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</si>
  <si>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</si>
  <si>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</si>
  <si>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</si>
  <si>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</si>
  <si>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</si>
  <si>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</si>
  <si>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</si>
  <si>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</si>
  <si>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</si>
  <si>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</si>
  <si>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</si>
  <si>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</si>
  <si>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</si>
  <si>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</si>
  <si>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</si>
  <si>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</si>
  <si>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</si>
  <si>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</si>
  <si>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</si>
  <si>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</si>
  <si>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</si>
  <si>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</si>
  <si>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</si>
  <si>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</si>
  <si>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</si>
  <si>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</si>
  <si>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</si>
  <si>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</si>
  <si>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</si>
  <si>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</si>
  <si>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</si>
  <si>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</si>
  <si>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</si>
  <si>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</si>
  <si>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</si>
  <si>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</si>
  <si>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</si>
  <si>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</si>
  <si>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</si>
  <si>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</si>
  <si>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</si>
  <si>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</si>
  <si>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</si>
  <si>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</si>
  <si>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</si>
  <si>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</si>
  <si>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</si>
  <si>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</si>
  <si>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</si>
  <si>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</si>
  <si>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</si>
  <si>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</si>
  <si>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</si>
  <si>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</si>
  <si>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</si>
  <si>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</si>
  <si>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</si>
  <si>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</si>
  <si>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</si>
  <si>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</si>
  <si>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</si>
  <si>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</si>
  <si>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</si>
  <si>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</si>
  <si>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</si>
  <si>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</si>
  <si>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</si>
  <si>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</si>
  <si>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</si>
  <si>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</si>
  <si>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</si>
  <si>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</si>
  <si>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</si>
  <si>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</si>
  <si>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</si>
  <si>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</si>
  <si>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</si>
  <si>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千葉</t>
    <rPh sb="0" eb="2">
      <t>チバ</t>
    </rPh>
    <phoneticPr fontId="12"/>
  </si>
  <si>
    <t>藤倉船装株式会社 (株式会社羽根田商会)</t>
    <rPh sb="10" eb="14">
      <t>カブシキガイシャ</t>
    </rPh>
    <rPh sb="14" eb="17">
      <t>ハネダ</t>
    </rPh>
    <rPh sb="17" eb="19">
      <t>ショウカイ</t>
    </rPh>
    <phoneticPr fontId="12"/>
  </si>
  <si>
    <t>Ｎo.226538</t>
    <phoneticPr fontId="12"/>
  </si>
  <si>
    <t>kg</t>
    <phoneticPr fontId="13"/>
  </si>
  <si>
    <t>TOTAL重量</t>
    <rPh sb="5" eb="7">
      <t>ジュウリョウ</t>
    </rPh>
    <phoneticPr fontId="13"/>
  </si>
  <si>
    <t>架台部分</t>
    <rPh sb="0" eb="2">
      <t>カダイ</t>
    </rPh>
    <rPh sb="2" eb="4">
      <t>ブブン</t>
    </rPh>
    <phoneticPr fontId="13"/>
  </si>
  <si>
    <t>1日目</t>
    <rPh sb="1" eb="2">
      <t>ヒ</t>
    </rPh>
    <rPh sb="2" eb="3">
      <t>メ</t>
    </rPh>
    <phoneticPr fontId="13"/>
  </si>
  <si>
    <t>ミスミ</t>
    <phoneticPr fontId="13"/>
  </si>
  <si>
    <t>meviy</t>
    <phoneticPr fontId="13"/>
  </si>
  <si>
    <t>3日目</t>
    <rPh sb="1" eb="2">
      <t>ヒ</t>
    </rPh>
    <rPh sb="2" eb="3">
      <t>メ</t>
    </rPh>
    <phoneticPr fontId="13"/>
  </si>
  <si>
    <t>SFB5-10</t>
    <phoneticPr fontId="13"/>
  </si>
  <si>
    <t>配電ＢＯＸ</t>
    <rPh sb="0" eb="2">
      <t>ハイデン</t>
    </rPh>
    <phoneticPr fontId="13"/>
  </si>
  <si>
    <t>C-30-SG-30X90A-EP-UL</t>
    <phoneticPr fontId="13"/>
  </si>
  <si>
    <t>ﾜｺﾞ</t>
    <phoneticPr fontId="13"/>
  </si>
  <si>
    <t>制御機材</t>
    <rPh sb="0" eb="2">
      <t>セイギョ</t>
    </rPh>
    <rPh sb="2" eb="4">
      <t>キザイ</t>
    </rPh>
    <phoneticPr fontId="13"/>
  </si>
  <si>
    <t xml:space="preserve">漏電ブレーカ　ｶﾊﾞｰ  1セット </t>
    <phoneticPr fontId="13"/>
  </si>
  <si>
    <t>TBS-22</t>
    <phoneticPr fontId="13"/>
  </si>
  <si>
    <t>漏電ブレーカ</t>
    <rPh sb="0" eb="2">
      <t>ロウデン</t>
    </rPh>
    <phoneticPr fontId="13"/>
  </si>
  <si>
    <t>2002-1391</t>
    <phoneticPr fontId="13"/>
  </si>
  <si>
    <t>2002-1307</t>
    <phoneticPr fontId="13"/>
  </si>
  <si>
    <t>2002-1301</t>
    <phoneticPr fontId="13"/>
  </si>
  <si>
    <t>ADR-361-JP</t>
    <phoneticPr fontId="13"/>
  </si>
  <si>
    <t>DINレール</t>
    <phoneticPr fontId="13"/>
  </si>
  <si>
    <t>MRB-440</t>
    <phoneticPr fontId="13"/>
  </si>
  <si>
    <t>配電BOXﾕﾆｯﾄ</t>
    <phoneticPr fontId="13"/>
  </si>
  <si>
    <t>HBLTD6-C-SSP</t>
    <phoneticPr fontId="13"/>
  </si>
  <si>
    <t>HFC6-6060-S</t>
    <phoneticPr fontId="13"/>
  </si>
  <si>
    <t>デュアルシステムアーム(キーボード台)固定部分にも使用</t>
    <phoneticPr fontId="13"/>
  </si>
  <si>
    <t>アルミフレーム　６シリーズ　正方形　６０×６０ｍｍ　２列溝　４面溝</t>
    <phoneticPr fontId="13"/>
  </si>
  <si>
    <t>HFS6-6060-150</t>
    <phoneticPr fontId="13"/>
  </si>
  <si>
    <t>2.63kg/m</t>
    <phoneticPr fontId="13"/>
  </si>
  <si>
    <t>デュアルシステムアーム(キーボード台)</t>
    <phoneticPr fontId="13"/>
  </si>
  <si>
    <t>CR-LA601</t>
    <phoneticPr fontId="13"/>
  </si>
  <si>
    <t>ｻﾝﾜｻﾌﾟﾗｲ</t>
    <phoneticPr fontId="13"/>
  </si>
  <si>
    <t>LED照明ｺﾝﾄﾛｰﾗ　架台前面固定用　2本</t>
    <phoneticPr fontId="13"/>
  </si>
  <si>
    <t>SHNTP6-6</t>
    <phoneticPr fontId="13"/>
  </si>
  <si>
    <t>SHNTP6-4</t>
    <phoneticPr fontId="13"/>
  </si>
  <si>
    <t>SCB6-10</t>
    <phoneticPr fontId="13"/>
  </si>
  <si>
    <t>元圧</t>
    <rPh sb="0" eb="1">
      <t>モト</t>
    </rPh>
    <rPh sb="1" eb="2">
      <t>アツ</t>
    </rPh>
    <phoneticPr fontId="13"/>
  </si>
  <si>
    <t>ナット</t>
    <phoneticPr fontId="13"/>
  </si>
  <si>
    <t xml:space="preserve">SLBNR4 </t>
    <phoneticPr fontId="13"/>
  </si>
  <si>
    <t>六角穴付ボルト－ステンレス　 (M6×10)  2本使用</t>
    <rPh sb="25" eb="26">
      <t>ホン</t>
    </rPh>
    <rPh sb="26" eb="28">
      <t>シヨウ</t>
    </rPh>
    <phoneticPr fontId="13"/>
  </si>
  <si>
    <t>一般配管用 チューブフィッティング ダブルブランチエイ</t>
    <phoneticPr fontId="13"/>
  </si>
  <si>
    <t>PAW6-02</t>
    <phoneticPr fontId="13"/>
  </si>
  <si>
    <t>日本ピスコ</t>
    <rPh sb="0" eb="2">
      <t>ニホン</t>
    </rPh>
    <phoneticPr fontId="13"/>
  </si>
  <si>
    <t>3方弁　ハンドバルブ</t>
    <phoneticPr fontId="13"/>
  </si>
  <si>
    <t>BVHVU6-3　</t>
    <phoneticPr fontId="13"/>
  </si>
  <si>
    <t>ワンタッチ継手　ブラインドプラグ</t>
    <phoneticPr fontId="13"/>
  </si>
  <si>
    <t>BSLG6</t>
    <phoneticPr fontId="13"/>
  </si>
  <si>
    <t>天板</t>
    <phoneticPr fontId="13"/>
  </si>
  <si>
    <t>配線孔キャップ SALSA</t>
    <phoneticPr fontId="13"/>
  </si>
  <si>
    <t>SI2520-315</t>
    <phoneticPr fontId="13"/>
  </si>
  <si>
    <t>天板固定用</t>
    <rPh sb="2" eb="4">
      <t>コテイ</t>
    </rPh>
    <rPh sb="4" eb="5">
      <t>ヨウ</t>
    </rPh>
    <phoneticPr fontId="13"/>
  </si>
  <si>
    <t>SHNTP6-5</t>
    <phoneticPr fontId="13"/>
  </si>
  <si>
    <t>ノックピン　－プラス公差</t>
    <phoneticPr fontId="13"/>
  </si>
  <si>
    <t>MS3-10</t>
    <phoneticPr fontId="13"/>
  </si>
  <si>
    <t>SETB0108-Z07  架台ｶﾊﾞｰ</t>
    <phoneticPr fontId="13"/>
  </si>
  <si>
    <t>PHSUS6H-540-473-1.5-F259-G451-N6</t>
    <phoneticPr fontId="13"/>
  </si>
  <si>
    <t>SETB0108-Z06  架台前面部ｶﾊﾞｰ:2</t>
    <phoneticPr fontId="13"/>
  </si>
  <si>
    <t>MVSHM-8N01500-34B-H237C</t>
    <phoneticPr fontId="13"/>
  </si>
  <si>
    <t>SETB0108-Z05  配電BOX上ｶﾊﾞｰ</t>
    <phoneticPr fontId="13"/>
  </si>
  <si>
    <t>MVSHM-8N01500-34B-24JH2</t>
    <phoneticPr fontId="13"/>
  </si>
  <si>
    <t>SETB0108-Z04  元圧エアー部ｶﾊﾞｰ</t>
    <phoneticPr fontId="13"/>
  </si>
  <si>
    <t>MVSHM-8N01500-34B-8A3GF</t>
    <phoneticPr fontId="13"/>
  </si>
  <si>
    <t>下段棚板</t>
    <phoneticPr fontId="13"/>
  </si>
  <si>
    <t>PAAL6H-458-338-5.0-F218-G316-N6</t>
    <phoneticPr fontId="13"/>
  </si>
  <si>
    <t>ｺﾝﾄﾛｰﾗ棚板部　底板</t>
    <rPh sb="6" eb="8">
      <t>タナイタ</t>
    </rPh>
    <rPh sb="8" eb="9">
      <t>ブ</t>
    </rPh>
    <rPh sb="10" eb="12">
      <t>ソコイタ</t>
    </rPh>
    <phoneticPr fontId="13"/>
  </si>
  <si>
    <t>アルミパネル</t>
    <phoneticPr fontId="13"/>
  </si>
  <si>
    <t>PAAL6H-456-271-5.0-F218-G251-N6</t>
    <phoneticPr fontId="13"/>
  </si>
  <si>
    <t>架台</t>
  </si>
  <si>
    <t>HFS6-6060-980</t>
    <phoneticPr fontId="13"/>
  </si>
  <si>
    <t xml:space="preserve">HFS6-6060-854 </t>
    <phoneticPr fontId="13"/>
  </si>
  <si>
    <t>真中1本追加</t>
    <rPh sb="0" eb="2">
      <t>マンナカ</t>
    </rPh>
    <rPh sb="3" eb="4">
      <t>ポン</t>
    </rPh>
    <rPh sb="4" eb="6">
      <t>ツイカ</t>
    </rPh>
    <phoneticPr fontId="13"/>
  </si>
  <si>
    <t>HFS6-6060-542</t>
    <phoneticPr fontId="13"/>
  </si>
  <si>
    <t>天面補強　2本、底面補強　2本</t>
    <rPh sb="0" eb="2">
      <t>テンメン</t>
    </rPh>
    <rPh sb="2" eb="4">
      <t>ホキョウ</t>
    </rPh>
    <rPh sb="6" eb="7">
      <t>ホン</t>
    </rPh>
    <rPh sb="8" eb="9">
      <t>ソコ</t>
    </rPh>
    <rPh sb="9" eb="10">
      <t>メン</t>
    </rPh>
    <rPh sb="10" eb="12">
      <t>ホキョウ</t>
    </rPh>
    <rPh sb="14" eb="15">
      <t>ホン</t>
    </rPh>
    <phoneticPr fontId="13"/>
  </si>
  <si>
    <t>HFS6-6060-340</t>
    <phoneticPr fontId="13"/>
  </si>
  <si>
    <t>アルミフレーム　６シリーズ　正方形　３０×３０ｍｍ　１列溝　４面溝</t>
    <phoneticPr fontId="13"/>
  </si>
  <si>
    <t>HFS6-3030-542</t>
    <phoneticPr fontId="13"/>
  </si>
  <si>
    <t>0.9kg/m</t>
    <phoneticPr fontId="13"/>
  </si>
  <si>
    <t>ｺﾝﾄﾛｰﾗ棚板部</t>
    <rPh sb="6" eb="8">
      <t>タナイタ</t>
    </rPh>
    <rPh sb="8" eb="9">
      <t>ブ</t>
    </rPh>
    <phoneticPr fontId="13"/>
  </si>
  <si>
    <t>HFS6-3030-460</t>
    <phoneticPr fontId="13"/>
  </si>
  <si>
    <t>HFS6-3030-329</t>
    <phoneticPr fontId="13"/>
  </si>
  <si>
    <t>HFS6-3030-210</t>
    <phoneticPr fontId="13"/>
  </si>
  <si>
    <t>HFC6-3030-S</t>
    <phoneticPr fontId="13"/>
  </si>
  <si>
    <t>ｷｭｽﾀ-、ストッパー付き</t>
    <rPh sb="11" eb="12">
      <t>ツ</t>
    </rPh>
    <phoneticPr fontId="13"/>
  </si>
  <si>
    <t>HCFT6-250-SET</t>
    <phoneticPr fontId="13"/>
  </si>
  <si>
    <t>６シリーズ（溝幅８ｍｍ）　３０・６０角アルミフレーム用ブラインドブラケット</t>
    <phoneticPr fontId="13"/>
  </si>
  <si>
    <t xml:space="preserve">HBLBS6 </t>
    <phoneticPr fontId="13"/>
  </si>
  <si>
    <t>架台ﾕﾆｯﾄ</t>
    <rPh sb="0" eb="2">
      <t>カダイ</t>
    </rPh>
    <phoneticPr fontId="13"/>
  </si>
  <si>
    <t>安全ｶﾊﾞｰ（上部架台）</t>
    <rPh sb="0" eb="2">
      <t>アンゼン</t>
    </rPh>
    <rPh sb="7" eb="9">
      <t>ジョウブ</t>
    </rPh>
    <rPh sb="9" eb="11">
      <t>カダイ</t>
    </rPh>
    <phoneticPr fontId="13"/>
  </si>
  <si>
    <t>1日間</t>
    <rPh sb="1" eb="2">
      <t>ヒ</t>
    </rPh>
    <rPh sb="2" eb="3">
      <t>カン</t>
    </rPh>
    <phoneticPr fontId="13"/>
  </si>
  <si>
    <t>8日間</t>
    <rPh sb="1" eb="2">
      <t>ヒ</t>
    </rPh>
    <rPh sb="2" eb="3">
      <t>カン</t>
    </rPh>
    <phoneticPr fontId="13"/>
  </si>
  <si>
    <t>3日間</t>
    <rPh sb="1" eb="2">
      <t>ヒ</t>
    </rPh>
    <rPh sb="2" eb="3">
      <t>カン</t>
    </rPh>
    <phoneticPr fontId="13"/>
  </si>
  <si>
    <t>スイッチBOX固定ﾌﾞﾗｹｯﾄ　AXA用</t>
    <rPh sb="19" eb="20">
      <t>ヨウ</t>
    </rPh>
    <phoneticPr fontId="13"/>
  </si>
  <si>
    <t>六角穴付ボルト－ステンレス　 (M5×10)　　2本使用</t>
    <rPh sb="25" eb="26">
      <t>ホン</t>
    </rPh>
    <rPh sb="26" eb="28">
      <t>シヨウ</t>
    </rPh>
    <phoneticPr fontId="13"/>
  </si>
  <si>
    <t>SETB0108-Z1　スイッチBOX固定ﾌﾞﾗｹｯﾄ</t>
    <phoneticPr fontId="13"/>
  </si>
  <si>
    <t>MVSHM-3N03050-346-FBZBJ</t>
    <phoneticPr fontId="13"/>
  </si>
  <si>
    <t>観音扉ﾕﾆｯﾄ部</t>
    <phoneticPr fontId="13"/>
  </si>
  <si>
    <t>ＰＥＴプレート</t>
    <phoneticPr fontId="13"/>
  </si>
  <si>
    <t>PYA-474-365-3</t>
    <phoneticPr fontId="13"/>
  </si>
  <si>
    <t>パネルクランプ</t>
    <phoneticPr fontId="13"/>
  </si>
  <si>
    <t>HSCPF3H-S-459</t>
    <phoneticPr fontId="13"/>
  </si>
  <si>
    <t>2日間</t>
    <rPh sb="1" eb="2">
      <t>ヒ</t>
    </rPh>
    <rPh sb="2" eb="3">
      <t>カン</t>
    </rPh>
    <phoneticPr fontId="13"/>
  </si>
  <si>
    <t>HSCPF3H-S-345</t>
    <phoneticPr fontId="13"/>
  </si>
  <si>
    <t>センサ付マグネットキャッチセット</t>
    <phoneticPr fontId="13"/>
  </si>
  <si>
    <t>HMER6-5　</t>
    <phoneticPr fontId="13"/>
  </si>
  <si>
    <t>マグネットキャッチセット</t>
    <phoneticPr fontId="13"/>
  </si>
  <si>
    <t>HMEN6-5　</t>
    <phoneticPr fontId="13"/>
  </si>
  <si>
    <t>ハタ蝶番　R側</t>
    <rPh sb="6" eb="7">
      <t>ガワ</t>
    </rPh>
    <phoneticPr fontId="13"/>
  </si>
  <si>
    <t>HHPFDRN6-SET　</t>
    <phoneticPr fontId="13"/>
  </si>
  <si>
    <t>ハタ蝶番　L側</t>
    <rPh sb="6" eb="7">
      <t>ガワ</t>
    </rPh>
    <phoneticPr fontId="13"/>
  </si>
  <si>
    <t>HHPFDLN6-SET　</t>
    <phoneticPr fontId="13"/>
  </si>
  <si>
    <t>アルミ取手 ｾｯﾄ</t>
    <phoneticPr fontId="13"/>
  </si>
  <si>
    <t>HHDF19-SSP 　</t>
    <phoneticPr fontId="13"/>
  </si>
  <si>
    <t>アルミフレーム　５シリーズ　正方形　２０×２０ｍｍ　１列溝　４面溝</t>
    <phoneticPr fontId="13"/>
  </si>
  <si>
    <t>HFS5-2020-981-Z5-XA7.5-XB490.5-XC973.5</t>
    <phoneticPr fontId="13"/>
  </si>
  <si>
    <t>0.5kg/m</t>
    <phoneticPr fontId="13"/>
  </si>
  <si>
    <t>アルミフレーム　５シリーズ　正方形　２０×２０ｍｍ　１列溝　4面溝</t>
    <phoneticPr fontId="13"/>
  </si>
  <si>
    <t>HFS5-2020-354.5-TPW</t>
    <phoneticPr fontId="13"/>
  </si>
  <si>
    <t>５シリーズ（溝幅６ｍｍ）　アルミフレーム用フレームキャップ</t>
    <phoneticPr fontId="13"/>
  </si>
  <si>
    <t>HFC5-2020-S</t>
    <phoneticPr fontId="13"/>
  </si>
  <si>
    <t>六角穴付ボルト</t>
    <phoneticPr fontId="13"/>
  </si>
  <si>
    <t>CBM5-25</t>
    <phoneticPr fontId="13"/>
  </si>
  <si>
    <t>安全ｶﾊﾞｰ部</t>
    <rPh sb="0" eb="2">
      <t>アンゼン</t>
    </rPh>
    <rPh sb="6" eb="7">
      <t>ブ</t>
    </rPh>
    <phoneticPr fontId="13"/>
  </si>
  <si>
    <t>SHCBM5-15　</t>
    <phoneticPr fontId="13"/>
  </si>
  <si>
    <t>SHCBM5-12　</t>
    <phoneticPr fontId="13"/>
  </si>
  <si>
    <t>排気ﾌﾗﾝｼﾞ固定用</t>
    <phoneticPr fontId="13"/>
  </si>
  <si>
    <t xml:space="preserve">SPWF8 </t>
    <phoneticPr fontId="13"/>
  </si>
  <si>
    <t>SPWF6</t>
    <phoneticPr fontId="13"/>
  </si>
  <si>
    <t>SLBNR6</t>
    <phoneticPr fontId="13"/>
  </si>
  <si>
    <t>スパイラルダクト継手 フランジ ﾌﾟﾚｰﾄ</t>
    <phoneticPr fontId="13"/>
  </si>
  <si>
    <t>SD-Z-LF-150</t>
    <phoneticPr fontId="13"/>
  </si>
  <si>
    <t>栗本鐵工所</t>
    <rPh sb="0" eb="2">
      <t>クリモト</t>
    </rPh>
    <rPh sb="2" eb="4">
      <t>テッコウ</t>
    </rPh>
    <rPh sb="4" eb="5">
      <t>ショ</t>
    </rPh>
    <phoneticPr fontId="13"/>
  </si>
  <si>
    <t>スパイラルダクト継手 フランジカラー</t>
    <phoneticPr fontId="13"/>
  </si>
  <si>
    <t>SD-Z-TK-150</t>
    <phoneticPr fontId="13"/>
  </si>
  <si>
    <t>六角穴付ボルト－ステンレス　 (M6×20)　　6本使用</t>
    <rPh sb="25" eb="26">
      <t>ホン</t>
    </rPh>
    <rPh sb="26" eb="28">
      <t>シヨウ</t>
    </rPh>
    <phoneticPr fontId="13"/>
  </si>
  <si>
    <t>SCB6-20</t>
    <phoneticPr fontId="13"/>
  </si>
  <si>
    <t>照明ﾕﾆｯﾄ</t>
    <rPh sb="0" eb="2">
      <t>ショウメイ</t>
    </rPh>
    <phoneticPr fontId="13"/>
  </si>
  <si>
    <t>ＬＥＤバー照明　調光機能付き</t>
    <phoneticPr fontId="13"/>
  </si>
  <si>
    <t>LEDSC665-W</t>
    <phoneticPr fontId="13"/>
  </si>
  <si>
    <t>角度調整ブラケット</t>
    <phoneticPr fontId="13"/>
  </si>
  <si>
    <t>LEAB1</t>
    <phoneticPr fontId="13"/>
  </si>
  <si>
    <t>後入ればねナット</t>
    <phoneticPr fontId="13"/>
  </si>
  <si>
    <t>HNTP6-4　</t>
    <phoneticPr fontId="13"/>
  </si>
  <si>
    <t>HFS6-3030-680</t>
    <phoneticPr fontId="13"/>
  </si>
  <si>
    <t>HFS6-3030-265</t>
    <phoneticPr fontId="13"/>
  </si>
  <si>
    <t>HFS6-3030-165</t>
    <phoneticPr fontId="13"/>
  </si>
  <si>
    <t>HFS6-3030-100</t>
    <phoneticPr fontId="13"/>
  </si>
  <si>
    <t>６シリーズ（溝幅８ｍｍ）ブラインドジョイント部品　シングルジョイントキット</t>
    <phoneticPr fontId="13"/>
  </si>
  <si>
    <t>HSJNS6</t>
    <phoneticPr fontId="13"/>
  </si>
  <si>
    <t>HFS6-3030-1050</t>
    <phoneticPr fontId="13"/>
  </si>
  <si>
    <t>HFS6-3030-1050-LCH-RCH</t>
    <phoneticPr fontId="13"/>
  </si>
  <si>
    <t>HFS6-3030-1040</t>
    <phoneticPr fontId="13"/>
  </si>
  <si>
    <t>HFS6-3030-990</t>
    <phoneticPr fontId="13"/>
  </si>
  <si>
    <t>HFS6-3030-800</t>
    <phoneticPr fontId="13"/>
  </si>
  <si>
    <t>HFS6-3030-800-LDH-RDH</t>
    <phoneticPr fontId="13"/>
  </si>
  <si>
    <t>HFS6-3030-385</t>
    <phoneticPr fontId="13"/>
  </si>
  <si>
    <t>カバープレート (ｱﾙﾐ表面処理）</t>
    <rPh sb="12" eb="14">
      <t>ヒョウメン</t>
    </rPh>
    <rPh sb="14" eb="16">
      <t>ショリ</t>
    </rPh>
    <phoneticPr fontId="13"/>
  </si>
  <si>
    <t>HFPAL6H-3-988-503-483-481-D7</t>
    <phoneticPr fontId="13"/>
  </si>
  <si>
    <t>HFPAL6H-3-798-478-388-456-D7</t>
    <phoneticPr fontId="13"/>
  </si>
  <si>
    <t>HFPAL4H-3-503-383-481-361-D7</t>
    <phoneticPr fontId="13"/>
  </si>
  <si>
    <t>HCBR6　</t>
    <phoneticPr fontId="13"/>
  </si>
  <si>
    <t>HBLFSN6-C-SET　</t>
    <phoneticPr fontId="13"/>
  </si>
  <si>
    <t>安全ｶﾊﾞｰ部　積層信号灯固定用、排気ﾌﾗﾝｼﾞ固定用</t>
    <rPh sb="0" eb="2">
      <t>アンゼン</t>
    </rPh>
    <rPh sb="6" eb="7">
      <t>ブ</t>
    </rPh>
    <rPh sb="13" eb="15">
      <t>コテイ</t>
    </rPh>
    <rPh sb="15" eb="16">
      <t>ヨウ</t>
    </rPh>
    <rPh sb="17" eb="19">
      <t>ハイキ</t>
    </rPh>
    <rPh sb="24" eb="26">
      <t>コテイ</t>
    </rPh>
    <rPh sb="26" eb="27">
      <t>ヨウ</t>
    </rPh>
    <phoneticPr fontId="13"/>
  </si>
  <si>
    <t>六角穴付ボルト－ステンレス　 (M6×15)　　2本使用</t>
    <rPh sb="25" eb="26">
      <t>ホン</t>
    </rPh>
    <rPh sb="26" eb="28">
      <t>シヨウ</t>
    </rPh>
    <phoneticPr fontId="13"/>
  </si>
  <si>
    <t>SCB6-15</t>
    <phoneticPr fontId="13"/>
  </si>
  <si>
    <t>安全ｶﾊﾞｰ部　積層信号灯固定用</t>
    <rPh sb="0" eb="2">
      <t>アンゼン</t>
    </rPh>
    <rPh sb="6" eb="7">
      <t>ブ</t>
    </rPh>
    <rPh sb="13" eb="15">
      <t>コテイ</t>
    </rPh>
    <rPh sb="15" eb="16">
      <t>ヨウ</t>
    </rPh>
    <phoneticPr fontId="13"/>
  </si>
  <si>
    <t>シグナルタワー 積層信号灯 LRシリーズ　3色</t>
    <rPh sb="22" eb="23">
      <t>ショク</t>
    </rPh>
    <phoneticPr fontId="13"/>
  </si>
  <si>
    <t>LR4-302LJBW-RYG</t>
    <phoneticPr fontId="13"/>
  </si>
  <si>
    <t>PATLITE</t>
    <phoneticPr fontId="13"/>
  </si>
  <si>
    <t>安全ｶﾊﾞｰﾕﾆｯﾄ</t>
    <rPh sb="0" eb="2">
      <t>アンゼン</t>
    </rPh>
    <phoneticPr fontId="13"/>
  </si>
  <si>
    <t>SETB0290-Z10　AXAﾛﾎﾞｯﾄPC位置変換ﾌﾞﾗｹｯﾄ</t>
    <phoneticPr fontId="12"/>
  </si>
  <si>
    <t>MVSHM-3N03000-494-PWESM</t>
    <phoneticPr fontId="12"/>
  </si>
  <si>
    <t>RSCB4-15</t>
    <phoneticPr fontId="13"/>
  </si>
  <si>
    <t>CHNS4</t>
    <phoneticPr fontId="13"/>
  </si>
  <si>
    <t>SFB5-12</t>
    <phoneticPr fontId="12"/>
  </si>
  <si>
    <t xml:space="preserve">SPWF5 </t>
    <phoneticPr fontId="12"/>
  </si>
  <si>
    <t>先入れナット</t>
    <phoneticPr fontId="12"/>
  </si>
  <si>
    <t>HNTT5-5　</t>
    <phoneticPr fontId="12"/>
  </si>
  <si>
    <t>ﾌﾚｰﾑｷｬｯﾌﾟ (HFC)</t>
    <phoneticPr fontId="12"/>
  </si>
  <si>
    <t>HFC5-2020-S</t>
    <phoneticPr fontId="12"/>
  </si>
  <si>
    <t>ｱﾙﾐﾌﾚｰﾑｻﾞｲ</t>
    <phoneticPr fontId="12"/>
  </si>
  <si>
    <t>HFS5-2020-560</t>
    <phoneticPr fontId="12"/>
  </si>
  <si>
    <t xml:space="preserve">SCB5-8   </t>
    <phoneticPr fontId="12"/>
  </si>
  <si>
    <t>SETB0290-Z09 AXAﾛﾎﾞｯﾄ足固定5</t>
    <phoneticPr fontId="12"/>
  </si>
  <si>
    <t>MVSHM-3N03050-48Z-SZBKE</t>
  </si>
  <si>
    <t>SETB0290-Z08 AXAﾛﾎﾞｯﾄ足固定4</t>
    <phoneticPr fontId="12"/>
  </si>
  <si>
    <t>MVBLK-AMW-48Z-CCBUJ</t>
  </si>
  <si>
    <t>SETB0290-Z07 AXAﾛﾎﾞｯﾄ足固定3</t>
    <phoneticPr fontId="12"/>
  </si>
  <si>
    <t>MVSHM-3N03004-48Z-AK68D</t>
  </si>
  <si>
    <t>SETB0290-Z06 AXAﾛﾎﾞｯﾄ足固定2</t>
    <phoneticPr fontId="12"/>
  </si>
  <si>
    <t>MVSHM-3N03052-48Z-SDDXJ</t>
  </si>
  <si>
    <t>SETB0290-Z05 AXAﾛﾎﾞｯﾄ足固定1</t>
    <phoneticPr fontId="12"/>
  </si>
  <si>
    <t>MVSHM-3N03050-48Z-J1WJ9</t>
  </si>
  <si>
    <t>AXA卓上ﾛﾎﾞｯﾄ固定部品</t>
    <rPh sb="0" eb="5">
      <t>チサチタクジョウ</t>
    </rPh>
    <rPh sb="10" eb="12">
      <t>コテイ</t>
    </rPh>
    <rPh sb="12" eb="14">
      <t>ブヒン</t>
    </rPh>
    <phoneticPr fontId="12"/>
  </si>
  <si>
    <t>入荷日</t>
    <rPh sb="0" eb="2">
      <t>ニュウカ</t>
    </rPh>
    <rPh sb="2" eb="3">
      <t>ビ</t>
    </rPh>
    <phoneticPr fontId="13"/>
  </si>
  <si>
    <t>入荷予定日</t>
    <rPh sb="0" eb="2">
      <t>ニュウカ</t>
    </rPh>
    <rPh sb="2" eb="4">
      <t>ヨテイ</t>
    </rPh>
    <rPh sb="4" eb="5">
      <t>ヒ</t>
    </rPh>
    <phoneticPr fontId="13"/>
  </si>
  <si>
    <t>納期</t>
    <rPh sb="0" eb="2">
      <t>ノウ</t>
    </rPh>
    <phoneticPr fontId="13"/>
  </si>
  <si>
    <t>発注</t>
    <rPh sb="0" eb="2">
      <t>ハッチュウ</t>
    </rPh>
    <phoneticPr fontId="13"/>
  </si>
  <si>
    <t>発注日</t>
    <rPh sb="0" eb="2">
      <t>ハッチュウ</t>
    </rPh>
    <rPh sb="2" eb="3">
      <t>ヒ</t>
    </rPh>
    <phoneticPr fontId="13"/>
  </si>
  <si>
    <t>技術分類</t>
    <rPh sb="0" eb="2">
      <t>ギジュツ</t>
    </rPh>
    <rPh sb="2" eb="4">
      <t>ブンルイ</t>
    </rPh>
    <phoneticPr fontId="13"/>
  </si>
  <si>
    <t>備考</t>
    <rPh sb="0" eb="2">
      <t>ビコウ</t>
    </rPh>
    <phoneticPr fontId="13"/>
  </si>
  <si>
    <t>詳細</t>
    <rPh sb="0" eb="2">
      <t>ショウサイ</t>
    </rPh>
    <phoneticPr fontId="13"/>
  </si>
  <si>
    <t>分類合計</t>
    <rPh sb="0" eb="2">
      <t>ブンルイ</t>
    </rPh>
    <rPh sb="2" eb="4">
      <t>ゴウケイ</t>
    </rPh>
    <phoneticPr fontId="13"/>
  </si>
  <si>
    <t>品名 / 型式</t>
    <rPh sb="0" eb="2">
      <t>ヒンメイ</t>
    </rPh>
    <rPh sb="5" eb="7">
      <t>カタシキ</t>
    </rPh>
    <phoneticPr fontId="13"/>
  </si>
  <si>
    <t>仕入先</t>
    <rPh sb="0" eb="2">
      <t>シイレ</t>
    </rPh>
    <rPh sb="2" eb="3">
      <t>サキ</t>
    </rPh>
    <phoneticPr fontId="13"/>
  </si>
  <si>
    <t>メーカー</t>
    <phoneticPr fontId="13"/>
  </si>
  <si>
    <t>見積り分類</t>
    <rPh sb="0" eb="2">
      <t>ミツモ</t>
    </rPh>
    <rPh sb="3" eb="5">
      <t>ブンルイ</t>
    </rPh>
    <phoneticPr fontId="13"/>
  </si>
  <si>
    <t>部材重さkg</t>
    <rPh sb="0" eb="2">
      <t>ブザイ</t>
    </rPh>
    <rPh sb="2" eb="3">
      <t>オモ</t>
    </rPh>
    <phoneticPr fontId="13"/>
  </si>
  <si>
    <t>最終納品</t>
    <rPh sb="0" eb="2">
      <t>サイシュウ</t>
    </rPh>
    <rPh sb="2" eb="4">
      <t>ノウヒン</t>
    </rPh>
    <phoneticPr fontId="13"/>
  </si>
  <si>
    <t>希望納期</t>
    <rPh sb="0" eb="2">
      <t>キボウ</t>
    </rPh>
    <rPh sb="2" eb="4">
      <t>ノウ</t>
    </rPh>
    <phoneticPr fontId="13"/>
  </si>
  <si>
    <t>図面番号</t>
    <rPh sb="0" eb="1">
      <t>ズ</t>
    </rPh>
    <rPh sb="1" eb="2">
      <t>メン</t>
    </rPh>
    <rPh sb="2" eb="4">
      <t>バンゴウ</t>
    </rPh>
    <phoneticPr fontId="13"/>
  </si>
  <si>
    <t>担当営業</t>
    <rPh sb="0" eb="2">
      <t>タントウ</t>
    </rPh>
    <rPh sb="2" eb="4">
      <t>エイギョウ</t>
    </rPh>
    <phoneticPr fontId="13"/>
  </si>
  <si>
    <t>合計金額</t>
    <rPh sb="0" eb="2">
      <t>ゴウケイ</t>
    </rPh>
    <rPh sb="2" eb="4">
      <t>キンガク</t>
    </rPh>
    <phoneticPr fontId="13"/>
  </si>
  <si>
    <t>お客先名</t>
    <rPh sb="1" eb="3">
      <t>キャクサキ</t>
    </rPh>
    <rPh sb="3" eb="4">
      <t>メイ</t>
    </rPh>
    <phoneticPr fontId="13"/>
  </si>
  <si>
    <t>SETB0288-A01　AXA400-CTB　詳細設計　上下架台</t>
    <phoneticPr fontId="13"/>
  </si>
  <si>
    <t>SETB0242-Y02　ﾂｰﾙ治具AXA-HV　ﾌﾞﾗｹｯﾄ</t>
    <phoneticPr fontId="12"/>
  </si>
  <si>
    <t>MS2-6</t>
    <phoneticPr fontId="12"/>
  </si>
  <si>
    <t>SCB4-6</t>
    <phoneticPr fontId="12"/>
  </si>
  <si>
    <t>SETB0288-Y01　ﾂｰﾙ治具ﾌﾞﾗｹｯﾄ</t>
    <phoneticPr fontId="12"/>
  </si>
  <si>
    <t>AJPNGB4-P6.00-B6.0-G4-GC</t>
    <phoneticPr fontId="12"/>
  </si>
  <si>
    <t>CBSST5-16</t>
    <phoneticPr fontId="12"/>
  </si>
  <si>
    <t>MS4-8</t>
    <phoneticPr fontId="12"/>
  </si>
  <si>
    <t>ツール治具ﾕﾆｯﾄ</t>
    <rPh sb="3" eb="5">
      <t>ジグ</t>
    </rPh>
    <phoneticPr fontId="13"/>
  </si>
  <si>
    <t>浸け置きﾕﾆｯﾄ</t>
    <rPh sb="0" eb="1">
      <t>ツ</t>
    </rPh>
    <rPh sb="2" eb="3">
      <t>オ</t>
    </rPh>
    <phoneticPr fontId="13"/>
  </si>
  <si>
    <t>148710-Z01-1 ｶｯﾌﾟﾎﾙﾀﾞｰﾍﾞｰｽＬ字ﾌﾞﾗｹｯﾄ</t>
    <phoneticPr fontId="12"/>
  </si>
  <si>
    <t>CRKB4-8</t>
    <phoneticPr fontId="12"/>
  </si>
  <si>
    <t>SETB-0004-Z03　ｶｯﾌﾟﾎﾙﾀﾞｰ</t>
    <phoneticPr fontId="12"/>
  </si>
  <si>
    <t>SETB-0211-Z02　ｶｯﾌﾟﾎﾙﾀﾞｰＬ字ﾌﾞﾗｹｯﾄ</t>
    <phoneticPr fontId="12"/>
  </si>
  <si>
    <t>ローレットﾈｼﾞ</t>
    <phoneticPr fontId="12"/>
  </si>
  <si>
    <t xml:space="preserve"> ノックピン     2　本　</t>
    <phoneticPr fontId="12"/>
  </si>
  <si>
    <t>低頭六角穴付ボルト 2本</t>
    <rPh sb="11" eb="12">
      <t>ホン</t>
    </rPh>
    <phoneticPr fontId="12"/>
  </si>
  <si>
    <t>ﾏｰｶｰﾋﾟﾝ　2本</t>
    <rPh sb="9" eb="10">
      <t>ホン</t>
    </rPh>
    <phoneticPr fontId="13"/>
  </si>
  <si>
    <t>MVSHM-3N02052005020-2D1-AN79X</t>
    <phoneticPr fontId="13"/>
  </si>
  <si>
    <t>158930－Z001　レギュレーター取付板金</t>
    <phoneticPr fontId="13"/>
  </si>
  <si>
    <t>BVHV6-1-3-A</t>
    <phoneticPr fontId="13"/>
  </si>
  <si>
    <t>ハンドバルブ</t>
    <phoneticPr fontId="13"/>
  </si>
  <si>
    <t>SMC</t>
    <phoneticPr fontId="13"/>
  </si>
  <si>
    <t xml:space="preserve">ｼﾘﾝｼﾞレギュレーター </t>
    <phoneticPr fontId="13"/>
  </si>
  <si>
    <t>エアタック</t>
    <phoneticPr fontId="13"/>
  </si>
  <si>
    <t>ﾜﾝﾀｯﾁﾂｷﾞﾃ PCｼﾘｰｽﾞ</t>
    <phoneticPr fontId="13"/>
  </si>
  <si>
    <t xml:space="preserve">USYL6 </t>
    <phoneticPr fontId="13"/>
  </si>
  <si>
    <t>ワンタッチ継手　Ｙタイプ</t>
    <phoneticPr fontId="13"/>
  </si>
  <si>
    <t>MVSHM-3N02052-42R-RWB57</t>
    <phoneticPr fontId="12"/>
  </si>
  <si>
    <t>MVBLK-AMW-4B9-DMB9P</t>
    <phoneticPr fontId="12"/>
  </si>
  <si>
    <t>MVSHM-3N02052-3G3-18Y5C</t>
    <phoneticPr fontId="12"/>
  </si>
  <si>
    <t>MVSHM-ZZ99000000000-JPA226D52111AB</t>
    <phoneticPr fontId="12"/>
  </si>
  <si>
    <t>MVSHM-3N02050-3RL-CRXZF</t>
    <phoneticPr fontId="12"/>
  </si>
  <si>
    <t>SETB0178-Z06　30ccｶｯﾌﾟ202300803</t>
    <phoneticPr fontId="12"/>
  </si>
  <si>
    <t>MVTUP-SUB-3GK-HD2S8</t>
    <phoneticPr fontId="12"/>
  </si>
  <si>
    <t>6日間</t>
    <rPh sb="1" eb="2">
      <t>ヒ</t>
    </rPh>
    <rPh sb="2" eb="3">
      <t>カン</t>
    </rPh>
    <phoneticPr fontId="13"/>
  </si>
  <si>
    <t>A8001</t>
    <phoneticPr fontId="13"/>
  </si>
  <si>
    <t>汎用3芯OAタップ 6ヶ口</t>
    <phoneticPr fontId="13"/>
  </si>
  <si>
    <t>RSAU-PS-500-280-170-K-WB2507310076</t>
    <phoneticPr fontId="12"/>
  </si>
  <si>
    <t>配電BOX  SETB0290-Z10</t>
    <phoneticPr fontId="13"/>
  </si>
  <si>
    <t>MVSHM-3N03004-347-YFYBZ</t>
    <phoneticPr fontId="12"/>
  </si>
  <si>
    <t>SETB0108-Z03  配電BOXｶﾃｰ板</t>
    <phoneticPr fontId="12"/>
  </si>
  <si>
    <t>SFB4-20</t>
    <phoneticPr fontId="12"/>
  </si>
  <si>
    <t>ﾛｯｶｸｱﾅﾂｷｻﾗﾎﾞﾙﾄ(SFB</t>
    <phoneticPr fontId="12"/>
  </si>
  <si>
    <t xml:space="preserve">SPWF4 </t>
    <phoneticPr fontId="12"/>
  </si>
  <si>
    <t>ﾋﾗｻﾞｶﾞﾈ-ﾀﾝﾋﾟﾝﾊﾝﾊﾞｲ-</t>
    <phoneticPr fontId="12"/>
  </si>
  <si>
    <t>SLBNR4</t>
    <phoneticPr fontId="12"/>
  </si>
  <si>
    <t>ﾅｯﾄ-ﾀﾝﾋﾟﾝﾊﾝﾊﾞｲ-</t>
  </si>
  <si>
    <t>AXFH-D15-L10-V4-B</t>
    <phoneticPr fontId="12"/>
  </si>
  <si>
    <t>PDDJ-PS-JS-37-2.5</t>
    <phoneticPr fontId="13"/>
  </si>
  <si>
    <t>Dsubコネクタハーネス</t>
    <phoneticPr fontId="13"/>
  </si>
  <si>
    <t>PDDU-PT-MS-9-2.5</t>
    <phoneticPr fontId="13"/>
  </si>
  <si>
    <t>Dsubコネクタハーネス　ｺﾝﾄﾛｰﾗ　#4-40ショートねじ</t>
    <phoneticPr fontId="13"/>
  </si>
  <si>
    <t>MWS-DS37A-HT37</t>
    <phoneticPr fontId="13"/>
  </si>
  <si>
    <t>Dsubコネクタ端子台</t>
    <rPh sb="8" eb="10">
      <t>タンシ</t>
    </rPh>
    <rPh sb="10" eb="11">
      <t>ダイ</t>
    </rPh>
    <phoneticPr fontId="13"/>
  </si>
  <si>
    <t xml:space="preserve">MWS-B3102 </t>
    <phoneticPr fontId="13"/>
  </si>
  <si>
    <t>ｺﾓﾝ端子台</t>
  </si>
  <si>
    <t>MRB-200</t>
    <phoneticPr fontId="13"/>
  </si>
  <si>
    <t>日産ﾈｼﾞ</t>
    <rPh sb="0" eb="2">
      <t>ニッサン</t>
    </rPh>
    <phoneticPr fontId="12"/>
  </si>
  <si>
    <t>フランジボタン</t>
    <phoneticPr fontId="12"/>
  </si>
  <si>
    <t>三沢電線</t>
    <rPh sb="0" eb="2">
      <t>ミサワ</t>
    </rPh>
    <rPh sb="2" eb="4">
      <t>デンセン</t>
    </rPh>
    <phoneticPr fontId="13"/>
  </si>
  <si>
    <t>EBS-32FB-15A</t>
    <phoneticPr fontId="13"/>
  </si>
  <si>
    <t>ULJP-C-ULJPSS-5</t>
    <phoneticPr fontId="13"/>
  </si>
  <si>
    <t>ACコード(プラグ）　　5m</t>
    <phoneticPr fontId="13"/>
  </si>
  <si>
    <t>ｵﾑﾛﾝ</t>
    <phoneticPr fontId="12"/>
  </si>
  <si>
    <t>MY2N-D2 DC24</t>
    <phoneticPr fontId="12"/>
  </si>
  <si>
    <t>MY ミニパワーリレー</t>
    <phoneticPr fontId="12"/>
  </si>
  <si>
    <t>PYFZ-08</t>
    <phoneticPr fontId="12"/>
  </si>
  <si>
    <t>表面接続角型ソケット</t>
    <phoneticPr fontId="12"/>
  </si>
  <si>
    <t>PYC-E1</t>
    <phoneticPr fontId="12"/>
  </si>
  <si>
    <t xml:space="preserve">リレー用共用オプション品 </t>
    <phoneticPr fontId="12"/>
  </si>
  <si>
    <t>DINレール用中継端子台 2002シリーズ　ｸﾞﾚｰ色　　6個</t>
    <rPh sb="26" eb="27">
      <t>ショク</t>
    </rPh>
    <rPh sb="30" eb="31">
      <t>コ</t>
    </rPh>
    <phoneticPr fontId="13"/>
  </si>
  <si>
    <t>DINレール用中継端子台 2002シリーズ　ｱｰｽ用ｸﾞﾘｰﾝ色　3個</t>
    <rPh sb="25" eb="26">
      <t>ヨウ</t>
    </rPh>
    <rPh sb="31" eb="32">
      <t>イロ</t>
    </rPh>
    <rPh sb="34" eb="35">
      <t>コ</t>
    </rPh>
    <phoneticPr fontId="13"/>
  </si>
  <si>
    <t>2002-404</t>
    <phoneticPr fontId="13"/>
  </si>
  <si>
    <t>中継用端子台 差込型ジャンパ（絶縁） 2002シリーズ用　3個</t>
    <rPh sb="30" eb="31">
      <t>コ</t>
    </rPh>
    <phoneticPr fontId="13"/>
  </si>
  <si>
    <t>中継用端子台用エンドプレート　　4個</t>
    <rPh sb="17" eb="18">
      <t>コ</t>
    </rPh>
    <phoneticPr fontId="13"/>
  </si>
  <si>
    <t>SS300R-22-8-15</t>
    <phoneticPr fontId="12"/>
  </si>
  <si>
    <t>SS300R　UL規格　小径 8本　TYPE　　ﾊﾟﾄﾗﾝﾌﾟと循環温調用配線とﾛﾎﾞｯﾄ接続用</t>
    <rPh sb="32" eb="34">
      <t>ジュンカン</t>
    </rPh>
    <rPh sb="34" eb="36">
      <t>オンチョウ</t>
    </rPh>
    <rPh sb="36" eb="37">
      <t>ヨウ</t>
    </rPh>
    <rPh sb="37" eb="39">
      <t>ハイセン</t>
    </rPh>
    <phoneticPr fontId="12"/>
  </si>
  <si>
    <t xml:space="preserve">HDV-2 </t>
    <phoneticPr fontId="13"/>
  </si>
  <si>
    <t>止め金具　　　　　　6個</t>
    <rPh sb="0" eb="1">
      <t>ト</t>
    </rPh>
    <rPh sb="2" eb="4">
      <t>カナグ</t>
    </rPh>
    <rPh sb="11" eb="12">
      <t>コ</t>
    </rPh>
    <phoneticPr fontId="13"/>
  </si>
  <si>
    <t>ＪＡＰＰY</t>
    <phoneticPr fontId="13"/>
  </si>
  <si>
    <t>カッチンダクト</t>
    <phoneticPr fontId="13"/>
  </si>
  <si>
    <t>バッファロー</t>
    <phoneticPr fontId="12"/>
  </si>
  <si>
    <t>1日目</t>
    <rPh sb="1" eb="3">
      <t>ヒメ</t>
    </rPh>
    <phoneticPr fontId="13"/>
  </si>
  <si>
    <t>3日間</t>
    <rPh sb="1" eb="2">
      <t>ヒ</t>
    </rPh>
    <rPh sb="2" eb="3">
      <t>カン</t>
    </rPh>
    <phoneticPr fontId="12"/>
  </si>
  <si>
    <t>2日間</t>
    <rPh sb="1" eb="2">
      <t>ヒ</t>
    </rPh>
    <rPh sb="2" eb="3">
      <t>カン</t>
    </rPh>
    <phoneticPr fontId="12"/>
  </si>
  <si>
    <t>1日間</t>
    <rPh sb="1" eb="2">
      <t>ヒ</t>
    </rPh>
    <rPh sb="2" eb="3">
      <t>カン</t>
    </rPh>
    <phoneticPr fontId="12"/>
  </si>
  <si>
    <t>AETTF8-150-M4-N3</t>
    <phoneticPr fontId="12"/>
  </si>
  <si>
    <t>円形支柱－両端めねじ</t>
    <phoneticPr fontId="12"/>
  </si>
  <si>
    <t>PC電源ON/OFF</t>
    <rPh sb="2" eb="4">
      <t>デンゲン</t>
    </rPh>
    <phoneticPr fontId="12"/>
  </si>
  <si>
    <t>BALLC-W3.2-1000</t>
    <phoneticPr fontId="12"/>
  </si>
  <si>
    <t>ボールチェーン</t>
    <phoneticPr fontId="12"/>
  </si>
  <si>
    <t>SBCB3-8</t>
    <phoneticPr fontId="12"/>
  </si>
  <si>
    <t>六角穴付ボタンボルト</t>
    <phoneticPr fontId="12"/>
  </si>
  <si>
    <t>SBCB3-10</t>
    <phoneticPr fontId="12"/>
  </si>
  <si>
    <t>SHNTP6-3</t>
    <phoneticPr fontId="12"/>
  </si>
  <si>
    <t>６シリーズ（溝幅８ｍｍ）用　アルミフレーム用後入れバネナット</t>
    <phoneticPr fontId="12"/>
  </si>
  <si>
    <t>SLUNA4-10</t>
    <phoneticPr fontId="12"/>
  </si>
  <si>
    <t>ウレタン付ストッパボルト　六角穴タイプ</t>
    <phoneticPr fontId="12"/>
  </si>
  <si>
    <t>WSSS12-4-2</t>
    <phoneticPr fontId="12"/>
  </si>
  <si>
    <t>金属ワッシャ　Ｔ寸選択・指定タイプ</t>
    <phoneticPr fontId="12"/>
  </si>
  <si>
    <t>5日間</t>
    <rPh sb="1" eb="2">
      <t>ヒ</t>
    </rPh>
    <rPh sb="2" eb="3">
      <t>カン</t>
    </rPh>
    <phoneticPr fontId="12"/>
  </si>
  <si>
    <t>架台固定用</t>
    <rPh sb="0" eb="2">
      <t>カダイ</t>
    </rPh>
    <rPh sb="2" eb="4">
      <t>コテイ</t>
    </rPh>
    <rPh sb="4" eb="5">
      <t>ヨウ</t>
    </rPh>
    <phoneticPr fontId="13"/>
  </si>
  <si>
    <t>SUNCO</t>
    <phoneticPr fontId="13"/>
  </si>
  <si>
    <t>CSH-SUS-M6-28</t>
    <phoneticPr fontId="13"/>
  </si>
  <si>
    <t>六角穴付ボルト－ステンレス　 (M6×28)　　8本使用</t>
    <rPh sb="25" eb="26">
      <t>ホン</t>
    </rPh>
    <rPh sb="26" eb="28">
      <t>シヨウ</t>
    </rPh>
    <phoneticPr fontId="13"/>
  </si>
  <si>
    <t>SCB4-8　　　</t>
    <phoneticPr fontId="13"/>
  </si>
  <si>
    <t>SCB5-10　　</t>
    <phoneticPr fontId="13"/>
  </si>
  <si>
    <t>HFS6-3030-1040-Z6-XA100-XB380-XC660-XD940</t>
    <phoneticPr fontId="13"/>
  </si>
  <si>
    <t>SETB0290-Z01-1　PETｶﾊﾞｰ　裏下段パネル</t>
    <phoneticPr fontId="13"/>
  </si>
  <si>
    <t>MVSHM-1E05000-494-ESLE5</t>
    <phoneticPr fontId="12"/>
  </si>
  <si>
    <t>SCB4-10</t>
    <phoneticPr fontId="13"/>
  </si>
  <si>
    <t>平座金－単品販売－　2個+12個</t>
    <rPh sb="11" eb="12">
      <t>コ</t>
    </rPh>
    <rPh sb="15" eb="16">
      <t>コ</t>
    </rPh>
    <phoneticPr fontId="13"/>
  </si>
  <si>
    <t>平座金－単品販売－ 2個+6個</t>
    <rPh sb="11" eb="12">
      <t>コ</t>
    </rPh>
    <rPh sb="14" eb="15">
      <t>コ</t>
    </rPh>
    <phoneticPr fontId="13"/>
  </si>
  <si>
    <t>ワッシャ:1　8本+6本</t>
    <rPh sb="8" eb="9">
      <t>ホン</t>
    </rPh>
    <rPh sb="11" eb="12">
      <t>ホン</t>
    </rPh>
    <phoneticPr fontId="12"/>
  </si>
  <si>
    <t>六角穴付ボルト  38本　　　　　4本+6本</t>
    <rPh sb="11" eb="12">
      <t>ホン</t>
    </rPh>
    <rPh sb="18" eb="19">
      <t>ホン</t>
    </rPh>
    <rPh sb="21" eb="22">
      <t>ホン</t>
    </rPh>
    <phoneticPr fontId="12"/>
  </si>
  <si>
    <t>ﾛｯｶｸｱﾅﾂｷｻﾗﾎﾞﾙﾄ　8本</t>
    <rPh sb="16" eb="17">
      <t>ホン</t>
    </rPh>
    <phoneticPr fontId="12"/>
  </si>
  <si>
    <t>６シリーズ（溝幅８ｍｍ）　アルミフレーム用フレームキャップ　8+1個</t>
    <rPh sb="33" eb="34">
      <t>コ</t>
    </rPh>
    <phoneticPr fontId="13"/>
  </si>
  <si>
    <t>MVSHM-3N03006-492-RJ6X8</t>
    <phoneticPr fontId="12"/>
  </si>
  <si>
    <r>
      <t>SETB0</t>
    </r>
    <r>
      <rPr>
        <b/>
        <sz val="11"/>
        <color indexed="10"/>
        <rFont val="ＭＳ Ｐゴシック"/>
        <family val="3"/>
        <charset val="128"/>
      </rPr>
      <t>290</t>
    </r>
    <r>
      <rPr>
        <sz val="11"/>
        <rFont val="ＭＳ Ｐゴシック"/>
        <family val="3"/>
        <charset val="128"/>
      </rPr>
      <t>-Z02　天板</t>
    </r>
    <phoneticPr fontId="13"/>
  </si>
  <si>
    <t>FAMBS-SUD-T2-A60-B120-L60-F40-H45-N6-V48-S65-W30-MA4  　</t>
    <phoneticPr fontId="13"/>
  </si>
  <si>
    <t>ﾚｷﾞｭﾚｰﾀ固定用 Ｌ字ﾌﾞﾗｹｯﾄ</t>
    <rPh sb="11" eb="13">
      <t>リジ</t>
    </rPh>
    <phoneticPr fontId="13"/>
  </si>
  <si>
    <t>カッチンダクト固定</t>
    <rPh sb="7" eb="9">
      <t>コテイ</t>
    </rPh>
    <phoneticPr fontId="13"/>
  </si>
  <si>
    <t>HFCN6PACK-S</t>
    <phoneticPr fontId="12"/>
  </si>
  <si>
    <t>ケーブルクランプひし形タイプ</t>
    <phoneticPr fontId="12"/>
  </si>
  <si>
    <t>3P-W-3</t>
    <phoneticPr fontId="12"/>
  </si>
  <si>
    <t>BHDN30BK</t>
    <phoneticPr fontId="12"/>
  </si>
  <si>
    <t>HDMIケーブル ベーシック HIGH SPEED ブラック　AXAモニター画面用</t>
    <rPh sb="38" eb="40">
      <t>ガメン</t>
    </rPh>
    <rPh sb="40" eb="41">
      <t>ヨウ</t>
    </rPh>
    <phoneticPr fontId="12"/>
  </si>
  <si>
    <t>ACコード 固定長（PSE）両端付き,プラグ形状：A-3　　AXAモニター画面用</t>
    <phoneticPr fontId="12"/>
  </si>
  <si>
    <t>UL1015-14AWG-Y-10</t>
    <phoneticPr fontId="13"/>
  </si>
  <si>
    <t>単芯電線　　2.0　AGW14　黄色</t>
    <rPh sb="0" eb="1">
      <t>タン</t>
    </rPh>
    <rPh sb="1" eb="2">
      <t>シン</t>
    </rPh>
    <rPh sb="2" eb="4">
      <t>デンセン</t>
    </rPh>
    <rPh sb="11" eb="13">
      <t>キイロ</t>
    </rPh>
    <phoneticPr fontId="13"/>
  </si>
  <si>
    <t>UL1007-16AWG-Y-10</t>
    <phoneticPr fontId="13"/>
  </si>
  <si>
    <t>単芯電線　　1.25　AGW16　黄色</t>
    <rPh sb="0" eb="1">
      <t>タン</t>
    </rPh>
    <rPh sb="1" eb="2">
      <t>シン</t>
    </rPh>
    <rPh sb="2" eb="4">
      <t>デンセン</t>
    </rPh>
    <rPh sb="17" eb="19">
      <t>キイロ</t>
    </rPh>
    <phoneticPr fontId="13"/>
  </si>
  <si>
    <t>UL1007-16AWG-Ｒ-10</t>
    <phoneticPr fontId="13"/>
  </si>
  <si>
    <t>単芯電線　　1.25　AGW16　赤色</t>
    <rPh sb="0" eb="1">
      <t>タン</t>
    </rPh>
    <rPh sb="1" eb="2">
      <t>シン</t>
    </rPh>
    <rPh sb="2" eb="4">
      <t>デンセン</t>
    </rPh>
    <rPh sb="17" eb="19">
      <t>アカイロ</t>
    </rPh>
    <phoneticPr fontId="13"/>
  </si>
  <si>
    <t>UL1007-16AWG-BK-10</t>
    <phoneticPr fontId="13"/>
  </si>
  <si>
    <t>単芯電線　　1.25　AGW16　黒色</t>
    <rPh sb="0" eb="1">
      <t>タン</t>
    </rPh>
    <rPh sb="1" eb="2">
      <t>シン</t>
    </rPh>
    <rPh sb="2" eb="4">
      <t>デンセン</t>
    </rPh>
    <rPh sb="17" eb="19">
      <t>コクショク</t>
    </rPh>
    <phoneticPr fontId="13"/>
  </si>
  <si>
    <t>UL1007-18AWG-BE-10</t>
    <phoneticPr fontId="13"/>
  </si>
  <si>
    <t>単芯電線　　0.75　AGW18　青色</t>
    <rPh sb="0" eb="1">
      <t>タン</t>
    </rPh>
    <rPh sb="1" eb="2">
      <t>シン</t>
    </rPh>
    <rPh sb="2" eb="4">
      <t>デンセン</t>
    </rPh>
    <rPh sb="17" eb="18">
      <t>アオ</t>
    </rPh>
    <rPh sb="18" eb="19">
      <t>イロ</t>
    </rPh>
    <phoneticPr fontId="13"/>
  </si>
  <si>
    <t>タキゲン製造</t>
    <rPh sb="4" eb="6">
      <t>セイゾウ</t>
    </rPh>
    <phoneticPr fontId="13"/>
  </si>
  <si>
    <t>グロメット　　2個</t>
    <rPh sb="8" eb="9">
      <t>コ</t>
    </rPh>
    <phoneticPr fontId="13"/>
  </si>
  <si>
    <t>37303-2165-000FL</t>
    <phoneticPr fontId="12"/>
  </si>
  <si>
    <t>e-CON　ソケットコネクタ(青)</t>
    <phoneticPr fontId="12"/>
  </si>
  <si>
    <t>37103-2165-000FL</t>
    <phoneticPr fontId="12"/>
  </si>
  <si>
    <t>37304-2165-000FL-8P</t>
    <phoneticPr fontId="12"/>
  </si>
  <si>
    <t>37104-2165-000FL-8P</t>
    <phoneticPr fontId="12"/>
  </si>
  <si>
    <t>SS300UCR UL/CE対応（シールド無し(３芯）</t>
    <rPh sb="21" eb="22">
      <t>ナ</t>
    </rPh>
    <rPh sb="25" eb="26">
      <t>シン</t>
    </rPh>
    <phoneticPr fontId="13"/>
  </si>
  <si>
    <t>SS300UCR-21-3-10</t>
    <phoneticPr fontId="13"/>
  </si>
  <si>
    <t>SS300CM-22-2-16</t>
    <phoneticPr fontId="13"/>
  </si>
  <si>
    <t>SS300CM CM（UL LISTED規格・NEPA対応） 細径</t>
    <phoneticPr fontId="13"/>
  </si>
  <si>
    <t>蝶ﾅｯﾄ　　4本+2+2</t>
    <rPh sb="7" eb="8">
      <t>ホン</t>
    </rPh>
    <phoneticPr fontId="13"/>
  </si>
  <si>
    <t>６シリーズ（溝幅８ｍｍ）－２列溝用－　押出厚型ブラケット　　58+2</t>
    <phoneticPr fontId="13"/>
  </si>
  <si>
    <t>パネルサポートブラケット　　12+12+17</t>
    <phoneticPr fontId="13"/>
  </si>
  <si>
    <t>６シリーズ（溝幅８ｍｍ）　アルミフレーム用フレームキャップ　4+8+4</t>
    <phoneticPr fontId="13"/>
  </si>
  <si>
    <t>　突起付反転ブラケット　44+24+20</t>
    <phoneticPr fontId="13"/>
  </si>
  <si>
    <t>六角ﾎﾞﾙﾄ　4本+2+2</t>
    <phoneticPr fontId="13"/>
  </si>
  <si>
    <t>六角穴付ボルト－ステンレス　 (M4×10)　　8本使用+2</t>
    <rPh sb="25" eb="26">
      <t>ホン</t>
    </rPh>
    <rPh sb="26" eb="28">
      <t>シヨウ</t>
    </rPh>
    <phoneticPr fontId="13"/>
  </si>
  <si>
    <t>六角穴付ボルト  4本+2</t>
    <phoneticPr fontId="12"/>
  </si>
  <si>
    <t>六角穴付ボルト－ステンレス　 (M4×8)　　4本使用+4</t>
    <rPh sb="24" eb="25">
      <t>ホン</t>
    </rPh>
    <rPh sb="25" eb="27">
      <t>シヨウ</t>
    </rPh>
    <phoneticPr fontId="13"/>
  </si>
  <si>
    <t>六角穴付皿ボルト　－ステンレス　24+4</t>
    <phoneticPr fontId="13"/>
  </si>
  <si>
    <t>ﾄﾗｽﾄﾈｼﾞ　　40+38</t>
    <phoneticPr fontId="13"/>
  </si>
  <si>
    <t>ﾄﾗｽﾄﾈｼﾞ　　12+27</t>
    <phoneticPr fontId="13"/>
  </si>
  <si>
    <t>後入れバネナット　　2+8+2</t>
    <phoneticPr fontId="13"/>
  </si>
  <si>
    <t>後入れバネナット　　2+24+4</t>
    <phoneticPr fontId="13"/>
  </si>
  <si>
    <t>後入れバネナット 4個+20</t>
    <rPh sb="10" eb="11">
      <t>コ</t>
    </rPh>
    <phoneticPr fontId="13"/>
  </si>
  <si>
    <t>AN10-01</t>
    <phoneticPr fontId="12"/>
  </si>
  <si>
    <t>ｻｲﾚﾝｻ</t>
    <phoneticPr fontId="12"/>
  </si>
  <si>
    <t>ウレタン　クッションタイプ　フリー指定タイプ</t>
    <phoneticPr fontId="12"/>
  </si>
  <si>
    <t>AB2487C8C6</t>
    <phoneticPr fontId="12"/>
  </si>
  <si>
    <r>
      <t xml:space="preserve">PC601 </t>
    </r>
    <r>
      <rPr>
        <b/>
        <sz val="11"/>
        <color rgb="FFFF0000"/>
        <rFont val="ＭＳ Ｐゴシック"/>
        <family val="3"/>
        <charset val="128"/>
      </rPr>
      <t>次回は発注しない</t>
    </r>
    <rPh sb="6" eb="8">
      <t>ジカイ</t>
    </rPh>
    <rPh sb="9" eb="11">
      <t>ハッチュウ</t>
    </rPh>
    <phoneticPr fontId="13"/>
  </si>
  <si>
    <t>PC401</t>
    <phoneticPr fontId="13"/>
  </si>
  <si>
    <t>AB24887ACE</t>
    <phoneticPr fontId="12"/>
  </si>
  <si>
    <t>ESP20-60-24</t>
    <phoneticPr fontId="12"/>
  </si>
  <si>
    <t>スイッチング電源（ＤＩＮレール取付、DC24V出力）</t>
    <phoneticPr fontId="12"/>
  </si>
  <si>
    <t>LED照明用</t>
    <rPh sb="0" eb="5">
      <t>リイシショウメイ</t>
    </rPh>
    <rPh sb="5" eb="6">
      <t>ヨウ</t>
    </rPh>
    <phoneticPr fontId="12"/>
  </si>
  <si>
    <t>AB249AC14D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</si>
</sst>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  <numFmt numFmtId="181" formatCode="0_ "/>
    <numFmt numFmtId="182" formatCode="0_ ;[Red]\-0\ "/>
    <numFmt numFmtId="183" formatCode="0_);[Red]\(0\)"/>
  </numFmts>
  <fonts count="34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4"/>
      <color indexed="8"/>
      <name val="ＭＳ Ｐゴシック"/>
      <family val="3"/>
      <charset val="128"/>
    </font>
    <font>
      <b/>
      <sz val="16"/>
      <color rgb="FF0070C0"/>
      <name val="ＭＳ Ｐゴシック"/>
      <family val="3"/>
      <charset val="128"/>
      <scheme val="minor"/>
    </font>
    <font>
      <b/>
      <sz val="20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color rgb="FF020024"/>
      <name val="Arial"/>
      <family val="2"/>
    </font>
    <font>
      <b/>
      <sz val="11"/>
      <color indexed="10"/>
      <name val="ＭＳ Ｐゴシック"/>
      <family val="3"/>
      <charset val="128"/>
    </font>
    <font>
      <b/>
      <sz val="14"/>
      <color theme="9" tint="-0.499984740745262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4"/>
      <color rgb="FF0070C0"/>
      <name val="ＭＳ Ｐゴシック"/>
      <family val="3"/>
      <charset val="128"/>
      <scheme val="minor"/>
    </font>
    <font>
      <b/>
      <sz val="12"/>
      <color rgb="FF00B0F0"/>
      <name val="ＭＳ Ｐゴシック"/>
      <family val="3"/>
      <charset val="128"/>
      <scheme val="minor"/>
    </font>
    <font>
      <b/>
      <sz val="14"/>
      <color theme="7" tint="-0.249977111117893"/>
      <name val="ＭＳ Ｐゴシック"/>
      <family val="3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1" fillId="0" borderId="0">
      <alignment vertical="center"/>
    </xf>
    <xf numFmtId="0" fontId="14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3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/>
    <xf numFmtId="177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shrinkToFit="1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shrinkToFit="1"/>
    </xf>
    <xf numFmtId="176" fontId="0" fillId="0" borderId="4" xfId="0" applyNumberFormat="1" applyBorder="1">
      <alignment vertical="center"/>
    </xf>
    <xf numFmtId="176" fontId="0" fillId="0" borderId="4" xfId="0" applyNumberFormat="1" applyBorder="1" applyAlignment="1"/>
    <xf numFmtId="0" fontId="0" fillId="0" borderId="4" xfId="0" applyBorder="1" applyAlignment="1">
      <alignment horizontal="center" vertical="center" shrinkToFit="1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center"/>
    </xf>
    <xf numFmtId="177" fontId="0" fillId="0" borderId="4" xfId="0" applyNumberFormat="1" applyBorder="1">
      <alignment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7" fontId="0" fillId="0" borderId="1" xfId="0" applyNumberForma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176" fontId="0" fillId="2" borderId="1" xfId="0" applyNumberForma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9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11" fillId="0" borderId="9" xfId="4" applyBorder="1" applyAlignment="1">
      <alignment horizontal="center" vertical="center"/>
    </xf>
    <xf numFmtId="0" fontId="11" fillId="0" borderId="10" xfId="4" applyBorder="1" applyAlignment="1">
      <alignment horizontal="center" vertical="center"/>
    </xf>
    <xf numFmtId="0" fontId="11" fillId="0" borderId="9" xfId="4" applyBorder="1">
      <alignment vertical="center"/>
    </xf>
    <xf numFmtId="3" fontId="11" fillId="0" borderId="9" xfId="4" applyNumberFormat="1" applyBorder="1" applyAlignment="1">
      <alignment horizontal="center" vertical="center"/>
    </xf>
    <xf numFmtId="0" fontId="11" fillId="0" borderId="9" xfId="4" applyBorder="1" applyAlignment="1">
      <alignment horizontal="left" vertical="center"/>
    </xf>
    <xf numFmtId="0" fontId="11" fillId="0" borderId="0" xfId="4">
      <alignment vertical="center"/>
    </xf>
    <xf numFmtId="178" fontId="11" fillId="0" borderId="0" xfId="4" applyNumberFormat="1">
      <alignment vertical="center"/>
    </xf>
    <xf numFmtId="179" fontId="11" fillId="0" borderId="0" xfId="4" applyNumberFormat="1">
      <alignment vertical="center"/>
    </xf>
    <xf numFmtId="0" fontId="11" fillId="0" borderId="0" xfId="4" applyAlignment="1">
      <alignment horizontal="right" vertical="center"/>
    </xf>
    <xf numFmtId="179" fontId="11" fillId="0" borderId="0" xfId="4" applyNumberFormat="1" applyAlignment="1">
      <alignment horizontal="center" vertical="center"/>
    </xf>
    <xf numFmtId="0" fontId="11" fillId="0" borderId="0" xfId="4" applyAlignment="1">
      <alignment horizontal="center" vertical="center"/>
    </xf>
    <xf numFmtId="0" fontId="11" fillId="0" borderId="0" xfId="4" applyAlignment="1">
      <alignment horizontal="left" vertical="center"/>
    </xf>
    <xf numFmtId="178" fontId="11" fillId="0" borderId="9" xfId="4" applyNumberFormat="1" applyBorder="1" applyAlignment="1">
      <alignment horizontal="center" vertical="center"/>
    </xf>
    <xf numFmtId="179" fontId="11" fillId="0" borderId="9" xfId="4" applyNumberFormat="1" applyBorder="1" applyAlignment="1">
      <alignment horizontal="center" vertical="center"/>
    </xf>
    <xf numFmtId="176" fontId="11" fillId="0" borderId="9" xfId="4" applyNumberFormat="1" applyBorder="1">
      <alignment vertical="center"/>
    </xf>
    <xf numFmtId="0" fontId="11" fillId="0" borderId="9" xfId="4" applyBorder="1" applyAlignment="1">
      <alignment horizontal="right" vertical="center"/>
    </xf>
    <xf numFmtId="181" fontId="11" fillId="0" borderId="9" xfId="4" applyNumberFormat="1" applyBorder="1" applyAlignment="1">
      <alignment horizontal="right" vertical="center"/>
    </xf>
    <xf numFmtId="0" fontId="17" fillId="0" borderId="9" xfId="4" applyFont="1" applyBorder="1">
      <alignment vertical="center"/>
    </xf>
    <xf numFmtId="0" fontId="14" fillId="0" borderId="9" xfId="4" applyFont="1" applyBorder="1">
      <alignment vertical="center"/>
    </xf>
    <xf numFmtId="0" fontId="11" fillId="10" borderId="0" xfId="4" applyFill="1" applyAlignment="1">
      <alignment horizontal="center" vertical="center"/>
    </xf>
    <xf numFmtId="178" fontId="11" fillId="10" borderId="9" xfId="4" applyNumberFormat="1" applyFill="1" applyBorder="1" applyAlignment="1">
      <alignment horizontal="center" vertical="center"/>
    </xf>
    <xf numFmtId="179" fontId="11" fillId="10" borderId="9" xfId="4" applyNumberFormat="1" applyFill="1" applyBorder="1" applyAlignment="1">
      <alignment horizontal="center" vertical="center"/>
    </xf>
    <xf numFmtId="0" fontId="11" fillId="10" borderId="9" xfId="4" applyFill="1" applyBorder="1" applyAlignment="1">
      <alignment horizontal="center" vertical="center"/>
    </xf>
    <xf numFmtId="3" fontId="11" fillId="10" borderId="9" xfId="4" applyNumberFormat="1" applyFill="1" applyBorder="1" applyAlignment="1">
      <alignment horizontal="center" vertical="center"/>
    </xf>
    <xf numFmtId="0" fontId="11" fillId="10" borderId="9" xfId="4" applyFill="1" applyBorder="1" applyAlignment="1">
      <alignment horizontal="left" vertical="center"/>
    </xf>
    <xf numFmtId="0" fontId="18" fillId="10" borderId="9" xfId="4" applyFont="1" applyFill="1" applyBorder="1">
      <alignment vertical="center"/>
    </xf>
    <xf numFmtId="0" fontId="11" fillId="10" borderId="10" xfId="4" applyFill="1" applyBorder="1" applyAlignment="1">
      <alignment horizontal="center" vertical="center"/>
    </xf>
    <xf numFmtId="0" fontId="11" fillId="10" borderId="9" xfId="4" applyFill="1" applyBorder="1" applyAlignment="1">
      <alignment horizontal="right" vertical="center"/>
    </xf>
    <xf numFmtId="181" fontId="18" fillId="10" borderId="9" xfId="4" applyNumberFormat="1" applyFont="1" applyFill="1" applyBorder="1" applyAlignment="1">
      <alignment horizontal="right" vertical="center"/>
    </xf>
    <xf numFmtId="0" fontId="14" fillId="10" borderId="9" xfId="4" applyFont="1" applyFill="1" applyBorder="1" applyAlignment="1">
      <alignment horizontal="left" vertical="center"/>
    </xf>
    <xf numFmtId="0" fontId="2" fillId="0" borderId="0" xfId="4" applyFont="1" applyAlignment="1">
      <alignment horizontal="center" vertical="center"/>
    </xf>
    <xf numFmtId="3" fontId="11" fillId="10" borderId="12" xfId="4" applyNumberFormat="1" applyFill="1" applyBorder="1" applyAlignment="1">
      <alignment horizontal="center" vertical="center"/>
    </xf>
    <xf numFmtId="0" fontId="2" fillId="11" borderId="17" xfId="4" applyFont="1" applyFill="1" applyBorder="1" applyAlignment="1">
      <alignment horizontal="center" vertical="center"/>
    </xf>
    <xf numFmtId="0" fontId="2" fillId="12" borderId="9" xfId="4" applyFont="1" applyFill="1" applyBorder="1" applyAlignment="1">
      <alignment horizontal="center" vertical="center"/>
    </xf>
    <xf numFmtId="176" fontId="15" fillId="13" borderId="9" xfId="4" applyNumberFormat="1" applyFont="1" applyFill="1" applyBorder="1" applyAlignment="1">
      <alignment horizontal="center" vertical="center"/>
    </xf>
    <xf numFmtId="0" fontId="11" fillId="0" borderId="9" xfId="4" applyBorder="1" applyAlignment="1">
      <alignment horizontal="left" vertical="center" shrinkToFit="1"/>
    </xf>
    <xf numFmtId="181" fontId="18" fillId="0" borderId="9" xfId="4" applyNumberFormat="1" applyFont="1" applyBorder="1" applyAlignment="1">
      <alignment horizontal="right" vertical="center"/>
    </xf>
    <xf numFmtId="0" fontId="18" fillId="0" borderId="9" xfId="4" applyFont="1" applyBorder="1">
      <alignment vertical="center"/>
    </xf>
    <xf numFmtId="0" fontId="18" fillId="0" borderId="10" xfId="4" applyFont="1" applyBorder="1" applyAlignment="1">
      <alignment horizontal="center" vertical="center"/>
    </xf>
    <xf numFmtId="3" fontId="18" fillId="0" borderId="9" xfId="4" applyNumberFormat="1" applyFont="1" applyBorder="1" applyAlignment="1">
      <alignment horizontal="center" vertical="center"/>
    </xf>
    <xf numFmtId="3" fontId="11" fillId="14" borderId="9" xfId="4" applyNumberFormat="1" applyFill="1" applyBorder="1" applyAlignment="1">
      <alignment horizontal="center" vertical="center"/>
    </xf>
    <xf numFmtId="176" fontId="11" fillId="15" borderId="9" xfId="4" applyNumberFormat="1" applyFill="1" applyBorder="1" applyAlignment="1">
      <alignment horizontal="center" vertical="center"/>
    </xf>
    <xf numFmtId="0" fontId="18" fillId="0" borderId="9" xfId="4" applyFont="1" applyBorder="1" applyAlignment="1">
      <alignment horizontal="left" vertical="center"/>
    </xf>
    <xf numFmtId="176" fontId="18" fillId="15" borderId="9" xfId="4" applyNumberFormat="1" applyFont="1" applyFill="1" applyBorder="1" applyAlignment="1">
      <alignment horizontal="center" vertical="center"/>
    </xf>
    <xf numFmtId="0" fontId="20" fillId="0" borderId="9" xfId="3" applyFont="1" applyBorder="1" applyAlignment="1">
      <alignment horizontal="center" vertical="center"/>
    </xf>
    <xf numFmtId="38" fontId="11" fillId="0" borderId="9" xfId="4" applyNumberFormat="1" applyBorder="1" applyAlignment="1">
      <alignment horizontal="center" vertical="center"/>
    </xf>
    <xf numFmtId="176" fontId="11" fillId="0" borderId="10" xfId="4" applyNumberFormat="1" applyBorder="1" applyAlignment="1">
      <alignment horizontal="left" vertical="center"/>
    </xf>
    <xf numFmtId="176" fontId="18" fillId="0" borderId="9" xfId="4" applyNumberFormat="1" applyFont="1" applyBorder="1">
      <alignment vertical="center"/>
    </xf>
    <xf numFmtId="0" fontId="18" fillId="0" borderId="9" xfId="4" applyFont="1" applyBorder="1" applyAlignment="1">
      <alignment horizontal="center" vertical="center"/>
    </xf>
    <xf numFmtId="3" fontId="18" fillId="16" borderId="9" xfId="4" applyNumberFormat="1" applyFont="1" applyFill="1" applyBorder="1" applyAlignment="1">
      <alignment horizontal="center" vertical="center"/>
    </xf>
    <xf numFmtId="176" fontId="11" fillId="0" borderId="10" xfId="4" applyNumberFormat="1" applyBorder="1">
      <alignment vertical="center"/>
    </xf>
    <xf numFmtId="0" fontId="11" fillId="0" borderId="12" xfId="4" applyBorder="1" applyAlignment="1">
      <alignment horizontal="center" vertical="center"/>
    </xf>
    <xf numFmtId="181" fontId="18" fillId="10" borderId="19" xfId="4" applyNumberFormat="1" applyFont="1" applyFill="1" applyBorder="1" applyAlignment="1">
      <alignment horizontal="right" vertical="center"/>
    </xf>
    <xf numFmtId="3" fontId="11" fillId="0" borderId="19" xfId="4" applyNumberFormat="1" applyBorder="1" applyAlignment="1">
      <alignment horizontal="center" vertical="center"/>
    </xf>
    <xf numFmtId="3" fontId="5" fillId="0" borderId="9" xfId="4" applyNumberFormat="1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49" fontId="18" fillId="0" borderId="10" xfId="4" applyNumberFormat="1" applyFont="1" applyBorder="1" applyAlignment="1">
      <alignment horizontal="left" vertical="center"/>
    </xf>
    <xf numFmtId="176" fontId="11" fillId="0" borderId="10" xfId="4" applyNumberFormat="1" applyBorder="1" applyAlignment="1"/>
    <xf numFmtId="49" fontId="18" fillId="15" borderId="10" xfId="4" applyNumberFormat="1" applyFont="1" applyFill="1" applyBorder="1" applyAlignment="1">
      <alignment horizontal="left" vertical="center"/>
    </xf>
    <xf numFmtId="0" fontId="5" fillId="14" borderId="2" xfId="4" applyFont="1" applyFill="1" applyBorder="1" applyAlignment="1">
      <alignment horizontal="center" vertical="center"/>
    </xf>
    <xf numFmtId="0" fontId="11" fillId="15" borderId="9" xfId="4" applyFill="1" applyBorder="1" applyAlignment="1">
      <alignment horizontal="center" vertical="center"/>
    </xf>
    <xf numFmtId="49" fontId="11" fillId="15" borderId="9" xfId="4" applyNumberFormat="1" applyFill="1" applyBorder="1" applyAlignment="1">
      <alignment horizontal="left" vertical="center"/>
    </xf>
    <xf numFmtId="0" fontId="18" fillId="0" borderId="9" xfId="4" applyFont="1" applyBorder="1" applyAlignment="1">
      <alignment horizontal="left" vertical="center" shrinkToFit="1"/>
    </xf>
    <xf numFmtId="49" fontId="18" fillId="15" borderId="9" xfId="4" applyNumberFormat="1" applyFont="1" applyFill="1" applyBorder="1" applyAlignment="1">
      <alignment horizontal="left" vertical="center"/>
    </xf>
    <xf numFmtId="0" fontId="24" fillId="0" borderId="0" xfId="4" applyFont="1">
      <alignment vertical="center"/>
    </xf>
    <xf numFmtId="176" fontId="25" fillId="14" borderId="9" xfId="4" applyNumberFormat="1" applyFont="1" applyFill="1" applyBorder="1" applyAlignment="1">
      <alignment horizontal="center" vertical="center"/>
    </xf>
    <xf numFmtId="176" fontId="15" fillId="13" borderId="10" xfId="4" applyNumberFormat="1" applyFont="1" applyFill="1" applyBorder="1">
      <alignment vertical="center"/>
    </xf>
    <xf numFmtId="176" fontId="15" fillId="0" borderId="9" xfId="4" applyNumberFormat="1" applyFont="1" applyBorder="1">
      <alignment vertical="center"/>
    </xf>
    <xf numFmtId="49" fontId="18" fillId="15" borderId="9" xfId="0" applyNumberFormat="1" applyFont="1" applyFill="1" applyBorder="1" applyAlignment="1">
      <alignment horizontal="left" vertical="center"/>
    </xf>
    <xf numFmtId="176" fontId="18" fillId="15" borderId="9" xfId="0" applyNumberFormat="1" applyFont="1" applyFill="1" applyBorder="1" applyAlignment="1">
      <alignment horizontal="center" vertical="center"/>
    </xf>
    <xf numFmtId="176" fontId="0" fillId="0" borderId="10" xfId="0" applyNumberFormat="1" applyBorder="1" applyAlignment="1"/>
    <xf numFmtId="0" fontId="11" fillId="0" borderId="9" xfId="0" applyFont="1" applyBorder="1" applyAlignment="1">
      <alignment horizontal="left" vertical="center" wrapText="1" shrinkToFit="1"/>
    </xf>
    <xf numFmtId="0" fontId="11" fillId="0" borderId="9" xfId="0" applyFont="1" applyBorder="1" applyAlignment="1">
      <alignment horizontal="left" vertical="center" shrinkToFit="1"/>
    </xf>
    <xf numFmtId="183" fontId="18" fillId="0" borderId="9" xfId="0" applyNumberFormat="1" applyFont="1" applyBorder="1" applyAlignment="1">
      <alignment horizontal="center" vertical="center"/>
    </xf>
    <xf numFmtId="38" fontId="18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18" fillId="0" borderId="10" xfId="0" applyFont="1" applyBorder="1" applyAlignment="1">
      <alignment horizontal="left" vertical="center"/>
    </xf>
    <xf numFmtId="0" fontId="18" fillId="0" borderId="9" xfId="0" applyFont="1" applyBorder="1">
      <alignment vertical="center"/>
    </xf>
    <xf numFmtId="3" fontId="0" fillId="9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9" xfId="0" applyBorder="1">
      <alignment vertical="center"/>
    </xf>
    <xf numFmtId="0" fontId="17" fillId="0" borderId="9" xfId="0" applyFont="1" applyBorder="1" applyAlignment="1">
      <alignment horizontal="center" vertical="center"/>
    </xf>
    <xf numFmtId="176" fontId="17" fillId="0" borderId="10" xfId="0" applyNumberFormat="1" applyFont="1" applyBorder="1" applyAlignment="1">
      <alignment horizontal="left" vertical="center"/>
    </xf>
    <xf numFmtId="3" fontId="0" fillId="14" borderId="9" xfId="0" applyNumberFormat="1" applyFill="1" applyBorder="1" applyAlignment="1">
      <alignment horizontal="center" vertical="center"/>
    </xf>
    <xf numFmtId="3" fontId="17" fillId="0" borderId="9" xfId="0" applyNumberFormat="1" applyFont="1" applyBorder="1" applyAlignment="1">
      <alignment horizontal="center" vertical="center"/>
    </xf>
    <xf numFmtId="0" fontId="17" fillId="15" borderId="9" xfId="0" applyFont="1" applyFill="1" applyBorder="1" applyAlignment="1">
      <alignment horizontal="left" vertical="center"/>
    </xf>
    <xf numFmtId="181" fontId="17" fillId="15" borderId="9" xfId="0" applyNumberFormat="1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left" vertical="center"/>
    </xf>
    <xf numFmtId="0" fontId="0" fillId="15" borderId="9" xfId="0" applyFill="1" applyBorder="1">
      <alignment vertical="center"/>
    </xf>
    <xf numFmtId="0" fontId="0" fillId="15" borderId="9" xfId="0" applyFill="1" applyBorder="1" applyAlignment="1">
      <alignment horizontal="center" vertical="center"/>
    </xf>
    <xf numFmtId="0" fontId="0" fillId="15" borderId="9" xfId="0" applyFill="1" applyBorder="1" applyAlignment="1">
      <alignment horizontal="right" vertical="center"/>
    </xf>
    <xf numFmtId="0" fontId="0" fillId="10" borderId="9" xfId="0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11" fillId="15" borderId="9" xfId="4" applyFill="1" applyBorder="1" applyAlignment="1">
      <alignment horizontal="left" vertical="center"/>
    </xf>
    <xf numFmtId="181" fontId="18" fillId="15" borderId="9" xfId="4" applyNumberFormat="1" applyFont="1" applyFill="1" applyBorder="1" applyAlignment="1">
      <alignment horizontal="right" vertical="center"/>
    </xf>
    <xf numFmtId="0" fontId="11" fillId="15" borderId="9" xfId="4" applyFill="1" applyBorder="1" applyAlignment="1">
      <alignment horizontal="right" vertical="center"/>
    </xf>
    <xf numFmtId="3" fontId="5" fillId="14" borderId="2" xfId="0" applyNumberFormat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7" fillId="15" borderId="9" xfId="0" applyFont="1" applyFill="1" applyBorder="1">
      <alignment vertical="center"/>
    </xf>
    <xf numFmtId="0" fontId="17" fillId="15" borderId="9" xfId="0" applyFont="1" applyFill="1" applyBorder="1" applyAlignment="1">
      <alignment horizontal="center" vertical="center"/>
    </xf>
    <xf numFmtId="176" fontId="0" fillId="0" borderId="9" xfId="0" applyNumberFormat="1" applyBorder="1" applyAlignment="1"/>
    <xf numFmtId="0" fontId="0" fillId="0" borderId="9" xfId="0" applyBorder="1" applyAlignment="1">
      <alignment horizontal="left" vertical="center" shrinkToFit="1"/>
    </xf>
    <xf numFmtId="0" fontId="18" fillId="15" borderId="9" xfId="4" applyFont="1" applyFill="1" applyBorder="1" applyAlignment="1">
      <alignment horizontal="left" vertical="center"/>
    </xf>
    <xf numFmtId="181" fontId="18" fillId="15" borderId="9" xfId="4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4" fillId="15" borderId="9" xfId="0" applyFont="1" applyFill="1" applyBorder="1" applyAlignment="1">
      <alignment horizontal="left" vertical="center"/>
    </xf>
    <xf numFmtId="0" fontId="18" fillId="15" borderId="9" xfId="0" applyFont="1" applyFill="1" applyBorder="1" applyAlignment="1">
      <alignment horizontal="center" vertical="center"/>
    </xf>
    <xf numFmtId="176" fontId="0" fillId="15" borderId="9" xfId="0" applyNumberFormat="1" applyFill="1" applyBorder="1" applyAlignment="1">
      <alignment horizontal="right" vertical="center"/>
    </xf>
    <xf numFmtId="0" fontId="18" fillId="15" borderId="9" xfId="0" applyFont="1" applyFill="1" applyBorder="1" applyAlignment="1">
      <alignment horizontal="left" vertical="center"/>
    </xf>
    <xf numFmtId="0" fontId="14" fillId="9" borderId="9" xfId="3" applyFill="1" applyBorder="1" applyAlignment="1">
      <alignment horizontal="center" vertical="center"/>
    </xf>
    <xf numFmtId="0" fontId="0" fillId="15" borderId="9" xfId="0" applyFill="1" applyBorder="1" applyAlignment="1">
      <alignment horizontal="left" vertical="center"/>
    </xf>
    <xf numFmtId="0" fontId="18" fillId="15" borderId="9" xfId="0" applyFont="1" applyFill="1" applyBorder="1" applyAlignment="1">
      <alignment horizontal="right" vertical="center"/>
    </xf>
    <xf numFmtId="0" fontId="18" fillId="0" borderId="10" xfId="0" applyFont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3" fontId="18" fillId="0" borderId="9" xfId="0" applyNumberFormat="1" applyFont="1" applyBorder="1" applyAlignment="1">
      <alignment horizontal="center" vertical="center"/>
    </xf>
    <xf numFmtId="3" fontId="11" fillId="0" borderId="9" xfId="0" applyNumberFormat="1" applyFont="1" applyBorder="1" applyAlignment="1">
      <alignment horizontal="center" vertical="center"/>
    </xf>
    <xf numFmtId="0" fontId="14" fillId="15" borderId="9" xfId="3" applyFill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8" fillId="15" borderId="10" xfId="0" applyFont="1" applyFill="1" applyBorder="1">
      <alignment vertical="center"/>
    </xf>
    <xf numFmtId="0" fontId="18" fillId="15" borderId="9" xfId="0" applyFont="1" applyFill="1" applyBorder="1" applyAlignment="1">
      <alignment vertical="center" shrinkToFit="1"/>
    </xf>
    <xf numFmtId="0" fontId="11" fillId="0" borderId="9" xfId="0" applyFont="1" applyBorder="1">
      <alignment vertical="center"/>
    </xf>
    <xf numFmtId="0" fontId="18" fillId="0" borderId="9" xfId="0" applyFont="1" applyBorder="1" applyAlignment="1">
      <alignment horizontal="left" vertical="center"/>
    </xf>
    <xf numFmtId="176" fontId="0" fillId="15" borderId="9" xfId="0" applyNumberForma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4" fillId="15" borderId="19" xfId="3" applyFill="1" applyBorder="1"/>
    <xf numFmtId="176" fontId="14" fillId="15" borderId="19" xfId="0" applyNumberFormat="1" applyFont="1" applyFill="1" applyBorder="1" applyAlignment="1">
      <alignment horizontal="center" vertical="center"/>
    </xf>
    <xf numFmtId="38" fontId="0" fillId="15" borderId="9" xfId="0" applyNumberFormat="1" applyFill="1" applyBorder="1" applyAlignment="1">
      <alignment horizontal="center" vertical="center"/>
    </xf>
    <xf numFmtId="176" fontId="14" fillId="0" borderId="11" xfId="0" applyNumberFormat="1" applyFont="1" applyBorder="1" applyAlignment="1"/>
    <xf numFmtId="0" fontId="14" fillId="0" borderId="19" xfId="3" applyBorder="1" applyAlignment="1">
      <alignment vertical="center"/>
    </xf>
    <xf numFmtId="176" fontId="14" fillId="15" borderId="10" xfId="0" applyNumberFormat="1" applyFont="1" applyFill="1" applyBorder="1" applyAlignment="1">
      <alignment horizontal="center" vertical="center"/>
    </xf>
    <xf numFmtId="0" fontId="14" fillId="15" borderId="10" xfId="0" applyFont="1" applyFill="1" applyBorder="1">
      <alignment vertical="center"/>
    </xf>
    <xf numFmtId="0" fontId="18" fillId="15" borderId="9" xfId="0" applyFont="1" applyFill="1" applyBorder="1">
      <alignment vertical="center"/>
    </xf>
    <xf numFmtId="0" fontId="18" fillId="15" borderId="0" xfId="0" applyFont="1" applyFill="1">
      <alignment vertical="center"/>
    </xf>
    <xf numFmtId="181" fontId="0" fillId="15" borderId="9" xfId="0" applyNumberFormat="1" applyFill="1" applyBorder="1" applyAlignment="1">
      <alignment horizontal="center" vertical="center"/>
    </xf>
    <xf numFmtId="3" fontId="14" fillId="0" borderId="9" xfId="0" applyNumberFormat="1" applyFont="1" applyBorder="1" applyAlignment="1">
      <alignment horizontal="center" vertical="center"/>
    </xf>
    <xf numFmtId="3" fontId="14" fillId="0" borderId="10" xfId="0" applyNumberFormat="1" applyFont="1" applyBorder="1" applyAlignment="1">
      <alignment horizontal="center" vertical="center"/>
    </xf>
    <xf numFmtId="0" fontId="14" fillId="15" borderId="9" xfId="0" applyFont="1" applyFill="1" applyBorder="1" applyAlignment="1">
      <alignment horizontal="center" vertical="center"/>
    </xf>
    <xf numFmtId="176" fontId="14" fillId="0" borderId="10" xfId="0" applyNumberFormat="1" applyFont="1" applyBorder="1">
      <alignment vertical="center"/>
    </xf>
    <xf numFmtId="0" fontId="14" fillId="15" borderId="9" xfId="0" applyFont="1" applyFill="1" applyBorder="1">
      <alignment vertical="center"/>
    </xf>
    <xf numFmtId="176" fontId="18" fillId="15" borderId="1" xfId="0" applyNumberFormat="1" applyFont="1" applyFill="1" applyBorder="1" applyAlignment="1">
      <alignment horizontal="right" vertical="center"/>
    </xf>
    <xf numFmtId="3" fontId="0" fillId="0" borderId="14" xfId="0" applyNumberFormat="1" applyBorder="1" applyAlignment="1">
      <alignment horizontal="center" vertical="center"/>
    </xf>
    <xf numFmtId="0" fontId="18" fillId="15" borderId="14" xfId="0" applyFont="1" applyFill="1" applyBorder="1" applyAlignment="1">
      <alignment horizontal="left" vertical="center"/>
    </xf>
    <xf numFmtId="0" fontId="0" fillId="15" borderId="14" xfId="0" applyFill="1" applyBorder="1">
      <alignment vertical="center"/>
    </xf>
    <xf numFmtId="0" fontId="0" fillId="0" borderId="15" xfId="0" applyBorder="1" applyAlignment="1">
      <alignment horizontal="center" vertical="center"/>
    </xf>
    <xf numFmtId="0" fontId="11" fillId="15" borderId="9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left" vertical="center"/>
    </xf>
    <xf numFmtId="0" fontId="0" fillId="15" borderId="18" xfId="0" applyFill="1" applyBorder="1" applyAlignment="1">
      <alignment horizontal="center" vertical="center"/>
    </xf>
    <xf numFmtId="181" fontId="18" fillId="15" borderId="9" xfId="0" applyNumberFormat="1" applyFont="1" applyFill="1" applyBorder="1" applyAlignment="1">
      <alignment horizontal="right" vertical="center"/>
    </xf>
    <xf numFmtId="0" fontId="0" fillId="10" borderId="10" xfId="0" applyFill="1" applyBorder="1" applyAlignment="1">
      <alignment horizontal="center" vertical="center"/>
    </xf>
    <xf numFmtId="0" fontId="14" fillId="15" borderId="9" xfId="0" applyFont="1" applyFill="1" applyBorder="1" applyAlignment="1">
      <alignment horizontal="right" vertical="center"/>
    </xf>
    <xf numFmtId="0" fontId="0" fillId="15" borderId="9" xfId="0" applyFill="1" applyBorder="1" applyAlignment="1">
      <alignment vertical="center" wrapText="1"/>
    </xf>
    <xf numFmtId="0" fontId="0" fillId="15" borderId="14" xfId="0" applyFill="1" applyBorder="1" applyAlignment="1">
      <alignment horizontal="right" vertical="center"/>
    </xf>
    <xf numFmtId="176" fontId="18" fillId="0" borderId="9" xfId="0" applyNumberFormat="1" applyFont="1" applyBorder="1">
      <alignment vertical="center"/>
    </xf>
    <xf numFmtId="0" fontId="11" fillId="18" borderId="9" xfId="4" applyFill="1" applyBorder="1" applyAlignment="1">
      <alignment horizontal="left" vertical="center"/>
    </xf>
    <xf numFmtId="0" fontId="18" fillId="15" borderId="9" xfId="4" applyFont="1" applyFill="1" applyBorder="1" applyAlignment="1">
      <alignment horizontal="right" vertical="center"/>
    </xf>
    <xf numFmtId="0" fontId="14" fillId="15" borderId="9" xfId="4" applyFont="1" applyFill="1" applyBorder="1">
      <alignment vertical="center"/>
    </xf>
    <xf numFmtId="0" fontId="14" fillId="15" borderId="9" xfId="4" applyFont="1" applyFill="1" applyBorder="1" applyAlignment="1">
      <alignment horizontal="right" vertical="center"/>
    </xf>
    <xf numFmtId="56" fontId="11" fillId="10" borderId="9" xfId="4" applyNumberFormat="1" applyFill="1" applyBorder="1" applyAlignment="1">
      <alignment horizontal="center" vertical="center"/>
    </xf>
    <xf numFmtId="0" fontId="18" fillId="15" borderId="9" xfId="4" applyFont="1" applyFill="1" applyBorder="1">
      <alignment vertical="center"/>
    </xf>
    <xf numFmtId="176" fontId="11" fillId="15" borderId="9" xfId="4" applyNumberFormat="1" applyFill="1" applyBorder="1">
      <alignment vertical="center"/>
    </xf>
    <xf numFmtId="176" fontId="0" fillId="15" borderId="9" xfId="0" applyNumberFormat="1" applyFill="1" applyBorder="1">
      <alignment vertical="center"/>
    </xf>
    <xf numFmtId="38" fontId="17" fillId="15" borderId="10" xfId="4" applyNumberFormat="1" applyFont="1" applyFill="1" applyBorder="1" applyAlignment="1">
      <alignment horizontal="center" vertical="center"/>
    </xf>
    <xf numFmtId="181" fontId="18" fillId="15" borderId="9" xfId="4" applyNumberFormat="1" applyFont="1" applyFill="1" applyBorder="1">
      <alignment vertical="center"/>
    </xf>
    <xf numFmtId="176" fontId="18" fillId="15" borderId="9" xfId="0" applyNumberFormat="1" applyFont="1" applyFill="1" applyBorder="1">
      <alignment vertical="center"/>
    </xf>
    <xf numFmtId="0" fontId="11" fillId="15" borderId="9" xfId="4" applyFill="1" applyBorder="1">
      <alignment vertical="center"/>
    </xf>
    <xf numFmtId="49" fontId="0" fillId="15" borderId="9" xfId="0" applyNumberFormat="1" applyFill="1" applyBorder="1" applyAlignment="1">
      <alignment horizontal="left" vertical="center"/>
    </xf>
    <xf numFmtId="3" fontId="5" fillId="14" borderId="2" xfId="4" applyNumberFormat="1" applyFont="1" applyFill="1" applyBorder="1" applyAlignment="1">
      <alignment horizontal="center" vertical="center"/>
    </xf>
    <xf numFmtId="0" fontId="2" fillId="15" borderId="19" xfId="4" applyFont="1" applyFill="1" applyBorder="1" applyAlignment="1">
      <alignment horizontal="center" vertical="center"/>
    </xf>
    <xf numFmtId="0" fontId="0" fillId="0" borderId="8" xfId="0" applyBorder="1" applyAlignment="1">
      <alignment vertical="center" shrinkToFit="1"/>
    </xf>
    <xf numFmtId="38" fontId="0" fillId="15" borderId="9" xfId="0" applyNumberFormat="1" applyFill="1" applyBorder="1">
      <alignment vertical="center"/>
    </xf>
    <xf numFmtId="0" fontId="14" fillId="0" borderId="10" xfId="0" applyFont="1" applyBorder="1">
      <alignment vertical="center"/>
    </xf>
    <xf numFmtId="0" fontId="11" fillId="15" borderId="10" xfId="0" applyFont="1" applyFill="1" applyBorder="1">
      <alignment vertical="center"/>
    </xf>
    <xf numFmtId="0" fontId="11" fillId="0" borderId="14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3" fontId="0" fillId="15" borderId="9" xfId="0" applyNumberFormat="1" applyFill="1" applyBorder="1" applyAlignment="1">
      <alignment horizontal="center" vertical="center"/>
    </xf>
    <xf numFmtId="176" fontId="0" fillId="0" borderId="10" xfId="0" applyNumberFormat="1" applyBorder="1" applyAlignment="1">
      <alignment horizontal="left" vertical="center"/>
    </xf>
    <xf numFmtId="0" fontId="0" fillId="15" borderId="9" xfId="0" applyFill="1" applyBorder="1" applyAlignment="1">
      <alignment horizontal="left" vertical="center" wrapText="1"/>
    </xf>
    <xf numFmtId="3" fontId="18" fillId="15" borderId="9" xfId="0" applyNumberFormat="1" applyFont="1" applyFill="1" applyBorder="1" applyAlignment="1">
      <alignment horizontal="center" vertical="center"/>
    </xf>
    <xf numFmtId="38" fontId="18" fillId="15" borderId="9" xfId="0" applyNumberFormat="1" applyFont="1" applyFill="1" applyBorder="1" applyAlignment="1">
      <alignment horizontal="center" vertical="center"/>
    </xf>
    <xf numFmtId="0" fontId="18" fillId="15" borderId="10" xfId="0" applyFont="1" applyFill="1" applyBorder="1" applyAlignment="1">
      <alignment horizontal="center" vertical="center"/>
    </xf>
    <xf numFmtId="180" fontId="18" fillId="15" borderId="9" xfId="0" applyNumberFormat="1" applyFont="1" applyFill="1" applyBorder="1" applyAlignment="1">
      <alignment horizontal="center" vertical="center"/>
    </xf>
    <xf numFmtId="38" fontId="0" fillId="15" borderId="14" xfId="0" applyNumberFormat="1" applyFill="1" applyBorder="1" applyAlignment="1">
      <alignment horizontal="center" vertical="center"/>
    </xf>
    <xf numFmtId="176" fontId="18" fillId="15" borderId="1" xfId="0" applyNumberFormat="1" applyFont="1" applyFill="1" applyBorder="1" applyAlignment="1">
      <alignment horizontal="center" vertical="center"/>
    </xf>
    <xf numFmtId="0" fontId="11" fillId="15" borderId="9" xfId="0" applyFont="1" applyFill="1" applyBorder="1">
      <alignment vertical="center"/>
    </xf>
    <xf numFmtId="0" fontId="11" fillId="15" borderId="9" xfId="0" applyFont="1" applyFill="1" applyBorder="1" applyAlignment="1">
      <alignment horizontal="left" vertical="center"/>
    </xf>
    <xf numFmtId="38" fontId="11" fillId="9" borderId="9" xfId="4" applyNumberFormat="1" applyFill="1" applyBorder="1" applyAlignment="1">
      <alignment horizontal="center" vertical="center"/>
    </xf>
    <xf numFmtId="176" fontId="11" fillId="9" borderId="9" xfId="4" applyNumberFormat="1" applyFill="1" applyBorder="1" applyAlignment="1">
      <alignment horizontal="center" vertical="center"/>
    </xf>
    <xf numFmtId="182" fontId="11" fillId="9" borderId="9" xfId="4" applyNumberFormat="1" applyFill="1" applyBorder="1" applyAlignment="1">
      <alignment horizontal="center" vertical="center"/>
    </xf>
    <xf numFmtId="176" fontId="0" fillId="9" borderId="9" xfId="0" applyNumberFormat="1" applyFill="1" applyBorder="1" applyAlignment="1">
      <alignment horizontal="center" vertical="center"/>
    </xf>
    <xf numFmtId="0" fontId="11" fillId="9" borderId="9" xfId="4" applyFill="1" applyBorder="1">
      <alignment vertical="center"/>
    </xf>
    <xf numFmtId="176" fontId="0" fillId="9" borderId="9" xfId="0" applyNumberFormat="1" applyFill="1" applyBorder="1">
      <alignment vertical="center"/>
    </xf>
    <xf numFmtId="0" fontId="11" fillId="9" borderId="9" xfId="4" applyFill="1" applyBorder="1" applyAlignment="1">
      <alignment horizontal="right" vertical="center"/>
    </xf>
    <xf numFmtId="0" fontId="0" fillId="9" borderId="9" xfId="0" applyFill="1" applyBorder="1" applyAlignment="1">
      <alignment horizontal="center" vertical="center"/>
    </xf>
    <xf numFmtId="176" fontId="17" fillId="9" borderId="9" xfId="0" applyNumberFormat="1" applyFont="1" applyFill="1" applyBorder="1" applyAlignment="1">
      <alignment horizontal="right" vertical="center"/>
    </xf>
    <xf numFmtId="0" fontId="0" fillId="9" borderId="9" xfId="0" applyFill="1" applyBorder="1" applyAlignment="1">
      <alignment horizontal="right" vertical="center"/>
    </xf>
    <xf numFmtId="0" fontId="18" fillId="9" borderId="9" xfId="4" applyFont="1" applyFill="1" applyBorder="1">
      <alignment vertical="center"/>
    </xf>
    <xf numFmtId="176" fontId="11" fillId="9" borderId="9" xfId="4" applyNumberFormat="1" applyFill="1" applyBorder="1">
      <alignment vertical="center"/>
    </xf>
    <xf numFmtId="0" fontId="18" fillId="9" borderId="9" xfId="4" applyFont="1" applyFill="1" applyBorder="1" applyAlignment="1">
      <alignment horizontal="right" vertical="center"/>
    </xf>
    <xf numFmtId="0" fontId="18" fillId="9" borderId="9" xfId="0" applyFont="1" applyFill="1" applyBorder="1" applyAlignment="1">
      <alignment horizontal="right" vertical="center"/>
    </xf>
    <xf numFmtId="0" fontId="0" fillId="9" borderId="14" xfId="0" applyFill="1" applyBorder="1">
      <alignment vertical="center"/>
    </xf>
    <xf numFmtId="38" fontId="0" fillId="9" borderId="9" xfId="0" applyNumberFormat="1" applyFill="1" applyBorder="1">
      <alignment vertical="center"/>
    </xf>
    <xf numFmtId="38" fontId="18" fillId="9" borderId="9" xfId="4" applyNumberFormat="1" applyFont="1" applyFill="1" applyBorder="1">
      <alignment vertical="center"/>
    </xf>
    <xf numFmtId="176" fontId="14" fillId="9" borderId="9" xfId="0" applyNumberFormat="1" applyFont="1" applyFill="1" applyBorder="1">
      <alignment vertical="center"/>
    </xf>
    <xf numFmtId="0" fontId="14" fillId="9" borderId="9" xfId="3" applyFill="1" applyBorder="1" applyAlignment="1">
      <alignment vertical="center"/>
    </xf>
    <xf numFmtId="38" fontId="11" fillId="9" borderId="9" xfId="4" applyNumberFormat="1" applyFill="1" applyBorder="1" applyAlignment="1">
      <alignment horizontal="right" vertical="center"/>
    </xf>
    <xf numFmtId="176" fontId="0" fillId="9" borderId="9" xfId="0" applyNumberFormat="1" applyFill="1" applyBorder="1" applyAlignment="1">
      <alignment horizontal="right" vertical="center"/>
    </xf>
    <xf numFmtId="0" fontId="18" fillId="9" borderId="9" xfId="4" applyFont="1" applyFill="1" applyBorder="1" applyAlignment="1">
      <alignment horizontal="center" vertical="center"/>
    </xf>
    <xf numFmtId="38" fontId="18" fillId="9" borderId="9" xfId="0" applyNumberFormat="1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176" fontId="11" fillId="9" borderId="9" xfId="0" applyNumberFormat="1" applyFont="1" applyFill="1" applyBorder="1" applyAlignment="1">
      <alignment horizontal="center" vertical="center"/>
    </xf>
    <xf numFmtId="0" fontId="14" fillId="9" borderId="19" xfId="3" applyFill="1" applyBorder="1" applyAlignment="1">
      <alignment horizontal="center" vertical="center"/>
    </xf>
    <xf numFmtId="176" fontId="18" fillId="9" borderId="9" xfId="0" applyNumberFormat="1" applyFont="1" applyFill="1" applyBorder="1" applyAlignment="1">
      <alignment horizontal="center" vertical="center"/>
    </xf>
    <xf numFmtId="176" fontId="14" fillId="9" borderId="9" xfId="0" applyNumberFormat="1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27" fillId="0" borderId="9" xfId="0" applyFont="1" applyBorder="1">
      <alignment vertical="center"/>
    </xf>
    <xf numFmtId="0" fontId="29" fillId="10" borderId="9" xfId="4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left" vertical="center"/>
    </xf>
    <xf numFmtId="181" fontId="17" fillId="11" borderId="9" xfId="0" applyNumberFormat="1" applyFont="1" applyFill="1" applyBorder="1" applyAlignment="1">
      <alignment horizontal="center" vertical="center"/>
    </xf>
    <xf numFmtId="176" fontId="17" fillId="11" borderId="9" xfId="0" applyNumberFormat="1" applyFont="1" applyFill="1" applyBorder="1" applyAlignment="1">
      <alignment horizontal="right" vertical="center"/>
    </xf>
    <xf numFmtId="176" fontId="0" fillId="11" borderId="9" xfId="0" applyNumberFormat="1" applyFill="1" applyBorder="1" applyAlignment="1">
      <alignment horizontal="center" vertical="center"/>
    </xf>
    <xf numFmtId="0" fontId="31" fillId="10" borderId="9" xfId="4" applyFont="1" applyFill="1" applyBorder="1" applyAlignment="1">
      <alignment horizontal="center" vertical="center"/>
    </xf>
    <xf numFmtId="0" fontId="18" fillId="11" borderId="9" xfId="4" applyFont="1" applyFill="1" applyBorder="1" applyAlignment="1">
      <alignment horizontal="left" vertical="center"/>
    </xf>
    <xf numFmtId="0" fontId="11" fillId="11" borderId="9" xfId="4" applyFill="1" applyBorder="1">
      <alignment vertical="center"/>
    </xf>
    <xf numFmtId="0" fontId="14" fillId="11" borderId="9" xfId="3" applyFill="1" applyBorder="1" applyAlignment="1">
      <alignment horizontal="center" vertical="center"/>
    </xf>
    <xf numFmtId="0" fontId="32" fillId="0" borderId="9" xfId="4" applyFont="1" applyBorder="1" applyAlignment="1">
      <alignment horizontal="left" vertical="center"/>
    </xf>
    <xf numFmtId="0" fontId="33" fillId="10" borderId="9" xfId="4" applyFont="1" applyFill="1" applyBorder="1" applyAlignment="1">
      <alignment horizontal="center" vertical="center"/>
    </xf>
    <xf numFmtId="3" fontId="22" fillId="7" borderId="11" xfId="4" applyNumberFormat="1" applyFont="1" applyFill="1" applyBorder="1" applyAlignment="1">
      <alignment horizontal="center" vertical="center"/>
    </xf>
    <xf numFmtId="3" fontId="22" fillId="7" borderId="20" xfId="4" applyNumberFormat="1" applyFont="1" applyFill="1" applyBorder="1" applyAlignment="1">
      <alignment horizontal="center" vertical="center"/>
    </xf>
    <xf numFmtId="3" fontId="22" fillId="7" borderId="16" xfId="4" applyNumberFormat="1" applyFont="1" applyFill="1" applyBorder="1" applyAlignment="1">
      <alignment horizontal="center" vertical="center"/>
    </xf>
    <xf numFmtId="3" fontId="22" fillId="7" borderId="10" xfId="4" applyNumberFormat="1" applyFont="1" applyFill="1" applyBorder="1" applyAlignment="1">
      <alignment horizontal="center" vertical="center"/>
    </xf>
    <xf numFmtId="3" fontId="22" fillId="7" borderId="13" xfId="4" applyNumberFormat="1" applyFont="1" applyFill="1" applyBorder="1" applyAlignment="1">
      <alignment horizontal="center" vertical="center"/>
    </xf>
    <xf numFmtId="3" fontId="22" fillId="7" borderId="12" xfId="4" applyNumberFormat="1" applyFont="1" applyFill="1" applyBorder="1" applyAlignment="1">
      <alignment horizontal="center" vertical="center"/>
    </xf>
    <xf numFmtId="0" fontId="16" fillId="8" borderId="10" xfId="3" applyFont="1" applyFill="1" applyBorder="1" applyAlignment="1">
      <alignment horizontal="center" vertical="center"/>
    </xf>
    <xf numFmtId="0" fontId="16" fillId="8" borderId="13" xfId="3" applyFont="1" applyFill="1" applyBorder="1" applyAlignment="1">
      <alignment horizontal="center" vertical="center"/>
    </xf>
    <xf numFmtId="0" fontId="16" fillId="8" borderId="12" xfId="3" applyFont="1" applyFill="1" applyBorder="1" applyAlignment="1">
      <alignment horizontal="center" vertical="center"/>
    </xf>
    <xf numFmtId="0" fontId="3" fillId="7" borderId="5" xfId="4" applyFont="1" applyFill="1" applyBorder="1" applyAlignment="1">
      <alignment horizontal="center" vertical="center"/>
    </xf>
    <xf numFmtId="0" fontId="3" fillId="7" borderId="4" xfId="4" applyFont="1" applyFill="1" applyBorder="1" applyAlignment="1">
      <alignment horizontal="center" vertical="center"/>
    </xf>
    <xf numFmtId="0" fontId="3" fillId="7" borderId="6" xfId="4" applyFont="1" applyFill="1" applyBorder="1" applyAlignment="1">
      <alignment horizontal="center" vertical="center"/>
    </xf>
    <xf numFmtId="3" fontId="15" fillId="7" borderId="10" xfId="0" applyNumberFormat="1" applyFont="1" applyFill="1" applyBorder="1" applyAlignment="1">
      <alignment horizontal="center" vertical="center"/>
    </xf>
    <xf numFmtId="3" fontId="15" fillId="7" borderId="13" xfId="0" applyNumberFormat="1" applyFont="1" applyFill="1" applyBorder="1" applyAlignment="1">
      <alignment horizontal="center" vertical="center"/>
    </xf>
    <xf numFmtId="3" fontId="15" fillId="7" borderId="12" xfId="0" applyNumberFormat="1" applyFont="1" applyFill="1" applyBorder="1" applyAlignment="1">
      <alignment horizontal="center" vertical="center"/>
    </xf>
    <xf numFmtId="0" fontId="23" fillId="17" borderId="9" xfId="4" applyFont="1" applyFill="1" applyBorder="1" applyAlignment="1">
      <alignment horizontal="center" vertical="center"/>
    </xf>
    <xf numFmtId="0" fontId="26" fillId="17" borderId="10" xfId="4" applyFont="1" applyFill="1" applyBorder="1" applyAlignment="1">
      <alignment horizontal="center" vertical="center"/>
    </xf>
    <xf numFmtId="0" fontId="26" fillId="17" borderId="13" xfId="4" applyFont="1" applyFill="1" applyBorder="1" applyAlignment="1">
      <alignment horizontal="center" vertical="center"/>
    </xf>
    <xf numFmtId="0" fontId="26" fillId="17" borderId="12" xfId="4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7">
    <cellStyle name="ハイパーリンク" xfId="2" xr:uid="{00000000-0005-0000-0000-000000000000}"/>
    <cellStyle name="ハイパーリンク 2" xfId="6" xr:uid="{483ACBC0-304F-459A-9FA9-25735A0D43FF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C2BD-4CD6-4020-9784-A95ABDD254A0}">
  <sheetPr>
    <tabColor rgb="FF00B0F0"/>
  </sheetPr>
  <dimension ref="A2:S241"/>
  <sheetViews>
    <sheetView tabSelected="1" zoomScale="85" zoomScaleNormal="85" workbookViewId="0">
      <pane xSplit="12" ySplit="8" topLeftCell="P201" activePane="bottomRight" state="frozen"/>
      <selection pane="topRight" activeCell="K1" sqref="K1"/>
      <selection pane="bottomLeft" activeCell="A9" sqref="A9"/>
      <selection pane="bottomRight" activeCell="S213" sqref="S213"/>
    </sheetView>
  </sheetViews>
  <sheetFormatPr defaultColWidth="8.875" defaultRowHeight="13.5" x14ac:dyDescent="0.15"/>
  <cols>
    <col min="1" max="2" width="8.875" style="87"/>
    <col min="3" max="3" width="19.5" style="87" customWidth="1"/>
    <col min="4" max="4" width="5.75" style="92" customWidth="1"/>
    <col min="5" max="6" width="15.75" style="87" customWidth="1"/>
    <col min="7" max="7" width="61.125" style="87" customWidth="1"/>
    <col min="8" max="8" width="6.25" style="90" customWidth="1"/>
    <col min="9" max="10" width="9.875" style="87" bestFit="1" customWidth="1"/>
    <col min="11" max="11" width="5.75" style="90" customWidth="1"/>
    <col min="12" max="12" width="54.375" style="87" customWidth="1"/>
    <col min="13" max="13" width="18.25" style="93" customWidth="1"/>
    <col min="14" max="14" width="30.75" style="92" customWidth="1"/>
    <col min="15" max="15" width="13.75" style="91" customWidth="1"/>
    <col min="16" max="16" width="6.375" style="87" customWidth="1"/>
    <col min="17" max="17" width="13.25" style="90" customWidth="1"/>
    <col min="18" max="18" width="18.25" style="89" customWidth="1"/>
    <col min="19" max="19" width="15.625" style="88" customWidth="1"/>
    <col min="20" max="16384" width="8.875" style="87"/>
  </cols>
  <sheetData>
    <row r="2" spans="1:19" ht="20.100000000000001" customHeight="1" x14ac:dyDescent="0.15">
      <c r="D2" s="327" t="s">
        <v>347</v>
      </c>
      <c r="E2" s="327"/>
      <c r="F2" s="327"/>
      <c r="G2" s="80" t="s">
        <v>134</v>
      </c>
      <c r="I2" s="328" t="s">
        <v>346</v>
      </c>
      <c r="J2" s="329"/>
      <c r="K2" s="330"/>
      <c r="L2" s="147">
        <f>SUM(J$1:J$65505)</f>
        <v>806597</v>
      </c>
    </row>
    <row r="3" spans="1:19" ht="20.100000000000001" customHeight="1" x14ac:dyDescent="0.15">
      <c r="D3" s="327" t="s">
        <v>345</v>
      </c>
      <c r="E3" s="327"/>
      <c r="F3" s="327"/>
      <c r="G3" s="9" t="s">
        <v>133</v>
      </c>
    </row>
    <row r="4" spans="1:19" ht="20.100000000000001" customHeight="1" x14ac:dyDescent="0.15">
      <c r="D4" s="327" t="s">
        <v>344</v>
      </c>
      <c r="E4" s="327"/>
      <c r="F4" s="327"/>
      <c r="G4" s="9" t="s">
        <v>135</v>
      </c>
    </row>
    <row r="5" spans="1:19" ht="20.100000000000001" customHeight="1" x14ac:dyDescent="0.15">
      <c r="D5" s="327" t="s">
        <v>343</v>
      </c>
      <c r="E5" s="327"/>
      <c r="F5" s="327"/>
      <c r="G5" s="10">
        <v>45952</v>
      </c>
      <c r="J5" s="146"/>
      <c r="L5" s="87" t="s">
        <v>348</v>
      </c>
    </row>
    <row r="6" spans="1:19" ht="20.100000000000001" customHeight="1" x14ac:dyDescent="0.15">
      <c r="D6" s="327" t="s">
        <v>342</v>
      </c>
      <c r="E6" s="327"/>
      <c r="F6" s="327"/>
      <c r="G6" s="10">
        <v>45953</v>
      </c>
    </row>
    <row r="8" spans="1:19" s="92" customFormat="1" ht="19.7" customHeight="1" x14ac:dyDescent="0.15">
      <c r="A8" s="82"/>
      <c r="B8" s="82"/>
      <c r="C8" s="133" t="s">
        <v>341</v>
      </c>
      <c r="D8" s="85" t="s">
        <v>340</v>
      </c>
      <c r="E8" s="85" t="s">
        <v>339</v>
      </c>
      <c r="F8" s="85" t="s">
        <v>338</v>
      </c>
      <c r="G8" s="82" t="s">
        <v>337</v>
      </c>
      <c r="H8" s="97" t="s">
        <v>12</v>
      </c>
      <c r="I8" s="82" t="s">
        <v>13</v>
      </c>
      <c r="J8" s="83" t="s">
        <v>14</v>
      </c>
      <c r="K8" s="83" t="s">
        <v>336</v>
      </c>
      <c r="L8" s="82" t="s">
        <v>335</v>
      </c>
      <c r="M8" s="86" t="s">
        <v>334</v>
      </c>
      <c r="N8" s="82" t="s">
        <v>333</v>
      </c>
      <c r="O8" s="95" t="s">
        <v>332</v>
      </c>
      <c r="P8" s="85" t="s">
        <v>331</v>
      </c>
      <c r="Q8" s="82" t="s">
        <v>330</v>
      </c>
      <c r="R8" s="95" t="s">
        <v>329</v>
      </c>
      <c r="S8" s="94" t="s">
        <v>328</v>
      </c>
    </row>
    <row r="9" spans="1:19" s="101" customFormat="1" ht="19.7" customHeight="1" x14ac:dyDescent="0.15">
      <c r="A9" s="82"/>
      <c r="B9" s="82"/>
      <c r="C9" s="82"/>
      <c r="D9" s="105"/>
      <c r="E9" s="105"/>
      <c r="F9" s="105"/>
      <c r="G9" s="86"/>
      <c r="H9" s="110"/>
      <c r="I9" s="109"/>
      <c r="J9" s="96"/>
      <c r="K9" s="108"/>
      <c r="L9" s="107"/>
      <c r="M9" s="106"/>
      <c r="N9" s="106"/>
      <c r="O9" s="103"/>
      <c r="P9" s="105"/>
      <c r="Q9" s="104"/>
      <c r="R9" s="103"/>
      <c r="S9" s="102"/>
    </row>
    <row r="10" spans="1:19" s="101" customFormat="1" ht="19.7" customHeight="1" x14ac:dyDescent="0.15">
      <c r="A10" s="82"/>
      <c r="B10" s="82"/>
      <c r="C10" s="137"/>
      <c r="D10" s="105"/>
      <c r="E10" s="105"/>
      <c r="F10" s="105"/>
      <c r="G10" s="86"/>
      <c r="H10" s="110"/>
      <c r="I10" s="109"/>
      <c r="J10" s="96"/>
      <c r="K10" s="108"/>
      <c r="L10" s="107"/>
      <c r="M10" s="106"/>
      <c r="N10" s="106"/>
      <c r="O10" s="103"/>
      <c r="P10" s="105"/>
      <c r="Q10" s="104"/>
      <c r="R10" s="103"/>
      <c r="S10" s="102"/>
    </row>
    <row r="11" spans="1:19" s="101" customFormat="1" ht="19.7" customHeight="1" x14ac:dyDescent="0.15">
      <c r="A11" s="82"/>
      <c r="B11" s="82"/>
      <c r="C11" s="252"/>
      <c r="D11" s="321" t="s">
        <v>327</v>
      </c>
      <c r="E11" s="322"/>
      <c r="F11" s="322"/>
      <c r="G11" s="323"/>
      <c r="H11" s="82"/>
      <c r="I11" s="127"/>
      <c r="J11" s="85"/>
      <c r="K11" s="82"/>
      <c r="L11" s="84"/>
      <c r="M11" s="106"/>
      <c r="N11" s="106"/>
      <c r="O11" s="103"/>
      <c r="P11" s="105"/>
      <c r="Q11" s="104"/>
      <c r="R11" s="103"/>
      <c r="S11" s="102"/>
    </row>
    <row r="12" spans="1:19" s="101" customFormat="1" ht="19.7" customHeight="1" x14ac:dyDescent="0.15">
      <c r="A12" s="142" t="s">
        <v>225</v>
      </c>
      <c r="B12" s="82"/>
      <c r="C12" s="82">
        <v>0.15</v>
      </c>
      <c r="D12" s="251">
        <v>1</v>
      </c>
      <c r="E12" s="122" t="s">
        <v>141</v>
      </c>
      <c r="F12" s="85" t="s">
        <v>140</v>
      </c>
      <c r="G12" s="143" t="s">
        <v>326</v>
      </c>
      <c r="H12" s="142">
        <v>4</v>
      </c>
      <c r="I12" s="270">
        <v>2212</v>
      </c>
      <c r="J12" s="123">
        <f t="shared" ref="J12:J25" si="0">H12*I12</f>
        <v>8848</v>
      </c>
      <c r="K12" s="82"/>
      <c r="L12" s="84" t="s">
        <v>325</v>
      </c>
      <c r="M12" s="106"/>
      <c r="N12" s="301" t="s">
        <v>516</v>
      </c>
      <c r="O12" s="103">
        <v>45938</v>
      </c>
      <c r="P12" s="105"/>
      <c r="Q12" s="242">
        <v>45952</v>
      </c>
      <c r="R12" s="103">
        <v>45953</v>
      </c>
      <c r="S12" s="102">
        <v>45953</v>
      </c>
    </row>
    <row r="13" spans="1:19" s="101" customFormat="1" ht="19.7" customHeight="1" x14ac:dyDescent="0.15">
      <c r="A13" s="142" t="s">
        <v>225</v>
      </c>
      <c r="B13" s="82"/>
      <c r="C13" s="82">
        <v>0.2</v>
      </c>
      <c r="D13" s="251">
        <f>D12+1</f>
        <v>2</v>
      </c>
      <c r="E13" s="122" t="s">
        <v>141</v>
      </c>
      <c r="F13" s="85" t="s">
        <v>140</v>
      </c>
      <c r="G13" s="143" t="s">
        <v>324</v>
      </c>
      <c r="H13" s="142">
        <v>4</v>
      </c>
      <c r="I13" s="270">
        <v>2424</v>
      </c>
      <c r="J13" s="123">
        <f t="shared" si="0"/>
        <v>9696</v>
      </c>
      <c r="K13" s="82"/>
      <c r="L13" s="84" t="s">
        <v>323</v>
      </c>
      <c r="M13" s="106"/>
      <c r="N13" s="301" t="s">
        <v>516</v>
      </c>
      <c r="O13" s="103">
        <v>45938</v>
      </c>
      <c r="P13" s="105"/>
      <c r="Q13" s="242">
        <v>45952</v>
      </c>
      <c r="R13" s="103">
        <v>45953</v>
      </c>
      <c r="S13" s="102">
        <v>45953</v>
      </c>
    </row>
    <row r="14" spans="1:19" s="101" customFormat="1" ht="19.7" customHeight="1" x14ac:dyDescent="0.15">
      <c r="A14" s="142" t="s">
        <v>225</v>
      </c>
      <c r="B14" s="82"/>
      <c r="C14" s="82">
        <v>0.1</v>
      </c>
      <c r="D14" s="141">
        <f t="shared" ref="D14:D25" si="1">D13+1</f>
        <v>3</v>
      </c>
      <c r="E14" s="122" t="s">
        <v>141</v>
      </c>
      <c r="F14" s="85" t="s">
        <v>140</v>
      </c>
      <c r="G14" s="143" t="s">
        <v>322</v>
      </c>
      <c r="H14" s="142">
        <v>4</v>
      </c>
      <c r="I14" s="270">
        <v>2446</v>
      </c>
      <c r="J14" s="123">
        <f t="shared" si="0"/>
        <v>9784</v>
      </c>
      <c r="K14" s="82"/>
      <c r="L14" s="84" t="s">
        <v>321</v>
      </c>
      <c r="M14" s="106"/>
      <c r="N14" s="301" t="s">
        <v>516</v>
      </c>
      <c r="O14" s="103">
        <v>45938</v>
      </c>
      <c r="P14" s="105"/>
      <c r="Q14" s="242">
        <v>45952</v>
      </c>
      <c r="R14" s="103">
        <v>45953</v>
      </c>
      <c r="S14" s="102">
        <v>45953</v>
      </c>
    </row>
    <row r="15" spans="1:19" s="101" customFormat="1" ht="19.7" customHeight="1" x14ac:dyDescent="0.15">
      <c r="A15" s="142" t="s">
        <v>224</v>
      </c>
      <c r="B15" s="82"/>
      <c r="C15" s="82">
        <v>0.15</v>
      </c>
      <c r="D15" s="141">
        <f t="shared" si="1"/>
        <v>4</v>
      </c>
      <c r="E15" s="122" t="s">
        <v>141</v>
      </c>
      <c r="F15" s="85" t="s">
        <v>140</v>
      </c>
      <c r="G15" s="143" t="s">
        <v>320</v>
      </c>
      <c r="H15" s="142">
        <v>4</v>
      </c>
      <c r="I15" s="270">
        <v>8003</v>
      </c>
      <c r="J15" s="123">
        <f t="shared" si="0"/>
        <v>32012</v>
      </c>
      <c r="K15" s="82"/>
      <c r="L15" s="84" t="s">
        <v>319</v>
      </c>
      <c r="M15" s="106"/>
      <c r="N15" s="301" t="s">
        <v>516</v>
      </c>
      <c r="O15" s="103">
        <v>45938</v>
      </c>
      <c r="P15" s="105"/>
      <c r="Q15" s="242">
        <v>45952</v>
      </c>
      <c r="R15" s="103">
        <v>45953</v>
      </c>
      <c r="S15" s="102">
        <v>45953</v>
      </c>
    </row>
    <row r="16" spans="1:19" s="101" customFormat="1" ht="19.7" customHeight="1" x14ac:dyDescent="0.15">
      <c r="A16" s="142" t="s">
        <v>225</v>
      </c>
      <c r="B16" s="82"/>
      <c r="C16" s="82">
        <v>0.2</v>
      </c>
      <c r="D16" s="141">
        <f t="shared" si="1"/>
        <v>5</v>
      </c>
      <c r="E16" s="122" t="s">
        <v>141</v>
      </c>
      <c r="F16" s="85" t="s">
        <v>140</v>
      </c>
      <c r="G16" s="143" t="s">
        <v>318</v>
      </c>
      <c r="H16" s="142">
        <v>2</v>
      </c>
      <c r="I16" s="270">
        <v>3369</v>
      </c>
      <c r="J16" s="123">
        <f t="shared" si="0"/>
        <v>6738</v>
      </c>
      <c r="K16" s="82"/>
      <c r="L16" s="84" t="s">
        <v>317</v>
      </c>
      <c r="M16" s="106"/>
      <c r="N16" s="301" t="s">
        <v>516</v>
      </c>
      <c r="O16" s="103">
        <v>45938</v>
      </c>
      <c r="P16" s="105"/>
      <c r="Q16" s="242">
        <v>45952</v>
      </c>
      <c r="R16" s="103">
        <v>45953</v>
      </c>
      <c r="S16" s="102">
        <v>45953</v>
      </c>
    </row>
    <row r="17" spans="1:19" s="101" customFormat="1" ht="19.7" customHeight="1" x14ac:dyDescent="0.15">
      <c r="A17" s="142" t="s">
        <v>139</v>
      </c>
      <c r="B17" s="82"/>
      <c r="C17" s="82">
        <v>0.05</v>
      </c>
      <c r="D17" s="141">
        <f t="shared" si="1"/>
        <v>6</v>
      </c>
      <c r="E17" s="85" t="s">
        <v>140</v>
      </c>
      <c r="F17" s="85" t="s">
        <v>140</v>
      </c>
      <c r="G17" s="145" t="s">
        <v>316</v>
      </c>
      <c r="H17" s="125">
        <v>38</v>
      </c>
      <c r="I17" s="271">
        <v>14</v>
      </c>
      <c r="J17" s="123">
        <f t="shared" si="0"/>
        <v>532</v>
      </c>
      <c r="K17" s="139"/>
      <c r="L17" s="144" t="s">
        <v>463</v>
      </c>
      <c r="M17" s="106"/>
      <c r="N17" s="301" t="s">
        <v>516</v>
      </c>
      <c r="O17" s="103">
        <v>45938</v>
      </c>
      <c r="P17" s="105"/>
      <c r="Q17" s="242">
        <v>45952</v>
      </c>
      <c r="R17" s="103">
        <v>45953</v>
      </c>
      <c r="S17" s="102">
        <v>45953</v>
      </c>
    </row>
    <row r="18" spans="1:19" s="101" customFormat="1" ht="19.7" customHeight="1" x14ac:dyDescent="0.15">
      <c r="A18" s="142" t="s">
        <v>139</v>
      </c>
      <c r="B18" s="82"/>
      <c r="C18" s="82">
        <v>0.15</v>
      </c>
      <c r="D18" s="141">
        <f t="shared" si="1"/>
        <v>7</v>
      </c>
      <c r="E18" s="85" t="s">
        <v>140</v>
      </c>
      <c r="F18" s="85" t="s">
        <v>140</v>
      </c>
      <c r="G18" s="140" t="s">
        <v>315</v>
      </c>
      <c r="H18" s="125">
        <v>2</v>
      </c>
      <c r="I18" s="271">
        <v>276</v>
      </c>
      <c r="J18" s="123">
        <f t="shared" si="0"/>
        <v>552</v>
      </c>
      <c r="K18" s="139"/>
      <c r="L18" s="117" t="s">
        <v>314</v>
      </c>
      <c r="M18" s="106"/>
      <c r="N18" s="301" t="s">
        <v>516</v>
      </c>
      <c r="O18" s="103">
        <v>45938</v>
      </c>
      <c r="P18" s="105"/>
      <c r="Q18" s="242">
        <v>45952</v>
      </c>
      <c r="R18" s="103">
        <v>45953</v>
      </c>
      <c r="S18" s="102">
        <v>45953</v>
      </c>
    </row>
    <row r="19" spans="1:19" s="101" customFormat="1" ht="19.7" customHeight="1" x14ac:dyDescent="0.15">
      <c r="A19" s="142" t="s">
        <v>139</v>
      </c>
      <c r="B19" s="82"/>
      <c r="C19" s="82">
        <v>0.05</v>
      </c>
      <c r="D19" s="141">
        <f t="shared" si="1"/>
        <v>8</v>
      </c>
      <c r="E19" s="85" t="s">
        <v>140</v>
      </c>
      <c r="F19" s="85" t="s">
        <v>140</v>
      </c>
      <c r="G19" s="140" t="s">
        <v>313</v>
      </c>
      <c r="H19" s="125">
        <v>4</v>
      </c>
      <c r="I19" s="271">
        <v>46</v>
      </c>
      <c r="J19" s="123">
        <f t="shared" si="0"/>
        <v>184</v>
      </c>
      <c r="K19" s="139"/>
      <c r="L19" s="117" t="s">
        <v>312</v>
      </c>
      <c r="M19" s="106"/>
      <c r="N19" s="301" t="s">
        <v>516</v>
      </c>
      <c r="O19" s="103">
        <v>45938</v>
      </c>
      <c r="P19" s="105"/>
      <c r="Q19" s="242">
        <v>45952</v>
      </c>
      <c r="R19" s="103">
        <v>45953</v>
      </c>
      <c r="S19" s="102">
        <v>45953</v>
      </c>
    </row>
    <row r="20" spans="1:19" s="101" customFormat="1" ht="19.7" customHeight="1" x14ac:dyDescent="0.15">
      <c r="A20" s="142" t="s">
        <v>139</v>
      </c>
      <c r="B20" s="82"/>
      <c r="C20" s="82">
        <v>0.05</v>
      </c>
      <c r="D20" s="141">
        <f t="shared" si="1"/>
        <v>9</v>
      </c>
      <c r="E20" s="85" t="s">
        <v>140</v>
      </c>
      <c r="F20" s="85" t="s">
        <v>140</v>
      </c>
      <c r="G20" s="140" t="s">
        <v>311</v>
      </c>
      <c r="H20" s="125">
        <v>22</v>
      </c>
      <c r="I20" s="271">
        <v>15</v>
      </c>
      <c r="J20" s="123">
        <f t="shared" si="0"/>
        <v>330</v>
      </c>
      <c r="K20" s="139"/>
      <c r="L20" s="117" t="s">
        <v>310</v>
      </c>
      <c r="M20" s="106"/>
      <c r="N20" s="301" t="s">
        <v>516</v>
      </c>
      <c r="O20" s="103">
        <v>45938</v>
      </c>
      <c r="P20" s="105"/>
      <c r="Q20" s="242">
        <v>45952</v>
      </c>
      <c r="R20" s="103">
        <v>45953</v>
      </c>
      <c r="S20" s="102">
        <v>45953</v>
      </c>
    </row>
    <row r="21" spans="1:19" s="101" customFormat="1" ht="19.7" customHeight="1" x14ac:dyDescent="0.15">
      <c r="A21" s="142" t="s">
        <v>139</v>
      </c>
      <c r="B21" s="82"/>
      <c r="C21" s="82">
        <v>0.03</v>
      </c>
      <c r="D21" s="141">
        <f t="shared" si="1"/>
        <v>10</v>
      </c>
      <c r="E21" s="85" t="s">
        <v>140</v>
      </c>
      <c r="F21" s="85" t="s">
        <v>140</v>
      </c>
      <c r="G21" s="140" t="s">
        <v>309</v>
      </c>
      <c r="H21" s="125">
        <v>14</v>
      </c>
      <c r="I21" s="271">
        <v>93</v>
      </c>
      <c r="J21" s="123">
        <f t="shared" si="0"/>
        <v>1302</v>
      </c>
      <c r="K21" s="139"/>
      <c r="L21" s="117" t="s">
        <v>462</v>
      </c>
      <c r="M21" s="106"/>
      <c r="N21" s="301" t="s">
        <v>516</v>
      </c>
      <c r="O21" s="103">
        <v>45938</v>
      </c>
      <c r="P21" s="105"/>
      <c r="Q21" s="242">
        <v>45952</v>
      </c>
      <c r="R21" s="103">
        <v>45953</v>
      </c>
      <c r="S21" s="102">
        <v>45953</v>
      </c>
    </row>
    <row r="22" spans="1:19" s="101" customFormat="1" ht="19.7" customHeight="1" x14ac:dyDescent="0.15">
      <c r="A22" s="142" t="s">
        <v>139</v>
      </c>
      <c r="B22" s="82"/>
      <c r="C22" s="82">
        <v>0.05</v>
      </c>
      <c r="D22" s="141">
        <f t="shared" si="1"/>
        <v>11</v>
      </c>
      <c r="E22" s="85" t="s">
        <v>140</v>
      </c>
      <c r="F22" s="85" t="s">
        <v>140</v>
      </c>
      <c r="G22" s="140" t="s">
        <v>308</v>
      </c>
      <c r="H22" s="125">
        <v>8</v>
      </c>
      <c r="I22" s="271">
        <v>78</v>
      </c>
      <c r="J22" s="123">
        <f t="shared" si="0"/>
        <v>624</v>
      </c>
      <c r="K22" s="139"/>
      <c r="L22" s="117" t="s">
        <v>464</v>
      </c>
      <c r="M22" s="106"/>
      <c r="N22" s="301" t="s">
        <v>516</v>
      </c>
      <c r="O22" s="103">
        <v>45938</v>
      </c>
      <c r="P22" s="105"/>
      <c r="Q22" s="242">
        <v>45952</v>
      </c>
      <c r="R22" s="103">
        <v>45953</v>
      </c>
      <c r="S22" s="102">
        <v>45953</v>
      </c>
    </row>
    <row r="23" spans="1:19" s="101" customFormat="1" ht="19.7" customHeight="1" x14ac:dyDescent="0.15">
      <c r="A23" s="142" t="s">
        <v>139</v>
      </c>
      <c r="B23" s="82"/>
      <c r="C23" s="82">
        <v>0.03</v>
      </c>
      <c r="D23" s="141">
        <f t="shared" si="1"/>
        <v>12</v>
      </c>
      <c r="E23" s="85" t="s">
        <v>140</v>
      </c>
      <c r="F23" s="85" t="s">
        <v>140</v>
      </c>
      <c r="G23" s="143" t="s">
        <v>307</v>
      </c>
      <c r="H23" s="142">
        <v>8</v>
      </c>
      <c r="I23" s="272">
        <v>83</v>
      </c>
      <c r="J23" s="246">
        <f t="shared" si="0"/>
        <v>664</v>
      </c>
      <c r="K23" s="83"/>
      <c r="L23" s="84" t="s">
        <v>498</v>
      </c>
      <c r="M23" s="106"/>
      <c r="N23" s="301" t="s">
        <v>516</v>
      </c>
      <c r="O23" s="103">
        <v>45938</v>
      </c>
      <c r="P23" s="105"/>
      <c r="Q23" s="242">
        <v>45952</v>
      </c>
      <c r="R23" s="103">
        <v>45953</v>
      </c>
      <c r="S23" s="102">
        <v>45953</v>
      </c>
    </row>
    <row r="24" spans="1:19" s="101" customFormat="1" ht="19.7" customHeight="1" x14ac:dyDescent="0.15">
      <c r="A24" s="142" t="s">
        <v>139</v>
      </c>
      <c r="B24" s="82"/>
      <c r="C24" s="82">
        <v>0.05</v>
      </c>
      <c r="D24" s="141">
        <f t="shared" si="1"/>
        <v>13</v>
      </c>
      <c r="E24" s="85" t="s">
        <v>140</v>
      </c>
      <c r="F24" s="85" t="s">
        <v>140</v>
      </c>
      <c r="G24" s="143" t="s">
        <v>306</v>
      </c>
      <c r="H24" s="142">
        <v>8</v>
      </c>
      <c r="I24" s="272">
        <v>32</v>
      </c>
      <c r="J24" s="246">
        <f t="shared" si="0"/>
        <v>256</v>
      </c>
      <c r="K24" s="83"/>
      <c r="L24" s="84" t="s">
        <v>503</v>
      </c>
      <c r="M24" s="106"/>
      <c r="N24" s="301" t="s">
        <v>516</v>
      </c>
      <c r="O24" s="103">
        <v>45938</v>
      </c>
      <c r="P24" s="105"/>
      <c r="Q24" s="242">
        <v>45952</v>
      </c>
      <c r="R24" s="103">
        <v>45953</v>
      </c>
      <c r="S24" s="102">
        <v>45953</v>
      </c>
    </row>
    <row r="25" spans="1:19" s="101" customFormat="1" ht="19.5" customHeight="1" x14ac:dyDescent="0.15">
      <c r="A25" s="142" t="s">
        <v>225</v>
      </c>
      <c r="B25" s="82"/>
      <c r="C25" s="82">
        <v>0.35</v>
      </c>
      <c r="D25" s="229">
        <f t="shared" si="1"/>
        <v>14</v>
      </c>
      <c r="E25" s="167" t="s">
        <v>141</v>
      </c>
      <c r="F25" s="81" t="s">
        <v>140</v>
      </c>
      <c r="G25" s="230" t="s">
        <v>305</v>
      </c>
      <c r="H25" s="151">
        <v>1</v>
      </c>
      <c r="I25" s="273">
        <v>7150</v>
      </c>
      <c r="J25" s="206">
        <f t="shared" si="0"/>
        <v>7150</v>
      </c>
      <c r="K25" s="152"/>
      <c r="L25" s="185" t="s">
        <v>304</v>
      </c>
      <c r="M25" s="106"/>
      <c r="N25" s="301" t="s">
        <v>516</v>
      </c>
      <c r="O25" s="103">
        <v>45938</v>
      </c>
      <c r="P25" s="105"/>
      <c r="Q25" s="242">
        <v>45952</v>
      </c>
      <c r="R25" s="103">
        <v>45953</v>
      </c>
      <c r="S25" s="102">
        <v>45953</v>
      </c>
    </row>
    <row r="26" spans="1:19" s="101" customFormat="1" ht="19.7" customHeight="1" x14ac:dyDescent="0.15">
      <c r="A26" s="82"/>
      <c r="B26" s="82"/>
      <c r="C26" s="137"/>
      <c r="D26" s="136"/>
      <c r="E26" s="85"/>
      <c r="F26" s="85"/>
      <c r="G26" s="138"/>
      <c r="H26" s="130"/>
      <c r="I26" s="127"/>
      <c r="J26" s="85"/>
      <c r="K26" s="82"/>
      <c r="L26" s="84"/>
      <c r="M26" s="106"/>
      <c r="N26" s="106"/>
      <c r="O26" s="103"/>
      <c r="P26" s="105"/>
      <c r="Q26" s="104"/>
      <c r="R26" s="103"/>
      <c r="S26" s="102"/>
    </row>
    <row r="27" spans="1:19" s="101" customFormat="1" ht="19.7" customHeight="1" x14ac:dyDescent="0.15">
      <c r="A27" s="82"/>
      <c r="B27" s="82"/>
      <c r="C27" s="137"/>
      <c r="D27" s="136"/>
      <c r="E27" s="85"/>
      <c r="F27" s="85"/>
      <c r="G27" s="148">
        <f>SUM(J12:J24)</f>
        <v>71522</v>
      </c>
      <c r="H27" s="149"/>
      <c r="I27" s="149"/>
      <c r="J27" s="149"/>
      <c r="K27" s="82"/>
      <c r="L27" s="84"/>
      <c r="M27" s="106"/>
      <c r="N27" s="106"/>
      <c r="O27" s="103"/>
      <c r="P27" s="105"/>
      <c r="Q27" s="104"/>
      <c r="R27" s="103"/>
      <c r="S27" s="102"/>
    </row>
    <row r="28" spans="1:19" s="101" customFormat="1" ht="19.7" customHeight="1" x14ac:dyDescent="0.15">
      <c r="A28" s="82"/>
      <c r="B28" s="82"/>
      <c r="C28" s="137"/>
      <c r="D28" s="105"/>
      <c r="E28" s="105"/>
      <c r="F28" s="105"/>
      <c r="G28" s="86"/>
      <c r="H28" s="110"/>
      <c r="I28" s="109"/>
      <c r="J28" s="96"/>
      <c r="K28" s="108"/>
      <c r="L28" s="107"/>
      <c r="M28" s="106"/>
      <c r="N28" s="106"/>
      <c r="O28" s="103"/>
      <c r="P28" s="105"/>
      <c r="Q28" s="104"/>
      <c r="R28" s="103"/>
      <c r="S28" s="102"/>
    </row>
    <row r="29" spans="1:19" s="101" customFormat="1" ht="19.7" customHeight="1" x14ac:dyDescent="0.15">
      <c r="A29" s="82"/>
      <c r="B29" s="82"/>
      <c r="C29" s="137"/>
      <c r="D29" s="105"/>
      <c r="E29" s="105"/>
      <c r="F29" s="105"/>
      <c r="G29" s="86"/>
      <c r="H29" s="110"/>
      <c r="I29" s="109"/>
      <c r="J29" s="96"/>
      <c r="K29" s="108"/>
      <c r="L29" s="107"/>
      <c r="M29" s="106"/>
      <c r="N29" s="106"/>
      <c r="O29" s="103"/>
      <c r="P29" s="105"/>
      <c r="Q29" s="104"/>
      <c r="R29" s="103"/>
      <c r="S29" s="102"/>
    </row>
    <row r="30" spans="1:19" s="101" customFormat="1" ht="19.7" customHeight="1" x14ac:dyDescent="0.15">
      <c r="A30" s="82"/>
      <c r="B30" s="82"/>
      <c r="C30" s="137"/>
      <c r="D30" s="105"/>
      <c r="E30" s="312" t="s">
        <v>356</v>
      </c>
      <c r="F30" s="313"/>
      <c r="G30" s="314"/>
      <c r="H30" s="110"/>
      <c r="I30" s="109"/>
      <c r="J30" s="96"/>
      <c r="K30" s="108"/>
      <c r="L30" s="107"/>
      <c r="M30" s="106"/>
      <c r="N30" s="106"/>
      <c r="O30" s="103"/>
      <c r="P30" s="105"/>
      <c r="Q30" s="104"/>
      <c r="R30" s="103"/>
      <c r="S30" s="102"/>
    </row>
    <row r="31" spans="1:19" s="101" customFormat="1" ht="19.7" customHeight="1" x14ac:dyDescent="0.15">
      <c r="A31" s="142" t="s">
        <v>225</v>
      </c>
      <c r="B31" s="82"/>
      <c r="C31" s="82">
        <v>0.25</v>
      </c>
      <c r="D31" s="167">
        <f>+D25+1</f>
        <v>15</v>
      </c>
      <c r="E31" s="160" t="s">
        <v>141</v>
      </c>
      <c r="F31" s="81" t="s">
        <v>140</v>
      </c>
      <c r="G31" s="177" t="s">
        <v>376</v>
      </c>
      <c r="H31" s="247">
        <v>1</v>
      </c>
      <c r="I31" s="274">
        <v>3803</v>
      </c>
      <c r="J31" s="245">
        <f t="shared" ref="J31:J37" si="2">H31*I31</f>
        <v>3803</v>
      </c>
      <c r="K31" s="108"/>
      <c r="L31" s="107" t="s">
        <v>349</v>
      </c>
      <c r="M31" s="106"/>
      <c r="N31" s="301" t="s">
        <v>516</v>
      </c>
      <c r="O31" s="103">
        <v>45938</v>
      </c>
      <c r="P31" s="105"/>
      <c r="Q31" s="242">
        <v>45952</v>
      </c>
      <c r="R31" s="103">
        <v>45953</v>
      </c>
      <c r="S31" s="102">
        <v>45953</v>
      </c>
    </row>
    <row r="32" spans="1:19" s="101" customFormat="1" ht="19.7" customHeight="1" x14ac:dyDescent="0.15">
      <c r="A32" s="142" t="s">
        <v>139</v>
      </c>
      <c r="B32" s="82"/>
      <c r="C32" s="82">
        <v>0.01</v>
      </c>
      <c r="D32" s="167">
        <f t="shared" ref="D32:D37" si="3">+D31+1</f>
        <v>16</v>
      </c>
      <c r="E32" s="165" t="s">
        <v>140</v>
      </c>
      <c r="F32" s="165" t="s">
        <v>140</v>
      </c>
      <c r="G32" s="177" t="s">
        <v>350</v>
      </c>
      <c r="H32" s="247">
        <v>11</v>
      </c>
      <c r="I32" s="274">
        <v>41</v>
      </c>
      <c r="J32" s="245">
        <f t="shared" si="2"/>
        <v>451</v>
      </c>
      <c r="K32" s="108"/>
      <c r="L32" s="107" t="s">
        <v>363</v>
      </c>
      <c r="M32" s="106"/>
      <c r="N32" s="301" t="s">
        <v>516</v>
      </c>
      <c r="O32" s="103">
        <v>45938</v>
      </c>
      <c r="P32" s="105"/>
      <c r="Q32" s="242">
        <v>45952</v>
      </c>
      <c r="R32" s="103">
        <v>45953</v>
      </c>
      <c r="S32" s="102">
        <v>45953</v>
      </c>
    </row>
    <row r="33" spans="1:19" s="101" customFormat="1" ht="19.7" customHeight="1" x14ac:dyDescent="0.15">
      <c r="A33" s="142" t="s">
        <v>139</v>
      </c>
      <c r="B33" s="82"/>
      <c r="C33" s="82">
        <v>0.03</v>
      </c>
      <c r="D33" s="167">
        <f t="shared" si="3"/>
        <v>17</v>
      </c>
      <c r="E33" s="165" t="s">
        <v>140</v>
      </c>
      <c r="F33" s="165" t="s">
        <v>140</v>
      </c>
      <c r="G33" s="177" t="s">
        <v>351</v>
      </c>
      <c r="H33" s="247">
        <v>6</v>
      </c>
      <c r="I33" s="274">
        <v>112</v>
      </c>
      <c r="J33" s="245">
        <f t="shared" si="2"/>
        <v>672</v>
      </c>
      <c r="K33" s="108"/>
      <c r="L33" s="107" t="s">
        <v>505</v>
      </c>
      <c r="M33" s="106"/>
      <c r="N33" s="301" t="s">
        <v>516</v>
      </c>
      <c r="O33" s="103">
        <v>45938</v>
      </c>
      <c r="P33" s="105"/>
      <c r="Q33" s="242">
        <v>45952</v>
      </c>
      <c r="R33" s="103">
        <v>45953</v>
      </c>
      <c r="S33" s="102">
        <v>45953</v>
      </c>
    </row>
    <row r="34" spans="1:19" s="101" customFormat="1" ht="19.7" customHeight="1" x14ac:dyDescent="0.15">
      <c r="A34" s="142" t="s">
        <v>224</v>
      </c>
      <c r="B34" s="82"/>
      <c r="C34" s="82">
        <v>0.08</v>
      </c>
      <c r="D34" s="167">
        <f t="shared" si="3"/>
        <v>18</v>
      </c>
      <c r="E34" s="160" t="s">
        <v>141</v>
      </c>
      <c r="F34" s="81" t="s">
        <v>140</v>
      </c>
      <c r="G34" s="177" t="s">
        <v>377</v>
      </c>
      <c r="H34" s="247">
        <v>1</v>
      </c>
      <c r="I34" s="274">
        <v>15176</v>
      </c>
      <c r="J34" s="245">
        <f t="shared" si="2"/>
        <v>15176</v>
      </c>
      <c r="K34" s="108"/>
      <c r="L34" s="107" t="s">
        <v>352</v>
      </c>
      <c r="M34" s="106"/>
      <c r="N34" s="301" t="s">
        <v>516</v>
      </c>
      <c r="O34" s="103">
        <v>45938</v>
      </c>
      <c r="P34" s="105"/>
      <c r="Q34" s="242">
        <v>45952</v>
      </c>
      <c r="R34" s="103">
        <v>45953</v>
      </c>
      <c r="S34" s="102">
        <v>45953</v>
      </c>
    </row>
    <row r="35" spans="1:19" s="101" customFormat="1" ht="19.7" customHeight="1" x14ac:dyDescent="0.15">
      <c r="A35" s="142" t="s">
        <v>139</v>
      </c>
      <c r="B35" s="82"/>
      <c r="C35" s="82">
        <v>0.05</v>
      </c>
      <c r="D35" s="167">
        <f t="shared" si="3"/>
        <v>19</v>
      </c>
      <c r="E35" s="165" t="s">
        <v>140</v>
      </c>
      <c r="F35" s="165" t="s">
        <v>140</v>
      </c>
      <c r="G35" s="177" t="s">
        <v>353</v>
      </c>
      <c r="H35" s="247">
        <v>2</v>
      </c>
      <c r="I35" s="274">
        <v>792</v>
      </c>
      <c r="J35" s="245">
        <f t="shared" si="2"/>
        <v>1584</v>
      </c>
      <c r="K35" s="108"/>
      <c r="L35" s="154" t="s">
        <v>365</v>
      </c>
      <c r="M35" s="106"/>
      <c r="N35" s="301" t="s">
        <v>516</v>
      </c>
      <c r="O35" s="103">
        <v>45938</v>
      </c>
      <c r="P35" s="105"/>
      <c r="Q35" s="242">
        <v>45952</v>
      </c>
      <c r="R35" s="103">
        <v>45953</v>
      </c>
      <c r="S35" s="102">
        <v>45953</v>
      </c>
    </row>
    <row r="36" spans="1:19" s="101" customFormat="1" ht="19.7" customHeight="1" x14ac:dyDescent="0.15">
      <c r="A36" s="142" t="s">
        <v>139</v>
      </c>
      <c r="B36" s="82"/>
      <c r="C36" s="82">
        <v>0.05</v>
      </c>
      <c r="D36" s="167">
        <f t="shared" si="3"/>
        <v>20</v>
      </c>
      <c r="E36" s="81" t="s">
        <v>140</v>
      </c>
      <c r="F36" s="81" t="s">
        <v>140</v>
      </c>
      <c r="G36" s="150" t="s">
        <v>354</v>
      </c>
      <c r="H36" s="248">
        <v>2</v>
      </c>
      <c r="I36" s="275">
        <v>82</v>
      </c>
      <c r="J36" s="245">
        <f t="shared" si="2"/>
        <v>164</v>
      </c>
      <c r="K36" s="152"/>
      <c r="L36" s="153" t="s">
        <v>364</v>
      </c>
      <c r="M36" s="106"/>
      <c r="N36" s="301" t="s">
        <v>516</v>
      </c>
      <c r="O36" s="103">
        <v>45938</v>
      </c>
      <c r="P36" s="105"/>
      <c r="Q36" s="242">
        <v>45952</v>
      </c>
      <c r="R36" s="103">
        <v>45953</v>
      </c>
      <c r="S36" s="102">
        <v>45953</v>
      </c>
    </row>
    <row r="37" spans="1:19" s="101" customFormat="1" ht="19.7" customHeight="1" x14ac:dyDescent="0.15">
      <c r="A37" s="142" t="s">
        <v>139</v>
      </c>
      <c r="B37" s="82"/>
      <c r="C37" s="82">
        <v>0.01</v>
      </c>
      <c r="D37" s="167">
        <f t="shared" si="3"/>
        <v>21</v>
      </c>
      <c r="E37" s="165" t="s">
        <v>140</v>
      </c>
      <c r="F37" s="165" t="s">
        <v>140</v>
      </c>
      <c r="G37" s="177" t="s">
        <v>355</v>
      </c>
      <c r="H37" s="247">
        <v>2</v>
      </c>
      <c r="I37" s="274">
        <v>187</v>
      </c>
      <c r="J37" s="244">
        <f t="shared" si="2"/>
        <v>374</v>
      </c>
      <c r="K37" s="108"/>
      <c r="L37" s="107" t="s">
        <v>363</v>
      </c>
      <c r="M37" s="106"/>
      <c r="N37" s="301" t="s">
        <v>516</v>
      </c>
      <c r="O37" s="103">
        <v>45938</v>
      </c>
      <c r="P37" s="105"/>
      <c r="Q37" s="242">
        <v>45952</v>
      </c>
      <c r="R37" s="103">
        <v>45953</v>
      </c>
      <c r="S37" s="102">
        <v>45953</v>
      </c>
    </row>
    <row r="38" spans="1:19" s="101" customFormat="1" ht="19.7" customHeight="1" x14ac:dyDescent="0.15">
      <c r="A38" s="82"/>
      <c r="B38" s="82"/>
      <c r="C38" s="137"/>
      <c r="D38" s="105"/>
      <c r="E38" s="105"/>
      <c r="F38" s="105"/>
      <c r="G38" s="86"/>
      <c r="H38" s="110"/>
      <c r="I38" s="109"/>
      <c r="J38" s="96"/>
      <c r="K38" s="108"/>
      <c r="L38" s="107"/>
      <c r="M38" s="106"/>
      <c r="N38" s="106"/>
      <c r="O38" s="103"/>
      <c r="P38" s="105"/>
      <c r="Q38" s="104"/>
      <c r="R38" s="103"/>
      <c r="S38" s="102"/>
    </row>
    <row r="39" spans="1:19" s="101" customFormat="1" ht="19.7" customHeight="1" x14ac:dyDescent="0.15">
      <c r="A39" s="82"/>
      <c r="B39" s="82"/>
      <c r="C39" s="82"/>
      <c r="D39" s="105"/>
      <c r="E39" s="105"/>
      <c r="F39" s="105"/>
      <c r="G39" s="148">
        <f>SUM(J31:J38)</f>
        <v>22224</v>
      </c>
      <c r="H39" s="110"/>
      <c r="I39" s="109"/>
      <c r="J39" s="96"/>
      <c r="K39" s="108"/>
      <c r="L39" s="107"/>
      <c r="M39" s="106"/>
      <c r="N39" s="106"/>
      <c r="O39" s="103"/>
      <c r="P39" s="105"/>
      <c r="Q39" s="104"/>
      <c r="R39" s="103"/>
      <c r="S39" s="102"/>
    </row>
    <row r="40" spans="1:19" s="101" customFormat="1" ht="19.7" customHeight="1" x14ac:dyDescent="0.15">
      <c r="A40" s="82"/>
      <c r="B40" s="82"/>
      <c r="C40" s="82"/>
      <c r="D40" s="105"/>
      <c r="E40" s="105"/>
      <c r="F40" s="105"/>
      <c r="G40" s="86"/>
      <c r="H40" s="110"/>
      <c r="I40" s="109"/>
      <c r="J40" s="96"/>
      <c r="K40" s="108"/>
      <c r="L40" s="107"/>
      <c r="M40" s="106"/>
      <c r="N40" s="106"/>
      <c r="O40" s="103"/>
      <c r="P40" s="105"/>
      <c r="Q40" s="104"/>
      <c r="R40" s="103"/>
      <c r="S40" s="102"/>
    </row>
    <row r="41" spans="1:19" s="101" customFormat="1" ht="19.7" customHeight="1" x14ac:dyDescent="0.15">
      <c r="A41" s="82"/>
      <c r="B41" s="82"/>
      <c r="C41" s="82"/>
      <c r="D41" s="105"/>
      <c r="E41" s="105"/>
      <c r="F41" s="105"/>
      <c r="G41" s="86"/>
      <c r="H41" s="110"/>
      <c r="I41" s="109"/>
      <c r="J41" s="96"/>
      <c r="K41" s="108"/>
      <c r="L41" s="107"/>
      <c r="M41" s="106"/>
      <c r="N41" s="106"/>
      <c r="O41" s="103"/>
      <c r="P41" s="105"/>
      <c r="Q41" s="104"/>
      <c r="R41" s="103"/>
      <c r="S41" s="102"/>
    </row>
    <row r="42" spans="1:19" s="101" customFormat="1" ht="19.7" customHeight="1" x14ac:dyDescent="0.15">
      <c r="A42" s="82"/>
      <c r="B42" s="82"/>
      <c r="C42" s="82"/>
      <c r="D42" s="105"/>
      <c r="E42" s="312" t="s">
        <v>357</v>
      </c>
      <c r="F42" s="313"/>
      <c r="G42" s="314"/>
      <c r="H42" s="110"/>
      <c r="I42" s="109"/>
      <c r="J42" s="96"/>
      <c r="K42" s="108"/>
      <c r="L42" s="107"/>
      <c r="M42" s="106"/>
      <c r="N42" s="106"/>
      <c r="O42" s="103"/>
      <c r="P42" s="105"/>
      <c r="Q42" s="104"/>
      <c r="R42" s="103"/>
      <c r="S42" s="102"/>
    </row>
    <row r="43" spans="1:19" s="101" customFormat="1" ht="19.7" customHeight="1" x14ac:dyDescent="0.15">
      <c r="A43" s="142" t="s">
        <v>225</v>
      </c>
      <c r="B43" s="82"/>
      <c r="C43" s="82">
        <v>0.2</v>
      </c>
      <c r="D43" s="167">
        <f>+D37+1</f>
        <v>22</v>
      </c>
      <c r="E43" s="160" t="s">
        <v>141</v>
      </c>
      <c r="F43" s="81" t="s">
        <v>140</v>
      </c>
      <c r="G43" s="177" t="s">
        <v>378</v>
      </c>
      <c r="H43" s="178">
        <v>1</v>
      </c>
      <c r="I43" s="276">
        <v>2740</v>
      </c>
      <c r="J43" s="206">
        <f t="shared" ref="J43:J47" si="4">H43*I43</f>
        <v>2740</v>
      </c>
      <c r="K43" s="108"/>
      <c r="L43" s="107" t="s">
        <v>358</v>
      </c>
      <c r="M43" s="106"/>
      <c r="N43" s="301" t="s">
        <v>516</v>
      </c>
      <c r="O43" s="103">
        <v>45938</v>
      </c>
      <c r="P43" s="105"/>
      <c r="Q43" s="242">
        <v>45952</v>
      </c>
      <c r="R43" s="103">
        <v>45953</v>
      </c>
      <c r="S43" s="102">
        <v>45953</v>
      </c>
    </row>
    <row r="44" spans="1:19" s="101" customFormat="1" ht="19.7" customHeight="1" x14ac:dyDescent="0.15">
      <c r="A44" s="142" t="s">
        <v>139</v>
      </c>
      <c r="B44" s="82"/>
      <c r="C44" s="82">
        <v>0.01</v>
      </c>
      <c r="D44" s="167">
        <f>+D43+1</f>
        <v>23</v>
      </c>
      <c r="E44" s="165" t="s">
        <v>140</v>
      </c>
      <c r="F44" s="165" t="s">
        <v>140</v>
      </c>
      <c r="G44" s="177" t="s">
        <v>359</v>
      </c>
      <c r="H44" s="178">
        <v>4</v>
      </c>
      <c r="I44" s="276">
        <v>83</v>
      </c>
      <c r="J44" s="206">
        <f t="shared" si="4"/>
        <v>332</v>
      </c>
      <c r="K44" s="108"/>
      <c r="L44" s="107" t="s">
        <v>362</v>
      </c>
      <c r="M44" s="106"/>
      <c r="N44" s="301" t="s">
        <v>516</v>
      </c>
      <c r="O44" s="103">
        <v>45938</v>
      </c>
      <c r="P44" s="105"/>
      <c r="Q44" s="242">
        <v>45952</v>
      </c>
      <c r="R44" s="103">
        <v>45953</v>
      </c>
      <c r="S44" s="102">
        <v>45953</v>
      </c>
    </row>
    <row r="45" spans="1:19" s="101" customFormat="1" ht="19.7" customHeight="1" x14ac:dyDescent="0.15">
      <c r="A45" s="142" t="s">
        <v>225</v>
      </c>
      <c r="B45" s="82"/>
      <c r="C45" s="82">
        <v>0.1</v>
      </c>
      <c r="D45" s="167">
        <f>+D44+1</f>
        <v>24</v>
      </c>
      <c r="E45" s="160" t="s">
        <v>141</v>
      </c>
      <c r="F45" s="81" t="s">
        <v>140</v>
      </c>
      <c r="G45" s="177" t="s">
        <v>379</v>
      </c>
      <c r="H45" s="178">
        <v>1</v>
      </c>
      <c r="I45" s="276">
        <v>4040</v>
      </c>
      <c r="J45" s="206">
        <f t="shared" si="4"/>
        <v>4040</v>
      </c>
      <c r="K45" s="108"/>
      <c r="L45" s="107" t="s">
        <v>360</v>
      </c>
      <c r="M45" s="106"/>
      <c r="N45" s="301" t="s">
        <v>516</v>
      </c>
      <c r="O45" s="103">
        <v>45938</v>
      </c>
      <c r="P45" s="105"/>
      <c r="Q45" s="242">
        <v>45952</v>
      </c>
      <c r="R45" s="103">
        <v>45953</v>
      </c>
      <c r="S45" s="102">
        <v>45953</v>
      </c>
    </row>
    <row r="46" spans="1:19" s="101" customFormat="1" ht="19.7" customHeight="1" x14ac:dyDescent="0.15">
      <c r="A46" s="142" t="s">
        <v>225</v>
      </c>
      <c r="B46" s="82"/>
      <c r="C46" s="82">
        <v>0.15</v>
      </c>
      <c r="D46" s="167">
        <f t="shared" ref="D46:D47" si="5">+D45+1</f>
        <v>25</v>
      </c>
      <c r="E46" s="160" t="s">
        <v>141</v>
      </c>
      <c r="F46" s="81" t="s">
        <v>140</v>
      </c>
      <c r="G46" s="177" t="s">
        <v>380</v>
      </c>
      <c r="H46" s="178">
        <v>1</v>
      </c>
      <c r="I46" s="276">
        <v>2940</v>
      </c>
      <c r="J46" s="206">
        <f t="shared" si="4"/>
        <v>2940</v>
      </c>
      <c r="K46" s="108"/>
      <c r="L46" s="107" t="s">
        <v>361</v>
      </c>
      <c r="M46" s="106"/>
      <c r="N46" s="301" t="s">
        <v>516</v>
      </c>
      <c r="O46" s="103">
        <v>45938</v>
      </c>
      <c r="P46" s="105"/>
      <c r="Q46" s="242">
        <v>45952</v>
      </c>
      <c r="R46" s="103">
        <v>45953</v>
      </c>
      <c r="S46" s="102">
        <v>45953</v>
      </c>
    </row>
    <row r="47" spans="1:19" s="101" customFormat="1" ht="19.7" customHeight="1" x14ac:dyDescent="0.15">
      <c r="A47" s="142" t="s">
        <v>383</v>
      </c>
      <c r="B47" s="82"/>
      <c r="C47" s="82">
        <v>0.08</v>
      </c>
      <c r="D47" s="167">
        <f t="shared" si="5"/>
        <v>26</v>
      </c>
      <c r="E47" s="160" t="s">
        <v>141</v>
      </c>
      <c r="F47" s="81" t="s">
        <v>140</v>
      </c>
      <c r="G47" s="177" t="s">
        <v>382</v>
      </c>
      <c r="H47" s="178">
        <v>1</v>
      </c>
      <c r="I47" s="276">
        <v>3897</v>
      </c>
      <c r="J47" s="206">
        <f t="shared" si="4"/>
        <v>3897</v>
      </c>
      <c r="K47" s="108"/>
      <c r="L47" s="107" t="s">
        <v>381</v>
      </c>
      <c r="M47" s="106"/>
      <c r="N47" s="301" t="s">
        <v>516</v>
      </c>
      <c r="O47" s="103">
        <v>45938</v>
      </c>
      <c r="P47" s="105"/>
      <c r="Q47" s="242">
        <v>45952</v>
      </c>
      <c r="R47" s="103">
        <v>45953</v>
      </c>
      <c r="S47" s="102">
        <v>45953</v>
      </c>
    </row>
    <row r="48" spans="1:19" s="101" customFormat="1" ht="19.7" customHeight="1" x14ac:dyDescent="0.15">
      <c r="A48" s="82"/>
      <c r="B48" s="82"/>
      <c r="C48" s="82"/>
      <c r="D48" s="105"/>
      <c r="E48" s="105"/>
      <c r="F48" s="105"/>
      <c r="G48" s="86"/>
      <c r="H48" s="110"/>
      <c r="I48" s="109"/>
      <c r="J48" s="96"/>
      <c r="K48" s="108"/>
      <c r="L48" s="107"/>
      <c r="M48" s="106"/>
      <c r="N48" s="106"/>
      <c r="O48" s="103"/>
      <c r="P48" s="105"/>
      <c r="Q48" s="104"/>
      <c r="R48" s="103"/>
      <c r="S48" s="102"/>
    </row>
    <row r="49" spans="1:19" s="101" customFormat="1" ht="19.7" customHeight="1" x14ac:dyDescent="0.15">
      <c r="A49" s="82"/>
      <c r="B49" s="82"/>
      <c r="C49" s="82"/>
      <c r="D49" s="105"/>
      <c r="E49" s="105"/>
      <c r="F49" s="105"/>
      <c r="G49" s="148">
        <f>SUM(J43:J48)</f>
        <v>13949</v>
      </c>
      <c r="H49" s="110"/>
      <c r="I49" s="109"/>
      <c r="J49" s="96"/>
      <c r="K49" s="108"/>
      <c r="L49" s="107"/>
      <c r="M49" s="106"/>
      <c r="N49" s="106"/>
      <c r="O49" s="103"/>
      <c r="P49" s="105"/>
      <c r="Q49" s="104"/>
      <c r="R49" s="103"/>
      <c r="S49" s="102"/>
    </row>
    <row r="50" spans="1:19" s="101" customFormat="1" ht="19.7" customHeight="1" x14ac:dyDescent="0.15">
      <c r="A50" s="82"/>
      <c r="B50" s="82"/>
      <c r="C50" s="82"/>
      <c r="D50" s="105"/>
      <c r="E50" s="105"/>
      <c r="F50" s="105"/>
      <c r="G50" s="86"/>
      <c r="H50" s="110"/>
      <c r="I50" s="109"/>
      <c r="J50" s="96"/>
      <c r="K50" s="108"/>
      <c r="L50" s="107"/>
      <c r="M50" s="106"/>
      <c r="N50" s="106"/>
      <c r="O50" s="103"/>
      <c r="P50" s="105"/>
      <c r="Q50" s="104"/>
      <c r="R50" s="103"/>
      <c r="S50" s="102"/>
    </row>
    <row r="51" spans="1:19" s="101" customFormat="1" ht="19.7" customHeight="1" x14ac:dyDescent="0.15">
      <c r="A51" s="82"/>
      <c r="B51" s="82"/>
      <c r="C51" s="82"/>
      <c r="D51" s="105"/>
      <c r="E51" s="105"/>
      <c r="F51" s="105"/>
      <c r="G51" s="86"/>
      <c r="H51" s="110"/>
      <c r="I51" s="109"/>
      <c r="J51" s="96"/>
      <c r="K51" s="108"/>
      <c r="L51" s="107"/>
      <c r="M51" s="106"/>
      <c r="N51" s="106"/>
      <c r="O51" s="103"/>
      <c r="P51" s="105"/>
      <c r="Q51" s="104"/>
      <c r="R51" s="103"/>
      <c r="S51" s="102"/>
    </row>
    <row r="52" spans="1:19" s="101" customFormat="1" ht="19.7" customHeight="1" x14ac:dyDescent="0.15">
      <c r="A52" s="82"/>
      <c r="B52" s="82"/>
      <c r="C52" s="82"/>
      <c r="D52" s="105"/>
      <c r="E52" s="324" t="s">
        <v>371</v>
      </c>
      <c r="F52" s="325"/>
      <c r="G52" s="326"/>
      <c r="H52" s="155"/>
      <c r="I52" s="156"/>
      <c r="J52" s="157"/>
      <c r="K52" s="158"/>
      <c r="L52" s="159"/>
      <c r="M52" s="106"/>
      <c r="N52" s="106"/>
      <c r="O52" s="103"/>
      <c r="P52" s="105"/>
      <c r="Q52" s="104"/>
      <c r="R52" s="103"/>
      <c r="S52" s="102"/>
    </row>
    <row r="53" spans="1:19" s="101" customFormat="1" ht="19.7" customHeight="1" x14ac:dyDescent="0.15">
      <c r="A53" s="142" t="s">
        <v>225</v>
      </c>
      <c r="B53" s="82"/>
      <c r="C53" s="82">
        <v>0.15</v>
      </c>
      <c r="D53" s="167">
        <f>+D47+1</f>
        <v>27</v>
      </c>
      <c r="E53" s="160" t="s">
        <v>141</v>
      </c>
      <c r="F53" s="81" t="s">
        <v>140</v>
      </c>
      <c r="G53" s="194" t="s">
        <v>366</v>
      </c>
      <c r="H53" s="173">
        <v>1</v>
      </c>
      <c r="I53" s="279">
        <v>2320</v>
      </c>
      <c r="J53" s="206">
        <f t="shared" ref="J53:J57" si="6">H53*I53</f>
        <v>2320</v>
      </c>
      <c r="K53" s="163"/>
      <c r="L53" s="161" t="s">
        <v>367</v>
      </c>
      <c r="M53" s="106"/>
      <c r="N53" s="301" t="s">
        <v>516</v>
      </c>
      <c r="O53" s="103">
        <v>45938</v>
      </c>
      <c r="P53" s="105"/>
      <c r="Q53" s="242">
        <v>45952</v>
      </c>
      <c r="R53" s="103">
        <v>45953</v>
      </c>
      <c r="S53" s="102">
        <v>45953</v>
      </c>
    </row>
    <row r="54" spans="1:19" s="101" customFormat="1" ht="19.7" customHeight="1" x14ac:dyDescent="0.15">
      <c r="A54" s="142" t="s">
        <v>139</v>
      </c>
      <c r="B54" s="82"/>
      <c r="C54" s="82">
        <v>0.05</v>
      </c>
      <c r="D54" s="167">
        <f t="shared" ref="D54:D57" si="7">+D53+1</f>
        <v>28</v>
      </c>
      <c r="E54" s="165" t="s">
        <v>140</v>
      </c>
      <c r="F54" s="165" t="s">
        <v>140</v>
      </c>
      <c r="G54" s="172" t="s">
        <v>368</v>
      </c>
      <c r="H54" s="173">
        <v>1</v>
      </c>
      <c r="I54" s="279">
        <v>1178</v>
      </c>
      <c r="J54" s="206">
        <f t="shared" si="6"/>
        <v>1178</v>
      </c>
      <c r="K54" s="161"/>
      <c r="L54" s="164" t="s">
        <v>369</v>
      </c>
      <c r="M54" s="106"/>
      <c r="N54" s="301" t="s">
        <v>516</v>
      </c>
      <c r="O54" s="103">
        <v>45938</v>
      </c>
      <c r="P54" s="105"/>
      <c r="Q54" s="242">
        <v>45952</v>
      </c>
      <c r="R54" s="103">
        <v>45953</v>
      </c>
      <c r="S54" s="102">
        <v>45953</v>
      </c>
    </row>
    <row r="55" spans="1:19" s="101" customFormat="1" ht="19.7" customHeight="1" x14ac:dyDescent="0.15">
      <c r="A55" s="142" t="s">
        <v>139</v>
      </c>
      <c r="B55" s="82"/>
      <c r="C55" s="82">
        <v>0.01</v>
      </c>
      <c r="D55" s="167">
        <f t="shared" si="7"/>
        <v>29</v>
      </c>
      <c r="E55" s="168" t="s">
        <v>372</v>
      </c>
      <c r="F55" s="81" t="s">
        <v>140</v>
      </c>
      <c r="G55" s="169" t="s">
        <v>517</v>
      </c>
      <c r="H55" s="170">
        <v>1</v>
      </c>
      <c r="I55" s="278">
        <v>157</v>
      </c>
      <c r="J55" s="206">
        <f t="shared" si="6"/>
        <v>157</v>
      </c>
      <c r="K55" s="166"/>
      <c r="L55" s="171" t="s">
        <v>373</v>
      </c>
      <c r="M55" s="106"/>
      <c r="N55" s="301" t="s">
        <v>516</v>
      </c>
      <c r="O55" s="103">
        <v>45938</v>
      </c>
      <c r="P55" s="105"/>
      <c r="Q55" s="242">
        <v>45952</v>
      </c>
      <c r="R55" s="103">
        <v>45953</v>
      </c>
      <c r="S55" s="102">
        <v>45953</v>
      </c>
    </row>
    <row r="56" spans="1:19" s="101" customFormat="1" ht="19.7" customHeight="1" x14ac:dyDescent="0.15">
      <c r="A56" s="142" t="s">
        <v>139</v>
      </c>
      <c r="B56" s="82"/>
      <c r="C56" s="82">
        <v>0.01</v>
      </c>
      <c r="D56" s="167">
        <f t="shared" si="7"/>
        <v>30</v>
      </c>
      <c r="E56" s="168" t="s">
        <v>372</v>
      </c>
      <c r="F56" s="81" t="s">
        <v>140</v>
      </c>
      <c r="G56" s="302" t="s">
        <v>518</v>
      </c>
      <c r="H56" s="303">
        <v>1</v>
      </c>
      <c r="I56" s="304">
        <v>157</v>
      </c>
      <c r="J56" s="305">
        <f t="shared" si="6"/>
        <v>157</v>
      </c>
      <c r="K56" s="166"/>
      <c r="L56" s="171" t="s">
        <v>373</v>
      </c>
      <c r="M56" s="106"/>
      <c r="N56" s="306" t="s">
        <v>519</v>
      </c>
      <c r="O56" s="103">
        <v>45939</v>
      </c>
      <c r="P56" s="105"/>
      <c r="Q56" s="242">
        <v>45952</v>
      </c>
      <c r="R56" s="103">
        <v>45953</v>
      </c>
      <c r="S56" s="102">
        <v>45953</v>
      </c>
    </row>
    <row r="57" spans="1:19" s="101" customFormat="1" ht="19.7" customHeight="1" x14ac:dyDescent="0.15">
      <c r="A57" s="142" t="s">
        <v>139</v>
      </c>
      <c r="B57" s="82"/>
      <c r="C57" s="82">
        <v>0.01</v>
      </c>
      <c r="D57" s="167">
        <f t="shared" si="7"/>
        <v>31</v>
      </c>
      <c r="E57" s="165" t="s">
        <v>140</v>
      </c>
      <c r="F57" s="165" t="s">
        <v>140</v>
      </c>
      <c r="G57" s="172" t="s">
        <v>374</v>
      </c>
      <c r="H57" s="173">
        <v>2</v>
      </c>
      <c r="I57" s="279">
        <v>346</v>
      </c>
      <c r="J57" s="206">
        <f t="shared" si="6"/>
        <v>692</v>
      </c>
      <c r="K57" s="175"/>
      <c r="L57" s="176" t="s">
        <v>375</v>
      </c>
      <c r="M57" s="106"/>
      <c r="N57" s="301" t="s">
        <v>516</v>
      </c>
      <c r="O57" s="103">
        <v>45938</v>
      </c>
      <c r="P57" s="105"/>
      <c r="Q57" s="242">
        <v>45952</v>
      </c>
      <c r="R57" s="103">
        <v>45953</v>
      </c>
      <c r="S57" s="102">
        <v>45953</v>
      </c>
    </row>
    <row r="58" spans="1:19" s="101" customFormat="1" ht="19.7" customHeight="1" x14ac:dyDescent="0.15">
      <c r="A58" s="82"/>
      <c r="B58" s="82"/>
      <c r="C58" s="82"/>
      <c r="D58" s="105"/>
      <c r="E58" s="105"/>
      <c r="F58" s="105"/>
      <c r="G58" s="86"/>
      <c r="H58" s="110"/>
      <c r="I58" s="109"/>
      <c r="J58" s="96"/>
      <c r="K58" s="108"/>
      <c r="L58" s="107"/>
      <c r="M58" s="106"/>
      <c r="N58" s="106"/>
      <c r="O58" s="103"/>
      <c r="P58" s="105"/>
      <c r="Q58" s="104"/>
      <c r="R58" s="103"/>
      <c r="S58" s="102"/>
    </row>
    <row r="59" spans="1:19" s="101" customFormat="1" ht="19.7" customHeight="1" x14ac:dyDescent="0.15">
      <c r="A59" s="82"/>
      <c r="B59" s="82"/>
      <c r="C59" s="82"/>
      <c r="D59" s="105"/>
      <c r="E59" s="105"/>
      <c r="F59" s="105"/>
      <c r="G59" s="148">
        <f>SUM(J53:J58)</f>
        <v>4504</v>
      </c>
      <c r="H59" s="110"/>
      <c r="I59" s="109"/>
      <c r="J59" s="96"/>
      <c r="K59" s="108"/>
      <c r="L59" s="107"/>
      <c r="M59" s="106"/>
      <c r="N59" s="106"/>
      <c r="O59" s="103"/>
      <c r="P59" s="105"/>
      <c r="Q59" s="104"/>
      <c r="R59" s="103"/>
      <c r="S59" s="102"/>
    </row>
    <row r="60" spans="1:19" s="101" customFormat="1" ht="19.7" customHeight="1" x14ac:dyDescent="0.15">
      <c r="A60" s="82"/>
      <c r="B60" s="82"/>
      <c r="C60" s="82"/>
      <c r="D60" s="105"/>
      <c r="E60" s="105"/>
      <c r="F60" s="105"/>
      <c r="G60" s="86"/>
      <c r="H60" s="110"/>
      <c r="I60" s="109"/>
      <c r="J60" s="96"/>
      <c r="K60" s="108"/>
      <c r="L60" s="107"/>
      <c r="M60" s="106"/>
      <c r="N60" s="106"/>
      <c r="O60" s="103"/>
      <c r="P60" s="105"/>
      <c r="Q60" s="104"/>
      <c r="R60" s="103"/>
      <c r="S60" s="102"/>
    </row>
    <row r="61" spans="1:19" s="101" customFormat="1" ht="19.7" customHeight="1" x14ac:dyDescent="0.15">
      <c r="A61" s="82"/>
      <c r="B61" s="82"/>
      <c r="C61" s="82"/>
      <c r="D61" s="105"/>
      <c r="E61" s="105"/>
      <c r="F61" s="105"/>
      <c r="G61" s="86"/>
      <c r="H61" s="110"/>
      <c r="I61" s="109"/>
      <c r="J61" s="96"/>
      <c r="K61" s="108"/>
      <c r="L61" s="107"/>
      <c r="M61" s="106"/>
      <c r="N61" s="106"/>
      <c r="O61" s="103"/>
      <c r="P61" s="105"/>
      <c r="Q61" s="104"/>
      <c r="R61" s="103"/>
      <c r="S61" s="102"/>
    </row>
    <row r="62" spans="1:19" s="101" customFormat="1" ht="19.7" customHeight="1" x14ac:dyDescent="0.15">
      <c r="A62" s="82"/>
      <c r="B62" s="82"/>
      <c r="C62" s="82"/>
      <c r="D62" s="105"/>
      <c r="E62" s="105"/>
      <c r="F62" s="105"/>
      <c r="G62" s="86"/>
      <c r="H62" s="110"/>
      <c r="I62" s="109"/>
      <c r="J62" s="96"/>
      <c r="K62" s="108"/>
      <c r="L62" s="107"/>
      <c r="M62" s="106"/>
      <c r="N62" s="106"/>
      <c r="O62" s="103"/>
      <c r="P62" s="105"/>
      <c r="Q62" s="104"/>
      <c r="R62" s="103"/>
      <c r="S62" s="102"/>
    </row>
    <row r="63" spans="1:19" s="101" customFormat="1" ht="19.7" customHeight="1" x14ac:dyDescent="0.15">
      <c r="A63" s="82"/>
      <c r="B63" s="82"/>
      <c r="C63" s="92"/>
      <c r="D63" s="135"/>
      <c r="E63" s="312" t="s">
        <v>303</v>
      </c>
      <c r="F63" s="313"/>
      <c r="G63" s="314"/>
      <c r="H63" s="134"/>
      <c r="I63" s="109"/>
      <c r="J63" s="96"/>
      <c r="K63" s="108"/>
      <c r="L63" s="107"/>
      <c r="M63" s="106"/>
      <c r="N63" s="106"/>
      <c r="O63" s="103"/>
      <c r="P63" s="105"/>
      <c r="Q63" s="104"/>
      <c r="R63" s="103"/>
      <c r="S63" s="102"/>
    </row>
    <row r="64" spans="1:19" s="101" customFormat="1" ht="19.7" customHeight="1" x14ac:dyDescent="0.15">
      <c r="A64" s="142" t="s">
        <v>139</v>
      </c>
      <c r="B64" s="82"/>
      <c r="C64" s="133">
        <f>1.15*H64</f>
        <v>1.1499999999999999</v>
      </c>
      <c r="D64" s="122">
        <f>+D57+1</f>
        <v>32</v>
      </c>
      <c r="E64" s="85" t="s">
        <v>302</v>
      </c>
      <c r="F64" s="85" t="s">
        <v>147</v>
      </c>
      <c r="G64" s="177" t="s">
        <v>301</v>
      </c>
      <c r="H64" s="178">
        <v>1</v>
      </c>
      <c r="I64" s="280">
        <v>14600</v>
      </c>
      <c r="J64" s="129">
        <f t="shared" ref="J64:J81" si="8">H64*I64</f>
        <v>14600</v>
      </c>
      <c r="K64" s="108"/>
      <c r="L64" s="119" t="s">
        <v>300</v>
      </c>
      <c r="M64" s="106" t="s">
        <v>296</v>
      </c>
      <c r="N64" s="301" t="s">
        <v>516</v>
      </c>
      <c r="O64" s="103">
        <v>45938</v>
      </c>
      <c r="P64" s="105"/>
      <c r="Q64" s="242">
        <v>45952</v>
      </c>
      <c r="R64" s="103">
        <v>45953</v>
      </c>
      <c r="S64" s="102">
        <v>45953</v>
      </c>
    </row>
    <row r="65" spans="1:19" s="101" customFormat="1" ht="19.7" customHeight="1" x14ac:dyDescent="0.15">
      <c r="A65" s="142" t="s">
        <v>139</v>
      </c>
      <c r="B65" s="82"/>
      <c r="C65" s="133">
        <f>0.003*H65</f>
        <v>2.4E-2</v>
      </c>
      <c r="D65" s="122">
        <f t="shared" ref="D65:D81" si="9">+D64+1</f>
        <v>33</v>
      </c>
      <c r="E65" s="121" t="s">
        <v>140</v>
      </c>
      <c r="F65" s="121" t="s">
        <v>140</v>
      </c>
      <c r="G65" s="186" t="s">
        <v>260</v>
      </c>
      <c r="H65" s="178">
        <v>8</v>
      </c>
      <c r="I65" s="280">
        <v>99</v>
      </c>
      <c r="J65" s="129">
        <f t="shared" si="8"/>
        <v>792</v>
      </c>
      <c r="K65" s="108"/>
      <c r="L65" s="119" t="s">
        <v>461</v>
      </c>
      <c r="M65" s="106" t="s">
        <v>296</v>
      </c>
      <c r="N65" s="301" t="s">
        <v>516</v>
      </c>
      <c r="O65" s="103">
        <v>45938</v>
      </c>
      <c r="P65" s="105"/>
      <c r="Q65" s="242">
        <v>45952</v>
      </c>
      <c r="R65" s="103">
        <v>45953</v>
      </c>
      <c r="S65" s="102">
        <v>45953</v>
      </c>
    </row>
    <row r="66" spans="1:19" s="101" customFormat="1" ht="19.7" customHeight="1" x14ac:dyDescent="0.15">
      <c r="A66" s="142" t="s">
        <v>139</v>
      </c>
      <c r="B66" s="82"/>
      <c r="C66" s="133">
        <f>0.002*H66</f>
        <v>2.8000000000000001E-2</v>
      </c>
      <c r="D66" s="122">
        <f t="shared" si="9"/>
        <v>34</v>
      </c>
      <c r="E66" s="121" t="s">
        <v>140</v>
      </c>
      <c r="F66" s="121" t="s">
        <v>140</v>
      </c>
      <c r="G66" s="186" t="s">
        <v>261</v>
      </c>
      <c r="H66" s="178">
        <v>14</v>
      </c>
      <c r="I66" s="280">
        <v>99</v>
      </c>
      <c r="J66" s="129">
        <f t="shared" si="8"/>
        <v>1386</v>
      </c>
      <c r="K66" s="108"/>
      <c r="L66" s="119" t="s">
        <v>460</v>
      </c>
      <c r="M66" s="106" t="s">
        <v>296</v>
      </c>
      <c r="N66" s="301" t="s">
        <v>516</v>
      </c>
      <c r="O66" s="103">
        <v>45938</v>
      </c>
      <c r="P66" s="105"/>
      <c r="Q66" s="242">
        <v>45952</v>
      </c>
      <c r="R66" s="103">
        <v>45953</v>
      </c>
      <c r="S66" s="102">
        <v>45953</v>
      </c>
    </row>
    <row r="67" spans="1:19" s="101" customFormat="1" ht="19.7" customHeight="1" x14ac:dyDescent="0.15">
      <c r="A67" s="142" t="s">
        <v>139</v>
      </c>
      <c r="B67" s="82"/>
      <c r="C67" s="82">
        <f>0.01*H67</f>
        <v>0.12</v>
      </c>
      <c r="D67" s="122">
        <f t="shared" si="9"/>
        <v>35</v>
      </c>
      <c r="E67" s="121" t="s">
        <v>140</v>
      </c>
      <c r="F67" s="121" t="s">
        <v>140</v>
      </c>
      <c r="G67" s="177" t="s">
        <v>168</v>
      </c>
      <c r="H67" s="178">
        <v>12</v>
      </c>
      <c r="I67" s="276">
        <v>47</v>
      </c>
      <c r="J67" s="96">
        <f t="shared" si="8"/>
        <v>564</v>
      </c>
      <c r="K67" s="108"/>
      <c r="L67" s="119" t="s">
        <v>510</v>
      </c>
      <c r="M67" s="106" t="s">
        <v>299</v>
      </c>
      <c r="N67" s="301" t="s">
        <v>516</v>
      </c>
      <c r="O67" s="103">
        <v>45938</v>
      </c>
      <c r="P67" s="105"/>
      <c r="Q67" s="242">
        <v>45952</v>
      </c>
      <c r="R67" s="103">
        <v>45953</v>
      </c>
      <c r="S67" s="102">
        <v>45953</v>
      </c>
    </row>
    <row r="68" spans="1:19" s="101" customFormat="1" ht="19.7" customHeight="1" x14ac:dyDescent="0.15">
      <c r="A68" s="142" t="s">
        <v>139</v>
      </c>
      <c r="B68" s="82"/>
      <c r="C68" s="82">
        <f>0.01*H68</f>
        <v>0.02</v>
      </c>
      <c r="D68" s="122">
        <f t="shared" si="9"/>
        <v>36</v>
      </c>
      <c r="E68" s="121" t="s">
        <v>140</v>
      </c>
      <c r="F68" s="121" t="s">
        <v>140</v>
      </c>
      <c r="G68" s="240" t="s">
        <v>298</v>
      </c>
      <c r="H68" s="241">
        <v>2</v>
      </c>
      <c r="I68" s="281">
        <v>116</v>
      </c>
      <c r="J68" s="96">
        <f t="shared" si="8"/>
        <v>232</v>
      </c>
      <c r="K68" s="96"/>
      <c r="L68" s="84" t="s">
        <v>297</v>
      </c>
      <c r="M68" s="106" t="s">
        <v>296</v>
      </c>
      <c r="N68" s="301" t="s">
        <v>516</v>
      </c>
      <c r="O68" s="103">
        <v>45938</v>
      </c>
      <c r="P68" s="105"/>
      <c r="Q68" s="242">
        <v>45952</v>
      </c>
      <c r="R68" s="103">
        <v>45953</v>
      </c>
      <c r="S68" s="102">
        <v>45953</v>
      </c>
    </row>
    <row r="69" spans="1:19" s="92" customFormat="1" ht="19.7" customHeight="1" x14ac:dyDescent="0.15">
      <c r="A69" s="228" t="s">
        <v>449</v>
      </c>
      <c r="B69" s="82"/>
      <c r="C69" s="82">
        <v>0.08</v>
      </c>
      <c r="D69" s="167">
        <f>+D68+1</f>
        <v>37</v>
      </c>
      <c r="E69" s="198" t="s">
        <v>140</v>
      </c>
      <c r="F69" s="198" t="s">
        <v>140</v>
      </c>
      <c r="G69" s="215" t="s">
        <v>435</v>
      </c>
      <c r="H69" s="232">
        <v>1</v>
      </c>
      <c r="I69" s="279">
        <v>582</v>
      </c>
      <c r="J69" s="157">
        <f t="shared" si="8"/>
        <v>582</v>
      </c>
      <c r="K69" s="233"/>
      <c r="L69" s="159" t="s">
        <v>436</v>
      </c>
      <c r="M69" s="175" t="s">
        <v>437</v>
      </c>
      <c r="N69" s="301" t="s">
        <v>516</v>
      </c>
      <c r="O69" s="103">
        <v>45938</v>
      </c>
      <c r="P69" s="105"/>
      <c r="Q69" s="242">
        <v>45952</v>
      </c>
      <c r="R69" s="103">
        <v>45953</v>
      </c>
      <c r="S69" s="102">
        <v>45953</v>
      </c>
    </row>
    <row r="70" spans="1:19" s="92" customFormat="1" ht="19.7" customHeight="1" x14ac:dyDescent="0.15">
      <c r="A70" s="228" t="s">
        <v>432</v>
      </c>
      <c r="B70" s="82"/>
      <c r="C70" s="82">
        <v>0.15</v>
      </c>
      <c r="D70" s="167">
        <f t="shared" ref="D70:D75" si="10">+D69+1</f>
        <v>38</v>
      </c>
      <c r="E70" s="198" t="s">
        <v>140</v>
      </c>
      <c r="F70" s="198" t="s">
        <v>140</v>
      </c>
      <c r="G70" s="215" t="s">
        <v>438</v>
      </c>
      <c r="H70" s="232">
        <v>1</v>
      </c>
      <c r="I70" s="279">
        <v>1017</v>
      </c>
      <c r="J70" s="157">
        <f t="shared" si="8"/>
        <v>1017</v>
      </c>
      <c r="K70" s="233"/>
      <c r="L70" s="159" t="s">
        <v>439</v>
      </c>
      <c r="M70" s="175" t="s">
        <v>437</v>
      </c>
      <c r="N70" s="301" t="s">
        <v>516</v>
      </c>
      <c r="O70" s="103">
        <v>45938</v>
      </c>
      <c r="P70" s="105"/>
      <c r="Q70" s="242">
        <v>45952</v>
      </c>
      <c r="R70" s="103">
        <v>45953</v>
      </c>
      <c r="S70" s="102">
        <v>45953</v>
      </c>
    </row>
    <row r="71" spans="1:19" s="92" customFormat="1" ht="19.7" customHeight="1" x14ac:dyDescent="0.15">
      <c r="A71" s="228" t="s">
        <v>434</v>
      </c>
      <c r="B71" s="82"/>
      <c r="C71" s="82">
        <v>0.05</v>
      </c>
      <c r="D71" s="167">
        <f t="shared" si="10"/>
        <v>39</v>
      </c>
      <c r="E71" s="198" t="s">
        <v>140</v>
      </c>
      <c r="F71" s="198" t="s">
        <v>140</v>
      </c>
      <c r="G71" s="215" t="s">
        <v>440</v>
      </c>
      <c r="H71" s="232">
        <v>1</v>
      </c>
      <c r="I71" s="279">
        <v>14</v>
      </c>
      <c r="J71" s="157">
        <f t="shared" si="8"/>
        <v>14</v>
      </c>
      <c r="K71" s="233"/>
      <c r="L71" s="159" t="s">
        <v>441</v>
      </c>
      <c r="M71" s="175" t="s">
        <v>437</v>
      </c>
      <c r="N71" s="301" t="s">
        <v>516</v>
      </c>
      <c r="O71" s="103">
        <v>45938</v>
      </c>
      <c r="P71" s="105"/>
      <c r="Q71" s="242">
        <v>45952</v>
      </c>
      <c r="R71" s="103">
        <v>45953</v>
      </c>
      <c r="S71" s="102">
        <v>45953</v>
      </c>
    </row>
    <row r="72" spans="1:19" s="92" customFormat="1" ht="19.7" customHeight="1" x14ac:dyDescent="0.15">
      <c r="A72" s="228" t="s">
        <v>434</v>
      </c>
      <c r="B72" s="82"/>
      <c r="C72" s="82">
        <v>0.05</v>
      </c>
      <c r="D72" s="167">
        <f t="shared" si="10"/>
        <v>40</v>
      </c>
      <c r="E72" s="198" t="s">
        <v>140</v>
      </c>
      <c r="F72" s="198" t="s">
        <v>140</v>
      </c>
      <c r="G72" s="215" t="s">
        <v>442</v>
      </c>
      <c r="H72" s="232">
        <v>1</v>
      </c>
      <c r="I72" s="279">
        <v>14</v>
      </c>
      <c r="J72" s="157">
        <f t="shared" si="8"/>
        <v>14</v>
      </c>
      <c r="K72" s="233"/>
      <c r="L72" s="159" t="s">
        <v>441</v>
      </c>
      <c r="M72" s="175" t="s">
        <v>437</v>
      </c>
      <c r="N72" s="301" t="s">
        <v>516</v>
      </c>
      <c r="O72" s="103">
        <v>45938</v>
      </c>
      <c r="P72" s="105"/>
      <c r="Q72" s="242">
        <v>45952</v>
      </c>
      <c r="R72" s="103">
        <v>45953</v>
      </c>
      <c r="S72" s="102">
        <v>45953</v>
      </c>
    </row>
    <row r="73" spans="1:19" s="92" customFormat="1" ht="19.7" customHeight="1" x14ac:dyDescent="0.15">
      <c r="A73" s="228" t="s">
        <v>434</v>
      </c>
      <c r="B73" s="82"/>
      <c r="C73" s="82">
        <v>0.05</v>
      </c>
      <c r="D73" s="167">
        <f t="shared" si="10"/>
        <v>41</v>
      </c>
      <c r="E73" s="198" t="s">
        <v>140</v>
      </c>
      <c r="F73" s="198" t="s">
        <v>140</v>
      </c>
      <c r="G73" s="215" t="s">
        <v>443</v>
      </c>
      <c r="H73" s="232">
        <v>1</v>
      </c>
      <c r="I73" s="279">
        <v>53</v>
      </c>
      <c r="J73" s="157">
        <f t="shared" si="8"/>
        <v>53</v>
      </c>
      <c r="K73" s="233"/>
      <c r="L73" s="159" t="s">
        <v>444</v>
      </c>
      <c r="M73" s="175" t="s">
        <v>437</v>
      </c>
      <c r="N73" s="301" t="s">
        <v>516</v>
      </c>
      <c r="O73" s="103">
        <v>45938</v>
      </c>
      <c r="P73" s="105"/>
      <c r="Q73" s="242">
        <v>45952</v>
      </c>
      <c r="R73" s="103">
        <v>45953</v>
      </c>
      <c r="S73" s="102">
        <v>45953</v>
      </c>
    </row>
    <row r="74" spans="1:19" s="92" customFormat="1" ht="19.7" customHeight="1" x14ac:dyDescent="0.15">
      <c r="A74" s="228" t="s">
        <v>434</v>
      </c>
      <c r="B74" s="82"/>
      <c r="C74" s="82">
        <v>0.05</v>
      </c>
      <c r="D74" s="167">
        <f t="shared" si="10"/>
        <v>42</v>
      </c>
      <c r="E74" s="198" t="s">
        <v>140</v>
      </c>
      <c r="F74" s="198" t="s">
        <v>140</v>
      </c>
      <c r="G74" s="215" t="s">
        <v>445</v>
      </c>
      <c r="H74" s="232">
        <v>1</v>
      </c>
      <c r="I74" s="279">
        <v>241</v>
      </c>
      <c r="J74" s="157">
        <f t="shared" si="8"/>
        <v>241</v>
      </c>
      <c r="K74" s="233"/>
      <c r="L74" s="159" t="s">
        <v>446</v>
      </c>
      <c r="M74" s="175" t="s">
        <v>437</v>
      </c>
      <c r="N74" s="301" t="s">
        <v>516</v>
      </c>
      <c r="O74" s="103">
        <v>45938</v>
      </c>
      <c r="P74" s="105"/>
      <c r="Q74" s="242">
        <v>45952</v>
      </c>
      <c r="R74" s="103">
        <v>45953</v>
      </c>
      <c r="S74" s="102">
        <v>45953</v>
      </c>
    </row>
    <row r="75" spans="1:19" s="92" customFormat="1" ht="19.7" customHeight="1" x14ac:dyDescent="0.15">
      <c r="A75" s="228" t="s">
        <v>434</v>
      </c>
      <c r="B75" s="82"/>
      <c r="C75" s="82">
        <v>0.05</v>
      </c>
      <c r="D75" s="167">
        <f t="shared" si="10"/>
        <v>43</v>
      </c>
      <c r="E75" s="198" t="s">
        <v>140</v>
      </c>
      <c r="F75" s="198" t="s">
        <v>140</v>
      </c>
      <c r="G75" s="215" t="s">
        <v>447</v>
      </c>
      <c r="H75" s="232">
        <v>1</v>
      </c>
      <c r="I75" s="279">
        <v>56</v>
      </c>
      <c r="J75" s="157">
        <f t="shared" si="8"/>
        <v>56</v>
      </c>
      <c r="K75" s="233"/>
      <c r="L75" s="159" t="s">
        <v>448</v>
      </c>
      <c r="M75" s="175" t="s">
        <v>437</v>
      </c>
      <c r="N75" s="301" t="s">
        <v>516</v>
      </c>
      <c r="O75" s="103">
        <v>45938</v>
      </c>
      <c r="P75" s="105"/>
      <c r="Q75" s="242">
        <v>45952</v>
      </c>
      <c r="R75" s="103">
        <v>45953</v>
      </c>
      <c r="S75" s="102">
        <v>45953</v>
      </c>
    </row>
    <row r="76" spans="1:19" s="101" customFormat="1" ht="19.7" customHeight="1" x14ac:dyDescent="0.15">
      <c r="A76" s="142" t="s">
        <v>223</v>
      </c>
      <c r="B76" s="82"/>
      <c r="C76" s="133">
        <f>0.03*H76</f>
        <v>2.6399999999999997</v>
      </c>
      <c r="D76" s="122">
        <f>+D75+1</f>
        <v>44</v>
      </c>
      <c r="E76" s="126" t="s">
        <v>37</v>
      </c>
      <c r="F76" s="126" t="s">
        <v>37</v>
      </c>
      <c r="G76" s="177" t="s">
        <v>295</v>
      </c>
      <c r="H76" s="178">
        <v>88</v>
      </c>
      <c r="I76" s="276">
        <v>194</v>
      </c>
      <c r="J76" s="96">
        <f t="shared" si="8"/>
        <v>17072</v>
      </c>
      <c r="K76" s="108"/>
      <c r="L76" s="119" t="s">
        <v>502</v>
      </c>
      <c r="M76" s="106" t="s">
        <v>256</v>
      </c>
      <c r="N76" s="301" t="s">
        <v>516</v>
      </c>
      <c r="O76" s="103">
        <v>45938</v>
      </c>
      <c r="P76" s="105"/>
      <c r="Q76" s="242">
        <v>45952</v>
      </c>
      <c r="R76" s="103">
        <v>45953</v>
      </c>
      <c r="S76" s="102">
        <v>45953</v>
      </c>
    </row>
    <row r="77" spans="1:19" s="101" customFormat="1" ht="19.7" customHeight="1" x14ac:dyDescent="0.15">
      <c r="A77" s="142" t="s">
        <v>223</v>
      </c>
      <c r="B77" s="82"/>
      <c r="C77" s="133">
        <f>0.007*H77</f>
        <v>0.29399999999999998</v>
      </c>
      <c r="D77" s="122">
        <f t="shared" si="9"/>
        <v>45</v>
      </c>
      <c r="E77" s="126" t="s">
        <v>37</v>
      </c>
      <c r="F77" s="126" t="s">
        <v>37</v>
      </c>
      <c r="G77" s="177" t="s">
        <v>294</v>
      </c>
      <c r="H77" s="178">
        <v>42</v>
      </c>
      <c r="I77" s="276">
        <v>40</v>
      </c>
      <c r="J77" s="96">
        <f t="shared" si="8"/>
        <v>1680</v>
      </c>
      <c r="K77" s="108"/>
      <c r="L77" s="119" t="s">
        <v>500</v>
      </c>
      <c r="M77" s="106" t="s">
        <v>256</v>
      </c>
      <c r="N77" s="301" t="s">
        <v>516</v>
      </c>
      <c r="O77" s="103">
        <v>45938</v>
      </c>
      <c r="P77" s="105"/>
      <c r="Q77" s="242">
        <v>45952</v>
      </c>
      <c r="R77" s="103">
        <v>45953</v>
      </c>
      <c r="S77" s="102">
        <v>45953</v>
      </c>
    </row>
    <row r="78" spans="1:19" s="101" customFormat="1" ht="19.7" customHeight="1" x14ac:dyDescent="0.15">
      <c r="A78" s="142" t="s">
        <v>223</v>
      </c>
      <c r="B78" s="82"/>
      <c r="C78" s="133">
        <f>0.005*H78</f>
        <v>0.08</v>
      </c>
      <c r="D78" s="122">
        <f t="shared" si="9"/>
        <v>46</v>
      </c>
      <c r="E78" s="126" t="s">
        <v>37</v>
      </c>
      <c r="F78" s="126" t="s">
        <v>37</v>
      </c>
      <c r="G78" s="177" t="s">
        <v>216</v>
      </c>
      <c r="H78" s="178">
        <v>16</v>
      </c>
      <c r="I78" s="276">
        <v>53</v>
      </c>
      <c r="J78" s="96">
        <f t="shared" si="8"/>
        <v>848</v>
      </c>
      <c r="K78" s="108"/>
      <c r="L78" s="119" t="s">
        <v>501</v>
      </c>
      <c r="M78" s="106" t="s">
        <v>256</v>
      </c>
      <c r="N78" s="301" t="s">
        <v>516</v>
      </c>
      <c r="O78" s="103">
        <v>45938</v>
      </c>
      <c r="P78" s="105"/>
      <c r="Q78" s="242">
        <v>45952</v>
      </c>
      <c r="R78" s="103">
        <v>45953</v>
      </c>
      <c r="S78" s="102">
        <v>45953</v>
      </c>
    </row>
    <row r="79" spans="1:19" s="101" customFormat="1" ht="19.7" customHeight="1" x14ac:dyDescent="0.15">
      <c r="A79" s="142" t="s">
        <v>225</v>
      </c>
      <c r="B79" s="82"/>
      <c r="C79" s="133">
        <f>1.172*H79</f>
        <v>4.6879999999999997</v>
      </c>
      <c r="D79" s="122">
        <f t="shared" si="9"/>
        <v>47</v>
      </c>
      <c r="E79" s="126" t="s">
        <v>37</v>
      </c>
      <c r="F79" s="126" t="s">
        <v>37</v>
      </c>
      <c r="G79" s="177" t="s">
        <v>293</v>
      </c>
      <c r="H79" s="178">
        <v>4</v>
      </c>
      <c r="I79" s="276">
        <v>3075</v>
      </c>
      <c r="J79" s="96">
        <f t="shared" si="8"/>
        <v>12300</v>
      </c>
      <c r="K79" s="108"/>
      <c r="L79" s="119" t="s">
        <v>290</v>
      </c>
      <c r="M79" s="106" t="s">
        <v>256</v>
      </c>
      <c r="N79" s="301" t="s">
        <v>516</v>
      </c>
      <c r="O79" s="103">
        <v>45938</v>
      </c>
      <c r="P79" s="105"/>
      <c r="Q79" s="242">
        <v>45952</v>
      </c>
      <c r="R79" s="103">
        <v>45953</v>
      </c>
      <c r="S79" s="102">
        <v>45953</v>
      </c>
    </row>
    <row r="80" spans="1:19" s="101" customFormat="1" ht="19.7" customHeight="1" x14ac:dyDescent="0.15">
      <c r="A80" s="142" t="s">
        <v>225</v>
      </c>
      <c r="B80" s="82"/>
      <c r="C80" s="133">
        <f>2.09*H80</f>
        <v>2.09</v>
      </c>
      <c r="D80" s="122">
        <f t="shared" si="9"/>
        <v>48</v>
      </c>
      <c r="E80" s="126" t="s">
        <v>37</v>
      </c>
      <c r="F80" s="126" t="s">
        <v>37</v>
      </c>
      <c r="G80" s="177" t="s">
        <v>292</v>
      </c>
      <c r="H80" s="178">
        <v>1</v>
      </c>
      <c r="I80" s="276">
        <v>4970</v>
      </c>
      <c r="J80" s="96">
        <f t="shared" si="8"/>
        <v>4970</v>
      </c>
      <c r="K80" s="108"/>
      <c r="L80" s="119" t="s">
        <v>290</v>
      </c>
      <c r="M80" s="106" t="s">
        <v>256</v>
      </c>
      <c r="N80" s="301" t="s">
        <v>516</v>
      </c>
      <c r="O80" s="103">
        <v>45938</v>
      </c>
      <c r="P80" s="105"/>
      <c r="Q80" s="242">
        <v>45952</v>
      </c>
      <c r="R80" s="103">
        <v>45953</v>
      </c>
      <c r="S80" s="102">
        <v>45953</v>
      </c>
    </row>
    <row r="81" spans="1:19" s="101" customFormat="1" ht="19.7" customHeight="1" x14ac:dyDescent="0.15">
      <c r="A81" s="142" t="s">
        <v>225</v>
      </c>
      <c r="B81" s="82"/>
      <c r="C81" s="133">
        <f>2.09*H81</f>
        <v>8.36</v>
      </c>
      <c r="D81" s="122">
        <f t="shared" si="9"/>
        <v>49</v>
      </c>
      <c r="E81" s="126" t="s">
        <v>37</v>
      </c>
      <c r="F81" s="126" t="s">
        <v>37</v>
      </c>
      <c r="G81" s="177" t="s">
        <v>291</v>
      </c>
      <c r="H81" s="178">
        <v>4</v>
      </c>
      <c r="I81" s="276">
        <v>7534</v>
      </c>
      <c r="J81" s="96">
        <f t="shared" si="8"/>
        <v>30136</v>
      </c>
      <c r="K81" s="108"/>
      <c r="L81" s="119" t="s">
        <v>290</v>
      </c>
      <c r="M81" s="106" t="s">
        <v>256</v>
      </c>
      <c r="N81" s="301" t="s">
        <v>516</v>
      </c>
      <c r="O81" s="103">
        <v>45938</v>
      </c>
      <c r="P81" s="105"/>
      <c r="Q81" s="242">
        <v>45952</v>
      </c>
      <c r="R81" s="103">
        <v>45953</v>
      </c>
      <c r="S81" s="102">
        <v>45953</v>
      </c>
    </row>
    <row r="82" spans="1:19" s="101" customFormat="1" ht="19.7" customHeight="1" x14ac:dyDescent="0.15">
      <c r="A82" s="142" t="s">
        <v>223</v>
      </c>
      <c r="B82" s="82" t="s">
        <v>211</v>
      </c>
      <c r="C82" s="133">
        <f>+(385/1000)*0.9*H82</f>
        <v>0.69300000000000006</v>
      </c>
      <c r="D82" s="122">
        <f>+D81+1</f>
        <v>50</v>
      </c>
      <c r="E82" s="126" t="s">
        <v>37</v>
      </c>
      <c r="F82" s="126" t="s">
        <v>37</v>
      </c>
      <c r="G82" s="177" t="s">
        <v>289</v>
      </c>
      <c r="H82" s="178">
        <v>2</v>
      </c>
      <c r="I82" s="276">
        <v>366</v>
      </c>
      <c r="J82" s="96">
        <f>H82*I82</f>
        <v>732</v>
      </c>
      <c r="K82" s="108"/>
      <c r="L82" s="119" t="s">
        <v>209</v>
      </c>
      <c r="M82" s="106" t="s">
        <v>256</v>
      </c>
      <c r="N82" s="301" t="s">
        <v>516</v>
      </c>
      <c r="O82" s="103">
        <v>45938</v>
      </c>
      <c r="P82" s="105"/>
      <c r="Q82" s="242">
        <v>45952</v>
      </c>
      <c r="R82" s="103">
        <v>45953</v>
      </c>
      <c r="S82" s="102">
        <v>45953</v>
      </c>
    </row>
    <row r="83" spans="1:19" s="101" customFormat="1" ht="19.7" customHeight="1" x14ac:dyDescent="0.15">
      <c r="A83" s="142" t="s">
        <v>235</v>
      </c>
      <c r="B83" s="82" t="s">
        <v>211</v>
      </c>
      <c r="C83" s="133">
        <f>+(800/1000)*0.9*H83</f>
        <v>1.4400000000000002</v>
      </c>
      <c r="D83" s="122">
        <f>+D82+1</f>
        <v>51</v>
      </c>
      <c r="E83" s="126" t="s">
        <v>37</v>
      </c>
      <c r="F83" s="126" t="s">
        <v>37</v>
      </c>
      <c r="G83" s="177" t="s">
        <v>288</v>
      </c>
      <c r="H83" s="178">
        <v>2</v>
      </c>
      <c r="I83" s="276">
        <v>999</v>
      </c>
      <c r="J83" s="96">
        <f>H83*I83</f>
        <v>1998</v>
      </c>
      <c r="K83" s="108"/>
      <c r="L83" s="119" t="s">
        <v>209</v>
      </c>
      <c r="M83" s="106" t="s">
        <v>256</v>
      </c>
      <c r="N83" s="301" t="s">
        <v>516</v>
      </c>
      <c r="O83" s="103">
        <v>45938</v>
      </c>
      <c r="P83" s="105"/>
      <c r="Q83" s="242">
        <v>45952</v>
      </c>
      <c r="R83" s="103">
        <v>45953</v>
      </c>
      <c r="S83" s="102">
        <v>45953</v>
      </c>
    </row>
    <row r="84" spans="1:19" s="101" customFormat="1" ht="19.7" customHeight="1" x14ac:dyDescent="0.15">
      <c r="A84" s="142" t="s">
        <v>223</v>
      </c>
      <c r="B84" s="82" t="s">
        <v>211</v>
      </c>
      <c r="C84" s="133">
        <f>+(800/1000)*0.9*H84</f>
        <v>2.16</v>
      </c>
      <c r="D84" s="122">
        <f>+D83+1</f>
        <v>52</v>
      </c>
      <c r="E84" s="126" t="s">
        <v>37</v>
      </c>
      <c r="F84" s="126" t="s">
        <v>37</v>
      </c>
      <c r="G84" s="177" t="s">
        <v>287</v>
      </c>
      <c r="H84" s="178">
        <v>3</v>
      </c>
      <c r="I84" s="276">
        <v>762</v>
      </c>
      <c r="J84" s="96">
        <f>H84*I84</f>
        <v>2286</v>
      </c>
      <c r="K84" s="108"/>
      <c r="L84" s="119" t="s">
        <v>209</v>
      </c>
      <c r="M84" s="106" t="s">
        <v>256</v>
      </c>
      <c r="N84" s="301" t="s">
        <v>516</v>
      </c>
      <c r="O84" s="103">
        <v>45938</v>
      </c>
      <c r="P84" s="105"/>
      <c r="Q84" s="242">
        <v>45952</v>
      </c>
      <c r="R84" s="103">
        <v>45953</v>
      </c>
      <c r="S84" s="102">
        <v>45953</v>
      </c>
    </row>
    <row r="85" spans="1:19" s="101" customFormat="1" ht="19.7" customHeight="1" x14ac:dyDescent="0.15">
      <c r="A85" s="142" t="s">
        <v>223</v>
      </c>
      <c r="B85" s="82" t="s">
        <v>211</v>
      </c>
      <c r="C85" s="133">
        <f>+(990/1000)*0.9*H85</f>
        <v>1.782</v>
      </c>
      <c r="D85" s="122">
        <f>+D84+1</f>
        <v>53</v>
      </c>
      <c r="E85" s="126" t="s">
        <v>37</v>
      </c>
      <c r="F85" s="126" t="s">
        <v>37</v>
      </c>
      <c r="G85" s="177" t="s">
        <v>286</v>
      </c>
      <c r="H85" s="241">
        <v>2</v>
      </c>
      <c r="I85" s="281">
        <v>950</v>
      </c>
      <c r="J85" s="96">
        <f>H85*I85</f>
        <v>1900</v>
      </c>
      <c r="K85" s="132"/>
      <c r="L85" s="119" t="s">
        <v>209</v>
      </c>
      <c r="M85" s="106" t="s">
        <v>256</v>
      </c>
      <c r="N85" s="301" t="s">
        <v>516</v>
      </c>
      <c r="O85" s="103">
        <v>45938</v>
      </c>
      <c r="P85" s="105"/>
      <c r="Q85" s="242">
        <v>45952</v>
      </c>
      <c r="R85" s="103">
        <v>45953</v>
      </c>
      <c r="S85" s="102">
        <v>45953</v>
      </c>
    </row>
    <row r="86" spans="1:19" s="101" customFormat="1" ht="19.7" customHeight="1" x14ac:dyDescent="0.15">
      <c r="A86" s="142" t="s">
        <v>223</v>
      </c>
      <c r="B86" s="82" t="s">
        <v>211</v>
      </c>
      <c r="C86" s="133">
        <f>+(1040/1000)*0.9*H86</f>
        <v>2.8080000000000003</v>
      </c>
      <c r="D86" s="122">
        <f t="shared" ref="D86:D91" si="11">+D85+1</f>
        <v>54</v>
      </c>
      <c r="E86" s="126" t="s">
        <v>37</v>
      </c>
      <c r="F86" s="126" t="s">
        <v>37</v>
      </c>
      <c r="G86" s="177" t="s">
        <v>285</v>
      </c>
      <c r="H86" s="178">
        <v>3</v>
      </c>
      <c r="I86" s="276">
        <v>990</v>
      </c>
      <c r="J86" s="96">
        <f>H86*I86</f>
        <v>2970</v>
      </c>
      <c r="K86" s="108"/>
      <c r="L86" s="119" t="s">
        <v>209</v>
      </c>
      <c r="M86" s="106" t="s">
        <v>256</v>
      </c>
      <c r="N86" s="301" t="s">
        <v>516</v>
      </c>
      <c r="O86" s="103">
        <v>45938</v>
      </c>
      <c r="P86" s="105"/>
      <c r="Q86" s="242">
        <v>45952</v>
      </c>
      <c r="R86" s="103">
        <v>45953</v>
      </c>
      <c r="S86" s="102">
        <v>45953</v>
      </c>
    </row>
    <row r="87" spans="1:19" s="101" customFormat="1" ht="19.7" customHeight="1" x14ac:dyDescent="0.15">
      <c r="A87" s="142" t="s">
        <v>223</v>
      </c>
      <c r="B87" s="82" t="s">
        <v>211</v>
      </c>
      <c r="C87" s="133">
        <f>+(1040/1000)*0.9*H87</f>
        <v>1.8720000000000001</v>
      </c>
      <c r="D87" s="122">
        <f t="shared" si="11"/>
        <v>55</v>
      </c>
      <c r="E87" s="126" t="s">
        <v>37</v>
      </c>
      <c r="F87" s="126" t="s">
        <v>37</v>
      </c>
      <c r="G87" s="194" t="s">
        <v>456</v>
      </c>
      <c r="H87" s="232">
        <v>2</v>
      </c>
      <c r="I87" s="279">
        <v>2019</v>
      </c>
      <c r="J87" s="157">
        <f t="shared" ref="J87" si="12">H87*I87</f>
        <v>4038</v>
      </c>
      <c r="K87" s="188"/>
      <c r="L87" s="159" t="s">
        <v>209</v>
      </c>
      <c r="M87" s="106"/>
      <c r="N87" s="301" t="s">
        <v>516</v>
      </c>
      <c r="O87" s="103">
        <v>45938</v>
      </c>
      <c r="P87" s="105"/>
      <c r="Q87" s="242">
        <v>45952</v>
      </c>
      <c r="R87" s="103">
        <v>45953</v>
      </c>
      <c r="S87" s="102">
        <v>45953</v>
      </c>
    </row>
    <row r="88" spans="1:19" s="101" customFormat="1" ht="19.7" customHeight="1" x14ac:dyDescent="0.15">
      <c r="A88" s="142" t="s">
        <v>223</v>
      </c>
      <c r="B88" s="82"/>
      <c r="C88" s="133">
        <v>0.05</v>
      </c>
      <c r="D88" s="122">
        <f>+D87+1</f>
        <v>56</v>
      </c>
      <c r="E88" s="198" t="s">
        <v>451</v>
      </c>
      <c r="F88" s="198" t="s">
        <v>140</v>
      </c>
      <c r="G88" s="222" t="s">
        <v>452</v>
      </c>
      <c r="H88" s="234">
        <v>10</v>
      </c>
      <c r="I88" s="275">
        <v>129</v>
      </c>
      <c r="J88" s="157">
        <f>H88*I88</f>
        <v>1290</v>
      </c>
      <c r="K88" s="157"/>
      <c r="L88" s="164" t="s">
        <v>453</v>
      </c>
      <c r="M88" s="175" t="s">
        <v>450</v>
      </c>
      <c r="N88" s="301" t="s">
        <v>516</v>
      </c>
      <c r="O88" s="103">
        <v>45938</v>
      </c>
      <c r="P88" s="105"/>
      <c r="Q88" s="242">
        <v>45952</v>
      </c>
      <c r="R88" s="103">
        <v>45953</v>
      </c>
      <c r="S88" s="102">
        <v>45953</v>
      </c>
    </row>
    <row r="89" spans="1:19" s="101" customFormat="1" ht="19.7" customHeight="1" x14ac:dyDescent="0.15">
      <c r="A89" s="142" t="s">
        <v>223</v>
      </c>
      <c r="B89" s="82" t="s">
        <v>211</v>
      </c>
      <c r="C89" s="133">
        <f>+(1050/1000)*0.9*H89</f>
        <v>1.8900000000000001</v>
      </c>
      <c r="D89" s="122">
        <f t="shared" si="11"/>
        <v>57</v>
      </c>
      <c r="E89" s="126" t="s">
        <v>37</v>
      </c>
      <c r="F89" s="126" t="s">
        <v>37</v>
      </c>
      <c r="G89" s="240" t="s">
        <v>284</v>
      </c>
      <c r="H89" s="241">
        <v>2</v>
      </c>
      <c r="I89" s="281">
        <v>1237</v>
      </c>
      <c r="J89" s="96">
        <f>H89*I89</f>
        <v>2474</v>
      </c>
      <c r="K89" s="132"/>
      <c r="L89" s="119" t="s">
        <v>209</v>
      </c>
      <c r="M89" s="106" t="s">
        <v>256</v>
      </c>
      <c r="N89" s="301" t="s">
        <v>516</v>
      </c>
      <c r="O89" s="103">
        <v>45938</v>
      </c>
      <c r="P89" s="105"/>
      <c r="Q89" s="242">
        <v>45952</v>
      </c>
      <c r="R89" s="103">
        <v>45953</v>
      </c>
      <c r="S89" s="102">
        <v>45953</v>
      </c>
    </row>
    <row r="90" spans="1:19" s="101" customFormat="1" ht="19.7" customHeight="1" x14ac:dyDescent="0.15">
      <c r="A90" s="142" t="s">
        <v>223</v>
      </c>
      <c r="B90" s="82" t="s">
        <v>211</v>
      </c>
      <c r="C90" s="133">
        <f>+(1050/1000)*0.9*H90</f>
        <v>1.8900000000000001</v>
      </c>
      <c r="D90" s="122">
        <f t="shared" si="11"/>
        <v>58</v>
      </c>
      <c r="E90" s="126" t="s">
        <v>37</v>
      </c>
      <c r="F90" s="126" t="s">
        <v>37</v>
      </c>
      <c r="G90" s="177" t="s">
        <v>283</v>
      </c>
      <c r="H90" s="241">
        <v>2</v>
      </c>
      <c r="I90" s="281">
        <v>999</v>
      </c>
      <c r="J90" s="96">
        <f>H90*I90</f>
        <v>1998</v>
      </c>
      <c r="K90" s="132"/>
      <c r="L90" s="119" t="s">
        <v>209</v>
      </c>
      <c r="M90" s="106" t="s">
        <v>256</v>
      </c>
      <c r="N90" s="301" t="s">
        <v>516</v>
      </c>
      <c r="O90" s="103">
        <v>45938</v>
      </c>
      <c r="P90" s="105"/>
      <c r="Q90" s="242">
        <v>45952</v>
      </c>
      <c r="R90" s="103">
        <v>45953</v>
      </c>
      <c r="S90" s="102">
        <v>45953</v>
      </c>
    </row>
    <row r="91" spans="1:19" s="101" customFormat="1" ht="19.7" customHeight="1" x14ac:dyDescent="0.15">
      <c r="A91" s="142" t="s">
        <v>223</v>
      </c>
      <c r="B91" s="82"/>
      <c r="C91" s="133">
        <f>0.005*H91</f>
        <v>0.02</v>
      </c>
      <c r="D91" s="122">
        <f t="shared" si="11"/>
        <v>59</v>
      </c>
      <c r="E91" s="126" t="s">
        <v>37</v>
      </c>
      <c r="F91" s="126" t="s">
        <v>37</v>
      </c>
      <c r="G91" s="177" t="s">
        <v>282</v>
      </c>
      <c r="H91" s="178">
        <v>4</v>
      </c>
      <c r="I91" s="276">
        <v>279</v>
      </c>
      <c r="J91" s="96">
        <f>H91*I91</f>
        <v>1116</v>
      </c>
      <c r="K91" s="108"/>
      <c r="L91" s="119" t="s">
        <v>281</v>
      </c>
      <c r="M91" s="106" t="s">
        <v>256</v>
      </c>
      <c r="N91" s="301" t="s">
        <v>516</v>
      </c>
      <c r="O91" s="103">
        <v>45938</v>
      </c>
      <c r="P91" s="105"/>
      <c r="Q91" s="242">
        <v>45952</v>
      </c>
      <c r="R91" s="103">
        <v>45953</v>
      </c>
      <c r="S91" s="102">
        <v>45953</v>
      </c>
    </row>
    <row r="92" spans="1:19" s="101" customFormat="1" ht="19.7" customHeight="1" x14ac:dyDescent="0.15">
      <c r="A92" s="142" t="s">
        <v>223</v>
      </c>
      <c r="B92" s="82" t="s">
        <v>211</v>
      </c>
      <c r="C92" s="133">
        <f>+(100/1000)*0.9*H92</f>
        <v>0.36000000000000004</v>
      </c>
      <c r="D92" s="122">
        <f>+D91+1</f>
        <v>60</v>
      </c>
      <c r="E92" s="126" t="s">
        <v>37</v>
      </c>
      <c r="F92" s="126" t="s">
        <v>37</v>
      </c>
      <c r="G92" s="177" t="s">
        <v>280</v>
      </c>
      <c r="H92" s="178">
        <v>4</v>
      </c>
      <c r="I92" s="276">
        <v>427</v>
      </c>
      <c r="J92" s="96">
        <f t="shared" ref="J92:J108" si="13">H92*I92</f>
        <v>1708</v>
      </c>
      <c r="K92" s="83"/>
      <c r="L92" s="119" t="s">
        <v>209</v>
      </c>
      <c r="M92" s="238" t="s">
        <v>270</v>
      </c>
      <c r="N92" s="301" t="s">
        <v>516</v>
      </c>
      <c r="O92" s="103">
        <v>45938</v>
      </c>
      <c r="P92" s="105"/>
      <c r="Q92" s="242">
        <v>45952</v>
      </c>
      <c r="R92" s="103">
        <v>45953</v>
      </c>
      <c r="S92" s="102">
        <v>45953</v>
      </c>
    </row>
    <row r="93" spans="1:19" s="101" customFormat="1" ht="19.7" customHeight="1" x14ac:dyDescent="0.15">
      <c r="A93" s="142" t="s">
        <v>223</v>
      </c>
      <c r="B93" s="82" t="s">
        <v>211</v>
      </c>
      <c r="C93" s="133">
        <f>+(165/1000)*0.9*H93</f>
        <v>0.59400000000000008</v>
      </c>
      <c r="D93" s="122">
        <f t="shared" ref="D93:D99" si="14">+D92+1</f>
        <v>61</v>
      </c>
      <c r="E93" s="126" t="s">
        <v>37</v>
      </c>
      <c r="F93" s="126" t="s">
        <v>37</v>
      </c>
      <c r="G93" s="177" t="s">
        <v>279</v>
      </c>
      <c r="H93" s="178">
        <v>4</v>
      </c>
      <c r="I93" s="276">
        <v>427</v>
      </c>
      <c r="J93" s="96">
        <f t="shared" si="13"/>
        <v>1708</v>
      </c>
      <c r="K93" s="83"/>
      <c r="L93" s="119" t="s">
        <v>209</v>
      </c>
      <c r="M93" s="238" t="s">
        <v>270</v>
      </c>
      <c r="N93" s="301" t="s">
        <v>516</v>
      </c>
      <c r="O93" s="103">
        <v>45938</v>
      </c>
      <c r="P93" s="105"/>
      <c r="Q93" s="242">
        <v>45952</v>
      </c>
      <c r="R93" s="103">
        <v>45953</v>
      </c>
      <c r="S93" s="102">
        <v>45953</v>
      </c>
    </row>
    <row r="94" spans="1:19" s="101" customFormat="1" ht="19.7" customHeight="1" x14ac:dyDescent="0.15">
      <c r="A94" s="142" t="s">
        <v>223</v>
      </c>
      <c r="B94" s="82" t="s">
        <v>211</v>
      </c>
      <c r="C94" s="133">
        <f>+(265/1000)*0.9*H94</f>
        <v>0.47700000000000004</v>
      </c>
      <c r="D94" s="122">
        <f t="shared" si="14"/>
        <v>62</v>
      </c>
      <c r="E94" s="126" t="s">
        <v>37</v>
      </c>
      <c r="F94" s="126" t="s">
        <v>37</v>
      </c>
      <c r="G94" s="177" t="s">
        <v>278</v>
      </c>
      <c r="H94" s="178">
        <v>2</v>
      </c>
      <c r="I94" s="276">
        <v>427</v>
      </c>
      <c r="J94" s="96">
        <f t="shared" si="13"/>
        <v>854</v>
      </c>
      <c r="K94" s="83"/>
      <c r="L94" s="119" t="s">
        <v>209</v>
      </c>
      <c r="M94" s="238" t="s">
        <v>270</v>
      </c>
      <c r="N94" s="301" t="s">
        <v>516</v>
      </c>
      <c r="O94" s="103">
        <v>45938</v>
      </c>
      <c r="P94" s="105"/>
      <c r="Q94" s="242">
        <v>45952</v>
      </c>
      <c r="R94" s="103">
        <v>45953</v>
      </c>
      <c r="S94" s="102">
        <v>45953</v>
      </c>
    </row>
    <row r="95" spans="1:19" s="101" customFormat="1" ht="19.7" customHeight="1" x14ac:dyDescent="0.15">
      <c r="A95" s="142" t="s">
        <v>223</v>
      </c>
      <c r="B95" s="82" t="s">
        <v>211</v>
      </c>
      <c r="C95" s="133">
        <f>+(374/1000)*0.9*H95</f>
        <v>0.67320000000000002</v>
      </c>
      <c r="D95" s="122">
        <f t="shared" si="14"/>
        <v>63</v>
      </c>
      <c r="E95" s="126" t="s">
        <v>37</v>
      </c>
      <c r="F95" s="126" t="s">
        <v>37</v>
      </c>
      <c r="G95" s="177" t="s">
        <v>277</v>
      </c>
      <c r="H95" s="178">
        <v>2</v>
      </c>
      <c r="I95" s="276">
        <v>643</v>
      </c>
      <c r="J95" s="96">
        <f t="shared" si="13"/>
        <v>1286</v>
      </c>
      <c r="K95" s="83"/>
      <c r="L95" s="119" t="s">
        <v>209</v>
      </c>
      <c r="M95" s="238" t="s">
        <v>270</v>
      </c>
      <c r="N95" s="301" t="s">
        <v>516</v>
      </c>
      <c r="O95" s="103">
        <v>45938</v>
      </c>
      <c r="P95" s="105"/>
      <c r="Q95" s="242">
        <v>45952</v>
      </c>
      <c r="R95" s="103">
        <v>45953</v>
      </c>
      <c r="S95" s="102">
        <v>45953</v>
      </c>
    </row>
    <row r="96" spans="1:19" s="101" customFormat="1" ht="18.600000000000001" customHeight="1" x14ac:dyDescent="0.15">
      <c r="A96" s="142" t="s">
        <v>223</v>
      </c>
      <c r="B96" s="82"/>
      <c r="C96" s="82">
        <f>0.01*H96</f>
        <v>0.08</v>
      </c>
      <c r="D96" s="122">
        <f t="shared" si="14"/>
        <v>64</v>
      </c>
      <c r="E96" s="126" t="s">
        <v>37</v>
      </c>
      <c r="F96" s="126" t="s">
        <v>37</v>
      </c>
      <c r="G96" s="177" t="s">
        <v>276</v>
      </c>
      <c r="H96" s="178">
        <v>8</v>
      </c>
      <c r="I96" s="276">
        <v>46</v>
      </c>
      <c r="J96" s="96">
        <f t="shared" si="13"/>
        <v>368</v>
      </c>
      <c r="K96" s="83"/>
      <c r="L96" s="119" t="s">
        <v>275</v>
      </c>
      <c r="M96" s="238" t="s">
        <v>270</v>
      </c>
      <c r="N96" s="301" t="s">
        <v>516</v>
      </c>
      <c r="O96" s="103">
        <v>45938</v>
      </c>
      <c r="P96" s="105"/>
      <c r="Q96" s="242">
        <v>45952</v>
      </c>
      <c r="R96" s="103">
        <v>45953</v>
      </c>
      <c r="S96" s="102">
        <v>45953</v>
      </c>
    </row>
    <row r="97" spans="1:19" s="101" customFormat="1" ht="19.7" customHeight="1" x14ac:dyDescent="0.15">
      <c r="A97" s="142" t="s">
        <v>223</v>
      </c>
      <c r="B97" s="82"/>
      <c r="C97" s="82">
        <f>0.086*H97</f>
        <v>0.17199999999999999</v>
      </c>
      <c r="D97" s="122">
        <f t="shared" si="14"/>
        <v>65</v>
      </c>
      <c r="E97" s="126" t="s">
        <v>37</v>
      </c>
      <c r="F97" s="126" t="s">
        <v>37</v>
      </c>
      <c r="G97" s="177" t="s">
        <v>274</v>
      </c>
      <c r="H97" s="178">
        <v>2</v>
      </c>
      <c r="I97" s="276">
        <v>2676</v>
      </c>
      <c r="J97" s="96">
        <f t="shared" si="13"/>
        <v>5352</v>
      </c>
      <c r="K97" s="83"/>
      <c r="L97" s="119" t="s">
        <v>273</v>
      </c>
      <c r="M97" s="238" t="s">
        <v>270</v>
      </c>
      <c r="N97" s="301" t="s">
        <v>516</v>
      </c>
      <c r="O97" s="103">
        <v>45938</v>
      </c>
      <c r="P97" s="105"/>
      <c r="Q97" s="242">
        <v>45952</v>
      </c>
      <c r="R97" s="103">
        <v>45953</v>
      </c>
      <c r="S97" s="102">
        <v>45953</v>
      </c>
    </row>
    <row r="98" spans="1:19" s="101" customFormat="1" ht="19.7" customHeight="1" x14ac:dyDescent="0.15">
      <c r="A98" s="142" t="s">
        <v>223</v>
      </c>
      <c r="B98" s="82"/>
      <c r="C98" s="133">
        <f>0.004*H98</f>
        <v>0.04</v>
      </c>
      <c r="D98" s="122">
        <f t="shared" si="14"/>
        <v>66</v>
      </c>
      <c r="E98" s="126" t="s">
        <v>37</v>
      </c>
      <c r="F98" s="126" t="s">
        <v>37</v>
      </c>
      <c r="G98" s="186" t="s">
        <v>459</v>
      </c>
      <c r="H98" s="178">
        <v>10</v>
      </c>
      <c r="I98" s="282">
        <v>14</v>
      </c>
      <c r="J98" s="129">
        <f t="shared" si="13"/>
        <v>140</v>
      </c>
      <c r="K98" s="120"/>
      <c r="L98" s="119" t="s">
        <v>504</v>
      </c>
      <c r="M98" s="238" t="s">
        <v>270</v>
      </c>
      <c r="N98" s="301" t="s">
        <v>516</v>
      </c>
      <c r="O98" s="103">
        <v>45938</v>
      </c>
      <c r="P98" s="105"/>
      <c r="Q98" s="242">
        <v>45952</v>
      </c>
      <c r="R98" s="103">
        <v>45953</v>
      </c>
      <c r="S98" s="102">
        <v>45953</v>
      </c>
    </row>
    <row r="99" spans="1:19" s="101" customFormat="1" ht="19.7" customHeight="1" x14ac:dyDescent="0.15">
      <c r="A99" s="142" t="s">
        <v>223</v>
      </c>
      <c r="B99" s="82"/>
      <c r="C99" s="82">
        <f>0.82*H99</f>
        <v>1.64</v>
      </c>
      <c r="D99" s="122">
        <f t="shared" si="14"/>
        <v>67</v>
      </c>
      <c r="E99" s="126" t="s">
        <v>37</v>
      </c>
      <c r="F99" s="126" t="s">
        <v>37</v>
      </c>
      <c r="G99" s="177" t="s">
        <v>272</v>
      </c>
      <c r="H99" s="178">
        <v>2</v>
      </c>
      <c r="I99" s="276">
        <v>23188</v>
      </c>
      <c r="J99" s="96">
        <f t="shared" si="13"/>
        <v>46376</v>
      </c>
      <c r="K99" s="83"/>
      <c r="L99" s="119" t="s">
        <v>271</v>
      </c>
      <c r="M99" s="238" t="s">
        <v>270</v>
      </c>
      <c r="N99" s="301" t="s">
        <v>516</v>
      </c>
      <c r="O99" s="103">
        <v>45938</v>
      </c>
      <c r="P99" s="105"/>
      <c r="Q99" s="242">
        <v>45952</v>
      </c>
      <c r="R99" s="103">
        <v>45953</v>
      </c>
      <c r="S99" s="102">
        <v>45953</v>
      </c>
    </row>
    <row r="100" spans="1:19" s="101" customFormat="1" ht="19.7" customHeight="1" x14ac:dyDescent="0.15">
      <c r="A100" s="142" t="s">
        <v>225</v>
      </c>
      <c r="B100" s="82"/>
      <c r="C100" s="133">
        <v>0.25</v>
      </c>
      <c r="D100" s="167">
        <f>+D99+1</f>
        <v>68</v>
      </c>
      <c r="E100" s="81" t="s">
        <v>141</v>
      </c>
      <c r="F100" s="126" t="s">
        <v>37</v>
      </c>
      <c r="G100" s="269" t="s">
        <v>229</v>
      </c>
      <c r="H100" s="232">
        <v>1</v>
      </c>
      <c r="I100" s="279">
        <v>3140</v>
      </c>
      <c r="J100" s="157">
        <f t="shared" si="13"/>
        <v>3140</v>
      </c>
      <c r="K100" s="233"/>
      <c r="L100" s="159" t="s">
        <v>228</v>
      </c>
      <c r="M100" s="175" t="s">
        <v>226</v>
      </c>
      <c r="N100" s="301" t="s">
        <v>516</v>
      </c>
      <c r="O100" s="103">
        <v>45938</v>
      </c>
      <c r="P100" s="105"/>
      <c r="Q100" s="242">
        <v>45952</v>
      </c>
      <c r="R100" s="103">
        <v>45953</v>
      </c>
      <c r="S100" s="102">
        <v>45953</v>
      </c>
    </row>
    <row r="101" spans="1:19" s="101" customFormat="1" ht="19.7" customHeight="1" x14ac:dyDescent="0.15">
      <c r="A101" s="142" t="s">
        <v>223</v>
      </c>
      <c r="B101" s="82"/>
      <c r="C101" s="133">
        <v>0.05</v>
      </c>
      <c r="D101" s="167">
        <f t="shared" ref="D101:D103" si="15">+D100+1</f>
        <v>69</v>
      </c>
      <c r="E101" s="126" t="s">
        <v>37</v>
      </c>
      <c r="F101" s="126" t="s">
        <v>37</v>
      </c>
      <c r="G101" s="192" t="s">
        <v>454</v>
      </c>
      <c r="H101" s="232">
        <v>8</v>
      </c>
      <c r="I101" s="283">
        <v>112</v>
      </c>
      <c r="J101" s="237">
        <f t="shared" si="13"/>
        <v>896</v>
      </c>
      <c r="K101" s="196"/>
      <c r="L101" s="159" t="s">
        <v>506</v>
      </c>
      <c r="M101" s="175" t="s">
        <v>226</v>
      </c>
      <c r="N101" s="301" t="s">
        <v>516</v>
      </c>
      <c r="O101" s="103">
        <v>45938</v>
      </c>
      <c r="P101" s="105"/>
      <c r="Q101" s="242">
        <v>45952</v>
      </c>
      <c r="R101" s="103">
        <v>45953</v>
      </c>
      <c r="S101" s="102">
        <v>45953</v>
      </c>
    </row>
    <row r="102" spans="1:19" s="101" customFormat="1" ht="19.7" customHeight="1" x14ac:dyDescent="0.15">
      <c r="A102" s="142" t="s">
        <v>223</v>
      </c>
      <c r="B102" s="82"/>
      <c r="C102" s="133">
        <v>0.05</v>
      </c>
      <c r="D102" s="167">
        <f t="shared" si="15"/>
        <v>70</v>
      </c>
      <c r="E102" s="126" t="s">
        <v>37</v>
      </c>
      <c r="F102" s="126" t="s">
        <v>37</v>
      </c>
      <c r="G102" s="192" t="s">
        <v>455</v>
      </c>
      <c r="H102" s="232">
        <v>2</v>
      </c>
      <c r="I102" s="283">
        <v>113</v>
      </c>
      <c r="J102" s="237">
        <f t="shared" si="13"/>
        <v>226</v>
      </c>
      <c r="K102" s="196"/>
      <c r="L102" s="159" t="s">
        <v>227</v>
      </c>
      <c r="M102" s="175" t="s">
        <v>226</v>
      </c>
      <c r="N102" s="301" t="s">
        <v>516</v>
      </c>
      <c r="O102" s="103">
        <v>45938</v>
      </c>
      <c r="P102" s="105"/>
      <c r="Q102" s="242">
        <v>45952</v>
      </c>
      <c r="R102" s="103">
        <v>45953</v>
      </c>
      <c r="S102" s="102">
        <v>45953</v>
      </c>
    </row>
    <row r="103" spans="1:19" s="101" customFormat="1" ht="19.7" customHeight="1" x14ac:dyDescent="0.15">
      <c r="A103" s="142" t="s">
        <v>223</v>
      </c>
      <c r="B103" s="82"/>
      <c r="C103" s="133">
        <v>0.05</v>
      </c>
      <c r="D103" s="167">
        <f t="shared" si="15"/>
        <v>71</v>
      </c>
      <c r="E103" s="198" t="s">
        <v>140</v>
      </c>
      <c r="F103" s="198" t="s">
        <v>140</v>
      </c>
      <c r="G103" s="235" t="s">
        <v>186</v>
      </c>
      <c r="H103" s="236">
        <v>30</v>
      </c>
      <c r="I103" s="284">
        <v>52</v>
      </c>
      <c r="J103" s="157">
        <f t="shared" si="13"/>
        <v>1560</v>
      </c>
      <c r="K103" s="188"/>
      <c r="L103" s="159" t="s">
        <v>511</v>
      </c>
      <c r="M103" s="175" t="s">
        <v>226</v>
      </c>
      <c r="N103" s="301" t="s">
        <v>516</v>
      </c>
      <c r="O103" s="103">
        <v>45938</v>
      </c>
      <c r="P103" s="105"/>
      <c r="Q103" s="242">
        <v>45952</v>
      </c>
      <c r="R103" s="103">
        <v>45953</v>
      </c>
      <c r="S103" s="102">
        <v>45953</v>
      </c>
    </row>
    <row r="104" spans="1:19" s="101" customFormat="1" ht="19.7" customHeight="1" x14ac:dyDescent="0.15">
      <c r="A104" s="142" t="s">
        <v>225</v>
      </c>
      <c r="B104" s="82"/>
      <c r="C104" s="133">
        <v>3</v>
      </c>
      <c r="D104" s="122">
        <f>+D103+1</f>
        <v>72</v>
      </c>
      <c r="E104" s="85" t="s">
        <v>141</v>
      </c>
      <c r="F104" s="126" t="s">
        <v>37</v>
      </c>
      <c r="G104" s="215" t="s">
        <v>458</v>
      </c>
      <c r="H104" s="232">
        <v>1</v>
      </c>
      <c r="I104" s="279">
        <v>16557</v>
      </c>
      <c r="J104" s="96">
        <f t="shared" si="13"/>
        <v>16557</v>
      </c>
      <c r="K104" s="108"/>
      <c r="L104" s="119" t="s">
        <v>457</v>
      </c>
      <c r="M104" s="106" t="s">
        <v>256</v>
      </c>
      <c r="N104" s="301" t="s">
        <v>516</v>
      </c>
      <c r="O104" s="103">
        <v>45938</v>
      </c>
      <c r="P104" s="105"/>
      <c r="Q104" s="242">
        <v>45952</v>
      </c>
      <c r="R104" s="103">
        <v>45953</v>
      </c>
      <c r="S104" s="102">
        <v>45953</v>
      </c>
    </row>
    <row r="105" spans="1:19" s="101" customFormat="1" ht="19.7" customHeight="1" x14ac:dyDescent="0.15">
      <c r="A105" s="142" t="s">
        <v>139</v>
      </c>
      <c r="B105" s="82"/>
      <c r="C105" s="82">
        <f>0.01*H105</f>
        <v>0.06</v>
      </c>
      <c r="D105" s="122">
        <f t="shared" ref="D105:D108" si="16">+D104+1</f>
        <v>73</v>
      </c>
      <c r="E105" s="121" t="s">
        <v>140</v>
      </c>
      <c r="F105" s="121" t="s">
        <v>140</v>
      </c>
      <c r="G105" s="222" t="s">
        <v>269</v>
      </c>
      <c r="H105" s="234">
        <v>6</v>
      </c>
      <c r="I105" s="275">
        <v>126</v>
      </c>
      <c r="J105" s="96">
        <f t="shared" si="13"/>
        <v>756</v>
      </c>
      <c r="K105" s="96"/>
      <c r="L105" s="84" t="s">
        <v>268</v>
      </c>
      <c r="M105" s="106" t="s">
        <v>259</v>
      </c>
      <c r="N105" s="301" t="s">
        <v>516</v>
      </c>
      <c r="O105" s="103">
        <v>45938</v>
      </c>
      <c r="P105" s="105"/>
      <c r="Q105" s="242">
        <v>45952</v>
      </c>
      <c r="R105" s="103">
        <v>45953</v>
      </c>
      <c r="S105" s="102">
        <v>45953</v>
      </c>
    </row>
    <row r="106" spans="1:19" s="101" customFormat="1" ht="19.7" customHeight="1" x14ac:dyDescent="0.15">
      <c r="A106" s="142" t="s">
        <v>223</v>
      </c>
      <c r="B106" s="82"/>
      <c r="C106" s="133">
        <v>0.2</v>
      </c>
      <c r="D106" s="122">
        <f t="shared" si="16"/>
        <v>74</v>
      </c>
      <c r="E106" s="126" t="s">
        <v>265</v>
      </c>
      <c r="F106" s="126" t="s">
        <v>37</v>
      </c>
      <c r="G106" s="194" t="s">
        <v>267</v>
      </c>
      <c r="H106" s="232">
        <v>1</v>
      </c>
      <c r="I106" s="279">
        <v>1518</v>
      </c>
      <c r="J106" s="96">
        <f t="shared" si="13"/>
        <v>1518</v>
      </c>
      <c r="K106" s="108"/>
      <c r="L106" s="119" t="s">
        <v>266</v>
      </c>
      <c r="M106" s="106" t="s">
        <v>259</v>
      </c>
      <c r="N106" s="301" t="s">
        <v>516</v>
      </c>
      <c r="O106" s="103">
        <v>45938</v>
      </c>
      <c r="P106" s="105"/>
      <c r="Q106" s="242">
        <v>45952</v>
      </c>
      <c r="R106" s="103">
        <v>45953</v>
      </c>
      <c r="S106" s="102">
        <v>45953</v>
      </c>
    </row>
    <row r="107" spans="1:19" s="101" customFormat="1" ht="19.7" customHeight="1" x14ac:dyDescent="0.15">
      <c r="A107" s="142" t="s">
        <v>223</v>
      </c>
      <c r="B107" s="82"/>
      <c r="C107" s="133">
        <v>0.15</v>
      </c>
      <c r="D107" s="122">
        <f t="shared" si="16"/>
        <v>75</v>
      </c>
      <c r="E107" s="126" t="s">
        <v>265</v>
      </c>
      <c r="F107" s="126" t="s">
        <v>37</v>
      </c>
      <c r="G107" s="194" t="s">
        <v>264</v>
      </c>
      <c r="H107" s="232">
        <v>1</v>
      </c>
      <c r="I107" s="279">
        <v>3004</v>
      </c>
      <c r="J107" s="96">
        <f t="shared" si="13"/>
        <v>3004</v>
      </c>
      <c r="K107" s="108"/>
      <c r="L107" s="119" t="s">
        <v>263</v>
      </c>
      <c r="M107" s="106" t="s">
        <v>259</v>
      </c>
      <c r="N107" s="301" t="s">
        <v>516</v>
      </c>
      <c r="O107" s="103">
        <v>45938</v>
      </c>
      <c r="P107" s="105"/>
      <c r="Q107" s="242">
        <v>45952</v>
      </c>
      <c r="R107" s="103">
        <v>45953</v>
      </c>
      <c r="S107" s="102">
        <v>45953</v>
      </c>
    </row>
    <row r="108" spans="1:19" s="101" customFormat="1" ht="19.7" customHeight="1" x14ac:dyDescent="0.15">
      <c r="A108" s="142" t="s">
        <v>139</v>
      </c>
      <c r="B108" s="82"/>
      <c r="C108" s="82">
        <f>0.01*H108</f>
        <v>0.06</v>
      </c>
      <c r="D108" s="122">
        <f t="shared" si="16"/>
        <v>76</v>
      </c>
      <c r="E108" s="126" t="s">
        <v>37</v>
      </c>
      <c r="F108" s="126" t="s">
        <v>37</v>
      </c>
      <c r="G108" s="172" t="s">
        <v>262</v>
      </c>
      <c r="H108" s="174">
        <v>6</v>
      </c>
      <c r="I108" s="176">
        <v>97</v>
      </c>
      <c r="J108" s="96">
        <f t="shared" si="13"/>
        <v>582</v>
      </c>
      <c r="K108" s="83"/>
      <c r="L108" s="119" t="s">
        <v>172</v>
      </c>
      <c r="M108" s="106" t="s">
        <v>259</v>
      </c>
      <c r="N108" s="301" t="s">
        <v>516</v>
      </c>
      <c r="O108" s="103">
        <v>45938</v>
      </c>
      <c r="P108" s="105"/>
      <c r="Q108" s="242">
        <v>45952</v>
      </c>
      <c r="R108" s="103">
        <v>45953</v>
      </c>
      <c r="S108" s="102">
        <v>45953</v>
      </c>
    </row>
    <row r="109" spans="1:19" s="101" customFormat="1" ht="19.7" customHeight="1" x14ac:dyDescent="0.15">
      <c r="A109" s="142" t="s">
        <v>223</v>
      </c>
      <c r="B109" s="82"/>
      <c r="C109" s="82">
        <f>0.008*H109</f>
        <v>0.64</v>
      </c>
      <c r="D109" s="122">
        <f>+D108+1</f>
        <v>77</v>
      </c>
      <c r="E109" s="126" t="s">
        <v>37</v>
      </c>
      <c r="F109" s="126" t="s">
        <v>37</v>
      </c>
      <c r="G109" s="194" t="s">
        <v>258</v>
      </c>
      <c r="H109" s="232">
        <v>80</v>
      </c>
      <c r="I109" s="276">
        <v>13</v>
      </c>
      <c r="J109" s="96">
        <f>H109*I109</f>
        <v>1040</v>
      </c>
      <c r="K109" s="108"/>
      <c r="L109" s="119" t="s">
        <v>508</v>
      </c>
      <c r="M109" s="106" t="s">
        <v>256</v>
      </c>
      <c r="N109" s="301" t="s">
        <v>516</v>
      </c>
      <c r="O109" s="103">
        <v>45938</v>
      </c>
      <c r="P109" s="105"/>
      <c r="Q109" s="242">
        <v>45952</v>
      </c>
      <c r="R109" s="103">
        <v>45953</v>
      </c>
      <c r="S109" s="102">
        <v>45953</v>
      </c>
    </row>
    <row r="110" spans="1:19" s="101" customFormat="1" ht="19.7" customHeight="1" x14ac:dyDescent="0.15">
      <c r="A110" s="142" t="s">
        <v>223</v>
      </c>
      <c r="B110" s="82"/>
      <c r="C110" s="82">
        <f>0.008*H110</f>
        <v>0.32</v>
      </c>
      <c r="D110" s="122">
        <f>+D109+1</f>
        <v>78</v>
      </c>
      <c r="E110" s="126" t="s">
        <v>37</v>
      </c>
      <c r="F110" s="126" t="s">
        <v>37</v>
      </c>
      <c r="G110" s="194" t="s">
        <v>257</v>
      </c>
      <c r="H110" s="232">
        <v>40</v>
      </c>
      <c r="I110" s="276">
        <v>35</v>
      </c>
      <c r="J110" s="96">
        <f>H110*I110</f>
        <v>1400</v>
      </c>
      <c r="K110" s="108"/>
      <c r="L110" s="119" t="s">
        <v>509</v>
      </c>
      <c r="M110" s="106" t="s">
        <v>256</v>
      </c>
      <c r="N110" s="301" t="s">
        <v>516</v>
      </c>
      <c r="O110" s="103">
        <v>45938</v>
      </c>
      <c r="P110" s="105"/>
      <c r="Q110" s="242">
        <v>45952</v>
      </c>
      <c r="R110" s="103">
        <v>45953</v>
      </c>
      <c r="S110" s="102">
        <v>45953</v>
      </c>
    </row>
    <row r="111" spans="1:19" s="101" customFormat="1" ht="19.7" customHeight="1" x14ac:dyDescent="0.15">
      <c r="A111" s="142" t="s">
        <v>223</v>
      </c>
      <c r="B111" s="82"/>
      <c r="C111" s="133">
        <f>0.007*H111</f>
        <v>8.4000000000000005E-2</v>
      </c>
      <c r="D111" s="122">
        <f>+D110+1</f>
        <v>79</v>
      </c>
      <c r="E111" s="126" t="s">
        <v>37</v>
      </c>
      <c r="F111" s="126" t="s">
        <v>37</v>
      </c>
      <c r="G111" s="177" t="s">
        <v>255</v>
      </c>
      <c r="H111" s="178">
        <v>12</v>
      </c>
      <c r="I111" s="276">
        <v>22</v>
      </c>
      <c r="J111" s="96">
        <f t="shared" ref="J111:J122" si="17">H111*I111</f>
        <v>264</v>
      </c>
      <c r="K111" s="108"/>
      <c r="L111" s="119" t="s">
        <v>254</v>
      </c>
      <c r="M111" s="106" t="s">
        <v>230</v>
      </c>
      <c r="N111" s="301" t="s">
        <v>516</v>
      </c>
      <c r="O111" s="103">
        <v>45938</v>
      </c>
      <c r="P111" s="105"/>
      <c r="Q111" s="242">
        <v>45952</v>
      </c>
      <c r="R111" s="103">
        <v>45953</v>
      </c>
      <c r="S111" s="102">
        <v>45953</v>
      </c>
    </row>
    <row r="112" spans="1:19" s="101" customFormat="1" ht="19.7" customHeight="1" x14ac:dyDescent="0.15">
      <c r="A112" s="142" t="s">
        <v>223</v>
      </c>
      <c r="B112" s="82"/>
      <c r="C112" s="133">
        <f>0.002*H112</f>
        <v>1.6E-2</v>
      </c>
      <c r="D112" s="122">
        <f t="shared" ref="D112:D122" si="18">+D111+1</f>
        <v>80</v>
      </c>
      <c r="E112" s="126" t="s">
        <v>37</v>
      </c>
      <c r="F112" s="126" t="s">
        <v>37</v>
      </c>
      <c r="G112" s="177" t="s">
        <v>253</v>
      </c>
      <c r="H112" s="178">
        <v>8</v>
      </c>
      <c r="I112" s="276">
        <v>46</v>
      </c>
      <c r="J112" s="96">
        <f t="shared" si="17"/>
        <v>368</v>
      </c>
      <c r="K112" s="108"/>
      <c r="L112" s="119" t="s">
        <v>252</v>
      </c>
      <c r="M112" s="106" t="s">
        <v>230</v>
      </c>
      <c r="N112" s="301" t="s">
        <v>516</v>
      </c>
      <c r="O112" s="103">
        <v>45938</v>
      </c>
      <c r="P112" s="105"/>
      <c r="Q112" s="242">
        <v>45952</v>
      </c>
      <c r="R112" s="103">
        <v>45953</v>
      </c>
      <c r="S112" s="102">
        <v>45953</v>
      </c>
    </row>
    <row r="113" spans="1:19" s="101" customFormat="1" ht="19.7" customHeight="1" x14ac:dyDescent="0.15">
      <c r="A113" s="142" t="s">
        <v>235</v>
      </c>
      <c r="B113" s="82" t="s">
        <v>249</v>
      </c>
      <c r="C113" s="133">
        <f>+(354.5/1000)*0.5*H113</f>
        <v>1.0634999999999999</v>
      </c>
      <c r="D113" s="122">
        <f t="shared" si="18"/>
        <v>81</v>
      </c>
      <c r="E113" s="126" t="s">
        <v>37</v>
      </c>
      <c r="F113" s="126" t="s">
        <v>37</v>
      </c>
      <c r="G113" s="177" t="s">
        <v>251</v>
      </c>
      <c r="H113" s="178">
        <v>6</v>
      </c>
      <c r="I113" s="276">
        <v>506</v>
      </c>
      <c r="J113" s="96">
        <f t="shared" si="17"/>
        <v>3036</v>
      </c>
      <c r="K113" s="108"/>
      <c r="L113" s="119" t="s">
        <v>250</v>
      </c>
      <c r="M113" s="106" t="s">
        <v>230</v>
      </c>
      <c r="N113" s="301" t="s">
        <v>516</v>
      </c>
      <c r="O113" s="103">
        <v>45938</v>
      </c>
      <c r="P113" s="105"/>
      <c r="Q113" s="242">
        <v>45952</v>
      </c>
      <c r="R113" s="103">
        <v>45953</v>
      </c>
      <c r="S113" s="102">
        <v>45953</v>
      </c>
    </row>
    <row r="114" spans="1:19" s="101" customFormat="1" ht="19.7" customHeight="1" x14ac:dyDescent="0.15">
      <c r="A114" s="142" t="s">
        <v>225</v>
      </c>
      <c r="B114" s="82" t="s">
        <v>249</v>
      </c>
      <c r="C114" s="133">
        <f>+(981/1000)*0.5*H114</f>
        <v>1.962</v>
      </c>
      <c r="D114" s="122">
        <f t="shared" si="18"/>
        <v>82</v>
      </c>
      <c r="E114" s="126" t="s">
        <v>37</v>
      </c>
      <c r="F114" s="126" t="s">
        <v>37</v>
      </c>
      <c r="G114" s="177" t="s">
        <v>248</v>
      </c>
      <c r="H114" s="178">
        <v>4</v>
      </c>
      <c r="I114" s="276">
        <v>1177</v>
      </c>
      <c r="J114" s="96">
        <f t="shared" si="17"/>
        <v>4708</v>
      </c>
      <c r="K114" s="108"/>
      <c r="L114" s="119" t="s">
        <v>247</v>
      </c>
      <c r="M114" s="106" t="s">
        <v>230</v>
      </c>
      <c r="N114" s="301" t="s">
        <v>516</v>
      </c>
      <c r="O114" s="103">
        <v>45938</v>
      </c>
      <c r="P114" s="105"/>
      <c r="Q114" s="242">
        <v>45952</v>
      </c>
      <c r="R114" s="103">
        <v>45953</v>
      </c>
      <c r="S114" s="102">
        <v>45953</v>
      </c>
    </row>
    <row r="115" spans="1:19" s="101" customFormat="1" ht="19.7" customHeight="1" x14ac:dyDescent="0.15">
      <c r="A115" s="142" t="s">
        <v>223</v>
      </c>
      <c r="B115" s="82"/>
      <c r="C115" s="133">
        <f>0.067*H115</f>
        <v>0.13400000000000001</v>
      </c>
      <c r="D115" s="122">
        <f t="shared" si="18"/>
        <v>83</v>
      </c>
      <c r="E115" s="126" t="s">
        <v>37</v>
      </c>
      <c r="F115" s="126" t="s">
        <v>37</v>
      </c>
      <c r="G115" s="177" t="s">
        <v>246</v>
      </c>
      <c r="H115" s="178">
        <v>2</v>
      </c>
      <c r="I115" s="276">
        <v>1122</v>
      </c>
      <c r="J115" s="96">
        <f t="shared" si="17"/>
        <v>2244</v>
      </c>
      <c r="K115" s="108"/>
      <c r="L115" s="119" t="s">
        <v>245</v>
      </c>
      <c r="M115" s="106" t="s">
        <v>230</v>
      </c>
      <c r="N115" s="301" t="s">
        <v>516</v>
      </c>
      <c r="O115" s="103">
        <v>45938</v>
      </c>
      <c r="P115" s="105"/>
      <c r="Q115" s="242">
        <v>45952</v>
      </c>
      <c r="R115" s="103">
        <v>45953</v>
      </c>
      <c r="S115" s="102">
        <v>45953</v>
      </c>
    </row>
    <row r="116" spans="1:19" s="101" customFormat="1" ht="19.7" customHeight="1" x14ac:dyDescent="0.15">
      <c r="A116" s="142" t="s">
        <v>223</v>
      </c>
      <c r="B116" s="82"/>
      <c r="C116" s="133">
        <f>0.045*H116</f>
        <v>0.09</v>
      </c>
      <c r="D116" s="122">
        <f t="shared" si="18"/>
        <v>84</v>
      </c>
      <c r="E116" s="126" t="s">
        <v>37</v>
      </c>
      <c r="F116" s="126" t="s">
        <v>37</v>
      </c>
      <c r="G116" s="177" t="s">
        <v>244</v>
      </c>
      <c r="H116" s="178">
        <v>2</v>
      </c>
      <c r="I116" s="276">
        <v>623</v>
      </c>
      <c r="J116" s="96">
        <f t="shared" si="17"/>
        <v>1246</v>
      </c>
      <c r="K116" s="108"/>
      <c r="L116" s="119" t="s">
        <v>243</v>
      </c>
      <c r="M116" s="106" t="s">
        <v>230</v>
      </c>
      <c r="N116" s="301" t="s">
        <v>516</v>
      </c>
      <c r="O116" s="103">
        <v>45938</v>
      </c>
      <c r="P116" s="105"/>
      <c r="Q116" s="242">
        <v>45952</v>
      </c>
      <c r="R116" s="103">
        <v>45953</v>
      </c>
      <c r="S116" s="102">
        <v>45953</v>
      </c>
    </row>
    <row r="117" spans="1:19" s="101" customFormat="1" ht="19.7" customHeight="1" x14ac:dyDescent="0.15">
      <c r="A117" s="142" t="s">
        <v>223</v>
      </c>
      <c r="B117" s="82"/>
      <c r="C117" s="133">
        <f>0.045*H117</f>
        <v>0.09</v>
      </c>
      <c r="D117" s="122">
        <f t="shared" si="18"/>
        <v>85</v>
      </c>
      <c r="E117" s="126" t="s">
        <v>37</v>
      </c>
      <c r="F117" s="126" t="s">
        <v>37</v>
      </c>
      <c r="G117" s="177" t="s">
        <v>242</v>
      </c>
      <c r="H117" s="178">
        <v>2</v>
      </c>
      <c r="I117" s="276">
        <v>623</v>
      </c>
      <c r="J117" s="96">
        <f t="shared" si="17"/>
        <v>1246</v>
      </c>
      <c r="K117" s="108"/>
      <c r="L117" s="119" t="s">
        <v>241</v>
      </c>
      <c r="M117" s="106" t="s">
        <v>230</v>
      </c>
      <c r="N117" s="301" t="s">
        <v>516</v>
      </c>
      <c r="O117" s="103">
        <v>45938</v>
      </c>
      <c r="P117" s="105"/>
      <c r="Q117" s="242">
        <v>45952</v>
      </c>
      <c r="R117" s="103">
        <v>45953</v>
      </c>
      <c r="S117" s="102">
        <v>45953</v>
      </c>
    </row>
    <row r="118" spans="1:19" s="101" customFormat="1" ht="19.7" customHeight="1" x14ac:dyDescent="0.15">
      <c r="A118" s="142" t="s">
        <v>223</v>
      </c>
      <c r="B118" s="82"/>
      <c r="C118" s="133">
        <f>0.05*H118</f>
        <v>0.1</v>
      </c>
      <c r="D118" s="122">
        <f t="shared" si="18"/>
        <v>86</v>
      </c>
      <c r="E118" s="126" t="s">
        <v>37</v>
      </c>
      <c r="F118" s="126" t="s">
        <v>37</v>
      </c>
      <c r="G118" s="177" t="s">
        <v>240</v>
      </c>
      <c r="H118" s="178">
        <v>2</v>
      </c>
      <c r="I118" s="276">
        <v>913</v>
      </c>
      <c r="J118" s="96">
        <f t="shared" si="17"/>
        <v>1826</v>
      </c>
      <c r="K118" s="108"/>
      <c r="L118" s="119" t="s">
        <v>239</v>
      </c>
      <c r="M118" s="106" t="s">
        <v>230</v>
      </c>
      <c r="N118" s="301" t="s">
        <v>516</v>
      </c>
      <c r="O118" s="103">
        <v>45938</v>
      </c>
      <c r="P118" s="105"/>
      <c r="Q118" s="242">
        <v>45952</v>
      </c>
      <c r="R118" s="103">
        <v>45953</v>
      </c>
      <c r="S118" s="102">
        <v>45953</v>
      </c>
    </row>
    <row r="119" spans="1:19" s="101" customFormat="1" ht="19.7" customHeight="1" x14ac:dyDescent="0.15">
      <c r="A119" s="142" t="s">
        <v>223</v>
      </c>
      <c r="B119" s="82"/>
      <c r="C119" s="133">
        <f>0.085*H119</f>
        <v>0.17</v>
      </c>
      <c r="D119" s="122">
        <f t="shared" si="18"/>
        <v>87</v>
      </c>
      <c r="E119" s="126" t="s">
        <v>37</v>
      </c>
      <c r="F119" s="126" t="s">
        <v>37</v>
      </c>
      <c r="G119" s="177" t="s">
        <v>238</v>
      </c>
      <c r="H119" s="178">
        <v>2</v>
      </c>
      <c r="I119" s="276">
        <v>1858</v>
      </c>
      <c r="J119" s="96">
        <f t="shared" si="17"/>
        <v>3716</v>
      </c>
      <c r="K119" s="108"/>
      <c r="L119" s="119" t="s">
        <v>237</v>
      </c>
      <c r="M119" s="106" t="s">
        <v>230</v>
      </c>
      <c r="N119" s="301" t="s">
        <v>516</v>
      </c>
      <c r="O119" s="103">
        <v>45938</v>
      </c>
      <c r="P119" s="105"/>
      <c r="Q119" s="242">
        <v>45952</v>
      </c>
      <c r="R119" s="103">
        <v>45953</v>
      </c>
      <c r="S119" s="102">
        <v>45953</v>
      </c>
    </row>
    <row r="120" spans="1:19" s="101" customFormat="1" ht="19.7" customHeight="1" x14ac:dyDescent="0.15">
      <c r="A120" s="142" t="s">
        <v>235</v>
      </c>
      <c r="B120" s="82"/>
      <c r="C120" s="133">
        <f>0.03*H120</f>
        <v>0.24</v>
      </c>
      <c r="D120" s="122">
        <f t="shared" si="18"/>
        <v>88</v>
      </c>
      <c r="E120" s="126" t="s">
        <v>37</v>
      </c>
      <c r="F120" s="126" t="s">
        <v>37</v>
      </c>
      <c r="G120" s="177" t="s">
        <v>236</v>
      </c>
      <c r="H120" s="178">
        <v>8</v>
      </c>
      <c r="I120" s="276">
        <v>207</v>
      </c>
      <c r="J120" s="96">
        <f t="shared" si="17"/>
        <v>1656</v>
      </c>
      <c r="K120" s="108"/>
      <c r="L120" s="119" t="s">
        <v>233</v>
      </c>
      <c r="M120" s="106" t="s">
        <v>230</v>
      </c>
      <c r="N120" s="301" t="s">
        <v>516</v>
      </c>
      <c r="O120" s="103">
        <v>45938</v>
      </c>
      <c r="P120" s="105"/>
      <c r="Q120" s="242">
        <v>45952</v>
      </c>
      <c r="R120" s="103">
        <v>45953</v>
      </c>
      <c r="S120" s="102">
        <v>45953</v>
      </c>
    </row>
    <row r="121" spans="1:19" s="101" customFormat="1" ht="19.7" customHeight="1" x14ac:dyDescent="0.15">
      <c r="A121" s="142" t="s">
        <v>235</v>
      </c>
      <c r="B121" s="82"/>
      <c r="C121" s="133">
        <f>0.05*H121</f>
        <v>0.4</v>
      </c>
      <c r="D121" s="122">
        <f t="shared" si="18"/>
        <v>89</v>
      </c>
      <c r="E121" s="126" t="s">
        <v>37</v>
      </c>
      <c r="F121" s="126" t="s">
        <v>37</v>
      </c>
      <c r="G121" s="177" t="s">
        <v>234</v>
      </c>
      <c r="H121" s="178">
        <v>8</v>
      </c>
      <c r="I121" s="276">
        <v>277</v>
      </c>
      <c r="J121" s="96">
        <f t="shared" si="17"/>
        <v>2216</v>
      </c>
      <c r="K121" s="108"/>
      <c r="L121" s="119" t="s">
        <v>233</v>
      </c>
      <c r="M121" s="106" t="s">
        <v>230</v>
      </c>
      <c r="N121" s="301" t="s">
        <v>516</v>
      </c>
      <c r="O121" s="103">
        <v>45938</v>
      </c>
      <c r="P121" s="105"/>
      <c r="Q121" s="242">
        <v>45952</v>
      </c>
      <c r="R121" s="103">
        <v>45953</v>
      </c>
      <c r="S121" s="102">
        <v>45953</v>
      </c>
    </row>
    <row r="122" spans="1:19" s="101" customFormat="1" ht="19.7" customHeight="1" x14ac:dyDescent="0.15">
      <c r="A122" s="142" t="s">
        <v>223</v>
      </c>
      <c r="B122" s="82"/>
      <c r="C122" s="133">
        <f>0.752*H122</f>
        <v>3.008</v>
      </c>
      <c r="D122" s="122">
        <f t="shared" si="18"/>
        <v>90</v>
      </c>
      <c r="E122" s="126" t="s">
        <v>37</v>
      </c>
      <c r="F122" s="126" t="s">
        <v>37</v>
      </c>
      <c r="G122" s="177" t="s">
        <v>232</v>
      </c>
      <c r="H122" s="178">
        <v>4</v>
      </c>
      <c r="I122" s="276">
        <v>1455</v>
      </c>
      <c r="J122" s="96">
        <f t="shared" si="17"/>
        <v>5820</v>
      </c>
      <c r="K122" s="108"/>
      <c r="L122" s="119" t="s">
        <v>231</v>
      </c>
      <c r="M122" s="106" t="s">
        <v>230</v>
      </c>
      <c r="N122" s="301" t="s">
        <v>516</v>
      </c>
      <c r="O122" s="103">
        <v>45938</v>
      </c>
      <c r="P122" s="105"/>
      <c r="Q122" s="242">
        <v>45952</v>
      </c>
      <c r="R122" s="103">
        <v>45953</v>
      </c>
      <c r="S122" s="102">
        <v>45953</v>
      </c>
    </row>
    <row r="123" spans="1:19" s="101" customFormat="1" ht="19.7" customHeight="1" x14ac:dyDescent="0.15">
      <c r="A123" s="92"/>
      <c r="B123" s="92"/>
      <c r="C123" s="92" t="s">
        <v>222</v>
      </c>
      <c r="D123" s="105"/>
      <c r="E123" s="105"/>
      <c r="F123" s="105"/>
      <c r="G123" s="86"/>
      <c r="H123" s="110"/>
      <c r="I123" s="109"/>
      <c r="J123" s="96"/>
      <c r="K123" s="108"/>
      <c r="L123" s="107"/>
      <c r="M123" s="106"/>
      <c r="N123" s="106"/>
      <c r="O123" s="103"/>
      <c r="P123" s="105"/>
      <c r="Q123" s="104"/>
      <c r="R123" s="103"/>
      <c r="S123" s="102"/>
    </row>
    <row r="124" spans="1:19" s="101" customFormat="1" ht="19.7" customHeight="1" x14ac:dyDescent="0.15">
      <c r="A124" s="92"/>
      <c r="B124" s="92"/>
      <c r="C124" s="115">
        <f>SUM(C12:C122)</f>
        <v>53.662700000000008</v>
      </c>
      <c r="D124" s="113"/>
      <c r="E124" s="105"/>
      <c r="F124" s="105"/>
      <c r="G124" s="116">
        <f>SUM(J63:J122)</f>
        <v>224176</v>
      </c>
      <c r="H124" s="110"/>
      <c r="I124" s="109"/>
      <c r="J124" s="96"/>
      <c r="K124" s="108"/>
      <c r="L124" s="107"/>
      <c r="M124" s="106"/>
      <c r="N124" s="106"/>
      <c r="O124" s="103"/>
      <c r="P124" s="105"/>
      <c r="Q124" s="104"/>
      <c r="R124" s="103"/>
      <c r="S124" s="102"/>
    </row>
    <row r="125" spans="1:19" s="101" customFormat="1" ht="19.7" customHeight="1" x14ac:dyDescent="0.15">
      <c r="A125" s="92"/>
      <c r="B125" s="92"/>
      <c r="C125" s="112" t="s">
        <v>136</v>
      </c>
      <c r="D125" s="105"/>
      <c r="E125" s="105"/>
      <c r="F125" s="105"/>
      <c r="G125" s="86"/>
      <c r="H125" s="110"/>
      <c r="I125" s="109"/>
      <c r="J125" s="96"/>
      <c r="K125" s="108"/>
      <c r="L125" s="107"/>
      <c r="M125" s="106"/>
      <c r="N125" s="106"/>
      <c r="O125" s="103"/>
      <c r="P125" s="105"/>
      <c r="Q125" s="104"/>
      <c r="R125" s="103"/>
      <c r="S125" s="102"/>
    </row>
    <row r="126" spans="1:19" s="101" customFormat="1" ht="19.7" customHeight="1" x14ac:dyDescent="0.15">
      <c r="A126" s="92"/>
      <c r="B126" s="92"/>
      <c r="C126" s="112"/>
      <c r="D126" s="105"/>
      <c r="E126" s="105"/>
      <c r="F126" s="105"/>
      <c r="G126" s="86"/>
      <c r="H126" s="110"/>
      <c r="I126" s="109"/>
      <c r="J126" s="96"/>
      <c r="K126" s="108"/>
      <c r="L126" s="107"/>
      <c r="M126" s="106"/>
      <c r="N126" s="106"/>
      <c r="O126" s="103"/>
      <c r="P126" s="105"/>
      <c r="Q126" s="104"/>
      <c r="R126" s="103"/>
      <c r="S126" s="102"/>
    </row>
    <row r="127" spans="1:19" s="101" customFormat="1" ht="19.7" customHeight="1" x14ac:dyDescent="0.15">
      <c r="A127" s="92"/>
      <c r="B127" s="92"/>
      <c r="C127" s="112"/>
      <c r="D127" s="105"/>
      <c r="E127" s="105"/>
      <c r="F127" s="105"/>
      <c r="G127" s="86"/>
      <c r="H127" s="110"/>
      <c r="I127" s="109"/>
      <c r="J127" s="96"/>
      <c r="K127" s="108"/>
      <c r="L127" s="107"/>
      <c r="M127" s="106"/>
      <c r="N127" s="106"/>
      <c r="O127" s="103"/>
      <c r="P127" s="105"/>
      <c r="Q127" s="104"/>
      <c r="R127" s="103"/>
      <c r="S127" s="102"/>
    </row>
    <row r="128" spans="1:19" s="101" customFormat="1" ht="19.7" customHeight="1" x14ac:dyDescent="0.15">
      <c r="A128" s="92"/>
      <c r="B128" s="92"/>
      <c r="C128" s="92"/>
      <c r="D128" s="85"/>
      <c r="E128" s="315" t="s">
        <v>221</v>
      </c>
      <c r="F128" s="316"/>
      <c r="G128" s="317"/>
      <c r="H128" s="110"/>
      <c r="I128" s="109"/>
      <c r="J128" s="96"/>
      <c r="K128" s="108"/>
      <c r="L128" s="107"/>
      <c r="M128" s="106"/>
      <c r="N128" s="106"/>
      <c r="O128" s="103"/>
      <c r="P128" s="105"/>
      <c r="Q128" s="104"/>
      <c r="R128" s="103"/>
      <c r="S128" s="102"/>
    </row>
    <row r="129" spans="1:19" s="92" customFormat="1" ht="19.7" customHeight="1" x14ac:dyDescent="0.15">
      <c r="A129" s="142" t="s">
        <v>139</v>
      </c>
      <c r="B129" s="82"/>
      <c r="C129" s="82">
        <f>0.035*H129</f>
        <v>0.31500000000000006</v>
      </c>
      <c r="D129" s="122">
        <f>+D122+1</f>
        <v>91</v>
      </c>
      <c r="E129" s="126" t="s">
        <v>37</v>
      </c>
      <c r="F129" s="126" t="s">
        <v>37</v>
      </c>
      <c r="G129" s="249" t="s">
        <v>220</v>
      </c>
      <c r="H129" s="179">
        <v>9</v>
      </c>
      <c r="I129" s="274">
        <v>156</v>
      </c>
      <c r="J129" s="244">
        <f t="shared" ref="J129:J136" si="19">H129*I129</f>
        <v>1404</v>
      </c>
      <c r="K129" s="83"/>
      <c r="L129" s="119" t="s">
        <v>219</v>
      </c>
      <c r="M129" s="124" t="s">
        <v>212</v>
      </c>
      <c r="N129" s="301" t="s">
        <v>516</v>
      </c>
      <c r="O129" s="103">
        <v>45938</v>
      </c>
      <c r="P129" s="105"/>
      <c r="Q129" s="242">
        <v>45952</v>
      </c>
      <c r="R129" s="103">
        <v>45953</v>
      </c>
      <c r="S129" s="102">
        <v>45953</v>
      </c>
    </row>
    <row r="130" spans="1:19" s="92" customFormat="1" ht="19.7" customHeight="1" x14ac:dyDescent="0.15">
      <c r="A130" s="142" t="s">
        <v>139</v>
      </c>
      <c r="B130" s="82"/>
      <c r="C130" s="82">
        <f>0.135*H130</f>
        <v>8.1000000000000014</v>
      </c>
      <c r="D130" s="122">
        <f>+D129+1</f>
        <v>92</v>
      </c>
      <c r="E130" s="126" t="s">
        <v>37</v>
      </c>
      <c r="F130" s="126" t="s">
        <v>37</v>
      </c>
      <c r="G130" s="249" t="s">
        <v>158</v>
      </c>
      <c r="H130" s="179">
        <v>60</v>
      </c>
      <c r="I130" s="274">
        <v>520</v>
      </c>
      <c r="J130" s="244">
        <f t="shared" si="19"/>
        <v>31200</v>
      </c>
      <c r="K130" s="83"/>
      <c r="L130" s="119" t="s">
        <v>499</v>
      </c>
      <c r="M130" s="86" t="s">
        <v>202</v>
      </c>
      <c r="N130" s="301" t="s">
        <v>516</v>
      </c>
      <c r="O130" s="103">
        <v>45938</v>
      </c>
      <c r="P130" s="105"/>
      <c r="Q130" s="242">
        <v>45952</v>
      </c>
      <c r="R130" s="103">
        <v>45953</v>
      </c>
      <c r="S130" s="102">
        <v>45953</v>
      </c>
    </row>
    <row r="131" spans="1:19" s="92" customFormat="1" ht="19.7" customHeight="1" x14ac:dyDescent="0.15">
      <c r="A131" s="142" t="s">
        <v>139</v>
      </c>
      <c r="B131" s="82"/>
      <c r="C131" s="82">
        <f>1.445*H131</f>
        <v>5.78</v>
      </c>
      <c r="D131" s="122">
        <f>+D130+1</f>
        <v>93</v>
      </c>
      <c r="E131" s="126" t="s">
        <v>37</v>
      </c>
      <c r="F131" s="126" t="s">
        <v>37</v>
      </c>
      <c r="G131" s="249" t="s">
        <v>218</v>
      </c>
      <c r="H131" s="179">
        <v>4</v>
      </c>
      <c r="I131" s="274">
        <v>7835</v>
      </c>
      <c r="J131" s="244">
        <f t="shared" si="19"/>
        <v>31340</v>
      </c>
      <c r="K131" s="83"/>
      <c r="L131" s="119" t="s">
        <v>217</v>
      </c>
      <c r="M131" s="86" t="s">
        <v>202</v>
      </c>
      <c r="N131" s="301" t="s">
        <v>516</v>
      </c>
      <c r="O131" s="103">
        <v>45938</v>
      </c>
      <c r="P131" s="105"/>
      <c r="Q131" s="242">
        <v>45952</v>
      </c>
      <c r="R131" s="103">
        <v>45953</v>
      </c>
      <c r="S131" s="102">
        <v>45953</v>
      </c>
    </row>
    <row r="132" spans="1:19" s="92" customFormat="1" ht="19.7" customHeight="1" x14ac:dyDescent="0.15">
      <c r="A132" s="142" t="s">
        <v>139</v>
      </c>
      <c r="B132" s="82"/>
      <c r="C132" s="82">
        <f>0.01*H132</f>
        <v>0.09</v>
      </c>
      <c r="D132" s="122">
        <f>+D131+1</f>
        <v>94</v>
      </c>
      <c r="E132" s="126" t="s">
        <v>37</v>
      </c>
      <c r="F132" s="126" t="s">
        <v>37</v>
      </c>
      <c r="G132" s="249" t="s">
        <v>159</v>
      </c>
      <c r="H132" s="179">
        <v>9</v>
      </c>
      <c r="I132" s="274">
        <v>118</v>
      </c>
      <c r="J132" s="244">
        <f t="shared" si="19"/>
        <v>1062</v>
      </c>
      <c r="K132" s="83"/>
      <c r="L132" s="119" t="s">
        <v>465</v>
      </c>
      <c r="M132" s="86" t="s">
        <v>202</v>
      </c>
      <c r="N132" s="301" t="s">
        <v>516</v>
      </c>
      <c r="O132" s="103">
        <v>45938</v>
      </c>
      <c r="P132" s="105"/>
      <c r="Q132" s="242">
        <v>45952</v>
      </c>
      <c r="R132" s="103">
        <v>45953</v>
      </c>
      <c r="S132" s="102">
        <v>45953</v>
      </c>
    </row>
    <row r="133" spans="1:19" s="92" customFormat="1" ht="19.7" customHeight="1" x14ac:dyDescent="0.15">
      <c r="A133" s="142" t="s">
        <v>139</v>
      </c>
      <c r="B133" s="82" t="s">
        <v>211</v>
      </c>
      <c r="C133" s="82">
        <f>+(210/1000)*0.9*H133</f>
        <v>0.75600000000000001</v>
      </c>
      <c r="D133" s="122">
        <f t="shared" ref="D133:D136" si="20">+D132+1</f>
        <v>95</v>
      </c>
      <c r="E133" s="126" t="s">
        <v>37</v>
      </c>
      <c r="F133" s="126" t="s">
        <v>37</v>
      </c>
      <c r="G133" s="249" t="s">
        <v>215</v>
      </c>
      <c r="H133" s="179">
        <v>4</v>
      </c>
      <c r="I133" s="274">
        <v>427</v>
      </c>
      <c r="J133" s="244">
        <f t="shared" si="19"/>
        <v>1708</v>
      </c>
      <c r="K133" s="83"/>
      <c r="L133" s="119" t="s">
        <v>209</v>
      </c>
      <c r="M133" s="124" t="s">
        <v>212</v>
      </c>
      <c r="N133" s="301" t="s">
        <v>516</v>
      </c>
      <c r="O133" s="103">
        <v>45938</v>
      </c>
      <c r="P133" s="105"/>
      <c r="Q133" s="242">
        <v>45952</v>
      </c>
      <c r="R133" s="103">
        <v>45953</v>
      </c>
      <c r="S133" s="102">
        <v>45953</v>
      </c>
    </row>
    <row r="134" spans="1:19" s="92" customFormat="1" ht="19.7" customHeight="1" x14ac:dyDescent="0.15">
      <c r="A134" s="142" t="s">
        <v>139</v>
      </c>
      <c r="B134" s="82" t="s">
        <v>211</v>
      </c>
      <c r="C134" s="82">
        <f>+(329/1000)*0.9*H134</f>
        <v>0.59220000000000006</v>
      </c>
      <c r="D134" s="122">
        <f t="shared" si="20"/>
        <v>96</v>
      </c>
      <c r="E134" s="126" t="s">
        <v>37</v>
      </c>
      <c r="F134" s="126" t="s">
        <v>37</v>
      </c>
      <c r="G134" s="249" t="s">
        <v>214</v>
      </c>
      <c r="H134" s="179">
        <v>2</v>
      </c>
      <c r="I134" s="274">
        <v>306</v>
      </c>
      <c r="J134" s="244">
        <f t="shared" si="19"/>
        <v>612</v>
      </c>
      <c r="K134" s="83"/>
      <c r="L134" s="119" t="s">
        <v>209</v>
      </c>
      <c r="M134" s="124" t="s">
        <v>212</v>
      </c>
      <c r="N134" s="301" t="s">
        <v>516</v>
      </c>
      <c r="O134" s="103">
        <v>45938</v>
      </c>
      <c r="P134" s="105"/>
      <c r="Q134" s="242">
        <v>45952</v>
      </c>
      <c r="R134" s="103">
        <v>45953</v>
      </c>
      <c r="S134" s="102">
        <v>45953</v>
      </c>
    </row>
    <row r="135" spans="1:19" s="92" customFormat="1" ht="19.7" customHeight="1" x14ac:dyDescent="0.15">
      <c r="A135" s="142" t="s">
        <v>139</v>
      </c>
      <c r="B135" s="82" t="s">
        <v>211</v>
      </c>
      <c r="C135" s="82">
        <f>+(460/1000)*0.9*H135</f>
        <v>0.82800000000000007</v>
      </c>
      <c r="D135" s="122">
        <f t="shared" si="20"/>
        <v>97</v>
      </c>
      <c r="E135" s="126" t="s">
        <v>37</v>
      </c>
      <c r="F135" s="126" t="s">
        <v>37</v>
      </c>
      <c r="G135" s="249" t="s">
        <v>213</v>
      </c>
      <c r="H135" s="179">
        <v>2</v>
      </c>
      <c r="I135" s="274">
        <v>435</v>
      </c>
      <c r="J135" s="244">
        <f t="shared" si="19"/>
        <v>870</v>
      </c>
      <c r="K135" s="83"/>
      <c r="L135" s="119" t="s">
        <v>209</v>
      </c>
      <c r="M135" s="124" t="s">
        <v>212</v>
      </c>
      <c r="N135" s="301" t="s">
        <v>516</v>
      </c>
      <c r="O135" s="103">
        <v>45938</v>
      </c>
      <c r="P135" s="105"/>
      <c r="Q135" s="242">
        <v>45952</v>
      </c>
      <c r="R135" s="103">
        <v>45953</v>
      </c>
      <c r="S135" s="102">
        <v>45953</v>
      </c>
    </row>
    <row r="136" spans="1:19" s="92" customFormat="1" ht="19.7" customHeight="1" x14ac:dyDescent="0.15">
      <c r="A136" s="142" t="s">
        <v>139</v>
      </c>
      <c r="B136" s="82" t="s">
        <v>211</v>
      </c>
      <c r="C136" s="82">
        <f>+(542/1000)*0.9*H136</f>
        <v>0.97560000000000013</v>
      </c>
      <c r="D136" s="122">
        <f t="shared" si="20"/>
        <v>98</v>
      </c>
      <c r="E136" s="126" t="s">
        <v>37</v>
      </c>
      <c r="F136" s="126" t="s">
        <v>37</v>
      </c>
      <c r="G136" s="249" t="s">
        <v>210</v>
      </c>
      <c r="H136" s="179">
        <v>2</v>
      </c>
      <c r="I136" s="274">
        <v>514</v>
      </c>
      <c r="J136" s="244">
        <f t="shared" si="19"/>
        <v>1028</v>
      </c>
      <c r="K136" s="83"/>
      <c r="L136" s="119" t="s">
        <v>209</v>
      </c>
      <c r="M136" s="124"/>
      <c r="N136" s="301" t="s">
        <v>516</v>
      </c>
      <c r="O136" s="103">
        <v>45938</v>
      </c>
      <c r="P136" s="105"/>
      <c r="Q136" s="242">
        <v>45952</v>
      </c>
      <c r="R136" s="103">
        <v>45953</v>
      </c>
      <c r="S136" s="102">
        <v>45953</v>
      </c>
    </row>
    <row r="137" spans="1:19" s="92" customFormat="1" ht="19.7" customHeight="1" x14ac:dyDescent="0.15">
      <c r="A137" s="142" t="s">
        <v>139</v>
      </c>
      <c r="B137" s="82" t="s">
        <v>163</v>
      </c>
      <c r="C137" s="82">
        <f>+(290/1000)*2.63*H137</f>
        <v>3.0507999999999997</v>
      </c>
      <c r="D137" s="122">
        <f>+D136+1</f>
        <v>99</v>
      </c>
      <c r="E137" s="126" t="s">
        <v>37</v>
      </c>
      <c r="F137" s="126" t="s">
        <v>37</v>
      </c>
      <c r="G137" s="243" t="s">
        <v>208</v>
      </c>
      <c r="H137" s="239">
        <v>4</v>
      </c>
      <c r="I137" s="274">
        <v>940</v>
      </c>
      <c r="J137" s="244">
        <f>H137*I137</f>
        <v>3760</v>
      </c>
      <c r="K137" s="83"/>
      <c r="L137" s="119" t="s">
        <v>207</v>
      </c>
      <c r="M137" s="86" t="s">
        <v>202</v>
      </c>
      <c r="N137" s="301" t="s">
        <v>516</v>
      </c>
      <c r="O137" s="103">
        <v>45938</v>
      </c>
      <c r="P137" s="105"/>
      <c r="Q137" s="242">
        <v>45952</v>
      </c>
      <c r="R137" s="103">
        <v>45953</v>
      </c>
      <c r="S137" s="102">
        <v>45953</v>
      </c>
    </row>
    <row r="138" spans="1:19" s="92" customFormat="1" ht="19.7" customHeight="1" x14ac:dyDescent="0.15">
      <c r="A138" s="142" t="s">
        <v>139</v>
      </c>
      <c r="B138" s="82" t="s">
        <v>163</v>
      </c>
      <c r="C138" s="82">
        <f>+(542/1000)*2.63*H138</f>
        <v>7.1273</v>
      </c>
      <c r="D138" s="122">
        <f>+D137+1</f>
        <v>100</v>
      </c>
      <c r="E138" s="126" t="s">
        <v>37</v>
      </c>
      <c r="F138" s="126" t="s">
        <v>37</v>
      </c>
      <c r="G138" s="249" t="s">
        <v>206</v>
      </c>
      <c r="H138" s="179">
        <v>5</v>
      </c>
      <c r="I138" s="274">
        <v>1494</v>
      </c>
      <c r="J138" s="244">
        <f>H138*I138</f>
        <v>7470</v>
      </c>
      <c r="K138" s="83"/>
      <c r="L138" s="119" t="s">
        <v>205</v>
      </c>
      <c r="M138" s="86" t="s">
        <v>202</v>
      </c>
      <c r="N138" s="301" t="s">
        <v>516</v>
      </c>
      <c r="O138" s="103">
        <v>45938</v>
      </c>
      <c r="P138" s="105"/>
      <c r="Q138" s="242">
        <v>45952</v>
      </c>
      <c r="R138" s="103">
        <v>45953</v>
      </c>
      <c r="S138" s="102">
        <v>45953</v>
      </c>
    </row>
    <row r="139" spans="1:19" s="92" customFormat="1" ht="19.7" customHeight="1" x14ac:dyDescent="0.15">
      <c r="A139" s="142" t="s">
        <v>139</v>
      </c>
      <c r="B139" s="82" t="s">
        <v>163</v>
      </c>
      <c r="C139" s="82">
        <f>+(754/1000)*2.63*H139</f>
        <v>7.93208</v>
      </c>
      <c r="D139" s="122">
        <f t="shared" ref="D139:D140" si="21">+D138+1</f>
        <v>101</v>
      </c>
      <c r="E139" s="126" t="s">
        <v>37</v>
      </c>
      <c r="F139" s="126" t="s">
        <v>37</v>
      </c>
      <c r="G139" s="249" t="s">
        <v>204</v>
      </c>
      <c r="H139" s="179">
        <v>4</v>
      </c>
      <c r="I139" s="274">
        <v>2366</v>
      </c>
      <c r="J139" s="244">
        <f>H139*I139</f>
        <v>9464</v>
      </c>
      <c r="K139" s="83"/>
      <c r="L139" s="119" t="s">
        <v>161</v>
      </c>
      <c r="M139" s="86" t="s">
        <v>202</v>
      </c>
      <c r="N139" s="301" t="s">
        <v>516</v>
      </c>
      <c r="O139" s="103">
        <v>45938</v>
      </c>
      <c r="P139" s="105"/>
      <c r="Q139" s="242">
        <v>45952</v>
      </c>
      <c r="R139" s="103">
        <v>45953</v>
      </c>
      <c r="S139" s="102">
        <v>45953</v>
      </c>
    </row>
    <row r="140" spans="1:19" s="92" customFormat="1" ht="19.7" customHeight="1" x14ac:dyDescent="0.15">
      <c r="A140" s="142" t="s">
        <v>139</v>
      </c>
      <c r="B140" s="82" t="s">
        <v>163</v>
      </c>
      <c r="C140" s="82">
        <f>+(980/1000)*2.63*H140</f>
        <v>15.464399999999999</v>
      </c>
      <c r="D140" s="122">
        <f t="shared" si="21"/>
        <v>102</v>
      </c>
      <c r="E140" s="126" t="s">
        <v>37</v>
      </c>
      <c r="F140" s="126" t="s">
        <v>37</v>
      </c>
      <c r="G140" s="249" t="s">
        <v>203</v>
      </c>
      <c r="H140" s="179">
        <v>6</v>
      </c>
      <c r="I140" s="274">
        <v>2712</v>
      </c>
      <c r="J140" s="244">
        <f>H140*I140</f>
        <v>16272</v>
      </c>
      <c r="K140" s="83"/>
      <c r="L140" s="119" t="s">
        <v>161</v>
      </c>
      <c r="M140" s="86" t="s">
        <v>202</v>
      </c>
      <c r="N140" s="301" t="s">
        <v>516</v>
      </c>
      <c r="O140" s="103">
        <v>45938</v>
      </c>
      <c r="P140" s="105"/>
      <c r="Q140" s="242">
        <v>45952</v>
      </c>
      <c r="R140" s="103">
        <v>45953</v>
      </c>
      <c r="S140" s="102">
        <v>45953</v>
      </c>
    </row>
    <row r="141" spans="1:19" s="92" customFormat="1" ht="19.7" customHeight="1" x14ac:dyDescent="0.15">
      <c r="A141" s="142" t="s">
        <v>142</v>
      </c>
      <c r="B141" s="82"/>
      <c r="C141" s="82">
        <f>1.7*H141</f>
        <v>1.7</v>
      </c>
      <c r="D141" s="122">
        <f t="shared" ref="D141:D152" si="22">+D140+1</f>
        <v>103</v>
      </c>
      <c r="E141" s="126" t="s">
        <v>37</v>
      </c>
      <c r="F141" s="126" t="s">
        <v>37</v>
      </c>
      <c r="G141" s="249" t="s">
        <v>201</v>
      </c>
      <c r="H141" s="179">
        <v>1</v>
      </c>
      <c r="I141" s="274">
        <v>8400</v>
      </c>
      <c r="J141" s="244">
        <f t="shared" ref="J141:J157" si="23">H141*I141</f>
        <v>8400</v>
      </c>
      <c r="K141" s="83"/>
      <c r="L141" s="119" t="s">
        <v>200</v>
      </c>
      <c r="M141" s="124" t="s">
        <v>199</v>
      </c>
      <c r="N141" s="301" t="s">
        <v>516</v>
      </c>
      <c r="O141" s="103">
        <v>45938</v>
      </c>
      <c r="P141" s="105"/>
      <c r="Q141" s="242">
        <v>45952</v>
      </c>
      <c r="R141" s="103">
        <v>45953</v>
      </c>
      <c r="S141" s="102">
        <v>45953</v>
      </c>
    </row>
    <row r="142" spans="1:19" s="92" customFormat="1" ht="19.7" customHeight="1" x14ac:dyDescent="0.15">
      <c r="A142" s="142" t="s">
        <v>142</v>
      </c>
      <c r="B142" s="82"/>
      <c r="C142" s="82">
        <f>1.8*H142</f>
        <v>7.2</v>
      </c>
      <c r="D142" s="122">
        <f t="shared" si="22"/>
        <v>104</v>
      </c>
      <c r="E142" s="126" t="s">
        <v>37</v>
      </c>
      <c r="F142" s="126" t="s">
        <v>37</v>
      </c>
      <c r="G142" s="249" t="s">
        <v>198</v>
      </c>
      <c r="H142" s="179">
        <v>4</v>
      </c>
      <c r="I142" s="274">
        <v>10150</v>
      </c>
      <c r="J142" s="244">
        <f t="shared" si="23"/>
        <v>40600</v>
      </c>
      <c r="K142" s="83"/>
      <c r="L142" s="119" t="s">
        <v>197</v>
      </c>
      <c r="M142" s="106" t="s">
        <v>138</v>
      </c>
      <c r="N142" s="301" t="s">
        <v>516</v>
      </c>
      <c r="O142" s="103">
        <v>45938</v>
      </c>
      <c r="P142" s="105"/>
      <c r="Q142" s="242">
        <v>45952</v>
      </c>
      <c r="R142" s="103">
        <v>45953</v>
      </c>
      <c r="S142" s="102">
        <v>45953</v>
      </c>
    </row>
    <row r="143" spans="1:19" s="92" customFormat="1" ht="19.7" customHeight="1" x14ac:dyDescent="0.15">
      <c r="A143" s="142" t="s">
        <v>142</v>
      </c>
      <c r="B143" s="82"/>
      <c r="C143" s="82">
        <v>1.8</v>
      </c>
      <c r="D143" s="122">
        <f t="shared" si="22"/>
        <v>105</v>
      </c>
      <c r="E143" s="85" t="s">
        <v>141</v>
      </c>
      <c r="F143" s="126" t="s">
        <v>37</v>
      </c>
      <c r="G143" s="249" t="s">
        <v>196</v>
      </c>
      <c r="H143" s="179">
        <v>1</v>
      </c>
      <c r="I143" s="274">
        <v>9730</v>
      </c>
      <c r="J143" s="244">
        <f t="shared" si="23"/>
        <v>9730</v>
      </c>
      <c r="K143" s="83"/>
      <c r="L143" s="119" t="s">
        <v>195</v>
      </c>
      <c r="M143" s="106" t="s">
        <v>138</v>
      </c>
      <c r="N143" s="301" t="s">
        <v>516</v>
      </c>
      <c r="O143" s="103">
        <v>45938</v>
      </c>
      <c r="P143" s="105"/>
      <c r="Q143" s="242">
        <v>45952</v>
      </c>
      <c r="R143" s="103">
        <v>45953</v>
      </c>
      <c r="S143" s="102">
        <v>45953</v>
      </c>
    </row>
    <row r="144" spans="1:19" s="92" customFormat="1" ht="19.7" customHeight="1" x14ac:dyDescent="0.15">
      <c r="A144" s="142" t="s">
        <v>142</v>
      </c>
      <c r="B144" s="82"/>
      <c r="C144" s="82">
        <v>1.3</v>
      </c>
      <c r="D144" s="122">
        <f t="shared" si="22"/>
        <v>106</v>
      </c>
      <c r="E144" s="85" t="s">
        <v>141</v>
      </c>
      <c r="F144" s="126" t="s">
        <v>37</v>
      </c>
      <c r="G144" s="249" t="s">
        <v>194</v>
      </c>
      <c r="H144" s="179">
        <v>1</v>
      </c>
      <c r="I144" s="274">
        <v>7080</v>
      </c>
      <c r="J144" s="244">
        <f t="shared" si="23"/>
        <v>7080</v>
      </c>
      <c r="K144" s="83"/>
      <c r="L144" s="119" t="s">
        <v>193</v>
      </c>
      <c r="M144" s="106" t="s">
        <v>138</v>
      </c>
      <c r="N144" s="301" t="s">
        <v>516</v>
      </c>
      <c r="O144" s="103">
        <v>45938</v>
      </c>
      <c r="P144" s="105"/>
      <c r="Q144" s="242">
        <v>45952</v>
      </c>
      <c r="R144" s="103">
        <v>45953</v>
      </c>
      <c r="S144" s="102">
        <v>45953</v>
      </c>
    </row>
    <row r="145" spans="1:19" s="92" customFormat="1" ht="19.7" customHeight="1" x14ac:dyDescent="0.15">
      <c r="A145" s="142" t="s">
        <v>142</v>
      </c>
      <c r="B145" s="82"/>
      <c r="C145" s="82">
        <v>2.7</v>
      </c>
      <c r="D145" s="122">
        <f t="shared" si="22"/>
        <v>107</v>
      </c>
      <c r="E145" s="85" t="s">
        <v>141</v>
      </c>
      <c r="F145" s="126" t="s">
        <v>37</v>
      </c>
      <c r="G145" s="249" t="s">
        <v>192</v>
      </c>
      <c r="H145" s="179">
        <v>1</v>
      </c>
      <c r="I145" s="274">
        <v>12880</v>
      </c>
      <c r="J145" s="244">
        <f t="shared" si="23"/>
        <v>12880</v>
      </c>
      <c r="K145" s="83"/>
      <c r="L145" s="119" t="s">
        <v>191</v>
      </c>
      <c r="M145" s="106" t="s">
        <v>138</v>
      </c>
      <c r="N145" s="301" t="s">
        <v>516</v>
      </c>
      <c r="O145" s="103">
        <v>45938</v>
      </c>
      <c r="P145" s="105"/>
      <c r="Q145" s="242">
        <v>45952</v>
      </c>
      <c r="R145" s="103">
        <v>45953</v>
      </c>
      <c r="S145" s="102">
        <v>45953</v>
      </c>
    </row>
    <row r="146" spans="1:19" s="92" customFormat="1" ht="19.7" customHeight="1" x14ac:dyDescent="0.15">
      <c r="A146" s="142" t="s">
        <v>142</v>
      </c>
      <c r="B146" s="82"/>
      <c r="C146" s="82">
        <f>2*H146</f>
        <v>6</v>
      </c>
      <c r="D146" s="122">
        <f t="shared" si="22"/>
        <v>108</v>
      </c>
      <c r="E146" s="126" t="s">
        <v>37</v>
      </c>
      <c r="F146" s="126" t="s">
        <v>37</v>
      </c>
      <c r="G146" s="240" t="s">
        <v>190</v>
      </c>
      <c r="H146" s="241">
        <v>3</v>
      </c>
      <c r="I146" s="281">
        <v>11657</v>
      </c>
      <c r="J146" s="244">
        <f t="shared" si="23"/>
        <v>34971</v>
      </c>
      <c r="K146" s="132"/>
      <c r="L146" s="84" t="s">
        <v>189</v>
      </c>
      <c r="M146" s="106" t="s">
        <v>138</v>
      </c>
      <c r="N146" s="301" t="s">
        <v>516</v>
      </c>
      <c r="O146" s="103">
        <v>45938</v>
      </c>
      <c r="P146" s="105"/>
      <c r="Q146" s="242">
        <v>45952</v>
      </c>
      <c r="R146" s="103">
        <v>45953</v>
      </c>
      <c r="S146" s="102">
        <v>45953</v>
      </c>
    </row>
    <row r="147" spans="1:19" s="92" customFormat="1" ht="19.7" customHeight="1" x14ac:dyDescent="0.15">
      <c r="A147" s="142" t="s">
        <v>142</v>
      </c>
      <c r="B147" s="82"/>
      <c r="C147" s="82">
        <f>13*H147</f>
        <v>13</v>
      </c>
      <c r="D147" s="167">
        <f t="shared" si="22"/>
        <v>109</v>
      </c>
      <c r="E147" s="81" t="s">
        <v>141</v>
      </c>
      <c r="F147" s="126" t="s">
        <v>37</v>
      </c>
      <c r="G147" s="268" t="s">
        <v>466</v>
      </c>
      <c r="H147" s="236">
        <v>1</v>
      </c>
      <c r="I147" s="284">
        <v>49506</v>
      </c>
      <c r="J147" s="245">
        <f t="shared" si="23"/>
        <v>49506</v>
      </c>
      <c r="K147" s="188"/>
      <c r="L147" s="159" t="s">
        <v>467</v>
      </c>
      <c r="M147" s="205" t="s">
        <v>182</v>
      </c>
      <c r="N147" s="301" t="s">
        <v>516</v>
      </c>
      <c r="O147" s="103">
        <v>45938</v>
      </c>
      <c r="P147" s="105"/>
      <c r="Q147" s="242">
        <v>45952</v>
      </c>
      <c r="R147" s="103">
        <v>45953</v>
      </c>
      <c r="S147" s="102">
        <v>45953</v>
      </c>
    </row>
    <row r="148" spans="1:19" s="92" customFormat="1" ht="19.7" customHeight="1" x14ac:dyDescent="0.15">
      <c r="A148" s="142" t="s">
        <v>139</v>
      </c>
      <c r="B148" s="82"/>
      <c r="C148" s="82">
        <f>0.005*H148</f>
        <v>0.08</v>
      </c>
      <c r="D148" s="122">
        <f t="shared" si="22"/>
        <v>110</v>
      </c>
      <c r="E148" s="198" t="s">
        <v>140</v>
      </c>
      <c r="F148" s="198" t="s">
        <v>140</v>
      </c>
      <c r="G148" s="235" t="s">
        <v>188</v>
      </c>
      <c r="H148" s="236">
        <v>16</v>
      </c>
      <c r="I148" s="284">
        <v>41</v>
      </c>
      <c r="J148" s="245">
        <f t="shared" si="23"/>
        <v>656</v>
      </c>
      <c r="K148" s="188"/>
      <c r="L148" s="159" t="s">
        <v>187</v>
      </c>
      <c r="M148" s="205" t="s">
        <v>182</v>
      </c>
      <c r="N148" s="301" t="s">
        <v>516</v>
      </c>
      <c r="O148" s="103">
        <v>45938</v>
      </c>
      <c r="P148" s="105"/>
      <c r="Q148" s="242">
        <v>45952</v>
      </c>
      <c r="R148" s="103">
        <v>45953</v>
      </c>
      <c r="S148" s="102">
        <v>45953</v>
      </c>
    </row>
    <row r="149" spans="1:19" s="92" customFormat="1" ht="19.7" customHeight="1" x14ac:dyDescent="0.15">
      <c r="A149" s="142" t="s">
        <v>139</v>
      </c>
      <c r="B149" s="82"/>
      <c r="C149" s="82">
        <f>0.01*H149</f>
        <v>0.28000000000000003</v>
      </c>
      <c r="D149" s="122">
        <f t="shared" si="22"/>
        <v>111</v>
      </c>
      <c r="E149" s="198" t="s">
        <v>140</v>
      </c>
      <c r="F149" s="198" t="s">
        <v>140</v>
      </c>
      <c r="G149" s="235" t="s">
        <v>143</v>
      </c>
      <c r="H149" s="236">
        <v>28</v>
      </c>
      <c r="I149" s="284">
        <v>56</v>
      </c>
      <c r="J149" s="245">
        <f t="shared" si="23"/>
        <v>1568</v>
      </c>
      <c r="K149" s="188"/>
      <c r="L149" s="159" t="s">
        <v>507</v>
      </c>
      <c r="M149" s="161" t="s">
        <v>185</v>
      </c>
      <c r="N149" s="301" t="s">
        <v>516</v>
      </c>
      <c r="O149" s="103">
        <v>45938</v>
      </c>
      <c r="P149" s="105"/>
      <c r="Q149" s="242">
        <v>45952</v>
      </c>
      <c r="R149" s="103">
        <v>45953</v>
      </c>
      <c r="S149" s="102">
        <v>45953</v>
      </c>
    </row>
    <row r="150" spans="1:19" s="92" customFormat="1" ht="19.7" customHeight="1" x14ac:dyDescent="0.15">
      <c r="A150" s="142" t="s">
        <v>142</v>
      </c>
      <c r="B150" s="82"/>
      <c r="C150" s="82">
        <f>0.086*H150</f>
        <v>0.34399999999999997</v>
      </c>
      <c r="D150" s="122">
        <f t="shared" si="22"/>
        <v>112</v>
      </c>
      <c r="E150" s="126" t="s">
        <v>37</v>
      </c>
      <c r="F150" s="126" t="s">
        <v>37</v>
      </c>
      <c r="G150" s="235" t="s">
        <v>184</v>
      </c>
      <c r="H150" s="236">
        <v>4</v>
      </c>
      <c r="I150" s="284">
        <v>5329</v>
      </c>
      <c r="J150" s="245">
        <f t="shared" si="23"/>
        <v>21316</v>
      </c>
      <c r="K150" s="188"/>
      <c r="L150" s="159" t="s">
        <v>183</v>
      </c>
      <c r="M150" s="205" t="s">
        <v>182</v>
      </c>
      <c r="N150" s="301" t="s">
        <v>516</v>
      </c>
      <c r="O150" s="103">
        <v>45938</v>
      </c>
      <c r="P150" s="105"/>
      <c r="Q150" s="242">
        <v>45952</v>
      </c>
      <c r="R150" s="103">
        <v>45953</v>
      </c>
      <c r="S150" s="102">
        <v>45953</v>
      </c>
    </row>
    <row r="151" spans="1:19" s="101" customFormat="1" ht="19.7" customHeight="1" x14ac:dyDescent="0.15">
      <c r="A151" s="82" t="s">
        <v>139</v>
      </c>
      <c r="B151" s="82"/>
      <c r="C151" s="82">
        <f>0.01*H151</f>
        <v>0.24</v>
      </c>
      <c r="D151" s="122">
        <f t="shared" si="22"/>
        <v>113</v>
      </c>
      <c r="E151" s="121" t="s">
        <v>140</v>
      </c>
      <c r="F151" s="121" t="s">
        <v>140</v>
      </c>
      <c r="G151" s="177" t="s">
        <v>169</v>
      </c>
      <c r="H151" s="178">
        <v>24</v>
      </c>
      <c r="I151" s="276">
        <v>53</v>
      </c>
      <c r="J151" s="244">
        <f t="shared" si="23"/>
        <v>1272</v>
      </c>
      <c r="K151" s="108"/>
      <c r="L151" s="119" t="s">
        <v>512</v>
      </c>
      <c r="M151" s="86" t="s">
        <v>167</v>
      </c>
      <c r="N151" s="301" t="s">
        <v>516</v>
      </c>
      <c r="O151" s="103">
        <v>45938</v>
      </c>
      <c r="P151" s="105"/>
      <c r="Q151" s="242">
        <v>45952</v>
      </c>
      <c r="R151" s="103">
        <v>45953</v>
      </c>
      <c r="S151" s="102">
        <v>45953</v>
      </c>
    </row>
    <row r="152" spans="1:19" s="92" customFormat="1" ht="19.7" customHeight="1" x14ac:dyDescent="0.15">
      <c r="A152" s="142" t="s">
        <v>139</v>
      </c>
      <c r="B152" s="82"/>
      <c r="C152" s="82">
        <v>0.05</v>
      </c>
      <c r="D152" s="122">
        <f t="shared" si="22"/>
        <v>114</v>
      </c>
      <c r="E152" s="198" t="s">
        <v>140</v>
      </c>
      <c r="F152" s="198" t="s">
        <v>140</v>
      </c>
      <c r="G152" s="214" t="s">
        <v>181</v>
      </c>
      <c r="H152" s="174">
        <v>3</v>
      </c>
      <c r="I152" s="285">
        <v>158</v>
      </c>
      <c r="J152" s="254">
        <f t="shared" si="23"/>
        <v>474</v>
      </c>
      <c r="K152" s="188"/>
      <c r="L152" s="163" t="s">
        <v>180</v>
      </c>
      <c r="M152" s="86" t="s">
        <v>171</v>
      </c>
      <c r="N152" s="301" t="s">
        <v>516</v>
      </c>
      <c r="O152" s="103">
        <v>45938</v>
      </c>
      <c r="P152" s="105"/>
      <c r="Q152" s="242">
        <v>45952</v>
      </c>
      <c r="R152" s="103">
        <v>45953</v>
      </c>
      <c r="S152" s="102">
        <v>45953</v>
      </c>
    </row>
    <row r="153" spans="1:19" s="92" customFormat="1" ht="19.7" customHeight="1" x14ac:dyDescent="0.15">
      <c r="A153" s="142" t="s">
        <v>139</v>
      </c>
      <c r="B153" s="82"/>
      <c r="C153" s="82">
        <f>0.025*H153</f>
        <v>2.5000000000000001E-2</v>
      </c>
      <c r="D153" s="122">
        <f t="shared" ref="D153:D154" si="24">+D152+1</f>
        <v>115</v>
      </c>
      <c r="E153" s="198" t="s">
        <v>140</v>
      </c>
      <c r="F153" s="198" t="s">
        <v>140</v>
      </c>
      <c r="G153" s="222" t="s">
        <v>179</v>
      </c>
      <c r="H153" s="234">
        <v>1</v>
      </c>
      <c r="I153" s="275">
        <v>1019</v>
      </c>
      <c r="J153" s="245">
        <f t="shared" si="23"/>
        <v>1019</v>
      </c>
      <c r="K153" s="197"/>
      <c r="L153" s="164" t="s">
        <v>178</v>
      </c>
      <c r="M153" s="86" t="s">
        <v>171</v>
      </c>
      <c r="N153" s="301" t="s">
        <v>516</v>
      </c>
      <c r="O153" s="103">
        <v>45938</v>
      </c>
      <c r="P153" s="105"/>
      <c r="Q153" s="242">
        <v>45952</v>
      </c>
      <c r="R153" s="103">
        <v>45953</v>
      </c>
      <c r="S153" s="102">
        <v>45953</v>
      </c>
    </row>
    <row r="154" spans="1:19" s="92" customFormat="1" ht="19.7" customHeight="1" x14ac:dyDescent="0.15">
      <c r="A154" s="142" t="s">
        <v>142</v>
      </c>
      <c r="B154" s="82"/>
      <c r="C154" s="82">
        <f>0.185*H154</f>
        <v>0.185</v>
      </c>
      <c r="D154" s="122">
        <f t="shared" si="24"/>
        <v>116</v>
      </c>
      <c r="E154" s="126" t="s">
        <v>37</v>
      </c>
      <c r="F154" s="126" t="s">
        <v>37</v>
      </c>
      <c r="G154" s="172" t="s">
        <v>468</v>
      </c>
      <c r="H154" s="174">
        <v>1</v>
      </c>
      <c r="I154" s="176">
        <v>2762</v>
      </c>
      <c r="J154" s="245">
        <f t="shared" si="23"/>
        <v>2762</v>
      </c>
      <c r="K154" s="188"/>
      <c r="L154" s="159" t="s">
        <v>469</v>
      </c>
      <c r="M154" s="86" t="s">
        <v>171</v>
      </c>
      <c r="N154" s="301" t="s">
        <v>516</v>
      </c>
      <c r="O154" s="103">
        <v>45938</v>
      </c>
      <c r="P154" s="105"/>
      <c r="Q154" s="242">
        <v>45952</v>
      </c>
      <c r="R154" s="103">
        <v>45953</v>
      </c>
      <c r="S154" s="102">
        <v>45953</v>
      </c>
    </row>
    <row r="155" spans="1:19" s="92" customFormat="1" ht="19.7" customHeight="1" x14ac:dyDescent="0.15">
      <c r="A155" s="142" t="s">
        <v>139</v>
      </c>
      <c r="B155" s="82"/>
      <c r="C155" s="82">
        <v>0.04</v>
      </c>
      <c r="D155" s="122">
        <f t="shared" ref="D155:D161" si="25">+D154+1</f>
        <v>117</v>
      </c>
      <c r="E155" s="165" t="s">
        <v>177</v>
      </c>
      <c r="F155" s="198" t="s">
        <v>140</v>
      </c>
      <c r="G155" s="214" t="s">
        <v>176</v>
      </c>
      <c r="H155" s="174">
        <v>1</v>
      </c>
      <c r="I155" s="285">
        <v>1094</v>
      </c>
      <c r="J155" s="254">
        <f t="shared" si="23"/>
        <v>1094</v>
      </c>
      <c r="K155" s="188"/>
      <c r="L155" s="163" t="s">
        <v>175</v>
      </c>
      <c r="M155" s="161" t="s">
        <v>171</v>
      </c>
      <c r="N155" s="301" t="s">
        <v>516</v>
      </c>
      <c r="O155" s="103">
        <v>45938</v>
      </c>
      <c r="P155" s="105"/>
      <c r="Q155" s="242">
        <v>45952</v>
      </c>
      <c r="R155" s="103">
        <v>45953</v>
      </c>
      <c r="S155" s="102">
        <v>45953</v>
      </c>
    </row>
    <row r="156" spans="1:19" s="92" customFormat="1" ht="19.7" customHeight="1" x14ac:dyDescent="0.15">
      <c r="A156" s="142" t="s">
        <v>139</v>
      </c>
      <c r="B156" s="82"/>
      <c r="C156" s="82">
        <f>0.01*H156</f>
        <v>0.02</v>
      </c>
      <c r="D156" s="122">
        <f t="shared" si="25"/>
        <v>118</v>
      </c>
      <c r="E156" s="198" t="s">
        <v>140</v>
      </c>
      <c r="F156" s="198" t="s">
        <v>140</v>
      </c>
      <c r="G156" s="222" t="s">
        <v>170</v>
      </c>
      <c r="H156" s="234">
        <v>2</v>
      </c>
      <c r="I156" s="275">
        <v>113</v>
      </c>
      <c r="J156" s="245">
        <f t="shared" si="23"/>
        <v>226</v>
      </c>
      <c r="K156" s="157"/>
      <c r="L156" s="164" t="s">
        <v>174</v>
      </c>
      <c r="M156" s="161" t="s">
        <v>171</v>
      </c>
      <c r="N156" s="301" t="s">
        <v>516</v>
      </c>
      <c r="O156" s="103">
        <v>45938</v>
      </c>
      <c r="P156" s="105"/>
      <c r="Q156" s="242">
        <v>45952</v>
      </c>
      <c r="R156" s="103">
        <v>45953</v>
      </c>
      <c r="S156" s="102">
        <v>45953</v>
      </c>
    </row>
    <row r="157" spans="1:19" s="92" customFormat="1" ht="19.7" customHeight="1" x14ac:dyDescent="0.15">
      <c r="A157" s="142" t="s">
        <v>139</v>
      </c>
      <c r="B157" s="82"/>
      <c r="C157" s="82">
        <f>0.005*H157</f>
        <v>0.01</v>
      </c>
      <c r="D157" s="122">
        <f t="shared" si="25"/>
        <v>119</v>
      </c>
      <c r="E157" s="126" t="s">
        <v>37</v>
      </c>
      <c r="F157" s="126" t="s">
        <v>37</v>
      </c>
      <c r="G157" s="172" t="s">
        <v>173</v>
      </c>
      <c r="H157" s="174">
        <v>2</v>
      </c>
      <c r="I157" s="176">
        <v>81</v>
      </c>
      <c r="J157" s="245">
        <f t="shared" si="23"/>
        <v>162</v>
      </c>
      <c r="K157" s="188"/>
      <c r="L157" s="159" t="s">
        <v>172</v>
      </c>
      <c r="M157" s="161" t="s">
        <v>171</v>
      </c>
      <c r="N157" s="301" t="s">
        <v>516</v>
      </c>
      <c r="O157" s="103">
        <v>45938</v>
      </c>
      <c r="P157" s="105"/>
      <c r="Q157" s="242">
        <v>45952</v>
      </c>
      <c r="R157" s="103">
        <v>45953</v>
      </c>
      <c r="S157" s="102">
        <v>45953</v>
      </c>
    </row>
    <row r="158" spans="1:19" s="101" customFormat="1" ht="19.7" customHeight="1" x14ac:dyDescent="0.15">
      <c r="A158" s="142" t="s">
        <v>139</v>
      </c>
      <c r="B158" s="82"/>
      <c r="C158" s="82">
        <v>4</v>
      </c>
      <c r="D158" s="122">
        <f t="shared" si="25"/>
        <v>120</v>
      </c>
      <c r="E158" s="131" t="s">
        <v>166</v>
      </c>
      <c r="F158" s="121" t="s">
        <v>140</v>
      </c>
      <c r="G158" s="145" t="s">
        <v>165</v>
      </c>
      <c r="H158" s="239">
        <v>1</v>
      </c>
      <c r="I158" s="286">
        <v>24900</v>
      </c>
      <c r="J158" s="244">
        <f>H158*I158</f>
        <v>24900</v>
      </c>
      <c r="K158" s="120"/>
      <c r="L158" s="119" t="s">
        <v>164</v>
      </c>
      <c r="M158" s="106"/>
      <c r="N158" s="301" t="s">
        <v>516</v>
      </c>
      <c r="O158" s="103">
        <v>45938</v>
      </c>
      <c r="P158" s="105"/>
      <c r="Q158" s="242">
        <v>45952</v>
      </c>
      <c r="R158" s="103">
        <v>45953</v>
      </c>
      <c r="S158" s="102">
        <v>45953</v>
      </c>
    </row>
    <row r="159" spans="1:19" s="101" customFormat="1" ht="19.7" customHeight="1" x14ac:dyDescent="0.15">
      <c r="A159" s="142" t="s">
        <v>139</v>
      </c>
      <c r="B159" s="82" t="s">
        <v>163</v>
      </c>
      <c r="C159" s="82">
        <f>+(150/1000)*2.63*H159</f>
        <v>0.39449999999999996</v>
      </c>
      <c r="D159" s="122">
        <f t="shared" si="25"/>
        <v>121</v>
      </c>
      <c r="E159" s="126" t="s">
        <v>37</v>
      </c>
      <c r="F159" s="126" t="s">
        <v>37</v>
      </c>
      <c r="G159" s="243" t="s">
        <v>162</v>
      </c>
      <c r="H159" s="239">
        <v>1</v>
      </c>
      <c r="I159" s="274">
        <v>832</v>
      </c>
      <c r="J159" s="244">
        <f>H159*I159</f>
        <v>832</v>
      </c>
      <c r="K159" s="83"/>
      <c r="L159" s="119" t="s">
        <v>161</v>
      </c>
      <c r="M159" s="86" t="s">
        <v>160</v>
      </c>
      <c r="N159" s="301" t="s">
        <v>516</v>
      </c>
      <c r="O159" s="103">
        <v>45938</v>
      </c>
      <c r="P159" s="105"/>
      <c r="Q159" s="242">
        <v>45952</v>
      </c>
      <c r="R159" s="103">
        <v>45953</v>
      </c>
      <c r="S159" s="102">
        <v>45953</v>
      </c>
    </row>
    <row r="160" spans="1:19" s="101" customFormat="1" ht="19.7" customHeight="1" x14ac:dyDescent="0.15">
      <c r="A160" s="142" t="s">
        <v>139</v>
      </c>
      <c r="B160" s="82"/>
      <c r="C160" s="82">
        <v>0.5</v>
      </c>
      <c r="D160" s="167">
        <f t="shared" si="25"/>
        <v>122</v>
      </c>
      <c r="E160" s="218" t="s">
        <v>428</v>
      </c>
      <c r="F160" s="218" t="s">
        <v>140</v>
      </c>
      <c r="G160" s="222" t="s">
        <v>154</v>
      </c>
      <c r="H160" s="234">
        <v>2</v>
      </c>
      <c r="I160" s="287">
        <v>1611</v>
      </c>
      <c r="J160" s="223">
        <f t="shared" ref="J160:J163" si="26">H160*I160</f>
        <v>3222</v>
      </c>
      <c r="K160" s="221"/>
      <c r="L160" s="255" t="s">
        <v>429</v>
      </c>
      <c r="M160" s="253"/>
      <c r="N160" s="301" t="s">
        <v>516</v>
      </c>
      <c r="O160" s="103">
        <v>45938</v>
      </c>
      <c r="P160" s="105"/>
      <c r="Q160" s="242">
        <v>45952</v>
      </c>
      <c r="R160" s="103">
        <v>45953</v>
      </c>
      <c r="S160" s="102">
        <v>45953</v>
      </c>
    </row>
    <row r="161" spans="1:19" s="101" customFormat="1" ht="19.7" customHeight="1" x14ac:dyDescent="0.15">
      <c r="A161" s="142" t="s">
        <v>139</v>
      </c>
      <c r="B161" s="82"/>
      <c r="C161" s="82">
        <v>0.01</v>
      </c>
      <c r="D161" s="167">
        <f t="shared" si="25"/>
        <v>123</v>
      </c>
      <c r="E161" s="81" t="s">
        <v>406</v>
      </c>
      <c r="F161" s="81" t="s">
        <v>140</v>
      </c>
      <c r="G161" s="192">
        <v>620704006</v>
      </c>
      <c r="H161" s="195">
        <v>20</v>
      </c>
      <c r="I161" s="288">
        <v>36</v>
      </c>
      <c r="J161" s="191">
        <f t="shared" si="26"/>
        <v>720</v>
      </c>
      <c r="K161" s="197"/>
      <c r="L161" s="164" t="s">
        <v>407</v>
      </c>
      <c r="M161" s="161" t="s">
        <v>470</v>
      </c>
      <c r="N161" s="301" t="s">
        <v>516</v>
      </c>
      <c r="O161" s="103">
        <v>45938</v>
      </c>
      <c r="P161" s="105"/>
      <c r="Q161" s="242">
        <v>45952</v>
      </c>
      <c r="R161" s="103">
        <v>45953</v>
      </c>
      <c r="S161" s="102">
        <v>45953</v>
      </c>
    </row>
    <row r="162" spans="1:19" s="101" customFormat="1" ht="19.7" customHeight="1" x14ac:dyDescent="0.15">
      <c r="A162" s="142" t="s">
        <v>139</v>
      </c>
      <c r="B162" s="82"/>
      <c r="C162" s="82">
        <v>0.2</v>
      </c>
      <c r="D162" s="167">
        <f t="shared" ref="D162:D163" si="27">+D161+1</f>
        <v>124</v>
      </c>
      <c r="E162" s="198" t="s">
        <v>140</v>
      </c>
      <c r="F162" s="198" t="s">
        <v>140</v>
      </c>
      <c r="G162" s="250" t="s">
        <v>471</v>
      </c>
      <c r="H162" s="174">
        <v>1</v>
      </c>
      <c r="I162" s="285">
        <v>1280</v>
      </c>
      <c r="J162" s="191">
        <f t="shared" si="26"/>
        <v>1280</v>
      </c>
      <c r="K162" s="188"/>
      <c r="L162" s="185" t="s">
        <v>472</v>
      </c>
      <c r="M162" s="175"/>
      <c r="N162" s="301" t="s">
        <v>516</v>
      </c>
      <c r="O162" s="103">
        <v>45938</v>
      </c>
      <c r="P162" s="105"/>
      <c r="Q162" s="242">
        <v>45952</v>
      </c>
      <c r="R162" s="103">
        <v>45953</v>
      </c>
      <c r="S162" s="102">
        <v>45953</v>
      </c>
    </row>
    <row r="163" spans="1:19" s="101" customFormat="1" ht="19.7" customHeight="1" x14ac:dyDescent="0.15">
      <c r="A163" s="142" t="s">
        <v>139</v>
      </c>
      <c r="B163" s="82"/>
      <c r="C163" s="82">
        <v>0.2</v>
      </c>
      <c r="D163" s="167">
        <f t="shared" si="27"/>
        <v>125</v>
      </c>
      <c r="E163" s="198" t="s">
        <v>370</v>
      </c>
      <c r="F163" s="198" t="s">
        <v>140</v>
      </c>
      <c r="G163" s="143" t="s">
        <v>513</v>
      </c>
      <c r="H163" s="179">
        <v>1</v>
      </c>
      <c r="I163" s="289">
        <v>402</v>
      </c>
      <c r="J163" s="191">
        <f t="shared" si="26"/>
        <v>402</v>
      </c>
      <c r="K163" s="83"/>
      <c r="L163" s="117" t="s">
        <v>514</v>
      </c>
      <c r="M163" s="106"/>
      <c r="N163" s="301" t="s">
        <v>516</v>
      </c>
      <c r="O163" s="103">
        <v>45938</v>
      </c>
      <c r="P163" s="105"/>
      <c r="Q163" s="242">
        <v>45952</v>
      </c>
      <c r="R163" s="103">
        <v>45953</v>
      </c>
      <c r="S163" s="102">
        <v>45953</v>
      </c>
    </row>
    <row r="164" spans="1:19" s="101" customFormat="1" ht="19.7" customHeight="1" x14ac:dyDescent="0.15">
      <c r="A164" s="82"/>
      <c r="B164" s="82"/>
      <c r="C164" s="82"/>
      <c r="D164" s="85"/>
      <c r="E164" s="85"/>
      <c r="F164" s="85"/>
      <c r="G164" s="111"/>
      <c r="H164" s="118"/>
      <c r="I164" s="97"/>
      <c r="J164" s="96"/>
      <c r="K164" s="108"/>
      <c r="L164" s="117"/>
      <c r="M164" s="106"/>
      <c r="N164" s="106"/>
      <c r="O164" s="103"/>
      <c r="P164" s="105"/>
      <c r="Q164" s="104"/>
      <c r="R164" s="103"/>
      <c r="S164" s="102"/>
    </row>
    <row r="165" spans="1:19" s="92" customFormat="1" ht="19.7" customHeight="1" x14ac:dyDescent="0.15">
      <c r="A165" s="82"/>
      <c r="B165" s="82"/>
      <c r="C165" s="82"/>
      <c r="D165" s="85"/>
      <c r="E165" s="121"/>
      <c r="F165" s="121"/>
      <c r="G165" s="116">
        <f>SUM(J129:J163)</f>
        <v>331262</v>
      </c>
      <c r="H165" s="118"/>
      <c r="I165" s="97"/>
      <c r="J165" s="96"/>
      <c r="K165" s="83"/>
      <c r="L165" s="119"/>
      <c r="M165" s="86"/>
      <c r="N165" s="86"/>
      <c r="O165" s="95"/>
      <c r="P165" s="85"/>
      <c r="Q165" s="82"/>
      <c r="R165" s="95"/>
      <c r="S165" s="94"/>
    </row>
    <row r="166" spans="1:19" s="92" customFormat="1" ht="19.7" customHeight="1" x14ac:dyDescent="0.15">
      <c r="A166" s="82"/>
      <c r="B166" s="82"/>
      <c r="C166" s="82"/>
      <c r="D166" s="85"/>
      <c r="E166" s="121"/>
      <c r="F166" s="121"/>
      <c r="G166" s="86"/>
      <c r="H166" s="118"/>
      <c r="I166" s="97"/>
      <c r="J166" s="96"/>
      <c r="K166" s="83"/>
      <c r="L166" s="119"/>
      <c r="M166" s="86"/>
      <c r="N166" s="86"/>
      <c r="O166" s="95"/>
      <c r="P166" s="85"/>
      <c r="Q166" s="82"/>
      <c r="R166" s="95"/>
      <c r="S166" s="94"/>
    </row>
    <row r="167" spans="1:19" s="92" customFormat="1" ht="19.7" customHeight="1" x14ac:dyDescent="0.15">
      <c r="A167" s="82"/>
      <c r="B167" s="82"/>
      <c r="C167" s="82"/>
      <c r="D167" s="85"/>
      <c r="E167" s="121"/>
      <c r="F167" s="121"/>
      <c r="G167" s="86"/>
      <c r="H167" s="118"/>
      <c r="I167" s="97"/>
      <c r="J167" s="96"/>
      <c r="K167" s="108"/>
      <c r="L167" s="119"/>
      <c r="M167" s="106"/>
      <c r="N167" s="106"/>
      <c r="O167" s="95"/>
      <c r="P167" s="105"/>
      <c r="Q167" s="104"/>
      <c r="R167" s="95"/>
      <c r="S167" s="94"/>
    </row>
    <row r="168" spans="1:19" s="92" customFormat="1" ht="19.7" customHeight="1" x14ac:dyDescent="0.15">
      <c r="A168" s="82"/>
      <c r="B168" s="82"/>
      <c r="C168" s="82"/>
      <c r="D168" s="85"/>
      <c r="E168" s="121"/>
      <c r="F168" s="121"/>
      <c r="G168" s="86"/>
      <c r="H168" s="118"/>
      <c r="I168" s="97"/>
      <c r="J168" s="96"/>
      <c r="K168" s="108"/>
      <c r="L168" s="119"/>
      <c r="M168" s="106"/>
      <c r="N168" s="106"/>
      <c r="O168" s="95"/>
      <c r="P168" s="105"/>
      <c r="Q168" s="104"/>
      <c r="R168" s="95"/>
      <c r="S168" s="94"/>
    </row>
    <row r="169" spans="1:19" s="92" customFormat="1" ht="19.7" customHeight="1" x14ac:dyDescent="0.15">
      <c r="A169" s="82"/>
      <c r="B169" s="82"/>
      <c r="C169" s="82"/>
      <c r="D169" s="85"/>
      <c r="E169" s="318" t="s">
        <v>157</v>
      </c>
      <c r="F169" s="319"/>
      <c r="G169" s="319"/>
      <c r="H169" s="320"/>
      <c r="I169" s="97"/>
      <c r="J169" s="96"/>
      <c r="K169" s="108"/>
      <c r="L169" s="119"/>
      <c r="M169" s="106"/>
      <c r="N169" s="106"/>
      <c r="O169" s="95"/>
      <c r="P169" s="105"/>
      <c r="Q169" s="104"/>
      <c r="R169" s="95"/>
      <c r="S169" s="94"/>
    </row>
    <row r="170" spans="1:19" s="101" customFormat="1" ht="19.7" customHeight="1" x14ac:dyDescent="0.15">
      <c r="A170" s="173" t="s">
        <v>431</v>
      </c>
      <c r="B170" s="82"/>
      <c r="C170" s="82">
        <v>8</v>
      </c>
      <c r="D170" s="180">
        <f>+D163+1</f>
        <v>126</v>
      </c>
      <c r="E170" s="181" t="s">
        <v>140</v>
      </c>
      <c r="F170" s="181" t="s">
        <v>140</v>
      </c>
      <c r="G170" s="182" t="s">
        <v>384</v>
      </c>
      <c r="H170" s="183">
        <v>1</v>
      </c>
      <c r="I170" s="290">
        <v>5451</v>
      </c>
      <c r="J170" s="191">
        <f t="shared" ref="J170:J206" si="28">H170*I170</f>
        <v>5451</v>
      </c>
      <c r="K170" s="184"/>
      <c r="L170" s="185" t="s">
        <v>385</v>
      </c>
      <c r="M170" s="86" t="s">
        <v>144</v>
      </c>
      <c r="N170" s="301" t="s">
        <v>516</v>
      </c>
      <c r="O170" s="103">
        <v>45938</v>
      </c>
      <c r="P170" s="105"/>
      <c r="Q170" s="242">
        <v>45952</v>
      </c>
      <c r="R170" s="103">
        <v>45953</v>
      </c>
      <c r="S170" s="102">
        <v>45953</v>
      </c>
    </row>
    <row r="171" spans="1:19" s="101" customFormat="1" ht="19.7" customHeight="1" x14ac:dyDescent="0.15">
      <c r="A171" s="228" t="s">
        <v>432</v>
      </c>
      <c r="B171" s="82"/>
      <c r="C171" s="82"/>
      <c r="D171" s="180">
        <f>+D170+1</f>
        <v>127</v>
      </c>
      <c r="E171" s="81" t="s">
        <v>140</v>
      </c>
      <c r="F171" s="81" t="s">
        <v>140</v>
      </c>
      <c r="G171" s="186" t="s">
        <v>386</v>
      </c>
      <c r="H171" s="187">
        <v>1</v>
      </c>
      <c r="I171" s="291">
        <v>22169</v>
      </c>
      <c r="J171" s="210">
        <f t="shared" si="28"/>
        <v>22169</v>
      </c>
      <c r="K171" s="188"/>
      <c r="L171" s="159" t="s">
        <v>387</v>
      </c>
      <c r="M171" s="86"/>
      <c r="N171" s="301" t="s">
        <v>516</v>
      </c>
      <c r="O171" s="103">
        <v>45938</v>
      </c>
      <c r="P171" s="105"/>
      <c r="Q171" s="242">
        <v>45952</v>
      </c>
      <c r="R171" s="103">
        <v>45953</v>
      </c>
      <c r="S171" s="102">
        <v>45953</v>
      </c>
    </row>
    <row r="172" spans="1:19" s="101" customFormat="1" ht="19.7" customHeight="1" x14ac:dyDescent="0.15">
      <c r="A172" s="228" t="s">
        <v>432</v>
      </c>
      <c r="B172" s="82"/>
      <c r="C172" s="82"/>
      <c r="D172" s="180">
        <f t="shared" ref="D172:D212" si="29">+D171+1</f>
        <v>128</v>
      </c>
      <c r="E172" s="167" t="s">
        <v>141</v>
      </c>
      <c r="F172" s="167" t="s">
        <v>140</v>
      </c>
      <c r="G172" s="186" t="s">
        <v>388</v>
      </c>
      <c r="H172" s="187">
        <v>1</v>
      </c>
      <c r="I172" s="291">
        <v>7130</v>
      </c>
      <c r="J172" s="210">
        <f t="shared" si="28"/>
        <v>7130</v>
      </c>
      <c r="K172" s="188"/>
      <c r="L172" s="159" t="s">
        <v>389</v>
      </c>
      <c r="M172" s="86"/>
      <c r="N172" s="301" t="s">
        <v>516</v>
      </c>
      <c r="O172" s="103">
        <v>45938</v>
      </c>
      <c r="P172" s="105"/>
      <c r="Q172" s="242">
        <v>45952</v>
      </c>
      <c r="R172" s="103">
        <v>45953</v>
      </c>
      <c r="S172" s="102">
        <v>45953</v>
      </c>
    </row>
    <row r="173" spans="1:19" s="101" customFormat="1" ht="19.7" customHeight="1" x14ac:dyDescent="0.15">
      <c r="A173" s="173" t="s">
        <v>431</v>
      </c>
      <c r="B173" s="82"/>
      <c r="C173" s="82"/>
      <c r="D173" s="180">
        <f t="shared" si="29"/>
        <v>129</v>
      </c>
      <c r="E173" s="81" t="s">
        <v>140</v>
      </c>
      <c r="F173" s="81" t="s">
        <v>140</v>
      </c>
      <c r="G173" s="186" t="s">
        <v>390</v>
      </c>
      <c r="H173" s="187">
        <v>4</v>
      </c>
      <c r="I173" s="291">
        <v>96</v>
      </c>
      <c r="J173" s="210">
        <f t="shared" si="28"/>
        <v>384</v>
      </c>
      <c r="K173" s="188"/>
      <c r="L173" s="159" t="s">
        <v>391</v>
      </c>
      <c r="M173" s="86"/>
      <c r="N173" s="301" t="s">
        <v>516</v>
      </c>
      <c r="O173" s="103">
        <v>45938</v>
      </c>
      <c r="P173" s="105"/>
      <c r="Q173" s="242">
        <v>45952</v>
      </c>
      <c r="R173" s="103">
        <v>45953</v>
      </c>
      <c r="S173" s="102">
        <v>45953</v>
      </c>
    </row>
    <row r="174" spans="1:19" s="101" customFormat="1" ht="19.7" customHeight="1" x14ac:dyDescent="0.15">
      <c r="A174" s="173" t="s">
        <v>431</v>
      </c>
      <c r="B174" s="82"/>
      <c r="C174" s="82"/>
      <c r="D174" s="180">
        <f t="shared" si="29"/>
        <v>130</v>
      </c>
      <c r="E174" s="81" t="s">
        <v>140</v>
      </c>
      <c r="F174" s="81" t="s">
        <v>140</v>
      </c>
      <c r="G174" s="186" t="s">
        <v>392</v>
      </c>
      <c r="H174" s="187">
        <v>4</v>
      </c>
      <c r="I174" s="291">
        <v>93</v>
      </c>
      <c r="J174" s="210">
        <f t="shared" si="28"/>
        <v>372</v>
      </c>
      <c r="K174" s="188"/>
      <c r="L174" s="159" t="s">
        <v>393</v>
      </c>
      <c r="M174" s="86"/>
      <c r="N174" s="301" t="s">
        <v>516</v>
      </c>
      <c r="O174" s="103">
        <v>45938</v>
      </c>
      <c r="P174" s="105"/>
      <c r="Q174" s="242">
        <v>45952</v>
      </c>
      <c r="R174" s="103">
        <v>45953</v>
      </c>
      <c r="S174" s="102">
        <v>45953</v>
      </c>
    </row>
    <row r="175" spans="1:19" s="101" customFormat="1" ht="19.7" customHeight="1" x14ac:dyDescent="0.15">
      <c r="A175" s="173" t="s">
        <v>431</v>
      </c>
      <c r="B175" s="82"/>
      <c r="C175" s="82"/>
      <c r="D175" s="180">
        <f t="shared" si="29"/>
        <v>131</v>
      </c>
      <c r="E175" s="81" t="s">
        <v>140</v>
      </c>
      <c r="F175" s="81" t="s">
        <v>140</v>
      </c>
      <c r="G175" s="186" t="s">
        <v>394</v>
      </c>
      <c r="H175" s="187">
        <v>4</v>
      </c>
      <c r="I175" s="291">
        <v>81</v>
      </c>
      <c r="J175" s="210">
        <f t="shared" si="28"/>
        <v>324</v>
      </c>
      <c r="K175" s="162"/>
      <c r="L175" s="300" t="s">
        <v>395</v>
      </c>
      <c r="M175" s="86"/>
      <c r="N175" s="301" t="s">
        <v>516</v>
      </c>
      <c r="O175" s="103">
        <v>45938</v>
      </c>
      <c r="P175" s="105"/>
      <c r="Q175" s="242">
        <v>45952</v>
      </c>
      <c r="R175" s="103">
        <v>45953</v>
      </c>
      <c r="S175" s="102">
        <v>45953</v>
      </c>
    </row>
    <row r="176" spans="1:19" s="101" customFormat="1" ht="19.7" customHeight="1" x14ac:dyDescent="0.15">
      <c r="A176" s="173" t="s">
        <v>431</v>
      </c>
      <c r="B176" s="82"/>
      <c r="C176" s="82"/>
      <c r="D176" s="180">
        <f>+D175+1</f>
        <v>132</v>
      </c>
      <c r="E176" s="81" t="s">
        <v>140</v>
      </c>
      <c r="F176" s="81" t="s">
        <v>140</v>
      </c>
      <c r="G176" s="186" t="s">
        <v>396</v>
      </c>
      <c r="H176" s="187">
        <v>4</v>
      </c>
      <c r="I176" s="291">
        <v>326</v>
      </c>
      <c r="J176" s="210">
        <f t="shared" si="28"/>
        <v>1304</v>
      </c>
      <c r="K176" s="188"/>
      <c r="L176" s="159" t="s">
        <v>515</v>
      </c>
      <c r="M176" s="86"/>
      <c r="N176" s="301" t="s">
        <v>516</v>
      </c>
      <c r="O176" s="103">
        <v>45938</v>
      </c>
      <c r="P176" s="105"/>
      <c r="Q176" s="242">
        <v>45952</v>
      </c>
      <c r="R176" s="103">
        <v>45953</v>
      </c>
      <c r="S176" s="102">
        <v>45953</v>
      </c>
    </row>
    <row r="177" spans="1:19" s="101" customFormat="1" ht="19.7" customHeight="1" x14ac:dyDescent="0.15">
      <c r="A177" s="228" t="s">
        <v>433</v>
      </c>
      <c r="B177" s="82"/>
      <c r="C177" s="82"/>
      <c r="D177" s="180">
        <f>+D176+1</f>
        <v>133</v>
      </c>
      <c r="E177" s="81" t="s">
        <v>140</v>
      </c>
      <c r="F177" s="81" t="s">
        <v>140</v>
      </c>
      <c r="G177" s="189" t="s">
        <v>397</v>
      </c>
      <c r="H177" s="190">
        <v>1</v>
      </c>
      <c r="I177" s="193">
        <v>5751</v>
      </c>
      <c r="J177" s="206">
        <f t="shared" si="28"/>
        <v>5751</v>
      </c>
      <c r="K177" s="157"/>
      <c r="L177" s="164" t="s">
        <v>398</v>
      </c>
      <c r="M177" s="86"/>
      <c r="N177" s="301" t="s">
        <v>516</v>
      </c>
      <c r="O177" s="103">
        <v>45938</v>
      </c>
      <c r="P177" s="105"/>
      <c r="Q177" s="242">
        <v>45952</v>
      </c>
      <c r="R177" s="103">
        <v>45953</v>
      </c>
      <c r="S177" s="102">
        <v>45953</v>
      </c>
    </row>
    <row r="178" spans="1:19" s="101" customFormat="1" ht="19.7" customHeight="1" x14ac:dyDescent="0.15">
      <c r="A178" s="228" t="s">
        <v>433</v>
      </c>
      <c r="B178" s="82"/>
      <c r="C178" s="82"/>
      <c r="D178" s="180">
        <f t="shared" si="29"/>
        <v>134</v>
      </c>
      <c r="E178" s="81" t="s">
        <v>140</v>
      </c>
      <c r="F178" s="81" t="s">
        <v>140</v>
      </c>
      <c r="G178" s="192" t="s">
        <v>399</v>
      </c>
      <c r="H178" s="190">
        <v>1</v>
      </c>
      <c r="I178" s="193">
        <v>2256</v>
      </c>
      <c r="J178" s="206">
        <f>H178*I178</f>
        <v>2256</v>
      </c>
      <c r="K178" s="157"/>
      <c r="L178" s="164" t="s">
        <v>400</v>
      </c>
      <c r="M178" s="86"/>
      <c r="N178" s="301" t="s">
        <v>516</v>
      </c>
      <c r="O178" s="103">
        <v>45938</v>
      </c>
      <c r="P178" s="105"/>
      <c r="Q178" s="242">
        <v>45952</v>
      </c>
      <c r="R178" s="103">
        <v>45953</v>
      </c>
      <c r="S178" s="102">
        <v>45953</v>
      </c>
    </row>
    <row r="179" spans="1:19" s="101" customFormat="1" ht="19.7" customHeight="1" x14ac:dyDescent="0.15">
      <c r="A179" s="228" t="s">
        <v>434</v>
      </c>
      <c r="B179" s="82"/>
      <c r="C179" s="82"/>
      <c r="D179" s="180">
        <f>+D178+1</f>
        <v>135</v>
      </c>
      <c r="E179" s="81" t="s">
        <v>140</v>
      </c>
      <c r="F179" s="81" t="s">
        <v>140</v>
      </c>
      <c r="G179" s="192" t="s">
        <v>401</v>
      </c>
      <c r="H179" s="190">
        <v>1</v>
      </c>
      <c r="I179" s="193">
        <v>5373</v>
      </c>
      <c r="J179" s="206">
        <f t="shared" si="28"/>
        <v>5373</v>
      </c>
      <c r="K179" s="157"/>
      <c r="L179" s="164" t="s">
        <v>402</v>
      </c>
      <c r="M179" s="86"/>
      <c r="N179" s="301" t="s">
        <v>516</v>
      </c>
      <c r="O179" s="103">
        <v>45938</v>
      </c>
      <c r="P179" s="105"/>
      <c r="Q179" s="242">
        <v>45952</v>
      </c>
      <c r="R179" s="103">
        <v>45953</v>
      </c>
      <c r="S179" s="102">
        <v>45953</v>
      </c>
    </row>
    <row r="180" spans="1:19" s="101" customFormat="1" ht="19.7" customHeight="1" x14ac:dyDescent="0.15">
      <c r="A180" s="228" t="s">
        <v>434</v>
      </c>
      <c r="B180" s="82"/>
      <c r="C180" s="82"/>
      <c r="D180" s="180">
        <f t="shared" si="29"/>
        <v>136</v>
      </c>
      <c r="E180" s="81" t="s">
        <v>140</v>
      </c>
      <c r="F180" s="81" t="s">
        <v>140</v>
      </c>
      <c r="G180" s="150" t="s">
        <v>403</v>
      </c>
      <c r="H180" s="195">
        <v>1</v>
      </c>
      <c r="I180" s="292">
        <v>1638</v>
      </c>
      <c r="J180" s="210">
        <f t="shared" si="28"/>
        <v>1638</v>
      </c>
      <c r="K180" s="196"/>
      <c r="L180" s="159" t="s">
        <v>404</v>
      </c>
      <c r="M180" s="86"/>
      <c r="N180" s="301" t="s">
        <v>516</v>
      </c>
      <c r="O180" s="103">
        <v>45938</v>
      </c>
      <c r="P180" s="105"/>
      <c r="Q180" s="242">
        <v>45952</v>
      </c>
      <c r="R180" s="103">
        <v>45953</v>
      </c>
      <c r="S180" s="102">
        <v>45953</v>
      </c>
    </row>
    <row r="181" spans="1:19" s="101" customFormat="1" ht="19.7" customHeight="1" x14ac:dyDescent="0.15">
      <c r="A181" s="228" t="s">
        <v>432</v>
      </c>
      <c r="B181" s="82"/>
      <c r="C181" s="82"/>
      <c r="D181" s="180">
        <f t="shared" si="29"/>
        <v>137</v>
      </c>
      <c r="E181" s="81" t="s">
        <v>140</v>
      </c>
      <c r="F181" s="81" t="s">
        <v>140</v>
      </c>
      <c r="G181" s="192" t="s">
        <v>405</v>
      </c>
      <c r="H181" s="190">
        <v>2</v>
      </c>
      <c r="I181" s="193">
        <v>1320</v>
      </c>
      <c r="J181" s="206">
        <f t="shared" si="28"/>
        <v>2640</v>
      </c>
      <c r="K181" s="197"/>
      <c r="L181" s="164" t="s">
        <v>155</v>
      </c>
      <c r="M181" s="86"/>
      <c r="N181" s="301" t="s">
        <v>516</v>
      </c>
      <c r="O181" s="103">
        <v>45938</v>
      </c>
      <c r="P181" s="105"/>
      <c r="Q181" s="242">
        <v>45952</v>
      </c>
      <c r="R181" s="103">
        <v>45953</v>
      </c>
      <c r="S181" s="102">
        <v>45953</v>
      </c>
    </row>
    <row r="182" spans="1:19" s="101" customFormat="1" ht="19.7" customHeight="1" x14ac:dyDescent="0.15">
      <c r="A182" s="228" t="s">
        <v>432</v>
      </c>
      <c r="B182" s="82"/>
      <c r="C182" s="82"/>
      <c r="D182" s="180">
        <f t="shared" si="29"/>
        <v>138</v>
      </c>
      <c r="E182" s="81" t="s">
        <v>140</v>
      </c>
      <c r="F182" s="81" t="s">
        <v>140</v>
      </c>
      <c r="G182" s="192" t="s">
        <v>156</v>
      </c>
      <c r="H182" s="190">
        <v>1</v>
      </c>
      <c r="I182" s="193">
        <v>1543</v>
      </c>
      <c r="J182" s="206">
        <f t="shared" si="28"/>
        <v>1543</v>
      </c>
      <c r="K182" s="197"/>
      <c r="L182" s="164" t="s">
        <v>155</v>
      </c>
      <c r="M182" s="86"/>
      <c r="N182" s="301" t="s">
        <v>516</v>
      </c>
      <c r="O182" s="103">
        <v>45938</v>
      </c>
      <c r="P182" s="105"/>
      <c r="Q182" s="242">
        <v>45952</v>
      </c>
      <c r="R182" s="103">
        <v>45953</v>
      </c>
      <c r="S182" s="102">
        <v>45953</v>
      </c>
    </row>
    <row r="183" spans="1:19" s="101" customFormat="1" ht="19.7" customHeight="1" x14ac:dyDescent="0.15">
      <c r="A183" s="228" t="s">
        <v>434</v>
      </c>
      <c r="B183" s="82"/>
      <c r="C183" s="82"/>
      <c r="D183" s="180">
        <f t="shared" si="29"/>
        <v>139</v>
      </c>
      <c r="E183" s="81" t="s">
        <v>406</v>
      </c>
      <c r="F183" s="81" t="s">
        <v>140</v>
      </c>
      <c r="G183" s="192">
        <v>620704006</v>
      </c>
      <c r="H183" s="190">
        <v>10</v>
      </c>
      <c r="I183" s="193">
        <v>36</v>
      </c>
      <c r="J183" s="206">
        <f t="shared" si="28"/>
        <v>360</v>
      </c>
      <c r="K183" s="197"/>
      <c r="L183" s="164" t="s">
        <v>407</v>
      </c>
      <c r="M183" s="86"/>
      <c r="N183" s="301" t="s">
        <v>516</v>
      </c>
      <c r="O183" s="103">
        <v>45938</v>
      </c>
      <c r="P183" s="105"/>
      <c r="Q183" s="242">
        <v>45952</v>
      </c>
      <c r="R183" s="103">
        <v>45953</v>
      </c>
      <c r="S183" s="102">
        <v>45953</v>
      </c>
    </row>
    <row r="184" spans="1:19" s="101" customFormat="1" ht="19.7" customHeight="1" x14ac:dyDescent="0.15">
      <c r="A184" s="228" t="s">
        <v>434</v>
      </c>
      <c r="B184" s="82"/>
      <c r="C184" s="82"/>
      <c r="D184" s="180">
        <f>+D183+1</f>
        <v>140</v>
      </c>
      <c r="E184" s="259" t="s">
        <v>408</v>
      </c>
      <c r="F184" s="81" t="s">
        <v>140</v>
      </c>
      <c r="G184" s="194" t="s">
        <v>481</v>
      </c>
      <c r="H184" s="173">
        <v>1</v>
      </c>
      <c r="I184" s="293">
        <v>4000</v>
      </c>
      <c r="J184" s="206">
        <f t="shared" si="28"/>
        <v>4000</v>
      </c>
      <c r="K184" s="260"/>
      <c r="L184" s="164" t="s">
        <v>482</v>
      </c>
      <c r="M184" s="86"/>
      <c r="N184" s="301" t="s">
        <v>516</v>
      </c>
      <c r="O184" s="103">
        <v>45938</v>
      </c>
      <c r="P184" s="105"/>
      <c r="Q184" s="242">
        <v>45952</v>
      </c>
      <c r="R184" s="103">
        <v>45953</v>
      </c>
      <c r="S184" s="102">
        <v>45953</v>
      </c>
    </row>
    <row r="185" spans="1:19" s="101" customFormat="1" ht="19.7" customHeight="1" x14ac:dyDescent="0.15">
      <c r="A185" s="228" t="s">
        <v>434</v>
      </c>
      <c r="B185" s="82"/>
      <c r="C185" s="82"/>
      <c r="D185" s="180">
        <f t="shared" si="29"/>
        <v>141</v>
      </c>
      <c r="E185" s="259" t="s">
        <v>408</v>
      </c>
      <c r="F185" s="81" t="s">
        <v>140</v>
      </c>
      <c r="G185" s="194" t="s">
        <v>483</v>
      </c>
      <c r="H185" s="173">
        <v>1</v>
      </c>
      <c r="I185" s="293">
        <v>4000</v>
      </c>
      <c r="J185" s="206">
        <f t="shared" si="28"/>
        <v>4000</v>
      </c>
      <c r="K185" s="260"/>
      <c r="L185" s="164" t="s">
        <v>484</v>
      </c>
      <c r="M185" s="86"/>
      <c r="N185" s="301" t="s">
        <v>516</v>
      </c>
      <c r="O185" s="103">
        <v>45938</v>
      </c>
      <c r="P185" s="105"/>
      <c r="Q185" s="242">
        <v>45952</v>
      </c>
      <c r="R185" s="103">
        <v>45953</v>
      </c>
      <c r="S185" s="102">
        <v>45953</v>
      </c>
    </row>
    <row r="186" spans="1:19" s="92" customFormat="1" ht="19.7" customHeight="1" x14ac:dyDescent="0.15">
      <c r="A186" s="258"/>
      <c r="B186" s="82"/>
      <c r="C186" s="82"/>
      <c r="D186" s="180">
        <f t="shared" si="29"/>
        <v>142</v>
      </c>
      <c r="E186" s="259" t="s">
        <v>408</v>
      </c>
      <c r="F186" s="81" t="s">
        <v>140</v>
      </c>
      <c r="G186" s="194" t="s">
        <v>477</v>
      </c>
      <c r="H186" s="173">
        <v>1</v>
      </c>
      <c r="I186" s="293">
        <v>3255</v>
      </c>
      <c r="J186" s="206">
        <f t="shared" si="28"/>
        <v>3255</v>
      </c>
      <c r="K186" s="260"/>
      <c r="L186" s="164" t="s">
        <v>478</v>
      </c>
      <c r="M186" s="86"/>
      <c r="N186" s="301" t="s">
        <v>516</v>
      </c>
      <c r="O186" s="103">
        <v>45938</v>
      </c>
      <c r="P186" s="105"/>
      <c r="Q186" s="242">
        <v>45952</v>
      </c>
      <c r="R186" s="103">
        <v>45953</v>
      </c>
      <c r="S186" s="102">
        <v>45953</v>
      </c>
    </row>
    <row r="187" spans="1:19" s="92" customFormat="1" ht="19.7" customHeight="1" x14ac:dyDescent="0.15">
      <c r="A187" s="258"/>
      <c r="B187" s="82"/>
      <c r="C187" s="82"/>
      <c r="D187" s="180">
        <f t="shared" si="29"/>
        <v>143</v>
      </c>
      <c r="E187" s="259" t="s">
        <v>408</v>
      </c>
      <c r="F187" s="81" t="s">
        <v>140</v>
      </c>
      <c r="G187" s="194" t="s">
        <v>479</v>
      </c>
      <c r="H187" s="173">
        <v>1</v>
      </c>
      <c r="I187" s="293">
        <v>4000</v>
      </c>
      <c r="J187" s="206">
        <f t="shared" si="28"/>
        <v>4000</v>
      </c>
      <c r="K187" s="260"/>
      <c r="L187" s="164" t="s">
        <v>480</v>
      </c>
      <c r="M187" s="86"/>
      <c r="N187" s="301" t="s">
        <v>516</v>
      </c>
      <c r="O187" s="103">
        <v>45938</v>
      </c>
      <c r="P187" s="105"/>
      <c r="Q187" s="242">
        <v>45952</v>
      </c>
      <c r="R187" s="103">
        <v>45953</v>
      </c>
      <c r="S187" s="102">
        <v>45953</v>
      </c>
    </row>
    <row r="188" spans="1:19" s="92" customFormat="1" ht="19.7" customHeight="1" x14ac:dyDescent="0.15">
      <c r="A188" s="258"/>
      <c r="B188" s="82"/>
      <c r="C188" s="82"/>
      <c r="D188" s="180">
        <f t="shared" si="29"/>
        <v>144</v>
      </c>
      <c r="E188" s="259" t="s">
        <v>408</v>
      </c>
      <c r="F188" s="81" t="s">
        <v>140</v>
      </c>
      <c r="G188" s="261" t="s">
        <v>485</v>
      </c>
      <c r="H188" s="173">
        <v>1</v>
      </c>
      <c r="I188" s="293">
        <v>2950</v>
      </c>
      <c r="J188" s="206">
        <f t="shared" si="28"/>
        <v>2950</v>
      </c>
      <c r="K188" s="260"/>
      <c r="L188" s="164" t="s">
        <v>486</v>
      </c>
      <c r="M188" s="86"/>
      <c r="N188" s="301" t="s">
        <v>516</v>
      </c>
      <c r="O188" s="103">
        <v>45938</v>
      </c>
      <c r="P188" s="105"/>
      <c r="Q188" s="242">
        <v>45952</v>
      </c>
      <c r="R188" s="103">
        <v>45953</v>
      </c>
      <c r="S188" s="102">
        <v>45953</v>
      </c>
    </row>
    <row r="189" spans="1:19" s="101" customFormat="1" ht="19.7" customHeight="1" x14ac:dyDescent="0.15">
      <c r="A189" s="228" t="s">
        <v>434</v>
      </c>
      <c r="B189" s="82"/>
      <c r="C189" s="82"/>
      <c r="D189" s="180">
        <f>+D188+1</f>
        <v>145</v>
      </c>
      <c r="E189" s="199" t="s">
        <v>140</v>
      </c>
      <c r="F189" s="199" t="s">
        <v>140</v>
      </c>
      <c r="G189" s="200" t="s">
        <v>409</v>
      </c>
      <c r="H189" s="190">
        <v>1</v>
      </c>
      <c r="I189" s="294">
        <v>6542</v>
      </c>
      <c r="J189" s="206">
        <f t="shared" si="28"/>
        <v>6542</v>
      </c>
      <c r="K189" s="201"/>
      <c r="L189" s="299" t="s">
        <v>150</v>
      </c>
      <c r="M189" s="86"/>
      <c r="N189" s="301" t="s">
        <v>516</v>
      </c>
      <c r="O189" s="103">
        <v>45938</v>
      </c>
      <c r="P189" s="105"/>
      <c r="Q189" s="242">
        <v>45952</v>
      </c>
      <c r="R189" s="103">
        <v>45953</v>
      </c>
      <c r="S189" s="102">
        <v>45953</v>
      </c>
    </row>
    <row r="190" spans="1:19" s="101" customFormat="1" ht="19.7" customHeight="1" x14ac:dyDescent="0.15">
      <c r="A190" s="228" t="s">
        <v>434</v>
      </c>
      <c r="B190" s="82"/>
      <c r="C190" s="82"/>
      <c r="D190" s="180">
        <f t="shared" si="29"/>
        <v>146</v>
      </c>
      <c r="E190" s="198" t="s">
        <v>140</v>
      </c>
      <c r="F190" s="198" t="s">
        <v>140</v>
      </c>
      <c r="G190" s="202" t="s">
        <v>149</v>
      </c>
      <c r="H190" s="190">
        <v>1</v>
      </c>
      <c r="I190" s="292">
        <v>208</v>
      </c>
      <c r="J190" s="206">
        <f t="shared" si="28"/>
        <v>208</v>
      </c>
      <c r="K190" s="196"/>
      <c r="L190" s="159" t="s">
        <v>148</v>
      </c>
      <c r="M190" s="86"/>
      <c r="N190" s="301" t="s">
        <v>516</v>
      </c>
      <c r="O190" s="103">
        <v>45938</v>
      </c>
      <c r="P190" s="105"/>
      <c r="Q190" s="242">
        <v>45952</v>
      </c>
      <c r="R190" s="103">
        <v>45953</v>
      </c>
      <c r="S190" s="102">
        <v>45953</v>
      </c>
    </row>
    <row r="191" spans="1:19" s="101" customFormat="1" ht="19.7" customHeight="1" x14ac:dyDescent="0.15">
      <c r="A191" s="228" t="s">
        <v>434</v>
      </c>
      <c r="B191" s="82"/>
      <c r="C191" s="82"/>
      <c r="D191" s="180">
        <f t="shared" si="29"/>
        <v>147</v>
      </c>
      <c r="E191" s="199" t="s">
        <v>140</v>
      </c>
      <c r="F191" s="199" t="s">
        <v>140</v>
      </c>
      <c r="G191" s="203" t="s">
        <v>410</v>
      </c>
      <c r="H191" s="190">
        <v>1</v>
      </c>
      <c r="I191" s="294">
        <v>4880</v>
      </c>
      <c r="J191" s="206">
        <f t="shared" si="28"/>
        <v>4880</v>
      </c>
      <c r="K191" s="201"/>
      <c r="L191" s="204" t="s">
        <v>411</v>
      </c>
      <c r="M191" s="86"/>
      <c r="N191" s="301" t="s">
        <v>516</v>
      </c>
      <c r="O191" s="103">
        <v>45938</v>
      </c>
      <c r="P191" s="105"/>
      <c r="Q191" s="242">
        <v>45952</v>
      </c>
      <c r="R191" s="103">
        <v>45953</v>
      </c>
      <c r="S191" s="102">
        <v>45953</v>
      </c>
    </row>
    <row r="192" spans="1:19" s="101" customFormat="1" ht="19.7" customHeight="1" x14ac:dyDescent="0.15">
      <c r="A192" s="228" t="s">
        <v>434</v>
      </c>
      <c r="B192" s="82"/>
      <c r="C192" s="82"/>
      <c r="D192" s="180">
        <f>+D191+1</f>
        <v>148</v>
      </c>
      <c r="E192" s="81" t="s">
        <v>140</v>
      </c>
      <c r="F192" s="81" t="s">
        <v>140</v>
      </c>
      <c r="G192" s="256" t="s">
        <v>495</v>
      </c>
      <c r="H192" s="173">
        <v>1</v>
      </c>
      <c r="I192" s="273">
        <v>9034</v>
      </c>
      <c r="J192" s="206">
        <f t="shared" si="28"/>
        <v>9034</v>
      </c>
      <c r="K192" s="163"/>
      <c r="L192" s="299" t="s">
        <v>494</v>
      </c>
      <c r="M192" s="86"/>
      <c r="N192" s="301" t="s">
        <v>516</v>
      </c>
      <c r="O192" s="103">
        <v>45938</v>
      </c>
      <c r="P192" s="105"/>
      <c r="Q192" s="242">
        <v>45952</v>
      </c>
      <c r="R192" s="103">
        <v>45953</v>
      </c>
      <c r="S192" s="102">
        <v>45953</v>
      </c>
    </row>
    <row r="193" spans="1:19" s="101" customFormat="1" ht="19.7" customHeight="1" x14ac:dyDescent="0.15">
      <c r="A193" s="173" t="s">
        <v>434</v>
      </c>
      <c r="B193" s="82"/>
      <c r="C193" s="82"/>
      <c r="D193" s="180">
        <f t="shared" si="29"/>
        <v>149</v>
      </c>
      <c r="E193" s="198" t="s">
        <v>140</v>
      </c>
      <c r="F193" s="198" t="s">
        <v>140</v>
      </c>
      <c r="G193" s="150" t="s">
        <v>496</v>
      </c>
      <c r="H193" s="190">
        <v>1</v>
      </c>
      <c r="I193" s="292">
        <v>2963</v>
      </c>
      <c r="J193" s="210">
        <f t="shared" si="28"/>
        <v>2963</v>
      </c>
      <c r="K193" s="188"/>
      <c r="L193" s="204" t="s">
        <v>497</v>
      </c>
      <c r="M193" s="86"/>
      <c r="N193" s="301" t="s">
        <v>516</v>
      </c>
      <c r="O193" s="103">
        <v>45938</v>
      </c>
      <c r="P193" s="105"/>
      <c r="Q193" s="242">
        <v>45952</v>
      </c>
      <c r="R193" s="103">
        <v>45953</v>
      </c>
      <c r="S193" s="102">
        <v>45953</v>
      </c>
    </row>
    <row r="194" spans="1:19" s="101" customFormat="1" ht="19.7" customHeight="1" x14ac:dyDescent="0.15">
      <c r="A194" s="228" t="s">
        <v>434</v>
      </c>
      <c r="B194" s="82"/>
      <c r="C194" s="82"/>
      <c r="D194" s="180">
        <f t="shared" si="29"/>
        <v>150</v>
      </c>
      <c r="E194" s="207" t="s">
        <v>412</v>
      </c>
      <c r="F194" s="81" t="s">
        <v>37</v>
      </c>
      <c r="G194" s="208" t="s">
        <v>413</v>
      </c>
      <c r="H194" s="209">
        <v>2</v>
      </c>
      <c r="I194" s="295">
        <v>1406</v>
      </c>
      <c r="J194" s="210">
        <f t="shared" si="28"/>
        <v>2812</v>
      </c>
      <c r="K194" s="211"/>
      <c r="L194" s="212" t="s">
        <v>414</v>
      </c>
      <c r="M194" s="86"/>
      <c r="N194" s="301" t="s">
        <v>516</v>
      </c>
      <c r="O194" s="103">
        <v>45938</v>
      </c>
      <c r="P194" s="105"/>
      <c r="Q194" s="242">
        <v>45952</v>
      </c>
      <c r="R194" s="103">
        <v>45953</v>
      </c>
      <c r="S194" s="102">
        <v>45953</v>
      </c>
    </row>
    <row r="195" spans="1:19" s="101" customFormat="1" ht="19.7" customHeight="1" x14ac:dyDescent="0.15">
      <c r="A195" s="228" t="s">
        <v>434</v>
      </c>
      <c r="B195" s="82"/>
      <c r="C195" s="82"/>
      <c r="D195" s="180">
        <f t="shared" si="29"/>
        <v>151</v>
      </c>
      <c r="E195" s="207" t="s">
        <v>412</v>
      </c>
      <c r="F195" s="81" t="s">
        <v>37</v>
      </c>
      <c r="G195" s="208" t="s">
        <v>415</v>
      </c>
      <c r="H195" s="209">
        <v>2</v>
      </c>
      <c r="I195" s="295">
        <v>396</v>
      </c>
      <c r="J195" s="213">
        <f t="shared" si="28"/>
        <v>792</v>
      </c>
      <c r="K195" s="211"/>
      <c r="L195" s="212" t="s">
        <v>416</v>
      </c>
      <c r="M195" s="86"/>
      <c r="N195" s="301" t="s">
        <v>516</v>
      </c>
      <c r="O195" s="103">
        <v>45938</v>
      </c>
      <c r="P195" s="105"/>
      <c r="Q195" s="242">
        <v>45952</v>
      </c>
      <c r="R195" s="103">
        <v>45953</v>
      </c>
      <c r="S195" s="102">
        <v>45953</v>
      </c>
    </row>
    <row r="196" spans="1:19" s="101" customFormat="1" ht="19.7" customHeight="1" x14ac:dyDescent="0.15">
      <c r="A196" s="228" t="s">
        <v>434</v>
      </c>
      <c r="B196" s="82"/>
      <c r="C196" s="82"/>
      <c r="D196" s="180">
        <f t="shared" si="29"/>
        <v>152</v>
      </c>
      <c r="E196" s="207" t="s">
        <v>412</v>
      </c>
      <c r="F196" s="81" t="s">
        <v>37</v>
      </c>
      <c r="G196" s="208" t="s">
        <v>417</v>
      </c>
      <c r="H196" s="209">
        <v>2</v>
      </c>
      <c r="I196" s="295">
        <v>41</v>
      </c>
      <c r="J196" s="213">
        <f t="shared" si="28"/>
        <v>82</v>
      </c>
      <c r="K196" s="211"/>
      <c r="L196" s="212" t="s">
        <v>418</v>
      </c>
      <c r="M196" s="86"/>
      <c r="N196" s="301" t="s">
        <v>516</v>
      </c>
      <c r="O196" s="103">
        <v>45938</v>
      </c>
      <c r="P196" s="105"/>
      <c r="Q196" s="242">
        <v>45952</v>
      </c>
      <c r="R196" s="103">
        <v>45953</v>
      </c>
      <c r="S196" s="102">
        <v>45953</v>
      </c>
    </row>
    <row r="197" spans="1:19" s="101" customFormat="1" ht="19.7" customHeight="1" x14ac:dyDescent="0.15">
      <c r="A197" s="231" t="s">
        <v>139</v>
      </c>
      <c r="B197" s="82"/>
      <c r="C197" s="82"/>
      <c r="D197" s="180">
        <f>+D196+1</f>
        <v>153</v>
      </c>
      <c r="E197" s="81" t="s">
        <v>146</v>
      </c>
      <c r="F197" s="81" t="s">
        <v>37</v>
      </c>
      <c r="G197" s="192" t="s">
        <v>153</v>
      </c>
      <c r="H197" s="173">
        <v>8</v>
      </c>
      <c r="I197" s="277">
        <v>138</v>
      </c>
      <c r="J197" s="210">
        <f t="shared" si="28"/>
        <v>1104</v>
      </c>
      <c r="K197" s="162"/>
      <c r="L197" s="161" t="s">
        <v>419</v>
      </c>
      <c r="M197" s="86"/>
      <c r="N197" s="301" t="s">
        <v>516</v>
      </c>
      <c r="O197" s="103">
        <v>45938</v>
      </c>
      <c r="P197" s="105"/>
      <c r="Q197" s="242">
        <v>45952</v>
      </c>
      <c r="R197" s="103">
        <v>45953</v>
      </c>
      <c r="S197" s="102">
        <v>45953</v>
      </c>
    </row>
    <row r="198" spans="1:19" s="101" customFormat="1" ht="19.7" customHeight="1" x14ac:dyDescent="0.15">
      <c r="A198" s="231" t="s">
        <v>139</v>
      </c>
      <c r="B198" s="82"/>
      <c r="C198" s="82"/>
      <c r="D198" s="180">
        <f t="shared" si="29"/>
        <v>154</v>
      </c>
      <c r="E198" s="81" t="s">
        <v>146</v>
      </c>
      <c r="F198" s="81" t="s">
        <v>37</v>
      </c>
      <c r="G198" s="192" t="s">
        <v>152</v>
      </c>
      <c r="H198" s="173">
        <v>4</v>
      </c>
      <c r="I198" s="277">
        <v>464</v>
      </c>
      <c r="J198" s="210">
        <f t="shared" si="28"/>
        <v>1856</v>
      </c>
      <c r="K198" s="162"/>
      <c r="L198" s="161" t="s">
        <v>420</v>
      </c>
      <c r="M198" s="86"/>
      <c r="N198" s="301" t="s">
        <v>516</v>
      </c>
      <c r="O198" s="103">
        <v>45938</v>
      </c>
      <c r="P198" s="105"/>
      <c r="Q198" s="242">
        <v>45952</v>
      </c>
      <c r="R198" s="103">
        <v>45953</v>
      </c>
      <c r="S198" s="102">
        <v>45953</v>
      </c>
    </row>
    <row r="199" spans="1:19" s="101" customFormat="1" ht="19.7" customHeight="1" x14ac:dyDescent="0.15">
      <c r="A199" s="231" t="s">
        <v>139</v>
      </c>
      <c r="B199" s="82"/>
      <c r="C199" s="82"/>
      <c r="D199" s="180">
        <f t="shared" si="29"/>
        <v>155</v>
      </c>
      <c r="E199" s="81" t="s">
        <v>146</v>
      </c>
      <c r="F199" s="81" t="s">
        <v>37</v>
      </c>
      <c r="G199" s="192" t="s">
        <v>421</v>
      </c>
      <c r="H199" s="173">
        <v>5</v>
      </c>
      <c r="I199" s="277">
        <v>223</v>
      </c>
      <c r="J199" s="210">
        <f t="shared" si="28"/>
        <v>1115</v>
      </c>
      <c r="K199" s="162"/>
      <c r="L199" s="161" t="s">
        <v>422</v>
      </c>
      <c r="M199" s="86"/>
      <c r="N199" s="301" t="s">
        <v>516</v>
      </c>
      <c r="O199" s="103">
        <v>45938</v>
      </c>
      <c r="P199" s="105"/>
      <c r="Q199" s="242">
        <v>45952</v>
      </c>
      <c r="R199" s="103">
        <v>45953</v>
      </c>
      <c r="S199" s="102">
        <v>45953</v>
      </c>
    </row>
    <row r="200" spans="1:19" s="101" customFormat="1" ht="19.7" customHeight="1" x14ac:dyDescent="0.15">
      <c r="A200" s="231" t="s">
        <v>139</v>
      </c>
      <c r="B200" s="82"/>
      <c r="C200" s="82"/>
      <c r="D200" s="180">
        <f t="shared" si="29"/>
        <v>156</v>
      </c>
      <c r="E200" s="81" t="s">
        <v>146</v>
      </c>
      <c r="F200" s="81" t="s">
        <v>37</v>
      </c>
      <c r="G200" s="192" t="s">
        <v>151</v>
      </c>
      <c r="H200" s="173">
        <v>5</v>
      </c>
      <c r="I200" s="277">
        <v>104</v>
      </c>
      <c r="J200" s="210">
        <f t="shared" si="28"/>
        <v>520</v>
      </c>
      <c r="K200" s="162"/>
      <c r="L200" s="161" t="s">
        <v>423</v>
      </c>
      <c r="M200" s="86"/>
      <c r="N200" s="301" t="s">
        <v>516</v>
      </c>
      <c r="O200" s="103">
        <v>45938</v>
      </c>
      <c r="P200" s="105"/>
      <c r="Q200" s="242">
        <v>45952</v>
      </c>
      <c r="R200" s="103">
        <v>45953</v>
      </c>
      <c r="S200" s="102">
        <v>45953</v>
      </c>
    </row>
    <row r="201" spans="1:19" s="101" customFormat="1" ht="19.7" customHeight="1" x14ac:dyDescent="0.15">
      <c r="A201" s="231" t="s">
        <v>139</v>
      </c>
      <c r="B201" s="82"/>
      <c r="C201" s="82"/>
      <c r="D201" s="180">
        <f>+D200+1</f>
        <v>157</v>
      </c>
      <c r="E201" s="81" t="s">
        <v>140</v>
      </c>
      <c r="F201" s="81" t="s">
        <v>140</v>
      </c>
      <c r="G201" s="214" t="s">
        <v>489</v>
      </c>
      <c r="H201" s="190">
        <v>1</v>
      </c>
      <c r="I201" s="296">
        <v>1138</v>
      </c>
      <c r="J201" s="264">
        <f t="shared" si="28"/>
        <v>1138</v>
      </c>
      <c r="K201" s="196"/>
      <c r="L201" s="158" t="s">
        <v>490</v>
      </c>
      <c r="M201" s="86"/>
      <c r="N201" s="301" t="s">
        <v>516</v>
      </c>
      <c r="O201" s="103">
        <v>45938</v>
      </c>
      <c r="P201" s="105"/>
      <c r="Q201" s="242">
        <v>45952</v>
      </c>
      <c r="R201" s="103">
        <v>45953</v>
      </c>
      <c r="S201" s="102">
        <v>45953</v>
      </c>
    </row>
    <row r="202" spans="1:19" s="101" customFormat="1" ht="19.7" customHeight="1" x14ac:dyDescent="0.15">
      <c r="A202" s="231" t="s">
        <v>139</v>
      </c>
      <c r="B202" s="82"/>
      <c r="C202" s="82"/>
      <c r="D202" s="180">
        <f t="shared" si="29"/>
        <v>158</v>
      </c>
      <c r="E202" s="81" t="s">
        <v>140</v>
      </c>
      <c r="F202" s="81" t="s">
        <v>140</v>
      </c>
      <c r="G202" s="214" t="s">
        <v>491</v>
      </c>
      <c r="H202" s="190">
        <v>1</v>
      </c>
      <c r="I202" s="296">
        <v>1064</v>
      </c>
      <c r="J202" s="264">
        <f t="shared" si="28"/>
        <v>1064</v>
      </c>
      <c r="K202" s="196"/>
      <c r="L202" s="158" t="s">
        <v>490</v>
      </c>
      <c r="M202" s="86"/>
      <c r="N202" s="301" t="s">
        <v>516</v>
      </c>
      <c r="O202" s="103">
        <v>45938</v>
      </c>
      <c r="P202" s="105"/>
      <c r="Q202" s="242">
        <v>45952</v>
      </c>
      <c r="R202" s="103">
        <v>45953</v>
      </c>
      <c r="S202" s="102">
        <v>45953</v>
      </c>
    </row>
    <row r="203" spans="1:19" s="101" customFormat="1" ht="19.7" customHeight="1" x14ac:dyDescent="0.15">
      <c r="A203" s="231" t="s">
        <v>139</v>
      </c>
      <c r="B203" s="82"/>
      <c r="C203" s="82"/>
      <c r="D203" s="180">
        <f t="shared" si="29"/>
        <v>159</v>
      </c>
      <c r="E203" s="81" t="s">
        <v>140</v>
      </c>
      <c r="F203" s="81" t="s">
        <v>140</v>
      </c>
      <c r="G203" s="215" t="s">
        <v>492</v>
      </c>
      <c r="H203" s="190">
        <v>1</v>
      </c>
      <c r="I203" s="296">
        <v>2888</v>
      </c>
      <c r="J203" s="264">
        <f t="shared" si="28"/>
        <v>2888</v>
      </c>
      <c r="K203" s="196"/>
      <c r="L203" s="158" t="s">
        <v>490</v>
      </c>
      <c r="M203" s="86"/>
      <c r="N203" s="301" t="s">
        <v>516</v>
      </c>
      <c r="O203" s="103">
        <v>45938</v>
      </c>
      <c r="P203" s="105"/>
      <c r="Q203" s="242">
        <v>45952</v>
      </c>
      <c r="R203" s="103">
        <v>45953</v>
      </c>
      <c r="S203" s="102">
        <v>45953</v>
      </c>
    </row>
    <row r="204" spans="1:19" s="101" customFormat="1" ht="19.7" customHeight="1" x14ac:dyDescent="0.15">
      <c r="A204" s="231" t="s">
        <v>139</v>
      </c>
      <c r="B204" s="82"/>
      <c r="C204" s="82"/>
      <c r="D204" s="180">
        <f t="shared" si="29"/>
        <v>160</v>
      </c>
      <c r="E204" s="81" t="s">
        <v>140</v>
      </c>
      <c r="F204" s="81" t="s">
        <v>140</v>
      </c>
      <c r="G204" s="216" t="s">
        <v>493</v>
      </c>
      <c r="H204" s="190">
        <v>1</v>
      </c>
      <c r="I204" s="296">
        <v>1158</v>
      </c>
      <c r="J204" s="264">
        <f t="shared" si="28"/>
        <v>1158</v>
      </c>
      <c r="K204" s="196"/>
      <c r="L204" s="158" t="s">
        <v>490</v>
      </c>
      <c r="M204" s="86"/>
      <c r="N204" s="301" t="s">
        <v>516</v>
      </c>
      <c r="O204" s="103">
        <v>45938</v>
      </c>
      <c r="P204" s="105"/>
      <c r="Q204" s="242">
        <v>45952</v>
      </c>
      <c r="R204" s="103">
        <v>45953</v>
      </c>
      <c r="S204" s="102">
        <v>45953</v>
      </c>
    </row>
    <row r="205" spans="1:19" s="101" customFormat="1" ht="19.7" customHeight="1" x14ac:dyDescent="0.15">
      <c r="A205" s="231" t="s">
        <v>139</v>
      </c>
      <c r="B205" s="82"/>
      <c r="C205" s="82"/>
      <c r="D205" s="180">
        <f t="shared" si="29"/>
        <v>161</v>
      </c>
      <c r="E205" s="81" t="s">
        <v>140</v>
      </c>
      <c r="F205" s="81" t="s">
        <v>140</v>
      </c>
      <c r="G205" s="192" t="s">
        <v>424</v>
      </c>
      <c r="H205" s="217">
        <v>1</v>
      </c>
      <c r="I205" s="273">
        <v>7262</v>
      </c>
      <c r="J205" s="264">
        <f t="shared" si="28"/>
        <v>7262</v>
      </c>
      <c r="K205" s="163"/>
      <c r="L205" s="161" t="s">
        <v>425</v>
      </c>
      <c r="M205" s="86"/>
      <c r="N205" s="301" t="s">
        <v>516</v>
      </c>
      <c r="O205" s="103">
        <v>45938</v>
      </c>
      <c r="P205" s="105"/>
      <c r="Q205" s="242">
        <v>45952</v>
      </c>
      <c r="R205" s="103">
        <v>45953</v>
      </c>
      <c r="S205" s="102">
        <v>45953</v>
      </c>
    </row>
    <row r="206" spans="1:19" s="101" customFormat="1" ht="19.7" customHeight="1" x14ac:dyDescent="0.15">
      <c r="A206" s="228" t="s">
        <v>434</v>
      </c>
      <c r="B206" s="82"/>
      <c r="C206" s="82"/>
      <c r="D206" s="180">
        <f t="shared" si="29"/>
        <v>162</v>
      </c>
      <c r="E206" s="218" t="s">
        <v>140</v>
      </c>
      <c r="F206" s="219" t="s">
        <v>140</v>
      </c>
      <c r="G206" s="150" t="s">
        <v>426</v>
      </c>
      <c r="H206" s="220">
        <v>8</v>
      </c>
      <c r="I206" s="297">
        <v>91</v>
      </c>
      <c r="J206" s="265">
        <f t="shared" si="28"/>
        <v>728</v>
      </c>
      <c r="K206" s="221"/>
      <c r="L206" s="159" t="s">
        <v>427</v>
      </c>
      <c r="M206" s="86"/>
      <c r="N206" s="301" t="s">
        <v>516</v>
      </c>
      <c r="O206" s="103">
        <v>45938</v>
      </c>
      <c r="P206" s="105"/>
      <c r="Q206" s="242">
        <v>45952</v>
      </c>
      <c r="R206" s="103">
        <v>45953</v>
      </c>
      <c r="S206" s="102">
        <v>45953</v>
      </c>
    </row>
    <row r="207" spans="1:19" s="101" customFormat="1" ht="19.7" customHeight="1" x14ac:dyDescent="0.15">
      <c r="A207" s="228" t="s">
        <v>434</v>
      </c>
      <c r="B207" s="82"/>
      <c r="C207" s="82"/>
      <c r="D207" s="180">
        <f t="shared" si="29"/>
        <v>163</v>
      </c>
      <c r="E207" s="218" t="s">
        <v>428</v>
      </c>
      <c r="F207" s="218" t="s">
        <v>140</v>
      </c>
      <c r="G207" s="222" t="s">
        <v>154</v>
      </c>
      <c r="H207" s="220">
        <v>1</v>
      </c>
      <c r="I207" s="297">
        <v>1611</v>
      </c>
      <c r="J207" s="267">
        <f>H207*I207</f>
        <v>1611</v>
      </c>
      <c r="K207" s="221"/>
      <c r="L207" s="255" t="s">
        <v>429</v>
      </c>
      <c r="M207" s="86"/>
      <c r="N207" s="301" t="s">
        <v>516</v>
      </c>
      <c r="O207" s="103">
        <v>45938</v>
      </c>
      <c r="P207" s="105"/>
      <c r="Q207" s="242">
        <v>45952</v>
      </c>
      <c r="R207" s="103">
        <v>45953</v>
      </c>
      <c r="S207" s="102">
        <v>45953</v>
      </c>
    </row>
    <row r="208" spans="1:19" s="101" customFormat="1" ht="19.7" customHeight="1" x14ac:dyDescent="0.15">
      <c r="A208" s="228" t="s">
        <v>434</v>
      </c>
      <c r="B208" s="82"/>
      <c r="C208" s="82"/>
      <c r="D208" s="180">
        <f t="shared" si="29"/>
        <v>164</v>
      </c>
      <c r="E208" s="81" t="s">
        <v>406</v>
      </c>
      <c r="F208" s="81" t="s">
        <v>140</v>
      </c>
      <c r="G208" s="192">
        <v>620704006</v>
      </c>
      <c r="H208" s="190">
        <v>10</v>
      </c>
      <c r="I208" s="193">
        <v>36</v>
      </c>
      <c r="J208" s="206">
        <f t="shared" ref="J208:J210" si="30">H208*I208</f>
        <v>360</v>
      </c>
      <c r="K208" s="197"/>
      <c r="L208" s="164" t="s">
        <v>407</v>
      </c>
      <c r="M208" s="86"/>
      <c r="N208" s="301" t="s">
        <v>516</v>
      </c>
      <c r="O208" s="103">
        <v>45938</v>
      </c>
      <c r="P208" s="105"/>
      <c r="Q208" s="242">
        <v>45952</v>
      </c>
      <c r="R208" s="103">
        <v>45953</v>
      </c>
      <c r="S208" s="102">
        <v>45953</v>
      </c>
    </row>
    <row r="209" spans="1:19" s="101" customFormat="1" ht="19.7" customHeight="1" x14ac:dyDescent="0.15">
      <c r="A209" s="228" t="s">
        <v>434</v>
      </c>
      <c r="B209" s="82"/>
      <c r="C209" s="82"/>
      <c r="D209" s="180">
        <f>+D208+1</f>
        <v>165</v>
      </c>
      <c r="E209" s="224" t="s">
        <v>430</v>
      </c>
      <c r="F209" s="224" t="s">
        <v>37</v>
      </c>
      <c r="G209" s="225" t="s">
        <v>474</v>
      </c>
      <c r="H209" s="226">
        <v>1</v>
      </c>
      <c r="I209" s="298">
        <v>3489</v>
      </c>
      <c r="J209" s="266">
        <f t="shared" si="30"/>
        <v>3489</v>
      </c>
      <c r="K209" s="227"/>
      <c r="L209" s="257" t="s">
        <v>475</v>
      </c>
      <c r="M209" s="86"/>
      <c r="N209" s="301" t="s">
        <v>516</v>
      </c>
      <c r="O209" s="103">
        <v>45938</v>
      </c>
      <c r="P209" s="105"/>
      <c r="Q209" s="242">
        <v>45952</v>
      </c>
      <c r="R209" s="103">
        <v>45953</v>
      </c>
      <c r="S209" s="102">
        <v>45953</v>
      </c>
    </row>
    <row r="210" spans="1:19" s="101" customFormat="1" ht="19.7" customHeight="1" x14ac:dyDescent="0.15">
      <c r="A210" s="228" t="s">
        <v>434</v>
      </c>
      <c r="B210" s="82"/>
      <c r="C210" s="82"/>
      <c r="D210" s="180">
        <f t="shared" si="29"/>
        <v>166</v>
      </c>
      <c r="E210" s="218" t="s">
        <v>140</v>
      </c>
      <c r="F210" s="219" t="s">
        <v>140</v>
      </c>
      <c r="G210" s="225" t="s">
        <v>473</v>
      </c>
      <c r="H210" s="226">
        <v>1</v>
      </c>
      <c r="I210" s="298">
        <v>739</v>
      </c>
      <c r="J210" s="266">
        <f t="shared" si="30"/>
        <v>739</v>
      </c>
      <c r="K210" s="227"/>
      <c r="L210" s="257" t="s">
        <v>476</v>
      </c>
      <c r="M210" s="86"/>
      <c r="N210" s="301" t="s">
        <v>516</v>
      </c>
      <c r="O210" s="103">
        <v>45938</v>
      </c>
      <c r="P210" s="105"/>
      <c r="Q210" s="242">
        <v>45952</v>
      </c>
      <c r="R210" s="103">
        <v>45953</v>
      </c>
      <c r="S210" s="102">
        <v>45953</v>
      </c>
    </row>
    <row r="211" spans="1:19" s="101" customFormat="1" ht="19.7" customHeight="1" x14ac:dyDescent="0.15">
      <c r="A211" s="82"/>
      <c r="B211" s="82"/>
      <c r="C211" s="82"/>
      <c r="D211" s="180">
        <f t="shared" si="29"/>
        <v>167</v>
      </c>
      <c r="E211" s="262" t="s">
        <v>487</v>
      </c>
      <c r="F211" s="198" t="s">
        <v>140</v>
      </c>
      <c r="G211" s="150" t="s">
        <v>145</v>
      </c>
      <c r="H211" s="190">
        <v>5</v>
      </c>
      <c r="I211" s="292">
        <v>177</v>
      </c>
      <c r="J211" s="263">
        <f>H211*I211</f>
        <v>885</v>
      </c>
      <c r="K211" s="196"/>
      <c r="L211" s="159" t="s">
        <v>488</v>
      </c>
      <c r="M211" s="86"/>
      <c r="N211" s="301" t="s">
        <v>516</v>
      </c>
      <c r="O211" s="103">
        <v>45938</v>
      </c>
      <c r="P211" s="105"/>
      <c r="Q211" s="242">
        <v>45952</v>
      </c>
      <c r="R211" s="103">
        <v>45953</v>
      </c>
      <c r="S211" s="102">
        <v>45953</v>
      </c>
    </row>
    <row r="212" spans="1:19" s="101" customFormat="1" ht="19.7" customHeight="1" x14ac:dyDescent="0.15">
      <c r="A212" s="228" t="s">
        <v>434</v>
      </c>
      <c r="B212" s="82"/>
      <c r="C212" s="82"/>
      <c r="D212" s="180">
        <f t="shared" si="29"/>
        <v>168</v>
      </c>
      <c r="E212" s="218" t="s">
        <v>140</v>
      </c>
      <c r="F212" s="219" t="s">
        <v>140</v>
      </c>
      <c r="G212" s="307" t="s">
        <v>520</v>
      </c>
      <c r="H212" s="308">
        <v>1</v>
      </c>
      <c r="I212" s="309">
        <v>3680</v>
      </c>
      <c r="J212" s="263">
        <f>H212*I212</f>
        <v>3680</v>
      </c>
      <c r="K212" s="128"/>
      <c r="L212" s="84" t="s">
        <v>521</v>
      </c>
      <c r="M212" s="310" t="s">
        <v>522</v>
      </c>
      <c r="N212" s="311" t="s">
        <v>523</v>
      </c>
      <c r="O212" s="103">
        <v>45972</v>
      </c>
      <c r="P212" s="105"/>
      <c r="Q212" s="242">
        <v>45972</v>
      </c>
      <c r="R212" s="103">
        <v>45973</v>
      </c>
      <c r="S212" s="102">
        <v>45973</v>
      </c>
    </row>
    <row r="213" spans="1:19" s="101" customFormat="1" ht="19.7" customHeight="1" x14ac:dyDescent="0.15">
      <c r="A213" s="82"/>
      <c r="B213" s="82"/>
      <c r="C213" s="82"/>
      <c r="D213" s="85"/>
      <c r="E213" s="85"/>
      <c r="F213" s="85"/>
      <c r="G213" s="111"/>
      <c r="H213" s="118"/>
      <c r="I213" s="97"/>
      <c r="J213" s="96"/>
      <c r="K213" s="108"/>
      <c r="L213" s="117"/>
      <c r="M213" s="106"/>
      <c r="N213" s="106"/>
      <c r="O213" s="103"/>
      <c r="P213" s="105"/>
      <c r="Q213" s="104"/>
      <c r="R213" s="103"/>
      <c r="S213" s="102"/>
    </row>
    <row r="214" spans="1:19" s="101" customFormat="1" ht="19.7" customHeight="1" x14ac:dyDescent="0.15">
      <c r="A214" s="92"/>
      <c r="B214" s="92"/>
      <c r="C214" s="92" t="s">
        <v>138</v>
      </c>
      <c r="D214" s="105"/>
      <c r="E214" s="105"/>
      <c r="F214" s="105"/>
      <c r="G214" s="116">
        <f>SUM(J170:J214)</f>
        <v>131810</v>
      </c>
      <c r="H214" s="110"/>
      <c r="I214" s="109"/>
      <c r="J214" s="96"/>
      <c r="K214" s="108"/>
      <c r="L214" s="107"/>
      <c r="M214" s="106"/>
      <c r="N214" s="106"/>
      <c r="O214" s="103"/>
      <c r="P214" s="105"/>
      <c r="Q214" s="104"/>
      <c r="R214" s="103"/>
      <c r="S214" s="102"/>
    </row>
    <row r="215" spans="1:19" s="101" customFormat="1" ht="19.7" customHeight="1" x14ac:dyDescent="0.15">
      <c r="A215" s="92"/>
      <c r="B215" s="92"/>
      <c r="C215" s="115">
        <f>SUM(C129:C214)</f>
        <v>99.289879999999997</v>
      </c>
      <c r="D215" s="113"/>
      <c r="E215" s="105"/>
      <c r="F215" s="105"/>
      <c r="H215" s="110"/>
      <c r="I215" s="109"/>
      <c r="J215" s="96"/>
      <c r="K215" s="108"/>
      <c r="L215" s="107"/>
      <c r="M215" s="106"/>
      <c r="N215" s="106"/>
      <c r="O215" s="103"/>
      <c r="P215" s="105"/>
      <c r="Q215" s="104"/>
      <c r="R215" s="103"/>
      <c r="S215" s="102"/>
    </row>
    <row r="216" spans="1:19" s="101" customFormat="1" ht="19.7" customHeight="1" x14ac:dyDescent="0.15">
      <c r="A216" s="92"/>
      <c r="B216" s="92"/>
      <c r="C216" s="112" t="s">
        <v>136</v>
      </c>
      <c r="D216" s="105"/>
      <c r="E216" s="105"/>
      <c r="F216" s="105"/>
      <c r="G216" s="111"/>
      <c r="H216" s="110"/>
      <c r="I216" s="109"/>
      <c r="J216" s="96"/>
      <c r="K216" s="108"/>
      <c r="L216" s="107"/>
      <c r="M216" s="106"/>
      <c r="N216" s="106"/>
      <c r="O216" s="103"/>
      <c r="P216" s="105"/>
      <c r="Q216" s="104"/>
      <c r="R216" s="103"/>
      <c r="S216" s="102"/>
    </row>
    <row r="217" spans="1:19" s="101" customFormat="1" ht="19.7" customHeight="1" x14ac:dyDescent="0.15">
      <c r="A217" s="92"/>
      <c r="B217" s="92"/>
      <c r="C217" s="92"/>
      <c r="D217" s="105"/>
      <c r="E217" s="105"/>
      <c r="F217" s="105"/>
      <c r="G217" s="111"/>
      <c r="H217" s="110"/>
      <c r="I217" s="109"/>
      <c r="J217" s="96"/>
      <c r="K217" s="108"/>
      <c r="L217" s="107"/>
      <c r="M217" s="106"/>
      <c r="N217" s="106"/>
      <c r="O217" s="103"/>
      <c r="P217" s="105"/>
      <c r="Q217" s="104"/>
      <c r="R217" s="103"/>
      <c r="S217" s="102"/>
    </row>
    <row r="218" spans="1:19" s="101" customFormat="1" ht="19.7" customHeight="1" x14ac:dyDescent="0.15">
      <c r="A218" s="92"/>
      <c r="B218" s="92"/>
      <c r="C218" s="92"/>
      <c r="D218" s="105"/>
      <c r="E218" s="105"/>
      <c r="F218" s="105"/>
      <c r="G218" s="111"/>
      <c r="H218" s="110"/>
      <c r="I218" s="109"/>
      <c r="J218" s="96"/>
      <c r="K218" s="108"/>
      <c r="L218" s="107"/>
      <c r="M218" s="106"/>
      <c r="N218" s="106"/>
      <c r="O218" s="103"/>
      <c r="P218" s="105"/>
      <c r="Q218" s="104"/>
      <c r="R218" s="103"/>
      <c r="S218" s="102"/>
    </row>
    <row r="219" spans="1:19" s="101" customFormat="1" ht="19.7" customHeight="1" x14ac:dyDescent="0.15">
      <c r="A219" s="92"/>
      <c r="B219" s="92"/>
      <c r="C219" s="92"/>
      <c r="D219" s="105"/>
      <c r="E219" s="105"/>
      <c r="F219" s="105"/>
      <c r="G219" s="111"/>
      <c r="H219" s="110"/>
      <c r="I219" s="109"/>
      <c r="J219" s="96"/>
      <c r="K219" s="108"/>
      <c r="L219" s="107"/>
      <c r="M219" s="106"/>
      <c r="N219" s="106"/>
      <c r="O219" s="103"/>
      <c r="P219" s="105"/>
      <c r="Q219" s="104"/>
      <c r="R219" s="103"/>
      <c r="S219" s="102"/>
    </row>
    <row r="220" spans="1:19" s="101" customFormat="1" ht="19.7" customHeight="1" thickBot="1" x14ac:dyDescent="0.2">
      <c r="A220" s="92"/>
      <c r="B220" s="92"/>
      <c r="C220" s="92" t="s">
        <v>137</v>
      </c>
      <c r="D220" s="105"/>
      <c r="E220" s="105"/>
      <c r="F220" s="105"/>
      <c r="G220" s="111"/>
      <c r="H220" s="110"/>
      <c r="I220" s="109"/>
      <c r="J220" s="96"/>
      <c r="K220" s="108"/>
      <c r="L220" s="107"/>
      <c r="M220" s="106"/>
      <c r="N220" s="106"/>
      <c r="O220" s="103"/>
      <c r="P220" s="105"/>
      <c r="Q220" s="104"/>
      <c r="R220" s="103"/>
      <c r="S220" s="102"/>
    </row>
    <row r="221" spans="1:19" s="101" customFormat="1" ht="19.7" customHeight="1" thickBot="1" x14ac:dyDescent="0.2">
      <c r="A221" s="92"/>
      <c r="B221" s="92"/>
      <c r="C221" s="114" t="e">
        <f>+C215+C124+#REF!</f>
        <v>#REF!</v>
      </c>
      <c r="D221" s="113"/>
      <c r="E221" s="105"/>
      <c r="F221" s="105"/>
      <c r="G221" s="111"/>
      <c r="H221" s="110"/>
      <c r="I221" s="109"/>
      <c r="J221" s="96"/>
      <c r="K221" s="108"/>
      <c r="L221" s="107"/>
      <c r="M221" s="106"/>
      <c r="N221" s="106"/>
      <c r="O221" s="103"/>
      <c r="P221" s="105"/>
      <c r="Q221" s="104"/>
      <c r="R221" s="103"/>
      <c r="S221" s="102"/>
    </row>
    <row r="222" spans="1:19" s="101" customFormat="1" ht="19.7" customHeight="1" x14ac:dyDescent="0.15">
      <c r="A222" s="92"/>
      <c r="B222" s="92"/>
      <c r="C222" s="112" t="s">
        <v>136</v>
      </c>
      <c r="D222" s="105"/>
      <c r="E222" s="105"/>
      <c r="F222" s="105"/>
      <c r="G222" s="111"/>
      <c r="H222" s="110"/>
      <c r="I222" s="109"/>
      <c r="J222" s="96"/>
      <c r="K222" s="108"/>
      <c r="L222" s="107"/>
      <c r="M222" s="106"/>
      <c r="N222" s="106"/>
      <c r="O222" s="103"/>
      <c r="P222" s="105"/>
      <c r="Q222" s="104"/>
      <c r="R222" s="103"/>
      <c r="S222" s="102"/>
    </row>
    <row r="223" spans="1:19" s="101" customFormat="1" ht="19.7" customHeight="1" x14ac:dyDescent="0.15">
      <c r="A223" s="92"/>
      <c r="B223" s="92"/>
      <c r="C223" s="92"/>
      <c r="D223" s="105"/>
      <c r="E223" s="105"/>
      <c r="F223" s="105"/>
      <c r="G223" s="111"/>
      <c r="H223" s="110"/>
      <c r="I223" s="109"/>
      <c r="J223" s="96"/>
      <c r="K223" s="108"/>
      <c r="L223" s="107"/>
      <c r="M223" s="106"/>
      <c r="N223" s="106"/>
      <c r="O223" s="103"/>
      <c r="P223" s="105"/>
      <c r="Q223" s="104"/>
      <c r="R223" s="103"/>
      <c r="S223" s="102"/>
    </row>
    <row r="224" spans="1:19" s="101" customFormat="1" ht="19.7" customHeight="1" x14ac:dyDescent="0.15">
      <c r="A224" s="92"/>
      <c r="B224" s="92"/>
      <c r="C224" s="92"/>
      <c r="D224" s="105"/>
      <c r="E224" s="105"/>
      <c r="F224" s="105"/>
      <c r="G224" s="111"/>
      <c r="H224" s="110"/>
      <c r="I224" s="109"/>
      <c r="J224" s="96"/>
      <c r="K224" s="108"/>
      <c r="L224" s="107"/>
      <c r="M224" s="106"/>
      <c r="N224" s="106"/>
      <c r="O224" s="103"/>
      <c r="P224" s="105"/>
      <c r="Q224" s="104"/>
      <c r="R224" s="103"/>
      <c r="S224" s="102"/>
    </row>
    <row r="225" spans="1:19" s="101" customFormat="1" ht="19.7" customHeight="1" x14ac:dyDescent="0.15">
      <c r="A225" s="92"/>
      <c r="B225" s="92"/>
      <c r="C225" s="92"/>
      <c r="D225" s="105"/>
      <c r="E225" s="105"/>
      <c r="F225" s="105"/>
      <c r="G225" s="111"/>
      <c r="H225" s="110"/>
      <c r="I225" s="109"/>
      <c r="J225" s="96"/>
      <c r="K225" s="108"/>
      <c r="L225" s="107"/>
      <c r="M225" s="106"/>
      <c r="N225" s="106"/>
      <c r="O225" s="103"/>
      <c r="P225" s="105"/>
      <c r="Q225" s="104"/>
      <c r="R225" s="103"/>
      <c r="S225" s="102"/>
    </row>
    <row r="226" spans="1:19" s="101" customFormat="1" ht="19.7" customHeight="1" x14ac:dyDescent="0.15">
      <c r="A226" s="92"/>
      <c r="B226" s="92"/>
      <c r="C226" s="92"/>
      <c r="D226" s="105"/>
      <c r="E226" s="105"/>
      <c r="F226" s="105"/>
      <c r="G226" s="111"/>
      <c r="H226" s="110"/>
      <c r="I226" s="109"/>
      <c r="J226" s="96"/>
      <c r="K226" s="108"/>
      <c r="L226" s="107"/>
      <c r="M226" s="106"/>
      <c r="N226" s="106"/>
      <c r="O226" s="103"/>
      <c r="P226" s="105"/>
      <c r="Q226" s="104"/>
      <c r="R226" s="103"/>
      <c r="S226" s="102"/>
    </row>
    <row r="227" spans="1:19" s="101" customFormat="1" ht="19.7" customHeight="1" x14ac:dyDescent="0.15">
      <c r="A227" s="92"/>
      <c r="B227" s="92"/>
      <c r="C227" s="92"/>
      <c r="D227" s="105"/>
      <c r="E227" s="105"/>
      <c r="F227" s="105"/>
      <c r="G227" s="111"/>
      <c r="H227" s="110"/>
      <c r="I227" s="109"/>
      <c r="J227" s="96"/>
      <c r="K227" s="108"/>
      <c r="L227" s="107"/>
      <c r="M227" s="106"/>
      <c r="N227" s="106"/>
      <c r="O227" s="103"/>
      <c r="P227" s="105"/>
      <c r="Q227" s="104"/>
      <c r="R227" s="103"/>
      <c r="S227" s="102"/>
    </row>
    <row r="228" spans="1:19" s="101" customFormat="1" ht="19.7" customHeight="1" x14ac:dyDescent="0.15">
      <c r="A228" s="92"/>
      <c r="B228" s="92"/>
      <c r="C228" s="92"/>
      <c r="D228" s="105"/>
      <c r="E228" s="105"/>
      <c r="F228" s="105"/>
      <c r="G228" s="111"/>
      <c r="H228" s="110"/>
      <c r="I228" s="109"/>
      <c r="J228" s="96"/>
      <c r="K228" s="108"/>
      <c r="L228" s="107"/>
      <c r="M228" s="106"/>
      <c r="N228" s="106"/>
      <c r="O228" s="103"/>
      <c r="P228" s="105"/>
      <c r="Q228" s="104"/>
      <c r="R228" s="103"/>
      <c r="S228" s="102"/>
    </row>
    <row r="229" spans="1:19" s="101" customFormat="1" ht="19.7" customHeight="1" x14ac:dyDescent="0.15">
      <c r="A229" s="92"/>
      <c r="B229" s="92"/>
      <c r="C229" s="92"/>
      <c r="D229" s="105"/>
      <c r="E229" s="105"/>
      <c r="F229" s="105"/>
      <c r="G229" s="111"/>
      <c r="H229" s="110"/>
      <c r="I229" s="109"/>
      <c r="J229" s="96"/>
      <c r="K229" s="108"/>
      <c r="L229" s="107"/>
      <c r="M229" s="106"/>
      <c r="N229" s="106"/>
      <c r="O229" s="103"/>
      <c r="P229" s="105"/>
      <c r="Q229" s="104"/>
      <c r="R229" s="103"/>
      <c r="S229" s="102"/>
    </row>
    <row r="230" spans="1:19" s="101" customFormat="1" ht="19.7" customHeight="1" x14ac:dyDescent="0.15">
      <c r="A230" s="92"/>
      <c r="B230" s="92"/>
      <c r="C230" s="92"/>
      <c r="D230" s="105"/>
      <c r="E230" s="105"/>
      <c r="F230" s="105"/>
      <c r="G230" s="111"/>
      <c r="H230" s="110"/>
      <c r="I230" s="109"/>
      <c r="J230" s="96"/>
      <c r="K230" s="108"/>
      <c r="L230" s="107"/>
      <c r="M230" s="106"/>
      <c r="N230" s="106"/>
      <c r="O230" s="103"/>
      <c r="P230" s="105"/>
      <c r="Q230" s="104"/>
      <c r="R230" s="103"/>
      <c r="S230" s="102"/>
    </row>
    <row r="231" spans="1:19" s="101" customFormat="1" ht="19.7" customHeight="1" x14ac:dyDescent="0.15">
      <c r="A231" s="92"/>
      <c r="B231" s="92"/>
      <c r="C231" s="92"/>
      <c r="D231" s="105"/>
      <c r="E231" s="105"/>
      <c r="F231" s="105"/>
      <c r="G231" s="111"/>
      <c r="H231" s="110"/>
      <c r="I231" s="109"/>
      <c r="J231" s="96"/>
      <c r="K231" s="108"/>
      <c r="L231" s="107"/>
      <c r="M231" s="106"/>
      <c r="N231" s="106"/>
      <c r="O231" s="103"/>
      <c r="P231" s="105"/>
      <c r="Q231" s="104"/>
      <c r="R231" s="103"/>
      <c r="S231" s="102"/>
    </row>
    <row r="232" spans="1:19" s="101" customFormat="1" ht="19.7" customHeight="1" x14ac:dyDescent="0.15">
      <c r="A232" s="92"/>
      <c r="B232" s="92"/>
      <c r="C232" s="92"/>
      <c r="D232" s="105"/>
      <c r="E232" s="105"/>
      <c r="F232" s="105"/>
      <c r="G232" s="111"/>
      <c r="H232" s="110"/>
      <c r="I232" s="109"/>
      <c r="J232" s="96"/>
      <c r="K232" s="108"/>
      <c r="L232" s="107"/>
      <c r="M232" s="106"/>
      <c r="N232" s="106"/>
      <c r="O232" s="103"/>
      <c r="P232" s="105"/>
      <c r="Q232" s="104"/>
      <c r="R232" s="103"/>
      <c r="S232" s="102"/>
    </row>
    <row r="233" spans="1:19" s="101" customFormat="1" ht="19.7" customHeight="1" x14ac:dyDescent="0.15">
      <c r="A233" s="92"/>
      <c r="B233" s="92"/>
      <c r="C233" s="92"/>
      <c r="D233" s="105"/>
      <c r="E233" s="105"/>
      <c r="F233" s="105"/>
      <c r="G233" s="111"/>
      <c r="H233" s="110"/>
      <c r="I233" s="109"/>
      <c r="J233" s="96"/>
      <c r="K233" s="108"/>
      <c r="L233" s="107"/>
      <c r="M233" s="106"/>
      <c r="N233" s="106"/>
      <c r="O233" s="103"/>
      <c r="P233" s="105"/>
      <c r="Q233" s="104"/>
      <c r="R233" s="103"/>
      <c r="S233" s="102"/>
    </row>
    <row r="234" spans="1:19" s="92" customFormat="1" ht="19.7" customHeight="1" x14ac:dyDescent="0.15">
      <c r="D234" s="85"/>
      <c r="E234" s="85"/>
      <c r="F234" s="85"/>
      <c r="G234" s="100"/>
      <c r="H234" s="98"/>
      <c r="I234" s="97"/>
      <c r="J234" s="96"/>
      <c r="K234" s="83"/>
      <c r="L234" s="99"/>
      <c r="M234" s="86"/>
      <c r="N234" s="82"/>
      <c r="O234" s="95"/>
      <c r="P234" s="85"/>
      <c r="Q234" s="82"/>
      <c r="R234" s="95"/>
      <c r="S234" s="94"/>
    </row>
    <row r="235" spans="1:19" s="92" customFormat="1" ht="19.7" customHeight="1" x14ac:dyDescent="0.15">
      <c r="D235" s="85"/>
      <c r="E235" s="85"/>
      <c r="F235" s="85"/>
      <c r="G235" s="86"/>
      <c r="H235" s="98"/>
      <c r="I235" s="97"/>
      <c r="J235" s="96"/>
      <c r="K235" s="83"/>
      <c r="L235" s="86"/>
      <c r="M235" s="86"/>
      <c r="N235" s="82"/>
      <c r="O235" s="95"/>
      <c r="P235" s="85"/>
      <c r="Q235" s="82"/>
      <c r="R235" s="95"/>
      <c r="S235" s="94"/>
    </row>
    <row r="236" spans="1:19" s="92" customFormat="1" ht="19.7" customHeight="1" x14ac:dyDescent="0.15">
      <c r="D236" s="85"/>
      <c r="E236" s="85"/>
      <c r="F236" s="85"/>
      <c r="G236" s="86"/>
      <c r="H236" s="98"/>
      <c r="I236" s="97"/>
      <c r="J236" s="96"/>
      <c r="K236" s="83"/>
      <c r="L236" s="86"/>
      <c r="M236" s="86"/>
      <c r="N236" s="82"/>
      <c r="O236" s="95"/>
      <c r="P236" s="85"/>
      <c r="Q236" s="82"/>
      <c r="R236" s="95"/>
      <c r="S236" s="94"/>
    </row>
    <row r="237" spans="1:19" s="92" customFormat="1" ht="19.7" customHeight="1" x14ac:dyDescent="0.15">
      <c r="D237" s="85"/>
      <c r="E237" s="85"/>
      <c r="F237" s="85"/>
      <c r="G237" s="86"/>
      <c r="H237" s="98"/>
      <c r="I237" s="97"/>
      <c r="J237" s="96"/>
      <c r="K237" s="83"/>
      <c r="L237" s="86"/>
      <c r="M237" s="86"/>
      <c r="N237" s="82"/>
      <c r="O237" s="95"/>
      <c r="P237" s="85"/>
      <c r="Q237" s="82"/>
      <c r="R237" s="95"/>
      <c r="S237" s="94"/>
    </row>
    <row r="238" spans="1:19" s="92" customFormat="1" ht="19.7" customHeight="1" x14ac:dyDescent="0.15">
      <c r="D238" s="85"/>
      <c r="E238" s="85"/>
      <c r="F238" s="85"/>
      <c r="G238" s="86"/>
      <c r="H238" s="98"/>
      <c r="I238" s="97"/>
      <c r="J238" s="96"/>
      <c r="K238" s="83"/>
      <c r="L238" s="86"/>
      <c r="M238" s="86"/>
      <c r="N238" s="82"/>
      <c r="O238" s="95"/>
      <c r="P238" s="85"/>
      <c r="Q238" s="82"/>
      <c r="R238" s="95"/>
      <c r="S238" s="94"/>
    </row>
    <row r="239" spans="1:19" x14ac:dyDescent="0.15">
      <c r="A239" s="92"/>
      <c r="B239" s="92"/>
      <c r="C239" s="92"/>
    </row>
    <row r="240" spans="1:19" x14ac:dyDescent="0.15">
      <c r="A240" s="92"/>
      <c r="B240" s="92"/>
      <c r="C240" s="92"/>
    </row>
    <row r="241" spans="1:3" x14ac:dyDescent="0.15">
      <c r="A241" s="92"/>
      <c r="B241" s="92"/>
      <c r="C241" s="92"/>
    </row>
  </sheetData>
  <autoFilter ref="D8:Q238" xr:uid="{3EA20B7B-128B-4C15-B721-926BA664130F}"/>
  <mergeCells count="13">
    <mergeCell ref="D6:F6"/>
    <mergeCell ref="D2:F2"/>
    <mergeCell ref="I2:K2"/>
    <mergeCell ref="D3:F3"/>
    <mergeCell ref="D4:F4"/>
    <mergeCell ref="D5:F5"/>
    <mergeCell ref="E63:G63"/>
    <mergeCell ref="E128:G128"/>
    <mergeCell ref="E169:H169"/>
    <mergeCell ref="D11:G11"/>
    <mergeCell ref="E30:G30"/>
    <mergeCell ref="E42:G42"/>
    <mergeCell ref="E52:G52"/>
  </mergeCells>
  <phoneticPr fontId="12"/>
  <pageMargins left="0" right="0" top="0" bottom="0" header="0" footer="0"/>
  <pageSetup paperSize="8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19" sqref="E19"/>
    </sheetView>
  </sheetViews>
  <sheetFormatPr defaultColWidth="11.75" defaultRowHeight="13.5" customHeight="1" x14ac:dyDescent="0.15"/>
  <cols>
    <col min="1" max="1" width="3.125" customWidth="1"/>
    <col min="2" max="2" width="6.25" style="3" customWidth="1"/>
    <col min="3" max="3" width="15.25" customWidth="1"/>
    <col min="4" max="4" width="15.5" customWidth="1"/>
    <col min="5" max="5" width="43.875" customWidth="1"/>
    <col min="6" max="6" width="10.75" customWidth="1"/>
    <col min="7" max="8" width="12.125" customWidth="1"/>
    <col min="9" max="9" width="7.125" style="12" customWidth="1"/>
    <col min="10" max="10" width="55.25" customWidth="1"/>
    <col min="11" max="11" width="22.125" customWidth="1"/>
    <col min="12" max="12" width="8.125" style="3" customWidth="1"/>
    <col min="13" max="13" width="17" style="3" customWidth="1"/>
    <col min="14" max="14" width="7.875" customWidth="1"/>
    <col min="15" max="15" width="16.375" style="12" customWidth="1"/>
    <col min="16" max="16" width="17.875" style="15" customWidth="1"/>
    <col min="17" max="17" width="19.375" style="15" customWidth="1"/>
  </cols>
  <sheetData>
    <row r="2" spans="2:17" ht="20.100000000000001" customHeight="1" x14ac:dyDescent="0.15">
      <c r="B2" s="334" t="s">
        <v>0</v>
      </c>
      <c r="C2" s="334"/>
      <c r="D2" s="334"/>
      <c r="E2" s="9" t="s">
        <v>1</v>
      </c>
      <c r="G2" s="331" t="s">
        <v>2</v>
      </c>
      <c r="H2" s="332"/>
      <c r="I2" s="333"/>
      <c r="J2" s="11">
        <f>SUM(H:H)</f>
        <v>412688</v>
      </c>
    </row>
    <row r="3" spans="2:17" ht="20.100000000000001" customHeight="1" x14ac:dyDescent="0.15">
      <c r="B3" s="334" t="s">
        <v>3</v>
      </c>
      <c r="C3" s="334"/>
      <c r="D3" s="334"/>
      <c r="E3" s="9" t="s">
        <v>4</v>
      </c>
    </row>
    <row r="4" spans="2:17" ht="20.100000000000001" customHeight="1" x14ac:dyDescent="0.15">
      <c r="B4" s="334" t="s">
        <v>5</v>
      </c>
      <c r="C4" s="334"/>
      <c r="D4" s="334"/>
      <c r="E4" s="9"/>
    </row>
    <row r="5" spans="2:17" ht="20.100000000000001" customHeight="1" x14ac:dyDescent="0.15">
      <c r="B5" s="334" t="s">
        <v>6</v>
      </c>
      <c r="C5" s="334"/>
      <c r="D5" s="334"/>
      <c r="E5" s="10">
        <v>42165</v>
      </c>
    </row>
    <row r="6" spans="2:17" ht="20.100000000000001" customHeight="1" x14ac:dyDescent="0.15">
      <c r="B6" s="334" t="s">
        <v>7</v>
      </c>
      <c r="C6" s="334"/>
      <c r="D6" s="334"/>
      <c r="E6" s="10">
        <v>42170</v>
      </c>
    </row>
    <row r="8" spans="2:17" s="3" customFormat="1" ht="19.5" customHeight="1" x14ac:dyDescent="0.15">
      <c r="B8" s="4" t="s">
        <v>8</v>
      </c>
      <c r="C8" s="4" t="s">
        <v>9</v>
      </c>
      <c r="D8" s="4" t="s">
        <v>10</v>
      </c>
      <c r="E8" s="1" t="s">
        <v>11</v>
      </c>
      <c r="F8" s="1" t="s">
        <v>12</v>
      </c>
      <c r="G8" s="1" t="s">
        <v>13</v>
      </c>
      <c r="H8" s="2" t="s">
        <v>14</v>
      </c>
      <c r="I8" s="2" t="s">
        <v>15</v>
      </c>
      <c r="J8" s="1" t="s">
        <v>16</v>
      </c>
      <c r="K8" s="1" t="s">
        <v>17</v>
      </c>
      <c r="L8" s="1" t="s">
        <v>18</v>
      </c>
      <c r="M8" s="18" t="s">
        <v>19</v>
      </c>
      <c r="N8" s="4" t="s">
        <v>20</v>
      </c>
      <c r="O8" s="1" t="s">
        <v>21</v>
      </c>
      <c r="P8" s="18" t="s">
        <v>22</v>
      </c>
      <c r="Q8" s="8" t="s">
        <v>23</v>
      </c>
    </row>
    <row r="9" spans="2:17" s="3" customFormat="1" ht="19.5" customHeight="1" x14ac:dyDescent="0.15">
      <c r="B9" s="4"/>
      <c r="C9" s="4"/>
      <c r="D9" s="4"/>
      <c r="E9" s="6"/>
      <c r="F9" s="49"/>
      <c r="G9" s="7"/>
      <c r="H9" s="7"/>
      <c r="I9" s="14"/>
      <c r="J9" s="50"/>
      <c r="K9" s="1"/>
      <c r="L9" s="1"/>
      <c r="M9" s="18"/>
      <c r="N9" s="4"/>
      <c r="O9" s="1"/>
      <c r="P9" s="18"/>
      <c r="Q9" s="8"/>
    </row>
    <row r="10" spans="2:17" ht="18" customHeight="1" x14ac:dyDescent="0.15">
      <c r="B10" s="338" t="s">
        <v>24</v>
      </c>
      <c r="C10" s="339"/>
      <c r="D10" s="339"/>
      <c r="E10" s="340"/>
      <c r="F10" s="30"/>
      <c r="G10" s="17"/>
      <c r="H10" s="7"/>
      <c r="I10" s="14"/>
      <c r="J10" s="19"/>
      <c r="K10" s="6"/>
      <c r="L10" s="5"/>
      <c r="M10" s="18"/>
      <c r="N10" s="8"/>
      <c r="O10" s="13"/>
      <c r="P10" s="18"/>
      <c r="Q10" s="16"/>
    </row>
    <row r="11" spans="2:17" ht="18" customHeight="1" x14ac:dyDescent="0.15">
      <c r="B11" s="20"/>
      <c r="C11" s="17" t="s">
        <v>25</v>
      </c>
      <c r="D11" s="17" t="s">
        <v>25</v>
      </c>
      <c r="E11" s="19" t="s">
        <v>26</v>
      </c>
      <c r="F11" s="30">
        <v>1</v>
      </c>
      <c r="G11" s="60">
        <v>4500</v>
      </c>
      <c r="H11" s="7">
        <f t="shared" ref="H11:H33" si="0">F11*G11</f>
        <v>4500</v>
      </c>
      <c r="I11" s="14"/>
      <c r="J11" s="19" t="s">
        <v>26</v>
      </c>
      <c r="K11" s="6"/>
      <c r="L11" s="5"/>
      <c r="M11" s="18"/>
      <c r="N11" s="8"/>
      <c r="O11" s="13"/>
      <c r="P11" s="18"/>
      <c r="Q11" s="16"/>
    </row>
    <row r="12" spans="2:17" ht="18" customHeight="1" x14ac:dyDescent="0.15">
      <c r="B12" s="20"/>
      <c r="C12" s="17" t="s">
        <v>25</v>
      </c>
      <c r="D12" s="17" t="s">
        <v>25</v>
      </c>
      <c r="E12" s="19" t="s">
        <v>27</v>
      </c>
      <c r="F12" s="30">
        <v>1</v>
      </c>
      <c r="G12" s="60">
        <v>4500</v>
      </c>
      <c r="H12" s="7">
        <f t="shared" si="0"/>
        <v>4500</v>
      </c>
      <c r="I12" s="14"/>
      <c r="J12" s="19" t="s">
        <v>27</v>
      </c>
      <c r="K12" s="6"/>
      <c r="L12" s="5"/>
      <c r="M12" s="18"/>
      <c r="N12" s="8"/>
      <c r="O12" s="13"/>
      <c r="P12" s="18"/>
      <c r="Q12" s="16"/>
    </row>
    <row r="13" spans="2:17" ht="18" customHeight="1" x14ac:dyDescent="0.15">
      <c r="B13" s="20"/>
      <c r="C13" s="17" t="s">
        <v>25</v>
      </c>
      <c r="D13" s="17" t="s">
        <v>25</v>
      </c>
      <c r="E13" s="19" t="s">
        <v>28</v>
      </c>
      <c r="F13" s="30">
        <v>2</v>
      </c>
      <c r="G13" s="60">
        <v>3500</v>
      </c>
      <c r="H13" s="7">
        <f t="shared" si="0"/>
        <v>7000</v>
      </c>
      <c r="I13" s="14"/>
      <c r="J13" s="19" t="s">
        <v>28</v>
      </c>
      <c r="K13" s="6"/>
      <c r="L13" s="5"/>
      <c r="M13" s="18"/>
      <c r="N13" s="8"/>
      <c r="O13" s="13"/>
      <c r="P13" s="18"/>
      <c r="Q13" s="16"/>
    </row>
    <row r="14" spans="2:17" ht="18" customHeight="1" x14ac:dyDescent="0.15">
      <c r="B14" s="20"/>
      <c r="C14" s="17" t="s">
        <v>25</v>
      </c>
      <c r="D14" s="17" t="s">
        <v>25</v>
      </c>
      <c r="E14" s="19" t="s">
        <v>29</v>
      </c>
      <c r="F14" s="30">
        <v>1</v>
      </c>
      <c r="G14" s="60">
        <v>4000</v>
      </c>
      <c r="H14" s="7">
        <f t="shared" si="0"/>
        <v>4000</v>
      </c>
      <c r="I14" s="14"/>
      <c r="J14" s="19" t="s">
        <v>29</v>
      </c>
      <c r="K14" s="6"/>
      <c r="L14" s="5"/>
      <c r="M14" s="18"/>
      <c r="N14" s="8"/>
      <c r="O14" s="13"/>
      <c r="P14" s="18"/>
      <c r="Q14" s="16"/>
    </row>
    <row r="15" spans="2:17" ht="18" customHeight="1" x14ac:dyDescent="0.15">
      <c r="B15" s="20"/>
      <c r="C15" s="17" t="s">
        <v>25</v>
      </c>
      <c r="D15" s="17" t="s">
        <v>25</v>
      </c>
      <c r="E15" s="19" t="s">
        <v>30</v>
      </c>
      <c r="F15" s="30">
        <v>1</v>
      </c>
      <c r="G15" s="60">
        <v>4000</v>
      </c>
      <c r="H15" s="7">
        <f t="shared" si="0"/>
        <v>4000</v>
      </c>
      <c r="I15" s="14"/>
      <c r="J15" s="19" t="s">
        <v>30</v>
      </c>
      <c r="K15" s="6"/>
      <c r="L15" s="5"/>
      <c r="M15" s="18"/>
      <c r="N15" s="8"/>
      <c r="O15" s="13"/>
      <c r="P15" s="18"/>
      <c r="Q15" s="16"/>
    </row>
    <row r="16" spans="2:17" ht="18" customHeight="1" x14ac:dyDescent="0.15">
      <c r="B16" s="20"/>
      <c r="C16" s="17" t="s">
        <v>25</v>
      </c>
      <c r="D16" s="17" t="s">
        <v>25</v>
      </c>
      <c r="E16" s="19" t="s">
        <v>31</v>
      </c>
      <c r="F16" s="30">
        <v>1</v>
      </c>
      <c r="G16" s="60">
        <v>7500</v>
      </c>
      <c r="H16" s="7">
        <f t="shared" si="0"/>
        <v>7500</v>
      </c>
      <c r="I16" s="14"/>
      <c r="J16" s="19" t="s">
        <v>31</v>
      </c>
      <c r="K16" s="6"/>
      <c r="L16" s="5"/>
      <c r="M16" s="18"/>
      <c r="N16" s="8"/>
      <c r="O16" s="13"/>
      <c r="P16" s="18"/>
      <c r="Q16" s="16"/>
    </row>
    <row r="17" spans="2:17" ht="18" customHeight="1" x14ac:dyDescent="0.15">
      <c r="B17" s="20"/>
      <c r="C17" s="17" t="s">
        <v>25</v>
      </c>
      <c r="D17" s="17" t="s">
        <v>25</v>
      </c>
      <c r="E17" s="19" t="s">
        <v>32</v>
      </c>
      <c r="F17" s="30">
        <v>1</v>
      </c>
      <c r="G17" s="60">
        <v>18000</v>
      </c>
      <c r="H17" s="7">
        <f t="shared" si="0"/>
        <v>18000</v>
      </c>
      <c r="I17" s="14"/>
      <c r="J17" s="19" t="s">
        <v>32</v>
      </c>
      <c r="K17" s="6"/>
      <c r="L17" s="5"/>
      <c r="M17" s="18"/>
      <c r="N17" s="8"/>
      <c r="O17" s="13"/>
      <c r="P17" s="18"/>
      <c r="Q17" s="16"/>
    </row>
    <row r="18" spans="2:17" ht="18" customHeight="1" x14ac:dyDescent="0.15">
      <c r="B18" s="20"/>
      <c r="C18" s="17" t="s">
        <v>25</v>
      </c>
      <c r="D18" s="17" t="s">
        <v>25</v>
      </c>
      <c r="E18" s="19" t="s">
        <v>33</v>
      </c>
      <c r="F18" s="30">
        <v>1</v>
      </c>
      <c r="G18" s="60">
        <v>8000</v>
      </c>
      <c r="H18" s="7">
        <f t="shared" si="0"/>
        <v>8000</v>
      </c>
      <c r="I18" s="14"/>
      <c r="J18" s="19" t="s">
        <v>33</v>
      </c>
      <c r="K18" s="6"/>
      <c r="L18" s="5"/>
      <c r="M18" s="18"/>
      <c r="N18" s="8"/>
      <c r="O18" s="13"/>
      <c r="P18" s="18"/>
      <c r="Q18" s="16"/>
    </row>
    <row r="19" spans="2:17" ht="18" customHeight="1" x14ac:dyDescent="0.15">
      <c r="B19" s="20"/>
      <c r="C19" s="17" t="s">
        <v>25</v>
      </c>
      <c r="D19" s="17" t="s">
        <v>25</v>
      </c>
      <c r="E19" s="19" t="s">
        <v>34</v>
      </c>
      <c r="F19" s="30">
        <v>1</v>
      </c>
      <c r="G19" s="60">
        <v>3000</v>
      </c>
      <c r="H19" s="7">
        <f t="shared" si="0"/>
        <v>3000</v>
      </c>
      <c r="I19" s="14"/>
      <c r="J19" s="19" t="s">
        <v>34</v>
      </c>
      <c r="K19" s="6"/>
      <c r="L19" s="5"/>
      <c r="M19" s="18"/>
      <c r="N19" s="8"/>
      <c r="O19" s="13"/>
      <c r="P19" s="18"/>
      <c r="Q19" s="16"/>
    </row>
    <row r="20" spans="2:17" ht="18" customHeight="1" x14ac:dyDescent="0.15">
      <c r="B20" s="20"/>
      <c r="C20" s="17" t="s">
        <v>25</v>
      </c>
      <c r="D20" s="17" t="s">
        <v>25</v>
      </c>
      <c r="E20" s="19" t="s">
        <v>35</v>
      </c>
      <c r="F20" s="30">
        <v>1</v>
      </c>
      <c r="G20" s="60">
        <v>3500</v>
      </c>
      <c r="H20" s="7">
        <f t="shared" si="0"/>
        <v>3500</v>
      </c>
      <c r="I20" s="14"/>
      <c r="J20" s="19" t="s">
        <v>35</v>
      </c>
      <c r="K20" s="6"/>
      <c r="L20" s="5"/>
      <c r="M20" s="18"/>
      <c r="N20" s="8"/>
      <c r="O20" s="13"/>
      <c r="P20" s="18"/>
      <c r="Q20" s="16"/>
    </row>
    <row r="21" spans="2:17" ht="18" customHeight="1" x14ac:dyDescent="0.15">
      <c r="B21" s="20"/>
      <c r="C21" s="17" t="s">
        <v>25</v>
      </c>
      <c r="D21" s="17" t="s">
        <v>25</v>
      </c>
      <c r="E21" s="19" t="s">
        <v>36</v>
      </c>
      <c r="F21" s="30">
        <v>1</v>
      </c>
      <c r="G21" s="60">
        <v>12500</v>
      </c>
      <c r="H21" s="7">
        <f t="shared" si="0"/>
        <v>12500</v>
      </c>
      <c r="I21" s="14"/>
      <c r="J21" s="19" t="s">
        <v>36</v>
      </c>
      <c r="K21" s="6"/>
      <c r="L21" s="5"/>
      <c r="M21" s="18"/>
      <c r="N21" s="8"/>
      <c r="O21" s="13"/>
      <c r="P21" s="18"/>
      <c r="Q21" s="16"/>
    </row>
    <row r="22" spans="2:17" ht="18" customHeight="1" x14ac:dyDescent="0.15">
      <c r="B22" s="20"/>
      <c r="C22" s="20" t="s">
        <v>37</v>
      </c>
      <c r="D22" s="20" t="s">
        <v>37</v>
      </c>
      <c r="E22" s="68" t="s">
        <v>38</v>
      </c>
      <c r="F22" s="20">
        <v>1</v>
      </c>
      <c r="G22" s="68">
        <v>6899</v>
      </c>
      <c r="H22" s="23">
        <f t="shared" si="0"/>
        <v>6899</v>
      </c>
      <c r="I22" s="24"/>
      <c r="J22" s="25" t="s">
        <v>39</v>
      </c>
      <c r="K22" s="6"/>
      <c r="L22" s="5"/>
      <c r="M22" s="18"/>
      <c r="N22" s="8"/>
      <c r="O22" s="13"/>
      <c r="P22" s="18"/>
      <c r="Q22" s="16"/>
    </row>
    <row r="23" spans="2:17" ht="18" customHeight="1" x14ac:dyDescent="0.15">
      <c r="B23" s="20"/>
      <c r="C23" s="20" t="s">
        <v>37</v>
      </c>
      <c r="D23" s="20" t="s">
        <v>37</v>
      </c>
      <c r="E23" s="68" t="s">
        <v>40</v>
      </c>
      <c r="F23" s="20">
        <v>1</v>
      </c>
      <c r="G23" s="68">
        <v>6899</v>
      </c>
      <c r="H23" s="23">
        <f t="shared" si="0"/>
        <v>6899</v>
      </c>
      <c r="I23" s="24"/>
      <c r="J23" s="25" t="s">
        <v>41</v>
      </c>
      <c r="K23" s="6"/>
      <c r="L23" s="5"/>
      <c r="M23" s="18"/>
      <c r="N23" s="8"/>
      <c r="O23" s="13"/>
      <c r="P23" s="18"/>
      <c r="Q23" s="16"/>
    </row>
    <row r="24" spans="2:17" ht="18" customHeight="1" x14ac:dyDescent="0.15">
      <c r="B24" s="20"/>
      <c r="C24" s="1" t="s">
        <v>37</v>
      </c>
      <c r="D24" s="1" t="s">
        <v>37</v>
      </c>
      <c r="E24" s="67" t="s">
        <v>42</v>
      </c>
      <c r="F24" s="65">
        <v>1</v>
      </c>
      <c r="G24" s="68">
        <v>16000</v>
      </c>
      <c r="H24" s="23">
        <f t="shared" si="0"/>
        <v>16000</v>
      </c>
      <c r="I24" s="14"/>
      <c r="J24" s="17" t="s">
        <v>43</v>
      </c>
      <c r="K24" s="6"/>
      <c r="L24" s="5"/>
      <c r="M24" s="18"/>
      <c r="N24" s="8"/>
      <c r="O24" s="13"/>
      <c r="P24" s="18"/>
      <c r="Q24" s="16"/>
    </row>
    <row r="25" spans="2:17" ht="18" customHeight="1" x14ac:dyDescent="0.15">
      <c r="B25" s="20"/>
      <c r="C25" s="1" t="s">
        <v>37</v>
      </c>
      <c r="D25" s="1" t="s">
        <v>37</v>
      </c>
      <c r="E25" s="60" t="s">
        <v>44</v>
      </c>
      <c r="F25" s="58">
        <v>2</v>
      </c>
      <c r="G25" s="68">
        <v>570</v>
      </c>
      <c r="H25" s="23">
        <f t="shared" si="0"/>
        <v>1140</v>
      </c>
      <c r="I25" s="2"/>
      <c r="J25" s="17" t="s">
        <v>45</v>
      </c>
      <c r="K25" s="6"/>
      <c r="L25" s="5"/>
      <c r="M25" s="18"/>
      <c r="N25" s="8"/>
      <c r="O25" s="13"/>
      <c r="P25" s="18"/>
      <c r="Q25" s="16"/>
    </row>
    <row r="26" spans="2:17" ht="18" customHeight="1" x14ac:dyDescent="0.15">
      <c r="B26" s="20"/>
      <c r="C26" s="1" t="s">
        <v>37</v>
      </c>
      <c r="D26" s="1" t="s">
        <v>37</v>
      </c>
      <c r="E26" s="69" t="s">
        <v>46</v>
      </c>
      <c r="F26" s="58">
        <v>26</v>
      </c>
      <c r="G26" s="68">
        <v>99</v>
      </c>
      <c r="H26" s="23">
        <f t="shared" si="0"/>
        <v>2574</v>
      </c>
      <c r="I26" s="2"/>
      <c r="J26" s="66" t="s">
        <v>47</v>
      </c>
      <c r="K26" s="6"/>
      <c r="L26" s="5"/>
      <c r="M26" s="18"/>
      <c r="N26" s="8"/>
      <c r="O26" s="13"/>
      <c r="P26" s="18"/>
      <c r="Q26" s="16"/>
    </row>
    <row r="27" spans="2:17" ht="18" customHeight="1" x14ac:dyDescent="0.15">
      <c r="B27" s="20"/>
      <c r="C27" s="1" t="s">
        <v>37</v>
      </c>
      <c r="D27" s="1" t="s">
        <v>37</v>
      </c>
      <c r="E27" s="69" t="s">
        <v>48</v>
      </c>
      <c r="F27" s="58">
        <v>2</v>
      </c>
      <c r="G27" s="68">
        <v>99</v>
      </c>
      <c r="H27" s="23">
        <f t="shared" si="0"/>
        <v>198</v>
      </c>
      <c r="I27" s="2"/>
      <c r="J27" s="66" t="s">
        <v>49</v>
      </c>
      <c r="K27" s="6"/>
      <c r="L27" s="5"/>
      <c r="M27" s="18"/>
      <c r="N27" s="8"/>
      <c r="O27" s="13"/>
      <c r="P27" s="18"/>
      <c r="Q27" s="16"/>
    </row>
    <row r="28" spans="2:17" ht="18" customHeight="1" x14ac:dyDescent="0.15">
      <c r="B28" s="20"/>
      <c r="C28" s="4" t="s">
        <v>37</v>
      </c>
      <c r="D28" s="4" t="s">
        <v>37</v>
      </c>
      <c r="E28" s="17" t="s">
        <v>50</v>
      </c>
      <c r="F28" s="30">
        <v>4</v>
      </c>
      <c r="G28" s="7">
        <v>75</v>
      </c>
      <c r="H28" s="7">
        <f t="shared" si="0"/>
        <v>300</v>
      </c>
      <c r="I28" s="7"/>
      <c r="J28" s="47" t="s">
        <v>51</v>
      </c>
      <c r="K28" s="6"/>
      <c r="L28" s="5"/>
      <c r="M28" s="18"/>
      <c r="N28" s="8"/>
      <c r="O28" s="13"/>
      <c r="P28" s="18"/>
      <c r="Q28" s="16"/>
    </row>
    <row r="29" spans="2:17" ht="18" customHeight="1" x14ac:dyDescent="0.15">
      <c r="B29" s="20"/>
      <c r="C29" s="4" t="s">
        <v>37</v>
      </c>
      <c r="D29" s="4" t="s">
        <v>37</v>
      </c>
      <c r="E29" s="17" t="s">
        <v>52</v>
      </c>
      <c r="F29" s="30">
        <v>8</v>
      </c>
      <c r="G29" s="61">
        <v>80</v>
      </c>
      <c r="H29" s="7">
        <f t="shared" si="0"/>
        <v>640</v>
      </c>
      <c r="I29" s="7"/>
      <c r="J29" s="47" t="s">
        <v>53</v>
      </c>
      <c r="K29" s="6"/>
      <c r="L29" s="5"/>
      <c r="M29" s="18"/>
      <c r="N29" s="8"/>
      <c r="O29" s="13"/>
      <c r="P29" s="18"/>
      <c r="Q29" s="16"/>
    </row>
    <row r="30" spans="2:17" ht="18" customHeight="1" x14ac:dyDescent="0.15">
      <c r="B30" s="20"/>
      <c r="C30" s="4" t="s">
        <v>37</v>
      </c>
      <c r="D30" s="4" t="s">
        <v>37</v>
      </c>
      <c r="E30" s="17" t="s">
        <v>54</v>
      </c>
      <c r="F30" s="30">
        <v>2</v>
      </c>
      <c r="G30" s="61">
        <v>88</v>
      </c>
      <c r="H30" s="7">
        <f t="shared" si="0"/>
        <v>176</v>
      </c>
      <c r="I30" s="7"/>
      <c r="J30" s="47" t="s">
        <v>55</v>
      </c>
      <c r="K30" s="6"/>
      <c r="L30" s="5"/>
      <c r="M30" s="18"/>
      <c r="N30" s="8"/>
      <c r="O30" s="13"/>
      <c r="P30" s="18"/>
      <c r="Q30" s="16"/>
    </row>
    <row r="31" spans="2:17" ht="18" customHeight="1" x14ac:dyDescent="0.15">
      <c r="B31" s="20"/>
      <c r="C31" s="4" t="s">
        <v>37</v>
      </c>
      <c r="D31" s="4" t="s">
        <v>37</v>
      </c>
      <c r="E31" s="17" t="s">
        <v>56</v>
      </c>
      <c r="F31" s="30">
        <v>9</v>
      </c>
      <c r="G31" s="61">
        <v>70</v>
      </c>
      <c r="H31" s="7">
        <f t="shared" si="0"/>
        <v>630</v>
      </c>
      <c r="I31" s="7"/>
      <c r="J31" s="47" t="s">
        <v>57</v>
      </c>
      <c r="K31" s="6"/>
      <c r="L31" s="5"/>
      <c r="M31" s="18"/>
      <c r="N31" s="8"/>
      <c r="O31" s="13"/>
      <c r="P31" s="18"/>
      <c r="Q31" s="16"/>
    </row>
    <row r="32" spans="2:17" ht="18" customHeight="1" x14ac:dyDescent="0.15">
      <c r="B32" s="20"/>
      <c r="C32" s="4" t="s">
        <v>37</v>
      </c>
      <c r="D32" s="4" t="s">
        <v>37</v>
      </c>
      <c r="E32" s="17" t="s">
        <v>58</v>
      </c>
      <c r="F32" s="30">
        <v>9</v>
      </c>
      <c r="G32" s="61">
        <v>70</v>
      </c>
      <c r="H32" s="7">
        <f t="shared" si="0"/>
        <v>630</v>
      </c>
      <c r="I32" s="7"/>
      <c r="J32" s="47" t="s">
        <v>59</v>
      </c>
      <c r="K32" s="6"/>
      <c r="L32" s="5"/>
      <c r="M32" s="18"/>
      <c r="N32" s="8"/>
      <c r="O32" s="13"/>
      <c r="P32" s="18"/>
      <c r="Q32" s="16"/>
    </row>
    <row r="33" spans="2:17" ht="18" customHeight="1" x14ac:dyDescent="0.15">
      <c r="B33" s="20"/>
      <c r="C33" s="4" t="s">
        <v>37</v>
      </c>
      <c r="D33" s="4" t="s">
        <v>37</v>
      </c>
      <c r="E33" s="17" t="s">
        <v>60</v>
      </c>
      <c r="F33" s="49">
        <v>20</v>
      </c>
      <c r="G33" s="61">
        <v>75</v>
      </c>
      <c r="H33" s="7">
        <f t="shared" si="0"/>
        <v>1500</v>
      </c>
      <c r="I33" s="48"/>
      <c r="J33" s="47" t="s">
        <v>61</v>
      </c>
      <c r="K33" s="6"/>
      <c r="L33" s="5"/>
      <c r="M33" s="18"/>
      <c r="N33" s="8"/>
      <c r="O33" s="13"/>
      <c r="P33" s="18"/>
      <c r="Q33" s="16"/>
    </row>
    <row r="34" spans="2:17" ht="18" customHeight="1" x14ac:dyDescent="0.15">
      <c r="B34" s="20"/>
      <c r="C34" s="4"/>
      <c r="D34" s="7"/>
      <c r="E34" s="78">
        <f>SUM(H11:H33)</f>
        <v>114086</v>
      </c>
      <c r="F34" s="49"/>
      <c r="H34" s="51"/>
      <c r="I34" s="48"/>
      <c r="J34" s="47"/>
      <c r="K34" s="6"/>
      <c r="L34" s="5"/>
      <c r="M34" s="18"/>
      <c r="N34" s="8"/>
      <c r="O34" s="13"/>
      <c r="P34" s="18"/>
      <c r="Q34" s="16"/>
    </row>
    <row r="35" spans="2:17" s="3" customFormat="1" ht="19.5" customHeight="1" x14ac:dyDescent="0.15">
      <c r="B35" s="4"/>
      <c r="C35" s="4"/>
      <c r="D35" s="4"/>
      <c r="E35" s="6"/>
      <c r="F35" s="49"/>
      <c r="G35" s="7"/>
      <c r="H35" s="7"/>
      <c r="I35" s="14"/>
      <c r="J35" s="50"/>
      <c r="K35" s="1"/>
      <c r="L35" s="1"/>
      <c r="M35" s="18"/>
      <c r="N35" s="4"/>
      <c r="O35" s="1"/>
      <c r="P35" s="18"/>
      <c r="Q35" s="8"/>
    </row>
    <row r="36" spans="2:17" s="3" customFormat="1" ht="19.5" customHeight="1" x14ac:dyDescent="0.15">
      <c r="B36" s="335" t="s">
        <v>62</v>
      </c>
      <c r="C36" s="336"/>
      <c r="D36" s="336"/>
      <c r="E36" s="337"/>
      <c r="F36" s="31"/>
      <c r="G36" s="70"/>
      <c r="H36" s="71"/>
      <c r="I36" s="72"/>
      <c r="J36" s="73"/>
      <c r="K36" s="31"/>
      <c r="L36" s="31"/>
      <c r="M36" s="74"/>
      <c r="N36" s="32"/>
      <c r="O36" s="31"/>
      <c r="P36" s="74"/>
      <c r="Q36" s="75"/>
    </row>
    <row r="37" spans="2:17" s="3" customFormat="1" ht="19.5" customHeight="1" x14ac:dyDescent="0.15">
      <c r="B37" s="20"/>
      <c r="C37" s="17" t="s">
        <v>25</v>
      </c>
      <c r="D37" s="17" t="s">
        <v>25</v>
      </c>
      <c r="E37" s="51" t="s">
        <v>63</v>
      </c>
      <c r="F37" s="51">
        <v>1</v>
      </c>
      <c r="G37" s="51">
        <v>19500</v>
      </c>
      <c r="H37" s="46">
        <f t="shared" ref="H37:H58" si="1">F37*G37</f>
        <v>19500</v>
      </c>
      <c r="I37" s="52"/>
      <c r="J37" s="51" t="s">
        <v>63</v>
      </c>
      <c r="K37" s="1"/>
      <c r="L37" s="1"/>
      <c r="M37" s="18"/>
      <c r="N37" s="4"/>
      <c r="O37" s="1"/>
      <c r="P37" s="18"/>
      <c r="Q37" s="16"/>
    </row>
    <row r="38" spans="2:17" s="3" customFormat="1" ht="19.5" customHeight="1" x14ac:dyDescent="0.15">
      <c r="B38" s="20"/>
      <c r="C38" s="17" t="s">
        <v>25</v>
      </c>
      <c r="D38" s="17" t="s">
        <v>25</v>
      </c>
      <c r="E38" s="51" t="s">
        <v>64</v>
      </c>
      <c r="F38" s="51">
        <v>1</v>
      </c>
      <c r="G38" s="51">
        <v>17500</v>
      </c>
      <c r="H38" s="46">
        <f t="shared" si="1"/>
        <v>17500</v>
      </c>
      <c r="I38" s="52"/>
      <c r="J38" s="51" t="s">
        <v>64</v>
      </c>
      <c r="K38" s="1"/>
      <c r="L38" s="1"/>
      <c r="M38" s="18"/>
      <c r="N38" s="4"/>
      <c r="O38" s="1"/>
      <c r="P38" s="18"/>
      <c r="Q38" s="16"/>
    </row>
    <row r="39" spans="2:17" s="3" customFormat="1" ht="19.5" customHeight="1" x14ac:dyDescent="0.15">
      <c r="B39" s="20"/>
      <c r="C39" s="17" t="s">
        <v>25</v>
      </c>
      <c r="D39" s="17" t="s">
        <v>25</v>
      </c>
      <c r="E39" s="51" t="s">
        <v>65</v>
      </c>
      <c r="F39" s="51">
        <v>8</v>
      </c>
      <c r="G39" s="51">
        <v>3800</v>
      </c>
      <c r="H39" s="46">
        <f t="shared" si="1"/>
        <v>30400</v>
      </c>
      <c r="I39" s="52"/>
      <c r="J39" s="51" t="s">
        <v>65</v>
      </c>
      <c r="K39" s="1"/>
      <c r="L39" s="1"/>
      <c r="M39" s="18"/>
      <c r="N39" s="4"/>
      <c r="O39" s="1"/>
      <c r="P39" s="18"/>
      <c r="Q39" s="16"/>
    </row>
    <row r="40" spans="2:17" s="3" customFormat="1" ht="19.5" customHeight="1" x14ac:dyDescent="0.15">
      <c r="B40" s="20"/>
      <c r="C40" s="17" t="s">
        <v>25</v>
      </c>
      <c r="D40" s="17" t="s">
        <v>25</v>
      </c>
      <c r="E40" s="51" t="s">
        <v>66</v>
      </c>
      <c r="F40" s="51">
        <v>2</v>
      </c>
      <c r="G40" s="51">
        <v>5000</v>
      </c>
      <c r="H40" s="46">
        <f t="shared" si="1"/>
        <v>10000</v>
      </c>
      <c r="I40" s="52"/>
      <c r="J40" s="51" t="s">
        <v>67</v>
      </c>
      <c r="K40" s="1"/>
      <c r="L40" s="1"/>
      <c r="M40" s="18"/>
      <c r="N40" s="4"/>
      <c r="O40" s="1"/>
      <c r="P40" s="18"/>
      <c r="Q40" s="16"/>
    </row>
    <row r="41" spans="2:17" ht="18" customHeight="1" x14ac:dyDescent="0.15">
      <c r="B41" s="20"/>
      <c r="C41" s="21" t="s">
        <v>37</v>
      </c>
      <c r="D41" s="21" t="s">
        <v>37</v>
      </c>
      <c r="E41" s="22" t="s">
        <v>68</v>
      </c>
      <c r="F41" s="20">
        <v>1</v>
      </c>
      <c r="G41" s="22">
        <v>356</v>
      </c>
      <c r="H41" s="23">
        <f t="shared" si="1"/>
        <v>356</v>
      </c>
      <c r="I41" s="24"/>
      <c r="J41" s="25" t="s">
        <v>69</v>
      </c>
      <c r="K41" s="6"/>
      <c r="L41" s="5"/>
      <c r="M41" s="18"/>
      <c r="N41" s="8"/>
      <c r="O41" s="13"/>
      <c r="P41" s="18"/>
      <c r="Q41" s="16"/>
    </row>
    <row r="42" spans="2:17" ht="18" customHeight="1" x14ac:dyDescent="0.15">
      <c r="B42" s="20"/>
      <c r="C42" s="21" t="s">
        <v>37</v>
      </c>
      <c r="D42" s="21" t="s">
        <v>37</v>
      </c>
      <c r="E42" s="22" t="s">
        <v>70</v>
      </c>
      <c r="F42" s="20">
        <v>1</v>
      </c>
      <c r="G42" s="22">
        <v>479</v>
      </c>
      <c r="H42" s="23">
        <f t="shared" si="1"/>
        <v>479</v>
      </c>
      <c r="I42" s="24"/>
      <c r="J42" s="25" t="s">
        <v>71</v>
      </c>
      <c r="K42" s="6"/>
      <c r="L42" s="5"/>
      <c r="M42" s="18"/>
      <c r="N42" s="8"/>
      <c r="O42" s="13"/>
      <c r="P42" s="18"/>
      <c r="Q42" s="16"/>
    </row>
    <row r="43" spans="2:17" ht="18" customHeight="1" x14ac:dyDescent="0.15">
      <c r="B43" s="20"/>
      <c r="C43" s="21" t="s">
        <v>37</v>
      </c>
      <c r="D43" s="21" t="s">
        <v>37</v>
      </c>
      <c r="E43" s="22" t="s">
        <v>72</v>
      </c>
      <c r="F43" s="20">
        <v>1</v>
      </c>
      <c r="G43" s="22">
        <v>650</v>
      </c>
      <c r="H43" s="23">
        <f t="shared" si="1"/>
        <v>650</v>
      </c>
      <c r="I43" s="24"/>
      <c r="J43" s="25" t="s">
        <v>69</v>
      </c>
      <c r="K43" s="6"/>
      <c r="L43" s="5"/>
      <c r="M43" s="18"/>
      <c r="N43" s="8"/>
      <c r="O43" s="13"/>
      <c r="P43" s="18"/>
      <c r="Q43" s="16"/>
    </row>
    <row r="44" spans="2:17" ht="18" customHeight="1" x14ac:dyDescent="0.15">
      <c r="B44" s="20"/>
      <c r="C44" s="20" t="s">
        <v>37</v>
      </c>
      <c r="D44" s="20" t="s">
        <v>37</v>
      </c>
      <c r="E44" s="26" t="s">
        <v>73</v>
      </c>
      <c r="F44" s="59">
        <v>6</v>
      </c>
      <c r="G44" s="60">
        <v>370</v>
      </c>
      <c r="H44" s="7">
        <f t="shared" si="1"/>
        <v>2220</v>
      </c>
      <c r="I44" s="14"/>
      <c r="J44" s="26" t="s">
        <v>74</v>
      </c>
      <c r="K44" s="6"/>
      <c r="L44" s="5"/>
      <c r="M44" s="18"/>
      <c r="N44" s="8"/>
      <c r="O44" s="13"/>
      <c r="P44" s="18"/>
      <c r="Q44" s="16"/>
    </row>
    <row r="45" spans="2:17" ht="18" customHeight="1" x14ac:dyDescent="0.15">
      <c r="B45" s="20"/>
      <c r="C45" s="20" t="s">
        <v>37</v>
      </c>
      <c r="D45" s="20" t="s">
        <v>37</v>
      </c>
      <c r="E45" s="62" t="s">
        <v>75</v>
      </c>
      <c r="F45" s="63">
        <v>2</v>
      </c>
      <c r="G45" s="60">
        <v>8800</v>
      </c>
      <c r="H45" s="7">
        <f t="shared" si="1"/>
        <v>17600</v>
      </c>
      <c r="I45" s="14"/>
      <c r="J45" s="28" t="s">
        <v>76</v>
      </c>
      <c r="K45" s="6"/>
      <c r="L45" s="5"/>
      <c r="M45" s="18"/>
      <c r="N45" s="8"/>
      <c r="O45" s="13"/>
      <c r="P45" s="18"/>
      <c r="Q45" s="16"/>
    </row>
    <row r="46" spans="2:17" ht="18" customHeight="1" x14ac:dyDescent="0.15">
      <c r="B46" s="20"/>
      <c r="C46" s="20" t="s">
        <v>37</v>
      </c>
      <c r="D46" s="20" t="s">
        <v>37</v>
      </c>
      <c r="E46" s="29" t="s">
        <v>77</v>
      </c>
      <c r="F46" s="63">
        <v>2</v>
      </c>
      <c r="G46" s="60">
        <v>4710</v>
      </c>
      <c r="H46" s="7">
        <f t="shared" si="1"/>
        <v>9420</v>
      </c>
      <c r="I46" s="14"/>
      <c r="J46" s="28" t="s">
        <v>78</v>
      </c>
      <c r="K46" s="6"/>
      <c r="L46" s="5"/>
      <c r="M46" s="18"/>
      <c r="N46" s="8"/>
      <c r="O46" s="13"/>
      <c r="P46" s="18"/>
      <c r="Q46" s="16"/>
    </row>
    <row r="47" spans="2:17" ht="18" customHeight="1" x14ac:dyDescent="0.15">
      <c r="B47" s="20"/>
      <c r="C47" s="20" t="s">
        <v>37</v>
      </c>
      <c r="D47" s="20" t="s">
        <v>37</v>
      </c>
      <c r="E47" s="64" t="s">
        <v>79</v>
      </c>
      <c r="F47" s="30">
        <v>1</v>
      </c>
      <c r="G47" s="60">
        <v>59000</v>
      </c>
      <c r="H47" s="7">
        <f t="shared" si="1"/>
        <v>59000</v>
      </c>
      <c r="I47" s="14"/>
      <c r="J47" s="27" t="s">
        <v>80</v>
      </c>
      <c r="K47" s="6"/>
      <c r="L47" s="5"/>
      <c r="M47" s="18"/>
      <c r="N47" s="8"/>
      <c r="O47" s="13"/>
      <c r="P47" s="18"/>
      <c r="Q47" s="16"/>
    </row>
    <row r="48" spans="2:17" ht="18" customHeight="1" x14ac:dyDescent="0.15">
      <c r="B48" s="20"/>
      <c r="C48" s="20" t="s">
        <v>37</v>
      </c>
      <c r="D48" s="20" t="s">
        <v>37</v>
      </c>
      <c r="E48" s="62" t="s">
        <v>81</v>
      </c>
      <c r="F48" s="30">
        <v>1</v>
      </c>
      <c r="G48" s="17">
        <v>370</v>
      </c>
      <c r="H48" s="7">
        <f t="shared" si="1"/>
        <v>370</v>
      </c>
      <c r="I48" s="14"/>
      <c r="J48" s="28" t="s">
        <v>82</v>
      </c>
      <c r="K48" s="6"/>
      <c r="L48" s="5"/>
      <c r="M48" s="18"/>
      <c r="N48" s="8"/>
      <c r="O48" s="13"/>
      <c r="P48" s="18"/>
      <c r="Q48" s="16"/>
    </row>
    <row r="49" spans="2:17" ht="18" customHeight="1" x14ac:dyDescent="0.15">
      <c r="B49" s="20"/>
      <c r="C49" s="20" t="s">
        <v>37</v>
      </c>
      <c r="D49" s="20" t="s">
        <v>37</v>
      </c>
      <c r="E49" s="64" t="s">
        <v>83</v>
      </c>
      <c r="F49" s="63">
        <v>2</v>
      </c>
      <c r="G49" s="60">
        <v>3560</v>
      </c>
      <c r="H49" s="7">
        <f t="shared" si="1"/>
        <v>7120</v>
      </c>
      <c r="I49" s="14"/>
      <c r="J49" s="27" t="s">
        <v>84</v>
      </c>
      <c r="K49" s="6"/>
      <c r="L49" s="5"/>
      <c r="M49" s="18"/>
      <c r="N49" s="8"/>
      <c r="O49" s="13"/>
      <c r="P49" s="18"/>
      <c r="Q49" s="16"/>
    </row>
    <row r="50" spans="2:17" ht="18" customHeight="1" x14ac:dyDescent="0.15">
      <c r="B50" s="20"/>
      <c r="C50" s="20" t="s">
        <v>37</v>
      </c>
      <c r="D50" s="20" t="s">
        <v>37</v>
      </c>
      <c r="E50" s="17" t="s">
        <v>85</v>
      </c>
      <c r="F50" s="30">
        <v>10</v>
      </c>
      <c r="G50" s="17">
        <v>26</v>
      </c>
      <c r="H50" s="7">
        <f t="shared" si="1"/>
        <v>260</v>
      </c>
      <c r="I50" s="14"/>
      <c r="J50" s="19" t="s">
        <v>86</v>
      </c>
      <c r="K50" s="6"/>
      <c r="L50" s="5"/>
      <c r="M50" s="18"/>
      <c r="N50" s="8"/>
      <c r="O50" s="13"/>
      <c r="P50" s="18"/>
      <c r="Q50" s="16"/>
    </row>
    <row r="51" spans="2:17" ht="18" customHeight="1" x14ac:dyDescent="0.15">
      <c r="B51" s="20"/>
      <c r="C51" s="20" t="s">
        <v>37</v>
      </c>
      <c r="D51" s="20" t="s">
        <v>37</v>
      </c>
      <c r="E51" s="17" t="s">
        <v>87</v>
      </c>
      <c r="F51" s="30">
        <v>4</v>
      </c>
      <c r="G51" s="17">
        <v>29</v>
      </c>
      <c r="H51" s="7">
        <f t="shared" si="1"/>
        <v>116</v>
      </c>
      <c r="I51" s="14"/>
      <c r="J51" s="19" t="s">
        <v>88</v>
      </c>
      <c r="K51" s="6"/>
      <c r="L51" s="5"/>
      <c r="M51" s="18"/>
      <c r="N51" s="8"/>
      <c r="O51" s="13"/>
      <c r="P51" s="18"/>
      <c r="Q51" s="16"/>
    </row>
    <row r="52" spans="2:17" ht="18" customHeight="1" x14ac:dyDescent="0.15">
      <c r="B52" s="20"/>
      <c r="C52" s="20" t="s">
        <v>37</v>
      </c>
      <c r="D52" s="20" t="s">
        <v>37</v>
      </c>
      <c r="E52" s="17" t="s">
        <v>89</v>
      </c>
      <c r="F52" s="30">
        <v>16</v>
      </c>
      <c r="G52" s="17">
        <v>54</v>
      </c>
      <c r="H52" s="7">
        <f t="shared" si="1"/>
        <v>864</v>
      </c>
      <c r="I52" s="14"/>
      <c r="J52" s="19" t="s">
        <v>90</v>
      </c>
      <c r="K52" s="6"/>
      <c r="L52" s="5"/>
      <c r="M52" s="18"/>
      <c r="N52" s="8"/>
      <c r="O52" s="13"/>
      <c r="P52" s="18"/>
      <c r="Q52" s="16"/>
    </row>
    <row r="53" spans="2:17" ht="18" customHeight="1" x14ac:dyDescent="0.15">
      <c r="B53" s="20"/>
      <c r="C53" s="20" t="s">
        <v>37</v>
      </c>
      <c r="D53" s="20" t="s">
        <v>37</v>
      </c>
      <c r="E53" s="17" t="s">
        <v>58</v>
      </c>
      <c r="F53" s="30">
        <v>6</v>
      </c>
      <c r="G53" s="17">
        <v>70</v>
      </c>
      <c r="H53" s="7">
        <f t="shared" si="1"/>
        <v>420</v>
      </c>
      <c r="I53" s="14"/>
      <c r="J53" s="19" t="s">
        <v>91</v>
      </c>
      <c r="K53" s="6"/>
      <c r="L53" s="5"/>
      <c r="M53" s="18"/>
      <c r="N53" s="8"/>
      <c r="O53" s="13"/>
      <c r="P53" s="18"/>
      <c r="Q53" s="16"/>
    </row>
    <row r="54" spans="2:17" ht="18" customHeight="1" x14ac:dyDescent="0.15">
      <c r="B54" s="20"/>
      <c r="C54" s="20" t="s">
        <v>37</v>
      </c>
      <c r="D54" s="20" t="s">
        <v>37</v>
      </c>
      <c r="E54" s="17" t="s">
        <v>92</v>
      </c>
      <c r="F54" s="30">
        <v>12</v>
      </c>
      <c r="G54" s="17">
        <v>75</v>
      </c>
      <c r="H54" s="7">
        <f t="shared" si="1"/>
        <v>900</v>
      </c>
      <c r="I54" s="14"/>
      <c r="J54" s="19" t="s">
        <v>93</v>
      </c>
      <c r="K54" s="6"/>
      <c r="L54" s="5"/>
      <c r="M54" s="18"/>
      <c r="N54" s="8"/>
      <c r="O54" s="13"/>
      <c r="P54" s="18"/>
      <c r="Q54" s="16"/>
    </row>
    <row r="55" spans="2:17" ht="18" customHeight="1" x14ac:dyDescent="0.15">
      <c r="B55" s="20"/>
      <c r="C55" s="20" t="s">
        <v>37</v>
      </c>
      <c r="D55" s="20" t="s">
        <v>37</v>
      </c>
      <c r="E55" s="17" t="s">
        <v>94</v>
      </c>
      <c r="F55" s="30">
        <v>4</v>
      </c>
      <c r="G55" s="17">
        <v>80</v>
      </c>
      <c r="H55" s="7">
        <f t="shared" si="1"/>
        <v>320</v>
      </c>
      <c r="I55" s="14"/>
      <c r="J55" s="19" t="s">
        <v>95</v>
      </c>
      <c r="K55" s="6"/>
      <c r="L55" s="5"/>
      <c r="M55" s="18"/>
      <c r="N55" s="8"/>
      <c r="O55" s="13"/>
      <c r="P55" s="18"/>
      <c r="Q55" s="16"/>
    </row>
    <row r="56" spans="2:17" ht="18" customHeight="1" x14ac:dyDescent="0.15">
      <c r="B56" s="20"/>
      <c r="C56" s="20" t="s">
        <v>37</v>
      </c>
      <c r="D56" s="20" t="s">
        <v>37</v>
      </c>
      <c r="E56" s="17" t="s">
        <v>96</v>
      </c>
      <c r="F56" s="30">
        <v>10</v>
      </c>
      <c r="G56" s="17">
        <v>99</v>
      </c>
      <c r="H56" s="7">
        <f t="shared" si="1"/>
        <v>990</v>
      </c>
      <c r="I56" s="14"/>
      <c r="J56" s="19" t="s">
        <v>97</v>
      </c>
      <c r="K56" s="6"/>
      <c r="L56" s="5"/>
      <c r="M56" s="18"/>
      <c r="N56" s="8"/>
      <c r="O56" s="13"/>
      <c r="P56" s="18"/>
      <c r="Q56" s="16"/>
    </row>
    <row r="57" spans="2:17" ht="18" customHeight="1" x14ac:dyDescent="0.15">
      <c r="B57" s="20"/>
      <c r="C57" s="20" t="s">
        <v>37</v>
      </c>
      <c r="D57" s="20" t="s">
        <v>37</v>
      </c>
      <c r="E57" s="17" t="s">
        <v>98</v>
      </c>
      <c r="F57" s="30">
        <v>2</v>
      </c>
      <c r="G57" s="17">
        <v>610</v>
      </c>
      <c r="H57" s="7">
        <f t="shared" si="1"/>
        <v>1220</v>
      </c>
      <c r="I57" s="14"/>
      <c r="J57" s="19" t="s">
        <v>99</v>
      </c>
      <c r="K57" s="6"/>
      <c r="L57" s="5"/>
      <c r="M57" s="18"/>
      <c r="N57" s="8"/>
      <c r="O57" s="13"/>
      <c r="P57" s="18"/>
      <c r="Q57" s="16"/>
    </row>
    <row r="58" spans="2:17" ht="18" customHeight="1" x14ac:dyDescent="0.15">
      <c r="B58" s="20"/>
      <c r="C58" s="20" t="s">
        <v>37</v>
      </c>
      <c r="D58" s="20" t="s">
        <v>37</v>
      </c>
      <c r="E58" s="17" t="s">
        <v>100</v>
      </c>
      <c r="F58" s="30">
        <v>2</v>
      </c>
      <c r="G58" s="17">
        <v>780</v>
      </c>
      <c r="H58" s="7">
        <f t="shared" si="1"/>
        <v>1560</v>
      </c>
      <c r="I58" s="14"/>
      <c r="J58" s="19" t="s">
        <v>101</v>
      </c>
      <c r="K58" s="6"/>
      <c r="L58" s="5"/>
      <c r="M58" s="18"/>
      <c r="N58" s="8"/>
      <c r="O58" s="13"/>
      <c r="P58" s="18"/>
      <c r="Q58" s="16"/>
    </row>
    <row r="59" spans="2:17" ht="18" customHeight="1" x14ac:dyDescent="0.15">
      <c r="B59" s="20"/>
      <c r="C59" s="20"/>
      <c r="D59" s="20"/>
      <c r="E59" s="79">
        <f>SUM(H37:H58)</f>
        <v>181265</v>
      </c>
      <c r="F59" s="20"/>
      <c r="G59" s="22"/>
      <c r="I59" s="24"/>
      <c r="J59" s="25"/>
      <c r="K59" s="6"/>
      <c r="L59" s="5"/>
      <c r="M59" s="18"/>
      <c r="N59" s="8"/>
      <c r="O59" s="13"/>
      <c r="P59" s="18"/>
      <c r="Q59" s="16"/>
    </row>
    <row r="60" spans="2:17" ht="18" customHeight="1" x14ac:dyDescent="0.15">
      <c r="B60" s="20"/>
      <c r="C60" s="20"/>
      <c r="D60" s="20"/>
      <c r="E60" s="22"/>
      <c r="F60" s="20"/>
      <c r="G60" s="22"/>
      <c r="H60" s="23"/>
      <c r="I60" s="24"/>
      <c r="J60" s="25"/>
      <c r="K60" s="6"/>
      <c r="L60" s="5"/>
      <c r="M60" s="18"/>
      <c r="N60" s="8"/>
      <c r="O60" s="13"/>
      <c r="P60" s="18"/>
      <c r="Q60" s="16"/>
    </row>
    <row r="61" spans="2:17" ht="18" customHeight="1" x14ac:dyDescent="0.15">
      <c r="B61" s="335" t="s">
        <v>102</v>
      </c>
      <c r="C61" s="336"/>
      <c r="D61" s="336"/>
      <c r="E61" s="337"/>
      <c r="F61" s="20"/>
      <c r="G61" s="22"/>
      <c r="H61" s="23"/>
      <c r="I61" s="24"/>
      <c r="J61" s="25"/>
      <c r="K61" s="6"/>
      <c r="L61" s="5"/>
      <c r="M61" s="18"/>
      <c r="N61" s="8"/>
      <c r="O61" s="13"/>
      <c r="P61" s="18"/>
      <c r="Q61" s="16"/>
    </row>
    <row r="62" spans="2:17" ht="18" customHeight="1" x14ac:dyDescent="0.15">
      <c r="B62" s="20"/>
      <c r="C62" s="20"/>
      <c r="D62" s="20"/>
      <c r="E62" s="22"/>
      <c r="F62" s="20"/>
      <c r="G62" s="22"/>
      <c r="H62" s="23"/>
      <c r="I62" s="24"/>
      <c r="J62" s="25"/>
      <c r="K62" s="6"/>
      <c r="L62" s="5"/>
      <c r="M62" s="18"/>
      <c r="N62" s="8"/>
      <c r="O62" s="13"/>
      <c r="P62" s="18"/>
      <c r="Q62" s="16"/>
    </row>
    <row r="63" spans="2:17" ht="18" customHeight="1" x14ac:dyDescent="0.15">
      <c r="B63" s="20"/>
      <c r="C63" s="17" t="s">
        <v>25</v>
      </c>
      <c r="D63" s="17" t="s">
        <v>25</v>
      </c>
      <c r="E63" s="51" t="s">
        <v>103</v>
      </c>
      <c r="F63" s="1">
        <v>2</v>
      </c>
      <c r="G63" s="51">
        <v>18500</v>
      </c>
      <c r="H63" s="51">
        <f t="shared" ref="H63:H71" si="2">F63*G63</f>
        <v>37000</v>
      </c>
      <c r="I63" s="52"/>
      <c r="J63" s="51" t="s">
        <v>103</v>
      </c>
      <c r="K63" s="6"/>
      <c r="L63" s="5"/>
      <c r="M63" s="18"/>
      <c r="N63" s="8"/>
      <c r="O63" s="13"/>
      <c r="P63" s="18"/>
      <c r="Q63" s="16"/>
    </row>
    <row r="64" spans="2:17" ht="18" customHeight="1" x14ac:dyDescent="0.15">
      <c r="B64" s="20"/>
      <c r="C64" s="17" t="s">
        <v>25</v>
      </c>
      <c r="D64" s="17" t="s">
        <v>25</v>
      </c>
      <c r="E64" s="51" t="s">
        <v>104</v>
      </c>
      <c r="F64" s="1">
        <v>4</v>
      </c>
      <c r="G64" s="51">
        <v>4000</v>
      </c>
      <c r="H64" s="51">
        <f t="shared" si="2"/>
        <v>16000</v>
      </c>
      <c r="I64" s="52"/>
      <c r="J64" s="51" t="s">
        <v>104</v>
      </c>
      <c r="K64" s="6"/>
      <c r="L64" s="5"/>
      <c r="M64" s="18"/>
      <c r="N64" s="8"/>
      <c r="O64" s="13"/>
      <c r="P64" s="18"/>
      <c r="Q64" s="16"/>
    </row>
    <row r="65" spans="2:17" ht="18" customHeight="1" x14ac:dyDescent="0.15">
      <c r="B65" s="20"/>
      <c r="C65" s="20" t="s">
        <v>37</v>
      </c>
      <c r="D65" s="20" t="s">
        <v>37</v>
      </c>
      <c r="E65" s="64" t="s">
        <v>105</v>
      </c>
      <c r="F65" s="54">
        <v>10</v>
      </c>
      <c r="G65" s="60">
        <v>920</v>
      </c>
      <c r="H65" s="55">
        <f t="shared" si="2"/>
        <v>9200</v>
      </c>
      <c r="I65" s="56"/>
      <c r="J65" s="57" t="s">
        <v>106</v>
      </c>
      <c r="K65" s="6"/>
      <c r="L65" s="5"/>
      <c r="M65" s="18"/>
      <c r="N65" s="8"/>
      <c r="O65" s="13"/>
      <c r="P65" s="18"/>
      <c r="Q65" s="16"/>
    </row>
    <row r="66" spans="2:17" ht="18" customHeight="1" x14ac:dyDescent="0.15">
      <c r="B66" s="20"/>
      <c r="C66" s="20" t="s">
        <v>37</v>
      </c>
      <c r="D66" s="20" t="s">
        <v>37</v>
      </c>
      <c r="E66" s="77" t="s">
        <v>105</v>
      </c>
      <c r="F66" s="54">
        <v>10</v>
      </c>
      <c r="G66" s="60">
        <v>1250</v>
      </c>
      <c r="H66" s="55">
        <f t="shared" si="2"/>
        <v>12500</v>
      </c>
      <c r="I66" s="56"/>
      <c r="J66" s="76" t="s">
        <v>107</v>
      </c>
      <c r="K66" s="6"/>
      <c r="L66" s="5"/>
      <c r="M66" s="18"/>
      <c r="N66" s="8"/>
      <c r="O66" s="13"/>
      <c r="P66" s="18"/>
      <c r="Q66" s="16"/>
    </row>
    <row r="67" spans="2:17" ht="18" customHeight="1" x14ac:dyDescent="0.15">
      <c r="B67" s="20"/>
      <c r="C67" s="20" t="s">
        <v>37</v>
      </c>
      <c r="D67" s="20" t="s">
        <v>37</v>
      </c>
      <c r="E67" s="26" t="s">
        <v>108</v>
      </c>
      <c r="F67" s="30">
        <v>4</v>
      </c>
      <c r="G67" s="17">
        <v>570</v>
      </c>
      <c r="H67" s="7">
        <f t="shared" si="2"/>
        <v>2280</v>
      </c>
      <c r="I67" s="14"/>
      <c r="J67" s="27" t="s">
        <v>109</v>
      </c>
      <c r="K67" s="6"/>
      <c r="L67" s="5"/>
      <c r="M67" s="18"/>
      <c r="N67" s="8"/>
      <c r="O67" s="13"/>
      <c r="P67" s="18"/>
      <c r="Q67" s="16"/>
    </row>
    <row r="68" spans="2:17" ht="18" customHeight="1" x14ac:dyDescent="0.15">
      <c r="B68" s="20"/>
      <c r="C68" s="20" t="s">
        <v>37</v>
      </c>
      <c r="D68" s="20" t="s">
        <v>37</v>
      </c>
      <c r="E68" s="17" t="s">
        <v>85</v>
      </c>
      <c r="F68" s="30">
        <v>4</v>
      </c>
      <c r="G68" s="60">
        <v>26</v>
      </c>
      <c r="H68" s="7">
        <f t="shared" si="2"/>
        <v>104</v>
      </c>
      <c r="I68" s="14"/>
      <c r="J68" s="19" t="s">
        <v>86</v>
      </c>
      <c r="K68" s="6"/>
      <c r="L68" s="5"/>
      <c r="M68" s="18"/>
      <c r="N68" s="8"/>
      <c r="O68" s="13"/>
      <c r="P68" s="18"/>
      <c r="Q68" s="16"/>
    </row>
    <row r="69" spans="2:17" ht="18" customHeight="1" x14ac:dyDescent="0.15">
      <c r="B69" s="20"/>
      <c r="C69" s="20" t="s">
        <v>37</v>
      </c>
      <c r="D69" s="20" t="s">
        <v>37</v>
      </c>
      <c r="E69" s="60" t="s">
        <v>110</v>
      </c>
      <c r="F69" s="30">
        <v>4</v>
      </c>
      <c r="G69" s="60">
        <v>800</v>
      </c>
      <c r="H69" s="7">
        <f t="shared" si="2"/>
        <v>3200</v>
      </c>
      <c r="I69" s="14"/>
      <c r="J69" s="19" t="s">
        <v>111</v>
      </c>
      <c r="K69" s="6"/>
      <c r="L69" s="5"/>
      <c r="M69" s="18"/>
      <c r="N69" s="8"/>
      <c r="O69" s="13"/>
      <c r="P69" s="18"/>
      <c r="Q69" s="16"/>
    </row>
    <row r="70" spans="2:17" ht="18" customHeight="1" x14ac:dyDescent="0.15">
      <c r="B70" s="20"/>
      <c r="C70" s="20" t="s">
        <v>37</v>
      </c>
      <c r="D70" s="20" t="s">
        <v>37</v>
      </c>
      <c r="E70" s="17" t="s">
        <v>92</v>
      </c>
      <c r="F70" s="30">
        <v>8</v>
      </c>
      <c r="G70" s="17">
        <v>75</v>
      </c>
      <c r="H70" s="7">
        <f t="shared" si="2"/>
        <v>600</v>
      </c>
      <c r="I70" s="14"/>
      <c r="J70" s="19" t="s">
        <v>93</v>
      </c>
      <c r="K70" s="6"/>
      <c r="L70" s="5"/>
      <c r="M70" s="18"/>
      <c r="N70" s="8"/>
      <c r="O70" s="13"/>
      <c r="P70" s="18"/>
      <c r="Q70" s="16"/>
    </row>
    <row r="71" spans="2:17" ht="18" customHeight="1" x14ac:dyDescent="0.15">
      <c r="B71" s="20"/>
      <c r="C71" s="20" t="s">
        <v>37</v>
      </c>
      <c r="D71" s="20" t="s">
        <v>37</v>
      </c>
      <c r="E71" s="17" t="s">
        <v>94</v>
      </c>
      <c r="F71" s="30">
        <v>8</v>
      </c>
      <c r="G71" s="17">
        <v>80</v>
      </c>
      <c r="H71" s="7">
        <f t="shared" si="2"/>
        <v>640</v>
      </c>
      <c r="I71" s="14"/>
      <c r="J71" s="19" t="s">
        <v>95</v>
      </c>
      <c r="K71" s="6"/>
      <c r="L71" s="5"/>
      <c r="M71" s="18"/>
      <c r="N71" s="8"/>
      <c r="O71" s="13"/>
      <c r="P71" s="18"/>
      <c r="Q71" s="16"/>
    </row>
    <row r="72" spans="2:17" ht="18" customHeight="1" x14ac:dyDescent="0.15">
      <c r="B72" s="20"/>
      <c r="C72" s="20"/>
      <c r="D72" s="20"/>
      <c r="E72" s="78">
        <f>SUM(H63:H71)</f>
        <v>81524</v>
      </c>
      <c r="F72" s="30"/>
      <c r="G72" s="17"/>
      <c r="I72" s="14"/>
      <c r="J72" s="19"/>
      <c r="K72" s="6"/>
      <c r="L72" s="5"/>
      <c r="M72" s="18"/>
      <c r="N72" s="8"/>
      <c r="O72" s="13"/>
      <c r="P72" s="18"/>
      <c r="Q72" s="16"/>
    </row>
    <row r="73" spans="2:17" ht="18" customHeight="1" x14ac:dyDescent="0.15">
      <c r="B73" s="20"/>
      <c r="C73" s="4"/>
      <c r="D73" s="4"/>
      <c r="E73" s="17"/>
      <c r="F73" s="49"/>
      <c r="G73" s="7"/>
      <c r="H73" s="7"/>
      <c r="I73" s="48"/>
      <c r="J73" s="47"/>
      <c r="K73" s="6"/>
      <c r="L73" s="5"/>
      <c r="M73" s="18"/>
      <c r="N73" s="8"/>
      <c r="O73" s="13"/>
      <c r="P73" s="18"/>
      <c r="Q73" s="16"/>
    </row>
    <row r="74" spans="2:17" ht="18" customHeight="1" x14ac:dyDescent="0.15">
      <c r="B74" s="338" t="s">
        <v>112</v>
      </c>
      <c r="C74" s="339"/>
      <c r="D74" s="339"/>
      <c r="E74" s="340"/>
      <c r="F74" s="49"/>
      <c r="G74" s="7"/>
      <c r="H74" s="7"/>
      <c r="I74" s="48"/>
      <c r="J74" s="47"/>
      <c r="K74" s="6"/>
      <c r="L74" s="5"/>
      <c r="M74" s="18"/>
      <c r="N74" s="8"/>
      <c r="O74" s="13"/>
      <c r="P74" s="18"/>
      <c r="Q74" s="16"/>
    </row>
    <row r="75" spans="2:17" ht="18" customHeight="1" x14ac:dyDescent="0.15">
      <c r="B75" s="20"/>
      <c r="C75" s="17" t="s">
        <v>25</v>
      </c>
      <c r="D75" s="17" t="s">
        <v>25</v>
      </c>
      <c r="E75" s="51" t="s">
        <v>113</v>
      </c>
      <c r="F75" s="51">
        <v>1</v>
      </c>
      <c r="G75" s="51">
        <v>16500</v>
      </c>
      <c r="H75" s="51">
        <f t="shared" ref="H75:H83" si="3">F75*G75</f>
        <v>16500</v>
      </c>
      <c r="I75" s="52"/>
      <c r="J75" s="51" t="s">
        <v>114</v>
      </c>
      <c r="K75" s="6"/>
      <c r="L75" s="5"/>
      <c r="M75" s="18"/>
      <c r="N75" s="8"/>
      <c r="O75" s="13"/>
      <c r="P75" s="18"/>
      <c r="Q75" s="16"/>
    </row>
    <row r="76" spans="2:17" ht="18" customHeight="1" x14ac:dyDescent="0.15">
      <c r="B76" s="20"/>
      <c r="C76" s="1" t="s">
        <v>37</v>
      </c>
      <c r="D76" s="1" t="s">
        <v>37</v>
      </c>
      <c r="E76" s="6" t="s">
        <v>115</v>
      </c>
      <c r="F76" s="7">
        <v>1</v>
      </c>
      <c r="G76" s="7">
        <v>1080</v>
      </c>
      <c r="H76" s="7">
        <f t="shared" si="3"/>
        <v>1080</v>
      </c>
      <c r="I76" s="14"/>
      <c r="J76" s="5" t="s">
        <v>116</v>
      </c>
      <c r="K76" s="6"/>
      <c r="L76" s="5"/>
      <c r="M76" s="18"/>
      <c r="N76" s="8"/>
      <c r="O76" s="13"/>
      <c r="P76" s="18"/>
      <c r="Q76" s="16"/>
    </row>
    <row r="77" spans="2:17" ht="18" customHeight="1" x14ac:dyDescent="0.15">
      <c r="B77" s="20"/>
      <c r="C77" s="1" t="s">
        <v>37</v>
      </c>
      <c r="D77" s="1" t="s">
        <v>37</v>
      </c>
      <c r="E77" s="6" t="s">
        <v>117</v>
      </c>
      <c r="F77" s="7">
        <v>1</v>
      </c>
      <c r="G77" s="7">
        <v>3350</v>
      </c>
      <c r="H77" s="7">
        <f t="shared" si="3"/>
        <v>3350</v>
      </c>
      <c r="I77" s="14"/>
      <c r="J77" s="5" t="s">
        <v>118</v>
      </c>
      <c r="K77" s="6"/>
      <c r="L77" s="5"/>
      <c r="M77" s="18"/>
      <c r="N77" s="8"/>
      <c r="O77" s="13"/>
      <c r="P77" s="18"/>
      <c r="Q77" s="16"/>
    </row>
    <row r="78" spans="2:17" ht="18" customHeight="1" x14ac:dyDescent="0.15">
      <c r="B78" s="20"/>
      <c r="C78" s="1" t="s">
        <v>37</v>
      </c>
      <c r="D78" s="1" t="s">
        <v>37</v>
      </c>
      <c r="E78" s="6" t="s">
        <v>119</v>
      </c>
      <c r="F78" s="7">
        <v>1</v>
      </c>
      <c r="G78" s="7">
        <v>3022</v>
      </c>
      <c r="H78" s="7">
        <f t="shared" si="3"/>
        <v>3022</v>
      </c>
      <c r="I78" s="14"/>
      <c r="J78" s="5" t="s">
        <v>120</v>
      </c>
      <c r="K78" s="6"/>
      <c r="L78" s="5"/>
      <c r="M78" s="18"/>
      <c r="N78" s="8"/>
      <c r="O78" s="13"/>
      <c r="P78" s="18"/>
      <c r="Q78" s="16"/>
    </row>
    <row r="79" spans="2:17" ht="18" customHeight="1" x14ac:dyDescent="0.15">
      <c r="B79" s="20"/>
      <c r="C79" s="1" t="s">
        <v>37</v>
      </c>
      <c r="D79" s="1" t="s">
        <v>37</v>
      </c>
      <c r="E79" s="6" t="s">
        <v>121</v>
      </c>
      <c r="F79" s="7">
        <v>1</v>
      </c>
      <c r="G79" s="7">
        <v>5719</v>
      </c>
      <c r="H79" s="7">
        <f t="shared" si="3"/>
        <v>5719</v>
      </c>
      <c r="I79" s="14"/>
      <c r="J79" s="5" t="s">
        <v>122</v>
      </c>
      <c r="K79" s="6"/>
      <c r="L79" s="5"/>
      <c r="M79" s="18"/>
      <c r="N79" s="8"/>
      <c r="O79" s="13"/>
      <c r="P79" s="18"/>
      <c r="Q79" s="16"/>
    </row>
    <row r="80" spans="2:17" ht="18" customHeight="1" x14ac:dyDescent="0.15">
      <c r="B80" s="20"/>
      <c r="C80" s="1" t="s">
        <v>37</v>
      </c>
      <c r="D80" s="1" t="s">
        <v>37</v>
      </c>
      <c r="E80" s="6" t="s">
        <v>123</v>
      </c>
      <c r="F80" s="7">
        <v>1</v>
      </c>
      <c r="G80" s="7">
        <v>460</v>
      </c>
      <c r="H80" s="7">
        <f t="shared" si="3"/>
        <v>460</v>
      </c>
      <c r="I80" s="14"/>
      <c r="J80" s="5" t="s">
        <v>124</v>
      </c>
      <c r="K80" s="6"/>
      <c r="L80" s="5"/>
      <c r="M80" s="18"/>
      <c r="N80" s="8"/>
      <c r="O80" s="13"/>
      <c r="P80" s="18"/>
      <c r="Q80" s="16"/>
    </row>
    <row r="81" spans="2:17" ht="18" customHeight="1" x14ac:dyDescent="0.15">
      <c r="B81" s="20"/>
      <c r="C81" s="1" t="s">
        <v>37</v>
      </c>
      <c r="D81" s="1" t="s">
        <v>37</v>
      </c>
      <c r="E81" s="6" t="s">
        <v>125</v>
      </c>
      <c r="F81" s="7">
        <v>1</v>
      </c>
      <c r="G81" s="7">
        <v>2060</v>
      </c>
      <c r="H81" s="7">
        <f t="shared" si="3"/>
        <v>2060</v>
      </c>
      <c r="I81" s="14"/>
      <c r="J81" s="5" t="s">
        <v>126</v>
      </c>
      <c r="K81" s="6"/>
      <c r="L81" s="5"/>
      <c r="M81" s="18"/>
      <c r="N81" s="8"/>
      <c r="O81" s="13"/>
      <c r="P81" s="18"/>
      <c r="Q81" s="16"/>
    </row>
    <row r="82" spans="2:17" ht="18" customHeight="1" x14ac:dyDescent="0.15">
      <c r="B82" s="20"/>
      <c r="C82" s="4" t="s">
        <v>37</v>
      </c>
      <c r="D82" s="4" t="s">
        <v>37</v>
      </c>
      <c r="E82" s="6" t="s">
        <v>127</v>
      </c>
      <c r="F82" s="51">
        <v>1</v>
      </c>
      <c r="G82" s="7">
        <v>622</v>
      </c>
      <c r="H82" s="7">
        <f t="shared" si="3"/>
        <v>622</v>
      </c>
      <c r="I82" s="7"/>
      <c r="J82" s="51" t="s">
        <v>128</v>
      </c>
      <c r="K82" s="6"/>
      <c r="L82" s="5"/>
      <c r="M82" s="18"/>
      <c r="N82" s="8"/>
      <c r="O82" s="13"/>
      <c r="P82" s="18"/>
      <c r="Q82" s="16"/>
    </row>
    <row r="83" spans="2:17" ht="18" customHeight="1" x14ac:dyDescent="0.15">
      <c r="B83" s="20"/>
      <c r="C83" s="4" t="s">
        <v>37</v>
      </c>
      <c r="D83" s="4" t="s">
        <v>37</v>
      </c>
      <c r="E83" s="51" t="s">
        <v>129</v>
      </c>
      <c r="F83" s="51">
        <v>1</v>
      </c>
      <c r="G83" s="7">
        <v>3000</v>
      </c>
      <c r="H83" s="7">
        <f t="shared" si="3"/>
        <v>3000</v>
      </c>
      <c r="I83" s="7"/>
      <c r="J83" s="51" t="s">
        <v>129</v>
      </c>
      <c r="K83" s="6"/>
      <c r="L83" s="5"/>
      <c r="M83" s="18"/>
      <c r="N83" s="8"/>
      <c r="O83" s="13"/>
      <c r="P83" s="18"/>
      <c r="Q83" s="16"/>
    </row>
    <row r="84" spans="2:17" ht="18" customHeight="1" x14ac:dyDescent="0.15">
      <c r="B84" s="20"/>
      <c r="C84" s="17"/>
      <c r="D84" s="17"/>
      <c r="E84" s="78">
        <f>SUM(H75:H83)</f>
        <v>35813</v>
      </c>
      <c r="F84" s="30"/>
      <c r="G84" s="17"/>
      <c r="I84" s="14"/>
      <c r="J84" s="19"/>
      <c r="K84" s="6"/>
      <c r="L84" s="5"/>
      <c r="M84" s="18"/>
      <c r="N84" s="8"/>
      <c r="O84" s="13"/>
      <c r="P84" s="18"/>
      <c r="Q84" s="16"/>
    </row>
    <row r="85" spans="2:17" ht="18" customHeight="1" x14ac:dyDescent="0.15">
      <c r="B85" s="20"/>
      <c r="C85" s="17"/>
      <c r="D85" s="17"/>
      <c r="E85" s="17"/>
      <c r="F85" s="30"/>
      <c r="G85" s="17"/>
      <c r="H85" s="7"/>
      <c r="I85" s="14"/>
      <c r="J85" s="19"/>
      <c r="K85" s="6"/>
      <c r="L85" s="5"/>
      <c r="M85" s="18"/>
      <c r="N85" s="8"/>
      <c r="O85" s="13"/>
      <c r="P85" s="18"/>
      <c r="Q85" s="16"/>
    </row>
    <row r="86" spans="2:17" ht="18" customHeight="1" x14ac:dyDescent="0.15">
      <c r="B86" s="20"/>
      <c r="C86" s="17"/>
      <c r="D86" s="17"/>
      <c r="E86" s="17"/>
      <c r="F86" s="30"/>
      <c r="G86" s="17"/>
      <c r="H86" s="7"/>
      <c r="I86" s="14"/>
      <c r="J86" s="19"/>
      <c r="K86" s="6"/>
      <c r="L86" s="5"/>
      <c r="M86" s="18"/>
      <c r="N86" s="8"/>
      <c r="O86" s="13"/>
      <c r="P86" s="18"/>
      <c r="Q86" s="16"/>
    </row>
    <row r="87" spans="2:17" ht="18" customHeight="1" x14ac:dyDescent="0.15">
      <c r="B87" s="20"/>
      <c r="C87" s="17"/>
      <c r="D87" s="17"/>
      <c r="E87" s="17"/>
      <c r="F87" s="30"/>
      <c r="G87" s="17"/>
      <c r="H87" s="7"/>
      <c r="I87" s="14"/>
      <c r="J87" s="19"/>
      <c r="K87" s="6"/>
      <c r="L87" s="5"/>
      <c r="M87" s="18"/>
      <c r="N87" s="8"/>
      <c r="O87" s="13"/>
      <c r="P87" s="18"/>
      <c r="Q87" s="16"/>
    </row>
    <row r="88" spans="2:17" ht="18" customHeight="1" x14ac:dyDescent="0.15">
      <c r="B88" s="20"/>
      <c r="C88" s="17"/>
      <c r="D88" s="17"/>
      <c r="E88" s="17"/>
      <c r="F88" s="30"/>
      <c r="G88" s="17"/>
      <c r="H88" s="7"/>
      <c r="I88" s="14"/>
      <c r="J88" s="19"/>
      <c r="K88" s="6"/>
      <c r="L88" s="5"/>
      <c r="M88" s="18"/>
      <c r="N88" s="8"/>
      <c r="O88" s="13"/>
      <c r="P88" s="18"/>
      <c r="Q88" s="16"/>
    </row>
    <row r="89" spans="2:17" ht="18" customHeight="1" x14ac:dyDescent="0.15">
      <c r="B89" s="20"/>
      <c r="C89" s="17"/>
      <c r="D89" s="17"/>
      <c r="E89" s="17"/>
      <c r="F89" s="30"/>
      <c r="G89" s="17"/>
      <c r="H89" s="7"/>
      <c r="I89" s="14"/>
      <c r="J89" s="19"/>
      <c r="K89" s="6"/>
      <c r="L89" s="5"/>
      <c r="M89" s="18"/>
      <c r="N89" s="8"/>
      <c r="O89" s="13"/>
      <c r="P89" s="18"/>
      <c r="Q89" s="16"/>
    </row>
    <row r="90" spans="2:17" ht="18" customHeight="1" x14ac:dyDescent="0.15">
      <c r="B90" s="20"/>
      <c r="C90" s="17"/>
      <c r="D90" s="17"/>
      <c r="E90" s="17"/>
      <c r="F90" s="30"/>
      <c r="G90" s="17"/>
      <c r="H90" s="7"/>
      <c r="I90" s="14"/>
      <c r="J90" s="19"/>
      <c r="K90" s="6"/>
      <c r="L90" s="5"/>
      <c r="M90" s="18"/>
      <c r="N90" s="8"/>
      <c r="O90" s="13"/>
      <c r="P90" s="18"/>
      <c r="Q90" s="16"/>
    </row>
    <row r="91" spans="2:17" ht="18" customHeight="1" x14ac:dyDescent="0.15">
      <c r="B91" s="1"/>
      <c r="C91" s="4"/>
      <c r="D91" s="4"/>
      <c r="E91" s="6" t="s">
        <v>130</v>
      </c>
      <c r="F91" s="49"/>
      <c r="G91" s="7"/>
      <c r="H91" s="7">
        <f>F91*G91</f>
        <v>0</v>
      </c>
      <c r="I91" s="14"/>
      <c r="J91" s="19" t="s">
        <v>131</v>
      </c>
      <c r="K91" s="6"/>
      <c r="L91" s="5"/>
      <c r="M91" s="18"/>
      <c r="N91" s="8"/>
      <c r="O91" s="13"/>
      <c r="P91" s="18"/>
      <c r="Q91" s="16"/>
    </row>
    <row r="92" spans="2:17" ht="18" customHeight="1" x14ac:dyDescent="0.15">
      <c r="B92" s="1"/>
      <c r="C92" s="1"/>
      <c r="D92" s="1"/>
      <c r="E92" s="6" t="s">
        <v>131</v>
      </c>
      <c r="F92" s="49"/>
      <c r="G92" s="7">
        <v>5000</v>
      </c>
      <c r="H92" s="7">
        <f>F92*G92</f>
        <v>0</v>
      </c>
      <c r="I92" s="14"/>
      <c r="J92" s="19" t="s">
        <v>132</v>
      </c>
      <c r="K92" s="6"/>
      <c r="L92" s="5"/>
      <c r="M92" s="18"/>
      <c r="N92" s="8"/>
      <c r="O92" s="13"/>
      <c r="P92" s="18"/>
      <c r="Q92" s="16"/>
    </row>
    <row r="93" spans="2:17" ht="18" customHeight="1" x14ac:dyDescent="0.15">
      <c r="B93" s="1"/>
      <c r="C93" s="1"/>
      <c r="D93" s="1"/>
      <c r="E93" s="6" t="s">
        <v>132</v>
      </c>
      <c r="F93" s="7"/>
      <c r="G93" s="7"/>
      <c r="H93" s="7">
        <f>F93*G93</f>
        <v>0</v>
      </c>
      <c r="I93" s="14"/>
      <c r="J93" s="5"/>
      <c r="K93" s="6"/>
      <c r="L93" s="5"/>
      <c r="M93" s="18"/>
      <c r="N93" s="8"/>
      <c r="O93" s="13"/>
      <c r="P93" s="18"/>
      <c r="Q93" s="16"/>
    </row>
    <row r="94" spans="2:17" ht="18" customHeight="1" x14ac:dyDescent="0.15">
      <c r="B94" s="1"/>
      <c r="C94" s="1"/>
      <c r="D94" s="1"/>
      <c r="E94" s="6"/>
      <c r="F94" s="7"/>
      <c r="G94" s="7"/>
      <c r="H94" s="7"/>
      <c r="I94" s="14"/>
      <c r="J94" s="5"/>
      <c r="K94" s="6"/>
      <c r="L94" s="5"/>
      <c r="M94" s="18"/>
      <c r="N94" s="8"/>
      <c r="O94" s="13"/>
      <c r="P94" s="18"/>
      <c r="Q94" s="16"/>
    </row>
    <row r="95" spans="2:17" ht="18" customHeight="1" x14ac:dyDescent="0.15">
      <c r="B95" s="1"/>
      <c r="C95" s="1"/>
      <c r="D95" s="1"/>
      <c r="E95" s="6"/>
      <c r="F95" s="7"/>
      <c r="G95" s="7"/>
      <c r="H95" s="7"/>
      <c r="I95" s="14"/>
      <c r="J95" s="5"/>
      <c r="K95" s="6"/>
      <c r="L95" s="5"/>
      <c r="M95" s="18"/>
      <c r="N95" s="8"/>
      <c r="O95" s="13"/>
      <c r="P95" s="18"/>
      <c r="Q95" s="16"/>
    </row>
    <row r="96" spans="2:17" ht="18" customHeight="1" x14ac:dyDescent="0.15">
      <c r="B96" s="1"/>
      <c r="C96" s="1"/>
      <c r="D96" s="1"/>
      <c r="E96" s="6"/>
      <c r="F96" s="7"/>
      <c r="G96" s="7"/>
      <c r="H96" s="7"/>
      <c r="I96" s="14"/>
      <c r="J96" s="5"/>
      <c r="K96" s="6"/>
      <c r="L96" s="5"/>
      <c r="M96" s="18"/>
      <c r="N96" s="8"/>
      <c r="O96" s="13"/>
      <c r="P96" s="18"/>
      <c r="Q96" s="16"/>
    </row>
    <row r="97" spans="2:17" ht="18" customHeight="1" x14ac:dyDescent="0.15">
      <c r="B97" s="1"/>
      <c r="C97" s="1"/>
      <c r="D97" s="1"/>
      <c r="E97" s="6"/>
      <c r="F97" s="7"/>
      <c r="G97" s="7"/>
      <c r="H97" s="7"/>
      <c r="I97" s="14"/>
      <c r="J97" s="5"/>
      <c r="K97" s="6"/>
      <c r="L97" s="5"/>
      <c r="M97" s="18"/>
      <c r="N97" s="8"/>
      <c r="O97" s="13"/>
      <c r="P97" s="18"/>
      <c r="Q97" s="16"/>
    </row>
    <row r="98" spans="2:17" ht="18" customHeight="1" x14ac:dyDescent="0.15">
      <c r="B98" s="1"/>
      <c r="C98" s="1"/>
      <c r="D98" s="1"/>
      <c r="E98" s="6"/>
      <c r="F98" s="7"/>
      <c r="G98" s="7"/>
      <c r="H98" s="7"/>
      <c r="I98" s="14"/>
      <c r="J98" s="5"/>
      <c r="K98" s="6"/>
      <c r="L98" s="5"/>
      <c r="M98" s="18"/>
      <c r="N98" s="8"/>
      <c r="O98" s="13"/>
      <c r="P98" s="18"/>
      <c r="Q98" s="16"/>
    </row>
    <row r="99" spans="2:17" ht="18" customHeight="1" x14ac:dyDescent="0.15">
      <c r="B99" s="1"/>
      <c r="C99" s="1"/>
      <c r="D99" s="1"/>
      <c r="E99" s="6"/>
      <c r="F99" s="7"/>
      <c r="G99" s="7"/>
      <c r="H99" s="7"/>
      <c r="I99" s="14"/>
      <c r="J99" s="5"/>
      <c r="K99" s="6"/>
      <c r="L99" s="5"/>
      <c r="M99" s="18"/>
      <c r="N99" s="8"/>
      <c r="O99" s="13"/>
      <c r="P99" s="18"/>
      <c r="Q99" s="16"/>
    </row>
    <row r="100" spans="2:17" ht="18" customHeight="1" x14ac:dyDescent="0.15">
      <c r="B100" s="1"/>
      <c r="C100" s="1"/>
      <c r="D100" s="1"/>
      <c r="E100" s="6"/>
      <c r="F100" s="7"/>
      <c r="G100" s="7"/>
      <c r="H100" s="7"/>
      <c r="I100" s="14"/>
      <c r="J100" s="5"/>
      <c r="K100" s="6"/>
      <c r="L100" s="5"/>
      <c r="M100" s="18"/>
      <c r="N100" s="8"/>
      <c r="O100" s="13"/>
      <c r="P100" s="18"/>
      <c r="Q100" s="16"/>
    </row>
    <row r="101" spans="2:17" ht="18" customHeight="1" x14ac:dyDescent="0.15">
      <c r="B101" s="1"/>
      <c r="C101" s="1"/>
      <c r="D101" s="1"/>
      <c r="E101" s="6"/>
      <c r="F101" s="7"/>
      <c r="G101" s="7"/>
      <c r="H101" s="7"/>
      <c r="I101" s="14"/>
      <c r="J101" s="5"/>
      <c r="K101" s="6"/>
      <c r="L101" s="5"/>
      <c r="M101" s="18"/>
      <c r="N101" s="8"/>
      <c r="O101" s="13"/>
      <c r="P101" s="18"/>
      <c r="Q101" s="16"/>
    </row>
    <row r="102" spans="2:17" ht="18" customHeight="1" x14ac:dyDescent="0.15">
      <c r="B102" s="1"/>
      <c r="C102" s="1"/>
      <c r="D102" s="1"/>
      <c r="E102" s="6"/>
      <c r="F102" s="7"/>
      <c r="G102" s="7"/>
      <c r="H102" s="7"/>
      <c r="I102" s="14"/>
      <c r="J102" s="5"/>
      <c r="K102" s="6"/>
      <c r="L102" s="5"/>
      <c r="M102" s="18"/>
      <c r="N102" s="8"/>
      <c r="O102" s="13"/>
      <c r="P102" s="18"/>
      <c r="Q102" s="16"/>
    </row>
    <row r="103" spans="2:17" ht="18" customHeight="1" x14ac:dyDescent="0.15">
      <c r="B103" s="1"/>
      <c r="C103" s="4"/>
      <c r="D103" s="4"/>
      <c r="E103" s="6"/>
      <c r="F103" s="51"/>
      <c r="G103" s="7"/>
      <c r="H103" s="7"/>
      <c r="I103" s="7"/>
      <c r="J103" s="51"/>
      <c r="K103" s="51"/>
      <c r="L103" s="1"/>
      <c r="M103" s="18"/>
      <c r="N103" s="51"/>
      <c r="O103" s="52"/>
      <c r="P103" s="18"/>
      <c r="Q103" s="16"/>
    </row>
    <row r="104" spans="2:17" ht="18" customHeight="1" x14ac:dyDescent="0.15">
      <c r="B104" s="1"/>
      <c r="C104" s="51"/>
      <c r="D104" s="51"/>
      <c r="E104" s="51"/>
      <c r="F104" s="51"/>
      <c r="G104" s="51"/>
      <c r="H104" s="51"/>
      <c r="I104" s="52"/>
      <c r="J104" s="51"/>
      <c r="K104" s="51"/>
      <c r="L104" s="1"/>
      <c r="M104" s="18"/>
      <c r="N104" s="51"/>
      <c r="O104" s="52"/>
      <c r="P104" s="18"/>
      <c r="Q104" s="53"/>
    </row>
    <row r="105" spans="2:17" ht="18" customHeight="1" x14ac:dyDescent="0.15">
      <c r="B105" s="1"/>
      <c r="C105" s="51"/>
      <c r="D105" s="51"/>
      <c r="E105" s="51"/>
      <c r="F105" s="51"/>
      <c r="G105" s="51"/>
      <c r="H105" s="51"/>
      <c r="I105" s="52"/>
      <c r="J105" s="51"/>
      <c r="K105" s="51"/>
      <c r="L105" s="1"/>
      <c r="M105" s="1"/>
      <c r="N105" s="51"/>
      <c r="O105" s="52"/>
      <c r="P105" s="53"/>
      <c r="Q105" s="53"/>
    </row>
    <row r="106" spans="2:17" ht="18" customHeight="1" x14ac:dyDescent="0.15"/>
    <row r="107" spans="2:17" ht="18" customHeight="1" x14ac:dyDescent="0.15"/>
    <row r="108" spans="2:17" ht="18" customHeight="1" x14ac:dyDescent="0.15"/>
    <row r="109" spans="2:17" ht="18" customHeight="1" x14ac:dyDescent="0.15"/>
    <row r="110" spans="2:17" ht="18" customHeight="1" x14ac:dyDescent="0.15"/>
    <row r="111" spans="2:17" ht="18" customHeight="1" x14ac:dyDescent="0.15"/>
    <row r="112" spans="2:17" ht="18" customHeight="1" x14ac:dyDescent="0.15"/>
    <row r="113" spans="2:17" ht="18" customHeight="1" x14ac:dyDescent="0.15"/>
    <row r="114" spans="2:17" s="43" customFormat="1" ht="13.5" customHeight="1" x14ac:dyDescent="0.15">
      <c r="B114" s="37"/>
      <c r="C114" s="38"/>
      <c r="D114" s="38"/>
      <c r="E114" s="39"/>
      <c r="F114" s="40"/>
      <c r="G114" s="40"/>
      <c r="H114" s="40"/>
      <c r="I114" s="41"/>
      <c r="J114" s="42"/>
      <c r="K114" s="39"/>
      <c r="L114" s="37"/>
      <c r="M114" s="37"/>
      <c r="O114" s="44"/>
      <c r="P114" s="45"/>
      <c r="Q114" s="45"/>
    </row>
    <row r="115" spans="2:17" ht="13.5" customHeight="1" x14ac:dyDescent="0.15">
      <c r="B115" s="31"/>
      <c r="C115" s="32"/>
      <c r="D115" s="32"/>
      <c r="E115" s="33"/>
      <c r="F115" s="34"/>
      <c r="G115" s="34"/>
      <c r="H115" s="34"/>
      <c r="I115" s="35"/>
      <c r="J115" s="36"/>
      <c r="K115" s="33"/>
    </row>
    <row r="116" spans="2:17" ht="13.5" customHeight="1" x14ac:dyDescent="0.15">
      <c r="B116" s="4"/>
      <c r="C116" s="4"/>
      <c r="D116" s="4"/>
      <c r="E116" s="6"/>
      <c r="F116" s="7"/>
      <c r="G116" s="7"/>
      <c r="H116" s="7"/>
      <c r="I116" s="14"/>
      <c r="J116" s="5"/>
      <c r="K116" s="6"/>
    </row>
    <row r="117" spans="2:17" ht="13.5" customHeight="1" x14ac:dyDescent="0.15">
      <c r="B117" s="4"/>
      <c r="C117" s="4"/>
      <c r="D117" s="4"/>
      <c r="E117" s="6"/>
      <c r="F117" s="7"/>
      <c r="G117" s="7"/>
      <c r="H117" s="7"/>
      <c r="I117" s="14"/>
      <c r="J117" s="5"/>
      <c r="K117" s="6"/>
    </row>
    <row r="118" spans="2:17" ht="13.5" customHeight="1" x14ac:dyDescent="0.15">
      <c r="B118" s="4"/>
      <c r="C118" s="4"/>
      <c r="D118" s="4"/>
      <c r="E118" s="6"/>
      <c r="F118" s="7"/>
      <c r="G118" s="7"/>
      <c r="H118" s="7"/>
      <c r="I118" s="14"/>
      <c r="J118" s="5"/>
      <c r="K118" s="6"/>
    </row>
  </sheetData>
  <autoFilter ref="B8:O118" xr:uid="{00000000-0009-0000-0000-000000000000}"/>
  <mergeCells count="10">
    <mergeCell ref="B36:E36"/>
    <mergeCell ref="B61:E61"/>
    <mergeCell ref="B74:E74"/>
    <mergeCell ref="B10:E10"/>
    <mergeCell ref="B6:D6"/>
    <mergeCell ref="G2:I2"/>
    <mergeCell ref="B2:D2"/>
    <mergeCell ref="B3:D3"/>
    <mergeCell ref="B4:D4"/>
    <mergeCell ref="B5:D5"/>
  </mergeCells>
  <phoneticPr fontId="12"/>
  <dataValidations count="1">
    <dataValidation allowBlank="1" showInputMessage="1" showErrorMessage="1" sqref="J73:J74 J29:J34 J25:J2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5" defaultRowHeight="13.5" customHeight="1" x14ac:dyDescent="0.15"/>
  <sheetData/>
  <phoneticPr fontId="12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75" defaultRowHeight="13.5" customHeight="1" x14ac:dyDescent="0.15"/>
  <sheetData/>
  <phoneticPr fontId="12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 (2268538)③　20251008</vt:lpstr>
      <vt:lpstr>Sheet1</vt:lpstr>
      <vt:lpstr>Sheet2</vt:lpstr>
      <vt:lpstr>Sheet3</vt:lpstr>
      <vt:lpstr>Sheet1!_FilterDatabase</vt:lpstr>
      <vt:lpstr>' (2268538)③　20251008'!Print_Area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2025-11-12T08:47:06Z</dcterms:modified>
</cp:coreProperties>
</file>