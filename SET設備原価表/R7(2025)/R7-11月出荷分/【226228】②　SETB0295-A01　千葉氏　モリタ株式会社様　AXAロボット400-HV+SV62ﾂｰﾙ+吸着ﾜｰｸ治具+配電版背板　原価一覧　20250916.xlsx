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6D9E986-A398-458F-91D9-BC86C0F65B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(226228)  ②20250916 見積発注依頼" sheetId="18" r:id="rId1"/>
    <sheet name="Sheet1" sheetId="1" r:id="rId2"/>
    <sheet name="Sheet2" sheetId="2" r:id="rId3"/>
    <sheet name="Sheet3" sheetId="3" r:id="rId4"/>
  </sheets>
  <definedNames>
    <definedName name="_xlnm._FilterDatabase" localSheetId="0" hidden="1">'(226228)  ②20250916 見積発注依頼'!$C$8:$P$96</definedName>
    <definedName name="_xlnm._FilterDatabase" localSheetId="1">Sheet1!$B$8:$O$8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8" l="1"/>
  <c r="I19" i="18"/>
  <c r="I92" i="18" l="1"/>
  <c r="I91" i="18"/>
  <c r="I90" i="18"/>
  <c r="I18" i="18"/>
  <c r="I12" i="18"/>
  <c r="I11" i="18"/>
  <c r="F14" i="18" s="1"/>
  <c r="C12" i="18"/>
  <c r="F22" i="18" l="1"/>
  <c r="C18" i="18"/>
  <c r="K2" i="18"/>
  <c r="C19" i="18" l="1"/>
  <c r="C20" i="18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<sst xmlns="http://schemas.openxmlformats.org/spreadsheetml/2006/main" count="348" uniqueCount="160">
  <si>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</si>
  <si>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</si>
  <si>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</si>
  <si>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</si>
  <si>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</si>
  <si>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</si>
  <si>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</si>
  <si>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</si>
  <si>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</si>
  <si>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</si>
  <si>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</si>
  <si>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</si>
  <si>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</si>
  <si>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</si>
  <si>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</si>
  <si>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</si>
  <si>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</si>
  <si>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</si>
  <si>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</si>
  <si>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</si>
  <si>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</si>
  <si>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</si>
  <si>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</si>
  <si>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</si>
  <si>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</si>
  <si>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</si>
  <si>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</si>
  <si>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</si>
  <si>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</si>
  <si>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</si>
  <si>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</si>
  <si>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</si>
  <si>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</si>
  <si>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</si>
  <si>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</si>
  <si>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</si>
  <si>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</si>
  <si>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</si>
  <si>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</si>
  <si>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</si>
  <si>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</si>
  <si>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</si>
  <si>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</si>
  <si>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</si>
  <si>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</si>
  <si>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</si>
  <si>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</si>
  <si>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</si>
  <si>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</si>
  <si>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</si>
  <si>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</si>
  <si>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</si>
  <si>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</si>
  <si>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</si>
  <si>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</si>
  <si>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</si>
  <si>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</si>
  <si>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</si>
  <si>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</si>
  <si>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</si>
  <si>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</si>
  <si>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</si>
  <si>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</si>
  <si>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</si>
  <si>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</si>
  <si>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</si>
  <si>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</si>
  <si>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</si>
  <si>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</si>
  <si>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</si>
  <si>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</si>
  <si>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</si>
  <si>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</si>
  <si>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</si>
  <si>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</si>
  <si>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</si>
  <si>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</si>
  <si>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</si>
  <si>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</si>
  <si>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</si>
  <si>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</si>
  <si>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</si>
  <si>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</si>
  <si>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</si>
  <si>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</si>
  <si>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</si>
  <si>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</si>
  <si>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</si>
  <si>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</si>
  <si>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</si>
  <si>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</si>
  <si>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</si>
  <si>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</si>
  <si>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</si>
  <si>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</si>
  <si>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</si>
  <si>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</si>
  <si>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</si>
  <si>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</si>
  <si>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</si>
  <si>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</si>
  <si>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</si>
  <si>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</si>
  <si>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</si>
  <si>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</si>
  <si>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</si>
  <si>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</si>
  <si>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</si>
  <si>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</si>
  <si>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</si>
  <si>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</si>
  <si>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</si>
  <si>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</si>
  <si>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</si>
  <si>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</si>
  <si>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</si>
  <si>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</si>
  <si>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</si>
  <si>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</si>
  <si>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</si>
  <si>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</si>
  <si>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</si>
  <si>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</si>
  <si>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</si>
  <si>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</si>
  <si>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</si>
  <si>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</si>
  <si>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</si>
  <si>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</si>
  <si>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</si>
  <si>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</si>
  <si>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</si>
  <si>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</si>
  <si>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</si>
  <si>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モリタ株式会社 (株式会社ﾛﾎﾞｯﾄｼｽﾃﾑｽﾞ)</t>
    <rPh sb="9" eb="13">
      <t>カブシキガイシャ</t>
    </rPh>
    <phoneticPr fontId="13"/>
  </si>
  <si>
    <t>千葉</t>
    <rPh sb="0" eb="2">
      <t>チバ</t>
    </rPh>
    <phoneticPr fontId="13"/>
  </si>
  <si>
    <t>Ｎo.226228</t>
    <phoneticPr fontId="13"/>
  </si>
  <si>
    <t>８日目</t>
    <rPh sb="1" eb="2">
      <t>ヒ</t>
    </rPh>
    <rPh sb="2" eb="3">
      <t>メ</t>
    </rPh>
    <phoneticPr fontId="13"/>
  </si>
  <si>
    <t>配電盤　ﾛﾎﾞｯﾄ背面ﾀｲﾌﾟ</t>
    <rPh sb="0" eb="2">
      <t>ハイデン</t>
    </rPh>
    <rPh sb="2" eb="3">
      <t>バン</t>
    </rPh>
    <rPh sb="9" eb="11">
      <t>ハイメン</t>
    </rPh>
    <phoneticPr fontId="13"/>
  </si>
  <si>
    <t>SMC</t>
  </si>
  <si>
    <t>制御機材</t>
    <rPh sb="0" eb="1">
      <t>セイ</t>
    </rPh>
    <rPh sb="1" eb="2">
      <t>オ</t>
    </rPh>
    <rPh sb="2" eb="4">
      <t>キザイ</t>
    </rPh>
    <phoneticPr fontId="14"/>
  </si>
  <si>
    <t>AW10-M5BG-A</t>
    <phoneticPr fontId="14"/>
  </si>
  <si>
    <t>フィルタレギュレータ</t>
    <phoneticPr fontId="14"/>
  </si>
  <si>
    <t>SMC</t>
    <phoneticPr fontId="14"/>
  </si>
  <si>
    <t>制御機材</t>
    <rPh sb="0" eb="4">
      <t>セイギョキザイ</t>
    </rPh>
    <phoneticPr fontId="14"/>
  </si>
  <si>
    <t>ZK2_A - エジェクタシステム真空ユニット/マニホールド用</t>
    <phoneticPr fontId="14"/>
  </si>
  <si>
    <t>*ZK2C10K5BLA-06</t>
    <phoneticPr fontId="14"/>
  </si>
  <si>
    <t>浸け置き捨て射ち治具</t>
    <rPh sb="0" eb="1">
      <t>ツ</t>
    </rPh>
    <rPh sb="2" eb="3">
      <t>オ</t>
    </rPh>
    <rPh sb="4" eb="5">
      <t>ス</t>
    </rPh>
    <rPh sb="6" eb="7">
      <t>ウ</t>
    </rPh>
    <rPh sb="8" eb="10">
      <t>ジグ</t>
    </rPh>
    <phoneticPr fontId="13"/>
  </si>
  <si>
    <t>アズワン</t>
    <phoneticPr fontId="14"/>
  </si>
  <si>
    <t>石鍋</t>
    <rPh sb="0" eb="2">
      <t>イシナベ</t>
    </rPh>
    <phoneticPr fontId="14"/>
  </si>
  <si>
    <t xml:space="preserve">5-079-04　  </t>
    <phoneticPr fontId="14"/>
  </si>
  <si>
    <t>ﾐﾆｶｯﾌﾟ（30cc）　NO.30</t>
    <phoneticPr fontId="14"/>
  </si>
  <si>
    <t>送料</t>
    <phoneticPr fontId="14"/>
  </si>
  <si>
    <t>1日目</t>
    <rPh sb="1" eb="2">
      <t>ヒ</t>
    </rPh>
    <rPh sb="2" eb="3">
      <t>メ</t>
    </rPh>
    <phoneticPr fontId="13"/>
  </si>
  <si>
    <t>前回　見積もりNO.　368357-1</t>
    <rPh sb="0" eb="2">
      <t>ゼンカイ</t>
    </rPh>
    <rPh sb="3" eb="5">
      <t>ミツ</t>
    </rPh>
    <phoneticPr fontId="13"/>
  </si>
  <si>
    <t>前回見積もり　22-25-00980A</t>
    <rPh sb="0" eb="2">
      <t>ゼンカイ</t>
    </rPh>
    <rPh sb="2" eb="4">
      <t>ミツ</t>
    </rPh>
    <phoneticPr fontId="13"/>
  </si>
  <si>
    <t>②</t>
    <phoneticPr fontId="13"/>
  </si>
  <si>
    <t>機材着の為、かかりません</t>
    <rPh sb="0" eb="2">
      <t>キザイ</t>
    </rPh>
    <rPh sb="2" eb="3">
      <t>チャク</t>
    </rPh>
    <rPh sb="4" eb="5">
      <t>タメ</t>
    </rPh>
    <phoneticPr fontId="13"/>
  </si>
  <si>
    <r>
      <t>ZZK20</t>
    </r>
    <r>
      <rPr>
        <b/>
        <sz val="12"/>
        <color rgb="FFFF0000"/>
        <rFont val="ＭＳ Ｐゴシック"/>
        <family val="3"/>
        <charset val="128"/>
      </rPr>
      <t>2</t>
    </r>
    <r>
      <rPr>
        <b/>
        <sz val="12"/>
        <color indexed="30"/>
        <rFont val="ＭＳ Ｐゴシック"/>
        <family val="3"/>
        <charset val="128"/>
      </rPr>
      <t>A-A1L-B</t>
    </r>
    <phoneticPr fontId="14"/>
  </si>
  <si>
    <t>前回　22-25-01137A</t>
    <rPh sb="0" eb="2">
      <t>ゼンカイ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</si>
</sst>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_ "/>
  </numFmts>
  <fonts count="2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2"/>
      <color indexed="3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20" fillId="10" borderId="9" xfId="0" applyFont="1" applyFill="1" applyBorder="1" applyAlignment="1">
      <alignment horizontal="left" vertical="center"/>
    </xf>
    <xf numFmtId="0" fontId="0" fillId="10" borderId="9" xfId="0" applyFill="1" applyBorder="1" applyAlignment="1">
      <alignment horizontal="right" vertical="center"/>
    </xf>
    <xf numFmtId="176" fontId="0" fillId="10" borderId="9" xfId="0" applyNumberFormat="1" applyFill="1" applyBorder="1" applyAlignment="1">
      <alignment horizontal="right" vertical="center"/>
    </xf>
    <xf numFmtId="0" fontId="21" fillId="10" borderId="9" xfId="0" applyFont="1" applyFill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176" fontId="0" fillId="10" borderId="9" xfId="0" applyNumberFormat="1" applyFill="1" applyBorder="1" applyAlignment="1">
      <alignment horizontal="right"/>
    </xf>
    <xf numFmtId="3" fontId="22" fillId="10" borderId="9" xfId="0" applyNumberFormat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49" fontId="20" fillId="0" borderId="9" xfId="0" applyNumberFormat="1" applyFont="1" applyBorder="1" applyAlignment="1">
      <alignment horizontal="left" vertical="center"/>
    </xf>
    <xf numFmtId="3" fontId="20" fillId="10" borderId="9" xfId="0" applyNumberFormat="1" applyFont="1" applyFill="1" applyBorder="1" applyAlignment="1">
      <alignment horizontal="center" vertical="center"/>
    </xf>
    <xf numFmtId="49" fontId="20" fillId="10" borderId="9" xfId="0" applyNumberFormat="1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center" vertical="center"/>
    </xf>
    <xf numFmtId="180" fontId="20" fillId="10" borderId="9" xfId="0" applyNumberFormat="1" applyFont="1" applyFill="1" applyBorder="1" applyAlignment="1">
      <alignment horizontal="center" vertical="center"/>
    </xf>
    <xf numFmtId="38" fontId="20" fillId="10" borderId="9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1" fontId="20" fillId="10" borderId="9" xfId="0" applyNumberFormat="1" applyFont="1" applyFill="1" applyBorder="1">
      <alignment vertical="center"/>
    </xf>
    <xf numFmtId="0" fontId="20" fillId="0" borderId="10" xfId="0" applyFont="1" applyBorder="1" applyAlignment="1">
      <alignment horizontal="left" vertical="center"/>
    </xf>
    <xf numFmtId="0" fontId="12" fillId="11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176" fontId="0" fillId="12" borderId="9" xfId="0" applyNumberFormat="1" applyFill="1" applyBorder="1" applyAlignment="1">
      <alignment horizontal="right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1545-9008-427F-A818-9B9EE81CD37B}">
  <sheetPr>
    <tabColor theme="9" tint="0.59999389629810485"/>
  </sheetPr>
  <dimension ref="A2:R96"/>
  <sheetViews>
    <sheetView tabSelected="1" zoomScale="70" zoomScaleNormal="70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R19" sqref="R19:R20"/>
    </sheetView>
  </sheetViews>
  <sheetFormatPr defaultColWidth="11.75" defaultRowHeight="13.5" customHeight="1" x14ac:dyDescent="0.15"/>
  <cols>
    <col min="1" max="1" width="11.25" customWidth="1"/>
    <col min="2" max="2" width="9.5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46.62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82" customWidth="1"/>
    <col min="18" max="18" width="19.375" style="82" customWidth="1"/>
  </cols>
  <sheetData>
    <row r="2" spans="1:18" ht="20.100000000000001" customHeight="1" x14ac:dyDescent="0.15">
      <c r="C2" s="120" t="s">
        <v>0</v>
      </c>
      <c r="D2" s="120"/>
      <c r="E2" s="120"/>
      <c r="F2" s="80" t="s">
        <v>134</v>
      </c>
      <c r="H2" s="124" t="s">
        <v>2</v>
      </c>
      <c r="I2" s="125"/>
      <c r="J2" s="126"/>
      <c r="K2" s="11">
        <f>SUM(I:I)</f>
        <v>54530</v>
      </c>
    </row>
    <row r="3" spans="1:18" ht="20.100000000000001" customHeight="1" x14ac:dyDescent="0.15">
      <c r="C3" s="120" t="s">
        <v>3</v>
      </c>
      <c r="D3" s="120"/>
      <c r="E3" s="120"/>
      <c r="F3" s="9" t="s">
        <v>135</v>
      </c>
    </row>
    <row r="4" spans="1:18" ht="20.100000000000001" customHeight="1" x14ac:dyDescent="0.15">
      <c r="C4" s="120" t="s">
        <v>5</v>
      </c>
      <c r="D4" s="120"/>
      <c r="E4" s="120"/>
      <c r="F4" s="9" t="s">
        <v>136</v>
      </c>
      <c r="H4" s="127" t="s">
        <v>156</v>
      </c>
      <c r="I4" s="128"/>
      <c r="J4" s="131"/>
      <c r="K4" s="131"/>
      <c r="L4" s="131"/>
    </row>
    <row r="5" spans="1:18" ht="20.100000000000001" customHeight="1" x14ac:dyDescent="0.15">
      <c r="C5" s="120" t="s">
        <v>6</v>
      </c>
      <c r="D5" s="120"/>
      <c r="E5" s="120"/>
      <c r="F5" s="10">
        <v>45931</v>
      </c>
      <c r="H5" s="129"/>
      <c r="I5" s="130"/>
      <c r="J5" s="131"/>
      <c r="K5" s="131"/>
      <c r="L5" s="131"/>
    </row>
    <row r="6" spans="1:18" ht="20.100000000000001" customHeight="1" x14ac:dyDescent="0.15">
      <c r="C6" s="120" t="s">
        <v>7</v>
      </c>
      <c r="D6" s="120"/>
      <c r="E6" s="120"/>
      <c r="F6" s="10">
        <v>45932</v>
      </c>
      <c r="I6" s="83"/>
    </row>
    <row r="8" spans="1:18" s="3" customFormat="1" ht="19.5" customHeight="1" x14ac:dyDescent="0.15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1:18" s="3" customFormat="1" ht="19.5" customHeight="1" x14ac:dyDescent="0.15">
      <c r="C9" s="81"/>
      <c r="D9" s="81"/>
      <c r="E9" s="81"/>
      <c r="F9" s="84"/>
      <c r="G9" s="89"/>
      <c r="H9" s="49"/>
      <c r="I9" s="49"/>
      <c r="J9" s="48"/>
      <c r="K9" s="50"/>
      <c r="L9" s="1"/>
      <c r="M9" s="1"/>
      <c r="N9" s="18"/>
      <c r="O9" s="4"/>
      <c r="P9" s="1"/>
      <c r="Q9" s="18"/>
      <c r="R9" s="8"/>
    </row>
    <row r="10" spans="1:18" s="3" customFormat="1" ht="19.5" customHeight="1" x14ac:dyDescent="0.15">
      <c r="C10" s="121" t="s">
        <v>147</v>
      </c>
      <c r="D10" s="122"/>
      <c r="E10" s="122"/>
      <c r="F10" s="123"/>
      <c r="G10" s="89"/>
      <c r="H10" s="49"/>
      <c r="I10" s="49"/>
      <c r="J10" s="48"/>
      <c r="K10" s="50"/>
      <c r="L10" s="1"/>
      <c r="M10" s="1"/>
      <c r="N10" s="18"/>
      <c r="O10" s="4"/>
      <c r="P10" s="1"/>
      <c r="Q10" s="18"/>
      <c r="R10" s="8"/>
    </row>
    <row r="11" spans="1:18" s="3" customFormat="1" ht="19.5" customHeight="1" x14ac:dyDescent="0.15">
      <c r="A11" s="90" t="s">
        <v>137</v>
      </c>
      <c r="C11" s="87">
        <v>1</v>
      </c>
      <c r="D11" s="104" t="s">
        <v>148</v>
      </c>
      <c r="E11" s="104" t="s">
        <v>149</v>
      </c>
      <c r="F11" s="105" t="s">
        <v>150</v>
      </c>
      <c r="G11" s="106">
        <v>1</v>
      </c>
      <c r="H11" s="107">
        <v>2240</v>
      </c>
      <c r="I11" s="108">
        <f t="shared" ref="I11:I12" si="0">G11*H11</f>
        <v>2240</v>
      </c>
      <c r="J11" s="109"/>
      <c r="K11" s="103" t="s">
        <v>151</v>
      </c>
      <c r="L11" s="113" t="s">
        <v>154</v>
      </c>
      <c r="M11" s="1"/>
      <c r="N11" s="18">
        <v>45918</v>
      </c>
      <c r="O11" s="4"/>
      <c r="P11" s="115">
        <v>45929</v>
      </c>
      <c r="Q11" s="18">
        <v>45925</v>
      </c>
      <c r="R11" s="16">
        <v>45925</v>
      </c>
    </row>
    <row r="12" spans="1:18" s="3" customFormat="1" ht="19.5" customHeight="1" x14ac:dyDescent="0.15">
      <c r="C12" s="87">
        <f t="shared" ref="C12" si="1">C11+1</f>
        <v>2</v>
      </c>
      <c r="D12" s="104" t="s">
        <v>148</v>
      </c>
      <c r="E12" s="104" t="s">
        <v>149</v>
      </c>
      <c r="F12" s="105" t="s">
        <v>152</v>
      </c>
      <c r="G12" s="110">
        <v>1</v>
      </c>
      <c r="H12" s="107">
        <v>0</v>
      </c>
      <c r="I12" s="108">
        <f t="shared" si="0"/>
        <v>0</v>
      </c>
      <c r="J12" s="111"/>
      <c r="K12" s="114" t="s">
        <v>157</v>
      </c>
      <c r="L12" s="113" t="s">
        <v>154</v>
      </c>
      <c r="M12" s="1"/>
      <c r="N12" s="18"/>
      <c r="O12" s="4"/>
      <c r="P12" s="1"/>
      <c r="Q12" s="18"/>
      <c r="R12" s="16"/>
    </row>
    <row r="13" spans="1:18" s="3" customFormat="1" ht="19.5" customHeight="1" x14ac:dyDescent="0.15">
      <c r="C13" s="81"/>
      <c r="D13" s="81"/>
      <c r="E13" s="81"/>
      <c r="F13" s="84"/>
      <c r="G13" s="89"/>
      <c r="H13" s="49"/>
      <c r="I13" s="49"/>
      <c r="J13" s="48"/>
      <c r="K13" s="50"/>
      <c r="L13" s="1"/>
      <c r="M13" s="1"/>
      <c r="N13" s="18"/>
      <c r="O13" s="4"/>
      <c r="P13" s="1"/>
      <c r="Q13" s="18"/>
      <c r="R13" s="16"/>
    </row>
    <row r="14" spans="1:18" s="3" customFormat="1" ht="19.5" customHeight="1" x14ac:dyDescent="0.15">
      <c r="C14" s="81"/>
      <c r="D14" s="81"/>
      <c r="E14" s="81"/>
      <c r="F14" s="88">
        <f>SUM(I11:I13)</f>
        <v>2240</v>
      </c>
      <c r="G14" s="89"/>
      <c r="H14" s="49"/>
      <c r="I14" s="49"/>
      <c r="J14" s="48"/>
      <c r="K14" s="50"/>
      <c r="L14" s="1"/>
      <c r="M14" s="1"/>
      <c r="N14" s="18"/>
      <c r="O14" s="4"/>
      <c r="P14" s="1"/>
      <c r="Q14" s="18"/>
      <c r="R14" s="16"/>
    </row>
    <row r="15" spans="1:18" s="3" customFormat="1" ht="19.5" customHeight="1" x14ac:dyDescent="0.15">
      <c r="C15" s="81"/>
      <c r="D15" s="81"/>
      <c r="E15" s="81"/>
      <c r="F15" s="84"/>
      <c r="G15" s="89"/>
      <c r="H15" s="49"/>
      <c r="I15" s="49"/>
      <c r="J15" s="48"/>
      <c r="K15" s="50"/>
      <c r="L15" s="1"/>
      <c r="M15" s="1"/>
      <c r="N15" s="18"/>
      <c r="O15" s="4"/>
      <c r="P15" s="1"/>
      <c r="Q15" s="18"/>
      <c r="R15" s="16"/>
    </row>
    <row r="16" spans="1:18" s="3" customFormat="1" ht="19.5" customHeight="1" x14ac:dyDescent="0.15">
      <c r="C16" s="81"/>
      <c r="D16" s="81"/>
      <c r="E16" s="81"/>
      <c r="F16" s="84"/>
      <c r="G16" s="89"/>
      <c r="H16" s="49"/>
      <c r="I16" s="49"/>
      <c r="J16" s="48"/>
      <c r="K16" s="50"/>
      <c r="L16" s="1"/>
      <c r="M16" s="1"/>
      <c r="N16" s="18"/>
      <c r="O16" s="4"/>
      <c r="P16" s="1"/>
      <c r="Q16" s="18"/>
      <c r="R16" s="16"/>
    </row>
    <row r="17" spans="1:18" s="3" customFormat="1" ht="19.5" customHeight="1" x14ac:dyDescent="0.15">
      <c r="C17" s="121" t="s">
        <v>138</v>
      </c>
      <c r="D17" s="122"/>
      <c r="E17" s="122"/>
      <c r="F17" s="123"/>
      <c r="G17" s="89"/>
      <c r="H17" s="49"/>
      <c r="I17" s="49"/>
      <c r="J17" s="48"/>
      <c r="K17" s="50"/>
      <c r="L17" s="1"/>
      <c r="M17" s="1"/>
      <c r="N17" s="18"/>
      <c r="O17" s="4"/>
      <c r="P17" s="1"/>
      <c r="Q17" s="18"/>
      <c r="R17" s="16"/>
    </row>
    <row r="18" spans="1:18" s="3" customFormat="1" ht="19.5" customHeight="1" x14ac:dyDescent="0.15">
      <c r="A18" s="112" t="s">
        <v>153</v>
      </c>
      <c r="C18" s="87">
        <f>C12+1</f>
        <v>3</v>
      </c>
      <c r="D18" s="92" t="s">
        <v>139</v>
      </c>
      <c r="E18" s="92" t="s">
        <v>140</v>
      </c>
      <c r="F18" s="93" t="s">
        <v>141</v>
      </c>
      <c r="G18" s="92">
        <v>1</v>
      </c>
      <c r="H18" s="94">
        <v>3350</v>
      </c>
      <c r="I18" s="95">
        <f t="shared" ref="I18:I20" si="2">G18*H18</f>
        <v>3350</v>
      </c>
      <c r="J18" s="91"/>
      <c r="K18" s="101" t="s">
        <v>142</v>
      </c>
      <c r="L18" s="113" t="s">
        <v>155</v>
      </c>
      <c r="M18" s="1"/>
      <c r="N18" s="18">
        <v>45922</v>
      </c>
      <c r="O18" s="4"/>
      <c r="P18" s="115">
        <v>45939</v>
      </c>
      <c r="Q18" s="18">
        <v>45940</v>
      </c>
      <c r="R18" s="16">
        <v>45939</v>
      </c>
    </row>
    <row r="19" spans="1:18" s="3" customFormat="1" ht="19.5" customHeight="1" x14ac:dyDescent="0.15">
      <c r="A19" s="112" t="s">
        <v>153</v>
      </c>
      <c r="C19" s="87">
        <f>C18+1</f>
        <v>4</v>
      </c>
      <c r="D19" s="96" t="s">
        <v>143</v>
      </c>
      <c r="E19" s="97" t="s">
        <v>144</v>
      </c>
      <c r="F19" s="99" t="s">
        <v>158</v>
      </c>
      <c r="G19" s="92">
        <v>1</v>
      </c>
      <c r="H19" s="116">
        <v>5900</v>
      </c>
      <c r="I19" s="98">
        <f t="shared" si="2"/>
        <v>5900</v>
      </c>
      <c r="J19" s="91"/>
      <c r="K19" s="102" t="s">
        <v>145</v>
      </c>
      <c r="L19" s="100" t="s">
        <v>159</v>
      </c>
      <c r="M19" s="1"/>
      <c r="N19" s="18">
        <v>45922</v>
      </c>
      <c r="O19" s="4"/>
      <c r="P19" s="115">
        <v>45939</v>
      </c>
      <c r="Q19" s="18">
        <v>45944</v>
      </c>
      <c r="R19" s="16">
        <v>45939</v>
      </c>
    </row>
    <row r="20" spans="1:18" s="3" customFormat="1" ht="19.5" customHeight="1" x14ac:dyDescent="0.15">
      <c r="A20" s="112" t="s">
        <v>153</v>
      </c>
      <c r="C20" s="87">
        <f t="shared" ref="C20" si="3">C19+1</f>
        <v>5</v>
      </c>
      <c r="D20" s="96" t="s">
        <v>143</v>
      </c>
      <c r="E20" s="97" t="s">
        <v>144</v>
      </c>
      <c r="F20" s="99" t="s">
        <v>146</v>
      </c>
      <c r="G20" s="92">
        <v>2</v>
      </c>
      <c r="H20" s="116">
        <v>21520</v>
      </c>
      <c r="I20" s="98">
        <f t="shared" si="2"/>
        <v>43040</v>
      </c>
      <c r="J20" s="91"/>
      <c r="K20" s="102" t="s">
        <v>145</v>
      </c>
      <c r="L20" s="100" t="s">
        <v>159</v>
      </c>
      <c r="M20" s="1"/>
      <c r="N20" s="18">
        <v>45922</v>
      </c>
      <c r="O20" s="4"/>
      <c r="P20" s="115">
        <v>45939</v>
      </c>
      <c r="Q20" s="18">
        <v>45944</v>
      </c>
      <c r="R20" s="16">
        <v>45939</v>
      </c>
    </row>
    <row r="21" spans="1:18" s="3" customFormat="1" ht="19.5" customHeight="1" x14ac:dyDescent="0.15">
      <c r="C21" s="81"/>
      <c r="D21" s="81"/>
      <c r="E21" s="81"/>
      <c r="F21" s="84"/>
      <c r="G21" s="89"/>
      <c r="H21" s="49"/>
      <c r="I21" s="49"/>
      <c r="J21" s="48"/>
      <c r="K21" s="50"/>
      <c r="L21" s="1"/>
      <c r="M21" s="1"/>
      <c r="N21" s="18"/>
      <c r="O21" s="4"/>
      <c r="P21" s="1"/>
      <c r="Q21" s="18"/>
      <c r="R21" s="16"/>
    </row>
    <row r="22" spans="1:18" s="3" customFormat="1" ht="19.5" customHeight="1" x14ac:dyDescent="0.15">
      <c r="C22" s="81"/>
      <c r="D22" s="81"/>
      <c r="E22" s="81"/>
      <c r="F22" s="88">
        <f>SUM(I18:I21)</f>
        <v>52290</v>
      </c>
      <c r="G22" s="89"/>
      <c r="H22" s="49"/>
      <c r="I22" s="49"/>
      <c r="J22" s="48"/>
      <c r="K22" s="50"/>
      <c r="L22" s="1"/>
      <c r="M22" s="1"/>
      <c r="N22" s="18"/>
      <c r="O22" s="4"/>
      <c r="P22" s="1"/>
      <c r="Q22" s="18"/>
      <c r="R22" s="8"/>
    </row>
    <row r="23" spans="1:18" s="3" customFormat="1" ht="19.5" customHeight="1" x14ac:dyDescent="0.15">
      <c r="C23" s="81"/>
      <c r="D23" s="81"/>
      <c r="E23" s="81"/>
      <c r="F23" s="84"/>
      <c r="G23" s="89"/>
      <c r="H23" s="49"/>
      <c r="I23" s="49"/>
      <c r="J23" s="48"/>
      <c r="K23" s="50"/>
      <c r="L23" s="1"/>
      <c r="M23" s="1"/>
      <c r="N23" s="18"/>
      <c r="O23" s="4"/>
      <c r="P23" s="1"/>
      <c r="Q23" s="18"/>
      <c r="R23" s="8"/>
    </row>
    <row r="24" spans="1:18" s="3" customFormat="1" ht="19.5" customHeight="1" x14ac:dyDescent="0.15">
      <c r="C24" s="81"/>
      <c r="D24" s="81"/>
      <c r="E24" s="81"/>
      <c r="F24" s="84"/>
      <c r="G24" s="89"/>
      <c r="H24" s="49"/>
      <c r="I24" s="49"/>
      <c r="J24" s="48"/>
      <c r="K24" s="50"/>
      <c r="L24" s="1"/>
      <c r="M24" s="1"/>
      <c r="N24" s="18"/>
      <c r="O24" s="4"/>
      <c r="P24" s="1"/>
      <c r="Q24" s="18"/>
      <c r="R24" s="8"/>
    </row>
    <row r="25" spans="1:18" s="3" customFormat="1" ht="19.5" customHeight="1" x14ac:dyDescent="0.15">
      <c r="C25" s="81"/>
      <c r="D25" s="81"/>
      <c r="E25" s="81"/>
      <c r="F25" s="84"/>
      <c r="G25" s="89"/>
      <c r="H25" s="49"/>
      <c r="I25" s="49"/>
      <c r="J25" s="48"/>
      <c r="K25" s="50"/>
      <c r="L25" s="1"/>
      <c r="M25" s="1"/>
      <c r="N25" s="18"/>
      <c r="O25" s="4"/>
      <c r="P25" s="1"/>
      <c r="Q25" s="18"/>
      <c r="R25" s="8"/>
    </row>
    <row r="26" spans="1:18" s="3" customFormat="1" ht="19.5" customHeight="1" x14ac:dyDescent="0.15">
      <c r="C26" s="81"/>
      <c r="D26" s="81"/>
      <c r="E26" s="81"/>
      <c r="F26" s="84"/>
      <c r="G26" s="89"/>
      <c r="H26" s="49"/>
      <c r="I26" s="49"/>
      <c r="J26" s="48"/>
      <c r="K26" s="50"/>
      <c r="L26" s="1"/>
      <c r="M26" s="1"/>
      <c r="N26" s="18"/>
      <c r="O26" s="4"/>
      <c r="P26" s="1"/>
      <c r="Q26" s="18"/>
      <c r="R26" s="8"/>
    </row>
    <row r="27" spans="1:18" s="3" customFormat="1" ht="19.5" customHeight="1" x14ac:dyDescent="0.15">
      <c r="C27" s="81"/>
      <c r="D27" s="81"/>
      <c r="E27" s="81"/>
      <c r="F27" s="84"/>
      <c r="G27" s="89"/>
      <c r="H27" s="49"/>
      <c r="I27" s="49"/>
      <c r="J27" s="48"/>
      <c r="K27" s="50"/>
      <c r="L27" s="1"/>
      <c r="M27" s="1"/>
      <c r="N27" s="18"/>
      <c r="O27" s="4"/>
      <c r="P27" s="1"/>
      <c r="Q27" s="18"/>
      <c r="R27" s="8"/>
    </row>
    <row r="28" spans="1:18" s="3" customFormat="1" ht="19.5" customHeight="1" x14ac:dyDescent="0.15">
      <c r="C28" s="81"/>
      <c r="D28" s="81"/>
      <c r="E28" s="81"/>
      <c r="F28" s="84"/>
      <c r="G28" s="89"/>
      <c r="H28" s="49"/>
      <c r="I28" s="49"/>
      <c r="J28" s="48"/>
      <c r="K28" s="50"/>
      <c r="L28" s="1"/>
      <c r="M28" s="1"/>
      <c r="N28" s="18"/>
      <c r="O28" s="4"/>
      <c r="P28" s="1"/>
      <c r="Q28" s="18"/>
      <c r="R28" s="8"/>
    </row>
    <row r="29" spans="1:18" s="3" customFormat="1" ht="19.5" customHeight="1" x14ac:dyDescent="0.15">
      <c r="C29" s="81"/>
      <c r="D29" s="81"/>
      <c r="E29" s="81"/>
      <c r="F29" s="84"/>
      <c r="G29" s="89"/>
      <c r="H29" s="49"/>
      <c r="I29" s="49"/>
      <c r="J29" s="48"/>
      <c r="K29" s="50"/>
      <c r="L29" s="1"/>
      <c r="M29" s="1"/>
      <c r="N29" s="18"/>
      <c r="O29" s="4"/>
      <c r="P29" s="1"/>
      <c r="Q29" s="18"/>
      <c r="R29" s="8"/>
    </row>
    <row r="30" spans="1:18" s="3" customFormat="1" ht="19.5" customHeight="1" x14ac:dyDescent="0.15">
      <c r="C30" s="81"/>
      <c r="D30" s="81"/>
      <c r="E30" s="81"/>
      <c r="F30" s="84"/>
      <c r="G30" s="89"/>
      <c r="H30" s="49"/>
      <c r="I30" s="49"/>
      <c r="J30" s="48"/>
      <c r="K30" s="50"/>
      <c r="L30" s="1"/>
      <c r="M30" s="1"/>
      <c r="N30" s="18"/>
      <c r="O30" s="4"/>
      <c r="P30" s="1"/>
      <c r="Q30" s="18"/>
      <c r="R30" s="8"/>
    </row>
    <row r="31" spans="1:18" s="3" customFormat="1" ht="19.5" customHeight="1" x14ac:dyDescent="0.15">
      <c r="C31" s="81"/>
      <c r="D31" s="81"/>
      <c r="E31" s="81"/>
      <c r="F31" s="84"/>
      <c r="G31" s="89"/>
      <c r="H31" s="49"/>
      <c r="I31" s="49"/>
      <c r="J31" s="48"/>
      <c r="K31" s="50"/>
      <c r="L31" s="1"/>
      <c r="M31" s="1"/>
      <c r="N31" s="18"/>
      <c r="O31" s="4"/>
      <c r="P31" s="1"/>
      <c r="Q31" s="18"/>
      <c r="R31" s="8"/>
    </row>
    <row r="32" spans="1:18" s="3" customFormat="1" ht="19.5" customHeight="1" x14ac:dyDescent="0.15">
      <c r="C32" s="81"/>
      <c r="D32" s="81"/>
      <c r="E32" s="81"/>
      <c r="F32" s="84"/>
      <c r="G32" s="89"/>
      <c r="H32" s="49"/>
      <c r="I32" s="49"/>
      <c r="J32" s="48"/>
      <c r="K32" s="50"/>
      <c r="L32" s="1"/>
      <c r="M32" s="1"/>
      <c r="N32" s="18"/>
      <c r="O32" s="4"/>
      <c r="P32" s="1"/>
      <c r="Q32" s="18"/>
      <c r="R32" s="8"/>
    </row>
    <row r="33" spans="3:18" s="3" customFormat="1" ht="19.5" customHeight="1" x14ac:dyDescent="0.15">
      <c r="C33" s="81"/>
      <c r="D33" s="81"/>
      <c r="E33" s="81"/>
      <c r="F33" s="84"/>
      <c r="G33" s="89"/>
      <c r="H33" s="49"/>
      <c r="I33" s="49"/>
      <c r="J33" s="48"/>
      <c r="K33" s="50"/>
      <c r="L33" s="1"/>
      <c r="M33" s="1"/>
      <c r="N33" s="18"/>
      <c r="O33" s="4"/>
      <c r="P33" s="1"/>
      <c r="Q33" s="18"/>
      <c r="R33" s="8"/>
    </row>
    <row r="34" spans="3:18" s="3" customFormat="1" ht="19.5" customHeight="1" x14ac:dyDescent="0.15">
      <c r="C34" s="81"/>
      <c r="D34" s="81"/>
      <c r="E34" s="81"/>
      <c r="F34" s="84"/>
      <c r="G34" s="89"/>
      <c r="H34" s="49"/>
      <c r="I34" s="49"/>
      <c r="J34" s="48"/>
      <c r="K34" s="50"/>
      <c r="L34" s="1"/>
      <c r="M34" s="1"/>
      <c r="N34" s="18"/>
      <c r="O34" s="4"/>
      <c r="P34" s="1"/>
      <c r="Q34" s="18"/>
      <c r="R34" s="8"/>
    </row>
    <row r="35" spans="3:18" s="3" customFormat="1" ht="19.5" customHeight="1" x14ac:dyDescent="0.15">
      <c r="C35" s="81"/>
      <c r="D35" s="81"/>
      <c r="E35" s="81"/>
      <c r="F35" s="84"/>
      <c r="G35" s="89"/>
      <c r="H35" s="49"/>
      <c r="I35" s="49"/>
      <c r="J35" s="48"/>
      <c r="K35" s="50"/>
      <c r="L35" s="1"/>
      <c r="M35" s="1"/>
      <c r="N35" s="18"/>
      <c r="O35" s="4"/>
      <c r="P35" s="1"/>
      <c r="Q35" s="18"/>
      <c r="R35" s="8"/>
    </row>
    <row r="36" spans="3:18" s="3" customFormat="1" ht="19.5" customHeight="1" x14ac:dyDescent="0.15">
      <c r="C36" s="81"/>
      <c r="D36" s="81"/>
      <c r="E36" s="81"/>
      <c r="F36" s="84"/>
      <c r="G36" s="89"/>
      <c r="H36" s="49"/>
      <c r="I36" s="49"/>
      <c r="J36" s="48"/>
      <c r="K36" s="50"/>
      <c r="L36" s="1"/>
      <c r="M36" s="1"/>
      <c r="N36" s="18"/>
      <c r="O36" s="4"/>
      <c r="P36" s="1"/>
      <c r="Q36" s="18"/>
      <c r="R36" s="8"/>
    </row>
    <row r="37" spans="3:18" s="3" customFormat="1" ht="19.5" customHeight="1" x14ac:dyDescent="0.15">
      <c r="C37" s="81"/>
      <c r="D37" s="81"/>
      <c r="E37" s="81"/>
      <c r="F37" s="84"/>
      <c r="G37" s="89"/>
      <c r="H37" s="49"/>
      <c r="I37" s="49"/>
      <c r="J37" s="48"/>
      <c r="K37" s="50"/>
      <c r="L37" s="1"/>
      <c r="M37" s="1"/>
      <c r="N37" s="18"/>
      <c r="O37" s="4"/>
      <c r="P37" s="1"/>
      <c r="Q37" s="18"/>
      <c r="R37" s="8"/>
    </row>
    <row r="38" spans="3:18" s="3" customFormat="1" ht="19.5" customHeight="1" x14ac:dyDescent="0.15">
      <c r="C38" s="81"/>
      <c r="D38" s="81"/>
      <c r="E38" s="81"/>
      <c r="F38" s="84"/>
      <c r="G38" s="89"/>
      <c r="H38" s="49"/>
      <c r="I38" s="49"/>
      <c r="J38" s="48"/>
      <c r="K38" s="50"/>
      <c r="L38" s="1"/>
      <c r="M38" s="1"/>
      <c r="N38" s="18"/>
      <c r="O38" s="4"/>
      <c r="P38" s="1"/>
      <c r="Q38" s="18"/>
      <c r="R38" s="8"/>
    </row>
    <row r="39" spans="3:18" s="3" customFormat="1" ht="19.5" customHeight="1" x14ac:dyDescent="0.15">
      <c r="C39" s="81"/>
      <c r="D39" s="81"/>
      <c r="E39" s="81"/>
      <c r="F39" s="84"/>
      <c r="G39" s="89"/>
      <c r="H39" s="49"/>
      <c r="I39" s="49"/>
      <c r="J39" s="48"/>
      <c r="K39" s="50"/>
      <c r="L39" s="1"/>
      <c r="M39" s="1"/>
      <c r="N39" s="18"/>
      <c r="O39" s="4"/>
      <c r="P39" s="1"/>
      <c r="Q39" s="18"/>
      <c r="R39" s="8"/>
    </row>
    <row r="40" spans="3:18" s="3" customFormat="1" ht="19.5" customHeight="1" x14ac:dyDescent="0.15">
      <c r="C40" s="81"/>
      <c r="D40" s="81"/>
      <c r="E40" s="81"/>
      <c r="F40" s="84"/>
      <c r="G40" s="89"/>
      <c r="H40" s="49"/>
      <c r="I40" s="49"/>
      <c r="J40" s="48"/>
      <c r="K40" s="50"/>
      <c r="L40" s="1"/>
      <c r="M40" s="1"/>
      <c r="N40" s="18"/>
      <c r="O40" s="4"/>
      <c r="P40" s="1"/>
      <c r="Q40" s="18"/>
      <c r="R40" s="8"/>
    </row>
    <row r="41" spans="3:18" s="3" customFormat="1" ht="19.5" customHeight="1" x14ac:dyDescent="0.15">
      <c r="C41" s="81"/>
      <c r="D41" s="81"/>
      <c r="E41" s="81"/>
      <c r="F41" s="84"/>
      <c r="G41" s="89"/>
      <c r="H41" s="49"/>
      <c r="I41" s="49"/>
      <c r="J41" s="48"/>
      <c r="K41" s="50"/>
      <c r="L41" s="1"/>
      <c r="M41" s="1"/>
      <c r="N41" s="18"/>
      <c r="O41" s="4"/>
      <c r="P41" s="1"/>
      <c r="Q41" s="18"/>
      <c r="R41" s="8"/>
    </row>
    <row r="42" spans="3:18" s="3" customFormat="1" ht="19.5" customHeight="1" x14ac:dyDescent="0.15">
      <c r="C42" s="81"/>
      <c r="D42" s="81"/>
      <c r="E42" s="81"/>
      <c r="F42" s="84"/>
      <c r="G42" s="89"/>
      <c r="H42" s="49"/>
      <c r="I42" s="49"/>
      <c r="J42" s="48"/>
      <c r="K42" s="50"/>
      <c r="L42" s="1"/>
      <c r="M42" s="1"/>
      <c r="N42" s="18"/>
      <c r="O42" s="4"/>
      <c r="P42" s="1"/>
      <c r="Q42" s="18"/>
      <c r="R42" s="8"/>
    </row>
    <row r="43" spans="3:18" s="3" customFormat="1" ht="19.5" customHeight="1" x14ac:dyDescent="0.15">
      <c r="C43" s="81"/>
      <c r="D43" s="81"/>
      <c r="E43" s="81"/>
      <c r="F43" s="84"/>
      <c r="G43" s="89"/>
      <c r="H43" s="49"/>
      <c r="I43" s="49"/>
      <c r="J43" s="48"/>
      <c r="K43" s="50"/>
      <c r="L43" s="1"/>
      <c r="M43" s="1"/>
      <c r="N43" s="18"/>
      <c r="O43" s="4"/>
      <c r="P43" s="1"/>
      <c r="Q43" s="18"/>
      <c r="R43" s="8"/>
    </row>
    <row r="44" spans="3:18" s="3" customFormat="1" ht="19.5" customHeight="1" x14ac:dyDescent="0.15">
      <c r="C44" s="81"/>
      <c r="D44" s="81"/>
      <c r="E44" s="81"/>
      <c r="F44" s="84"/>
      <c r="G44" s="89"/>
      <c r="H44" s="49"/>
      <c r="I44" s="49"/>
      <c r="J44" s="48"/>
      <c r="K44" s="50"/>
      <c r="L44" s="1"/>
      <c r="M44" s="1"/>
      <c r="N44" s="18"/>
      <c r="O44" s="4"/>
      <c r="P44" s="1"/>
      <c r="Q44" s="18"/>
      <c r="R44" s="8"/>
    </row>
    <row r="45" spans="3:18" s="3" customFormat="1" ht="19.5" customHeight="1" x14ac:dyDescent="0.15">
      <c r="C45" s="81"/>
      <c r="D45" s="81"/>
      <c r="E45" s="81"/>
      <c r="F45" s="84"/>
      <c r="G45" s="89"/>
      <c r="H45" s="49"/>
      <c r="I45" s="49"/>
      <c r="J45" s="48"/>
      <c r="K45" s="50"/>
      <c r="L45" s="1"/>
      <c r="M45" s="1"/>
      <c r="N45" s="18"/>
      <c r="O45" s="4"/>
      <c r="P45" s="1"/>
      <c r="Q45" s="18"/>
      <c r="R45" s="8"/>
    </row>
    <row r="46" spans="3:18" s="3" customFormat="1" ht="19.5" customHeight="1" x14ac:dyDescent="0.15">
      <c r="C46" s="81"/>
      <c r="D46" s="81"/>
      <c r="E46" s="81"/>
      <c r="F46" s="84"/>
      <c r="G46" s="89"/>
      <c r="H46" s="49"/>
      <c r="I46" s="49"/>
      <c r="J46" s="48"/>
      <c r="K46" s="50"/>
      <c r="L46" s="1"/>
      <c r="M46" s="1"/>
      <c r="N46" s="18"/>
      <c r="O46" s="4"/>
      <c r="P46" s="1"/>
      <c r="Q46" s="18"/>
      <c r="R46" s="8"/>
    </row>
    <row r="47" spans="3:18" s="3" customFormat="1" ht="19.5" customHeight="1" x14ac:dyDescent="0.15">
      <c r="C47" s="81"/>
      <c r="D47" s="81"/>
      <c r="E47" s="81"/>
      <c r="F47" s="84"/>
      <c r="G47" s="89"/>
      <c r="H47" s="49"/>
      <c r="I47" s="49"/>
      <c r="J47" s="48"/>
      <c r="K47" s="50"/>
      <c r="L47" s="1"/>
      <c r="M47" s="1"/>
      <c r="N47" s="18"/>
      <c r="O47" s="4"/>
      <c r="P47" s="1"/>
      <c r="Q47" s="18"/>
      <c r="R47" s="8"/>
    </row>
    <row r="48" spans="3:18" s="3" customFormat="1" ht="19.5" customHeight="1" x14ac:dyDescent="0.15">
      <c r="C48" s="81"/>
      <c r="D48" s="81"/>
      <c r="E48" s="81"/>
      <c r="F48" s="84"/>
      <c r="G48" s="89"/>
      <c r="H48" s="49"/>
      <c r="I48" s="49"/>
      <c r="J48" s="48"/>
      <c r="K48" s="50"/>
      <c r="L48" s="1"/>
      <c r="M48" s="1"/>
      <c r="N48" s="18"/>
      <c r="O48" s="4"/>
      <c r="P48" s="1"/>
      <c r="Q48" s="18"/>
      <c r="R48" s="8"/>
    </row>
    <row r="49" spans="3:18" s="3" customFormat="1" ht="19.5" customHeight="1" x14ac:dyDescent="0.15">
      <c r="C49" s="81"/>
      <c r="D49" s="81"/>
      <c r="E49" s="81"/>
      <c r="F49" s="84"/>
      <c r="G49" s="89"/>
      <c r="H49" s="49"/>
      <c r="I49" s="49"/>
      <c r="J49" s="48"/>
      <c r="K49" s="50"/>
      <c r="L49" s="1"/>
      <c r="M49" s="1"/>
      <c r="N49" s="18"/>
      <c r="O49" s="4"/>
      <c r="P49" s="1"/>
      <c r="Q49" s="18"/>
      <c r="R49" s="8"/>
    </row>
    <row r="50" spans="3:18" s="3" customFormat="1" ht="19.5" customHeight="1" x14ac:dyDescent="0.15">
      <c r="C50" s="81"/>
      <c r="D50" s="81"/>
      <c r="E50" s="81"/>
      <c r="F50" s="84"/>
      <c r="G50" s="89"/>
      <c r="H50" s="49"/>
      <c r="I50" s="49"/>
      <c r="J50" s="48"/>
      <c r="K50" s="50"/>
      <c r="L50" s="1"/>
      <c r="M50" s="1"/>
      <c r="N50" s="18"/>
      <c r="O50" s="4"/>
      <c r="P50" s="1"/>
      <c r="Q50" s="18"/>
      <c r="R50" s="8"/>
    </row>
    <row r="51" spans="3:18" s="3" customFormat="1" ht="19.5" customHeight="1" x14ac:dyDescent="0.15">
      <c r="C51" s="81"/>
      <c r="D51" s="81"/>
      <c r="E51" s="81"/>
      <c r="F51" s="84"/>
      <c r="G51" s="89"/>
      <c r="H51" s="49"/>
      <c r="I51" s="49"/>
      <c r="J51" s="48"/>
      <c r="K51" s="50"/>
      <c r="L51" s="1"/>
      <c r="M51" s="1"/>
      <c r="N51" s="18"/>
      <c r="O51" s="4"/>
      <c r="P51" s="1"/>
      <c r="Q51" s="18"/>
      <c r="R51" s="8"/>
    </row>
    <row r="52" spans="3:18" s="3" customFormat="1" ht="19.5" customHeight="1" x14ac:dyDescent="0.15">
      <c r="C52" s="81"/>
      <c r="D52" s="81"/>
      <c r="E52" s="81"/>
      <c r="F52" s="84"/>
      <c r="G52" s="89"/>
      <c r="H52" s="49"/>
      <c r="I52" s="49"/>
      <c r="J52" s="48"/>
      <c r="K52" s="50"/>
      <c r="L52" s="1"/>
      <c r="M52" s="1"/>
      <c r="N52" s="18"/>
      <c r="O52" s="4"/>
      <c r="P52" s="1"/>
      <c r="Q52" s="18"/>
      <c r="R52" s="8"/>
    </row>
    <row r="53" spans="3:18" s="3" customFormat="1" ht="19.5" customHeight="1" x14ac:dyDescent="0.15">
      <c r="C53" s="81"/>
      <c r="D53" s="81"/>
      <c r="E53" s="81"/>
      <c r="F53" s="84"/>
      <c r="G53" s="89"/>
      <c r="H53" s="49"/>
      <c r="I53" s="49"/>
      <c r="J53" s="48"/>
      <c r="K53" s="50"/>
      <c r="L53" s="1"/>
      <c r="M53" s="1"/>
      <c r="N53" s="18"/>
      <c r="O53" s="4"/>
      <c r="P53" s="1"/>
      <c r="Q53" s="18"/>
      <c r="R53" s="8"/>
    </row>
    <row r="54" spans="3:18" s="3" customFormat="1" ht="19.5" customHeight="1" x14ac:dyDescent="0.15">
      <c r="C54" s="81"/>
      <c r="D54" s="81"/>
      <c r="E54" s="81"/>
      <c r="F54" s="84"/>
      <c r="G54" s="89"/>
      <c r="H54" s="49"/>
      <c r="I54" s="49"/>
      <c r="J54" s="48"/>
      <c r="K54" s="50"/>
      <c r="L54" s="1"/>
      <c r="M54" s="1"/>
      <c r="N54" s="18"/>
      <c r="O54" s="4"/>
      <c r="P54" s="1"/>
      <c r="Q54" s="18"/>
      <c r="R54" s="8"/>
    </row>
    <row r="55" spans="3:18" s="3" customFormat="1" ht="19.5" customHeight="1" x14ac:dyDescent="0.15">
      <c r="C55" s="81"/>
      <c r="D55" s="81"/>
      <c r="E55" s="81"/>
      <c r="F55" s="84"/>
      <c r="G55" s="89"/>
      <c r="H55" s="49"/>
      <c r="I55" s="49"/>
      <c r="J55" s="48"/>
      <c r="K55" s="50"/>
      <c r="L55" s="1"/>
      <c r="M55" s="1"/>
      <c r="N55" s="18"/>
      <c r="O55" s="4"/>
      <c r="P55" s="1"/>
      <c r="Q55" s="18"/>
      <c r="R55" s="8"/>
    </row>
    <row r="56" spans="3:18" s="3" customFormat="1" ht="19.5" customHeight="1" x14ac:dyDescent="0.15">
      <c r="C56" s="81"/>
      <c r="D56" s="81"/>
      <c r="E56" s="81"/>
      <c r="F56" s="84"/>
      <c r="G56" s="89"/>
      <c r="H56" s="49"/>
      <c r="I56" s="49"/>
      <c r="J56" s="48"/>
      <c r="K56" s="50"/>
      <c r="L56" s="1"/>
      <c r="M56" s="1"/>
      <c r="N56" s="18"/>
      <c r="O56" s="4"/>
      <c r="P56" s="1"/>
      <c r="Q56" s="18"/>
      <c r="R56" s="8"/>
    </row>
    <row r="57" spans="3:18" s="3" customFormat="1" ht="19.5" customHeight="1" x14ac:dyDescent="0.15">
      <c r="C57" s="81"/>
      <c r="D57" s="81"/>
      <c r="E57" s="81"/>
      <c r="F57" s="84"/>
      <c r="G57" s="89"/>
      <c r="H57" s="49"/>
      <c r="I57" s="49"/>
      <c r="J57" s="48"/>
      <c r="K57" s="50"/>
      <c r="L57" s="1"/>
      <c r="M57" s="1"/>
      <c r="N57" s="18"/>
      <c r="O57" s="4"/>
      <c r="P57" s="1"/>
      <c r="Q57" s="18"/>
      <c r="R57" s="8"/>
    </row>
    <row r="58" spans="3:18" s="3" customFormat="1" ht="19.5" customHeight="1" x14ac:dyDescent="0.15">
      <c r="C58" s="81"/>
      <c r="D58" s="81"/>
      <c r="E58" s="81"/>
      <c r="F58" s="84"/>
      <c r="G58" s="89"/>
      <c r="H58" s="49"/>
      <c r="I58" s="49"/>
      <c r="J58" s="48"/>
      <c r="K58" s="50"/>
      <c r="L58" s="1"/>
      <c r="M58" s="1"/>
      <c r="N58" s="18"/>
      <c r="O58" s="4"/>
      <c r="P58" s="1"/>
      <c r="Q58" s="18"/>
      <c r="R58" s="8"/>
    </row>
    <row r="59" spans="3:18" s="3" customFormat="1" ht="19.5" customHeight="1" x14ac:dyDescent="0.15">
      <c r="C59" s="81"/>
      <c r="D59" s="81"/>
      <c r="E59" s="81"/>
      <c r="F59" s="84"/>
      <c r="G59" s="89"/>
      <c r="H59" s="49"/>
      <c r="I59" s="49"/>
      <c r="J59" s="48"/>
      <c r="K59" s="50"/>
      <c r="L59" s="1"/>
      <c r="M59" s="1"/>
      <c r="N59" s="18"/>
      <c r="O59" s="4"/>
      <c r="P59" s="1"/>
      <c r="Q59" s="18"/>
      <c r="R59" s="8"/>
    </row>
    <row r="60" spans="3:18" s="3" customFormat="1" ht="19.5" customHeight="1" x14ac:dyDescent="0.15">
      <c r="C60" s="81"/>
      <c r="D60" s="81"/>
      <c r="E60" s="81"/>
      <c r="F60" s="84"/>
      <c r="G60" s="89"/>
      <c r="H60" s="49"/>
      <c r="I60" s="49"/>
      <c r="J60" s="48"/>
      <c r="K60" s="50"/>
      <c r="L60" s="1"/>
      <c r="M60" s="1"/>
      <c r="N60" s="18"/>
      <c r="O60" s="4"/>
      <c r="P60" s="1"/>
      <c r="Q60" s="18"/>
      <c r="R60" s="8"/>
    </row>
    <row r="61" spans="3:18" s="3" customFormat="1" ht="19.5" customHeight="1" x14ac:dyDescent="0.15">
      <c r="C61" s="81"/>
      <c r="D61" s="81"/>
      <c r="E61" s="81"/>
      <c r="F61" s="84"/>
      <c r="G61" s="89"/>
      <c r="H61" s="49"/>
      <c r="I61" s="49"/>
      <c r="J61" s="48"/>
      <c r="K61" s="50"/>
      <c r="L61" s="1"/>
      <c r="M61" s="1"/>
      <c r="N61" s="18"/>
      <c r="O61" s="4"/>
      <c r="P61" s="1"/>
      <c r="Q61" s="18"/>
      <c r="R61" s="8"/>
    </row>
    <row r="62" spans="3:18" s="3" customFormat="1" ht="19.5" customHeight="1" x14ac:dyDescent="0.15">
      <c r="C62" s="81"/>
      <c r="D62" s="81"/>
      <c r="E62" s="81"/>
      <c r="F62" s="84"/>
      <c r="G62" s="89"/>
      <c r="H62" s="49"/>
      <c r="I62" s="49"/>
      <c r="J62" s="48"/>
      <c r="K62" s="50"/>
      <c r="L62" s="1"/>
      <c r="M62" s="1"/>
      <c r="N62" s="18"/>
      <c r="O62" s="4"/>
      <c r="P62" s="1"/>
      <c r="Q62" s="18"/>
      <c r="R62" s="8"/>
    </row>
    <row r="63" spans="3:18" s="3" customFormat="1" ht="19.5" customHeight="1" x14ac:dyDescent="0.15">
      <c r="C63" s="81"/>
      <c r="D63" s="81"/>
      <c r="E63" s="81"/>
      <c r="F63" s="84"/>
      <c r="G63" s="89"/>
      <c r="H63" s="49"/>
      <c r="I63" s="49"/>
      <c r="J63" s="48"/>
      <c r="K63" s="50"/>
      <c r="L63" s="1"/>
      <c r="M63" s="1"/>
      <c r="N63" s="18"/>
      <c r="O63" s="4"/>
      <c r="P63" s="1"/>
      <c r="Q63" s="18"/>
      <c r="R63" s="8"/>
    </row>
    <row r="64" spans="3:18" s="3" customFormat="1" ht="19.5" customHeight="1" x14ac:dyDescent="0.15">
      <c r="C64" s="81"/>
      <c r="D64" s="81"/>
      <c r="E64" s="81"/>
      <c r="F64" s="84"/>
      <c r="G64" s="89"/>
      <c r="H64" s="49"/>
      <c r="I64" s="49"/>
      <c r="J64" s="48"/>
      <c r="K64" s="50"/>
      <c r="L64" s="1"/>
      <c r="M64" s="1"/>
      <c r="N64" s="18"/>
      <c r="O64" s="4"/>
      <c r="P64" s="1"/>
      <c r="Q64" s="18"/>
      <c r="R64" s="8"/>
    </row>
    <row r="65" spans="3:18" s="3" customFormat="1" ht="19.5" customHeight="1" x14ac:dyDescent="0.15">
      <c r="C65" s="81"/>
      <c r="D65" s="81"/>
      <c r="E65" s="81"/>
      <c r="F65" s="84"/>
      <c r="G65" s="89"/>
      <c r="H65" s="49"/>
      <c r="I65" s="49"/>
      <c r="J65" s="48"/>
      <c r="K65" s="50"/>
      <c r="L65" s="1"/>
      <c r="M65" s="1"/>
      <c r="N65" s="18"/>
      <c r="O65" s="4"/>
      <c r="P65" s="1"/>
      <c r="Q65" s="18"/>
      <c r="R65" s="8"/>
    </row>
    <row r="66" spans="3:18" s="3" customFormat="1" ht="19.5" customHeight="1" x14ac:dyDescent="0.15">
      <c r="C66" s="81"/>
      <c r="D66" s="81"/>
      <c r="E66" s="81"/>
      <c r="F66" s="84"/>
      <c r="G66" s="89"/>
      <c r="H66" s="49"/>
      <c r="I66" s="49"/>
      <c r="J66" s="48"/>
      <c r="K66" s="50"/>
      <c r="L66" s="1"/>
      <c r="M66" s="1"/>
      <c r="N66" s="18"/>
      <c r="O66" s="4"/>
      <c r="P66" s="1"/>
      <c r="Q66" s="18"/>
      <c r="R66" s="8"/>
    </row>
    <row r="67" spans="3:18" s="3" customFormat="1" ht="19.5" customHeight="1" x14ac:dyDescent="0.15">
      <c r="C67" s="81"/>
      <c r="D67" s="81"/>
      <c r="E67" s="81"/>
      <c r="F67" s="84"/>
      <c r="G67" s="89"/>
      <c r="H67" s="49"/>
      <c r="I67" s="49"/>
      <c r="J67" s="48"/>
      <c r="K67" s="50"/>
      <c r="L67" s="1"/>
      <c r="M67" s="1"/>
      <c r="N67" s="18"/>
      <c r="O67" s="4"/>
      <c r="P67" s="1"/>
      <c r="Q67" s="18"/>
      <c r="R67" s="8"/>
    </row>
    <row r="68" spans="3:18" s="3" customFormat="1" ht="19.5" customHeight="1" x14ac:dyDescent="0.15">
      <c r="C68" s="81"/>
      <c r="D68" s="81"/>
      <c r="E68" s="81"/>
      <c r="F68" s="84"/>
      <c r="G68" s="89"/>
      <c r="H68" s="49"/>
      <c r="I68" s="49"/>
      <c r="J68" s="48"/>
      <c r="K68" s="50"/>
      <c r="L68" s="1"/>
      <c r="M68" s="1"/>
      <c r="N68" s="18"/>
      <c r="O68" s="4"/>
      <c r="P68" s="1"/>
      <c r="Q68" s="18"/>
      <c r="R68" s="8"/>
    </row>
    <row r="69" spans="3:18" s="3" customFormat="1" ht="19.5" customHeight="1" x14ac:dyDescent="0.15">
      <c r="C69" s="81"/>
      <c r="D69" s="81"/>
      <c r="E69" s="81"/>
      <c r="F69" s="84"/>
      <c r="G69" s="89"/>
      <c r="H69" s="49"/>
      <c r="I69" s="49"/>
      <c r="J69" s="48"/>
      <c r="K69" s="50"/>
      <c r="L69" s="1"/>
      <c r="M69" s="1"/>
      <c r="N69" s="18"/>
      <c r="O69" s="4"/>
      <c r="P69" s="1"/>
      <c r="Q69" s="18"/>
      <c r="R69" s="8"/>
    </row>
    <row r="70" spans="3:18" s="3" customFormat="1" ht="19.5" customHeight="1" x14ac:dyDescent="0.15">
      <c r="C70" s="81"/>
      <c r="D70" s="81"/>
      <c r="E70" s="81"/>
      <c r="F70" s="84"/>
      <c r="G70" s="89"/>
      <c r="H70" s="49"/>
      <c r="I70" s="49"/>
      <c r="J70" s="48"/>
      <c r="K70" s="50"/>
      <c r="L70" s="1"/>
      <c r="M70" s="1"/>
      <c r="N70" s="18"/>
      <c r="O70" s="4"/>
      <c r="P70" s="1"/>
      <c r="Q70" s="18"/>
      <c r="R70" s="8"/>
    </row>
    <row r="71" spans="3:18" s="3" customFormat="1" ht="19.5" customHeight="1" x14ac:dyDescent="0.15">
      <c r="C71" s="81"/>
      <c r="D71" s="81"/>
      <c r="E71" s="81"/>
      <c r="F71" s="84"/>
      <c r="G71" s="89"/>
      <c r="H71" s="49"/>
      <c r="I71" s="49"/>
      <c r="J71" s="48"/>
      <c r="K71" s="50"/>
      <c r="L71" s="1"/>
      <c r="M71" s="1"/>
      <c r="N71" s="18"/>
      <c r="O71" s="4"/>
      <c r="P71" s="1"/>
      <c r="Q71" s="18"/>
      <c r="R71" s="8"/>
    </row>
    <row r="72" spans="3:18" s="3" customFormat="1" ht="19.5" customHeight="1" x14ac:dyDescent="0.15">
      <c r="C72" s="81"/>
      <c r="D72" s="81"/>
      <c r="E72" s="81"/>
      <c r="F72" s="84"/>
      <c r="G72" s="89"/>
      <c r="H72" s="49"/>
      <c r="I72" s="49"/>
      <c r="J72" s="48"/>
      <c r="K72" s="50"/>
      <c r="L72" s="1"/>
      <c r="M72" s="1"/>
      <c r="N72" s="18"/>
      <c r="O72" s="4"/>
      <c r="P72" s="1"/>
      <c r="Q72" s="18"/>
      <c r="R72" s="8"/>
    </row>
    <row r="73" spans="3:18" s="3" customFormat="1" ht="19.5" customHeight="1" x14ac:dyDescent="0.15">
      <c r="C73" s="81"/>
      <c r="D73" s="81"/>
      <c r="E73" s="81"/>
      <c r="F73" s="84"/>
      <c r="G73" s="89"/>
      <c r="H73" s="49"/>
      <c r="I73" s="49"/>
      <c r="J73" s="48"/>
      <c r="K73" s="50"/>
      <c r="L73" s="1"/>
      <c r="M73" s="1"/>
      <c r="N73" s="18"/>
      <c r="O73" s="4"/>
      <c r="P73" s="1"/>
      <c r="Q73" s="18"/>
      <c r="R73" s="8"/>
    </row>
    <row r="74" spans="3:18" s="3" customFormat="1" ht="19.5" customHeight="1" x14ac:dyDescent="0.15">
      <c r="C74" s="81"/>
      <c r="D74" s="81"/>
      <c r="E74" s="81"/>
      <c r="F74" s="84"/>
      <c r="G74" s="89"/>
      <c r="H74" s="49"/>
      <c r="I74" s="49"/>
      <c r="J74" s="48"/>
      <c r="K74" s="50"/>
      <c r="L74" s="1"/>
      <c r="M74" s="1"/>
      <c r="N74" s="18"/>
      <c r="O74" s="4"/>
      <c r="P74" s="1"/>
      <c r="Q74" s="18"/>
      <c r="R74" s="8"/>
    </row>
    <row r="75" spans="3:18" s="3" customFormat="1" ht="19.5" customHeight="1" x14ac:dyDescent="0.15">
      <c r="C75" s="81"/>
      <c r="D75" s="81"/>
      <c r="E75" s="81"/>
      <c r="F75" s="84"/>
      <c r="G75" s="89"/>
      <c r="H75" s="49"/>
      <c r="I75" s="49"/>
      <c r="J75" s="48"/>
      <c r="K75" s="50"/>
      <c r="L75" s="1"/>
      <c r="M75" s="1"/>
      <c r="N75" s="18"/>
      <c r="O75" s="4"/>
      <c r="P75" s="1"/>
      <c r="Q75" s="18"/>
      <c r="R75" s="8"/>
    </row>
    <row r="76" spans="3:18" s="3" customFormat="1" ht="19.5" customHeight="1" x14ac:dyDescent="0.15">
      <c r="C76" s="81"/>
      <c r="D76" s="81"/>
      <c r="E76" s="81"/>
      <c r="F76" s="84"/>
      <c r="G76" s="89"/>
      <c r="H76" s="49"/>
      <c r="I76" s="49"/>
      <c r="J76" s="48"/>
      <c r="K76" s="50"/>
      <c r="L76" s="1"/>
      <c r="M76" s="1"/>
      <c r="N76" s="18"/>
      <c r="O76" s="4"/>
      <c r="P76" s="1"/>
      <c r="Q76" s="18"/>
      <c r="R76" s="8"/>
    </row>
    <row r="77" spans="3:18" s="3" customFormat="1" ht="19.5" customHeight="1" x14ac:dyDescent="0.15">
      <c r="C77" s="81"/>
      <c r="D77" s="81"/>
      <c r="E77" s="81"/>
      <c r="F77" s="84"/>
      <c r="G77" s="89"/>
      <c r="H77" s="49"/>
      <c r="I77" s="49"/>
      <c r="J77" s="48"/>
      <c r="K77" s="50"/>
      <c r="L77" s="1"/>
      <c r="M77" s="1"/>
      <c r="N77" s="18"/>
      <c r="O77" s="4"/>
      <c r="P77" s="1"/>
      <c r="Q77" s="18"/>
      <c r="R77" s="8"/>
    </row>
    <row r="78" spans="3:18" s="3" customFormat="1" ht="19.5" customHeight="1" x14ac:dyDescent="0.15">
      <c r="C78" s="81"/>
      <c r="D78" s="81"/>
      <c r="E78" s="81"/>
      <c r="F78" s="84"/>
      <c r="G78" s="89"/>
      <c r="H78" s="49"/>
      <c r="I78" s="49"/>
      <c r="J78" s="48"/>
      <c r="K78" s="50"/>
      <c r="L78" s="1"/>
      <c r="M78" s="1"/>
      <c r="N78" s="18"/>
      <c r="O78" s="4"/>
      <c r="P78" s="1"/>
      <c r="Q78" s="18"/>
      <c r="R78" s="8"/>
    </row>
    <row r="79" spans="3:18" s="3" customFormat="1" ht="19.5" customHeight="1" x14ac:dyDescent="0.15">
      <c r="C79" s="81"/>
      <c r="D79" s="81"/>
      <c r="E79" s="81"/>
      <c r="F79" s="84"/>
      <c r="G79" s="89"/>
      <c r="H79" s="49"/>
      <c r="I79" s="49"/>
      <c r="J79" s="48"/>
      <c r="K79" s="50"/>
      <c r="L79" s="1"/>
      <c r="M79" s="1"/>
      <c r="N79" s="18"/>
      <c r="O79" s="4"/>
      <c r="P79" s="1"/>
      <c r="Q79" s="18"/>
      <c r="R79" s="8"/>
    </row>
    <row r="80" spans="3:18" s="3" customFormat="1" ht="19.5" customHeight="1" x14ac:dyDescent="0.15">
      <c r="C80" s="81"/>
      <c r="D80" s="81"/>
      <c r="E80" s="81"/>
      <c r="F80" s="84"/>
      <c r="G80" s="89"/>
      <c r="H80" s="49"/>
      <c r="I80" s="49"/>
      <c r="J80" s="48"/>
      <c r="K80" s="50"/>
      <c r="L80" s="1"/>
      <c r="M80" s="1"/>
      <c r="N80" s="18"/>
      <c r="O80" s="4"/>
      <c r="P80" s="1"/>
      <c r="Q80" s="18"/>
      <c r="R80" s="8"/>
    </row>
    <row r="81" spans="3:18" s="3" customFormat="1" ht="19.5" customHeight="1" x14ac:dyDescent="0.15">
      <c r="C81" s="81"/>
      <c r="D81" s="81"/>
      <c r="E81" s="81"/>
      <c r="F81" s="84"/>
      <c r="G81" s="89"/>
      <c r="H81" s="49"/>
      <c r="I81" s="49"/>
      <c r="J81" s="48"/>
      <c r="K81" s="50"/>
      <c r="L81" s="1"/>
      <c r="M81" s="1"/>
      <c r="N81" s="18"/>
      <c r="O81" s="4"/>
      <c r="P81" s="1"/>
      <c r="Q81" s="18"/>
      <c r="R81" s="8"/>
    </row>
    <row r="82" spans="3:18" s="3" customFormat="1" ht="19.5" customHeight="1" x14ac:dyDescent="0.15">
      <c r="C82" s="81"/>
      <c r="D82" s="81"/>
      <c r="E82" s="81"/>
      <c r="F82" s="84"/>
      <c r="G82" s="89"/>
      <c r="H82" s="49"/>
      <c r="I82" s="49"/>
      <c r="J82" s="48"/>
      <c r="K82" s="50"/>
      <c r="L82" s="1"/>
      <c r="M82" s="1"/>
      <c r="N82" s="18"/>
      <c r="O82" s="4"/>
      <c r="P82" s="1"/>
      <c r="Q82" s="18"/>
      <c r="R82" s="8"/>
    </row>
    <row r="83" spans="3:18" s="3" customFormat="1" ht="19.5" customHeight="1" x14ac:dyDescent="0.15">
      <c r="C83" s="81"/>
      <c r="D83" s="81"/>
      <c r="E83" s="81"/>
      <c r="F83" s="84"/>
      <c r="G83" s="89"/>
      <c r="H83" s="49"/>
      <c r="I83" s="49"/>
      <c r="J83" s="48"/>
      <c r="K83" s="50"/>
      <c r="L83" s="1"/>
      <c r="M83" s="1"/>
      <c r="N83" s="18"/>
      <c r="O83" s="4"/>
      <c r="P83" s="1"/>
      <c r="Q83" s="18"/>
      <c r="R83" s="8"/>
    </row>
    <row r="84" spans="3:18" s="3" customFormat="1" ht="19.5" customHeight="1" x14ac:dyDescent="0.15">
      <c r="C84" s="81"/>
      <c r="D84" s="81"/>
      <c r="E84" s="81"/>
      <c r="F84" s="84"/>
      <c r="G84" s="89"/>
      <c r="H84" s="49"/>
      <c r="I84" s="49"/>
      <c r="J84" s="48"/>
      <c r="K84" s="50"/>
      <c r="L84" s="1"/>
      <c r="M84" s="1"/>
      <c r="N84" s="18"/>
      <c r="O84" s="4"/>
      <c r="P84" s="1"/>
      <c r="Q84" s="18"/>
      <c r="R84" s="8"/>
    </row>
    <row r="85" spans="3:18" s="3" customFormat="1" ht="19.5" customHeight="1" x14ac:dyDescent="0.15">
      <c r="C85" s="81"/>
      <c r="D85" s="81"/>
      <c r="E85" s="81"/>
      <c r="F85" s="84"/>
      <c r="G85" s="89"/>
      <c r="H85" s="49"/>
      <c r="I85" s="49"/>
      <c r="J85" s="48"/>
      <c r="K85" s="50"/>
      <c r="L85" s="1"/>
      <c r="M85" s="1"/>
      <c r="N85" s="18"/>
      <c r="O85" s="4"/>
      <c r="P85" s="1"/>
      <c r="Q85" s="18"/>
      <c r="R85" s="8"/>
    </row>
    <row r="86" spans="3:18" s="3" customFormat="1" ht="19.5" customHeight="1" x14ac:dyDescent="0.15">
      <c r="C86" s="81"/>
      <c r="D86" s="81"/>
      <c r="E86" s="81"/>
      <c r="F86" s="84"/>
      <c r="G86" s="89"/>
      <c r="H86" s="49"/>
      <c r="I86" s="49"/>
      <c r="J86" s="48"/>
      <c r="K86" s="50"/>
      <c r="L86" s="1"/>
      <c r="M86" s="1"/>
      <c r="N86" s="18"/>
      <c r="O86" s="4"/>
      <c r="P86" s="1"/>
      <c r="Q86" s="18"/>
      <c r="R86" s="8"/>
    </row>
    <row r="87" spans="3:18" s="3" customFormat="1" ht="19.5" customHeight="1" x14ac:dyDescent="0.15">
      <c r="C87" s="81"/>
      <c r="D87" s="81"/>
      <c r="E87" s="81"/>
      <c r="F87" s="84"/>
      <c r="G87" s="89"/>
      <c r="H87" s="49"/>
      <c r="I87" s="49"/>
      <c r="J87" s="48"/>
      <c r="K87" s="50"/>
      <c r="L87" s="1"/>
      <c r="M87" s="1"/>
      <c r="N87" s="18"/>
      <c r="O87" s="4"/>
      <c r="P87" s="1"/>
      <c r="Q87" s="18"/>
      <c r="R87" s="8"/>
    </row>
    <row r="88" spans="3:18" s="3" customFormat="1" ht="19.5" customHeight="1" x14ac:dyDescent="0.15">
      <c r="C88" s="81"/>
      <c r="D88" s="81"/>
      <c r="E88" s="81"/>
      <c r="F88" s="84"/>
      <c r="G88" s="89"/>
      <c r="H88" s="49"/>
      <c r="I88" s="49"/>
      <c r="J88" s="48"/>
      <c r="K88" s="50"/>
      <c r="L88" s="1"/>
      <c r="M88" s="1"/>
      <c r="N88" s="18"/>
      <c r="O88" s="4"/>
      <c r="P88" s="1"/>
      <c r="Q88" s="18"/>
      <c r="R88" s="8"/>
    </row>
    <row r="89" spans="3:18" ht="18" customHeight="1" x14ac:dyDescent="0.15">
      <c r="C89" s="81"/>
      <c r="D89" s="81"/>
      <c r="E89" s="81"/>
      <c r="F89" s="84"/>
      <c r="G89" s="30"/>
      <c r="H89" s="30"/>
      <c r="I89" s="49"/>
      <c r="J89" s="2"/>
      <c r="K89" s="19"/>
      <c r="L89" s="6"/>
      <c r="M89" s="5"/>
      <c r="N89" s="18"/>
      <c r="O89" s="8"/>
      <c r="P89" s="8"/>
      <c r="Q89" s="18"/>
      <c r="R89" s="16"/>
    </row>
    <row r="90" spans="3:18" ht="18" customHeight="1" x14ac:dyDescent="0.15">
      <c r="C90" s="1"/>
      <c r="D90" s="1"/>
      <c r="E90" s="1"/>
      <c r="F90" s="6" t="s">
        <v>130</v>
      </c>
      <c r="G90" s="49"/>
      <c r="H90" s="49"/>
      <c r="I90" s="49">
        <f>G90*H90</f>
        <v>0</v>
      </c>
      <c r="J90" s="14"/>
      <c r="K90" s="19" t="s">
        <v>131</v>
      </c>
      <c r="L90" s="51"/>
      <c r="M90" s="1"/>
      <c r="N90" s="18"/>
      <c r="O90" s="51"/>
      <c r="P90" s="1"/>
      <c r="Q90" s="18"/>
      <c r="R90" s="16"/>
    </row>
    <row r="91" spans="3:18" ht="18" customHeight="1" x14ac:dyDescent="0.15">
      <c r="C91" s="1"/>
      <c r="D91" s="4"/>
      <c r="E91" s="4"/>
      <c r="F91" s="6" t="s">
        <v>131</v>
      </c>
      <c r="G91" s="49"/>
      <c r="H91" s="49">
        <v>5000</v>
      </c>
      <c r="I91" s="49">
        <f>G91*H91</f>
        <v>0</v>
      </c>
      <c r="J91" s="14"/>
      <c r="K91" s="19" t="s">
        <v>132</v>
      </c>
      <c r="L91" s="51"/>
      <c r="M91" s="1"/>
      <c r="N91" s="18"/>
      <c r="O91" s="51"/>
      <c r="P91" s="1"/>
      <c r="Q91" s="18"/>
      <c r="R91" s="8"/>
    </row>
    <row r="92" spans="3:18" ht="18" customHeight="1" x14ac:dyDescent="0.15">
      <c r="C92" s="1"/>
      <c r="D92" s="4"/>
      <c r="E92" s="4"/>
      <c r="F92" s="6" t="s">
        <v>132</v>
      </c>
      <c r="G92" s="49"/>
      <c r="H92" s="49"/>
      <c r="I92" s="49">
        <f>G92*H92</f>
        <v>0</v>
      </c>
      <c r="J92" s="14"/>
      <c r="K92" s="5"/>
      <c r="L92" s="51"/>
      <c r="M92" s="1"/>
      <c r="N92" s="1"/>
      <c r="O92" s="51"/>
      <c r="P92" s="1"/>
      <c r="Q92" s="8"/>
      <c r="R92" s="8"/>
    </row>
    <row r="93" spans="3:18" ht="18" customHeight="1" x14ac:dyDescent="0.15">
      <c r="C93" s="1"/>
      <c r="D93" s="4"/>
      <c r="E93" s="4"/>
      <c r="F93" s="117"/>
      <c r="G93" s="118"/>
      <c r="H93" s="118"/>
      <c r="I93" s="119"/>
      <c r="J93" s="7"/>
      <c r="K93" s="47"/>
    </row>
    <row r="94" spans="3:18" ht="18" customHeight="1" x14ac:dyDescent="0.15"/>
    <row r="95" spans="3:18" ht="18" customHeight="1" x14ac:dyDescent="0.15"/>
    <row r="96" spans="3:18" ht="18" customHeight="1" x14ac:dyDescent="0.15"/>
  </sheetData>
  <autoFilter ref="C8:P96" xr:uid="{00000000-0009-0000-0000-000003000000}"/>
  <mergeCells count="11">
    <mergeCell ref="F93:I93"/>
    <mergeCell ref="C6:E6"/>
    <mergeCell ref="C10:F10"/>
    <mergeCell ref="C17:F17"/>
    <mergeCell ref="C2:E2"/>
    <mergeCell ref="H2:J2"/>
    <mergeCell ref="C3:E3"/>
    <mergeCell ref="C4:E4"/>
    <mergeCell ref="H4:I5"/>
    <mergeCell ref="J4:L5"/>
    <mergeCell ref="C5:E5"/>
  </mergeCells>
  <phoneticPr fontId="13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customWidth="1"/>
    <col min="2" max="2" width="6.25" style="3" customWidth="1"/>
    <col min="3" max="3" width="15.25" customWidth="1"/>
    <col min="4" max="4" width="15.5" customWidth="1"/>
    <col min="5" max="5" width="43.875" customWidth="1"/>
    <col min="6" max="6" width="10.75" customWidth="1"/>
    <col min="7" max="8" width="12.125" customWidth="1"/>
    <col min="9" max="9" width="7.125" style="12" customWidth="1"/>
    <col min="10" max="10" width="55.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20" t="s">
        <v>0</v>
      </c>
      <c r="C2" s="120"/>
      <c r="D2" s="120"/>
      <c r="E2" s="9" t="s">
        <v>1</v>
      </c>
      <c r="G2" s="124" t="s">
        <v>2</v>
      </c>
      <c r="H2" s="125"/>
      <c r="I2" s="126"/>
      <c r="J2" s="11">
        <f>SUM(H:H)</f>
        <v>412688</v>
      </c>
    </row>
    <row r="3" spans="2:17" ht="20.100000000000001" customHeight="1" x14ac:dyDescent="0.15">
      <c r="B3" s="120" t="s">
        <v>3</v>
      </c>
      <c r="C3" s="120"/>
      <c r="D3" s="120"/>
      <c r="E3" s="9" t="s">
        <v>4</v>
      </c>
    </row>
    <row r="4" spans="2:17" ht="20.100000000000001" customHeight="1" x14ac:dyDescent="0.15">
      <c r="B4" s="120" t="s">
        <v>5</v>
      </c>
      <c r="C4" s="120"/>
      <c r="D4" s="120"/>
      <c r="E4" s="9"/>
    </row>
    <row r="5" spans="2:17" ht="20.100000000000001" customHeight="1" x14ac:dyDescent="0.15">
      <c r="B5" s="120" t="s">
        <v>6</v>
      </c>
      <c r="C5" s="120"/>
      <c r="D5" s="120"/>
      <c r="E5" s="10">
        <v>42165</v>
      </c>
    </row>
    <row r="6" spans="2:17" ht="20.100000000000001" customHeight="1" x14ac:dyDescent="0.15">
      <c r="B6" s="120" t="s">
        <v>7</v>
      </c>
      <c r="C6" s="120"/>
      <c r="D6" s="120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35" t="s">
        <v>24</v>
      </c>
      <c r="C10" s="136"/>
      <c r="D10" s="136"/>
      <c r="E10" s="137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32" t="s">
        <v>62</v>
      </c>
      <c r="C36" s="133"/>
      <c r="D36" s="133"/>
      <c r="E36" s="134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32" t="s">
        <v>102</v>
      </c>
      <c r="C61" s="133"/>
      <c r="D61" s="133"/>
      <c r="E61" s="134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35" t="s">
        <v>112</v>
      </c>
      <c r="C74" s="136"/>
      <c r="D74" s="136"/>
      <c r="E74" s="137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(226228)  ②20250916 見積発注依頼</vt:lpstr>
      <vt:lpstr>Sheet1</vt:lpstr>
      <vt:lpstr>Sheet2</vt:lpstr>
      <vt:lpstr>Sheet3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2025-10-09T06:19:12Z</dcterms:modified>
</cp:coreProperties>
</file>