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【218526】山澤氏AXAﾛﾎﾞｯﾄ400+SV70ﾛｰﾀﾘｰｱｸﾁｭｴﾀｰ＋浸け置き+SVC720F　新冨製作所様　構想図　\"/>
    </mc:Choice>
  </mc:AlternateContent>
  <xr:revisionPtr revIDLastSave="0" documentId="13_ncr:1_{133F1DE6-820F-42EC-A895-0280F2D2F1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18250　原価表  20241025 ③ " sheetId="13" r:id="rId1"/>
  </sheets>
  <definedNames>
    <definedName name="_xlnm._FilterDatabase" localSheetId="0" hidden="1">'218250　原価表  20241025 ③ '!$D$9:$Q$166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6" i="13" l="1"/>
  <c r="J185" i="13"/>
  <c r="J184" i="13"/>
  <c r="J183" i="13"/>
  <c r="J182" i="13"/>
  <c r="J181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66" i="13"/>
  <c r="J65" i="13"/>
  <c r="J64" i="13"/>
  <c r="J63" i="13"/>
  <c r="J62" i="13"/>
  <c r="J61" i="13"/>
  <c r="J60" i="13"/>
  <c r="J59" i="13"/>
  <c r="J58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D13" i="13"/>
  <c r="D14" i="13" s="1"/>
  <c r="D15" i="13" s="1"/>
  <c r="D16" i="13" s="1"/>
  <c r="D17" i="13" s="1"/>
  <c r="G149" i="13" l="1"/>
  <c r="G88" i="13"/>
  <c r="D18" i="13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8" i="13" s="1"/>
  <c r="D59" i="13" s="1"/>
  <c r="D60" i="13" s="1"/>
  <c r="D61" i="13" s="1"/>
  <c r="D62" i="13" s="1"/>
  <c r="D63" i="13" s="1"/>
  <c r="D64" i="13" s="1"/>
  <c r="D65" i="13" s="1"/>
  <c r="D66" i="13" s="1"/>
  <c r="L2" i="13"/>
  <c r="G120" i="13"/>
  <c r="G68" i="13"/>
  <c r="G53" i="13"/>
  <c r="D73" i="13" l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l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</calcChain>
</file>

<file path=xl/sharedStrings.xml><?xml version="1.0" encoding="utf-8"?>
<sst xmlns="http://schemas.openxmlformats.org/spreadsheetml/2006/main" count="715" uniqueCount="282">
  <si>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</si>
  <si>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</si>
  <si>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</si>
  <si>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</si>
  <si>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</si>
  <si>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</si>
  <si>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</si>
  <si>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</si>
  <si>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</si>
  <si>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</si>
  <si>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</si>
  <si>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</si>
  <si>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</si>
  <si>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</si>
  <si>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</si>
  <si>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</si>
  <si>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</si>
  <si>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</si>
  <si>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</si>
  <si>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</si>
  <si>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</si>
  <si>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</si>
  <si>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</si>
  <si>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SETB0241-A01　AXAﾛﾎﾞｯﾄ400+SV70ﾛｰﾀﾘｰｱｸﾁｭｴﾀｰ＋浸け置き+井桁治具+SVC720F+配電BOX　　原価一覧　20241022</t>
    <phoneticPr fontId="2"/>
  </si>
  <si>
    <t>218526</t>
    <phoneticPr fontId="2"/>
  </si>
  <si>
    <t>山澤(齋藤）</t>
    <rPh sb="0" eb="2">
      <t>ヤマサワ</t>
    </rPh>
    <rPh sb="3" eb="5">
      <t>サイトウ</t>
    </rPh>
    <phoneticPr fontId="2"/>
  </si>
  <si>
    <t>株式会社新冨製作所様</t>
    <rPh sb="9" eb="10">
      <t>サマ</t>
    </rPh>
    <phoneticPr fontId="2"/>
  </si>
  <si>
    <t>1日目</t>
    <rPh sb="1" eb="3">
      <t>ヒメ</t>
    </rPh>
    <phoneticPr fontId="2"/>
  </si>
  <si>
    <t>ミスミ</t>
    <phoneticPr fontId="2"/>
  </si>
  <si>
    <t>A8001</t>
    <phoneticPr fontId="2"/>
  </si>
  <si>
    <t>汎用3芯OAタップ 6ヶ口</t>
    <phoneticPr fontId="2"/>
  </si>
  <si>
    <t>配電BOXﾕﾆｯﾄ</t>
    <phoneticPr fontId="2"/>
  </si>
  <si>
    <t>浸け置きﾕﾆｯﾄ</t>
    <rPh sb="0" eb="1">
      <t>ツ</t>
    </rPh>
    <rPh sb="2" eb="3">
      <t>オ</t>
    </rPh>
    <phoneticPr fontId="2"/>
  </si>
  <si>
    <t>1日目</t>
    <rPh sb="1" eb="2">
      <t>ヒ</t>
    </rPh>
    <rPh sb="2" eb="3">
      <t>メ</t>
    </rPh>
    <phoneticPr fontId="2"/>
  </si>
  <si>
    <t>CHNS4</t>
    <phoneticPr fontId="2"/>
  </si>
  <si>
    <t>蝶ﾅｯﾄ　　2本</t>
    <rPh sb="7" eb="8">
      <t>ホン</t>
    </rPh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</si>
  <si>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</si>
  <si>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</si>
  <si>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ﾐｽﾐ</t>
    <phoneticPr fontId="2"/>
  </si>
  <si>
    <t>SUNCO</t>
    <phoneticPr fontId="2"/>
  </si>
  <si>
    <t>CSHCS-SUS-M4-5</t>
    <phoneticPr fontId="2"/>
  </si>
  <si>
    <t>皿ﾈｼﾞ　　2個</t>
    <rPh sb="7" eb="8">
      <t>コ</t>
    </rPh>
    <phoneticPr fontId="2"/>
  </si>
  <si>
    <t>捨て打ちBOX</t>
    <rPh sb="0" eb="1">
      <t>ス</t>
    </rPh>
    <rPh sb="2" eb="3">
      <t>ウ</t>
    </rPh>
    <phoneticPr fontId="2"/>
  </si>
  <si>
    <t>KBXS100-100</t>
    <phoneticPr fontId="2"/>
  </si>
  <si>
    <t>金属BOX</t>
    <phoneticPr fontId="2"/>
  </si>
  <si>
    <t>MS3-6</t>
    <phoneticPr fontId="16"/>
  </si>
  <si>
    <t>ノックピン　－プラス公差－　2本</t>
    <rPh sb="15" eb="16">
      <t>ホン</t>
    </rPh>
    <phoneticPr fontId="16"/>
  </si>
  <si>
    <t>RSCB4-15</t>
    <phoneticPr fontId="2"/>
  </si>
  <si>
    <t>六角ﾎﾞﾙﾄ　2本</t>
    <rPh sb="8" eb="9">
      <t>ホン</t>
    </rPh>
    <phoneticPr fontId="2"/>
  </si>
  <si>
    <t>3日目</t>
    <rPh sb="1" eb="2">
      <t>ヒ</t>
    </rPh>
    <rPh sb="2" eb="3">
      <t>メ</t>
    </rPh>
    <phoneticPr fontId="2"/>
  </si>
  <si>
    <t>AFPSA4-P3.2-L3-B5</t>
    <phoneticPr fontId="16"/>
  </si>
  <si>
    <t>位置決めピン　高硬度ステンレス　小頭テーパ　－圧入－</t>
    <phoneticPr fontId="16"/>
  </si>
  <si>
    <t>WP43AB6B4500</t>
    <phoneticPr fontId="16"/>
  </si>
  <si>
    <t>3日間</t>
    <rPh sb="1" eb="2">
      <t>ヒ</t>
    </rPh>
    <rPh sb="2" eb="3">
      <t>カン</t>
    </rPh>
    <phoneticPr fontId="16"/>
  </si>
  <si>
    <t>meviy</t>
    <phoneticPr fontId="2"/>
  </si>
  <si>
    <t>MVSHM-3N02050-34E-FLG51</t>
    <phoneticPr fontId="16"/>
  </si>
  <si>
    <t>SETB0106-Z01　カップ受け板金1</t>
    <phoneticPr fontId="16"/>
  </si>
  <si>
    <t>MVSHM-3N02052-37F-UF7PA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</si>
  <si>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6"/>
  </si>
  <si>
    <t>MVSHM-3N02052-37F-TF1BL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</si>
  <si>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6"/>
  </si>
  <si>
    <t>MVSHM-3N03054-33U-TS97K</t>
    <phoneticPr fontId="2"/>
  </si>
  <si>
    <t>SSTT0329金属BOX受皿</t>
    <phoneticPr fontId="2"/>
  </si>
  <si>
    <t>PUT4-10-B</t>
    <phoneticPr fontId="2"/>
  </si>
  <si>
    <t>エアチューブ  在庫使用</t>
    <phoneticPr fontId="2"/>
  </si>
  <si>
    <t>PUT6-10-B</t>
    <phoneticPr fontId="2"/>
  </si>
  <si>
    <t>6日目</t>
    <rPh sb="1" eb="2">
      <t>ヒ</t>
    </rPh>
    <rPh sb="2" eb="3">
      <t>メ</t>
    </rPh>
    <phoneticPr fontId="2"/>
  </si>
  <si>
    <t>MVTUP-SUB-3GK-HD2S8</t>
    <phoneticPr fontId="2"/>
  </si>
  <si>
    <t>ﾐﾆｶｯﾌﾟ（30cc）　SETB0178-Z06　30ccｶｯﾌﾟsus材　20230803　</t>
    <phoneticPr fontId="2"/>
  </si>
  <si>
    <t>SV70ﾊﾞﾙﾌﾞﾉｽﾞﾙ位置合わせ治具</t>
    <rPh sb="13" eb="15">
      <t>イチ</t>
    </rPh>
    <rPh sb="15" eb="16">
      <t>ア</t>
    </rPh>
    <rPh sb="18" eb="20">
      <t>ジグ</t>
    </rPh>
    <phoneticPr fontId="2"/>
  </si>
  <si>
    <t>MVSHM-3N02050-3T2-J8B5C</t>
    <phoneticPr fontId="2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</si>
  <si>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2"/>
  </si>
  <si>
    <t>MVSHM-3N03002-3T2-EXPLE</t>
    <phoneticPr fontId="2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</si>
  <si>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2"/>
  </si>
  <si>
    <t>MVSHM-ZZ99000-3SZ-7ELAD</t>
    <phoneticPr fontId="2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</si>
  <si>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2"/>
  </si>
  <si>
    <t>2日目</t>
    <rPh sb="1" eb="2">
      <t>ヒ</t>
    </rPh>
    <rPh sb="2" eb="3">
      <t>メ</t>
    </rPh>
    <phoneticPr fontId="2"/>
  </si>
  <si>
    <t>AWSS-D-D6-V4-T1.9</t>
    <phoneticPr fontId="2"/>
  </si>
  <si>
    <t>金属ワッシャ　－Ｔ寸公差選択タイプ－</t>
    <phoneticPr fontId="2"/>
  </si>
  <si>
    <t>MS2-6</t>
    <phoneticPr fontId="2"/>
  </si>
  <si>
    <t>ノックピン　ストレート</t>
    <phoneticPr fontId="2"/>
  </si>
  <si>
    <t>JTDA-SUD-A27-B12-T2-X6-Y6-M4-L15-MA4</t>
    <phoneticPr fontId="2"/>
  </si>
  <si>
    <t>押え板</t>
    <phoneticPr fontId="2"/>
  </si>
  <si>
    <t>ASFCS-A27-B14-T0.3-D4.5-E6-C6-P15</t>
    <phoneticPr fontId="2"/>
  </si>
  <si>
    <t>シム</t>
    <phoneticPr fontId="2"/>
  </si>
  <si>
    <t>SCB4-5</t>
    <phoneticPr fontId="2"/>
  </si>
  <si>
    <t>六角穴付きﾎﾞﾙﾄ　M4×5mm　　　　6本</t>
    <rPh sb="21" eb="22">
      <t>ホン</t>
    </rPh>
    <phoneticPr fontId="2"/>
  </si>
  <si>
    <t xml:space="preserve">SPWF4 </t>
    <phoneticPr fontId="2"/>
  </si>
  <si>
    <t>ワッシャ　　平座金　　M4×8mm　　　4個</t>
    <rPh sb="21" eb="22">
      <t>コ</t>
    </rPh>
    <phoneticPr fontId="2"/>
  </si>
  <si>
    <t>5日間</t>
    <rPh sb="1" eb="2">
      <t>ヒ</t>
    </rPh>
    <rPh sb="2" eb="3">
      <t>カン</t>
    </rPh>
    <phoneticPr fontId="2"/>
  </si>
  <si>
    <t>ミスミ</t>
  </si>
  <si>
    <t>WQBB-JW-A22-B8-T15-H6.5-Q45-X6-F10-S10.5-Z3</t>
    <phoneticPr fontId="2"/>
  </si>
  <si>
    <t>位置決めｶﾞｲﾄﾞ受け　2018-09-13-X028　</t>
    <phoneticPr fontId="2"/>
  </si>
  <si>
    <t>1日間</t>
    <rPh sb="1" eb="2">
      <t>ヒ</t>
    </rPh>
    <rPh sb="2" eb="3">
      <t>カン</t>
    </rPh>
    <phoneticPr fontId="29"/>
  </si>
  <si>
    <t>ミニチュアクランプレバー</t>
    <phoneticPr fontId="2"/>
  </si>
  <si>
    <t>HBLFSNF5-SEP</t>
    <phoneticPr fontId="2"/>
  </si>
  <si>
    <t>５シリーズ（溝幅６ｍｍ）　－１列溝用－　突起付反転ブラケット</t>
    <phoneticPr fontId="2"/>
  </si>
  <si>
    <t xml:space="preserve">HBLSS5 </t>
    <phoneticPr fontId="2"/>
  </si>
  <si>
    <t xml:space="preserve"> 薄型ブラケット</t>
    <phoneticPr fontId="2"/>
  </si>
  <si>
    <t>アルミフレーム用フレームキャップ　4個</t>
    <rPh sb="18" eb="19">
      <t>コ</t>
    </rPh>
    <phoneticPr fontId="2"/>
  </si>
  <si>
    <t>HFC5-2040-S</t>
    <phoneticPr fontId="2"/>
  </si>
  <si>
    <t>3日間</t>
    <rPh sb="1" eb="2">
      <t>ヒ</t>
    </rPh>
    <rPh sb="2" eb="3">
      <t>カン</t>
    </rPh>
    <phoneticPr fontId="29"/>
  </si>
  <si>
    <t>HFS5-2020-362-Z5-XA65.5-XB190.5-XC315.5</t>
    <phoneticPr fontId="2"/>
  </si>
  <si>
    <t>HNTP5-4</t>
    <phoneticPr fontId="2"/>
  </si>
  <si>
    <t>後入れバネナット  6個　凸無し</t>
    <rPh sb="11" eb="12">
      <t>コ</t>
    </rPh>
    <rPh sb="13" eb="14">
      <t>トツ</t>
    </rPh>
    <rPh sb="14" eb="15">
      <t>ナ</t>
    </rPh>
    <phoneticPr fontId="2"/>
  </si>
  <si>
    <t xml:space="preserve">HNTP5-5 </t>
    <phoneticPr fontId="2"/>
  </si>
  <si>
    <t>7日間</t>
    <rPh sb="1" eb="2">
      <t>ヒ</t>
    </rPh>
    <rPh sb="2" eb="3">
      <t>カン</t>
    </rPh>
    <phoneticPr fontId="29"/>
  </si>
  <si>
    <t>NOOSAF4-8-7</t>
    <phoneticPr fontId="2"/>
  </si>
  <si>
    <t>厚型ローレットノブ</t>
    <phoneticPr fontId="2"/>
  </si>
  <si>
    <t xml:space="preserve">SBCB4-6 </t>
    <phoneticPr fontId="2"/>
  </si>
  <si>
    <t xml:space="preserve"> 六角穴付ボタンボルト　　6本</t>
    <rPh sb="14" eb="15">
      <t>ホン</t>
    </rPh>
    <phoneticPr fontId="2"/>
  </si>
  <si>
    <t xml:space="preserve">SCB5-8  </t>
    <phoneticPr fontId="2"/>
  </si>
  <si>
    <t>六角穴付ボルト    4本 在庫使用</t>
    <rPh sb="12" eb="13">
      <t>ホン</t>
    </rPh>
    <phoneticPr fontId="2"/>
  </si>
  <si>
    <t>SCB5-20</t>
    <phoneticPr fontId="2"/>
  </si>
  <si>
    <t>六角穴付ボルト　　16本 在庫使用</t>
    <rPh sb="11" eb="12">
      <t>ホン</t>
    </rPh>
    <phoneticPr fontId="2"/>
  </si>
  <si>
    <t>BLFA-SUD-T2-A20-B20-H29-J15-X8-Y10-W0-N4-E10.5-S5-G10-MA3-LCC1</t>
    <phoneticPr fontId="2"/>
  </si>
  <si>
    <t>SETB0082-X02-1 　U字型外形位置決めﾌﾞﾛｯｸ</t>
    <phoneticPr fontId="2"/>
  </si>
  <si>
    <t>JTAB-SUD-A400-B37-T2-X20-Y10-G20-N4-L200-V180-S10-W20-NA4-CC2</t>
    <phoneticPr fontId="2"/>
  </si>
  <si>
    <t>SETB0082-X03　井桁ﾜｰｸ冶具ﾜｰｸ受け　2mm幅　</t>
    <phoneticPr fontId="2"/>
  </si>
  <si>
    <t>6日間</t>
    <rPh sb="1" eb="2">
      <t>ヒ</t>
    </rPh>
    <rPh sb="2" eb="3">
      <t>カン</t>
    </rPh>
    <phoneticPr fontId="29"/>
  </si>
  <si>
    <t>MVBLK-SUB-2XX-P8KB5</t>
    <phoneticPr fontId="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</si>
  <si>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2"/>
  </si>
  <si>
    <t>8日間</t>
    <rPh sb="1" eb="2">
      <t>ヒ</t>
    </rPh>
    <rPh sb="2" eb="3">
      <t>カン</t>
    </rPh>
    <phoneticPr fontId="29"/>
  </si>
  <si>
    <t>MVBLK-AMW-35E-AGPD9</t>
    <phoneticPr fontId="2"/>
  </si>
  <si>
    <t>SETB0110-X01　井桁ﾜｰｸ冶具ﾍﾞｰｽ- 1 (400mm)</t>
    <phoneticPr fontId="2"/>
  </si>
  <si>
    <t>MS3-10</t>
    <phoneticPr fontId="2"/>
  </si>
  <si>
    <t>ﾉｯｸﾋﾟﾝ　φ3-10mm　8本</t>
    <rPh sb="16" eb="17">
      <t>ホン</t>
    </rPh>
    <phoneticPr fontId="2"/>
  </si>
  <si>
    <t>MS4-35</t>
    <phoneticPr fontId="2"/>
  </si>
  <si>
    <t>ﾉｯｸﾋﾟﾝ　φ4-35mm　4本</t>
    <rPh sb="16" eb="17">
      <t>ホン</t>
    </rPh>
    <phoneticPr fontId="2"/>
  </si>
  <si>
    <t xml:space="preserve">SCB4-8  </t>
    <phoneticPr fontId="2"/>
  </si>
  <si>
    <t>六角穴付ボルト　　6本 在庫使用</t>
    <rPh sb="10" eb="11">
      <t>ホン</t>
    </rPh>
    <phoneticPr fontId="2"/>
  </si>
  <si>
    <t xml:space="preserve">SHNTP5-4  </t>
    <phoneticPr fontId="2"/>
  </si>
  <si>
    <t>後入れバネナット  6個</t>
    <rPh sb="11" eb="12">
      <t>コ</t>
    </rPh>
    <phoneticPr fontId="2"/>
  </si>
  <si>
    <t xml:space="preserve">SHNTP5-5 </t>
    <phoneticPr fontId="2"/>
  </si>
  <si>
    <t>後入れバネナット  10個</t>
    <rPh sb="12" eb="13">
      <t>コ</t>
    </rPh>
    <phoneticPr fontId="2"/>
  </si>
  <si>
    <t>WSSS10-4-1</t>
    <phoneticPr fontId="2"/>
  </si>
  <si>
    <t>金属ﾜｯｼｬｰ　　Ｔ寸選択・指定タイプ　並級</t>
    <rPh sb="0" eb="2">
      <t>キンゾク</t>
    </rPh>
    <phoneticPr fontId="2"/>
  </si>
  <si>
    <t>WSSS10-5-2</t>
    <phoneticPr fontId="2"/>
  </si>
  <si>
    <t>金属ワッシャ　Ｔ寸選択・指定タイプ</t>
    <phoneticPr fontId="2"/>
  </si>
  <si>
    <t>FBAS5-60-20</t>
    <phoneticPr fontId="2"/>
  </si>
  <si>
    <t>六角穴付ボルト　M4-60 　　4本</t>
    <rPh sb="17" eb="18">
      <t>ホン</t>
    </rPh>
    <phoneticPr fontId="2"/>
  </si>
  <si>
    <r>
      <t xml:space="preserve">後入れバネナット  </t>
    </r>
    <r>
      <rPr>
        <b/>
        <sz val="11"/>
        <color rgb="FF0070C0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個+4個　凸無し</t>
    </r>
    <rPh sb="11" eb="12">
      <t>コ</t>
    </rPh>
    <rPh sb="14" eb="15">
      <t>コ</t>
    </rPh>
    <rPh sb="16" eb="17">
      <t>トツ</t>
    </rPh>
    <rPh sb="17" eb="18">
      <t>ナ</t>
    </rPh>
    <phoneticPr fontId="2"/>
  </si>
  <si>
    <t>HFC5-2060-S</t>
    <phoneticPr fontId="2"/>
  </si>
  <si>
    <t>NFS5-2060-427-Z5-XA77-XB352</t>
    <phoneticPr fontId="2"/>
  </si>
  <si>
    <t>2日間</t>
    <rPh sb="1" eb="2">
      <t>ヒ</t>
    </rPh>
    <rPh sb="2" eb="3">
      <t>カン</t>
    </rPh>
    <phoneticPr fontId="29"/>
  </si>
  <si>
    <r>
      <t xml:space="preserve">井桁ﾜｰｸ治具 </t>
    </r>
    <r>
      <rPr>
        <b/>
        <sz val="16"/>
        <color indexed="8"/>
        <rFont val="ＭＳ Ｐゴシック"/>
        <family val="3"/>
        <charset val="128"/>
      </rPr>
      <t xml:space="preserve"> 55mm</t>
    </r>
    <r>
      <rPr>
        <sz val="16"/>
        <color indexed="8"/>
        <rFont val="ＭＳ Ｐゴシック"/>
        <family val="3"/>
        <charset val="128"/>
      </rPr>
      <t xml:space="preserve"> 厚みTYPE</t>
    </r>
    <rPh sb="0" eb="2">
      <t>イゲタ</t>
    </rPh>
    <rPh sb="5" eb="7">
      <t>ジグ</t>
    </rPh>
    <rPh sb="14" eb="15">
      <t>アツ</t>
    </rPh>
    <phoneticPr fontId="2"/>
  </si>
  <si>
    <t>ツ－ル治具部分</t>
  </si>
  <si>
    <t>8日目</t>
    <rPh sb="1" eb="2">
      <t>ヒ</t>
    </rPh>
    <rPh sb="2" eb="3">
      <t>メ</t>
    </rPh>
    <phoneticPr fontId="2"/>
  </si>
  <si>
    <t>AETTS10-93-SC46.5-M3-N3</t>
    <phoneticPr fontId="16"/>
  </si>
  <si>
    <t>円形支柱－両端めねじ　2本</t>
    <rPh sb="12" eb="13">
      <t>ホン</t>
    </rPh>
    <phoneticPr fontId="16"/>
  </si>
  <si>
    <t>AETTS8-93-SC46.5-M3-N3</t>
    <phoneticPr fontId="16"/>
  </si>
  <si>
    <t>円形支柱－両端めねじ　1本</t>
    <rPh sb="12" eb="13">
      <t>ホン</t>
    </rPh>
    <phoneticPr fontId="16"/>
  </si>
  <si>
    <t>MVBLK-AMW-2UH-KB7YY</t>
    <phoneticPr fontId="16"/>
  </si>
  <si>
    <t>SETB0075-X01　ﾂｰﾙ取付板</t>
    <phoneticPr fontId="16"/>
  </si>
  <si>
    <t>JPLRS4-P5.0-B7.0</t>
    <phoneticPr fontId="16"/>
  </si>
  <si>
    <t>ﾏｰｶｰﾋﾟﾝ　2本</t>
    <rPh sb="9" eb="10">
      <t>ホン</t>
    </rPh>
    <phoneticPr fontId="2"/>
  </si>
  <si>
    <t>CBSST5-16</t>
    <phoneticPr fontId="16"/>
  </si>
  <si>
    <t>低頭六角穴付ボルト 2本+1本</t>
    <rPh sb="11" eb="12">
      <t>ホン</t>
    </rPh>
    <rPh sb="14" eb="15">
      <t>ホン</t>
    </rPh>
    <phoneticPr fontId="16"/>
  </si>
  <si>
    <t>MVBLK-AMW-2UH-4X1XW</t>
    <phoneticPr fontId="16"/>
  </si>
  <si>
    <t>SETB0075-X02　RA取付板</t>
    <phoneticPr fontId="16"/>
  </si>
  <si>
    <t>CBSST8-16</t>
    <phoneticPr fontId="16"/>
  </si>
  <si>
    <t>低頭六角穴付ボルト　2本</t>
    <rPh sb="11" eb="12">
      <t>ホン</t>
    </rPh>
    <phoneticPr fontId="16"/>
  </si>
  <si>
    <t>MVBLK-AMW-2UH-LT9DG</t>
    <phoneticPr fontId="16"/>
  </si>
  <si>
    <t>SETB0075-X03　シャフトホルダ変換板</t>
    <phoneticPr fontId="16"/>
  </si>
  <si>
    <t>ノックピン　－プラス公差－　１本</t>
    <rPh sb="15" eb="16">
      <t>ホン</t>
    </rPh>
    <phoneticPr fontId="16"/>
  </si>
  <si>
    <t>5日目</t>
    <rPh sb="1" eb="2">
      <t>ヒ</t>
    </rPh>
    <rPh sb="2" eb="3">
      <t>メ</t>
    </rPh>
    <phoneticPr fontId="2"/>
  </si>
  <si>
    <t>SSTHS10M-MB</t>
    <phoneticPr fontId="16"/>
  </si>
  <si>
    <t>シャフトホルダ　-ブラケット型スタンダードタイプ</t>
    <phoneticPr fontId="16"/>
  </si>
  <si>
    <t>MVBLK-AMW-2UH-AZWZ7</t>
    <phoneticPr fontId="16"/>
  </si>
  <si>
    <t>SETB0075-X04 セットカラー固定ﾌﾞﾗｹｯﾄ</t>
    <phoneticPr fontId="16"/>
  </si>
  <si>
    <t>CBSST5-12</t>
    <phoneticPr fontId="16"/>
  </si>
  <si>
    <t>低頭六角穴付ボルト　1本</t>
    <rPh sb="11" eb="12">
      <t>ホン</t>
    </rPh>
    <phoneticPr fontId="16"/>
  </si>
  <si>
    <t>SSCMW10</t>
    <phoneticPr fontId="16"/>
  </si>
  <si>
    <t>セットカラー　止めねじ固定</t>
    <phoneticPr fontId="16"/>
  </si>
  <si>
    <t>MVBLK-AMW-2UH-D2WFZ</t>
    <phoneticPr fontId="16"/>
  </si>
  <si>
    <t>SETB0075-Y05  補強ﾌﾞﾛｯｸ</t>
    <phoneticPr fontId="16"/>
  </si>
  <si>
    <t>MVBLK-AMW-2UH-KS44C</t>
    <phoneticPr fontId="16"/>
  </si>
  <si>
    <t>SETB0075-Y06　ﾊﾞﾙﾌﾞﾎﾙﾀﾞｰﾌﾞﾗｹｯﾄ</t>
    <phoneticPr fontId="16"/>
  </si>
  <si>
    <t xml:space="preserve">MS3-10 </t>
    <phoneticPr fontId="16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</si>
  <si>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6"/>
  </si>
  <si>
    <t>8日間</t>
    <rPh sb="1" eb="2">
      <t>ヒ</t>
    </rPh>
    <rPh sb="2" eb="3">
      <t>カン</t>
    </rPh>
    <phoneticPr fontId="16"/>
  </si>
  <si>
    <t xml:space="preserve">MVBLK-AMW-2GL-8WK59    </t>
    <phoneticPr fontId="16"/>
  </si>
  <si>
    <t xml:space="preserve"> SETB0047-Y04　SV51、SV70、SV91、SV97用ホルダ(P=25)</t>
    <rPh sb="33" eb="34">
      <t>ヨウ</t>
    </rPh>
    <phoneticPr fontId="2"/>
  </si>
  <si>
    <t xml:space="preserve">SCB6-10 </t>
    <phoneticPr fontId="16"/>
  </si>
  <si>
    <t>MS3-35</t>
    <phoneticPr fontId="16"/>
  </si>
  <si>
    <t>ノックピン　4本</t>
    <rPh sb="7" eb="8">
      <t>ホン</t>
    </rPh>
    <phoneticPr fontId="16"/>
  </si>
  <si>
    <t>MVBLK-AMW-2UH-KM5D8</t>
    <phoneticPr fontId="16"/>
  </si>
  <si>
    <t>SETB0075-Y07 ｶﾑﾌｧﾛｱ固定ﾌﾞﾛｯｸ</t>
    <phoneticPr fontId="16"/>
  </si>
  <si>
    <t>C-CFA5-13</t>
    <phoneticPr fontId="16"/>
  </si>
  <si>
    <t>カムフォロア　頭部六角穴付　フラットタイプ　2個</t>
    <rPh sb="23" eb="24">
      <t>コ</t>
    </rPh>
    <phoneticPr fontId="16"/>
  </si>
  <si>
    <t>CFBRA5-40</t>
    <phoneticPr fontId="16"/>
  </si>
  <si>
    <t>カムフォロア用ブラケット　2個</t>
    <rPh sb="14" eb="15">
      <t>コ</t>
    </rPh>
    <phoneticPr fontId="16"/>
  </si>
  <si>
    <t>SBCB5-10</t>
    <phoneticPr fontId="16"/>
  </si>
  <si>
    <t>六角穴付ボタンボルト　－ステンレス　4本</t>
    <rPh sb="19" eb="20">
      <t>ホン</t>
    </rPh>
    <phoneticPr fontId="16"/>
  </si>
  <si>
    <t>MVBLK-AMW-2UH-M913F</t>
    <phoneticPr fontId="16"/>
  </si>
  <si>
    <t>SETB0075-Y08 ｶﾑﾌｧﾛｱｶﾞｲﾄﾞ</t>
    <phoneticPr fontId="16"/>
  </si>
  <si>
    <t>MVSHM-3N02006011031-2UH-4UG7Z</t>
    <phoneticPr fontId="16"/>
  </si>
  <si>
    <t>SETB0075-Y09 右側ｶﾞｲﾄﾞｶﾊﾞｰ</t>
    <phoneticPr fontId="16"/>
  </si>
  <si>
    <t>MVSHM-3N02006011031-2UH-DFW1R</t>
    <phoneticPr fontId="16"/>
  </si>
  <si>
    <t>SETB0075-Y10 左側ｶﾞｲﾄﾞｶﾊﾞｰ</t>
    <phoneticPr fontId="16"/>
  </si>
  <si>
    <t>SUNCO</t>
    <phoneticPr fontId="16"/>
  </si>
  <si>
    <t>CSHCS-SUS-M3-4</t>
    <phoneticPr fontId="16"/>
  </si>
  <si>
    <t>六角穴付皿ボルト　  2本　×2SET　</t>
    <phoneticPr fontId="16"/>
  </si>
  <si>
    <t>SFB3-8</t>
    <phoneticPr fontId="16"/>
  </si>
  <si>
    <t>六角穴付皿ボルト　  9本　×2SET　</t>
    <phoneticPr fontId="16"/>
  </si>
  <si>
    <t>SCB4-20</t>
    <phoneticPr fontId="16"/>
  </si>
  <si>
    <t>MVSHM-3N02054-37F-R3R62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</si>
  <si>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-Y11 上部ｶﾞｲﾄﾞｶﾊﾞｰ</t>
    </r>
    <rPh sb="13" eb="14">
      <t>ウエ</t>
    </rPh>
    <rPh sb="14" eb="15">
      <t>ブ</t>
    </rPh>
    <phoneticPr fontId="16"/>
  </si>
  <si>
    <t>RACW30-40-10</t>
    <phoneticPr fontId="16"/>
  </si>
  <si>
    <t>リブ　　2個</t>
    <rPh sb="5" eb="6">
      <t>コ</t>
    </rPh>
    <phoneticPr fontId="2"/>
  </si>
  <si>
    <t>PSSFGW10-44-M5-N5-WRC11-Y4</t>
    <phoneticPr fontId="16"/>
  </si>
  <si>
    <t>シャフト　両端めねじタイプ</t>
    <phoneticPr fontId="16"/>
  </si>
  <si>
    <t>MVSHM-3N03002011027-2UK-1UMGD</t>
    <phoneticPr fontId="2"/>
  </si>
  <si>
    <t>SETB0075-Z01 電磁弁+レギュラーﾕﾆｯﾄ取付板金</t>
    <phoneticPr fontId="16"/>
  </si>
  <si>
    <t>SCB4-5</t>
    <phoneticPr fontId="16"/>
  </si>
  <si>
    <t>SBCB5-8</t>
    <phoneticPr fontId="16"/>
  </si>
  <si>
    <t>六角穴付ボタンボルト　６本</t>
    <rPh sb="12" eb="13">
      <t>ホン</t>
    </rPh>
    <phoneticPr fontId="16"/>
  </si>
  <si>
    <t>六角穴付きボルト ステンレス　２本</t>
    <rPh sb="16" eb="17">
      <t>ホン</t>
    </rPh>
    <phoneticPr fontId="16"/>
  </si>
  <si>
    <t>MNCNL4-M5</t>
    <phoneticPr fontId="2"/>
  </si>
  <si>
    <t>ミニチュアワンタッチ継手　エルボ　　2個</t>
    <rPh sb="19" eb="20">
      <t>コ</t>
    </rPh>
    <phoneticPr fontId="16"/>
  </si>
  <si>
    <t>MNCNL6-M5</t>
    <phoneticPr fontId="2"/>
  </si>
  <si>
    <t>ミニチュアワンタッチ継手　エルボ　3個</t>
    <rPh sb="18" eb="19">
      <t>コ</t>
    </rPh>
    <phoneticPr fontId="16"/>
  </si>
  <si>
    <t xml:space="preserve">APMTS-N1-T1 </t>
    <phoneticPr fontId="2"/>
  </si>
  <si>
    <t>六角穴付ボルト　1本</t>
    <rPh sb="9" eb="10">
      <t>ホン</t>
    </rPh>
    <phoneticPr fontId="16"/>
  </si>
  <si>
    <t xml:space="preserve">APMTS-N1-Ｎ1 </t>
    <phoneticPr fontId="2"/>
  </si>
  <si>
    <t>2日間</t>
    <rPh sb="1" eb="2">
      <t>ヒ</t>
    </rPh>
    <rPh sb="2" eb="3">
      <t>カン</t>
    </rPh>
    <phoneticPr fontId="16"/>
  </si>
  <si>
    <t>PDDU-PT-MS-9-2-02S</t>
    <phoneticPr fontId="2"/>
  </si>
  <si>
    <t>Dsub9　オス　コネクタハーネス　#4-40ショートねじ</t>
    <phoneticPr fontId="2"/>
  </si>
  <si>
    <t>Dsubコネクタハーネス　M2.6ショートネジ</t>
    <phoneticPr fontId="2"/>
  </si>
  <si>
    <t>1日間</t>
    <rPh sb="1" eb="2">
      <t>ヒ</t>
    </rPh>
    <rPh sb="2" eb="3">
      <t>カン</t>
    </rPh>
    <phoneticPr fontId="16"/>
  </si>
  <si>
    <t>MWS-DS37A-HT37</t>
    <phoneticPr fontId="2"/>
  </si>
  <si>
    <t>Dsubコネクタ端子台</t>
    <rPh sb="8" eb="10">
      <t>タンシ</t>
    </rPh>
    <rPh sb="10" eb="11">
      <t>ダイ</t>
    </rPh>
    <phoneticPr fontId="2"/>
  </si>
  <si>
    <t>DINレール</t>
    <phoneticPr fontId="2"/>
  </si>
  <si>
    <t>EBS-32FB-10A</t>
    <phoneticPr fontId="2"/>
  </si>
  <si>
    <t>漏電ブレーカ</t>
    <rPh sb="0" eb="2">
      <t>ロウデン</t>
    </rPh>
    <phoneticPr fontId="2"/>
  </si>
  <si>
    <t>TBS-22</t>
    <phoneticPr fontId="2"/>
  </si>
  <si>
    <t xml:space="preserve">漏電ブレーカ　ｶﾊﾞｰ  1セット </t>
    <phoneticPr fontId="2"/>
  </si>
  <si>
    <t>BVHVU6-3</t>
    <phoneticPr fontId="2"/>
  </si>
  <si>
    <t>ハンドバルブ　φ6　　　1個</t>
    <rPh sb="13" eb="14">
      <t>コ</t>
    </rPh>
    <phoneticPr fontId="2"/>
  </si>
  <si>
    <t>チェリック</t>
    <phoneticPr fontId="16"/>
  </si>
  <si>
    <t>CNYW6-6</t>
    <phoneticPr fontId="16"/>
  </si>
  <si>
    <t>ワンタッチ継手 R（PT）付二重Y型 CNYW</t>
    <phoneticPr fontId="16"/>
  </si>
  <si>
    <t>BSLG6</t>
    <phoneticPr fontId="16"/>
  </si>
  <si>
    <t>ワンタッチ継手　ブラインドプラグ　3個</t>
    <rPh sb="18" eb="19">
      <t>コ</t>
    </rPh>
    <phoneticPr fontId="16"/>
  </si>
  <si>
    <t>USSTL4</t>
    <phoneticPr fontId="2"/>
  </si>
  <si>
    <t>ﾜﾝﾀｯﾁ継手ﾕﾆｵﾝｽﾄﾚｰﾄ　2個</t>
    <rPh sb="5" eb="7">
      <t>ツギテ</t>
    </rPh>
    <rPh sb="18" eb="19">
      <t>コ</t>
    </rPh>
    <phoneticPr fontId="2"/>
  </si>
  <si>
    <t xml:space="preserve">HDV-2 </t>
    <phoneticPr fontId="2"/>
  </si>
  <si>
    <t>配線ダクト（側片折り取り可能）　1本　　カッチンダクト</t>
    <rPh sb="17" eb="18">
      <t>ホン</t>
    </rPh>
    <phoneticPr fontId="2"/>
  </si>
  <si>
    <t>PDDJ-PS-JS-37-2.5</t>
    <phoneticPr fontId="2"/>
  </si>
  <si>
    <t>MWI-COM-P10N10</t>
    <phoneticPr fontId="2"/>
  </si>
  <si>
    <t>コモン端子台　Pコモン、Nコモン分割　1対10ｘ2極</t>
    <phoneticPr fontId="2"/>
  </si>
  <si>
    <t>MRB-170</t>
    <phoneticPr fontId="2"/>
  </si>
  <si>
    <t>三沢電線</t>
    <rPh sb="0" eb="2">
      <t>ミサワ</t>
    </rPh>
    <rPh sb="2" eb="4">
      <t>デンセン</t>
    </rPh>
    <phoneticPr fontId="2"/>
  </si>
  <si>
    <t>UL1007-18AWG-R-10</t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</si>
  <si>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</si>
  <si>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UL1007-18AWG-BK-10</t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</si>
  <si>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</si>
  <si>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ST300RSB-24AWG-3-10</t>
    <phoneticPr fontId="2"/>
  </si>
  <si>
    <t>SCB3-12</t>
    <phoneticPr fontId="16"/>
  </si>
  <si>
    <t>M8丸型防水コネクタハーネス  ＳＶＥＭﾛﾝｸﾞ3m　TYPE</t>
    <phoneticPr fontId="2"/>
  </si>
  <si>
    <t>FSA-PS-350-220-150-K-WB2410280088</t>
    <phoneticPr fontId="16"/>
  </si>
  <si>
    <t>配電BOX  SETB0241</t>
    <phoneticPr fontId="2"/>
  </si>
  <si>
    <t>フランジボタン</t>
    <phoneticPr fontId="16"/>
  </si>
  <si>
    <t>日産ﾈｼﾞ</t>
    <rPh sb="0" eb="2">
      <t>ニッサン</t>
    </rPh>
    <phoneticPr fontId="16"/>
  </si>
  <si>
    <t>アルミフレーム　５シリーズ　正方形　20×60ｍｍ　１列溝　４面溝</t>
    <phoneticPr fontId="2"/>
  </si>
  <si>
    <t>アルミフレーム　５シリーズ　正方形　20×20ｍｍ　１列溝　４面溝</t>
    <phoneticPr fontId="2"/>
  </si>
  <si>
    <t>ADR-361-JP</t>
    <phoneticPr fontId="2"/>
  </si>
  <si>
    <t>止め金具　　　　　　6個</t>
    <rPh sb="0" eb="1">
      <t>ト</t>
    </rPh>
    <rPh sb="2" eb="4">
      <t>カナグ</t>
    </rPh>
    <rPh sb="11" eb="12">
      <t>コ</t>
    </rPh>
    <phoneticPr fontId="2"/>
  </si>
  <si>
    <t>MRB-80</t>
    <phoneticPr fontId="2"/>
  </si>
  <si>
    <t>SS300R　UL規格　小径・低価格</t>
    <phoneticPr fontId="2"/>
  </si>
  <si>
    <t>SS300 UL 小径・低価格</t>
    <phoneticPr fontId="2"/>
  </si>
  <si>
    <t>SS300-24-2-10</t>
    <phoneticPr fontId="2"/>
  </si>
  <si>
    <t>ACコード(プラグ）</t>
    <phoneticPr fontId="2"/>
  </si>
  <si>
    <t>3VC-3</t>
    <phoneticPr fontId="2"/>
  </si>
  <si>
    <t xml:space="preserve">六角穴付ボル  　　　　2本  </t>
    <rPh sb="13" eb="14">
      <t>ホン</t>
    </rPh>
    <phoneticPr fontId="16"/>
  </si>
  <si>
    <t>ねじ変換継手　1/8　NPT　PT</t>
    <phoneticPr fontId="2"/>
  </si>
  <si>
    <t>ねじ変換継手　1/8　NPT　ＮPT</t>
    <phoneticPr fontId="2"/>
  </si>
  <si>
    <t>FSC10-C-3</t>
    <phoneticPr fontId="2"/>
  </si>
  <si>
    <r>
      <t>CLMSC5-</t>
    </r>
    <r>
      <rPr>
        <sz val="11"/>
        <rFont val="ＭＳ Ｐゴシック"/>
        <family val="3"/>
        <charset val="128"/>
      </rPr>
      <t>12</t>
    </r>
    <r>
      <rPr>
        <sz val="11"/>
        <rFont val="ＭＳ Ｐゴシック"/>
        <family val="3"/>
        <charset val="128"/>
        <scheme val="minor"/>
      </rPr>
      <t>-B</t>
    </r>
    <phoneticPr fontId="2"/>
  </si>
  <si>
    <t>③</t>
    <phoneticPr fontId="7"/>
  </si>
  <si>
    <t>JAPPY</t>
    <phoneticPr fontId="2"/>
  </si>
  <si>
    <t>AB23CFAF69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</si>
</sst>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3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2"/>
      <color theme="9" tint="-0.499984740745262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15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0" fontId="15" fillId="0" borderId="1" xfId="2" applyBorder="1">
      <alignment vertical="center"/>
    </xf>
    <xf numFmtId="0" fontId="0" fillId="0" borderId="19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178" fontId="0" fillId="0" borderId="23" xfId="0" applyNumberForma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8" fontId="1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0" fontId="21" fillId="0" borderId="0" xfId="3">
      <alignment vertical="center"/>
    </xf>
    <xf numFmtId="179" fontId="0" fillId="0" borderId="13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8" fillId="0" borderId="17" xfId="0" applyFont="1" applyBorder="1" applyAlignment="1">
      <alignment vertical="center" shrinkToFit="1"/>
    </xf>
    <xf numFmtId="0" fontId="6" fillId="0" borderId="1" xfId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176" fontId="0" fillId="0" borderId="2" xfId="0" applyNumberFormat="1" applyBorder="1" applyAlignment="1"/>
    <xf numFmtId="0" fontId="15" fillId="0" borderId="1" xfId="0" applyFont="1" applyBorder="1" applyAlignment="1">
      <alignment horizontal="left" vertical="center" shrinkToFit="1"/>
    </xf>
    <xf numFmtId="0" fontId="18" fillId="0" borderId="17" xfId="0" applyFont="1" applyBorder="1" applyAlignment="1">
      <alignment vertical="center" shrinkToFit="1"/>
    </xf>
    <xf numFmtId="3" fontId="0" fillId="4" borderId="1" xfId="0" applyNumberForma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176" fontId="6" fillId="0" borderId="2" xfId="0" applyNumberFormat="1" applyFont="1" applyBorder="1" applyAlignment="1"/>
    <xf numFmtId="3" fontId="0" fillId="9" borderId="5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8" fillId="9" borderId="1" xfId="0" applyFont="1" applyFill="1" applyBorder="1">
      <alignment vertical="center"/>
    </xf>
    <xf numFmtId="3" fontId="0" fillId="0" borderId="19" xfId="0" applyNumberFormat="1" applyBorder="1" applyAlignment="1">
      <alignment horizontal="center" vertical="center"/>
    </xf>
    <xf numFmtId="38" fontId="15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12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183" fontId="18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1" xfId="0" applyFont="1" applyBorder="1">
      <alignment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179" fontId="0" fillId="9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Border="1" applyAlignment="1"/>
    <xf numFmtId="0" fontId="12" fillId="0" borderId="17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 shrinkToFit="1"/>
    </xf>
    <xf numFmtId="3" fontId="18" fillId="0" borderId="1" xfId="0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12" fillId="0" borderId="0" xfId="0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176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7" xfId="0" applyFont="1" applyBorder="1" applyAlignment="1">
      <alignment vertical="center" shrinkToFit="1"/>
    </xf>
    <xf numFmtId="3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>
      <alignment vertical="center"/>
    </xf>
    <xf numFmtId="0" fontId="18" fillId="0" borderId="2" xfId="0" applyFont="1" applyBorder="1" applyAlignment="1">
      <alignment horizontal="left" vertical="center"/>
    </xf>
    <xf numFmtId="0" fontId="6" fillId="0" borderId="3" xfId="1" applyBorder="1"/>
    <xf numFmtId="176" fontId="6" fillId="0" borderId="3" xfId="0" applyNumberFormat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76" fontId="6" fillId="0" borderId="4" xfId="0" applyNumberFormat="1" applyFont="1" applyBorder="1" applyAlignment="1"/>
    <xf numFmtId="0" fontId="6" fillId="0" borderId="3" xfId="1" applyBorder="1" applyAlignment="1">
      <alignment vertical="center"/>
    </xf>
    <xf numFmtId="176" fontId="18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shrinkToFit="1"/>
    </xf>
    <xf numFmtId="0" fontId="19" fillId="0" borderId="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15" fillId="0" borderId="1" xfId="0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3" fontId="18" fillId="0" borderId="1" xfId="0" applyNumberFormat="1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183" fontId="18" fillId="0" borderId="1" xfId="2" applyNumberFormat="1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shrinkToFit="1"/>
    </xf>
    <xf numFmtId="49" fontId="15" fillId="0" borderId="1" xfId="0" applyNumberFormat="1" applyFont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/>
    </xf>
    <xf numFmtId="3" fontId="12" fillId="4" borderId="13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>
      <alignment vertical="center"/>
    </xf>
    <xf numFmtId="176" fontId="13" fillId="7" borderId="8" xfId="0" applyNumberFormat="1" applyFont="1" applyFill="1" applyBorder="1">
      <alignment vertical="center"/>
    </xf>
    <xf numFmtId="176" fontId="13" fillId="7" borderId="9" xfId="0" applyNumberFormat="1" applyFont="1" applyFill="1" applyBorder="1">
      <alignment vertical="center"/>
    </xf>
    <xf numFmtId="0" fontId="30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183" fontId="18" fillId="0" borderId="3" xfId="0" applyNumberFormat="1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183" fontId="0" fillId="0" borderId="1" xfId="0" applyNumberFormat="1" applyBorder="1">
      <alignment vertical="center"/>
    </xf>
    <xf numFmtId="0" fontId="0" fillId="0" borderId="3" xfId="0" applyBorder="1" applyAlignment="1">
      <alignment horizontal="left" vertical="center"/>
    </xf>
    <xf numFmtId="183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183" fontId="18" fillId="0" borderId="5" xfId="0" applyNumberFormat="1" applyFont="1" applyBorder="1">
      <alignment vertical="center"/>
    </xf>
    <xf numFmtId="0" fontId="18" fillId="0" borderId="5" xfId="0" applyFont="1" applyBorder="1" applyAlignment="1">
      <alignment horizontal="center" vertical="center"/>
    </xf>
    <xf numFmtId="183" fontId="18" fillId="0" borderId="1" xfId="0" applyNumberFormat="1" applyFont="1" applyBorder="1">
      <alignment vertical="center"/>
    </xf>
    <xf numFmtId="0" fontId="12" fillId="4" borderId="1" xfId="0" applyFont="1" applyFill="1" applyBorder="1" applyAlignment="1">
      <alignment horizontal="center" vertical="center"/>
    </xf>
    <xf numFmtId="181" fontId="18" fillId="0" borderId="1" xfId="0" applyNumberFormat="1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83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14" fillId="6" borderId="1" xfId="0" applyFont="1" applyFill="1" applyBorder="1" applyAlignment="1">
      <alignment horizontal="center" vertical="center"/>
    </xf>
    <xf numFmtId="3" fontId="22" fillId="3" borderId="2" xfId="0" applyNumberFormat="1" applyFont="1" applyFill="1" applyBorder="1" applyAlignment="1">
      <alignment horizontal="center" vertical="center"/>
    </xf>
    <xf numFmtId="3" fontId="22" fillId="3" borderId="8" xfId="0" applyNumberFormat="1" applyFont="1" applyFill="1" applyBorder="1" applyAlignment="1">
      <alignment horizontal="center" vertical="center"/>
    </xf>
    <xf numFmtId="3" fontId="22" fillId="3" borderId="9" xfId="0" applyNumberFormat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/>
    </xf>
    <xf numFmtId="0" fontId="20" fillId="3" borderId="9" xfId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176" fontId="13" fillId="7" borderId="22" xfId="0" applyNumberFormat="1" applyFont="1" applyFill="1" applyBorder="1" applyAlignment="1">
      <alignment horizontal="center" vertical="center"/>
    </xf>
    <xf numFmtId="176" fontId="13" fillId="7" borderId="20" xfId="0" applyNumberFormat="1" applyFont="1" applyFill="1" applyBorder="1" applyAlignment="1">
      <alignment horizontal="center" vertical="center"/>
    </xf>
    <xf numFmtId="176" fontId="13" fillId="7" borderId="27" xfId="0" applyNumberFormat="1" applyFont="1" applyFill="1" applyBorder="1" applyAlignment="1">
      <alignment horizontal="center" vertical="center"/>
    </xf>
    <xf numFmtId="3" fontId="22" fillId="8" borderId="2" xfId="0" applyNumberFormat="1" applyFont="1" applyFill="1" applyBorder="1" applyAlignment="1">
      <alignment horizontal="center" vertical="center"/>
    </xf>
    <xf numFmtId="3" fontId="22" fillId="8" borderId="8" xfId="0" applyNumberFormat="1" applyFont="1" applyFill="1" applyBorder="1" applyAlignment="1">
      <alignment horizontal="center" vertical="center"/>
    </xf>
    <xf numFmtId="3" fontId="22" fillId="8" borderId="9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23" fillId="4" borderId="1" xfId="0" applyNumberFormat="1" applyFont="1" applyFill="1" applyBorder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38" fontId="18" fillId="4" borderId="1" xfId="0" applyNumberFormat="1" applyFont="1" applyFill="1" applyBorder="1" applyAlignment="1">
      <alignment horizontal="center" vertical="center"/>
    </xf>
    <xf numFmtId="38" fontId="18" fillId="4" borderId="9" xfId="0" applyNumberFormat="1" applyFont="1" applyFill="1" applyBorder="1" applyAlignment="1">
      <alignment horizontal="center" vertical="center"/>
    </xf>
    <xf numFmtId="176" fontId="19" fillId="4" borderId="1" xfId="0" applyNumberFormat="1" applyFon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18" fillId="4" borderId="5" xfId="0" applyNumberFormat="1" applyFont="1" applyFill="1" applyBorder="1">
      <alignment vertical="center"/>
    </xf>
    <xf numFmtId="176" fontId="18" fillId="4" borderId="1" xfId="0" applyNumberFormat="1" applyFont="1" applyFill="1" applyBorder="1">
      <alignment vertical="center"/>
    </xf>
    <xf numFmtId="176" fontId="0" fillId="4" borderId="1" xfId="0" applyNumberFormat="1" applyFill="1" applyBorder="1" applyAlignment="1">
      <alignment horizontal="right" vertical="center"/>
    </xf>
    <xf numFmtId="176" fontId="18" fillId="4" borderId="3" xfId="0" applyNumberFormat="1" applyFont="1" applyFill="1" applyBorder="1">
      <alignment vertical="center"/>
    </xf>
    <xf numFmtId="176" fontId="18" fillId="4" borderId="1" xfId="0" applyNumberFormat="1" applyFont="1" applyFill="1" applyBorder="1" applyAlignment="1">
      <alignment horizontal="center" vertical="center"/>
    </xf>
    <xf numFmtId="176" fontId="15" fillId="4" borderId="1" xfId="0" applyNumberFormat="1" applyFont="1" applyFill="1" applyBorder="1" applyAlignment="1">
      <alignment horizontal="center" vertical="center"/>
    </xf>
    <xf numFmtId="176" fontId="18" fillId="4" borderId="17" xfId="0" applyNumberFormat="1" applyFont="1" applyFill="1" applyBorder="1" applyAlignment="1">
      <alignment horizontal="center" vertical="center"/>
    </xf>
    <xf numFmtId="176" fontId="0" fillId="4" borderId="17" xfId="0" applyNumberFormat="1" applyFill="1" applyBorder="1" applyAlignment="1">
      <alignment horizontal="center" vertical="center"/>
    </xf>
    <xf numFmtId="182" fontId="18" fillId="4" borderId="1" xfId="0" applyNumberFormat="1" applyFont="1" applyFill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56" fontId="0" fillId="0" borderId="25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A9F2-5C1E-4EBD-B6CE-7010555E8DD2}">
  <sheetPr>
    <tabColor theme="7" tint="0.59999389629810485"/>
  </sheetPr>
  <dimension ref="A2:S187"/>
  <sheetViews>
    <sheetView tabSelected="1" zoomScale="85" zoomScaleNormal="85" workbookViewId="0">
      <pane xSplit="12" ySplit="9" topLeftCell="N10" activePane="bottomRight" state="frozen"/>
      <selection pane="topRight" activeCell="K1" sqref="K1"/>
      <selection pane="bottomLeft" activeCell="A9" sqref="A9"/>
      <selection pane="bottomRight" activeCell="N12" sqref="N12"/>
    </sheetView>
  </sheetViews>
  <sheetFormatPr defaultRowHeight="13.2" x14ac:dyDescent="0.2"/>
  <cols>
    <col min="3" max="3" width="17.21875" customWidth="1"/>
    <col min="4" max="4" width="13.21875" style="3" customWidth="1"/>
    <col min="5" max="5" width="14.33203125" bestFit="1" customWidth="1"/>
    <col min="6" max="6" width="13.109375" bestFit="1" customWidth="1"/>
    <col min="7" max="7" width="52.33203125" customWidth="1"/>
    <col min="8" max="8" width="6.21875" style="3" customWidth="1"/>
    <col min="9" max="10" width="9.88671875" style="8" bestFit="1" customWidth="1"/>
    <col min="11" max="11" width="5.77734375" style="8" customWidth="1"/>
    <col min="12" max="12" width="49" customWidth="1"/>
    <col min="13" max="13" width="29.6640625" customWidth="1"/>
    <col min="14" max="14" width="25.77734375" style="3" customWidth="1"/>
    <col min="15" max="15" width="13.77734375" style="10" customWidth="1"/>
    <col min="16" max="16" width="8.44140625" customWidth="1"/>
    <col min="17" max="17" width="13.21875" style="8" customWidth="1"/>
    <col min="18" max="18" width="14.44140625" style="12" customWidth="1"/>
    <col min="19" max="19" width="15.6640625" style="13" customWidth="1"/>
  </cols>
  <sheetData>
    <row r="2" spans="1:19" ht="20.100000000000001" customHeight="1" x14ac:dyDescent="0.2">
      <c r="D2" s="208" t="s">
        <v>11</v>
      </c>
      <c r="E2" s="208"/>
      <c r="F2" s="208"/>
      <c r="G2" s="9" t="s">
        <v>26</v>
      </c>
      <c r="I2" s="209" t="s">
        <v>15</v>
      </c>
      <c r="J2" s="210"/>
      <c r="K2" s="211"/>
      <c r="L2" s="7">
        <f>SUM(J:J)</f>
        <v>339876</v>
      </c>
    </row>
    <row r="3" spans="1:19" ht="20.100000000000001" customHeight="1" x14ac:dyDescent="0.2">
      <c r="D3" s="208" t="s">
        <v>10</v>
      </c>
      <c r="E3" s="208"/>
      <c r="F3" s="208"/>
      <c r="G3" s="5" t="s">
        <v>25</v>
      </c>
    </row>
    <row r="4" spans="1:19" ht="20.100000000000001" customHeight="1" x14ac:dyDescent="0.2">
      <c r="D4" s="208" t="s">
        <v>12</v>
      </c>
      <c r="E4" s="208"/>
      <c r="F4" s="208"/>
      <c r="G4" s="43" t="s">
        <v>24</v>
      </c>
      <c r="J4" s="44"/>
      <c r="L4" s="212" t="s">
        <v>23</v>
      </c>
      <c r="M4" s="213"/>
    </row>
    <row r="5" spans="1:19" ht="20.100000000000001" customHeight="1" x14ac:dyDescent="0.2">
      <c r="D5" s="208" t="s">
        <v>13</v>
      </c>
      <c r="E5" s="208"/>
      <c r="F5" s="208"/>
      <c r="G5" s="6">
        <v>45615</v>
      </c>
      <c r="I5" s="216" t="s">
        <v>279</v>
      </c>
      <c r="J5" s="216"/>
      <c r="L5" s="214"/>
      <c r="M5" s="215"/>
    </row>
    <row r="6" spans="1:19" ht="20.100000000000001" customHeight="1" x14ac:dyDescent="0.2">
      <c r="D6" s="208" t="s">
        <v>14</v>
      </c>
      <c r="E6" s="208"/>
      <c r="F6" s="208"/>
      <c r="G6" s="6">
        <v>45617</v>
      </c>
      <c r="I6" s="216"/>
      <c r="J6" s="216"/>
      <c r="L6" s="15"/>
      <c r="M6" s="20"/>
    </row>
    <row r="7" spans="1:19" ht="20.100000000000001" customHeight="1" x14ac:dyDescent="0.2">
      <c r="D7" s="17"/>
      <c r="E7" s="17"/>
      <c r="F7" s="17"/>
      <c r="G7" s="16"/>
      <c r="L7" s="15"/>
      <c r="M7" s="20"/>
      <c r="N7" s="18"/>
    </row>
    <row r="9" spans="1:19" s="3" customFormat="1" ht="19.649999999999999" customHeight="1" x14ac:dyDescent="0.2">
      <c r="C9" s="1" t="s">
        <v>22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45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649999999999999" customHeight="1" x14ac:dyDescent="0.2">
      <c r="B10" s="42"/>
      <c r="C10" s="1"/>
      <c r="D10" s="4"/>
      <c r="E10" s="4"/>
      <c r="F10" s="4"/>
      <c r="G10" s="26"/>
      <c r="H10" s="1"/>
      <c r="I10" s="21"/>
      <c r="J10" s="46"/>
      <c r="K10" s="2"/>
      <c r="L10" s="25"/>
      <c r="M10" s="22"/>
      <c r="N10" s="4"/>
      <c r="O10" s="11"/>
      <c r="P10" s="4"/>
      <c r="Q10" s="19"/>
      <c r="R10" s="19"/>
      <c r="S10" s="14"/>
    </row>
    <row r="11" spans="1:19" s="3" customFormat="1" ht="19.5" customHeight="1" x14ac:dyDescent="0.2">
      <c r="A11"/>
      <c r="B11"/>
      <c r="C11"/>
      <c r="D11" s="226" t="s">
        <v>146</v>
      </c>
      <c r="E11" s="227"/>
      <c r="F11" s="227"/>
      <c r="G11" s="228"/>
      <c r="H11" s="135"/>
      <c r="I11" s="135"/>
      <c r="J11" s="136"/>
      <c r="K11" s="137"/>
      <c r="L11" s="138"/>
      <c r="M11" s="68"/>
      <c r="N11" s="57"/>
      <c r="O11" s="11"/>
      <c r="P11" s="102"/>
      <c r="Q11" s="52"/>
      <c r="R11" s="53"/>
      <c r="S11" s="55"/>
    </row>
    <row r="12" spans="1:19" s="3" customFormat="1" ht="19.5" customHeight="1" x14ac:dyDescent="0.2">
      <c r="A12" s="150" t="s">
        <v>147</v>
      </c>
      <c r="B12" s="169"/>
      <c r="C12" s="64">
        <v>3</v>
      </c>
      <c r="D12" s="185">
        <v>1</v>
      </c>
      <c r="E12" s="4" t="s">
        <v>28</v>
      </c>
      <c r="F12" s="4" t="s">
        <v>28</v>
      </c>
      <c r="G12" s="75" t="s">
        <v>148</v>
      </c>
      <c r="H12" s="149">
        <v>2</v>
      </c>
      <c r="I12" s="32">
        <v>1200</v>
      </c>
      <c r="J12" s="238">
        <f t="shared" ref="J12:J51" si="0">H12*I12</f>
        <v>2400</v>
      </c>
      <c r="K12" s="65"/>
      <c r="L12" s="86" t="s">
        <v>149</v>
      </c>
      <c r="M12" s="104"/>
      <c r="N12" s="259" t="s">
        <v>281</v>
      </c>
      <c r="O12" s="11">
        <v>45602</v>
      </c>
      <c r="P12" s="102"/>
      <c r="Q12" s="258">
        <v>45614</v>
      </c>
      <c r="R12" s="53">
        <v>45615</v>
      </c>
      <c r="S12" s="55"/>
    </row>
    <row r="13" spans="1:19" s="3" customFormat="1" ht="19.5" customHeight="1" x14ac:dyDescent="0.2">
      <c r="A13" s="150" t="s">
        <v>147</v>
      </c>
      <c r="B13" s="169"/>
      <c r="C13" s="64">
        <v>3</v>
      </c>
      <c r="D13" s="184">
        <f t="shared" ref="D13:D47" si="1">D12+1</f>
        <v>2</v>
      </c>
      <c r="E13" s="4" t="s">
        <v>28</v>
      </c>
      <c r="F13" s="4" t="s">
        <v>28</v>
      </c>
      <c r="G13" s="75" t="s">
        <v>150</v>
      </c>
      <c r="H13" s="149">
        <v>1</v>
      </c>
      <c r="I13" s="32">
        <v>1120</v>
      </c>
      <c r="J13" s="238">
        <f t="shared" si="0"/>
        <v>1120</v>
      </c>
      <c r="K13" s="65"/>
      <c r="L13" s="86" t="s">
        <v>151</v>
      </c>
      <c r="M13" s="104"/>
      <c r="N13" s="259" t="s">
        <v>281</v>
      </c>
      <c r="O13" s="11">
        <v>45602</v>
      </c>
      <c r="P13" s="102"/>
      <c r="Q13" s="258">
        <v>45614</v>
      </c>
      <c r="R13" s="53">
        <v>45615</v>
      </c>
      <c r="S13" s="55"/>
    </row>
    <row r="14" spans="1:19" s="3" customFormat="1" ht="19.5" customHeight="1" x14ac:dyDescent="0.2">
      <c r="A14" s="150" t="s">
        <v>147</v>
      </c>
      <c r="B14" s="169"/>
      <c r="C14" s="64">
        <v>3</v>
      </c>
      <c r="D14" s="184">
        <f>D13+1</f>
        <v>3</v>
      </c>
      <c r="E14" s="88" t="s">
        <v>54</v>
      </c>
      <c r="F14" s="4" t="s">
        <v>28</v>
      </c>
      <c r="G14" s="75" t="s">
        <v>152</v>
      </c>
      <c r="H14" s="32">
        <v>1</v>
      </c>
      <c r="I14" s="32">
        <v>15321</v>
      </c>
      <c r="J14" s="238">
        <f t="shared" si="0"/>
        <v>15321</v>
      </c>
      <c r="K14" s="85"/>
      <c r="L14" s="86" t="s">
        <v>153</v>
      </c>
      <c r="M14" s="104"/>
      <c r="N14" s="259" t="s">
        <v>281</v>
      </c>
      <c r="O14" s="11">
        <v>45602</v>
      </c>
      <c r="P14" s="102"/>
      <c r="Q14" s="258">
        <v>45614</v>
      </c>
      <c r="R14" s="53">
        <v>45615</v>
      </c>
      <c r="S14" s="55"/>
    </row>
    <row r="15" spans="1:19" s="3" customFormat="1" ht="19.5" customHeight="1" x14ac:dyDescent="0.2">
      <c r="A15" s="150" t="s">
        <v>76</v>
      </c>
      <c r="B15" s="169"/>
      <c r="C15" s="64">
        <v>3</v>
      </c>
      <c r="D15" s="184">
        <f t="shared" si="1"/>
        <v>4</v>
      </c>
      <c r="E15" s="4" t="s">
        <v>28</v>
      </c>
      <c r="F15" s="4" t="s">
        <v>28</v>
      </c>
      <c r="G15" s="75" t="s">
        <v>154</v>
      </c>
      <c r="H15" s="32">
        <v>2</v>
      </c>
      <c r="I15" s="32">
        <v>1320</v>
      </c>
      <c r="J15" s="238">
        <f t="shared" si="0"/>
        <v>2640</v>
      </c>
      <c r="K15" s="65"/>
      <c r="L15" s="86" t="s">
        <v>155</v>
      </c>
      <c r="M15" s="104"/>
      <c r="N15" s="259" t="s">
        <v>281</v>
      </c>
      <c r="O15" s="11">
        <v>45602</v>
      </c>
      <c r="P15" s="102"/>
      <c r="Q15" s="258">
        <v>45614</v>
      </c>
      <c r="R15" s="53">
        <v>45615</v>
      </c>
      <c r="S15" s="55"/>
    </row>
    <row r="16" spans="1:19" s="3" customFormat="1" ht="19.5" customHeight="1" x14ac:dyDescent="0.2">
      <c r="A16" s="1" t="s">
        <v>33</v>
      </c>
      <c r="B16" s="63"/>
      <c r="C16" s="64">
        <v>3</v>
      </c>
      <c r="D16" s="184">
        <f>D15+1</f>
        <v>5</v>
      </c>
      <c r="E16" s="4" t="s">
        <v>28</v>
      </c>
      <c r="F16" s="4" t="s">
        <v>28</v>
      </c>
      <c r="G16" s="106" t="s">
        <v>156</v>
      </c>
      <c r="H16" s="151">
        <v>3</v>
      </c>
      <c r="I16" s="32">
        <v>121</v>
      </c>
      <c r="J16" s="238">
        <f t="shared" si="0"/>
        <v>363</v>
      </c>
      <c r="K16" s="85"/>
      <c r="L16" s="139" t="s">
        <v>157</v>
      </c>
      <c r="M16" s="104"/>
      <c r="N16" s="259" t="s">
        <v>281</v>
      </c>
      <c r="O16" s="11">
        <v>45602</v>
      </c>
      <c r="P16" s="102"/>
      <c r="Q16" s="258">
        <v>45614</v>
      </c>
      <c r="R16" s="53">
        <v>45615</v>
      </c>
      <c r="S16" s="55"/>
    </row>
    <row r="17" spans="1:19" s="3" customFormat="1" ht="19.5" customHeight="1" x14ac:dyDescent="0.2">
      <c r="A17" s="150" t="s">
        <v>147</v>
      </c>
      <c r="B17" s="169"/>
      <c r="C17" s="64">
        <v>3</v>
      </c>
      <c r="D17" s="184">
        <f>D16+1</f>
        <v>6</v>
      </c>
      <c r="E17" s="88" t="s">
        <v>54</v>
      </c>
      <c r="F17" s="4" t="s">
        <v>28</v>
      </c>
      <c r="G17" s="75" t="s">
        <v>158</v>
      </c>
      <c r="H17" s="32">
        <v>1</v>
      </c>
      <c r="I17" s="32">
        <v>6380</v>
      </c>
      <c r="J17" s="238">
        <f t="shared" si="0"/>
        <v>6380</v>
      </c>
      <c r="K17" s="85"/>
      <c r="L17" s="86" t="s">
        <v>159</v>
      </c>
      <c r="M17" s="104"/>
      <c r="N17" s="259" t="s">
        <v>281</v>
      </c>
      <c r="O17" s="11">
        <v>45602</v>
      </c>
      <c r="P17" s="102"/>
      <c r="Q17" s="258">
        <v>45614</v>
      </c>
      <c r="R17" s="53">
        <v>45615</v>
      </c>
      <c r="S17" s="55"/>
    </row>
    <row r="18" spans="1:19" s="3" customFormat="1" ht="19.5" customHeight="1" x14ac:dyDescent="0.2">
      <c r="A18" s="1" t="s">
        <v>33</v>
      </c>
      <c r="B18" s="63"/>
      <c r="C18" s="64">
        <v>3</v>
      </c>
      <c r="D18" s="184">
        <f t="shared" si="1"/>
        <v>7</v>
      </c>
      <c r="E18" s="4" t="s">
        <v>28</v>
      </c>
      <c r="F18" s="4" t="s">
        <v>28</v>
      </c>
      <c r="G18" s="75" t="s">
        <v>160</v>
      </c>
      <c r="H18" s="32">
        <v>2</v>
      </c>
      <c r="I18" s="32">
        <v>183</v>
      </c>
      <c r="J18" s="238">
        <f t="shared" si="0"/>
        <v>366</v>
      </c>
      <c r="K18" s="85"/>
      <c r="L18" s="86" t="s">
        <v>161</v>
      </c>
      <c r="M18" s="104"/>
      <c r="N18" s="259" t="s">
        <v>281</v>
      </c>
      <c r="O18" s="11">
        <v>45602</v>
      </c>
      <c r="P18" s="102"/>
      <c r="Q18" s="258">
        <v>45614</v>
      </c>
      <c r="R18" s="53">
        <v>45615</v>
      </c>
      <c r="S18" s="55"/>
    </row>
    <row r="19" spans="1:19" s="3" customFormat="1" ht="19.5" customHeight="1" x14ac:dyDescent="0.2">
      <c r="A19" s="150" t="s">
        <v>147</v>
      </c>
      <c r="B19" s="169"/>
      <c r="C19" s="64">
        <v>3</v>
      </c>
      <c r="D19" s="184">
        <f>D18+1</f>
        <v>8</v>
      </c>
      <c r="E19" s="88" t="s">
        <v>54</v>
      </c>
      <c r="F19" s="4" t="s">
        <v>28</v>
      </c>
      <c r="G19" s="75" t="s">
        <v>162</v>
      </c>
      <c r="H19" s="32">
        <v>1</v>
      </c>
      <c r="I19" s="32">
        <v>6397</v>
      </c>
      <c r="J19" s="238">
        <f t="shared" si="0"/>
        <v>6397</v>
      </c>
      <c r="K19" s="85"/>
      <c r="L19" s="86" t="s">
        <v>163</v>
      </c>
      <c r="M19" s="104"/>
      <c r="N19" s="259" t="s">
        <v>281</v>
      </c>
      <c r="O19" s="11">
        <v>45602</v>
      </c>
      <c r="P19" s="102"/>
      <c r="Q19" s="258">
        <v>45614</v>
      </c>
      <c r="R19" s="53">
        <v>45615</v>
      </c>
      <c r="S19" s="55"/>
    </row>
    <row r="20" spans="1:19" s="3" customFormat="1" ht="19.5" customHeight="1" x14ac:dyDescent="0.2">
      <c r="A20" s="1" t="s">
        <v>33</v>
      </c>
      <c r="B20" s="63"/>
      <c r="C20" s="64">
        <v>3</v>
      </c>
      <c r="D20" s="184">
        <f>D19+1</f>
        <v>9</v>
      </c>
      <c r="E20" s="4" t="s">
        <v>28</v>
      </c>
      <c r="F20" s="4" t="s">
        <v>28</v>
      </c>
      <c r="G20" s="75" t="s">
        <v>45</v>
      </c>
      <c r="H20" s="32">
        <v>4</v>
      </c>
      <c r="I20" s="32">
        <v>155</v>
      </c>
      <c r="J20" s="238">
        <f t="shared" si="0"/>
        <v>620</v>
      </c>
      <c r="K20" s="85"/>
      <c r="L20" s="86" t="s">
        <v>164</v>
      </c>
      <c r="M20" s="104"/>
      <c r="N20" s="259" t="s">
        <v>281</v>
      </c>
      <c r="O20" s="11">
        <v>45602</v>
      </c>
      <c r="P20" s="102"/>
      <c r="Q20" s="258">
        <v>45614</v>
      </c>
      <c r="R20" s="53">
        <v>45615</v>
      </c>
      <c r="S20" s="55"/>
    </row>
    <row r="21" spans="1:19" s="3" customFormat="1" ht="19.5" customHeight="1" x14ac:dyDescent="0.2">
      <c r="A21" s="150" t="s">
        <v>165</v>
      </c>
      <c r="B21" s="169"/>
      <c r="C21" s="64">
        <v>3</v>
      </c>
      <c r="D21" s="184">
        <f>D20+1</f>
        <v>10</v>
      </c>
      <c r="E21" s="4" t="s">
        <v>28</v>
      </c>
      <c r="F21" s="4" t="s">
        <v>28</v>
      </c>
      <c r="G21" s="75" t="s">
        <v>166</v>
      </c>
      <c r="H21" s="32">
        <v>1</v>
      </c>
      <c r="I21" s="32">
        <v>2110</v>
      </c>
      <c r="J21" s="238">
        <f t="shared" si="0"/>
        <v>2110</v>
      </c>
      <c r="K21" s="85"/>
      <c r="L21" s="86" t="s">
        <v>167</v>
      </c>
      <c r="M21" s="104"/>
      <c r="N21" s="259" t="s">
        <v>281</v>
      </c>
      <c r="O21" s="11">
        <v>45602</v>
      </c>
      <c r="P21" s="102"/>
      <c r="Q21" s="258">
        <v>45614</v>
      </c>
      <c r="R21" s="53">
        <v>45615</v>
      </c>
      <c r="S21" s="55"/>
    </row>
    <row r="22" spans="1:19" s="3" customFormat="1" ht="19.5" customHeight="1" x14ac:dyDescent="0.2">
      <c r="A22" s="150" t="s">
        <v>147</v>
      </c>
      <c r="B22" s="169"/>
      <c r="C22" s="64">
        <v>3</v>
      </c>
      <c r="D22" s="184">
        <f t="shared" si="1"/>
        <v>11</v>
      </c>
      <c r="E22" s="88" t="s">
        <v>54</v>
      </c>
      <c r="F22" s="4" t="s">
        <v>28</v>
      </c>
      <c r="G22" s="75" t="s">
        <v>168</v>
      </c>
      <c r="H22" s="32">
        <v>1</v>
      </c>
      <c r="I22" s="32">
        <v>5771</v>
      </c>
      <c r="J22" s="238">
        <f t="shared" si="0"/>
        <v>5771</v>
      </c>
      <c r="K22" s="85"/>
      <c r="L22" s="86" t="s">
        <v>169</v>
      </c>
      <c r="M22" s="104"/>
      <c r="N22" s="259" t="s">
        <v>281</v>
      </c>
      <c r="O22" s="11">
        <v>45602</v>
      </c>
      <c r="P22" s="102"/>
      <c r="Q22" s="258">
        <v>45614</v>
      </c>
      <c r="R22" s="53">
        <v>45615</v>
      </c>
      <c r="S22" s="55"/>
    </row>
    <row r="23" spans="1:19" s="3" customFormat="1" ht="19.5" customHeight="1" x14ac:dyDescent="0.2">
      <c r="A23" s="1" t="s">
        <v>33</v>
      </c>
      <c r="B23" s="63"/>
      <c r="C23" s="64">
        <v>3</v>
      </c>
      <c r="D23" s="184">
        <f t="shared" si="1"/>
        <v>12</v>
      </c>
      <c r="E23" s="4" t="s">
        <v>28</v>
      </c>
      <c r="F23" s="4" t="s">
        <v>28</v>
      </c>
      <c r="G23" s="75" t="s">
        <v>170</v>
      </c>
      <c r="H23" s="32">
        <v>1</v>
      </c>
      <c r="I23" s="149">
        <v>165</v>
      </c>
      <c r="J23" s="238">
        <f t="shared" si="0"/>
        <v>165</v>
      </c>
      <c r="K23" s="85"/>
      <c r="L23" s="139" t="s">
        <v>171</v>
      </c>
      <c r="M23" s="104"/>
      <c r="N23" s="259" t="s">
        <v>281</v>
      </c>
      <c r="O23" s="11">
        <v>45602</v>
      </c>
      <c r="P23" s="102"/>
      <c r="Q23" s="258">
        <v>45614</v>
      </c>
      <c r="R23" s="53">
        <v>45615</v>
      </c>
      <c r="S23" s="55"/>
    </row>
    <row r="24" spans="1:19" s="3" customFormat="1" ht="19.5" customHeight="1" x14ac:dyDescent="0.2">
      <c r="A24" s="1" t="s">
        <v>33</v>
      </c>
      <c r="B24" s="63"/>
      <c r="C24" s="64">
        <v>3</v>
      </c>
      <c r="D24" s="184">
        <f>D23+1</f>
        <v>13</v>
      </c>
      <c r="E24" s="4" t="s">
        <v>28</v>
      </c>
      <c r="F24" s="4" t="s">
        <v>28</v>
      </c>
      <c r="G24" s="75" t="s">
        <v>172</v>
      </c>
      <c r="H24" s="32">
        <v>1</v>
      </c>
      <c r="I24" s="32">
        <v>590</v>
      </c>
      <c r="J24" s="238">
        <f t="shared" si="0"/>
        <v>590</v>
      </c>
      <c r="K24" s="85"/>
      <c r="L24" s="86" t="s">
        <v>173</v>
      </c>
      <c r="M24" s="104"/>
      <c r="N24" s="259" t="s">
        <v>281</v>
      </c>
      <c r="O24" s="11">
        <v>45602</v>
      </c>
      <c r="P24" s="102"/>
      <c r="Q24" s="258">
        <v>45614</v>
      </c>
      <c r="R24" s="53">
        <v>45615</v>
      </c>
      <c r="S24" s="55"/>
    </row>
    <row r="25" spans="1:19" s="3" customFormat="1" ht="19.5" customHeight="1" x14ac:dyDescent="0.2">
      <c r="A25" s="150" t="s">
        <v>147</v>
      </c>
      <c r="B25" s="169"/>
      <c r="C25" s="64">
        <v>3</v>
      </c>
      <c r="D25" s="184">
        <f t="shared" si="1"/>
        <v>14</v>
      </c>
      <c r="E25" s="88" t="s">
        <v>54</v>
      </c>
      <c r="F25" s="4" t="s">
        <v>28</v>
      </c>
      <c r="G25" s="75" t="s">
        <v>174</v>
      </c>
      <c r="H25" s="32">
        <v>1</v>
      </c>
      <c r="I25" s="32">
        <v>6289</v>
      </c>
      <c r="J25" s="238">
        <f t="shared" si="0"/>
        <v>6289</v>
      </c>
      <c r="K25" s="85"/>
      <c r="L25" s="86" t="s">
        <v>175</v>
      </c>
      <c r="M25" s="104"/>
      <c r="N25" s="259" t="s">
        <v>281</v>
      </c>
      <c r="O25" s="11">
        <v>45602</v>
      </c>
      <c r="P25" s="102"/>
      <c r="Q25" s="258">
        <v>45614</v>
      </c>
      <c r="R25" s="53">
        <v>45615</v>
      </c>
      <c r="S25" s="55"/>
    </row>
    <row r="26" spans="1:19" s="3" customFormat="1" ht="19.5" customHeight="1" x14ac:dyDescent="0.2">
      <c r="A26" s="150" t="s">
        <v>147</v>
      </c>
      <c r="B26" s="169"/>
      <c r="C26" s="64">
        <v>3</v>
      </c>
      <c r="D26" s="184">
        <f t="shared" si="1"/>
        <v>15</v>
      </c>
      <c r="E26" s="88" t="s">
        <v>54</v>
      </c>
      <c r="F26" s="4" t="s">
        <v>28</v>
      </c>
      <c r="G26" s="183" t="s">
        <v>176</v>
      </c>
      <c r="H26" s="149">
        <v>1</v>
      </c>
      <c r="I26" s="32">
        <v>4957</v>
      </c>
      <c r="J26" s="238">
        <f t="shared" si="0"/>
        <v>4957</v>
      </c>
      <c r="K26" s="85"/>
      <c r="L26" s="86" t="s">
        <v>177</v>
      </c>
      <c r="M26" s="104"/>
      <c r="N26" s="259" t="s">
        <v>281</v>
      </c>
      <c r="O26" s="11">
        <v>45602</v>
      </c>
      <c r="P26" s="102"/>
      <c r="Q26" s="258">
        <v>45614</v>
      </c>
      <c r="R26" s="53">
        <v>45615</v>
      </c>
      <c r="S26" s="55"/>
    </row>
    <row r="27" spans="1:19" s="3" customFormat="1" ht="19.5" customHeight="1" x14ac:dyDescent="0.2">
      <c r="A27" s="1" t="s">
        <v>33</v>
      </c>
      <c r="B27" s="63"/>
      <c r="C27" s="64">
        <v>3</v>
      </c>
      <c r="D27" s="184">
        <f t="shared" si="1"/>
        <v>16</v>
      </c>
      <c r="E27" s="4" t="s">
        <v>28</v>
      </c>
      <c r="F27" s="4" t="s">
        <v>28</v>
      </c>
      <c r="G27" s="75" t="s">
        <v>178</v>
      </c>
      <c r="H27" s="149">
        <v>45</v>
      </c>
      <c r="I27" s="32">
        <v>23</v>
      </c>
      <c r="J27" s="238">
        <f t="shared" si="0"/>
        <v>1035</v>
      </c>
      <c r="K27" s="85"/>
      <c r="L27" s="86" t="s">
        <v>179</v>
      </c>
      <c r="M27" s="104"/>
      <c r="N27" s="259" t="s">
        <v>281</v>
      </c>
      <c r="O27" s="11">
        <v>45602</v>
      </c>
      <c r="P27" s="102"/>
      <c r="Q27" s="258">
        <v>45614</v>
      </c>
      <c r="R27" s="53">
        <v>45615</v>
      </c>
      <c r="S27" s="55"/>
    </row>
    <row r="28" spans="1:19" s="3" customFormat="1" ht="19.5" customHeight="1" x14ac:dyDescent="0.2">
      <c r="A28" s="150" t="s">
        <v>180</v>
      </c>
      <c r="B28" s="169"/>
      <c r="C28" s="64">
        <v>3</v>
      </c>
      <c r="D28" s="184">
        <f>D27+1</f>
        <v>17</v>
      </c>
      <c r="E28" s="88" t="s">
        <v>54</v>
      </c>
      <c r="F28" s="4" t="s">
        <v>28</v>
      </c>
      <c r="G28" s="75" t="s">
        <v>181</v>
      </c>
      <c r="H28" s="149">
        <v>1</v>
      </c>
      <c r="I28" s="32">
        <v>8216</v>
      </c>
      <c r="J28" s="239">
        <f t="shared" si="0"/>
        <v>8216</v>
      </c>
      <c r="K28" s="65"/>
      <c r="L28" s="79" t="s">
        <v>182</v>
      </c>
      <c r="M28" s="104"/>
      <c r="N28" s="259" t="s">
        <v>281</v>
      </c>
      <c r="O28" s="11">
        <v>45602</v>
      </c>
      <c r="P28" s="102"/>
      <c r="Q28" s="258">
        <v>45614</v>
      </c>
      <c r="R28" s="53">
        <v>45615</v>
      </c>
      <c r="S28" s="55"/>
    </row>
    <row r="29" spans="1:19" s="3" customFormat="1" ht="19.5" customHeight="1" x14ac:dyDescent="0.2">
      <c r="A29" s="1" t="s">
        <v>33</v>
      </c>
      <c r="B29" s="63"/>
      <c r="C29" s="64">
        <v>3</v>
      </c>
      <c r="D29" s="184">
        <f>D28+1</f>
        <v>18</v>
      </c>
      <c r="E29" s="4" t="s">
        <v>28</v>
      </c>
      <c r="F29" s="4" t="s">
        <v>28</v>
      </c>
      <c r="G29" s="75" t="s">
        <v>183</v>
      </c>
      <c r="H29" s="32">
        <v>10</v>
      </c>
      <c r="I29" s="149">
        <v>25</v>
      </c>
      <c r="J29" s="239">
        <f t="shared" si="0"/>
        <v>250</v>
      </c>
      <c r="K29" s="65"/>
      <c r="L29" s="86" t="s">
        <v>223</v>
      </c>
      <c r="M29" s="104"/>
      <c r="N29" s="259" t="s">
        <v>281</v>
      </c>
      <c r="O29" s="11">
        <v>45602</v>
      </c>
      <c r="P29" s="102"/>
      <c r="Q29" s="258">
        <v>45614</v>
      </c>
      <c r="R29" s="53">
        <v>45615</v>
      </c>
      <c r="S29" s="55"/>
    </row>
    <row r="30" spans="1:19" s="3" customFormat="1" ht="19.5" customHeight="1" x14ac:dyDescent="0.2">
      <c r="A30" s="1" t="s">
        <v>33</v>
      </c>
      <c r="B30" s="63"/>
      <c r="C30" s="64">
        <v>3</v>
      </c>
      <c r="D30" s="184">
        <f t="shared" si="1"/>
        <v>19</v>
      </c>
      <c r="E30" s="4" t="s">
        <v>28</v>
      </c>
      <c r="F30" s="4" t="s">
        <v>28</v>
      </c>
      <c r="G30" s="75" t="s">
        <v>184</v>
      </c>
      <c r="H30" s="32">
        <v>4</v>
      </c>
      <c r="I30" s="32">
        <v>155</v>
      </c>
      <c r="J30" s="239">
        <f t="shared" si="0"/>
        <v>620</v>
      </c>
      <c r="K30" s="65"/>
      <c r="L30" s="86" t="s">
        <v>185</v>
      </c>
      <c r="M30" s="104"/>
      <c r="N30" s="259" t="s">
        <v>281</v>
      </c>
      <c r="O30" s="11">
        <v>45602</v>
      </c>
      <c r="P30" s="102"/>
      <c r="Q30" s="258">
        <v>45614</v>
      </c>
      <c r="R30" s="53">
        <v>45615</v>
      </c>
      <c r="S30" s="55"/>
    </row>
    <row r="31" spans="1:19" s="3" customFormat="1" ht="19.5" customHeight="1" x14ac:dyDescent="0.2">
      <c r="A31" s="150" t="s">
        <v>147</v>
      </c>
      <c r="B31" s="169"/>
      <c r="C31" s="64">
        <v>3</v>
      </c>
      <c r="D31" s="184">
        <f t="shared" si="1"/>
        <v>20</v>
      </c>
      <c r="E31" s="88" t="s">
        <v>54</v>
      </c>
      <c r="F31" s="4" t="s">
        <v>28</v>
      </c>
      <c r="G31" s="75" t="s">
        <v>186</v>
      </c>
      <c r="H31" s="149">
        <v>2</v>
      </c>
      <c r="I31" s="32">
        <v>4896</v>
      </c>
      <c r="J31" s="239">
        <f t="shared" si="0"/>
        <v>9792</v>
      </c>
      <c r="K31" s="65"/>
      <c r="L31" s="86" t="s">
        <v>187</v>
      </c>
      <c r="M31" s="104"/>
      <c r="N31" s="259" t="s">
        <v>281</v>
      </c>
      <c r="O31" s="11">
        <v>45602</v>
      </c>
      <c r="P31" s="102"/>
      <c r="Q31" s="258">
        <v>45614</v>
      </c>
      <c r="R31" s="53">
        <v>45615</v>
      </c>
      <c r="S31" s="55"/>
    </row>
    <row r="32" spans="1:19" s="3" customFormat="1" ht="19.5" customHeight="1" x14ac:dyDescent="0.2">
      <c r="A32" s="1" t="s">
        <v>33</v>
      </c>
      <c r="B32" s="63"/>
      <c r="C32" s="64">
        <v>3</v>
      </c>
      <c r="D32" s="184">
        <f t="shared" si="1"/>
        <v>21</v>
      </c>
      <c r="E32" s="4" t="s">
        <v>28</v>
      </c>
      <c r="F32" s="4" t="s">
        <v>28</v>
      </c>
      <c r="G32" s="75" t="s">
        <v>188</v>
      </c>
      <c r="H32" s="149">
        <v>2</v>
      </c>
      <c r="I32" s="32">
        <v>870</v>
      </c>
      <c r="J32" s="239">
        <f t="shared" si="0"/>
        <v>1740</v>
      </c>
      <c r="K32" s="65"/>
      <c r="L32" s="86" t="s">
        <v>189</v>
      </c>
      <c r="M32" s="104"/>
      <c r="N32" s="259" t="s">
        <v>281</v>
      </c>
      <c r="O32" s="11">
        <v>45602</v>
      </c>
      <c r="P32" s="102"/>
      <c r="Q32" s="258">
        <v>45614</v>
      </c>
      <c r="R32" s="53">
        <v>45615</v>
      </c>
      <c r="S32" s="55"/>
    </row>
    <row r="33" spans="1:19" s="3" customFormat="1" ht="19.5" customHeight="1" x14ac:dyDescent="0.2">
      <c r="A33" s="150" t="s">
        <v>165</v>
      </c>
      <c r="B33" s="169"/>
      <c r="C33" s="64">
        <v>3</v>
      </c>
      <c r="D33" s="184">
        <f t="shared" si="1"/>
        <v>22</v>
      </c>
      <c r="E33" s="4" t="s">
        <v>28</v>
      </c>
      <c r="F33" s="4" t="s">
        <v>28</v>
      </c>
      <c r="G33" s="75" t="s">
        <v>190</v>
      </c>
      <c r="H33" s="32">
        <v>2</v>
      </c>
      <c r="I33" s="32">
        <v>3680</v>
      </c>
      <c r="J33" s="239">
        <f t="shared" si="0"/>
        <v>7360</v>
      </c>
      <c r="K33" s="65"/>
      <c r="L33" s="86" t="s">
        <v>191</v>
      </c>
      <c r="M33" s="104"/>
      <c r="N33" s="259" t="s">
        <v>281</v>
      </c>
      <c r="O33" s="11">
        <v>45602</v>
      </c>
      <c r="P33" s="102"/>
      <c r="Q33" s="258">
        <v>45614</v>
      </c>
      <c r="R33" s="53">
        <v>45615</v>
      </c>
      <c r="S33" s="55"/>
    </row>
    <row r="34" spans="1:19" s="3" customFormat="1" ht="19.5" customHeight="1" x14ac:dyDescent="0.2">
      <c r="A34" s="1" t="s">
        <v>33</v>
      </c>
      <c r="B34" s="63"/>
      <c r="C34" s="64">
        <v>3</v>
      </c>
      <c r="D34" s="184">
        <f t="shared" si="1"/>
        <v>23</v>
      </c>
      <c r="E34" s="4" t="s">
        <v>28</v>
      </c>
      <c r="F34" s="4" t="s">
        <v>28</v>
      </c>
      <c r="G34" s="75" t="s">
        <v>192</v>
      </c>
      <c r="H34" s="32">
        <v>4</v>
      </c>
      <c r="I34" s="32">
        <v>36</v>
      </c>
      <c r="J34" s="239">
        <f t="shared" si="0"/>
        <v>144</v>
      </c>
      <c r="K34" s="65"/>
      <c r="L34" s="86" t="s">
        <v>193</v>
      </c>
      <c r="M34" s="104"/>
      <c r="N34" s="259" t="s">
        <v>281</v>
      </c>
      <c r="O34" s="11">
        <v>45602</v>
      </c>
      <c r="P34" s="102"/>
      <c r="Q34" s="258">
        <v>45614</v>
      </c>
      <c r="R34" s="53">
        <v>45615</v>
      </c>
      <c r="S34" s="55"/>
    </row>
    <row r="35" spans="1:19" s="3" customFormat="1" ht="19.5" customHeight="1" x14ac:dyDescent="0.2">
      <c r="A35" s="150" t="s">
        <v>147</v>
      </c>
      <c r="B35" s="169"/>
      <c r="C35" s="64">
        <v>3</v>
      </c>
      <c r="D35" s="184">
        <f>D34+1</f>
        <v>24</v>
      </c>
      <c r="E35" s="88" t="s">
        <v>54</v>
      </c>
      <c r="F35" s="4" t="s">
        <v>28</v>
      </c>
      <c r="G35" s="183" t="s">
        <v>194</v>
      </c>
      <c r="H35" s="32">
        <v>4</v>
      </c>
      <c r="I35" s="32">
        <v>3401</v>
      </c>
      <c r="J35" s="239">
        <f t="shared" si="0"/>
        <v>13604</v>
      </c>
      <c r="K35" s="65"/>
      <c r="L35" s="75" t="s">
        <v>195</v>
      </c>
      <c r="M35" s="104"/>
      <c r="N35" s="259" t="s">
        <v>281</v>
      </c>
      <c r="O35" s="11">
        <v>45602</v>
      </c>
      <c r="P35" s="102"/>
      <c r="Q35" s="258">
        <v>45614</v>
      </c>
      <c r="R35" s="53">
        <v>45615</v>
      </c>
      <c r="S35" s="55"/>
    </row>
    <row r="36" spans="1:19" s="3" customFormat="1" ht="19.5" customHeight="1" x14ac:dyDescent="0.2">
      <c r="A36" s="150" t="s">
        <v>49</v>
      </c>
      <c r="B36" s="169"/>
      <c r="C36" s="64">
        <v>3</v>
      </c>
      <c r="D36" s="184">
        <f t="shared" si="1"/>
        <v>25</v>
      </c>
      <c r="E36" s="88" t="s">
        <v>54</v>
      </c>
      <c r="F36" s="4" t="s">
        <v>28</v>
      </c>
      <c r="G36" s="75" t="s">
        <v>196</v>
      </c>
      <c r="H36" s="32">
        <v>1</v>
      </c>
      <c r="I36" s="32">
        <v>4640</v>
      </c>
      <c r="J36" s="238">
        <f t="shared" si="0"/>
        <v>4640</v>
      </c>
      <c r="K36" s="65"/>
      <c r="L36" s="75" t="s">
        <v>197</v>
      </c>
      <c r="M36" s="104"/>
      <c r="N36" s="259" t="s">
        <v>281</v>
      </c>
      <c r="O36" s="11">
        <v>45602</v>
      </c>
      <c r="P36" s="102"/>
      <c r="Q36" s="258">
        <v>45614</v>
      </c>
      <c r="R36" s="53">
        <v>45615</v>
      </c>
      <c r="S36" s="55"/>
    </row>
    <row r="37" spans="1:19" s="3" customFormat="1" ht="19.5" customHeight="1" x14ac:dyDescent="0.2">
      <c r="A37" s="150" t="s">
        <v>49</v>
      </c>
      <c r="B37" s="169"/>
      <c r="C37" s="64">
        <v>3</v>
      </c>
      <c r="D37" s="184">
        <f t="shared" si="1"/>
        <v>26</v>
      </c>
      <c r="E37" s="88" t="s">
        <v>54</v>
      </c>
      <c r="F37" s="4" t="s">
        <v>28</v>
      </c>
      <c r="G37" s="75" t="s">
        <v>198</v>
      </c>
      <c r="H37" s="32">
        <v>1</v>
      </c>
      <c r="I37" s="32">
        <v>4640</v>
      </c>
      <c r="J37" s="238">
        <f t="shared" si="0"/>
        <v>4640</v>
      </c>
      <c r="K37" s="65"/>
      <c r="L37" s="86" t="s">
        <v>199</v>
      </c>
      <c r="M37" s="104"/>
      <c r="N37" s="259" t="s">
        <v>281</v>
      </c>
      <c r="O37" s="11">
        <v>45602</v>
      </c>
      <c r="P37" s="102"/>
      <c r="Q37" s="258">
        <v>45614</v>
      </c>
      <c r="R37" s="53">
        <v>45615</v>
      </c>
      <c r="S37" s="55"/>
    </row>
    <row r="38" spans="1:19" s="3" customFormat="1" ht="19.5" customHeight="1" x14ac:dyDescent="0.2">
      <c r="A38" s="1" t="s">
        <v>33</v>
      </c>
      <c r="B38" s="63"/>
      <c r="C38" s="64">
        <v>3</v>
      </c>
      <c r="D38" s="184">
        <f t="shared" si="1"/>
        <v>27</v>
      </c>
      <c r="E38" s="72" t="s">
        <v>200</v>
      </c>
      <c r="F38" s="4" t="s">
        <v>28</v>
      </c>
      <c r="G38" s="75" t="s">
        <v>201</v>
      </c>
      <c r="H38" s="32">
        <v>4</v>
      </c>
      <c r="I38" s="32">
        <v>50</v>
      </c>
      <c r="J38" s="238">
        <f t="shared" si="0"/>
        <v>200</v>
      </c>
      <c r="K38" s="65"/>
      <c r="L38" s="86" t="s">
        <v>202</v>
      </c>
      <c r="M38" s="104"/>
      <c r="N38" s="259" t="s">
        <v>281</v>
      </c>
      <c r="O38" s="11">
        <v>45602</v>
      </c>
      <c r="P38" s="102"/>
      <c r="Q38" s="258">
        <v>45614</v>
      </c>
      <c r="R38" s="53">
        <v>45615</v>
      </c>
      <c r="S38" s="55"/>
    </row>
    <row r="39" spans="1:19" s="3" customFormat="1" ht="19.5" customHeight="1" x14ac:dyDescent="0.2">
      <c r="A39" s="1" t="s">
        <v>33</v>
      </c>
      <c r="B39" s="63"/>
      <c r="C39" s="64">
        <v>3</v>
      </c>
      <c r="D39" s="184">
        <f>D38+1</f>
        <v>28</v>
      </c>
      <c r="E39" s="4" t="s">
        <v>28</v>
      </c>
      <c r="F39" s="4" t="s">
        <v>28</v>
      </c>
      <c r="G39" s="75" t="s">
        <v>203</v>
      </c>
      <c r="H39" s="32">
        <v>20</v>
      </c>
      <c r="I39" s="32">
        <v>54</v>
      </c>
      <c r="J39" s="238">
        <f t="shared" si="0"/>
        <v>1080</v>
      </c>
      <c r="K39" s="65"/>
      <c r="L39" s="86" t="s">
        <v>204</v>
      </c>
      <c r="M39" s="104"/>
      <c r="N39" s="259" t="s">
        <v>281</v>
      </c>
      <c r="O39" s="11">
        <v>45602</v>
      </c>
      <c r="P39" s="102"/>
      <c r="Q39" s="258">
        <v>45614</v>
      </c>
      <c r="R39" s="53">
        <v>45615</v>
      </c>
      <c r="S39" s="55"/>
    </row>
    <row r="40" spans="1:19" s="3" customFormat="1" ht="19.5" customHeight="1" x14ac:dyDescent="0.2">
      <c r="A40" s="1" t="s">
        <v>33</v>
      </c>
      <c r="B40" s="63"/>
      <c r="C40" s="64">
        <v>3</v>
      </c>
      <c r="D40" s="184">
        <f t="shared" si="1"/>
        <v>29</v>
      </c>
      <c r="E40" s="4" t="s">
        <v>28</v>
      </c>
      <c r="F40" s="4" t="s">
        <v>28</v>
      </c>
      <c r="G40" s="106" t="s">
        <v>205</v>
      </c>
      <c r="H40" s="151">
        <v>10</v>
      </c>
      <c r="I40" s="32">
        <v>29</v>
      </c>
      <c r="J40" s="238">
        <f t="shared" si="0"/>
        <v>290</v>
      </c>
      <c r="K40" s="65"/>
      <c r="L40" s="182" t="s">
        <v>274</v>
      </c>
      <c r="M40" s="104"/>
      <c r="N40" s="259" t="s">
        <v>281</v>
      </c>
      <c r="O40" s="11">
        <v>45602</v>
      </c>
      <c r="P40" s="102"/>
      <c r="Q40" s="258">
        <v>45614</v>
      </c>
      <c r="R40" s="53">
        <v>45615</v>
      </c>
      <c r="S40" s="55"/>
    </row>
    <row r="41" spans="1:19" s="3" customFormat="1" ht="19.5" customHeight="1" x14ac:dyDescent="0.2">
      <c r="A41" s="150" t="s">
        <v>49</v>
      </c>
      <c r="B41" s="169"/>
      <c r="C41" s="64">
        <v>3</v>
      </c>
      <c r="D41" s="184">
        <f t="shared" si="1"/>
        <v>30</v>
      </c>
      <c r="E41" s="88" t="s">
        <v>54</v>
      </c>
      <c r="F41" s="4" t="s">
        <v>28</v>
      </c>
      <c r="G41" s="75" t="s">
        <v>206</v>
      </c>
      <c r="H41" s="32">
        <v>1</v>
      </c>
      <c r="I41" s="32">
        <v>2620</v>
      </c>
      <c r="J41" s="238">
        <f t="shared" si="0"/>
        <v>2620</v>
      </c>
      <c r="K41" s="65"/>
      <c r="L41" s="75" t="s">
        <v>207</v>
      </c>
      <c r="M41" s="104"/>
      <c r="N41" s="259" t="s">
        <v>281</v>
      </c>
      <c r="O41" s="11">
        <v>45602</v>
      </c>
      <c r="P41" s="102"/>
      <c r="Q41" s="258">
        <v>45614</v>
      </c>
      <c r="R41" s="53">
        <v>45615</v>
      </c>
      <c r="S41" s="55"/>
    </row>
    <row r="42" spans="1:19" s="3" customFormat="1" ht="19.5" customHeight="1" x14ac:dyDescent="0.2">
      <c r="A42" s="150" t="s">
        <v>66</v>
      </c>
      <c r="B42" s="169"/>
      <c r="C42" s="64">
        <v>3</v>
      </c>
      <c r="D42" s="184">
        <f>D41+1</f>
        <v>31</v>
      </c>
      <c r="E42" s="4" t="s">
        <v>28</v>
      </c>
      <c r="F42" s="4" t="s">
        <v>28</v>
      </c>
      <c r="G42" s="75" t="s">
        <v>208</v>
      </c>
      <c r="H42" s="32">
        <v>2</v>
      </c>
      <c r="I42" s="32">
        <v>1600</v>
      </c>
      <c r="J42" s="238">
        <f t="shared" si="0"/>
        <v>3200</v>
      </c>
      <c r="K42" s="65"/>
      <c r="L42" s="86" t="s">
        <v>209</v>
      </c>
      <c r="M42" s="104"/>
      <c r="N42" s="259" t="s">
        <v>281</v>
      </c>
      <c r="O42" s="11">
        <v>45602</v>
      </c>
      <c r="P42" s="102"/>
      <c r="Q42" s="258">
        <v>45614</v>
      </c>
      <c r="R42" s="53">
        <v>45615</v>
      </c>
      <c r="S42" s="55"/>
    </row>
    <row r="43" spans="1:19" s="3" customFormat="1" ht="19.5" customHeight="1" x14ac:dyDescent="0.2">
      <c r="A43" s="150" t="s">
        <v>49</v>
      </c>
      <c r="B43" s="169"/>
      <c r="C43" s="64">
        <v>3</v>
      </c>
      <c r="D43" s="184">
        <f t="shared" si="1"/>
        <v>32</v>
      </c>
      <c r="E43" s="4" t="s">
        <v>28</v>
      </c>
      <c r="F43" s="4" t="s">
        <v>28</v>
      </c>
      <c r="G43" s="75" t="s">
        <v>210</v>
      </c>
      <c r="H43" s="32">
        <v>1</v>
      </c>
      <c r="I43" s="32">
        <v>1960</v>
      </c>
      <c r="J43" s="238">
        <f t="shared" si="0"/>
        <v>1960</v>
      </c>
      <c r="K43" s="65"/>
      <c r="L43" s="86" t="s">
        <v>211</v>
      </c>
      <c r="M43" s="104"/>
      <c r="N43" s="259" t="s">
        <v>281</v>
      </c>
      <c r="O43" s="11">
        <v>45602</v>
      </c>
      <c r="P43" s="102"/>
      <c r="Q43" s="258">
        <v>45614</v>
      </c>
      <c r="R43" s="53">
        <v>45615</v>
      </c>
      <c r="S43" s="55"/>
    </row>
    <row r="44" spans="1:19" s="3" customFormat="1" ht="19.5" customHeight="1" x14ac:dyDescent="0.2">
      <c r="A44" s="150" t="s">
        <v>49</v>
      </c>
      <c r="B44" s="169"/>
      <c r="C44" s="64">
        <v>3</v>
      </c>
      <c r="D44" s="184">
        <f>D43+1</f>
        <v>33</v>
      </c>
      <c r="E44" s="88" t="s">
        <v>54</v>
      </c>
      <c r="F44" s="4" t="s">
        <v>28</v>
      </c>
      <c r="G44" s="75" t="s">
        <v>212</v>
      </c>
      <c r="H44" s="32">
        <v>1</v>
      </c>
      <c r="I44" s="151">
        <v>4070</v>
      </c>
      <c r="J44" s="238">
        <f>H44*I44</f>
        <v>4070</v>
      </c>
      <c r="K44" s="65"/>
      <c r="L44" s="86" t="s">
        <v>213</v>
      </c>
      <c r="M44" s="104"/>
      <c r="N44" s="259" t="s">
        <v>281</v>
      </c>
      <c r="O44" s="11">
        <v>45602</v>
      </c>
      <c r="P44" s="102"/>
      <c r="Q44" s="258">
        <v>45614</v>
      </c>
      <c r="R44" s="53">
        <v>45615</v>
      </c>
      <c r="S44" s="55"/>
    </row>
    <row r="45" spans="1:19" s="3" customFormat="1" ht="19.5" customHeight="1" x14ac:dyDescent="0.2">
      <c r="A45" s="1" t="s">
        <v>33</v>
      </c>
      <c r="B45" s="63"/>
      <c r="C45" s="64">
        <v>3</v>
      </c>
      <c r="D45" s="184">
        <f t="shared" si="1"/>
        <v>34</v>
      </c>
      <c r="E45" s="4" t="s">
        <v>28</v>
      </c>
      <c r="F45" s="4" t="s">
        <v>28</v>
      </c>
      <c r="G45" s="106" t="s">
        <v>214</v>
      </c>
      <c r="H45" s="151">
        <v>10</v>
      </c>
      <c r="I45" s="32">
        <v>35</v>
      </c>
      <c r="J45" s="238">
        <f t="shared" ref="J45:J47" si="2">H45*I45</f>
        <v>350</v>
      </c>
      <c r="K45" s="65"/>
      <c r="L45" s="182" t="s">
        <v>274</v>
      </c>
      <c r="M45" s="104"/>
      <c r="N45" s="259" t="s">
        <v>281</v>
      </c>
      <c r="O45" s="11">
        <v>45602</v>
      </c>
      <c r="P45" s="102"/>
      <c r="Q45" s="258">
        <v>45614</v>
      </c>
      <c r="R45" s="53">
        <v>45615</v>
      </c>
      <c r="S45" s="55"/>
    </row>
    <row r="46" spans="1:19" s="3" customFormat="1" ht="19.5" customHeight="1" x14ac:dyDescent="0.2">
      <c r="A46" s="1" t="s">
        <v>33</v>
      </c>
      <c r="B46" s="63"/>
      <c r="C46" s="64">
        <v>3</v>
      </c>
      <c r="D46" s="184">
        <f t="shared" si="1"/>
        <v>35</v>
      </c>
      <c r="E46" s="4" t="s">
        <v>28</v>
      </c>
      <c r="F46" s="4" t="s">
        <v>28</v>
      </c>
      <c r="G46" s="75" t="s">
        <v>215</v>
      </c>
      <c r="H46" s="32">
        <v>6</v>
      </c>
      <c r="I46" s="151">
        <v>41</v>
      </c>
      <c r="J46" s="238">
        <f t="shared" si="2"/>
        <v>246</v>
      </c>
      <c r="K46" s="65"/>
      <c r="L46" s="86" t="s">
        <v>216</v>
      </c>
      <c r="M46" s="104"/>
      <c r="N46" s="259" t="s">
        <v>281</v>
      </c>
      <c r="O46" s="11">
        <v>45602</v>
      </c>
      <c r="P46" s="102"/>
      <c r="Q46" s="258">
        <v>45614</v>
      </c>
      <c r="R46" s="53">
        <v>45615</v>
      </c>
      <c r="S46" s="55"/>
    </row>
    <row r="47" spans="1:19" s="3" customFormat="1" ht="19.5" customHeight="1" x14ac:dyDescent="0.2">
      <c r="A47" s="1" t="s">
        <v>33</v>
      </c>
      <c r="B47" s="63"/>
      <c r="C47" s="64">
        <v>3</v>
      </c>
      <c r="D47" s="184">
        <f t="shared" si="1"/>
        <v>36</v>
      </c>
      <c r="E47" s="4" t="s">
        <v>28</v>
      </c>
      <c r="F47" s="4" t="s">
        <v>28</v>
      </c>
      <c r="G47" s="75" t="s">
        <v>258</v>
      </c>
      <c r="H47" s="32">
        <v>10</v>
      </c>
      <c r="I47" s="151">
        <v>25</v>
      </c>
      <c r="J47" s="238">
        <f t="shared" si="2"/>
        <v>250</v>
      </c>
      <c r="K47" s="65"/>
      <c r="L47" s="86" t="s">
        <v>217</v>
      </c>
      <c r="M47" s="104"/>
      <c r="N47" s="259" t="s">
        <v>281</v>
      </c>
      <c r="O47" s="11">
        <v>45602</v>
      </c>
      <c r="P47" s="102"/>
      <c r="Q47" s="258">
        <v>45614</v>
      </c>
      <c r="R47" s="53">
        <v>45615</v>
      </c>
      <c r="S47" s="55"/>
    </row>
    <row r="48" spans="1:19" s="3" customFormat="1" ht="19.5" customHeight="1" x14ac:dyDescent="0.2">
      <c r="A48" s="1" t="s">
        <v>33</v>
      </c>
      <c r="B48" s="63"/>
      <c r="C48" s="64">
        <v>3</v>
      </c>
      <c r="D48" s="184">
        <f>D47+1</f>
        <v>37</v>
      </c>
      <c r="E48" s="4" t="s">
        <v>28</v>
      </c>
      <c r="F48" s="4" t="s">
        <v>28</v>
      </c>
      <c r="G48" s="75" t="s">
        <v>218</v>
      </c>
      <c r="H48" s="1">
        <v>2</v>
      </c>
      <c r="I48" s="78">
        <v>290</v>
      </c>
      <c r="J48" s="240">
        <f t="shared" si="0"/>
        <v>580</v>
      </c>
      <c r="K48" s="65"/>
      <c r="L48" s="86" t="s">
        <v>219</v>
      </c>
      <c r="M48" s="104"/>
      <c r="N48" s="259" t="s">
        <v>281</v>
      </c>
      <c r="O48" s="11">
        <v>45602</v>
      </c>
      <c r="P48" s="102"/>
      <c r="Q48" s="258">
        <v>45614</v>
      </c>
      <c r="R48" s="53">
        <v>45615</v>
      </c>
      <c r="S48" s="55"/>
    </row>
    <row r="49" spans="1:19" s="3" customFormat="1" ht="19.5" customHeight="1" x14ac:dyDescent="0.2">
      <c r="A49" s="1" t="s">
        <v>33</v>
      </c>
      <c r="B49" s="63"/>
      <c r="C49" s="64">
        <v>3</v>
      </c>
      <c r="D49" s="184">
        <f t="shared" ref="D49:D51" si="3">D48+1</f>
        <v>38</v>
      </c>
      <c r="E49" s="4" t="s">
        <v>28</v>
      </c>
      <c r="F49" s="4" t="s">
        <v>28</v>
      </c>
      <c r="G49" s="75" t="s">
        <v>220</v>
      </c>
      <c r="H49" s="1">
        <v>3</v>
      </c>
      <c r="I49" s="78">
        <v>290</v>
      </c>
      <c r="J49" s="240">
        <f t="shared" si="0"/>
        <v>870</v>
      </c>
      <c r="K49" s="65"/>
      <c r="L49" s="86" t="s">
        <v>221</v>
      </c>
      <c r="M49" s="104"/>
      <c r="N49" s="259" t="s">
        <v>281</v>
      </c>
      <c r="O49" s="11">
        <v>45602</v>
      </c>
      <c r="P49" s="102"/>
      <c r="Q49" s="258">
        <v>45614</v>
      </c>
      <c r="R49" s="53">
        <v>45615</v>
      </c>
      <c r="S49" s="55"/>
    </row>
    <row r="50" spans="1:19" s="3" customFormat="1" ht="19.5" customHeight="1" x14ac:dyDescent="0.2">
      <c r="A50" s="150" t="s">
        <v>33</v>
      </c>
      <c r="B50" s="169"/>
      <c r="C50" s="64">
        <v>3</v>
      </c>
      <c r="D50" s="184">
        <f t="shared" si="3"/>
        <v>39</v>
      </c>
      <c r="E50" s="140" t="s">
        <v>28</v>
      </c>
      <c r="F50" s="140" t="s">
        <v>28</v>
      </c>
      <c r="G50" s="91" t="s">
        <v>222</v>
      </c>
      <c r="H50" s="92">
        <v>1</v>
      </c>
      <c r="I50" s="92">
        <v>1070</v>
      </c>
      <c r="J50" s="241">
        <f t="shared" si="0"/>
        <v>1070</v>
      </c>
      <c r="K50" s="74"/>
      <c r="L50" s="91" t="s">
        <v>275</v>
      </c>
      <c r="M50" s="90"/>
      <c r="N50" s="259" t="s">
        <v>281</v>
      </c>
      <c r="O50" s="11">
        <v>45602</v>
      </c>
      <c r="P50" s="102"/>
      <c r="Q50" s="258">
        <v>45614</v>
      </c>
      <c r="R50" s="53">
        <v>45615</v>
      </c>
      <c r="S50" s="55"/>
    </row>
    <row r="51" spans="1:19" s="3" customFormat="1" ht="19.5" customHeight="1" x14ac:dyDescent="0.2">
      <c r="A51" s="150" t="s">
        <v>33</v>
      </c>
      <c r="B51" s="169"/>
      <c r="C51" s="64">
        <v>3</v>
      </c>
      <c r="D51" s="184">
        <f t="shared" si="3"/>
        <v>40</v>
      </c>
      <c r="E51" s="140" t="s">
        <v>28</v>
      </c>
      <c r="F51" s="140" t="s">
        <v>28</v>
      </c>
      <c r="G51" s="91" t="s">
        <v>224</v>
      </c>
      <c r="H51" s="92">
        <v>1</v>
      </c>
      <c r="I51" s="92">
        <v>1070</v>
      </c>
      <c r="J51" s="241">
        <f t="shared" si="0"/>
        <v>1070</v>
      </c>
      <c r="K51" s="74"/>
      <c r="L51" s="91" t="s">
        <v>276</v>
      </c>
      <c r="M51" s="68"/>
      <c r="N51" s="259" t="s">
        <v>281</v>
      </c>
      <c r="O51" s="11">
        <v>45602</v>
      </c>
      <c r="P51" s="102"/>
      <c r="Q51" s="258">
        <v>45614</v>
      </c>
      <c r="R51" s="53">
        <v>45615</v>
      </c>
      <c r="S51" s="55"/>
    </row>
    <row r="52" spans="1:19" s="3" customFormat="1" ht="19.5" customHeight="1" x14ac:dyDescent="0.2">
      <c r="A52"/>
      <c r="B52"/>
      <c r="C52" s="25"/>
      <c r="D52" s="152"/>
      <c r="E52" s="54"/>
      <c r="F52" s="54"/>
      <c r="G52" s="141"/>
      <c r="H52" s="142"/>
      <c r="I52" s="143"/>
      <c r="J52" s="144"/>
      <c r="K52" s="145"/>
      <c r="L52" s="146"/>
      <c r="M52" s="68"/>
      <c r="N52" s="259" t="s">
        <v>281</v>
      </c>
      <c r="O52" s="11">
        <v>45602</v>
      </c>
      <c r="P52" s="102"/>
      <c r="Q52" s="258">
        <v>45614</v>
      </c>
      <c r="R52" s="53">
        <v>45615</v>
      </c>
      <c r="S52" s="55"/>
    </row>
    <row r="53" spans="1:19" s="3" customFormat="1" ht="19.5" customHeight="1" x14ac:dyDescent="0.2">
      <c r="A53"/>
      <c r="B53"/>
      <c r="C53" s="25"/>
      <c r="D53" s="153"/>
      <c r="E53" s="54"/>
      <c r="F53" s="147"/>
      <c r="G53" s="229">
        <f>SUM(J12:J51)</f>
        <v>125386</v>
      </c>
      <c r="H53" s="230"/>
      <c r="I53" s="230"/>
      <c r="J53" s="231"/>
      <c r="K53" s="148"/>
      <c r="L53" s="146"/>
      <c r="M53" s="68"/>
      <c r="N53" s="259" t="s">
        <v>281</v>
      </c>
      <c r="O53" s="11">
        <v>45602</v>
      </c>
      <c r="P53" s="102"/>
      <c r="Q53" s="258">
        <v>45614</v>
      </c>
      <c r="R53" s="53">
        <v>45615</v>
      </c>
      <c r="S53" s="55"/>
    </row>
    <row r="54" spans="1:19" s="3" customFormat="1" ht="19.5" customHeight="1" x14ac:dyDescent="0.2">
      <c r="C54" s="64"/>
      <c r="D54" s="105"/>
      <c r="E54" s="56"/>
      <c r="F54" s="56"/>
      <c r="G54" s="59"/>
      <c r="H54" s="57"/>
      <c r="I54" s="103"/>
      <c r="J54" s="56"/>
      <c r="K54" s="57"/>
      <c r="L54" s="61"/>
      <c r="M54" s="57"/>
      <c r="N54" s="259" t="s">
        <v>281</v>
      </c>
      <c r="O54" s="11">
        <v>45602</v>
      </c>
      <c r="P54" s="102"/>
      <c r="Q54" s="258">
        <v>45614</v>
      </c>
      <c r="R54" s="53">
        <v>45615</v>
      </c>
      <c r="S54" s="55"/>
    </row>
    <row r="55" spans="1:19" s="3" customFormat="1" ht="19.5" customHeight="1" x14ac:dyDescent="0.2">
      <c r="C55" s="64"/>
      <c r="D55" s="105"/>
      <c r="E55" s="56"/>
      <c r="F55" s="56"/>
      <c r="G55" s="59"/>
      <c r="H55" s="57"/>
      <c r="I55" s="103"/>
      <c r="J55" s="56"/>
      <c r="K55" s="57"/>
      <c r="L55" s="61"/>
      <c r="M55" s="57"/>
      <c r="N55" s="259" t="s">
        <v>281</v>
      </c>
      <c r="O55" s="11">
        <v>45602</v>
      </c>
      <c r="P55" s="102"/>
      <c r="Q55" s="258">
        <v>45614</v>
      </c>
      <c r="R55" s="53">
        <v>45615</v>
      </c>
      <c r="S55" s="55"/>
    </row>
    <row r="56" spans="1:19" s="3" customFormat="1" ht="19.5" customHeight="1" x14ac:dyDescent="0.2">
      <c r="C56" s="64"/>
      <c r="D56" s="105"/>
      <c r="E56" s="56"/>
      <c r="F56" s="56"/>
      <c r="G56" s="59"/>
      <c r="H56" s="57"/>
      <c r="I56" s="103"/>
      <c r="J56" s="56"/>
      <c r="K56" s="57"/>
      <c r="L56" s="61"/>
      <c r="M56" s="57"/>
      <c r="N56" s="259" t="s">
        <v>281</v>
      </c>
      <c r="O56" s="11">
        <v>45602</v>
      </c>
      <c r="P56" s="102"/>
      <c r="Q56" s="258">
        <v>45614</v>
      </c>
      <c r="R56" s="53">
        <v>45615</v>
      </c>
      <c r="S56" s="55"/>
    </row>
    <row r="57" spans="1:19" ht="18" customHeight="1" x14ac:dyDescent="0.2">
      <c r="D57" s="1"/>
      <c r="E57" s="217" t="s">
        <v>69</v>
      </c>
      <c r="F57" s="218"/>
      <c r="G57" s="219"/>
      <c r="H57" s="107"/>
      <c r="I57" s="108"/>
      <c r="J57" s="32"/>
      <c r="K57" s="1"/>
      <c r="L57" s="109"/>
      <c r="M57" s="62"/>
      <c r="N57" s="259" t="s">
        <v>281</v>
      </c>
      <c r="O57" s="11">
        <v>45602</v>
      </c>
      <c r="P57" s="102"/>
      <c r="Q57" s="258">
        <v>45614</v>
      </c>
      <c r="R57" s="53">
        <v>45615</v>
      </c>
      <c r="S57" s="58"/>
    </row>
    <row r="58" spans="1:19" ht="18" customHeight="1" x14ac:dyDescent="0.2">
      <c r="A58" s="1" t="s">
        <v>49</v>
      </c>
      <c r="B58" s="63"/>
      <c r="C58" s="25"/>
      <c r="D58" s="110">
        <f>+D51+1</f>
        <v>41</v>
      </c>
      <c r="E58" s="88" t="s">
        <v>54</v>
      </c>
      <c r="F58" s="4" t="s">
        <v>28</v>
      </c>
      <c r="G58" s="106" t="s">
        <v>70</v>
      </c>
      <c r="H58" s="92">
        <v>1</v>
      </c>
      <c r="I58" s="73">
        <v>2484</v>
      </c>
      <c r="J58" s="242">
        <f t="shared" ref="J58:J62" si="4">H58*I58</f>
        <v>2484</v>
      </c>
      <c r="K58" s="74"/>
      <c r="L58" s="109" t="s">
        <v>71</v>
      </c>
      <c r="M58" s="62"/>
      <c r="N58" s="259" t="s">
        <v>281</v>
      </c>
      <c r="O58" s="11">
        <v>45602</v>
      </c>
      <c r="P58" s="102"/>
      <c r="Q58" s="258">
        <v>45614</v>
      </c>
      <c r="R58" s="53">
        <v>45615</v>
      </c>
      <c r="S58" s="58"/>
    </row>
    <row r="59" spans="1:19" ht="18" customHeight="1" x14ac:dyDescent="0.2">
      <c r="A59" s="1" t="s">
        <v>49</v>
      </c>
      <c r="B59" s="63"/>
      <c r="C59" s="25"/>
      <c r="D59" s="110">
        <f>+D58+1</f>
        <v>42</v>
      </c>
      <c r="E59" s="88" t="s">
        <v>54</v>
      </c>
      <c r="F59" s="4" t="s">
        <v>28</v>
      </c>
      <c r="G59" s="106" t="s">
        <v>72</v>
      </c>
      <c r="H59" s="92">
        <v>1</v>
      </c>
      <c r="I59" s="73">
        <v>2581</v>
      </c>
      <c r="J59" s="242">
        <f t="shared" si="4"/>
        <v>2581</v>
      </c>
      <c r="K59" s="74"/>
      <c r="L59" s="109" t="s">
        <v>73</v>
      </c>
      <c r="M59" s="62"/>
      <c r="N59" s="259" t="s">
        <v>281</v>
      </c>
      <c r="O59" s="11">
        <v>45602</v>
      </c>
      <c r="P59" s="102"/>
      <c r="Q59" s="258">
        <v>45614</v>
      </c>
      <c r="R59" s="53">
        <v>45615</v>
      </c>
      <c r="S59" s="58"/>
    </row>
    <row r="60" spans="1:19" ht="18" customHeight="1" x14ac:dyDescent="0.2">
      <c r="A60" s="1" t="s">
        <v>66</v>
      </c>
      <c r="B60" s="63"/>
      <c r="C60" s="25"/>
      <c r="D60" s="110">
        <f t="shared" ref="D60:D66" si="5">+D59+1</f>
        <v>43</v>
      </c>
      <c r="E60" s="88" t="s">
        <v>54</v>
      </c>
      <c r="F60" s="4" t="s">
        <v>28</v>
      </c>
      <c r="G60" s="106" t="s">
        <v>74</v>
      </c>
      <c r="H60" s="92">
        <v>1</v>
      </c>
      <c r="I60" s="73">
        <v>6480</v>
      </c>
      <c r="J60" s="242">
        <f t="shared" si="4"/>
        <v>6480</v>
      </c>
      <c r="K60" s="74"/>
      <c r="L60" s="109" t="s">
        <v>75</v>
      </c>
      <c r="M60" s="62"/>
      <c r="N60" s="259" t="s">
        <v>281</v>
      </c>
      <c r="O60" s="11">
        <v>45602</v>
      </c>
      <c r="P60" s="102"/>
      <c r="Q60" s="258">
        <v>45614</v>
      </c>
      <c r="R60" s="53">
        <v>45615</v>
      </c>
      <c r="S60" s="58"/>
    </row>
    <row r="61" spans="1:19" ht="18" customHeight="1" x14ac:dyDescent="0.2">
      <c r="A61" s="1" t="s">
        <v>76</v>
      </c>
      <c r="B61" s="63"/>
      <c r="C61" s="25"/>
      <c r="D61" s="110">
        <f t="shared" si="5"/>
        <v>44</v>
      </c>
      <c r="E61" s="4" t="s">
        <v>28</v>
      </c>
      <c r="F61" s="4" t="s">
        <v>28</v>
      </c>
      <c r="G61" s="106" t="s">
        <v>77</v>
      </c>
      <c r="H61" s="92">
        <v>2</v>
      </c>
      <c r="I61" s="73">
        <v>360</v>
      </c>
      <c r="J61" s="242">
        <f t="shared" si="4"/>
        <v>720</v>
      </c>
      <c r="K61" s="74"/>
      <c r="L61" s="109" t="s">
        <v>78</v>
      </c>
      <c r="M61" s="62"/>
      <c r="N61" s="259" t="s">
        <v>281</v>
      </c>
      <c r="O61" s="11">
        <v>45602</v>
      </c>
      <c r="P61" s="102"/>
      <c r="Q61" s="258">
        <v>45614</v>
      </c>
      <c r="R61" s="53">
        <v>45615</v>
      </c>
      <c r="S61" s="58"/>
    </row>
    <row r="62" spans="1:19" ht="18" customHeight="1" x14ac:dyDescent="0.2">
      <c r="A62" s="1" t="s">
        <v>33</v>
      </c>
      <c r="B62" s="63"/>
      <c r="C62" s="25"/>
      <c r="D62" s="110">
        <f t="shared" si="5"/>
        <v>45</v>
      </c>
      <c r="E62" s="4" t="s">
        <v>28</v>
      </c>
      <c r="F62" s="4" t="s">
        <v>28</v>
      </c>
      <c r="G62" s="106" t="s">
        <v>79</v>
      </c>
      <c r="H62" s="92">
        <v>7</v>
      </c>
      <c r="I62" s="73">
        <v>94</v>
      </c>
      <c r="J62" s="242">
        <f t="shared" si="4"/>
        <v>658</v>
      </c>
      <c r="K62" s="74"/>
      <c r="L62" s="109" t="s">
        <v>80</v>
      </c>
      <c r="M62" s="62"/>
      <c r="N62" s="259" t="s">
        <v>281</v>
      </c>
      <c r="O62" s="11">
        <v>45602</v>
      </c>
      <c r="P62" s="102"/>
      <c r="Q62" s="258">
        <v>45614</v>
      </c>
      <c r="R62" s="53">
        <v>45615</v>
      </c>
      <c r="S62" s="58"/>
    </row>
    <row r="63" spans="1:19" ht="18" customHeight="1" x14ac:dyDescent="0.2">
      <c r="A63" s="1" t="s">
        <v>49</v>
      </c>
      <c r="B63" s="63"/>
      <c r="C63" s="25"/>
      <c r="D63" s="110">
        <f t="shared" si="5"/>
        <v>46</v>
      </c>
      <c r="E63" s="4" t="s">
        <v>28</v>
      </c>
      <c r="F63" s="4" t="s">
        <v>28</v>
      </c>
      <c r="G63" s="26" t="s">
        <v>81</v>
      </c>
      <c r="H63" s="1">
        <v>1</v>
      </c>
      <c r="I63" s="78">
        <v>1016</v>
      </c>
      <c r="J63" s="240">
        <f>H63*I63</f>
        <v>1016</v>
      </c>
      <c r="K63" s="2"/>
      <c r="L63" s="25" t="s">
        <v>82</v>
      </c>
      <c r="M63" s="62"/>
      <c r="N63" s="259" t="s">
        <v>281</v>
      </c>
      <c r="O63" s="11">
        <v>45602</v>
      </c>
      <c r="P63" s="102"/>
      <c r="Q63" s="258">
        <v>45614</v>
      </c>
      <c r="R63" s="53">
        <v>45615</v>
      </c>
      <c r="S63" s="58"/>
    </row>
    <row r="64" spans="1:19" ht="18" customHeight="1" x14ac:dyDescent="0.2">
      <c r="A64" s="1" t="s">
        <v>33</v>
      </c>
      <c r="B64" s="63"/>
      <c r="C64" s="25"/>
      <c r="D64" s="110">
        <f t="shared" si="5"/>
        <v>47</v>
      </c>
      <c r="E64" s="4" t="s">
        <v>28</v>
      </c>
      <c r="F64" s="4" t="s">
        <v>28</v>
      </c>
      <c r="G64" s="26" t="s">
        <v>83</v>
      </c>
      <c r="H64" s="1">
        <v>1</v>
      </c>
      <c r="I64" s="78">
        <v>750</v>
      </c>
      <c r="J64" s="240">
        <f>H64*I64</f>
        <v>750</v>
      </c>
      <c r="K64" s="2"/>
      <c r="L64" s="25" t="s">
        <v>84</v>
      </c>
      <c r="M64" s="62"/>
      <c r="N64" s="259" t="s">
        <v>281</v>
      </c>
      <c r="O64" s="11">
        <v>45602</v>
      </c>
      <c r="P64" s="102"/>
      <c r="Q64" s="258">
        <v>45614</v>
      </c>
      <c r="R64" s="53">
        <v>45615</v>
      </c>
      <c r="S64" s="58"/>
    </row>
    <row r="65" spans="1:19" ht="18" customHeight="1" x14ac:dyDescent="0.2">
      <c r="A65" s="1" t="s">
        <v>33</v>
      </c>
      <c r="B65" s="63"/>
      <c r="C65" s="25"/>
      <c r="D65" s="110">
        <f t="shared" si="5"/>
        <v>48</v>
      </c>
      <c r="E65" s="140" t="s">
        <v>28</v>
      </c>
      <c r="F65" s="140" t="s">
        <v>28</v>
      </c>
      <c r="G65" s="109" t="s">
        <v>85</v>
      </c>
      <c r="H65" s="74">
        <v>10</v>
      </c>
      <c r="I65" s="73">
        <v>35</v>
      </c>
      <c r="J65" s="242">
        <f>H65*I65</f>
        <v>350</v>
      </c>
      <c r="K65" s="74"/>
      <c r="L65" s="109" t="s">
        <v>86</v>
      </c>
      <c r="M65" s="62"/>
      <c r="N65" s="259" t="s">
        <v>281</v>
      </c>
      <c r="O65" s="11">
        <v>45602</v>
      </c>
      <c r="P65" s="102"/>
      <c r="Q65" s="258">
        <v>45614</v>
      </c>
      <c r="R65" s="53">
        <v>45615</v>
      </c>
      <c r="S65" s="58"/>
    </row>
    <row r="66" spans="1:19" ht="18" customHeight="1" x14ac:dyDescent="0.2">
      <c r="A66" s="1" t="s">
        <v>33</v>
      </c>
      <c r="B66" s="63"/>
      <c r="C66" s="25"/>
      <c r="D66" s="111">
        <f t="shared" si="5"/>
        <v>49</v>
      </c>
      <c r="E66" s="140" t="s">
        <v>28</v>
      </c>
      <c r="F66" s="140" t="s">
        <v>28</v>
      </c>
      <c r="G66" s="109" t="s">
        <v>87</v>
      </c>
      <c r="H66" s="74">
        <v>6</v>
      </c>
      <c r="I66" s="73">
        <v>92</v>
      </c>
      <c r="J66" s="243">
        <f>H66*I66</f>
        <v>552</v>
      </c>
      <c r="K66" s="74"/>
      <c r="L66" s="109" t="s">
        <v>88</v>
      </c>
      <c r="M66" s="62"/>
      <c r="N66" s="259" t="s">
        <v>281</v>
      </c>
      <c r="O66" s="11">
        <v>45602</v>
      </c>
      <c r="P66" s="102"/>
      <c r="Q66" s="258">
        <v>45614</v>
      </c>
      <c r="R66" s="53">
        <v>45615</v>
      </c>
      <c r="S66" s="58"/>
    </row>
    <row r="67" spans="1:19" ht="18" customHeight="1" x14ac:dyDescent="0.2">
      <c r="C67" s="25"/>
      <c r="D67" s="1"/>
      <c r="E67" s="112"/>
      <c r="F67" s="112"/>
      <c r="G67" s="113"/>
      <c r="H67" s="107"/>
      <c r="I67" s="108"/>
      <c r="J67" s="32"/>
      <c r="K67" s="1"/>
      <c r="L67" s="109"/>
      <c r="M67" s="62"/>
      <c r="N67" s="259" t="s">
        <v>281</v>
      </c>
      <c r="O67" s="11">
        <v>45602</v>
      </c>
      <c r="P67" s="102"/>
      <c r="Q67" s="258">
        <v>45614</v>
      </c>
      <c r="R67" s="53">
        <v>45615</v>
      </c>
      <c r="S67" s="58"/>
    </row>
    <row r="68" spans="1:19" ht="18" customHeight="1" x14ac:dyDescent="0.2">
      <c r="C68" s="25"/>
      <c r="D68" s="1"/>
      <c r="E68" s="112"/>
      <c r="F68" s="112"/>
      <c r="G68" s="186">
        <f>SUM(J58:J68)</f>
        <v>15591</v>
      </c>
      <c r="H68" s="187"/>
      <c r="I68" s="187"/>
      <c r="J68" s="188"/>
      <c r="K68" s="1"/>
      <c r="L68" s="109"/>
      <c r="M68" s="62"/>
      <c r="N68" s="69"/>
      <c r="O68" s="53"/>
      <c r="P68" s="55"/>
      <c r="Q68" s="55"/>
      <c r="R68" s="53"/>
      <c r="S68" s="58"/>
    </row>
    <row r="69" spans="1:19" s="3" customFormat="1" ht="19.5" customHeight="1" x14ac:dyDescent="0.2">
      <c r="C69" s="1"/>
      <c r="D69" s="105"/>
      <c r="E69" s="56"/>
      <c r="F69" s="56"/>
      <c r="G69" s="59"/>
      <c r="H69" s="57"/>
      <c r="I69" s="103"/>
      <c r="J69" s="56"/>
      <c r="K69" s="57"/>
      <c r="L69" s="61"/>
      <c r="M69" s="57"/>
      <c r="N69" s="57"/>
      <c r="O69" s="11"/>
      <c r="P69" s="102"/>
      <c r="Q69" s="52"/>
      <c r="R69" s="53"/>
      <c r="S69" s="55"/>
    </row>
    <row r="70" spans="1:19" s="3" customFormat="1" ht="19.5" customHeight="1" x14ac:dyDescent="0.2">
      <c r="C70" s="1"/>
      <c r="D70" s="105"/>
      <c r="E70" s="56"/>
      <c r="F70" s="56"/>
      <c r="G70" s="59"/>
      <c r="H70" s="57"/>
      <c r="I70" s="103"/>
      <c r="J70" s="56"/>
      <c r="K70" s="57"/>
      <c r="L70" s="61"/>
      <c r="M70" s="57"/>
      <c r="N70" s="57"/>
      <c r="O70" s="11"/>
      <c r="P70" s="102"/>
      <c r="Q70" s="52"/>
      <c r="R70" s="53"/>
      <c r="S70" s="55"/>
    </row>
    <row r="71" spans="1:19" s="3" customFormat="1" ht="19.5" customHeight="1" x14ac:dyDescent="0.2">
      <c r="C71" s="1"/>
      <c r="D71" s="105"/>
      <c r="E71" s="56"/>
      <c r="F71" s="56"/>
      <c r="G71" s="59"/>
      <c r="H71" s="57"/>
      <c r="I71" s="103"/>
      <c r="J71" s="56"/>
      <c r="K71" s="57"/>
      <c r="L71" s="61"/>
      <c r="M71" s="57"/>
      <c r="N71" s="57"/>
      <c r="O71" s="11"/>
      <c r="P71" s="102"/>
      <c r="Q71" s="52"/>
      <c r="R71" s="53"/>
      <c r="S71" s="55"/>
    </row>
    <row r="72" spans="1:19" ht="18" customHeight="1" x14ac:dyDescent="0.2">
      <c r="C72" s="25"/>
      <c r="D72" s="114"/>
      <c r="E72" s="232" t="s">
        <v>32</v>
      </c>
      <c r="F72" s="233"/>
      <c r="G72" s="234"/>
      <c r="H72" s="1"/>
      <c r="I72" s="1"/>
      <c r="J72" s="2"/>
      <c r="K72" s="2"/>
      <c r="L72" s="1"/>
      <c r="M72" s="68"/>
      <c r="N72" s="69"/>
      <c r="O72" s="53"/>
      <c r="P72" s="55"/>
      <c r="Q72" s="55"/>
      <c r="R72" s="53"/>
      <c r="S72" s="70"/>
    </row>
    <row r="73" spans="1:19" ht="18" customHeight="1" x14ac:dyDescent="0.2">
      <c r="A73" s="42" t="s">
        <v>66</v>
      </c>
      <c r="B73" s="2"/>
      <c r="C73" s="1"/>
      <c r="D73" s="115">
        <f>+D66+1</f>
        <v>50</v>
      </c>
      <c r="E73" s="88" t="s">
        <v>54</v>
      </c>
      <c r="F73" s="4" t="s">
        <v>28</v>
      </c>
      <c r="G73" s="106" t="s">
        <v>67</v>
      </c>
      <c r="H73" s="92">
        <v>1</v>
      </c>
      <c r="I73" s="201">
        <v>3897</v>
      </c>
      <c r="J73" s="242">
        <f t="shared" ref="J73:J83" si="6">H73*I73</f>
        <v>3897</v>
      </c>
      <c r="K73" s="74"/>
      <c r="L73" s="106" t="s">
        <v>68</v>
      </c>
      <c r="M73" s="76"/>
      <c r="N73" s="259" t="s">
        <v>281</v>
      </c>
      <c r="O73" s="11">
        <v>45602</v>
      </c>
      <c r="P73" s="102"/>
      <c r="Q73" s="258">
        <v>45614</v>
      </c>
      <c r="R73" s="53">
        <v>45615</v>
      </c>
      <c r="S73" s="14"/>
    </row>
    <row r="74" spans="1:19" ht="18" customHeight="1" x14ac:dyDescent="0.2">
      <c r="A74" s="1" t="s">
        <v>33</v>
      </c>
      <c r="B74" s="63"/>
      <c r="C74" s="64">
        <v>3</v>
      </c>
      <c r="D74" s="184">
        <f t="shared" ref="D74:D84" si="7">+D73+1</f>
        <v>51</v>
      </c>
      <c r="E74" s="4" t="s">
        <v>28</v>
      </c>
      <c r="F74" s="4" t="s">
        <v>28</v>
      </c>
      <c r="G74" s="75" t="s">
        <v>34</v>
      </c>
      <c r="H74" s="1">
        <v>2</v>
      </c>
      <c r="I74" s="202">
        <v>72</v>
      </c>
      <c r="J74" s="240">
        <f t="shared" si="6"/>
        <v>144</v>
      </c>
      <c r="K74" s="2"/>
      <c r="L74" s="79" t="s">
        <v>35</v>
      </c>
      <c r="M74" s="80"/>
      <c r="N74" s="259" t="s">
        <v>281</v>
      </c>
      <c r="O74" s="11">
        <v>45602</v>
      </c>
      <c r="P74" s="102"/>
      <c r="Q74" s="258">
        <v>45614</v>
      </c>
      <c r="R74" s="53">
        <v>45615</v>
      </c>
      <c r="S74" s="14"/>
    </row>
    <row r="75" spans="1:19" ht="18" customHeight="1" x14ac:dyDescent="0.2">
      <c r="A75" s="1" t="s">
        <v>33</v>
      </c>
      <c r="B75" s="63"/>
      <c r="C75" s="64">
        <v>3</v>
      </c>
      <c r="D75" s="184">
        <f t="shared" si="7"/>
        <v>52</v>
      </c>
      <c r="E75" s="1" t="s">
        <v>28</v>
      </c>
      <c r="F75" s="1" t="s">
        <v>28</v>
      </c>
      <c r="G75" s="81" t="s">
        <v>36</v>
      </c>
      <c r="H75" s="116">
        <v>1</v>
      </c>
      <c r="I75" s="203">
        <v>70</v>
      </c>
      <c r="J75" s="244">
        <f t="shared" si="6"/>
        <v>70</v>
      </c>
      <c r="K75" s="2"/>
      <c r="L75" s="81" t="s">
        <v>37</v>
      </c>
      <c r="M75" s="80"/>
      <c r="N75" s="259" t="s">
        <v>281</v>
      </c>
      <c r="O75" s="11">
        <v>45602</v>
      </c>
      <c r="P75" s="102"/>
      <c r="Q75" s="258">
        <v>45614</v>
      </c>
      <c r="R75" s="53">
        <v>45615</v>
      </c>
      <c r="S75" s="14"/>
    </row>
    <row r="76" spans="1:19" ht="18" customHeight="1" x14ac:dyDescent="0.2">
      <c r="A76" s="1" t="s">
        <v>33</v>
      </c>
      <c r="B76" s="63"/>
      <c r="C76" s="64">
        <v>3</v>
      </c>
      <c r="D76" s="184">
        <f>+D75+1</f>
        <v>53</v>
      </c>
      <c r="E76" s="4" t="s">
        <v>39</v>
      </c>
      <c r="F76" s="4" t="s">
        <v>38</v>
      </c>
      <c r="G76" s="204" t="s">
        <v>40</v>
      </c>
      <c r="H76" s="205">
        <v>2</v>
      </c>
      <c r="I76" s="206">
        <v>247</v>
      </c>
      <c r="J76" s="245">
        <f t="shared" si="6"/>
        <v>494</v>
      </c>
      <c r="K76" s="82"/>
      <c r="L76" s="83" t="s">
        <v>41</v>
      </c>
      <c r="M76" s="84" t="s">
        <v>42</v>
      </c>
      <c r="N76" s="259" t="s">
        <v>281</v>
      </c>
      <c r="O76" s="11">
        <v>45602</v>
      </c>
      <c r="P76" s="102"/>
      <c r="Q76" s="258">
        <v>45614</v>
      </c>
      <c r="R76" s="53">
        <v>45615</v>
      </c>
      <c r="S76" s="14"/>
    </row>
    <row r="77" spans="1:19" ht="18" customHeight="1" x14ac:dyDescent="0.2">
      <c r="A77" s="1" t="s">
        <v>33</v>
      </c>
      <c r="B77" s="63"/>
      <c r="C77" s="64">
        <v>3</v>
      </c>
      <c r="D77" s="184">
        <f>+D76+1</f>
        <v>54</v>
      </c>
      <c r="E77" s="4" t="s">
        <v>38</v>
      </c>
      <c r="F77" s="4" t="s">
        <v>38</v>
      </c>
      <c r="G77" s="204" t="s">
        <v>43</v>
      </c>
      <c r="H77" s="205">
        <v>1</v>
      </c>
      <c r="I77" s="206">
        <v>5500</v>
      </c>
      <c r="J77" s="245">
        <f t="shared" si="6"/>
        <v>5500</v>
      </c>
      <c r="K77" s="82"/>
      <c r="L77" s="83" t="s">
        <v>44</v>
      </c>
      <c r="M77" s="84" t="s">
        <v>42</v>
      </c>
      <c r="N77" s="259" t="s">
        <v>281</v>
      </c>
      <c r="O77" s="11">
        <v>45602</v>
      </c>
      <c r="P77" s="102"/>
      <c r="Q77" s="258">
        <v>45614</v>
      </c>
      <c r="R77" s="53">
        <v>45615</v>
      </c>
      <c r="S77" s="14"/>
    </row>
    <row r="78" spans="1:19" ht="18" customHeight="1" x14ac:dyDescent="0.2">
      <c r="A78" s="1" t="s">
        <v>33</v>
      </c>
      <c r="B78" s="63"/>
      <c r="C78" s="64">
        <v>3</v>
      </c>
      <c r="D78" s="184">
        <f t="shared" si="7"/>
        <v>55</v>
      </c>
      <c r="E78" s="4" t="s">
        <v>28</v>
      </c>
      <c r="F78" s="4" t="s">
        <v>28</v>
      </c>
      <c r="G78" s="75" t="s">
        <v>45</v>
      </c>
      <c r="H78" s="32">
        <v>4</v>
      </c>
      <c r="I78" s="32">
        <v>155</v>
      </c>
      <c r="J78" s="238">
        <f t="shared" si="6"/>
        <v>620</v>
      </c>
      <c r="K78" s="85"/>
      <c r="L78" s="86" t="s">
        <v>46</v>
      </c>
      <c r="M78" s="80"/>
      <c r="N78" s="259" t="s">
        <v>281</v>
      </c>
      <c r="O78" s="11">
        <v>45602</v>
      </c>
      <c r="P78" s="102"/>
      <c r="Q78" s="258">
        <v>45614</v>
      </c>
      <c r="R78" s="53">
        <v>45615</v>
      </c>
      <c r="S78" s="14"/>
    </row>
    <row r="79" spans="1:19" ht="18" customHeight="1" x14ac:dyDescent="0.2">
      <c r="A79" s="1" t="s">
        <v>33</v>
      </c>
      <c r="B79" s="63"/>
      <c r="C79" s="64">
        <v>3</v>
      </c>
      <c r="D79" s="184">
        <f t="shared" si="7"/>
        <v>56</v>
      </c>
      <c r="E79" s="4" t="s">
        <v>28</v>
      </c>
      <c r="F79" s="4" t="s">
        <v>28</v>
      </c>
      <c r="G79" s="75" t="s">
        <v>47</v>
      </c>
      <c r="H79" s="1">
        <v>2</v>
      </c>
      <c r="I79" s="202">
        <v>31</v>
      </c>
      <c r="J79" s="240">
        <f t="shared" si="6"/>
        <v>62</v>
      </c>
      <c r="K79" s="2"/>
      <c r="L79" s="79" t="s">
        <v>48</v>
      </c>
      <c r="M79" s="80"/>
      <c r="N79" s="259" t="s">
        <v>281</v>
      </c>
      <c r="O79" s="11">
        <v>45602</v>
      </c>
      <c r="P79" s="102"/>
      <c r="Q79" s="258">
        <v>45614</v>
      </c>
      <c r="R79" s="53">
        <v>45615</v>
      </c>
      <c r="S79" s="14"/>
    </row>
    <row r="80" spans="1:19" ht="18" customHeight="1" x14ac:dyDescent="0.2">
      <c r="A80" s="150" t="s">
        <v>49</v>
      </c>
      <c r="B80" s="169"/>
      <c r="C80" s="64">
        <v>3</v>
      </c>
      <c r="D80" s="184">
        <f t="shared" si="7"/>
        <v>57</v>
      </c>
      <c r="E80" s="4" t="s">
        <v>28</v>
      </c>
      <c r="F80" s="4" t="s">
        <v>28</v>
      </c>
      <c r="G80" s="75" t="s">
        <v>50</v>
      </c>
      <c r="H80" s="92">
        <v>4</v>
      </c>
      <c r="I80" s="201">
        <v>560</v>
      </c>
      <c r="J80" s="242">
        <f t="shared" si="6"/>
        <v>2240</v>
      </c>
      <c r="K80" s="74"/>
      <c r="L80" s="75" t="s">
        <v>51</v>
      </c>
      <c r="M80" s="87" t="s">
        <v>52</v>
      </c>
      <c r="N80" s="259" t="s">
        <v>281</v>
      </c>
      <c r="O80" s="11">
        <v>45602</v>
      </c>
      <c r="P80" s="102"/>
      <c r="Q80" s="258">
        <v>45614</v>
      </c>
      <c r="R80" s="53">
        <v>45615</v>
      </c>
      <c r="S80" s="14"/>
    </row>
    <row r="81" spans="1:19" ht="18" customHeight="1" x14ac:dyDescent="0.2">
      <c r="A81" s="150" t="s">
        <v>53</v>
      </c>
      <c r="B81" s="169"/>
      <c r="C81" s="64">
        <v>3</v>
      </c>
      <c r="D81" s="184">
        <f t="shared" si="7"/>
        <v>58</v>
      </c>
      <c r="E81" s="88" t="s">
        <v>54</v>
      </c>
      <c r="F81" s="4" t="s">
        <v>28</v>
      </c>
      <c r="G81" s="207" t="s">
        <v>55</v>
      </c>
      <c r="H81" s="1">
        <v>1</v>
      </c>
      <c r="I81" s="1">
        <v>2580</v>
      </c>
      <c r="J81" s="238">
        <f t="shared" si="6"/>
        <v>2580</v>
      </c>
      <c r="K81" s="2"/>
      <c r="L81" s="89" t="s">
        <v>56</v>
      </c>
      <c r="M81" s="68"/>
      <c r="N81" s="259" t="s">
        <v>281</v>
      </c>
      <c r="O81" s="11">
        <v>45602</v>
      </c>
      <c r="P81" s="102"/>
      <c r="Q81" s="258">
        <v>45614</v>
      </c>
      <c r="R81" s="53">
        <v>45615</v>
      </c>
      <c r="S81" s="14"/>
    </row>
    <row r="82" spans="1:19" ht="18" customHeight="1" x14ac:dyDescent="0.2">
      <c r="A82" s="150" t="s">
        <v>53</v>
      </c>
      <c r="B82" s="169"/>
      <c r="C82" s="64">
        <v>3</v>
      </c>
      <c r="D82" s="184">
        <f t="shared" si="7"/>
        <v>59</v>
      </c>
      <c r="E82" s="88" t="s">
        <v>54</v>
      </c>
      <c r="F82" s="4" t="s">
        <v>28</v>
      </c>
      <c r="G82" s="207" t="s">
        <v>57</v>
      </c>
      <c r="H82" s="1">
        <v>1</v>
      </c>
      <c r="I82" s="1">
        <v>3130</v>
      </c>
      <c r="J82" s="238">
        <f t="shared" si="6"/>
        <v>3130</v>
      </c>
      <c r="K82" s="2"/>
      <c r="L82" s="89" t="s">
        <v>58</v>
      </c>
      <c r="M82" s="68"/>
      <c r="N82" s="259" t="s">
        <v>281</v>
      </c>
      <c r="O82" s="11">
        <v>45602</v>
      </c>
      <c r="P82" s="102"/>
      <c r="Q82" s="258">
        <v>45614</v>
      </c>
      <c r="R82" s="53">
        <v>45615</v>
      </c>
      <c r="S82" s="14"/>
    </row>
    <row r="83" spans="1:19" ht="18" customHeight="1" x14ac:dyDescent="0.2">
      <c r="A83" s="150" t="s">
        <v>53</v>
      </c>
      <c r="B83" s="169"/>
      <c r="C83" s="64">
        <v>3</v>
      </c>
      <c r="D83" s="184">
        <f t="shared" si="7"/>
        <v>60</v>
      </c>
      <c r="E83" s="88" t="s">
        <v>54</v>
      </c>
      <c r="F83" s="4" t="s">
        <v>28</v>
      </c>
      <c r="G83" s="207" t="s">
        <v>59</v>
      </c>
      <c r="H83" s="1">
        <v>1</v>
      </c>
      <c r="I83" s="1">
        <v>3920</v>
      </c>
      <c r="J83" s="238">
        <f t="shared" si="6"/>
        <v>3920</v>
      </c>
      <c r="K83" s="2"/>
      <c r="L83" s="89" t="s">
        <v>60</v>
      </c>
      <c r="M83" s="90"/>
      <c r="N83" s="259" t="s">
        <v>281</v>
      </c>
      <c r="O83" s="11">
        <v>45602</v>
      </c>
      <c r="P83" s="102"/>
      <c r="Q83" s="258">
        <v>45614</v>
      </c>
      <c r="R83" s="53">
        <v>45615</v>
      </c>
      <c r="S83" s="14"/>
    </row>
    <row r="84" spans="1:19" ht="18" customHeight="1" x14ac:dyDescent="0.2">
      <c r="A84" s="150" t="s">
        <v>53</v>
      </c>
      <c r="B84" s="169"/>
      <c r="C84" s="64">
        <v>3</v>
      </c>
      <c r="D84" s="184">
        <f t="shared" si="7"/>
        <v>61</v>
      </c>
      <c r="E84" s="88" t="s">
        <v>54</v>
      </c>
      <c r="F84" s="4" t="s">
        <v>28</v>
      </c>
      <c r="G84" s="106" t="s">
        <v>61</v>
      </c>
      <c r="H84" s="177">
        <v>1</v>
      </c>
      <c r="I84" s="73">
        <v>3130</v>
      </c>
      <c r="J84" s="245">
        <f>H84*I84</f>
        <v>3130</v>
      </c>
      <c r="K84" s="82"/>
      <c r="L84" s="91" t="s">
        <v>62</v>
      </c>
      <c r="M84" s="84" t="s">
        <v>42</v>
      </c>
      <c r="N84" s="259" t="s">
        <v>281</v>
      </c>
      <c r="O84" s="11">
        <v>45602</v>
      </c>
      <c r="P84" s="102"/>
      <c r="Q84" s="258">
        <v>45614</v>
      </c>
      <c r="R84" s="53">
        <v>45615</v>
      </c>
      <c r="S84" s="14"/>
    </row>
    <row r="85" spans="1:19" ht="18" customHeight="1" x14ac:dyDescent="0.2">
      <c r="A85" s="150" t="s">
        <v>33</v>
      </c>
      <c r="B85" s="169"/>
      <c r="C85" s="64">
        <v>3</v>
      </c>
      <c r="D85" s="184">
        <f>+D84+1</f>
        <v>62</v>
      </c>
      <c r="E85" s="93" t="s">
        <v>28</v>
      </c>
      <c r="F85" s="93" t="s">
        <v>28</v>
      </c>
      <c r="G85" s="173" t="s">
        <v>63</v>
      </c>
      <c r="H85" s="117">
        <v>1</v>
      </c>
      <c r="I85" s="94">
        <v>830</v>
      </c>
      <c r="J85" s="246">
        <f>H85*I85</f>
        <v>830</v>
      </c>
      <c r="K85" s="95"/>
      <c r="L85" s="96" t="s">
        <v>64</v>
      </c>
      <c r="M85" s="87"/>
      <c r="N85" s="259" t="s">
        <v>281</v>
      </c>
      <c r="O85" s="11">
        <v>45602</v>
      </c>
      <c r="P85" s="102"/>
      <c r="Q85" s="258">
        <v>45614</v>
      </c>
      <c r="R85" s="53">
        <v>45615</v>
      </c>
      <c r="S85" s="14"/>
    </row>
    <row r="86" spans="1:19" ht="18" customHeight="1" x14ac:dyDescent="0.2">
      <c r="A86" s="150" t="s">
        <v>33</v>
      </c>
      <c r="B86" s="169"/>
      <c r="C86" s="64">
        <v>3</v>
      </c>
      <c r="D86" s="184">
        <f t="shared" ref="D86" si="8">+D85+1</f>
        <v>63</v>
      </c>
      <c r="E86" s="93" t="s">
        <v>28</v>
      </c>
      <c r="F86" s="93" t="s">
        <v>28</v>
      </c>
      <c r="G86" s="173" t="s">
        <v>65</v>
      </c>
      <c r="H86" s="117">
        <v>1</v>
      </c>
      <c r="I86" s="94">
        <v>1350</v>
      </c>
      <c r="J86" s="246">
        <f>H86*I86</f>
        <v>1350</v>
      </c>
      <c r="K86" s="95"/>
      <c r="L86" s="96" t="s">
        <v>64</v>
      </c>
      <c r="M86" s="87"/>
      <c r="N86" s="259" t="s">
        <v>281</v>
      </c>
      <c r="O86" s="11">
        <v>45602</v>
      </c>
      <c r="P86" s="102"/>
      <c r="Q86" s="258">
        <v>45614</v>
      </c>
      <c r="R86" s="53">
        <v>45615</v>
      </c>
      <c r="S86" s="14"/>
    </row>
    <row r="87" spans="1:19" ht="18" customHeight="1" x14ac:dyDescent="0.2">
      <c r="A87" s="3"/>
      <c r="B87" s="3"/>
      <c r="C87" s="97"/>
      <c r="D87" s="71"/>
      <c r="E87" s="93"/>
      <c r="F87" s="93"/>
      <c r="G87" s="118"/>
      <c r="H87" s="117"/>
      <c r="I87" s="94"/>
      <c r="J87" s="94"/>
      <c r="K87" s="98"/>
      <c r="L87" s="96"/>
      <c r="M87" s="80"/>
      <c r="N87" s="69"/>
      <c r="P87" s="55"/>
      <c r="Q87" s="55"/>
      <c r="R87" s="77"/>
      <c r="S87" s="14"/>
    </row>
    <row r="88" spans="1:19" ht="18" customHeight="1" x14ac:dyDescent="0.2">
      <c r="D88" s="1"/>
      <c r="E88" s="99"/>
      <c r="F88" s="99"/>
      <c r="G88" s="235">
        <f>SUM(J73:J87)</f>
        <v>27967</v>
      </c>
      <c r="H88" s="236"/>
      <c r="I88" s="236"/>
      <c r="J88" s="237"/>
      <c r="K88" s="100"/>
      <c r="L88" s="101"/>
      <c r="M88" s="68"/>
      <c r="N88" s="69"/>
      <c r="O88" s="53"/>
      <c r="P88" s="55"/>
      <c r="Q88" s="55"/>
      <c r="R88" s="53"/>
      <c r="S88" s="58"/>
    </row>
    <row r="89" spans="1:19" s="3" customFormat="1" ht="19.5" customHeight="1" x14ac:dyDescent="0.2">
      <c r="C89" s="1"/>
      <c r="D89" s="105"/>
      <c r="E89" s="56"/>
      <c r="F89" s="56"/>
      <c r="G89" s="59"/>
      <c r="H89" s="57"/>
      <c r="I89" s="103"/>
      <c r="J89" s="56"/>
      <c r="K89" s="57"/>
      <c r="L89" s="61"/>
      <c r="M89" s="57"/>
      <c r="N89" s="57"/>
      <c r="O89" s="11"/>
      <c r="P89" s="102"/>
      <c r="Q89" s="52"/>
      <c r="R89" s="53"/>
      <c r="S89" s="55"/>
    </row>
    <row r="90" spans="1:19" s="3" customFormat="1" ht="19.5" customHeight="1" x14ac:dyDescent="0.2">
      <c r="C90" s="1"/>
      <c r="D90" s="105"/>
      <c r="E90" s="56"/>
      <c r="F90" s="56"/>
      <c r="G90" s="59"/>
      <c r="H90" s="57"/>
      <c r="I90" s="103"/>
      <c r="J90" s="56"/>
      <c r="K90" s="57"/>
      <c r="L90" s="61"/>
      <c r="M90" s="57"/>
      <c r="N90" s="57"/>
      <c r="O90" s="11"/>
      <c r="P90" s="102"/>
      <c r="Q90" s="52"/>
      <c r="R90" s="53"/>
      <c r="S90" s="55"/>
    </row>
    <row r="91" spans="1:19" s="3" customFormat="1" ht="19.5" customHeight="1" x14ac:dyDescent="0.2">
      <c r="C91" s="1"/>
      <c r="D91" s="105"/>
      <c r="E91" s="56"/>
      <c r="F91" s="56"/>
      <c r="G91" s="59"/>
      <c r="H91" s="57"/>
      <c r="I91" s="103"/>
      <c r="J91" s="56"/>
      <c r="K91" s="57"/>
      <c r="L91" s="61"/>
      <c r="M91" s="57"/>
      <c r="N91" s="57"/>
      <c r="O91" s="11"/>
      <c r="P91" s="102"/>
      <c r="Q91" s="52"/>
      <c r="R91" s="53"/>
      <c r="S91" s="55"/>
    </row>
    <row r="92" spans="1:19" s="125" customFormat="1" ht="19.649999999999999" customHeight="1" x14ac:dyDescent="0.2">
      <c r="A92" s="1"/>
      <c r="B92" s="1"/>
      <c r="C92" s="1"/>
      <c r="D92" s="4"/>
      <c r="E92" s="217" t="s">
        <v>145</v>
      </c>
      <c r="F92" s="218"/>
      <c r="G92" s="219"/>
      <c r="H92" s="25"/>
      <c r="I92" s="1"/>
      <c r="J92" s="2"/>
      <c r="K92" s="119"/>
      <c r="L92" s="1"/>
      <c r="M92" s="120"/>
      <c r="N92" s="120"/>
      <c r="O92" s="121"/>
      <c r="P92" s="122"/>
      <c r="Q92" s="123"/>
      <c r="R92" s="121"/>
      <c r="S92" s="124"/>
    </row>
    <row r="93" spans="1:19" s="125" customFormat="1" ht="19.649999999999999" customHeight="1" x14ac:dyDescent="0.2">
      <c r="A93" s="1" t="s">
        <v>89</v>
      </c>
      <c r="B93" s="63"/>
      <c r="C93" s="1"/>
      <c r="D93" s="88">
        <f>+D86+1</f>
        <v>64</v>
      </c>
      <c r="E93" s="132" t="s">
        <v>90</v>
      </c>
      <c r="F93" s="132" t="s">
        <v>90</v>
      </c>
      <c r="G93" s="194" t="s">
        <v>91</v>
      </c>
      <c r="H93" s="195">
        <v>4</v>
      </c>
      <c r="I93" s="196">
        <v>3210</v>
      </c>
      <c r="J93" s="247">
        <f t="shared" ref="J93:J118" si="9">H93*I93</f>
        <v>12840</v>
      </c>
      <c r="K93" s="2"/>
      <c r="L93" s="120" t="s">
        <v>92</v>
      </c>
      <c r="M93" s="120"/>
      <c r="N93" s="259" t="s">
        <v>281</v>
      </c>
      <c r="O93" s="11">
        <v>45602</v>
      </c>
      <c r="P93" s="102"/>
      <c r="Q93" s="258">
        <v>45614</v>
      </c>
      <c r="R93" s="53">
        <v>45615</v>
      </c>
      <c r="S93" s="124"/>
    </row>
    <row r="94" spans="1:19" s="125" customFormat="1" ht="19.649999999999999" customHeight="1" x14ac:dyDescent="0.2">
      <c r="A94" s="1" t="s">
        <v>93</v>
      </c>
      <c r="B94" s="63"/>
      <c r="C94" s="1"/>
      <c r="D94" s="88">
        <f t="shared" ref="D94:D118" si="10">+D93+1</f>
        <v>65</v>
      </c>
      <c r="E94" s="93" t="s">
        <v>90</v>
      </c>
      <c r="F94" s="93" t="s">
        <v>90</v>
      </c>
      <c r="G94" s="91" t="s">
        <v>278</v>
      </c>
      <c r="H94" s="193">
        <v>4</v>
      </c>
      <c r="I94" s="92">
        <v>1183</v>
      </c>
      <c r="J94" s="248">
        <f t="shared" si="9"/>
        <v>4732</v>
      </c>
      <c r="K94" s="2"/>
      <c r="L94" s="24" t="s">
        <v>94</v>
      </c>
      <c r="M94" s="120"/>
      <c r="N94" s="259" t="s">
        <v>281</v>
      </c>
      <c r="O94" s="11">
        <v>45602</v>
      </c>
      <c r="P94" s="102"/>
      <c r="Q94" s="258">
        <v>45614</v>
      </c>
      <c r="R94" s="53">
        <v>45615</v>
      </c>
      <c r="S94" s="124"/>
    </row>
    <row r="95" spans="1:19" s="125" customFormat="1" ht="19.649999999999999" customHeight="1" x14ac:dyDescent="0.2">
      <c r="A95" s="1" t="s">
        <v>144</v>
      </c>
      <c r="B95" s="63"/>
      <c r="C95" s="1"/>
      <c r="D95" s="88">
        <f t="shared" si="10"/>
        <v>66</v>
      </c>
      <c r="E95" s="93" t="s">
        <v>90</v>
      </c>
      <c r="F95" s="93" t="s">
        <v>90</v>
      </c>
      <c r="G95" s="24" t="s">
        <v>139</v>
      </c>
      <c r="H95" s="193">
        <v>4</v>
      </c>
      <c r="I95" s="1">
        <v>1130</v>
      </c>
      <c r="J95" s="248">
        <f t="shared" si="9"/>
        <v>4520</v>
      </c>
      <c r="K95" s="2"/>
      <c r="L95" s="24" t="s">
        <v>140</v>
      </c>
      <c r="M95" s="120"/>
      <c r="N95" s="259" t="s">
        <v>281</v>
      </c>
      <c r="O95" s="11">
        <v>45602</v>
      </c>
      <c r="P95" s="102"/>
      <c r="Q95" s="258">
        <v>45614</v>
      </c>
      <c r="R95" s="53">
        <v>45615</v>
      </c>
      <c r="S95" s="124"/>
    </row>
    <row r="96" spans="1:19" s="125" customFormat="1" ht="19.649999999999999" customHeight="1" x14ac:dyDescent="0.2">
      <c r="A96" s="1" t="s">
        <v>33</v>
      </c>
      <c r="B96" s="63"/>
      <c r="C96" s="1"/>
      <c r="D96" s="88">
        <f t="shared" si="10"/>
        <v>67</v>
      </c>
      <c r="E96" s="93" t="s">
        <v>90</v>
      </c>
      <c r="F96" s="93" t="s">
        <v>90</v>
      </c>
      <c r="G96" s="24" t="s">
        <v>95</v>
      </c>
      <c r="H96" s="193">
        <v>4</v>
      </c>
      <c r="I96" s="1">
        <v>188</v>
      </c>
      <c r="J96" s="248">
        <f t="shared" si="9"/>
        <v>752</v>
      </c>
      <c r="K96" s="2"/>
      <c r="L96" s="24" t="s">
        <v>96</v>
      </c>
      <c r="M96" s="120"/>
      <c r="N96" s="259" t="s">
        <v>281</v>
      </c>
      <c r="O96" s="11">
        <v>45602</v>
      </c>
      <c r="P96" s="102"/>
      <c r="Q96" s="258">
        <v>45614</v>
      </c>
      <c r="R96" s="53">
        <v>45615</v>
      </c>
      <c r="S96" s="124"/>
    </row>
    <row r="97" spans="1:19" s="125" customFormat="1" ht="19.649999999999999" customHeight="1" x14ac:dyDescent="0.2">
      <c r="A97" s="1" t="s">
        <v>33</v>
      </c>
      <c r="B97" s="63"/>
      <c r="C97" s="1"/>
      <c r="D97" s="88">
        <f>+D96+1</f>
        <v>68</v>
      </c>
      <c r="E97" s="93" t="s">
        <v>90</v>
      </c>
      <c r="F97" s="93" t="s">
        <v>90</v>
      </c>
      <c r="G97" s="24" t="s">
        <v>97</v>
      </c>
      <c r="H97" s="193">
        <v>4</v>
      </c>
      <c r="I97" s="1">
        <v>66</v>
      </c>
      <c r="J97" s="248">
        <f t="shared" si="9"/>
        <v>264</v>
      </c>
      <c r="K97" s="2"/>
      <c r="L97" s="120" t="s">
        <v>98</v>
      </c>
      <c r="M97" s="120"/>
      <c r="N97" s="259" t="s">
        <v>281</v>
      </c>
      <c r="O97" s="11">
        <v>45602</v>
      </c>
      <c r="P97" s="102"/>
      <c r="Q97" s="258">
        <v>45614</v>
      </c>
      <c r="R97" s="53">
        <v>45615</v>
      </c>
      <c r="S97" s="124"/>
    </row>
    <row r="98" spans="1:19" s="125" customFormat="1" ht="19.649999999999999" customHeight="1" x14ac:dyDescent="0.2">
      <c r="A98" s="1" t="s">
        <v>33</v>
      </c>
      <c r="B98" s="63"/>
      <c r="C98" s="1"/>
      <c r="D98" s="88">
        <f t="shared" si="10"/>
        <v>69</v>
      </c>
      <c r="E98" s="93" t="s">
        <v>90</v>
      </c>
      <c r="F98" s="93" t="s">
        <v>90</v>
      </c>
      <c r="G98" s="24" t="s">
        <v>100</v>
      </c>
      <c r="H98" s="193">
        <v>4</v>
      </c>
      <c r="I98" s="1">
        <v>178</v>
      </c>
      <c r="J98" s="248">
        <f t="shared" si="9"/>
        <v>712</v>
      </c>
      <c r="K98" s="2"/>
      <c r="L98" s="120" t="s">
        <v>99</v>
      </c>
      <c r="M98" s="120"/>
      <c r="N98" s="259" t="s">
        <v>281</v>
      </c>
      <c r="O98" s="11">
        <v>45602</v>
      </c>
      <c r="P98" s="102"/>
      <c r="Q98" s="258">
        <v>45614</v>
      </c>
      <c r="R98" s="53">
        <v>45615</v>
      </c>
      <c r="S98" s="124"/>
    </row>
    <row r="99" spans="1:19" s="125" customFormat="1" ht="19.649999999999999" customHeight="1" x14ac:dyDescent="0.2">
      <c r="A99" s="1" t="s">
        <v>33</v>
      </c>
      <c r="B99" s="63"/>
      <c r="C99" s="1"/>
      <c r="D99" s="88">
        <f t="shared" si="10"/>
        <v>70</v>
      </c>
      <c r="E99" s="93" t="s">
        <v>90</v>
      </c>
      <c r="F99" s="93" t="s">
        <v>90</v>
      </c>
      <c r="G99" s="24" t="s">
        <v>142</v>
      </c>
      <c r="H99" s="193">
        <v>4</v>
      </c>
      <c r="I99" s="1">
        <v>201</v>
      </c>
      <c r="J99" s="248">
        <f t="shared" si="9"/>
        <v>804</v>
      </c>
      <c r="K99" s="2"/>
      <c r="L99" s="120" t="s">
        <v>99</v>
      </c>
      <c r="M99" s="120"/>
      <c r="N99" s="259" t="s">
        <v>281</v>
      </c>
      <c r="O99" s="11">
        <v>45602</v>
      </c>
      <c r="P99" s="102"/>
      <c r="Q99" s="258">
        <v>45614</v>
      </c>
      <c r="R99" s="53">
        <v>45615</v>
      </c>
      <c r="S99" s="124"/>
    </row>
    <row r="100" spans="1:19" s="125" customFormat="1" ht="19.649999999999999" customHeight="1" x14ac:dyDescent="0.2">
      <c r="A100" s="1" t="s">
        <v>101</v>
      </c>
      <c r="B100" s="63"/>
      <c r="C100" s="1"/>
      <c r="D100" s="88">
        <f t="shared" si="10"/>
        <v>71</v>
      </c>
      <c r="E100" s="93" t="s">
        <v>90</v>
      </c>
      <c r="F100" s="93" t="s">
        <v>90</v>
      </c>
      <c r="G100" s="24" t="s">
        <v>102</v>
      </c>
      <c r="H100" s="193">
        <v>4</v>
      </c>
      <c r="I100" s="1">
        <v>940</v>
      </c>
      <c r="J100" s="248">
        <f t="shared" si="9"/>
        <v>3760</v>
      </c>
      <c r="K100" s="2"/>
      <c r="L100" s="120" t="s">
        <v>265</v>
      </c>
      <c r="M100" s="120"/>
      <c r="N100" s="259" t="s">
        <v>281</v>
      </c>
      <c r="O100" s="11">
        <v>45602</v>
      </c>
      <c r="P100" s="102"/>
      <c r="Q100" s="258">
        <v>45614</v>
      </c>
      <c r="R100" s="53">
        <v>45615</v>
      </c>
      <c r="S100" s="124"/>
    </row>
    <row r="101" spans="1:19" s="125" customFormat="1" ht="19.649999999999999" customHeight="1" x14ac:dyDescent="0.2">
      <c r="A101" s="1" t="s">
        <v>33</v>
      </c>
      <c r="B101" s="63"/>
      <c r="C101" s="1"/>
      <c r="D101" s="88">
        <f t="shared" si="10"/>
        <v>72</v>
      </c>
      <c r="E101" s="93" t="s">
        <v>90</v>
      </c>
      <c r="F101" s="93" t="s">
        <v>90</v>
      </c>
      <c r="G101" s="24" t="s">
        <v>103</v>
      </c>
      <c r="H101" s="193">
        <v>6</v>
      </c>
      <c r="I101" s="1">
        <v>47</v>
      </c>
      <c r="J101" s="248">
        <f t="shared" si="9"/>
        <v>282</v>
      </c>
      <c r="K101" s="2"/>
      <c r="L101" s="24" t="s">
        <v>104</v>
      </c>
      <c r="M101" s="120"/>
      <c r="N101" s="259" t="s">
        <v>281</v>
      </c>
      <c r="O101" s="11">
        <v>45602</v>
      </c>
      <c r="P101" s="102"/>
      <c r="Q101" s="258">
        <v>45614</v>
      </c>
      <c r="R101" s="53">
        <v>45615</v>
      </c>
      <c r="S101" s="124"/>
    </row>
    <row r="102" spans="1:19" s="125" customFormat="1" ht="19.649999999999999" customHeight="1" x14ac:dyDescent="0.2">
      <c r="A102" s="1" t="s">
        <v>33</v>
      </c>
      <c r="B102" s="63"/>
      <c r="C102" s="1"/>
      <c r="D102" s="88">
        <f t="shared" si="10"/>
        <v>73</v>
      </c>
      <c r="E102" s="93" t="s">
        <v>90</v>
      </c>
      <c r="F102" s="93" t="s">
        <v>90</v>
      </c>
      <c r="G102" s="24" t="s">
        <v>105</v>
      </c>
      <c r="H102" s="193">
        <v>8</v>
      </c>
      <c r="I102" s="1">
        <v>47</v>
      </c>
      <c r="J102" s="248">
        <f t="shared" si="9"/>
        <v>376</v>
      </c>
      <c r="K102" s="2"/>
      <c r="L102" s="24" t="s">
        <v>141</v>
      </c>
      <c r="M102" s="120"/>
      <c r="N102" s="259" t="s">
        <v>281</v>
      </c>
      <c r="O102" s="11">
        <v>45602</v>
      </c>
      <c r="P102" s="102"/>
      <c r="Q102" s="258">
        <v>45614</v>
      </c>
      <c r="R102" s="53">
        <v>45615</v>
      </c>
      <c r="S102" s="124"/>
    </row>
    <row r="103" spans="1:19" s="125" customFormat="1" ht="19.649999999999999" customHeight="1" x14ac:dyDescent="0.2">
      <c r="A103" s="1" t="s">
        <v>101</v>
      </c>
      <c r="B103" s="63"/>
      <c r="C103" s="1"/>
      <c r="D103" s="88">
        <f t="shared" si="10"/>
        <v>74</v>
      </c>
      <c r="E103" s="93" t="s">
        <v>90</v>
      </c>
      <c r="F103" s="93" t="s">
        <v>90</v>
      </c>
      <c r="G103" s="24" t="s">
        <v>143</v>
      </c>
      <c r="H103" s="193">
        <v>2</v>
      </c>
      <c r="I103" s="1">
        <v>990</v>
      </c>
      <c r="J103" s="248">
        <f t="shared" si="9"/>
        <v>1980</v>
      </c>
      <c r="K103" s="2"/>
      <c r="L103" s="120" t="s">
        <v>264</v>
      </c>
      <c r="M103" s="120"/>
      <c r="N103" s="259" t="s">
        <v>281</v>
      </c>
      <c r="O103" s="11">
        <v>45602</v>
      </c>
      <c r="P103" s="102"/>
      <c r="Q103" s="258">
        <v>45614</v>
      </c>
      <c r="R103" s="53">
        <v>45615</v>
      </c>
      <c r="S103" s="124"/>
    </row>
    <row r="104" spans="1:19" s="125" customFormat="1" ht="19.649999999999999" customHeight="1" x14ac:dyDescent="0.2">
      <c r="A104" s="1" t="s">
        <v>106</v>
      </c>
      <c r="B104" s="63"/>
      <c r="C104" s="1"/>
      <c r="D104" s="88">
        <f>+D103+1</f>
        <v>75</v>
      </c>
      <c r="E104" s="93" t="s">
        <v>90</v>
      </c>
      <c r="F104" s="93" t="s">
        <v>90</v>
      </c>
      <c r="G104" s="24" t="s">
        <v>107</v>
      </c>
      <c r="H104" s="193">
        <v>6</v>
      </c>
      <c r="I104" s="1">
        <v>756</v>
      </c>
      <c r="J104" s="248">
        <f t="shared" si="9"/>
        <v>4536</v>
      </c>
      <c r="K104" s="2"/>
      <c r="L104" s="24" t="s">
        <v>108</v>
      </c>
      <c r="M104" s="120"/>
      <c r="N104" s="259" t="s">
        <v>281</v>
      </c>
      <c r="O104" s="11">
        <v>45602</v>
      </c>
      <c r="P104" s="102"/>
      <c r="Q104" s="258">
        <v>45614</v>
      </c>
      <c r="R104" s="53">
        <v>45615</v>
      </c>
      <c r="S104" s="124"/>
    </row>
    <row r="105" spans="1:19" s="125" customFormat="1" ht="19.649999999999999" customHeight="1" x14ac:dyDescent="0.2">
      <c r="A105" s="1" t="s">
        <v>33</v>
      </c>
      <c r="B105" s="63"/>
      <c r="C105" s="1"/>
      <c r="D105" s="88">
        <f t="shared" si="10"/>
        <v>76</v>
      </c>
      <c r="E105" s="93" t="s">
        <v>90</v>
      </c>
      <c r="F105" s="93" t="s">
        <v>90</v>
      </c>
      <c r="G105" s="24" t="s">
        <v>109</v>
      </c>
      <c r="H105" s="193">
        <v>10</v>
      </c>
      <c r="I105" s="1">
        <v>29</v>
      </c>
      <c r="J105" s="248">
        <f t="shared" si="9"/>
        <v>290</v>
      </c>
      <c r="K105" s="2"/>
      <c r="L105" s="120" t="s">
        <v>110</v>
      </c>
      <c r="M105" s="120"/>
      <c r="N105" s="259" t="s">
        <v>281</v>
      </c>
      <c r="O105" s="11">
        <v>45602</v>
      </c>
      <c r="P105" s="102"/>
      <c r="Q105" s="258">
        <v>45614</v>
      </c>
      <c r="R105" s="53">
        <v>45615</v>
      </c>
      <c r="S105" s="124"/>
    </row>
    <row r="106" spans="1:19" s="125" customFormat="1" ht="19.649999999999999" customHeight="1" x14ac:dyDescent="0.2">
      <c r="A106" s="1" t="s">
        <v>33</v>
      </c>
      <c r="B106" s="63"/>
      <c r="C106" s="1"/>
      <c r="D106" s="88">
        <f t="shared" si="10"/>
        <v>77</v>
      </c>
      <c r="E106" s="40" t="s">
        <v>90</v>
      </c>
      <c r="F106" s="40" t="s">
        <v>90</v>
      </c>
      <c r="G106" s="128" t="s">
        <v>111</v>
      </c>
      <c r="H106" s="197">
        <v>10</v>
      </c>
      <c r="I106" s="198">
        <v>26</v>
      </c>
      <c r="J106" s="249">
        <f t="shared" si="9"/>
        <v>260</v>
      </c>
      <c r="K106" s="127"/>
      <c r="L106" s="128" t="s">
        <v>112</v>
      </c>
      <c r="M106" s="120"/>
      <c r="N106" s="259" t="s">
        <v>281</v>
      </c>
      <c r="O106" s="11">
        <v>45602</v>
      </c>
      <c r="P106" s="102"/>
      <c r="Q106" s="258">
        <v>45614</v>
      </c>
      <c r="R106" s="53">
        <v>45615</v>
      </c>
      <c r="S106" s="124"/>
    </row>
    <row r="107" spans="1:19" s="125" customFormat="1" ht="19.649999999999999" customHeight="1" x14ac:dyDescent="0.2">
      <c r="A107" s="1" t="s">
        <v>33</v>
      </c>
      <c r="B107" s="63"/>
      <c r="C107" s="1"/>
      <c r="D107" s="88">
        <f t="shared" si="10"/>
        <v>78</v>
      </c>
      <c r="E107" s="93" t="s">
        <v>90</v>
      </c>
      <c r="F107" s="93" t="s">
        <v>90</v>
      </c>
      <c r="G107" s="91" t="s">
        <v>113</v>
      </c>
      <c r="H107" s="199">
        <v>12</v>
      </c>
      <c r="I107" s="92">
        <v>29</v>
      </c>
      <c r="J107" s="250">
        <f t="shared" si="9"/>
        <v>348</v>
      </c>
      <c r="K107" s="74"/>
      <c r="L107" s="91" t="s">
        <v>114</v>
      </c>
      <c r="M107" s="120"/>
      <c r="N107" s="259" t="s">
        <v>281</v>
      </c>
      <c r="O107" s="11">
        <v>45602</v>
      </c>
      <c r="P107" s="102"/>
      <c r="Q107" s="258">
        <v>45614</v>
      </c>
      <c r="R107" s="53">
        <v>45615</v>
      </c>
      <c r="S107" s="124"/>
    </row>
    <row r="108" spans="1:19" s="125" customFormat="1" ht="19.649999999999999" customHeight="1" x14ac:dyDescent="0.2">
      <c r="A108" s="1" t="s">
        <v>101</v>
      </c>
      <c r="B108" s="63"/>
      <c r="C108" s="1"/>
      <c r="D108" s="88">
        <f>+D107+1</f>
        <v>79</v>
      </c>
      <c r="E108" s="93" t="s">
        <v>90</v>
      </c>
      <c r="F108" s="93" t="s">
        <v>90</v>
      </c>
      <c r="G108" s="24" t="s">
        <v>115</v>
      </c>
      <c r="H108" s="193">
        <v>4</v>
      </c>
      <c r="I108" s="1">
        <v>3775</v>
      </c>
      <c r="J108" s="248">
        <f t="shared" si="9"/>
        <v>15100</v>
      </c>
      <c r="K108" s="2"/>
      <c r="L108" s="24" t="s">
        <v>116</v>
      </c>
      <c r="M108" s="120"/>
      <c r="N108" s="259" t="s">
        <v>281</v>
      </c>
      <c r="O108" s="11">
        <v>45602</v>
      </c>
      <c r="P108" s="102"/>
      <c r="Q108" s="258">
        <v>45614</v>
      </c>
      <c r="R108" s="53">
        <v>45615</v>
      </c>
      <c r="S108" s="124"/>
    </row>
    <row r="109" spans="1:19" s="125" customFormat="1" ht="19.649999999999999" customHeight="1" x14ac:dyDescent="0.2">
      <c r="A109" s="1" t="s">
        <v>101</v>
      </c>
      <c r="B109" s="63"/>
      <c r="C109" s="1"/>
      <c r="D109" s="88">
        <f t="shared" si="10"/>
        <v>80</v>
      </c>
      <c r="E109" s="93" t="s">
        <v>90</v>
      </c>
      <c r="F109" s="93" t="s">
        <v>90</v>
      </c>
      <c r="G109" s="24" t="s">
        <v>117</v>
      </c>
      <c r="H109" s="193">
        <v>2</v>
      </c>
      <c r="I109" s="1">
        <v>2606</v>
      </c>
      <c r="J109" s="248">
        <f t="shared" si="9"/>
        <v>5212</v>
      </c>
      <c r="K109" s="2"/>
      <c r="L109" s="24" t="s">
        <v>118</v>
      </c>
      <c r="M109" s="120"/>
      <c r="N109" s="259" t="s">
        <v>281</v>
      </c>
      <c r="O109" s="11">
        <v>45602</v>
      </c>
      <c r="P109" s="102"/>
      <c r="Q109" s="258">
        <v>45614</v>
      </c>
      <c r="R109" s="53">
        <v>45615</v>
      </c>
      <c r="S109" s="124"/>
    </row>
    <row r="110" spans="1:19" s="125" customFormat="1" ht="19.649999999999999" customHeight="1" x14ac:dyDescent="0.2">
      <c r="A110" s="1" t="s">
        <v>119</v>
      </c>
      <c r="B110" s="63"/>
      <c r="C110" s="1"/>
      <c r="D110" s="88">
        <f t="shared" si="10"/>
        <v>81</v>
      </c>
      <c r="E110" s="88" t="s">
        <v>54</v>
      </c>
      <c r="F110" s="4" t="s">
        <v>28</v>
      </c>
      <c r="G110" s="24" t="s">
        <v>120</v>
      </c>
      <c r="H110" s="193">
        <v>2</v>
      </c>
      <c r="I110" s="1">
        <v>7393</v>
      </c>
      <c r="J110" s="248">
        <f t="shared" si="9"/>
        <v>14786</v>
      </c>
      <c r="K110" s="1"/>
      <c r="L110" s="129" t="s">
        <v>121</v>
      </c>
      <c r="M110" s="120"/>
      <c r="N110" s="259" t="s">
        <v>281</v>
      </c>
      <c r="O110" s="11">
        <v>45602</v>
      </c>
      <c r="P110" s="102"/>
      <c r="Q110" s="258">
        <v>45614</v>
      </c>
      <c r="R110" s="53">
        <v>45615</v>
      </c>
      <c r="S110" s="124"/>
    </row>
    <row r="111" spans="1:19" s="125" customFormat="1" ht="19.649999999999999" customHeight="1" x14ac:dyDescent="0.2">
      <c r="A111" s="1" t="s">
        <v>122</v>
      </c>
      <c r="B111" s="63"/>
      <c r="C111" s="1"/>
      <c r="D111" s="88">
        <f t="shared" si="10"/>
        <v>82</v>
      </c>
      <c r="E111" s="88" t="s">
        <v>54</v>
      </c>
      <c r="F111" s="4" t="s">
        <v>28</v>
      </c>
      <c r="G111" s="24" t="s">
        <v>123</v>
      </c>
      <c r="H111" s="193">
        <v>1</v>
      </c>
      <c r="I111" s="1">
        <v>27836</v>
      </c>
      <c r="J111" s="248">
        <f t="shared" si="9"/>
        <v>27836</v>
      </c>
      <c r="K111" s="1"/>
      <c r="L111" s="24" t="s">
        <v>124</v>
      </c>
      <c r="M111" s="120"/>
      <c r="N111" s="259" t="s">
        <v>281</v>
      </c>
      <c r="O111" s="11">
        <v>45602</v>
      </c>
      <c r="P111" s="102"/>
      <c r="Q111" s="258">
        <v>45614</v>
      </c>
      <c r="R111" s="53">
        <v>45615</v>
      </c>
      <c r="S111" s="124"/>
    </row>
    <row r="112" spans="1:19" s="125" customFormat="1" ht="19.649999999999999" customHeight="1" x14ac:dyDescent="0.2">
      <c r="A112" s="1" t="s">
        <v>33</v>
      </c>
      <c r="B112" s="63"/>
      <c r="C112" s="1"/>
      <c r="D112" s="88">
        <f>+D111+1</f>
        <v>83</v>
      </c>
      <c r="E112" s="189" t="s">
        <v>90</v>
      </c>
      <c r="F112" s="189" t="s">
        <v>90</v>
      </c>
      <c r="G112" s="190" t="s">
        <v>125</v>
      </c>
      <c r="H112" s="190">
        <v>10</v>
      </c>
      <c r="I112" s="154">
        <v>69</v>
      </c>
      <c r="J112" s="251">
        <f t="shared" si="9"/>
        <v>690</v>
      </c>
      <c r="K112" s="65"/>
      <c r="L112" s="131" t="s">
        <v>126</v>
      </c>
      <c r="M112" s="120"/>
      <c r="N112" s="259" t="s">
        <v>281</v>
      </c>
      <c r="O112" s="11">
        <v>45602</v>
      </c>
      <c r="P112" s="102"/>
      <c r="Q112" s="258">
        <v>45614</v>
      </c>
      <c r="R112" s="53">
        <v>45615</v>
      </c>
      <c r="S112" s="124"/>
    </row>
    <row r="113" spans="1:19" s="125" customFormat="1" ht="19.649999999999999" customHeight="1" x14ac:dyDescent="0.2">
      <c r="A113" s="1" t="s">
        <v>33</v>
      </c>
      <c r="B113" s="63"/>
      <c r="C113" s="1"/>
      <c r="D113" s="88">
        <f t="shared" si="10"/>
        <v>84</v>
      </c>
      <c r="E113" s="189" t="s">
        <v>90</v>
      </c>
      <c r="F113" s="189" t="s">
        <v>90</v>
      </c>
      <c r="G113" s="190" t="s">
        <v>127</v>
      </c>
      <c r="H113" s="190">
        <v>4</v>
      </c>
      <c r="I113" s="154">
        <v>155</v>
      </c>
      <c r="J113" s="251">
        <f t="shared" si="9"/>
        <v>620</v>
      </c>
      <c r="K113" s="65"/>
      <c r="L113" s="131" t="s">
        <v>128</v>
      </c>
      <c r="M113" s="120"/>
      <c r="N113" s="259" t="s">
        <v>281</v>
      </c>
      <c r="O113" s="11">
        <v>45602</v>
      </c>
      <c r="P113" s="102"/>
      <c r="Q113" s="258">
        <v>45614</v>
      </c>
      <c r="R113" s="53">
        <v>45615</v>
      </c>
      <c r="S113" s="124"/>
    </row>
    <row r="114" spans="1:19" s="125" customFormat="1" ht="19.649999999999999" customHeight="1" x14ac:dyDescent="0.2">
      <c r="A114" s="1" t="s">
        <v>33</v>
      </c>
      <c r="B114" s="63"/>
      <c r="C114" s="1"/>
      <c r="D114" s="88">
        <f t="shared" si="10"/>
        <v>85</v>
      </c>
      <c r="E114" s="132" t="s">
        <v>90</v>
      </c>
      <c r="F114" s="132" t="s">
        <v>90</v>
      </c>
      <c r="G114" s="133" t="s">
        <v>129</v>
      </c>
      <c r="H114" s="191">
        <v>10</v>
      </c>
      <c r="I114" s="192">
        <v>25</v>
      </c>
      <c r="J114" s="252">
        <f t="shared" si="9"/>
        <v>250</v>
      </c>
      <c r="K114" s="134"/>
      <c r="L114" s="133" t="s">
        <v>130</v>
      </c>
      <c r="M114" s="120"/>
      <c r="N114" s="259" t="s">
        <v>281</v>
      </c>
      <c r="O114" s="11">
        <v>45602</v>
      </c>
      <c r="P114" s="102"/>
      <c r="Q114" s="258">
        <v>45614</v>
      </c>
      <c r="R114" s="53">
        <v>45615</v>
      </c>
      <c r="S114" s="124"/>
    </row>
    <row r="115" spans="1:19" s="125" customFormat="1" ht="19.649999999999999" customHeight="1" x14ac:dyDescent="0.2">
      <c r="A115" s="1" t="s">
        <v>33</v>
      </c>
      <c r="B115" s="63"/>
      <c r="C115" s="1"/>
      <c r="D115" s="88">
        <f>+D114+1</f>
        <v>86</v>
      </c>
      <c r="E115" s="93" t="s">
        <v>90</v>
      </c>
      <c r="F115" s="93" t="s">
        <v>90</v>
      </c>
      <c r="G115" s="24" t="s">
        <v>131</v>
      </c>
      <c r="H115" s="193">
        <v>6</v>
      </c>
      <c r="I115" s="1">
        <v>51</v>
      </c>
      <c r="J115" s="248">
        <f t="shared" si="9"/>
        <v>306</v>
      </c>
      <c r="K115" s="2"/>
      <c r="L115" s="24" t="s">
        <v>132</v>
      </c>
      <c r="M115" s="120"/>
      <c r="N115" s="259" t="s">
        <v>281</v>
      </c>
      <c r="O115" s="11">
        <v>45602</v>
      </c>
      <c r="P115" s="102"/>
      <c r="Q115" s="258">
        <v>45614</v>
      </c>
      <c r="R115" s="53">
        <v>45615</v>
      </c>
      <c r="S115" s="124"/>
    </row>
    <row r="116" spans="1:19" s="125" customFormat="1" ht="19.649999999999999" customHeight="1" x14ac:dyDescent="0.2">
      <c r="A116" s="1" t="s">
        <v>33</v>
      </c>
      <c r="B116" s="63"/>
      <c r="C116" s="1"/>
      <c r="D116" s="88">
        <f t="shared" si="10"/>
        <v>87</v>
      </c>
      <c r="E116" s="93" t="s">
        <v>90</v>
      </c>
      <c r="F116" s="93" t="s">
        <v>90</v>
      </c>
      <c r="G116" s="24" t="s">
        <v>133</v>
      </c>
      <c r="H116" s="193">
        <v>10</v>
      </c>
      <c r="I116" s="1">
        <v>57</v>
      </c>
      <c r="J116" s="248">
        <f t="shared" si="9"/>
        <v>570</v>
      </c>
      <c r="K116" s="2"/>
      <c r="L116" s="24" t="s">
        <v>134</v>
      </c>
      <c r="M116" s="120"/>
      <c r="N116" s="259" t="s">
        <v>281</v>
      </c>
      <c r="O116" s="11">
        <v>45602</v>
      </c>
      <c r="P116" s="102"/>
      <c r="Q116" s="258">
        <v>45614</v>
      </c>
      <c r="R116" s="53">
        <v>45615</v>
      </c>
      <c r="S116" s="124"/>
    </row>
    <row r="117" spans="1:19" s="125" customFormat="1" ht="19.649999999999999" customHeight="1" x14ac:dyDescent="0.2">
      <c r="A117" s="1" t="s">
        <v>33</v>
      </c>
      <c r="B117" s="63"/>
      <c r="C117" s="1"/>
      <c r="D117" s="88">
        <f>+D116+1</f>
        <v>88</v>
      </c>
      <c r="E117" s="93" t="s">
        <v>90</v>
      </c>
      <c r="F117" s="93" t="s">
        <v>90</v>
      </c>
      <c r="G117" s="24" t="s">
        <v>135</v>
      </c>
      <c r="H117" s="193">
        <v>4</v>
      </c>
      <c r="I117" s="1">
        <v>210</v>
      </c>
      <c r="J117" s="248">
        <f t="shared" si="9"/>
        <v>840</v>
      </c>
      <c r="K117" s="2"/>
      <c r="L117" s="24" t="s">
        <v>136</v>
      </c>
      <c r="M117" s="120"/>
      <c r="N117" s="259" t="s">
        <v>281</v>
      </c>
      <c r="O117" s="11">
        <v>45602</v>
      </c>
      <c r="P117" s="102"/>
      <c r="Q117" s="258">
        <v>45614</v>
      </c>
      <c r="R117" s="53">
        <v>45615</v>
      </c>
      <c r="S117" s="124"/>
    </row>
    <row r="118" spans="1:19" s="125" customFormat="1" ht="19.649999999999999" customHeight="1" x14ac:dyDescent="0.2">
      <c r="A118" s="1" t="s">
        <v>33</v>
      </c>
      <c r="B118" s="63"/>
      <c r="C118" s="1"/>
      <c r="D118" s="88">
        <f t="shared" si="10"/>
        <v>89</v>
      </c>
      <c r="E118" s="93" t="s">
        <v>90</v>
      </c>
      <c r="F118" s="93" t="s">
        <v>90</v>
      </c>
      <c r="G118" s="24" t="s">
        <v>137</v>
      </c>
      <c r="H118" s="193">
        <v>4</v>
      </c>
      <c r="I118" s="1">
        <v>210</v>
      </c>
      <c r="J118" s="248">
        <f t="shared" si="9"/>
        <v>840</v>
      </c>
      <c r="K118" s="2"/>
      <c r="L118" s="119" t="s">
        <v>138</v>
      </c>
      <c r="M118" s="120"/>
      <c r="N118" s="259" t="s">
        <v>281</v>
      </c>
      <c r="O118" s="11">
        <v>45602</v>
      </c>
      <c r="P118" s="102"/>
      <c r="Q118" s="258">
        <v>45614</v>
      </c>
      <c r="R118" s="53">
        <v>45615</v>
      </c>
      <c r="S118" s="124"/>
    </row>
    <row r="119" spans="1:19" s="125" customFormat="1" ht="19.649999999999999" customHeight="1" x14ac:dyDescent="0.2">
      <c r="A119" s="1"/>
      <c r="B119" s="1"/>
      <c r="C119" s="1"/>
      <c r="D119" s="4"/>
      <c r="E119" s="4"/>
      <c r="F119" s="4"/>
      <c r="G119" s="1"/>
      <c r="H119" s="25"/>
      <c r="I119" s="1"/>
      <c r="J119" s="2"/>
      <c r="K119" s="119"/>
      <c r="L119" s="1"/>
      <c r="M119" s="120"/>
      <c r="N119" s="120"/>
      <c r="O119" s="121"/>
      <c r="P119" s="122"/>
      <c r="Q119" s="123"/>
      <c r="R119" s="121"/>
      <c r="S119" s="124"/>
    </row>
    <row r="120" spans="1:19" s="125" customFormat="1" ht="19.649999999999999" customHeight="1" x14ac:dyDescent="0.2">
      <c r="A120" s="1"/>
      <c r="B120" s="1"/>
      <c r="C120" s="1"/>
      <c r="D120" s="4"/>
      <c r="E120" s="4"/>
      <c r="F120" s="4"/>
      <c r="G120" s="186">
        <f>SUM(J93:J118)</f>
        <v>103506</v>
      </c>
      <c r="H120" s="187"/>
      <c r="I120" s="187"/>
      <c r="J120" s="188"/>
      <c r="K120" s="119"/>
      <c r="L120" s="1"/>
      <c r="M120" s="120"/>
      <c r="N120" s="120"/>
      <c r="O120" s="121"/>
      <c r="P120" s="122"/>
      <c r="Q120" s="123"/>
      <c r="R120" s="121"/>
      <c r="S120" s="124"/>
    </row>
    <row r="121" spans="1:19" s="3" customFormat="1" ht="19.5" customHeight="1" x14ac:dyDescent="0.2">
      <c r="C121" s="64"/>
      <c r="D121" s="105"/>
      <c r="E121" s="56"/>
      <c r="F121" s="56"/>
      <c r="G121" s="59"/>
      <c r="H121" s="57"/>
      <c r="I121" s="103"/>
      <c r="J121" s="56"/>
      <c r="K121" s="57"/>
      <c r="L121" s="61"/>
      <c r="M121" s="57"/>
      <c r="N121" s="57"/>
      <c r="O121" s="11"/>
      <c r="P121" s="102"/>
      <c r="Q121" s="52"/>
      <c r="R121" s="53"/>
      <c r="S121" s="55"/>
    </row>
    <row r="122" spans="1:19" s="3" customFormat="1" ht="19.5" customHeight="1" x14ac:dyDescent="0.2">
      <c r="C122" s="64"/>
      <c r="D122" s="105"/>
      <c r="E122" s="56"/>
      <c r="F122" s="56"/>
      <c r="G122" s="59"/>
      <c r="H122" s="57"/>
      <c r="I122" s="103"/>
      <c r="J122" s="56"/>
      <c r="K122" s="57"/>
      <c r="L122" s="61"/>
      <c r="M122" s="57"/>
      <c r="N122" s="57"/>
      <c r="O122" s="11"/>
      <c r="P122" s="102"/>
      <c r="Q122" s="52"/>
      <c r="R122" s="53"/>
      <c r="S122" s="55"/>
    </row>
    <row r="123" spans="1:19" s="3" customFormat="1" ht="19.5" customHeight="1" x14ac:dyDescent="0.2">
      <c r="C123" s="64"/>
      <c r="D123" s="105"/>
      <c r="E123" s="56"/>
      <c r="F123" s="56"/>
      <c r="G123" s="59"/>
      <c r="H123" s="57"/>
      <c r="I123" s="103"/>
      <c r="J123" s="56"/>
      <c r="K123" s="57"/>
      <c r="L123" s="61"/>
      <c r="M123" s="57"/>
      <c r="N123" s="57"/>
      <c r="O123" s="11"/>
      <c r="P123" s="102"/>
      <c r="Q123" s="52"/>
      <c r="R123" s="53"/>
      <c r="S123" s="55"/>
    </row>
    <row r="124" spans="1:19" s="3" customFormat="1" ht="19.649999999999999" customHeight="1" x14ac:dyDescent="0.2">
      <c r="B124" s="42"/>
      <c r="C124" s="1"/>
      <c r="D124" s="220" t="s">
        <v>31</v>
      </c>
      <c r="E124" s="221"/>
      <c r="F124" s="221"/>
      <c r="G124" s="222"/>
      <c r="H124" s="1"/>
      <c r="I124" s="47"/>
      <c r="J124" s="46"/>
      <c r="K124" s="27"/>
      <c r="L124" s="25"/>
      <c r="M124" s="25"/>
      <c r="N124" s="4"/>
      <c r="O124" s="11"/>
      <c r="P124" s="11"/>
      <c r="Q124" s="11"/>
      <c r="R124" s="19"/>
      <c r="S124" s="14"/>
    </row>
    <row r="125" spans="1:19" s="3" customFormat="1" ht="19.649999999999999" customHeight="1" x14ac:dyDescent="0.2">
      <c r="A125" s="1" t="s">
        <v>27</v>
      </c>
      <c r="B125" s="63"/>
      <c r="C125" s="64">
        <v>2</v>
      </c>
      <c r="D125" s="185">
        <f>+D118+1</f>
        <v>90</v>
      </c>
      <c r="E125" s="116" t="s">
        <v>28</v>
      </c>
      <c r="F125" s="116" t="s">
        <v>28</v>
      </c>
      <c r="G125" s="130" t="s">
        <v>29</v>
      </c>
      <c r="H125" s="30">
        <v>1</v>
      </c>
      <c r="I125" s="47">
        <v>4400</v>
      </c>
      <c r="J125" s="251">
        <f t="shared" ref="J125:J146" si="11">H125*I125</f>
        <v>4400</v>
      </c>
      <c r="K125" s="65"/>
      <c r="L125" s="66" t="s">
        <v>30</v>
      </c>
      <c r="M125" s="25"/>
      <c r="N125" s="259" t="s">
        <v>281</v>
      </c>
      <c r="O125" s="11">
        <v>45602</v>
      </c>
      <c r="P125" s="102"/>
      <c r="Q125" s="258">
        <v>45614</v>
      </c>
      <c r="R125" s="77">
        <v>45615</v>
      </c>
      <c r="S125" s="14"/>
    </row>
    <row r="126" spans="1:19" s="3" customFormat="1" ht="19.649999999999999" customHeight="1" x14ac:dyDescent="0.2">
      <c r="A126" s="150" t="s">
        <v>53</v>
      </c>
      <c r="B126" s="169"/>
      <c r="C126" s="64">
        <v>2</v>
      </c>
      <c r="D126" s="185">
        <f>+D125+1</f>
        <v>91</v>
      </c>
      <c r="E126" s="4" t="s">
        <v>28</v>
      </c>
      <c r="F126" s="4" t="s">
        <v>28</v>
      </c>
      <c r="G126" s="178" t="s">
        <v>260</v>
      </c>
      <c r="H126" s="179">
        <v>1</v>
      </c>
      <c r="I126" s="180">
        <v>14290</v>
      </c>
      <c r="J126" s="240">
        <f t="shared" si="11"/>
        <v>14290</v>
      </c>
      <c r="K126" s="2"/>
      <c r="L126" s="109" t="s">
        <v>261</v>
      </c>
      <c r="M126" s="68"/>
      <c r="N126" s="259" t="s">
        <v>281</v>
      </c>
      <c r="O126" s="11">
        <v>45602</v>
      </c>
      <c r="P126" s="102"/>
      <c r="Q126" s="258">
        <v>45614</v>
      </c>
      <c r="R126" s="77">
        <v>45615</v>
      </c>
      <c r="S126" s="14"/>
    </row>
    <row r="127" spans="1:19" s="3" customFormat="1" ht="19.649999999999999" customHeight="1" x14ac:dyDescent="0.2">
      <c r="A127" s="150" t="s">
        <v>225</v>
      </c>
      <c r="B127" s="169"/>
      <c r="C127" s="64">
        <v>2</v>
      </c>
      <c r="D127" s="200">
        <f t="shared" ref="D127:D144" si="12">+D126+1</f>
        <v>92</v>
      </c>
      <c r="E127" s="4" t="s">
        <v>28</v>
      </c>
      <c r="F127" s="4" t="s">
        <v>28</v>
      </c>
      <c r="G127" s="91" t="s">
        <v>226</v>
      </c>
      <c r="H127" s="92">
        <v>1</v>
      </c>
      <c r="I127" s="175">
        <v>1998</v>
      </c>
      <c r="J127" s="238">
        <f t="shared" si="11"/>
        <v>1998</v>
      </c>
      <c r="K127" s="126"/>
      <c r="L127" s="104" t="s">
        <v>227</v>
      </c>
      <c r="M127" s="68"/>
      <c r="N127" s="259" t="s">
        <v>281</v>
      </c>
      <c r="O127" s="11">
        <v>45602</v>
      </c>
      <c r="P127" s="102"/>
      <c r="Q127" s="258">
        <v>45614</v>
      </c>
      <c r="R127" s="77">
        <v>45615</v>
      </c>
      <c r="S127" s="14"/>
    </row>
    <row r="128" spans="1:19" s="3" customFormat="1" ht="19.649999999999999" customHeight="1" x14ac:dyDescent="0.2">
      <c r="A128" s="150" t="s">
        <v>225</v>
      </c>
      <c r="B128" s="169"/>
      <c r="C128" s="64">
        <v>2</v>
      </c>
      <c r="D128" s="200">
        <f t="shared" si="12"/>
        <v>93</v>
      </c>
      <c r="E128" s="4" t="s">
        <v>28</v>
      </c>
      <c r="F128" s="4" t="s">
        <v>28</v>
      </c>
      <c r="G128" s="91" t="s">
        <v>248</v>
      </c>
      <c r="H128" s="92">
        <v>1</v>
      </c>
      <c r="I128" s="175">
        <v>5520</v>
      </c>
      <c r="J128" s="238">
        <f t="shared" si="11"/>
        <v>5520</v>
      </c>
      <c r="K128" s="126"/>
      <c r="L128" s="79" t="s">
        <v>228</v>
      </c>
      <c r="M128" s="79"/>
      <c r="N128" s="259" t="s">
        <v>281</v>
      </c>
      <c r="O128" s="11">
        <v>45602</v>
      </c>
      <c r="P128" s="102"/>
      <c r="Q128" s="258">
        <v>45614</v>
      </c>
      <c r="R128" s="77">
        <v>45615</v>
      </c>
      <c r="S128" s="14"/>
    </row>
    <row r="129" spans="1:19" s="3" customFormat="1" ht="19.649999999999999" customHeight="1" x14ac:dyDescent="0.2">
      <c r="A129" s="150" t="s">
        <v>53</v>
      </c>
      <c r="B129" s="169"/>
      <c r="C129" s="64"/>
      <c r="D129" s="200">
        <f t="shared" si="12"/>
        <v>94</v>
      </c>
      <c r="E129" s="4" t="s">
        <v>90</v>
      </c>
      <c r="F129" s="4" t="s">
        <v>90</v>
      </c>
      <c r="G129" s="24" t="s">
        <v>277</v>
      </c>
      <c r="H129" s="177">
        <v>1</v>
      </c>
      <c r="I129" s="1">
        <v>3263</v>
      </c>
      <c r="J129" s="240">
        <f>H129*I129</f>
        <v>3263</v>
      </c>
      <c r="K129" s="119"/>
      <c r="L129" s="109" t="s">
        <v>259</v>
      </c>
      <c r="M129" s="79"/>
      <c r="N129" s="259" t="s">
        <v>281</v>
      </c>
      <c r="O129" s="11">
        <v>45602</v>
      </c>
      <c r="P129" s="102"/>
      <c r="Q129" s="258">
        <v>45614</v>
      </c>
      <c r="R129" s="77">
        <v>45615</v>
      </c>
      <c r="S129" s="14"/>
    </row>
    <row r="130" spans="1:19" s="3" customFormat="1" ht="19.649999999999999" customHeight="1" x14ac:dyDescent="0.2">
      <c r="A130" s="150" t="s">
        <v>229</v>
      </c>
      <c r="B130" s="169"/>
      <c r="C130" s="64">
        <v>2</v>
      </c>
      <c r="D130" s="200">
        <f t="shared" si="12"/>
        <v>95</v>
      </c>
      <c r="E130" s="4" t="s">
        <v>28</v>
      </c>
      <c r="F130" s="4" t="s">
        <v>28</v>
      </c>
      <c r="G130" s="91" t="s">
        <v>230</v>
      </c>
      <c r="H130" s="92">
        <v>1</v>
      </c>
      <c r="I130" s="175">
        <v>5117</v>
      </c>
      <c r="J130" s="238">
        <f t="shared" si="11"/>
        <v>5117</v>
      </c>
      <c r="K130" s="126"/>
      <c r="L130" s="25" t="s">
        <v>231</v>
      </c>
      <c r="M130" s="79"/>
      <c r="N130" s="259" t="s">
        <v>281</v>
      </c>
      <c r="O130" s="11">
        <v>45602</v>
      </c>
      <c r="P130" s="102"/>
      <c r="Q130" s="258">
        <v>45614</v>
      </c>
      <c r="R130" s="77">
        <v>45615</v>
      </c>
      <c r="S130" s="14"/>
    </row>
    <row r="131" spans="1:19" s="3" customFormat="1" ht="19.649999999999999" customHeight="1" x14ac:dyDescent="0.2">
      <c r="A131" s="150" t="s">
        <v>229</v>
      </c>
      <c r="B131" s="169"/>
      <c r="C131" s="64">
        <v>2</v>
      </c>
      <c r="D131" s="200">
        <f t="shared" si="12"/>
        <v>96</v>
      </c>
      <c r="E131" s="4" t="s">
        <v>28</v>
      </c>
      <c r="F131" s="4" t="s">
        <v>28</v>
      </c>
      <c r="G131" s="106" t="s">
        <v>249</v>
      </c>
      <c r="H131" s="181">
        <v>1</v>
      </c>
      <c r="I131" s="73">
        <v>4239</v>
      </c>
      <c r="J131" s="240">
        <f t="shared" si="11"/>
        <v>4239</v>
      </c>
      <c r="K131" s="74"/>
      <c r="L131" s="109" t="s">
        <v>250</v>
      </c>
      <c r="M131" s="89"/>
      <c r="N131" s="259" t="s">
        <v>281</v>
      </c>
      <c r="O131" s="11">
        <v>45602</v>
      </c>
      <c r="P131" s="102"/>
      <c r="Q131" s="258">
        <v>45614</v>
      </c>
      <c r="R131" s="77">
        <v>45615</v>
      </c>
      <c r="S131" s="14"/>
    </row>
    <row r="132" spans="1:19" s="3" customFormat="1" ht="19.649999999999999" customHeight="1" x14ac:dyDescent="0.2">
      <c r="A132" s="150" t="s">
        <v>53</v>
      </c>
      <c r="B132" s="169"/>
      <c r="C132" s="64">
        <v>2</v>
      </c>
      <c r="D132" s="200">
        <f t="shared" si="12"/>
        <v>97</v>
      </c>
      <c r="E132" s="4" t="s">
        <v>28</v>
      </c>
      <c r="F132" s="4" t="s">
        <v>28</v>
      </c>
      <c r="G132" s="91" t="s">
        <v>251</v>
      </c>
      <c r="H132" s="92">
        <v>2</v>
      </c>
      <c r="I132" s="175">
        <v>1318</v>
      </c>
      <c r="J132" s="238">
        <f t="shared" si="11"/>
        <v>2636</v>
      </c>
      <c r="K132" s="27"/>
      <c r="L132" s="25" t="s">
        <v>232</v>
      </c>
      <c r="M132" s="79"/>
      <c r="N132" s="259" t="s">
        <v>281</v>
      </c>
      <c r="O132" s="11">
        <v>45602</v>
      </c>
      <c r="P132" s="102"/>
      <c r="Q132" s="258">
        <v>45614</v>
      </c>
      <c r="R132" s="77">
        <v>45615</v>
      </c>
      <c r="S132" s="14"/>
    </row>
    <row r="133" spans="1:19" s="3" customFormat="1" ht="19.649999999999999" customHeight="1" x14ac:dyDescent="0.2">
      <c r="A133" s="150" t="s">
        <v>53</v>
      </c>
      <c r="B133" s="169"/>
      <c r="C133" s="64">
        <v>2</v>
      </c>
      <c r="D133" s="200">
        <f t="shared" si="12"/>
        <v>98</v>
      </c>
      <c r="E133" s="4" t="s">
        <v>28</v>
      </c>
      <c r="F133" s="4" t="s">
        <v>28</v>
      </c>
      <c r="G133" s="91" t="s">
        <v>268</v>
      </c>
      <c r="H133" s="92">
        <v>1</v>
      </c>
      <c r="I133" s="175">
        <v>1258</v>
      </c>
      <c r="J133" s="238">
        <f t="shared" si="11"/>
        <v>1258</v>
      </c>
      <c r="K133" s="27"/>
      <c r="L133" s="25" t="s">
        <v>232</v>
      </c>
      <c r="M133" s="168"/>
      <c r="N133" s="259" t="s">
        <v>281</v>
      </c>
      <c r="O133" s="11">
        <v>45602</v>
      </c>
      <c r="P133" s="102"/>
      <c r="Q133" s="258">
        <v>45614</v>
      </c>
      <c r="R133" s="77">
        <v>45615</v>
      </c>
      <c r="S133" s="14"/>
    </row>
    <row r="134" spans="1:19" s="3" customFormat="1" ht="19.649999999999999" customHeight="1" x14ac:dyDescent="0.2">
      <c r="A134" s="150" t="s">
        <v>229</v>
      </c>
      <c r="B134" s="169"/>
      <c r="C134" s="64"/>
      <c r="D134" s="200">
        <f t="shared" si="12"/>
        <v>99</v>
      </c>
      <c r="E134" s="4" t="s">
        <v>263</v>
      </c>
      <c r="F134" s="4" t="s">
        <v>28</v>
      </c>
      <c r="G134" s="91">
        <v>620704006</v>
      </c>
      <c r="H134" s="92">
        <v>10</v>
      </c>
      <c r="I134" s="175">
        <v>36</v>
      </c>
      <c r="J134" s="238">
        <f t="shared" si="11"/>
        <v>360</v>
      </c>
      <c r="K134" s="27"/>
      <c r="L134" s="25" t="s">
        <v>262</v>
      </c>
      <c r="M134" s="168"/>
      <c r="N134" s="259" t="s">
        <v>281</v>
      </c>
      <c r="O134" s="11">
        <v>45602</v>
      </c>
      <c r="P134" s="102"/>
      <c r="Q134" s="258">
        <v>45614</v>
      </c>
      <c r="R134" s="77">
        <v>45615</v>
      </c>
      <c r="S134" s="14"/>
    </row>
    <row r="135" spans="1:19" s="3" customFormat="1" ht="19.649999999999999" customHeight="1" x14ac:dyDescent="0.2">
      <c r="A135" s="150" t="s">
        <v>229</v>
      </c>
      <c r="B135" s="169"/>
      <c r="C135" s="64">
        <v>2</v>
      </c>
      <c r="D135" s="200">
        <f>+D134+1</f>
        <v>100</v>
      </c>
      <c r="E135" s="140" t="s">
        <v>252</v>
      </c>
      <c r="F135" s="140" t="s">
        <v>28</v>
      </c>
      <c r="G135" s="91" t="s">
        <v>253</v>
      </c>
      <c r="H135" s="177">
        <v>1</v>
      </c>
      <c r="I135" s="92">
        <v>2700</v>
      </c>
      <c r="J135" s="253">
        <f t="shared" si="11"/>
        <v>2700</v>
      </c>
      <c r="K135" s="165"/>
      <c r="L135" s="109" t="s">
        <v>254</v>
      </c>
      <c r="M135" s="87"/>
      <c r="N135" s="259" t="s">
        <v>281</v>
      </c>
      <c r="O135" s="11">
        <v>45602</v>
      </c>
      <c r="P135" s="102"/>
      <c r="Q135" s="258">
        <v>45614</v>
      </c>
      <c r="R135" s="77">
        <v>45615</v>
      </c>
      <c r="S135" s="14"/>
    </row>
    <row r="136" spans="1:19" s="3" customFormat="1" ht="19.649999999999999" customHeight="1" x14ac:dyDescent="0.2">
      <c r="A136" s="150" t="s">
        <v>229</v>
      </c>
      <c r="B136" s="169"/>
      <c r="C136" s="64">
        <v>3</v>
      </c>
      <c r="D136" s="200">
        <f t="shared" si="12"/>
        <v>101</v>
      </c>
      <c r="E136" s="140" t="s">
        <v>252</v>
      </c>
      <c r="F136" s="140" t="s">
        <v>28</v>
      </c>
      <c r="G136" s="91" t="s">
        <v>255</v>
      </c>
      <c r="H136" s="177">
        <v>1</v>
      </c>
      <c r="I136" s="92">
        <v>2700</v>
      </c>
      <c r="J136" s="253">
        <f t="shared" si="11"/>
        <v>2700</v>
      </c>
      <c r="K136" s="165"/>
      <c r="L136" s="109" t="s">
        <v>256</v>
      </c>
      <c r="M136" s="87"/>
      <c r="N136" s="259" t="s">
        <v>281</v>
      </c>
      <c r="O136" s="11">
        <v>45602</v>
      </c>
      <c r="P136" s="102"/>
      <c r="Q136" s="258">
        <v>45614</v>
      </c>
      <c r="R136" s="77">
        <v>45615</v>
      </c>
      <c r="S136" s="14"/>
    </row>
    <row r="137" spans="1:19" s="3" customFormat="1" ht="19.649999999999999" customHeight="1" x14ac:dyDescent="0.2">
      <c r="A137" s="150" t="s">
        <v>229</v>
      </c>
      <c r="B137" s="169"/>
      <c r="C137" s="64">
        <v>2</v>
      </c>
      <c r="D137" s="200">
        <f>+D136+1</f>
        <v>102</v>
      </c>
      <c r="E137" s="72" t="s">
        <v>28</v>
      </c>
      <c r="F137" s="72" t="s">
        <v>28</v>
      </c>
      <c r="G137" s="31" t="s">
        <v>233</v>
      </c>
      <c r="H137" s="150">
        <v>1</v>
      </c>
      <c r="I137" s="149">
        <v>6230</v>
      </c>
      <c r="J137" s="254">
        <f t="shared" si="11"/>
        <v>6230</v>
      </c>
      <c r="K137" s="155"/>
      <c r="L137" s="89" t="s">
        <v>234</v>
      </c>
      <c r="M137" s="156"/>
      <c r="N137" s="259" t="s">
        <v>281</v>
      </c>
      <c r="O137" s="11">
        <v>45602</v>
      </c>
      <c r="P137" s="102"/>
      <c r="Q137" s="258">
        <v>45614</v>
      </c>
      <c r="R137" s="77">
        <v>45615</v>
      </c>
      <c r="S137" s="14"/>
    </row>
    <row r="138" spans="1:19" s="3" customFormat="1" ht="19.649999999999999" customHeight="1" x14ac:dyDescent="0.2">
      <c r="A138" s="150" t="s">
        <v>229</v>
      </c>
      <c r="B138" s="169"/>
      <c r="C138" s="64">
        <v>2</v>
      </c>
      <c r="D138" s="200">
        <f t="shared" si="12"/>
        <v>103</v>
      </c>
      <c r="E138" s="140" t="s">
        <v>28</v>
      </c>
      <c r="F138" s="140" t="s">
        <v>28</v>
      </c>
      <c r="G138" s="172" t="s">
        <v>235</v>
      </c>
      <c r="H138" s="92">
        <v>1</v>
      </c>
      <c r="I138" s="73">
        <v>198</v>
      </c>
      <c r="J138" s="242">
        <f>H138*I138</f>
        <v>198</v>
      </c>
      <c r="K138" s="74"/>
      <c r="L138" s="109" t="s">
        <v>236</v>
      </c>
      <c r="M138" s="156"/>
      <c r="N138" s="259" t="s">
        <v>281</v>
      </c>
      <c r="O138" s="11">
        <v>45602</v>
      </c>
      <c r="P138" s="102"/>
      <c r="Q138" s="258">
        <v>45614</v>
      </c>
      <c r="R138" s="77">
        <v>45615</v>
      </c>
      <c r="S138" s="14"/>
    </row>
    <row r="139" spans="1:19" s="3" customFormat="1" ht="19.649999999999999" customHeight="1" x14ac:dyDescent="0.2">
      <c r="A139" s="150" t="s">
        <v>229</v>
      </c>
      <c r="B139" s="169"/>
      <c r="C139" s="64">
        <v>2</v>
      </c>
      <c r="D139" s="200">
        <f>+D138+1</f>
        <v>104</v>
      </c>
      <c r="E139" s="72" t="s">
        <v>28</v>
      </c>
      <c r="F139" s="72" t="s">
        <v>28</v>
      </c>
      <c r="G139" s="171" t="s">
        <v>273</v>
      </c>
      <c r="H139" s="150">
        <v>1</v>
      </c>
      <c r="I139" s="149">
        <v>894</v>
      </c>
      <c r="J139" s="254">
        <f t="shared" ref="J139" si="13">H139*I139</f>
        <v>894</v>
      </c>
      <c r="K139" s="155"/>
      <c r="L139" s="79" t="s">
        <v>272</v>
      </c>
      <c r="M139" s="156"/>
      <c r="N139" s="259" t="s">
        <v>281</v>
      </c>
      <c r="O139" s="11">
        <v>45602</v>
      </c>
      <c r="P139" s="102"/>
      <c r="Q139" s="258">
        <v>45614</v>
      </c>
      <c r="R139" s="77">
        <v>45615</v>
      </c>
      <c r="S139" s="14"/>
    </row>
    <row r="140" spans="1:19" s="3" customFormat="1" ht="19.649999999999999" customHeight="1" x14ac:dyDescent="0.2">
      <c r="A140" s="150" t="s">
        <v>229</v>
      </c>
      <c r="B140" s="169"/>
      <c r="C140" s="64">
        <v>2</v>
      </c>
      <c r="D140" s="200">
        <f>+D139+1</f>
        <v>105</v>
      </c>
      <c r="E140" s="140" t="s">
        <v>28</v>
      </c>
      <c r="F140" s="140" t="s">
        <v>28</v>
      </c>
      <c r="G140" s="106" t="s">
        <v>257</v>
      </c>
      <c r="H140" s="92">
        <v>1</v>
      </c>
      <c r="I140" s="73">
        <v>5116</v>
      </c>
      <c r="J140" s="240">
        <f t="shared" si="11"/>
        <v>5116</v>
      </c>
      <c r="K140" s="2"/>
      <c r="L140" s="25" t="s">
        <v>269</v>
      </c>
      <c r="M140" s="80"/>
      <c r="N140" s="259" t="s">
        <v>281</v>
      </c>
      <c r="O140" s="11">
        <v>45602</v>
      </c>
      <c r="P140" s="102"/>
      <c r="Q140" s="258">
        <v>45614</v>
      </c>
      <c r="R140" s="77">
        <v>45615</v>
      </c>
      <c r="S140" s="14"/>
    </row>
    <row r="141" spans="1:19" s="3" customFormat="1" ht="19.649999999999999" customHeight="1" x14ac:dyDescent="0.2">
      <c r="A141" s="1" t="s">
        <v>229</v>
      </c>
      <c r="B141" s="63"/>
      <c r="C141" s="64">
        <v>2</v>
      </c>
      <c r="D141" s="200">
        <f>+D140+1</f>
        <v>106</v>
      </c>
      <c r="E141" s="140" t="s">
        <v>28</v>
      </c>
      <c r="F141" s="140" t="s">
        <v>28</v>
      </c>
      <c r="G141" s="106" t="s">
        <v>271</v>
      </c>
      <c r="H141" s="92">
        <v>1</v>
      </c>
      <c r="I141" s="73">
        <v>1956</v>
      </c>
      <c r="J141" s="240">
        <f t="shared" si="11"/>
        <v>1956</v>
      </c>
      <c r="K141" s="2"/>
      <c r="L141" s="25" t="s">
        <v>270</v>
      </c>
      <c r="M141" s="80"/>
      <c r="N141" s="259" t="s">
        <v>281</v>
      </c>
      <c r="O141" s="11">
        <v>45602</v>
      </c>
      <c r="P141" s="102"/>
      <c r="Q141" s="258">
        <v>45614</v>
      </c>
      <c r="R141" s="77">
        <v>45615</v>
      </c>
      <c r="S141" s="14"/>
    </row>
    <row r="142" spans="1:19" s="3" customFormat="1" ht="19.649999999999999" customHeight="1" x14ac:dyDescent="0.2">
      <c r="A142" s="150" t="s">
        <v>229</v>
      </c>
      <c r="B142" s="169"/>
      <c r="C142" s="64">
        <v>2</v>
      </c>
      <c r="D142" s="200">
        <f>+D141+1</f>
        <v>107</v>
      </c>
      <c r="E142" s="93" t="s">
        <v>28</v>
      </c>
      <c r="F142" s="93" t="s">
        <v>28</v>
      </c>
      <c r="G142" s="173" t="s">
        <v>237</v>
      </c>
      <c r="H142" s="117">
        <v>1</v>
      </c>
      <c r="I142" s="94">
        <v>860</v>
      </c>
      <c r="J142" s="255">
        <f t="shared" si="11"/>
        <v>860</v>
      </c>
      <c r="K142" s="95"/>
      <c r="L142" s="166" t="s">
        <v>238</v>
      </c>
      <c r="M142" s="87"/>
      <c r="N142" s="259" t="s">
        <v>281</v>
      </c>
      <c r="O142" s="11">
        <v>45602</v>
      </c>
      <c r="P142" s="102"/>
      <c r="Q142" s="258">
        <v>45614</v>
      </c>
      <c r="R142" s="77">
        <v>45615</v>
      </c>
      <c r="S142" s="14"/>
    </row>
    <row r="143" spans="1:19" s="3" customFormat="1" ht="19.649999999999999" customHeight="1" x14ac:dyDescent="0.2">
      <c r="A143" s="150" t="s">
        <v>229</v>
      </c>
      <c r="B143" s="169"/>
      <c r="C143" s="64">
        <v>2</v>
      </c>
      <c r="D143" s="200">
        <f>+D142+1</f>
        <v>108</v>
      </c>
      <c r="E143" s="30" t="s">
        <v>239</v>
      </c>
      <c r="F143" s="93" t="s">
        <v>28</v>
      </c>
      <c r="G143" s="174" t="s">
        <v>240</v>
      </c>
      <c r="H143" s="30">
        <v>1</v>
      </c>
      <c r="I143" s="30">
        <v>622</v>
      </c>
      <c r="J143" s="256">
        <f t="shared" si="11"/>
        <v>622</v>
      </c>
      <c r="K143" s="2"/>
      <c r="L143" s="86" t="s">
        <v>241</v>
      </c>
      <c r="M143" s="68"/>
      <c r="N143" s="259" t="s">
        <v>281</v>
      </c>
      <c r="O143" s="11">
        <v>45602</v>
      </c>
      <c r="P143" s="102"/>
      <c r="Q143" s="258">
        <v>45614</v>
      </c>
      <c r="R143" s="77">
        <v>45615</v>
      </c>
      <c r="S143" s="14"/>
    </row>
    <row r="144" spans="1:19" s="3" customFormat="1" ht="19.649999999999999" customHeight="1" x14ac:dyDescent="0.2">
      <c r="A144" s="150" t="s">
        <v>229</v>
      </c>
      <c r="B144" s="169"/>
      <c r="C144" s="64">
        <v>2</v>
      </c>
      <c r="D144" s="200">
        <f t="shared" si="12"/>
        <v>109</v>
      </c>
      <c r="E144" s="93" t="s">
        <v>28</v>
      </c>
      <c r="F144" s="93" t="s">
        <v>28</v>
      </c>
      <c r="G144" s="79" t="s">
        <v>242</v>
      </c>
      <c r="H144" s="1">
        <v>3</v>
      </c>
      <c r="I144" s="1">
        <v>130</v>
      </c>
      <c r="J144" s="256">
        <f t="shared" si="11"/>
        <v>390</v>
      </c>
      <c r="K144" s="28"/>
      <c r="L144" s="79" t="s">
        <v>243</v>
      </c>
      <c r="M144" s="68"/>
      <c r="N144" s="259" t="s">
        <v>281</v>
      </c>
      <c r="O144" s="11">
        <v>45602</v>
      </c>
      <c r="P144" s="102"/>
      <c r="Q144" s="258">
        <v>45614</v>
      </c>
      <c r="R144" s="77">
        <v>45615</v>
      </c>
      <c r="S144" s="14"/>
    </row>
    <row r="145" spans="1:19" s="3" customFormat="1" ht="19.649999999999999" customHeight="1" x14ac:dyDescent="0.2">
      <c r="A145" s="150" t="s">
        <v>229</v>
      </c>
      <c r="B145" s="169"/>
      <c r="C145" s="64">
        <v>2</v>
      </c>
      <c r="D145" s="200">
        <f>+D144+1</f>
        <v>110</v>
      </c>
      <c r="E145" s="116" t="s">
        <v>28</v>
      </c>
      <c r="F145" s="116" t="s">
        <v>28</v>
      </c>
      <c r="G145" s="31" t="s">
        <v>244</v>
      </c>
      <c r="H145" s="175">
        <v>2</v>
      </c>
      <c r="I145" s="175">
        <v>210</v>
      </c>
      <c r="J145" s="238">
        <f t="shared" si="11"/>
        <v>420</v>
      </c>
      <c r="K145" s="85"/>
      <c r="L145" s="31" t="s">
        <v>245</v>
      </c>
      <c r="M145" s="68"/>
      <c r="N145" s="259" t="s">
        <v>281</v>
      </c>
      <c r="O145" s="11">
        <v>45602</v>
      </c>
      <c r="P145" s="102"/>
      <c r="Q145" s="258">
        <v>45614</v>
      </c>
      <c r="R145" s="77">
        <v>45615</v>
      </c>
      <c r="S145" s="14"/>
    </row>
    <row r="146" spans="1:19" s="3" customFormat="1" ht="19.649999999999999" customHeight="1" x14ac:dyDescent="0.2">
      <c r="A146" s="150" t="s">
        <v>229</v>
      </c>
      <c r="B146" s="169"/>
      <c r="C146" s="64">
        <v>2</v>
      </c>
      <c r="D146" s="200">
        <f>+D145+1</f>
        <v>111</v>
      </c>
      <c r="E146" s="93" t="s">
        <v>28</v>
      </c>
      <c r="F146" s="157" t="s">
        <v>28</v>
      </c>
      <c r="G146" s="106" t="s">
        <v>246</v>
      </c>
      <c r="H146" s="176">
        <v>8</v>
      </c>
      <c r="I146" s="94">
        <v>81</v>
      </c>
      <c r="J146" s="257">
        <f t="shared" si="11"/>
        <v>648</v>
      </c>
      <c r="K146" s="158"/>
      <c r="L146" s="109" t="s">
        <v>267</v>
      </c>
      <c r="M146" s="87"/>
      <c r="N146" s="259" t="s">
        <v>281</v>
      </c>
      <c r="O146" s="11">
        <v>45602</v>
      </c>
      <c r="P146" s="102"/>
      <c r="Q146" s="258">
        <v>45614</v>
      </c>
      <c r="R146" s="77">
        <v>45615</v>
      </c>
      <c r="S146" s="14"/>
    </row>
    <row r="147" spans="1:19" s="3" customFormat="1" ht="19.649999999999999" customHeight="1" x14ac:dyDescent="0.2">
      <c r="A147" s="1" t="s">
        <v>27</v>
      </c>
      <c r="B147" s="63"/>
      <c r="C147" s="64">
        <v>2</v>
      </c>
      <c r="D147" s="200">
        <f>+D146+1</f>
        <v>112</v>
      </c>
      <c r="E147" s="140" t="s">
        <v>280</v>
      </c>
      <c r="F147" s="140" t="s">
        <v>28</v>
      </c>
      <c r="G147" s="170" t="s">
        <v>266</v>
      </c>
      <c r="H147" s="92">
        <v>1</v>
      </c>
      <c r="I147" s="92">
        <v>1611</v>
      </c>
      <c r="J147" s="253">
        <f>H147*I147</f>
        <v>1611</v>
      </c>
      <c r="K147" s="159"/>
      <c r="L147" s="109" t="s">
        <v>247</v>
      </c>
      <c r="M147" s="80"/>
      <c r="N147" s="259" t="s">
        <v>281</v>
      </c>
      <c r="O147" s="11">
        <v>45602</v>
      </c>
      <c r="P147" s="260"/>
      <c r="Q147" s="261">
        <v>45614</v>
      </c>
      <c r="R147" s="266">
        <v>45615</v>
      </c>
      <c r="S147" s="14"/>
    </row>
    <row r="148" spans="1:19" s="3" customFormat="1" ht="19.649999999999999" customHeight="1" x14ac:dyDescent="0.2">
      <c r="A148" s="150"/>
      <c r="B148" s="150"/>
      <c r="C148" s="64"/>
      <c r="D148" s="154"/>
      <c r="E148" s="92"/>
      <c r="F148" s="92"/>
      <c r="G148" s="160"/>
      <c r="H148" s="161"/>
      <c r="I148" s="162"/>
      <c r="J148" s="94"/>
      <c r="K148" s="163"/>
      <c r="L148" s="164"/>
      <c r="M148" s="76"/>
      <c r="N148" s="4"/>
      <c r="O148" s="11"/>
      <c r="P148" s="4"/>
      <c r="Q148" s="19"/>
      <c r="R148" s="19"/>
      <c r="S148" s="14"/>
    </row>
    <row r="149" spans="1:19" s="3" customFormat="1" ht="19.649999999999999" customHeight="1" x14ac:dyDescent="0.2">
      <c r="A149"/>
      <c r="B149"/>
      <c r="C149"/>
      <c r="D149" s="52"/>
      <c r="E149" s="54"/>
      <c r="F149" s="54"/>
      <c r="G149" s="223">
        <f>SUM(J125:J148)</f>
        <v>67426</v>
      </c>
      <c r="H149" s="224"/>
      <c r="I149" s="224"/>
      <c r="J149" s="225"/>
      <c r="K149" s="147"/>
      <c r="L149" s="146"/>
      <c r="M149" s="68"/>
      <c r="N149" s="4"/>
      <c r="O149" s="11"/>
      <c r="P149" s="4"/>
      <c r="Q149" s="19"/>
      <c r="R149" s="19"/>
      <c r="S149" s="14"/>
    </row>
    <row r="150" spans="1:19" s="3" customFormat="1" ht="19.649999999999999" customHeight="1" x14ac:dyDescent="0.2">
      <c r="C150" s="64"/>
      <c r="D150" s="140"/>
      <c r="E150" s="167"/>
      <c r="F150" s="116"/>
      <c r="G150" s="130"/>
      <c r="H150" s="30"/>
      <c r="I150" s="47"/>
      <c r="J150" s="47"/>
      <c r="K150" s="65"/>
      <c r="L150" s="66"/>
      <c r="M150" s="25"/>
      <c r="N150" s="4"/>
      <c r="O150" s="11"/>
      <c r="P150" s="4"/>
      <c r="Q150" s="19"/>
      <c r="R150" s="19"/>
      <c r="S150" s="14"/>
    </row>
    <row r="151" spans="1:19" s="3" customFormat="1" ht="19.649999999999999" customHeight="1" x14ac:dyDescent="0.2">
      <c r="C151" s="64"/>
      <c r="D151" s="140"/>
      <c r="E151" s="167"/>
      <c r="F151" s="116"/>
      <c r="G151" s="130"/>
      <c r="H151" s="30"/>
      <c r="I151" s="47"/>
      <c r="J151" s="47"/>
      <c r="K151" s="65"/>
      <c r="L151" s="66"/>
      <c r="M151" s="25"/>
      <c r="N151" s="4"/>
      <c r="O151" s="11"/>
      <c r="P151" s="4"/>
      <c r="Q151" s="19"/>
      <c r="R151" s="19"/>
      <c r="S151" s="14"/>
    </row>
    <row r="152" spans="1:19" s="3" customFormat="1" ht="19.649999999999999" customHeight="1" x14ac:dyDescent="0.2">
      <c r="C152" s="64"/>
      <c r="D152" s="140"/>
      <c r="E152" s="167"/>
      <c r="F152" s="116"/>
      <c r="G152" s="130"/>
      <c r="H152" s="30"/>
      <c r="I152" s="47"/>
      <c r="J152" s="47"/>
      <c r="K152" s="65"/>
      <c r="L152" s="66"/>
      <c r="M152" s="25"/>
      <c r="N152" s="4"/>
      <c r="O152" s="11"/>
      <c r="P152" s="4"/>
      <c r="Q152" s="19"/>
      <c r="R152" s="19"/>
      <c r="S152" s="14"/>
    </row>
    <row r="153" spans="1:19" s="3" customFormat="1" ht="19.649999999999999" customHeight="1" x14ac:dyDescent="0.2">
      <c r="C153" s="64"/>
      <c r="D153" s="140"/>
      <c r="E153" s="167"/>
      <c r="F153" s="116"/>
      <c r="G153" s="130"/>
      <c r="H153" s="30"/>
      <c r="I153" s="47"/>
      <c r="J153" s="47"/>
      <c r="K153" s="65"/>
      <c r="L153" s="66"/>
      <c r="M153" s="25"/>
      <c r="N153" s="4"/>
      <c r="O153" s="11"/>
      <c r="P153" s="4"/>
      <c r="Q153" s="19"/>
      <c r="R153" s="19"/>
      <c r="S153" s="14"/>
    </row>
    <row r="154" spans="1:19" s="3" customFormat="1" ht="19.649999999999999" customHeight="1" x14ac:dyDescent="0.2">
      <c r="C154" s="64"/>
      <c r="D154" s="140"/>
      <c r="E154" s="167"/>
      <c r="F154" s="116"/>
      <c r="G154" s="130"/>
      <c r="H154" s="30"/>
      <c r="I154" s="47"/>
      <c r="J154" s="47"/>
      <c r="K154" s="65"/>
      <c r="L154" s="66"/>
      <c r="M154" s="25"/>
      <c r="N154" s="4"/>
      <c r="O154" s="11"/>
      <c r="P154" s="4"/>
      <c r="Q154" s="19"/>
      <c r="R154" s="19"/>
      <c r="S154" s="14"/>
    </row>
    <row r="155" spans="1:19" s="3" customFormat="1" ht="19.649999999999999" customHeight="1" x14ac:dyDescent="0.2">
      <c r="C155" s="64"/>
      <c r="D155" s="140"/>
      <c r="E155" s="167"/>
      <c r="F155" s="116"/>
      <c r="G155" s="130"/>
      <c r="H155" s="30"/>
      <c r="I155" s="47"/>
      <c r="J155" s="47"/>
      <c r="K155" s="65"/>
      <c r="L155" s="66"/>
      <c r="M155" s="25"/>
      <c r="N155" s="4"/>
      <c r="O155" s="11"/>
      <c r="P155" s="4"/>
      <c r="Q155" s="19"/>
      <c r="R155" s="19"/>
      <c r="S155" s="14"/>
    </row>
    <row r="156" spans="1:19" s="3" customFormat="1" ht="19.649999999999999" customHeight="1" x14ac:dyDescent="0.2">
      <c r="C156" s="64"/>
      <c r="D156" s="140"/>
      <c r="E156" s="167"/>
      <c r="F156" s="116"/>
      <c r="G156" s="130"/>
      <c r="H156" s="30"/>
      <c r="I156" s="47"/>
      <c r="J156" s="47"/>
      <c r="K156" s="65"/>
      <c r="L156" s="66"/>
      <c r="M156" s="25"/>
      <c r="N156" s="4"/>
      <c r="O156" s="11"/>
      <c r="P156" s="4"/>
      <c r="Q156" s="19"/>
      <c r="R156" s="19"/>
      <c r="S156" s="14"/>
    </row>
    <row r="157" spans="1:19" s="3" customFormat="1" ht="19.649999999999999" customHeight="1" x14ac:dyDescent="0.2">
      <c r="C157" s="64"/>
      <c r="D157" s="140"/>
      <c r="E157" s="167"/>
      <c r="F157" s="116"/>
      <c r="G157" s="130"/>
      <c r="H157" s="30"/>
      <c r="I157" s="47"/>
      <c r="J157" s="47"/>
      <c r="K157" s="65"/>
      <c r="L157" s="66"/>
      <c r="M157" s="25"/>
      <c r="N157" s="4"/>
      <c r="O157" s="11"/>
      <c r="P157" s="4"/>
      <c r="Q157" s="19"/>
      <c r="R157" s="19"/>
      <c r="S157" s="14"/>
    </row>
    <row r="158" spans="1:19" s="3" customFormat="1" ht="19.5" customHeight="1" x14ac:dyDescent="0.2">
      <c r="C158" s="64"/>
      <c r="D158" s="105"/>
      <c r="E158" s="60"/>
      <c r="F158" s="56"/>
      <c r="G158" s="59"/>
      <c r="H158" s="57"/>
      <c r="I158" s="103"/>
      <c r="J158" s="56"/>
      <c r="K158" s="57"/>
      <c r="L158" s="61"/>
      <c r="M158" s="57"/>
      <c r="N158" s="57"/>
      <c r="O158" s="11"/>
      <c r="P158" s="262"/>
      <c r="Q158" s="263"/>
      <c r="R158" s="264"/>
      <c r="S158" s="265"/>
    </row>
    <row r="159" spans="1:19" s="3" customFormat="1" ht="19.5" customHeight="1" x14ac:dyDescent="0.2">
      <c r="C159" s="64"/>
      <c r="D159" s="105"/>
      <c r="E159" s="60"/>
      <c r="F159" s="56"/>
      <c r="G159" s="59"/>
      <c r="H159" s="57"/>
      <c r="I159" s="103"/>
      <c r="J159" s="56"/>
      <c r="K159" s="57"/>
      <c r="L159" s="61"/>
      <c r="M159" s="57"/>
      <c r="N159" s="57"/>
      <c r="O159" s="11"/>
      <c r="P159" s="102"/>
      <c r="Q159" s="52"/>
      <c r="R159" s="53"/>
      <c r="S159" s="55"/>
    </row>
    <row r="160" spans="1:19" s="3" customFormat="1" ht="19.5" customHeight="1" x14ac:dyDescent="0.2">
      <c r="C160" s="64"/>
      <c r="D160" s="105"/>
      <c r="E160" s="60"/>
      <c r="F160" s="56"/>
      <c r="G160" s="59"/>
      <c r="H160" s="57"/>
      <c r="I160" s="103"/>
      <c r="J160" s="56"/>
      <c r="K160" s="57"/>
      <c r="L160" s="61"/>
      <c r="M160" s="57"/>
      <c r="N160" s="57"/>
      <c r="O160" s="11"/>
      <c r="P160" s="102"/>
      <c r="Q160" s="52"/>
      <c r="R160" s="53"/>
      <c r="S160" s="55"/>
    </row>
    <row r="161" spans="2:19" s="3" customFormat="1" ht="19.5" customHeight="1" x14ac:dyDescent="0.2">
      <c r="C161" s="64"/>
      <c r="D161" s="105"/>
      <c r="E161" s="60"/>
      <c r="F161" s="56"/>
      <c r="G161" s="59"/>
      <c r="H161" s="57"/>
      <c r="I161" s="103"/>
      <c r="J161" s="56"/>
      <c r="K161" s="57"/>
      <c r="L161" s="61"/>
      <c r="M161" s="57"/>
      <c r="N161" s="57"/>
      <c r="O161" s="11"/>
      <c r="P161" s="102"/>
      <c r="Q161" s="52"/>
      <c r="R161" s="53"/>
      <c r="S161" s="55"/>
    </row>
    <row r="162" spans="2:19" s="3" customFormat="1" ht="19.5" customHeight="1" x14ac:dyDescent="0.2">
      <c r="C162" s="1"/>
      <c r="D162" s="4"/>
      <c r="E162" s="4"/>
      <c r="F162" s="4"/>
      <c r="G162" s="104"/>
      <c r="H162" s="32"/>
      <c r="I162" s="32"/>
      <c r="J162" s="32"/>
      <c r="K162" s="65"/>
      <c r="L162" s="66"/>
      <c r="M162" s="1"/>
      <c r="N162" s="1"/>
      <c r="O162" s="11"/>
      <c r="P162" s="102"/>
      <c r="Q162" s="52"/>
      <c r="R162" s="53"/>
      <c r="S162" s="55"/>
    </row>
    <row r="163" spans="2:19" s="3" customFormat="1" ht="19.5" customHeight="1" x14ac:dyDescent="0.2">
      <c r="C163" s="1"/>
      <c r="D163" s="4"/>
      <c r="E163" s="4"/>
      <c r="F163" s="4"/>
      <c r="G163" s="1"/>
      <c r="H163" s="32"/>
      <c r="I163" s="32"/>
      <c r="J163" s="32"/>
      <c r="K163" s="65"/>
      <c r="L163" s="66"/>
      <c r="M163" s="1"/>
      <c r="N163" s="1"/>
      <c r="O163" s="11"/>
      <c r="P163" s="102"/>
      <c r="Q163" s="52"/>
      <c r="R163" s="53"/>
      <c r="S163" s="55"/>
    </row>
    <row r="164" spans="2:19" s="3" customFormat="1" ht="19.649999999999999" customHeight="1" x14ac:dyDescent="0.2">
      <c r="B164" s="67"/>
      <c r="C164" s="1"/>
      <c r="D164" s="4"/>
      <c r="E164" s="4"/>
      <c r="F164" s="4"/>
      <c r="G164" s="26"/>
      <c r="H164" s="1"/>
      <c r="I164" s="21"/>
      <c r="J164" s="46"/>
      <c r="K164" s="2"/>
      <c r="L164" s="25"/>
      <c r="M164" s="22"/>
      <c r="N164" s="4"/>
      <c r="O164" s="11"/>
      <c r="P164" s="4"/>
      <c r="Q164" s="19"/>
      <c r="R164" s="19"/>
      <c r="S164" s="14"/>
    </row>
    <row r="165" spans="2:19" s="3" customFormat="1" ht="19.649999999999999" customHeight="1" x14ac:dyDescent="0.2">
      <c r="B165" s="67"/>
      <c r="C165" s="1"/>
      <c r="D165" s="4"/>
      <c r="E165" s="30"/>
      <c r="F165" s="34"/>
      <c r="G165" s="24"/>
      <c r="H165" s="41"/>
      <c r="I165" s="48"/>
      <c r="J165" s="47"/>
      <c r="K165" s="32"/>
      <c r="L165" s="31"/>
      <c r="M165" s="22"/>
      <c r="N165" s="4"/>
      <c r="O165" s="11"/>
      <c r="P165" s="4"/>
      <c r="Q165" s="19"/>
      <c r="R165" s="19"/>
      <c r="S165" s="14"/>
    </row>
    <row r="166" spans="2:19" s="3" customFormat="1" ht="19.649999999999999" customHeight="1" x14ac:dyDescent="0.2">
      <c r="B166" s="42"/>
      <c r="C166" s="1"/>
      <c r="D166" s="4"/>
      <c r="E166" s="4"/>
      <c r="F166" s="40"/>
      <c r="G166" s="24"/>
      <c r="H166" s="41"/>
      <c r="I166" s="48"/>
      <c r="J166" s="39"/>
      <c r="K166" s="32"/>
      <c r="L166" s="31"/>
      <c r="M166" s="22"/>
      <c r="N166" s="4"/>
      <c r="O166" s="11"/>
      <c r="P166" s="4"/>
      <c r="Q166" s="19"/>
      <c r="R166" s="19"/>
      <c r="S166" s="14"/>
    </row>
    <row r="167" spans="2:19" s="3" customFormat="1" ht="18" customHeight="1" x14ac:dyDescent="0.2">
      <c r="B167" s="42"/>
      <c r="C167" s="1"/>
      <c r="D167" s="4"/>
      <c r="E167" s="4"/>
      <c r="F167" s="4"/>
      <c r="G167" s="26"/>
      <c r="H167" s="35"/>
      <c r="I167" s="49"/>
      <c r="J167" s="47"/>
      <c r="K167" s="36"/>
      <c r="L167" s="37"/>
      <c r="M167" s="25"/>
      <c r="N167" s="4"/>
      <c r="O167" s="11"/>
      <c r="P167" s="4"/>
      <c r="Q167" s="19"/>
      <c r="R167" s="19"/>
      <c r="S167" s="14"/>
    </row>
    <row r="168" spans="2:19" s="3" customFormat="1" ht="18" customHeight="1" x14ac:dyDescent="0.2">
      <c r="B168" s="42"/>
      <c r="C168" s="1"/>
      <c r="D168" s="4"/>
      <c r="E168" s="4"/>
      <c r="F168" s="4"/>
      <c r="G168" s="33"/>
      <c r="H168" s="1"/>
      <c r="I168" s="47"/>
      <c r="J168" s="47"/>
      <c r="K168" s="2"/>
      <c r="L168" s="25"/>
      <c r="M168" s="22"/>
      <c r="N168" s="4"/>
      <c r="O168" s="11"/>
      <c r="P168" s="4"/>
      <c r="Q168" s="19"/>
      <c r="R168" s="19"/>
      <c r="S168" s="14"/>
    </row>
    <row r="169" spans="2:19" s="3" customFormat="1" ht="18" customHeight="1" x14ac:dyDescent="0.2">
      <c r="B169" s="42"/>
      <c r="C169" s="1"/>
      <c r="D169" s="4"/>
      <c r="E169" s="4"/>
      <c r="F169" s="4"/>
      <c r="G169" s="38"/>
      <c r="H169" s="1"/>
      <c r="I169" s="47"/>
      <c r="J169" s="47"/>
      <c r="K169" s="2"/>
      <c r="L169" s="25"/>
      <c r="M169" s="22"/>
      <c r="N169" s="4"/>
      <c r="O169" s="11"/>
      <c r="P169" s="4"/>
      <c r="Q169" s="19"/>
      <c r="R169" s="19"/>
      <c r="S169" s="14"/>
    </row>
    <row r="170" spans="2:19" s="3" customFormat="1" ht="18" customHeight="1" x14ac:dyDescent="0.2">
      <c r="B170" s="42"/>
      <c r="C170" s="1"/>
      <c r="D170" s="4"/>
      <c r="E170" s="4"/>
      <c r="F170" s="4"/>
      <c r="G170" s="26"/>
      <c r="H170" s="1"/>
      <c r="I170" s="21"/>
      <c r="J170" s="46"/>
      <c r="K170" s="2"/>
      <c r="L170" s="25"/>
      <c r="M170" s="25"/>
      <c r="N170" s="4"/>
      <c r="O170" s="11"/>
      <c r="P170" s="11"/>
      <c r="Q170" s="11"/>
      <c r="R170" s="19"/>
      <c r="S170" s="14"/>
    </row>
    <row r="171" spans="2:19" s="3" customFormat="1" ht="19.649999999999999" customHeight="1" x14ac:dyDescent="0.2">
      <c r="B171" s="42"/>
      <c r="C171" s="1"/>
      <c r="D171" s="4"/>
      <c r="E171" s="4"/>
      <c r="F171" s="4"/>
      <c r="G171" s="24"/>
      <c r="H171" s="1"/>
      <c r="I171" s="47"/>
      <c r="J171" s="46"/>
      <c r="K171" s="27"/>
      <c r="L171" s="25"/>
      <c r="M171" s="25"/>
      <c r="N171" s="4"/>
      <c r="O171" s="11"/>
      <c r="P171" s="4"/>
      <c r="Q171" s="19"/>
      <c r="R171" s="19"/>
      <c r="S171" s="14"/>
    </row>
    <row r="172" spans="2:19" s="3" customFormat="1" ht="19.649999999999999" customHeight="1" x14ac:dyDescent="0.2">
      <c r="B172" s="42"/>
      <c r="C172" s="1"/>
      <c r="D172" s="4"/>
      <c r="E172" s="4"/>
      <c r="F172" s="4"/>
      <c r="G172" s="24"/>
      <c r="H172" s="1"/>
      <c r="I172" s="47"/>
      <c r="J172" s="46"/>
      <c r="K172" s="27"/>
      <c r="L172" s="25"/>
      <c r="M172" s="25"/>
      <c r="N172" s="4"/>
      <c r="O172" s="11"/>
      <c r="P172" s="4"/>
      <c r="Q172" s="19"/>
      <c r="R172" s="19"/>
      <c r="S172" s="14"/>
    </row>
    <row r="173" spans="2:19" s="3" customFormat="1" ht="19.649999999999999" customHeight="1" x14ac:dyDescent="0.2">
      <c r="B173" s="42"/>
      <c r="C173" s="1"/>
      <c r="D173" s="4"/>
      <c r="E173" s="4"/>
      <c r="F173" s="4"/>
      <c r="G173" s="24"/>
      <c r="H173" s="1"/>
      <c r="I173" s="47"/>
      <c r="J173" s="46"/>
      <c r="K173" s="27"/>
      <c r="L173" s="25"/>
      <c r="M173" s="25"/>
      <c r="N173" s="4"/>
      <c r="O173" s="11"/>
      <c r="P173" s="4"/>
      <c r="Q173" s="19"/>
      <c r="R173" s="19"/>
      <c r="S173" s="14"/>
    </row>
    <row r="174" spans="2:19" s="3" customFormat="1" ht="19.649999999999999" customHeight="1" x14ac:dyDescent="0.2">
      <c r="B174" s="42"/>
      <c r="C174" s="1"/>
      <c r="D174" s="4"/>
      <c r="E174" s="4"/>
      <c r="F174" s="4"/>
      <c r="G174" s="26"/>
      <c r="H174" s="1"/>
      <c r="I174" s="21"/>
      <c r="J174" s="46"/>
      <c r="K174" s="2"/>
      <c r="L174" s="25"/>
      <c r="M174" s="25"/>
      <c r="N174" s="4"/>
      <c r="O174" s="11"/>
      <c r="P174" s="4"/>
      <c r="Q174" s="19"/>
      <c r="R174" s="19"/>
      <c r="S174" s="14"/>
    </row>
    <row r="175" spans="2:19" s="3" customFormat="1" ht="19.649999999999999" customHeight="1" x14ac:dyDescent="0.2">
      <c r="B175" s="42"/>
      <c r="C175" s="1"/>
      <c r="D175" s="4"/>
      <c r="E175" s="4"/>
      <c r="F175" s="4"/>
      <c r="G175" s="26"/>
      <c r="H175" s="1"/>
      <c r="I175" s="21"/>
      <c r="J175" s="46"/>
      <c r="K175" s="2"/>
      <c r="L175" s="25"/>
      <c r="M175" s="25"/>
      <c r="N175" s="4"/>
      <c r="O175" s="11"/>
      <c r="P175" s="4"/>
      <c r="Q175" s="19"/>
      <c r="R175" s="19"/>
      <c r="S175" s="14"/>
    </row>
    <row r="176" spans="2:19" ht="19.649999999999999" customHeight="1" x14ac:dyDescent="0.2">
      <c r="B176" s="42"/>
      <c r="C176" s="1"/>
      <c r="D176" s="4"/>
      <c r="E176" s="1"/>
      <c r="F176" s="1"/>
      <c r="G176" s="26"/>
      <c r="H176" s="1"/>
      <c r="I176" s="21"/>
      <c r="J176" s="46"/>
      <c r="K176" s="2"/>
      <c r="L176" s="25"/>
      <c r="M176" s="24"/>
      <c r="N176" s="4"/>
      <c r="O176" s="11"/>
      <c r="P176" s="4"/>
      <c r="Q176" s="19"/>
      <c r="R176" s="19"/>
      <c r="S176" s="14"/>
    </row>
    <row r="177" spans="2:19" ht="19.649999999999999" customHeight="1" x14ac:dyDescent="0.2">
      <c r="B177" s="42"/>
      <c r="C177" s="1"/>
      <c r="D177" s="4"/>
      <c r="E177" s="4"/>
      <c r="F177" s="4"/>
      <c r="G177" s="23"/>
      <c r="H177" s="1"/>
      <c r="I177" s="21"/>
      <c r="J177" s="47"/>
      <c r="K177" s="2"/>
      <c r="L177" s="25"/>
      <c r="M177" s="25"/>
      <c r="N177" s="4"/>
      <c r="O177" s="11"/>
      <c r="P177" s="4"/>
      <c r="Q177" s="19"/>
      <c r="R177" s="19"/>
      <c r="S177" s="14"/>
    </row>
    <row r="178" spans="2:19" ht="19.649999999999999" customHeight="1" x14ac:dyDescent="0.2">
      <c r="B178" s="42"/>
      <c r="C178" s="1"/>
      <c r="D178" s="4"/>
      <c r="E178" s="4"/>
      <c r="F178" s="4"/>
      <c r="G178" s="26"/>
      <c r="H178" s="1"/>
      <c r="I178" s="21"/>
      <c r="J178" s="46"/>
      <c r="K178" s="2"/>
      <c r="L178" s="25"/>
      <c r="M178" s="24"/>
      <c r="N178" s="4"/>
      <c r="O178" s="11"/>
      <c r="P178" s="4"/>
      <c r="Q178" s="19"/>
      <c r="R178" s="29"/>
      <c r="S178" s="14"/>
    </row>
    <row r="179" spans="2:19" ht="19.649999999999999" customHeight="1" x14ac:dyDescent="0.2">
      <c r="B179" s="42"/>
      <c r="C179" s="1"/>
      <c r="D179" s="4"/>
      <c r="E179" s="4"/>
      <c r="F179" s="4"/>
      <c r="G179" s="26"/>
      <c r="H179" s="1"/>
      <c r="I179" s="21"/>
      <c r="J179" s="46"/>
      <c r="K179" s="2"/>
      <c r="L179" s="25"/>
      <c r="M179" s="24"/>
      <c r="N179" s="4"/>
      <c r="O179" s="11"/>
      <c r="P179" s="4"/>
      <c r="Q179" s="19"/>
      <c r="R179" s="19"/>
      <c r="S179" s="14"/>
    </row>
    <row r="180" spans="2:19" ht="19.649999999999999" customHeight="1" x14ac:dyDescent="0.2">
      <c r="B180" s="42"/>
      <c r="C180" s="1"/>
      <c r="D180" s="4"/>
      <c r="E180" s="4"/>
      <c r="F180" s="4"/>
      <c r="G180" s="26"/>
      <c r="H180" s="1"/>
      <c r="I180" s="21"/>
      <c r="J180" s="46"/>
      <c r="K180" s="2"/>
      <c r="L180" s="25"/>
      <c r="M180" s="24"/>
      <c r="N180" s="4"/>
      <c r="O180" s="11"/>
      <c r="P180" s="4"/>
      <c r="Q180" s="19"/>
      <c r="R180" s="19"/>
      <c r="S180" s="14"/>
    </row>
    <row r="181" spans="2:19" ht="19.649999999999999" customHeight="1" x14ac:dyDescent="0.2">
      <c r="B181" s="42"/>
      <c r="C181" s="1"/>
      <c r="D181" s="4"/>
      <c r="E181" s="4"/>
      <c r="F181" s="4"/>
      <c r="G181" s="26"/>
      <c r="H181" s="1"/>
      <c r="I181" s="21"/>
      <c r="J181" s="46">
        <f t="shared" ref="J181:J186" si="14">H181*I181</f>
        <v>0</v>
      </c>
      <c r="K181" s="2"/>
      <c r="L181" s="25"/>
      <c r="M181" s="24"/>
      <c r="N181" s="4"/>
      <c r="O181" s="11"/>
      <c r="P181" s="4"/>
      <c r="Q181" s="19"/>
      <c r="R181" s="19"/>
      <c r="S181" s="14"/>
    </row>
    <row r="182" spans="2:19" ht="19.649999999999999" customHeight="1" x14ac:dyDescent="0.2">
      <c r="B182" s="42"/>
      <c r="C182" s="1"/>
      <c r="D182" s="4"/>
      <c r="E182" s="4"/>
      <c r="F182" s="4"/>
      <c r="G182" s="26"/>
      <c r="H182" s="1"/>
      <c r="I182" s="21"/>
      <c r="J182" s="46">
        <f t="shared" si="14"/>
        <v>0</v>
      </c>
      <c r="K182" s="2"/>
      <c r="L182" s="25"/>
      <c r="M182" s="24"/>
      <c r="N182" s="4"/>
      <c r="O182" s="11"/>
      <c r="P182" s="4"/>
      <c r="Q182" s="19"/>
      <c r="R182" s="19"/>
      <c r="S182" s="14"/>
    </row>
    <row r="183" spans="2:19" ht="19.649999999999999" customHeight="1" x14ac:dyDescent="0.2">
      <c r="B183" s="42"/>
      <c r="C183" s="1"/>
      <c r="D183" s="4"/>
      <c r="E183" s="4"/>
      <c r="F183" s="4"/>
      <c r="G183" s="26"/>
      <c r="H183" s="1"/>
      <c r="I183" s="21"/>
      <c r="J183" s="46">
        <f t="shared" si="14"/>
        <v>0</v>
      </c>
      <c r="K183" s="2"/>
      <c r="L183" s="25"/>
      <c r="M183" s="24"/>
      <c r="N183" s="4"/>
      <c r="O183" s="11"/>
      <c r="P183" s="4"/>
      <c r="Q183" s="19"/>
      <c r="R183" s="19"/>
      <c r="S183" s="14"/>
    </row>
    <row r="184" spans="2:19" ht="19.649999999999999" customHeight="1" x14ac:dyDescent="0.2">
      <c r="B184" s="42"/>
      <c r="C184" s="51"/>
      <c r="D184" s="4"/>
      <c r="E184" s="4"/>
      <c r="F184" s="4"/>
      <c r="G184" s="26"/>
      <c r="H184" s="1"/>
      <c r="I184" s="21"/>
      <c r="J184" s="46">
        <f t="shared" si="14"/>
        <v>0</v>
      </c>
      <c r="K184" s="2"/>
      <c r="L184" s="25"/>
      <c r="M184" s="24"/>
      <c r="N184" s="4"/>
      <c r="O184" s="11"/>
      <c r="P184" s="4"/>
      <c r="Q184" s="19"/>
      <c r="R184" s="19"/>
      <c r="S184" s="14"/>
    </row>
    <row r="185" spans="2:19" ht="19.649999999999999" customHeight="1" x14ac:dyDescent="0.2">
      <c r="B185" s="42"/>
      <c r="C185" s="51"/>
      <c r="D185" s="4"/>
      <c r="E185" s="4"/>
      <c r="F185" s="4"/>
      <c r="G185" s="26"/>
      <c r="H185" s="1"/>
      <c r="I185" s="21"/>
      <c r="J185" s="46">
        <f t="shared" si="14"/>
        <v>0</v>
      </c>
      <c r="K185" s="2"/>
      <c r="L185" s="25"/>
      <c r="M185" s="24"/>
      <c r="N185" s="4"/>
      <c r="O185" s="11"/>
      <c r="P185" s="4"/>
      <c r="Q185" s="19"/>
      <c r="R185" s="19"/>
      <c r="S185" s="14"/>
    </row>
    <row r="186" spans="2:19" ht="19.649999999999999" customHeight="1" x14ac:dyDescent="0.2">
      <c r="B186" s="42"/>
      <c r="C186" s="51"/>
      <c r="D186" s="4"/>
      <c r="E186" s="4"/>
      <c r="F186" s="4"/>
      <c r="G186" s="26"/>
      <c r="H186" s="1"/>
      <c r="I186" s="21"/>
      <c r="J186" s="46">
        <f t="shared" si="14"/>
        <v>0</v>
      </c>
      <c r="K186" s="2"/>
      <c r="L186" s="25"/>
      <c r="M186" s="24"/>
      <c r="N186" s="4"/>
      <c r="O186" s="11"/>
      <c r="P186" s="4"/>
      <c r="Q186" s="19"/>
      <c r="R186" s="19"/>
      <c r="S186" s="14"/>
    </row>
    <row r="187" spans="2:19" x14ac:dyDescent="0.2">
      <c r="J187" s="50"/>
    </row>
  </sheetData>
  <autoFilter ref="D9:Q166" xr:uid="{00000000-0009-0000-0000-000000000000}"/>
  <mergeCells count="16">
    <mergeCell ref="E92:G92"/>
    <mergeCell ref="D124:G124"/>
    <mergeCell ref="G149:J149"/>
    <mergeCell ref="D11:G11"/>
    <mergeCell ref="G53:J53"/>
    <mergeCell ref="E57:G57"/>
    <mergeCell ref="E72:G72"/>
    <mergeCell ref="G88:J88"/>
    <mergeCell ref="D2:F2"/>
    <mergeCell ref="I2:K2"/>
    <mergeCell ref="D3:F3"/>
    <mergeCell ref="D4:F4"/>
    <mergeCell ref="L4:M5"/>
    <mergeCell ref="D5:F5"/>
    <mergeCell ref="I5:J6"/>
    <mergeCell ref="D6:F6"/>
  </mergeCells>
  <phoneticPr fontId="16"/>
  <dataValidations count="2">
    <dataValidation allowBlank="1" showInputMessage="1" showErrorMessage="1" sqref="L52:L53" xr:uid="{2744FE83-392C-425C-B250-95229C41A74F}"/>
    <dataValidation imeMode="hiragana" allowBlank="1" showInputMessage="1" showErrorMessage="1" sqref="L75" xr:uid="{4D4D8952-6379-4FB0-B512-4DA49B5D0B83}"/>
  </dataValidations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20241025 ③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2024-11-06T01:55:18Z</dcterms:modified>
</cp:coreProperties>
</file>