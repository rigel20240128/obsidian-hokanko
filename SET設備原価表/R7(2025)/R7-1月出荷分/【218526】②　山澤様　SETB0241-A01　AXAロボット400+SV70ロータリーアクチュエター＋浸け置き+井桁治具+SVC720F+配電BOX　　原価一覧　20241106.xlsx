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128"/>
  <workbookPr defaultThemeVersion="124226"/>
  <mc:AlternateContent xmlns:mc="http://schemas.openxmlformats.org/markup-compatibility/2006">
    <mc:Choice Requires="x15">
      <x15ac:absPath xmlns:x15ac="http://schemas.microsoft.com/office/spreadsheetml/2010/11/ac" url="\\Sv-ap\data\製品管理部(機材)出荷管理課・資材調達課\機材・資材調達課(ﾛﾎﾞｯﾄ部品手配)\"/>
    </mc:Choice>
  </mc:AlternateContent>
  <xr:revisionPtr revIDLastSave="0" documentId="13_ncr:1_{5E2E5CA9-C33F-4E03-8B7D-BAE239CEA17B}" xr6:coauthVersionLast="47" xr6:coauthVersionMax="47" xr10:uidLastSave="{00000000-0000-0000-0000-000000000000}"/>
  <bookViews>
    <workbookView xWindow="345" yWindow="420" windowWidth="27660" windowHeight="14130" xr2:uid="{00000000-000D-0000-FFFF-FFFF00000000}"/>
  </bookViews>
  <sheets>
    <sheet name="218250　原価表  20241025 ② " sheetId="11" r:id="rId1"/>
  </sheets>
  <definedNames>
    <definedName name="_xlnm._FilterDatabase" localSheetId="0" hidden="1">'218250　原価表  20241025 ② '!$D$9:$Q$36</definedName>
  </definedNames>
  <calcPr calcId="181029"/>
  <fileRecoveryPr autoRecover="0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J56" i="11" l="1"/>
  <c r="J55" i="11"/>
  <c r="J54" i="11"/>
  <c r="J53" i="11"/>
  <c r="J52" i="11"/>
  <c r="J51" i="11"/>
  <c r="J17" i="11"/>
  <c r="J16" i="11"/>
  <c r="J15" i="11"/>
  <c r="J14" i="11"/>
  <c r="J13" i="11"/>
  <c r="D14" i="11"/>
  <c r="D15" i="11" s="1"/>
  <c r="D16" i="11" s="1"/>
  <c r="D17" i="11" s="1"/>
  <c r="L2" i="11" l="1"/>
  <c r="G19" i="11"/>
</calcChain>
</file>

<file path=xl/sharedStrings.xml><?xml version="1.0" encoding="utf-8"?>
<sst xmlns="http://schemas.openxmlformats.org/spreadsheetml/2006/main" count="56" uniqueCount="46">
  <si>
    <t>数量</t>
  </si>
  <si>
    <t>単価</t>
  </si>
  <si>
    <t>金額</t>
  </si>
  <si>
    <t>詳細</t>
    <rPh sb="0" eb="2">
      <t>ショウサイ</t>
    </rPh>
    <phoneticPr fontId="3"/>
  </si>
  <si>
    <t>見積り分類</t>
    <rPh sb="0" eb="2">
      <t>ミツモ</t>
    </rPh>
    <rPh sb="3" eb="5">
      <t>ブンルイ</t>
    </rPh>
    <phoneticPr fontId="2"/>
  </si>
  <si>
    <t>仕入先</t>
    <rPh sb="0" eb="2">
      <t>シイレ</t>
    </rPh>
    <rPh sb="2" eb="3">
      <t>サキ</t>
    </rPh>
    <phoneticPr fontId="2"/>
  </si>
  <si>
    <t>発注日</t>
    <rPh sb="0" eb="2">
      <t>ハッチュウ</t>
    </rPh>
    <rPh sb="2" eb="3">
      <t>ヒ</t>
    </rPh>
    <phoneticPr fontId="2"/>
  </si>
  <si>
    <t>納期</t>
    <rPh sb="0" eb="2">
      <t>ノウ</t>
    </rPh>
    <phoneticPr fontId="2"/>
  </si>
  <si>
    <t>品名 / 型式</t>
    <rPh sb="0" eb="2">
      <t>ヒンメイ</t>
    </rPh>
    <rPh sb="5" eb="7">
      <t>カタシキ</t>
    </rPh>
    <phoneticPr fontId="3"/>
  </si>
  <si>
    <t>メーカー</t>
    <phoneticPr fontId="2"/>
  </si>
  <si>
    <t>担当営業</t>
    <rPh sb="0" eb="2">
      <t>タントウ</t>
    </rPh>
    <rPh sb="2" eb="4">
      <t>エイギョウ</t>
    </rPh>
    <phoneticPr fontId="2"/>
  </si>
  <si>
    <t>お客先名</t>
    <rPh sb="1" eb="3">
      <t>キャクサキ</t>
    </rPh>
    <rPh sb="3" eb="4">
      <t>メイ</t>
    </rPh>
    <phoneticPr fontId="2"/>
  </si>
  <si>
    <t>受注番号</t>
    <rPh sb="0" eb="2">
      <t>ジュチュウ</t>
    </rPh>
    <rPh sb="2" eb="4">
      <t>バンゴウ</t>
    </rPh>
    <phoneticPr fontId="2"/>
  </si>
  <si>
    <t>希望納期</t>
    <rPh sb="0" eb="2">
      <t>キボウ</t>
    </rPh>
    <rPh sb="2" eb="4">
      <t>ノウ</t>
    </rPh>
    <phoneticPr fontId="2"/>
  </si>
  <si>
    <t>最終納品</t>
    <rPh sb="0" eb="2">
      <t>サイシュウ</t>
    </rPh>
    <rPh sb="2" eb="4">
      <t>ノウヒン</t>
    </rPh>
    <phoneticPr fontId="2"/>
  </si>
  <si>
    <t>合計金額</t>
    <rPh sb="0" eb="2">
      <t>ゴウケイ</t>
    </rPh>
    <rPh sb="2" eb="4">
      <t>キンガク</t>
    </rPh>
    <phoneticPr fontId="2"/>
  </si>
  <si>
    <t>技術分類</t>
    <rPh sb="0" eb="2">
      <t>ギジュツ</t>
    </rPh>
    <rPh sb="2" eb="4">
      <t>ブンルイ</t>
    </rPh>
    <phoneticPr fontId="2"/>
  </si>
  <si>
    <t>備考</t>
    <rPh sb="0" eb="2">
      <t>ビコウ</t>
    </rPh>
    <phoneticPr fontId="2"/>
  </si>
  <si>
    <t>分類合計</t>
    <rPh sb="0" eb="2">
      <t>ブンルイ</t>
    </rPh>
    <rPh sb="2" eb="4">
      <t>ゴウケイ</t>
    </rPh>
    <phoneticPr fontId="2"/>
  </si>
  <si>
    <t>発注</t>
    <rPh sb="0" eb="2">
      <t>ハッチュウ</t>
    </rPh>
    <phoneticPr fontId="2"/>
  </si>
  <si>
    <t>入荷予定日</t>
    <rPh sb="0" eb="2">
      <t>ニュウカ</t>
    </rPh>
    <rPh sb="2" eb="4">
      <t>ヨテイ</t>
    </rPh>
    <rPh sb="4" eb="5">
      <t>ヒ</t>
    </rPh>
    <phoneticPr fontId="2"/>
  </si>
  <si>
    <t>入荷日</t>
    <rPh sb="0" eb="2">
      <t>ニュウカ</t>
    </rPh>
    <rPh sb="2" eb="3">
      <t>ビ</t>
    </rPh>
    <phoneticPr fontId="2"/>
  </si>
  <si>
    <t>出荷依頼項目NO.</t>
    <rPh sb="0" eb="2">
      <t>シュッカ</t>
    </rPh>
    <rPh sb="2" eb="4">
      <t>イライ</t>
    </rPh>
    <rPh sb="4" eb="6">
      <t>コウモク</t>
    </rPh>
    <phoneticPr fontId="7"/>
  </si>
  <si>
    <t>SETB0241-A01　AXAﾛﾎﾞｯﾄ400+SV70ﾛｰﾀﾘｰｱｸﾁｭｴﾀｰ＋浸け置き+井桁治具+SVC720F+配電BOX　　原価一覧　20241022</t>
    <phoneticPr fontId="2"/>
  </si>
  <si>
    <t>218526</t>
    <phoneticPr fontId="2"/>
  </si>
  <si>
    <t>山澤(齋藤）</t>
    <rPh sb="0" eb="2">
      <t>ヤマサワ</t>
    </rPh>
    <rPh sb="3" eb="5">
      <t>サイトウ</t>
    </rPh>
    <phoneticPr fontId="2"/>
  </si>
  <si>
    <t>株式会社新冨製作所様</t>
    <rPh sb="9" eb="10">
      <t>サマ</t>
    </rPh>
    <phoneticPr fontId="2"/>
  </si>
  <si>
    <t>1日目</t>
    <rPh sb="1" eb="2">
      <t>ヒ</t>
    </rPh>
    <rPh sb="2" eb="3">
      <t>メ</t>
    </rPh>
    <phoneticPr fontId="2"/>
  </si>
  <si>
    <t>ツ－ル治具部分</t>
  </si>
  <si>
    <t>モノタロウなら3日間</t>
    <rPh sb="8" eb="9">
      <t>ヒ</t>
    </rPh>
    <rPh sb="9" eb="10">
      <t>カン</t>
    </rPh>
    <phoneticPr fontId="16"/>
  </si>
  <si>
    <t>ＳＭＣ</t>
    <phoneticPr fontId="2"/>
  </si>
  <si>
    <t>制御機材</t>
    <rPh sb="0" eb="2">
      <t>セイギョ</t>
    </rPh>
    <rPh sb="2" eb="4">
      <t>キザイ</t>
    </rPh>
    <phoneticPr fontId="2"/>
  </si>
  <si>
    <t>MSQB10R-M9N</t>
    <phoneticPr fontId="2"/>
  </si>
  <si>
    <t>ロータリシリンダ</t>
    <phoneticPr fontId="2"/>
  </si>
  <si>
    <t>https://www.monotaro.com/g/00231808/?t.mpn=msqb10r-m9nz</t>
    <phoneticPr fontId="16"/>
  </si>
  <si>
    <t>AW10-M5BG-A</t>
    <phoneticPr fontId="2"/>
  </si>
  <si>
    <t>レギュレータ</t>
    <phoneticPr fontId="2"/>
  </si>
  <si>
    <t>モノタロウなら8日間</t>
    <rPh sb="8" eb="9">
      <t>ヒ</t>
    </rPh>
    <rPh sb="9" eb="10">
      <t>カン</t>
    </rPh>
    <phoneticPr fontId="16"/>
  </si>
  <si>
    <t xml:space="preserve">SYJ3240-5MOZE-M5  </t>
    <phoneticPr fontId="2"/>
  </si>
  <si>
    <t>電磁弁</t>
    <rPh sb="0" eb="3">
      <t>デンジベン</t>
    </rPh>
    <phoneticPr fontId="2"/>
  </si>
  <si>
    <t>https://www.monotaro.com/p/5685/0394/</t>
    <phoneticPr fontId="16"/>
  </si>
  <si>
    <t>SY100-30-4A</t>
    <phoneticPr fontId="2"/>
  </si>
  <si>
    <t>リード線　2本</t>
    <rPh sb="3" eb="4">
      <t>セン</t>
    </rPh>
    <rPh sb="6" eb="7">
      <t>ホン</t>
    </rPh>
    <phoneticPr fontId="2"/>
  </si>
  <si>
    <t>AS1201F-M5-04A</t>
    <phoneticPr fontId="2"/>
  </si>
  <si>
    <t>スピコン　　2個</t>
    <rPh sb="7" eb="8">
      <t>コ</t>
    </rPh>
    <phoneticPr fontId="2"/>
  </si>
  <si>
    <t>②</t>
    <phoneticPr fontId="7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</si>
</sst>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176" formatCode="#,##0_);[Red]\(#,##0\)"/>
    <numFmt numFmtId="177" formatCode="yyyy&quot;年&quot;m&quot;月&quot;d&quot;日&quot;;@"/>
    <numFmt numFmtId="178" formatCode="m/d;@"/>
    <numFmt numFmtId="179" formatCode="m&quot;月&quot;d&quot;日&quot;;@"/>
    <numFmt numFmtId="180" formatCode="0_);[Red]\(0\)"/>
    <numFmt numFmtId="181" formatCode="0_ ;[Red]\-0\ "/>
    <numFmt numFmtId="182" formatCode="#,##0_ "/>
  </numFmts>
  <fonts count="23" x14ac:knownFonts="1">
    <font>
      <sz val="11"/>
      <color theme="1"/>
      <name val="ＭＳ Ｐゴシック"/>
      <family val="3"/>
      <charset val="128"/>
      <scheme val="minor"/>
    </font>
    <font>
      <sz val="11"/>
      <color indexed="8"/>
      <name val="ＭＳ Ｐゴシック"/>
      <family val="3"/>
      <charset val="128"/>
    </font>
    <font>
      <sz val="6"/>
      <name val="ＭＳ Ｐゴシック"/>
      <family val="3"/>
      <charset val="128"/>
    </font>
    <font>
      <sz val="6"/>
      <name val="ＭＳ Ｐゴシック"/>
      <family val="3"/>
      <charset val="128"/>
    </font>
    <font>
      <b/>
      <sz val="11"/>
      <color indexed="8"/>
      <name val="ＭＳ Ｐゴシック"/>
      <family val="3"/>
      <charset val="128"/>
    </font>
    <font>
      <b/>
      <sz val="14"/>
      <color indexed="8"/>
      <name val="ＭＳ Ｐゴシック"/>
      <family val="3"/>
      <charset val="128"/>
    </font>
    <font>
      <sz val="11"/>
      <name val="ＭＳ Ｐゴシック"/>
      <family val="3"/>
      <charset val="128"/>
    </font>
    <font>
      <sz val="6"/>
      <name val="ＭＳ Ｐゴシック"/>
      <family val="3"/>
      <charset val="128"/>
    </font>
    <font>
      <sz val="11"/>
      <color rgb="FFFF0000"/>
      <name val="ＭＳ Ｐゴシック"/>
      <family val="3"/>
      <charset val="128"/>
      <scheme val="minor"/>
    </font>
    <font>
      <b/>
      <sz val="11"/>
      <color theme="1"/>
      <name val="ＭＳ Ｐゴシック"/>
      <family val="3"/>
      <charset val="128"/>
      <scheme val="minor"/>
    </font>
    <font>
      <sz val="11"/>
      <color theme="1"/>
      <name val="ＭＳ Ｐゴシック"/>
      <family val="3"/>
      <charset val="128"/>
    </font>
    <font>
      <b/>
      <sz val="14"/>
      <color theme="1"/>
      <name val="ＭＳ Ｐゴシック"/>
      <family val="3"/>
      <charset val="128"/>
      <scheme val="minor"/>
    </font>
    <font>
      <sz val="11"/>
      <color rgb="FF000000"/>
      <name val="ＭＳ Ｐゴシック"/>
      <family val="3"/>
      <charset val="128"/>
    </font>
    <font>
      <b/>
      <sz val="16"/>
      <color theme="1"/>
      <name val="ＭＳ Ｐゴシック"/>
      <family val="3"/>
      <charset val="128"/>
      <scheme val="minor"/>
    </font>
    <font>
      <sz val="22"/>
      <color theme="1"/>
      <name val="ＭＳ Ｐゴシック"/>
      <family val="3"/>
      <charset val="128"/>
      <scheme val="minor"/>
    </font>
    <font>
      <sz val="11"/>
      <color theme="1"/>
      <name val="ＭＳ Ｐゴシック"/>
      <family val="3"/>
      <charset val="128"/>
      <scheme val="minor"/>
    </font>
    <font>
      <sz val="6"/>
      <name val="ＭＳ Ｐゴシック"/>
      <family val="3"/>
      <charset val="128"/>
      <scheme val="minor"/>
    </font>
    <font>
      <b/>
      <sz val="13.95"/>
      <color rgb="FF000000"/>
      <name val="ＭＳ Ｐゴシック"/>
      <family val="3"/>
      <charset val="128"/>
    </font>
    <font>
      <sz val="11"/>
      <name val="ＭＳ Ｐゴシック"/>
      <family val="3"/>
      <charset val="128"/>
      <scheme val="minor"/>
    </font>
    <font>
      <sz val="10"/>
      <color indexed="8"/>
      <name val="ＭＳ Ｐゴシック"/>
      <family val="3"/>
      <charset val="128"/>
    </font>
    <font>
      <u/>
      <sz val="11"/>
      <color theme="10"/>
      <name val="ＭＳ Ｐゴシック"/>
      <family val="3"/>
      <charset val="128"/>
      <scheme val="minor"/>
    </font>
    <font>
      <sz val="9.9499999999999993"/>
      <color rgb="FF000000"/>
      <name val="ＭＳ Ｐゴシック"/>
      <family val="3"/>
      <charset val="128"/>
    </font>
    <font>
      <sz val="11"/>
      <color rgb="FF000000"/>
      <name val="ＭＳ Ｐゴシック"/>
      <family val="3"/>
      <charset val="128"/>
      <scheme val="minor"/>
    </font>
  </fonts>
  <fills count="9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FF00"/>
        <bgColor indexed="64"/>
      </patternFill>
    </fill>
  </fills>
  <borders count="2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4">
    <xf numFmtId="0" fontId="0" fillId="0" borderId="0">
      <alignment vertical="center"/>
    </xf>
    <xf numFmtId="0" fontId="6" fillId="0" borderId="0"/>
    <xf numFmtId="0" fontId="15" fillId="0" borderId="0">
      <alignment vertical="center"/>
    </xf>
    <xf numFmtId="0" fontId="20" fillId="0" borderId="0" applyNumberFormat="0" applyFill="0" applyBorder="0" applyAlignment="0" applyProtection="0">
      <alignment vertical="center"/>
    </xf>
  </cellStyleXfs>
  <cellXfs count="124">
    <xf numFmtId="0" fontId="0" fillId="0" borderId="0" xfId="0">
      <alignment vertic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3" fontId="0" fillId="0" borderId="1" xfId="0" applyNumberForma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177" fontId="5" fillId="0" borderId="1" xfId="0" applyNumberFormat="1" applyFont="1" applyBorder="1" applyAlignment="1">
      <alignment horizontal="center" vertical="center"/>
    </xf>
    <xf numFmtId="176" fontId="4" fillId="0" borderId="1" xfId="0" applyNumberFormat="1" applyFont="1" applyBorder="1">
      <alignment vertical="center"/>
    </xf>
    <xf numFmtId="0" fontId="0" fillId="0" borderId="0" xfId="0" applyAlignment="1">
      <alignment horizontal="right" vertical="center"/>
    </xf>
    <xf numFmtId="0" fontId="5" fillId="0" borderId="1" xfId="0" applyFont="1" applyBorder="1" applyAlignment="1">
      <alignment horizontal="center" vertical="center" shrinkToFit="1"/>
    </xf>
    <xf numFmtId="179" fontId="0" fillId="0" borderId="0" xfId="0" applyNumberFormat="1" applyAlignment="1">
      <alignment horizontal="center" vertical="center"/>
    </xf>
    <xf numFmtId="179" fontId="0" fillId="0" borderId="1" xfId="0" applyNumberFormat="1" applyBorder="1" applyAlignment="1">
      <alignment horizontal="center" vertical="center"/>
    </xf>
    <xf numFmtId="179" fontId="0" fillId="0" borderId="0" xfId="0" applyNumberFormat="1">
      <alignment vertical="center"/>
    </xf>
    <xf numFmtId="178" fontId="0" fillId="0" borderId="0" xfId="0" applyNumberFormat="1">
      <alignment vertical="center"/>
    </xf>
    <xf numFmtId="178" fontId="0" fillId="0" borderId="1" xfId="0" applyNumberFormat="1" applyBorder="1" applyAlignment="1">
      <alignment horizontal="center" vertical="center"/>
    </xf>
    <xf numFmtId="38" fontId="0" fillId="0" borderId="0" xfId="0" applyNumberFormat="1">
      <alignment vertical="center"/>
    </xf>
    <xf numFmtId="177" fontId="5" fillId="0" borderId="0" xfId="0" applyNumberFormat="1" applyFont="1" applyAlignment="1">
      <alignment horizontal="center" vertical="center"/>
    </xf>
    <xf numFmtId="0" fontId="5" fillId="0" borderId="0" xfId="0" applyFont="1" applyAlignment="1">
      <alignment horizontal="center" vertical="center"/>
    </xf>
    <xf numFmtId="181" fontId="0" fillId="0" borderId="0" xfId="0" applyNumberFormat="1" applyAlignment="1">
      <alignment horizontal="center" vertical="center"/>
    </xf>
    <xf numFmtId="56" fontId="0" fillId="0" borderId="1" xfId="0" applyNumberFormat="1" applyBorder="1" applyAlignment="1">
      <alignment horizontal="center" vertical="center"/>
    </xf>
    <xf numFmtId="3" fontId="0" fillId="0" borderId="0" xfId="0" applyNumberFormat="1">
      <alignment vertical="center"/>
    </xf>
    <xf numFmtId="38" fontId="0" fillId="0" borderId="1" xfId="0" applyNumberFormat="1" applyBorder="1" applyAlignment="1">
      <alignment horizontal="right" vertical="center"/>
    </xf>
    <xf numFmtId="38" fontId="0" fillId="0" borderId="1" xfId="0" applyNumberFormat="1" applyBorder="1">
      <alignment vertical="center"/>
    </xf>
    <xf numFmtId="0" fontId="10" fillId="0" borderId="1" xfId="0" applyFont="1" applyBorder="1">
      <alignment vertical="center"/>
    </xf>
    <xf numFmtId="0" fontId="0" fillId="0" borderId="1" xfId="0" applyBorder="1" applyAlignment="1">
      <alignment horizontal="left" vertical="center"/>
    </xf>
    <xf numFmtId="0" fontId="0" fillId="0" borderId="1" xfId="0" applyBorder="1">
      <alignment vertical="center"/>
    </xf>
    <xf numFmtId="49" fontId="0" fillId="0" borderId="1" xfId="0" applyNumberFormat="1" applyBorder="1" applyAlignment="1">
      <alignment horizontal="left" vertical="center"/>
    </xf>
    <xf numFmtId="176" fontId="0" fillId="0" borderId="2" xfId="0" applyNumberFormat="1" applyBorder="1">
      <alignment vertical="center"/>
    </xf>
    <xf numFmtId="0" fontId="0" fillId="0" borderId="1" xfId="0" applyBorder="1" applyAlignment="1">
      <alignment horizontal="right" vertical="center"/>
    </xf>
    <xf numFmtId="56" fontId="8" fillId="0" borderId="1" xfId="0" applyNumberFormat="1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6" fillId="0" borderId="1" xfId="1" applyBorder="1" applyAlignment="1">
      <alignment horizontal="left" vertical="center"/>
    </xf>
    <xf numFmtId="176" fontId="0" fillId="0" borderId="1" xfId="0" applyNumberFormat="1" applyBorder="1" applyAlignment="1">
      <alignment horizontal="center" vertical="center"/>
    </xf>
    <xf numFmtId="0" fontId="0" fillId="0" borderId="1" xfId="0" applyBorder="1" applyAlignment="1">
      <alignment vertical="center" wrapText="1"/>
    </xf>
    <xf numFmtId="0" fontId="10" fillId="0" borderId="1" xfId="0" applyFont="1" applyBorder="1" applyAlignment="1">
      <alignment horizontal="center" vertical="center"/>
    </xf>
    <xf numFmtId="0" fontId="10" fillId="0" borderId="3" xfId="0" applyFont="1" applyBorder="1" applyAlignment="1">
      <alignment horizontal="center" vertical="center"/>
    </xf>
    <xf numFmtId="176" fontId="10" fillId="0" borderId="4" xfId="0" applyNumberFormat="1" applyFont="1" applyBorder="1">
      <alignment vertical="center"/>
    </xf>
    <xf numFmtId="0" fontId="0" fillId="0" borderId="3" xfId="0" applyBorder="1">
      <alignment vertical="center"/>
    </xf>
    <xf numFmtId="176" fontId="11" fillId="0" borderId="1" xfId="0" applyNumberFormat="1" applyFont="1" applyBorder="1" applyAlignment="1">
      <alignment horizontal="center" vertical="center"/>
    </xf>
    <xf numFmtId="176" fontId="0" fillId="0" borderId="1" xfId="0" applyNumberFormat="1" applyBorder="1" applyAlignment="1">
      <alignment horizontal="right"/>
    </xf>
    <xf numFmtId="3" fontId="6" fillId="0" borderId="5" xfId="0" applyNumberFormat="1" applyFont="1" applyBorder="1" applyAlignment="1">
      <alignment horizontal="center" vertical="center"/>
    </xf>
    <xf numFmtId="180" fontId="1" fillId="0" borderId="1" xfId="0" applyNumberFormat="1" applyFont="1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49" fontId="5" fillId="0" borderId="1" xfId="0" applyNumberFormat="1" applyFont="1" applyBorder="1" applyAlignment="1">
      <alignment horizontal="center" vertical="center"/>
    </xf>
    <xf numFmtId="56" fontId="0" fillId="0" borderId="0" xfId="0" applyNumberFormat="1" applyAlignment="1">
      <alignment horizontal="right" vertical="center"/>
    </xf>
    <xf numFmtId="0" fontId="0" fillId="0" borderId="2" xfId="0" applyBorder="1" applyAlignment="1">
      <alignment horizontal="right" vertical="center"/>
    </xf>
    <xf numFmtId="182" fontId="0" fillId="0" borderId="1" xfId="0" applyNumberFormat="1" applyBorder="1" applyAlignment="1">
      <alignment horizontal="right" vertical="center"/>
    </xf>
    <xf numFmtId="176" fontId="0" fillId="0" borderId="1" xfId="0" applyNumberFormat="1" applyBorder="1" applyAlignment="1">
      <alignment horizontal="right" vertical="center"/>
    </xf>
    <xf numFmtId="176" fontId="6" fillId="0" borderId="1" xfId="1" applyNumberFormat="1" applyBorder="1" applyAlignment="1">
      <alignment horizontal="right" vertical="center"/>
    </xf>
    <xf numFmtId="176" fontId="10" fillId="0" borderId="3" xfId="0" applyNumberFormat="1" applyFont="1" applyBorder="1" applyAlignment="1">
      <alignment horizontal="right" vertical="center"/>
    </xf>
    <xf numFmtId="176" fontId="0" fillId="0" borderId="0" xfId="0" applyNumberFormat="1" applyAlignment="1">
      <alignment horizontal="right" vertical="center"/>
    </xf>
    <xf numFmtId="0" fontId="0" fillId="0" borderId="7" xfId="0" applyBorder="1" applyAlignment="1">
      <alignment horizontal="center" vertical="center"/>
    </xf>
    <xf numFmtId="0" fontId="0" fillId="0" borderId="17" xfId="0" applyBorder="1" applyAlignment="1">
      <alignment horizontal="center" vertical="center"/>
    </xf>
    <xf numFmtId="179" fontId="0" fillId="0" borderId="17" xfId="0" applyNumberFormat="1" applyBorder="1" applyAlignment="1">
      <alignment horizontal="center" vertical="center"/>
    </xf>
    <xf numFmtId="3" fontId="0" fillId="0" borderId="17" xfId="0" applyNumberFormat="1" applyBorder="1" applyAlignment="1">
      <alignment horizontal="center" vertical="center"/>
    </xf>
    <xf numFmtId="177" fontId="0" fillId="0" borderId="17" xfId="0" applyNumberFormat="1" applyBorder="1" applyAlignment="1">
      <alignment horizontal="center" vertical="center"/>
    </xf>
    <xf numFmtId="3" fontId="15" fillId="0" borderId="1" xfId="2" applyNumberFormat="1" applyBorder="1" applyAlignment="1">
      <alignment horizontal="center" vertical="center"/>
    </xf>
    <xf numFmtId="0" fontId="15" fillId="0" borderId="1" xfId="2" applyBorder="1" applyAlignment="1">
      <alignment horizontal="center" vertical="center"/>
    </xf>
    <xf numFmtId="49" fontId="15" fillId="0" borderId="1" xfId="2" applyNumberFormat="1" applyBorder="1" applyAlignment="1">
      <alignment horizontal="left" vertical="center"/>
    </xf>
    <xf numFmtId="3" fontId="15" fillId="0" borderId="5" xfId="2" applyNumberFormat="1" applyBorder="1" applyAlignment="1">
      <alignment horizontal="center" vertical="center"/>
    </xf>
    <xf numFmtId="0" fontId="15" fillId="0" borderId="1" xfId="2" applyBorder="1">
      <alignment vertical="center"/>
    </xf>
    <xf numFmtId="0" fontId="0" fillId="4" borderId="1" xfId="0" applyFill="1" applyBorder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176" fontId="0" fillId="0" borderId="1" xfId="0" applyNumberFormat="1" applyBorder="1" applyAlignment="1"/>
    <xf numFmtId="0" fontId="0" fillId="0" borderId="1" xfId="0" applyBorder="1" applyAlignment="1">
      <alignment horizontal="left" vertical="center" shrinkToFit="1"/>
    </xf>
    <xf numFmtId="0" fontId="0" fillId="0" borderId="20" xfId="0" applyBorder="1" applyAlignment="1">
      <alignment horizontal="center" vertical="center"/>
    </xf>
    <xf numFmtId="0" fontId="0" fillId="0" borderId="17" xfId="0" applyBorder="1" applyAlignment="1">
      <alignment vertical="center" shrinkToFit="1"/>
    </xf>
    <xf numFmtId="0" fontId="9" fillId="6" borderId="1" xfId="0" applyFont="1" applyFill="1" applyBorder="1" applyAlignment="1">
      <alignment horizontal="center" vertical="center"/>
    </xf>
    <xf numFmtId="0" fontId="12" fillId="0" borderId="13" xfId="0" applyFont="1" applyBorder="1" applyAlignment="1">
      <alignment horizontal="center" vertical="center"/>
    </xf>
    <xf numFmtId="0" fontId="20" fillId="0" borderId="0" xfId="3">
      <alignment vertical="center"/>
    </xf>
    <xf numFmtId="0" fontId="15" fillId="0" borderId="1" xfId="0" applyFont="1" applyBorder="1">
      <alignment vertical="center"/>
    </xf>
    <xf numFmtId="3" fontId="0" fillId="0" borderId="18" xfId="0" applyNumberFormat="1" applyBorder="1" applyAlignment="1">
      <alignment horizontal="center" vertical="center"/>
    </xf>
    <xf numFmtId="38" fontId="15" fillId="0" borderId="1" xfId="2" applyNumberFormat="1" applyBorder="1" applyAlignment="1">
      <alignment horizontal="center" vertical="center"/>
    </xf>
    <xf numFmtId="0" fontId="0" fillId="0" borderId="1" xfId="0" applyBorder="1" applyAlignment="1">
      <alignment vertical="center" shrinkToFit="1"/>
    </xf>
    <xf numFmtId="3" fontId="12" fillId="0" borderId="1" xfId="0" applyNumberFormat="1" applyFont="1" applyBorder="1" applyAlignment="1">
      <alignment horizontal="center" vertical="center"/>
    </xf>
    <xf numFmtId="0" fontId="19" fillId="0" borderId="1" xfId="0" applyFont="1" applyBorder="1" applyAlignment="1">
      <alignment horizontal="center" vertical="center"/>
    </xf>
    <xf numFmtId="0" fontId="0" fillId="8" borderId="1" xfId="0" applyFill="1" applyBorder="1" applyAlignment="1">
      <alignment horizontal="center" vertical="center"/>
    </xf>
    <xf numFmtId="0" fontId="1" fillId="0" borderId="1" xfId="0" applyFont="1" applyBorder="1">
      <alignment vertical="center"/>
    </xf>
    <xf numFmtId="3" fontId="0" fillId="0" borderId="0" xfId="0" applyNumberFormat="1" applyAlignment="1">
      <alignment horizontal="center" vertical="center"/>
    </xf>
    <xf numFmtId="56" fontId="0" fillId="0" borderId="0" xfId="0" applyNumberFormat="1" applyAlignment="1">
      <alignment horizontal="center" vertical="center"/>
    </xf>
    <xf numFmtId="178" fontId="0" fillId="0" borderId="0" xfId="0" applyNumberFormat="1" applyAlignment="1">
      <alignment horizontal="center" vertical="center"/>
    </xf>
    <xf numFmtId="0" fontId="12" fillId="0" borderId="22" xfId="0" applyFont="1" applyBorder="1" applyAlignment="1">
      <alignment horizontal="center" vertical="center"/>
    </xf>
    <xf numFmtId="176" fontId="0" fillId="0" borderId="22" xfId="0" applyNumberFormat="1" applyBorder="1" applyAlignment="1">
      <alignment horizontal="center" vertical="center"/>
    </xf>
    <xf numFmtId="176" fontId="0" fillId="0" borderId="22" xfId="0" applyNumberFormat="1" applyBorder="1" applyAlignment="1"/>
    <xf numFmtId="0" fontId="12" fillId="0" borderId="17" xfId="0" applyFont="1" applyBorder="1" applyAlignment="1">
      <alignment horizontal="left" vertical="center"/>
    </xf>
    <xf numFmtId="3" fontId="18" fillId="0" borderId="1" xfId="0" applyNumberFormat="1" applyFont="1" applyBorder="1" applyAlignment="1">
      <alignment horizontal="center" vertical="center"/>
    </xf>
    <xf numFmtId="0" fontId="12" fillId="0" borderId="21" xfId="0" applyFont="1" applyBorder="1">
      <alignment vertical="center"/>
    </xf>
    <xf numFmtId="0" fontId="12" fillId="0" borderId="0" xfId="0" applyFont="1" applyAlignment="1">
      <alignment horizontal="center" vertical="center"/>
    </xf>
    <xf numFmtId="176" fontId="22" fillId="0" borderId="0" xfId="0" applyNumberFormat="1" applyFont="1" applyAlignment="1">
      <alignment horizontal="center" vertical="center"/>
    </xf>
    <xf numFmtId="176" fontId="0" fillId="0" borderId="23" xfId="0" applyNumberFormat="1" applyBorder="1" applyAlignment="1">
      <alignment horizontal="center" vertical="center"/>
    </xf>
    <xf numFmtId="176" fontId="0" fillId="0" borderId="13" xfId="0" applyNumberFormat="1" applyBorder="1">
      <alignment vertical="center"/>
    </xf>
    <xf numFmtId="0" fontId="0" fillId="0" borderId="17" xfId="0" applyBorder="1" applyAlignment="1">
      <alignment horizontal="left" vertical="center"/>
    </xf>
    <xf numFmtId="176" fontId="0" fillId="0" borderId="17" xfId="0" applyNumberFormat="1" applyBorder="1">
      <alignment vertical="center"/>
    </xf>
    <xf numFmtId="176" fontId="0" fillId="0" borderId="13" xfId="0" applyNumberFormat="1" applyBorder="1" applyAlignment="1"/>
    <xf numFmtId="0" fontId="12" fillId="0" borderId="18" xfId="0" applyFont="1" applyBorder="1" applyAlignment="1">
      <alignment horizontal="center" vertical="center"/>
    </xf>
    <xf numFmtId="0" fontId="21" fillId="0" borderId="18" xfId="0" applyFont="1" applyBorder="1" applyAlignment="1">
      <alignment horizontal="center" vertical="center"/>
    </xf>
    <xf numFmtId="0" fontId="19" fillId="0" borderId="5" xfId="0" applyFont="1" applyBorder="1" applyAlignment="1">
      <alignment horizontal="center" vertical="center"/>
    </xf>
    <xf numFmtId="49" fontId="15" fillId="8" borderId="1" xfId="0" applyNumberFormat="1" applyFont="1" applyFill="1" applyBorder="1" applyAlignment="1">
      <alignment horizontal="left" vertical="center"/>
    </xf>
    <xf numFmtId="176" fontId="0" fillId="8" borderId="1" xfId="0" applyNumberFormat="1" applyFill="1" applyBorder="1" applyAlignment="1">
      <alignment horizontal="center" vertical="center"/>
    </xf>
    <xf numFmtId="49" fontId="10" fillId="8" borderId="1" xfId="0" applyNumberFormat="1" applyFont="1" applyFill="1" applyBorder="1" applyAlignment="1">
      <alignment horizontal="left" vertical="center"/>
    </xf>
    <xf numFmtId="0" fontId="15" fillId="4" borderId="1" xfId="0" applyFont="1" applyFill="1" applyBorder="1">
      <alignment vertical="center"/>
    </xf>
    <xf numFmtId="176" fontId="0" fillId="8" borderId="1" xfId="0" applyNumberFormat="1" applyFill="1" applyBorder="1" applyAlignment="1"/>
    <xf numFmtId="0" fontId="0" fillId="8" borderId="1" xfId="0" applyFill="1" applyBorder="1" applyAlignment="1">
      <alignment horizontal="left" vertical="center" shrinkToFit="1"/>
    </xf>
    <xf numFmtId="0" fontId="15" fillId="8" borderId="1" xfId="0" applyFont="1" applyFill="1" applyBorder="1" applyAlignment="1">
      <alignment horizontal="left" vertical="center" shrinkToFit="1"/>
    </xf>
    <xf numFmtId="38" fontId="0" fillId="8" borderId="1" xfId="0" applyNumberFormat="1" applyFill="1" applyBorder="1" applyAlignment="1">
      <alignment horizontal="center" vertical="center"/>
    </xf>
    <xf numFmtId="0" fontId="0" fillId="8" borderId="2" xfId="0" applyFill="1" applyBorder="1" applyAlignment="1">
      <alignment horizontal="center" vertical="center"/>
    </xf>
    <xf numFmtId="3" fontId="0" fillId="8" borderId="1" xfId="0" applyNumberFormat="1" applyFill="1" applyBorder="1" applyAlignment="1">
      <alignment horizontal="center" vertical="center"/>
    </xf>
    <xf numFmtId="56" fontId="0" fillId="0" borderId="17" xfId="0" applyNumberFormat="1" applyBorder="1" applyAlignment="1">
      <alignment horizontal="center" vertical="center"/>
    </xf>
    <xf numFmtId="178" fontId="0" fillId="0" borderId="17" xfId="0" applyNumberFormat="1" applyBorder="1" applyAlignment="1">
      <alignment horizontal="center" vertical="center"/>
    </xf>
    <xf numFmtId="38" fontId="11" fillId="5" borderId="10" xfId="0" applyNumberFormat="1" applyFont="1" applyFill="1" applyBorder="1" applyAlignment="1">
      <alignment horizontal="left" vertical="center" shrinkToFit="1"/>
    </xf>
    <xf numFmtId="38" fontId="11" fillId="5" borderId="11" xfId="0" applyNumberFormat="1" applyFont="1" applyFill="1" applyBorder="1" applyAlignment="1">
      <alignment horizontal="left" vertical="center" shrinkToFit="1"/>
    </xf>
    <xf numFmtId="38" fontId="11" fillId="5" borderId="4" xfId="0" applyNumberFormat="1" applyFont="1" applyFill="1" applyBorder="1" applyAlignment="1">
      <alignment horizontal="left" vertical="center" shrinkToFit="1"/>
    </xf>
    <xf numFmtId="38" fontId="11" fillId="5" borderId="12" xfId="0" applyNumberFormat="1" applyFont="1" applyFill="1" applyBorder="1" applyAlignment="1">
      <alignment horizontal="left" vertical="center" shrinkToFit="1"/>
    </xf>
    <xf numFmtId="0" fontId="5" fillId="2" borderId="1" xfId="0" applyFont="1" applyFill="1" applyBorder="1" applyAlignment="1">
      <alignment horizontal="center" vertical="center"/>
    </xf>
    <xf numFmtId="0" fontId="14" fillId="8" borderId="1" xfId="0" applyFont="1" applyFill="1" applyBorder="1" applyAlignment="1">
      <alignment horizontal="center" vertical="center"/>
    </xf>
    <xf numFmtId="0" fontId="17" fillId="3" borderId="14" xfId="0" applyFont="1" applyFill="1" applyBorder="1" applyAlignment="1">
      <alignment horizontal="center" vertical="center"/>
    </xf>
    <xf numFmtId="0" fontId="17" fillId="3" borderId="15" xfId="0" applyFont="1" applyFill="1" applyBorder="1" applyAlignment="1">
      <alignment horizontal="center" vertical="center"/>
    </xf>
    <xf numFmtId="0" fontId="17" fillId="3" borderId="16" xfId="0" applyFont="1" applyFill="1" applyBorder="1" applyAlignment="1">
      <alignment horizontal="center" vertical="center"/>
    </xf>
    <xf numFmtId="176" fontId="13" fillId="7" borderId="21" xfId="0" applyNumberFormat="1" applyFont="1" applyFill="1" applyBorder="1" applyAlignment="1">
      <alignment horizontal="center" vertical="center"/>
    </xf>
    <xf numFmtId="176" fontId="13" fillId="7" borderId="19" xfId="0" applyNumberFormat="1" applyFont="1" applyFill="1" applyBorder="1" applyAlignment="1">
      <alignment horizontal="center" vertical="center"/>
    </xf>
    <xf numFmtId="176" fontId="13" fillId="7" borderId="24" xfId="0" applyNumberFormat="1" applyFont="1" applyFill="1" applyBorder="1" applyAlignment="1">
      <alignment horizontal="center" vertical="center"/>
    </xf>
    <xf numFmtId="0" fontId="4" fillId="2" borderId="2" xfId="0" applyFont="1" applyFill="1" applyBorder="1" applyAlignment="1">
      <alignment horizontal="center" vertical="center"/>
    </xf>
    <xf numFmtId="0" fontId="4" fillId="2" borderId="8" xfId="0" applyFont="1" applyFill="1" applyBorder="1" applyAlignment="1">
      <alignment horizontal="center" vertical="center"/>
    </xf>
    <xf numFmtId="0" fontId="4" fillId="2" borderId="9" xfId="0" applyFont="1" applyFill="1" applyBorder="1" applyAlignment="1">
      <alignment horizontal="center" vertical="center"/>
    </xf>
  </cellXfs>
  <cellStyles count="4">
    <cellStyle name="ハイパーリンク" xfId="3" builtinId="8"/>
    <cellStyle name="標準" xfId="0" builtinId="0"/>
    <cellStyle name="標準 3" xfId="2" xr:uid="{DC7DCAA0-6465-40DD-8C0A-A3E444632F39}"/>
    <cellStyle name="標準_発注管理表" xfId="1" xr:uid="{00000000-0005-0000-0000-000002000000}"/>
  </cellStyles>
  <dxfs count="0"/>
  <tableStyles count="0" defaultTableStyle="TableStyleMedium9" defaultPivotStyle="PivotStyleLight16"/>
  <colors>
    <mruColors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https://www.monotaro.com/g/00231808/?t.mpn=msqb10r-m9nz" TargetMode="External"/><Relationship Id="rId1" Type="http://schemas.openxmlformats.org/officeDocument/2006/relationships/hyperlink" Target="https://www.monotaro.com/p/5685/0394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340932-427B-447F-BACC-EABFC598EFE9}">
  <sheetPr>
    <tabColor rgb="FFFFFF00"/>
  </sheetPr>
  <dimension ref="A2:S57"/>
  <sheetViews>
    <sheetView tabSelected="1" zoomScale="85" zoomScaleNormal="85" workbookViewId="0">
      <pane xSplit="12" ySplit="9" topLeftCell="P10" activePane="bottomRight" state="frozen"/>
      <selection pane="topRight" activeCell="K1" sqref="K1"/>
      <selection pane="bottomLeft" activeCell="A9" sqref="A9"/>
      <selection pane="bottomRight" activeCell="S15" sqref="S15"/>
    </sheetView>
  </sheetViews>
  <sheetFormatPr defaultRowHeight="13.5" x14ac:dyDescent="0.15"/>
  <cols>
    <col min="3" max="3" width="17.125" customWidth="1"/>
    <col min="4" max="4" width="13.125" style="3" customWidth="1"/>
    <col min="5" max="5" width="14.375" bestFit="1" customWidth="1"/>
    <col min="6" max="6" width="13.125" bestFit="1" customWidth="1"/>
    <col min="7" max="7" width="52.375" customWidth="1"/>
    <col min="8" max="8" width="6.125" style="3" customWidth="1"/>
    <col min="9" max="10" width="9.875" style="8" bestFit="1" customWidth="1"/>
    <col min="11" max="11" width="5.875" style="8" customWidth="1"/>
    <col min="12" max="12" width="49" customWidth="1"/>
    <col min="13" max="13" width="41.625" customWidth="1"/>
    <col min="14" max="14" width="46.875" style="3" customWidth="1"/>
    <col min="15" max="15" width="13.875" style="10" customWidth="1"/>
    <col min="16" max="16" width="6.375" customWidth="1"/>
    <col min="17" max="17" width="13.125" style="8" customWidth="1"/>
    <col min="18" max="18" width="14.5" style="12" customWidth="1"/>
    <col min="19" max="19" width="15.625" style="13" customWidth="1"/>
  </cols>
  <sheetData>
    <row r="2" spans="1:19" ht="20.100000000000001" customHeight="1" x14ac:dyDescent="0.15">
      <c r="D2" s="113" t="s">
        <v>11</v>
      </c>
      <c r="E2" s="113"/>
      <c r="F2" s="113"/>
      <c r="G2" s="9" t="s">
        <v>26</v>
      </c>
      <c r="I2" s="121" t="s">
        <v>15</v>
      </c>
      <c r="J2" s="122"/>
      <c r="K2" s="123"/>
      <c r="L2" s="7">
        <f>SUM(J:J)</f>
        <v>44978</v>
      </c>
    </row>
    <row r="3" spans="1:19" ht="20.100000000000001" customHeight="1" x14ac:dyDescent="0.15">
      <c r="D3" s="113" t="s">
        <v>10</v>
      </c>
      <c r="E3" s="113"/>
      <c r="F3" s="113"/>
      <c r="G3" s="5" t="s">
        <v>25</v>
      </c>
    </row>
    <row r="4" spans="1:19" ht="20.100000000000001" customHeight="1" x14ac:dyDescent="0.15">
      <c r="D4" s="113" t="s">
        <v>12</v>
      </c>
      <c r="E4" s="113"/>
      <c r="F4" s="113"/>
      <c r="G4" s="43" t="s">
        <v>24</v>
      </c>
      <c r="J4" s="44"/>
      <c r="L4" s="109" t="s">
        <v>23</v>
      </c>
      <c r="M4" s="110"/>
    </row>
    <row r="5" spans="1:19" ht="20.100000000000001" customHeight="1" x14ac:dyDescent="0.15">
      <c r="D5" s="113" t="s">
        <v>13</v>
      </c>
      <c r="E5" s="113"/>
      <c r="F5" s="113"/>
      <c r="G5" s="6">
        <v>45615</v>
      </c>
      <c r="I5" s="114" t="s">
        <v>45</v>
      </c>
      <c r="J5" s="114"/>
      <c r="L5" s="111"/>
      <c r="M5" s="112"/>
    </row>
    <row r="6" spans="1:19" ht="20.100000000000001" customHeight="1" x14ac:dyDescent="0.15">
      <c r="D6" s="113" t="s">
        <v>14</v>
      </c>
      <c r="E6" s="113"/>
      <c r="F6" s="113"/>
      <c r="G6" s="6">
        <v>45617</v>
      </c>
      <c r="I6" s="114"/>
      <c r="J6" s="114"/>
      <c r="L6" s="15"/>
      <c r="M6" s="20"/>
    </row>
    <row r="7" spans="1:19" ht="20.100000000000001" customHeight="1" x14ac:dyDescent="0.15">
      <c r="D7" s="17"/>
      <c r="E7" s="17"/>
      <c r="F7" s="17"/>
      <c r="G7" s="16"/>
      <c r="L7" s="15"/>
      <c r="M7" s="20"/>
      <c r="N7" s="18"/>
    </row>
    <row r="9" spans="1:19" s="3" customFormat="1" ht="19.7" customHeight="1" x14ac:dyDescent="0.15">
      <c r="C9" s="1" t="s">
        <v>22</v>
      </c>
      <c r="D9" s="4" t="s">
        <v>4</v>
      </c>
      <c r="E9" s="4" t="s">
        <v>9</v>
      </c>
      <c r="F9" s="4" t="s">
        <v>5</v>
      </c>
      <c r="G9" s="1" t="s">
        <v>8</v>
      </c>
      <c r="H9" s="1" t="s">
        <v>0</v>
      </c>
      <c r="I9" s="28" t="s">
        <v>1</v>
      </c>
      <c r="J9" s="45" t="s">
        <v>2</v>
      </c>
      <c r="K9" s="2" t="s">
        <v>18</v>
      </c>
      <c r="L9" s="1" t="s">
        <v>3</v>
      </c>
      <c r="M9" s="1" t="s">
        <v>17</v>
      </c>
      <c r="N9" s="1" t="s">
        <v>16</v>
      </c>
      <c r="O9" s="11" t="s">
        <v>6</v>
      </c>
      <c r="P9" s="4" t="s">
        <v>19</v>
      </c>
      <c r="Q9" s="1" t="s">
        <v>7</v>
      </c>
      <c r="R9" s="11" t="s">
        <v>20</v>
      </c>
      <c r="S9" s="14" t="s">
        <v>21</v>
      </c>
    </row>
    <row r="10" spans="1:19" s="3" customFormat="1" ht="19.5" customHeight="1" x14ac:dyDescent="0.15">
      <c r="C10" s="62"/>
      <c r="D10" s="74"/>
      <c r="E10" s="56"/>
      <c r="F10" s="56"/>
      <c r="G10" s="58"/>
      <c r="H10" s="57"/>
      <c r="I10" s="72"/>
      <c r="J10" s="56"/>
      <c r="K10" s="57"/>
      <c r="L10" s="60"/>
      <c r="M10" s="57"/>
      <c r="N10" s="57"/>
      <c r="O10" s="11"/>
      <c r="P10" s="71"/>
      <c r="Q10" s="52"/>
      <c r="R10" s="53"/>
      <c r="S10" s="55"/>
    </row>
    <row r="11" spans="1:19" s="3" customFormat="1" ht="19.5" customHeight="1" x14ac:dyDescent="0.15">
      <c r="C11" s="62"/>
      <c r="D11" s="74"/>
      <c r="E11" s="56"/>
      <c r="F11" s="56"/>
      <c r="G11" s="58"/>
      <c r="H11" s="57"/>
      <c r="I11" s="72"/>
      <c r="J11" s="56"/>
      <c r="K11" s="57"/>
      <c r="L11" s="60"/>
      <c r="M11" s="57"/>
      <c r="N11" s="57"/>
      <c r="O11" s="11"/>
      <c r="P11" s="71"/>
      <c r="Q11" s="52"/>
      <c r="R11" s="53"/>
      <c r="S11" s="55"/>
    </row>
    <row r="12" spans="1:19" s="3" customFormat="1" ht="19.5" customHeight="1" x14ac:dyDescent="0.15">
      <c r="A12"/>
      <c r="B12"/>
      <c r="C12"/>
      <c r="D12" s="115" t="s">
        <v>28</v>
      </c>
      <c r="E12" s="116"/>
      <c r="F12" s="116"/>
      <c r="G12" s="117"/>
      <c r="H12" s="81"/>
      <c r="I12" s="81"/>
      <c r="J12" s="82"/>
      <c r="K12" s="83"/>
      <c r="L12" s="84"/>
      <c r="M12" s="66"/>
      <c r="N12" s="57"/>
      <c r="O12" s="11"/>
      <c r="P12" s="71"/>
      <c r="Q12" s="52"/>
      <c r="R12" s="53"/>
      <c r="S12" s="55"/>
    </row>
    <row r="13" spans="1:19" s="3" customFormat="1" ht="19.5" customHeight="1" x14ac:dyDescent="0.15">
      <c r="A13" s="70" t="s">
        <v>29</v>
      </c>
      <c r="B13" s="100"/>
      <c r="C13" s="67">
        <v>3</v>
      </c>
      <c r="D13" s="68">
        <v>1</v>
      </c>
      <c r="E13" s="106" t="s">
        <v>30</v>
      </c>
      <c r="F13" s="106" t="s">
        <v>31</v>
      </c>
      <c r="G13" s="97" t="s">
        <v>32</v>
      </c>
      <c r="H13" s="98">
        <v>1</v>
      </c>
      <c r="I13" s="98">
        <v>31930</v>
      </c>
      <c r="J13" s="98">
        <f t="shared" ref="J13:J17" si="0">H13*I13</f>
        <v>31930</v>
      </c>
      <c r="K13" s="101"/>
      <c r="L13" s="102" t="s">
        <v>33</v>
      </c>
      <c r="M13" s="69" t="s">
        <v>34</v>
      </c>
      <c r="N13" s="57"/>
      <c r="O13" s="11">
        <v>45602</v>
      </c>
      <c r="P13" s="71"/>
      <c r="Q13" s="107">
        <v>45615</v>
      </c>
      <c r="R13" s="53">
        <v>45614</v>
      </c>
      <c r="S13" s="108">
        <v>45614</v>
      </c>
    </row>
    <row r="14" spans="1:19" s="3" customFormat="1" ht="19.5" customHeight="1" x14ac:dyDescent="0.15">
      <c r="A14" s="1" t="s">
        <v>27</v>
      </c>
      <c r="B14" s="61"/>
      <c r="C14" s="67">
        <v>3</v>
      </c>
      <c r="D14" s="68">
        <f t="shared" ref="D14:D16" si="1">D13+1</f>
        <v>2</v>
      </c>
      <c r="E14" s="106" t="s">
        <v>30</v>
      </c>
      <c r="F14" s="106" t="s">
        <v>31</v>
      </c>
      <c r="G14" s="99" t="s">
        <v>35</v>
      </c>
      <c r="H14" s="98">
        <v>1</v>
      </c>
      <c r="I14" s="98">
        <v>3040</v>
      </c>
      <c r="J14" s="98">
        <f t="shared" si="0"/>
        <v>3040</v>
      </c>
      <c r="K14" s="101"/>
      <c r="L14" s="102" t="s">
        <v>36</v>
      </c>
      <c r="M14" s="26"/>
      <c r="N14" s="57"/>
      <c r="O14" s="11">
        <v>45602</v>
      </c>
      <c r="P14" s="71"/>
      <c r="Q14" s="107">
        <v>45615</v>
      </c>
      <c r="R14" s="53">
        <v>45614</v>
      </c>
      <c r="S14" s="108">
        <v>45614</v>
      </c>
    </row>
    <row r="15" spans="1:19" s="3" customFormat="1" ht="19.5" customHeight="1" x14ac:dyDescent="0.15">
      <c r="A15" s="70" t="s">
        <v>37</v>
      </c>
      <c r="B15" s="100"/>
      <c r="C15" s="67">
        <v>3</v>
      </c>
      <c r="D15" s="68">
        <f t="shared" si="1"/>
        <v>3</v>
      </c>
      <c r="E15" s="106" t="s">
        <v>30</v>
      </c>
      <c r="F15" s="106" t="s">
        <v>31</v>
      </c>
      <c r="G15" s="97" t="s">
        <v>38</v>
      </c>
      <c r="H15" s="98">
        <v>1</v>
      </c>
      <c r="I15" s="98">
        <v>8672</v>
      </c>
      <c r="J15" s="98">
        <f t="shared" si="0"/>
        <v>8672</v>
      </c>
      <c r="K15" s="101"/>
      <c r="L15" s="102" t="s">
        <v>39</v>
      </c>
      <c r="M15" s="69" t="s">
        <v>40</v>
      </c>
      <c r="N15" s="57"/>
      <c r="O15" s="11">
        <v>45602</v>
      </c>
      <c r="P15" s="71"/>
      <c r="Q15" s="107">
        <v>45615</v>
      </c>
      <c r="R15" s="53">
        <v>45621</v>
      </c>
      <c r="S15" s="108">
        <v>45621</v>
      </c>
    </row>
    <row r="16" spans="1:19" s="3" customFormat="1" ht="19.5" customHeight="1" x14ac:dyDescent="0.15">
      <c r="A16" s="1" t="s">
        <v>27</v>
      </c>
      <c r="B16" s="61"/>
      <c r="C16" s="67">
        <v>3</v>
      </c>
      <c r="D16" s="68">
        <f t="shared" si="1"/>
        <v>4</v>
      </c>
      <c r="E16" s="106" t="s">
        <v>30</v>
      </c>
      <c r="F16" s="106" t="s">
        <v>31</v>
      </c>
      <c r="G16" s="97" t="s">
        <v>41</v>
      </c>
      <c r="H16" s="98">
        <v>2</v>
      </c>
      <c r="I16" s="98">
        <v>68</v>
      </c>
      <c r="J16" s="98">
        <f t="shared" si="0"/>
        <v>136</v>
      </c>
      <c r="K16" s="101"/>
      <c r="L16" s="103" t="s">
        <v>42</v>
      </c>
      <c r="M16" s="26"/>
      <c r="N16" s="57"/>
      <c r="O16" s="11">
        <v>45602</v>
      </c>
      <c r="P16" s="71"/>
      <c r="Q16" s="107">
        <v>45615</v>
      </c>
      <c r="R16" s="53">
        <v>45614</v>
      </c>
      <c r="S16" s="108">
        <v>45614</v>
      </c>
    </row>
    <row r="17" spans="1:19" s="3" customFormat="1" ht="19.5" customHeight="1" x14ac:dyDescent="0.15">
      <c r="A17" s="1" t="s">
        <v>27</v>
      </c>
      <c r="B17" s="61"/>
      <c r="C17" s="67">
        <v>3</v>
      </c>
      <c r="D17" s="68">
        <f>D16+1</f>
        <v>5</v>
      </c>
      <c r="E17" s="106" t="s">
        <v>30</v>
      </c>
      <c r="F17" s="106" t="s">
        <v>31</v>
      </c>
      <c r="G17" s="97" t="s">
        <v>43</v>
      </c>
      <c r="H17" s="76">
        <v>2</v>
      </c>
      <c r="I17" s="104">
        <v>600</v>
      </c>
      <c r="J17" s="104">
        <f t="shared" si="0"/>
        <v>1200</v>
      </c>
      <c r="K17" s="105"/>
      <c r="L17" s="103" t="s">
        <v>44</v>
      </c>
      <c r="M17" s="73"/>
      <c r="N17" s="57"/>
      <c r="O17" s="11">
        <v>45602</v>
      </c>
      <c r="P17" s="71"/>
      <c r="Q17" s="107">
        <v>45615</v>
      </c>
      <c r="R17" s="53">
        <v>45614</v>
      </c>
      <c r="S17" s="108">
        <v>45614</v>
      </c>
    </row>
    <row r="18" spans="1:19" s="3" customFormat="1" ht="19.5" customHeight="1" x14ac:dyDescent="0.15">
      <c r="A18"/>
      <c r="B18"/>
      <c r="C18" s="25"/>
      <c r="D18" s="94"/>
      <c r="E18" s="54"/>
      <c r="F18" s="54"/>
      <c r="G18" s="86"/>
      <c r="H18" s="87"/>
      <c r="I18" s="88"/>
      <c r="J18" s="89"/>
      <c r="K18" s="90"/>
      <c r="L18" s="91"/>
      <c r="M18" s="66"/>
      <c r="N18" s="57"/>
      <c r="O18" s="11"/>
      <c r="P18" s="71"/>
      <c r="Q18" s="52"/>
      <c r="R18" s="53"/>
      <c r="S18" s="55"/>
    </row>
    <row r="19" spans="1:19" s="3" customFormat="1" ht="19.5" customHeight="1" x14ac:dyDescent="0.15">
      <c r="A19"/>
      <c r="B19"/>
      <c r="C19" s="25"/>
      <c r="D19" s="95"/>
      <c r="E19" s="54"/>
      <c r="F19" s="92"/>
      <c r="G19" s="118">
        <f>SUM(J13:J17)</f>
        <v>44978</v>
      </c>
      <c r="H19" s="119"/>
      <c r="I19" s="119"/>
      <c r="J19" s="120"/>
      <c r="K19" s="93"/>
      <c r="L19" s="91"/>
      <c r="M19" s="66"/>
      <c r="N19" s="57"/>
      <c r="O19" s="11"/>
      <c r="P19" s="71"/>
      <c r="Q19" s="52"/>
      <c r="R19" s="53"/>
      <c r="S19" s="55"/>
    </row>
    <row r="20" spans="1:19" s="3" customFormat="1" ht="19.5" customHeight="1" x14ac:dyDescent="0.15">
      <c r="C20" s="62"/>
      <c r="D20" s="74"/>
      <c r="E20" s="56"/>
      <c r="F20" s="56"/>
      <c r="G20" s="58"/>
      <c r="H20" s="57"/>
      <c r="I20" s="72"/>
      <c r="J20" s="56"/>
      <c r="K20" s="57"/>
      <c r="L20" s="60"/>
      <c r="M20" s="57"/>
      <c r="N20" s="57"/>
      <c r="O20" s="11"/>
      <c r="P20" s="71"/>
      <c r="Q20" s="52"/>
      <c r="R20" s="53"/>
      <c r="S20" s="55"/>
    </row>
    <row r="21" spans="1:19" s="3" customFormat="1" ht="19.7" customHeight="1" x14ac:dyDescent="0.15">
      <c r="C21" s="62"/>
      <c r="D21" s="85"/>
      <c r="E21" s="96"/>
      <c r="F21" s="75"/>
      <c r="G21" s="77"/>
      <c r="H21" s="30"/>
      <c r="I21" s="47"/>
      <c r="J21" s="47"/>
      <c r="K21" s="63"/>
      <c r="L21" s="64"/>
      <c r="M21" s="25"/>
      <c r="N21" s="4"/>
      <c r="O21" s="11"/>
      <c r="P21" s="78"/>
      <c r="Q21" s="79"/>
      <c r="R21" s="79"/>
      <c r="S21" s="80"/>
    </row>
    <row r="22" spans="1:19" s="3" customFormat="1" ht="19.7" customHeight="1" x14ac:dyDescent="0.15">
      <c r="C22" s="62"/>
      <c r="D22" s="85"/>
      <c r="E22" s="96"/>
      <c r="F22" s="75"/>
      <c r="G22" s="77"/>
      <c r="H22" s="30"/>
      <c r="I22" s="47"/>
      <c r="J22" s="47"/>
      <c r="K22" s="63"/>
      <c r="L22" s="64"/>
      <c r="M22" s="25"/>
      <c r="N22" s="4"/>
      <c r="O22" s="11"/>
      <c r="P22" s="78"/>
      <c r="Q22" s="79"/>
      <c r="R22" s="79"/>
      <c r="S22" s="80"/>
    </row>
    <row r="23" spans="1:19" s="3" customFormat="1" ht="19.7" customHeight="1" x14ac:dyDescent="0.15">
      <c r="C23" s="62"/>
      <c r="D23" s="85"/>
      <c r="E23" s="96"/>
      <c r="F23" s="75"/>
      <c r="G23" s="77"/>
      <c r="H23" s="30"/>
      <c r="I23" s="47"/>
      <c r="J23" s="47"/>
      <c r="K23" s="63"/>
      <c r="L23" s="64"/>
      <c r="M23" s="25"/>
      <c r="N23" s="4"/>
      <c r="O23" s="11"/>
      <c r="P23" s="78"/>
      <c r="Q23" s="79"/>
      <c r="R23" s="79"/>
      <c r="S23" s="80"/>
    </row>
    <row r="24" spans="1:19" s="3" customFormat="1" ht="19.7" customHeight="1" x14ac:dyDescent="0.15">
      <c r="C24" s="62"/>
      <c r="D24" s="85"/>
      <c r="E24" s="96"/>
      <c r="F24" s="75"/>
      <c r="G24" s="77"/>
      <c r="H24" s="30"/>
      <c r="I24" s="47"/>
      <c r="J24" s="47"/>
      <c r="K24" s="63"/>
      <c r="L24" s="64"/>
      <c r="M24" s="25"/>
      <c r="N24" s="4"/>
      <c r="O24" s="11"/>
      <c r="P24" s="78"/>
      <c r="Q24" s="79"/>
      <c r="R24" s="79"/>
      <c r="S24" s="80"/>
    </row>
    <row r="25" spans="1:19" s="3" customFormat="1" ht="19.7" customHeight="1" x14ac:dyDescent="0.15">
      <c r="C25" s="62"/>
      <c r="D25" s="85"/>
      <c r="E25" s="96"/>
      <c r="F25" s="75"/>
      <c r="G25" s="77"/>
      <c r="H25" s="30"/>
      <c r="I25" s="47"/>
      <c r="J25" s="47"/>
      <c r="K25" s="63"/>
      <c r="L25" s="64"/>
      <c r="M25" s="25"/>
      <c r="N25" s="4"/>
      <c r="O25" s="11"/>
      <c r="P25" s="78"/>
      <c r="Q25" s="79"/>
      <c r="R25" s="79"/>
      <c r="S25" s="80"/>
    </row>
    <row r="26" spans="1:19" s="3" customFormat="1" ht="19.7" customHeight="1" x14ac:dyDescent="0.15">
      <c r="C26" s="62"/>
      <c r="D26" s="85"/>
      <c r="E26" s="96"/>
      <c r="F26" s="75"/>
      <c r="G26" s="77"/>
      <c r="H26" s="30"/>
      <c r="I26" s="47"/>
      <c r="J26" s="47"/>
      <c r="K26" s="63"/>
      <c r="L26" s="64"/>
      <c r="M26" s="25"/>
      <c r="N26" s="4"/>
      <c r="O26" s="11"/>
      <c r="P26" s="78"/>
      <c r="Q26" s="79"/>
      <c r="R26" s="79"/>
      <c r="S26" s="80"/>
    </row>
    <row r="27" spans="1:19" s="3" customFormat="1" ht="19.7" customHeight="1" x14ac:dyDescent="0.15">
      <c r="C27" s="62"/>
      <c r="D27" s="85"/>
      <c r="E27" s="96"/>
      <c r="F27" s="75"/>
      <c r="G27" s="77"/>
      <c r="H27" s="30"/>
      <c r="I27" s="47"/>
      <c r="J27" s="47"/>
      <c r="K27" s="63"/>
      <c r="L27" s="64"/>
      <c r="M27" s="25"/>
      <c r="N27" s="4"/>
      <c r="O27" s="11"/>
      <c r="P27" s="78"/>
      <c r="Q27" s="79"/>
      <c r="R27" s="79"/>
      <c r="S27" s="80"/>
    </row>
    <row r="28" spans="1:19" s="3" customFormat="1" ht="19.5" customHeight="1" x14ac:dyDescent="0.15">
      <c r="C28" s="62"/>
      <c r="D28" s="74"/>
      <c r="E28" s="59"/>
      <c r="F28" s="56"/>
      <c r="G28" s="58"/>
      <c r="H28" s="57"/>
      <c r="I28" s="72"/>
      <c r="J28" s="56"/>
      <c r="K28" s="57"/>
      <c r="L28" s="60"/>
      <c r="M28" s="57"/>
      <c r="N28" s="57"/>
      <c r="O28" s="11"/>
      <c r="P28" s="71"/>
      <c r="Q28" s="52"/>
      <c r="R28" s="53"/>
      <c r="S28" s="55"/>
    </row>
    <row r="29" spans="1:19" s="3" customFormat="1" ht="19.5" customHeight="1" x14ac:dyDescent="0.15">
      <c r="C29" s="62"/>
      <c r="D29" s="74"/>
      <c r="E29" s="59"/>
      <c r="F29" s="56"/>
      <c r="G29" s="58"/>
      <c r="H29" s="57"/>
      <c r="I29" s="72"/>
      <c r="J29" s="56"/>
      <c r="K29" s="57"/>
      <c r="L29" s="60"/>
      <c r="M29" s="57"/>
      <c r="N29" s="57"/>
      <c r="O29" s="11"/>
      <c r="P29" s="71"/>
      <c r="Q29" s="52"/>
      <c r="R29" s="53"/>
      <c r="S29" s="55"/>
    </row>
    <row r="30" spans="1:19" s="3" customFormat="1" ht="19.5" customHeight="1" x14ac:dyDescent="0.15">
      <c r="C30" s="62"/>
      <c r="D30" s="74"/>
      <c r="E30" s="59"/>
      <c r="F30" s="56"/>
      <c r="G30" s="58"/>
      <c r="H30" s="57"/>
      <c r="I30" s="72"/>
      <c r="J30" s="56"/>
      <c r="K30" s="57"/>
      <c r="L30" s="60"/>
      <c r="M30" s="57"/>
      <c r="N30" s="57"/>
      <c r="O30" s="11"/>
      <c r="P30" s="71"/>
      <c r="Q30" s="52"/>
      <c r="R30" s="53"/>
      <c r="S30" s="55"/>
    </row>
    <row r="31" spans="1:19" s="3" customFormat="1" ht="19.5" customHeight="1" x14ac:dyDescent="0.15">
      <c r="C31" s="62"/>
      <c r="D31" s="74"/>
      <c r="E31" s="59"/>
      <c r="F31" s="56"/>
      <c r="G31" s="58"/>
      <c r="H31" s="57"/>
      <c r="I31" s="72"/>
      <c r="J31" s="56"/>
      <c r="K31" s="57"/>
      <c r="L31" s="60"/>
      <c r="M31" s="57"/>
      <c r="N31" s="57"/>
      <c r="O31" s="11"/>
      <c r="P31" s="71"/>
      <c r="Q31" s="52"/>
      <c r="R31" s="53"/>
      <c r="S31" s="55"/>
    </row>
    <row r="32" spans="1:19" s="3" customFormat="1" ht="19.5" customHeight="1" x14ac:dyDescent="0.15">
      <c r="C32" s="1"/>
      <c r="D32" s="4"/>
      <c r="E32" s="4"/>
      <c r="F32" s="4"/>
      <c r="G32" s="73"/>
      <c r="H32" s="32"/>
      <c r="I32" s="32"/>
      <c r="J32" s="32"/>
      <c r="K32" s="63"/>
      <c r="L32" s="64"/>
      <c r="M32" s="1"/>
      <c r="N32" s="1"/>
      <c r="O32" s="11"/>
      <c r="P32" s="71"/>
      <c r="Q32" s="52"/>
      <c r="R32" s="53"/>
      <c r="S32" s="55"/>
    </row>
    <row r="33" spans="2:19" s="3" customFormat="1" ht="19.5" customHeight="1" x14ac:dyDescent="0.15">
      <c r="C33" s="1"/>
      <c r="D33" s="4"/>
      <c r="E33" s="4"/>
      <c r="F33" s="4"/>
      <c r="G33" s="1"/>
      <c r="H33" s="32"/>
      <c r="I33" s="32"/>
      <c r="J33" s="32"/>
      <c r="K33" s="63"/>
      <c r="L33" s="64"/>
      <c r="M33" s="1"/>
      <c r="N33" s="1"/>
      <c r="O33" s="11"/>
      <c r="P33" s="71"/>
      <c r="Q33" s="52"/>
      <c r="R33" s="53"/>
      <c r="S33" s="55"/>
    </row>
    <row r="34" spans="2:19" s="3" customFormat="1" ht="19.7" customHeight="1" x14ac:dyDescent="0.15">
      <c r="B34" s="65"/>
      <c r="C34" s="1"/>
      <c r="D34" s="4"/>
      <c r="E34" s="4"/>
      <c r="F34" s="4"/>
      <c r="G34" s="26"/>
      <c r="H34" s="1"/>
      <c r="I34" s="21"/>
      <c r="J34" s="46"/>
      <c r="K34" s="2"/>
      <c r="L34" s="25"/>
      <c r="M34" s="22"/>
      <c r="N34" s="4"/>
      <c r="O34" s="11"/>
      <c r="P34" s="4"/>
      <c r="Q34" s="19"/>
      <c r="R34" s="19"/>
      <c r="S34" s="14"/>
    </row>
    <row r="35" spans="2:19" s="3" customFormat="1" ht="19.7" customHeight="1" x14ac:dyDescent="0.15">
      <c r="B35" s="65"/>
      <c r="C35" s="1"/>
      <c r="D35" s="4"/>
      <c r="E35" s="30"/>
      <c r="F35" s="34"/>
      <c r="G35" s="24"/>
      <c r="H35" s="41"/>
      <c r="I35" s="48"/>
      <c r="J35" s="47"/>
      <c r="K35" s="32"/>
      <c r="L35" s="31"/>
      <c r="M35" s="22"/>
      <c r="N35" s="4"/>
      <c r="O35" s="11"/>
      <c r="P35" s="4"/>
      <c r="Q35" s="19"/>
      <c r="R35" s="19"/>
      <c r="S35" s="14"/>
    </row>
    <row r="36" spans="2:19" s="3" customFormat="1" ht="19.7" customHeight="1" x14ac:dyDescent="0.15">
      <c r="B36" s="42"/>
      <c r="C36" s="1"/>
      <c r="D36" s="4"/>
      <c r="E36" s="4"/>
      <c r="F36" s="40"/>
      <c r="G36" s="24"/>
      <c r="H36" s="41"/>
      <c r="I36" s="48"/>
      <c r="J36" s="39"/>
      <c r="K36" s="32"/>
      <c r="L36" s="31"/>
      <c r="M36" s="22"/>
      <c r="N36" s="4"/>
      <c r="O36" s="11"/>
      <c r="P36" s="4"/>
      <c r="Q36" s="19"/>
      <c r="R36" s="19"/>
      <c r="S36" s="14"/>
    </row>
    <row r="37" spans="2:19" s="3" customFormat="1" ht="18" customHeight="1" x14ac:dyDescent="0.15">
      <c r="B37" s="42"/>
      <c r="C37" s="1"/>
      <c r="D37" s="4"/>
      <c r="E37" s="4"/>
      <c r="F37" s="4"/>
      <c r="G37" s="26"/>
      <c r="H37" s="35"/>
      <c r="I37" s="49"/>
      <c r="J37" s="47"/>
      <c r="K37" s="36"/>
      <c r="L37" s="37"/>
      <c r="M37" s="25"/>
      <c r="N37" s="4"/>
      <c r="O37" s="11"/>
      <c r="P37" s="4"/>
      <c r="Q37" s="19"/>
      <c r="R37" s="19"/>
      <c r="S37" s="14"/>
    </row>
    <row r="38" spans="2:19" s="3" customFormat="1" ht="18" customHeight="1" x14ac:dyDescent="0.15">
      <c r="B38" s="42"/>
      <c r="C38" s="1"/>
      <c r="D38" s="4"/>
      <c r="E38" s="4"/>
      <c r="F38" s="4"/>
      <c r="G38" s="33"/>
      <c r="H38" s="1"/>
      <c r="I38" s="47"/>
      <c r="J38" s="47"/>
      <c r="K38" s="2"/>
      <c r="L38" s="25"/>
      <c r="M38" s="22"/>
      <c r="N38" s="4"/>
      <c r="O38" s="11"/>
      <c r="P38" s="4"/>
      <c r="Q38" s="19"/>
      <c r="R38" s="19"/>
      <c r="S38" s="14"/>
    </row>
    <row r="39" spans="2:19" s="3" customFormat="1" ht="18" customHeight="1" x14ac:dyDescent="0.15">
      <c r="B39" s="42"/>
      <c r="C39" s="1"/>
      <c r="D39" s="4"/>
      <c r="E39" s="4"/>
      <c r="F39" s="4"/>
      <c r="G39" s="38"/>
      <c r="H39" s="1"/>
      <c r="I39" s="47"/>
      <c r="J39" s="47"/>
      <c r="K39" s="2"/>
      <c r="L39" s="25"/>
      <c r="M39" s="22"/>
      <c r="N39" s="4"/>
      <c r="O39" s="11"/>
      <c r="P39" s="4"/>
      <c r="Q39" s="19"/>
      <c r="R39" s="19"/>
      <c r="S39" s="14"/>
    </row>
    <row r="40" spans="2:19" s="3" customFormat="1" ht="18" customHeight="1" x14ac:dyDescent="0.15">
      <c r="B40" s="42"/>
      <c r="C40" s="1"/>
      <c r="D40" s="4"/>
      <c r="E40" s="4"/>
      <c r="F40" s="4"/>
      <c r="G40" s="26"/>
      <c r="H40" s="1"/>
      <c r="I40" s="21"/>
      <c r="J40" s="46"/>
      <c r="K40" s="2"/>
      <c r="L40" s="25"/>
      <c r="M40" s="25"/>
      <c r="N40" s="4"/>
      <c r="O40" s="11"/>
      <c r="P40" s="11"/>
      <c r="Q40" s="11"/>
      <c r="R40" s="19"/>
      <c r="S40" s="14"/>
    </row>
    <row r="41" spans="2:19" s="3" customFormat="1" ht="19.7" customHeight="1" x14ac:dyDescent="0.15">
      <c r="B41" s="42"/>
      <c r="C41" s="1"/>
      <c r="D41" s="4"/>
      <c r="E41" s="4"/>
      <c r="F41" s="4"/>
      <c r="G41" s="24"/>
      <c r="H41" s="1"/>
      <c r="I41" s="47"/>
      <c r="J41" s="46"/>
      <c r="K41" s="27"/>
      <c r="L41" s="25"/>
      <c r="M41" s="25"/>
      <c r="N41" s="4"/>
      <c r="O41" s="11"/>
      <c r="P41" s="4"/>
      <c r="Q41" s="19"/>
      <c r="R41" s="19"/>
      <c r="S41" s="14"/>
    </row>
    <row r="42" spans="2:19" s="3" customFormat="1" ht="19.7" customHeight="1" x14ac:dyDescent="0.15">
      <c r="B42" s="42"/>
      <c r="C42" s="1"/>
      <c r="D42" s="4"/>
      <c r="E42" s="4"/>
      <c r="F42" s="4"/>
      <c r="G42" s="24"/>
      <c r="H42" s="1"/>
      <c r="I42" s="47"/>
      <c r="J42" s="46"/>
      <c r="K42" s="27"/>
      <c r="L42" s="25"/>
      <c r="M42" s="25"/>
      <c r="N42" s="4"/>
      <c r="O42" s="11"/>
      <c r="P42" s="4"/>
      <c r="Q42" s="19"/>
      <c r="R42" s="19"/>
      <c r="S42" s="14"/>
    </row>
    <row r="43" spans="2:19" s="3" customFormat="1" ht="19.7" customHeight="1" x14ac:dyDescent="0.15">
      <c r="B43" s="42"/>
      <c r="C43" s="1"/>
      <c r="D43" s="4"/>
      <c r="E43" s="4"/>
      <c r="F43" s="4"/>
      <c r="G43" s="24"/>
      <c r="H43" s="1"/>
      <c r="I43" s="47"/>
      <c r="J43" s="46"/>
      <c r="K43" s="27"/>
      <c r="L43" s="25"/>
      <c r="M43" s="25"/>
      <c r="N43" s="4"/>
      <c r="O43" s="11"/>
      <c r="P43" s="4"/>
      <c r="Q43" s="19"/>
      <c r="R43" s="19"/>
      <c r="S43" s="14"/>
    </row>
    <row r="44" spans="2:19" s="3" customFormat="1" ht="19.7" customHeight="1" x14ac:dyDescent="0.15">
      <c r="B44" s="42"/>
      <c r="C44" s="1"/>
      <c r="D44" s="4"/>
      <c r="E44" s="4"/>
      <c r="F44" s="4"/>
      <c r="G44" s="26"/>
      <c r="H44" s="1"/>
      <c r="I44" s="21"/>
      <c r="J44" s="46"/>
      <c r="K44" s="2"/>
      <c r="L44" s="25"/>
      <c r="M44" s="25"/>
      <c r="N44" s="4"/>
      <c r="O44" s="11"/>
      <c r="P44" s="4"/>
      <c r="Q44" s="19"/>
      <c r="R44" s="19"/>
      <c r="S44" s="14"/>
    </row>
    <row r="45" spans="2:19" s="3" customFormat="1" ht="19.7" customHeight="1" x14ac:dyDescent="0.15">
      <c r="B45" s="42"/>
      <c r="C45" s="1"/>
      <c r="D45" s="4"/>
      <c r="E45" s="4"/>
      <c r="F45" s="4"/>
      <c r="G45" s="26"/>
      <c r="H45" s="1"/>
      <c r="I45" s="21"/>
      <c r="J45" s="46"/>
      <c r="K45" s="2"/>
      <c r="L45" s="25"/>
      <c r="M45" s="25"/>
      <c r="N45" s="4"/>
      <c r="O45" s="11"/>
      <c r="P45" s="4"/>
      <c r="Q45" s="19"/>
      <c r="R45" s="19"/>
      <c r="S45" s="14"/>
    </row>
    <row r="46" spans="2:19" ht="19.7" customHeight="1" x14ac:dyDescent="0.15">
      <c r="B46" s="42"/>
      <c r="C46" s="1"/>
      <c r="D46" s="4"/>
      <c r="E46" s="1"/>
      <c r="F46" s="1"/>
      <c r="G46" s="26"/>
      <c r="H46" s="1"/>
      <c r="I46" s="21"/>
      <c r="J46" s="46"/>
      <c r="K46" s="2"/>
      <c r="L46" s="25"/>
      <c r="M46" s="24"/>
      <c r="N46" s="4"/>
      <c r="O46" s="11"/>
      <c r="P46" s="4"/>
      <c r="Q46" s="19"/>
      <c r="R46" s="19"/>
      <c r="S46" s="14"/>
    </row>
    <row r="47" spans="2:19" ht="19.7" customHeight="1" x14ac:dyDescent="0.15">
      <c r="B47" s="42"/>
      <c r="C47" s="1"/>
      <c r="D47" s="4"/>
      <c r="E47" s="4"/>
      <c r="F47" s="4"/>
      <c r="G47" s="23"/>
      <c r="H47" s="1"/>
      <c r="I47" s="21"/>
      <c r="J47" s="47"/>
      <c r="K47" s="2"/>
      <c r="L47" s="25"/>
      <c r="M47" s="25"/>
      <c r="N47" s="4"/>
      <c r="O47" s="11"/>
      <c r="P47" s="4"/>
      <c r="Q47" s="19"/>
      <c r="R47" s="19"/>
      <c r="S47" s="14"/>
    </row>
    <row r="48" spans="2:19" ht="19.7" customHeight="1" x14ac:dyDescent="0.15">
      <c r="B48" s="42"/>
      <c r="C48" s="1"/>
      <c r="D48" s="4"/>
      <c r="E48" s="4"/>
      <c r="F48" s="4"/>
      <c r="G48" s="26"/>
      <c r="H48" s="1"/>
      <c r="I48" s="21"/>
      <c r="J48" s="46"/>
      <c r="K48" s="2"/>
      <c r="L48" s="25"/>
      <c r="M48" s="24"/>
      <c r="N48" s="4"/>
      <c r="O48" s="11"/>
      <c r="P48" s="4"/>
      <c r="Q48" s="19"/>
      <c r="R48" s="29"/>
      <c r="S48" s="14"/>
    </row>
    <row r="49" spans="2:19" ht="19.7" customHeight="1" x14ac:dyDescent="0.15">
      <c r="B49" s="42"/>
      <c r="C49" s="1"/>
      <c r="D49" s="4"/>
      <c r="E49" s="4"/>
      <c r="F49" s="4"/>
      <c r="G49" s="26"/>
      <c r="H49" s="1"/>
      <c r="I49" s="21"/>
      <c r="J49" s="46"/>
      <c r="K49" s="2"/>
      <c r="L49" s="25"/>
      <c r="M49" s="24"/>
      <c r="N49" s="4"/>
      <c r="O49" s="11"/>
      <c r="P49" s="4"/>
      <c r="Q49" s="19"/>
      <c r="R49" s="19"/>
      <c r="S49" s="14"/>
    </row>
    <row r="50" spans="2:19" ht="19.7" customHeight="1" x14ac:dyDescent="0.15">
      <c r="B50" s="42"/>
      <c r="C50" s="1"/>
      <c r="D50" s="4"/>
      <c r="E50" s="4"/>
      <c r="F50" s="4"/>
      <c r="G50" s="26"/>
      <c r="H50" s="1"/>
      <c r="I50" s="21"/>
      <c r="J50" s="46"/>
      <c r="K50" s="2"/>
      <c r="L50" s="25"/>
      <c r="M50" s="24"/>
      <c r="N50" s="4"/>
      <c r="O50" s="11"/>
      <c r="P50" s="4"/>
      <c r="Q50" s="19"/>
      <c r="R50" s="19"/>
      <c r="S50" s="14"/>
    </row>
    <row r="51" spans="2:19" ht="19.7" customHeight="1" x14ac:dyDescent="0.15">
      <c r="B51" s="42"/>
      <c r="C51" s="1"/>
      <c r="D51" s="4"/>
      <c r="E51" s="4"/>
      <c r="F51" s="4"/>
      <c r="G51" s="26"/>
      <c r="H51" s="1"/>
      <c r="I51" s="21"/>
      <c r="J51" s="46">
        <f t="shared" ref="J51:J56" si="2">H51*I51</f>
        <v>0</v>
      </c>
      <c r="K51" s="2"/>
      <c r="L51" s="25"/>
      <c r="M51" s="24"/>
      <c r="N51" s="4"/>
      <c r="O51" s="11"/>
      <c r="P51" s="4"/>
      <c r="Q51" s="19"/>
      <c r="R51" s="19"/>
      <c r="S51" s="14"/>
    </row>
    <row r="52" spans="2:19" ht="19.7" customHeight="1" x14ac:dyDescent="0.15">
      <c r="B52" s="42"/>
      <c r="C52" s="1"/>
      <c r="D52" s="4"/>
      <c r="E52" s="4"/>
      <c r="F52" s="4"/>
      <c r="G52" s="26"/>
      <c r="H52" s="1"/>
      <c r="I52" s="21"/>
      <c r="J52" s="46">
        <f t="shared" si="2"/>
        <v>0</v>
      </c>
      <c r="K52" s="2"/>
      <c r="L52" s="25"/>
      <c r="M52" s="24"/>
      <c r="N52" s="4"/>
      <c r="O52" s="11"/>
      <c r="P52" s="4"/>
      <c r="Q52" s="19"/>
      <c r="R52" s="19"/>
      <c r="S52" s="14"/>
    </row>
    <row r="53" spans="2:19" ht="19.7" customHeight="1" x14ac:dyDescent="0.15">
      <c r="B53" s="42"/>
      <c r="C53" s="1"/>
      <c r="D53" s="4"/>
      <c r="E53" s="4"/>
      <c r="F53" s="4"/>
      <c r="G53" s="26"/>
      <c r="H53" s="1"/>
      <c r="I53" s="21"/>
      <c r="J53" s="46">
        <f t="shared" si="2"/>
        <v>0</v>
      </c>
      <c r="K53" s="2"/>
      <c r="L53" s="25"/>
      <c r="M53" s="24"/>
      <c r="N53" s="4"/>
      <c r="O53" s="11"/>
      <c r="P53" s="4"/>
      <c r="Q53" s="19"/>
      <c r="R53" s="19"/>
      <c r="S53" s="14"/>
    </row>
    <row r="54" spans="2:19" ht="19.7" customHeight="1" x14ac:dyDescent="0.15">
      <c r="B54" s="42"/>
      <c r="C54" s="51"/>
      <c r="D54" s="4"/>
      <c r="E54" s="4"/>
      <c r="F54" s="4"/>
      <c r="G54" s="26"/>
      <c r="H54" s="1"/>
      <c r="I54" s="21"/>
      <c r="J54" s="46">
        <f t="shared" si="2"/>
        <v>0</v>
      </c>
      <c r="K54" s="2"/>
      <c r="L54" s="25"/>
      <c r="M54" s="24"/>
      <c r="N54" s="4"/>
      <c r="O54" s="11"/>
      <c r="P54" s="4"/>
      <c r="Q54" s="19"/>
      <c r="R54" s="19"/>
      <c r="S54" s="14"/>
    </row>
    <row r="55" spans="2:19" ht="19.7" customHeight="1" x14ac:dyDescent="0.15">
      <c r="B55" s="42"/>
      <c r="C55" s="51"/>
      <c r="D55" s="4"/>
      <c r="E55" s="4"/>
      <c r="F55" s="4"/>
      <c r="G55" s="26"/>
      <c r="H55" s="1"/>
      <c r="I55" s="21"/>
      <c r="J55" s="46">
        <f t="shared" si="2"/>
        <v>0</v>
      </c>
      <c r="K55" s="2"/>
      <c r="L55" s="25"/>
      <c r="M55" s="24"/>
      <c r="N55" s="4"/>
      <c r="O55" s="11"/>
      <c r="P55" s="4"/>
      <c r="Q55" s="19"/>
      <c r="R55" s="19"/>
      <c r="S55" s="14"/>
    </row>
    <row r="56" spans="2:19" ht="19.7" customHeight="1" x14ac:dyDescent="0.15">
      <c r="B56" s="42"/>
      <c r="C56" s="51"/>
      <c r="D56" s="4"/>
      <c r="E56" s="4"/>
      <c r="F56" s="4"/>
      <c r="G56" s="26"/>
      <c r="H56" s="1"/>
      <c r="I56" s="21"/>
      <c r="J56" s="46">
        <f t="shared" si="2"/>
        <v>0</v>
      </c>
      <c r="K56" s="2"/>
      <c r="L56" s="25"/>
      <c r="M56" s="24"/>
      <c r="N56" s="4"/>
      <c r="O56" s="11"/>
      <c r="P56" s="4"/>
      <c r="Q56" s="19"/>
      <c r="R56" s="19"/>
      <c r="S56" s="14"/>
    </row>
    <row r="57" spans="2:19" x14ac:dyDescent="0.15">
      <c r="J57" s="50"/>
    </row>
  </sheetData>
  <autoFilter ref="D9:Q36" xr:uid="{00000000-0009-0000-0000-000000000000}"/>
  <mergeCells count="10">
    <mergeCell ref="G19:J19"/>
    <mergeCell ref="D2:F2"/>
    <mergeCell ref="I2:K2"/>
    <mergeCell ref="D3:F3"/>
    <mergeCell ref="D4:F4"/>
    <mergeCell ref="L4:M5"/>
    <mergeCell ref="D5:F5"/>
    <mergeCell ref="I5:J6"/>
    <mergeCell ref="D6:F6"/>
    <mergeCell ref="D12:G12"/>
  </mergeCells>
  <phoneticPr fontId="16"/>
  <dataValidations count="1">
    <dataValidation allowBlank="1" showInputMessage="1" showErrorMessage="1" sqref="L18:L19" xr:uid="{A6DDB134-1EA1-4547-8CC4-2AF5469CC763}"/>
  </dataValidations>
  <hyperlinks>
    <hyperlink ref="M15" r:id="rId1" xr:uid="{FCCE4147-6DC5-42FE-BFF3-5CADC809D39B}"/>
    <hyperlink ref="M13" r:id="rId2" xr:uid="{6F4BA218-FA0E-4D4A-9F06-21FBC6D07DB6}"/>
  </hyperlinks>
  <pageMargins left="0.2" right="0.2" top="0.36" bottom="0.41" header="0.3" footer="0.3"/>
  <pageSetup paperSize="9" scale="70" orientation="landscape"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218250　原価表  20241025 ② 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齋藤 秀昭</dc:creator>
  <cp:lastModifiedBy>shinohara</cp:lastModifiedBy>
  <cp:lastPrinted>2018-06-15T01:25:43Z</cp:lastPrinted>
  <dcterms:created xsi:type="dcterms:W3CDTF">2011-12-13T06:48:43Z</dcterms:created>
  <dcterms:modified xsi:type="dcterms:W3CDTF">2024-11-25T06:02:21Z</dcterms:modified>
</cp:coreProperties>
</file>