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5EA1EAB-7B7A-4A86-B25A-932316E2E0A0}" xr6:coauthVersionLast="47" xr6:coauthVersionMax="47" xr10:uidLastSave="{00000000-0000-0000-0000-000000000000}"/>
  <bookViews>
    <workbookView xWindow="30990" yWindow="1275" windowWidth="22185" windowHeight="13800" xr2:uid="{00000000-000D-0000-FFFF-FFFF00000000}"/>
  </bookViews>
  <sheets>
    <sheet name="実験用　発注 (20250402)　①  " sheetId="15" r:id="rId1"/>
    <sheet name="Sheet1" sheetId="13" r:id="rId2"/>
    <sheet name="Sheet2" sheetId="2" r:id="rId3"/>
    <sheet name="Sheet3" sheetId="3" r:id="rId4"/>
    <sheet name="元々　実験用　発注 (20250316)　①② " sheetId="14" r:id="rId5"/>
  </sheets>
  <definedNames>
    <definedName name="_xlnm._FilterDatabase" localSheetId="4" hidden="1">'元々　実験用　発注 (20250316)　①② '!$A$10:$R$130</definedName>
    <definedName name="_xlnm._FilterDatabase" localSheetId="0" hidden="1">'実験用　発注 (20250402)　①  '!$A$10:$R$98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1" i="15" l="1"/>
  <c r="C91" i="15"/>
  <c r="I110" i="15"/>
  <c r="I109" i="15"/>
  <c r="I108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2" i="15"/>
  <c r="I21" i="15"/>
  <c r="I20" i="15"/>
  <c r="I19" i="15"/>
  <c r="I17" i="15"/>
  <c r="I16" i="15"/>
  <c r="I15" i="15"/>
  <c r="I14" i="15"/>
  <c r="C14" i="15"/>
  <c r="C15" i="15" s="1"/>
  <c r="C16" i="15" s="1"/>
  <c r="C17" i="15" s="1"/>
  <c r="C19" i="15" s="1"/>
  <c r="C20" i="15" s="1"/>
  <c r="C21" i="15" s="1"/>
  <c r="C22" i="15" s="1"/>
  <c r="C24" i="15" s="1"/>
  <c r="C25" i="15" s="1"/>
  <c r="C26" i="15" s="1"/>
  <c r="C27" i="15" s="1"/>
  <c r="C28" i="15" s="1"/>
  <c r="C29" i="15" s="1"/>
  <c r="C30" i="15" s="1"/>
  <c r="I24" i="14"/>
  <c r="I25" i="14"/>
  <c r="I26" i="14"/>
  <c r="I27" i="14"/>
  <c r="I28" i="14"/>
  <c r="I29" i="14"/>
  <c r="C76" i="14"/>
  <c r="I80" i="14"/>
  <c r="I101" i="14"/>
  <c r="I105" i="14"/>
  <c r="I109" i="14"/>
  <c r="I118" i="14"/>
  <c r="I119" i="14"/>
  <c r="I122" i="14"/>
  <c r="I121" i="14"/>
  <c r="I120" i="14"/>
  <c r="I117" i="14"/>
  <c r="I116" i="14"/>
  <c r="I115" i="14"/>
  <c r="I114" i="14"/>
  <c r="I113" i="14"/>
  <c r="I112" i="14"/>
  <c r="I111" i="14"/>
  <c r="I110" i="14"/>
  <c r="I108" i="14"/>
  <c r="I107" i="14"/>
  <c r="I104" i="14"/>
  <c r="I103" i="14"/>
  <c r="I102" i="14"/>
  <c r="I95" i="14"/>
  <c r="I98" i="14"/>
  <c r="I97" i="14"/>
  <c r="I96" i="14"/>
  <c r="I94" i="14"/>
  <c r="I93" i="14"/>
  <c r="I92" i="14"/>
  <c r="I91" i="14"/>
  <c r="I90" i="14"/>
  <c r="I89" i="14"/>
  <c r="I88" i="14"/>
  <c r="I87" i="14"/>
  <c r="I86" i="14"/>
  <c r="I85" i="14"/>
  <c r="I83" i="14"/>
  <c r="I82" i="14"/>
  <c r="I81" i="14"/>
  <c r="I78" i="14"/>
  <c r="I77" i="14"/>
  <c r="I106" i="14"/>
  <c r="I100" i="14"/>
  <c r="I99" i="14"/>
  <c r="I84" i="14"/>
  <c r="I79" i="14"/>
  <c r="I76" i="14"/>
  <c r="I142" i="14"/>
  <c r="I141" i="14"/>
  <c r="I140" i="14"/>
  <c r="I66" i="14"/>
  <c r="I65" i="14"/>
  <c r="I60" i="14"/>
  <c r="I59" i="14"/>
  <c r="I58" i="14"/>
  <c r="I57" i="14"/>
  <c r="I41" i="14"/>
  <c r="I40" i="14"/>
  <c r="I39" i="14"/>
  <c r="I38" i="14"/>
  <c r="I22" i="14"/>
  <c r="I21" i="14"/>
  <c r="I20" i="14"/>
  <c r="I19" i="14"/>
  <c r="I17" i="14"/>
  <c r="I16" i="14"/>
  <c r="I15" i="14"/>
  <c r="I14" i="14"/>
  <c r="C14" i="14"/>
  <c r="C15" i="14" s="1"/>
  <c r="C16" i="14" s="1"/>
  <c r="C17" i="14" s="1"/>
  <c r="C19" i="14" s="1"/>
  <c r="C20" i="14" s="1"/>
  <c r="C21" i="14" s="1"/>
  <c r="C22" i="14" s="1"/>
  <c r="C24" i="14" s="1"/>
  <c r="C25" i="14" s="1"/>
  <c r="C26" i="14" s="1"/>
  <c r="C27" i="14" s="1"/>
  <c r="C28" i="14" s="1"/>
  <c r="C29" i="14" s="1"/>
  <c r="C31" i="14" s="1"/>
  <c r="C32" i="14" s="1"/>
  <c r="C33" i="14" s="1"/>
  <c r="C34" i="14" s="1"/>
  <c r="C35" i="14" s="1"/>
  <c r="C36" i="14" s="1"/>
  <c r="C38" i="14" s="1"/>
  <c r="C39" i="14" s="1"/>
  <c r="C40" i="14" s="1"/>
  <c r="C41" i="14" s="1"/>
  <c r="C42" i="14" s="1"/>
  <c r="C43" i="14" s="1"/>
  <c r="C45" i="14" s="1"/>
  <c r="C46" i="14" s="1"/>
  <c r="C47" i="14" s="1"/>
  <c r="C48" i="14" s="1"/>
  <c r="C49" i="14" s="1"/>
  <c r="C50" i="14" s="1"/>
  <c r="C52" i="14" s="1"/>
  <c r="C53" i="14" s="1"/>
  <c r="C54" i="14" s="1"/>
  <c r="C55" i="14" s="1"/>
  <c r="C57" i="14" s="1"/>
  <c r="C58" i="14" s="1"/>
  <c r="C59" i="14" s="1"/>
  <c r="C60" i="14" s="1"/>
  <c r="C62" i="14" s="1"/>
  <c r="C63" i="14" s="1"/>
  <c r="C65" i="14" s="1"/>
  <c r="C66" i="14" s="1"/>
  <c r="F42" i="15" l="1"/>
  <c r="F93" i="15"/>
  <c r="K2" i="15"/>
  <c r="C31" i="15"/>
  <c r="C32" i="15" s="1"/>
  <c r="C33" i="15" s="1"/>
  <c r="F125" i="14"/>
  <c r="C77" i="14"/>
  <c r="C78" i="14" s="1"/>
  <c r="C79" i="14" s="1"/>
  <c r="C80" i="14" s="1"/>
  <c r="C81" i="14" s="1"/>
  <c r="C82" i="14" s="1"/>
  <c r="C83" i="14" s="1"/>
  <c r="C84" i="14" s="1"/>
  <c r="C85" i="14" s="1"/>
  <c r="K2" i="14"/>
  <c r="F69" i="14"/>
  <c r="C34" i="15" l="1"/>
  <c r="C35" i="15" s="1"/>
  <c r="C36" i="15" s="1"/>
  <c r="C37" i="15" s="1"/>
  <c r="C86" i="14"/>
  <c r="C38" i="15" l="1"/>
  <c r="C39" i="15" s="1"/>
  <c r="C49" i="15" s="1"/>
  <c r="C50" i="15" s="1"/>
  <c r="C51" i="15" s="1"/>
  <c r="C52" i="15" s="1"/>
  <c r="C53" i="15" s="1"/>
  <c r="C87" i="14"/>
  <c r="C54" i="15" l="1"/>
  <c r="C55" i="15" s="1"/>
  <c r="C56" i="15" s="1"/>
  <c r="C88" i="14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57" i="15" l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l="1"/>
  <c r="C74" i="15" s="1"/>
  <c r="C75" i="15" l="1"/>
  <c r="C76" i="15" s="1"/>
  <c r="C77" i="15" s="1"/>
  <c r="C78" i="15" s="1"/>
  <c r="C79" i="15" s="1"/>
  <c r="C80" i="15" l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</calcChain>
</file>

<file path=xl/sharedStrings.xml><?xml version="1.0" encoding="utf-8"?>
<sst xmlns="http://schemas.openxmlformats.org/spreadsheetml/2006/main" count="941" uniqueCount="175">
  <si>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</si>
  <si>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</si>
  <si>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</si>
  <si>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</si>
  <si>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</si>
  <si>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</si>
  <si>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</si>
  <si>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</si>
  <si>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</si>
  <si>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</si>
  <si>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</si>
  <si>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</si>
  <si>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</si>
  <si>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</si>
  <si>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</si>
  <si>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</si>
  <si>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</si>
  <si>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</si>
  <si>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</si>
  <si>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</si>
  <si>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</si>
  <si>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</si>
  <si>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</si>
  <si>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</si>
  <si>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</si>
  <si>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</si>
  <si>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ミスミ</t>
    <phoneticPr fontId="11"/>
  </si>
  <si>
    <t>1日目</t>
    <rPh sb="1" eb="2">
      <t>ヒ</t>
    </rPh>
    <rPh sb="2" eb="3">
      <t>メ</t>
    </rPh>
    <phoneticPr fontId="11"/>
  </si>
  <si>
    <t>3日目</t>
    <rPh sb="1" eb="2">
      <t>ヒ</t>
    </rPh>
    <rPh sb="2" eb="3">
      <t>メ</t>
    </rPh>
    <phoneticPr fontId="11"/>
  </si>
  <si>
    <t>2日目</t>
    <rPh sb="1" eb="2">
      <t>ヒ</t>
    </rPh>
    <rPh sb="2" eb="3">
      <t>メ</t>
    </rPh>
    <phoneticPr fontId="11"/>
  </si>
  <si>
    <t>8日目</t>
    <rPh sb="1" eb="3">
      <t>ヒメ</t>
    </rPh>
    <phoneticPr fontId="11"/>
  </si>
  <si>
    <t>meviy</t>
    <phoneticPr fontId="11"/>
  </si>
  <si>
    <t>SCB4-6</t>
    <phoneticPr fontId="11"/>
  </si>
  <si>
    <t>SCB4-14</t>
    <phoneticPr fontId="11"/>
  </si>
  <si>
    <t>3日目</t>
    <rPh sb="1" eb="3">
      <t>ヒメ</t>
    </rPh>
    <phoneticPr fontId="11"/>
  </si>
  <si>
    <t>見積もり、発注お願い致します。</t>
    <rPh sb="0" eb="2">
      <t>ミツ</t>
    </rPh>
    <rPh sb="5" eb="7">
      <t>ハッチュウ</t>
    </rPh>
    <rPh sb="8" eb="9">
      <t>ネガ</t>
    </rPh>
    <rPh sb="10" eb="11">
      <t>イタ</t>
    </rPh>
    <phoneticPr fontId="10"/>
  </si>
  <si>
    <t>CBDR8-5</t>
    <phoneticPr fontId="10"/>
  </si>
  <si>
    <t>E-GNHXCC8-3</t>
    <phoneticPr fontId="10"/>
  </si>
  <si>
    <t>PSSFGW8-67-M5-N5</t>
    <phoneticPr fontId="10"/>
  </si>
  <si>
    <t>PSSFGW10-69-M5-N5-FC10-A10</t>
    <phoneticPr fontId="10"/>
  </si>
  <si>
    <t>SBGSE6900ZZ</t>
    <phoneticPr fontId="10"/>
  </si>
  <si>
    <t>SBPPS3-20</t>
    <phoneticPr fontId="10"/>
  </si>
  <si>
    <t>SBPPS4-20</t>
    <phoneticPr fontId="10"/>
  </si>
  <si>
    <t>SBPPS5-20</t>
    <phoneticPr fontId="10"/>
  </si>
  <si>
    <t>SCCAW10-8</t>
    <phoneticPr fontId="10"/>
  </si>
  <si>
    <t>SKNTR3</t>
    <phoneticPr fontId="10"/>
  </si>
  <si>
    <t>SKNTR4</t>
    <phoneticPr fontId="10"/>
  </si>
  <si>
    <t>SLHFSS8</t>
    <phoneticPr fontId="10"/>
  </si>
  <si>
    <t>STHRT10M-MB</t>
    <phoneticPr fontId="10"/>
  </si>
  <si>
    <t>UWANSM10-100</t>
    <phoneticPr fontId="10"/>
  </si>
  <si>
    <t>VUR8-45</t>
    <phoneticPr fontId="10"/>
  </si>
  <si>
    <t>WSSS13-10-5</t>
    <phoneticPr fontId="10"/>
  </si>
  <si>
    <t>MS3-10</t>
    <phoneticPr fontId="10"/>
  </si>
  <si>
    <t>ｼﾃﾝﾋﾟﾝ(CBDBL)</t>
    <phoneticPr fontId="10"/>
  </si>
  <si>
    <t>ｲﾁｷﾞﾒﾋﾟﾝ FPTNA</t>
    <phoneticPr fontId="10"/>
  </si>
  <si>
    <t>SUSﾊﾝﾖｳｼｬﾌﾄ PSSFGW</t>
    <phoneticPr fontId="10"/>
  </si>
  <si>
    <t>ﾍﾞｱﾘﾝｸﾞﾎﾙﾀﾞｾｯﾄ (SBGSE)</t>
    <phoneticPr fontId="10"/>
  </si>
  <si>
    <t>ｾｯﾄｶﾗｰ SCCAW</t>
    <phoneticPr fontId="10"/>
  </si>
  <si>
    <t>ﾘﾆｱﾌﾞｯｼｭ SLHFSS</t>
    <phoneticPr fontId="10"/>
  </si>
  <si>
    <t>ｼｬﾌﾄﾎﾙﾀﾞ(STHRT)</t>
    <phoneticPr fontId="10"/>
  </si>
  <si>
    <t>ﾄｯﾃｵﾈｼﾞﾀｲﾌﾟ UWANSM</t>
    <phoneticPr fontId="10"/>
  </si>
  <si>
    <t>ｱｯｼｭｸﾊﾞﾈ UR UY</t>
    <phoneticPr fontId="10"/>
  </si>
  <si>
    <t>ｷﾝｿﾞｸﾜｯｼｬ SUS (WSSS)</t>
    <phoneticPr fontId="10"/>
  </si>
  <si>
    <t>①②</t>
    <phoneticPr fontId="10"/>
  </si>
  <si>
    <t>SETB-0254-A01 JR3404+SV97+ｼﾘﾝｼﾞ+チルドモーター+捨て射ち+配電BOX  20250213</t>
    <phoneticPr fontId="10"/>
  </si>
  <si>
    <t>TDK株式会社様</t>
    <rPh sb="3" eb="7">
      <t>カブシキガイシャ</t>
    </rPh>
    <rPh sb="7" eb="8">
      <t>サマ</t>
    </rPh>
    <phoneticPr fontId="10"/>
  </si>
  <si>
    <t>岸</t>
    <rPh sb="0" eb="1">
      <t>キシ</t>
    </rPh>
    <phoneticPr fontId="10"/>
  </si>
  <si>
    <t>GEAS1.0-34-10-B-10</t>
    <phoneticPr fontId="10"/>
  </si>
  <si>
    <t>WSSS15-5-2</t>
    <phoneticPr fontId="10"/>
  </si>
  <si>
    <t>PSSFGW10-60-M5-N5-WRC4-Y12</t>
    <phoneticPr fontId="10"/>
  </si>
  <si>
    <t>RHL4-M6</t>
    <phoneticPr fontId="10"/>
  </si>
  <si>
    <t>RHC4-M6</t>
    <phoneticPr fontId="10"/>
  </si>
  <si>
    <t>ﾋﾗﾊｸﾞﾙﾏ (GEAKS1.0)</t>
    <phoneticPr fontId="10"/>
  </si>
  <si>
    <t>ﾊｲﾛｰﾀﾘｰｼﾞｮｲﾝﾄ RHL</t>
    <phoneticPr fontId="10"/>
  </si>
  <si>
    <t>ﾊｲﾛｰﾀﾘｰｼﾞｮｲﾝﾄ RHC</t>
    <phoneticPr fontId="10"/>
  </si>
  <si>
    <t>日本ピスコ</t>
    <rPh sb="0" eb="2">
      <t>ニホン</t>
    </rPh>
    <phoneticPr fontId="10"/>
  </si>
  <si>
    <t>SETB0254-Ｘ07　右側軸受けﾍﾞｱﾘﾝｸﾞﾌﾞﾗｹｯﾄ</t>
    <rPh sb="13" eb="14">
      <t>ミギ</t>
    </rPh>
    <rPh sb="14" eb="15">
      <t>ガワ</t>
    </rPh>
    <rPh sb="15" eb="17">
      <t>ジクウ</t>
    </rPh>
    <phoneticPr fontId="10"/>
  </si>
  <si>
    <t>SETB0254-Ｘ09　回転軸吸着用 右側</t>
    <rPh sb="20" eb="21">
      <t>ミギ</t>
    </rPh>
    <phoneticPr fontId="10"/>
  </si>
  <si>
    <t>SETB0254-Ｘ13　回転軸吸着用 左側</t>
    <phoneticPr fontId="10"/>
  </si>
  <si>
    <t>MVBLK-AMW-44K-JTK9U</t>
    <phoneticPr fontId="10"/>
  </si>
  <si>
    <t>MVTUP-SUN-44K-S59SY</t>
    <phoneticPr fontId="10"/>
  </si>
  <si>
    <t>MVTUP-SUN-44K-9M679</t>
    <phoneticPr fontId="10"/>
  </si>
  <si>
    <t>CBSST5-12</t>
    <phoneticPr fontId="10"/>
  </si>
  <si>
    <t>SCB4-8</t>
    <phoneticPr fontId="11"/>
  </si>
  <si>
    <t>六角穴付きﾎﾞﾙﾄ　M4×14mm　　　　4本</t>
    <rPh sb="22" eb="23">
      <t>ホン</t>
    </rPh>
    <phoneticPr fontId="11"/>
  </si>
  <si>
    <t>SCB5-10</t>
    <phoneticPr fontId="10"/>
  </si>
  <si>
    <t>ﾛｯｶｸｱﾅﾂｷﾎﾞﾙﾄ(SCB)　1本</t>
    <rPh sb="19" eb="20">
      <t>ホン</t>
    </rPh>
    <phoneticPr fontId="10"/>
  </si>
  <si>
    <t xml:space="preserve"> ノックピン　4本</t>
    <rPh sb="8" eb="9">
      <t>ホン</t>
    </rPh>
    <phoneticPr fontId="10"/>
  </si>
  <si>
    <t>カップリング　オルダム形セットスクリュータイプ</t>
    <phoneticPr fontId="10"/>
  </si>
  <si>
    <t>ﾜｰｸ治具　（ﾜｰｸ受け）</t>
    <rPh sb="3" eb="5">
      <t>ジグ</t>
    </rPh>
    <rPh sb="10" eb="11">
      <t>ウ</t>
    </rPh>
    <phoneticPr fontId="11"/>
  </si>
  <si>
    <t>LD　TYPE用</t>
    <rPh sb="7" eb="8">
      <t>ヨウ</t>
    </rPh>
    <phoneticPr fontId="10"/>
  </si>
  <si>
    <t>SETB0254-Ｘ14　LD　TYPE用ﾜｰｸ受け</t>
    <phoneticPr fontId="10"/>
  </si>
  <si>
    <t>MVTUP-FSW-44K-1EU16</t>
    <phoneticPr fontId="10"/>
  </si>
  <si>
    <t>【エコノミーシリーズ】 RoHS対応 マグネット 皿ボルト止め 丸タイプ</t>
    <phoneticPr fontId="10"/>
  </si>
  <si>
    <t>PIJF6-3-45</t>
    <phoneticPr fontId="10"/>
  </si>
  <si>
    <t>PIJF6-4-45</t>
    <phoneticPr fontId="10"/>
  </si>
  <si>
    <t>樹脂パイプ　-内外形仕上タイプ-</t>
    <phoneticPr fontId="10"/>
  </si>
  <si>
    <t>SETB0254-Ｘ15　CD　TYPE用ﾜｰｸ受け</t>
    <phoneticPr fontId="10"/>
  </si>
  <si>
    <t>CD　TYPE用</t>
    <rPh sb="7" eb="8">
      <t>ヨウ</t>
    </rPh>
    <phoneticPr fontId="10"/>
  </si>
  <si>
    <t>WRBAA10-6-3</t>
    <phoneticPr fontId="10"/>
  </si>
  <si>
    <t>WRBAA15-10-3</t>
    <phoneticPr fontId="10"/>
  </si>
  <si>
    <t>ゴムワッシャ</t>
    <phoneticPr fontId="10"/>
  </si>
  <si>
    <t>M3　TYPE用</t>
    <rPh sb="7" eb="8">
      <t>ヨウ</t>
    </rPh>
    <phoneticPr fontId="10"/>
  </si>
  <si>
    <t>SETB0254-X16　M3　TYPE用ﾜｰｸ受け　左側</t>
    <rPh sb="27" eb="28">
      <t>ヒダリ</t>
    </rPh>
    <rPh sb="28" eb="29">
      <t>ガワ</t>
    </rPh>
    <phoneticPr fontId="10"/>
  </si>
  <si>
    <t>SETB0254-X17　M3　TYPE用ﾜｰｸ受け　右側</t>
    <rPh sb="27" eb="29">
      <t>ミギガワ</t>
    </rPh>
    <phoneticPr fontId="10"/>
  </si>
  <si>
    <t>六角穴付止めねじ　ソフトタイプ</t>
    <phoneticPr fontId="10"/>
  </si>
  <si>
    <t>ナット－単品販売－</t>
    <phoneticPr fontId="10"/>
  </si>
  <si>
    <t>SETB0254-X18　M4　φ8　TYPE用ﾜｰｸ受け　左側</t>
    <rPh sb="30" eb="31">
      <t>ヒダリ</t>
    </rPh>
    <rPh sb="31" eb="32">
      <t>ガワ</t>
    </rPh>
    <phoneticPr fontId="10"/>
  </si>
  <si>
    <t>SETB0254-X19　M4　φ8　TYPE用ﾜｰｸ受け　右側</t>
    <rPh sb="30" eb="32">
      <t>ミギガワ</t>
    </rPh>
    <phoneticPr fontId="10"/>
  </si>
  <si>
    <t>M4　φ8　TYPE用</t>
    <rPh sb="10" eb="11">
      <t>ヨウ</t>
    </rPh>
    <phoneticPr fontId="10"/>
  </si>
  <si>
    <t>SETB0254-X20　M4　φ10　TYPE用ﾜｰｸ受け　左側</t>
    <rPh sb="31" eb="32">
      <t>ヒダリ</t>
    </rPh>
    <rPh sb="32" eb="33">
      <t>ガワ</t>
    </rPh>
    <phoneticPr fontId="10"/>
  </si>
  <si>
    <t>SETB0254-X21　M4　φ10　TYPE用ﾜｰｸ受け　右側</t>
    <rPh sb="31" eb="33">
      <t>ミギガワ</t>
    </rPh>
    <phoneticPr fontId="10"/>
  </si>
  <si>
    <t>M4　φ10　TYPE用</t>
    <rPh sb="11" eb="12">
      <t>ヨウ</t>
    </rPh>
    <phoneticPr fontId="10"/>
  </si>
  <si>
    <t>SETB0254-X22　M5　φ15　6.5　TYPE用ﾜｰｸ受け　左側</t>
    <rPh sb="35" eb="36">
      <t>ヒダリ</t>
    </rPh>
    <rPh sb="36" eb="37">
      <t>ガワ</t>
    </rPh>
    <phoneticPr fontId="10"/>
  </si>
  <si>
    <t>M5　φ15　6.5　TYPE用</t>
    <rPh sb="15" eb="16">
      <t>ヨウ</t>
    </rPh>
    <phoneticPr fontId="10"/>
  </si>
  <si>
    <t>M5　φ15　3種類共通　TYPE用</t>
    <rPh sb="8" eb="10">
      <t>シュルイ</t>
    </rPh>
    <rPh sb="10" eb="12">
      <t>キョウツウ</t>
    </rPh>
    <rPh sb="17" eb="18">
      <t>ヨウ</t>
    </rPh>
    <phoneticPr fontId="10"/>
  </si>
  <si>
    <t>SETB0254-X23　M5　φ15　3種類共通　TYPE用ﾜｰｸ受け　右側</t>
    <rPh sb="21" eb="23">
      <t>シュルイ</t>
    </rPh>
    <rPh sb="23" eb="25">
      <t>キョウツウ</t>
    </rPh>
    <rPh sb="37" eb="39">
      <t>ミギガワ</t>
    </rPh>
    <phoneticPr fontId="10"/>
  </si>
  <si>
    <t>M5　φ15　5.9　TYPE用</t>
    <rPh sb="15" eb="16">
      <t>ヨウ</t>
    </rPh>
    <phoneticPr fontId="10"/>
  </si>
  <si>
    <t>M5　φ15　8.8　TYPE用</t>
    <rPh sb="15" eb="16">
      <t>ヨウ</t>
    </rPh>
    <phoneticPr fontId="10"/>
  </si>
  <si>
    <t>SETB0254-X24　M5　φ15　5.9　TYPE用ﾜｰｸ受け　左側</t>
    <rPh sb="35" eb="36">
      <t>ヒダリ</t>
    </rPh>
    <rPh sb="36" eb="37">
      <t>ガワ</t>
    </rPh>
    <phoneticPr fontId="10"/>
  </si>
  <si>
    <t>SETB0254-X25　M5　φ15　8.8　TYPE用ﾜｰｸ受け　左側</t>
    <rPh sb="35" eb="36">
      <t>ヒダリ</t>
    </rPh>
    <rPh sb="36" eb="37">
      <t>ガワ</t>
    </rPh>
    <phoneticPr fontId="10"/>
  </si>
  <si>
    <t>SETB0254-X26　CD39T11　上下塗布用</t>
    <rPh sb="21" eb="23">
      <t>ジョウゲ</t>
    </rPh>
    <rPh sb="23" eb="25">
      <t>トフ</t>
    </rPh>
    <rPh sb="25" eb="26">
      <t>ヨウ</t>
    </rPh>
    <phoneticPr fontId="10"/>
  </si>
  <si>
    <t>CD39T11　上下塗布用</t>
    <phoneticPr fontId="10"/>
  </si>
  <si>
    <t>MVTUP-FSW-44K-ALYJS</t>
    <phoneticPr fontId="10"/>
  </si>
  <si>
    <t>MVTUP-FSW-44K-6UN9C</t>
    <phoneticPr fontId="10"/>
  </si>
  <si>
    <t>MVTUP-FSW-44K-S64FY</t>
    <phoneticPr fontId="10"/>
  </si>
  <si>
    <t>SETB0254-X27　実験用右側共通</t>
    <rPh sb="13" eb="15">
      <t>ジッケン</t>
    </rPh>
    <rPh sb="15" eb="16">
      <t>ヨウ</t>
    </rPh>
    <rPh sb="16" eb="18">
      <t>ミギガワ</t>
    </rPh>
    <rPh sb="18" eb="20">
      <t>キョウツウ</t>
    </rPh>
    <phoneticPr fontId="10"/>
  </si>
  <si>
    <t>実験用右側共通</t>
    <phoneticPr fontId="10"/>
  </si>
  <si>
    <t>MVTUP-FSW-44K-JK14F</t>
    <phoneticPr fontId="10"/>
  </si>
  <si>
    <t>SKNTR5</t>
    <phoneticPr fontId="10"/>
  </si>
  <si>
    <t>MVTUP-FSW-44L-845PU</t>
    <phoneticPr fontId="10"/>
  </si>
  <si>
    <t>MVTUP-FSW-44L-PZGXX</t>
    <phoneticPr fontId="10"/>
  </si>
  <si>
    <t>MVTUP-FSW-44L-FJYYL</t>
    <phoneticPr fontId="10"/>
  </si>
  <si>
    <t>SETB0254-X28　実験用 ﾜｰｸﾍﾞｰｽ</t>
    <phoneticPr fontId="10"/>
  </si>
  <si>
    <t>SETB0254-X29　実験用 ﾓﾀｰ受けﾍﾞｰｽ</t>
    <phoneticPr fontId="10"/>
  </si>
  <si>
    <t>SETB0254-X32　実験用　右側軸受けﾌﾞﾗｹｯﾄ</t>
    <phoneticPr fontId="10"/>
  </si>
  <si>
    <t>SETB0254-X31　実験用　ﾓﾀｰ軸受け　補強</t>
    <phoneticPr fontId="10"/>
  </si>
  <si>
    <t>SETB0254-X30　実験用　ﾓﾀｰ軸受け</t>
    <phoneticPr fontId="10"/>
  </si>
  <si>
    <t>SETB0254-X33　実験用　右側軸受けﾌﾞﾗｹｯﾄ　補強</t>
    <rPh sb="29" eb="31">
      <t>ホキョウ</t>
    </rPh>
    <phoneticPr fontId="10"/>
  </si>
  <si>
    <t>MVSHM-3N03052-44M-ZKUC5</t>
    <phoneticPr fontId="10"/>
  </si>
  <si>
    <t>MVSHM-3N03052-44M-8F8TP</t>
    <phoneticPr fontId="10"/>
  </si>
  <si>
    <t>MVSHM-3N03052-44M-9S961</t>
    <phoneticPr fontId="10"/>
  </si>
  <si>
    <t>MVSHM-3N03056-44M-8CADE</t>
    <phoneticPr fontId="10"/>
  </si>
  <si>
    <t>MVSHM-3N03056-44M-5UNAS</t>
    <phoneticPr fontId="10"/>
  </si>
  <si>
    <t>MVSHM-3N03002-44M-KA71Z</t>
    <phoneticPr fontId="10"/>
  </si>
  <si>
    <t>MS3-8</t>
    <phoneticPr fontId="10"/>
  </si>
  <si>
    <t>六角穴付きﾎﾞﾙﾄ　M4×8mm　　　　6本</t>
    <rPh sb="21" eb="22">
      <t>ホン</t>
    </rPh>
    <phoneticPr fontId="11"/>
  </si>
  <si>
    <t>MCOC30-8-10</t>
    <phoneticPr fontId="10"/>
  </si>
  <si>
    <t>SCB4-12</t>
    <phoneticPr fontId="11"/>
  </si>
  <si>
    <t>六角穴付きﾎﾞﾙﾄ　M4×6mm　　　　4本</t>
    <rPh sb="21" eb="22">
      <t>ホン</t>
    </rPh>
    <phoneticPr fontId="11"/>
  </si>
  <si>
    <t>六角穴付きﾎﾞﾙﾄ　M4×12mm　　　　4本</t>
    <rPh sb="22" eb="23">
      <t>ホン</t>
    </rPh>
    <phoneticPr fontId="11"/>
  </si>
  <si>
    <t xml:space="preserve"> ノックピン　　　4本×2</t>
    <phoneticPr fontId="10"/>
  </si>
  <si>
    <t>六角穴付きﾎﾞﾙﾄ　M4×6mm　　　　2本×2</t>
    <rPh sb="21" eb="22">
      <t>ホン</t>
    </rPh>
    <phoneticPr fontId="11"/>
  </si>
  <si>
    <t>SFB4-8</t>
    <phoneticPr fontId="11"/>
  </si>
  <si>
    <t>六角穴付きﾎﾞﾙﾄ　M4×12mm　　　　4本×2</t>
    <rPh sb="22" eb="23">
      <t>ホン</t>
    </rPh>
    <phoneticPr fontId="11"/>
  </si>
  <si>
    <t>CSMKN-SUS-M4-6</t>
    <phoneticPr fontId="10"/>
  </si>
  <si>
    <t xml:space="preserve"> ノックピン　　　8本</t>
    <phoneticPr fontId="10"/>
  </si>
  <si>
    <t>SCB3-6</t>
    <phoneticPr fontId="10"/>
  </si>
  <si>
    <t>SFB4-8</t>
    <phoneticPr fontId="10"/>
  </si>
  <si>
    <t>FPTNA4-P2.98-L0-B3.5</t>
    <phoneticPr fontId="10"/>
  </si>
  <si>
    <t>実験用　ﾜｰｸ治具</t>
    <rPh sb="0" eb="3">
      <t>ジッケンヨウ</t>
    </rPh>
    <rPh sb="7" eb="9">
      <t>ジグ</t>
    </rPh>
    <phoneticPr fontId="11"/>
  </si>
  <si>
    <t>ﾛｯｶｸｱﾅﾂｷﾎﾞﾙﾄ(SCB)　　4本×2</t>
    <rPh sb="20" eb="21">
      <t>ホン</t>
    </rPh>
    <phoneticPr fontId="10"/>
  </si>
  <si>
    <t>低頭六角穴付ボルト　4本</t>
    <rPh sb="11" eb="12">
      <t>ホン</t>
    </rPh>
    <phoneticPr fontId="10"/>
  </si>
  <si>
    <t>SUMCO</t>
    <phoneticPr fontId="10"/>
  </si>
  <si>
    <t>すり割り付 ローレットビス</t>
    <phoneticPr fontId="10"/>
  </si>
  <si>
    <t xml:space="preserve"> ノックピン　　4本</t>
    <phoneticPr fontId="10"/>
  </si>
  <si>
    <t xml:space="preserve"> ノックピン　27本+4本+8本+8本+4本</t>
    <rPh sb="9" eb="10">
      <t>ホン</t>
    </rPh>
    <phoneticPr fontId="10"/>
  </si>
  <si>
    <t>六角穴付皿ボルト　－ステンレス　　4本</t>
    <phoneticPr fontId="10"/>
  </si>
  <si>
    <t>六角穴付き皿ﾎﾞﾙﾄ　M4×8mm　　　　2本×2+　4本</t>
    <rPh sb="5" eb="6">
      <t>サラ</t>
    </rPh>
    <rPh sb="22" eb="23">
      <t>ホン</t>
    </rPh>
    <phoneticPr fontId="11"/>
  </si>
  <si>
    <t>Ｎo.222745</t>
    <phoneticPr fontId="10"/>
  </si>
  <si>
    <t>①</t>
    <phoneticPr fontId="10"/>
  </si>
  <si>
    <t xml:space="preserve">
AB24211371</t>
    <phoneticPr fontId="10"/>
  </si>
  <si>
    <t>10日目</t>
    <rPh sb="2" eb="3">
      <t>ヒ</t>
    </rPh>
    <rPh sb="3" eb="4">
      <t>メ</t>
    </rPh>
    <phoneticPr fontId="10"/>
  </si>
  <si>
    <t>FPTNA4-P2.98-L0-B3.5-NNC</t>
    <phoneticPr fontId="10"/>
  </si>
  <si>
    <t>AB2429BAG6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</si>
</sst>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21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2"/>
      <color theme="9" tint="-0.249977111117893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4"/>
      <color theme="9" tint="-0.249977111117893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5" xfId="0" applyNumberFormat="1" applyBorder="1" applyAlignment="1"/>
    <xf numFmtId="0" fontId="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38" fontId="15" fillId="0" borderId="5" xfId="0" applyNumberFormat="1" applyFont="1" applyBorder="1" applyAlignment="1">
      <alignment horizontal="center" vertical="center"/>
    </xf>
    <xf numFmtId="3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5" fillId="0" borderId="5" xfId="0" applyFont="1" applyBorder="1">
      <alignment vertical="center"/>
    </xf>
    <xf numFmtId="0" fontId="15" fillId="0" borderId="6" xfId="0" applyFont="1" applyBorder="1" applyAlignment="1">
      <alignment horizontal="center" vertical="center"/>
    </xf>
    <xf numFmtId="176" fontId="14" fillId="7" borderId="5" xfId="0" applyNumberFormat="1" applyFont="1" applyFill="1" applyBorder="1" applyAlignment="1">
      <alignment horizontal="center" vertical="center"/>
    </xf>
    <xf numFmtId="3" fontId="15" fillId="5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shrinkToFit="1"/>
    </xf>
    <xf numFmtId="3" fontId="0" fillId="9" borderId="5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38" fontId="15" fillId="6" borderId="5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18" fillId="0" borderId="0" xfId="0" applyFont="1">
      <alignment vertical="center"/>
    </xf>
    <xf numFmtId="0" fontId="9" fillId="0" borderId="5" xfId="0" applyFont="1" applyBorder="1" applyAlignment="1">
      <alignment vertical="center" shrinkToFit="1"/>
    </xf>
    <xf numFmtId="176" fontId="0" fillId="0" borderId="4" xfId="0" applyNumberFormat="1" applyBorder="1" applyAlignment="1"/>
    <xf numFmtId="0" fontId="9" fillId="0" borderId="5" xfId="0" applyFont="1" applyBorder="1" applyAlignment="1">
      <alignment horizontal="center" vertical="center"/>
    </xf>
    <xf numFmtId="176" fontId="0" fillId="10" borderId="4" xfId="0" applyNumberForma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shrinkToFit="1"/>
    </xf>
    <xf numFmtId="0" fontId="9" fillId="10" borderId="5" xfId="0" applyFont="1" applyFill="1" applyBorder="1" applyAlignment="1">
      <alignment vertical="center" shrinkToFit="1"/>
    </xf>
    <xf numFmtId="176" fontId="0" fillId="10" borderId="1" xfId="0" applyNumberForma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shrinkToFit="1"/>
    </xf>
    <xf numFmtId="0" fontId="0" fillId="12" borderId="5" xfId="0" applyFill="1" applyBorder="1" applyAlignment="1">
      <alignment horizontal="center" vertical="center"/>
    </xf>
    <xf numFmtId="0" fontId="15" fillId="10" borderId="5" xfId="0" applyFont="1" applyFill="1" applyBorder="1">
      <alignment vertical="center"/>
    </xf>
    <xf numFmtId="0" fontId="15" fillId="10" borderId="6" xfId="0" applyFont="1" applyFill="1" applyBorder="1" applyAlignment="1">
      <alignment horizontal="center" vertical="center"/>
    </xf>
    <xf numFmtId="176" fontId="0" fillId="10" borderId="3" xfId="0" applyNumberFormat="1" applyFill="1" applyBorder="1" applyAlignment="1">
      <alignment horizontal="center" vertical="center"/>
    </xf>
    <xf numFmtId="38" fontId="15" fillId="10" borderId="5" xfId="0" applyNumberFormat="1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3" fontId="9" fillId="10" borderId="5" xfId="0" applyNumberFormat="1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vertical="center" shrinkToFit="1"/>
    </xf>
    <xf numFmtId="176" fontId="13" fillId="11" borderId="4" xfId="0" applyNumberFormat="1" applyFont="1" applyFill="1" applyBorder="1" applyAlignment="1">
      <alignment horizontal="center" vertical="center"/>
    </xf>
    <xf numFmtId="176" fontId="13" fillId="11" borderId="1" xfId="0" applyNumberFormat="1" applyFont="1" applyFill="1" applyBorder="1" applyAlignment="1">
      <alignment horizontal="center" vertical="center"/>
    </xf>
    <xf numFmtId="38" fontId="13" fillId="11" borderId="5" xfId="0" applyNumberFormat="1" applyFont="1" applyFill="1" applyBorder="1" applyAlignment="1">
      <alignment horizontal="center" vertical="center"/>
    </xf>
    <xf numFmtId="176" fontId="13" fillId="11" borderId="1" xfId="0" applyNumberFormat="1" applyFont="1" applyFill="1" applyBorder="1" applyAlignment="1"/>
    <xf numFmtId="0" fontId="13" fillId="11" borderId="1" xfId="0" applyFont="1" applyFill="1" applyBorder="1" applyAlignment="1">
      <alignment horizontal="left" vertical="center" shrinkToFit="1"/>
    </xf>
    <xf numFmtId="176" fontId="9" fillId="6" borderId="4" xfId="0" applyNumberFormat="1" applyFont="1" applyFill="1" applyBorder="1" applyAlignment="1">
      <alignment horizontal="center" vertical="center"/>
    </xf>
    <xf numFmtId="176" fontId="0" fillId="13" borderId="1" xfId="0" applyNumberFormat="1" applyFill="1" applyBorder="1" applyAlignment="1">
      <alignment horizontal="center" vertical="center"/>
    </xf>
    <xf numFmtId="38" fontId="15" fillId="13" borderId="5" xfId="0" applyNumberFormat="1" applyFont="1" applyFill="1" applyBorder="1" applyAlignment="1">
      <alignment horizontal="center" vertical="center"/>
    </xf>
    <xf numFmtId="176" fontId="0" fillId="13" borderId="3" xfId="0" applyNumberFormat="1" applyFill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 shrinkToFit="1"/>
    </xf>
    <xf numFmtId="3" fontId="14" fillId="3" borderId="6" xfId="0" applyNumberFormat="1" applyFont="1" applyFill="1" applyBorder="1" applyAlignment="1">
      <alignment horizontal="center" vertical="center"/>
    </xf>
    <xf numFmtId="3" fontId="14" fillId="3" borderId="8" xfId="0" applyNumberFormat="1" applyFont="1" applyFill="1" applyBorder="1" applyAlignment="1">
      <alignment horizontal="center" vertical="center"/>
    </xf>
    <xf numFmtId="3" fontId="14" fillId="3" borderId="7" xfId="0" applyNumberFormat="1" applyFont="1" applyFill="1" applyBorder="1" applyAlignment="1">
      <alignment horizontal="center" vertical="center"/>
    </xf>
    <xf numFmtId="3" fontId="14" fillId="12" borderId="6" xfId="0" applyNumberFormat="1" applyFont="1" applyFill="1" applyBorder="1" applyAlignment="1">
      <alignment horizontal="center" vertical="center"/>
    </xf>
    <xf numFmtId="3" fontId="14" fillId="12" borderId="8" xfId="0" applyNumberFormat="1" applyFont="1" applyFill="1" applyBorder="1" applyAlignment="1">
      <alignment horizontal="center" vertical="center"/>
    </xf>
    <xf numFmtId="3" fontId="14" fillId="12" borderId="7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shrinkToFit="1"/>
    </xf>
    <xf numFmtId="0" fontId="16" fillId="0" borderId="9" xfId="0" applyFont="1" applyBorder="1" applyAlignment="1">
      <alignment horizontal="center" vertical="center"/>
    </xf>
    <xf numFmtId="0" fontId="9" fillId="14" borderId="5" xfId="0" applyFont="1" applyFill="1" applyBorder="1" applyAlignment="1">
      <alignment vertical="center" shrinkToFit="1"/>
    </xf>
    <xf numFmtId="176" fontId="0" fillId="14" borderId="4" xfId="0" applyNumberFormat="1" applyFill="1" applyBorder="1" applyAlignment="1">
      <alignment horizontal="center" vertical="center"/>
    </xf>
    <xf numFmtId="176" fontId="0" fillId="14" borderId="1" xfId="0" applyNumberFormat="1" applyFill="1" applyBorder="1" applyAlignment="1">
      <alignment horizontal="center" vertical="center"/>
    </xf>
    <xf numFmtId="38" fontId="15" fillId="14" borderId="5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B79F-F35F-4BF1-9DFB-6DB94E06FA04}">
  <sheetPr>
    <tabColor rgb="FF00B050"/>
  </sheetPr>
  <dimension ref="A2:R113"/>
  <sheetViews>
    <sheetView tabSelected="1" zoomScale="85" zoomScaleNormal="85" workbookViewId="0">
      <pane ySplit="10" topLeftCell="A83" activePane="bottomLeft" state="frozen"/>
      <selection pane="bottomLeft" activeCell="F100" sqref="F100"/>
    </sheetView>
  </sheetViews>
  <sheetFormatPr defaultColWidth="11.88671875" defaultRowHeight="13.5" customHeight="1" x14ac:dyDescent="0.2"/>
  <cols>
    <col min="1" max="1" width="8.44140625" customWidth="1"/>
    <col min="2" max="2" width="9.33203125" customWidth="1"/>
    <col min="3" max="3" width="6.109375" style="3" customWidth="1"/>
    <col min="4" max="4" width="15.109375" customWidth="1"/>
    <col min="5" max="5" width="15.44140625" customWidth="1"/>
    <col min="6" max="6" width="59.77734375" customWidth="1"/>
    <col min="7" max="7" width="10.88671875" style="3" customWidth="1"/>
    <col min="8" max="9" width="12.109375" style="3" customWidth="1"/>
    <col min="10" max="10" width="7.109375" style="12" customWidth="1"/>
    <col min="11" max="11" width="50.44140625" customWidth="1"/>
    <col min="12" max="12" width="38.44140625" customWidth="1"/>
    <col min="13" max="13" width="20.77734375" style="3" customWidth="1"/>
    <col min="14" max="14" width="17" style="3" customWidth="1"/>
    <col min="15" max="15" width="12.77734375" customWidth="1"/>
    <col min="16" max="16" width="16.33203125" style="3" customWidth="1"/>
    <col min="17" max="17" width="17.88671875" style="25" customWidth="1"/>
    <col min="18" max="18" width="19.33203125" style="25" customWidth="1"/>
  </cols>
  <sheetData>
    <row r="2" spans="1:18" ht="20.100000000000001" customHeight="1" x14ac:dyDescent="0.2">
      <c r="C2" s="87" t="s">
        <v>0</v>
      </c>
      <c r="D2" s="87"/>
      <c r="E2" s="87"/>
      <c r="F2" s="21" t="s">
        <v>65</v>
      </c>
      <c r="H2" s="88" t="s">
        <v>1</v>
      </c>
      <c r="I2" s="89"/>
      <c r="J2" s="90"/>
      <c r="K2" s="11">
        <f>SUM(I:I)</f>
        <v>224322</v>
      </c>
    </row>
    <row r="3" spans="1:18" ht="20.100000000000001" customHeight="1" x14ac:dyDescent="0.2">
      <c r="C3" s="87" t="s">
        <v>2</v>
      </c>
      <c r="D3" s="87"/>
      <c r="E3" s="87"/>
      <c r="F3" s="9" t="s">
        <v>66</v>
      </c>
    </row>
    <row r="4" spans="1:18" ht="20.100000000000001" customHeight="1" x14ac:dyDescent="0.2">
      <c r="C4" s="87" t="s">
        <v>3</v>
      </c>
      <c r="D4" s="87"/>
      <c r="E4" s="87"/>
      <c r="F4" s="9" t="s">
        <v>169</v>
      </c>
      <c r="H4" s="91" t="s">
        <v>64</v>
      </c>
      <c r="I4" s="91"/>
      <c r="J4" s="91"/>
      <c r="K4" s="91"/>
      <c r="L4" s="27"/>
    </row>
    <row r="5" spans="1:18" ht="20.100000000000001" customHeight="1" x14ac:dyDescent="0.2">
      <c r="C5" s="87" t="s">
        <v>4</v>
      </c>
      <c r="D5" s="87"/>
      <c r="E5" s="87"/>
      <c r="F5" s="10">
        <v>45762</v>
      </c>
      <c r="G5" s="92" t="s">
        <v>170</v>
      </c>
      <c r="H5" s="91"/>
      <c r="I5" s="91"/>
      <c r="J5" s="91"/>
      <c r="K5" s="91"/>
    </row>
    <row r="6" spans="1:18" ht="20.100000000000001" customHeight="1" x14ac:dyDescent="0.2">
      <c r="C6" s="87" t="s">
        <v>5</v>
      </c>
      <c r="D6" s="87"/>
      <c r="E6" s="87"/>
      <c r="F6" s="10">
        <v>45763</v>
      </c>
      <c r="G6" s="92"/>
      <c r="I6" s="28"/>
    </row>
    <row r="7" spans="1:18" ht="19.8" customHeight="1" x14ac:dyDescent="0.2">
      <c r="K7" s="77"/>
      <c r="L7" s="77"/>
    </row>
    <row r="8" spans="1:18" ht="16.8" customHeight="1" x14ac:dyDescent="0.2">
      <c r="K8" s="48"/>
    </row>
    <row r="10" spans="1:18" s="3" customFormat="1" ht="19.5" customHeight="1" x14ac:dyDescent="0.2">
      <c r="B10" s="32" t="s">
        <v>25</v>
      </c>
      <c r="C10" s="31" t="s">
        <v>6</v>
      </c>
      <c r="D10" s="4" t="s">
        <v>7</v>
      </c>
      <c r="E10" s="4" t="s">
        <v>8</v>
      </c>
      <c r="F10" s="1" t="s">
        <v>9</v>
      </c>
      <c r="G10" s="1" t="s">
        <v>10</v>
      </c>
      <c r="H10" s="1" t="s">
        <v>11</v>
      </c>
      <c r="I10" s="2" t="s">
        <v>12</v>
      </c>
      <c r="J10" s="2" t="s">
        <v>13</v>
      </c>
      <c r="K10" s="1" t="s">
        <v>14</v>
      </c>
      <c r="L10" s="1" t="s">
        <v>15</v>
      </c>
      <c r="M10" s="1" t="s">
        <v>16</v>
      </c>
      <c r="N10" s="14" t="s">
        <v>17</v>
      </c>
      <c r="O10" s="4" t="s">
        <v>18</v>
      </c>
      <c r="P10" s="1" t="s">
        <v>19</v>
      </c>
      <c r="Q10" s="14" t="s">
        <v>20</v>
      </c>
      <c r="R10" s="8" t="s">
        <v>21</v>
      </c>
    </row>
    <row r="11" spans="1:18" s="3" customFormat="1" ht="19.5" customHeight="1" x14ac:dyDescent="0.2">
      <c r="B11" s="22"/>
      <c r="C11" s="23"/>
      <c r="D11" s="23"/>
      <c r="E11" s="23"/>
      <c r="F11" s="30"/>
      <c r="G11" s="29"/>
      <c r="H11" s="18"/>
      <c r="I11" s="18"/>
      <c r="J11" s="13"/>
      <c r="K11" s="19"/>
      <c r="L11" s="1"/>
      <c r="M11" s="1"/>
      <c r="N11" s="14"/>
      <c r="O11" s="4"/>
      <c r="P11" s="2"/>
      <c r="Q11" s="33"/>
      <c r="R11" s="34"/>
    </row>
    <row r="12" spans="1:18" s="3" customFormat="1" ht="19.5" customHeight="1" x14ac:dyDescent="0.2">
      <c r="A12" s="51"/>
      <c r="B12" s="22"/>
      <c r="C12" s="23"/>
      <c r="D12" s="23"/>
      <c r="E12" s="23"/>
      <c r="F12" s="49"/>
      <c r="G12" s="29"/>
      <c r="H12" s="18"/>
      <c r="I12" s="35"/>
      <c r="J12" s="13"/>
      <c r="K12" s="19"/>
      <c r="L12" s="1"/>
      <c r="M12" s="1"/>
      <c r="N12" s="14"/>
      <c r="O12" s="4"/>
      <c r="P12" s="2"/>
      <c r="Q12" s="33"/>
      <c r="R12" s="34"/>
    </row>
    <row r="13" spans="1:18" s="3" customFormat="1" ht="19.5" customHeight="1" x14ac:dyDescent="0.2">
      <c r="A13" s="51"/>
      <c r="B13" s="22"/>
      <c r="C13" s="23"/>
      <c r="D13" s="78" t="s">
        <v>89</v>
      </c>
      <c r="E13" s="79"/>
      <c r="F13" s="80"/>
      <c r="G13" s="29"/>
      <c r="H13" s="18"/>
      <c r="I13" s="35"/>
      <c r="J13" s="13"/>
      <c r="K13" s="19"/>
      <c r="L13" s="1"/>
      <c r="M13" s="1"/>
      <c r="N13" s="14"/>
      <c r="O13" s="4"/>
      <c r="P13" s="2"/>
      <c r="Q13" s="33"/>
      <c r="R13" s="34"/>
    </row>
    <row r="14" spans="1:18" s="3" customFormat="1" ht="19.5" customHeight="1" x14ac:dyDescent="0.2">
      <c r="A14" s="56" t="s">
        <v>30</v>
      </c>
      <c r="B14" s="58"/>
      <c r="C14" s="43">
        <f t="shared" ref="C14" si="0">+C13+1</f>
        <v>1</v>
      </c>
      <c r="D14" s="43" t="s">
        <v>31</v>
      </c>
      <c r="E14" s="36" t="s">
        <v>26</v>
      </c>
      <c r="F14" s="54" t="s">
        <v>92</v>
      </c>
      <c r="G14" s="52">
        <v>2</v>
      </c>
      <c r="H14" s="55">
        <v>9256</v>
      </c>
      <c r="I14" s="46">
        <f t="shared" ref="I14:I17" si="1">G14*H14</f>
        <v>18512</v>
      </c>
      <c r="J14" s="13"/>
      <c r="K14" s="53" t="s">
        <v>91</v>
      </c>
      <c r="L14" s="42" t="s">
        <v>90</v>
      </c>
      <c r="M14" s="76" t="s">
        <v>171</v>
      </c>
      <c r="N14" s="14">
        <v>45749</v>
      </c>
      <c r="O14" s="4"/>
      <c r="P14" s="75">
        <v>45762</v>
      </c>
      <c r="Q14" s="33">
        <v>45763</v>
      </c>
      <c r="R14" s="34"/>
    </row>
    <row r="15" spans="1:18" s="3" customFormat="1" ht="19.5" customHeight="1" x14ac:dyDescent="0.2">
      <c r="A15" s="44" t="s">
        <v>27</v>
      </c>
      <c r="B15" s="58"/>
      <c r="C15" s="43">
        <f>+C14+1</f>
        <v>2</v>
      </c>
      <c r="D15" s="41" t="s">
        <v>26</v>
      </c>
      <c r="E15" s="41" t="s">
        <v>26</v>
      </c>
      <c r="F15" s="54" t="s">
        <v>37</v>
      </c>
      <c r="G15" s="52">
        <v>8</v>
      </c>
      <c r="H15" s="55">
        <v>104</v>
      </c>
      <c r="I15" s="46">
        <f t="shared" si="1"/>
        <v>832</v>
      </c>
      <c r="J15" s="13"/>
      <c r="K15" s="42" t="s">
        <v>93</v>
      </c>
      <c r="L15" s="1"/>
      <c r="M15" s="76" t="s">
        <v>171</v>
      </c>
      <c r="N15" s="14">
        <v>45749</v>
      </c>
      <c r="O15" s="4"/>
      <c r="P15" s="75">
        <v>45762</v>
      </c>
      <c r="Q15" s="33">
        <v>45763</v>
      </c>
      <c r="R15" s="34"/>
    </row>
    <row r="16" spans="1:18" s="3" customFormat="1" ht="19.5" customHeight="1" x14ac:dyDescent="0.2">
      <c r="A16" s="44" t="s">
        <v>29</v>
      </c>
      <c r="B16" s="58"/>
      <c r="C16" s="43">
        <f t="shared" ref="C16:C17" si="2">+C15+1</f>
        <v>3</v>
      </c>
      <c r="D16" s="41" t="s">
        <v>26</v>
      </c>
      <c r="E16" s="41" t="s">
        <v>26</v>
      </c>
      <c r="F16" s="54" t="s">
        <v>94</v>
      </c>
      <c r="G16" s="52">
        <v>2</v>
      </c>
      <c r="H16" s="72">
        <v>737</v>
      </c>
      <c r="I16" s="46">
        <f t="shared" si="1"/>
        <v>1474</v>
      </c>
      <c r="J16" s="13"/>
      <c r="K16" s="42" t="s">
        <v>96</v>
      </c>
      <c r="L16" s="1"/>
      <c r="M16" s="76" t="s">
        <v>171</v>
      </c>
      <c r="N16" s="14">
        <v>45749</v>
      </c>
      <c r="O16" s="4"/>
      <c r="P16" s="75">
        <v>45762</v>
      </c>
      <c r="Q16" s="33">
        <v>45763</v>
      </c>
      <c r="R16" s="34"/>
    </row>
    <row r="17" spans="1:18" s="3" customFormat="1" ht="19.5" customHeight="1" x14ac:dyDescent="0.2">
      <c r="A17" s="44" t="s">
        <v>29</v>
      </c>
      <c r="B17" s="58"/>
      <c r="C17" s="43">
        <f t="shared" si="2"/>
        <v>4</v>
      </c>
      <c r="D17" s="41" t="s">
        <v>26</v>
      </c>
      <c r="E17" s="41" t="s">
        <v>26</v>
      </c>
      <c r="F17" s="54" t="s">
        <v>95</v>
      </c>
      <c r="G17" s="52">
        <v>2</v>
      </c>
      <c r="H17" s="72">
        <v>737</v>
      </c>
      <c r="I17" s="46">
        <f t="shared" si="1"/>
        <v>1474</v>
      </c>
      <c r="J17" s="13"/>
      <c r="K17" s="19"/>
      <c r="L17" s="1"/>
      <c r="M17" s="76" t="s">
        <v>171</v>
      </c>
      <c r="N17" s="14">
        <v>45749</v>
      </c>
      <c r="O17" s="4"/>
      <c r="P17" s="75">
        <v>45762</v>
      </c>
      <c r="Q17" s="33">
        <v>45763</v>
      </c>
      <c r="R17" s="34"/>
    </row>
    <row r="18" spans="1:18" s="3" customFormat="1" ht="19.5" customHeight="1" x14ac:dyDescent="0.2">
      <c r="A18" s="51"/>
      <c r="B18" s="22"/>
      <c r="C18" s="23"/>
      <c r="D18" s="23"/>
      <c r="E18" s="23"/>
      <c r="F18" s="49"/>
      <c r="G18" s="29"/>
      <c r="H18" s="18"/>
      <c r="I18" s="35"/>
      <c r="J18" s="13"/>
      <c r="K18" s="19"/>
      <c r="L18" s="1"/>
      <c r="M18" s="1"/>
      <c r="N18" s="14"/>
      <c r="O18" s="4"/>
      <c r="P18" s="2"/>
      <c r="Q18" s="33"/>
      <c r="R18" s="34"/>
    </row>
    <row r="19" spans="1:18" s="3" customFormat="1" ht="19.5" customHeight="1" x14ac:dyDescent="0.2">
      <c r="A19" s="56" t="s">
        <v>30</v>
      </c>
      <c r="B19" s="58"/>
      <c r="C19" s="43">
        <f>+C17+1</f>
        <v>5</v>
      </c>
      <c r="D19" s="43" t="s">
        <v>31</v>
      </c>
      <c r="E19" s="36" t="s">
        <v>26</v>
      </c>
      <c r="F19" s="54" t="s">
        <v>124</v>
      </c>
      <c r="G19" s="52">
        <v>2</v>
      </c>
      <c r="H19" s="55">
        <v>9414</v>
      </c>
      <c r="I19" s="46">
        <f t="shared" ref="I19:I22" si="3">G19*H19</f>
        <v>18828</v>
      </c>
      <c r="J19" s="13"/>
      <c r="K19" s="53" t="s">
        <v>97</v>
      </c>
      <c r="L19" s="42" t="s">
        <v>98</v>
      </c>
      <c r="M19" s="76" t="s">
        <v>171</v>
      </c>
      <c r="N19" s="14">
        <v>45749</v>
      </c>
      <c r="O19" s="4"/>
      <c r="P19" s="75">
        <v>45762</v>
      </c>
      <c r="Q19" s="33">
        <v>45763</v>
      </c>
      <c r="R19" s="34"/>
    </row>
    <row r="20" spans="1:18" s="3" customFormat="1" ht="19.5" customHeight="1" x14ac:dyDescent="0.2">
      <c r="A20" s="44" t="s">
        <v>27</v>
      </c>
      <c r="B20" s="58"/>
      <c r="C20" s="43">
        <f>+C19+1</f>
        <v>6</v>
      </c>
      <c r="D20" s="41" t="s">
        <v>26</v>
      </c>
      <c r="E20" s="41" t="s">
        <v>26</v>
      </c>
      <c r="F20" s="54" t="s">
        <v>37</v>
      </c>
      <c r="G20" s="52">
        <v>8</v>
      </c>
      <c r="H20" s="55">
        <v>104</v>
      </c>
      <c r="I20" s="46">
        <f t="shared" si="3"/>
        <v>832</v>
      </c>
      <c r="J20" s="13"/>
      <c r="K20" s="42" t="s">
        <v>93</v>
      </c>
      <c r="L20" s="1"/>
      <c r="M20" s="76" t="s">
        <v>171</v>
      </c>
      <c r="N20" s="14">
        <v>45749</v>
      </c>
      <c r="O20" s="4"/>
      <c r="P20" s="75">
        <v>45762</v>
      </c>
      <c r="Q20" s="33">
        <v>45763</v>
      </c>
      <c r="R20" s="34"/>
    </row>
    <row r="21" spans="1:18" s="3" customFormat="1" ht="19.5" customHeight="1" x14ac:dyDescent="0.2">
      <c r="A21" s="44" t="s">
        <v>28</v>
      </c>
      <c r="B21" s="58"/>
      <c r="C21" s="43">
        <f t="shared" ref="C21:C22" si="4">+C20+1</f>
        <v>7</v>
      </c>
      <c r="D21" s="41" t="s">
        <v>26</v>
      </c>
      <c r="E21" s="41" t="s">
        <v>26</v>
      </c>
      <c r="F21" s="54" t="s">
        <v>99</v>
      </c>
      <c r="G21" s="52">
        <v>2</v>
      </c>
      <c r="H21" s="72">
        <v>164</v>
      </c>
      <c r="I21" s="46">
        <f t="shared" si="3"/>
        <v>328</v>
      </c>
      <c r="J21" s="13"/>
      <c r="K21" s="42" t="s">
        <v>101</v>
      </c>
      <c r="L21" s="1"/>
      <c r="M21" s="76" t="s">
        <v>171</v>
      </c>
      <c r="N21" s="14">
        <v>45749</v>
      </c>
      <c r="O21" s="4"/>
      <c r="P21" s="75">
        <v>45762</v>
      </c>
      <c r="Q21" s="33">
        <v>45763</v>
      </c>
      <c r="R21" s="34"/>
    </row>
    <row r="22" spans="1:18" s="3" customFormat="1" ht="19.5" customHeight="1" x14ac:dyDescent="0.2">
      <c r="A22" s="44" t="s">
        <v>28</v>
      </c>
      <c r="B22" s="58"/>
      <c r="C22" s="43">
        <f t="shared" si="4"/>
        <v>8</v>
      </c>
      <c r="D22" s="41" t="s">
        <v>26</v>
      </c>
      <c r="E22" s="41" t="s">
        <v>26</v>
      </c>
      <c r="F22" s="54" t="s">
        <v>100</v>
      </c>
      <c r="G22" s="52">
        <v>2</v>
      </c>
      <c r="H22" s="72">
        <v>164</v>
      </c>
      <c r="I22" s="46">
        <f t="shared" si="3"/>
        <v>328</v>
      </c>
      <c r="J22" s="13"/>
      <c r="K22" s="42" t="s">
        <v>101</v>
      </c>
      <c r="L22" s="1"/>
      <c r="M22" s="76" t="s">
        <v>171</v>
      </c>
      <c r="N22" s="14">
        <v>45749</v>
      </c>
      <c r="O22" s="4"/>
      <c r="P22" s="75">
        <v>45762</v>
      </c>
      <c r="Q22" s="33">
        <v>45763</v>
      </c>
      <c r="R22" s="34"/>
    </row>
    <row r="23" spans="1:18" s="3" customFormat="1" ht="19.5" customHeight="1" x14ac:dyDescent="0.2">
      <c r="A23" s="51"/>
      <c r="B23" s="22"/>
      <c r="C23" s="23"/>
      <c r="D23" s="23"/>
      <c r="E23" s="23"/>
      <c r="F23" s="49"/>
      <c r="G23" s="29"/>
      <c r="H23" s="18"/>
      <c r="I23" s="35"/>
      <c r="J23" s="13"/>
      <c r="K23" s="19"/>
      <c r="L23" s="1"/>
      <c r="M23" s="1"/>
      <c r="N23" s="14"/>
      <c r="O23" s="4"/>
      <c r="P23" s="2"/>
      <c r="Q23" s="33"/>
      <c r="R23" s="34"/>
    </row>
    <row r="24" spans="1:18" s="3" customFormat="1" ht="19.5" customHeight="1" x14ac:dyDescent="0.2">
      <c r="A24" s="56" t="s">
        <v>30</v>
      </c>
      <c r="B24" s="58"/>
      <c r="C24" s="43">
        <f>+C22+1</f>
        <v>9</v>
      </c>
      <c r="D24" s="43" t="s">
        <v>31</v>
      </c>
      <c r="E24" s="36" t="s">
        <v>26</v>
      </c>
      <c r="F24" s="54" t="s">
        <v>130</v>
      </c>
      <c r="G24" s="52">
        <v>1</v>
      </c>
      <c r="H24" s="55">
        <v>14701</v>
      </c>
      <c r="I24" s="46">
        <f t="shared" ref="I24:I29" si="5">G24*H24</f>
        <v>14701</v>
      </c>
      <c r="J24" s="13"/>
      <c r="K24" s="53" t="s">
        <v>103</v>
      </c>
      <c r="L24" s="42" t="s">
        <v>102</v>
      </c>
      <c r="M24" s="76" t="s">
        <v>171</v>
      </c>
      <c r="N24" s="14">
        <v>45749</v>
      </c>
      <c r="O24" s="4"/>
      <c r="P24" s="75">
        <v>45762</v>
      </c>
      <c r="Q24" s="33">
        <v>45763</v>
      </c>
      <c r="R24" s="34"/>
    </row>
    <row r="25" spans="1:18" s="3" customFormat="1" ht="19.5" customHeight="1" x14ac:dyDescent="0.2">
      <c r="A25" s="44" t="s">
        <v>27</v>
      </c>
      <c r="B25" s="58"/>
      <c r="C25" s="43">
        <f>+C24+1</f>
        <v>10</v>
      </c>
      <c r="D25" s="41" t="s">
        <v>26</v>
      </c>
      <c r="E25" s="41" t="s">
        <v>26</v>
      </c>
      <c r="F25" s="54" t="s">
        <v>37</v>
      </c>
      <c r="G25" s="52">
        <v>4</v>
      </c>
      <c r="H25" s="55">
        <v>104</v>
      </c>
      <c r="I25" s="46">
        <f t="shared" si="5"/>
        <v>416</v>
      </c>
      <c r="J25" s="13"/>
      <c r="K25" s="42" t="s">
        <v>93</v>
      </c>
      <c r="L25" s="1"/>
      <c r="M25" s="76" t="s">
        <v>171</v>
      </c>
      <c r="N25" s="14">
        <v>45749</v>
      </c>
      <c r="O25" s="4"/>
      <c r="P25" s="75">
        <v>45762</v>
      </c>
      <c r="Q25" s="33">
        <v>45763</v>
      </c>
      <c r="R25" s="34"/>
    </row>
    <row r="26" spans="1:18" s="3" customFormat="1" ht="19.5" customHeight="1" x14ac:dyDescent="0.2">
      <c r="A26" s="44" t="s">
        <v>27</v>
      </c>
      <c r="B26" s="58"/>
      <c r="C26" s="43">
        <f t="shared" ref="C26:C29" si="6">+C25+1</f>
        <v>11</v>
      </c>
      <c r="D26" s="41" t="s">
        <v>26</v>
      </c>
      <c r="E26" s="41" t="s">
        <v>26</v>
      </c>
      <c r="F26" s="54" t="s">
        <v>41</v>
      </c>
      <c r="G26" s="52">
        <v>1</v>
      </c>
      <c r="H26" s="72">
        <v>115</v>
      </c>
      <c r="I26" s="46">
        <f t="shared" si="5"/>
        <v>115</v>
      </c>
      <c r="J26" s="13"/>
      <c r="K26" s="42" t="s">
        <v>105</v>
      </c>
      <c r="L26" s="1"/>
      <c r="M26" s="76" t="s">
        <v>171</v>
      </c>
      <c r="N26" s="14">
        <v>45749</v>
      </c>
      <c r="O26" s="4"/>
      <c r="P26" s="75">
        <v>45762</v>
      </c>
      <c r="Q26" s="33">
        <v>45763</v>
      </c>
      <c r="R26" s="34"/>
    </row>
    <row r="27" spans="1:18" s="3" customFormat="1" ht="19.5" customHeight="1" x14ac:dyDescent="0.2">
      <c r="A27" s="44" t="s">
        <v>27</v>
      </c>
      <c r="B27" s="58"/>
      <c r="C27" s="43">
        <f t="shared" si="6"/>
        <v>12</v>
      </c>
      <c r="D27" s="41" t="s">
        <v>26</v>
      </c>
      <c r="E27" s="41" t="s">
        <v>26</v>
      </c>
      <c r="F27" s="54" t="s">
        <v>45</v>
      </c>
      <c r="G27" s="52">
        <v>2</v>
      </c>
      <c r="H27" s="72">
        <v>139</v>
      </c>
      <c r="I27" s="46">
        <f t="shared" si="5"/>
        <v>278</v>
      </c>
      <c r="J27" s="13"/>
      <c r="K27" s="42" t="s">
        <v>106</v>
      </c>
      <c r="L27" s="1"/>
      <c r="M27" s="76" t="s">
        <v>171</v>
      </c>
      <c r="N27" s="14">
        <v>45749</v>
      </c>
      <c r="O27" s="4"/>
      <c r="P27" s="75">
        <v>45762</v>
      </c>
      <c r="Q27" s="33">
        <v>45763</v>
      </c>
      <c r="R27" s="34"/>
    </row>
    <row r="28" spans="1:18" s="3" customFormat="1" ht="19.5" customHeight="1" x14ac:dyDescent="0.2">
      <c r="A28" s="56" t="s">
        <v>30</v>
      </c>
      <c r="B28" s="58"/>
      <c r="C28" s="43">
        <f t="shared" si="6"/>
        <v>13</v>
      </c>
      <c r="D28" s="43" t="s">
        <v>31</v>
      </c>
      <c r="E28" s="36" t="s">
        <v>26</v>
      </c>
      <c r="F28" s="54" t="s">
        <v>125</v>
      </c>
      <c r="G28" s="52">
        <v>1</v>
      </c>
      <c r="H28" s="55">
        <v>12757</v>
      </c>
      <c r="I28" s="46">
        <f t="shared" si="5"/>
        <v>12757</v>
      </c>
      <c r="J28" s="13"/>
      <c r="K28" s="53" t="s">
        <v>104</v>
      </c>
      <c r="L28" s="42" t="s">
        <v>102</v>
      </c>
      <c r="M28" s="76" t="s">
        <v>171</v>
      </c>
      <c r="N28" s="14">
        <v>45749</v>
      </c>
      <c r="O28" s="4"/>
      <c r="P28" s="75">
        <v>45762</v>
      </c>
      <c r="Q28" s="33">
        <v>45763</v>
      </c>
      <c r="R28" s="34"/>
    </row>
    <row r="29" spans="1:18" s="3" customFormat="1" ht="19.5" customHeight="1" x14ac:dyDescent="0.2">
      <c r="A29" s="44" t="s">
        <v>27</v>
      </c>
      <c r="B29" s="58"/>
      <c r="C29" s="43">
        <f t="shared" si="6"/>
        <v>14</v>
      </c>
      <c r="D29" s="41" t="s">
        <v>26</v>
      </c>
      <c r="E29" s="41" t="s">
        <v>26</v>
      </c>
      <c r="F29" s="54" t="s">
        <v>37</v>
      </c>
      <c r="G29" s="52">
        <v>4</v>
      </c>
      <c r="H29" s="55">
        <v>104</v>
      </c>
      <c r="I29" s="46">
        <f t="shared" si="5"/>
        <v>416</v>
      </c>
      <c r="J29" s="13"/>
      <c r="K29" s="42" t="s">
        <v>93</v>
      </c>
      <c r="L29" s="1"/>
      <c r="M29" s="76" t="s">
        <v>171</v>
      </c>
      <c r="N29" s="14">
        <v>45749</v>
      </c>
      <c r="O29" s="4"/>
      <c r="P29" s="75">
        <v>45762</v>
      </c>
      <c r="Q29" s="33">
        <v>45763</v>
      </c>
      <c r="R29" s="34"/>
    </row>
    <row r="30" spans="1:18" s="3" customFormat="1" ht="19.5" customHeight="1" x14ac:dyDescent="0.2">
      <c r="A30" s="56" t="s">
        <v>30</v>
      </c>
      <c r="B30" s="58"/>
      <c r="C30" s="43">
        <f>+C29+1</f>
        <v>15</v>
      </c>
      <c r="D30" s="43" t="s">
        <v>31</v>
      </c>
      <c r="E30" s="36" t="s">
        <v>26</v>
      </c>
      <c r="F30" s="54" t="s">
        <v>132</v>
      </c>
      <c r="G30" s="52">
        <v>1</v>
      </c>
      <c r="H30" s="55">
        <v>12899</v>
      </c>
      <c r="I30" s="46">
        <f t="shared" ref="I30:I33" si="7">G30*H30</f>
        <v>12899</v>
      </c>
      <c r="J30" s="13"/>
      <c r="K30" s="53" t="s">
        <v>110</v>
      </c>
      <c r="L30" s="42" t="s">
        <v>112</v>
      </c>
      <c r="M30" s="76" t="s">
        <v>171</v>
      </c>
      <c r="N30" s="14">
        <v>45749</v>
      </c>
      <c r="O30" s="4"/>
      <c r="P30" s="75">
        <v>45762</v>
      </c>
      <c r="Q30" s="33">
        <v>45763</v>
      </c>
      <c r="R30" s="34"/>
    </row>
    <row r="31" spans="1:18" s="3" customFormat="1" ht="19.5" customHeight="1" x14ac:dyDescent="0.2">
      <c r="A31" s="44" t="s">
        <v>27</v>
      </c>
      <c r="B31" s="58"/>
      <c r="C31" s="43">
        <f>+C30+1</f>
        <v>16</v>
      </c>
      <c r="D31" s="41" t="s">
        <v>26</v>
      </c>
      <c r="E31" s="41" t="s">
        <v>26</v>
      </c>
      <c r="F31" s="54" t="s">
        <v>37</v>
      </c>
      <c r="G31" s="52">
        <v>4</v>
      </c>
      <c r="H31" s="55">
        <v>104</v>
      </c>
      <c r="I31" s="46">
        <f t="shared" si="7"/>
        <v>416</v>
      </c>
      <c r="J31" s="13"/>
      <c r="K31" s="42" t="s">
        <v>93</v>
      </c>
      <c r="L31" s="1"/>
      <c r="M31" s="76" t="s">
        <v>171</v>
      </c>
      <c r="N31" s="14">
        <v>45749</v>
      </c>
      <c r="O31" s="4"/>
      <c r="P31" s="75">
        <v>45762</v>
      </c>
      <c r="Q31" s="33">
        <v>45763</v>
      </c>
      <c r="R31" s="34"/>
    </row>
    <row r="32" spans="1:18" s="3" customFormat="1" ht="19.5" customHeight="1" x14ac:dyDescent="0.2">
      <c r="A32" s="44" t="s">
        <v>27</v>
      </c>
      <c r="B32" s="58"/>
      <c r="C32" s="43">
        <f t="shared" ref="C32:C33" si="8">+C31+1</f>
        <v>17</v>
      </c>
      <c r="D32" s="41" t="s">
        <v>26</v>
      </c>
      <c r="E32" s="41" t="s">
        <v>26</v>
      </c>
      <c r="F32" s="54" t="s">
        <v>42</v>
      </c>
      <c r="G32" s="52">
        <v>1</v>
      </c>
      <c r="H32" s="72">
        <v>100</v>
      </c>
      <c r="I32" s="46">
        <f t="shared" si="7"/>
        <v>100</v>
      </c>
      <c r="J32" s="13"/>
      <c r="K32" s="42" t="s">
        <v>105</v>
      </c>
      <c r="L32" s="1"/>
      <c r="M32" s="76" t="s">
        <v>171</v>
      </c>
      <c r="N32" s="14">
        <v>45749</v>
      </c>
      <c r="O32" s="4"/>
      <c r="P32" s="75">
        <v>45762</v>
      </c>
      <c r="Q32" s="33">
        <v>45763</v>
      </c>
      <c r="R32" s="34"/>
    </row>
    <row r="33" spans="1:18" s="3" customFormat="1" ht="19.5" customHeight="1" x14ac:dyDescent="0.2">
      <c r="A33" s="44" t="s">
        <v>27</v>
      </c>
      <c r="B33" s="58"/>
      <c r="C33" s="43">
        <f t="shared" si="8"/>
        <v>18</v>
      </c>
      <c r="D33" s="41" t="s">
        <v>26</v>
      </c>
      <c r="E33" s="41" t="s">
        <v>26</v>
      </c>
      <c r="F33" s="54" t="s">
        <v>46</v>
      </c>
      <c r="G33" s="52">
        <v>2</v>
      </c>
      <c r="H33" s="72">
        <v>139</v>
      </c>
      <c r="I33" s="46">
        <f t="shared" si="7"/>
        <v>278</v>
      </c>
      <c r="J33" s="13"/>
      <c r="K33" s="42" t="s">
        <v>106</v>
      </c>
      <c r="L33" s="1"/>
      <c r="M33" s="76" t="s">
        <v>171</v>
      </c>
      <c r="N33" s="14">
        <v>45749</v>
      </c>
      <c r="O33" s="4"/>
      <c r="P33" s="75">
        <v>45762</v>
      </c>
      <c r="Q33" s="33">
        <v>45763</v>
      </c>
      <c r="R33" s="34"/>
    </row>
    <row r="34" spans="1:18" s="3" customFormat="1" ht="19.5" customHeight="1" x14ac:dyDescent="0.2">
      <c r="A34" s="56" t="s">
        <v>30</v>
      </c>
      <c r="B34" s="58"/>
      <c r="C34" s="43">
        <f>+C33+1</f>
        <v>19</v>
      </c>
      <c r="D34" s="43" t="s">
        <v>31</v>
      </c>
      <c r="E34" s="36" t="s">
        <v>26</v>
      </c>
      <c r="F34" s="54" t="s">
        <v>131</v>
      </c>
      <c r="G34" s="52">
        <v>1</v>
      </c>
      <c r="H34" s="55">
        <v>13412</v>
      </c>
      <c r="I34" s="46">
        <f t="shared" ref="I34:I37" si="9">G34*H34</f>
        <v>13412</v>
      </c>
      <c r="J34" s="13"/>
      <c r="K34" s="53" t="s">
        <v>120</v>
      </c>
      <c r="L34" s="42" t="s">
        <v>118</v>
      </c>
      <c r="M34" s="76" t="s">
        <v>171</v>
      </c>
      <c r="N34" s="14">
        <v>45749</v>
      </c>
      <c r="O34" s="4"/>
      <c r="P34" s="75">
        <v>45762</v>
      </c>
      <c r="Q34" s="33">
        <v>45763</v>
      </c>
      <c r="R34" s="34"/>
    </row>
    <row r="35" spans="1:18" s="3" customFormat="1" ht="19.5" customHeight="1" x14ac:dyDescent="0.2">
      <c r="A35" s="44" t="s">
        <v>27</v>
      </c>
      <c r="B35" s="58"/>
      <c r="C35" s="43">
        <f>+C34+1</f>
        <v>20</v>
      </c>
      <c r="D35" s="41" t="s">
        <v>26</v>
      </c>
      <c r="E35" s="41" t="s">
        <v>26</v>
      </c>
      <c r="F35" s="54" t="s">
        <v>37</v>
      </c>
      <c r="G35" s="52">
        <v>4</v>
      </c>
      <c r="H35" s="55">
        <v>104</v>
      </c>
      <c r="I35" s="46">
        <f t="shared" si="9"/>
        <v>416</v>
      </c>
      <c r="J35" s="13"/>
      <c r="K35" s="42" t="s">
        <v>93</v>
      </c>
      <c r="L35" s="1"/>
      <c r="M35" s="76" t="s">
        <v>171</v>
      </c>
      <c r="N35" s="14">
        <v>45749</v>
      </c>
      <c r="O35" s="4"/>
      <c r="P35" s="75">
        <v>45762</v>
      </c>
      <c r="Q35" s="33">
        <v>45763</v>
      </c>
      <c r="R35" s="34"/>
    </row>
    <row r="36" spans="1:18" s="3" customFormat="1" ht="19.5" customHeight="1" x14ac:dyDescent="0.2">
      <c r="A36" s="44" t="s">
        <v>27</v>
      </c>
      <c r="B36" s="58"/>
      <c r="C36" s="43">
        <f t="shared" ref="C36:C37" si="10">+C35+1</f>
        <v>21</v>
      </c>
      <c r="D36" s="41" t="s">
        <v>26</v>
      </c>
      <c r="E36" s="41" t="s">
        <v>26</v>
      </c>
      <c r="F36" s="54" t="s">
        <v>43</v>
      </c>
      <c r="G36" s="52">
        <v>1</v>
      </c>
      <c r="H36" s="72">
        <v>100</v>
      </c>
      <c r="I36" s="46">
        <f t="shared" si="9"/>
        <v>100</v>
      </c>
      <c r="J36" s="13"/>
      <c r="K36" s="42" t="s">
        <v>105</v>
      </c>
      <c r="L36" s="1"/>
      <c r="M36" s="76" t="s">
        <v>171</v>
      </c>
      <c r="N36" s="14">
        <v>45749</v>
      </c>
      <c r="O36" s="4"/>
      <c r="P36" s="75">
        <v>45762</v>
      </c>
      <c r="Q36" s="33">
        <v>45763</v>
      </c>
      <c r="R36" s="34"/>
    </row>
    <row r="37" spans="1:18" s="3" customFormat="1" ht="19.5" customHeight="1" x14ac:dyDescent="0.2">
      <c r="A37" s="44" t="s">
        <v>27</v>
      </c>
      <c r="B37" s="58"/>
      <c r="C37" s="43">
        <f t="shared" si="10"/>
        <v>22</v>
      </c>
      <c r="D37" s="41" t="s">
        <v>26</v>
      </c>
      <c r="E37" s="41" t="s">
        <v>26</v>
      </c>
      <c r="F37" s="54" t="s">
        <v>129</v>
      </c>
      <c r="G37" s="52">
        <v>2</v>
      </c>
      <c r="H37" s="72">
        <v>157</v>
      </c>
      <c r="I37" s="46">
        <f t="shared" si="9"/>
        <v>314</v>
      </c>
      <c r="J37" s="13"/>
      <c r="K37" s="42" t="s">
        <v>106</v>
      </c>
      <c r="L37" s="1"/>
      <c r="M37" s="76" t="s">
        <v>171</v>
      </c>
      <c r="N37" s="14">
        <v>45749</v>
      </c>
      <c r="O37" s="4"/>
      <c r="P37" s="75">
        <v>45762</v>
      </c>
      <c r="Q37" s="33">
        <v>45763</v>
      </c>
      <c r="R37" s="34"/>
    </row>
    <row r="38" spans="1:18" s="3" customFormat="1" ht="19.5" customHeight="1" x14ac:dyDescent="0.2">
      <c r="A38" s="56" t="s">
        <v>30</v>
      </c>
      <c r="B38" s="58"/>
      <c r="C38" s="43">
        <f>+C37+1</f>
        <v>23</v>
      </c>
      <c r="D38" s="43" t="s">
        <v>31</v>
      </c>
      <c r="E38" s="36" t="s">
        <v>26</v>
      </c>
      <c r="F38" s="54" t="s">
        <v>128</v>
      </c>
      <c r="G38" s="52">
        <v>1</v>
      </c>
      <c r="H38" s="55">
        <v>12623</v>
      </c>
      <c r="I38" s="46">
        <f t="shared" ref="I38:I39" si="11">G38*H38</f>
        <v>12623</v>
      </c>
      <c r="J38" s="13"/>
      <c r="K38" s="53" t="s">
        <v>126</v>
      </c>
      <c r="L38" s="42" t="s">
        <v>127</v>
      </c>
      <c r="M38" s="76" t="s">
        <v>171</v>
      </c>
      <c r="N38" s="14">
        <v>45749</v>
      </c>
      <c r="O38" s="4"/>
      <c r="P38" s="75">
        <v>45762</v>
      </c>
      <c r="Q38" s="33">
        <v>45763</v>
      </c>
      <c r="R38" s="34"/>
    </row>
    <row r="39" spans="1:18" s="3" customFormat="1" ht="19.5" customHeight="1" x14ac:dyDescent="0.2">
      <c r="A39" s="44" t="s">
        <v>27</v>
      </c>
      <c r="B39" s="58"/>
      <c r="C39" s="43">
        <f>+C38+1</f>
        <v>24</v>
      </c>
      <c r="D39" s="41" t="s">
        <v>26</v>
      </c>
      <c r="E39" s="41" t="s">
        <v>26</v>
      </c>
      <c r="F39" s="54" t="s">
        <v>37</v>
      </c>
      <c r="G39" s="52">
        <v>4</v>
      </c>
      <c r="H39" s="55">
        <v>104</v>
      </c>
      <c r="I39" s="46">
        <f t="shared" si="11"/>
        <v>416</v>
      </c>
      <c r="J39" s="13"/>
      <c r="K39" s="42" t="s">
        <v>93</v>
      </c>
      <c r="L39" s="1"/>
      <c r="M39" s="76" t="s">
        <v>171</v>
      </c>
      <c r="N39" s="14">
        <v>45749</v>
      </c>
      <c r="O39" s="4"/>
      <c r="P39" s="75">
        <v>45762</v>
      </c>
      <c r="Q39" s="33">
        <v>45763</v>
      </c>
      <c r="R39" s="34"/>
    </row>
    <row r="40" spans="1:18" s="3" customFormat="1" ht="19.5" customHeight="1" x14ac:dyDescent="0.2">
      <c r="A40" s="51"/>
      <c r="B40" s="22"/>
      <c r="C40" s="23"/>
      <c r="D40" s="23"/>
      <c r="E40" s="23"/>
      <c r="F40" s="49"/>
      <c r="G40" s="29"/>
      <c r="H40" s="18"/>
      <c r="I40" s="35"/>
      <c r="J40" s="13"/>
      <c r="K40" s="19"/>
      <c r="L40" s="1"/>
      <c r="M40" s="1"/>
      <c r="N40" s="14"/>
      <c r="O40" s="4"/>
      <c r="P40" s="2"/>
      <c r="Q40" s="33"/>
      <c r="R40" s="34"/>
    </row>
    <row r="41" spans="1:18" s="3" customFormat="1" ht="19.5" customHeight="1" x14ac:dyDescent="0.2">
      <c r="A41" s="51"/>
      <c r="B41" s="22"/>
      <c r="C41" s="23"/>
      <c r="D41" s="23"/>
      <c r="E41" s="23"/>
      <c r="F41" s="49"/>
      <c r="G41" s="29"/>
      <c r="H41" s="18"/>
      <c r="I41" s="35"/>
      <c r="J41" s="13"/>
      <c r="K41" s="19"/>
      <c r="L41" s="1"/>
      <c r="M41" s="1"/>
      <c r="N41" s="14"/>
      <c r="O41" s="4"/>
      <c r="P41" s="2"/>
      <c r="Q41" s="33"/>
      <c r="R41" s="34"/>
    </row>
    <row r="42" spans="1:18" s="3" customFormat="1" ht="19.5" customHeight="1" x14ac:dyDescent="0.2">
      <c r="A42" s="51"/>
      <c r="B42" s="22"/>
      <c r="C42" s="23"/>
      <c r="D42" s="23"/>
      <c r="E42" s="23"/>
      <c r="F42" s="40">
        <f>SUM(I14:I40)</f>
        <v>112265</v>
      </c>
      <c r="G42" s="29"/>
      <c r="H42" s="18"/>
      <c r="I42" s="35"/>
      <c r="J42" s="13"/>
      <c r="K42" s="19"/>
      <c r="L42" s="1"/>
      <c r="M42" s="1"/>
      <c r="N42" s="14"/>
      <c r="O42" s="4"/>
      <c r="P42" s="2"/>
      <c r="Q42" s="33"/>
      <c r="R42" s="34"/>
    </row>
    <row r="43" spans="1:18" s="3" customFormat="1" ht="19.5" customHeight="1" x14ac:dyDescent="0.2">
      <c r="A43" s="51"/>
      <c r="B43" s="22"/>
      <c r="C43" s="23"/>
      <c r="D43" s="23"/>
      <c r="E43" s="23"/>
      <c r="F43" s="49"/>
      <c r="G43" s="29"/>
      <c r="H43" s="18"/>
      <c r="I43" s="35"/>
      <c r="J43" s="13"/>
      <c r="K43" s="19"/>
      <c r="L43" s="1"/>
      <c r="M43" s="1"/>
      <c r="N43" s="14"/>
      <c r="O43" s="4"/>
      <c r="P43" s="2"/>
      <c r="Q43" s="33"/>
      <c r="R43" s="34"/>
    </row>
    <row r="44" spans="1:18" s="3" customFormat="1" ht="19.5" customHeight="1" x14ac:dyDescent="0.2">
      <c r="A44" s="51"/>
      <c r="B44" s="22"/>
      <c r="C44" s="23"/>
      <c r="D44" s="23"/>
      <c r="E44" s="23"/>
      <c r="F44" s="49"/>
      <c r="G44" s="29"/>
      <c r="H44" s="18"/>
      <c r="I44" s="35"/>
      <c r="J44" s="13"/>
      <c r="K44" s="19"/>
      <c r="L44" s="1"/>
      <c r="M44" s="1"/>
      <c r="N44" s="14"/>
      <c r="O44" s="4"/>
      <c r="P44" s="2"/>
      <c r="Q44" s="33"/>
      <c r="R44" s="34"/>
    </row>
    <row r="45" spans="1:18" s="3" customFormat="1" ht="19.5" customHeight="1" x14ac:dyDescent="0.2">
      <c r="A45" s="51"/>
      <c r="B45" s="22"/>
      <c r="C45" s="23"/>
      <c r="D45" s="23"/>
      <c r="E45" s="23"/>
      <c r="F45" s="49"/>
      <c r="G45" s="29"/>
      <c r="H45" s="18"/>
      <c r="I45" s="35"/>
      <c r="J45" s="13"/>
      <c r="K45" s="19"/>
      <c r="L45" s="1"/>
      <c r="M45" s="1"/>
      <c r="N45" s="14"/>
      <c r="O45" s="4"/>
      <c r="P45" s="2"/>
      <c r="Q45" s="33"/>
      <c r="R45" s="34"/>
    </row>
    <row r="46" spans="1:18" s="3" customFormat="1" ht="19.5" customHeight="1" x14ac:dyDescent="0.2">
      <c r="A46" s="51"/>
      <c r="B46" s="22"/>
      <c r="C46" s="23"/>
      <c r="D46" s="23"/>
      <c r="E46" s="23"/>
      <c r="F46" s="49"/>
      <c r="G46" s="29"/>
      <c r="H46" s="18"/>
      <c r="I46" s="35"/>
      <c r="J46" s="13"/>
      <c r="K46" s="19"/>
      <c r="L46" s="1"/>
      <c r="M46" s="1"/>
      <c r="N46" s="14"/>
      <c r="O46" s="4"/>
      <c r="P46" s="2"/>
      <c r="Q46" s="33"/>
      <c r="R46" s="34"/>
    </row>
    <row r="47" spans="1:18" s="3" customFormat="1" ht="19.5" customHeight="1" x14ac:dyDescent="0.2">
      <c r="A47" s="51"/>
      <c r="B47" s="22"/>
      <c r="C47" s="23"/>
      <c r="D47" s="23"/>
      <c r="E47" s="23"/>
      <c r="F47" s="49"/>
      <c r="G47" s="29"/>
      <c r="H47" s="18"/>
      <c r="I47" s="35"/>
      <c r="J47" s="13"/>
      <c r="K47" s="19"/>
      <c r="L47" s="1"/>
      <c r="M47" s="1"/>
      <c r="N47" s="14"/>
      <c r="O47" s="4"/>
      <c r="P47" s="2"/>
      <c r="Q47" s="33"/>
      <c r="R47" s="34"/>
    </row>
    <row r="48" spans="1:18" s="3" customFormat="1" ht="19.5" customHeight="1" x14ac:dyDescent="0.2">
      <c r="A48" s="51"/>
      <c r="B48" s="22"/>
      <c r="C48" s="23"/>
      <c r="D48" s="81" t="s">
        <v>160</v>
      </c>
      <c r="E48" s="82"/>
      <c r="F48" s="83"/>
      <c r="G48" s="29"/>
      <c r="H48" s="18"/>
      <c r="I48" s="35"/>
      <c r="J48" s="13"/>
      <c r="K48" s="19"/>
      <c r="L48" s="1"/>
      <c r="M48" s="1"/>
      <c r="N48" s="14"/>
      <c r="O48" s="4"/>
      <c r="P48" s="2"/>
      <c r="Q48" s="33"/>
      <c r="R48" s="34"/>
    </row>
    <row r="49" spans="1:18" s="3" customFormat="1" ht="19.5" customHeight="1" x14ac:dyDescent="0.2">
      <c r="A49" s="56" t="s">
        <v>34</v>
      </c>
      <c r="B49" s="58"/>
      <c r="C49" s="43">
        <f>+C39+1</f>
        <v>25</v>
      </c>
      <c r="D49" s="43" t="s">
        <v>31</v>
      </c>
      <c r="E49" s="36" t="s">
        <v>26</v>
      </c>
      <c r="F49" s="54" t="s">
        <v>144</v>
      </c>
      <c r="G49" s="52">
        <v>1</v>
      </c>
      <c r="H49" s="55">
        <v>13032</v>
      </c>
      <c r="I49" s="62">
        <f t="shared" ref="I49:I91" si="12">G49*H49</f>
        <v>13032</v>
      </c>
      <c r="J49" s="13"/>
      <c r="K49" s="53" t="s">
        <v>133</v>
      </c>
      <c r="L49" s="1"/>
      <c r="M49" s="76" t="s">
        <v>171</v>
      </c>
      <c r="N49" s="14">
        <v>45749</v>
      </c>
      <c r="O49" s="4"/>
      <c r="P49" s="75">
        <v>45762</v>
      </c>
      <c r="Q49" s="33">
        <v>45763</v>
      </c>
      <c r="R49" s="34"/>
    </row>
    <row r="50" spans="1:18" s="3" customFormat="1" ht="19.5" customHeight="1" x14ac:dyDescent="0.2">
      <c r="A50" s="44" t="s">
        <v>27</v>
      </c>
      <c r="B50" s="58"/>
      <c r="C50" s="43">
        <f t="shared" ref="C50:C51" si="13">+C49+1</f>
        <v>26</v>
      </c>
      <c r="D50" s="41" t="s">
        <v>26</v>
      </c>
      <c r="E50" s="41" t="s">
        <v>26</v>
      </c>
      <c r="F50" s="54" t="s">
        <v>145</v>
      </c>
      <c r="G50" s="71">
        <v>55</v>
      </c>
      <c r="H50" s="72">
        <v>22</v>
      </c>
      <c r="I50" s="62">
        <f t="shared" si="12"/>
        <v>1210</v>
      </c>
      <c r="J50" s="13"/>
      <c r="K50" s="42" t="s">
        <v>166</v>
      </c>
      <c r="L50" s="1"/>
      <c r="M50" s="76" t="s">
        <v>171</v>
      </c>
      <c r="N50" s="14">
        <v>45749</v>
      </c>
      <c r="O50" s="4"/>
      <c r="P50" s="75">
        <v>45762</v>
      </c>
      <c r="Q50" s="33">
        <v>45763</v>
      </c>
      <c r="R50" s="34"/>
    </row>
    <row r="51" spans="1:18" s="3" customFormat="1" ht="19.5" customHeight="1" x14ac:dyDescent="0.2">
      <c r="A51" s="44" t="s">
        <v>27</v>
      </c>
      <c r="B51" s="58"/>
      <c r="C51" s="43">
        <f t="shared" si="13"/>
        <v>27</v>
      </c>
      <c r="D51" s="41" t="s">
        <v>26</v>
      </c>
      <c r="E51" s="41" t="s">
        <v>26</v>
      </c>
      <c r="F51" s="59" t="s">
        <v>83</v>
      </c>
      <c r="G51" s="45">
        <v>10</v>
      </c>
      <c r="H51" s="73">
        <v>14</v>
      </c>
      <c r="I51" s="62">
        <f t="shared" si="12"/>
        <v>140</v>
      </c>
      <c r="J51" s="39"/>
      <c r="K51" s="38" t="s">
        <v>146</v>
      </c>
      <c r="L51" s="1"/>
      <c r="M51" s="76" t="s">
        <v>171</v>
      </c>
      <c r="N51" s="14">
        <v>45749</v>
      </c>
      <c r="O51" s="4"/>
      <c r="P51" s="75">
        <v>45762</v>
      </c>
      <c r="Q51" s="33">
        <v>45763</v>
      </c>
      <c r="R51" s="34"/>
    </row>
    <row r="52" spans="1:18" s="3" customFormat="1" ht="19.5" customHeight="1" x14ac:dyDescent="0.2">
      <c r="A52" s="56" t="s">
        <v>34</v>
      </c>
      <c r="B52" s="58"/>
      <c r="C52" s="43">
        <f>+C51+1</f>
        <v>28</v>
      </c>
      <c r="D52" s="43" t="s">
        <v>31</v>
      </c>
      <c r="E52" s="36" t="s">
        <v>26</v>
      </c>
      <c r="F52" s="54" t="s">
        <v>141</v>
      </c>
      <c r="G52" s="52">
        <v>1</v>
      </c>
      <c r="H52" s="55">
        <v>4069</v>
      </c>
      <c r="I52" s="62">
        <f t="shared" si="12"/>
        <v>4069</v>
      </c>
      <c r="J52" s="13"/>
      <c r="K52" s="53" t="s">
        <v>134</v>
      </c>
      <c r="L52" s="1"/>
      <c r="M52" s="76" t="s">
        <v>171</v>
      </c>
      <c r="N52" s="14">
        <v>45749</v>
      </c>
      <c r="O52" s="4"/>
      <c r="P52" s="75">
        <v>45762</v>
      </c>
      <c r="Q52" s="33">
        <v>45763</v>
      </c>
      <c r="R52" s="34"/>
    </row>
    <row r="53" spans="1:18" s="3" customFormat="1" ht="19.5" customHeight="1" x14ac:dyDescent="0.2">
      <c r="A53" s="56" t="s">
        <v>28</v>
      </c>
      <c r="B53" s="58"/>
      <c r="C53" s="43">
        <f>+C52+1</f>
        <v>29</v>
      </c>
      <c r="D53" s="41" t="s">
        <v>26</v>
      </c>
      <c r="E53" s="41" t="s">
        <v>26</v>
      </c>
      <c r="F53" s="54" t="s">
        <v>147</v>
      </c>
      <c r="G53" s="52">
        <v>1</v>
      </c>
      <c r="H53" s="72">
        <v>1632</v>
      </c>
      <c r="I53" s="62">
        <f t="shared" si="12"/>
        <v>1632</v>
      </c>
      <c r="J53" s="13"/>
      <c r="K53" s="42" t="s">
        <v>88</v>
      </c>
      <c r="L53" s="1"/>
      <c r="M53" s="76" t="s">
        <v>171</v>
      </c>
      <c r="N53" s="14">
        <v>45749</v>
      </c>
      <c r="O53" s="4"/>
      <c r="P53" s="75">
        <v>45762</v>
      </c>
      <c r="Q53" s="33">
        <v>45763</v>
      </c>
      <c r="R53" s="34"/>
    </row>
    <row r="54" spans="1:18" s="3" customFormat="1" ht="19.5" customHeight="1" x14ac:dyDescent="0.2">
      <c r="A54" s="44" t="s">
        <v>27</v>
      </c>
      <c r="B54" s="58"/>
      <c r="C54" s="43">
        <f>+C53+1</f>
        <v>30</v>
      </c>
      <c r="D54" s="41" t="s">
        <v>26</v>
      </c>
      <c r="E54" s="41" t="s">
        <v>26</v>
      </c>
      <c r="F54" s="59" t="s">
        <v>32</v>
      </c>
      <c r="G54" s="45">
        <v>10</v>
      </c>
      <c r="H54" s="73">
        <v>14</v>
      </c>
      <c r="I54" s="62">
        <f t="shared" si="12"/>
        <v>140</v>
      </c>
      <c r="J54" s="39"/>
      <c r="K54" s="38" t="s">
        <v>149</v>
      </c>
      <c r="L54" s="1"/>
      <c r="M54" s="76" t="s">
        <v>171</v>
      </c>
      <c r="N54" s="14">
        <v>45749</v>
      </c>
      <c r="O54" s="4"/>
      <c r="P54" s="75">
        <v>45762</v>
      </c>
      <c r="Q54" s="33">
        <v>45763</v>
      </c>
      <c r="R54" s="34"/>
    </row>
    <row r="55" spans="1:18" s="3" customFormat="1" ht="19.5" customHeight="1" x14ac:dyDescent="0.2">
      <c r="A55" s="44" t="s">
        <v>27</v>
      </c>
      <c r="B55" s="58"/>
      <c r="C55" s="43">
        <f t="shared" ref="C55" si="14">+C54+1</f>
        <v>31</v>
      </c>
      <c r="D55" s="41" t="s">
        <v>26</v>
      </c>
      <c r="E55" s="41" t="s">
        <v>26</v>
      </c>
      <c r="F55" s="59" t="s">
        <v>148</v>
      </c>
      <c r="G55" s="45">
        <v>10</v>
      </c>
      <c r="H55" s="73">
        <v>15</v>
      </c>
      <c r="I55" s="62">
        <f t="shared" si="12"/>
        <v>150</v>
      </c>
      <c r="J55" s="39"/>
      <c r="K55" s="38" t="s">
        <v>150</v>
      </c>
      <c r="L55" s="1"/>
      <c r="M55" s="76" t="s">
        <v>171</v>
      </c>
      <c r="N55" s="14">
        <v>45749</v>
      </c>
      <c r="O55" s="4"/>
      <c r="P55" s="75">
        <v>45762</v>
      </c>
      <c r="Q55" s="33">
        <v>45763</v>
      </c>
      <c r="R55" s="34"/>
    </row>
    <row r="56" spans="1:18" s="3" customFormat="1" ht="19.5" customHeight="1" x14ac:dyDescent="0.2">
      <c r="A56" s="56" t="s">
        <v>34</v>
      </c>
      <c r="B56" s="58"/>
      <c r="C56" s="43">
        <f>+C55+1</f>
        <v>32</v>
      </c>
      <c r="D56" s="43" t="s">
        <v>31</v>
      </c>
      <c r="E56" s="36" t="s">
        <v>26</v>
      </c>
      <c r="F56" s="54" t="s">
        <v>142</v>
      </c>
      <c r="G56" s="52">
        <v>2</v>
      </c>
      <c r="H56" s="55">
        <v>3102</v>
      </c>
      <c r="I56" s="62">
        <f t="shared" si="12"/>
        <v>6204</v>
      </c>
      <c r="J56" s="13"/>
      <c r="K56" s="53" t="s">
        <v>137</v>
      </c>
      <c r="L56" s="1"/>
      <c r="M56" s="76" t="s">
        <v>171</v>
      </c>
      <c r="N56" s="14">
        <v>45749</v>
      </c>
      <c r="O56" s="4"/>
      <c r="P56" s="75">
        <v>45762</v>
      </c>
      <c r="Q56" s="33">
        <v>45763</v>
      </c>
      <c r="R56" s="34"/>
    </row>
    <row r="57" spans="1:18" s="3" customFormat="1" ht="19.5" customHeight="1" x14ac:dyDescent="0.2">
      <c r="A57" s="44" t="s">
        <v>27</v>
      </c>
      <c r="B57" s="58"/>
      <c r="C57" s="43">
        <f>+C56+1</f>
        <v>33</v>
      </c>
      <c r="D57" s="41" t="s">
        <v>26</v>
      </c>
      <c r="E57" s="41" t="s">
        <v>26</v>
      </c>
      <c r="F57" s="59" t="s">
        <v>32</v>
      </c>
      <c r="G57" s="60">
        <v>10</v>
      </c>
      <c r="H57" s="73">
        <v>14</v>
      </c>
      <c r="I57" s="62">
        <f t="shared" si="12"/>
        <v>140</v>
      </c>
      <c r="J57" s="39"/>
      <c r="K57" s="38" t="s">
        <v>152</v>
      </c>
      <c r="L57" s="1"/>
      <c r="M57" s="76" t="s">
        <v>171</v>
      </c>
      <c r="N57" s="14">
        <v>45749</v>
      </c>
      <c r="O57" s="4"/>
      <c r="P57" s="75">
        <v>45762</v>
      </c>
      <c r="Q57" s="33">
        <v>45763</v>
      </c>
      <c r="R57" s="34"/>
    </row>
    <row r="58" spans="1:18" s="3" customFormat="1" ht="19.5" customHeight="1" x14ac:dyDescent="0.2">
      <c r="A58" s="44" t="s">
        <v>27</v>
      </c>
      <c r="B58" s="58"/>
      <c r="C58" s="43">
        <f t="shared" ref="C58:C74" si="15">+C57+1</f>
        <v>34</v>
      </c>
      <c r="D58" s="41" t="s">
        <v>26</v>
      </c>
      <c r="E58" s="41" t="s">
        <v>26</v>
      </c>
      <c r="F58" s="59" t="s">
        <v>153</v>
      </c>
      <c r="G58" s="60">
        <v>8</v>
      </c>
      <c r="H58" s="73">
        <v>74</v>
      </c>
      <c r="I58" s="62">
        <f t="shared" si="12"/>
        <v>592</v>
      </c>
      <c r="J58" s="39"/>
      <c r="K58" s="38" t="s">
        <v>168</v>
      </c>
      <c r="L58" s="1"/>
      <c r="M58" s="76" t="s">
        <v>171</v>
      </c>
      <c r="N58" s="14">
        <v>45749</v>
      </c>
      <c r="O58" s="4"/>
      <c r="P58" s="75">
        <v>45762</v>
      </c>
      <c r="Q58" s="33">
        <v>45763</v>
      </c>
      <c r="R58" s="34"/>
    </row>
    <row r="59" spans="1:18" s="3" customFormat="1" ht="19.5" customHeight="1" x14ac:dyDescent="0.2">
      <c r="A59" s="56" t="s">
        <v>34</v>
      </c>
      <c r="B59" s="58"/>
      <c r="C59" s="43">
        <f t="shared" si="15"/>
        <v>35</v>
      </c>
      <c r="D59" s="41" t="s">
        <v>26</v>
      </c>
      <c r="E59" s="41" t="s">
        <v>26</v>
      </c>
      <c r="F59" s="54" t="s">
        <v>67</v>
      </c>
      <c r="G59" s="52">
        <v>2</v>
      </c>
      <c r="H59" s="74">
        <v>2075</v>
      </c>
      <c r="I59" s="60">
        <f t="shared" si="12"/>
        <v>4150</v>
      </c>
      <c r="J59" s="26"/>
      <c r="K59" s="57" t="s">
        <v>72</v>
      </c>
      <c r="L59" s="1"/>
      <c r="M59" s="76" t="s">
        <v>171</v>
      </c>
      <c r="N59" s="14">
        <v>45749</v>
      </c>
      <c r="O59" s="4"/>
      <c r="P59" s="75">
        <v>45762</v>
      </c>
      <c r="Q59" s="33">
        <v>45763</v>
      </c>
      <c r="R59" s="34"/>
    </row>
    <row r="60" spans="1:18" s="3" customFormat="1" ht="19.5" customHeight="1" x14ac:dyDescent="0.2">
      <c r="A60" s="56" t="s">
        <v>34</v>
      </c>
      <c r="B60" s="58"/>
      <c r="C60" s="43">
        <f>+C59+1</f>
        <v>36</v>
      </c>
      <c r="D60" s="41" t="s">
        <v>26</v>
      </c>
      <c r="E60" s="41" t="s">
        <v>26</v>
      </c>
      <c r="F60" s="54" t="s">
        <v>69</v>
      </c>
      <c r="G60" s="52">
        <v>1</v>
      </c>
      <c r="H60" s="74">
        <v>1685</v>
      </c>
      <c r="I60" s="63">
        <f t="shared" si="12"/>
        <v>1685</v>
      </c>
      <c r="J60" s="50"/>
      <c r="K60" s="42" t="s">
        <v>55</v>
      </c>
      <c r="L60" s="1"/>
      <c r="M60" s="76" t="s">
        <v>171</v>
      </c>
      <c r="N60" s="14">
        <v>45749</v>
      </c>
      <c r="O60" s="4"/>
      <c r="P60" s="75">
        <v>45762</v>
      </c>
      <c r="Q60" s="33">
        <v>45763</v>
      </c>
      <c r="R60" s="34"/>
    </row>
    <row r="61" spans="1:18" s="3" customFormat="1" ht="19.5" customHeight="1" x14ac:dyDescent="0.2">
      <c r="A61" s="56" t="s">
        <v>28</v>
      </c>
      <c r="B61" s="58"/>
      <c r="C61" s="43">
        <f t="shared" si="15"/>
        <v>37</v>
      </c>
      <c r="D61" s="41" t="s">
        <v>26</v>
      </c>
      <c r="E61" s="41" t="s">
        <v>26</v>
      </c>
      <c r="F61" s="54" t="s">
        <v>40</v>
      </c>
      <c r="G61" s="52">
        <v>2</v>
      </c>
      <c r="H61" s="72">
        <v>3083</v>
      </c>
      <c r="I61" s="62">
        <f t="shared" si="12"/>
        <v>6166</v>
      </c>
      <c r="J61" s="13"/>
      <c r="K61" s="42" t="s">
        <v>56</v>
      </c>
      <c r="L61" s="1"/>
      <c r="M61" s="76" t="s">
        <v>171</v>
      </c>
      <c r="N61" s="14">
        <v>45749</v>
      </c>
      <c r="O61" s="4"/>
      <c r="P61" s="75">
        <v>45762</v>
      </c>
      <c r="Q61" s="33">
        <v>45763</v>
      </c>
      <c r="R61" s="34"/>
    </row>
    <row r="62" spans="1:18" s="3" customFormat="1" ht="19.5" customHeight="1" x14ac:dyDescent="0.2">
      <c r="A62" s="44" t="s">
        <v>27</v>
      </c>
      <c r="B62" s="58"/>
      <c r="C62" s="43">
        <f t="shared" si="15"/>
        <v>38</v>
      </c>
      <c r="D62" s="41" t="s">
        <v>26</v>
      </c>
      <c r="E62" s="41" t="s">
        <v>26</v>
      </c>
      <c r="F62" s="59" t="s">
        <v>148</v>
      </c>
      <c r="G62" s="60">
        <v>10</v>
      </c>
      <c r="H62" s="73">
        <v>15</v>
      </c>
      <c r="I62" s="62">
        <f t="shared" si="12"/>
        <v>150</v>
      </c>
      <c r="J62" s="39"/>
      <c r="K62" s="38" t="s">
        <v>154</v>
      </c>
      <c r="L62" s="1"/>
      <c r="M62" s="76" t="s">
        <v>171</v>
      </c>
      <c r="N62" s="14">
        <v>45749</v>
      </c>
      <c r="O62" s="4"/>
      <c r="P62" s="75">
        <v>45762</v>
      </c>
      <c r="Q62" s="33">
        <v>45763</v>
      </c>
      <c r="R62" s="34"/>
    </row>
    <row r="63" spans="1:18" s="3" customFormat="1" ht="19.5" customHeight="1" x14ac:dyDescent="0.2">
      <c r="A63" s="44" t="s">
        <v>27</v>
      </c>
      <c r="B63" s="58"/>
      <c r="C63" s="43">
        <f t="shared" si="15"/>
        <v>39</v>
      </c>
      <c r="D63" s="41" t="s">
        <v>26</v>
      </c>
      <c r="E63" s="41" t="s">
        <v>26</v>
      </c>
      <c r="F63" s="54" t="s">
        <v>85</v>
      </c>
      <c r="G63" s="52">
        <v>10</v>
      </c>
      <c r="H63" s="72">
        <v>14</v>
      </c>
      <c r="I63" s="62">
        <f t="shared" si="12"/>
        <v>140</v>
      </c>
      <c r="J63" s="13"/>
      <c r="K63" s="42" t="s">
        <v>86</v>
      </c>
      <c r="L63" s="1"/>
      <c r="M63" s="76" t="s">
        <v>171</v>
      </c>
      <c r="N63" s="14">
        <v>45749</v>
      </c>
      <c r="O63" s="4"/>
      <c r="P63" s="75">
        <v>45762</v>
      </c>
      <c r="Q63" s="33">
        <v>45763</v>
      </c>
      <c r="R63" s="34"/>
    </row>
    <row r="64" spans="1:18" s="3" customFormat="1" ht="19.5" customHeight="1" x14ac:dyDescent="0.2">
      <c r="A64" s="44" t="s">
        <v>27</v>
      </c>
      <c r="B64" s="58"/>
      <c r="C64" s="43">
        <f t="shared" si="15"/>
        <v>40</v>
      </c>
      <c r="D64" s="41" t="s">
        <v>26</v>
      </c>
      <c r="E64" s="41" t="s">
        <v>26</v>
      </c>
      <c r="F64" s="54" t="s">
        <v>51</v>
      </c>
      <c r="G64" s="52">
        <v>4</v>
      </c>
      <c r="H64" s="72">
        <v>62</v>
      </c>
      <c r="I64" s="62">
        <f t="shared" si="12"/>
        <v>248</v>
      </c>
      <c r="J64" s="13"/>
      <c r="K64" s="42" t="s">
        <v>62</v>
      </c>
      <c r="L64" s="1"/>
      <c r="M64" s="76" t="s">
        <v>171</v>
      </c>
      <c r="N64" s="14">
        <v>45749</v>
      </c>
      <c r="O64" s="4"/>
      <c r="P64" s="75">
        <v>45762</v>
      </c>
      <c r="Q64" s="33">
        <v>45763</v>
      </c>
      <c r="R64" s="34"/>
    </row>
    <row r="65" spans="1:18" s="3" customFormat="1" ht="19.5" customHeight="1" x14ac:dyDescent="0.2">
      <c r="A65" s="44" t="s">
        <v>27</v>
      </c>
      <c r="B65" s="58"/>
      <c r="C65" s="43">
        <f t="shared" si="15"/>
        <v>41</v>
      </c>
      <c r="D65" s="41" t="s">
        <v>26</v>
      </c>
      <c r="E65" s="41" t="s">
        <v>26</v>
      </c>
      <c r="F65" s="54" t="s">
        <v>68</v>
      </c>
      <c r="G65" s="52">
        <v>1</v>
      </c>
      <c r="H65" s="74">
        <v>67</v>
      </c>
      <c r="I65" s="63">
        <f t="shared" si="12"/>
        <v>67</v>
      </c>
      <c r="J65" s="50"/>
      <c r="K65" s="42" t="s">
        <v>62</v>
      </c>
      <c r="L65" s="1"/>
      <c r="M65" s="76" t="s">
        <v>171</v>
      </c>
      <c r="N65" s="14">
        <v>45749</v>
      </c>
      <c r="O65" s="4"/>
      <c r="P65" s="75">
        <v>45762</v>
      </c>
      <c r="Q65" s="33">
        <v>45763</v>
      </c>
      <c r="R65" s="34"/>
    </row>
    <row r="66" spans="1:18" s="3" customFormat="1" ht="19.5" customHeight="1" x14ac:dyDescent="0.2">
      <c r="A66" s="56" t="s">
        <v>30</v>
      </c>
      <c r="B66" s="58"/>
      <c r="C66" s="43">
        <f t="shared" si="15"/>
        <v>42</v>
      </c>
      <c r="D66" s="43" t="s">
        <v>31</v>
      </c>
      <c r="E66" s="36" t="s">
        <v>26</v>
      </c>
      <c r="F66" s="54" t="s">
        <v>81</v>
      </c>
      <c r="G66" s="52">
        <v>1</v>
      </c>
      <c r="H66" s="55">
        <v>8362</v>
      </c>
      <c r="I66" s="62">
        <f t="shared" si="12"/>
        <v>8362</v>
      </c>
      <c r="J66" s="13"/>
      <c r="K66" s="53" t="s">
        <v>78</v>
      </c>
      <c r="L66" s="1"/>
      <c r="M66" s="76" t="s">
        <v>171</v>
      </c>
      <c r="N66" s="14">
        <v>45749</v>
      </c>
      <c r="O66" s="4"/>
      <c r="P66" s="75">
        <v>45762</v>
      </c>
      <c r="Q66" s="33">
        <v>45763</v>
      </c>
      <c r="R66" s="34"/>
    </row>
    <row r="67" spans="1:18" s="3" customFormat="1" ht="19.5" customHeight="1" x14ac:dyDescent="0.2">
      <c r="A67" s="56" t="s">
        <v>29</v>
      </c>
      <c r="B67" s="58"/>
      <c r="C67" s="43">
        <f t="shared" si="15"/>
        <v>43</v>
      </c>
      <c r="D67" s="41" t="s">
        <v>26</v>
      </c>
      <c r="E67" s="41" t="s">
        <v>26</v>
      </c>
      <c r="F67" s="54" t="s">
        <v>159</v>
      </c>
      <c r="G67" s="52">
        <v>2</v>
      </c>
      <c r="H67" s="72">
        <v>676</v>
      </c>
      <c r="I67" s="62">
        <f t="shared" si="12"/>
        <v>1352</v>
      </c>
      <c r="J67" s="13"/>
      <c r="K67" s="42" t="s">
        <v>54</v>
      </c>
      <c r="L67" s="1"/>
      <c r="M67" s="76" t="s">
        <v>171</v>
      </c>
      <c r="N67" s="14">
        <v>45749</v>
      </c>
      <c r="O67" s="4"/>
      <c r="P67" s="75">
        <v>45762</v>
      </c>
      <c r="Q67" s="33">
        <v>45763</v>
      </c>
      <c r="R67" s="34"/>
    </row>
    <row r="68" spans="1:18" s="3" customFormat="1" ht="19.5" customHeight="1" x14ac:dyDescent="0.2">
      <c r="A68" s="56" t="s">
        <v>30</v>
      </c>
      <c r="B68" s="58"/>
      <c r="C68" s="43">
        <f t="shared" si="15"/>
        <v>44</v>
      </c>
      <c r="D68" s="64" t="s">
        <v>75</v>
      </c>
      <c r="E68" s="41" t="s">
        <v>26</v>
      </c>
      <c r="F68" s="54" t="s">
        <v>70</v>
      </c>
      <c r="G68" s="52">
        <v>1</v>
      </c>
      <c r="H68" s="61">
        <v>5048</v>
      </c>
      <c r="I68" s="60">
        <f t="shared" si="12"/>
        <v>5048</v>
      </c>
      <c r="J68" s="26"/>
      <c r="K68" s="57" t="s">
        <v>73</v>
      </c>
      <c r="L68" s="1"/>
      <c r="M68" s="76" t="s">
        <v>171</v>
      </c>
      <c r="N68" s="14">
        <v>45749</v>
      </c>
      <c r="O68" s="4"/>
      <c r="P68" s="75">
        <v>45762</v>
      </c>
      <c r="Q68" s="33">
        <v>45763</v>
      </c>
      <c r="R68" s="34"/>
    </row>
    <row r="69" spans="1:18" s="3" customFormat="1" ht="19.5" customHeight="1" x14ac:dyDescent="0.2">
      <c r="A69" s="56" t="s">
        <v>34</v>
      </c>
      <c r="B69" s="58"/>
      <c r="C69" s="43">
        <f t="shared" si="15"/>
        <v>45</v>
      </c>
      <c r="D69" s="41" t="s">
        <v>26</v>
      </c>
      <c r="E69" s="41" t="s">
        <v>26</v>
      </c>
      <c r="F69" s="54" t="s">
        <v>48</v>
      </c>
      <c r="G69" s="52">
        <v>1</v>
      </c>
      <c r="H69" s="72">
        <v>1367</v>
      </c>
      <c r="I69" s="62">
        <f t="shared" si="12"/>
        <v>1367</v>
      </c>
      <c r="J69" s="13"/>
      <c r="K69" s="42" t="s">
        <v>59</v>
      </c>
      <c r="L69" s="1"/>
      <c r="M69" s="76" t="s">
        <v>171</v>
      </c>
      <c r="N69" s="14">
        <v>45749</v>
      </c>
      <c r="O69" s="4"/>
      <c r="P69" s="75">
        <v>45762</v>
      </c>
      <c r="Q69" s="33">
        <v>45763</v>
      </c>
      <c r="R69" s="34"/>
    </row>
    <row r="70" spans="1:18" s="3" customFormat="1" ht="19.5" customHeight="1" x14ac:dyDescent="0.2">
      <c r="A70" s="56" t="s">
        <v>34</v>
      </c>
      <c r="B70" s="58"/>
      <c r="C70" s="43">
        <f t="shared" si="15"/>
        <v>46</v>
      </c>
      <c r="D70" s="43" t="s">
        <v>31</v>
      </c>
      <c r="E70" s="36" t="s">
        <v>26</v>
      </c>
      <c r="F70" s="54" t="s">
        <v>139</v>
      </c>
      <c r="G70" s="52">
        <v>2</v>
      </c>
      <c r="H70" s="55">
        <v>1890</v>
      </c>
      <c r="I70" s="62">
        <f t="shared" si="12"/>
        <v>3780</v>
      </c>
      <c r="J70" s="13"/>
      <c r="K70" s="53" t="s">
        <v>136</v>
      </c>
      <c r="L70" s="1"/>
      <c r="M70" s="76" t="s">
        <v>171</v>
      </c>
      <c r="N70" s="14">
        <v>45749</v>
      </c>
      <c r="O70" s="4"/>
      <c r="P70" s="75">
        <v>45762</v>
      </c>
      <c r="Q70" s="33">
        <v>45763</v>
      </c>
      <c r="R70" s="34"/>
    </row>
    <row r="71" spans="1:18" s="3" customFormat="1" ht="19.5" customHeight="1" x14ac:dyDescent="0.2">
      <c r="A71" s="56" t="s">
        <v>34</v>
      </c>
      <c r="B71" s="58"/>
      <c r="C71" s="43">
        <f t="shared" si="15"/>
        <v>47</v>
      </c>
      <c r="D71" s="43" t="s">
        <v>31</v>
      </c>
      <c r="E71" s="36" t="s">
        <v>26</v>
      </c>
      <c r="F71" s="54" t="s">
        <v>143</v>
      </c>
      <c r="G71" s="52">
        <v>1</v>
      </c>
      <c r="H71" s="55">
        <v>6427</v>
      </c>
      <c r="I71" s="62">
        <f t="shared" si="12"/>
        <v>6427</v>
      </c>
      <c r="J71" s="13"/>
      <c r="K71" s="53" t="s">
        <v>135</v>
      </c>
      <c r="L71" s="1"/>
      <c r="M71" s="76" t="s">
        <v>171</v>
      </c>
      <c r="N71" s="14">
        <v>45749</v>
      </c>
      <c r="O71" s="4"/>
      <c r="P71" s="75">
        <v>45762</v>
      </c>
      <c r="Q71" s="33">
        <v>45763</v>
      </c>
      <c r="R71" s="34"/>
    </row>
    <row r="72" spans="1:18" s="3" customFormat="1" ht="19.5" customHeight="1" x14ac:dyDescent="0.2">
      <c r="A72" s="44" t="s">
        <v>27</v>
      </c>
      <c r="B72" s="58"/>
      <c r="C72" s="43">
        <f t="shared" si="15"/>
        <v>48</v>
      </c>
      <c r="D72" s="64" t="s">
        <v>163</v>
      </c>
      <c r="E72" s="36" t="s">
        <v>26</v>
      </c>
      <c r="F72" s="54" t="s">
        <v>155</v>
      </c>
      <c r="G72" s="52">
        <v>4</v>
      </c>
      <c r="H72" s="55">
        <v>239</v>
      </c>
      <c r="I72" s="62">
        <f t="shared" si="12"/>
        <v>956</v>
      </c>
      <c r="J72" s="13"/>
      <c r="K72" s="42" t="s">
        <v>164</v>
      </c>
      <c r="L72" s="1"/>
      <c r="M72" s="76" t="s">
        <v>171</v>
      </c>
      <c r="N72" s="14">
        <v>45749</v>
      </c>
      <c r="O72" s="4"/>
      <c r="P72" s="75">
        <v>45762</v>
      </c>
      <c r="Q72" s="33">
        <v>45763</v>
      </c>
      <c r="R72" s="34"/>
    </row>
    <row r="73" spans="1:18" s="3" customFormat="1" ht="19.5" customHeight="1" x14ac:dyDescent="0.2">
      <c r="A73" s="44" t="s">
        <v>27</v>
      </c>
      <c r="B73" s="58"/>
      <c r="C73" s="43">
        <f>+C72+1</f>
        <v>49</v>
      </c>
      <c r="D73" s="41" t="s">
        <v>26</v>
      </c>
      <c r="E73" s="41" t="s">
        <v>26</v>
      </c>
      <c r="F73" s="54" t="s">
        <v>47</v>
      </c>
      <c r="G73" s="52">
        <v>2</v>
      </c>
      <c r="H73" s="72">
        <v>1746</v>
      </c>
      <c r="I73" s="62">
        <f t="shared" si="12"/>
        <v>3492</v>
      </c>
      <c r="J73" s="13"/>
      <c r="K73" s="42" t="s">
        <v>58</v>
      </c>
      <c r="L73" s="1"/>
      <c r="M73" s="76" t="s">
        <v>171</v>
      </c>
      <c r="N73" s="14">
        <v>45749</v>
      </c>
      <c r="O73" s="4"/>
      <c r="P73" s="75">
        <v>45762</v>
      </c>
      <c r="Q73" s="33">
        <v>45763</v>
      </c>
      <c r="R73" s="34"/>
    </row>
    <row r="74" spans="1:18" s="3" customFormat="1" ht="19.5" customHeight="1" x14ac:dyDescent="0.2">
      <c r="A74" s="44" t="s">
        <v>27</v>
      </c>
      <c r="B74" s="58"/>
      <c r="C74" s="43">
        <f t="shared" si="15"/>
        <v>50</v>
      </c>
      <c r="D74" s="41" t="s">
        <v>26</v>
      </c>
      <c r="E74" s="41" t="s">
        <v>26</v>
      </c>
      <c r="F74" s="54" t="s">
        <v>157</v>
      </c>
      <c r="G74" s="52">
        <v>10</v>
      </c>
      <c r="H74" s="72">
        <v>13</v>
      </c>
      <c r="I74" s="62">
        <f t="shared" si="12"/>
        <v>130</v>
      </c>
      <c r="J74" s="13"/>
      <c r="K74" s="42" t="s">
        <v>161</v>
      </c>
      <c r="L74" s="1"/>
      <c r="M74" s="76" t="s">
        <v>171</v>
      </c>
      <c r="N74" s="14">
        <v>45749</v>
      </c>
      <c r="O74" s="4"/>
      <c r="P74" s="75">
        <v>45762</v>
      </c>
      <c r="Q74" s="33">
        <v>45763</v>
      </c>
      <c r="R74" s="34"/>
    </row>
    <row r="75" spans="1:18" s="3" customFormat="1" ht="19.5" customHeight="1" x14ac:dyDescent="0.2">
      <c r="A75" s="56" t="s">
        <v>30</v>
      </c>
      <c r="B75" s="58"/>
      <c r="C75" s="43">
        <f>+C74+1</f>
        <v>51</v>
      </c>
      <c r="D75" s="43" t="s">
        <v>31</v>
      </c>
      <c r="E75" s="36" t="s">
        <v>26</v>
      </c>
      <c r="F75" s="54" t="s">
        <v>140</v>
      </c>
      <c r="G75" s="52">
        <v>1</v>
      </c>
      <c r="H75" s="55">
        <v>2557</v>
      </c>
      <c r="I75" s="62">
        <f t="shared" si="12"/>
        <v>2557</v>
      </c>
      <c r="J75" s="13"/>
      <c r="K75" s="53" t="s">
        <v>138</v>
      </c>
      <c r="L75" s="1"/>
      <c r="M75" s="76" t="s">
        <v>171</v>
      </c>
      <c r="N75" s="14">
        <v>45749</v>
      </c>
      <c r="O75" s="4"/>
      <c r="P75" s="75">
        <v>45762</v>
      </c>
      <c r="Q75" s="33">
        <v>45763</v>
      </c>
      <c r="R75" s="34"/>
    </row>
    <row r="76" spans="1:18" s="3" customFormat="1" ht="19.5" customHeight="1" x14ac:dyDescent="0.2">
      <c r="A76" s="56" t="s">
        <v>30</v>
      </c>
      <c r="B76" s="58"/>
      <c r="C76" s="43">
        <f>+C75+1</f>
        <v>52</v>
      </c>
      <c r="D76" s="43" t="s">
        <v>31</v>
      </c>
      <c r="E76" s="36" t="s">
        <v>26</v>
      </c>
      <c r="F76" s="54" t="s">
        <v>79</v>
      </c>
      <c r="G76" s="52">
        <v>1</v>
      </c>
      <c r="H76" s="55">
        <v>10352</v>
      </c>
      <c r="I76" s="62">
        <f t="shared" si="12"/>
        <v>10352</v>
      </c>
      <c r="J76" s="13"/>
      <c r="K76" s="53" t="s">
        <v>76</v>
      </c>
      <c r="L76" s="1"/>
      <c r="M76" s="76" t="s">
        <v>171</v>
      </c>
      <c r="N76" s="14">
        <v>45749</v>
      </c>
      <c r="O76" s="4"/>
      <c r="P76" s="75">
        <v>45762</v>
      </c>
      <c r="Q76" s="33">
        <v>45763</v>
      </c>
      <c r="R76" s="34"/>
    </row>
    <row r="77" spans="1:18" s="3" customFormat="1" ht="19.5" customHeight="1" x14ac:dyDescent="0.2">
      <c r="A77" s="44" t="s">
        <v>27</v>
      </c>
      <c r="B77" s="58"/>
      <c r="C77" s="43">
        <f t="shared" ref="C77:C91" si="16">+C76+1</f>
        <v>53</v>
      </c>
      <c r="D77" s="41" t="s">
        <v>26</v>
      </c>
      <c r="E77" s="41" t="s">
        <v>26</v>
      </c>
      <c r="F77" s="54" t="s">
        <v>36</v>
      </c>
      <c r="G77" s="52">
        <v>2</v>
      </c>
      <c r="H77" s="72">
        <v>737</v>
      </c>
      <c r="I77" s="62">
        <f t="shared" si="12"/>
        <v>1474</v>
      </c>
      <c r="J77" s="13"/>
      <c r="K77" s="42" t="s">
        <v>53</v>
      </c>
      <c r="L77" s="1"/>
      <c r="M77" s="76" t="s">
        <v>171</v>
      </c>
      <c r="N77" s="14">
        <v>45749</v>
      </c>
      <c r="O77" s="4"/>
      <c r="P77" s="75">
        <v>45762</v>
      </c>
      <c r="Q77" s="33">
        <v>45763</v>
      </c>
      <c r="R77" s="34"/>
    </row>
    <row r="78" spans="1:18" s="3" customFormat="1" ht="19.5" customHeight="1" x14ac:dyDescent="0.2">
      <c r="A78" s="44" t="s">
        <v>27</v>
      </c>
      <c r="B78" s="58"/>
      <c r="C78" s="43">
        <f t="shared" si="16"/>
        <v>54</v>
      </c>
      <c r="D78" s="41" t="s">
        <v>26</v>
      </c>
      <c r="E78" s="41" t="s">
        <v>26</v>
      </c>
      <c r="F78" s="54" t="s">
        <v>82</v>
      </c>
      <c r="G78" s="52">
        <v>4</v>
      </c>
      <c r="H78" s="72">
        <v>38</v>
      </c>
      <c r="I78" s="62">
        <f t="shared" si="12"/>
        <v>152</v>
      </c>
      <c r="J78" s="13"/>
      <c r="K78" s="42" t="s">
        <v>162</v>
      </c>
      <c r="L78" s="1"/>
      <c r="M78" s="76" t="s">
        <v>171</v>
      </c>
      <c r="N78" s="14">
        <v>45749</v>
      </c>
      <c r="O78" s="4"/>
      <c r="P78" s="75">
        <v>45762</v>
      </c>
      <c r="Q78" s="33">
        <v>45763</v>
      </c>
      <c r="R78" s="34"/>
    </row>
    <row r="79" spans="1:18" s="3" customFormat="1" ht="19.5" customHeight="1" x14ac:dyDescent="0.2">
      <c r="A79" s="56" t="s">
        <v>29</v>
      </c>
      <c r="B79" s="58"/>
      <c r="C79" s="43">
        <f t="shared" si="16"/>
        <v>55</v>
      </c>
      <c r="D79" s="41" t="s">
        <v>26</v>
      </c>
      <c r="E79" s="41" t="s">
        <v>26</v>
      </c>
      <c r="F79" s="54" t="s">
        <v>159</v>
      </c>
      <c r="G79" s="52">
        <v>2</v>
      </c>
      <c r="H79" s="72">
        <v>676</v>
      </c>
      <c r="I79" s="62">
        <f t="shared" si="12"/>
        <v>1352</v>
      </c>
      <c r="J79" s="13"/>
      <c r="K79" s="42" t="s">
        <v>54</v>
      </c>
      <c r="L79" s="1"/>
      <c r="M79" s="76" t="s">
        <v>171</v>
      </c>
      <c r="N79" s="14">
        <v>45749</v>
      </c>
      <c r="O79" s="4"/>
      <c r="P79" s="75">
        <v>45762</v>
      </c>
      <c r="Q79" s="33">
        <v>45763</v>
      </c>
      <c r="R79" s="34"/>
    </row>
    <row r="80" spans="1:18" s="3" customFormat="1" ht="19.5" customHeight="1" x14ac:dyDescent="0.2">
      <c r="A80" s="56" t="s">
        <v>29</v>
      </c>
      <c r="B80" s="58"/>
      <c r="C80" s="43">
        <f>+C79+1</f>
        <v>56</v>
      </c>
      <c r="D80" s="41" t="s">
        <v>26</v>
      </c>
      <c r="E80" s="41" t="s">
        <v>26</v>
      </c>
      <c r="F80" s="54" t="s">
        <v>38</v>
      </c>
      <c r="G80" s="52">
        <v>2</v>
      </c>
      <c r="H80" s="72">
        <v>825</v>
      </c>
      <c r="I80" s="62">
        <f t="shared" si="12"/>
        <v>1650</v>
      </c>
      <c r="J80" s="13"/>
      <c r="K80" s="42" t="s">
        <v>55</v>
      </c>
      <c r="L80" s="1"/>
      <c r="M80" s="76" t="s">
        <v>171</v>
      </c>
      <c r="N80" s="14">
        <v>45749</v>
      </c>
      <c r="O80" s="4"/>
      <c r="P80" s="75">
        <v>45762</v>
      </c>
      <c r="Q80" s="33">
        <v>45763</v>
      </c>
      <c r="R80" s="34"/>
    </row>
    <row r="81" spans="1:18" s="3" customFormat="1" ht="19.5" customHeight="1" x14ac:dyDescent="0.2">
      <c r="A81" s="56" t="s">
        <v>28</v>
      </c>
      <c r="B81" s="58"/>
      <c r="C81" s="43">
        <f t="shared" si="16"/>
        <v>57</v>
      </c>
      <c r="D81" s="41" t="s">
        <v>26</v>
      </c>
      <c r="E81" s="41" t="s">
        <v>26</v>
      </c>
      <c r="F81" s="54" t="s">
        <v>39</v>
      </c>
      <c r="G81" s="52">
        <v>2</v>
      </c>
      <c r="H81" s="72">
        <v>997</v>
      </c>
      <c r="I81" s="62">
        <f t="shared" si="12"/>
        <v>1994</v>
      </c>
      <c r="J81" s="13"/>
      <c r="K81" s="42" t="s">
        <v>55</v>
      </c>
      <c r="L81" s="1"/>
      <c r="M81" s="76" t="s">
        <v>171</v>
      </c>
      <c r="N81" s="14">
        <v>45749</v>
      </c>
      <c r="O81" s="4"/>
      <c r="P81" s="75">
        <v>45762</v>
      </c>
      <c r="Q81" s="33">
        <v>45763</v>
      </c>
      <c r="R81" s="34"/>
    </row>
    <row r="82" spans="1:18" s="3" customFormat="1" ht="19.5" customHeight="1" x14ac:dyDescent="0.2">
      <c r="A82" s="56" t="s">
        <v>30</v>
      </c>
      <c r="B82" s="58"/>
      <c r="C82" s="43">
        <f t="shared" si="16"/>
        <v>58</v>
      </c>
      <c r="D82" s="64" t="s">
        <v>75</v>
      </c>
      <c r="E82" s="41" t="s">
        <v>26</v>
      </c>
      <c r="F82" s="54" t="s">
        <v>71</v>
      </c>
      <c r="G82" s="52">
        <v>1</v>
      </c>
      <c r="H82" s="61">
        <v>5497</v>
      </c>
      <c r="I82" s="63">
        <f t="shared" si="12"/>
        <v>5497</v>
      </c>
      <c r="J82" s="50"/>
      <c r="K82" s="42" t="s">
        <v>74</v>
      </c>
      <c r="L82" s="1"/>
      <c r="M82" s="76" t="s">
        <v>171</v>
      </c>
      <c r="N82" s="14">
        <v>45749</v>
      </c>
      <c r="O82" s="4"/>
      <c r="P82" s="75">
        <v>45762</v>
      </c>
      <c r="Q82" s="33">
        <v>45763</v>
      </c>
      <c r="R82" s="34"/>
    </row>
    <row r="83" spans="1:18" s="3" customFormat="1" ht="19.5" customHeight="1" x14ac:dyDescent="0.2">
      <c r="A83" s="56" t="s">
        <v>28</v>
      </c>
      <c r="B83" s="58"/>
      <c r="C83" s="43">
        <f t="shared" si="16"/>
        <v>59</v>
      </c>
      <c r="D83" s="41" t="s">
        <v>26</v>
      </c>
      <c r="E83" s="41" t="s">
        <v>26</v>
      </c>
      <c r="F83" s="54" t="s">
        <v>40</v>
      </c>
      <c r="G83" s="52">
        <v>1</v>
      </c>
      <c r="H83" s="72">
        <v>3083</v>
      </c>
      <c r="I83" s="62">
        <f t="shared" si="12"/>
        <v>3083</v>
      </c>
      <c r="J83" s="13"/>
      <c r="K83" s="42" t="s">
        <v>56</v>
      </c>
      <c r="L83" s="1"/>
      <c r="M83" s="76" t="s">
        <v>171</v>
      </c>
      <c r="N83" s="14">
        <v>45749</v>
      </c>
      <c r="O83" s="4"/>
      <c r="P83" s="75">
        <v>45762</v>
      </c>
      <c r="Q83" s="33">
        <v>45763</v>
      </c>
      <c r="R83" s="34"/>
    </row>
    <row r="84" spans="1:18" s="3" customFormat="1" ht="19.5" customHeight="1" x14ac:dyDescent="0.2">
      <c r="A84" s="44" t="s">
        <v>27</v>
      </c>
      <c r="B84" s="58"/>
      <c r="C84" s="43">
        <f t="shared" si="16"/>
        <v>60</v>
      </c>
      <c r="D84" s="41" t="s">
        <v>26</v>
      </c>
      <c r="E84" s="41" t="s">
        <v>26</v>
      </c>
      <c r="F84" s="59" t="s">
        <v>33</v>
      </c>
      <c r="G84" s="60">
        <v>10</v>
      </c>
      <c r="H84" s="73">
        <v>15</v>
      </c>
      <c r="I84" s="62">
        <f t="shared" si="12"/>
        <v>150</v>
      </c>
      <c r="J84" s="39"/>
      <c r="K84" s="38" t="s">
        <v>84</v>
      </c>
      <c r="L84" s="1"/>
      <c r="M84" s="76" t="s">
        <v>171</v>
      </c>
      <c r="N84" s="14">
        <v>45749</v>
      </c>
      <c r="O84" s="4"/>
      <c r="P84" s="75">
        <v>45762</v>
      </c>
      <c r="Q84" s="33">
        <v>45763</v>
      </c>
      <c r="R84" s="34"/>
    </row>
    <row r="85" spans="1:18" s="3" customFormat="1" ht="19.5" customHeight="1" x14ac:dyDescent="0.2">
      <c r="A85" s="44" t="s">
        <v>27</v>
      </c>
      <c r="B85" s="58"/>
      <c r="C85" s="43">
        <f t="shared" si="16"/>
        <v>61</v>
      </c>
      <c r="D85" s="41" t="s">
        <v>26</v>
      </c>
      <c r="E85" s="41" t="s">
        <v>26</v>
      </c>
      <c r="F85" s="54" t="s">
        <v>44</v>
      </c>
      <c r="G85" s="52">
        <v>1</v>
      </c>
      <c r="H85" s="72">
        <v>130</v>
      </c>
      <c r="I85" s="62">
        <f t="shared" si="12"/>
        <v>130</v>
      </c>
      <c r="J85" s="13"/>
      <c r="K85" s="42" t="s">
        <v>57</v>
      </c>
      <c r="L85" s="1"/>
      <c r="M85" s="76" t="s">
        <v>171</v>
      </c>
      <c r="N85" s="14">
        <v>45749</v>
      </c>
      <c r="O85" s="4"/>
      <c r="P85" s="75">
        <v>45762</v>
      </c>
      <c r="Q85" s="33">
        <v>45763</v>
      </c>
      <c r="R85" s="34"/>
    </row>
    <row r="86" spans="1:18" s="3" customFormat="1" ht="19.5" customHeight="1" x14ac:dyDescent="0.2">
      <c r="A86" s="56" t="s">
        <v>30</v>
      </c>
      <c r="B86" s="58"/>
      <c r="C86" s="43">
        <f t="shared" si="16"/>
        <v>62</v>
      </c>
      <c r="D86" s="43" t="s">
        <v>31</v>
      </c>
      <c r="E86" s="36" t="s">
        <v>26</v>
      </c>
      <c r="F86" s="54" t="s">
        <v>80</v>
      </c>
      <c r="G86" s="52">
        <v>1</v>
      </c>
      <c r="H86" s="55">
        <v>7495</v>
      </c>
      <c r="I86" s="62">
        <f t="shared" si="12"/>
        <v>7495</v>
      </c>
      <c r="J86" s="13"/>
      <c r="K86" s="53" t="s">
        <v>77</v>
      </c>
      <c r="L86" s="1"/>
      <c r="M86" s="76" t="s">
        <v>171</v>
      </c>
      <c r="N86" s="14">
        <v>45749</v>
      </c>
      <c r="O86" s="4"/>
      <c r="P86" s="75">
        <v>45762</v>
      </c>
      <c r="Q86" s="33">
        <v>45763</v>
      </c>
      <c r="R86" s="34"/>
    </row>
    <row r="87" spans="1:18" s="3" customFormat="1" ht="19.5" customHeight="1" x14ac:dyDescent="0.2">
      <c r="A87" s="56" t="s">
        <v>28</v>
      </c>
      <c r="B87" s="58"/>
      <c r="C87" s="43">
        <f t="shared" si="16"/>
        <v>63</v>
      </c>
      <c r="D87" s="41" t="s">
        <v>26</v>
      </c>
      <c r="E87" s="41" t="s">
        <v>26</v>
      </c>
      <c r="F87" s="54" t="s">
        <v>48</v>
      </c>
      <c r="G87" s="52">
        <v>1</v>
      </c>
      <c r="H87" s="72">
        <v>1367</v>
      </c>
      <c r="I87" s="62">
        <f t="shared" si="12"/>
        <v>1367</v>
      </c>
      <c r="J87" s="13"/>
      <c r="K87" s="42" t="s">
        <v>59</v>
      </c>
      <c r="L87" s="1"/>
      <c r="M87" s="76" t="s">
        <v>171</v>
      </c>
      <c r="N87" s="14">
        <v>45749</v>
      </c>
      <c r="O87" s="4"/>
      <c r="P87" s="75">
        <v>45762</v>
      </c>
      <c r="Q87" s="33">
        <v>45763</v>
      </c>
      <c r="R87" s="34"/>
    </row>
    <row r="88" spans="1:18" s="3" customFormat="1" ht="19.5" customHeight="1" x14ac:dyDescent="0.2">
      <c r="A88" s="44" t="s">
        <v>27</v>
      </c>
      <c r="B88" s="58"/>
      <c r="C88" s="43">
        <f t="shared" si="16"/>
        <v>64</v>
      </c>
      <c r="D88" s="41" t="s">
        <v>26</v>
      </c>
      <c r="E88" s="41" t="s">
        <v>26</v>
      </c>
      <c r="F88" s="54" t="s">
        <v>49</v>
      </c>
      <c r="G88" s="52">
        <v>1</v>
      </c>
      <c r="H88" s="55">
        <v>373</v>
      </c>
      <c r="I88" s="62">
        <f t="shared" si="12"/>
        <v>373</v>
      </c>
      <c r="J88" s="13"/>
      <c r="K88" s="42" t="s">
        <v>60</v>
      </c>
      <c r="L88" s="1"/>
      <c r="M88" s="76" t="s">
        <v>171</v>
      </c>
      <c r="N88" s="14">
        <v>45749</v>
      </c>
      <c r="O88" s="4"/>
      <c r="P88" s="75">
        <v>45762</v>
      </c>
      <c r="Q88" s="33">
        <v>45763</v>
      </c>
      <c r="R88" s="34"/>
    </row>
    <row r="89" spans="1:18" s="3" customFormat="1" ht="19.5" customHeight="1" x14ac:dyDescent="0.2">
      <c r="A89" s="44" t="s">
        <v>27</v>
      </c>
      <c r="B89" s="58"/>
      <c r="C89" s="43">
        <f t="shared" si="16"/>
        <v>65</v>
      </c>
      <c r="D89" s="41" t="s">
        <v>26</v>
      </c>
      <c r="E89" s="41" t="s">
        <v>26</v>
      </c>
      <c r="F89" s="54" t="s">
        <v>50</v>
      </c>
      <c r="G89" s="52">
        <v>2</v>
      </c>
      <c r="H89" s="72">
        <v>288</v>
      </c>
      <c r="I89" s="62">
        <f t="shared" si="12"/>
        <v>576</v>
      </c>
      <c r="J89" s="13"/>
      <c r="K89" s="42" t="s">
        <v>61</v>
      </c>
      <c r="L89" s="1"/>
      <c r="M89" s="76" t="s">
        <v>171</v>
      </c>
      <c r="N89" s="14">
        <v>45749</v>
      </c>
      <c r="O89" s="4"/>
      <c r="P89" s="75">
        <v>45762</v>
      </c>
      <c r="Q89" s="33">
        <v>45763</v>
      </c>
      <c r="R89" s="34"/>
    </row>
    <row r="90" spans="1:18" s="3" customFormat="1" ht="19.5" customHeight="1" x14ac:dyDescent="0.2">
      <c r="A90" s="44" t="s">
        <v>27</v>
      </c>
      <c r="B90" s="58"/>
      <c r="C90" s="43">
        <f t="shared" si="16"/>
        <v>66</v>
      </c>
      <c r="D90" s="41" t="s">
        <v>26</v>
      </c>
      <c r="E90" s="41" t="s">
        <v>26</v>
      </c>
      <c r="F90" s="54" t="s">
        <v>51</v>
      </c>
      <c r="G90" s="52">
        <v>1</v>
      </c>
      <c r="H90" s="72">
        <v>62</v>
      </c>
      <c r="I90" s="62">
        <f t="shared" si="12"/>
        <v>62</v>
      </c>
      <c r="J90" s="13"/>
      <c r="K90" s="42" t="s">
        <v>62</v>
      </c>
      <c r="L90" s="1"/>
      <c r="M90" s="76" t="s">
        <v>171</v>
      </c>
      <c r="N90" s="14">
        <v>45749</v>
      </c>
      <c r="O90" s="4"/>
      <c r="P90" s="75">
        <v>45762</v>
      </c>
      <c r="Q90" s="33">
        <v>45763</v>
      </c>
      <c r="R90" s="34"/>
    </row>
    <row r="91" spans="1:18" s="3" customFormat="1" ht="19.5" customHeight="1" x14ac:dyDescent="0.2">
      <c r="A91" s="56" t="s">
        <v>172</v>
      </c>
      <c r="B91" s="22"/>
      <c r="C91" s="43">
        <f t="shared" si="16"/>
        <v>67</v>
      </c>
      <c r="D91" s="41" t="s">
        <v>26</v>
      </c>
      <c r="E91" s="41" t="s">
        <v>26</v>
      </c>
      <c r="F91" s="93" t="s">
        <v>173</v>
      </c>
      <c r="G91" s="94">
        <v>4</v>
      </c>
      <c r="H91" s="95">
        <v>741</v>
      </c>
      <c r="I91" s="96">
        <f t="shared" si="12"/>
        <v>2964</v>
      </c>
      <c r="J91" s="13"/>
      <c r="K91" s="42" t="s">
        <v>54</v>
      </c>
      <c r="L91" s="1"/>
      <c r="M91" s="97" t="s">
        <v>174</v>
      </c>
      <c r="N91" s="14">
        <v>45764</v>
      </c>
      <c r="O91" s="4"/>
      <c r="P91" s="75">
        <v>45777</v>
      </c>
      <c r="Q91" s="33">
        <v>45778</v>
      </c>
      <c r="R91" s="34"/>
    </row>
    <row r="92" spans="1:18" s="3" customFormat="1" ht="19.5" customHeight="1" x14ac:dyDescent="0.2">
      <c r="A92" s="51"/>
      <c r="B92" s="22"/>
      <c r="C92" s="23"/>
      <c r="D92" s="23"/>
      <c r="E92" s="23"/>
      <c r="F92" s="49"/>
      <c r="G92" s="29"/>
      <c r="H92" s="18"/>
      <c r="I92" s="35"/>
      <c r="J92" s="13"/>
      <c r="K92" s="19"/>
      <c r="L92" s="1"/>
      <c r="M92" s="1"/>
      <c r="N92" s="14"/>
      <c r="O92" s="4"/>
      <c r="P92" s="2"/>
      <c r="Q92" s="33"/>
      <c r="R92" s="34"/>
    </row>
    <row r="93" spans="1:18" s="3" customFormat="1" ht="19.5" customHeight="1" x14ac:dyDescent="0.2">
      <c r="A93" s="51"/>
      <c r="B93" s="22"/>
      <c r="C93" s="23"/>
      <c r="D93" s="23"/>
      <c r="E93" s="23"/>
      <c r="F93" s="40">
        <f>SUM(I49:I91)</f>
        <v>112057</v>
      </c>
      <c r="G93" s="29"/>
      <c r="H93" s="18"/>
      <c r="I93" s="35"/>
      <c r="J93" s="13"/>
      <c r="K93" s="19"/>
      <c r="L93" s="1"/>
      <c r="M93" s="1"/>
      <c r="N93" s="14"/>
      <c r="O93" s="4"/>
      <c r="P93" s="2"/>
      <c r="Q93" s="33"/>
      <c r="R93" s="34"/>
    </row>
    <row r="94" spans="1:18" s="3" customFormat="1" ht="19.5" customHeight="1" x14ac:dyDescent="0.2">
      <c r="A94" s="51"/>
      <c r="B94" s="22"/>
      <c r="C94" s="23"/>
      <c r="D94" s="23"/>
      <c r="E94" s="23"/>
      <c r="F94" s="49"/>
      <c r="G94" s="29"/>
      <c r="H94" s="18"/>
      <c r="I94" s="35"/>
      <c r="J94" s="13"/>
      <c r="K94" s="19"/>
      <c r="L94" s="1"/>
      <c r="M94" s="1"/>
      <c r="N94" s="14"/>
      <c r="O94" s="4"/>
      <c r="P94" s="2"/>
      <c r="Q94" s="33"/>
      <c r="R94" s="34"/>
    </row>
    <row r="95" spans="1:18" s="3" customFormat="1" ht="19.5" customHeight="1" x14ac:dyDescent="0.2">
      <c r="A95" s="51"/>
      <c r="B95" s="22"/>
      <c r="C95" s="23"/>
      <c r="D95" s="23"/>
      <c r="E95" s="23"/>
      <c r="F95" s="49"/>
      <c r="G95" s="29"/>
      <c r="H95" s="18"/>
      <c r="I95" s="35"/>
      <c r="J95" s="13"/>
      <c r="K95" s="19"/>
      <c r="L95" s="1"/>
      <c r="M95" s="1"/>
      <c r="N95" s="14"/>
      <c r="O95" s="4"/>
      <c r="P95" s="2"/>
      <c r="Q95" s="33"/>
      <c r="R95" s="34"/>
    </row>
    <row r="96" spans="1:18" s="3" customFormat="1" ht="19.5" customHeight="1" x14ac:dyDescent="0.2">
      <c r="A96" s="51"/>
      <c r="B96" s="22"/>
      <c r="C96" s="23"/>
      <c r="D96" s="23"/>
      <c r="E96" s="23"/>
      <c r="F96" s="49"/>
      <c r="G96" s="29"/>
      <c r="H96" s="18"/>
      <c r="I96" s="35"/>
      <c r="J96" s="13"/>
      <c r="K96" s="19"/>
      <c r="L96" s="1"/>
      <c r="M96" s="1"/>
      <c r="N96" s="14"/>
      <c r="O96" s="4"/>
      <c r="P96" s="2"/>
      <c r="Q96" s="33"/>
      <c r="R96" s="34"/>
    </row>
    <row r="97" spans="1:18" s="3" customFormat="1" ht="19.5" customHeight="1" x14ac:dyDescent="0.2">
      <c r="A97" s="51"/>
      <c r="B97" s="22"/>
      <c r="C97" s="23"/>
      <c r="D97" s="23"/>
      <c r="E97" s="23"/>
      <c r="F97" s="49"/>
      <c r="G97" s="29"/>
      <c r="H97" s="18"/>
      <c r="I97" s="35"/>
      <c r="J97" s="13"/>
      <c r="K97" s="19"/>
      <c r="L97" s="1"/>
      <c r="M97" s="1"/>
      <c r="N97" s="14"/>
      <c r="O97" s="4"/>
      <c r="P97" s="2"/>
      <c r="Q97" s="33"/>
      <c r="R97" s="34"/>
    </row>
    <row r="98" spans="1:18" s="3" customFormat="1" ht="19.5" customHeight="1" x14ac:dyDescent="0.2">
      <c r="A98" s="51"/>
      <c r="B98" s="22"/>
      <c r="C98" s="23"/>
      <c r="D98" s="23"/>
      <c r="E98" s="23"/>
      <c r="F98" s="49"/>
      <c r="G98" s="29"/>
      <c r="H98" s="18"/>
      <c r="I98" s="35"/>
      <c r="J98" s="13"/>
      <c r="K98" s="19"/>
      <c r="L98" s="1"/>
      <c r="M98" s="1"/>
      <c r="N98" s="14"/>
      <c r="O98" s="4"/>
      <c r="P98" s="2"/>
      <c r="Q98" s="33"/>
      <c r="R98" s="34"/>
    </row>
    <row r="99" spans="1:18" s="3" customFormat="1" ht="19.5" customHeight="1" x14ac:dyDescent="0.2">
      <c r="B99" s="22"/>
      <c r="C99" s="23"/>
      <c r="D99" s="23"/>
      <c r="E99" s="23"/>
      <c r="F99" s="30"/>
      <c r="G99" s="29"/>
      <c r="H99" s="18"/>
      <c r="I99" s="18"/>
      <c r="J99" s="13"/>
      <c r="K99" s="19"/>
      <c r="L99" s="1"/>
      <c r="M99" s="1"/>
      <c r="N99" s="14"/>
      <c r="O99" s="4"/>
      <c r="P99" s="2"/>
      <c r="Q99" s="33"/>
      <c r="R99" s="34"/>
    </row>
    <row r="100" spans="1:18" s="3" customFormat="1" ht="19.5" customHeight="1" x14ac:dyDescent="0.2">
      <c r="B100" s="22"/>
      <c r="C100" s="23"/>
      <c r="D100" s="23"/>
      <c r="E100" s="23"/>
      <c r="F100" s="30"/>
      <c r="G100" s="29"/>
      <c r="H100" s="18"/>
      <c r="I100" s="18"/>
      <c r="J100" s="13"/>
      <c r="K100" s="19"/>
      <c r="L100" s="1"/>
      <c r="M100" s="1"/>
      <c r="N100" s="14"/>
      <c r="O100" s="4"/>
      <c r="P100" s="2"/>
      <c r="Q100" s="33"/>
      <c r="R100" s="34"/>
    </row>
    <row r="101" spans="1:18" s="3" customFormat="1" ht="19.5" customHeight="1" x14ac:dyDescent="0.2">
      <c r="B101" s="22"/>
      <c r="C101" s="23"/>
      <c r="D101" s="23"/>
      <c r="E101" s="23"/>
      <c r="F101" s="30"/>
      <c r="G101" s="29"/>
      <c r="H101" s="18"/>
      <c r="I101" s="18"/>
      <c r="J101" s="13"/>
      <c r="K101" s="19"/>
      <c r="L101" s="1"/>
      <c r="M101" s="1"/>
      <c r="N101" s="14"/>
      <c r="O101" s="4"/>
      <c r="P101" s="2"/>
      <c r="Q101" s="33"/>
      <c r="R101" s="34"/>
    </row>
    <row r="102" spans="1:18" s="3" customFormat="1" ht="19.5" customHeight="1" x14ac:dyDescent="0.2">
      <c r="B102" s="22"/>
      <c r="C102" s="23"/>
      <c r="D102" s="23"/>
      <c r="E102" s="23"/>
      <c r="F102" s="30"/>
      <c r="G102" s="29"/>
      <c r="H102" s="18"/>
      <c r="I102" s="18"/>
      <c r="J102" s="13"/>
      <c r="K102" s="19"/>
      <c r="L102" s="1"/>
      <c r="M102" s="1"/>
      <c r="N102" s="14"/>
      <c r="O102" s="4"/>
      <c r="P102" s="2"/>
      <c r="Q102" s="33"/>
      <c r="R102" s="34"/>
    </row>
    <row r="103" spans="1:18" s="3" customFormat="1" ht="19.5" customHeight="1" x14ac:dyDescent="0.2">
      <c r="B103" s="22"/>
      <c r="C103" s="23"/>
      <c r="D103" s="23"/>
      <c r="E103" s="23"/>
      <c r="F103" s="30"/>
      <c r="G103" s="29"/>
      <c r="H103" s="18"/>
      <c r="I103" s="18"/>
      <c r="J103" s="13"/>
      <c r="K103" s="19"/>
      <c r="L103" s="1"/>
      <c r="M103" s="1"/>
      <c r="N103" s="14"/>
      <c r="O103" s="4"/>
      <c r="P103" s="2"/>
      <c r="Q103" s="33"/>
      <c r="R103" s="34"/>
    </row>
    <row r="104" spans="1:18" s="3" customFormat="1" ht="19.5" customHeight="1" x14ac:dyDescent="0.2">
      <c r="B104" s="22"/>
      <c r="C104" s="23"/>
      <c r="D104" s="23"/>
      <c r="E104" s="23"/>
      <c r="F104" s="30"/>
      <c r="G104" s="29"/>
      <c r="H104" s="18"/>
      <c r="I104" s="18"/>
      <c r="J104" s="13"/>
      <c r="K104" s="19"/>
      <c r="L104" s="1"/>
      <c r="M104" s="1"/>
      <c r="N104" s="14"/>
      <c r="O104" s="4"/>
      <c r="P104" s="2"/>
      <c r="Q104" s="33"/>
      <c r="R104" s="34"/>
    </row>
    <row r="105" spans="1:18" s="3" customFormat="1" ht="19.5" customHeight="1" x14ac:dyDescent="0.2">
      <c r="B105" s="22"/>
      <c r="C105" s="23"/>
      <c r="D105" s="23"/>
      <c r="E105" s="23"/>
      <c r="F105" s="30"/>
      <c r="G105" s="29"/>
      <c r="H105" s="18"/>
      <c r="I105" s="18"/>
      <c r="J105" s="13"/>
      <c r="K105" s="19"/>
      <c r="L105" s="1"/>
      <c r="M105" s="1"/>
      <c r="N105" s="14"/>
      <c r="O105" s="4"/>
      <c r="P105" s="2"/>
      <c r="Q105" s="33"/>
      <c r="R105" s="34"/>
    </row>
    <row r="106" spans="1:18" s="3" customFormat="1" ht="19.5" customHeight="1" x14ac:dyDescent="0.2">
      <c r="B106" s="22"/>
      <c r="C106" s="23"/>
      <c r="D106" s="23"/>
      <c r="E106" s="23"/>
      <c r="F106" s="30"/>
      <c r="G106" s="29"/>
      <c r="H106" s="18"/>
      <c r="I106" s="18"/>
      <c r="J106" s="13"/>
      <c r="K106" s="19"/>
      <c r="L106" s="1"/>
      <c r="M106" s="1"/>
      <c r="N106" s="14"/>
      <c r="O106" s="4"/>
      <c r="P106" s="2"/>
      <c r="Q106" s="33"/>
      <c r="R106" s="34"/>
    </row>
    <row r="107" spans="1:18" ht="18" customHeight="1" x14ac:dyDescent="0.2">
      <c r="B107" s="22"/>
      <c r="C107" s="1"/>
      <c r="D107" s="4"/>
      <c r="E107" s="4"/>
      <c r="F107" s="15"/>
      <c r="G107" s="16"/>
      <c r="H107" s="16"/>
      <c r="I107" s="18"/>
      <c r="J107" s="2"/>
      <c r="K107" s="15"/>
      <c r="L107" s="6"/>
      <c r="M107" s="1"/>
      <c r="N107" s="14"/>
      <c r="O107" s="20"/>
      <c r="P107" s="2"/>
      <c r="Q107" s="33"/>
      <c r="R107" s="24"/>
    </row>
    <row r="108" spans="1:18" ht="18" customHeight="1" x14ac:dyDescent="0.2">
      <c r="B108" s="22"/>
      <c r="C108" s="1"/>
      <c r="D108" s="1"/>
      <c r="E108" s="1"/>
      <c r="F108" s="6" t="s">
        <v>22</v>
      </c>
      <c r="G108" s="18"/>
      <c r="H108" s="18"/>
      <c r="I108" s="18">
        <f>G108*H108</f>
        <v>0</v>
      </c>
      <c r="J108" s="13"/>
      <c r="K108" s="15" t="s">
        <v>23</v>
      </c>
      <c r="L108" s="20"/>
      <c r="M108" s="1"/>
      <c r="N108" s="14"/>
      <c r="O108" s="20"/>
      <c r="P108" s="2"/>
      <c r="Q108" s="33"/>
      <c r="R108" s="34"/>
    </row>
    <row r="109" spans="1:18" ht="18" customHeight="1" x14ac:dyDescent="0.2">
      <c r="B109" s="22"/>
      <c r="C109" s="1"/>
      <c r="D109" s="4"/>
      <c r="E109" s="4"/>
      <c r="F109" s="6" t="s">
        <v>23</v>
      </c>
      <c r="G109" s="18"/>
      <c r="H109" s="18">
        <v>5000</v>
      </c>
      <c r="I109" s="18">
        <f>G109*H109</f>
        <v>0</v>
      </c>
      <c r="J109" s="13"/>
      <c r="K109" s="15" t="s">
        <v>24</v>
      </c>
      <c r="L109" s="20"/>
      <c r="M109" s="1"/>
      <c r="N109" s="1"/>
      <c r="O109" s="20"/>
      <c r="P109" s="2"/>
      <c r="Q109" s="34"/>
      <c r="R109" s="34"/>
    </row>
    <row r="110" spans="1:18" ht="18" customHeight="1" x14ac:dyDescent="0.2">
      <c r="B110" s="22"/>
      <c r="C110" s="1"/>
      <c r="D110" s="4"/>
      <c r="E110" s="4"/>
      <c r="F110" s="6" t="s">
        <v>24</v>
      </c>
      <c r="G110" s="18"/>
      <c r="H110" s="18"/>
      <c r="I110" s="18">
        <f>G110*H110</f>
        <v>0</v>
      </c>
      <c r="J110" s="13"/>
      <c r="K110" s="5"/>
      <c r="L110" s="20"/>
      <c r="M110" s="1"/>
      <c r="N110" s="1"/>
      <c r="O110" s="20"/>
      <c r="P110" s="2"/>
      <c r="Q110" s="34"/>
      <c r="R110" s="34"/>
    </row>
    <row r="111" spans="1:18" ht="18" customHeight="1" x14ac:dyDescent="0.2">
      <c r="B111" s="22"/>
      <c r="C111" s="1"/>
      <c r="D111" s="4"/>
      <c r="E111" s="4"/>
      <c r="F111" s="84"/>
      <c r="G111" s="85"/>
      <c r="H111" s="85"/>
      <c r="I111" s="86"/>
      <c r="J111" s="7"/>
      <c r="K111" s="17"/>
      <c r="L111" s="20"/>
      <c r="M111" s="1"/>
      <c r="N111" s="1"/>
      <c r="O111" s="20"/>
      <c r="P111" s="2"/>
      <c r="Q111" s="34"/>
      <c r="R111" s="34"/>
    </row>
    <row r="112" spans="1:18" ht="18" customHeight="1" x14ac:dyDescent="0.2"/>
    <row r="113" ht="18" customHeight="1" x14ac:dyDescent="0.2"/>
  </sheetData>
  <autoFilter ref="A10:R98" xr:uid="{45795B11-EA03-4D9F-B7D5-933EB783FCD2}"/>
  <mergeCells count="12">
    <mergeCell ref="K7:L7"/>
    <mergeCell ref="D13:F13"/>
    <mergeCell ref="D48:F48"/>
    <mergeCell ref="F111:I111"/>
    <mergeCell ref="C2:E2"/>
    <mergeCell ref="H2:J2"/>
    <mergeCell ref="C3:E3"/>
    <mergeCell ref="C4:E4"/>
    <mergeCell ref="H4:K5"/>
    <mergeCell ref="C5:E5"/>
    <mergeCell ref="G5:G6"/>
    <mergeCell ref="C6:E6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>
      <selection activeCell="E28" sqref="E28"/>
    </sheetView>
  </sheetViews>
  <sheetFormatPr defaultRowHeight="13.2" x14ac:dyDescent="0.2"/>
  <sheetData/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8671875" defaultRowHeight="13.5" customHeight="1" x14ac:dyDescent="0.2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8671875" defaultRowHeight="13.5" customHeight="1" x14ac:dyDescent="0.2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3AA8-2055-43EB-9972-95D1CCD67F98}">
  <sheetPr>
    <tabColor theme="2" tint="-0.499984740745262"/>
  </sheetPr>
  <dimension ref="A2:R145"/>
  <sheetViews>
    <sheetView zoomScale="85" zoomScaleNormal="85" workbookViewId="0">
      <pane ySplit="10" topLeftCell="A103" activePane="bottomLeft" state="frozen"/>
      <selection pane="bottomLeft" activeCell="F116" sqref="F116"/>
    </sheetView>
  </sheetViews>
  <sheetFormatPr defaultColWidth="11.88671875" defaultRowHeight="13.5" customHeight="1" x14ac:dyDescent="0.2"/>
  <cols>
    <col min="1" max="1" width="8.44140625" customWidth="1"/>
    <col min="2" max="2" width="9.33203125" customWidth="1"/>
    <col min="3" max="3" width="6.109375" style="3" customWidth="1"/>
    <col min="4" max="4" width="15.109375" customWidth="1"/>
    <col min="5" max="5" width="15.44140625" customWidth="1"/>
    <col min="6" max="6" width="59.77734375" customWidth="1"/>
    <col min="7" max="7" width="10.88671875" style="3" customWidth="1"/>
    <col min="8" max="9" width="12.109375" style="3" customWidth="1"/>
    <col min="10" max="10" width="7.109375" style="12" customWidth="1"/>
    <col min="11" max="11" width="50.44140625" customWidth="1"/>
    <col min="12" max="12" width="38.44140625" customWidth="1"/>
    <col min="13" max="13" width="20.77734375" style="3" customWidth="1"/>
    <col min="14" max="14" width="17" style="3" customWidth="1"/>
    <col min="15" max="15" width="7.88671875" customWidth="1"/>
    <col min="16" max="16" width="16.33203125" style="3" customWidth="1"/>
    <col min="17" max="17" width="17.88671875" style="25" customWidth="1"/>
    <col min="18" max="18" width="19.33203125" style="25" customWidth="1"/>
  </cols>
  <sheetData>
    <row r="2" spans="1:18" ht="20.100000000000001" customHeight="1" x14ac:dyDescent="0.2">
      <c r="C2" s="87" t="s">
        <v>0</v>
      </c>
      <c r="D2" s="87"/>
      <c r="E2" s="87"/>
      <c r="F2" s="21" t="s">
        <v>65</v>
      </c>
      <c r="H2" s="88" t="s">
        <v>1</v>
      </c>
      <c r="I2" s="89"/>
      <c r="J2" s="90"/>
      <c r="K2" s="11">
        <f>SUM(I:I)</f>
        <v>239410</v>
      </c>
    </row>
    <row r="3" spans="1:18" ht="20.100000000000001" customHeight="1" x14ac:dyDescent="0.2">
      <c r="C3" s="87" t="s">
        <v>2</v>
      </c>
      <c r="D3" s="87"/>
      <c r="E3" s="87"/>
      <c r="F3" s="9" t="s">
        <v>66</v>
      </c>
    </row>
    <row r="4" spans="1:18" ht="20.100000000000001" customHeight="1" x14ac:dyDescent="0.2">
      <c r="C4" s="87" t="s">
        <v>3</v>
      </c>
      <c r="D4" s="87"/>
      <c r="E4" s="87"/>
      <c r="F4" s="9" t="s">
        <v>169</v>
      </c>
      <c r="H4" s="91" t="s">
        <v>64</v>
      </c>
      <c r="I4" s="91"/>
      <c r="J4" s="91"/>
      <c r="K4" s="91"/>
      <c r="L4" s="27"/>
    </row>
    <row r="5" spans="1:18" ht="20.100000000000001" customHeight="1" x14ac:dyDescent="0.2">
      <c r="C5" s="87" t="s">
        <v>4</v>
      </c>
      <c r="D5" s="87"/>
      <c r="E5" s="87"/>
      <c r="F5" s="10">
        <v>45801</v>
      </c>
      <c r="G5" s="92" t="s">
        <v>63</v>
      </c>
      <c r="H5" s="91"/>
      <c r="I5" s="91"/>
      <c r="J5" s="91"/>
      <c r="K5" s="91"/>
    </row>
    <row r="6" spans="1:18" ht="20.100000000000001" customHeight="1" x14ac:dyDescent="0.2">
      <c r="C6" s="87" t="s">
        <v>5</v>
      </c>
      <c r="D6" s="87"/>
      <c r="E6" s="87"/>
      <c r="F6" s="10">
        <v>45804</v>
      </c>
      <c r="G6" s="92"/>
      <c r="I6" s="28"/>
    </row>
    <row r="7" spans="1:18" ht="19.8" customHeight="1" x14ac:dyDescent="0.2">
      <c r="K7" s="77"/>
      <c r="L7" s="77"/>
    </row>
    <row r="8" spans="1:18" ht="16.8" customHeight="1" x14ac:dyDescent="0.2">
      <c r="J8" s="47"/>
      <c r="K8" s="48" t="s">
        <v>35</v>
      </c>
    </row>
    <row r="10" spans="1:18" s="3" customFormat="1" ht="19.5" customHeight="1" x14ac:dyDescent="0.2">
      <c r="B10" s="32" t="s">
        <v>25</v>
      </c>
      <c r="C10" s="31" t="s">
        <v>6</v>
      </c>
      <c r="D10" s="4" t="s">
        <v>7</v>
      </c>
      <c r="E10" s="4" t="s">
        <v>8</v>
      </c>
      <c r="F10" s="1" t="s">
        <v>9</v>
      </c>
      <c r="G10" s="1" t="s">
        <v>10</v>
      </c>
      <c r="H10" s="1" t="s">
        <v>11</v>
      </c>
      <c r="I10" s="2" t="s">
        <v>12</v>
      </c>
      <c r="J10" s="2" t="s">
        <v>13</v>
      </c>
      <c r="K10" s="1" t="s">
        <v>14</v>
      </c>
      <c r="L10" s="1" t="s">
        <v>15</v>
      </c>
      <c r="M10" s="1" t="s">
        <v>16</v>
      </c>
      <c r="N10" s="14" t="s">
        <v>17</v>
      </c>
      <c r="O10" s="4" t="s">
        <v>18</v>
      </c>
      <c r="P10" s="1" t="s">
        <v>19</v>
      </c>
      <c r="Q10" s="14" t="s">
        <v>20</v>
      </c>
      <c r="R10" s="8" t="s">
        <v>21</v>
      </c>
    </row>
    <row r="11" spans="1:18" s="3" customFormat="1" ht="19.5" customHeight="1" x14ac:dyDescent="0.2">
      <c r="B11" s="22"/>
      <c r="C11" s="23"/>
      <c r="D11" s="23"/>
      <c r="E11" s="23"/>
      <c r="F11" s="30"/>
      <c r="G11" s="29"/>
      <c r="H11" s="18"/>
      <c r="I11" s="18"/>
      <c r="J11" s="13"/>
      <c r="K11" s="19"/>
      <c r="L11" s="1"/>
      <c r="M11" s="1"/>
      <c r="N11" s="14"/>
      <c r="O11" s="4"/>
      <c r="P11" s="2"/>
      <c r="Q11" s="33"/>
      <c r="R11" s="34"/>
    </row>
    <row r="12" spans="1:18" s="3" customFormat="1" ht="19.5" customHeight="1" x14ac:dyDescent="0.2">
      <c r="A12" s="51"/>
      <c r="B12" s="22"/>
      <c r="C12" s="23"/>
      <c r="D12" s="23"/>
      <c r="E12" s="23"/>
      <c r="F12" s="49"/>
      <c r="G12" s="29"/>
      <c r="H12" s="18"/>
      <c r="I12" s="35"/>
      <c r="J12" s="13"/>
      <c r="K12" s="19"/>
      <c r="L12" s="1"/>
      <c r="M12" s="1"/>
      <c r="N12" s="14"/>
      <c r="O12" s="4"/>
      <c r="P12" s="2"/>
      <c r="Q12" s="33"/>
      <c r="R12" s="34"/>
    </row>
    <row r="13" spans="1:18" s="3" customFormat="1" ht="19.5" customHeight="1" x14ac:dyDescent="0.2">
      <c r="A13" s="51"/>
      <c r="B13" s="22"/>
      <c r="C13" s="23"/>
      <c r="D13" s="78" t="s">
        <v>89</v>
      </c>
      <c r="E13" s="79"/>
      <c r="F13" s="80"/>
      <c r="G13" s="29"/>
      <c r="H13" s="18"/>
      <c r="I13" s="35"/>
      <c r="J13" s="13"/>
      <c r="K13" s="19"/>
      <c r="L13" s="1"/>
      <c r="M13" s="1"/>
      <c r="N13" s="14"/>
      <c r="O13" s="4"/>
      <c r="P13" s="2"/>
      <c r="Q13" s="33"/>
      <c r="R13" s="34"/>
    </row>
    <row r="14" spans="1:18" s="3" customFormat="1" ht="19.5" customHeight="1" x14ac:dyDescent="0.2">
      <c r="A14" s="56" t="s">
        <v>30</v>
      </c>
      <c r="B14" s="58"/>
      <c r="C14" s="43">
        <f t="shared" ref="C14" si="0">+C13+1</f>
        <v>1</v>
      </c>
      <c r="D14" s="43" t="s">
        <v>31</v>
      </c>
      <c r="E14" s="36" t="s">
        <v>26</v>
      </c>
      <c r="F14" s="54" t="s">
        <v>92</v>
      </c>
      <c r="G14" s="52">
        <v>2</v>
      </c>
      <c r="H14" s="55">
        <v>9256</v>
      </c>
      <c r="I14" s="46">
        <f t="shared" ref="I14:I17" si="1">G14*H14</f>
        <v>18512</v>
      </c>
      <c r="J14" s="13"/>
      <c r="K14" s="53" t="s">
        <v>91</v>
      </c>
      <c r="L14" s="42" t="s">
        <v>90</v>
      </c>
      <c r="M14" s="1"/>
      <c r="N14" s="14"/>
      <c r="O14" s="4"/>
      <c r="P14" s="2"/>
      <c r="Q14" s="33"/>
      <c r="R14" s="34"/>
    </row>
    <row r="15" spans="1:18" s="3" customFormat="1" ht="19.5" customHeight="1" x14ac:dyDescent="0.2">
      <c r="A15" s="44" t="s">
        <v>27</v>
      </c>
      <c r="B15" s="58"/>
      <c r="C15" s="43">
        <f>+C14+1</f>
        <v>2</v>
      </c>
      <c r="D15" s="41" t="s">
        <v>26</v>
      </c>
      <c r="E15" s="41" t="s">
        <v>26</v>
      </c>
      <c r="F15" s="54" t="s">
        <v>37</v>
      </c>
      <c r="G15" s="52">
        <v>8</v>
      </c>
      <c r="H15" s="55">
        <v>104</v>
      </c>
      <c r="I15" s="46">
        <f t="shared" si="1"/>
        <v>832</v>
      </c>
      <c r="J15" s="13"/>
      <c r="K15" s="42" t="s">
        <v>93</v>
      </c>
      <c r="L15" s="1"/>
      <c r="M15" s="1"/>
      <c r="N15" s="14"/>
      <c r="O15" s="4"/>
      <c r="P15" s="2"/>
      <c r="Q15" s="33"/>
      <c r="R15" s="34"/>
    </row>
    <row r="16" spans="1:18" s="3" customFormat="1" ht="19.5" customHeight="1" x14ac:dyDescent="0.2">
      <c r="A16" s="44" t="s">
        <v>29</v>
      </c>
      <c r="B16" s="58"/>
      <c r="C16" s="43">
        <f t="shared" ref="C16:C17" si="2">+C15+1</f>
        <v>3</v>
      </c>
      <c r="D16" s="41" t="s">
        <v>26</v>
      </c>
      <c r="E16" s="41" t="s">
        <v>26</v>
      </c>
      <c r="F16" s="54" t="s">
        <v>94</v>
      </c>
      <c r="G16" s="52">
        <v>2</v>
      </c>
      <c r="H16" s="55">
        <v>760</v>
      </c>
      <c r="I16" s="46">
        <f t="shared" si="1"/>
        <v>1520</v>
      </c>
      <c r="J16" s="13"/>
      <c r="K16" s="42" t="s">
        <v>96</v>
      </c>
      <c r="L16" s="1"/>
      <c r="M16" s="1"/>
      <c r="N16" s="14"/>
      <c r="O16" s="4"/>
      <c r="P16" s="2"/>
      <c r="Q16" s="33"/>
      <c r="R16" s="34"/>
    </row>
    <row r="17" spans="1:18" s="3" customFormat="1" ht="19.5" customHeight="1" x14ac:dyDescent="0.2">
      <c r="A17" s="44" t="s">
        <v>29</v>
      </c>
      <c r="B17" s="58"/>
      <c r="C17" s="43">
        <f t="shared" si="2"/>
        <v>4</v>
      </c>
      <c r="D17" s="41" t="s">
        <v>26</v>
      </c>
      <c r="E17" s="41" t="s">
        <v>26</v>
      </c>
      <c r="F17" s="54" t="s">
        <v>95</v>
      </c>
      <c r="G17" s="52">
        <v>2</v>
      </c>
      <c r="H17" s="55">
        <v>760</v>
      </c>
      <c r="I17" s="46">
        <f t="shared" si="1"/>
        <v>1520</v>
      </c>
      <c r="J17" s="13"/>
      <c r="K17" s="19"/>
      <c r="L17" s="1"/>
      <c r="M17" s="1"/>
      <c r="N17" s="14"/>
      <c r="O17" s="4"/>
      <c r="P17" s="2"/>
      <c r="Q17" s="33"/>
      <c r="R17" s="34"/>
    </row>
    <row r="18" spans="1:18" s="3" customFormat="1" ht="19.5" customHeight="1" x14ac:dyDescent="0.2">
      <c r="A18" s="51"/>
      <c r="B18" s="22"/>
      <c r="C18" s="23"/>
      <c r="D18" s="23"/>
      <c r="E18" s="23"/>
      <c r="F18" s="49"/>
      <c r="G18" s="29"/>
      <c r="H18" s="18"/>
      <c r="I18" s="35"/>
      <c r="J18" s="13"/>
      <c r="K18" s="19"/>
      <c r="L18" s="1"/>
      <c r="M18" s="1"/>
      <c r="N18" s="14"/>
      <c r="O18" s="4"/>
      <c r="P18" s="2"/>
      <c r="Q18" s="33"/>
      <c r="R18" s="34"/>
    </row>
    <row r="19" spans="1:18" s="3" customFormat="1" ht="19.5" customHeight="1" x14ac:dyDescent="0.2">
      <c r="A19" s="56" t="s">
        <v>30</v>
      </c>
      <c r="B19" s="58"/>
      <c r="C19" s="43">
        <f>+C17+1</f>
        <v>5</v>
      </c>
      <c r="D19" s="43" t="s">
        <v>31</v>
      </c>
      <c r="E19" s="36" t="s">
        <v>26</v>
      </c>
      <c r="F19" s="54" t="s">
        <v>124</v>
      </c>
      <c r="G19" s="52">
        <v>2</v>
      </c>
      <c r="H19" s="55">
        <v>9414</v>
      </c>
      <c r="I19" s="46">
        <f t="shared" ref="I19:I22" si="3">G19*H19</f>
        <v>18828</v>
      </c>
      <c r="J19" s="13"/>
      <c r="K19" s="53" t="s">
        <v>97</v>
      </c>
      <c r="L19" s="42" t="s">
        <v>98</v>
      </c>
      <c r="M19" s="1"/>
      <c r="N19" s="14"/>
      <c r="O19" s="4"/>
      <c r="P19" s="2"/>
      <c r="Q19" s="33"/>
      <c r="R19" s="34"/>
    </row>
    <row r="20" spans="1:18" s="3" customFormat="1" ht="19.5" customHeight="1" x14ac:dyDescent="0.2">
      <c r="A20" s="44" t="s">
        <v>27</v>
      </c>
      <c r="B20" s="58"/>
      <c r="C20" s="43">
        <f>+C19+1</f>
        <v>6</v>
      </c>
      <c r="D20" s="41" t="s">
        <v>26</v>
      </c>
      <c r="E20" s="41" t="s">
        <v>26</v>
      </c>
      <c r="F20" s="54" t="s">
        <v>37</v>
      </c>
      <c r="G20" s="52">
        <v>8</v>
      </c>
      <c r="H20" s="55">
        <v>104</v>
      </c>
      <c r="I20" s="46">
        <f t="shared" si="3"/>
        <v>832</v>
      </c>
      <c r="J20" s="13"/>
      <c r="K20" s="42" t="s">
        <v>93</v>
      </c>
      <c r="L20" s="1"/>
      <c r="M20" s="1"/>
      <c r="N20" s="14"/>
      <c r="O20" s="4"/>
      <c r="P20" s="2"/>
      <c r="Q20" s="33"/>
      <c r="R20" s="34"/>
    </row>
    <row r="21" spans="1:18" s="3" customFormat="1" ht="19.5" customHeight="1" x14ac:dyDescent="0.2">
      <c r="A21" s="44" t="s">
        <v>28</v>
      </c>
      <c r="B21" s="58"/>
      <c r="C21" s="43">
        <f t="shared" ref="C21:C22" si="4">+C20+1</f>
        <v>7</v>
      </c>
      <c r="D21" s="41" t="s">
        <v>26</v>
      </c>
      <c r="E21" s="41" t="s">
        <v>26</v>
      </c>
      <c r="F21" s="54" t="s">
        <v>99</v>
      </c>
      <c r="G21" s="52">
        <v>2</v>
      </c>
      <c r="H21" s="55">
        <v>170</v>
      </c>
      <c r="I21" s="46">
        <f t="shared" si="3"/>
        <v>340</v>
      </c>
      <c r="J21" s="13"/>
      <c r="K21" s="42" t="s">
        <v>101</v>
      </c>
      <c r="L21" s="1"/>
      <c r="M21" s="1"/>
      <c r="N21" s="14"/>
      <c r="O21" s="4"/>
      <c r="P21" s="2"/>
      <c r="Q21" s="33"/>
      <c r="R21" s="34"/>
    </row>
    <row r="22" spans="1:18" s="3" customFormat="1" ht="19.5" customHeight="1" x14ac:dyDescent="0.2">
      <c r="A22" s="44" t="s">
        <v>28</v>
      </c>
      <c r="B22" s="58"/>
      <c r="C22" s="43">
        <f t="shared" si="4"/>
        <v>8</v>
      </c>
      <c r="D22" s="41" t="s">
        <v>26</v>
      </c>
      <c r="E22" s="41" t="s">
        <v>26</v>
      </c>
      <c r="F22" s="54" t="s">
        <v>100</v>
      </c>
      <c r="G22" s="52">
        <v>2</v>
      </c>
      <c r="H22" s="55">
        <v>170</v>
      </c>
      <c r="I22" s="46">
        <f t="shared" si="3"/>
        <v>340</v>
      </c>
      <c r="J22" s="13"/>
      <c r="K22" s="42" t="s">
        <v>101</v>
      </c>
      <c r="L22" s="1"/>
      <c r="M22" s="1"/>
      <c r="N22" s="14"/>
      <c r="O22" s="4"/>
      <c r="P22" s="2"/>
      <c r="Q22" s="33"/>
      <c r="R22" s="34"/>
    </row>
    <row r="23" spans="1:18" s="3" customFormat="1" ht="19.5" customHeight="1" x14ac:dyDescent="0.2">
      <c r="A23" s="51"/>
      <c r="B23" s="22"/>
      <c r="C23" s="23"/>
      <c r="D23" s="23"/>
      <c r="E23" s="23"/>
      <c r="F23" s="49"/>
      <c r="G23" s="29"/>
      <c r="H23" s="18"/>
      <c r="I23" s="35"/>
      <c r="J23" s="13"/>
      <c r="K23" s="19"/>
      <c r="L23" s="1"/>
      <c r="M23" s="1"/>
      <c r="N23" s="14"/>
      <c r="O23" s="4"/>
      <c r="P23" s="2"/>
      <c r="Q23" s="33"/>
      <c r="R23" s="34"/>
    </row>
    <row r="24" spans="1:18" s="3" customFormat="1" ht="19.5" customHeight="1" x14ac:dyDescent="0.2">
      <c r="A24" s="56" t="s">
        <v>30</v>
      </c>
      <c r="B24" s="58"/>
      <c r="C24" s="43">
        <f>+C22+1</f>
        <v>9</v>
      </c>
      <c r="D24" s="43" t="s">
        <v>31</v>
      </c>
      <c r="E24" s="36" t="s">
        <v>26</v>
      </c>
      <c r="F24" s="54" t="s">
        <v>130</v>
      </c>
      <c r="G24" s="52">
        <v>1</v>
      </c>
      <c r="H24" s="55">
        <v>14701</v>
      </c>
      <c r="I24" s="46">
        <f t="shared" ref="I24:I29" si="5">G24*H24</f>
        <v>14701</v>
      </c>
      <c r="J24" s="13"/>
      <c r="K24" s="53" t="s">
        <v>103</v>
      </c>
      <c r="L24" s="42" t="s">
        <v>102</v>
      </c>
      <c r="M24" s="1"/>
      <c r="N24" s="14"/>
      <c r="O24" s="4"/>
      <c r="P24" s="2"/>
      <c r="Q24" s="33"/>
      <c r="R24" s="34"/>
    </row>
    <row r="25" spans="1:18" s="3" customFormat="1" ht="19.5" customHeight="1" x14ac:dyDescent="0.2">
      <c r="A25" s="44" t="s">
        <v>27</v>
      </c>
      <c r="B25" s="58"/>
      <c r="C25" s="43">
        <f>+C24+1</f>
        <v>10</v>
      </c>
      <c r="D25" s="41" t="s">
        <v>26</v>
      </c>
      <c r="E25" s="41" t="s">
        <v>26</v>
      </c>
      <c r="F25" s="54" t="s">
        <v>37</v>
      </c>
      <c r="G25" s="52">
        <v>4</v>
      </c>
      <c r="H25" s="55">
        <v>104</v>
      </c>
      <c r="I25" s="46">
        <f t="shared" si="5"/>
        <v>416</v>
      </c>
      <c r="J25" s="13"/>
      <c r="K25" s="42" t="s">
        <v>93</v>
      </c>
      <c r="L25" s="1"/>
      <c r="M25" s="1"/>
      <c r="N25" s="14"/>
      <c r="O25" s="4"/>
      <c r="P25" s="2"/>
      <c r="Q25" s="33"/>
      <c r="R25" s="34"/>
    </row>
    <row r="26" spans="1:18" s="3" customFormat="1" ht="19.5" customHeight="1" x14ac:dyDescent="0.2">
      <c r="A26" s="44" t="s">
        <v>27</v>
      </c>
      <c r="B26" s="58"/>
      <c r="C26" s="43">
        <f t="shared" ref="C26:C29" si="6">+C25+1</f>
        <v>11</v>
      </c>
      <c r="D26" s="41" t="s">
        <v>26</v>
      </c>
      <c r="E26" s="41" t="s">
        <v>26</v>
      </c>
      <c r="F26" s="54" t="s">
        <v>41</v>
      </c>
      <c r="G26" s="52">
        <v>1</v>
      </c>
      <c r="H26" s="55">
        <v>230</v>
      </c>
      <c r="I26" s="46">
        <f t="shared" si="5"/>
        <v>230</v>
      </c>
      <c r="J26" s="13"/>
      <c r="K26" s="42" t="s">
        <v>105</v>
      </c>
      <c r="L26" s="1"/>
      <c r="M26" s="1"/>
      <c r="N26" s="14"/>
      <c r="O26" s="4"/>
      <c r="P26" s="2"/>
      <c r="Q26" s="33"/>
      <c r="R26" s="34"/>
    </row>
    <row r="27" spans="1:18" s="3" customFormat="1" ht="19.5" customHeight="1" x14ac:dyDescent="0.2">
      <c r="A27" s="44" t="s">
        <v>27</v>
      </c>
      <c r="B27" s="58"/>
      <c r="C27" s="43">
        <f t="shared" si="6"/>
        <v>12</v>
      </c>
      <c r="D27" s="41" t="s">
        <v>26</v>
      </c>
      <c r="E27" s="41" t="s">
        <v>26</v>
      </c>
      <c r="F27" s="54" t="s">
        <v>45</v>
      </c>
      <c r="G27" s="52">
        <v>2</v>
      </c>
      <c r="H27" s="55">
        <v>141</v>
      </c>
      <c r="I27" s="46">
        <f t="shared" si="5"/>
        <v>282</v>
      </c>
      <c r="J27" s="13"/>
      <c r="K27" s="42" t="s">
        <v>106</v>
      </c>
      <c r="L27" s="1"/>
      <c r="M27" s="1"/>
      <c r="N27" s="14"/>
      <c r="O27" s="4"/>
      <c r="P27" s="2"/>
      <c r="Q27" s="33"/>
      <c r="R27" s="34"/>
    </row>
    <row r="28" spans="1:18" s="3" customFormat="1" ht="19.5" customHeight="1" x14ac:dyDescent="0.2">
      <c r="A28" s="56" t="s">
        <v>30</v>
      </c>
      <c r="B28" s="58"/>
      <c r="C28" s="43">
        <f t="shared" si="6"/>
        <v>13</v>
      </c>
      <c r="D28" s="43" t="s">
        <v>31</v>
      </c>
      <c r="E28" s="36" t="s">
        <v>26</v>
      </c>
      <c r="F28" s="54" t="s">
        <v>125</v>
      </c>
      <c r="G28" s="52">
        <v>1</v>
      </c>
      <c r="H28" s="55">
        <v>12757</v>
      </c>
      <c r="I28" s="46">
        <f t="shared" si="5"/>
        <v>12757</v>
      </c>
      <c r="J28" s="13"/>
      <c r="K28" s="53" t="s">
        <v>104</v>
      </c>
      <c r="L28" s="42" t="s">
        <v>102</v>
      </c>
      <c r="M28" s="1"/>
      <c r="N28" s="14"/>
      <c r="O28" s="4"/>
      <c r="P28" s="2"/>
      <c r="Q28" s="33"/>
      <c r="R28" s="34"/>
    </row>
    <row r="29" spans="1:18" s="3" customFormat="1" ht="19.5" customHeight="1" x14ac:dyDescent="0.2">
      <c r="A29" s="44" t="s">
        <v>27</v>
      </c>
      <c r="B29" s="58"/>
      <c r="C29" s="43">
        <f t="shared" si="6"/>
        <v>14</v>
      </c>
      <c r="D29" s="41" t="s">
        <v>26</v>
      </c>
      <c r="E29" s="41" t="s">
        <v>26</v>
      </c>
      <c r="F29" s="54" t="s">
        <v>37</v>
      </c>
      <c r="G29" s="52">
        <v>4</v>
      </c>
      <c r="H29" s="55">
        <v>104</v>
      </c>
      <c r="I29" s="46">
        <f t="shared" si="5"/>
        <v>416</v>
      </c>
      <c r="J29" s="13"/>
      <c r="K29" s="42" t="s">
        <v>93</v>
      </c>
      <c r="L29" s="1"/>
      <c r="M29" s="1"/>
      <c r="N29" s="14"/>
      <c r="O29" s="4"/>
      <c r="P29" s="2"/>
      <c r="Q29" s="33"/>
      <c r="R29" s="34"/>
    </row>
    <row r="30" spans="1:18" s="3" customFormat="1" ht="19.5" customHeight="1" x14ac:dyDescent="0.2">
      <c r="A30" s="51"/>
      <c r="B30" s="22"/>
      <c r="C30" s="23"/>
      <c r="D30" s="23"/>
      <c r="E30" s="23"/>
      <c r="F30" s="49"/>
      <c r="G30" s="29"/>
      <c r="H30" s="18"/>
      <c r="I30" s="35"/>
      <c r="J30" s="13"/>
      <c r="K30" s="19"/>
      <c r="L30" s="1"/>
      <c r="M30" s="1"/>
      <c r="N30" s="14"/>
      <c r="O30" s="4"/>
      <c r="P30" s="2"/>
      <c r="Q30" s="33"/>
      <c r="R30" s="34"/>
    </row>
    <row r="31" spans="1:18" s="3" customFormat="1" ht="19.5" customHeight="1" x14ac:dyDescent="0.2">
      <c r="A31" s="56" t="s">
        <v>30</v>
      </c>
      <c r="B31" s="22"/>
      <c r="C31" s="43">
        <f>+C29+1</f>
        <v>15</v>
      </c>
      <c r="D31" s="43" t="s">
        <v>31</v>
      </c>
      <c r="E31" s="36" t="s">
        <v>26</v>
      </c>
      <c r="F31" s="49"/>
      <c r="G31" s="29">
        <v>1</v>
      </c>
      <c r="H31" s="18">
        <v>12500</v>
      </c>
      <c r="I31" s="46"/>
      <c r="J31" s="13"/>
      <c r="K31" s="53" t="s">
        <v>107</v>
      </c>
      <c r="L31" s="42" t="s">
        <v>109</v>
      </c>
      <c r="M31" s="1"/>
      <c r="N31" s="14"/>
      <c r="O31" s="4"/>
      <c r="P31" s="2"/>
      <c r="Q31" s="33"/>
      <c r="R31" s="34"/>
    </row>
    <row r="32" spans="1:18" s="3" customFormat="1" ht="19.5" customHeight="1" x14ac:dyDescent="0.2">
      <c r="A32" s="44" t="s">
        <v>27</v>
      </c>
      <c r="B32" s="22"/>
      <c r="C32" s="43">
        <f>+C31+1</f>
        <v>16</v>
      </c>
      <c r="D32" s="41" t="s">
        <v>26</v>
      </c>
      <c r="E32" s="41" t="s">
        <v>26</v>
      </c>
      <c r="F32" s="54" t="s">
        <v>37</v>
      </c>
      <c r="G32" s="52">
        <v>4</v>
      </c>
      <c r="H32" s="55">
        <v>104</v>
      </c>
      <c r="I32" s="46"/>
      <c r="J32" s="13"/>
      <c r="K32" s="42" t="s">
        <v>93</v>
      </c>
      <c r="L32" s="1"/>
      <c r="M32" s="1"/>
      <c r="N32" s="14"/>
      <c r="O32" s="4"/>
      <c r="P32" s="2"/>
      <c r="Q32" s="33"/>
      <c r="R32" s="34"/>
    </row>
    <row r="33" spans="1:18" s="3" customFormat="1" ht="19.5" customHeight="1" x14ac:dyDescent="0.2">
      <c r="A33" s="44" t="s">
        <v>27</v>
      </c>
      <c r="B33" s="22"/>
      <c r="C33" s="43">
        <f t="shared" ref="C33:C36" si="7">+C32+1</f>
        <v>17</v>
      </c>
      <c r="D33" s="41" t="s">
        <v>26</v>
      </c>
      <c r="E33" s="41" t="s">
        <v>26</v>
      </c>
      <c r="F33" s="54" t="s">
        <v>42</v>
      </c>
      <c r="G33" s="52">
        <v>1</v>
      </c>
      <c r="H33" s="55">
        <v>200</v>
      </c>
      <c r="I33" s="46"/>
      <c r="J33" s="13"/>
      <c r="K33" s="42" t="s">
        <v>105</v>
      </c>
      <c r="L33" s="1"/>
      <c r="M33" s="1"/>
      <c r="N33" s="14"/>
      <c r="O33" s="4"/>
      <c r="P33" s="2"/>
      <c r="Q33" s="33"/>
      <c r="R33" s="34"/>
    </row>
    <row r="34" spans="1:18" s="3" customFormat="1" ht="19.5" customHeight="1" x14ac:dyDescent="0.2">
      <c r="A34" s="44" t="s">
        <v>27</v>
      </c>
      <c r="B34" s="22"/>
      <c r="C34" s="43">
        <f t="shared" si="7"/>
        <v>18</v>
      </c>
      <c r="D34" s="41" t="s">
        <v>26</v>
      </c>
      <c r="E34" s="41" t="s">
        <v>26</v>
      </c>
      <c r="F34" s="54" t="s">
        <v>46</v>
      </c>
      <c r="G34" s="52">
        <v>2</v>
      </c>
      <c r="H34" s="55">
        <v>141</v>
      </c>
      <c r="I34" s="46"/>
      <c r="J34" s="13"/>
      <c r="K34" s="42" t="s">
        <v>106</v>
      </c>
      <c r="L34" s="1"/>
      <c r="M34" s="1"/>
      <c r="N34" s="14"/>
      <c r="O34" s="4"/>
      <c r="P34" s="2"/>
      <c r="Q34" s="33"/>
      <c r="R34" s="34"/>
    </row>
    <row r="35" spans="1:18" s="3" customFormat="1" ht="19.5" customHeight="1" x14ac:dyDescent="0.2">
      <c r="A35" s="56" t="s">
        <v>30</v>
      </c>
      <c r="B35" s="22"/>
      <c r="C35" s="43">
        <f t="shared" si="7"/>
        <v>19</v>
      </c>
      <c r="D35" s="43" t="s">
        <v>31</v>
      </c>
      <c r="E35" s="36" t="s">
        <v>26</v>
      </c>
      <c r="F35" s="49"/>
      <c r="G35" s="29">
        <v>1</v>
      </c>
      <c r="H35" s="18">
        <v>12500</v>
      </c>
      <c r="I35" s="46"/>
      <c r="J35" s="13"/>
      <c r="K35" s="53" t="s">
        <v>108</v>
      </c>
      <c r="L35" s="42" t="s">
        <v>109</v>
      </c>
      <c r="M35" s="1"/>
      <c r="N35" s="14"/>
      <c r="O35" s="4"/>
      <c r="P35" s="2"/>
      <c r="Q35" s="33"/>
      <c r="R35" s="34"/>
    </row>
    <row r="36" spans="1:18" s="3" customFormat="1" ht="19.5" customHeight="1" x14ac:dyDescent="0.2">
      <c r="A36" s="44" t="s">
        <v>27</v>
      </c>
      <c r="B36" s="22"/>
      <c r="C36" s="43">
        <f t="shared" si="7"/>
        <v>20</v>
      </c>
      <c r="D36" s="41" t="s">
        <v>26</v>
      </c>
      <c r="E36" s="41" t="s">
        <v>26</v>
      </c>
      <c r="F36" s="54" t="s">
        <v>37</v>
      </c>
      <c r="G36" s="52">
        <v>4</v>
      </c>
      <c r="H36" s="55">
        <v>104</v>
      </c>
      <c r="I36" s="46"/>
      <c r="J36" s="13"/>
      <c r="K36" s="42" t="s">
        <v>93</v>
      </c>
      <c r="L36" s="1"/>
      <c r="M36" s="1"/>
      <c r="N36" s="14"/>
      <c r="O36" s="4"/>
      <c r="P36" s="2"/>
      <c r="Q36" s="33"/>
      <c r="R36" s="34"/>
    </row>
    <row r="37" spans="1:18" s="3" customFormat="1" ht="19.5" customHeight="1" x14ac:dyDescent="0.2">
      <c r="A37" s="51"/>
      <c r="B37" s="22"/>
      <c r="C37" s="23"/>
      <c r="D37" s="23"/>
      <c r="E37" s="23"/>
      <c r="F37" s="49"/>
      <c r="G37" s="29"/>
      <c r="H37" s="18"/>
      <c r="I37" s="35"/>
      <c r="J37" s="13"/>
      <c r="K37" s="19"/>
      <c r="L37" s="1"/>
      <c r="M37" s="1"/>
      <c r="N37" s="14"/>
      <c r="O37" s="4"/>
      <c r="P37" s="2"/>
      <c r="Q37" s="33"/>
      <c r="R37" s="34"/>
    </row>
    <row r="38" spans="1:18" s="3" customFormat="1" ht="19.5" customHeight="1" x14ac:dyDescent="0.2">
      <c r="A38" s="56" t="s">
        <v>30</v>
      </c>
      <c r="B38" s="58"/>
      <c r="C38" s="43">
        <f>+C36+1</f>
        <v>21</v>
      </c>
      <c r="D38" s="43" t="s">
        <v>31</v>
      </c>
      <c r="E38" s="36" t="s">
        <v>26</v>
      </c>
      <c r="F38" s="54" t="s">
        <v>132</v>
      </c>
      <c r="G38" s="52">
        <v>1</v>
      </c>
      <c r="H38" s="55">
        <v>12899</v>
      </c>
      <c r="I38" s="46">
        <f t="shared" ref="I38:I41" si="8">G38*H38</f>
        <v>12899</v>
      </c>
      <c r="J38" s="13"/>
      <c r="K38" s="53" t="s">
        <v>110</v>
      </c>
      <c r="L38" s="42" t="s">
        <v>112</v>
      </c>
      <c r="M38" s="1"/>
      <c r="N38" s="14"/>
      <c r="O38" s="4"/>
      <c r="P38" s="2"/>
      <c r="Q38" s="33"/>
      <c r="R38" s="34"/>
    </row>
    <row r="39" spans="1:18" s="3" customFormat="1" ht="19.5" customHeight="1" x14ac:dyDescent="0.2">
      <c r="A39" s="44" t="s">
        <v>27</v>
      </c>
      <c r="B39" s="58"/>
      <c r="C39" s="43">
        <f>+C38+1</f>
        <v>22</v>
      </c>
      <c r="D39" s="41" t="s">
        <v>26</v>
      </c>
      <c r="E39" s="41" t="s">
        <v>26</v>
      </c>
      <c r="F39" s="54" t="s">
        <v>37</v>
      </c>
      <c r="G39" s="52">
        <v>4</v>
      </c>
      <c r="H39" s="55">
        <v>104</v>
      </c>
      <c r="I39" s="46">
        <f t="shared" si="8"/>
        <v>416</v>
      </c>
      <c r="J39" s="13"/>
      <c r="K39" s="42" t="s">
        <v>93</v>
      </c>
      <c r="L39" s="1"/>
      <c r="M39" s="1"/>
      <c r="N39" s="14"/>
      <c r="O39" s="4"/>
      <c r="P39" s="2"/>
      <c r="Q39" s="33"/>
      <c r="R39" s="34"/>
    </row>
    <row r="40" spans="1:18" s="3" customFormat="1" ht="19.5" customHeight="1" x14ac:dyDescent="0.2">
      <c r="A40" s="44" t="s">
        <v>27</v>
      </c>
      <c r="B40" s="58"/>
      <c r="C40" s="43">
        <f t="shared" ref="C40:C43" si="9">+C39+1</f>
        <v>23</v>
      </c>
      <c r="D40" s="41" t="s">
        <v>26</v>
      </c>
      <c r="E40" s="41" t="s">
        <v>26</v>
      </c>
      <c r="F40" s="54" t="s">
        <v>42</v>
      </c>
      <c r="G40" s="52">
        <v>1</v>
      </c>
      <c r="H40" s="55">
        <v>200</v>
      </c>
      <c r="I40" s="46">
        <f t="shared" si="8"/>
        <v>200</v>
      </c>
      <c r="J40" s="13"/>
      <c r="K40" s="42" t="s">
        <v>105</v>
      </c>
      <c r="L40" s="1"/>
      <c r="M40" s="1"/>
      <c r="N40" s="14"/>
      <c r="O40" s="4"/>
      <c r="P40" s="2"/>
      <c r="Q40" s="33"/>
      <c r="R40" s="34"/>
    </row>
    <row r="41" spans="1:18" s="3" customFormat="1" ht="19.5" customHeight="1" x14ac:dyDescent="0.2">
      <c r="A41" s="44" t="s">
        <v>27</v>
      </c>
      <c r="B41" s="58"/>
      <c r="C41" s="43">
        <f t="shared" si="9"/>
        <v>24</v>
      </c>
      <c r="D41" s="41" t="s">
        <v>26</v>
      </c>
      <c r="E41" s="41" t="s">
        <v>26</v>
      </c>
      <c r="F41" s="54" t="s">
        <v>46</v>
      </c>
      <c r="G41" s="52">
        <v>2</v>
      </c>
      <c r="H41" s="55">
        <v>141</v>
      </c>
      <c r="I41" s="46">
        <f t="shared" si="8"/>
        <v>282</v>
      </c>
      <c r="J41" s="13"/>
      <c r="K41" s="42" t="s">
        <v>106</v>
      </c>
      <c r="L41" s="1"/>
      <c r="M41" s="1"/>
      <c r="N41" s="14"/>
      <c r="O41" s="4"/>
      <c r="P41" s="2"/>
      <c r="Q41" s="33"/>
      <c r="R41" s="34"/>
    </row>
    <row r="42" spans="1:18" s="3" customFormat="1" ht="19.5" customHeight="1" x14ac:dyDescent="0.2">
      <c r="A42" s="56" t="s">
        <v>30</v>
      </c>
      <c r="B42" s="22"/>
      <c r="C42" s="43">
        <f t="shared" si="9"/>
        <v>25</v>
      </c>
      <c r="D42" s="43" t="s">
        <v>31</v>
      </c>
      <c r="E42" s="36" t="s">
        <v>26</v>
      </c>
      <c r="F42" s="49"/>
      <c r="G42" s="29">
        <v>1</v>
      </c>
      <c r="H42" s="18">
        <v>12500</v>
      </c>
      <c r="I42" s="46"/>
      <c r="J42" s="13"/>
      <c r="K42" s="53" t="s">
        <v>111</v>
      </c>
      <c r="L42" s="42" t="s">
        <v>112</v>
      </c>
      <c r="M42" s="1"/>
      <c r="N42" s="14"/>
      <c r="O42" s="4"/>
      <c r="P42" s="2"/>
      <c r="Q42" s="33"/>
      <c r="R42" s="34"/>
    </row>
    <row r="43" spans="1:18" s="3" customFormat="1" ht="19.5" customHeight="1" x14ac:dyDescent="0.2">
      <c r="A43" s="44" t="s">
        <v>27</v>
      </c>
      <c r="B43" s="22"/>
      <c r="C43" s="43">
        <f t="shared" si="9"/>
        <v>26</v>
      </c>
      <c r="D43" s="41" t="s">
        <v>26</v>
      </c>
      <c r="E43" s="41" t="s">
        <v>26</v>
      </c>
      <c r="F43" s="54" t="s">
        <v>37</v>
      </c>
      <c r="G43" s="52">
        <v>4</v>
      </c>
      <c r="H43" s="55">
        <v>104</v>
      </c>
      <c r="I43" s="46"/>
      <c r="J43" s="13"/>
      <c r="K43" s="42" t="s">
        <v>93</v>
      </c>
      <c r="L43" s="1"/>
      <c r="M43" s="1"/>
      <c r="N43" s="14"/>
      <c r="O43" s="4"/>
      <c r="P43" s="2"/>
      <c r="Q43" s="33"/>
      <c r="R43" s="34"/>
    </row>
    <row r="44" spans="1:18" s="3" customFormat="1" ht="19.5" customHeight="1" x14ac:dyDescent="0.2">
      <c r="A44" s="51"/>
      <c r="B44" s="22"/>
      <c r="C44" s="23"/>
      <c r="D44" s="23"/>
      <c r="E44" s="23"/>
      <c r="F44" s="49"/>
      <c r="G44" s="29"/>
      <c r="H44" s="18"/>
      <c r="I44" s="35"/>
      <c r="J44" s="13"/>
      <c r="K44" s="19"/>
      <c r="L44" s="1"/>
      <c r="M44" s="1"/>
      <c r="N44" s="14"/>
      <c r="O44" s="4"/>
      <c r="P44" s="2"/>
      <c r="Q44" s="33"/>
      <c r="R44" s="34"/>
    </row>
    <row r="45" spans="1:18" s="3" customFormat="1" ht="19.5" customHeight="1" x14ac:dyDescent="0.2">
      <c r="A45" s="56" t="s">
        <v>30</v>
      </c>
      <c r="B45" s="22"/>
      <c r="C45" s="43">
        <f>+C43+1</f>
        <v>27</v>
      </c>
      <c r="D45" s="43" t="s">
        <v>31</v>
      </c>
      <c r="E45" s="36" t="s">
        <v>26</v>
      </c>
      <c r="F45" s="49"/>
      <c r="G45" s="29">
        <v>1</v>
      </c>
      <c r="H45" s="18">
        <v>12500</v>
      </c>
      <c r="I45" s="46"/>
      <c r="J45" s="13"/>
      <c r="K45" s="53" t="s">
        <v>113</v>
      </c>
      <c r="L45" s="42" t="s">
        <v>114</v>
      </c>
      <c r="M45" s="1"/>
      <c r="N45" s="14"/>
      <c r="O45" s="4"/>
      <c r="P45" s="2"/>
      <c r="Q45" s="33"/>
      <c r="R45" s="34"/>
    </row>
    <row r="46" spans="1:18" s="3" customFormat="1" ht="19.5" customHeight="1" x14ac:dyDescent="0.2">
      <c r="A46" s="44" t="s">
        <v>27</v>
      </c>
      <c r="B46" s="22"/>
      <c r="C46" s="43">
        <f>+C45+1</f>
        <v>28</v>
      </c>
      <c r="D46" s="41" t="s">
        <v>26</v>
      </c>
      <c r="E46" s="41" t="s">
        <v>26</v>
      </c>
      <c r="F46" s="54" t="s">
        <v>37</v>
      </c>
      <c r="G46" s="52">
        <v>4</v>
      </c>
      <c r="H46" s="55">
        <v>104</v>
      </c>
      <c r="I46" s="46"/>
      <c r="J46" s="13"/>
      <c r="K46" s="42" t="s">
        <v>93</v>
      </c>
      <c r="L46" s="1"/>
      <c r="M46" s="1"/>
      <c r="N46" s="14"/>
      <c r="O46" s="4"/>
      <c r="P46" s="2"/>
      <c r="Q46" s="33"/>
      <c r="R46" s="34"/>
    </row>
    <row r="47" spans="1:18" s="3" customFormat="1" ht="19.5" customHeight="1" x14ac:dyDescent="0.2">
      <c r="A47" s="37" t="s">
        <v>27</v>
      </c>
      <c r="B47" s="22"/>
      <c r="C47" s="43">
        <f t="shared" ref="C47:C50" si="10">+C46+1</f>
        <v>29</v>
      </c>
      <c r="D47" s="41" t="s">
        <v>26</v>
      </c>
      <c r="E47" s="41" t="s">
        <v>26</v>
      </c>
      <c r="F47" s="49" t="s">
        <v>41</v>
      </c>
      <c r="G47" s="29">
        <v>1</v>
      </c>
      <c r="H47" s="18">
        <v>230</v>
      </c>
      <c r="I47" s="46"/>
      <c r="J47" s="13"/>
      <c r="K47" s="42" t="s">
        <v>105</v>
      </c>
      <c r="L47" s="1"/>
      <c r="M47" s="1"/>
      <c r="N47" s="14"/>
      <c r="O47" s="4"/>
      <c r="P47" s="2"/>
      <c r="Q47" s="33"/>
      <c r="R47" s="34"/>
    </row>
    <row r="48" spans="1:18" s="3" customFormat="1" ht="19.5" customHeight="1" x14ac:dyDescent="0.2">
      <c r="A48" s="37" t="s">
        <v>27</v>
      </c>
      <c r="B48" s="22"/>
      <c r="C48" s="43">
        <f t="shared" si="10"/>
        <v>30</v>
      </c>
      <c r="D48" s="41" t="s">
        <v>26</v>
      </c>
      <c r="E48" s="41" t="s">
        <v>26</v>
      </c>
      <c r="F48" s="49" t="s">
        <v>45</v>
      </c>
      <c r="G48" s="29">
        <v>2</v>
      </c>
      <c r="H48" s="18">
        <v>141</v>
      </c>
      <c r="I48" s="46"/>
      <c r="J48" s="13"/>
      <c r="K48" s="42" t="s">
        <v>106</v>
      </c>
      <c r="L48" s="1"/>
      <c r="M48" s="1"/>
      <c r="N48" s="14"/>
      <c r="O48" s="4"/>
      <c r="P48" s="2"/>
      <c r="Q48" s="33"/>
      <c r="R48" s="34"/>
    </row>
    <row r="49" spans="1:18" s="3" customFormat="1" ht="19.5" customHeight="1" x14ac:dyDescent="0.2">
      <c r="A49" s="56" t="s">
        <v>30</v>
      </c>
      <c r="B49" s="22"/>
      <c r="C49" s="43">
        <f t="shared" si="10"/>
        <v>31</v>
      </c>
      <c r="D49" s="43" t="s">
        <v>31</v>
      </c>
      <c r="E49" s="36" t="s">
        <v>26</v>
      </c>
      <c r="F49" s="49"/>
      <c r="G49" s="29">
        <v>1</v>
      </c>
      <c r="H49" s="18">
        <v>12500</v>
      </c>
      <c r="I49" s="46"/>
      <c r="J49" s="13"/>
      <c r="K49" s="53" t="s">
        <v>116</v>
      </c>
      <c r="L49" s="42" t="s">
        <v>115</v>
      </c>
      <c r="M49" s="1"/>
      <c r="N49" s="14"/>
      <c r="O49" s="4"/>
      <c r="P49" s="2"/>
      <c r="Q49" s="33"/>
      <c r="R49" s="34"/>
    </row>
    <row r="50" spans="1:18" s="3" customFormat="1" ht="19.5" customHeight="1" x14ac:dyDescent="0.2">
      <c r="A50" s="44" t="s">
        <v>27</v>
      </c>
      <c r="B50" s="22"/>
      <c r="C50" s="43">
        <f t="shared" si="10"/>
        <v>32</v>
      </c>
      <c r="D50" s="41" t="s">
        <v>26</v>
      </c>
      <c r="E50" s="41" t="s">
        <v>26</v>
      </c>
      <c r="F50" s="54" t="s">
        <v>37</v>
      </c>
      <c r="G50" s="52">
        <v>4</v>
      </c>
      <c r="H50" s="55">
        <v>104</v>
      </c>
      <c r="I50" s="46"/>
      <c r="J50" s="13"/>
      <c r="K50" s="42" t="s">
        <v>93</v>
      </c>
      <c r="L50" s="1"/>
      <c r="M50" s="1"/>
      <c r="N50" s="14"/>
      <c r="O50" s="4"/>
      <c r="P50" s="2"/>
      <c r="Q50" s="33"/>
      <c r="R50" s="34"/>
    </row>
    <row r="51" spans="1:18" s="3" customFormat="1" ht="19.5" customHeight="1" x14ac:dyDescent="0.2">
      <c r="A51" s="51"/>
      <c r="B51" s="22"/>
      <c r="C51" s="23"/>
      <c r="D51" s="23"/>
      <c r="E51" s="23"/>
      <c r="F51" s="49"/>
      <c r="G51" s="29"/>
      <c r="H51" s="18"/>
      <c r="I51" s="35"/>
      <c r="J51" s="13"/>
      <c r="K51" s="19"/>
      <c r="L51" s="1"/>
      <c r="M51" s="1"/>
      <c r="N51" s="14"/>
      <c r="O51" s="4"/>
      <c r="P51" s="2"/>
      <c r="Q51" s="33"/>
      <c r="R51" s="34"/>
    </row>
    <row r="52" spans="1:18" s="3" customFormat="1" ht="19.5" customHeight="1" x14ac:dyDescent="0.2">
      <c r="A52" s="56" t="s">
        <v>30</v>
      </c>
      <c r="B52" s="22"/>
      <c r="C52" s="43">
        <f>+C50+1</f>
        <v>33</v>
      </c>
      <c r="D52" s="43" t="s">
        <v>31</v>
      </c>
      <c r="E52" s="36" t="s">
        <v>26</v>
      </c>
      <c r="F52" s="49"/>
      <c r="G52" s="29">
        <v>1</v>
      </c>
      <c r="H52" s="18">
        <v>12500</v>
      </c>
      <c r="I52" s="46"/>
      <c r="J52" s="13"/>
      <c r="K52" s="53" t="s">
        <v>119</v>
      </c>
      <c r="L52" s="42" t="s">
        <v>117</v>
      </c>
      <c r="M52" s="1"/>
      <c r="N52" s="14"/>
      <c r="O52" s="4"/>
      <c r="P52" s="2"/>
      <c r="Q52" s="33"/>
      <c r="R52" s="34"/>
    </row>
    <row r="53" spans="1:18" s="3" customFormat="1" ht="19.5" customHeight="1" x14ac:dyDescent="0.2">
      <c r="A53" s="44" t="s">
        <v>27</v>
      </c>
      <c r="B53" s="22"/>
      <c r="C53" s="43">
        <f>+C52+1</f>
        <v>34</v>
      </c>
      <c r="D53" s="41" t="s">
        <v>26</v>
      </c>
      <c r="E53" s="41" t="s">
        <v>26</v>
      </c>
      <c r="F53" s="54" t="s">
        <v>37</v>
      </c>
      <c r="G53" s="52">
        <v>4</v>
      </c>
      <c r="H53" s="55">
        <v>104</v>
      </c>
      <c r="I53" s="46"/>
      <c r="J53" s="13"/>
      <c r="K53" s="42" t="s">
        <v>93</v>
      </c>
      <c r="L53" s="1"/>
      <c r="M53" s="1"/>
      <c r="N53" s="14"/>
      <c r="O53" s="4"/>
      <c r="P53" s="2"/>
      <c r="Q53" s="33"/>
      <c r="R53" s="34"/>
    </row>
    <row r="54" spans="1:18" s="3" customFormat="1" ht="19.5" customHeight="1" x14ac:dyDescent="0.2">
      <c r="A54" s="37" t="s">
        <v>27</v>
      </c>
      <c r="B54" s="22"/>
      <c r="C54" s="43">
        <f t="shared" ref="C54:C55" si="11">+C53+1</f>
        <v>35</v>
      </c>
      <c r="D54" s="41" t="s">
        <v>26</v>
      </c>
      <c r="E54" s="41" t="s">
        <v>26</v>
      </c>
      <c r="F54" s="49" t="s">
        <v>41</v>
      </c>
      <c r="G54" s="29">
        <v>1</v>
      </c>
      <c r="H54" s="18">
        <v>230</v>
      </c>
      <c r="I54" s="46"/>
      <c r="J54" s="13"/>
      <c r="K54" s="42" t="s">
        <v>105</v>
      </c>
      <c r="L54" s="1"/>
      <c r="M54" s="1"/>
      <c r="N54" s="14"/>
      <c r="O54" s="4"/>
      <c r="P54" s="2"/>
      <c r="Q54" s="33"/>
      <c r="R54" s="34"/>
    </row>
    <row r="55" spans="1:18" s="3" customFormat="1" ht="19.5" customHeight="1" x14ac:dyDescent="0.2">
      <c r="A55" s="37" t="s">
        <v>27</v>
      </c>
      <c r="B55" s="22"/>
      <c r="C55" s="43">
        <f t="shared" si="11"/>
        <v>36</v>
      </c>
      <c r="D55" s="41" t="s">
        <v>26</v>
      </c>
      <c r="E55" s="41" t="s">
        <v>26</v>
      </c>
      <c r="F55" s="49" t="s">
        <v>45</v>
      </c>
      <c r="G55" s="29">
        <v>2</v>
      </c>
      <c r="H55" s="18">
        <v>141</v>
      </c>
      <c r="I55" s="46"/>
      <c r="J55" s="13"/>
      <c r="K55" s="42" t="s">
        <v>106</v>
      </c>
      <c r="L55" s="1"/>
      <c r="M55" s="1"/>
      <c r="N55" s="14"/>
      <c r="O55" s="4"/>
      <c r="P55" s="2"/>
      <c r="Q55" s="33"/>
      <c r="R55" s="34"/>
    </row>
    <row r="56" spans="1:18" s="3" customFormat="1" ht="19.5" customHeight="1" x14ac:dyDescent="0.2">
      <c r="A56" s="51"/>
      <c r="B56" s="22"/>
      <c r="C56" s="23"/>
      <c r="D56" s="23"/>
      <c r="E56" s="23"/>
      <c r="F56" s="49"/>
      <c r="G56" s="29"/>
      <c r="H56" s="18"/>
      <c r="I56" s="35"/>
      <c r="J56" s="13"/>
      <c r="K56" s="19"/>
      <c r="L56" s="1"/>
      <c r="M56" s="1"/>
      <c r="N56" s="14"/>
      <c r="O56" s="4"/>
      <c r="P56" s="2"/>
      <c r="Q56" s="33"/>
      <c r="R56" s="34"/>
    </row>
    <row r="57" spans="1:18" s="3" customFormat="1" ht="19.5" customHeight="1" x14ac:dyDescent="0.2">
      <c r="A57" s="56" t="s">
        <v>30</v>
      </c>
      <c r="B57" s="58"/>
      <c r="C57" s="43">
        <f>+C55+1</f>
        <v>37</v>
      </c>
      <c r="D57" s="43" t="s">
        <v>31</v>
      </c>
      <c r="E57" s="36" t="s">
        <v>26</v>
      </c>
      <c r="F57" s="54" t="s">
        <v>131</v>
      </c>
      <c r="G57" s="52">
        <v>1</v>
      </c>
      <c r="H57" s="55">
        <v>13412</v>
      </c>
      <c r="I57" s="46">
        <f t="shared" ref="I57:I60" si="12">G57*H57</f>
        <v>13412</v>
      </c>
      <c r="J57" s="13"/>
      <c r="K57" s="53" t="s">
        <v>120</v>
      </c>
      <c r="L57" s="42" t="s">
        <v>118</v>
      </c>
      <c r="M57" s="1"/>
      <c r="N57" s="14"/>
      <c r="O57" s="4"/>
      <c r="P57" s="2"/>
      <c r="Q57" s="33"/>
      <c r="R57" s="34"/>
    </row>
    <row r="58" spans="1:18" s="3" customFormat="1" ht="19.5" customHeight="1" x14ac:dyDescent="0.2">
      <c r="A58" s="44" t="s">
        <v>27</v>
      </c>
      <c r="B58" s="58"/>
      <c r="C58" s="43">
        <f>+C57+1</f>
        <v>38</v>
      </c>
      <c r="D58" s="41" t="s">
        <v>26</v>
      </c>
      <c r="E58" s="41" t="s">
        <v>26</v>
      </c>
      <c r="F58" s="54" t="s">
        <v>37</v>
      </c>
      <c r="G58" s="52">
        <v>4</v>
      </c>
      <c r="H58" s="55">
        <v>104</v>
      </c>
      <c r="I58" s="46">
        <f t="shared" si="12"/>
        <v>416</v>
      </c>
      <c r="J58" s="13"/>
      <c r="K58" s="42" t="s">
        <v>93</v>
      </c>
      <c r="L58" s="1"/>
      <c r="M58" s="1"/>
      <c r="N58" s="14"/>
      <c r="O58" s="4"/>
      <c r="P58" s="2"/>
      <c r="Q58" s="33"/>
      <c r="R58" s="34"/>
    </row>
    <row r="59" spans="1:18" s="3" customFormat="1" ht="19.5" customHeight="1" x14ac:dyDescent="0.2">
      <c r="A59" s="44" t="s">
        <v>27</v>
      </c>
      <c r="B59" s="58"/>
      <c r="C59" s="43">
        <f t="shared" ref="C59:C60" si="13">+C58+1</f>
        <v>39</v>
      </c>
      <c r="D59" s="41" t="s">
        <v>26</v>
      </c>
      <c r="E59" s="41" t="s">
        <v>26</v>
      </c>
      <c r="F59" s="54" t="s">
        <v>43</v>
      </c>
      <c r="G59" s="52">
        <v>1</v>
      </c>
      <c r="H59" s="55">
        <v>200</v>
      </c>
      <c r="I59" s="46">
        <f t="shared" si="12"/>
        <v>200</v>
      </c>
      <c r="J59" s="13"/>
      <c r="K59" s="42" t="s">
        <v>105</v>
      </c>
      <c r="L59" s="1"/>
      <c r="M59" s="1"/>
      <c r="N59" s="14"/>
      <c r="O59" s="4"/>
      <c r="P59" s="2"/>
      <c r="Q59" s="33"/>
      <c r="R59" s="34"/>
    </row>
    <row r="60" spans="1:18" s="3" customFormat="1" ht="19.5" customHeight="1" x14ac:dyDescent="0.2">
      <c r="A60" s="44" t="s">
        <v>27</v>
      </c>
      <c r="B60" s="58"/>
      <c r="C60" s="43">
        <f t="shared" si="13"/>
        <v>40</v>
      </c>
      <c r="D60" s="41" t="s">
        <v>26</v>
      </c>
      <c r="E60" s="41" t="s">
        <v>26</v>
      </c>
      <c r="F60" s="54" t="s">
        <v>129</v>
      </c>
      <c r="G60" s="52">
        <v>2</v>
      </c>
      <c r="H60" s="55">
        <v>159</v>
      </c>
      <c r="I60" s="46">
        <f t="shared" si="12"/>
        <v>318</v>
      </c>
      <c r="J60" s="13"/>
      <c r="K60" s="42" t="s">
        <v>106</v>
      </c>
      <c r="L60" s="1"/>
      <c r="M60" s="1"/>
      <c r="N60" s="14"/>
      <c r="O60" s="4"/>
      <c r="P60" s="2"/>
      <c r="Q60" s="33"/>
      <c r="R60" s="34"/>
    </row>
    <row r="61" spans="1:18" s="3" customFormat="1" ht="19.5" customHeight="1" x14ac:dyDescent="0.2">
      <c r="A61" s="51"/>
      <c r="B61" s="22"/>
      <c r="C61" s="23"/>
      <c r="D61" s="23"/>
      <c r="E61" s="23"/>
      <c r="F61" s="49"/>
      <c r="G61" s="29"/>
      <c r="H61" s="18"/>
      <c r="I61" s="35"/>
      <c r="J61" s="13"/>
      <c r="K61" s="19"/>
      <c r="L61" s="1"/>
      <c r="M61" s="1"/>
      <c r="N61" s="14"/>
      <c r="O61" s="4"/>
      <c r="P61" s="2"/>
      <c r="Q61" s="33"/>
      <c r="R61" s="34"/>
    </row>
    <row r="62" spans="1:18" s="3" customFormat="1" ht="19.5" customHeight="1" x14ac:dyDescent="0.2">
      <c r="A62" s="56" t="s">
        <v>30</v>
      </c>
      <c r="B62" s="22"/>
      <c r="C62" s="43">
        <f>+C60+1</f>
        <v>41</v>
      </c>
      <c r="D62" s="43" t="s">
        <v>31</v>
      </c>
      <c r="E62" s="36" t="s">
        <v>26</v>
      </c>
      <c r="F62" s="54" t="s">
        <v>123</v>
      </c>
      <c r="G62" s="52">
        <v>1</v>
      </c>
      <c r="H62" s="55">
        <v>13476</v>
      </c>
      <c r="I62" s="46"/>
      <c r="J62" s="13"/>
      <c r="K62" s="53" t="s">
        <v>121</v>
      </c>
      <c r="L62" s="42" t="s">
        <v>122</v>
      </c>
      <c r="M62" s="1"/>
      <c r="N62" s="14"/>
      <c r="O62" s="4"/>
      <c r="P62" s="2"/>
      <c r="Q62" s="33"/>
      <c r="R62" s="34"/>
    </row>
    <row r="63" spans="1:18" s="3" customFormat="1" ht="19.5" customHeight="1" x14ac:dyDescent="0.2">
      <c r="A63" s="44" t="s">
        <v>27</v>
      </c>
      <c r="B63" s="22"/>
      <c r="C63" s="43">
        <f>+C62+1</f>
        <v>42</v>
      </c>
      <c r="D63" s="41" t="s">
        <v>26</v>
      </c>
      <c r="E63" s="41" t="s">
        <v>26</v>
      </c>
      <c r="F63" s="54" t="s">
        <v>37</v>
      </c>
      <c r="G63" s="52">
        <v>4</v>
      </c>
      <c r="H63" s="55">
        <v>104</v>
      </c>
      <c r="I63" s="46"/>
      <c r="J63" s="13"/>
      <c r="K63" s="42" t="s">
        <v>93</v>
      </c>
      <c r="L63" s="1"/>
      <c r="M63" s="1"/>
      <c r="N63" s="14"/>
      <c r="O63" s="4"/>
      <c r="P63" s="2"/>
      <c r="Q63" s="33"/>
      <c r="R63" s="34"/>
    </row>
    <row r="64" spans="1:18" s="3" customFormat="1" ht="19.5" customHeight="1" x14ac:dyDescent="0.2">
      <c r="A64" s="51"/>
      <c r="B64" s="22"/>
      <c r="C64" s="23"/>
      <c r="D64" s="23"/>
      <c r="E64" s="23"/>
      <c r="F64" s="49"/>
      <c r="G64" s="29"/>
      <c r="H64" s="18"/>
      <c r="I64" s="35"/>
      <c r="J64" s="13"/>
      <c r="K64" s="19"/>
      <c r="L64" s="1"/>
      <c r="M64" s="1"/>
      <c r="N64" s="14"/>
      <c r="O64" s="4"/>
      <c r="P64" s="2"/>
      <c r="Q64" s="33"/>
      <c r="R64" s="34"/>
    </row>
    <row r="65" spans="1:18" s="3" customFormat="1" ht="19.5" customHeight="1" x14ac:dyDescent="0.2">
      <c r="A65" s="56" t="s">
        <v>30</v>
      </c>
      <c r="B65" s="58"/>
      <c r="C65" s="43">
        <f>+C63+1</f>
        <v>43</v>
      </c>
      <c r="D65" s="43" t="s">
        <v>31</v>
      </c>
      <c r="E65" s="36" t="s">
        <v>26</v>
      </c>
      <c r="F65" s="54" t="s">
        <v>128</v>
      </c>
      <c r="G65" s="52">
        <v>1</v>
      </c>
      <c r="H65" s="55">
        <v>12623</v>
      </c>
      <c r="I65" s="46">
        <f t="shared" ref="I65:I66" si="14">G65*H65</f>
        <v>12623</v>
      </c>
      <c r="J65" s="13"/>
      <c r="K65" s="53" t="s">
        <v>126</v>
      </c>
      <c r="L65" s="42" t="s">
        <v>127</v>
      </c>
      <c r="M65" s="1"/>
      <c r="N65" s="14"/>
      <c r="O65" s="4"/>
      <c r="P65" s="2"/>
      <c r="Q65" s="33"/>
      <c r="R65" s="34"/>
    </row>
    <row r="66" spans="1:18" s="3" customFormat="1" ht="19.5" customHeight="1" x14ac:dyDescent="0.2">
      <c r="A66" s="44" t="s">
        <v>27</v>
      </c>
      <c r="B66" s="58"/>
      <c r="C66" s="43">
        <f>+C65+1</f>
        <v>44</v>
      </c>
      <c r="D66" s="41" t="s">
        <v>26</v>
      </c>
      <c r="E66" s="41" t="s">
        <v>26</v>
      </c>
      <c r="F66" s="54" t="s">
        <v>37</v>
      </c>
      <c r="G66" s="52">
        <v>4</v>
      </c>
      <c r="H66" s="55">
        <v>104</v>
      </c>
      <c r="I66" s="46">
        <f t="shared" si="14"/>
        <v>416</v>
      </c>
      <c r="J66" s="13"/>
      <c r="K66" s="42" t="s">
        <v>93</v>
      </c>
      <c r="L66" s="1"/>
      <c r="M66" s="1"/>
      <c r="N66" s="14"/>
      <c r="O66" s="4"/>
      <c r="P66" s="2"/>
      <c r="Q66" s="33"/>
      <c r="R66" s="34"/>
    </row>
    <row r="67" spans="1:18" s="3" customFormat="1" ht="19.5" customHeight="1" x14ac:dyDescent="0.2">
      <c r="A67" s="51"/>
      <c r="B67" s="22"/>
      <c r="C67" s="23"/>
      <c r="D67" s="23"/>
      <c r="E67" s="23"/>
      <c r="F67" s="49"/>
      <c r="G67" s="29"/>
      <c r="H67" s="18"/>
      <c r="I67" s="35"/>
      <c r="J67" s="13"/>
      <c r="K67" s="19"/>
      <c r="L67" s="1"/>
      <c r="M67" s="1"/>
      <c r="N67" s="14"/>
      <c r="O67" s="4"/>
      <c r="P67" s="2"/>
      <c r="Q67" s="33"/>
      <c r="R67" s="34"/>
    </row>
    <row r="68" spans="1:18" s="3" customFormat="1" ht="19.5" customHeight="1" x14ac:dyDescent="0.2">
      <c r="A68" s="51"/>
      <c r="B68" s="22"/>
      <c r="C68" s="23"/>
      <c r="D68" s="23"/>
      <c r="E68" s="23"/>
      <c r="F68" s="49"/>
      <c r="G68" s="29"/>
      <c r="H68" s="18"/>
      <c r="I68" s="35"/>
      <c r="J68" s="13"/>
      <c r="K68" s="19"/>
      <c r="L68" s="1"/>
      <c r="M68" s="1"/>
      <c r="N68" s="14"/>
      <c r="O68" s="4"/>
      <c r="P68" s="2"/>
      <c r="Q68" s="33"/>
      <c r="R68" s="34"/>
    </row>
    <row r="69" spans="1:18" s="3" customFormat="1" ht="19.5" customHeight="1" x14ac:dyDescent="0.2">
      <c r="A69" s="51"/>
      <c r="B69" s="22"/>
      <c r="C69" s="23"/>
      <c r="D69" s="23"/>
      <c r="E69" s="23"/>
      <c r="F69" s="40">
        <f>SUM(I14:I67)</f>
        <v>112708</v>
      </c>
      <c r="G69" s="29"/>
      <c r="H69" s="18"/>
      <c r="I69" s="35"/>
      <c r="J69" s="13"/>
      <c r="K69" s="19"/>
      <c r="L69" s="1"/>
      <c r="M69" s="1"/>
      <c r="N69" s="14"/>
      <c r="O69" s="4"/>
      <c r="P69" s="2"/>
      <c r="Q69" s="33"/>
      <c r="R69" s="34"/>
    </row>
    <row r="70" spans="1:18" s="3" customFormat="1" ht="19.5" customHeight="1" x14ac:dyDescent="0.2">
      <c r="A70" s="51"/>
      <c r="B70" s="22"/>
      <c r="C70" s="23"/>
      <c r="D70" s="23"/>
      <c r="E70" s="23"/>
      <c r="F70" s="49"/>
      <c r="G70" s="29"/>
      <c r="H70" s="18"/>
      <c r="I70" s="35"/>
      <c r="J70" s="13"/>
      <c r="K70" s="19"/>
      <c r="L70" s="1"/>
      <c r="M70" s="1"/>
      <c r="N70" s="14"/>
      <c r="O70" s="4"/>
      <c r="P70" s="2"/>
      <c r="Q70" s="33"/>
      <c r="R70" s="34"/>
    </row>
    <row r="71" spans="1:18" s="3" customFormat="1" ht="19.5" customHeight="1" x14ac:dyDescent="0.2">
      <c r="A71" s="51"/>
      <c r="B71" s="22"/>
      <c r="C71" s="23"/>
      <c r="D71" s="23"/>
      <c r="E71" s="23"/>
      <c r="F71" s="49"/>
      <c r="G71" s="29"/>
      <c r="H71" s="18"/>
      <c r="I71" s="35"/>
      <c r="J71" s="13"/>
      <c r="K71" s="19"/>
      <c r="L71" s="1"/>
      <c r="M71" s="1"/>
      <c r="N71" s="14"/>
      <c r="O71" s="4"/>
      <c r="P71" s="2"/>
      <c r="Q71" s="33"/>
      <c r="R71" s="34"/>
    </row>
    <row r="72" spans="1:18" s="3" customFormat="1" ht="19.5" customHeight="1" x14ac:dyDescent="0.2">
      <c r="A72" s="51"/>
      <c r="B72" s="22"/>
      <c r="C72" s="23"/>
      <c r="D72" s="23"/>
      <c r="E72" s="23"/>
      <c r="F72" s="49"/>
      <c r="G72" s="29"/>
      <c r="H72" s="18"/>
      <c r="I72" s="35"/>
      <c r="J72" s="13"/>
      <c r="K72" s="19"/>
      <c r="L72" s="1"/>
      <c r="M72" s="1"/>
      <c r="N72" s="14"/>
      <c r="O72" s="4"/>
      <c r="P72" s="2"/>
      <c r="Q72" s="33"/>
      <c r="R72" s="34"/>
    </row>
    <row r="73" spans="1:18" s="3" customFormat="1" ht="19.5" customHeight="1" x14ac:dyDescent="0.2">
      <c r="A73" s="51"/>
      <c r="B73" s="22"/>
      <c r="C73" s="23"/>
      <c r="D73" s="23"/>
      <c r="E73" s="23"/>
      <c r="F73" s="49"/>
      <c r="G73" s="29"/>
      <c r="H73" s="18"/>
      <c r="I73" s="35"/>
      <c r="J73" s="13"/>
      <c r="K73" s="19"/>
      <c r="L73" s="1"/>
      <c r="M73" s="1"/>
      <c r="N73" s="14"/>
      <c r="O73" s="4"/>
      <c r="P73" s="2"/>
      <c r="Q73" s="33"/>
      <c r="R73" s="34"/>
    </row>
    <row r="74" spans="1:18" s="3" customFormat="1" ht="19.5" customHeight="1" x14ac:dyDescent="0.2">
      <c r="A74" s="51"/>
      <c r="B74" s="22"/>
      <c r="C74" s="23"/>
      <c r="D74" s="23"/>
      <c r="E74" s="23"/>
      <c r="F74" s="49"/>
      <c r="G74" s="29"/>
      <c r="H74" s="18"/>
      <c r="I74" s="35"/>
      <c r="J74" s="13"/>
      <c r="K74" s="19"/>
      <c r="L74" s="1"/>
      <c r="M74" s="1"/>
      <c r="N74" s="14"/>
      <c r="O74" s="4"/>
      <c r="P74" s="2"/>
      <c r="Q74" s="33"/>
      <c r="R74" s="34"/>
    </row>
    <row r="75" spans="1:18" s="3" customFormat="1" ht="19.5" customHeight="1" x14ac:dyDescent="0.2">
      <c r="A75" s="51"/>
      <c r="B75" s="22"/>
      <c r="C75" s="23"/>
      <c r="D75" s="81" t="s">
        <v>160</v>
      </c>
      <c r="E75" s="82"/>
      <c r="F75" s="83"/>
      <c r="G75" s="29"/>
      <c r="H75" s="18"/>
      <c r="I75" s="35"/>
      <c r="J75" s="13"/>
      <c r="K75" s="19"/>
      <c r="L75" s="1"/>
      <c r="M75" s="1"/>
      <c r="N75" s="14"/>
      <c r="O75" s="4"/>
      <c r="P75" s="2"/>
      <c r="Q75" s="33"/>
      <c r="R75" s="34"/>
    </row>
    <row r="76" spans="1:18" s="3" customFormat="1" ht="19.5" customHeight="1" x14ac:dyDescent="0.2">
      <c r="A76" s="56" t="s">
        <v>34</v>
      </c>
      <c r="B76" s="58"/>
      <c r="C76" s="43">
        <f>+C68+1</f>
        <v>1</v>
      </c>
      <c r="D76" s="43" t="s">
        <v>31</v>
      </c>
      <c r="E76" s="36" t="s">
        <v>26</v>
      </c>
      <c r="F76" s="54" t="s">
        <v>144</v>
      </c>
      <c r="G76" s="52">
        <v>1</v>
      </c>
      <c r="H76" s="55">
        <v>13032</v>
      </c>
      <c r="I76" s="62">
        <f t="shared" ref="I76:I106" si="15">G76*H76</f>
        <v>13032</v>
      </c>
      <c r="J76" s="13"/>
      <c r="K76" s="53" t="s">
        <v>133</v>
      </c>
      <c r="L76" s="1"/>
      <c r="M76" s="1"/>
      <c r="N76" s="14"/>
      <c r="O76" s="4"/>
      <c r="P76" s="2"/>
      <c r="Q76" s="33"/>
      <c r="R76" s="34"/>
    </row>
    <row r="77" spans="1:18" s="3" customFormat="1" ht="19.5" customHeight="1" x14ac:dyDescent="0.2">
      <c r="A77" s="44" t="s">
        <v>27</v>
      </c>
      <c r="B77" s="58"/>
      <c r="C77" s="43">
        <f t="shared" ref="C77:C78" si="16">+C76+1</f>
        <v>2</v>
      </c>
      <c r="D77" s="41" t="s">
        <v>26</v>
      </c>
      <c r="E77" s="41" t="s">
        <v>26</v>
      </c>
      <c r="F77" s="54" t="s">
        <v>145</v>
      </c>
      <c r="G77" s="71">
        <v>55</v>
      </c>
      <c r="H77" s="55">
        <v>26</v>
      </c>
      <c r="I77" s="62">
        <f t="shared" si="15"/>
        <v>1430</v>
      </c>
      <c r="J77" s="13"/>
      <c r="K77" s="42" t="s">
        <v>166</v>
      </c>
      <c r="L77" s="1"/>
      <c r="M77" s="1"/>
      <c r="N77" s="14"/>
      <c r="O77" s="4"/>
      <c r="P77" s="2"/>
      <c r="Q77" s="33"/>
      <c r="R77" s="34"/>
    </row>
    <row r="78" spans="1:18" s="3" customFormat="1" ht="19.5" customHeight="1" x14ac:dyDescent="0.2">
      <c r="A78" s="44" t="s">
        <v>27</v>
      </c>
      <c r="B78" s="58"/>
      <c r="C78" s="43">
        <f t="shared" si="16"/>
        <v>3</v>
      </c>
      <c r="D78" s="41" t="s">
        <v>26</v>
      </c>
      <c r="E78" s="41" t="s">
        <v>26</v>
      </c>
      <c r="F78" s="59" t="s">
        <v>83</v>
      </c>
      <c r="G78" s="45">
        <v>10</v>
      </c>
      <c r="H78" s="62">
        <v>50</v>
      </c>
      <c r="I78" s="62">
        <f t="shared" si="15"/>
        <v>500</v>
      </c>
      <c r="J78" s="39"/>
      <c r="K78" s="38" t="s">
        <v>146</v>
      </c>
      <c r="L78" s="1"/>
      <c r="M78" s="1"/>
      <c r="N78" s="14"/>
      <c r="O78" s="4"/>
      <c r="P78" s="2"/>
      <c r="Q78" s="33"/>
      <c r="R78" s="34"/>
    </row>
    <row r="79" spans="1:18" s="3" customFormat="1" ht="19.5" customHeight="1" x14ac:dyDescent="0.2">
      <c r="A79" s="56" t="s">
        <v>34</v>
      </c>
      <c r="B79" s="58"/>
      <c r="C79" s="43">
        <f>+C78+1</f>
        <v>4</v>
      </c>
      <c r="D79" s="43" t="s">
        <v>31</v>
      </c>
      <c r="E79" s="36" t="s">
        <v>26</v>
      </c>
      <c r="F79" s="54" t="s">
        <v>141</v>
      </c>
      <c r="G79" s="52">
        <v>1</v>
      </c>
      <c r="H79" s="55">
        <v>4069</v>
      </c>
      <c r="I79" s="62">
        <f t="shared" si="15"/>
        <v>4069</v>
      </c>
      <c r="J79" s="13"/>
      <c r="K79" s="53" t="s">
        <v>134</v>
      </c>
      <c r="L79" s="1"/>
      <c r="M79" s="1"/>
      <c r="N79" s="14"/>
      <c r="O79" s="4"/>
      <c r="P79" s="2"/>
      <c r="Q79" s="33"/>
      <c r="R79" s="34"/>
    </row>
    <row r="80" spans="1:18" s="3" customFormat="1" ht="19.5" customHeight="1" x14ac:dyDescent="0.2">
      <c r="A80" s="56" t="s">
        <v>28</v>
      </c>
      <c r="B80" s="58"/>
      <c r="C80" s="43">
        <f>+C79+1</f>
        <v>5</v>
      </c>
      <c r="D80" s="41" t="s">
        <v>26</v>
      </c>
      <c r="E80" s="41" t="s">
        <v>26</v>
      </c>
      <c r="F80" s="54" t="s">
        <v>147</v>
      </c>
      <c r="G80" s="52">
        <v>1</v>
      </c>
      <c r="H80" s="55">
        <v>2400</v>
      </c>
      <c r="I80" s="62">
        <f t="shared" si="15"/>
        <v>2400</v>
      </c>
      <c r="J80" s="13"/>
      <c r="K80" s="42" t="s">
        <v>88</v>
      </c>
      <c r="L80" s="1"/>
      <c r="M80" s="1"/>
      <c r="N80" s="14"/>
      <c r="O80" s="4"/>
      <c r="P80" s="2"/>
      <c r="Q80" s="33"/>
      <c r="R80" s="34"/>
    </row>
    <row r="81" spans="1:18" s="3" customFormat="1" ht="19.5" customHeight="1" x14ac:dyDescent="0.2">
      <c r="A81" s="44" t="s">
        <v>27</v>
      </c>
      <c r="B81" s="58"/>
      <c r="C81" s="43">
        <f t="shared" ref="C81:C83" si="17">+C80+1</f>
        <v>6</v>
      </c>
      <c r="D81" s="41" t="s">
        <v>26</v>
      </c>
      <c r="E81" s="41" t="s">
        <v>26</v>
      </c>
      <c r="F81" s="65" t="s">
        <v>145</v>
      </c>
      <c r="G81" s="66"/>
      <c r="H81" s="67">
        <v>194</v>
      </c>
      <c r="I81" s="68">
        <f t="shared" ref="I81:I82" si="18">G81*H81</f>
        <v>0</v>
      </c>
      <c r="J81" s="69"/>
      <c r="K81" s="70" t="s">
        <v>165</v>
      </c>
      <c r="L81" s="1"/>
      <c r="M81" s="1"/>
      <c r="N81" s="14"/>
      <c r="O81" s="4"/>
      <c r="P81" s="2"/>
      <c r="Q81" s="33"/>
      <c r="R81" s="34"/>
    </row>
    <row r="82" spans="1:18" s="3" customFormat="1" ht="19.5" customHeight="1" x14ac:dyDescent="0.2">
      <c r="A82" s="44" t="s">
        <v>27</v>
      </c>
      <c r="B82" s="58"/>
      <c r="C82" s="43">
        <f t="shared" si="17"/>
        <v>7</v>
      </c>
      <c r="D82" s="41" t="s">
        <v>26</v>
      </c>
      <c r="E82" s="41" t="s">
        <v>26</v>
      </c>
      <c r="F82" s="59" t="s">
        <v>32</v>
      </c>
      <c r="G82" s="45">
        <v>10</v>
      </c>
      <c r="H82" s="62">
        <v>50</v>
      </c>
      <c r="I82" s="62">
        <f t="shared" si="18"/>
        <v>500</v>
      </c>
      <c r="J82" s="39"/>
      <c r="K82" s="38" t="s">
        <v>149</v>
      </c>
      <c r="L82" s="1"/>
      <c r="M82" s="1"/>
      <c r="N82" s="14"/>
      <c r="O82" s="4"/>
      <c r="P82" s="2"/>
      <c r="Q82" s="33"/>
      <c r="R82" s="34"/>
    </row>
    <row r="83" spans="1:18" s="3" customFormat="1" ht="19.5" customHeight="1" x14ac:dyDescent="0.2">
      <c r="A83" s="44" t="s">
        <v>27</v>
      </c>
      <c r="B83" s="58"/>
      <c r="C83" s="43">
        <f t="shared" si="17"/>
        <v>8</v>
      </c>
      <c r="D83" s="41" t="s">
        <v>26</v>
      </c>
      <c r="E83" s="41" t="s">
        <v>26</v>
      </c>
      <c r="F83" s="59" t="s">
        <v>148</v>
      </c>
      <c r="G83" s="45">
        <v>10</v>
      </c>
      <c r="H83" s="62">
        <v>58</v>
      </c>
      <c r="I83" s="62">
        <f t="shared" ref="I83" si="19">G83*H83</f>
        <v>580</v>
      </c>
      <c r="J83" s="39"/>
      <c r="K83" s="38" t="s">
        <v>150</v>
      </c>
      <c r="L83" s="1"/>
      <c r="M83" s="1"/>
      <c r="N83" s="14"/>
      <c r="O83" s="4"/>
      <c r="P83" s="2"/>
      <c r="Q83" s="33"/>
      <c r="R83" s="34"/>
    </row>
    <row r="84" spans="1:18" s="3" customFormat="1" ht="19.5" customHeight="1" x14ac:dyDescent="0.2">
      <c r="A84" s="56" t="s">
        <v>34</v>
      </c>
      <c r="B84" s="58"/>
      <c r="C84" s="43">
        <f>+C83+1</f>
        <v>9</v>
      </c>
      <c r="D84" s="43" t="s">
        <v>31</v>
      </c>
      <c r="E84" s="36" t="s">
        <v>26</v>
      </c>
      <c r="F84" s="54" t="s">
        <v>142</v>
      </c>
      <c r="G84" s="52">
        <v>2</v>
      </c>
      <c r="H84" s="55">
        <v>3102</v>
      </c>
      <c r="I84" s="62">
        <f t="shared" si="15"/>
        <v>6204</v>
      </c>
      <c r="J84" s="13"/>
      <c r="K84" s="53" t="s">
        <v>137</v>
      </c>
      <c r="L84" s="1"/>
      <c r="M84" s="1"/>
      <c r="N84" s="14"/>
      <c r="O84" s="4"/>
      <c r="P84" s="2"/>
      <c r="Q84" s="33"/>
      <c r="R84" s="34"/>
    </row>
    <row r="85" spans="1:18" s="3" customFormat="1" ht="19.5" customHeight="1" x14ac:dyDescent="0.2">
      <c r="A85" s="44" t="s">
        <v>27</v>
      </c>
      <c r="B85" s="58"/>
      <c r="C85" s="43">
        <f t="shared" ref="C85:C94" si="20">+C84+1</f>
        <v>10</v>
      </c>
      <c r="D85" s="41" t="s">
        <v>26</v>
      </c>
      <c r="E85" s="41" t="s">
        <v>26</v>
      </c>
      <c r="F85" s="65" t="s">
        <v>145</v>
      </c>
      <c r="G85" s="66"/>
      <c r="H85" s="67">
        <v>122</v>
      </c>
      <c r="I85" s="68">
        <f t="shared" si="15"/>
        <v>0</v>
      </c>
      <c r="J85" s="69"/>
      <c r="K85" s="70" t="s">
        <v>151</v>
      </c>
      <c r="L85" s="1"/>
      <c r="M85" s="1"/>
      <c r="N85" s="14"/>
      <c r="O85" s="4"/>
      <c r="P85" s="2"/>
      <c r="Q85" s="33"/>
      <c r="R85" s="34"/>
    </row>
    <row r="86" spans="1:18" s="3" customFormat="1" ht="19.5" customHeight="1" x14ac:dyDescent="0.2">
      <c r="A86" s="44" t="s">
        <v>27</v>
      </c>
      <c r="B86" s="58"/>
      <c r="C86" s="43">
        <f t="shared" si="20"/>
        <v>11</v>
      </c>
      <c r="D86" s="41" t="s">
        <v>26</v>
      </c>
      <c r="E86" s="41" t="s">
        <v>26</v>
      </c>
      <c r="F86" s="59" t="s">
        <v>32</v>
      </c>
      <c r="G86" s="60">
        <v>10</v>
      </c>
      <c r="H86" s="62">
        <v>50</v>
      </c>
      <c r="I86" s="62">
        <f t="shared" si="15"/>
        <v>500</v>
      </c>
      <c r="J86" s="39"/>
      <c r="K86" s="38" t="s">
        <v>152</v>
      </c>
      <c r="L86" s="1"/>
      <c r="M86" s="1"/>
      <c r="N86" s="14"/>
      <c r="O86" s="4"/>
      <c r="P86" s="2"/>
      <c r="Q86" s="33"/>
      <c r="R86" s="34"/>
    </row>
    <row r="87" spans="1:18" s="3" customFormat="1" ht="19.5" customHeight="1" x14ac:dyDescent="0.2">
      <c r="A87" s="44" t="s">
        <v>27</v>
      </c>
      <c r="B87" s="58"/>
      <c r="C87" s="43">
        <f t="shared" si="20"/>
        <v>12</v>
      </c>
      <c r="D87" s="41" t="s">
        <v>26</v>
      </c>
      <c r="E87" s="41" t="s">
        <v>26</v>
      </c>
      <c r="F87" s="59" t="s">
        <v>153</v>
      </c>
      <c r="G87" s="60">
        <v>8</v>
      </c>
      <c r="H87" s="62">
        <v>152</v>
      </c>
      <c r="I87" s="62">
        <f t="shared" si="15"/>
        <v>1216</v>
      </c>
      <c r="J87" s="39"/>
      <c r="K87" s="38" t="s">
        <v>168</v>
      </c>
      <c r="L87" s="1"/>
      <c r="M87" s="1"/>
      <c r="N87" s="14"/>
      <c r="O87" s="4"/>
      <c r="P87" s="2"/>
      <c r="Q87" s="33"/>
      <c r="R87" s="34"/>
    </row>
    <row r="88" spans="1:18" s="3" customFormat="1" ht="19.5" customHeight="1" x14ac:dyDescent="0.2">
      <c r="A88" s="56" t="s">
        <v>34</v>
      </c>
      <c r="B88" s="58"/>
      <c r="C88" s="43">
        <f t="shared" si="20"/>
        <v>13</v>
      </c>
      <c r="D88" s="41" t="s">
        <v>26</v>
      </c>
      <c r="E88" s="41" t="s">
        <v>26</v>
      </c>
      <c r="F88" s="54" t="s">
        <v>67</v>
      </c>
      <c r="G88" s="52">
        <v>2</v>
      </c>
      <c r="H88" s="61">
        <v>2140</v>
      </c>
      <c r="I88" s="60">
        <f t="shared" si="15"/>
        <v>4280</v>
      </c>
      <c r="J88" s="26"/>
      <c r="K88" s="57" t="s">
        <v>72</v>
      </c>
      <c r="L88" s="1"/>
      <c r="M88" s="1"/>
      <c r="N88" s="14"/>
      <c r="O88" s="4"/>
      <c r="P88" s="2"/>
      <c r="Q88" s="33"/>
      <c r="R88" s="34"/>
    </row>
    <row r="89" spans="1:18" s="3" customFormat="1" ht="19.5" customHeight="1" x14ac:dyDescent="0.2">
      <c r="A89" s="56" t="s">
        <v>34</v>
      </c>
      <c r="B89" s="58"/>
      <c r="C89" s="43">
        <f>+C88+1</f>
        <v>14</v>
      </c>
      <c r="D89" s="41" t="s">
        <v>26</v>
      </c>
      <c r="E89" s="41" t="s">
        <v>26</v>
      </c>
      <c r="F89" s="54" t="s">
        <v>69</v>
      </c>
      <c r="G89" s="52">
        <v>1</v>
      </c>
      <c r="H89" s="61">
        <v>1960</v>
      </c>
      <c r="I89" s="63">
        <f t="shared" si="15"/>
        <v>1960</v>
      </c>
      <c r="J89" s="50"/>
      <c r="K89" s="42" t="s">
        <v>55</v>
      </c>
      <c r="L89" s="1"/>
      <c r="M89" s="1"/>
      <c r="N89" s="14"/>
      <c r="O89" s="4"/>
      <c r="P89" s="2"/>
      <c r="Q89" s="33"/>
      <c r="R89" s="34"/>
    </row>
    <row r="90" spans="1:18" s="3" customFormat="1" ht="19.5" customHeight="1" x14ac:dyDescent="0.2">
      <c r="A90" s="56" t="s">
        <v>28</v>
      </c>
      <c r="B90" s="58"/>
      <c r="C90" s="43">
        <f t="shared" si="20"/>
        <v>15</v>
      </c>
      <c r="D90" s="41" t="s">
        <v>26</v>
      </c>
      <c r="E90" s="41" t="s">
        <v>26</v>
      </c>
      <c r="F90" s="54" t="s">
        <v>40</v>
      </c>
      <c r="G90" s="52">
        <v>2</v>
      </c>
      <c r="H90" s="55">
        <v>5930</v>
      </c>
      <c r="I90" s="62">
        <f t="shared" si="15"/>
        <v>11860</v>
      </c>
      <c r="J90" s="13"/>
      <c r="K90" s="42" t="s">
        <v>56</v>
      </c>
      <c r="L90" s="1"/>
      <c r="M90" s="1"/>
      <c r="N90" s="14"/>
      <c r="O90" s="4"/>
      <c r="P90" s="2"/>
      <c r="Q90" s="33"/>
      <c r="R90" s="34"/>
    </row>
    <row r="91" spans="1:18" s="3" customFormat="1" ht="19.5" customHeight="1" x14ac:dyDescent="0.2">
      <c r="A91" s="44" t="s">
        <v>27</v>
      </c>
      <c r="B91" s="58"/>
      <c r="C91" s="43">
        <f t="shared" si="20"/>
        <v>16</v>
      </c>
      <c r="D91" s="41" t="s">
        <v>26</v>
      </c>
      <c r="E91" s="41" t="s">
        <v>26</v>
      </c>
      <c r="F91" s="59" t="s">
        <v>148</v>
      </c>
      <c r="G91" s="60">
        <v>10</v>
      </c>
      <c r="H91" s="62">
        <v>58</v>
      </c>
      <c r="I91" s="62">
        <f t="shared" si="15"/>
        <v>580</v>
      </c>
      <c r="J91" s="39"/>
      <c r="K91" s="38" t="s">
        <v>154</v>
      </c>
      <c r="L91" s="1"/>
      <c r="M91" s="1"/>
      <c r="N91" s="14"/>
      <c r="O91" s="4"/>
      <c r="P91" s="2"/>
      <c r="Q91" s="33"/>
      <c r="R91" s="34"/>
    </row>
    <row r="92" spans="1:18" s="3" customFormat="1" ht="19.5" customHeight="1" x14ac:dyDescent="0.2">
      <c r="A92" s="44" t="s">
        <v>27</v>
      </c>
      <c r="B92" s="58"/>
      <c r="C92" s="43">
        <f t="shared" si="20"/>
        <v>17</v>
      </c>
      <c r="D92" s="41" t="s">
        <v>26</v>
      </c>
      <c r="E92" s="41" t="s">
        <v>26</v>
      </c>
      <c r="F92" s="54" t="s">
        <v>85</v>
      </c>
      <c r="G92" s="52">
        <v>10</v>
      </c>
      <c r="H92" s="55">
        <v>50</v>
      </c>
      <c r="I92" s="62">
        <f t="shared" si="15"/>
        <v>500</v>
      </c>
      <c r="J92" s="13"/>
      <c r="K92" s="42" t="s">
        <v>86</v>
      </c>
      <c r="L92" s="1"/>
      <c r="M92" s="1"/>
      <c r="N92" s="14"/>
      <c r="O92" s="4"/>
      <c r="P92" s="2"/>
      <c r="Q92" s="33"/>
      <c r="R92" s="34"/>
    </row>
    <row r="93" spans="1:18" s="3" customFormat="1" ht="19.5" customHeight="1" x14ac:dyDescent="0.2">
      <c r="A93" s="44" t="s">
        <v>27</v>
      </c>
      <c r="B93" s="58"/>
      <c r="C93" s="43">
        <f t="shared" si="20"/>
        <v>18</v>
      </c>
      <c r="D93" s="41" t="s">
        <v>26</v>
      </c>
      <c r="E93" s="41" t="s">
        <v>26</v>
      </c>
      <c r="F93" s="54" t="s">
        <v>51</v>
      </c>
      <c r="G93" s="52">
        <v>4</v>
      </c>
      <c r="H93" s="55">
        <v>230</v>
      </c>
      <c r="I93" s="62">
        <f t="shared" si="15"/>
        <v>920</v>
      </c>
      <c r="J93" s="13"/>
      <c r="K93" s="42" t="s">
        <v>62</v>
      </c>
      <c r="L93" s="1"/>
      <c r="M93" s="1"/>
      <c r="N93" s="14"/>
      <c r="O93" s="4"/>
      <c r="P93" s="2"/>
      <c r="Q93" s="33"/>
      <c r="R93" s="34"/>
    </row>
    <row r="94" spans="1:18" s="3" customFormat="1" ht="19.5" customHeight="1" x14ac:dyDescent="0.2">
      <c r="A94" s="44" t="s">
        <v>27</v>
      </c>
      <c r="B94" s="58"/>
      <c r="C94" s="43">
        <f t="shared" si="20"/>
        <v>19</v>
      </c>
      <c r="D94" s="41" t="s">
        <v>26</v>
      </c>
      <c r="E94" s="41" t="s">
        <v>26</v>
      </c>
      <c r="F94" s="54" t="s">
        <v>68</v>
      </c>
      <c r="G94" s="52">
        <v>1</v>
      </c>
      <c r="H94" s="61">
        <v>250</v>
      </c>
      <c r="I94" s="63">
        <f t="shared" si="15"/>
        <v>250</v>
      </c>
      <c r="J94" s="50"/>
      <c r="K94" s="42" t="s">
        <v>62</v>
      </c>
      <c r="L94" s="1"/>
      <c r="M94" s="1"/>
      <c r="N94" s="14"/>
      <c r="O94" s="4"/>
      <c r="P94" s="2"/>
      <c r="Q94" s="33"/>
      <c r="R94" s="34"/>
    </row>
    <row r="95" spans="1:18" s="3" customFormat="1" ht="19.5" customHeight="1" x14ac:dyDescent="0.2">
      <c r="A95" s="56" t="s">
        <v>30</v>
      </c>
      <c r="B95" s="58"/>
      <c r="C95" s="43">
        <f t="shared" ref="C95:C101" si="21">+C94+1</f>
        <v>20</v>
      </c>
      <c r="D95" s="43" t="s">
        <v>31</v>
      </c>
      <c r="E95" s="36" t="s">
        <v>26</v>
      </c>
      <c r="F95" s="54" t="s">
        <v>81</v>
      </c>
      <c r="G95" s="52">
        <v>1</v>
      </c>
      <c r="H95" s="55">
        <v>8362</v>
      </c>
      <c r="I95" s="62">
        <f t="shared" ref="I95" si="22">G95*H95</f>
        <v>8362</v>
      </c>
      <c r="J95" s="13"/>
      <c r="K95" s="53" t="s">
        <v>78</v>
      </c>
      <c r="L95" s="1"/>
      <c r="M95" s="1"/>
      <c r="N95" s="14"/>
      <c r="O95" s="4"/>
      <c r="P95" s="2"/>
      <c r="Q95" s="33"/>
      <c r="R95" s="34"/>
    </row>
    <row r="96" spans="1:18" s="3" customFormat="1" ht="19.5" customHeight="1" x14ac:dyDescent="0.2">
      <c r="A96" s="56" t="s">
        <v>29</v>
      </c>
      <c r="B96" s="58"/>
      <c r="C96" s="43">
        <f t="shared" si="21"/>
        <v>21</v>
      </c>
      <c r="D96" s="41" t="s">
        <v>26</v>
      </c>
      <c r="E96" s="41" t="s">
        <v>26</v>
      </c>
      <c r="F96" s="54" t="s">
        <v>159</v>
      </c>
      <c r="G96" s="52">
        <v>2</v>
      </c>
      <c r="H96" s="55">
        <v>1040</v>
      </c>
      <c r="I96" s="62">
        <f t="shared" ref="I96:I98" si="23">G96*H96</f>
        <v>2080</v>
      </c>
      <c r="J96" s="13"/>
      <c r="K96" s="42" t="s">
        <v>54</v>
      </c>
      <c r="L96" s="1"/>
      <c r="M96" s="1"/>
      <c r="N96" s="14"/>
      <c r="O96" s="4"/>
      <c r="P96" s="2"/>
      <c r="Q96" s="33"/>
      <c r="R96" s="34"/>
    </row>
    <row r="97" spans="1:18" s="3" customFormat="1" ht="19.5" customHeight="1" x14ac:dyDescent="0.2">
      <c r="A97" s="56" t="s">
        <v>30</v>
      </c>
      <c r="B97" s="58"/>
      <c r="C97" s="43">
        <f t="shared" si="21"/>
        <v>22</v>
      </c>
      <c r="D97" s="64" t="s">
        <v>75</v>
      </c>
      <c r="E97" s="41" t="s">
        <v>26</v>
      </c>
      <c r="F97" s="54" t="s">
        <v>70</v>
      </c>
      <c r="G97" s="52">
        <v>1</v>
      </c>
      <c r="H97" s="61">
        <v>5048</v>
      </c>
      <c r="I97" s="60">
        <f t="shared" si="23"/>
        <v>5048</v>
      </c>
      <c r="J97" s="26"/>
      <c r="K97" s="57" t="s">
        <v>73</v>
      </c>
      <c r="L97" s="1"/>
      <c r="M97" s="1"/>
      <c r="N97" s="14"/>
      <c r="O97" s="4"/>
      <c r="P97" s="2"/>
      <c r="Q97" s="33"/>
      <c r="R97" s="34"/>
    </row>
    <row r="98" spans="1:18" s="3" customFormat="1" ht="19.5" customHeight="1" x14ac:dyDescent="0.2">
      <c r="A98" s="56" t="s">
        <v>34</v>
      </c>
      <c r="B98" s="58"/>
      <c r="C98" s="43">
        <f t="shared" si="21"/>
        <v>23</v>
      </c>
      <c r="D98" s="41" t="s">
        <v>26</v>
      </c>
      <c r="E98" s="41" t="s">
        <v>26</v>
      </c>
      <c r="F98" s="54" t="s">
        <v>48</v>
      </c>
      <c r="G98" s="52">
        <v>1</v>
      </c>
      <c r="H98" s="55">
        <v>1470</v>
      </c>
      <c r="I98" s="62">
        <f t="shared" si="23"/>
        <v>1470</v>
      </c>
      <c r="J98" s="13"/>
      <c r="K98" s="42" t="s">
        <v>59</v>
      </c>
      <c r="L98" s="1"/>
      <c r="M98" s="1"/>
      <c r="N98" s="14"/>
      <c r="O98" s="4"/>
      <c r="P98" s="2"/>
      <c r="Q98" s="33"/>
      <c r="R98" s="34"/>
    </row>
    <row r="99" spans="1:18" s="3" customFormat="1" ht="19.5" customHeight="1" x14ac:dyDescent="0.2">
      <c r="A99" s="56" t="s">
        <v>34</v>
      </c>
      <c r="B99" s="58"/>
      <c r="C99" s="43">
        <f t="shared" si="21"/>
        <v>24</v>
      </c>
      <c r="D99" s="43" t="s">
        <v>31</v>
      </c>
      <c r="E99" s="36" t="s">
        <v>26</v>
      </c>
      <c r="F99" s="54" t="s">
        <v>139</v>
      </c>
      <c r="G99" s="52">
        <v>2</v>
      </c>
      <c r="H99" s="55">
        <v>1890</v>
      </c>
      <c r="I99" s="62">
        <f t="shared" si="15"/>
        <v>3780</v>
      </c>
      <c r="J99" s="13"/>
      <c r="K99" s="53" t="s">
        <v>136</v>
      </c>
      <c r="L99" s="1"/>
      <c r="M99" s="1"/>
      <c r="N99" s="14"/>
      <c r="O99" s="4"/>
      <c r="P99" s="2"/>
      <c r="Q99" s="33"/>
      <c r="R99" s="34"/>
    </row>
    <row r="100" spans="1:18" s="3" customFormat="1" ht="19.5" customHeight="1" x14ac:dyDescent="0.2">
      <c r="A100" s="56" t="s">
        <v>34</v>
      </c>
      <c r="B100" s="58"/>
      <c r="C100" s="43">
        <f t="shared" si="21"/>
        <v>25</v>
      </c>
      <c r="D100" s="43" t="s">
        <v>31</v>
      </c>
      <c r="E100" s="36" t="s">
        <v>26</v>
      </c>
      <c r="F100" s="54" t="s">
        <v>143</v>
      </c>
      <c r="G100" s="52">
        <v>1</v>
      </c>
      <c r="H100" s="55">
        <v>6427</v>
      </c>
      <c r="I100" s="62">
        <f t="shared" si="15"/>
        <v>6427</v>
      </c>
      <c r="J100" s="13"/>
      <c r="K100" s="53" t="s">
        <v>135</v>
      </c>
      <c r="L100" s="1"/>
      <c r="M100" s="1"/>
      <c r="N100" s="14"/>
      <c r="O100" s="4"/>
      <c r="P100" s="2"/>
      <c r="Q100" s="33"/>
      <c r="R100" s="34"/>
    </row>
    <row r="101" spans="1:18" s="3" customFormat="1" ht="19.5" customHeight="1" x14ac:dyDescent="0.2">
      <c r="A101" s="44" t="s">
        <v>27</v>
      </c>
      <c r="B101" s="58"/>
      <c r="C101" s="43">
        <f t="shared" si="21"/>
        <v>26</v>
      </c>
      <c r="D101" s="64" t="s">
        <v>163</v>
      </c>
      <c r="E101" s="36" t="s">
        <v>26</v>
      </c>
      <c r="F101" s="54" t="s">
        <v>155</v>
      </c>
      <c r="G101" s="52">
        <v>4</v>
      </c>
      <c r="H101" s="55">
        <v>239</v>
      </c>
      <c r="I101" s="62">
        <f t="shared" si="15"/>
        <v>956</v>
      </c>
      <c r="J101" s="13"/>
      <c r="K101" s="42" t="s">
        <v>164</v>
      </c>
      <c r="L101" s="1"/>
      <c r="M101" s="1"/>
      <c r="N101" s="14"/>
      <c r="O101" s="4"/>
      <c r="P101" s="2"/>
      <c r="Q101" s="33"/>
      <c r="R101" s="34"/>
    </row>
    <row r="102" spans="1:18" s="3" customFormat="1" ht="19.5" customHeight="1" x14ac:dyDescent="0.2">
      <c r="A102" s="44" t="s">
        <v>27</v>
      </c>
      <c r="B102" s="58"/>
      <c r="C102" s="43">
        <f t="shared" ref="C102:C105" si="24">+C101+1</f>
        <v>27</v>
      </c>
      <c r="D102" s="41" t="s">
        <v>26</v>
      </c>
      <c r="E102" s="41" t="s">
        <v>26</v>
      </c>
      <c r="F102" s="65" t="s">
        <v>145</v>
      </c>
      <c r="G102" s="66"/>
      <c r="H102" s="67">
        <v>122</v>
      </c>
      <c r="I102" s="68">
        <f t="shared" ref="I102:I105" si="25">G102*H102</f>
        <v>0</v>
      </c>
      <c r="J102" s="69"/>
      <c r="K102" s="70" t="s">
        <v>156</v>
      </c>
      <c r="L102" s="1"/>
      <c r="M102" s="1"/>
      <c r="N102" s="14"/>
      <c r="O102" s="4"/>
      <c r="P102" s="2"/>
      <c r="Q102" s="33"/>
      <c r="R102" s="34"/>
    </row>
    <row r="103" spans="1:18" s="3" customFormat="1" ht="19.5" customHeight="1" x14ac:dyDescent="0.2">
      <c r="A103" s="44" t="s">
        <v>27</v>
      </c>
      <c r="B103" s="58"/>
      <c r="C103" s="43">
        <f t="shared" si="24"/>
        <v>28</v>
      </c>
      <c r="D103" s="41" t="s">
        <v>26</v>
      </c>
      <c r="E103" s="41" t="s">
        <v>26</v>
      </c>
      <c r="F103" s="54" t="s">
        <v>47</v>
      </c>
      <c r="G103" s="52">
        <v>2</v>
      </c>
      <c r="H103" s="55">
        <v>1800</v>
      </c>
      <c r="I103" s="62">
        <f t="shared" si="25"/>
        <v>3600</v>
      </c>
      <c r="J103" s="13"/>
      <c r="K103" s="42" t="s">
        <v>58</v>
      </c>
      <c r="L103" s="1"/>
      <c r="M103" s="1"/>
      <c r="N103" s="14"/>
      <c r="O103" s="4"/>
      <c r="P103" s="2"/>
      <c r="Q103" s="33"/>
      <c r="R103" s="34"/>
    </row>
    <row r="104" spans="1:18" s="3" customFormat="1" ht="19.5" customHeight="1" x14ac:dyDescent="0.2">
      <c r="A104" s="44" t="s">
        <v>27</v>
      </c>
      <c r="B104" s="58"/>
      <c r="C104" s="43">
        <f t="shared" si="24"/>
        <v>29</v>
      </c>
      <c r="D104" s="41" t="s">
        <v>26</v>
      </c>
      <c r="E104" s="41" t="s">
        <v>26</v>
      </c>
      <c r="F104" s="54" t="s">
        <v>157</v>
      </c>
      <c r="G104" s="52">
        <v>10</v>
      </c>
      <c r="H104" s="55">
        <v>38</v>
      </c>
      <c r="I104" s="62">
        <f t="shared" si="25"/>
        <v>380</v>
      </c>
      <c r="J104" s="13"/>
      <c r="K104" s="42" t="s">
        <v>161</v>
      </c>
      <c r="L104" s="1"/>
      <c r="M104" s="1"/>
      <c r="N104" s="14"/>
      <c r="O104" s="4"/>
      <c r="P104" s="2"/>
      <c r="Q104" s="33"/>
      <c r="R104" s="34"/>
    </row>
    <row r="105" spans="1:18" s="3" customFormat="1" ht="19.5" customHeight="1" x14ac:dyDescent="0.2">
      <c r="A105" s="44" t="s">
        <v>27</v>
      </c>
      <c r="B105" s="58"/>
      <c r="C105" s="43">
        <f t="shared" si="24"/>
        <v>30</v>
      </c>
      <c r="D105" s="41" t="s">
        <v>26</v>
      </c>
      <c r="E105" s="41" t="s">
        <v>26</v>
      </c>
      <c r="F105" s="65" t="s">
        <v>158</v>
      </c>
      <c r="G105" s="66"/>
      <c r="H105" s="67">
        <v>174</v>
      </c>
      <c r="I105" s="68">
        <f t="shared" si="25"/>
        <v>0</v>
      </c>
      <c r="J105" s="69"/>
      <c r="K105" s="70" t="s">
        <v>167</v>
      </c>
      <c r="L105" s="1"/>
      <c r="M105" s="1"/>
      <c r="N105" s="14"/>
      <c r="O105" s="4"/>
      <c r="P105" s="2"/>
      <c r="Q105" s="33"/>
      <c r="R105" s="34"/>
    </row>
    <row r="106" spans="1:18" s="3" customFormat="1" ht="19.5" customHeight="1" x14ac:dyDescent="0.2">
      <c r="A106" s="56" t="s">
        <v>30</v>
      </c>
      <c r="B106" s="58"/>
      <c r="C106" s="43">
        <f>+C105+1</f>
        <v>31</v>
      </c>
      <c r="D106" s="43" t="s">
        <v>31</v>
      </c>
      <c r="E106" s="36" t="s">
        <v>26</v>
      </c>
      <c r="F106" s="54" t="s">
        <v>140</v>
      </c>
      <c r="G106" s="52">
        <v>1</v>
      </c>
      <c r="H106" s="55">
        <v>2557</v>
      </c>
      <c r="I106" s="62">
        <f t="shared" si="15"/>
        <v>2557</v>
      </c>
      <c r="J106" s="13"/>
      <c r="K106" s="53" t="s">
        <v>138</v>
      </c>
      <c r="L106" s="1"/>
      <c r="M106" s="1"/>
      <c r="N106" s="14"/>
      <c r="O106" s="4"/>
      <c r="P106" s="2"/>
      <c r="Q106" s="33"/>
      <c r="R106" s="34"/>
    </row>
    <row r="107" spans="1:18" s="3" customFormat="1" ht="19.5" customHeight="1" x14ac:dyDescent="0.2">
      <c r="A107" s="56" t="s">
        <v>30</v>
      </c>
      <c r="B107" s="58"/>
      <c r="C107" s="43">
        <f>+C106+1</f>
        <v>32</v>
      </c>
      <c r="D107" s="43" t="s">
        <v>31</v>
      </c>
      <c r="E107" s="36" t="s">
        <v>26</v>
      </c>
      <c r="F107" s="54" t="s">
        <v>79</v>
      </c>
      <c r="G107" s="52">
        <v>1</v>
      </c>
      <c r="H107" s="55">
        <v>10352</v>
      </c>
      <c r="I107" s="62">
        <f t="shared" ref="I107:I109" si="26">G107*H107</f>
        <v>10352</v>
      </c>
      <c r="J107" s="13"/>
      <c r="K107" s="53" t="s">
        <v>76</v>
      </c>
      <c r="L107" s="1"/>
      <c r="M107" s="1"/>
      <c r="N107" s="14"/>
      <c r="O107" s="4"/>
      <c r="P107" s="2"/>
      <c r="Q107" s="33"/>
      <c r="R107" s="34"/>
    </row>
    <row r="108" spans="1:18" s="3" customFormat="1" ht="19.5" customHeight="1" x14ac:dyDescent="0.2">
      <c r="A108" s="44" t="s">
        <v>27</v>
      </c>
      <c r="B108" s="58"/>
      <c r="C108" s="43">
        <f t="shared" ref="C108:C122" si="27">+C107+1</f>
        <v>33</v>
      </c>
      <c r="D108" s="41" t="s">
        <v>26</v>
      </c>
      <c r="E108" s="41" t="s">
        <v>26</v>
      </c>
      <c r="F108" s="54" t="s">
        <v>36</v>
      </c>
      <c r="G108" s="52">
        <v>2</v>
      </c>
      <c r="H108" s="55">
        <v>760</v>
      </c>
      <c r="I108" s="62">
        <f t="shared" si="26"/>
        <v>1520</v>
      </c>
      <c r="J108" s="13"/>
      <c r="K108" s="42" t="s">
        <v>53</v>
      </c>
      <c r="L108" s="1"/>
      <c r="M108" s="1"/>
      <c r="N108" s="14"/>
      <c r="O108" s="4"/>
      <c r="P108" s="2"/>
      <c r="Q108" s="33"/>
      <c r="R108" s="34"/>
    </row>
    <row r="109" spans="1:18" s="3" customFormat="1" ht="19.5" customHeight="1" x14ac:dyDescent="0.2">
      <c r="A109" s="44" t="s">
        <v>27</v>
      </c>
      <c r="B109" s="58"/>
      <c r="C109" s="43">
        <f t="shared" si="27"/>
        <v>34</v>
      </c>
      <c r="D109" s="41" t="s">
        <v>26</v>
      </c>
      <c r="E109" s="41" t="s">
        <v>26</v>
      </c>
      <c r="F109" s="54" t="s">
        <v>82</v>
      </c>
      <c r="G109" s="52">
        <v>4</v>
      </c>
      <c r="H109" s="55">
        <v>121</v>
      </c>
      <c r="I109" s="62">
        <f t="shared" si="26"/>
        <v>484</v>
      </c>
      <c r="J109" s="13"/>
      <c r="K109" s="42" t="s">
        <v>162</v>
      </c>
      <c r="L109" s="1"/>
      <c r="M109" s="1"/>
      <c r="N109" s="14"/>
      <c r="O109" s="4"/>
      <c r="P109" s="2"/>
      <c r="Q109" s="33"/>
      <c r="R109" s="34"/>
    </row>
    <row r="110" spans="1:18" s="3" customFormat="1" ht="19.5" customHeight="1" x14ac:dyDescent="0.2">
      <c r="A110" s="56" t="s">
        <v>29</v>
      </c>
      <c r="B110" s="58"/>
      <c r="C110" s="43">
        <f t="shared" si="27"/>
        <v>35</v>
      </c>
      <c r="D110" s="41" t="s">
        <v>26</v>
      </c>
      <c r="E110" s="41" t="s">
        <v>26</v>
      </c>
      <c r="F110" s="54" t="s">
        <v>159</v>
      </c>
      <c r="G110" s="52">
        <v>2</v>
      </c>
      <c r="H110" s="55">
        <v>1040</v>
      </c>
      <c r="I110" s="62">
        <f t="shared" ref="I110:I122" si="28">G110*H110</f>
        <v>2080</v>
      </c>
      <c r="J110" s="13"/>
      <c r="K110" s="42" t="s">
        <v>54</v>
      </c>
      <c r="L110" s="1"/>
      <c r="M110" s="1"/>
      <c r="N110" s="14"/>
      <c r="O110" s="4"/>
      <c r="P110" s="2"/>
      <c r="Q110" s="33"/>
      <c r="R110" s="34"/>
    </row>
    <row r="111" spans="1:18" s="3" customFormat="1" ht="19.5" customHeight="1" x14ac:dyDescent="0.2">
      <c r="A111" s="44" t="s">
        <v>27</v>
      </c>
      <c r="B111" s="58"/>
      <c r="C111" s="43">
        <f t="shared" si="27"/>
        <v>36</v>
      </c>
      <c r="D111" s="41" t="s">
        <v>26</v>
      </c>
      <c r="E111" s="41" t="s">
        <v>26</v>
      </c>
      <c r="F111" s="65" t="s">
        <v>52</v>
      </c>
      <c r="G111" s="66"/>
      <c r="H111" s="67">
        <v>194</v>
      </c>
      <c r="I111" s="68">
        <f t="shared" si="28"/>
        <v>0</v>
      </c>
      <c r="J111" s="69"/>
      <c r="K111" s="70" t="s">
        <v>87</v>
      </c>
      <c r="L111" s="1"/>
      <c r="M111" s="1"/>
      <c r="N111" s="14"/>
      <c r="O111" s="4"/>
      <c r="P111" s="2"/>
      <c r="Q111" s="33"/>
      <c r="R111" s="34"/>
    </row>
    <row r="112" spans="1:18" s="3" customFormat="1" ht="19.5" customHeight="1" x14ac:dyDescent="0.2">
      <c r="A112" s="56" t="s">
        <v>29</v>
      </c>
      <c r="B112" s="58"/>
      <c r="C112" s="43">
        <f t="shared" si="27"/>
        <v>37</v>
      </c>
      <c r="D112" s="41" t="s">
        <v>26</v>
      </c>
      <c r="E112" s="41" t="s">
        <v>26</v>
      </c>
      <c r="F112" s="54" t="s">
        <v>38</v>
      </c>
      <c r="G112" s="52">
        <v>2</v>
      </c>
      <c r="H112" s="55">
        <v>960</v>
      </c>
      <c r="I112" s="62">
        <f t="shared" si="28"/>
        <v>1920</v>
      </c>
      <c r="J112" s="13"/>
      <c r="K112" s="42" t="s">
        <v>55</v>
      </c>
      <c r="L112" s="1"/>
      <c r="M112" s="1"/>
      <c r="N112" s="14"/>
      <c r="O112" s="4"/>
      <c r="P112" s="2"/>
      <c r="Q112" s="33"/>
      <c r="R112" s="34"/>
    </row>
    <row r="113" spans="1:18" s="3" customFormat="1" ht="19.5" customHeight="1" x14ac:dyDescent="0.2">
      <c r="A113" s="56" t="s">
        <v>28</v>
      </c>
      <c r="B113" s="58"/>
      <c r="C113" s="43">
        <f t="shared" si="27"/>
        <v>38</v>
      </c>
      <c r="D113" s="41" t="s">
        <v>26</v>
      </c>
      <c r="E113" s="41" t="s">
        <v>26</v>
      </c>
      <c r="F113" s="54" t="s">
        <v>39</v>
      </c>
      <c r="G113" s="52">
        <v>2</v>
      </c>
      <c r="H113" s="55">
        <v>1160</v>
      </c>
      <c r="I113" s="62">
        <f t="shared" si="28"/>
        <v>2320</v>
      </c>
      <c r="J113" s="13"/>
      <c r="K113" s="42" t="s">
        <v>55</v>
      </c>
      <c r="L113" s="1"/>
      <c r="M113" s="1"/>
      <c r="N113" s="14"/>
      <c r="O113" s="4"/>
      <c r="P113" s="2"/>
      <c r="Q113" s="33"/>
      <c r="R113" s="34"/>
    </row>
    <row r="114" spans="1:18" s="3" customFormat="1" ht="19.5" customHeight="1" x14ac:dyDescent="0.2">
      <c r="A114" s="56" t="s">
        <v>30</v>
      </c>
      <c r="B114" s="58"/>
      <c r="C114" s="43">
        <f t="shared" si="27"/>
        <v>39</v>
      </c>
      <c r="D114" s="64" t="s">
        <v>75</v>
      </c>
      <c r="E114" s="41" t="s">
        <v>26</v>
      </c>
      <c r="F114" s="54" t="s">
        <v>71</v>
      </c>
      <c r="G114" s="52">
        <v>1</v>
      </c>
      <c r="H114" s="61">
        <v>5497</v>
      </c>
      <c r="I114" s="63">
        <f t="shared" si="28"/>
        <v>5497</v>
      </c>
      <c r="J114" s="50"/>
      <c r="K114" s="42" t="s">
        <v>74</v>
      </c>
      <c r="L114" s="1"/>
      <c r="M114" s="1"/>
      <c r="N114" s="14"/>
      <c r="O114" s="4"/>
      <c r="P114" s="2"/>
      <c r="Q114" s="33"/>
      <c r="R114" s="34"/>
    </row>
    <row r="115" spans="1:18" s="3" customFormat="1" ht="19.5" customHeight="1" x14ac:dyDescent="0.2">
      <c r="A115" s="56" t="s">
        <v>28</v>
      </c>
      <c r="B115" s="58"/>
      <c r="C115" s="43">
        <f t="shared" si="27"/>
        <v>40</v>
      </c>
      <c r="D115" s="41" t="s">
        <v>26</v>
      </c>
      <c r="E115" s="41" t="s">
        <v>26</v>
      </c>
      <c r="F115" s="54" t="s">
        <v>40</v>
      </c>
      <c r="G115" s="52">
        <v>1</v>
      </c>
      <c r="H115" s="55">
        <v>5930</v>
      </c>
      <c r="I115" s="62">
        <f t="shared" si="28"/>
        <v>5930</v>
      </c>
      <c r="J115" s="13"/>
      <c r="K115" s="42" t="s">
        <v>56</v>
      </c>
      <c r="L115" s="1"/>
      <c r="M115" s="1"/>
      <c r="N115" s="14"/>
      <c r="O115" s="4"/>
      <c r="P115" s="2"/>
      <c r="Q115" s="33"/>
      <c r="R115" s="34"/>
    </row>
    <row r="116" spans="1:18" s="3" customFormat="1" ht="19.5" customHeight="1" x14ac:dyDescent="0.2">
      <c r="A116" s="44" t="s">
        <v>27</v>
      </c>
      <c r="B116" s="58"/>
      <c r="C116" s="43">
        <f t="shared" si="27"/>
        <v>41</v>
      </c>
      <c r="D116" s="41" t="s">
        <v>26</v>
      </c>
      <c r="E116" s="41" t="s">
        <v>26</v>
      </c>
      <c r="F116" s="59" t="s">
        <v>33</v>
      </c>
      <c r="G116" s="60">
        <v>10</v>
      </c>
      <c r="H116" s="62">
        <v>58</v>
      </c>
      <c r="I116" s="62">
        <f t="shared" si="28"/>
        <v>580</v>
      </c>
      <c r="J116" s="39"/>
      <c r="K116" s="38" t="s">
        <v>84</v>
      </c>
      <c r="L116" s="1"/>
      <c r="M116" s="1"/>
      <c r="N116" s="14"/>
      <c r="O116" s="4"/>
      <c r="P116" s="2"/>
      <c r="Q116" s="33"/>
      <c r="R116" s="34"/>
    </row>
    <row r="117" spans="1:18" s="3" customFormat="1" ht="19.5" customHeight="1" x14ac:dyDescent="0.2">
      <c r="A117" s="44" t="s">
        <v>27</v>
      </c>
      <c r="B117" s="58"/>
      <c r="C117" s="43">
        <f t="shared" si="27"/>
        <v>42</v>
      </c>
      <c r="D117" s="41" t="s">
        <v>26</v>
      </c>
      <c r="E117" s="41" t="s">
        <v>26</v>
      </c>
      <c r="F117" s="54" t="s">
        <v>44</v>
      </c>
      <c r="G117" s="52">
        <v>1</v>
      </c>
      <c r="H117" s="55">
        <v>260</v>
      </c>
      <c r="I117" s="62">
        <f t="shared" si="28"/>
        <v>260</v>
      </c>
      <c r="J117" s="13"/>
      <c r="K117" s="42" t="s">
        <v>57</v>
      </c>
      <c r="L117" s="1"/>
      <c r="M117" s="1"/>
      <c r="N117" s="14"/>
      <c r="O117" s="4"/>
      <c r="P117" s="2"/>
      <c r="Q117" s="33"/>
      <c r="R117" s="34"/>
    </row>
    <row r="118" spans="1:18" s="3" customFormat="1" ht="19.5" customHeight="1" x14ac:dyDescent="0.2">
      <c r="A118" s="56" t="s">
        <v>30</v>
      </c>
      <c r="B118" s="58"/>
      <c r="C118" s="43">
        <f t="shared" si="27"/>
        <v>43</v>
      </c>
      <c r="D118" s="43" t="s">
        <v>31</v>
      </c>
      <c r="E118" s="36" t="s">
        <v>26</v>
      </c>
      <c r="F118" s="54" t="s">
        <v>80</v>
      </c>
      <c r="G118" s="52">
        <v>1</v>
      </c>
      <c r="H118" s="55">
        <v>7495</v>
      </c>
      <c r="I118" s="62">
        <f t="shared" si="28"/>
        <v>7495</v>
      </c>
      <c r="J118" s="13"/>
      <c r="K118" s="53" t="s">
        <v>77</v>
      </c>
      <c r="L118" s="1"/>
      <c r="M118" s="1"/>
      <c r="N118" s="14"/>
      <c r="O118" s="4"/>
      <c r="P118" s="2"/>
      <c r="Q118" s="33"/>
      <c r="R118" s="34"/>
    </row>
    <row r="119" spans="1:18" s="3" customFormat="1" ht="19.5" customHeight="1" x14ac:dyDescent="0.2">
      <c r="A119" s="56" t="s">
        <v>28</v>
      </c>
      <c r="B119" s="58"/>
      <c r="C119" s="43">
        <f t="shared" si="27"/>
        <v>44</v>
      </c>
      <c r="D119" s="41" t="s">
        <v>26</v>
      </c>
      <c r="E119" s="41" t="s">
        <v>26</v>
      </c>
      <c r="F119" s="54" t="s">
        <v>48</v>
      </c>
      <c r="G119" s="52">
        <v>1</v>
      </c>
      <c r="H119" s="55">
        <v>1470</v>
      </c>
      <c r="I119" s="62">
        <f t="shared" si="28"/>
        <v>1470</v>
      </c>
      <c r="J119" s="13"/>
      <c r="K119" s="42" t="s">
        <v>59</v>
      </c>
      <c r="L119" s="1"/>
      <c r="M119" s="1"/>
      <c r="N119" s="14"/>
      <c r="O119" s="4"/>
      <c r="P119" s="2"/>
      <c r="Q119" s="33"/>
      <c r="R119" s="34"/>
    </row>
    <row r="120" spans="1:18" s="3" customFormat="1" ht="19.5" customHeight="1" x14ac:dyDescent="0.2">
      <c r="A120" s="44" t="s">
        <v>27</v>
      </c>
      <c r="B120" s="58"/>
      <c r="C120" s="43">
        <f t="shared" si="27"/>
        <v>45</v>
      </c>
      <c r="D120" s="41" t="s">
        <v>26</v>
      </c>
      <c r="E120" s="41" t="s">
        <v>26</v>
      </c>
      <c r="F120" s="54" t="s">
        <v>49</v>
      </c>
      <c r="G120" s="52">
        <v>1</v>
      </c>
      <c r="H120" s="55">
        <v>373</v>
      </c>
      <c r="I120" s="62">
        <f t="shared" si="28"/>
        <v>373</v>
      </c>
      <c r="J120" s="13"/>
      <c r="K120" s="42" t="s">
        <v>60</v>
      </c>
      <c r="L120" s="1"/>
      <c r="M120" s="1"/>
      <c r="N120" s="14"/>
      <c r="O120" s="4"/>
      <c r="P120" s="2"/>
      <c r="Q120" s="33"/>
      <c r="R120" s="34"/>
    </row>
    <row r="121" spans="1:18" s="3" customFormat="1" ht="19.5" customHeight="1" x14ac:dyDescent="0.2">
      <c r="A121" s="44" t="s">
        <v>27</v>
      </c>
      <c r="B121" s="58"/>
      <c r="C121" s="43">
        <f t="shared" si="27"/>
        <v>46</v>
      </c>
      <c r="D121" s="41" t="s">
        <v>26</v>
      </c>
      <c r="E121" s="41" t="s">
        <v>26</v>
      </c>
      <c r="F121" s="54" t="s">
        <v>50</v>
      </c>
      <c r="G121" s="52">
        <v>2</v>
      </c>
      <c r="H121" s="55">
        <v>375</v>
      </c>
      <c r="I121" s="62">
        <f t="shared" si="28"/>
        <v>750</v>
      </c>
      <c r="J121" s="13"/>
      <c r="K121" s="42" t="s">
        <v>61</v>
      </c>
      <c r="L121" s="1"/>
      <c r="M121" s="1"/>
      <c r="N121" s="14"/>
      <c r="O121" s="4"/>
      <c r="P121" s="2"/>
      <c r="Q121" s="33"/>
      <c r="R121" s="34"/>
    </row>
    <row r="122" spans="1:18" s="3" customFormat="1" ht="19.5" customHeight="1" x14ac:dyDescent="0.2">
      <c r="A122" s="44" t="s">
        <v>27</v>
      </c>
      <c r="B122" s="58"/>
      <c r="C122" s="43">
        <f t="shared" si="27"/>
        <v>47</v>
      </c>
      <c r="D122" s="41" t="s">
        <v>26</v>
      </c>
      <c r="E122" s="41" t="s">
        <v>26</v>
      </c>
      <c r="F122" s="54" t="s">
        <v>51</v>
      </c>
      <c r="G122" s="52">
        <v>1</v>
      </c>
      <c r="H122" s="55">
        <v>230</v>
      </c>
      <c r="I122" s="62">
        <f t="shared" si="28"/>
        <v>230</v>
      </c>
      <c r="J122" s="13"/>
      <c r="K122" s="42" t="s">
        <v>62</v>
      </c>
      <c r="L122" s="1"/>
      <c r="M122" s="1"/>
      <c r="N122" s="14"/>
      <c r="O122" s="4"/>
      <c r="P122" s="2"/>
      <c r="Q122" s="33"/>
      <c r="R122" s="34"/>
    </row>
    <row r="123" spans="1:18" s="3" customFormat="1" ht="19.5" customHeight="1" x14ac:dyDescent="0.2">
      <c r="A123" s="51"/>
      <c r="B123" s="22"/>
      <c r="C123" s="23"/>
      <c r="D123" s="23"/>
      <c r="E123" s="23"/>
      <c r="F123" s="49"/>
      <c r="G123" s="29"/>
      <c r="H123" s="18"/>
      <c r="I123" s="35"/>
      <c r="J123" s="13"/>
      <c r="K123" s="19"/>
      <c r="L123" s="1"/>
      <c r="M123" s="1"/>
      <c r="N123" s="14"/>
      <c r="O123" s="4"/>
      <c r="P123" s="2"/>
      <c r="Q123" s="33"/>
      <c r="R123" s="34"/>
    </row>
    <row r="124" spans="1:18" s="3" customFormat="1" ht="19.5" customHeight="1" x14ac:dyDescent="0.2">
      <c r="A124" s="51"/>
      <c r="B124" s="22"/>
      <c r="C124" s="23"/>
      <c r="D124" s="23"/>
      <c r="E124" s="23"/>
      <c r="F124" s="49"/>
      <c r="G124" s="29"/>
      <c r="H124" s="18"/>
      <c r="I124" s="35"/>
      <c r="J124" s="13"/>
      <c r="K124" s="19"/>
      <c r="L124" s="1"/>
      <c r="M124" s="1"/>
      <c r="N124" s="14"/>
      <c r="O124" s="4"/>
      <c r="P124" s="2"/>
      <c r="Q124" s="33"/>
      <c r="R124" s="34"/>
    </row>
    <row r="125" spans="1:18" s="3" customFormat="1" ht="19.5" customHeight="1" x14ac:dyDescent="0.2">
      <c r="A125" s="51"/>
      <c r="B125" s="22"/>
      <c r="C125" s="23"/>
      <c r="D125" s="23"/>
      <c r="E125" s="23"/>
      <c r="F125" s="40">
        <f>SUM(I76:I123)</f>
        <v>126702</v>
      </c>
      <c r="G125" s="29"/>
      <c r="H125" s="18"/>
      <c r="I125" s="35"/>
      <c r="J125" s="13"/>
      <c r="K125" s="19"/>
      <c r="L125" s="1"/>
      <c r="M125" s="1"/>
      <c r="N125" s="14"/>
      <c r="O125" s="4"/>
      <c r="P125" s="2"/>
      <c r="Q125" s="33"/>
      <c r="R125" s="34"/>
    </row>
    <row r="126" spans="1:18" s="3" customFormat="1" ht="19.5" customHeight="1" x14ac:dyDescent="0.2">
      <c r="A126" s="51"/>
      <c r="B126" s="22"/>
      <c r="C126" s="23"/>
      <c r="D126" s="23"/>
      <c r="E126" s="23"/>
      <c r="F126" s="49"/>
      <c r="G126" s="29"/>
      <c r="H126" s="18"/>
      <c r="I126" s="35"/>
      <c r="J126" s="13"/>
      <c r="K126" s="19"/>
      <c r="L126" s="1"/>
      <c r="M126" s="1"/>
      <c r="N126" s="14"/>
      <c r="O126" s="4"/>
      <c r="P126" s="2"/>
      <c r="Q126" s="33"/>
      <c r="R126" s="34"/>
    </row>
    <row r="127" spans="1:18" s="3" customFormat="1" ht="19.5" customHeight="1" x14ac:dyDescent="0.2">
      <c r="A127" s="51"/>
      <c r="B127" s="22"/>
      <c r="C127" s="23"/>
      <c r="D127" s="23"/>
      <c r="E127" s="23"/>
      <c r="F127" s="49"/>
      <c r="G127" s="29"/>
      <c r="H127" s="18"/>
      <c r="I127" s="35"/>
      <c r="J127" s="13"/>
      <c r="K127" s="19"/>
      <c r="L127" s="1"/>
      <c r="M127" s="1"/>
      <c r="N127" s="14"/>
      <c r="O127" s="4"/>
      <c r="P127" s="2"/>
      <c r="Q127" s="33"/>
      <c r="R127" s="34"/>
    </row>
    <row r="128" spans="1:18" s="3" customFormat="1" ht="19.5" customHeight="1" x14ac:dyDescent="0.2">
      <c r="A128" s="51"/>
      <c r="B128" s="22"/>
      <c r="C128" s="23"/>
      <c r="D128" s="23"/>
      <c r="E128" s="23"/>
      <c r="F128" s="49"/>
      <c r="G128" s="29"/>
      <c r="H128" s="18"/>
      <c r="I128" s="35"/>
      <c r="J128" s="13"/>
      <c r="K128" s="19"/>
      <c r="L128" s="1"/>
      <c r="M128" s="1"/>
      <c r="N128" s="14"/>
      <c r="O128" s="4"/>
      <c r="P128" s="2"/>
      <c r="Q128" s="33"/>
      <c r="R128" s="34"/>
    </row>
    <row r="129" spans="1:18" s="3" customFormat="1" ht="19.5" customHeight="1" x14ac:dyDescent="0.2">
      <c r="A129" s="51"/>
      <c r="B129" s="22"/>
      <c r="C129" s="23"/>
      <c r="D129" s="23"/>
      <c r="E129" s="23"/>
      <c r="F129" s="49"/>
      <c r="G129" s="29"/>
      <c r="H129" s="18"/>
      <c r="I129" s="35"/>
      <c r="J129" s="13"/>
      <c r="K129" s="19"/>
      <c r="L129" s="1"/>
      <c r="M129" s="1"/>
      <c r="N129" s="14"/>
      <c r="O129" s="4"/>
      <c r="P129" s="2"/>
      <c r="Q129" s="33"/>
      <c r="R129" s="34"/>
    </row>
    <row r="130" spans="1:18" s="3" customFormat="1" ht="19.5" customHeight="1" x14ac:dyDescent="0.2">
      <c r="A130" s="51"/>
      <c r="B130" s="22"/>
      <c r="C130" s="23"/>
      <c r="D130" s="23"/>
      <c r="E130" s="23"/>
      <c r="F130" s="49"/>
      <c r="G130" s="29"/>
      <c r="H130" s="18"/>
      <c r="I130" s="35"/>
      <c r="J130" s="13"/>
      <c r="K130" s="19"/>
      <c r="L130" s="1"/>
      <c r="M130" s="1"/>
      <c r="N130" s="14"/>
      <c r="O130" s="4"/>
      <c r="P130" s="2"/>
      <c r="Q130" s="33"/>
      <c r="R130" s="34"/>
    </row>
    <row r="131" spans="1:18" s="3" customFormat="1" ht="19.5" customHeight="1" x14ac:dyDescent="0.2">
      <c r="B131" s="22"/>
      <c r="C131" s="23"/>
      <c r="D131" s="23"/>
      <c r="E131" s="23"/>
      <c r="F131" s="30"/>
      <c r="G131" s="29"/>
      <c r="H131" s="18"/>
      <c r="I131" s="18"/>
      <c r="J131" s="13"/>
      <c r="K131" s="19"/>
      <c r="L131" s="1"/>
      <c r="M131" s="1"/>
      <c r="N131" s="14"/>
      <c r="O131" s="4"/>
      <c r="P131" s="2"/>
      <c r="Q131" s="33"/>
      <c r="R131" s="34"/>
    </row>
    <row r="132" spans="1:18" s="3" customFormat="1" ht="19.5" customHeight="1" x14ac:dyDescent="0.2">
      <c r="B132" s="22"/>
      <c r="C132" s="23"/>
      <c r="D132" s="23"/>
      <c r="E132" s="23"/>
      <c r="F132" s="30"/>
      <c r="G132" s="29"/>
      <c r="H132" s="18"/>
      <c r="I132" s="18"/>
      <c r="J132" s="13"/>
      <c r="K132" s="19"/>
      <c r="L132" s="1"/>
      <c r="M132" s="1"/>
      <c r="N132" s="14"/>
      <c r="O132" s="4"/>
      <c r="P132" s="2"/>
      <c r="Q132" s="33"/>
      <c r="R132" s="34"/>
    </row>
    <row r="133" spans="1:18" s="3" customFormat="1" ht="19.5" customHeight="1" x14ac:dyDescent="0.2">
      <c r="B133" s="22"/>
      <c r="C133" s="23"/>
      <c r="D133" s="23"/>
      <c r="E133" s="23"/>
      <c r="F133" s="30"/>
      <c r="G133" s="29"/>
      <c r="H133" s="18"/>
      <c r="I133" s="18"/>
      <c r="J133" s="13"/>
      <c r="K133" s="19"/>
      <c r="L133" s="1"/>
      <c r="M133" s="1"/>
      <c r="N133" s="14"/>
      <c r="O133" s="4"/>
      <c r="P133" s="2"/>
      <c r="Q133" s="33"/>
      <c r="R133" s="34"/>
    </row>
    <row r="134" spans="1:18" s="3" customFormat="1" ht="19.5" customHeight="1" x14ac:dyDescent="0.2">
      <c r="B134" s="22"/>
      <c r="C134" s="23"/>
      <c r="D134" s="23"/>
      <c r="E134" s="23"/>
      <c r="F134" s="30"/>
      <c r="G134" s="29"/>
      <c r="H134" s="18"/>
      <c r="I134" s="18"/>
      <c r="J134" s="13"/>
      <c r="K134" s="19"/>
      <c r="L134" s="1"/>
      <c r="M134" s="1"/>
      <c r="N134" s="14"/>
      <c r="O134" s="4"/>
      <c r="P134" s="2"/>
      <c r="Q134" s="33"/>
      <c r="R134" s="34"/>
    </row>
    <row r="135" spans="1:18" s="3" customFormat="1" ht="19.5" customHeight="1" x14ac:dyDescent="0.2">
      <c r="B135" s="22"/>
      <c r="C135" s="23"/>
      <c r="D135" s="23"/>
      <c r="E135" s="23"/>
      <c r="F135" s="30"/>
      <c r="G135" s="29"/>
      <c r="H135" s="18"/>
      <c r="I135" s="18"/>
      <c r="J135" s="13"/>
      <c r="K135" s="19"/>
      <c r="L135" s="1"/>
      <c r="M135" s="1"/>
      <c r="N135" s="14"/>
      <c r="O135" s="4"/>
      <c r="P135" s="2"/>
      <c r="Q135" s="33"/>
      <c r="R135" s="34"/>
    </row>
    <row r="136" spans="1:18" s="3" customFormat="1" ht="19.5" customHeight="1" x14ac:dyDescent="0.2">
      <c r="B136" s="22"/>
      <c r="C136" s="23"/>
      <c r="D136" s="23"/>
      <c r="E136" s="23"/>
      <c r="F136" s="30"/>
      <c r="G136" s="29"/>
      <c r="H136" s="18"/>
      <c r="I136" s="18"/>
      <c r="J136" s="13"/>
      <c r="K136" s="19"/>
      <c r="L136" s="1"/>
      <c r="M136" s="1"/>
      <c r="N136" s="14"/>
      <c r="O136" s="4"/>
      <c r="P136" s="2"/>
      <c r="Q136" s="33"/>
      <c r="R136" s="34"/>
    </row>
    <row r="137" spans="1:18" s="3" customFormat="1" ht="19.5" customHeight="1" x14ac:dyDescent="0.2">
      <c r="B137" s="22"/>
      <c r="C137" s="23"/>
      <c r="D137" s="23"/>
      <c r="E137" s="23"/>
      <c r="F137" s="30"/>
      <c r="G137" s="29"/>
      <c r="H137" s="18"/>
      <c r="I137" s="18"/>
      <c r="J137" s="13"/>
      <c r="K137" s="19"/>
      <c r="L137" s="1"/>
      <c r="M137" s="1"/>
      <c r="N137" s="14"/>
      <c r="O137" s="4"/>
      <c r="P137" s="2"/>
      <c r="Q137" s="33"/>
      <c r="R137" s="34"/>
    </row>
    <row r="138" spans="1:18" s="3" customFormat="1" ht="19.5" customHeight="1" x14ac:dyDescent="0.2">
      <c r="B138" s="22"/>
      <c r="C138" s="23"/>
      <c r="D138" s="23"/>
      <c r="E138" s="23"/>
      <c r="F138" s="30"/>
      <c r="G138" s="29"/>
      <c r="H138" s="18"/>
      <c r="I138" s="18"/>
      <c r="J138" s="13"/>
      <c r="K138" s="19"/>
      <c r="L138" s="1"/>
      <c r="M138" s="1"/>
      <c r="N138" s="14"/>
      <c r="O138" s="4"/>
      <c r="P138" s="2"/>
      <c r="Q138" s="33"/>
      <c r="R138" s="34"/>
    </row>
    <row r="139" spans="1:18" ht="18" customHeight="1" x14ac:dyDescent="0.2">
      <c r="B139" s="22"/>
      <c r="C139" s="1"/>
      <c r="D139" s="4"/>
      <c r="E139" s="4"/>
      <c r="F139" s="15"/>
      <c r="G139" s="16"/>
      <c r="H139" s="16"/>
      <c r="I139" s="18"/>
      <c r="J139" s="2"/>
      <c r="K139" s="15"/>
      <c r="L139" s="6"/>
      <c r="M139" s="1"/>
      <c r="N139" s="14"/>
      <c r="O139" s="20"/>
      <c r="P139" s="2"/>
      <c r="Q139" s="33"/>
      <c r="R139" s="24"/>
    </row>
    <row r="140" spans="1:18" ht="18" customHeight="1" x14ac:dyDescent="0.2">
      <c r="B140" s="22"/>
      <c r="C140" s="1"/>
      <c r="D140" s="1"/>
      <c r="E140" s="1"/>
      <c r="F140" s="6" t="s">
        <v>22</v>
      </c>
      <c r="G140" s="18"/>
      <c r="H140" s="18"/>
      <c r="I140" s="18">
        <f>G140*H140</f>
        <v>0</v>
      </c>
      <c r="J140" s="13"/>
      <c r="K140" s="15" t="s">
        <v>23</v>
      </c>
      <c r="L140" s="20"/>
      <c r="M140" s="1"/>
      <c r="N140" s="14"/>
      <c r="O140" s="20"/>
      <c r="P140" s="2"/>
      <c r="Q140" s="33"/>
      <c r="R140" s="34"/>
    </row>
    <row r="141" spans="1:18" ht="18" customHeight="1" x14ac:dyDescent="0.2">
      <c r="B141" s="22"/>
      <c r="C141" s="1"/>
      <c r="D141" s="4"/>
      <c r="E141" s="4"/>
      <c r="F141" s="6" t="s">
        <v>23</v>
      </c>
      <c r="G141" s="18"/>
      <c r="H141" s="18">
        <v>5000</v>
      </c>
      <c r="I141" s="18">
        <f>G141*H141</f>
        <v>0</v>
      </c>
      <c r="J141" s="13"/>
      <c r="K141" s="15" t="s">
        <v>24</v>
      </c>
      <c r="L141" s="20"/>
      <c r="M141" s="1"/>
      <c r="N141" s="1"/>
      <c r="O141" s="20"/>
      <c r="P141" s="2"/>
      <c r="Q141" s="34"/>
      <c r="R141" s="34"/>
    </row>
    <row r="142" spans="1:18" ht="18" customHeight="1" x14ac:dyDescent="0.2">
      <c r="B142" s="22"/>
      <c r="C142" s="1"/>
      <c r="D142" s="4"/>
      <c r="E142" s="4"/>
      <c r="F142" s="6" t="s">
        <v>24</v>
      </c>
      <c r="G142" s="18"/>
      <c r="H142" s="18"/>
      <c r="I142" s="18">
        <f>G142*H142</f>
        <v>0</v>
      </c>
      <c r="J142" s="13"/>
      <c r="K142" s="5"/>
      <c r="L142" s="20"/>
      <c r="M142" s="1"/>
      <c r="N142" s="1"/>
      <c r="O142" s="20"/>
      <c r="P142" s="2"/>
      <c r="Q142" s="34"/>
      <c r="R142" s="34"/>
    </row>
    <row r="143" spans="1:18" ht="18" customHeight="1" x14ac:dyDescent="0.2">
      <c r="B143" s="22"/>
      <c r="C143" s="1"/>
      <c r="D143" s="4"/>
      <c r="E143" s="4"/>
      <c r="F143" s="84"/>
      <c r="G143" s="85"/>
      <c r="H143" s="85"/>
      <c r="I143" s="86"/>
      <c r="J143" s="7"/>
      <c r="K143" s="17"/>
      <c r="L143" s="20"/>
      <c r="M143" s="1"/>
      <c r="N143" s="1"/>
      <c r="O143" s="20"/>
      <c r="P143" s="2"/>
      <c r="Q143" s="34"/>
      <c r="R143" s="34"/>
    </row>
    <row r="144" spans="1:18" ht="18" customHeight="1" x14ac:dyDescent="0.2"/>
    <row r="145" ht="18" customHeight="1" x14ac:dyDescent="0.2"/>
  </sheetData>
  <autoFilter ref="A10:R130" xr:uid="{45795B11-EA03-4D9F-B7D5-933EB783FCD2}"/>
  <mergeCells count="12">
    <mergeCell ref="D13:F13"/>
    <mergeCell ref="F143:I143"/>
    <mergeCell ref="K7:L7"/>
    <mergeCell ref="D75:F75"/>
    <mergeCell ref="C2:E2"/>
    <mergeCell ref="H2:J2"/>
    <mergeCell ref="C3:E3"/>
    <mergeCell ref="C4:E4"/>
    <mergeCell ref="H4:K5"/>
    <mergeCell ref="C5:E5"/>
    <mergeCell ref="G5:G6"/>
    <mergeCell ref="C6:E6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実験用　発注 (20250402)　①  </vt:lpstr>
      <vt:lpstr>Sheet1</vt:lpstr>
      <vt:lpstr>Sheet2</vt:lpstr>
      <vt:lpstr>Sheet3</vt:lpstr>
      <vt:lpstr>元々　実験用　発注 (20250316)　①②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2025-04-17T01:39:01Z</dcterms:modified>
</cp:coreProperties>
</file>