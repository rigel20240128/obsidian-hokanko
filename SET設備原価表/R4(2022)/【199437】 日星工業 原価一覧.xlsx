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24226"/>
  <mc:AlternateContent xmlns:mc="http://schemas.openxmlformats.org/markup-compatibility/2006">
    <mc:Choice Requires="x15">
      <x15ac:absPath xmlns:x15ac="http://schemas.microsoft.com/office/spreadsheetml/2010/11/ac" url="\\sv-ap\DATA\製品管理部(機材)出荷管理課・資材調達課\機材・資材調達課(ﾛﾎﾞｯﾄ部品手配)\"/>
    </mc:Choice>
  </mc:AlternateContent>
  <xr:revisionPtr revIDLastSave="0" documentId="13_ncr:1_{D2334806-05D1-4C3E-AA39-25D9CE127540}" xr6:coauthVersionLast="47" xr6:coauthVersionMax="47" xr10:uidLastSave="{00000000-0000-0000-0000-000000000000}"/>
  <bookViews>
    <workbookView xWindow="7710" yWindow="1065" windowWidth="26085" windowHeight="15345" xr2:uid="{00000000-000D-0000-FFFF-FFFF00000000}"/>
  </bookViews>
  <sheets>
    <sheet name="原価表" sheetId="1" r:id="rId1"/>
    <sheet name="Sheet1" sheetId="6" r:id="rId2"/>
    <sheet name="300角ﾜｰｸｼﾞｸﾞ" sheetId="5" r:id="rId3"/>
  </sheets>
  <definedNames>
    <definedName name="_xlnm._FilterDatabase" localSheetId="0" hidden="1">原価表!$B$9:$O$41</definedName>
  </definedNames>
  <calcPr calcId="181029"/>
  <fileRecoveryPr autoRecover="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45" i="1" l="1"/>
  <c r="H44" i="1"/>
  <c r="H43" i="1"/>
  <c r="H42" i="1"/>
  <c r="H39" i="1"/>
  <c r="H38" i="1"/>
  <c r="H37" i="1"/>
  <c r="H34" i="1"/>
  <c r="H35" i="1"/>
  <c r="H36" i="1"/>
  <c r="H33" i="1"/>
  <c r="H32" i="1"/>
  <c r="H13" i="1"/>
  <c r="H12" i="1"/>
  <c r="H14" i="1"/>
  <c r="H31" i="1"/>
  <c r="H26" i="1"/>
  <c r="H23" i="1"/>
  <c r="H22" i="1"/>
  <c r="H21" i="1"/>
  <c r="H20" i="1"/>
  <c r="H30" i="1"/>
  <c r="H29" i="1"/>
  <c r="H28" i="1"/>
  <c r="H27" i="1"/>
  <c r="H16" i="1" l="1"/>
  <c r="H40" i="1"/>
  <c r="H41" i="1"/>
  <c r="H15" i="1"/>
  <c r="H17" i="1"/>
  <c r="H18" i="1"/>
  <c r="H19" i="1"/>
  <c r="H24" i="1"/>
  <c r="J2" i="1" l="1"/>
</calcChain>
</file>

<file path=xl/sharedStrings.xml><?xml version="1.0" encoding="utf-8"?>
<sst xmlns="http://schemas.openxmlformats.org/spreadsheetml/2006/main" count="203" uniqueCount="88">
  <si>
    <t>数量</t>
  </si>
  <si>
    <t>単価</t>
  </si>
  <si>
    <t>金額</t>
  </si>
  <si>
    <t>詳細</t>
    <rPh sb="0" eb="2">
      <t>ショウサイ</t>
    </rPh>
    <phoneticPr fontId="2"/>
  </si>
  <si>
    <t>見積り分類</t>
    <rPh sb="0" eb="2">
      <t>ミツモ</t>
    </rPh>
    <rPh sb="3" eb="5">
      <t>ブンルイ</t>
    </rPh>
    <phoneticPr fontId="1"/>
  </si>
  <si>
    <t>仕入先</t>
    <rPh sb="0" eb="2">
      <t>シイレ</t>
    </rPh>
    <rPh sb="2" eb="3">
      <t>サキ</t>
    </rPh>
    <phoneticPr fontId="1"/>
  </si>
  <si>
    <t>発注日</t>
    <rPh sb="0" eb="2">
      <t>ハッチュウ</t>
    </rPh>
    <rPh sb="2" eb="3">
      <t>ヒ</t>
    </rPh>
    <phoneticPr fontId="1"/>
  </si>
  <si>
    <t>納期</t>
    <rPh sb="0" eb="2">
      <t>ノウ</t>
    </rPh>
    <phoneticPr fontId="1"/>
  </si>
  <si>
    <t>品名 / 型式</t>
    <rPh sb="0" eb="2">
      <t>ヒンメイ</t>
    </rPh>
    <rPh sb="5" eb="7">
      <t>カタシキ</t>
    </rPh>
    <phoneticPr fontId="2"/>
  </si>
  <si>
    <t>メーカー</t>
    <phoneticPr fontId="1"/>
  </si>
  <si>
    <t>担当営業</t>
    <rPh sb="0" eb="2">
      <t>タントウ</t>
    </rPh>
    <rPh sb="2" eb="4">
      <t>エイギョウ</t>
    </rPh>
    <phoneticPr fontId="1"/>
  </si>
  <si>
    <t>お客先名</t>
    <rPh sb="1" eb="3">
      <t>キャクサキ</t>
    </rPh>
    <rPh sb="3" eb="4">
      <t>メイ</t>
    </rPh>
    <phoneticPr fontId="1"/>
  </si>
  <si>
    <t>受注番号</t>
    <rPh sb="0" eb="2">
      <t>ジュチュウ</t>
    </rPh>
    <rPh sb="2" eb="4">
      <t>バンゴウ</t>
    </rPh>
    <phoneticPr fontId="1"/>
  </si>
  <si>
    <t>希望納期</t>
    <rPh sb="0" eb="2">
      <t>キボウ</t>
    </rPh>
    <rPh sb="2" eb="4">
      <t>ノウ</t>
    </rPh>
    <phoneticPr fontId="1"/>
  </si>
  <si>
    <t>最終納品</t>
    <rPh sb="0" eb="2">
      <t>サイシュウ</t>
    </rPh>
    <rPh sb="2" eb="4">
      <t>ノウヒン</t>
    </rPh>
    <phoneticPr fontId="1"/>
  </si>
  <si>
    <t>合計金額</t>
    <rPh sb="0" eb="2">
      <t>ゴウケイ</t>
    </rPh>
    <rPh sb="2" eb="4">
      <t>キンガク</t>
    </rPh>
    <phoneticPr fontId="1"/>
  </si>
  <si>
    <t>技術分類</t>
    <rPh sb="0" eb="2">
      <t>ギジュツ</t>
    </rPh>
    <rPh sb="2" eb="4">
      <t>ブンルイ</t>
    </rPh>
    <phoneticPr fontId="1"/>
  </si>
  <si>
    <t>備考</t>
    <rPh sb="0" eb="2">
      <t>ビコウ</t>
    </rPh>
    <phoneticPr fontId="1"/>
  </si>
  <si>
    <t>分類合計</t>
    <rPh sb="0" eb="2">
      <t>ブンルイ</t>
    </rPh>
    <rPh sb="2" eb="4">
      <t>ゴウケイ</t>
    </rPh>
    <phoneticPr fontId="1"/>
  </si>
  <si>
    <t>発注</t>
    <rPh sb="0" eb="2">
      <t>ハッチュウ</t>
    </rPh>
    <phoneticPr fontId="1"/>
  </si>
  <si>
    <t>入荷予定日</t>
    <rPh sb="0" eb="2">
      <t>ニュウカ</t>
    </rPh>
    <rPh sb="2" eb="4">
      <t>ヨテイ</t>
    </rPh>
    <rPh sb="4" eb="5">
      <t>ヒ</t>
    </rPh>
    <phoneticPr fontId="1"/>
  </si>
  <si>
    <t>入荷日</t>
    <rPh sb="0" eb="2">
      <t>ニュウカ</t>
    </rPh>
    <rPh sb="2" eb="3">
      <t>ビ</t>
    </rPh>
    <phoneticPr fontId="1"/>
  </si>
  <si>
    <t>SP</t>
    <phoneticPr fontId="1"/>
  </si>
  <si>
    <t>冨沢</t>
    <rPh sb="0" eb="2">
      <t>トミザワ</t>
    </rPh>
    <phoneticPr fontId="1"/>
  </si>
  <si>
    <t>MISUMI</t>
    <phoneticPr fontId="1"/>
  </si>
  <si>
    <t>SET</t>
    <phoneticPr fontId="1"/>
  </si>
  <si>
    <t>設計費</t>
    <rPh sb="0" eb="3">
      <t>セッケイヒ</t>
    </rPh>
    <phoneticPr fontId="1"/>
  </si>
  <si>
    <t>組立費</t>
    <rPh sb="0" eb="3">
      <t>クミタテヒ</t>
    </rPh>
    <phoneticPr fontId="1"/>
  </si>
  <si>
    <t>JANOME</t>
    <phoneticPr fontId="1"/>
  </si>
  <si>
    <t>在庫品</t>
    <rPh sb="0" eb="3">
      <t>ザイコヒン</t>
    </rPh>
    <phoneticPr fontId="1"/>
  </si>
  <si>
    <t>Web発注済</t>
    <rPh sb="3" eb="6">
      <t>ハッチュウスミ</t>
    </rPh>
    <phoneticPr fontId="1"/>
  </si>
  <si>
    <t>DNR274-1000</t>
  </si>
  <si>
    <t>日星工業</t>
    <rPh sb="0" eb="4">
      <t>ニッセイコウギョウ</t>
    </rPh>
    <phoneticPr fontId="1"/>
  </si>
  <si>
    <t>■SETA0103-Y01(ﾂｰﾙﾌﾟﾚｰﾄ)</t>
    <phoneticPr fontId="1"/>
  </si>
  <si>
    <t>CSHSM-ST-M4-6</t>
  </si>
  <si>
    <t>■SETA0103-X01(ﾜｰｸｼﾞｸﾞﾍﾞｰｽ)</t>
  </si>
  <si>
    <t>■SETA0103-X02(ﾊﾞｷｭｰﾑﾞﾍﾞｰｽ)</t>
  </si>
  <si>
    <t>■SETA0103-X03(ﾊﾞｷｭｰﾑﾞﾍﾞｰｽ)</t>
    <phoneticPr fontId="1"/>
  </si>
  <si>
    <t>■SETA0103-Z01(ｶｯﾌﾟﾌﾟﾚｰﾄ)</t>
  </si>
  <si>
    <t>SLSBWRK7-20</t>
  </si>
  <si>
    <t>MSELL4-M5</t>
  </si>
  <si>
    <t>MHPKS101-19-22-S</t>
  </si>
  <si>
    <t>■SETA0103-Z02(背面ﾌﾟﾚｰﾄ)</t>
    <rPh sb="14" eb="16">
      <t>ハイメン</t>
    </rPh>
    <phoneticPr fontId="1"/>
  </si>
  <si>
    <t>SS40079</t>
  </si>
  <si>
    <t>■SETA0103-X04(ﾍﾞｱﾌﾟﾚｰﾄ)</t>
  </si>
  <si>
    <t>コネクト</t>
    <phoneticPr fontId="1"/>
  </si>
  <si>
    <t>MVSHM-3N01000-35W-6N34P</t>
  </si>
  <si>
    <t>MVSHM-3N02002-35W-ZPAWN</t>
  </si>
  <si>
    <t>ﾊﾞﾙﾌﾞﾎﾙﾀﾞ</t>
    <phoneticPr fontId="1"/>
  </si>
  <si>
    <t>MVBLK-AMW-35X-KTMN5</t>
  </si>
  <si>
    <t>JR3303-SET02</t>
    <phoneticPr fontId="1"/>
  </si>
  <si>
    <t>JR3-TB3</t>
    <phoneticPr fontId="1"/>
  </si>
  <si>
    <t>JR3-Cpts2</t>
    <phoneticPr fontId="1"/>
  </si>
  <si>
    <t>在庫品</t>
    <rPh sb="0" eb="3">
      <t>ザイコヒン</t>
    </rPh>
    <phoneticPr fontId="1"/>
  </si>
  <si>
    <t>DB-37SP</t>
  </si>
  <si>
    <t>ｺﾈｸﾀ</t>
  </si>
  <si>
    <t>DEU-9PF-F0</t>
  </si>
  <si>
    <t>DE-C8-J9-B51R</t>
  </si>
  <si>
    <t>DSUBﾌｰﾄﾞ</t>
  </si>
  <si>
    <t>DC-C8-J13-B51R</t>
  </si>
  <si>
    <t>FASTENING</t>
  </si>
  <si>
    <t>MVSHM-3N02002-35W-BS4PH</t>
    <phoneticPr fontId="9"/>
  </si>
  <si>
    <t>ﾜﾝﾀｯﾁﾂｷﾞﾃ(MSELL)</t>
  </si>
  <si>
    <t>ﾛｯｶｸｼﾁｭｳ SLSBWRK</t>
  </si>
  <si>
    <t>ｹｰﾌﾞﾙｷｬﾘｱ (MHPKF)</t>
  </si>
  <si>
    <t>SLSBWRK7-20</t>
    <phoneticPr fontId="1"/>
  </si>
  <si>
    <t>ﾆﾎﾝｺｳｸｳﾃﾞﾝｼ DSUBｺﾈｸﾀ</t>
  </si>
  <si>
    <t>JR3000用C-Points2 塗布編集ｿﾌﾄ</t>
    <phoneticPr fontId="1"/>
  </si>
  <si>
    <t>最短</t>
    <rPh sb="0" eb="2">
      <t>サイタン</t>
    </rPh>
    <phoneticPr fontId="1"/>
  </si>
  <si>
    <t>送料</t>
    <rPh sb="0" eb="2">
      <t>ソウリョウ</t>
    </rPh>
    <phoneticPr fontId="1"/>
  </si>
  <si>
    <t>NWGMC6-STN-SUMB-GY-3</t>
  </si>
  <si>
    <t>LAN ｱｯｾﾝﾌﾞﾙ ｹ-ﾌﾞﾙ</t>
  </si>
  <si>
    <t>LPPESB3-P3.80-B2.0-G3-L6</t>
  </si>
  <si>
    <t>LPPESB3-P4.70-B2.0-G4-L6</t>
  </si>
  <si>
    <t>ｲﾁｷﾞﾒﾋﾟﾝ LPPES</t>
  </si>
  <si>
    <t>ARM5SB-08-A</t>
  </si>
  <si>
    <t>ZK2B07K5NL3-06</t>
  </si>
  <si>
    <t>SMC ﾚｷﾞﾕﾚｰﾀ ARMｼﾘｰｽﾞ</t>
  </si>
  <si>
    <t>SMC ZK ｼﾘｰｽﾞ</t>
  </si>
  <si>
    <t>ZS-39-5G</t>
    <phoneticPr fontId="1"/>
  </si>
  <si>
    <t>ｹｰﾌﾞﾙ</t>
    <phoneticPr fontId="1"/>
  </si>
  <si>
    <t>ZK2-LVW20-A</t>
    <phoneticPr fontId="1"/>
  </si>
  <si>
    <t>LPPESB3-P3.90-B2.0-G3-L6</t>
    <phoneticPr fontId="1"/>
  </si>
  <si>
    <t>LPPESB3-P4.90-B2.0-G4-L6</t>
    <phoneticPr fontId="1"/>
  </si>
  <si>
    <t>■SETA0103-X02A(ﾊﾞｷｭｰﾑﾞﾍﾞｰｽ)</t>
    <phoneticPr fontId="1"/>
  </si>
  <si>
    <t>■SETA0103-X03A(ﾊﾞｷｭｰﾑﾞﾍﾞｰｽ)</t>
    <phoneticPr fontId="1"/>
  </si>
  <si>
    <t>MVBLK-AMW-372-W6248</t>
  </si>
  <si>
    <t>MVBLK-AMW-372-85KCN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</si>
</sst>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Red]\(#,##0\)"/>
    <numFmt numFmtId="177" formatCode="yyyy&quot;年&quot;m&quot;月&quot;d&quot;日&quot;;@"/>
    <numFmt numFmtId="178" formatCode="m/d;@"/>
    <numFmt numFmtId="179" formatCode="m&quot;月&quot;d&quot;日&quot;;@"/>
    <numFmt numFmtId="180" formatCode="0_ ;[Red]\-0\ "/>
  </numFmts>
  <fonts count="10" x14ac:knownFonts="1">
    <font>
      <sz val="11"/>
      <color theme="1"/>
      <name val="ＭＳ Ｐゴシック"/>
      <family val="3"/>
      <charset val="128"/>
      <scheme val="minor"/>
    </font>
    <font>
      <sz val="6"/>
      <name val="ＭＳ Ｐゴシック"/>
      <family val="3"/>
      <charset val="128"/>
    </font>
    <font>
      <sz val="6"/>
      <name val="ＭＳ Ｐゴシック"/>
      <family val="3"/>
      <charset val="128"/>
    </font>
    <font>
      <b/>
      <sz val="14"/>
      <color indexed="8"/>
      <name val="ＭＳ Ｐゴシック"/>
      <family val="3"/>
      <charset val="128"/>
    </font>
    <font>
      <b/>
      <sz val="11"/>
      <color indexed="8"/>
      <name val="ＭＳ Ｐゴシック"/>
      <family val="3"/>
      <charset val="128"/>
    </font>
    <font>
      <sz val="11"/>
      <name val="ＭＳ Ｐゴシック"/>
      <family val="3"/>
      <charset val="128"/>
      <scheme val="minor"/>
    </font>
    <font>
      <sz val="6"/>
      <name val="ＭＳ Ｐゴシック"/>
      <family val="3"/>
      <charset val="128"/>
      <scheme val="minor"/>
    </font>
    <font>
      <sz val="11"/>
      <color rgb="FFFF0000"/>
      <name val="ＭＳ Ｐゴシック"/>
      <family val="3"/>
      <charset val="128"/>
      <scheme val="minor"/>
    </font>
    <font>
      <b/>
      <sz val="11"/>
      <color rgb="FFFF0000"/>
      <name val="ＭＳ Ｐゴシック"/>
      <family val="3"/>
      <charset val="128"/>
      <scheme val="minor"/>
    </font>
    <font>
      <sz val="6"/>
      <name val="ＭＳ Ｐゴシック"/>
      <family val="2"/>
      <charset val="128"/>
      <scheme val="minor"/>
    </font>
  </fonts>
  <fills count="5">
    <fill>
      <patternFill patternType="none"/>
    </fill>
    <fill>
      <patternFill patternType="gray125"/>
    </fill>
    <fill>
      <patternFill patternType="solid">
        <fgColor indexed="43"/>
        <bgColor indexed="64"/>
      </patternFill>
    </fill>
    <fill>
      <patternFill patternType="solid">
        <fgColor theme="0"/>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alignment vertical="center"/>
    </xf>
  </cellStyleXfs>
  <cellXfs count="76">
    <xf numFmtId="0" fontId="0" fillId="0" borderId="0" xfId="0">
      <alignment vertical="center"/>
    </xf>
    <xf numFmtId="0" fontId="3" fillId="0" borderId="1" xfId="0" applyFont="1" applyBorder="1" applyAlignment="1">
      <alignment horizontal="center" vertical="center" shrinkToFit="1"/>
    </xf>
    <xf numFmtId="176" fontId="4" fillId="0" borderId="1" xfId="0" applyNumberFormat="1" applyFont="1" applyBorder="1">
      <alignment vertical="center"/>
    </xf>
    <xf numFmtId="0" fontId="0" fillId="0" borderId="0" xfId="0" applyAlignment="1">
      <alignment horizontal="center" vertical="center"/>
    </xf>
    <xf numFmtId="179" fontId="0" fillId="0" borderId="0" xfId="0" applyNumberFormat="1" applyAlignment="1">
      <alignment horizontal="center" vertical="center"/>
    </xf>
    <xf numFmtId="0" fontId="0" fillId="0" borderId="0" xfId="0" applyAlignment="1">
      <alignment horizontal="right" vertical="center"/>
    </xf>
    <xf numFmtId="179" fontId="0" fillId="0" borderId="0" xfId="0" applyNumberFormat="1">
      <alignment vertical="center"/>
    </xf>
    <xf numFmtId="178" fontId="0" fillId="0" borderId="0" xfId="0" applyNumberFormat="1">
      <alignment vertical="center"/>
    </xf>
    <xf numFmtId="0" fontId="3" fillId="0" borderId="1" xfId="0" applyFont="1" applyBorder="1" applyAlignment="1">
      <alignment horizontal="center" vertical="center"/>
    </xf>
    <xf numFmtId="38" fontId="0" fillId="0" borderId="0" xfId="0" applyNumberFormat="1">
      <alignment vertical="center"/>
    </xf>
    <xf numFmtId="177" fontId="3" fillId="0" borderId="1" xfId="0" applyNumberFormat="1" applyFont="1" applyBorder="1" applyAlignment="1">
      <alignment horizontal="center" vertical="center"/>
    </xf>
    <xf numFmtId="0" fontId="3" fillId="0" borderId="0" xfId="0" applyFont="1" applyAlignment="1">
      <alignment horizontal="center" vertical="center"/>
    </xf>
    <xf numFmtId="177" fontId="3" fillId="0" borderId="0" xfId="0" applyNumberFormat="1" applyFont="1" applyAlignment="1">
      <alignment horizontal="center" vertical="center"/>
    </xf>
    <xf numFmtId="180" fontId="0" fillId="0" borderId="0" xfId="0" applyNumberFormat="1" applyAlignment="1">
      <alignment horizontal="center" vertical="center"/>
    </xf>
    <xf numFmtId="3"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179" fontId="0" fillId="0" borderId="1" xfId="0" applyNumberFormat="1" applyBorder="1" applyAlignment="1">
      <alignment horizontal="center" vertical="center"/>
    </xf>
    <xf numFmtId="178" fontId="0" fillId="0" borderId="1" xfId="0" applyNumberFormat="1" applyBorder="1" applyAlignment="1">
      <alignment horizontal="center" vertical="center"/>
    </xf>
    <xf numFmtId="56" fontId="0" fillId="0" borderId="1" xfId="0" applyNumberFormat="1" applyBorder="1" applyAlignment="1">
      <alignment horizontal="center" vertical="center"/>
    </xf>
    <xf numFmtId="3" fontId="5" fillId="0" borderId="1" xfId="0" applyNumberFormat="1"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lignment vertical="center"/>
    </xf>
    <xf numFmtId="0" fontId="0" fillId="0" borderId="1" xfId="0" applyBorder="1">
      <alignment vertical="center"/>
    </xf>
    <xf numFmtId="0" fontId="0" fillId="0" borderId="1" xfId="0" applyBorder="1" applyAlignment="1">
      <alignment horizontal="right" vertical="center"/>
    </xf>
    <xf numFmtId="179" fontId="0" fillId="0" borderId="1" xfId="0" applyNumberFormat="1" applyBorder="1">
      <alignment vertical="center"/>
    </xf>
    <xf numFmtId="176" fontId="0" fillId="0" borderId="1" xfId="0" applyNumberFormat="1" applyBorder="1" applyAlignment="1">
      <alignment horizontal="center" vertical="center"/>
    </xf>
    <xf numFmtId="176" fontId="0" fillId="0" borderId="3" xfId="0" applyNumberFormat="1" applyBorder="1" applyAlignment="1">
      <alignment horizontal="center" vertical="center"/>
    </xf>
    <xf numFmtId="176" fontId="0" fillId="0" borderId="0" xfId="0" applyNumberFormat="1" applyAlignment="1">
      <alignment horizontal="right" vertical="center"/>
    </xf>
    <xf numFmtId="176" fontId="0" fillId="0" borderId="1" xfId="0" applyNumberFormat="1" applyBorder="1" applyAlignment="1">
      <alignment horizontal="right" vertical="center"/>
    </xf>
    <xf numFmtId="3" fontId="0" fillId="0" borderId="2" xfId="0" applyNumberFormat="1" applyBorder="1" applyAlignment="1">
      <alignment horizontal="center" vertical="center"/>
    </xf>
    <xf numFmtId="3" fontId="5" fillId="0" borderId="2" xfId="0" applyNumberFormat="1" applyFont="1" applyBorder="1" applyAlignment="1">
      <alignment horizontal="center" vertical="center"/>
    </xf>
    <xf numFmtId="0" fontId="0" fillId="0" borderId="2" xfId="0" applyBorder="1" applyAlignment="1">
      <alignment horizontal="center" vertical="center"/>
    </xf>
    <xf numFmtId="0" fontId="5" fillId="0" borderId="2" xfId="0" applyFont="1" applyBorder="1">
      <alignment vertical="center"/>
    </xf>
    <xf numFmtId="0" fontId="5" fillId="0" borderId="2" xfId="0" applyFont="1" applyBorder="1" applyAlignment="1">
      <alignment horizontal="right" vertical="center"/>
    </xf>
    <xf numFmtId="176" fontId="5" fillId="0" borderId="2" xfId="0" applyNumberFormat="1" applyFont="1" applyBorder="1" applyAlignment="1">
      <alignment horizontal="right" vertical="center"/>
    </xf>
    <xf numFmtId="0" fontId="5" fillId="0" borderId="6" xfId="0" applyFont="1" applyBorder="1" applyAlignment="1">
      <alignment horizontal="center" vertical="center"/>
    </xf>
    <xf numFmtId="0" fontId="5" fillId="0" borderId="2" xfId="0" applyFont="1" applyBorder="1" applyAlignment="1">
      <alignment horizontal="left" vertical="center"/>
    </xf>
    <xf numFmtId="179" fontId="0" fillId="0" borderId="2" xfId="0" applyNumberFormat="1" applyBorder="1" applyAlignment="1">
      <alignment horizontal="center" vertical="center"/>
    </xf>
    <xf numFmtId="178" fontId="0" fillId="0" borderId="2" xfId="0" applyNumberFormat="1" applyBorder="1" applyAlignment="1">
      <alignment horizontal="center" vertical="center"/>
    </xf>
    <xf numFmtId="3" fontId="0" fillId="0" borderId="1" xfId="0" applyNumberFormat="1" applyBorder="1" applyAlignment="1">
      <alignment horizontal="center" vertical="center" wrapText="1"/>
    </xf>
    <xf numFmtId="0" fontId="8" fillId="0" borderId="1" xfId="0" applyFont="1" applyBorder="1" applyAlignment="1">
      <alignment horizontal="center" vertical="center"/>
    </xf>
    <xf numFmtId="176" fontId="0" fillId="0" borderId="1" xfId="0" applyNumberFormat="1" applyBorder="1">
      <alignment vertical="center"/>
    </xf>
    <xf numFmtId="179" fontId="7" fillId="0" borderId="1" xfId="0" applyNumberFormat="1" applyFont="1" applyBorder="1" applyAlignment="1">
      <alignment horizontal="center" vertical="center"/>
    </xf>
    <xf numFmtId="3" fontId="0" fillId="0" borderId="1" xfId="0" applyNumberFormat="1" applyBorder="1">
      <alignment vertical="center"/>
    </xf>
    <xf numFmtId="0" fontId="5" fillId="0" borderId="1" xfId="0" applyFont="1" applyBorder="1" applyAlignment="1">
      <alignment horizontal="right" vertical="center"/>
    </xf>
    <xf numFmtId="176" fontId="5" fillId="0" borderId="1" xfId="0" applyNumberFormat="1" applyFont="1" applyBorder="1" applyAlignment="1">
      <alignment horizontal="right" vertical="center"/>
    </xf>
    <xf numFmtId="0" fontId="5" fillId="0" borderId="1" xfId="0" applyFont="1" applyBorder="1" applyAlignment="1">
      <alignment horizontal="left" vertical="center"/>
    </xf>
    <xf numFmtId="3" fontId="0" fillId="3" borderId="1" xfId="0" applyNumberFormat="1" applyFill="1" applyBorder="1" applyAlignment="1">
      <alignment horizontal="center" vertical="center" wrapText="1"/>
    </xf>
    <xf numFmtId="3" fontId="5" fillId="3" borderId="1" xfId="0" applyNumberFormat="1" applyFont="1" applyFill="1" applyBorder="1" applyAlignment="1">
      <alignment horizontal="center" vertical="center"/>
    </xf>
    <xf numFmtId="0" fontId="0" fillId="3" borderId="1" xfId="0" applyFill="1" applyBorder="1">
      <alignment vertical="center"/>
    </xf>
    <xf numFmtId="176" fontId="0" fillId="3" borderId="1" xfId="0" applyNumberFormat="1" applyFill="1" applyBorder="1" applyAlignment="1">
      <alignment horizontal="right" vertical="center"/>
    </xf>
    <xf numFmtId="0" fontId="0" fillId="3" borderId="1" xfId="0" applyFill="1" applyBorder="1" applyAlignment="1">
      <alignment horizontal="right" vertical="center"/>
    </xf>
    <xf numFmtId="0" fontId="0" fillId="3" borderId="1" xfId="0" applyFill="1" applyBorder="1" applyAlignment="1">
      <alignment horizontal="center" vertical="center"/>
    </xf>
    <xf numFmtId="179" fontId="0" fillId="3" borderId="1" xfId="0" applyNumberFormat="1" applyFill="1" applyBorder="1" applyAlignment="1">
      <alignment horizontal="center" vertical="center"/>
    </xf>
    <xf numFmtId="179" fontId="0" fillId="3" borderId="1" xfId="0" applyNumberFormat="1" applyFill="1" applyBorder="1">
      <alignment vertical="center"/>
    </xf>
    <xf numFmtId="178" fontId="0" fillId="3" borderId="1" xfId="0" applyNumberFormat="1" applyFill="1" applyBorder="1" applyAlignment="1">
      <alignment horizontal="center" vertical="center"/>
    </xf>
    <xf numFmtId="0" fontId="0" fillId="3" borderId="0" xfId="0" applyFill="1">
      <alignment vertical="center"/>
    </xf>
    <xf numFmtId="3" fontId="0" fillId="3" borderId="1" xfId="0" applyNumberFormat="1" applyFill="1" applyBorder="1" applyAlignment="1">
      <alignment horizontal="center" vertical="center"/>
    </xf>
    <xf numFmtId="3" fontId="0" fillId="3" borderId="1" xfId="0" applyNumberFormat="1" applyFill="1" applyBorder="1">
      <alignment vertical="center"/>
    </xf>
    <xf numFmtId="0" fontId="5" fillId="3" borderId="1" xfId="0" applyFont="1" applyFill="1" applyBorder="1">
      <alignment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3" fontId="0" fillId="4" borderId="1" xfId="0" applyNumberFormat="1" applyFill="1" applyBorder="1" applyAlignment="1">
      <alignment horizontal="center" vertical="center"/>
    </xf>
    <xf numFmtId="3" fontId="5" fillId="4" borderId="1" xfId="0" applyNumberFormat="1" applyFont="1" applyFill="1" applyBorder="1" applyAlignment="1">
      <alignment horizontal="center" vertical="center"/>
    </xf>
    <xf numFmtId="0" fontId="0" fillId="4" borderId="1" xfId="0" applyFill="1" applyBorder="1">
      <alignment vertical="center"/>
    </xf>
    <xf numFmtId="176" fontId="0" fillId="4" borderId="1" xfId="0" applyNumberFormat="1" applyFill="1" applyBorder="1" applyAlignment="1">
      <alignment horizontal="right" vertical="center"/>
    </xf>
    <xf numFmtId="0" fontId="0" fillId="4" borderId="1" xfId="0" applyFill="1" applyBorder="1" applyAlignment="1">
      <alignment horizontal="right" vertical="center"/>
    </xf>
    <xf numFmtId="0" fontId="0" fillId="4" borderId="1" xfId="0" applyFill="1" applyBorder="1" applyAlignment="1">
      <alignment horizontal="center" vertical="center"/>
    </xf>
    <xf numFmtId="179" fontId="0" fillId="4" borderId="1" xfId="0" applyNumberFormat="1" applyFill="1" applyBorder="1" applyAlignment="1">
      <alignment horizontal="center" vertical="center"/>
    </xf>
    <xf numFmtId="179" fontId="0" fillId="4" borderId="1" xfId="0" applyNumberFormat="1" applyFill="1" applyBorder="1">
      <alignment vertical="center"/>
    </xf>
    <xf numFmtId="178" fontId="0" fillId="4" borderId="1" xfId="0" applyNumberFormat="1" applyFill="1" applyBorder="1" applyAlignment="1">
      <alignment horizontal="center" vertical="center"/>
    </xf>
    <xf numFmtId="0" fontId="0" fillId="4" borderId="0" xfId="0" applyFill="1">
      <alignmen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Q52"/>
  <sheetViews>
    <sheetView tabSelected="1" zoomScale="85" zoomScaleNormal="85" workbookViewId="0">
      <pane xSplit="10" ySplit="9" topLeftCell="K28" activePane="bottomRight" state="frozen"/>
      <selection pane="topRight" activeCell="K1" sqref="K1"/>
      <selection pane="bottomLeft" activeCell="A9" sqref="A9"/>
      <selection pane="bottomRight" activeCell="E34" sqref="E34"/>
    </sheetView>
  </sheetViews>
  <sheetFormatPr defaultColWidth="9" defaultRowHeight="13.5" x14ac:dyDescent="0.15"/>
  <cols>
    <col min="1" max="1" width="2.625" customWidth="1"/>
    <col min="2" max="2" width="20.125" style="3" bestFit="1" customWidth="1"/>
    <col min="3" max="3" width="14.375" bestFit="1" customWidth="1"/>
    <col min="4" max="4" width="13.125" bestFit="1" customWidth="1"/>
    <col min="5" max="5" width="40.625" customWidth="1"/>
    <col min="6" max="6" width="6.25" customWidth="1"/>
    <col min="7" max="8" width="9.875" style="28" bestFit="1" customWidth="1"/>
    <col min="9" max="9" width="5.75" style="5" customWidth="1"/>
    <col min="10" max="10" width="35.25" bestFit="1" customWidth="1"/>
    <col min="11" max="11" width="22.375" bestFit="1" customWidth="1"/>
    <col min="12" max="12" width="11" style="3" customWidth="1"/>
    <col min="13" max="13" width="13.75" style="4" customWidth="1"/>
    <col min="14" max="14" width="6.375" customWidth="1"/>
    <col min="15" max="15" width="13.25" style="5" customWidth="1"/>
    <col min="16" max="16" width="14.5" style="6" customWidth="1"/>
    <col min="17" max="17" width="15.625" style="7" customWidth="1"/>
  </cols>
  <sheetData>
    <row r="2" spans="2:17" ht="20.100000000000001" customHeight="1" x14ac:dyDescent="0.15">
      <c r="B2" s="62" t="s">
        <v>11</v>
      </c>
      <c r="C2" s="62"/>
      <c r="D2" s="62"/>
      <c r="E2" s="1" t="s">
        <v>32</v>
      </c>
      <c r="G2" s="63" t="s">
        <v>15</v>
      </c>
      <c r="H2" s="64"/>
      <c r="I2" s="65"/>
      <c r="J2" s="2">
        <f>SUM(H:H)</f>
        <v>418084</v>
      </c>
    </row>
    <row r="3" spans="2:17" ht="20.100000000000001" customHeight="1" x14ac:dyDescent="0.15">
      <c r="B3" s="62" t="s">
        <v>10</v>
      </c>
      <c r="C3" s="62"/>
      <c r="D3" s="62"/>
      <c r="E3" s="8" t="s">
        <v>23</v>
      </c>
    </row>
    <row r="4" spans="2:17" ht="20.100000000000001" customHeight="1" x14ac:dyDescent="0.15">
      <c r="B4" s="62" t="s">
        <v>12</v>
      </c>
      <c r="C4" s="62"/>
      <c r="D4" s="62"/>
      <c r="E4" s="8">
        <v>199437</v>
      </c>
      <c r="J4" s="9"/>
    </row>
    <row r="5" spans="2:17" ht="20.100000000000001" customHeight="1" x14ac:dyDescent="0.15">
      <c r="B5" s="62" t="s">
        <v>13</v>
      </c>
      <c r="C5" s="62"/>
      <c r="D5" s="62"/>
      <c r="E5" s="10">
        <v>44827</v>
      </c>
      <c r="J5" s="9"/>
    </row>
    <row r="6" spans="2:17" ht="20.100000000000001" customHeight="1" x14ac:dyDescent="0.15">
      <c r="B6" s="62" t="s">
        <v>14</v>
      </c>
      <c r="C6" s="62"/>
      <c r="D6" s="62"/>
      <c r="E6" s="10"/>
      <c r="J6" s="9"/>
    </row>
    <row r="7" spans="2:17" ht="20.100000000000001" customHeight="1" x14ac:dyDescent="0.15">
      <c r="B7" s="11"/>
      <c r="C7" s="11"/>
      <c r="D7" s="11"/>
      <c r="E7" s="12"/>
      <c r="J7" s="9"/>
      <c r="L7" s="13"/>
    </row>
    <row r="9" spans="2:17" s="3" customFormat="1" ht="19.7" customHeight="1" x14ac:dyDescent="0.15">
      <c r="B9" s="14" t="s">
        <v>4</v>
      </c>
      <c r="C9" s="14" t="s">
        <v>9</v>
      </c>
      <c r="D9" s="14" t="s">
        <v>5</v>
      </c>
      <c r="E9" s="15" t="s">
        <v>8</v>
      </c>
      <c r="F9" s="15" t="s">
        <v>0</v>
      </c>
      <c r="G9" s="26" t="s">
        <v>1</v>
      </c>
      <c r="H9" s="27" t="s">
        <v>2</v>
      </c>
      <c r="I9" s="16" t="s">
        <v>18</v>
      </c>
      <c r="J9" s="15" t="s">
        <v>3</v>
      </c>
      <c r="K9" s="15" t="s">
        <v>17</v>
      </c>
      <c r="L9" s="15" t="s">
        <v>16</v>
      </c>
      <c r="M9" s="17" t="s">
        <v>6</v>
      </c>
      <c r="N9" s="14" t="s">
        <v>19</v>
      </c>
      <c r="O9" s="15" t="s">
        <v>7</v>
      </c>
      <c r="P9" s="17" t="s">
        <v>20</v>
      </c>
      <c r="Q9" s="18" t="s">
        <v>21</v>
      </c>
    </row>
    <row r="10" spans="2:17" s="3" customFormat="1" ht="19.7" customHeight="1" x14ac:dyDescent="0.15">
      <c r="B10" s="30">
        <v>1</v>
      </c>
      <c r="C10" s="31" t="s">
        <v>28</v>
      </c>
      <c r="D10" s="31" t="s">
        <v>28</v>
      </c>
      <c r="E10" s="33" t="s">
        <v>50</v>
      </c>
      <c r="F10" s="34">
        <v>1</v>
      </c>
      <c r="G10" s="35"/>
      <c r="H10" s="35"/>
      <c r="I10" s="36"/>
      <c r="J10" s="37" t="s">
        <v>53</v>
      </c>
      <c r="K10" s="32"/>
      <c r="L10" s="32"/>
      <c r="M10" s="38"/>
      <c r="N10" s="30"/>
      <c r="O10" s="32"/>
      <c r="P10" s="38"/>
      <c r="Q10" s="39"/>
    </row>
    <row r="11" spans="2:17" s="3" customFormat="1" ht="19.7" customHeight="1" x14ac:dyDescent="0.15">
      <c r="B11" s="30">
        <v>2</v>
      </c>
      <c r="C11" s="31" t="s">
        <v>28</v>
      </c>
      <c r="D11" s="31" t="s">
        <v>28</v>
      </c>
      <c r="E11" s="33" t="s">
        <v>51</v>
      </c>
      <c r="F11" s="34">
        <v>1</v>
      </c>
      <c r="G11" s="35"/>
      <c r="H11" s="35"/>
      <c r="I11" s="36"/>
      <c r="J11" s="37" t="s">
        <v>53</v>
      </c>
      <c r="K11" s="32"/>
      <c r="L11" s="32"/>
      <c r="M11" s="38"/>
      <c r="N11" s="30"/>
      <c r="O11" s="32"/>
      <c r="P11" s="38"/>
      <c r="Q11" s="39"/>
    </row>
    <row r="12" spans="2:17" s="3" customFormat="1" ht="19.7" customHeight="1" x14ac:dyDescent="0.15">
      <c r="B12" s="30">
        <v>3</v>
      </c>
      <c r="C12" s="20" t="s">
        <v>28</v>
      </c>
      <c r="D12" s="20" t="s">
        <v>28</v>
      </c>
      <c r="E12" s="22" t="s">
        <v>52</v>
      </c>
      <c r="F12" s="45">
        <v>1</v>
      </c>
      <c r="G12" s="46">
        <v>30000</v>
      </c>
      <c r="H12" s="29">
        <f t="shared" ref="H12:H13" si="0">G12*F12</f>
        <v>30000</v>
      </c>
      <c r="I12" s="21"/>
      <c r="J12" s="47" t="s">
        <v>67</v>
      </c>
      <c r="K12" s="41"/>
      <c r="L12" s="32"/>
      <c r="M12" s="38">
        <v>44813</v>
      </c>
      <c r="N12" s="30"/>
      <c r="O12" s="32" t="s">
        <v>68</v>
      </c>
      <c r="P12" s="38">
        <v>44824</v>
      </c>
      <c r="Q12" s="39">
        <v>44824</v>
      </c>
    </row>
    <row r="13" spans="2:17" s="3" customFormat="1" ht="19.7" customHeight="1" x14ac:dyDescent="0.15">
      <c r="B13" s="30"/>
      <c r="C13" s="20" t="s">
        <v>28</v>
      </c>
      <c r="D13" s="20" t="s">
        <v>28</v>
      </c>
      <c r="E13" s="22" t="s">
        <v>69</v>
      </c>
      <c r="F13" s="45">
        <v>1</v>
      </c>
      <c r="G13" s="46">
        <v>1300</v>
      </c>
      <c r="H13" s="29">
        <f t="shared" si="0"/>
        <v>1300</v>
      </c>
      <c r="I13" s="21"/>
      <c r="J13" s="47"/>
      <c r="K13" s="41"/>
      <c r="L13" s="32"/>
      <c r="M13" s="38">
        <v>44813</v>
      </c>
      <c r="N13" s="30"/>
      <c r="O13" s="32"/>
      <c r="P13" s="38">
        <v>44824</v>
      </c>
      <c r="Q13" s="39"/>
    </row>
    <row r="14" spans="2:17" s="3" customFormat="1" ht="18.75" customHeight="1" x14ac:dyDescent="0.15">
      <c r="B14" s="14">
        <v>9</v>
      </c>
      <c r="C14" s="20" t="s">
        <v>24</v>
      </c>
      <c r="D14" s="20" t="s">
        <v>24</v>
      </c>
      <c r="E14" s="23" t="s">
        <v>49</v>
      </c>
      <c r="F14" s="23">
        <v>1</v>
      </c>
      <c r="G14" s="23">
        <v>22869</v>
      </c>
      <c r="H14" s="29">
        <f>G14*F14</f>
        <v>22869</v>
      </c>
      <c r="I14" s="21"/>
      <c r="J14" s="23" t="s">
        <v>33</v>
      </c>
      <c r="K14" s="15" t="s">
        <v>30</v>
      </c>
      <c r="L14" s="14"/>
      <c r="M14" s="17"/>
      <c r="N14" s="14"/>
      <c r="O14" s="19"/>
      <c r="P14" s="17"/>
      <c r="Q14" s="18">
        <v>44830</v>
      </c>
    </row>
    <row r="15" spans="2:17" s="3" customFormat="1" ht="19.7" customHeight="1" x14ac:dyDescent="0.15">
      <c r="B15" s="14">
        <v>9</v>
      </c>
      <c r="C15" s="20" t="s">
        <v>24</v>
      </c>
      <c r="D15" s="20" t="s">
        <v>24</v>
      </c>
      <c r="E15" s="23" t="s">
        <v>34</v>
      </c>
      <c r="F15" s="23">
        <v>2</v>
      </c>
      <c r="G15" s="23">
        <v>70</v>
      </c>
      <c r="H15" s="29">
        <f>G15*F15</f>
        <v>140</v>
      </c>
      <c r="I15" s="21"/>
      <c r="J15" s="23" t="s">
        <v>60</v>
      </c>
      <c r="K15" s="15" t="s">
        <v>30</v>
      </c>
      <c r="L15" s="15"/>
      <c r="M15" s="17"/>
      <c r="N15" s="14"/>
      <c r="O15" s="15"/>
      <c r="P15" s="19"/>
      <c r="Q15" s="18">
        <v>44830</v>
      </c>
    </row>
    <row r="16" spans="2:17" s="3" customFormat="1" ht="19.7" customHeight="1" x14ac:dyDescent="0.15">
      <c r="B16" s="14">
        <v>9</v>
      </c>
      <c r="C16" s="20" t="s">
        <v>45</v>
      </c>
      <c r="D16" s="20" t="s">
        <v>45</v>
      </c>
      <c r="E16" s="23" t="s">
        <v>43</v>
      </c>
      <c r="F16" s="23">
        <v>1</v>
      </c>
      <c r="G16" s="23">
        <v>6200</v>
      </c>
      <c r="H16" s="29">
        <f t="shared" ref="H16" si="1">G16*F16</f>
        <v>6200</v>
      </c>
      <c r="I16" s="21"/>
      <c r="J16" s="23" t="s">
        <v>48</v>
      </c>
      <c r="K16" s="41"/>
      <c r="L16" s="15"/>
      <c r="M16" s="17">
        <v>44813</v>
      </c>
      <c r="N16" s="14"/>
      <c r="O16" s="32" t="s">
        <v>68</v>
      </c>
      <c r="P16" s="19">
        <v>44831</v>
      </c>
      <c r="Q16" s="17"/>
    </row>
    <row r="17" spans="2:17" s="3" customFormat="1" ht="19.7" customHeight="1" x14ac:dyDescent="0.15">
      <c r="B17" s="40">
        <v>15</v>
      </c>
      <c r="C17" s="20" t="s">
        <v>24</v>
      </c>
      <c r="D17" s="20" t="s">
        <v>24</v>
      </c>
      <c r="E17" s="23" t="s">
        <v>49</v>
      </c>
      <c r="F17" s="23">
        <v>1</v>
      </c>
      <c r="G17" s="23">
        <v>22766</v>
      </c>
      <c r="H17" s="29">
        <f t="shared" ref="H17:H36" si="2">G17*F17</f>
        <v>22766</v>
      </c>
      <c r="I17" s="21"/>
      <c r="J17" s="23" t="s">
        <v>35</v>
      </c>
      <c r="K17" s="15" t="s">
        <v>30</v>
      </c>
      <c r="L17" s="15"/>
      <c r="M17" s="17"/>
      <c r="N17" s="14"/>
      <c r="O17" s="15"/>
      <c r="P17" s="19"/>
      <c r="Q17" s="18">
        <v>44830</v>
      </c>
    </row>
    <row r="18" spans="2:17" s="3" customFormat="1" ht="19.7" customHeight="1" x14ac:dyDescent="0.15">
      <c r="B18" s="14">
        <v>16</v>
      </c>
      <c r="C18" s="20" t="s">
        <v>45</v>
      </c>
      <c r="D18" s="20" t="s">
        <v>45</v>
      </c>
      <c r="E18" s="23" t="s">
        <v>36</v>
      </c>
      <c r="F18" s="23">
        <v>1</v>
      </c>
      <c r="G18" s="23">
        <v>9500</v>
      </c>
      <c r="H18" s="29">
        <f t="shared" si="2"/>
        <v>9500</v>
      </c>
      <c r="I18" s="21"/>
      <c r="J18" s="23" t="s">
        <v>36</v>
      </c>
      <c r="K18" s="41"/>
      <c r="L18" s="15"/>
      <c r="M18" s="17">
        <v>44813</v>
      </c>
      <c r="N18" s="14"/>
      <c r="O18" s="32" t="s">
        <v>68</v>
      </c>
      <c r="P18" s="17">
        <v>44831</v>
      </c>
      <c r="Q18" s="18">
        <v>44830</v>
      </c>
    </row>
    <row r="19" spans="2:17" s="3" customFormat="1" ht="19.7" customHeight="1" x14ac:dyDescent="0.15">
      <c r="B19" s="14">
        <v>16</v>
      </c>
      <c r="C19" s="20" t="s">
        <v>45</v>
      </c>
      <c r="D19" s="20" t="s">
        <v>45</v>
      </c>
      <c r="E19" s="23" t="s">
        <v>37</v>
      </c>
      <c r="F19" s="23">
        <v>1</v>
      </c>
      <c r="G19" s="23">
        <v>8500</v>
      </c>
      <c r="H19" s="29">
        <f t="shared" si="2"/>
        <v>8500</v>
      </c>
      <c r="I19" s="21"/>
      <c r="J19" s="23" t="s">
        <v>37</v>
      </c>
      <c r="K19" s="41"/>
      <c r="L19" s="15"/>
      <c r="M19" s="17">
        <v>44813</v>
      </c>
      <c r="N19" s="14"/>
      <c r="O19" s="32" t="s">
        <v>68</v>
      </c>
      <c r="P19" s="17">
        <v>44831</v>
      </c>
      <c r="Q19" s="18">
        <v>44830</v>
      </c>
    </row>
    <row r="20" spans="2:17" s="3" customFormat="1" ht="19.7" customHeight="1" x14ac:dyDescent="0.15">
      <c r="B20" s="14">
        <v>16</v>
      </c>
      <c r="C20" s="20" t="s">
        <v>24</v>
      </c>
      <c r="D20" s="20" t="s">
        <v>24</v>
      </c>
      <c r="E20" s="23" t="s">
        <v>61</v>
      </c>
      <c r="F20" s="23">
        <v>1</v>
      </c>
      <c r="G20" s="23">
        <v>2630</v>
      </c>
      <c r="H20" s="29">
        <f t="shared" si="2"/>
        <v>2630</v>
      </c>
      <c r="I20" s="21"/>
      <c r="J20" s="23" t="s">
        <v>44</v>
      </c>
      <c r="K20" s="15" t="s">
        <v>30</v>
      </c>
      <c r="L20" s="15"/>
      <c r="M20" s="17"/>
      <c r="N20" s="14"/>
      <c r="O20" s="15"/>
      <c r="P20" s="17"/>
      <c r="Q20" s="18">
        <v>44830</v>
      </c>
    </row>
    <row r="21" spans="2:17" s="3" customFormat="1" ht="19.5" customHeight="1" x14ac:dyDescent="0.15">
      <c r="B21" s="14">
        <v>16</v>
      </c>
      <c r="C21" s="20" t="s">
        <v>24</v>
      </c>
      <c r="D21" s="20" t="s">
        <v>24</v>
      </c>
      <c r="E21" s="23" t="s">
        <v>40</v>
      </c>
      <c r="F21" s="23">
        <v>2</v>
      </c>
      <c r="G21" s="23">
        <v>210</v>
      </c>
      <c r="H21" s="29">
        <f t="shared" si="2"/>
        <v>420</v>
      </c>
      <c r="I21" s="21"/>
      <c r="J21" s="23" t="s">
        <v>62</v>
      </c>
      <c r="K21" s="15" t="s">
        <v>30</v>
      </c>
      <c r="L21" s="15"/>
      <c r="M21" s="17"/>
      <c r="N21" s="14"/>
      <c r="O21" s="15"/>
      <c r="P21" s="17"/>
      <c r="Q21" s="18">
        <v>44830</v>
      </c>
    </row>
    <row r="22" spans="2:17" s="3" customFormat="1" ht="19.7" customHeight="1" x14ac:dyDescent="0.15">
      <c r="B22" s="14">
        <v>16</v>
      </c>
      <c r="C22" s="20" t="s">
        <v>24</v>
      </c>
      <c r="D22" s="20" t="s">
        <v>24</v>
      </c>
      <c r="E22" s="23" t="s">
        <v>65</v>
      </c>
      <c r="F22" s="23">
        <v>4</v>
      </c>
      <c r="G22" s="23">
        <v>500</v>
      </c>
      <c r="H22" s="29">
        <f t="shared" si="2"/>
        <v>2000</v>
      </c>
      <c r="I22" s="21"/>
      <c r="J22" s="23" t="s">
        <v>63</v>
      </c>
      <c r="K22" s="15" t="s">
        <v>30</v>
      </c>
      <c r="L22" s="15"/>
      <c r="M22" s="17"/>
      <c r="N22" s="14"/>
      <c r="O22" s="15"/>
      <c r="P22" s="17"/>
      <c r="Q22" s="18">
        <v>44830</v>
      </c>
    </row>
    <row r="23" spans="2:17" s="3" customFormat="1" ht="19.7" customHeight="1" x14ac:dyDescent="0.15">
      <c r="B23" s="14">
        <v>16</v>
      </c>
      <c r="C23" s="20" t="s">
        <v>24</v>
      </c>
      <c r="D23" s="20" t="s">
        <v>24</v>
      </c>
      <c r="E23" s="23" t="s">
        <v>41</v>
      </c>
      <c r="F23" s="23">
        <v>1</v>
      </c>
      <c r="G23" s="23">
        <v>2020</v>
      </c>
      <c r="H23" s="29">
        <f t="shared" si="2"/>
        <v>2020</v>
      </c>
      <c r="I23" s="21"/>
      <c r="J23" s="23" t="s">
        <v>64</v>
      </c>
      <c r="K23" s="15" t="s">
        <v>30</v>
      </c>
      <c r="L23" s="15"/>
      <c r="M23" s="17"/>
      <c r="N23" s="14"/>
      <c r="O23" s="15"/>
      <c r="P23" s="17"/>
      <c r="Q23" s="18">
        <v>44830</v>
      </c>
    </row>
    <row r="24" spans="2:17" s="3" customFormat="1" ht="19.7" customHeight="1" x14ac:dyDescent="0.15">
      <c r="B24" s="40">
        <v>13</v>
      </c>
      <c r="C24" s="20" t="s">
        <v>24</v>
      </c>
      <c r="D24" s="20" t="s">
        <v>24</v>
      </c>
      <c r="E24" s="23" t="s">
        <v>46</v>
      </c>
      <c r="F24" s="23">
        <v>1</v>
      </c>
      <c r="G24" s="23">
        <v>1940</v>
      </c>
      <c r="H24" s="29">
        <f>G24*F24</f>
        <v>1940</v>
      </c>
      <c r="I24" s="21"/>
      <c r="J24" s="23" t="s">
        <v>38</v>
      </c>
      <c r="K24" s="15" t="s">
        <v>30</v>
      </c>
      <c r="L24" s="15"/>
      <c r="M24" s="17"/>
      <c r="N24" s="14"/>
      <c r="O24" s="15"/>
      <c r="P24" s="19"/>
      <c r="Q24" s="18">
        <v>44830</v>
      </c>
    </row>
    <row r="25" spans="2:17" s="3" customFormat="1" ht="19.7" customHeight="1" x14ac:dyDescent="0.15">
      <c r="B25" s="14">
        <v>16</v>
      </c>
      <c r="C25" s="20" t="s">
        <v>24</v>
      </c>
      <c r="D25" s="20" t="s">
        <v>24</v>
      </c>
      <c r="E25" s="23" t="s">
        <v>47</v>
      </c>
      <c r="F25" s="23">
        <v>1</v>
      </c>
      <c r="G25" s="23">
        <v>2870</v>
      </c>
      <c r="H25" s="29"/>
      <c r="I25" s="21"/>
      <c r="J25" s="23" t="s">
        <v>42</v>
      </c>
      <c r="K25" s="15" t="s">
        <v>30</v>
      </c>
      <c r="L25" s="15"/>
      <c r="M25" s="17"/>
      <c r="N25" s="14"/>
      <c r="O25" s="15"/>
      <c r="P25" s="19"/>
      <c r="Q25" s="18">
        <v>44830</v>
      </c>
    </row>
    <row r="26" spans="2:17" s="3" customFormat="1" ht="19.7" customHeight="1" x14ac:dyDescent="0.15">
      <c r="B26" s="40">
        <v>13</v>
      </c>
      <c r="C26" s="20" t="s">
        <v>24</v>
      </c>
      <c r="D26" s="20" t="s">
        <v>24</v>
      </c>
      <c r="E26" s="23" t="s">
        <v>39</v>
      </c>
      <c r="F26" s="23">
        <v>4</v>
      </c>
      <c r="G26" s="23">
        <v>500</v>
      </c>
      <c r="H26" s="29">
        <f>G26*F26</f>
        <v>2000</v>
      </c>
      <c r="I26" s="21"/>
      <c r="J26" s="23" t="s">
        <v>63</v>
      </c>
      <c r="K26" s="15" t="s">
        <v>30</v>
      </c>
      <c r="L26" s="15"/>
      <c r="M26" s="17"/>
      <c r="N26" s="14"/>
      <c r="O26" s="15"/>
      <c r="P26" s="19"/>
      <c r="Q26" s="18">
        <v>44830</v>
      </c>
    </row>
    <row r="27" spans="2:17" s="3" customFormat="1" ht="21" customHeight="1" x14ac:dyDescent="0.15">
      <c r="B27" s="14">
        <v>4</v>
      </c>
      <c r="C27" s="14" t="s">
        <v>24</v>
      </c>
      <c r="D27" s="14" t="s">
        <v>24</v>
      </c>
      <c r="E27" s="23" t="s">
        <v>54</v>
      </c>
      <c r="F27" s="23">
        <v>1</v>
      </c>
      <c r="G27" s="23">
        <v>418</v>
      </c>
      <c r="H27" s="42">
        <f>F27*G27</f>
        <v>418</v>
      </c>
      <c r="I27" s="21"/>
      <c r="J27" s="23" t="s">
        <v>55</v>
      </c>
      <c r="K27" s="15" t="s">
        <v>30</v>
      </c>
      <c r="L27" s="15"/>
      <c r="M27" s="14"/>
      <c r="N27" s="14"/>
      <c r="O27" s="17"/>
      <c r="P27" s="17"/>
      <c r="Q27" s="18">
        <v>44830</v>
      </c>
    </row>
    <row r="28" spans="2:17" s="3" customFormat="1" ht="19.7" customHeight="1" x14ac:dyDescent="0.15">
      <c r="B28" s="14">
        <v>4</v>
      </c>
      <c r="C28" s="14" t="s">
        <v>24</v>
      </c>
      <c r="D28" s="14" t="s">
        <v>24</v>
      </c>
      <c r="E28" s="23" t="s">
        <v>56</v>
      </c>
      <c r="F28" s="23">
        <v>1</v>
      </c>
      <c r="G28" s="23">
        <v>148</v>
      </c>
      <c r="H28" s="42">
        <f>F28*G28</f>
        <v>148</v>
      </c>
      <c r="I28" s="21"/>
      <c r="J28" s="23" t="s">
        <v>66</v>
      </c>
      <c r="K28" s="15" t="s">
        <v>30</v>
      </c>
      <c r="L28" s="15"/>
      <c r="M28" s="14"/>
      <c r="N28" s="17"/>
      <c r="O28" s="17"/>
      <c r="P28" s="17"/>
      <c r="Q28" s="18">
        <v>44830</v>
      </c>
    </row>
    <row r="29" spans="2:17" s="3" customFormat="1" ht="19.7" customHeight="1" x14ac:dyDescent="0.15">
      <c r="B29" s="14">
        <v>4</v>
      </c>
      <c r="C29" s="14" t="s">
        <v>24</v>
      </c>
      <c r="D29" s="14" t="s">
        <v>24</v>
      </c>
      <c r="E29" s="23" t="s">
        <v>57</v>
      </c>
      <c r="F29" s="23">
        <v>1</v>
      </c>
      <c r="G29" s="23">
        <v>568</v>
      </c>
      <c r="H29" s="42">
        <f>F29*G29</f>
        <v>568</v>
      </c>
      <c r="I29" s="21"/>
      <c r="J29" s="23" t="s">
        <v>58</v>
      </c>
      <c r="K29" s="15" t="s">
        <v>30</v>
      </c>
      <c r="L29" s="15"/>
      <c r="M29" s="14"/>
      <c r="N29" s="17"/>
      <c r="O29" s="17"/>
      <c r="P29" s="17"/>
      <c r="Q29" s="18">
        <v>44830</v>
      </c>
    </row>
    <row r="30" spans="2:17" s="3" customFormat="1" ht="19.7" customHeight="1" x14ac:dyDescent="0.15">
      <c r="B30" s="14">
        <v>4</v>
      </c>
      <c r="C30" s="14" t="s">
        <v>24</v>
      </c>
      <c r="D30" s="14" t="s">
        <v>24</v>
      </c>
      <c r="E30" s="23" t="s">
        <v>59</v>
      </c>
      <c r="F30" s="23">
        <v>1</v>
      </c>
      <c r="G30" s="23">
        <v>578</v>
      </c>
      <c r="H30" s="42">
        <f t="shared" ref="H30" si="3">F30*G30</f>
        <v>578</v>
      </c>
      <c r="I30" s="21"/>
      <c r="J30" s="23" t="s">
        <v>58</v>
      </c>
      <c r="K30" s="15" t="s">
        <v>30</v>
      </c>
      <c r="L30" s="14"/>
      <c r="M30" s="14"/>
      <c r="N30" s="14"/>
      <c r="O30" s="43"/>
      <c r="P30" s="17"/>
      <c r="Q30" s="18">
        <v>44830</v>
      </c>
    </row>
    <row r="31" spans="2:17" s="3" customFormat="1" ht="19.7" customHeight="1" x14ac:dyDescent="0.15">
      <c r="B31" s="14">
        <v>16</v>
      </c>
      <c r="C31" s="20" t="s">
        <v>24</v>
      </c>
      <c r="D31" s="20" t="s">
        <v>24</v>
      </c>
      <c r="E31" s="23" t="s">
        <v>31</v>
      </c>
      <c r="F31" s="23">
        <v>1</v>
      </c>
      <c r="G31" s="23">
        <v>0</v>
      </c>
      <c r="H31" s="29">
        <f t="shared" ref="H31" si="4">G31*F31</f>
        <v>0</v>
      </c>
      <c r="I31" s="21"/>
      <c r="J31" s="23"/>
      <c r="K31" s="15" t="s">
        <v>29</v>
      </c>
      <c r="L31" s="15"/>
      <c r="M31" s="17"/>
      <c r="N31" s="14"/>
      <c r="O31" s="15"/>
      <c r="P31" s="17"/>
      <c r="Q31" s="18"/>
    </row>
    <row r="32" spans="2:17" s="57" customFormat="1" ht="19.5" customHeight="1" x14ac:dyDescent="0.15">
      <c r="B32" s="48">
        <v>3</v>
      </c>
      <c r="C32" s="49" t="s">
        <v>24</v>
      </c>
      <c r="D32" s="49" t="s">
        <v>24</v>
      </c>
      <c r="E32" s="50" t="s">
        <v>70</v>
      </c>
      <c r="F32" s="50">
        <v>1</v>
      </c>
      <c r="G32" s="50">
        <v>568</v>
      </c>
      <c r="H32" s="51">
        <f t="shared" si="2"/>
        <v>568</v>
      </c>
      <c r="I32" s="52"/>
      <c r="J32" s="50" t="s">
        <v>71</v>
      </c>
      <c r="K32" s="53" t="s">
        <v>30</v>
      </c>
      <c r="L32" s="53"/>
      <c r="M32" s="54">
        <v>44825</v>
      </c>
      <c r="N32" s="50"/>
      <c r="O32" s="52"/>
      <c r="P32" s="55">
        <v>44826</v>
      </c>
      <c r="Q32" s="56">
        <v>44826</v>
      </c>
    </row>
    <row r="33" spans="2:17" s="57" customFormat="1" ht="19.5" customHeight="1" x14ac:dyDescent="0.15">
      <c r="B33" s="58">
        <v>16</v>
      </c>
      <c r="C33" s="49" t="s">
        <v>24</v>
      </c>
      <c r="D33" s="49" t="s">
        <v>24</v>
      </c>
      <c r="E33" s="50" t="s">
        <v>72</v>
      </c>
      <c r="F33" s="50">
        <v>1</v>
      </c>
      <c r="G33" s="50">
        <v>840</v>
      </c>
      <c r="H33" s="51">
        <f t="shared" si="2"/>
        <v>840</v>
      </c>
      <c r="I33" s="52"/>
      <c r="J33" s="50" t="s">
        <v>74</v>
      </c>
      <c r="K33" s="53" t="s">
        <v>30</v>
      </c>
      <c r="L33" s="53"/>
      <c r="M33" s="54">
        <v>44833</v>
      </c>
      <c r="N33" s="50"/>
      <c r="O33" s="52"/>
      <c r="P33" s="55">
        <v>44837</v>
      </c>
      <c r="Q33" s="56">
        <v>44837</v>
      </c>
    </row>
    <row r="34" spans="2:17" s="57" customFormat="1" ht="19.5" customHeight="1" x14ac:dyDescent="0.15">
      <c r="B34" s="58">
        <v>16</v>
      </c>
      <c r="C34" s="49" t="s">
        <v>24</v>
      </c>
      <c r="D34" s="49" t="s">
        <v>24</v>
      </c>
      <c r="E34" s="50" t="s">
        <v>73</v>
      </c>
      <c r="F34" s="50">
        <v>1</v>
      </c>
      <c r="G34" s="50">
        <v>840</v>
      </c>
      <c r="H34" s="51">
        <f t="shared" si="2"/>
        <v>840</v>
      </c>
      <c r="I34" s="52"/>
      <c r="J34" s="50" t="s">
        <v>74</v>
      </c>
      <c r="K34" s="53" t="s">
        <v>30</v>
      </c>
      <c r="L34" s="53"/>
      <c r="M34" s="54">
        <v>44833</v>
      </c>
      <c r="N34" s="50"/>
      <c r="O34" s="52"/>
      <c r="P34" s="55">
        <v>44837</v>
      </c>
      <c r="Q34" s="56">
        <v>44837</v>
      </c>
    </row>
    <row r="35" spans="2:17" s="57" customFormat="1" ht="19.5" customHeight="1" x14ac:dyDescent="0.15">
      <c r="B35" s="58">
        <v>16</v>
      </c>
      <c r="C35" s="49" t="s">
        <v>24</v>
      </c>
      <c r="D35" s="49" t="s">
        <v>24</v>
      </c>
      <c r="E35" s="50" t="s">
        <v>75</v>
      </c>
      <c r="F35" s="50">
        <v>1</v>
      </c>
      <c r="G35" s="50">
        <v>2967</v>
      </c>
      <c r="H35" s="51">
        <f t="shared" si="2"/>
        <v>2967</v>
      </c>
      <c r="I35" s="52"/>
      <c r="J35" s="50" t="s">
        <v>77</v>
      </c>
      <c r="K35" s="53" t="s">
        <v>30</v>
      </c>
      <c r="L35" s="53"/>
      <c r="M35" s="54">
        <v>44834</v>
      </c>
      <c r="N35" s="50"/>
      <c r="O35" s="52"/>
      <c r="P35" s="55">
        <v>44837</v>
      </c>
      <c r="Q35" s="56">
        <v>44837</v>
      </c>
    </row>
    <row r="36" spans="2:17" s="57" customFormat="1" ht="19.5" customHeight="1" x14ac:dyDescent="0.15">
      <c r="B36" s="58">
        <v>16</v>
      </c>
      <c r="C36" s="49" t="s">
        <v>24</v>
      </c>
      <c r="D36" s="49" t="s">
        <v>24</v>
      </c>
      <c r="E36" s="50" t="s">
        <v>76</v>
      </c>
      <c r="F36" s="50">
        <v>1</v>
      </c>
      <c r="G36" s="50">
        <v>15001</v>
      </c>
      <c r="H36" s="51">
        <f t="shared" si="2"/>
        <v>15001</v>
      </c>
      <c r="I36" s="52"/>
      <c r="J36" s="50" t="s">
        <v>78</v>
      </c>
      <c r="K36" s="53" t="s">
        <v>30</v>
      </c>
      <c r="L36" s="53"/>
      <c r="M36" s="54">
        <v>44834</v>
      </c>
      <c r="N36" s="50"/>
      <c r="O36" s="52"/>
      <c r="P36" s="55">
        <v>44837</v>
      </c>
      <c r="Q36" s="56">
        <v>44837</v>
      </c>
    </row>
    <row r="37" spans="2:17" ht="19.5" customHeight="1" x14ac:dyDescent="0.15">
      <c r="B37" s="14">
        <v>16</v>
      </c>
      <c r="C37" s="20" t="s">
        <v>24</v>
      </c>
      <c r="D37" s="20" t="s">
        <v>24</v>
      </c>
      <c r="E37" s="23" t="s">
        <v>79</v>
      </c>
      <c r="F37" s="23">
        <v>1</v>
      </c>
      <c r="G37" s="23">
        <v>1026</v>
      </c>
      <c r="H37" s="29">
        <f>G37*F37</f>
        <v>1026</v>
      </c>
      <c r="I37" s="24"/>
      <c r="J37" s="23" t="s">
        <v>80</v>
      </c>
      <c r="K37" s="15" t="s">
        <v>30</v>
      </c>
      <c r="L37" s="15"/>
      <c r="M37" s="17">
        <v>44838</v>
      </c>
      <c r="N37" s="23"/>
      <c r="O37" s="24"/>
      <c r="P37" s="25"/>
      <c r="Q37" s="18">
        <v>44839</v>
      </c>
    </row>
    <row r="38" spans="2:17" ht="19.5" customHeight="1" x14ac:dyDescent="0.15">
      <c r="B38" s="14">
        <v>16</v>
      </c>
      <c r="C38" s="20" t="s">
        <v>24</v>
      </c>
      <c r="D38" s="20" t="s">
        <v>24</v>
      </c>
      <c r="E38" s="23" t="s">
        <v>81</v>
      </c>
      <c r="F38" s="23">
        <v>1</v>
      </c>
      <c r="G38" s="23">
        <v>768</v>
      </c>
      <c r="H38" s="29">
        <f t="shared" ref="H38:H39" si="5">G38*F38</f>
        <v>768</v>
      </c>
      <c r="I38" s="24"/>
      <c r="J38" s="23" t="s">
        <v>80</v>
      </c>
      <c r="K38" s="15" t="s">
        <v>30</v>
      </c>
      <c r="L38" s="15"/>
      <c r="M38" s="17">
        <v>44839</v>
      </c>
      <c r="N38" s="23"/>
      <c r="O38" s="24"/>
      <c r="P38" s="25"/>
      <c r="Q38" s="18"/>
    </row>
    <row r="39" spans="2:17" ht="19.5" customHeight="1" x14ac:dyDescent="0.15">
      <c r="B39" s="14">
        <v>16</v>
      </c>
      <c r="C39" s="20" t="s">
        <v>24</v>
      </c>
      <c r="D39" s="20" t="s">
        <v>24</v>
      </c>
      <c r="E39" s="23" t="s">
        <v>69</v>
      </c>
      <c r="F39" s="23">
        <v>1</v>
      </c>
      <c r="G39" s="23">
        <v>450</v>
      </c>
      <c r="H39" s="29">
        <f t="shared" si="5"/>
        <v>450</v>
      </c>
      <c r="I39" s="24"/>
      <c r="J39" s="23" t="s">
        <v>69</v>
      </c>
      <c r="K39" s="15" t="s">
        <v>30</v>
      </c>
      <c r="L39" s="15"/>
      <c r="M39" s="17"/>
      <c r="N39" s="23"/>
      <c r="O39" s="24"/>
      <c r="P39" s="25"/>
      <c r="Q39" s="18"/>
    </row>
    <row r="40" spans="2:17" s="57" customFormat="1" ht="19.5" customHeight="1" x14ac:dyDescent="0.15">
      <c r="B40" s="59"/>
      <c r="C40" s="49" t="s">
        <v>25</v>
      </c>
      <c r="D40" s="49" t="s">
        <v>25</v>
      </c>
      <c r="E40" s="60" t="s">
        <v>26</v>
      </c>
      <c r="F40" s="50">
        <v>30</v>
      </c>
      <c r="G40" s="51">
        <v>5000</v>
      </c>
      <c r="H40" s="51">
        <f>G40*F40</f>
        <v>150000</v>
      </c>
      <c r="I40" s="52"/>
      <c r="J40" s="50"/>
      <c r="K40" s="53"/>
      <c r="L40" s="53"/>
      <c r="M40" s="54"/>
      <c r="N40" s="50"/>
      <c r="O40" s="52"/>
      <c r="P40" s="55"/>
      <c r="Q40" s="56"/>
    </row>
    <row r="41" spans="2:17" ht="19.5" customHeight="1" x14ac:dyDescent="0.15">
      <c r="B41" s="44"/>
      <c r="C41" s="20" t="s">
        <v>25</v>
      </c>
      <c r="D41" s="20" t="s">
        <v>25</v>
      </c>
      <c r="E41" s="22" t="s">
        <v>27</v>
      </c>
      <c r="F41" s="23">
        <v>20</v>
      </c>
      <c r="G41" s="29">
        <v>5000</v>
      </c>
      <c r="H41" s="29">
        <f>G41*F41</f>
        <v>100000</v>
      </c>
      <c r="I41" s="24"/>
      <c r="J41" s="23"/>
      <c r="K41" s="15"/>
      <c r="L41" s="15"/>
      <c r="M41" s="17"/>
      <c r="N41" s="23"/>
      <c r="O41" s="24"/>
      <c r="P41" s="25"/>
      <c r="Q41" s="18"/>
    </row>
    <row r="42" spans="2:17" s="57" customFormat="1" ht="19.5" customHeight="1" x14ac:dyDescent="0.15">
      <c r="B42" s="58">
        <v>16</v>
      </c>
      <c r="C42" s="49" t="s">
        <v>24</v>
      </c>
      <c r="D42" s="49" t="s">
        <v>24</v>
      </c>
      <c r="E42" s="50" t="s">
        <v>82</v>
      </c>
      <c r="F42" s="50">
        <v>1</v>
      </c>
      <c r="G42" s="50">
        <v>840</v>
      </c>
      <c r="H42" s="51">
        <f t="shared" ref="H42:H43" si="6">G42*F42</f>
        <v>840</v>
      </c>
      <c r="I42" s="52"/>
      <c r="J42" s="50" t="s">
        <v>74</v>
      </c>
      <c r="K42" s="53" t="s">
        <v>30</v>
      </c>
      <c r="L42" s="53"/>
      <c r="M42" s="54">
        <v>44845</v>
      </c>
      <c r="N42" s="50"/>
      <c r="O42" s="52"/>
      <c r="P42" s="55">
        <v>44848</v>
      </c>
      <c r="Q42" s="56"/>
    </row>
    <row r="43" spans="2:17" s="57" customFormat="1" ht="19.5" customHeight="1" x14ac:dyDescent="0.15">
      <c r="B43" s="58">
        <v>16</v>
      </c>
      <c r="C43" s="49" t="s">
        <v>24</v>
      </c>
      <c r="D43" s="49" t="s">
        <v>24</v>
      </c>
      <c r="E43" s="50" t="s">
        <v>83</v>
      </c>
      <c r="F43" s="50">
        <v>1</v>
      </c>
      <c r="G43" s="50">
        <v>840</v>
      </c>
      <c r="H43" s="51">
        <f t="shared" si="6"/>
        <v>840</v>
      </c>
      <c r="I43" s="52"/>
      <c r="J43" s="50" t="s">
        <v>74</v>
      </c>
      <c r="K43" s="53" t="s">
        <v>30</v>
      </c>
      <c r="L43" s="53"/>
      <c r="M43" s="54">
        <v>44845</v>
      </c>
      <c r="N43" s="50"/>
      <c r="O43" s="52"/>
      <c r="P43" s="55">
        <v>44848</v>
      </c>
      <c r="Q43" s="56"/>
    </row>
    <row r="44" spans="2:17" s="75" customFormat="1" ht="19.5" customHeight="1" x14ac:dyDescent="0.15">
      <c r="B44" s="66">
        <v>16</v>
      </c>
      <c r="C44" s="67" t="s">
        <v>24</v>
      </c>
      <c r="D44" s="67" t="s">
        <v>24</v>
      </c>
      <c r="E44" s="68" t="s">
        <v>86</v>
      </c>
      <c r="F44" s="68">
        <v>1</v>
      </c>
      <c r="G44" s="68">
        <v>16865</v>
      </c>
      <c r="H44" s="69">
        <f t="shared" ref="H44:H45" si="7">G44*F44</f>
        <v>16865</v>
      </c>
      <c r="I44" s="70"/>
      <c r="J44" s="68" t="s">
        <v>84</v>
      </c>
      <c r="K44" s="71" t="s">
        <v>30</v>
      </c>
      <c r="L44" s="71"/>
      <c r="M44" s="72">
        <v>44846</v>
      </c>
      <c r="N44" s="68"/>
      <c r="O44" s="70"/>
      <c r="P44" s="73">
        <v>44856</v>
      </c>
      <c r="Q44" s="74"/>
    </row>
    <row r="45" spans="2:17" s="75" customFormat="1" ht="19.5" customHeight="1" x14ac:dyDescent="0.15">
      <c r="B45" s="66">
        <v>16</v>
      </c>
      <c r="C45" s="67" t="s">
        <v>24</v>
      </c>
      <c r="D45" s="67" t="s">
        <v>24</v>
      </c>
      <c r="E45" s="68" t="s">
        <v>87</v>
      </c>
      <c r="F45" s="68">
        <v>1</v>
      </c>
      <c r="G45" s="68">
        <v>13082</v>
      </c>
      <c r="H45" s="69">
        <f t="shared" si="7"/>
        <v>13082</v>
      </c>
      <c r="I45" s="70"/>
      <c r="J45" s="68" t="s">
        <v>85</v>
      </c>
      <c r="K45" s="71" t="s">
        <v>30</v>
      </c>
      <c r="L45" s="71"/>
      <c r="M45" s="72">
        <v>44846</v>
      </c>
      <c r="N45" s="68"/>
      <c r="O45" s="70"/>
      <c r="P45" s="73">
        <v>44856</v>
      </c>
      <c r="Q45" s="74"/>
    </row>
    <row r="52" spans="11:11" x14ac:dyDescent="0.15">
      <c r="K52" t="s">
        <v>22</v>
      </c>
    </row>
  </sheetData>
  <autoFilter ref="B9:O31" xr:uid="{00000000-0009-0000-0000-000000000000}">
    <sortState xmlns:xlrd2="http://schemas.microsoft.com/office/spreadsheetml/2017/richdata2" ref="B10:O31">
      <sortCondition ref="D9:D31"/>
    </sortState>
  </autoFilter>
  <sortState xmlns:xlrd2="http://schemas.microsoft.com/office/spreadsheetml/2017/richdata2" ref="E17:F31">
    <sortCondition ref="E17:E31"/>
  </sortState>
  <mergeCells count="6">
    <mergeCell ref="B6:D6"/>
    <mergeCell ref="G2:I2"/>
    <mergeCell ref="B2:D2"/>
    <mergeCell ref="B3:D3"/>
    <mergeCell ref="B4:D4"/>
    <mergeCell ref="B5:D5"/>
  </mergeCells>
  <phoneticPr fontId="1"/>
  <dataValidations count="1">
    <dataValidation imeMode="hiragana" allowBlank="1" showInputMessage="1" showErrorMessage="1" sqref="J27 JF27 TB27 ACX27 AMT27 AWP27 BGL27 BQH27 CAD27 CJZ27 CTV27 DDR27 DNN27 DXJ27 EHF27 ERB27 FAX27 FKT27 FUP27 GEL27 GOH27 GYD27 HHZ27 HRV27 IBR27 ILN27 IVJ27 JFF27 JPB27 JYX27 KIT27 KSP27 LCL27 LMH27 LWD27 MFZ27 MPV27 MZR27 NJN27 NTJ27 ODF27 ONB27 OWX27 PGT27 PQP27 QAL27 QKH27 QUD27 RDZ27 RNV27 RXR27 SHN27 SRJ27 TBF27 TLB27 TUX27 UET27 UOP27 UYL27 VIH27 VSD27 WBZ27 WLV27 WVR27" xr:uid="{379DE34B-2D9C-4F1A-B032-BE3678935203}"/>
  </dataValidations>
  <pageMargins left="0.2" right="0.2" top="0.36" bottom="0.41" header="0.3" footer="0.3"/>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561DF-EDB1-4FF5-93DE-60E9BF36D44A}">
  <dimension ref="A1:B5"/>
  <sheetViews>
    <sheetView view="pageBreakPreview" zoomScale="60" zoomScaleNormal="100" workbookViewId="0">
      <selection activeCell="A2" sqref="A1:XFD1048576"/>
    </sheetView>
  </sheetViews>
  <sheetFormatPr defaultRowHeight="13.5" x14ac:dyDescent="0.15"/>
  <cols>
    <col min="1" max="1" width="13.25" bestFit="1" customWidth="1"/>
    <col min="2" max="2" width="22.125" bestFit="1" customWidth="1"/>
  </cols>
  <sheetData>
    <row r="1" spans="1:2" ht="17.25" x14ac:dyDescent="0.15">
      <c r="A1" s="61" t="s">
        <v>11</v>
      </c>
      <c r="B1" s="1" t="s">
        <v>32</v>
      </c>
    </row>
    <row r="2" spans="1:2" ht="17.25" x14ac:dyDescent="0.15">
      <c r="A2" s="61" t="s">
        <v>10</v>
      </c>
      <c r="B2" s="8" t="s">
        <v>23</v>
      </c>
    </row>
    <row r="3" spans="1:2" ht="17.25" x14ac:dyDescent="0.15">
      <c r="A3" s="61" t="s">
        <v>12</v>
      </c>
      <c r="B3" s="8">
        <v>199437</v>
      </c>
    </row>
    <row r="4" spans="1:2" ht="17.25" x14ac:dyDescent="0.15">
      <c r="A4" s="61" t="s">
        <v>13</v>
      </c>
      <c r="B4" s="10">
        <v>44827</v>
      </c>
    </row>
    <row r="5" spans="1:2" ht="17.25" x14ac:dyDescent="0.15">
      <c r="A5" s="61" t="s">
        <v>14</v>
      </c>
      <c r="B5" s="10"/>
    </row>
  </sheetData>
  <phoneticPr fontId="6"/>
  <printOptions horizontalCentered="1" verticalCentered="1"/>
  <pageMargins left="0.70866141732283472" right="0.70866141732283472" top="0.74803149606299213" bottom="0.74803149606299213" header="0.31496062992125984" footer="0.31496062992125984"/>
  <pageSetup paperSize="9" scale="37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1D741-F4F3-4BF4-8D3A-601D204604BB}">
  <dimension ref="A1"/>
  <sheetViews>
    <sheetView workbookViewId="0"/>
  </sheetViews>
  <sheetFormatPr defaultRowHeight="13.5" x14ac:dyDescent="0.15"/>
  <sheetData/>
  <phoneticPr fontId="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原価表</vt:lpstr>
      <vt:lpstr>Sheet1</vt:lpstr>
      <vt:lpstr>300角ﾜｰｸｼﾞｸﾞ</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SATOH</dc:creator>
  <cp:lastModifiedBy>佐藤マネジャー</cp:lastModifiedBy>
  <cp:lastPrinted>2022-10-04T08:35:24Z</cp:lastPrinted>
  <dcterms:created xsi:type="dcterms:W3CDTF">2011-12-13T06:48:43Z</dcterms:created>
  <dcterms:modified xsi:type="dcterms:W3CDTF">2022-10-12T06:51:50Z</dcterms:modified>
</cp:coreProperties>
</file>