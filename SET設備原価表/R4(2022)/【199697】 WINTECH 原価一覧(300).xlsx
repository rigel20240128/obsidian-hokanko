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A7F3B5D-5A98-4FF8-89D2-55F99FE9D7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6" r:id="rId2"/>
    <sheet name="300角ﾜｰｸｼﾞｸﾞ" sheetId="5" r:id="rId3"/>
  </sheets>
  <definedNames>
    <definedName name="_xlnm._FilterDatabase" localSheetId="0" hidden="1">原価表!$B$9:$O$45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7" i="1" l="1"/>
  <c r="H13" i="1"/>
  <c r="H12" i="1"/>
  <c r="H22" i="1"/>
  <c r="H27" i="1"/>
  <c r="H43" i="1"/>
  <c r="H42" i="1"/>
  <c r="H39" i="1"/>
  <c r="H40" i="1"/>
  <c r="H41" i="1"/>
  <c r="H45" i="1"/>
  <c r="H15" i="1"/>
  <c r="H16" i="1"/>
  <c r="H17" i="1"/>
  <c r="H18" i="1"/>
  <c r="H19" i="1"/>
  <c r="H20" i="1"/>
  <c r="H21" i="1"/>
  <c r="H23" i="1"/>
  <c r="H24" i="1"/>
  <c r="H25" i="1"/>
  <c r="H26" i="1"/>
  <c r="H28" i="1"/>
  <c r="H29" i="1"/>
  <c r="H30" i="1"/>
  <c r="H31" i="1"/>
  <c r="H32" i="1"/>
  <c r="H33" i="1"/>
  <c r="H34" i="1"/>
  <c r="H35" i="1"/>
  <c r="H36" i="1"/>
  <c r="H37" i="1"/>
  <c r="H38" i="1"/>
  <c r="H14" i="1"/>
  <c r="J2" i="1" l="1"/>
</calcChain>
</file>

<file path=xl/sharedStrings.xml><?xml version="1.0" encoding="utf-8"?>
<sst xmlns="http://schemas.openxmlformats.org/spreadsheetml/2006/main" count="202" uniqueCount="98">
  <si>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</si>
  <si>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</si>
  <si>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</si>
  <si>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</si>
  <si>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</si>
  <si>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</si>
  <si>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</si>
  <si>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</si>
  <si>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</si>
  <si>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</si>
  <si>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</si>
  <si>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</si>
  <si>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</si>
  <si>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</si>
  <si>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</si>
  <si>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</si>
  <si>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</si>
  <si>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</si>
  <si>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</si>
  <si>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</si>
  <si>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</si>
  <si>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</si>
  <si>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SP</t>
    <phoneticPr fontId="1"/>
  </si>
  <si>
    <t>冨沢</t>
    <rPh sb="0" eb="2">
      <t>トミザワ</t>
    </rPh>
    <phoneticPr fontId="1"/>
  </si>
  <si>
    <t>WINTECH</t>
    <phoneticPr fontId="1"/>
  </si>
  <si>
    <t>■SETA0105-Y01(ﾂｰﾙｼﾞｸﾞ)</t>
  </si>
  <si>
    <t>■SETA0105-Y03(ｶｰﾄﾘｯｼﾞﾎﾙﾀﾞ)</t>
  </si>
  <si>
    <t>■SETA0105-X01(ﾜｰｸｼﾞｸﾞﾍﾞｰｽ)</t>
  </si>
  <si>
    <t>■SETA0105-Z01(ｶｳﾝﾀｰﾊﾟﾈﾙ)</t>
  </si>
  <si>
    <t>MVBLK-AMW-35F-6AC74</t>
  </si>
  <si>
    <t>MVBLK-AMW-35F-1EFET</t>
  </si>
  <si>
    <t>MVSHM-3N02050-35F-EKU74</t>
  </si>
  <si>
    <t>SKTGLK8-2</t>
  </si>
  <si>
    <t>ZSG50</t>
  </si>
  <si>
    <t>PR-FB15N3</t>
  </si>
  <si>
    <t>WGLNC-17-8-10</t>
  </si>
  <si>
    <t>MISUMI</t>
    <phoneticPr fontId="1"/>
  </si>
  <si>
    <t>KEYENCE</t>
    <phoneticPr fontId="1"/>
  </si>
  <si>
    <t>■SETA0105-Y02(ﾊﾞﾙﾌﾞﾎﾙﾀﾞ)</t>
    <phoneticPr fontId="1"/>
  </si>
  <si>
    <t>HHPSNC6-SST</t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</si>
  <si>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</si>
  <si>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</si>
  <si>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</si>
  <si>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ｶｳﾝﾀｰ(8桁)</t>
    <rPh sb="7" eb="8">
      <t>ケタ</t>
    </rPh>
    <phoneticPr fontId="1"/>
  </si>
  <si>
    <t>JANOME</t>
    <phoneticPr fontId="1"/>
  </si>
  <si>
    <t>■SETA0105-Z03(ｶｯﾌﾟｶﾞｲﾄﾞ)</t>
    <phoneticPr fontId="1"/>
  </si>
  <si>
    <t>NCLSS3-5-10.0</t>
  </si>
  <si>
    <t>■SETA0105-Z02(ｶｯﾌﾟﾌﾟﾚｰﾄ)</t>
  </si>
  <si>
    <t>MVSHM-3N02058-35H-2Y2XZ</t>
  </si>
  <si>
    <t>MWS-DS37A-HT37</t>
  </si>
  <si>
    <t>TKR-TWE1</t>
  </si>
  <si>
    <t>ESAW-TCM310-5P</t>
  </si>
  <si>
    <t>在庫品</t>
    <rPh sb="0" eb="3">
      <t>ザイコヒン</t>
    </rPh>
    <phoneticPr fontId="1"/>
  </si>
  <si>
    <t>DE-C8-J9-B5-1R</t>
  </si>
  <si>
    <t>CONNECT</t>
    <phoneticPr fontId="1"/>
  </si>
  <si>
    <t>MVBLK-AMW-35M-F6BW8</t>
  </si>
  <si>
    <t>MVSHM-3N02002-35N-FFY49</t>
  </si>
  <si>
    <t>■SETA0105-X02(ﾍﾞｱﾌﾟﾚｰﾄ)</t>
    <phoneticPr fontId="1"/>
  </si>
  <si>
    <t>MVBLK-AMW-35P-N7L69</t>
  </si>
  <si>
    <t>MVSHM-3N01000-35P-4K1BS</t>
  </si>
  <si>
    <t>SKTGK8-1</t>
  </si>
  <si>
    <t>Web発注済</t>
    <rPh sb="3" eb="6">
      <t>ハッチュウスミ</t>
    </rPh>
    <phoneticPr fontId="1"/>
  </si>
  <si>
    <t>発注願います。</t>
    <rPh sb="0" eb="3">
      <t>ハッチュウネガ</t>
    </rPh>
    <phoneticPr fontId="1"/>
  </si>
  <si>
    <t>BVHV6-1-3-A</t>
  </si>
  <si>
    <t>ｱﾙﾐﾁｮｳﾊﾞﾝ HHPSNC</t>
  </si>
  <si>
    <t>Zｽﾃｰｼﾞ ZSG</t>
  </si>
  <si>
    <t>ｽﾃﾝﾚｽｶﾝﾂｷﾞﾃ (SKTGLK)</t>
  </si>
  <si>
    <t>ｽﾃﾝﾚｽｶﾝﾂｷﾞﾃ (SKTGK)</t>
  </si>
  <si>
    <t>ﾊﾝﾄﾞﾊﾞﾙﾌﾞ (BVHV)</t>
  </si>
  <si>
    <t>MHPUS102-19-23-S</t>
  </si>
  <si>
    <t>CHNS4</t>
  </si>
  <si>
    <t>H7EC-NV</t>
  </si>
  <si>
    <t>DEU-9PF-F0</t>
  </si>
  <si>
    <t>NEDJL-PS-SB-37-1</t>
  </si>
  <si>
    <t>ｷﾝｿﾞｸｶﾗｰ NCLSS</t>
  </si>
  <si>
    <t>ﾁｮｳﾅｯﾄ</t>
  </si>
  <si>
    <t>ｱｸｾｻﾘｰ ﾌﾟﾘﾝﾄｷﾊﾞﾝTKRｼﾘｰｽﾞ</t>
  </si>
  <si>
    <t>DSUBﾊｰﾈｽ</t>
  </si>
  <si>
    <t>ﾈｼﾞﾍﾝｶﾝｼｷﾀﾝｼﾀﾞｲ</t>
  </si>
  <si>
    <t>ｹｰﾌﾞﾙｷｬﾘｱ (MHPUF)</t>
  </si>
  <si>
    <t>ﾜｰｸｶﾞｲﾄﾞ(WGLNC)</t>
  </si>
  <si>
    <t>ｺﾈｸﾀ</t>
  </si>
  <si>
    <t>D SUB､D02､D02-M15 ｼﾘｰｽﾞ</t>
  </si>
  <si>
    <t>在荷ｾﾝｻｰ</t>
    <rPh sb="0" eb="2">
      <t>ザイカ</t>
    </rPh>
    <phoneticPr fontId="1"/>
  </si>
  <si>
    <t>DNR274-1000</t>
    <phoneticPr fontId="1"/>
  </si>
  <si>
    <t>DINﾚｰﾙ</t>
    <phoneticPr fontId="1"/>
  </si>
  <si>
    <t>MVSHM-3N02052-35M-C5LTX</t>
  </si>
  <si>
    <t>CSHSM-ST-M5-6</t>
  </si>
  <si>
    <t>FASTENING</t>
  </si>
  <si>
    <t>JR3303-SET02</t>
    <phoneticPr fontId="1"/>
  </si>
  <si>
    <t>JR3-TB2</t>
    <phoneticPr fontId="1"/>
  </si>
  <si>
    <t>JR3-Cpts2</t>
    <phoneticPr fontId="1"/>
  </si>
  <si>
    <t>ティーチングペンダント</t>
    <phoneticPr fontId="1"/>
  </si>
  <si>
    <t>編集ソフト</t>
    <rPh sb="0" eb="2">
      <t>ヘンシュウ</t>
    </rPh>
    <phoneticPr fontId="1"/>
  </si>
  <si>
    <t>送料</t>
    <rPh sb="0" eb="2">
      <t>ソウリョウ</t>
    </rPh>
    <phoneticPr fontId="1"/>
  </si>
  <si>
    <t>NWGMC6-STN-SUMB-GY-3</t>
  </si>
  <si>
    <t>LAN ｱｯｾﾝﾌﾞﾙ ｹ-ﾌﾞﾙ</t>
  </si>
  <si>
    <t>9/26出荷管理課へ</t>
    <rPh sb="4" eb="6">
      <t>シュッカ</t>
    </rPh>
    <rPh sb="6" eb="9">
      <t>カンリカ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</si>
</sst>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79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3" borderId="2" xfId="0" applyFont="1" applyFill="1" applyBorder="1" applyAlignment="1">
      <alignment horizontal="right" vertical="center"/>
    </xf>
    <xf numFmtId="176" fontId="5" fillId="3" borderId="2" xfId="0" applyNumberFormat="1" applyFont="1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9" fontId="8" fillId="3" borderId="2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9"/>
  <sheetViews>
    <sheetView tabSelected="1" zoomScale="85" zoomScaleNormal="85" workbookViewId="0">
      <pane xSplit="10" ySplit="9" topLeftCell="L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customWidth="1"/>
    <col min="2" max="2" width="20.125" style="3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28" bestFit="1" customWidth="1"/>
    <col min="9" max="9" width="5.75" style="5" customWidth="1"/>
    <col min="10" max="10" width="35.25" bestFit="1" customWidth="1"/>
    <col min="11" max="11" width="22.375" bestFit="1" customWidth="1"/>
    <col min="12" max="12" width="11" style="3" customWidth="1"/>
    <col min="13" max="13" width="13.75" style="4" customWidth="1"/>
    <col min="14" max="14" width="6.375" customWidth="1"/>
    <col min="15" max="15" width="13.25" style="5" customWidth="1"/>
    <col min="16" max="16" width="14.5" style="6" customWidth="1"/>
    <col min="17" max="17" width="15.625" style="7" customWidth="1"/>
  </cols>
  <sheetData>
    <row r="2" spans="2:17" ht="20.100000000000001" customHeight="1" x14ac:dyDescent="0.15">
      <c r="B2" s="68" t="s">
        <v>11</v>
      </c>
      <c r="C2" s="68"/>
      <c r="D2" s="68"/>
      <c r="E2" s="1" t="s">
        <v>24</v>
      </c>
      <c r="G2" s="69" t="s">
        <v>15</v>
      </c>
      <c r="H2" s="70"/>
      <c r="I2" s="71"/>
      <c r="J2" s="2">
        <f>SUM(H:H)</f>
        <v>456339</v>
      </c>
    </row>
    <row r="3" spans="2:17" ht="20.100000000000001" customHeight="1" x14ac:dyDescent="0.15">
      <c r="B3" s="68" t="s">
        <v>10</v>
      </c>
      <c r="C3" s="68"/>
      <c r="D3" s="68"/>
      <c r="E3" s="8" t="s">
        <v>23</v>
      </c>
    </row>
    <row r="4" spans="2:17" ht="20.100000000000001" customHeight="1" x14ac:dyDescent="0.15">
      <c r="B4" s="68" t="s">
        <v>12</v>
      </c>
      <c r="C4" s="68"/>
      <c r="D4" s="68"/>
      <c r="E4" s="8">
        <v>199697</v>
      </c>
      <c r="J4" s="9"/>
    </row>
    <row r="5" spans="2:17" ht="20.100000000000001" customHeight="1" x14ac:dyDescent="0.15">
      <c r="B5" s="68" t="s">
        <v>13</v>
      </c>
      <c r="C5" s="68"/>
      <c r="D5" s="68"/>
      <c r="E5" s="10"/>
      <c r="J5" s="9"/>
    </row>
    <row r="6" spans="2:17" ht="20.100000000000001" customHeight="1" x14ac:dyDescent="0.15">
      <c r="B6" s="68" t="s">
        <v>14</v>
      </c>
      <c r="C6" s="68"/>
      <c r="D6" s="68"/>
      <c r="E6" s="10"/>
      <c r="J6" s="9"/>
    </row>
    <row r="7" spans="2:17" ht="20.100000000000001" customHeight="1" x14ac:dyDescent="0.15">
      <c r="B7" s="11"/>
      <c r="C7" s="11"/>
      <c r="D7" s="11"/>
      <c r="E7" s="12"/>
      <c r="J7" s="9"/>
      <c r="L7" s="13"/>
    </row>
    <row r="9" spans="2:17" s="3" customFormat="1" ht="19.7" customHeight="1" x14ac:dyDescent="0.15">
      <c r="B9" s="14" t="s">
        <v>4</v>
      </c>
      <c r="C9" s="14" t="s">
        <v>9</v>
      </c>
      <c r="D9" s="14" t="s">
        <v>5</v>
      </c>
      <c r="E9" s="15" t="s">
        <v>8</v>
      </c>
      <c r="F9" s="15" t="s">
        <v>0</v>
      </c>
      <c r="G9" s="26" t="s">
        <v>1</v>
      </c>
      <c r="H9" s="27" t="s">
        <v>2</v>
      </c>
      <c r="I9" s="16" t="s">
        <v>18</v>
      </c>
      <c r="J9" s="15" t="s">
        <v>3</v>
      </c>
      <c r="K9" s="15" t="s">
        <v>17</v>
      </c>
      <c r="L9" s="15" t="s">
        <v>16</v>
      </c>
      <c r="M9" s="17" t="s">
        <v>6</v>
      </c>
      <c r="N9" s="14" t="s">
        <v>19</v>
      </c>
      <c r="O9" s="15" t="s">
        <v>7</v>
      </c>
      <c r="P9" s="17" t="s">
        <v>20</v>
      </c>
      <c r="Q9" s="18" t="s">
        <v>21</v>
      </c>
    </row>
    <row r="10" spans="2:17" s="3" customFormat="1" ht="19.7" customHeight="1" x14ac:dyDescent="0.15">
      <c r="B10" s="14">
        <v>1</v>
      </c>
      <c r="C10" s="31" t="s">
        <v>44</v>
      </c>
      <c r="D10" s="31" t="s">
        <v>44</v>
      </c>
      <c r="E10" s="33" t="s">
        <v>89</v>
      </c>
      <c r="F10" s="34">
        <v>1</v>
      </c>
      <c r="G10" s="35"/>
      <c r="H10" s="35"/>
      <c r="I10" s="36"/>
      <c r="J10" s="37"/>
      <c r="K10" s="32"/>
      <c r="L10" s="32"/>
      <c r="M10" s="38"/>
      <c r="N10" s="30"/>
      <c r="O10" s="32"/>
      <c r="P10" s="38"/>
      <c r="Q10" s="39"/>
    </row>
    <row r="11" spans="2:17" s="3" customFormat="1" ht="19.7" customHeight="1" x14ac:dyDescent="0.15">
      <c r="B11" s="14">
        <v>2</v>
      </c>
      <c r="C11" s="31" t="s">
        <v>44</v>
      </c>
      <c r="D11" s="31" t="s">
        <v>44</v>
      </c>
      <c r="E11" s="33" t="s">
        <v>90</v>
      </c>
      <c r="F11" s="34">
        <v>1</v>
      </c>
      <c r="G11" s="35"/>
      <c r="H11" s="35"/>
      <c r="I11" s="36"/>
      <c r="J11" s="37" t="s">
        <v>92</v>
      </c>
      <c r="K11" s="32"/>
      <c r="L11" s="32"/>
      <c r="M11" s="38"/>
      <c r="N11" s="30"/>
      <c r="O11" s="32"/>
      <c r="P11" s="38"/>
      <c r="Q11" s="39"/>
    </row>
    <row r="12" spans="2:17" s="56" customFormat="1" ht="19.7" customHeight="1" x14ac:dyDescent="0.15">
      <c r="B12" s="44">
        <v>3</v>
      </c>
      <c r="C12" s="45" t="s">
        <v>44</v>
      </c>
      <c r="D12" s="45" t="s">
        <v>44</v>
      </c>
      <c r="E12" s="46" t="s">
        <v>91</v>
      </c>
      <c r="F12" s="47">
        <v>1</v>
      </c>
      <c r="G12" s="48">
        <v>30000</v>
      </c>
      <c r="H12" s="49">
        <f t="shared" ref="H12:H13" si="0">G12*F12</f>
        <v>30000</v>
      </c>
      <c r="I12" s="50"/>
      <c r="J12" s="51" t="s">
        <v>93</v>
      </c>
      <c r="K12" s="52"/>
      <c r="L12" s="52"/>
      <c r="M12" s="53">
        <v>44820</v>
      </c>
      <c r="N12" s="54"/>
      <c r="O12" s="52"/>
      <c r="P12" s="57">
        <v>44830</v>
      </c>
      <c r="Q12" s="55" t="s">
        <v>97</v>
      </c>
    </row>
    <row r="13" spans="2:17" s="56" customFormat="1" ht="19.7" customHeight="1" x14ac:dyDescent="0.15">
      <c r="B13" s="44"/>
      <c r="C13" s="45" t="s">
        <v>44</v>
      </c>
      <c r="D13" s="45" t="s">
        <v>44</v>
      </c>
      <c r="E13" s="46" t="s">
        <v>94</v>
      </c>
      <c r="F13" s="47">
        <v>1</v>
      </c>
      <c r="G13" s="48">
        <v>1300</v>
      </c>
      <c r="H13" s="49">
        <f t="shared" si="0"/>
        <v>1300</v>
      </c>
      <c r="I13" s="50"/>
      <c r="J13" s="51"/>
      <c r="K13" s="52"/>
      <c r="L13" s="52"/>
      <c r="M13" s="53">
        <v>44820</v>
      </c>
      <c r="N13" s="54"/>
      <c r="O13" s="52"/>
      <c r="P13" s="53"/>
      <c r="Q13" s="55"/>
    </row>
    <row r="14" spans="2:17" s="3" customFormat="1" ht="19.7" customHeight="1" x14ac:dyDescent="0.15">
      <c r="B14" s="14">
        <v>6</v>
      </c>
      <c r="C14" s="20" t="s">
        <v>36</v>
      </c>
      <c r="D14" s="20" t="s">
        <v>36</v>
      </c>
      <c r="E14" s="23" t="s">
        <v>60</v>
      </c>
      <c r="F14" s="23">
        <v>1</v>
      </c>
      <c r="G14" s="23">
        <v>1040</v>
      </c>
      <c r="H14" s="29">
        <f>G14*F14</f>
        <v>1040</v>
      </c>
      <c r="I14" s="21"/>
      <c r="J14" s="23" t="s">
        <v>67</v>
      </c>
      <c r="K14" s="15" t="s">
        <v>61</v>
      </c>
      <c r="L14" s="14"/>
      <c r="M14" s="17"/>
      <c r="N14" s="14"/>
      <c r="O14" s="19"/>
      <c r="P14" s="17">
        <v>44815</v>
      </c>
      <c r="Q14" s="18">
        <v>44816</v>
      </c>
    </row>
    <row r="15" spans="2:17" s="3" customFormat="1" ht="19.7" customHeight="1" x14ac:dyDescent="0.15">
      <c r="B15" s="14">
        <v>6</v>
      </c>
      <c r="C15" s="20" t="s">
        <v>36</v>
      </c>
      <c r="D15" s="20" t="s">
        <v>36</v>
      </c>
      <c r="E15" s="23" t="s">
        <v>32</v>
      </c>
      <c r="F15" s="23">
        <v>1</v>
      </c>
      <c r="G15" s="23">
        <v>1930</v>
      </c>
      <c r="H15" s="29">
        <f t="shared" ref="H15:H45" si="1">G15*F15</f>
        <v>1930</v>
      </c>
      <c r="I15" s="21"/>
      <c r="J15" s="23" t="s">
        <v>66</v>
      </c>
      <c r="K15" s="15" t="s">
        <v>61</v>
      </c>
      <c r="L15" s="15"/>
      <c r="M15" s="17"/>
      <c r="N15" s="14"/>
      <c r="O15" s="15"/>
      <c r="P15" s="17">
        <v>44815</v>
      </c>
      <c r="Q15" s="18">
        <v>44816</v>
      </c>
    </row>
    <row r="16" spans="2:17" s="3" customFormat="1" ht="19.7" customHeight="1" x14ac:dyDescent="0.15">
      <c r="B16" s="14">
        <v>7</v>
      </c>
      <c r="C16" s="20" t="s">
        <v>36</v>
      </c>
      <c r="D16" s="20" t="s">
        <v>36</v>
      </c>
      <c r="E16" s="23" t="s">
        <v>33</v>
      </c>
      <c r="F16" s="23">
        <v>1</v>
      </c>
      <c r="G16" s="23">
        <v>23970</v>
      </c>
      <c r="H16" s="29">
        <f t="shared" si="1"/>
        <v>23970</v>
      </c>
      <c r="I16" s="21"/>
      <c r="J16" s="23" t="s">
        <v>65</v>
      </c>
      <c r="K16" s="15" t="s">
        <v>61</v>
      </c>
      <c r="L16" s="15"/>
      <c r="M16" s="17"/>
      <c r="N16" s="14"/>
      <c r="O16" s="15"/>
      <c r="P16" s="17">
        <v>44815</v>
      </c>
      <c r="Q16" s="18">
        <v>44816</v>
      </c>
    </row>
    <row r="17" spans="2:17" s="3" customFormat="1" ht="19.7" customHeight="1" x14ac:dyDescent="0.15">
      <c r="B17" s="14">
        <v>6</v>
      </c>
      <c r="C17" s="20" t="s">
        <v>36</v>
      </c>
      <c r="D17" s="20" t="s">
        <v>36</v>
      </c>
      <c r="E17" s="23" t="s">
        <v>39</v>
      </c>
      <c r="F17" s="23">
        <v>1</v>
      </c>
      <c r="G17" s="23">
        <v>745</v>
      </c>
      <c r="H17" s="29">
        <f t="shared" si="1"/>
        <v>745</v>
      </c>
      <c r="I17" s="21"/>
      <c r="J17" s="23" t="s">
        <v>64</v>
      </c>
      <c r="K17" s="15" t="s">
        <v>61</v>
      </c>
      <c r="L17" s="15"/>
      <c r="M17" s="17"/>
      <c r="N17" s="14"/>
      <c r="O17" s="15"/>
      <c r="P17" s="17">
        <v>44815</v>
      </c>
      <c r="Q17" s="18">
        <v>44816</v>
      </c>
    </row>
    <row r="18" spans="2:17" s="3" customFormat="1" ht="19.7" customHeight="1" x14ac:dyDescent="0.15">
      <c r="B18" s="14">
        <v>6</v>
      </c>
      <c r="C18" s="20" t="s">
        <v>36</v>
      </c>
      <c r="D18" s="20" t="s">
        <v>36</v>
      </c>
      <c r="E18" s="23" t="s">
        <v>58</v>
      </c>
      <c r="F18" s="23">
        <v>1</v>
      </c>
      <c r="G18" s="23">
        <v>6509</v>
      </c>
      <c r="H18" s="29">
        <f t="shared" si="1"/>
        <v>6509</v>
      </c>
      <c r="I18" s="21"/>
      <c r="J18" s="23" t="s">
        <v>25</v>
      </c>
      <c r="K18" s="15" t="s">
        <v>61</v>
      </c>
      <c r="L18" s="15"/>
      <c r="M18" s="17"/>
      <c r="N18" s="14"/>
      <c r="O18" s="15"/>
      <c r="P18" s="17">
        <v>44815</v>
      </c>
      <c r="Q18" s="18">
        <v>44816</v>
      </c>
    </row>
    <row r="19" spans="2:17" s="3" customFormat="1" ht="19.7" customHeight="1" x14ac:dyDescent="0.15">
      <c r="B19" s="14">
        <v>6</v>
      </c>
      <c r="C19" s="20" t="s">
        <v>36</v>
      </c>
      <c r="D19" s="20" t="s">
        <v>36</v>
      </c>
      <c r="E19" s="23" t="s">
        <v>29</v>
      </c>
      <c r="F19" s="23">
        <v>1</v>
      </c>
      <c r="G19" s="23">
        <v>6394</v>
      </c>
      <c r="H19" s="29">
        <f t="shared" si="1"/>
        <v>6394</v>
      </c>
      <c r="I19" s="21"/>
      <c r="J19" s="67" t="s">
        <v>38</v>
      </c>
      <c r="K19" s="15" t="s">
        <v>61</v>
      </c>
      <c r="L19" s="15"/>
      <c r="M19" s="17"/>
      <c r="N19" s="14"/>
      <c r="O19" s="15"/>
      <c r="P19" s="19">
        <v>44727</v>
      </c>
      <c r="Q19" s="17">
        <v>44819</v>
      </c>
    </row>
    <row r="20" spans="2:17" s="3" customFormat="1" ht="19.7" customHeight="1" x14ac:dyDescent="0.15">
      <c r="B20" s="14">
        <v>6</v>
      </c>
      <c r="C20" s="20" t="s">
        <v>36</v>
      </c>
      <c r="D20" s="20" t="s">
        <v>36</v>
      </c>
      <c r="E20" s="23" t="s">
        <v>30</v>
      </c>
      <c r="F20" s="23">
        <v>1</v>
      </c>
      <c r="G20" s="23">
        <v>4068</v>
      </c>
      <c r="H20" s="29">
        <f t="shared" si="1"/>
        <v>4068</v>
      </c>
      <c r="I20" s="21"/>
      <c r="J20" s="67"/>
      <c r="K20" s="15" t="s">
        <v>61</v>
      </c>
      <c r="L20" s="15"/>
      <c r="M20" s="17"/>
      <c r="N20" s="14"/>
      <c r="O20" s="15"/>
      <c r="P20" s="19">
        <v>44727</v>
      </c>
      <c r="Q20" s="17">
        <v>44819</v>
      </c>
    </row>
    <row r="21" spans="2:17" s="3" customFormat="1" ht="19.7" customHeight="1" x14ac:dyDescent="0.15">
      <c r="B21" s="14">
        <v>6</v>
      </c>
      <c r="C21" s="20" t="s">
        <v>36</v>
      </c>
      <c r="D21" s="20" t="s">
        <v>36</v>
      </c>
      <c r="E21" s="23" t="s">
        <v>63</v>
      </c>
      <c r="F21" s="23">
        <v>1</v>
      </c>
      <c r="G21" s="23">
        <v>990</v>
      </c>
      <c r="H21" s="29">
        <f t="shared" si="1"/>
        <v>990</v>
      </c>
      <c r="I21" s="21"/>
      <c r="J21" s="23" t="s">
        <v>68</v>
      </c>
      <c r="K21" s="15" t="s">
        <v>61</v>
      </c>
      <c r="L21" s="15"/>
      <c r="M21" s="17"/>
      <c r="N21" s="14"/>
      <c r="O21" s="15"/>
      <c r="P21" s="19">
        <v>44815</v>
      </c>
      <c r="Q21" s="18">
        <v>44816</v>
      </c>
    </row>
    <row r="22" spans="2:17" s="3" customFormat="1" ht="19.7" customHeight="1" x14ac:dyDescent="0.15">
      <c r="B22" s="14">
        <v>6</v>
      </c>
      <c r="C22" s="20" t="s">
        <v>36</v>
      </c>
      <c r="D22" s="20" t="s">
        <v>36</v>
      </c>
      <c r="E22" s="23" t="s">
        <v>87</v>
      </c>
      <c r="F22" s="23">
        <v>2</v>
      </c>
      <c r="G22" s="23">
        <v>131</v>
      </c>
      <c r="H22" s="29">
        <f t="shared" si="1"/>
        <v>262</v>
      </c>
      <c r="I22" s="21"/>
      <c r="J22" t="s">
        <v>88</v>
      </c>
      <c r="K22" s="15" t="s">
        <v>61</v>
      </c>
      <c r="L22" s="15"/>
      <c r="M22" s="17"/>
      <c r="N22" s="14"/>
      <c r="O22" s="15"/>
      <c r="P22" s="19">
        <v>44816</v>
      </c>
      <c r="Q22" s="18">
        <v>44817</v>
      </c>
    </row>
    <row r="23" spans="2:17" s="3" customFormat="1" ht="19.7" customHeight="1" x14ac:dyDescent="0.15">
      <c r="B23" s="14">
        <v>6</v>
      </c>
      <c r="C23" s="20" t="s">
        <v>54</v>
      </c>
      <c r="D23" s="20" t="s">
        <v>54</v>
      </c>
      <c r="E23" s="23" t="s">
        <v>26</v>
      </c>
      <c r="F23" s="23">
        <v>1</v>
      </c>
      <c r="G23" s="29">
        <v>13800</v>
      </c>
      <c r="H23" s="29">
        <f t="shared" si="1"/>
        <v>13800</v>
      </c>
      <c r="I23" s="21"/>
      <c r="J23" s="23" t="s">
        <v>26</v>
      </c>
      <c r="K23" s="40" t="s">
        <v>62</v>
      </c>
      <c r="L23" s="15"/>
      <c r="M23" s="17">
        <v>44805</v>
      </c>
      <c r="N23" s="14"/>
      <c r="O23" s="15"/>
      <c r="P23" s="19">
        <v>44818</v>
      </c>
      <c r="Q23" s="17">
        <v>44817</v>
      </c>
    </row>
    <row r="24" spans="2:17" s="3" customFormat="1" ht="19.7" customHeight="1" x14ac:dyDescent="0.15">
      <c r="B24" s="14">
        <v>8</v>
      </c>
      <c r="C24" s="20" t="s">
        <v>36</v>
      </c>
      <c r="D24" s="20" t="s">
        <v>36</v>
      </c>
      <c r="E24" s="23" t="s">
        <v>31</v>
      </c>
      <c r="F24" s="23">
        <v>1</v>
      </c>
      <c r="G24" s="23">
        <v>2020</v>
      </c>
      <c r="H24" s="29">
        <f t="shared" si="1"/>
        <v>2020</v>
      </c>
      <c r="I24" s="21"/>
      <c r="J24" s="23" t="s">
        <v>28</v>
      </c>
      <c r="K24" s="15" t="s">
        <v>61</v>
      </c>
      <c r="L24" s="15"/>
      <c r="M24" s="17"/>
      <c r="N24" s="14"/>
      <c r="O24" s="15"/>
      <c r="P24" s="19">
        <v>44815</v>
      </c>
      <c r="Q24" s="18">
        <v>44816</v>
      </c>
    </row>
    <row r="25" spans="2:17" s="3" customFormat="1" ht="19.7" customHeight="1" x14ac:dyDescent="0.15">
      <c r="B25" s="14">
        <v>8</v>
      </c>
      <c r="C25" s="20" t="s">
        <v>36</v>
      </c>
      <c r="D25" s="20" t="s">
        <v>36</v>
      </c>
      <c r="E25" s="23" t="s">
        <v>71</v>
      </c>
      <c r="F25" s="23">
        <v>1</v>
      </c>
      <c r="G25" s="23">
        <v>5689</v>
      </c>
      <c r="H25" s="29">
        <f t="shared" si="1"/>
        <v>5689</v>
      </c>
      <c r="I25" s="21"/>
      <c r="J25" s="23" t="s">
        <v>43</v>
      </c>
      <c r="K25" s="15" t="s">
        <v>61</v>
      </c>
      <c r="L25" s="14"/>
      <c r="M25" s="17"/>
      <c r="N25" s="14"/>
      <c r="O25" s="19"/>
      <c r="P25" s="19">
        <v>44815</v>
      </c>
      <c r="Q25" s="18">
        <v>44816</v>
      </c>
    </row>
    <row r="26" spans="2:17" s="3" customFormat="1" ht="19.7" customHeight="1" x14ac:dyDescent="0.15">
      <c r="B26" s="43">
        <v>11</v>
      </c>
      <c r="C26" s="20" t="s">
        <v>36</v>
      </c>
      <c r="D26" s="20" t="s">
        <v>36</v>
      </c>
      <c r="E26" s="23" t="s">
        <v>48</v>
      </c>
      <c r="F26" s="23">
        <v>1</v>
      </c>
      <c r="G26" s="23">
        <v>2500</v>
      </c>
      <c r="H26" s="29">
        <f t="shared" si="1"/>
        <v>2500</v>
      </c>
      <c r="I26" s="21"/>
      <c r="J26" s="23" t="s">
        <v>47</v>
      </c>
      <c r="K26" s="15" t="s">
        <v>61</v>
      </c>
      <c r="L26" s="15"/>
      <c r="M26" s="17"/>
      <c r="N26" s="14"/>
      <c r="O26" s="15"/>
      <c r="P26" s="19">
        <v>44815</v>
      </c>
      <c r="Q26" s="18">
        <v>44816</v>
      </c>
    </row>
    <row r="27" spans="2:17" s="3" customFormat="1" ht="19.7" customHeight="1" x14ac:dyDescent="0.15">
      <c r="B27" s="43">
        <v>11</v>
      </c>
      <c r="C27" s="20" t="s">
        <v>36</v>
      </c>
      <c r="D27" s="20" t="s">
        <v>36</v>
      </c>
      <c r="E27" s="23" t="s">
        <v>86</v>
      </c>
      <c r="F27" s="23">
        <v>1</v>
      </c>
      <c r="G27" s="23">
        <v>2910</v>
      </c>
      <c r="H27" s="29">
        <f t="shared" si="1"/>
        <v>2910</v>
      </c>
      <c r="I27" s="23"/>
      <c r="J27" s="23" t="s">
        <v>47</v>
      </c>
      <c r="K27" s="15" t="s">
        <v>61</v>
      </c>
      <c r="L27" s="15"/>
      <c r="M27" s="17"/>
      <c r="N27" s="14"/>
      <c r="O27" s="15"/>
      <c r="P27" s="19">
        <v>44816</v>
      </c>
      <c r="Q27" s="18">
        <v>44820</v>
      </c>
    </row>
    <row r="28" spans="2:17" s="3" customFormat="1" ht="19.7" customHeight="1" x14ac:dyDescent="0.15">
      <c r="B28" s="43">
        <v>11</v>
      </c>
      <c r="C28" s="20" t="s">
        <v>36</v>
      </c>
      <c r="D28" s="20" t="s">
        <v>36</v>
      </c>
      <c r="E28" s="23" t="s">
        <v>59</v>
      </c>
      <c r="F28" s="23">
        <v>1</v>
      </c>
      <c r="G28" s="23">
        <v>1730</v>
      </c>
      <c r="H28" s="29">
        <f t="shared" si="1"/>
        <v>1730</v>
      </c>
      <c r="I28" s="21"/>
      <c r="J28" s="23" t="s">
        <v>45</v>
      </c>
      <c r="K28" s="15" t="s">
        <v>61</v>
      </c>
      <c r="L28" s="15"/>
      <c r="M28" s="17"/>
      <c r="N28" s="14"/>
      <c r="O28" s="15"/>
      <c r="P28" s="19">
        <v>44815</v>
      </c>
      <c r="Q28" s="18">
        <v>44816</v>
      </c>
    </row>
    <row r="29" spans="2:17" s="3" customFormat="1" ht="19.7" customHeight="1" x14ac:dyDescent="0.15">
      <c r="B29" s="43">
        <v>11</v>
      </c>
      <c r="C29" s="20" t="s">
        <v>36</v>
      </c>
      <c r="D29" s="20" t="s">
        <v>36</v>
      </c>
      <c r="E29" s="23" t="s">
        <v>70</v>
      </c>
      <c r="F29" s="23">
        <v>2</v>
      </c>
      <c r="G29" s="23">
        <v>72</v>
      </c>
      <c r="H29" s="29">
        <f t="shared" si="1"/>
        <v>144</v>
      </c>
      <c r="I29" s="21"/>
      <c r="J29" s="23" t="s">
        <v>75</v>
      </c>
      <c r="K29" s="15" t="s">
        <v>61</v>
      </c>
      <c r="L29" s="15"/>
      <c r="M29" s="17"/>
      <c r="N29" s="14"/>
      <c r="O29" s="15"/>
      <c r="P29" s="19">
        <v>44815</v>
      </c>
      <c r="Q29" s="18">
        <v>44816</v>
      </c>
    </row>
    <row r="30" spans="2:17" s="3" customFormat="1" ht="19.7" customHeight="1" x14ac:dyDescent="0.15">
      <c r="B30" s="43">
        <v>11</v>
      </c>
      <c r="C30" s="20" t="s">
        <v>36</v>
      </c>
      <c r="D30" s="20" t="s">
        <v>36</v>
      </c>
      <c r="E30" s="23" t="s">
        <v>46</v>
      </c>
      <c r="F30" s="23">
        <v>4</v>
      </c>
      <c r="G30" s="23">
        <v>290</v>
      </c>
      <c r="H30" s="29">
        <f t="shared" si="1"/>
        <v>1160</v>
      </c>
      <c r="I30" s="21"/>
      <c r="J30" s="23" t="s">
        <v>74</v>
      </c>
      <c r="K30" s="15" t="s">
        <v>61</v>
      </c>
      <c r="L30" s="14"/>
      <c r="M30" s="17"/>
      <c r="N30" s="14"/>
      <c r="O30" s="19"/>
      <c r="P30" s="19">
        <v>44815</v>
      </c>
      <c r="Q30" s="18">
        <v>44816</v>
      </c>
    </row>
    <row r="31" spans="2:17" s="3" customFormat="1" ht="19.7" customHeight="1" x14ac:dyDescent="0.15">
      <c r="B31" s="43">
        <v>9</v>
      </c>
      <c r="C31" s="20" t="s">
        <v>36</v>
      </c>
      <c r="D31" s="20" t="s">
        <v>36</v>
      </c>
      <c r="E31" s="23" t="s">
        <v>55</v>
      </c>
      <c r="F31" s="23">
        <v>1</v>
      </c>
      <c r="G31" s="23">
        <v>20618</v>
      </c>
      <c r="H31" s="29">
        <f t="shared" si="1"/>
        <v>20618</v>
      </c>
      <c r="I31" s="21"/>
      <c r="J31" s="23" t="s">
        <v>27</v>
      </c>
      <c r="K31" s="15" t="s">
        <v>61</v>
      </c>
      <c r="L31" s="15"/>
      <c r="M31" s="17"/>
      <c r="N31" s="14"/>
      <c r="O31" s="15"/>
      <c r="P31" s="19">
        <v>44815</v>
      </c>
      <c r="Q31" s="18">
        <v>44816</v>
      </c>
    </row>
    <row r="32" spans="2:17" s="3" customFormat="1" ht="19.7" customHeight="1" x14ac:dyDescent="0.15">
      <c r="B32" s="43">
        <v>9</v>
      </c>
      <c r="C32" s="20" t="s">
        <v>36</v>
      </c>
      <c r="D32" s="20" t="s">
        <v>36</v>
      </c>
      <c r="E32" s="23" t="s">
        <v>56</v>
      </c>
      <c r="F32" s="23">
        <v>1</v>
      </c>
      <c r="G32" s="23">
        <v>1840</v>
      </c>
      <c r="H32" s="29">
        <f t="shared" si="1"/>
        <v>1840</v>
      </c>
      <c r="I32" s="21"/>
      <c r="J32" s="23" t="s">
        <v>57</v>
      </c>
      <c r="K32" s="15" t="s">
        <v>61</v>
      </c>
      <c r="L32" s="15"/>
      <c r="M32" s="17"/>
      <c r="N32" s="14"/>
      <c r="O32" s="15"/>
      <c r="P32" s="19">
        <v>44815</v>
      </c>
      <c r="Q32" s="18">
        <v>44816</v>
      </c>
    </row>
    <row r="33" spans="2:17" s="3" customFormat="1" ht="19.7" customHeight="1" x14ac:dyDescent="0.15">
      <c r="B33" s="43">
        <v>9</v>
      </c>
      <c r="C33" s="20" t="s">
        <v>36</v>
      </c>
      <c r="D33" s="20" t="s">
        <v>36</v>
      </c>
      <c r="E33" s="23" t="s">
        <v>35</v>
      </c>
      <c r="F33" s="23">
        <v>20</v>
      </c>
      <c r="G33" s="23">
        <v>1425</v>
      </c>
      <c r="H33" s="29">
        <f t="shared" si="1"/>
        <v>28500</v>
      </c>
      <c r="I33" s="21"/>
      <c r="J33" s="23" t="s">
        <v>80</v>
      </c>
      <c r="K33" s="15" t="s">
        <v>61</v>
      </c>
      <c r="L33" s="15"/>
      <c r="M33" s="17"/>
      <c r="N33" s="14"/>
      <c r="O33" s="15"/>
      <c r="P33" s="19">
        <v>44815</v>
      </c>
      <c r="Q33" s="18">
        <v>44816</v>
      </c>
    </row>
    <row r="34" spans="2:17" s="3" customFormat="1" ht="19.7" customHeight="1" x14ac:dyDescent="0.15">
      <c r="B34" s="43">
        <v>9</v>
      </c>
      <c r="C34" s="20" t="s">
        <v>36</v>
      </c>
      <c r="D34" s="20" t="s">
        <v>36</v>
      </c>
      <c r="E34" s="23" t="s">
        <v>69</v>
      </c>
      <c r="F34" s="23">
        <v>1</v>
      </c>
      <c r="G34" s="23">
        <v>3230</v>
      </c>
      <c r="H34" s="29">
        <f t="shared" si="1"/>
        <v>3230</v>
      </c>
      <c r="I34" s="21"/>
      <c r="J34" s="23" t="s">
        <v>79</v>
      </c>
      <c r="K34" s="15" t="s">
        <v>61</v>
      </c>
      <c r="L34" s="15"/>
      <c r="M34" s="17"/>
      <c r="N34" s="14"/>
      <c r="O34" s="15"/>
      <c r="P34" s="19">
        <v>44815</v>
      </c>
      <c r="Q34" s="18">
        <v>44816</v>
      </c>
    </row>
    <row r="35" spans="2:17" s="3" customFormat="1" ht="19.7" customHeight="1" x14ac:dyDescent="0.15">
      <c r="B35" s="14">
        <v>10</v>
      </c>
      <c r="C35" s="20" t="s">
        <v>37</v>
      </c>
      <c r="D35" s="20" t="s">
        <v>37</v>
      </c>
      <c r="E35" s="22" t="s">
        <v>34</v>
      </c>
      <c r="F35" s="23">
        <v>4</v>
      </c>
      <c r="G35" s="29">
        <v>7800</v>
      </c>
      <c r="H35" s="29">
        <f t="shared" si="1"/>
        <v>31200</v>
      </c>
      <c r="I35" s="21"/>
      <c r="J35" s="41" t="s">
        <v>83</v>
      </c>
      <c r="K35" s="40" t="s">
        <v>62</v>
      </c>
      <c r="L35" s="14"/>
      <c r="M35" s="17">
        <v>44805</v>
      </c>
      <c r="N35" s="14"/>
      <c r="O35" s="19"/>
      <c r="P35" s="19">
        <v>44815</v>
      </c>
      <c r="Q35" s="18">
        <v>44811</v>
      </c>
    </row>
    <row r="36" spans="2:17" s="3" customFormat="1" ht="19.7" customHeight="1" x14ac:dyDescent="0.15">
      <c r="B36" s="43">
        <v>4</v>
      </c>
      <c r="C36" s="20" t="s">
        <v>36</v>
      </c>
      <c r="D36" s="20" t="s">
        <v>36</v>
      </c>
      <c r="E36" s="23" t="s">
        <v>49</v>
      </c>
      <c r="F36" s="23">
        <v>1</v>
      </c>
      <c r="G36" s="23">
        <v>5117</v>
      </c>
      <c r="H36" s="29">
        <f t="shared" si="1"/>
        <v>5117</v>
      </c>
      <c r="I36" s="21"/>
      <c r="J36" s="23" t="s">
        <v>78</v>
      </c>
      <c r="K36" s="15" t="s">
        <v>61</v>
      </c>
      <c r="L36" s="14"/>
      <c r="M36" s="17"/>
      <c r="N36" s="14"/>
      <c r="O36" s="19"/>
      <c r="P36" s="19">
        <v>44815</v>
      </c>
      <c r="Q36" s="18">
        <v>44816</v>
      </c>
    </row>
    <row r="37" spans="2:17" s="3" customFormat="1" ht="19.7" customHeight="1" x14ac:dyDescent="0.15">
      <c r="B37" s="43">
        <v>4</v>
      </c>
      <c r="C37" s="20" t="s">
        <v>36</v>
      </c>
      <c r="D37" s="20" t="s">
        <v>36</v>
      </c>
      <c r="E37" s="23" t="s">
        <v>73</v>
      </c>
      <c r="F37" s="23">
        <v>1</v>
      </c>
      <c r="G37" s="23">
        <v>6180</v>
      </c>
      <c r="H37" s="29">
        <f t="shared" si="1"/>
        <v>6180</v>
      </c>
      <c r="I37" s="21"/>
      <c r="J37" s="23" t="s">
        <v>77</v>
      </c>
      <c r="K37" s="15" t="s">
        <v>61</v>
      </c>
      <c r="L37" s="14"/>
      <c r="M37" s="17"/>
      <c r="N37" s="14"/>
      <c r="O37" s="19"/>
      <c r="P37" s="19">
        <v>44815</v>
      </c>
      <c r="Q37" s="18">
        <v>44816</v>
      </c>
    </row>
    <row r="38" spans="2:17" s="3" customFormat="1" ht="19.7" customHeight="1" x14ac:dyDescent="0.15">
      <c r="B38" s="43">
        <v>9</v>
      </c>
      <c r="C38" s="20" t="s">
        <v>36</v>
      </c>
      <c r="D38" s="20" t="s">
        <v>36</v>
      </c>
      <c r="E38" s="23" t="s">
        <v>50</v>
      </c>
      <c r="F38" s="23">
        <v>1</v>
      </c>
      <c r="G38" s="23">
        <v>251</v>
      </c>
      <c r="H38" s="29">
        <f t="shared" si="1"/>
        <v>251</v>
      </c>
      <c r="I38" s="21"/>
      <c r="J38" s="23" t="s">
        <v>76</v>
      </c>
      <c r="K38" s="15" t="s">
        <v>61</v>
      </c>
      <c r="L38" s="14"/>
      <c r="M38" s="17"/>
      <c r="N38" s="14"/>
      <c r="O38" s="19"/>
      <c r="P38" s="19">
        <v>44815</v>
      </c>
      <c r="Q38" s="18">
        <v>44816</v>
      </c>
    </row>
    <row r="39" spans="2:17" s="3" customFormat="1" ht="19.7" customHeight="1" x14ac:dyDescent="0.15">
      <c r="B39" s="43">
        <v>9</v>
      </c>
      <c r="C39" s="20" t="s">
        <v>36</v>
      </c>
      <c r="D39" s="20" t="s">
        <v>36</v>
      </c>
      <c r="E39" s="22" t="s">
        <v>51</v>
      </c>
      <c r="F39" s="23">
        <v>2</v>
      </c>
      <c r="G39" s="29"/>
      <c r="H39" s="29">
        <f>G39*F39</f>
        <v>0</v>
      </c>
      <c r="I39" s="21"/>
      <c r="J39" s="23" t="s">
        <v>52</v>
      </c>
      <c r="K39" s="15" t="s">
        <v>61</v>
      </c>
      <c r="L39" s="14"/>
      <c r="M39" s="17"/>
      <c r="N39" s="14"/>
      <c r="O39" s="19"/>
      <c r="P39" s="19">
        <v>44815</v>
      </c>
      <c r="Q39" s="18">
        <v>44816</v>
      </c>
    </row>
    <row r="40" spans="2:17" s="3" customFormat="1" ht="19.7" customHeight="1" x14ac:dyDescent="0.15">
      <c r="B40" s="43">
        <v>4</v>
      </c>
      <c r="C40" s="20" t="s">
        <v>36</v>
      </c>
      <c r="D40" s="20" t="s">
        <v>36</v>
      </c>
      <c r="E40" s="23" t="s">
        <v>72</v>
      </c>
      <c r="F40" s="23">
        <v>1</v>
      </c>
      <c r="G40" s="23">
        <v>148</v>
      </c>
      <c r="H40" s="29">
        <f t="shared" si="1"/>
        <v>148</v>
      </c>
      <c r="I40" s="21"/>
      <c r="J40" s="23" t="s">
        <v>82</v>
      </c>
      <c r="K40" s="15" t="s">
        <v>61</v>
      </c>
      <c r="L40" s="14"/>
      <c r="M40" s="17"/>
      <c r="N40" s="14"/>
      <c r="O40" s="19"/>
      <c r="P40" s="19">
        <v>44815</v>
      </c>
      <c r="Q40" s="18">
        <v>44816</v>
      </c>
    </row>
    <row r="41" spans="2:17" s="3" customFormat="1" ht="19.7" customHeight="1" x14ac:dyDescent="0.15">
      <c r="B41" s="43">
        <v>4</v>
      </c>
      <c r="C41" s="20" t="s">
        <v>36</v>
      </c>
      <c r="D41" s="20" t="s">
        <v>36</v>
      </c>
      <c r="E41" s="23" t="s">
        <v>53</v>
      </c>
      <c r="F41" s="23">
        <v>1</v>
      </c>
      <c r="G41" s="23">
        <v>568</v>
      </c>
      <c r="H41" s="29">
        <f t="shared" si="1"/>
        <v>568</v>
      </c>
      <c r="I41" s="21"/>
      <c r="J41" s="23" t="s">
        <v>81</v>
      </c>
      <c r="K41" s="15" t="s">
        <v>61</v>
      </c>
      <c r="L41" s="14"/>
      <c r="M41" s="17"/>
      <c r="N41" s="14"/>
      <c r="O41" s="19"/>
      <c r="P41" s="19">
        <v>44815</v>
      </c>
      <c r="Q41" s="18">
        <v>44816</v>
      </c>
    </row>
    <row r="42" spans="2:17" ht="19.5" customHeight="1" x14ac:dyDescent="0.15">
      <c r="B42" s="14"/>
      <c r="C42" s="20" t="s">
        <v>40</v>
      </c>
      <c r="D42" s="20" t="s">
        <v>40</v>
      </c>
      <c r="E42" s="22" t="s">
        <v>41</v>
      </c>
      <c r="F42" s="23">
        <v>30</v>
      </c>
      <c r="G42" s="29">
        <v>5000</v>
      </c>
      <c r="H42" s="29">
        <f t="shared" ref="H42:H43" si="2">G42*F42</f>
        <v>150000</v>
      </c>
      <c r="I42" s="24"/>
      <c r="J42" s="23"/>
      <c r="K42" s="15"/>
      <c r="L42" s="15"/>
      <c r="M42" s="17"/>
      <c r="N42" s="23"/>
      <c r="O42" s="24"/>
      <c r="P42" s="25"/>
      <c r="Q42" s="18"/>
    </row>
    <row r="43" spans="2:17" ht="19.5" customHeight="1" x14ac:dyDescent="0.15">
      <c r="B43" s="14"/>
      <c r="C43" s="20" t="s">
        <v>40</v>
      </c>
      <c r="D43" s="20" t="s">
        <v>40</v>
      </c>
      <c r="E43" s="22" t="s">
        <v>42</v>
      </c>
      <c r="F43" s="23">
        <v>20</v>
      </c>
      <c r="G43" s="29">
        <v>5000</v>
      </c>
      <c r="H43" s="29">
        <f t="shared" si="2"/>
        <v>100000</v>
      </c>
      <c r="I43" s="24"/>
      <c r="J43" s="23"/>
      <c r="K43" s="15"/>
      <c r="L43" s="15"/>
      <c r="M43" s="17"/>
      <c r="N43" s="23"/>
      <c r="O43" s="24"/>
      <c r="P43" s="25"/>
      <c r="Q43" s="18"/>
    </row>
    <row r="44" spans="2:17" ht="19.5" customHeight="1" x14ac:dyDescent="0.15">
      <c r="B44" s="14"/>
      <c r="C44" s="20"/>
      <c r="D44" s="20"/>
      <c r="E44" s="22"/>
      <c r="F44" s="23"/>
      <c r="G44" s="29"/>
      <c r="H44" s="29"/>
      <c r="I44" s="24"/>
      <c r="J44" s="23"/>
      <c r="K44" s="15"/>
      <c r="L44" s="15"/>
      <c r="M44" s="17"/>
      <c r="N44" s="23"/>
      <c r="O44" s="24"/>
      <c r="P44" s="25"/>
      <c r="Q44" s="18"/>
    </row>
    <row r="45" spans="2:17" ht="19.5" customHeight="1" x14ac:dyDescent="0.15">
      <c r="B45" s="43">
        <v>9</v>
      </c>
      <c r="C45" s="20" t="s">
        <v>36</v>
      </c>
      <c r="D45" s="20" t="s">
        <v>36</v>
      </c>
      <c r="E45" s="22" t="s">
        <v>84</v>
      </c>
      <c r="F45" s="23">
        <v>1</v>
      </c>
      <c r="G45" s="29">
        <v>958</v>
      </c>
      <c r="H45" s="29">
        <f t="shared" si="1"/>
        <v>958</v>
      </c>
      <c r="I45" s="24"/>
      <c r="J45" s="23" t="s">
        <v>85</v>
      </c>
      <c r="K45" s="15" t="s">
        <v>61</v>
      </c>
      <c r="L45" s="15"/>
      <c r="M45" s="17"/>
      <c r="N45" s="23"/>
      <c r="O45" s="24"/>
      <c r="P45" s="25"/>
      <c r="Q45" s="18">
        <v>44810</v>
      </c>
    </row>
    <row r="46" spans="2:17" ht="19.5" customHeight="1" x14ac:dyDescent="0.15">
      <c r="B46" s="14"/>
      <c r="C46" s="20"/>
      <c r="D46" s="20"/>
      <c r="E46" s="22"/>
      <c r="F46" s="23"/>
      <c r="G46" s="29"/>
      <c r="H46" s="29"/>
      <c r="I46" s="24"/>
      <c r="J46" s="23"/>
      <c r="K46" s="15"/>
      <c r="L46" s="15"/>
      <c r="M46" s="17"/>
      <c r="N46" s="23"/>
      <c r="O46" s="24"/>
      <c r="P46" s="25"/>
      <c r="Q46" s="18"/>
    </row>
    <row r="47" spans="2:17" s="66" customFormat="1" ht="19.5" customHeight="1" x14ac:dyDescent="0.15">
      <c r="B47" s="58">
        <v>3</v>
      </c>
      <c r="C47" s="59" t="s">
        <v>36</v>
      </c>
      <c r="D47" s="59" t="s">
        <v>36</v>
      </c>
      <c r="E47" s="60" t="s">
        <v>95</v>
      </c>
      <c r="F47" s="60">
        <v>1</v>
      </c>
      <c r="G47" s="60">
        <v>568</v>
      </c>
      <c r="H47" s="49">
        <f t="shared" ref="H47" si="3">G47*F47</f>
        <v>568</v>
      </c>
      <c r="I47" s="61"/>
      <c r="J47" s="60" t="s">
        <v>96</v>
      </c>
      <c r="K47" s="62" t="s">
        <v>61</v>
      </c>
      <c r="L47" s="62"/>
      <c r="M47" s="63">
        <v>44825</v>
      </c>
      <c r="N47" s="60"/>
      <c r="O47" s="61"/>
      <c r="P47" s="64">
        <v>44826</v>
      </c>
      <c r="Q47" s="65">
        <v>44826</v>
      </c>
    </row>
    <row r="69" spans="11:11" x14ac:dyDescent="0.15">
      <c r="K69" t="s">
        <v>22</v>
      </c>
    </row>
  </sheetData>
  <autoFilter ref="B9:O45" xr:uid="{00000000-0009-0000-0000-000000000000}">
    <sortState xmlns:xlrd2="http://schemas.microsoft.com/office/spreadsheetml/2017/richdata2" ref="B10:O45">
      <sortCondition ref="D9:D45"/>
    </sortState>
  </autoFilter>
  <sortState xmlns:xlrd2="http://schemas.microsoft.com/office/spreadsheetml/2017/richdata2" ref="E25:F45">
    <sortCondition ref="E24:E45"/>
  </sortState>
  <mergeCells count="7">
    <mergeCell ref="J19:J20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12D3-7ED0-478E-BE4E-05B5CCF6FD24}">
  <dimension ref="A1:B5"/>
  <sheetViews>
    <sheetView view="pageBreakPreview" topLeftCell="B1" zoomScale="180" zoomScaleNormal="100" zoomScaleSheetLayoutView="180" workbookViewId="0">
      <selection activeCell="E6" sqref="E6"/>
    </sheetView>
  </sheetViews>
  <sheetFormatPr defaultRowHeight="13.5" x14ac:dyDescent="0.15"/>
  <cols>
    <col min="1" max="1" width="12.125" bestFit="1" customWidth="1"/>
    <col min="2" max="2" width="12.875" bestFit="1" customWidth="1"/>
  </cols>
  <sheetData>
    <row r="1" spans="1:2" ht="17.25" x14ac:dyDescent="0.15">
      <c r="A1" s="42" t="s">
        <v>11</v>
      </c>
      <c r="B1" s="1" t="s">
        <v>24</v>
      </c>
    </row>
    <row r="2" spans="1:2" ht="17.25" x14ac:dyDescent="0.15">
      <c r="A2" s="42" t="s">
        <v>10</v>
      </c>
      <c r="B2" s="8" t="s">
        <v>23</v>
      </c>
    </row>
    <row r="3" spans="1:2" ht="17.25" x14ac:dyDescent="0.15">
      <c r="A3" s="42" t="s">
        <v>12</v>
      </c>
      <c r="B3" s="8">
        <v>199697</v>
      </c>
    </row>
    <row r="4" spans="1:2" ht="17.25" x14ac:dyDescent="0.15">
      <c r="A4" s="42" t="s">
        <v>13</v>
      </c>
      <c r="B4" s="10"/>
    </row>
    <row r="5" spans="1:2" ht="17.25" x14ac:dyDescent="0.15">
      <c r="A5" s="42" t="s">
        <v>14</v>
      </c>
      <c r="B5" s="10"/>
    </row>
  </sheetData>
  <phoneticPr fontId="6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D741-F4F3-4BF4-8D3A-601D204604BB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原価表</vt:lpstr>
      <vt:lpstr>表紙</vt:lpstr>
      <vt:lpstr>300角ﾜｰｸｼﾞｸﾞ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2022-09-05T07:08:15Z</cp:lastPrinted>
  <dcterms:created xsi:type="dcterms:W3CDTF">2011-12-13T06:48:43Z</dcterms:created>
  <dcterms:modified xsi:type="dcterms:W3CDTF">2022-09-26T04:33:58Z</dcterms:modified>
</cp:coreProperties>
</file>