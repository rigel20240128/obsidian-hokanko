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4CE799C6-7844-4865-B2D2-2F0D1393CD19}" xr6:coauthVersionLast="47" xr6:coauthVersionMax="47" xr10:uidLastSave="{00000000-0000-0000-0000-000000000000}"/>
  <bookViews>
    <workbookView xWindow="-120" yWindow="-120" windowWidth="30960" windowHeight="15840" xr2:uid="{00000000-000D-0000-FFFF-FFFF00000000}"/>
  </bookViews>
  <sheets>
    <sheet name="Sheet1" sheetId="1" r:id="rId1"/>
    <sheet name="表紙" sheetId="2" r:id="rId2"/>
    <sheet name="Sheet3" sheetId="3" r:id="rId3"/>
  </sheets>
  <definedNames>
    <definedName name="_xlnm._FilterDatabase" localSheetId="0" hidden="1">Sheet1!$B$8:$O$234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4" i="1" l="1"/>
  <c r="H222" i="1"/>
  <c r="H223" i="1"/>
  <c r="H225" i="1"/>
  <c r="H226" i="1"/>
  <c r="H227" i="1"/>
  <c r="H229" i="1"/>
  <c r="H230" i="1"/>
  <c r="H231" i="1"/>
  <c r="H232" i="1"/>
  <c r="H233" i="1"/>
  <c r="H234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35" i="1" l="1"/>
  <c r="H36" i="1"/>
  <c r="H37" i="1"/>
  <c r="H38" i="1"/>
  <c r="H40" i="1" l="1"/>
  <c r="H41" i="1"/>
  <c r="H42" i="1"/>
  <c r="H43" i="1"/>
  <c r="H44" i="1"/>
  <c r="H45" i="1"/>
  <c r="H39" i="1"/>
  <c r="H220" i="1" l="1"/>
  <c r="H219" i="1"/>
  <c r="H218" i="1"/>
  <c r="H47" i="1"/>
  <c r="H46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21" i="1" l="1"/>
  <c r="H20" i="1" l="1"/>
  <c r="H12" i="1" l="1"/>
  <c r="H13" i="1"/>
  <c r="H14" i="1"/>
  <c r="H16" i="1"/>
  <c r="H17" i="1"/>
  <c r="H18" i="1"/>
  <c r="H19" i="1"/>
  <c r="H15" i="1" l="1"/>
  <c r="H9" i="1"/>
  <c r="J2" i="1" l="1"/>
</calcChain>
</file>

<file path=xl/sharedStrings.xml><?xml version="1.0" encoding="utf-8"?>
<sst xmlns="http://schemas.openxmlformats.org/spreadsheetml/2006/main" count="1064" uniqueCount="443">
  <si>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</si>
  <si>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</si>
  <si>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</si>
  <si>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</si>
  <si>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</si>
  <si>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</si>
  <si>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</si>
  <si>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</si>
  <si>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</si>
  <si>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</si>
  <si>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</si>
  <si>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</si>
  <si>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</si>
  <si>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</si>
  <si>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</si>
  <si>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</si>
  <si>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</si>
  <si>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</si>
  <si>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</si>
  <si>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</si>
  <si>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</si>
  <si>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</si>
  <si>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蛇の目</t>
    <rPh sb="0" eb="1">
      <t>ジャ</t>
    </rPh>
    <rPh sb="2" eb="3">
      <t>メ</t>
    </rPh>
    <phoneticPr fontId="2"/>
  </si>
  <si>
    <t>I/O-S（ｵﾌﾟｼｮﾝ）増設</t>
    <rPh sb="13" eb="15">
      <t>ゾウセツ</t>
    </rPh>
    <phoneticPr fontId="2"/>
  </si>
  <si>
    <t>蛇の目</t>
  </si>
  <si>
    <t>荷造り運賃</t>
  </si>
  <si>
    <t>ロボット本体</t>
    <rPh sb="4" eb="6">
      <t>ホンタイ</t>
    </rPh>
    <phoneticPr fontId="2"/>
  </si>
  <si>
    <t>卓上型ロボットJR3000シリーズ(3軸）</t>
    <phoneticPr fontId="2"/>
  </si>
  <si>
    <t>COM2増設（ｵﾌﾟｼｮﾝ）増設</t>
    <rPh sb="4" eb="6">
      <t>ゾウセツ</t>
    </rPh>
    <rPh sb="14" eb="16">
      <t>ゾウセツ</t>
    </rPh>
    <phoneticPr fontId="2"/>
  </si>
  <si>
    <t>平山</t>
    <rPh sb="0" eb="2">
      <t>ヒラヤマ</t>
    </rPh>
    <phoneticPr fontId="2"/>
  </si>
  <si>
    <t>エアブラウン(富士通テレコムネットワークス 社)</t>
    <phoneticPr fontId="2"/>
  </si>
  <si>
    <t>iI/O極性：NPN / I/O電源：内部供給 / システムソフト：塗布仕様 / スタートスイッチ：外付 / 電源仕様：単相AC400-120V / アウトレット有</t>
    <rPh sb="4" eb="6">
      <t>キョクセイ</t>
    </rPh>
    <rPh sb="16" eb="18">
      <t>デンゲン</t>
    </rPh>
    <rPh sb="19" eb="21">
      <t>ナイブ</t>
    </rPh>
    <rPh sb="21" eb="23">
      <t>キョウキュウ</t>
    </rPh>
    <rPh sb="34" eb="36">
      <t>トフ</t>
    </rPh>
    <rPh sb="36" eb="38">
      <t>シヨウ</t>
    </rPh>
    <rPh sb="50" eb="52">
      <t>ソトツ</t>
    </rPh>
    <rPh sb="55" eb="57">
      <t>デンゲン</t>
    </rPh>
    <rPh sb="57" eb="59">
      <t>シヨウ</t>
    </rPh>
    <rPh sb="60" eb="62">
      <t>タンソウ</t>
    </rPh>
    <rPh sb="81" eb="82">
      <t>アリ</t>
    </rPh>
    <phoneticPr fontId="2"/>
  </si>
  <si>
    <t>I/O-1（ｵﾌﾟｼｮﾝ）増設</t>
    <rPh sb="13" eb="15">
      <t>ゾウセツ</t>
    </rPh>
    <phoneticPr fontId="2"/>
  </si>
  <si>
    <t>COM3増設（ｵﾌﾟｼｮﾝ）増設</t>
    <rPh sb="4" eb="6">
      <t>ゾウセツ</t>
    </rPh>
    <rPh sb="14" eb="16">
      <t>ゾウセツ</t>
    </rPh>
    <phoneticPr fontId="2"/>
  </si>
  <si>
    <t>スイッチボックス(OPSW付・1.5m）</t>
    <rPh sb="13" eb="14">
      <t>ツキ</t>
    </rPh>
    <phoneticPr fontId="2"/>
  </si>
  <si>
    <t>今回限り特別出精値引き</t>
    <rPh sb="0" eb="3">
      <t>コンカイカギ</t>
    </rPh>
    <rPh sb="4" eb="6">
      <t>トクベツ</t>
    </rPh>
    <rPh sb="6" eb="8">
      <t>シュッセイ</t>
    </rPh>
    <rPh sb="8" eb="10">
      <t>ネビ</t>
    </rPh>
    <phoneticPr fontId="2"/>
  </si>
  <si>
    <t>エアブラウン                                                          (富士通テレコムネットワークス 社)</t>
    <phoneticPr fontId="2"/>
  </si>
  <si>
    <t>見積No：HQ21-0223を添付します。</t>
    <rPh sb="0" eb="2">
      <t>ミツモリ</t>
    </rPh>
    <rPh sb="15" eb="17">
      <t>テンプ</t>
    </rPh>
    <phoneticPr fontId="2"/>
  </si>
  <si>
    <t>JR3404N-BJ（外部スイッチボックス仕様）</t>
    <rPh sb="11" eb="13">
      <t>ガイブ</t>
    </rPh>
    <rPh sb="21" eb="23">
      <t>シヨウ</t>
    </rPh>
    <phoneticPr fontId="2"/>
  </si>
  <si>
    <t>軸数：4軸 / 柱：片持 / XYZR駆動範囲：400x400x150mm ±360°/ Z軸最大可搬質量：7kg / X軸最大可搬質量：15kg</t>
    <rPh sb="0" eb="2">
      <t>ジクスウ</t>
    </rPh>
    <rPh sb="4" eb="5">
      <t>ジク</t>
    </rPh>
    <rPh sb="8" eb="9">
      <t>ハシラ</t>
    </rPh>
    <rPh sb="10" eb="12">
      <t>カタモ</t>
    </rPh>
    <rPh sb="19" eb="23">
      <t>クドウハンイ</t>
    </rPh>
    <rPh sb="46" eb="47">
      <t>ジク</t>
    </rPh>
    <rPh sb="47" eb="49">
      <t>サイダイ</t>
    </rPh>
    <rPh sb="49" eb="51">
      <t>カハン</t>
    </rPh>
    <rPh sb="51" eb="53">
      <t>シツリョウ</t>
    </rPh>
    <rPh sb="61" eb="62">
      <t>ジク</t>
    </rPh>
    <rPh sb="62" eb="64">
      <t>サイダイ</t>
    </rPh>
    <rPh sb="64" eb="66">
      <t>カハン</t>
    </rPh>
    <rPh sb="66" eb="68">
      <t>シツリョウ</t>
    </rPh>
    <phoneticPr fontId="2"/>
  </si>
  <si>
    <t>見積No：HQ21-0223を添付します。</t>
    <phoneticPr fontId="2"/>
  </si>
  <si>
    <t>キーエンス</t>
    <phoneticPr fontId="2"/>
  </si>
  <si>
    <t>IL-300</t>
    <phoneticPr fontId="2"/>
  </si>
  <si>
    <t>CMOSレーザアプリセンサ　センサヘッド</t>
    <phoneticPr fontId="2"/>
  </si>
  <si>
    <t>見積No：15905270を添付します。</t>
    <phoneticPr fontId="2"/>
  </si>
  <si>
    <t>変位センサユニット</t>
    <rPh sb="0" eb="2">
      <t>ヘンイ</t>
    </rPh>
    <phoneticPr fontId="2"/>
  </si>
  <si>
    <t>IL-1000</t>
    <phoneticPr fontId="2"/>
  </si>
  <si>
    <t>CMOSレーザアプリセンサ　アンプユニット(DINタイプ 親機）</t>
    <rPh sb="29" eb="31">
      <t>オヤキ</t>
    </rPh>
    <phoneticPr fontId="2"/>
  </si>
  <si>
    <t>OP-87056</t>
    <phoneticPr fontId="2"/>
  </si>
  <si>
    <t>CMOSレーザアプリセンサ　センサヘッドケーブル2m</t>
    <phoneticPr fontId="2"/>
  </si>
  <si>
    <t>DL-RS1A</t>
    <phoneticPr fontId="2"/>
  </si>
  <si>
    <t>通信ユニット RS-232C</t>
    <rPh sb="0" eb="2">
      <t>ツウシン</t>
    </rPh>
    <phoneticPr fontId="2"/>
  </si>
  <si>
    <t>OP-84338</t>
    <phoneticPr fontId="2"/>
  </si>
  <si>
    <t>通信ユニット 接続用コネクタ（2個）</t>
    <rPh sb="0" eb="2">
      <t>ツウシン</t>
    </rPh>
    <rPh sb="7" eb="9">
      <t>セツゾク</t>
    </rPh>
    <rPh sb="9" eb="10">
      <t>ヨウ</t>
    </rPh>
    <rPh sb="16" eb="17">
      <t>コ</t>
    </rPh>
    <phoneticPr fontId="2"/>
  </si>
  <si>
    <t>大和電機産業</t>
    <rPh sb="0" eb="2">
      <t>ヤマト</t>
    </rPh>
    <rPh sb="2" eb="6">
      <t>デンキサンギョウ</t>
    </rPh>
    <phoneticPr fontId="2"/>
  </si>
  <si>
    <t>制御機材</t>
    <rPh sb="0" eb="2">
      <t>セイギョ</t>
    </rPh>
    <rPh sb="2" eb="4">
      <t>キザイ</t>
    </rPh>
    <phoneticPr fontId="2"/>
  </si>
  <si>
    <t>201-C1 100V 50/60Hz</t>
    <phoneticPr fontId="2"/>
  </si>
  <si>
    <t>殺菌照明器具（大和電器産業）＊殺菌灯無し</t>
    <rPh sb="0" eb="2">
      <t>サッキン</t>
    </rPh>
    <rPh sb="2" eb="4">
      <t>ショウメイ</t>
    </rPh>
    <rPh sb="4" eb="6">
      <t>キグ</t>
    </rPh>
    <rPh sb="7" eb="9">
      <t>ヤマト</t>
    </rPh>
    <rPh sb="9" eb="13">
      <t>デンキサンギョウ</t>
    </rPh>
    <rPh sb="15" eb="18">
      <t>サッキントウ</t>
    </rPh>
    <rPh sb="18" eb="19">
      <t>ナ</t>
    </rPh>
    <phoneticPr fontId="2"/>
  </si>
  <si>
    <t>見積No：22-21-00183Bを添付します。</t>
    <phoneticPr fontId="2"/>
  </si>
  <si>
    <t>ブラックライトユニット</t>
    <phoneticPr fontId="2"/>
  </si>
  <si>
    <t>FG-1E</t>
    <phoneticPr fontId="2"/>
  </si>
  <si>
    <t>グローランプ（大和電器産業）</t>
    <rPh sb="7" eb="9">
      <t>ヤマト</t>
    </rPh>
    <rPh sb="9" eb="13">
      <t>デンキサンギョウ</t>
    </rPh>
    <phoneticPr fontId="2"/>
  </si>
  <si>
    <t>送料</t>
    <rPh sb="0" eb="2">
      <t>ソウリョウ</t>
    </rPh>
    <phoneticPr fontId="2"/>
  </si>
  <si>
    <t>送料（大和電器産業）</t>
    <rPh sb="0" eb="2">
      <t>ソウリョウ</t>
    </rPh>
    <rPh sb="3" eb="5">
      <t>ヤマト</t>
    </rPh>
    <rPh sb="5" eb="9">
      <t>デンキサンギョウ</t>
    </rPh>
    <phoneticPr fontId="2"/>
  </si>
  <si>
    <t>東芝ライティング</t>
    <rPh sb="0" eb="2">
      <t>トウシバ</t>
    </rPh>
    <phoneticPr fontId="2"/>
  </si>
  <si>
    <t>FL20S BLB</t>
    <phoneticPr fontId="2"/>
  </si>
  <si>
    <t>ブラックライト（東芝ライティング）</t>
    <rPh sb="8" eb="10">
      <t>トウシバ</t>
    </rPh>
    <phoneticPr fontId="2"/>
  </si>
  <si>
    <t>送料（東芝ライティング）</t>
    <rPh sb="0" eb="2">
      <t>ソウリョウ</t>
    </rPh>
    <rPh sb="3" eb="5">
      <t>トウシバ</t>
    </rPh>
    <phoneticPr fontId="2"/>
  </si>
  <si>
    <t>ケースブレーカユニット</t>
    <phoneticPr fontId="2"/>
  </si>
  <si>
    <t>エア機器(エア源)ユニット</t>
    <phoneticPr fontId="2"/>
  </si>
  <si>
    <t>パナソニック</t>
    <phoneticPr fontId="2"/>
  </si>
  <si>
    <t>ライト</t>
    <phoneticPr fontId="2"/>
  </si>
  <si>
    <t>ライトカーテンユニット</t>
    <phoneticPr fontId="2"/>
  </si>
  <si>
    <t>MS-SF4BC-1</t>
    <phoneticPr fontId="2"/>
  </si>
  <si>
    <t>標準取付金具（パナソニック）</t>
    <phoneticPr fontId="2"/>
  </si>
  <si>
    <t>BED3153K</t>
    <phoneticPr fontId="2"/>
  </si>
  <si>
    <t>ケースブレーカ（パナソニック）</t>
    <phoneticPr fontId="2"/>
  </si>
  <si>
    <t>IDEC</t>
    <phoneticPr fontId="2"/>
  </si>
  <si>
    <t>制御機材</t>
    <rPh sb="0" eb="4">
      <t>セイギョキザイ</t>
    </rPh>
    <phoneticPr fontId="2"/>
  </si>
  <si>
    <t>RF1V-2A2BL-D24</t>
    <phoneticPr fontId="2"/>
  </si>
  <si>
    <t>RF1V形強制ガイド式リレー(IDEC)</t>
    <phoneticPr fontId="2"/>
  </si>
  <si>
    <t>見積№22-21-00368A</t>
    <rPh sb="0" eb="2">
      <t>ミツ</t>
    </rPh>
    <phoneticPr fontId="2"/>
  </si>
  <si>
    <t>I/O制御ボックス（I/O-S制御用リレー用）</t>
    <rPh sb="15" eb="17">
      <t>セイギョ</t>
    </rPh>
    <rPh sb="17" eb="18">
      <t>ヨウ</t>
    </rPh>
    <rPh sb="21" eb="22">
      <t>ヨウ</t>
    </rPh>
    <phoneticPr fontId="2"/>
  </si>
  <si>
    <t>SF1V-4-07L</t>
    <phoneticPr fontId="2"/>
  </si>
  <si>
    <t>ワンタッチSソケット(IDEC)</t>
    <phoneticPr fontId="2"/>
  </si>
  <si>
    <t>オムロン</t>
    <phoneticPr fontId="2"/>
  </si>
  <si>
    <t>MY2N-D2-Y DC24</t>
    <phoneticPr fontId="2"/>
  </si>
  <si>
    <t>ミニパワーリレー（オムロン）</t>
    <phoneticPr fontId="2"/>
  </si>
  <si>
    <t>＊無い場合、在庫品を使用して下さい</t>
    <rPh sb="1" eb="2">
      <t>ナ</t>
    </rPh>
    <rPh sb="3" eb="5">
      <t>バアイ</t>
    </rPh>
    <rPh sb="6" eb="9">
      <t>ザイコヒン</t>
    </rPh>
    <rPh sb="10" eb="12">
      <t>シヨウ</t>
    </rPh>
    <rPh sb="14" eb="15">
      <t>クダ</t>
    </rPh>
    <phoneticPr fontId="2"/>
  </si>
  <si>
    <t>I/O制御ボックス（シグナルタワーリレー用）</t>
    <rPh sb="17" eb="18">
      <t>ゴヨウ</t>
    </rPh>
    <rPh sb="20" eb="21">
      <t>ヨウ</t>
    </rPh>
    <phoneticPr fontId="2"/>
  </si>
  <si>
    <t>PYFZ-08</t>
    <phoneticPr fontId="2"/>
  </si>
  <si>
    <t>ミニパワーリレーソケット（オムロン）</t>
    <phoneticPr fontId="2"/>
  </si>
  <si>
    <t>PYC-A1</t>
    <phoneticPr fontId="2"/>
  </si>
  <si>
    <t>保持金具（オムロン）</t>
    <rPh sb="0" eb="2">
      <t>ホジ</t>
    </rPh>
    <rPh sb="2" eb="4">
      <t>カナグ</t>
    </rPh>
    <phoneticPr fontId="2"/>
  </si>
  <si>
    <t>SMC</t>
    <phoneticPr fontId="2"/>
  </si>
  <si>
    <t>AW20-01BG-A</t>
    <phoneticPr fontId="2"/>
  </si>
  <si>
    <t xml:space="preserve">フィルターレギュレータ(SMC) </t>
    <phoneticPr fontId="2"/>
  </si>
  <si>
    <t>SF4BH32C</t>
    <phoneticPr fontId="2"/>
  </si>
  <si>
    <t>ライトカーテン（パナソニック）</t>
    <phoneticPr fontId="2"/>
  </si>
  <si>
    <t>2021/12/21←蛇の目への希望納期です。</t>
    <rPh sb="11" eb="12">
      <t>ジャ</t>
    </rPh>
    <rPh sb="13" eb="14">
      <t>メ</t>
    </rPh>
    <rPh sb="16" eb="18">
      <t>キボウ</t>
    </rPh>
    <rPh sb="18" eb="20">
      <t>ノウキ</t>
    </rPh>
    <phoneticPr fontId="2"/>
  </si>
  <si>
    <t>見積№3063448</t>
    <rPh sb="0" eb="2">
      <t>ミツ</t>
    </rPh>
    <phoneticPr fontId="2"/>
  </si>
  <si>
    <t>ミスミ</t>
  </si>
  <si>
    <t>MVSHM-3N02050012014-2L7-M6ULX</t>
    <phoneticPr fontId="2"/>
  </si>
  <si>
    <t>メビィー加工品 (蛇の目ｽｲｯﾁﾎﾞｯｸｽ取付板金)</t>
    <phoneticPr fontId="2"/>
  </si>
  <si>
    <t>蛇の目外部スイッチ取付ユニット</t>
    <rPh sb="0" eb="1">
      <t>ジャ</t>
    </rPh>
    <rPh sb="2" eb="3">
      <t>メ</t>
    </rPh>
    <rPh sb="3" eb="5">
      <t>ガイブ</t>
    </rPh>
    <rPh sb="9" eb="11">
      <t>トリツケ</t>
    </rPh>
    <phoneticPr fontId="2"/>
  </si>
  <si>
    <t>CBSTSR4-12</t>
    <phoneticPr fontId="2"/>
  </si>
  <si>
    <t>超極低頭六角穴付ボルト</t>
    <phoneticPr fontId="2"/>
  </si>
  <si>
    <t>ヘッド部ケーブルキャリアユニット</t>
    <phoneticPr fontId="2"/>
  </si>
  <si>
    <t>SZ16F-4-060-23</t>
    <phoneticPr fontId="2"/>
  </si>
  <si>
    <t>ケーブルキャリア</t>
    <phoneticPr fontId="2"/>
  </si>
  <si>
    <t>MVSHM-3N02052011019-2LA-RT25W</t>
    <phoneticPr fontId="2"/>
  </si>
  <si>
    <t>メビィー加工品 (ケーブルキャリア板金）</t>
    <phoneticPr fontId="2"/>
  </si>
  <si>
    <t>MVSHM-3N02052004009-2LA-4E82E</t>
    <phoneticPr fontId="2"/>
  </si>
  <si>
    <t>メビィー加工品 （ケーブルキャリアL曲げ板金）</t>
    <phoneticPr fontId="2"/>
  </si>
  <si>
    <t>SUNCO</t>
    <phoneticPr fontId="2"/>
  </si>
  <si>
    <t>CSPRD-SUS-M5-6</t>
    <phoneticPr fontId="2"/>
  </si>
  <si>
    <t>十字穴付（+）丸皿小ねじ(SUNCO）</t>
    <phoneticPr fontId="2"/>
  </si>
  <si>
    <t>APMTSL-N1-N1-L20</t>
    <phoneticPr fontId="2"/>
  </si>
  <si>
    <t>ねじ変換継手</t>
    <rPh sb="2" eb="4">
      <t>ヘンカン</t>
    </rPh>
    <rPh sb="4" eb="6">
      <t>ツギテ</t>
    </rPh>
    <phoneticPr fontId="2"/>
  </si>
  <si>
    <t>SV70液送継手</t>
    <rPh sb="4" eb="6">
      <t>エキソウ</t>
    </rPh>
    <rPh sb="6" eb="8">
      <t>ツギテ</t>
    </rPh>
    <phoneticPr fontId="2"/>
  </si>
  <si>
    <t>C1-ZSBC-19220079</t>
    <phoneticPr fontId="2"/>
  </si>
  <si>
    <t>ｾﾝｻZ曲げﾌﾞﾗｹｯﾄ （SVEM720取付板金）</t>
    <phoneticPr fontId="2"/>
  </si>
  <si>
    <t>SVEM720取付ユニット</t>
    <rPh sb="7" eb="9">
      <t>トリツケ</t>
    </rPh>
    <phoneticPr fontId="2"/>
  </si>
  <si>
    <t>R03J-JSP-F-2-5</t>
    <phoneticPr fontId="2"/>
  </si>
  <si>
    <t>R03コネクタ 中継ケーブル</t>
    <phoneticPr fontId="2"/>
  </si>
  <si>
    <t>SVC720F⇔SVEM720延長ケーブル</t>
    <rPh sb="15" eb="17">
      <t>エンチョウ</t>
    </rPh>
    <phoneticPr fontId="2"/>
  </si>
  <si>
    <t>MVSHM-3N02050017023-2L7-B2LH7</t>
    <phoneticPr fontId="2"/>
  </si>
  <si>
    <t>メビィー加工品 (SVC720F取付板金)</t>
    <phoneticPr fontId="2"/>
  </si>
  <si>
    <t>SVC720F取付ユニット</t>
    <rPh sb="7" eb="9">
      <t>トリツケ</t>
    </rPh>
    <phoneticPr fontId="2"/>
  </si>
  <si>
    <t>SHBD-ACW-A40-B40-T20-X5-F30-M4-H25-P10-L30-Z4-FC</t>
    <phoneticPr fontId="2"/>
  </si>
  <si>
    <t>シャフトホルダ</t>
    <phoneticPr fontId="2"/>
  </si>
  <si>
    <t>ツール治具ユニット</t>
    <rPh sb="3" eb="5">
      <t>ジグ</t>
    </rPh>
    <phoneticPr fontId="2"/>
  </si>
  <si>
    <t>MVBLK-AMW-2L7-S9RJJ</t>
    <phoneticPr fontId="2"/>
  </si>
  <si>
    <t>メビィー加工品 (ツール板)</t>
    <phoneticPr fontId="2"/>
  </si>
  <si>
    <t>MVSHM-3N02052008009-2GL-RD537</t>
    <phoneticPr fontId="2"/>
  </si>
  <si>
    <t>メビィー加工品 (IL-1000取付L板金(JC-3))</t>
    <phoneticPr fontId="2"/>
  </si>
  <si>
    <t>変位センサアンプ取付ユニット</t>
    <rPh sb="0" eb="2">
      <t>ヘンイ</t>
    </rPh>
    <rPh sb="8" eb="10">
      <t>トリツケ</t>
    </rPh>
    <phoneticPr fontId="2"/>
  </si>
  <si>
    <t>MRB-70</t>
    <phoneticPr fontId="2"/>
  </si>
  <si>
    <t>DINレール</t>
    <phoneticPr fontId="2"/>
  </si>
  <si>
    <t>MVSHM-3N02050005013-JPA25G7CB111AA</t>
  </si>
  <si>
    <t>SETA0010-Z04位置決めベース</t>
  </si>
  <si>
    <t>ノズル位置決め治具</t>
  </si>
  <si>
    <t>MVSHM-3N03002003003-JPA25GYD1111AA</t>
  </si>
  <si>
    <t>SETA0010-Z02角度切替ベース</t>
  </si>
  <si>
    <t>MVSHM-3N02050002004-JPA25GP0K111AA</t>
  </si>
  <si>
    <t>SETA0010-Z03角度切替ブラケット</t>
  </si>
  <si>
    <t>ASFCS-A27-B14-T0.3-D4.5-E6-C6-P15</t>
  </si>
  <si>
    <t>角シム</t>
    <rPh sb="0" eb="1">
      <t>カク</t>
    </rPh>
    <phoneticPr fontId="2"/>
  </si>
  <si>
    <t>JTDA-SUD-A27-B12-T2-X6-Y6-M4-L15-MA4</t>
  </si>
  <si>
    <t>板金（押え板）</t>
    <rPh sb="0" eb="2">
      <t>バンキン</t>
    </rPh>
    <rPh sb="3" eb="4">
      <t>オサ</t>
    </rPh>
    <rPh sb="5" eb="6">
      <t>イタ</t>
    </rPh>
    <phoneticPr fontId="2"/>
  </si>
  <si>
    <t>SUNCO</t>
  </si>
  <si>
    <t xml:space="preserve">CSPCSA-SUS-M4-4 </t>
    <phoneticPr fontId="2"/>
  </si>
  <si>
    <t>皿ネジ</t>
    <rPh sb="0" eb="1">
      <t>サラ</t>
    </rPh>
    <phoneticPr fontId="2"/>
  </si>
  <si>
    <t>捨て打ちユニット</t>
    <rPh sb="0" eb="1">
      <t>ス</t>
    </rPh>
    <rPh sb="2" eb="3">
      <t>ウ</t>
    </rPh>
    <phoneticPr fontId="2"/>
  </si>
  <si>
    <t>KBXS100-100</t>
  </si>
  <si>
    <t>金属ボックス</t>
    <rPh sb="0" eb="2">
      <t>キンゾク</t>
    </rPh>
    <phoneticPr fontId="2"/>
  </si>
  <si>
    <t>STXS100</t>
  </si>
  <si>
    <t>ボックス受け</t>
    <rPh sb="4" eb="5">
      <t>ウ</t>
    </rPh>
    <phoneticPr fontId="2"/>
  </si>
  <si>
    <t>MVSHM-3N03002009012-2DD-5RB3W</t>
    <phoneticPr fontId="2"/>
  </si>
  <si>
    <t>メビィー加工品 （SETE0044-Z10捨打板金）</t>
    <rPh sb="4" eb="7">
      <t>カコウヒン</t>
    </rPh>
    <phoneticPr fontId="2"/>
  </si>
  <si>
    <t>鍋屋バイテック</t>
    <rPh sb="0" eb="2">
      <t>ナベヤ</t>
    </rPh>
    <phoneticPr fontId="2"/>
  </si>
  <si>
    <t>SNSS-M3X5-SD-VA</t>
    <phoneticPr fontId="2"/>
  </si>
  <si>
    <t>小頭ボルト</t>
    <rPh sb="0" eb="1">
      <t>ショウ</t>
    </rPh>
    <rPh sb="1" eb="2">
      <t>トウ</t>
    </rPh>
    <phoneticPr fontId="2"/>
  </si>
  <si>
    <t>浸け置きカップユニット</t>
    <phoneticPr fontId="2"/>
  </si>
  <si>
    <t>FNT3</t>
  </si>
  <si>
    <t>袋ナット</t>
  </si>
  <si>
    <t>CHNS4</t>
  </si>
  <si>
    <t>蝶ナット</t>
  </si>
  <si>
    <t>RSCB4-12</t>
  </si>
  <si>
    <t>六角ボルト</t>
    <rPh sb="0" eb="2">
      <t>ロッカク</t>
    </rPh>
    <phoneticPr fontId="2"/>
  </si>
  <si>
    <t>HFSF5-2040-83-TPW</t>
  </si>
  <si>
    <t>アルミフレーム</t>
  </si>
  <si>
    <t>FWZJJ-D42-V38-PM5-H10-T15</t>
  </si>
  <si>
    <t>樹脂カラー</t>
    <rPh sb="0" eb="2">
      <t>ジュシ</t>
    </rPh>
    <phoneticPr fontId="2"/>
  </si>
  <si>
    <t>FCLJHJ-V16-D36-H40-T5-L12</t>
  </si>
  <si>
    <t>MVSHM-3N02050008012-2DE-ZNMDX</t>
    <phoneticPr fontId="2"/>
  </si>
  <si>
    <t>メビィー加工品 （SETE0044-Z11浸置板金）</t>
    <rPh sb="4" eb="7">
      <t>カコウヒン</t>
    </rPh>
    <phoneticPr fontId="2"/>
  </si>
  <si>
    <t>MVSHM-3N02050004007-2DE-KRDL9</t>
    <phoneticPr fontId="2"/>
  </si>
  <si>
    <t>メビィー加工品 （SETE0044-Z12カップ受け板金）</t>
    <rPh sb="4" eb="7">
      <t>カコウヒン</t>
    </rPh>
    <phoneticPr fontId="2"/>
  </si>
  <si>
    <t>ミスミ</t>
    <phoneticPr fontId="2"/>
  </si>
  <si>
    <t>JPLRS5-P8.0-B6.5</t>
    <phoneticPr fontId="2"/>
  </si>
  <si>
    <t>マーカーピン</t>
    <phoneticPr fontId="2"/>
  </si>
  <si>
    <t>ワークベース</t>
    <phoneticPr fontId="2"/>
  </si>
  <si>
    <t>JPLRS5-P6.0-B6.5</t>
    <phoneticPr fontId="2"/>
  </si>
  <si>
    <t>EFS6-3030-160</t>
  </si>
  <si>
    <t>□30アルミフレーム</t>
    <phoneticPr fontId="2"/>
  </si>
  <si>
    <t>上架台+上部扉ユニット</t>
  </si>
  <si>
    <t>EFS6-3030-265</t>
  </si>
  <si>
    <t>EFS6-3030-290</t>
  </si>
  <si>
    <t>EFS6-3030-455</t>
  </si>
  <si>
    <t>EFS6-3030-620</t>
  </si>
  <si>
    <t>EFS6-3030-670</t>
  </si>
  <si>
    <t>EFS6-3030-740</t>
  </si>
  <si>
    <t>EFS6-3030-880</t>
  </si>
  <si>
    <t>EFS6-3030-90</t>
  </si>
  <si>
    <t>EFS6-3030-990</t>
  </si>
  <si>
    <t>EFS6-3060-1047</t>
  </si>
  <si>
    <t>□30×60アルミフレーム</t>
    <phoneticPr fontId="2"/>
  </si>
  <si>
    <t>EFS6-3090-317</t>
  </si>
  <si>
    <t>□30×90アルミフレーム</t>
    <phoneticPr fontId="2"/>
  </si>
  <si>
    <t>HBLFSN6-C-SSP</t>
  </si>
  <si>
    <t>突起付反転ブラケット</t>
  </si>
  <si>
    <t>NBLTS6-C-SSP</t>
  </si>
  <si>
    <t>厚型ブラケット</t>
  </si>
  <si>
    <t>HFC6-3090-B</t>
  </si>
  <si>
    <t>アルミフレーム用フレームキャップ ボルト止めタイプ</t>
    <phoneticPr fontId="2"/>
  </si>
  <si>
    <t>HFCB6-3060-B</t>
  </si>
  <si>
    <t>UPCN21-B-36-SST</t>
  </si>
  <si>
    <t>樹脂取手</t>
    <phoneticPr fontId="2"/>
  </si>
  <si>
    <t>HHPNRK-S6-SST</t>
  </si>
  <si>
    <t>アルミ抜差し蝶番　抜差し蝶番</t>
  </si>
  <si>
    <t>HCBR6</t>
    <phoneticPr fontId="2"/>
  </si>
  <si>
    <t>パネルサポートブラケット</t>
    <phoneticPr fontId="2"/>
  </si>
  <si>
    <t>MVSHM-3N02000008009-2L8-YPR4P</t>
    <phoneticPr fontId="2"/>
  </si>
  <si>
    <t>メビィー加工品 (上架台下ケーブル開口パネル)</t>
    <phoneticPr fontId="2"/>
  </si>
  <si>
    <t>タキゲン製造</t>
    <rPh sb="4" eb="6">
      <t>セイゾウ</t>
    </rPh>
    <phoneticPr fontId="2"/>
  </si>
  <si>
    <t>C-30-SG-70B-EP-UL</t>
    <phoneticPr fontId="2"/>
  </si>
  <si>
    <t xml:space="preserve">膜付ｸﾞﾛメット（タキゲン製造） </t>
    <phoneticPr fontId="2"/>
  </si>
  <si>
    <t>HMER-ML</t>
    <phoneticPr fontId="2"/>
  </si>
  <si>
    <t>マグネットキャッチ取付プレート</t>
    <phoneticPr fontId="2"/>
  </si>
  <si>
    <t>HMER6-6</t>
    <phoneticPr fontId="2"/>
  </si>
  <si>
    <t>フレーム取付用センサ付マグネットキャッチセット</t>
    <phoneticPr fontId="2"/>
  </si>
  <si>
    <t>HMEN6-6</t>
    <phoneticPr fontId="2"/>
  </si>
  <si>
    <t>フレーム取付用マグネットキャッチセット</t>
    <phoneticPr fontId="2"/>
  </si>
  <si>
    <t>HFPAL6H-3-353-263-165-241-D7</t>
    <phoneticPr fontId="2"/>
  </si>
  <si>
    <t>カバープレート（天面手前）</t>
    <phoneticPr fontId="2"/>
  </si>
  <si>
    <t>HFPAL6H-3-353-158-165-136-D7</t>
    <phoneticPr fontId="2"/>
  </si>
  <si>
    <t>カバープレート（天面中）</t>
    <phoneticPr fontId="2"/>
  </si>
  <si>
    <t>HFPAL8H-3-453-353-216-165-D7</t>
    <phoneticPr fontId="2"/>
  </si>
  <si>
    <t xml:space="preserve">カバープレート（天面奥） </t>
    <phoneticPr fontId="2"/>
  </si>
  <si>
    <t xml:space="preserve">HFPAL6H-3-478-88-228-66-D7 </t>
    <phoneticPr fontId="2"/>
  </si>
  <si>
    <t>カバープレート（正面下）</t>
    <phoneticPr fontId="2"/>
  </si>
  <si>
    <t>HFPAL6H-3-288-159-133-137-D7</t>
    <phoneticPr fontId="2"/>
  </si>
  <si>
    <t>カバープレート（裏面下）</t>
    <phoneticPr fontId="2"/>
  </si>
  <si>
    <t>SHCBM5-8</t>
    <phoneticPr fontId="2"/>
  </si>
  <si>
    <t>十字穴付トラス小ねじ</t>
  </si>
  <si>
    <t>SHCBM5-15</t>
    <phoneticPr fontId="2"/>
  </si>
  <si>
    <t>上架台+上部扉ユニット</t>
    <phoneticPr fontId="2"/>
  </si>
  <si>
    <t xml:space="preserve">HFPAL8H-3-618-261-298-120-D7 </t>
    <phoneticPr fontId="2"/>
  </si>
  <si>
    <t>カバープレート（前面扉）</t>
    <phoneticPr fontId="2"/>
  </si>
  <si>
    <t>MVSHM-AW05003005005-2L8-LGEBT</t>
    <phoneticPr fontId="2"/>
  </si>
  <si>
    <t>メビィー加工品 (ガススプリング金具固定プレート)</t>
    <phoneticPr fontId="2"/>
  </si>
  <si>
    <t>上部扉ガズスプリングユニット</t>
    <phoneticPr fontId="2"/>
  </si>
  <si>
    <t>KNCLSS6-20-30</t>
    <phoneticPr fontId="2"/>
  </si>
  <si>
    <t>金属カラー</t>
    <rPh sb="0" eb="2">
      <t>キンゾク</t>
    </rPh>
    <phoneticPr fontId="2"/>
  </si>
  <si>
    <t>KYB</t>
    <phoneticPr fontId="2"/>
  </si>
  <si>
    <t xml:space="preserve">KSF80-5 </t>
    <phoneticPr fontId="2"/>
  </si>
  <si>
    <t>ガススプリング(KYB)</t>
    <phoneticPr fontId="2"/>
  </si>
  <si>
    <t>GSBR8D-S</t>
    <phoneticPr fontId="2"/>
  </si>
  <si>
    <t>ガススプリング取付用ブラケット</t>
    <phoneticPr fontId="2"/>
  </si>
  <si>
    <t>GSBR8A-S</t>
    <phoneticPr fontId="2"/>
  </si>
  <si>
    <t>SCB6-40</t>
    <phoneticPr fontId="2"/>
  </si>
  <si>
    <t>六角穴付ボルト</t>
    <rPh sb="0" eb="2">
      <t>ロッカク</t>
    </rPh>
    <rPh sb="2" eb="4">
      <t>アナツ</t>
    </rPh>
    <phoneticPr fontId="2"/>
  </si>
  <si>
    <t>WSSS20-5-5</t>
    <phoneticPr fontId="2"/>
  </si>
  <si>
    <t>金属ワッシャ</t>
    <rPh sb="0" eb="2">
      <t>キンゾク</t>
    </rPh>
    <phoneticPr fontId="2"/>
  </si>
  <si>
    <t>ブラックライト取付ユニット</t>
    <rPh sb="7" eb="9">
      <t>トリツケ</t>
    </rPh>
    <phoneticPr fontId="2"/>
  </si>
  <si>
    <t>SSHS-M5X12-VA</t>
    <phoneticPr fontId="2"/>
  </si>
  <si>
    <t>六角穴付き極低頭ボルト（鍋屋バイテック）</t>
    <phoneticPr fontId="2"/>
  </si>
  <si>
    <t>3M-5</t>
    <phoneticPr fontId="2"/>
  </si>
  <si>
    <t>ＡＣコード（5ｍ）</t>
    <phoneticPr fontId="2"/>
  </si>
  <si>
    <t>MVSHM-3N03002004006-2P7-4PPLP</t>
    <phoneticPr fontId="2"/>
  </si>
  <si>
    <t>メビィー加工品 (ライトカーテン取付板金)</t>
    <phoneticPr fontId="2"/>
  </si>
  <si>
    <t>ライトカーテン取付ユニット</t>
    <rPh sb="7" eb="9">
      <t>トリツケ</t>
    </rPh>
    <phoneticPr fontId="2"/>
  </si>
  <si>
    <t>SSHS-M5X6-VA</t>
    <phoneticPr fontId="2"/>
  </si>
  <si>
    <t>SSHS-M5X10-VA</t>
    <phoneticPr fontId="2"/>
  </si>
  <si>
    <t>SCB6-30</t>
    <phoneticPr fontId="2"/>
  </si>
  <si>
    <t>六角穴付ボルト</t>
    <phoneticPr fontId="2"/>
  </si>
  <si>
    <t>ファン+ダクトユニット</t>
    <phoneticPr fontId="2"/>
  </si>
  <si>
    <t>パトライト</t>
    <phoneticPr fontId="2"/>
  </si>
  <si>
    <t>LR4-302LJBW-RYG</t>
    <phoneticPr fontId="2"/>
  </si>
  <si>
    <t>シグナルタワー積層信号灯（パトライト）</t>
    <phoneticPr fontId="2"/>
  </si>
  <si>
    <t>シグナルタワーユニット</t>
    <phoneticPr fontId="2"/>
  </si>
  <si>
    <t>自作ユニット品（LR4ユニット）（パトライト）</t>
    <rPh sb="0" eb="2">
      <t>ジサク</t>
    </rPh>
    <rPh sb="6" eb="7">
      <t>ヒン</t>
    </rPh>
    <phoneticPr fontId="2"/>
  </si>
  <si>
    <t>WSSS20-5-3</t>
    <phoneticPr fontId="2"/>
  </si>
  <si>
    <t>FSLAS-AMW-T3.0-A30-B30-L30-H15-N8-S15-NA8</t>
    <phoneticPr fontId="2"/>
  </si>
  <si>
    <t>L板金 （上下架台接続ブラケット）</t>
    <rPh sb="1" eb="3">
      <t>バンキン</t>
    </rPh>
    <rPh sb="5" eb="7">
      <t>ジョウゲ</t>
    </rPh>
    <rPh sb="7" eb="9">
      <t>カダイ</t>
    </rPh>
    <rPh sb="9" eb="11">
      <t>セツゾク</t>
    </rPh>
    <phoneticPr fontId="2"/>
  </si>
  <si>
    <t>下架台+下架台扉ユニット</t>
    <phoneticPr fontId="2"/>
  </si>
  <si>
    <t>GNFS6-3060-679-SC</t>
    <phoneticPr fontId="2"/>
  </si>
  <si>
    <t>アルミフレーム30×60</t>
    <phoneticPr fontId="2"/>
  </si>
  <si>
    <t>NEFS6-3030-448</t>
  </si>
  <si>
    <t>アルミフレーム□30</t>
    <phoneticPr fontId="2"/>
  </si>
  <si>
    <t>NEFS6-3030-540</t>
  </si>
  <si>
    <t>NEFS6-3030-654</t>
  </si>
  <si>
    <t>NEFS6-3090-149</t>
    <phoneticPr fontId="2"/>
  </si>
  <si>
    <t>アルミフレーム30×90</t>
    <phoneticPr fontId="2"/>
  </si>
  <si>
    <t>NEFS6-3090-529</t>
    <phoneticPr fontId="2"/>
  </si>
  <si>
    <t>NFS6-6060-410-SC</t>
    <phoneticPr fontId="2"/>
  </si>
  <si>
    <t>アルミフレーム□60</t>
    <phoneticPr fontId="2"/>
  </si>
  <si>
    <t>NFS6-6060-540-SC</t>
    <phoneticPr fontId="2"/>
  </si>
  <si>
    <t>NFS6-6060-660-SC</t>
    <phoneticPr fontId="2"/>
  </si>
  <si>
    <t>NFS6-6060-680-SC</t>
    <phoneticPr fontId="2"/>
  </si>
  <si>
    <t>NFS6-6060-880-SC</t>
    <phoneticPr fontId="2"/>
  </si>
  <si>
    <t>HBLFSSW6-C-SSP</t>
  </si>
  <si>
    <t>HBLFTD6-C-SSP</t>
  </si>
  <si>
    <t>突起付ブラケット</t>
  </si>
  <si>
    <t>HCBM5-8</t>
  </si>
  <si>
    <t>SHFBS5-10</t>
  </si>
  <si>
    <t>六角穴付皿ねじ</t>
  </si>
  <si>
    <t>HFCB6-3030-B</t>
  </si>
  <si>
    <t>6シリーズ(溝幅８ｍｍ) アルミフレーム用フレームキャップ ボルト止めタイプ</t>
  </si>
  <si>
    <t>HCFT6-250-SET</t>
  </si>
  <si>
    <t>一体型キャスタ＆アジャスタパッド</t>
  </si>
  <si>
    <t>HNTTSN6-5</t>
  </si>
  <si>
    <t>6シリーズ(溝幅8mm) 30・60角アルミフレーム用先入れナット</t>
  </si>
  <si>
    <t>PASUS4H-483-308-2-F386-G286-N5</t>
    <phoneticPr fontId="2"/>
  </si>
  <si>
    <t>ステンレスパネル（下架台底面手前）</t>
    <rPh sb="9" eb="12">
      <t>シタカダイ</t>
    </rPh>
    <rPh sb="12" eb="14">
      <t>ソコメン</t>
    </rPh>
    <rPh sb="14" eb="16">
      <t>テマエ</t>
    </rPh>
    <phoneticPr fontId="2"/>
  </si>
  <si>
    <t>MVSHM-3N02000030040-2N7-G58AT</t>
    <phoneticPr fontId="2"/>
  </si>
  <si>
    <t>メビィー加工品 (下架台底板奥)</t>
    <phoneticPr fontId="2"/>
  </si>
  <si>
    <t>UHFNG125</t>
  </si>
  <si>
    <t>フレーム用取手</t>
  </si>
  <si>
    <t>HHPNLK-S6-SST</t>
  </si>
  <si>
    <t>C-30-SG-42A-EP-UL</t>
    <phoneticPr fontId="2"/>
  </si>
  <si>
    <t>難燃性膜付グロメット（タキゲン製造）</t>
    <phoneticPr fontId="2"/>
  </si>
  <si>
    <t>MVSHM-3N02000080100-2NZ-FEW23</t>
    <phoneticPr fontId="2"/>
  </si>
  <si>
    <t>メビィー加工品 (下架台天板)</t>
    <phoneticPr fontId="2"/>
  </si>
  <si>
    <t>P1-JUDA-19212173</t>
    <phoneticPr fontId="2"/>
  </si>
  <si>
    <t>平型ブラケット</t>
    <rPh sb="0" eb="2">
      <t>ヒラガタ</t>
    </rPh>
    <phoneticPr fontId="2"/>
  </si>
  <si>
    <t>C-30-SG-30X90A-EP-UL</t>
    <phoneticPr fontId="2"/>
  </si>
  <si>
    <t>マグネットキャッチセット</t>
    <phoneticPr fontId="2"/>
  </si>
  <si>
    <t xml:space="preserve">HFPAL8H-3-538-408-258-193-D7 </t>
    <phoneticPr fontId="2"/>
  </si>
  <si>
    <t>カバープレート（下架台側面）</t>
    <phoneticPr fontId="2"/>
  </si>
  <si>
    <t xml:space="preserve">HFPAL6H-3-538-84-258-62-D7 </t>
    <phoneticPr fontId="2"/>
  </si>
  <si>
    <t>カバープレート（下架台裏面左右）</t>
    <phoneticPr fontId="2"/>
  </si>
  <si>
    <t xml:space="preserve">HFPAL6H-3-446-103-212-81-D7 </t>
    <phoneticPr fontId="2"/>
  </si>
  <si>
    <t>カバープレート（下架台裏面上）</t>
    <phoneticPr fontId="2"/>
  </si>
  <si>
    <t xml:space="preserve">HFPAL6H-3-478-147-228-125-D7 </t>
    <phoneticPr fontId="2"/>
  </si>
  <si>
    <t>カバープレート（下架台扉右）</t>
    <phoneticPr fontId="2"/>
  </si>
  <si>
    <t>HFPAL8H-3-527-478-252-228-D7</t>
    <phoneticPr fontId="2"/>
  </si>
  <si>
    <t>カバープレート（下架台扉左）</t>
    <phoneticPr fontId="2"/>
  </si>
  <si>
    <t>PRGLSS-500</t>
    <phoneticPr fontId="2"/>
  </si>
  <si>
    <t>安全保護材</t>
    <phoneticPr fontId="2"/>
  </si>
  <si>
    <t>SHNTP6-3</t>
    <phoneticPr fontId="2"/>
  </si>
  <si>
    <t>アルミフレーム用後入れバネナット</t>
    <rPh sb="7" eb="8">
      <t>ヨウ</t>
    </rPh>
    <rPh sb="8" eb="10">
      <t>アトイ</t>
    </rPh>
    <phoneticPr fontId="2"/>
  </si>
  <si>
    <t>SHNTP6-4</t>
  </si>
  <si>
    <t>SHNTP6-5</t>
  </si>
  <si>
    <t>SHNTP6-6</t>
  </si>
  <si>
    <t>NEFS6-3060-490</t>
    <phoneticPr fontId="2"/>
  </si>
  <si>
    <t>タンクスライドユニット</t>
    <phoneticPr fontId="2"/>
  </si>
  <si>
    <t>HFCB6-3060-B</t>
    <phoneticPr fontId="2"/>
  </si>
  <si>
    <t>アルミフレームキャップ ボルト止めタイプ</t>
    <phoneticPr fontId="2"/>
  </si>
  <si>
    <t>HBLFSN6-C-SSP</t>
    <phoneticPr fontId="2"/>
  </si>
  <si>
    <t>突起付ブラケット</t>
    <phoneticPr fontId="2"/>
  </si>
  <si>
    <t>SSRP2714</t>
    <phoneticPr fontId="2"/>
  </si>
  <si>
    <t>スライドレール</t>
    <phoneticPr fontId="2"/>
  </si>
  <si>
    <t>UWANCS6-66</t>
    <phoneticPr fontId="2"/>
  </si>
  <si>
    <t>つまみ取手</t>
    <phoneticPr fontId="2"/>
  </si>
  <si>
    <t>SSHS-M4-5</t>
    <phoneticPr fontId="2"/>
  </si>
  <si>
    <t>SSHS-M4X8</t>
    <phoneticPr fontId="2"/>
  </si>
  <si>
    <t>RSAS-PS-400-400-200-K-WB2105120290</t>
    <phoneticPr fontId="2"/>
  </si>
  <si>
    <t>Web設計ボックス</t>
    <phoneticPr fontId="2"/>
  </si>
  <si>
    <t>I/O制御ボックス</t>
    <phoneticPr fontId="2"/>
  </si>
  <si>
    <t>MRB-300</t>
    <phoneticPr fontId="2"/>
  </si>
  <si>
    <t>MRB-120</t>
    <phoneticPr fontId="2"/>
  </si>
  <si>
    <t>タカチ電機工業</t>
    <rPh sb="3" eb="5">
      <t>デンキ</t>
    </rPh>
    <rPh sb="5" eb="7">
      <t>コウギョウ</t>
    </rPh>
    <phoneticPr fontId="2"/>
  </si>
  <si>
    <t>TKR-TWE1</t>
    <phoneticPr fontId="2"/>
  </si>
  <si>
    <t>DINレール止め金具（タカチ電機工業）</t>
    <phoneticPr fontId="2"/>
  </si>
  <si>
    <t>MWS-DS37A-HT37</t>
    <phoneticPr fontId="2"/>
  </si>
  <si>
    <t>Dsubコネクタ端子台</t>
    <phoneticPr fontId="2"/>
  </si>
  <si>
    <t>MWS-DS25B-HT25</t>
    <phoneticPr fontId="2"/>
  </si>
  <si>
    <t>MWI-COM-P10N10</t>
    <phoneticPr fontId="2"/>
  </si>
  <si>
    <t>P/Nコモン端子台</t>
    <phoneticPr fontId="2"/>
  </si>
  <si>
    <t>興和化成</t>
    <rPh sb="0" eb="4">
      <t>コウワカセイ</t>
    </rPh>
    <phoneticPr fontId="2"/>
  </si>
  <si>
    <t>KD-36-20-T</t>
    <phoneticPr fontId="2"/>
  </si>
  <si>
    <t>カッチンダクト（興和化成）</t>
    <phoneticPr fontId="2"/>
  </si>
  <si>
    <t>C-30-SG-100A-EP-UL</t>
    <phoneticPr fontId="2"/>
  </si>
  <si>
    <t>膜付ｸﾞﾛメット（タキゲン製造）</t>
    <phoneticPr fontId="2"/>
  </si>
  <si>
    <t>MDM-PS-A-37-3</t>
    <phoneticPr fontId="2"/>
  </si>
  <si>
    <t>Dsubコネクタハーネス</t>
    <phoneticPr fontId="2"/>
  </si>
  <si>
    <t>I/O-SYS⇔端子台ケーブル</t>
    <rPh sb="8" eb="11">
      <t>タンシダイ</t>
    </rPh>
    <phoneticPr fontId="2"/>
  </si>
  <si>
    <t>MDM-PS-A-25-3</t>
    <phoneticPr fontId="2"/>
  </si>
  <si>
    <t>I/O-1⇔端子台ケーブル</t>
    <rPh sb="6" eb="9">
      <t>タンシダイ</t>
    </rPh>
    <phoneticPr fontId="2"/>
  </si>
  <si>
    <t>SVC720F⇔端子台ケーブル</t>
    <rPh sb="8" eb="11">
      <t>タンシダイ</t>
    </rPh>
    <phoneticPr fontId="2"/>
  </si>
  <si>
    <t>大同端子製造</t>
    <rPh sb="0" eb="4">
      <t>ダイドウタンシ</t>
    </rPh>
    <rPh sb="4" eb="6">
      <t>セイゾウ</t>
    </rPh>
    <phoneticPr fontId="2"/>
  </si>
  <si>
    <t>F1.25-M3</t>
    <phoneticPr fontId="2"/>
  </si>
  <si>
    <t>裸圧着端子 Y型（大同端子製造）</t>
    <phoneticPr fontId="2"/>
  </si>
  <si>
    <t>＊組立課在庫品</t>
    <rPh sb="1" eb="3">
      <t>クミタテ</t>
    </rPh>
    <rPh sb="3" eb="4">
      <t>カ</t>
    </rPh>
    <rPh sb="4" eb="6">
      <t>ザイコ</t>
    </rPh>
    <rPh sb="6" eb="7">
      <t>ヒン</t>
    </rPh>
    <phoneticPr fontId="2"/>
  </si>
  <si>
    <t>NAUL1007-20-BE-10</t>
    <phoneticPr fontId="2"/>
  </si>
  <si>
    <t>単芯電線UL</t>
    <phoneticPr fontId="2"/>
  </si>
  <si>
    <t>MVSHM-3N03052018018-2L9-C1ERL</t>
    <phoneticPr fontId="2"/>
  </si>
  <si>
    <t>メビィー加工品 (ケースブレーカ取付板金)</t>
    <phoneticPr fontId="2"/>
  </si>
  <si>
    <t>RM20S-12B</t>
    <phoneticPr fontId="2"/>
  </si>
  <si>
    <t xml:space="preserve">ケーブルグランド（タカチ電機工業) </t>
    <phoneticPr fontId="2"/>
  </si>
  <si>
    <t>ULJP-C-ULJPSS-5</t>
    <phoneticPr fontId="2"/>
  </si>
  <si>
    <t>ACコード（15A 5m）</t>
    <phoneticPr fontId="2"/>
  </si>
  <si>
    <t>サンワサプライ</t>
    <phoneticPr fontId="2"/>
  </si>
  <si>
    <t>TAP-K6-5</t>
    <phoneticPr fontId="2"/>
  </si>
  <si>
    <t>電源タップ6個口（サンワサプライ）</t>
    <phoneticPr fontId="2"/>
  </si>
  <si>
    <t>TAP-CAPMULTGY</t>
    <phoneticPr fontId="2"/>
  </si>
  <si>
    <t>コンセントマルチキャップ（サンワサプライ）</t>
    <phoneticPr fontId="2"/>
  </si>
  <si>
    <t>MVSHM-3N03052008015-2L9-RJFP1</t>
    <phoneticPr fontId="2"/>
  </si>
  <si>
    <t>メビィー加工品 (AW20取付板金)</t>
    <phoneticPr fontId="2"/>
  </si>
  <si>
    <t>MSELL8-1</t>
    <phoneticPr fontId="2"/>
  </si>
  <si>
    <t>エア継手 エルボ</t>
    <phoneticPr fontId="2"/>
  </si>
  <si>
    <t>USTE6</t>
    <phoneticPr fontId="2"/>
  </si>
  <si>
    <t>エア継手 2口ターンエルボ</t>
    <phoneticPr fontId="2"/>
  </si>
  <si>
    <t>UJDST6-B</t>
    <phoneticPr fontId="2"/>
  </si>
  <si>
    <t>エア継手 異径ユニオンストレート</t>
    <phoneticPr fontId="2"/>
  </si>
  <si>
    <t xml:space="preserve">USSTL6 </t>
    <phoneticPr fontId="2"/>
  </si>
  <si>
    <t>ワンタッチ継手ユニオンストレート</t>
    <phoneticPr fontId="2"/>
  </si>
  <si>
    <t>RS232C-9PU-9SU-CR1-E-3</t>
    <phoneticPr fontId="2"/>
  </si>
  <si>
    <t>Ｄsub9芯⇔Dsub9芯 RS232C通信専用</t>
    <phoneticPr fontId="2"/>
  </si>
  <si>
    <t>バーコードリーダー通信用ケーブル</t>
    <rPh sb="9" eb="11">
      <t>ツウシン</t>
    </rPh>
    <rPh sb="11" eb="12">
      <t>ヨウ</t>
    </rPh>
    <phoneticPr fontId="2"/>
  </si>
  <si>
    <t>ヒロセ電機</t>
    <rPh sb="3" eb="5">
      <t>デンキ</t>
    </rPh>
    <phoneticPr fontId="2"/>
  </si>
  <si>
    <t>HD-LN(4-40)(08)</t>
    <phoneticPr fontId="2"/>
  </si>
  <si>
    <t>Dsubｺﾈｸﾀ　中継接続用ロック金具（ヒロセ電機）</t>
    <rPh sb="23" eb="25">
      <t>デンキ</t>
    </rPh>
    <phoneticPr fontId="2"/>
  </si>
  <si>
    <t>未来工業</t>
    <rPh sb="0" eb="4">
      <t>ミライコウギョウ</t>
    </rPh>
    <phoneticPr fontId="2"/>
  </si>
  <si>
    <t>モノタロウ</t>
    <phoneticPr fontId="2"/>
  </si>
  <si>
    <t>PYPIC-1510　（注文コード:49556018)</t>
    <rPh sb="12" eb="14">
      <t>チュウモン</t>
    </rPh>
    <phoneticPr fontId="2"/>
  </si>
  <si>
    <t>換気パイプ用異径カップリング(未来工業）</t>
    <phoneticPr fontId="2"/>
  </si>
  <si>
    <t>マルエム</t>
  </si>
  <si>
    <t>モノタロウ</t>
  </si>
  <si>
    <t>0615-04（注文コード：26979137）</t>
    <rPh sb="8" eb="10">
      <t>チュウモン</t>
    </rPh>
    <phoneticPr fontId="2"/>
  </si>
  <si>
    <t>ネオ・ミニカップ（No.30）＊100個入り</t>
    <rPh sb="19" eb="20">
      <t>コ</t>
    </rPh>
    <rPh sb="20" eb="21">
      <t>イ</t>
    </rPh>
    <phoneticPr fontId="2"/>
  </si>
  <si>
    <t>タイショー</t>
    <phoneticPr fontId="2"/>
  </si>
  <si>
    <t>120073-Z07</t>
    <phoneticPr fontId="2"/>
  </si>
  <si>
    <t>タンク固定受け板金</t>
    <phoneticPr fontId="2"/>
  </si>
  <si>
    <t>見積№21TM-0275-01</t>
    <rPh sb="0" eb="3">
      <t>ミツモリナンバー</t>
    </rPh>
    <phoneticPr fontId="2"/>
  </si>
  <si>
    <t>120073-Z08</t>
    <phoneticPr fontId="2"/>
  </si>
  <si>
    <t>スライドレール取付板金</t>
    <phoneticPr fontId="2"/>
  </si>
  <si>
    <t>164884-Y01</t>
    <phoneticPr fontId="2"/>
  </si>
  <si>
    <t>バルブホルダ</t>
    <phoneticPr fontId="2"/>
  </si>
  <si>
    <t>SETD0056-X01</t>
    <phoneticPr fontId="2"/>
  </si>
  <si>
    <t>ワークベース</t>
  </si>
  <si>
    <t>SETD0056-Z03</t>
    <phoneticPr fontId="2"/>
  </si>
  <si>
    <t>ケーブルキャリア板金(JR3404)</t>
    <phoneticPr fontId="2"/>
  </si>
  <si>
    <r>
      <t>LR4-E-C</t>
    </r>
    <r>
      <rPr>
        <sz val="11"/>
        <color rgb="FFFF0000"/>
        <rFont val="ＭＳ Ｐゴシック"/>
        <family val="3"/>
        <charset val="128"/>
        <scheme val="minor"/>
      </rPr>
      <t xml:space="preserve"> →注文停止</t>
    </r>
    <phoneticPr fontId="2"/>
  </si>
  <si>
    <t xml:space="preserve">LR4-E-C </t>
    <phoneticPr fontId="2"/>
  </si>
  <si>
    <r>
      <t>GLDU-PT-WA-9-5-00F→　</t>
    </r>
    <r>
      <rPr>
        <sz val="11"/>
        <color rgb="FF0070C0"/>
        <rFont val="ＭＳ Ｐゴシック"/>
        <family val="3"/>
        <charset val="128"/>
        <scheme val="minor"/>
      </rPr>
      <t>注文停止 DSDU-PT-MS-9-5-00Fへ変更</t>
    </r>
    <phoneticPr fontId="2"/>
  </si>
  <si>
    <t>%SC2106-0899J-HFPAL-1</t>
    <phoneticPr fontId="2"/>
  </si>
  <si>
    <t>%SC2110-3713J-HFPAL</t>
    <phoneticPr fontId="2"/>
  </si>
  <si>
    <t>ミスミ</t>
    <phoneticPr fontId="2"/>
  </si>
  <si>
    <t>191374(SAITO-TETSU)で発注済</t>
    <rPh sb="20" eb="23">
      <t>ハッチュウスミ</t>
    </rPh>
    <phoneticPr fontId="2"/>
  </si>
  <si>
    <t>カバープレート（側面） HFPAL-3追加工品</t>
    <rPh sb="22" eb="23">
      <t>ヒン</t>
    </rPh>
    <phoneticPr fontId="2"/>
  </si>
  <si>
    <t>カバープレート（裏面上） HFPAL-3追加品</t>
    <rPh sb="22" eb="23">
      <t>ヒン</t>
    </rPh>
    <phoneticPr fontId="2"/>
  </si>
  <si>
    <t>PASUS4H-408-308-2-F386-G286-N5</t>
  </si>
  <si>
    <t>EA463HE-150</t>
    <phoneticPr fontId="2"/>
  </si>
  <si>
    <t>エスコ</t>
    <phoneticPr fontId="2"/>
  </si>
  <si>
    <t>ホースクランプ(エスコ)</t>
    <phoneticPr fontId="2"/>
  </si>
  <si>
    <t>換気パイプ用異径ソケット(未来工業）</t>
  </si>
  <si>
    <t>送料</t>
    <rPh sb="0" eb="2">
      <t>ソウリョウ</t>
    </rPh>
    <phoneticPr fontId="2"/>
  </si>
  <si>
    <t>PYPIS-1510（注文コード：49556045）</t>
    <phoneticPr fontId="2"/>
  </si>
  <si>
    <t>※今回かかりませんでした</t>
    <rPh sb="1" eb="3">
      <t>コンカイ</t>
    </rPh>
    <phoneticPr fontId="2"/>
  </si>
  <si>
    <t>1/19松本さんへ</t>
    <rPh sb="4" eb="6">
      <t>マツモト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</si>
</sst>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m/d;@"/>
    <numFmt numFmtId="178" formatCode="m&quot;月&quot;d&quot;日&quot;;@"/>
    <numFmt numFmtId="179" formatCode="0_);[Red]\(0\)"/>
    <numFmt numFmtId="180" formatCode="0_ ;[Red]\-0\ "/>
  </numFmts>
  <fonts count="14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00B0F0"/>
      <name val="ＭＳ Ｐゴシック"/>
      <family val="3"/>
      <charset val="128"/>
      <scheme val="minor"/>
    </font>
    <font>
      <sz val="11"/>
      <color rgb="FF0070C0"/>
      <name val="ＭＳ Ｐゴシック"/>
      <family val="3"/>
      <charset val="128"/>
      <scheme val="minor"/>
    </font>
    <font>
      <b/>
      <sz val="20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6" fillId="0" borderId="0"/>
    <xf numFmtId="0" fontId="1" fillId="0" borderId="0">
      <alignment vertical="center"/>
    </xf>
  </cellStyleXfs>
  <cellXfs count="132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1" xfId="0" applyFill="1" applyBorder="1" applyAlignment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7" fontId="0" fillId="0" borderId="0" xfId="0" applyNumberFormat="1">
      <alignment vertical="center"/>
    </xf>
    <xf numFmtId="177" fontId="0" fillId="0" borderId="1" xfId="0" applyNumberFormat="1" applyFill="1" applyBorder="1" applyAlignment="1">
      <alignment horizontal="center" vertical="center"/>
    </xf>
    <xf numFmtId="38" fontId="0" fillId="0" borderId="1" xfId="0" applyNumberFormat="1" applyFill="1" applyBorder="1" applyAlignment="1">
      <alignment horizontal="right" vertical="center"/>
    </xf>
    <xf numFmtId="3" fontId="0" fillId="0" borderId="1" xfId="0" applyNumberFormat="1" applyFont="1" applyFill="1" applyBorder="1" applyAlignment="1">
      <alignment horizontal="center" vertical="center"/>
    </xf>
    <xf numFmtId="38" fontId="0" fillId="0" borderId="1" xfId="0" applyNumberFormat="1" applyFont="1" applyFill="1" applyBorder="1" applyAlignment="1">
      <alignment vertical="center"/>
    </xf>
    <xf numFmtId="49" fontId="7" fillId="0" borderId="1" xfId="0" applyNumberFormat="1" applyFont="1" applyFill="1" applyBorder="1" applyAlignment="1">
      <alignment vertical="center"/>
    </xf>
    <xf numFmtId="56" fontId="0" fillId="0" borderId="1" xfId="0" applyNumberForma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>
      <alignment vertical="center"/>
    </xf>
    <xf numFmtId="179" fontId="0" fillId="0" borderId="1" xfId="0" applyNumberFormat="1" applyFont="1" applyFill="1" applyBorder="1" applyAlignment="1">
      <alignment horizontal="righ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/>
    </xf>
    <xf numFmtId="3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 vertical="center"/>
    </xf>
    <xf numFmtId="38" fontId="4" fillId="0" borderId="1" xfId="0" applyNumberFormat="1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3" fontId="8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178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56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38" fontId="0" fillId="3" borderId="1" xfId="0" applyNumberFormat="1" applyFill="1" applyBorder="1" applyAlignment="1">
      <alignment horizontal="right" vertical="center"/>
    </xf>
    <xf numFmtId="56" fontId="10" fillId="3" borderId="1" xfId="0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horizontal="left" vertical="center"/>
    </xf>
    <xf numFmtId="0" fontId="9" fillId="3" borderId="5" xfId="2" applyFont="1" applyFill="1" applyBorder="1" applyAlignment="1">
      <alignment vertical="center"/>
    </xf>
    <xf numFmtId="38" fontId="0" fillId="3" borderId="9" xfId="0" applyNumberFormat="1" applyFill="1" applyBorder="1" applyAlignment="1">
      <alignment horizontal="right" vertical="center"/>
    </xf>
    <xf numFmtId="0" fontId="0" fillId="3" borderId="5" xfId="0" applyFill="1" applyBorder="1" applyAlignment="1">
      <alignment horizontal="left" vertical="center"/>
    </xf>
    <xf numFmtId="178" fontId="0" fillId="3" borderId="0" xfId="0" applyNumberFormat="1" applyFill="1">
      <alignment vertical="center"/>
    </xf>
    <xf numFmtId="0" fontId="10" fillId="0" borderId="1" xfId="0" applyFont="1" applyFill="1" applyBorder="1" applyAlignment="1">
      <alignment horizontal="left" vertical="center"/>
    </xf>
    <xf numFmtId="0" fontId="8" fillId="3" borderId="1" xfId="0" applyFont="1" applyFill="1" applyBorder="1">
      <alignment vertical="center"/>
    </xf>
    <xf numFmtId="0" fontId="8" fillId="3" borderId="1" xfId="0" applyFont="1" applyFill="1" applyBorder="1" applyAlignment="1">
      <alignment horizontal="right" vertical="center"/>
    </xf>
    <xf numFmtId="38" fontId="0" fillId="3" borderId="1" xfId="0" applyNumberFormat="1" applyFill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0" fillId="3" borderId="1" xfId="0" applyFill="1" applyBorder="1">
      <alignment vertical="center"/>
    </xf>
    <xf numFmtId="38" fontId="8" fillId="3" borderId="1" xfId="0" applyNumberFormat="1" applyFont="1" applyFill="1" applyBorder="1" applyAlignment="1">
      <alignment horizontal="right" vertical="center"/>
    </xf>
    <xf numFmtId="38" fontId="8" fillId="3" borderId="1" xfId="0" applyNumberFormat="1" applyFont="1" applyFill="1" applyBorder="1">
      <alignment vertical="center"/>
    </xf>
    <xf numFmtId="0" fontId="8" fillId="3" borderId="8" xfId="0" applyFont="1" applyFill="1" applyBorder="1">
      <alignment vertical="center"/>
    </xf>
    <xf numFmtId="0" fontId="8" fillId="3" borderId="5" xfId="0" applyFont="1" applyFill="1" applyBorder="1" applyAlignment="1">
      <alignment horizontal="right" vertical="center"/>
    </xf>
    <xf numFmtId="0" fontId="8" fillId="3" borderId="8" xfId="0" applyFont="1" applyFill="1" applyBorder="1" applyAlignment="1">
      <alignment horizontal="left" vertical="center"/>
    </xf>
    <xf numFmtId="0" fontId="8" fillId="3" borderId="5" xfId="2" applyFont="1" applyFill="1" applyBorder="1" applyAlignment="1">
      <alignment vertical="center"/>
    </xf>
    <xf numFmtId="38" fontId="8" fillId="3" borderId="9" xfId="0" applyNumberFormat="1" applyFont="1" applyFill="1" applyBorder="1" applyAlignment="1">
      <alignment horizontal="right" vertical="center"/>
    </xf>
    <xf numFmtId="0" fontId="8" fillId="3" borderId="5" xfId="0" applyFont="1" applyFill="1" applyBorder="1" applyAlignment="1">
      <alignment horizontal="left" vertical="center"/>
    </xf>
    <xf numFmtId="0" fontId="8" fillId="3" borderId="1" xfId="2" applyFont="1" applyFill="1" applyBorder="1" applyAlignment="1">
      <alignment vertical="center"/>
    </xf>
    <xf numFmtId="38" fontId="6" fillId="3" borderId="1" xfId="0" applyNumberFormat="1" applyFont="1" applyFill="1" applyBorder="1">
      <alignment vertical="center"/>
    </xf>
    <xf numFmtId="179" fontId="8" fillId="3" borderId="1" xfId="0" applyNumberFormat="1" applyFont="1" applyFill="1" applyBorder="1" applyAlignment="1">
      <alignment horizontal="right" vertical="center"/>
    </xf>
    <xf numFmtId="49" fontId="0" fillId="3" borderId="1" xfId="0" applyNumberFormat="1" applyFill="1" applyBorder="1" applyAlignment="1">
      <alignment horizontal="left" vertical="center"/>
    </xf>
    <xf numFmtId="179" fontId="0" fillId="3" borderId="1" xfId="0" applyNumberFormat="1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left" vertical="center"/>
    </xf>
    <xf numFmtId="179" fontId="0" fillId="3" borderId="1" xfId="0" applyNumberFormat="1" applyFill="1" applyBorder="1">
      <alignment vertical="center"/>
    </xf>
    <xf numFmtId="0" fontId="8" fillId="3" borderId="1" xfId="0" applyFont="1" applyFill="1" applyBorder="1" applyAlignment="1">
      <alignment vertical="center" wrapText="1"/>
    </xf>
    <xf numFmtId="179" fontId="8" fillId="3" borderId="0" xfId="0" applyNumberFormat="1" applyFont="1" applyFill="1" applyAlignment="1">
      <alignment horizontal="right" vertical="center"/>
    </xf>
    <xf numFmtId="38" fontId="0" fillId="3" borderId="3" xfId="0" applyNumberFormat="1" applyFill="1" applyBorder="1" applyAlignment="1">
      <alignment horizontal="right" vertical="center"/>
    </xf>
    <xf numFmtId="179" fontId="0" fillId="3" borderId="6" xfId="0" applyNumberFormat="1" applyFill="1" applyBorder="1">
      <alignment vertical="center"/>
    </xf>
    <xf numFmtId="3" fontId="10" fillId="3" borderId="1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1" xfId="0" applyFont="1" applyFill="1" applyBorder="1">
      <alignment vertical="center"/>
    </xf>
    <xf numFmtId="179" fontId="10" fillId="3" borderId="1" xfId="0" applyNumberFormat="1" applyFont="1" applyFill="1" applyBorder="1" applyAlignment="1">
      <alignment horizontal="right" vertical="center"/>
    </xf>
    <xf numFmtId="38" fontId="10" fillId="3" borderId="1" xfId="0" applyNumberFormat="1" applyFont="1" applyFill="1" applyBorder="1" applyAlignment="1">
      <alignment horizontal="right" vertical="center"/>
    </xf>
    <xf numFmtId="38" fontId="10" fillId="3" borderId="1" xfId="0" applyNumberFormat="1" applyFont="1" applyFill="1" applyBorder="1">
      <alignment vertical="center"/>
    </xf>
    <xf numFmtId="0" fontId="10" fillId="3" borderId="2" xfId="0" applyFont="1" applyFill="1" applyBorder="1" applyAlignment="1">
      <alignment horizontal="center" vertical="center"/>
    </xf>
    <xf numFmtId="0" fontId="8" fillId="3" borderId="0" xfId="0" applyFont="1" applyFill="1">
      <alignment vertical="center"/>
    </xf>
    <xf numFmtId="3" fontId="11" fillId="3" borderId="1" xfId="0" applyNumberFormat="1" applyFont="1" applyFill="1" applyBorder="1" applyAlignment="1">
      <alignment horizontal="center" vertical="center"/>
    </xf>
    <xf numFmtId="56" fontId="11" fillId="3" borderId="1" xfId="0" applyNumberFormat="1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56" fontId="0" fillId="3" borderId="1" xfId="0" applyNumberFormat="1" applyFont="1" applyFill="1" applyBorder="1" applyAlignment="1">
      <alignment horizontal="center" vertical="center"/>
    </xf>
    <xf numFmtId="178" fontId="8" fillId="3" borderId="1" xfId="0" applyNumberFormat="1" applyFont="1" applyFill="1" applyBorder="1" applyAlignment="1">
      <alignment horizontal="center" vertical="center"/>
    </xf>
    <xf numFmtId="56" fontId="8" fillId="3" borderId="1" xfId="0" applyNumberFormat="1" applyFont="1" applyFill="1" applyBorder="1" applyAlignment="1">
      <alignment horizontal="center" vertical="center"/>
    </xf>
    <xf numFmtId="177" fontId="8" fillId="3" borderId="1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80" fontId="8" fillId="3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 wrapText="1" shrinkToFit="1"/>
    </xf>
    <xf numFmtId="0" fontId="13" fillId="0" borderId="1" xfId="0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0" fontId="0" fillId="3" borderId="0" xfId="0" applyFill="1">
      <alignment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/>
    </xf>
    <xf numFmtId="3" fontId="0" fillId="0" borderId="3" xfId="0" applyNumberForma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horizontal="center" vertical="center"/>
    </xf>
    <xf numFmtId="179" fontId="0" fillId="0" borderId="3" xfId="0" applyNumberFormat="1" applyFont="1" applyFill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38" fontId="0" fillId="0" borderId="3" xfId="0" applyNumberFormat="1" applyFont="1" applyFill="1" applyBorder="1" applyAlignment="1">
      <alignment horizontal="right" vertical="center"/>
    </xf>
    <xf numFmtId="38" fontId="0" fillId="0" borderId="4" xfId="0" applyNumberFormat="1" applyFont="1" applyFill="1" applyBorder="1" applyAlignment="1">
      <alignment horizontal="right" vertical="center"/>
    </xf>
    <xf numFmtId="38" fontId="0" fillId="0" borderId="5" xfId="0" applyNumberFormat="1" applyFont="1" applyFill="1" applyBorder="1" applyAlignment="1">
      <alignment horizontal="right" vertical="center"/>
    </xf>
    <xf numFmtId="38" fontId="0" fillId="0" borderId="3" xfId="0" applyNumberFormat="1" applyFont="1" applyFill="1" applyBorder="1" applyAlignment="1">
      <alignment vertical="center"/>
    </xf>
    <xf numFmtId="38" fontId="0" fillId="0" borderId="4" xfId="0" applyNumberFormat="1" applyBorder="1" applyAlignment="1">
      <alignment vertical="center"/>
    </xf>
    <xf numFmtId="38" fontId="0" fillId="0" borderId="5" xfId="0" applyNumberFormat="1" applyBorder="1" applyAlignment="1">
      <alignment vertical="center"/>
    </xf>
    <xf numFmtId="56" fontId="0" fillId="0" borderId="3" xfId="0" applyNumberFormat="1" applyFill="1" applyBorder="1" applyAlignment="1">
      <alignment horizontal="center" vertical="center"/>
    </xf>
    <xf numFmtId="178" fontId="0" fillId="3" borderId="3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77" fontId="0" fillId="0" borderId="3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</cellXfs>
  <cellStyles count="4">
    <cellStyle name="標準" xfId="0" builtinId="0"/>
    <cellStyle name="標準 2" xfId="1" xr:uid="{00000000-0005-0000-0000-000001000000}"/>
    <cellStyle name="標準 3" xfId="3" xr:uid="{00000000-0005-0000-0000-000002000000}"/>
    <cellStyle name="標準_発注管理表" xfId="2" xr:uid="{00000000-0005-0000-0000-000003000000}"/>
  </cellStyles>
  <dxfs count="0"/>
  <tableStyles count="0" defaultTableStyle="TableStyleMedium9" defaultPivotStyle="PivotStyleLight16"/>
  <colors>
    <mruColors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41"/>
  <sheetViews>
    <sheetView tabSelected="1" zoomScaleNormal="100" workbookViewId="0">
      <pane xSplit="10" ySplit="8" topLeftCell="Q9" activePane="bottomRight" state="frozen"/>
      <selection pane="topRight" activeCell="K1" sqref="K1"/>
      <selection pane="bottomLeft" activeCell="A9" sqref="A9"/>
      <selection pane="bottomRight" activeCell="E7" sqref="E7"/>
    </sheetView>
  </sheetViews>
  <sheetFormatPr defaultRowHeight="13.5" x14ac:dyDescent="0.15"/>
  <cols>
    <col min="1" max="1" width="2.625" customWidth="1"/>
    <col min="2" max="2" width="5.625" style="5" customWidth="1"/>
    <col min="3" max="4" width="20.625" customWidth="1"/>
    <col min="5" max="5" width="63.5" customWidth="1"/>
    <col min="6" max="6" width="6.25" customWidth="1"/>
    <col min="7" max="8" width="9.875" bestFit="1" customWidth="1"/>
    <col min="9" max="9" width="5.75" style="9" customWidth="1"/>
    <col min="10" max="10" width="65.625" customWidth="1"/>
    <col min="11" max="11" width="35.625" style="34" customWidth="1"/>
    <col min="12" max="12" width="35.625" style="5" customWidth="1"/>
    <col min="13" max="13" width="13.75" style="12" customWidth="1"/>
    <col min="14" max="14" width="6.375" customWidth="1"/>
    <col min="15" max="15" width="13.625" style="9" customWidth="1"/>
    <col min="16" max="16" width="19.125" style="53" customWidth="1"/>
    <col min="17" max="17" width="15.625" style="16" customWidth="1"/>
  </cols>
  <sheetData>
    <row r="2" spans="2:17" ht="20.100000000000001" customHeight="1" x14ac:dyDescent="0.15">
      <c r="B2" s="102" t="s">
        <v>11</v>
      </c>
      <c r="C2" s="102"/>
      <c r="D2" s="102"/>
      <c r="E2" s="10" t="s">
        <v>30</v>
      </c>
      <c r="G2" s="103" t="s">
        <v>15</v>
      </c>
      <c r="H2" s="104"/>
      <c r="I2" s="105"/>
      <c r="J2" s="36">
        <f>SUM(H:H)</f>
        <v>1649579</v>
      </c>
      <c r="K2" s="33"/>
      <c r="L2" s="6"/>
    </row>
    <row r="3" spans="2:17" ht="20.100000000000001" customHeight="1" x14ac:dyDescent="0.15">
      <c r="B3" s="102" t="s">
        <v>10</v>
      </c>
      <c r="C3" s="102"/>
      <c r="D3" s="102"/>
      <c r="E3" s="7" t="s">
        <v>29</v>
      </c>
    </row>
    <row r="4" spans="2:17" ht="20.100000000000001" customHeight="1" x14ac:dyDescent="0.15">
      <c r="B4" s="102" t="s">
        <v>12</v>
      </c>
      <c r="C4" s="102"/>
      <c r="D4" s="102"/>
      <c r="E4" s="7">
        <v>191374</v>
      </c>
    </row>
    <row r="5" spans="2:17" ht="20.100000000000001" customHeight="1" x14ac:dyDescent="0.15">
      <c r="B5" s="102" t="s">
        <v>13</v>
      </c>
      <c r="C5" s="102"/>
      <c r="D5" s="102"/>
      <c r="E5" s="8" t="s">
        <v>99</v>
      </c>
    </row>
    <row r="6" spans="2:17" ht="20.100000000000001" customHeight="1" x14ac:dyDescent="0.15">
      <c r="B6" s="102" t="s">
        <v>14</v>
      </c>
      <c r="C6" s="102"/>
      <c r="D6" s="102"/>
      <c r="E6" s="8">
        <v>44589</v>
      </c>
    </row>
    <row r="8" spans="2:17" s="3" customFormat="1" ht="19.7" customHeight="1" x14ac:dyDescent="0.15">
      <c r="B8" s="4" t="s">
        <v>4</v>
      </c>
      <c r="C8" s="4" t="s">
        <v>9</v>
      </c>
      <c r="D8" s="4" t="s">
        <v>5</v>
      </c>
      <c r="E8" s="1" t="s">
        <v>8</v>
      </c>
      <c r="F8" s="1" t="s">
        <v>0</v>
      </c>
      <c r="G8" s="1" t="s">
        <v>1</v>
      </c>
      <c r="H8" s="2" t="s">
        <v>2</v>
      </c>
      <c r="I8" s="2" t="s">
        <v>18</v>
      </c>
      <c r="J8" s="1" t="s">
        <v>3</v>
      </c>
      <c r="K8" s="1" t="s">
        <v>17</v>
      </c>
      <c r="L8" s="1" t="s">
        <v>16</v>
      </c>
      <c r="M8" s="13" t="s">
        <v>6</v>
      </c>
      <c r="N8" s="4" t="s">
        <v>19</v>
      </c>
      <c r="O8" s="1" t="s">
        <v>7</v>
      </c>
      <c r="P8" s="43" t="s">
        <v>20</v>
      </c>
      <c r="Q8" s="17" t="s">
        <v>21</v>
      </c>
    </row>
    <row r="9" spans="2:17" s="3" customFormat="1" ht="19.7" customHeight="1" x14ac:dyDescent="0.15">
      <c r="B9" s="110">
        <v>1</v>
      </c>
      <c r="C9" s="111" t="s">
        <v>22</v>
      </c>
      <c r="D9" s="111" t="s">
        <v>22</v>
      </c>
      <c r="E9" s="27" t="s">
        <v>38</v>
      </c>
      <c r="F9" s="112">
        <v>1</v>
      </c>
      <c r="G9" s="115">
        <v>755000</v>
      </c>
      <c r="H9" s="118">
        <f t="shared" ref="H9" si="0">F9*G9</f>
        <v>755000</v>
      </c>
      <c r="I9" s="106"/>
      <c r="J9" s="126" t="s">
        <v>27</v>
      </c>
      <c r="K9" s="129" t="s">
        <v>37</v>
      </c>
      <c r="L9" s="106" t="s">
        <v>26</v>
      </c>
      <c r="M9" s="109">
        <v>44495</v>
      </c>
      <c r="N9" s="110"/>
      <c r="O9" s="121"/>
      <c r="P9" s="122">
        <v>44557</v>
      </c>
      <c r="Q9" s="125">
        <v>44557</v>
      </c>
    </row>
    <row r="10" spans="2:17" s="3" customFormat="1" ht="19.7" customHeight="1" x14ac:dyDescent="0.15">
      <c r="B10" s="107"/>
      <c r="C10" s="107"/>
      <c r="D10" s="107"/>
      <c r="E10" s="28" t="s">
        <v>39</v>
      </c>
      <c r="F10" s="113"/>
      <c r="G10" s="116"/>
      <c r="H10" s="119"/>
      <c r="I10" s="107"/>
      <c r="J10" s="127"/>
      <c r="K10" s="130"/>
      <c r="L10" s="107"/>
      <c r="M10" s="107"/>
      <c r="N10" s="107"/>
      <c r="O10" s="107"/>
      <c r="P10" s="123"/>
      <c r="Q10" s="107"/>
    </row>
    <row r="11" spans="2:17" s="3" customFormat="1" ht="19.7" customHeight="1" x14ac:dyDescent="0.15">
      <c r="B11" s="108"/>
      <c r="C11" s="108"/>
      <c r="D11" s="108"/>
      <c r="E11" s="29" t="s">
        <v>31</v>
      </c>
      <c r="F11" s="114"/>
      <c r="G11" s="117"/>
      <c r="H11" s="120"/>
      <c r="I11" s="108"/>
      <c r="J11" s="128"/>
      <c r="K11" s="131"/>
      <c r="L11" s="108"/>
      <c r="M11" s="108"/>
      <c r="N11" s="108"/>
      <c r="O11" s="108"/>
      <c r="P11" s="124"/>
      <c r="Q11" s="108"/>
    </row>
    <row r="12" spans="2:17" s="3" customFormat="1" ht="19.7" customHeight="1" x14ac:dyDescent="0.15">
      <c r="B12" s="4">
        <v>1</v>
      </c>
      <c r="C12" s="19" t="s">
        <v>22</v>
      </c>
      <c r="D12" s="19" t="s">
        <v>22</v>
      </c>
      <c r="E12" s="25" t="s">
        <v>23</v>
      </c>
      <c r="F12" s="26">
        <v>1</v>
      </c>
      <c r="G12" s="18">
        <v>14000</v>
      </c>
      <c r="H12" s="20">
        <f t="shared" ref="H12:H14" si="1">F12*G12</f>
        <v>14000</v>
      </c>
      <c r="I12" s="2"/>
      <c r="J12" s="11"/>
      <c r="K12" s="54" t="s">
        <v>40</v>
      </c>
      <c r="L12" s="1" t="s">
        <v>26</v>
      </c>
      <c r="M12" s="13">
        <v>44495</v>
      </c>
      <c r="N12" s="4"/>
      <c r="O12" s="22"/>
      <c r="P12" s="45">
        <v>44557</v>
      </c>
      <c r="Q12" s="17">
        <v>44557</v>
      </c>
    </row>
    <row r="13" spans="2:17" s="3" customFormat="1" ht="19.7" customHeight="1" x14ac:dyDescent="0.15">
      <c r="B13" s="4">
        <v>1</v>
      </c>
      <c r="C13" s="19" t="s">
        <v>22</v>
      </c>
      <c r="D13" s="19" t="s">
        <v>22</v>
      </c>
      <c r="E13" s="25" t="s">
        <v>32</v>
      </c>
      <c r="F13" s="26">
        <v>1</v>
      </c>
      <c r="G13" s="18">
        <v>14000</v>
      </c>
      <c r="H13" s="20">
        <f t="shared" si="1"/>
        <v>14000</v>
      </c>
      <c r="I13" s="2"/>
      <c r="J13" s="11"/>
      <c r="K13" s="54" t="s">
        <v>40</v>
      </c>
      <c r="L13" s="1" t="s">
        <v>26</v>
      </c>
      <c r="M13" s="13">
        <v>44495</v>
      </c>
      <c r="N13" s="4"/>
      <c r="O13" s="22"/>
      <c r="P13" s="45">
        <v>44557</v>
      </c>
      <c r="Q13" s="17">
        <v>44557</v>
      </c>
    </row>
    <row r="14" spans="2:17" s="3" customFormat="1" ht="19.7" customHeight="1" x14ac:dyDescent="0.15">
      <c r="B14" s="4">
        <v>1</v>
      </c>
      <c r="C14" s="19" t="s">
        <v>24</v>
      </c>
      <c r="D14" s="19" t="s">
        <v>24</v>
      </c>
      <c r="E14" s="25" t="s">
        <v>28</v>
      </c>
      <c r="F14" s="26">
        <v>1</v>
      </c>
      <c r="G14" s="18">
        <v>14000</v>
      </c>
      <c r="H14" s="20">
        <f t="shared" si="1"/>
        <v>14000</v>
      </c>
      <c r="I14" s="2"/>
      <c r="J14" s="11"/>
      <c r="K14" s="54" t="s">
        <v>40</v>
      </c>
      <c r="L14" s="1" t="s">
        <v>26</v>
      </c>
      <c r="M14" s="13">
        <v>44495</v>
      </c>
      <c r="N14" s="4"/>
      <c r="O14" s="22"/>
      <c r="P14" s="45">
        <v>44557</v>
      </c>
      <c r="Q14" s="17">
        <v>44557</v>
      </c>
    </row>
    <row r="15" spans="2:17" s="3" customFormat="1" ht="19.7" customHeight="1" x14ac:dyDescent="0.15">
      <c r="B15" s="4">
        <v>1</v>
      </c>
      <c r="C15" s="19" t="s">
        <v>24</v>
      </c>
      <c r="D15" s="19" t="s">
        <v>24</v>
      </c>
      <c r="E15" s="25" t="s">
        <v>33</v>
      </c>
      <c r="F15" s="26">
        <v>1</v>
      </c>
      <c r="G15" s="18">
        <v>14000</v>
      </c>
      <c r="H15" s="20">
        <f t="shared" ref="H15:H19" si="2">F15*G15</f>
        <v>14000</v>
      </c>
      <c r="I15" s="2"/>
      <c r="J15" s="11"/>
      <c r="K15" s="54" t="s">
        <v>40</v>
      </c>
      <c r="L15" s="1" t="s">
        <v>26</v>
      </c>
      <c r="M15" s="13">
        <v>44495</v>
      </c>
      <c r="N15" s="4"/>
      <c r="O15" s="22"/>
      <c r="P15" s="45">
        <v>44557</v>
      </c>
      <c r="Q15" s="17">
        <v>44557</v>
      </c>
    </row>
    <row r="16" spans="2:17" s="3" customFormat="1" ht="19.7" customHeight="1" x14ac:dyDescent="0.15">
      <c r="B16" s="4">
        <v>1</v>
      </c>
      <c r="C16" s="19" t="s">
        <v>24</v>
      </c>
      <c r="D16" s="19" t="s">
        <v>24</v>
      </c>
      <c r="E16" s="21" t="s">
        <v>34</v>
      </c>
      <c r="F16" s="26">
        <v>1</v>
      </c>
      <c r="G16" s="18">
        <v>31500</v>
      </c>
      <c r="H16" s="20">
        <f t="shared" si="2"/>
        <v>31500</v>
      </c>
      <c r="I16" s="2"/>
      <c r="J16" s="11"/>
      <c r="K16" s="54" t="s">
        <v>40</v>
      </c>
      <c r="L16" s="1" t="s">
        <v>26</v>
      </c>
      <c r="M16" s="13">
        <v>44495</v>
      </c>
      <c r="N16" s="4"/>
      <c r="O16" s="22"/>
      <c r="P16" s="45">
        <v>44557</v>
      </c>
      <c r="Q16" s="17">
        <v>44557</v>
      </c>
    </row>
    <row r="17" spans="2:17" s="3" customFormat="1" ht="19.7" customHeight="1" x14ac:dyDescent="0.15">
      <c r="B17" s="30">
        <v>1</v>
      </c>
      <c r="C17" s="19" t="s">
        <v>24</v>
      </c>
      <c r="D17" s="19" t="s">
        <v>24</v>
      </c>
      <c r="E17" s="21" t="s">
        <v>25</v>
      </c>
      <c r="F17" s="31">
        <v>1</v>
      </c>
      <c r="G17" s="18">
        <v>12000</v>
      </c>
      <c r="H17" s="20">
        <f t="shared" si="2"/>
        <v>12000</v>
      </c>
      <c r="I17" s="24"/>
      <c r="J17" s="23"/>
      <c r="K17" s="54" t="s">
        <v>40</v>
      </c>
      <c r="L17" s="1" t="s">
        <v>26</v>
      </c>
      <c r="M17" s="13">
        <v>44495</v>
      </c>
      <c r="N17" s="4"/>
      <c r="O17" s="22"/>
      <c r="P17" s="45">
        <v>44557</v>
      </c>
      <c r="Q17" s="17">
        <v>44557</v>
      </c>
    </row>
    <row r="18" spans="2:17" s="3" customFormat="1" ht="19.7" customHeight="1" x14ac:dyDescent="0.15">
      <c r="B18" s="30">
        <v>1</v>
      </c>
      <c r="C18" s="19" t="s">
        <v>24</v>
      </c>
      <c r="D18" s="19" t="s">
        <v>24</v>
      </c>
      <c r="E18" s="25" t="s">
        <v>35</v>
      </c>
      <c r="F18" s="31">
        <v>1</v>
      </c>
      <c r="G18" s="18">
        <v>-85500</v>
      </c>
      <c r="H18" s="20">
        <f t="shared" si="2"/>
        <v>-85500</v>
      </c>
      <c r="I18" s="24"/>
      <c r="J18" s="23"/>
      <c r="K18" s="54" t="s">
        <v>40</v>
      </c>
      <c r="L18" s="1" t="s">
        <v>26</v>
      </c>
      <c r="M18" s="13">
        <v>44495</v>
      </c>
      <c r="N18" s="4"/>
      <c r="O18" s="22"/>
      <c r="P18" s="45">
        <v>44557</v>
      </c>
      <c r="Q18" s="17">
        <v>44557</v>
      </c>
    </row>
    <row r="19" spans="2:17" s="3" customFormat="1" ht="19.7" customHeight="1" x14ac:dyDescent="0.15">
      <c r="B19" s="30"/>
      <c r="C19" s="30"/>
      <c r="D19" s="30"/>
      <c r="E19" s="25"/>
      <c r="F19" s="31"/>
      <c r="G19" s="47">
        <v>0</v>
      </c>
      <c r="H19" s="20">
        <f t="shared" si="2"/>
        <v>0</v>
      </c>
      <c r="I19" s="24"/>
      <c r="J19" s="23"/>
      <c r="K19" s="23"/>
      <c r="L19" s="32"/>
      <c r="M19" s="13"/>
      <c r="N19" s="4"/>
      <c r="O19" s="22"/>
      <c r="P19" s="45"/>
      <c r="Q19" s="17"/>
    </row>
    <row r="20" spans="2:17" s="3" customFormat="1" ht="19.7" customHeight="1" x14ac:dyDescent="0.15">
      <c r="B20" s="30"/>
      <c r="C20" s="30"/>
      <c r="D20" s="30"/>
      <c r="E20" s="25"/>
      <c r="F20" s="31"/>
      <c r="G20" s="47">
        <v>0</v>
      </c>
      <c r="H20" s="20">
        <f t="shared" ref="H20:H84" si="3">F20*G20</f>
        <v>0</v>
      </c>
      <c r="I20" s="24"/>
      <c r="J20" s="23"/>
      <c r="K20" s="23"/>
      <c r="L20" s="32"/>
      <c r="M20" s="13"/>
      <c r="N20" s="4"/>
      <c r="O20" s="22"/>
      <c r="P20" s="45"/>
      <c r="Q20" s="17"/>
    </row>
    <row r="21" spans="2:17" s="35" customFormat="1" ht="19.7" customHeight="1" x14ac:dyDescent="0.15">
      <c r="B21" s="38">
        <v>23</v>
      </c>
      <c r="C21" s="38" t="s">
        <v>41</v>
      </c>
      <c r="D21" s="38" t="s">
        <v>41</v>
      </c>
      <c r="E21" s="55" t="s">
        <v>42</v>
      </c>
      <c r="F21" s="56">
        <v>1</v>
      </c>
      <c r="G21" s="47">
        <v>68000</v>
      </c>
      <c r="H21" s="57">
        <f t="shared" si="3"/>
        <v>68000</v>
      </c>
      <c r="I21" s="58"/>
      <c r="J21" s="59" t="s">
        <v>43</v>
      </c>
      <c r="K21" s="42" t="s">
        <v>44</v>
      </c>
      <c r="L21" s="40" t="s">
        <v>45</v>
      </c>
      <c r="M21" s="43"/>
      <c r="N21" s="44"/>
      <c r="O21" s="45"/>
      <c r="P21" s="45">
        <v>44496</v>
      </c>
      <c r="Q21" s="46"/>
    </row>
    <row r="22" spans="2:17" s="35" customFormat="1" ht="19.7" customHeight="1" x14ac:dyDescent="0.15">
      <c r="B22" s="38">
        <v>23</v>
      </c>
      <c r="C22" s="38" t="s">
        <v>41</v>
      </c>
      <c r="D22" s="38" t="s">
        <v>41</v>
      </c>
      <c r="E22" s="55" t="s">
        <v>46</v>
      </c>
      <c r="F22" s="56">
        <v>1</v>
      </c>
      <c r="G22" s="47">
        <v>47800</v>
      </c>
      <c r="H22" s="57">
        <f t="shared" si="3"/>
        <v>47800</v>
      </c>
      <c r="I22" s="58"/>
      <c r="J22" s="59" t="s">
        <v>47</v>
      </c>
      <c r="K22" s="42" t="s">
        <v>44</v>
      </c>
      <c r="L22" s="40" t="s">
        <v>45</v>
      </c>
      <c r="M22" s="43"/>
      <c r="N22" s="44"/>
      <c r="O22" s="45"/>
      <c r="P22" s="45">
        <v>44496</v>
      </c>
      <c r="Q22" s="46"/>
    </row>
    <row r="23" spans="2:17" s="35" customFormat="1" ht="19.7" customHeight="1" x14ac:dyDescent="0.15">
      <c r="B23" s="38">
        <v>23</v>
      </c>
      <c r="C23" s="38" t="s">
        <v>41</v>
      </c>
      <c r="D23" s="38" t="s">
        <v>41</v>
      </c>
      <c r="E23" s="55" t="s">
        <v>48</v>
      </c>
      <c r="F23" s="56">
        <v>1</v>
      </c>
      <c r="G23" s="47">
        <v>4200</v>
      </c>
      <c r="H23" s="57">
        <f t="shared" si="3"/>
        <v>4200</v>
      </c>
      <c r="I23" s="58"/>
      <c r="J23" s="59" t="s">
        <v>49</v>
      </c>
      <c r="K23" s="42" t="s">
        <v>44</v>
      </c>
      <c r="L23" s="40" t="s">
        <v>45</v>
      </c>
      <c r="M23" s="43"/>
      <c r="N23" s="44"/>
      <c r="O23" s="45"/>
      <c r="P23" s="45">
        <v>44496</v>
      </c>
      <c r="Q23" s="46"/>
    </row>
    <row r="24" spans="2:17" s="35" customFormat="1" ht="19.7" customHeight="1" x14ac:dyDescent="0.15">
      <c r="B24" s="38">
        <v>23</v>
      </c>
      <c r="C24" s="38" t="s">
        <v>41</v>
      </c>
      <c r="D24" s="38" t="s">
        <v>41</v>
      </c>
      <c r="E24" s="55" t="s">
        <v>50</v>
      </c>
      <c r="F24" s="56">
        <v>1</v>
      </c>
      <c r="G24" s="47">
        <v>34800</v>
      </c>
      <c r="H24" s="57">
        <f t="shared" si="3"/>
        <v>34800</v>
      </c>
      <c r="I24" s="58"/>
      <c r="J24" s="59" t="s">
        <v>51</v>
      </c>
      <c r="K24" s="42" t="s">
        <v>44</v>
      </c>
      <c r="L24" s="40" t="s">
        <v>45</v>
      </c>
      <c r="M24" s="43"/>
      <c r="N24" s="44"/>
      <c r="O24" s="45"/>
      <c r="P24" s="45">
        <v>44496</v>
      </c>
      <c r="Q24" s="46"/>
    </row>
    <row r="25" spans="2:17" s="35" customFormat="1" ht="19.7" customHeight="1" x14ac:dyDescent="0.15">
      <c r="B25" s="38">
        <v>23</v>
      </c>
      <c r="C25" s="38" t="s">
        <v>41</v>
      </c>
      <c r="D25" s="38" t="s">
        <v>41</v>
      </c>
      <c r="E25" s="55" t="s">
        <v>52</v>
      </c>
      <c r="F25" s="56">
        <v>1</v>
      </c>
      <c r="G25" s="47">
        <v>900</v>
      </c>
      <c r="H25" s="57">
        <f t="shared" si="3"/>
        <v>900</v>
      </c>
      <c r="I25" s="58"/>
      <c r="J25" s="59" t="s">
        <v>53</v>
      </c>
      <c r="K25" s="42" t="s">
        <v>44</v>
      </c>
      <c r="L25" s="40" t="s">
        <v>45</v>
      </c>
      <c r="M25" s="43"/>
      <c r="N25" s="44"/>
      <c r="O25" s="45"/>
      <c r="P25" s="45">
        <v>44496</v>
      </c>
      <c r="Q25" s="46"/>
    </row>
    <row r="26" spans="2:17" s="35" customFormat="1" ht="19.7" customHeight="1" x14ac:dyDescent="0.15">
      <c r="B26" s="38"/>
      <c r="C26" s="38"/>
      <c r="D26" s="38"/>
      <c r="E26" s="55"/>
      <c r="F26" s="56"/>
      <c r="G26" s="47">
        <v>0</v>
      </c>
      <c r="H26" s="57">
        <f t="shared" si="3"/>
        <v>0</v>
      </c>
      <c r="I26" s="58"/>
      <c r="J26" s="59"/>
      <c r="K26" s="59"/>
      <c r="L26" s="40"/>
      <c r="M26" s="43"/>
      <c r="N26" s="44"/>
      <c r="O26" s="45"/>
      <c r="P26" s="45"/>
      <c r="Q26" s="46"/>
    </row>
    <row r="27" spans="2:17" s="35" customFormat="1" ht="19.7" customHeight="1" x14ac:dyDescent="0.15">
      <c r="B27" s="38"/>
      <c r="C27" s="38"/>
      <c r="D27" s="38"/>
      <c r="E27" s="55"/>
      <c r="F27" s="56"/>
      <c r="G27" s="47">
        <v>0</v>
      </c>
      <c r="H27" s="57">
        <f t="shared" si="3"/>
        <v>0</v>
      </c>
      <c r="I27" s="58"/>
      <c r="J27" s="59"/>
      <c r="K27" s="59"/>
      <c r="L27" s="40"/>
      <c r="M27" s="43"/>
      <c r="N27" s="44"/>
      <c r="O27" s="45"/>
      <c r="P27" s="45"/>
      <c r="Q27" s="46"/>
    </row>
    <row r="28" spans="2:17" s="35" customFormat="1" ht="19.7" customHeight="1" x14ac:dyDescent="0.15">
      <c r="B28" s="38">
        <v>18</v>
      </c>
      <c r="C28" s="38" t="s">
        <v>54</v>
      </c>
      <c r="D28" s="38" t="s">
        <v>55</v>
      </c>
      <c r="E28" s="55" t="s">
        <v>56</v>
      </c>
      <c r="F28" s="56">
        <v>1</v>
      </c>
      <c r="G28" s="47">
        <v>5000</v>
      </c>
      <c r="H28" s="57">
        <f t="shared" si="3"/>
        <v>5000</v>
      </c>
      <c r="I28" s="58"/>
      <c r="J28" s="59" t="s">
        <v>57</v>
      </c>
      <c r="K28" s="42" t="s">
        <v>58</v>
      </c>
      <c r="L28" s="40" t="s">
        <v>59</v>
      </c>
      <c r="M28" s="43"/>
      <c r="N28" s="44"/>
      <c r="O28" s="45"/>
      <c r="P28" s="45">
        <v>44539</v>
      </c>
      <c r="Q28" s="46">
        <v>44550</v>
      </c>
    </row>
    <row r="29" spans="2:17" s="35" customFormat="1" ht="19.7" customHeight="1" x14ac:dyDescent="0.15">
      <c r="B29" s="38">
        <v>18</v>
      </c>
      <c r="C29" s="38" t="s">
        <v>54</v>
      </c>
      <c r="D29" s="38" t="s">
        <v>55</v>
      </c>
      <c r="E29" s="55" t="s">
        <v>60</v>
      </c>
      <c r="F29" s="56">
        <v>1</v>
      </c>
      <c r="G29" s="47">
        <v>110</v>
      </c>
      <c r="H29" s="57">
        <f t="shared" si="3"/>
        <v>110</v>
      </c>
      <c r="I29" s="58"/>
      <c r="J29" s="59" t="s">
        <v>61</v>
      </c>
      <c r="K29" s="42" t="s">
        <v>58</v>
      </c>
      <c r="L29" s="40" t="s">
        <v>59</v>
      </c>
      <c r="M29" s="43"/>
      <c r="N29" s="44"/>
      <c r="O29" s="45"/>
      <c r="P29" s="45">
        <v>44539</v>
      </c>
      <c r="Q29" s="46">
        <v>44550</v>
      </c>
    </row>
    <row r="30" spans="2:17" s="35" customFormat="1" ht="19.7" customHeight="1" x14ac:dyDescent="0.15">
      <c r="B30" s="38">
        <v>18</v>
      </c>
      <c r="C30" s="38" t="s">
        <v>54</v>
      </c>
      <c r="D30" s="38" t="s">
        <v>55</v>
      </c>
      <c r="E30" s="55" t="s">
        <v>62</v>
      </c>
      <c r="F30" s="56">
        <v>1</v>
      </c>
      <c r="G30" s="47">
        <v>2200</v>
      </c>
      <c r="H30" s="57">
        <f t="shared" si="3"/>
        <v>2200</v>
      </c>
      <c r="I30" s="58"/>
      <c r="J30" s="59" t="s">
        <v>63</v>
      </c>
      <c r="K30" s="42" t="s">
        <v>58</v>
      </c>
      <c r="L30" s="40" t="s">
        <v>59</v>
      </c>
      <c r="M30" s="43"/>
      <c r="N30" s="44"/>
      <c r="O30" s="45"/>
      <c r="P30" s="45">
        <v>44539</v>
      </c>
      <c r="Q30" s="46">
        <v>44550</v>
      </c>
    </row>
    <row r="31" spans="2:17" s="35" customFormat="1" ht="19.7" customHeight="1" x14ac:dyDescent="0.15">
      <c r="B31" s="38">
        <v>18</v>
      </c>
      <c r="C31" s="38" t="s">
        <v>64</v>
      </c>
      <c r="D31" s="38" t="s">
        <v>55</v>
      </c>
      <c r="E31" s="55" t="s">
        <v>65</v>
      </c>
      <c r="F31" s="56">
        <v>1</v>
      </c>
      <c r="G31" s="47">
        <v>1700</v>
      </c>
      <c r="H31" s="57">
        <f t="shared" si="3"/>
        <v>1700</v>
      </c>
      <c r="I31" s="58"/>
      <c r="J31" s="59" t="s">
        <v>66</v>
      </c>
      <c r="K31" s="42" t="s">
        <v>58</v>
      </c>
      <c r="L31" s="40" t="s">
        <v>59</v>
      </c>
      <c r="M31" s="43"/>
      <c r="N31" s="44"/>
      <c r="O31" s="45"/>
      <c r="P31" s="45">
        <v>44539</v>
      </c>
      <c r="Q31" s="46">
        <v>44538</v>
      </c>
    </row>
    <row r="32" spans="2:17" s="35" customFormat="1" ht="19.7" customHeight="1" x14ac:dyDescent="0.15">
      <c r="B32" s="38">
        <v>18</v>
      </c>
      <c r="C32" s="38" t="s">
        <v>64</v>
      </c>
      <c r="D32" s="38" t="s">
        <v>55</v>
      </c>
      <c r="E32" s="55" t="s">
        <v>62</v>
      </c>
      <c r="F32" s="56">
        <v>1</v>
      </c>
      <c r="G32" s="47">
        <v>2200</v>
      </c>
      <c r="H32" s="57">
        <f t="shared" si="3"/>
        <v>2200</v>
      </c>
      <c r="I32" s="58"/>
      <c r="J32" s="59" t="s">
        <v>67</v>
      </c>
      <c r="K32" s="42" t="s">
        <v>58</v>
      </c>
      <c r="L32" s="40" t="s">
        <v>59</v>
      </c>
      <c r="M32" s="43"/>
      <c r="N32" s="44"/>
      <c r="O32" s="45"/>
      <c r="P32" s="45">
        <v>44539</v>
      </c>
      <c r="Q32" s="46"/>
    </row>
    <row r="33" spans="2:17" s="35" customFormat="1" ht="19.7" customHeight="1" x14ac:dyDescent="0.15">
      <c r="B33" s="38"/>
      <c r="C33" s="38"/>
      <c r="D33" s="38"/>
      <c r="E33" s="55"/>
      <c r="F33" s="56"/>
      <c r="G33" s="47">
        <v>0</v>
      </c>
      <c r="H33" s="57">
        <f t="shared" si="3"/>
        <v>0</v>
      </c>
      <c r="I33" s="58"/>
      <c r="J33" s="59"/>
      <c r="K33" s="59"/>
      <c r="L33" s="40"/>
      <c r="M33" s="43"/>
      <c r="N33" s="44"/>
      <c r="O33" s="45"/>
      <c r="P33" s="45"/>
      <c r="Q33" s="46"/>
    </row>
    <row r="34" spans="2:17" s="35" customFormat="1" ht="19.7" customHeight="1" x14ac:dyDescent="0.15">
      <c r="B34" s="38"/>
      <c r="C34" s="38"/>
      <c r="D34" s="38"/>
      <c r="E34" s="55"/>
      <c r="F34" s="56"/>
      <c r="G34" s="47">
        <v>0</v>
      </c>
      <c r="H34" s="57">
        <f t="shared" si="3"/>
        <v>0</v>
      </c>
      <c r="I34" s="58"/>
      <c r="J34" s="59"/>
      <c r="K34" s="59"/>
      <c r="L34" s="40"/>
      <c r="M34" s="43"/>
      <c r="N34" s="44"/>
      <c r="O34" s="45"/>
      <c r="P34" s="45"/>
      <c r="Q34" s="46"/>
    </row>
    <row r="35" spans="2:17" s="35" customFormat="1" ht="19.7" customHeight="1" x14ac:dyDescent="0.15">
      <c r="B35" s="38">
        <v>18</v>
      </c>
      <c r="C35" s="38" t="s">
        <v>70</v>
      </c>
      <c r="D35" s="38" t="s">
        <v>71</v>
      </c>
      <c r="E35" s="55" t="s">
        <v>97</v>
      </c>
      <c r="F35" s="56">
        <v>1</v>
      </c>
      <c r="G35" s="61">
        <v>76500</v>
      </c>
      <c r="H35" s="67">
        <f t="shared" si="3"/>
        <v>76500</v>
      </c>
      <c r="I35" s="58"/>
      <c r="J35" s="59" t="s">
        <v>98</v>
      </c>
      <c r="K35" s="42" t="s">
        <v>100</v>
      </c>
      <c r="L35" s="40" t="s">
        <v>72</v>
      </c>
      <c r="M35" s="43"/>
      <c r="N35" s="44"/>
      <c r="O35" s="45"/>
      <c r="P35" s="45">
        <v>44540</v>
      </c>
      <c r="Q35" s="46">
        <v>44536</v>
      </c>
    </row>
    <row r="36" spans="2:17" s="35" customFormat="1" ht="19.7" customHeight="1" x14ac:dyDescent="0.15">
      <c r="B36" s="38">
        <v>18</v>
      </c>
      <c r="C36" s="38" t="s">
        <v>70</v>
      </c>
      <c r="D36" s="38" t="s">
        <v>71</v>
      </c>
      <c r="E36" s="55" t="s">
        <v>73</v>
      </c>
      <c r="F36" s="56">
        <v>1</v>
      </c>
      <c r="G36" s="61">
        <v>1600</v>
      </c>
      <c r="H36" s="67">
        <f t="shared" si="3"/>
        <v>1600</v>
      </c>
      <c r="I36" s="58"/>
      <c r="J36" s="59" t="s">
        <v>74</v>
      </c>
      <c r="K36" s="42" t="s">
        <v>100</v>
      </c>
      <c r="L36" s="40" t="s">
        <v>72</v>
      </c>
      <c r="M36" s="43"/>
      <c r="N36" s="44"/>
      <c r="O36" s="45"/>
      <c r="P36" s="45">
        <v>44540</v>
      </c>
      <c r="Q36" s="46">
        <v>44536</v>
      </c>
    </row>
    <row r="37" spans="2:17" s="35" customFormat="1" ht="19.7" customHeight="1" x14ac:dyDescent="0.15">
      <c r="B37" s="38">
        <v>18</v>
      </c>
      <c r="C37" s="38" t="s">
        <v>70</v>
      </c>
      <c r="D37" s="38" t="s">
        <v>71</v>
      </c>
      <c r="E37" s="55" t="s">
        <v>75</v>
      </c>
      <c r="F37" s="56">
        <v>1</v>
      </c>
      <c r="G37" s="61">
        <v>7520</v>
      </c>
      <c r="H37" s="67">
        <f t="shared" si="3"/>
        <v>7520</v>
      </c>
      <c r="I37" s="58"/>
      <c r="J37" s="59" t="s">
        <v>76</v>
      </c>
      <c r="K37" s="42" t="s">
        <v>100</v>
      </c>
      <c r="L37" s="40" t="s">
        <v>68</v>
      </c>
      <c r="M37" s="43"/>
      <c r="N37" s="44"/>
      <c r="O37" s="45"/>
      <c r="P37" s="45">
        <v>44540</v>
      </c>
      <c r="Q37" s="46">
        <v>44536</v>
      </c>
    </row>
    <row r="38" spans="2:17" s="35" customFormat="1" ht="19.7" customHeight="1" x14ac:dyDescent="0.15">
      <c r="B38" s="38"/>
      <c r="C38" s="38"/>
      <c r="D38" s="38"/>
      <c r="E38" s="63"/>
      <c r="F38" s="64"/>
      <c r="G38" s="61"/>
      <c r="H38" s="67">
        <f t="shared" si="3"/>
        <v>0</v>
      </c>
      <c r="I38" s="58"/>
      <c r="J38" s="68"/>
      <c r="K38" s="42"/>
      <c r="L38" s="40"/>
      <c r="M38" s="43"/>
      <c r="N38" s="44"/>
      <c r="O38" s="45"/>
      <c r="P38" s="45"/>
      <c r="Q38" s="46"/>
    </row>
    <row r="39" spans="2:17" s="35" customFormat="1" ht="19.7" customHeight="1" x14ac:dyDescent="0.15">
      <c r="B39" s="38"/>
      <c r="C39" s="40"/>
      <c r="D39" s="40"/>
      <c r="E39" s="65"/>
      <c r="F39" s="66"/>
      <c r="G39" s="61"/>
      <c r="H39" s="67">
        <f t="shared" ref="H39:H45" si="4">F39*G39</f>
        <v>0</v>
      </c>
      <c r="I39" s="58"/>
      <c r="J39" s="68"/>
      <c r="K39" s="42"/>
      <c r="L39" s="40"/>
      <c r="M39" s="43"/>
      <c r="N39" s="44"/>
      <c r="O39" s="45"/>
      <c r="P39" s="45"/>
      <c r="Q39" s="46"/>
    </row>
    <row r="40" spans="2:17" s="35" customFormat="1" ht="19.7" customHeight="1" x14ac:dyDescent="0.15">
      <c r="B40" s="38">
        <v>24</v>
      </c>
      <c r="C40" s="40" t="s">
        <v>77</v>
      </c>
      <c r="D40" s="40" t="s">
        <v>78</v>
      </c>
      <c r="E40" s="65" t="s">
        <v>79</v>
      </c>
      <c r="F40" s="66">
        <v>1</v>
      </c>
      <c r="G40" s="61">
        <v>1010</v>
      </c>
      <c r="H40" s="67">
        <f t="shared" si="4"/>
        <v>1010</v>
      </c>
      <c r="I40" s="58"/>
      <c r="J40" s="68" t="s">
        <v>80</v>
      </c>
      <c r="K40" s="42" t="s">
        <v>81</v>
      </c>
      <c r="L40" s="40" t="s">
        <v>82</v>
      </c>
      <c r="M40" s="43"/>
      <c r="N40" s="44"/>
      <c r="O40" s="45"/>
      <c r="P40" s="45"/>
      <c r="Q40" s="46"/>
    </row>
    <row r="41" spans="2:17" s="35" customFormat="1" ht="19.7" customHeight="1" x14ac:dyDescent="0.15">
      <c r="B41" s="38">
        <v>24</v>
      </c>
      <c r="C41" s="40" t="s">
        <v>77</v>
      </c>
      <c r="D41" s="40" t="s">
        <v>78</v>
      </c>
      <c r="E41" s="65" t="s">
        <v>83</v>
      </c>
      <c r="F41" s="66">
        <v>1</v>
      </c>
      <c r="G41" s="61">
        <v>900</v>
      </c>
      <c r="H41" s="67">
        <f t="shared" si="4"/>
        <v>900</v>
      </c>
      <c r="I41" s="58"/>
      <c r="J41" s="68" t="s">
        <v>84</v>
      </c>
      <c r="K41" s="42" t="s">
        <v>81</v>
      </c>
      <c r="L41" s="40" t="s">
        <v>82</v>
      </c>
      <c r="M41" s="43"/>
      <c r="N41" s="44"/>
      <c r="O41" s="45"/>
      <c r="P41" s="45"/>
      <c r="Q41" s="46"/>
    </row>
    <row r="42" spans="2:17" s="35" customFormat="1" ht="19.7" customHeight="1" x14ac:dyDescent="0.15">
      <c r="B42" s="38">
        <v>24</v>
      </c>
      <c r="C42" s="40" t="s">
        <v>85</v>
      </c>
      <c r="D42" s="40" t="s">
        <v>78</v>
      </c>
      <c r="E42" s="59" t="s">
        <v>86</v>
      </c>
      <c r="F42" s="69">
        <v>2</v>
      </c>
      <c r="G42" s="61">
        <v>1290</v>
      </c>
      <c r="H42" s="70">
        <f t="shared" si="4"/>
        <v>2580</v>
      </c>
      <c r="I42" s="58"/>
      <c r="J42" s="59" t="s">
        <v>87</v>
      </c>
      <c r="K42" s="42" t="s">
        <v>88</v>
      </c>
      <c r="L42" s="40" t="s">
        <v>89</v>
      </c>
      <c r="M42" s="43"/>
      <c r="N42" s="44"/>
      <c r="O42" s="45"/>
      <c r="P42" s="45">
        <v>44539</v>
      </c>
      <c r="Q42" s="46">
        <v>44538</v>
      </c>
    </row>
    <row r="43" spans="2:17" s="35" customFormat="1" ht="19.7" customHeight="1" x14ac:dyDescent="0.15">
      <c r="B43" s="38">
        <v>24</v>
      </c>
      <c r="C43" s="40" t="s">
        <v>85</v>
      </c>
      <c r="D43" s="40" t="s">
        <v>78</v>
      </c>
      <c r="E43" s="59" t="s">
        <v>90</v>
      </c>
      <c r="F43" s="69">
        <v>2</v>
      </c>
      <c r="G43" s="61">
        <v>250</v>
      </c>
      <c r="H43" s="70">
        <f t="shared" si="4"/>
        <v>500</v>
      </c>
      <c r="I43" s="58"/>
      <c r="J43" s="59" t="s">
        <v>91</v>
      </c>
      <c r="K43" s="42" t="s">
        <v>88</v>
      </c>
      <c r="L43" s="40" t="s">
        <v>89</v>
      </c>
      <c r="M43" s="43"/>
      <c r="N43" s="44"/>
      <c r="O43" s="45"/>
      <c r="P43" s="45"/>
      <c r="Q43" s="46"/>
    </row>
    <row r="44" spans="2:17" s="35" customFormat="1" ht="19.7" customHeight="1" x14ac:dyDescent="0.15">
      <c r="B44" s="38">
        <v>24</v>
      </c>
      <c r="C44" s="40" t="s">
        <v>85</v>
      </c>
      <c r="D44" s="40" t="s">
        <v>78</v>
      </c>
      <c r="E44" s="59" t="s">
        <v>92</v>
      </c>
      <c r="F44" s="69">
        <v>2</v>
      </c>
      <c r="G44" s="61">
        <v>30</v>
      </c>
      <c r="H44" s="70">
        <f t="shared" si="4"/>
        <v>60</v>
      </c>
      <c r="I44" s="58"/>
      <c r="J44" s="59" t="s">
        <v>93</v>
      </c>
      <c r="K44" s="42" t="s">
        <v>88</v>
      </c>
      <c r="L44" s="40" t="s">
        <v>89</v>
      </c>
      <c r="M44" s="43"/>
      <c r="N44" s="44"/>
      <c r="O44" s="45"/>
      <c r="P44" s="45">
        <v>44539</v>
      </c>
      <c r="Q44" s="46">
        <v>44538</v>
      </c>
    </row>
    <row r="45" spans="2:17" s="35" customFormat="1" ht="19.7" customHeight="1" x14ac:dyDescent="0.15">
      <c r="B45" s="38">
        <v>18</v>
      </c>
      <c r="C45" s="38" t="s">
        <v>94</v>
      </c>
      <c r="D45" s="40" t="s">
        <v>78</v>
      </c>
      <c r="E45" s="55" t="s">
        <v>95</v>
      </c>
      <c r="F45" s="56">
        <v>1</v>
      </c>
      <c r="G45" s="61">
        <v>3840</v>
      </c>
      <c r="H45" s="62">
        <f t="shared" si="4"/>
        <v>3840</v>
      </c>
      <c r="I45" s="58"/>
      <c r="J45" s="59" t="s">
        <v>96</v>
      </c>
      <c r="K45" s="59"/>
      <c r="L45" s="40" t="s">
        <v>69</v>
      </c>
      <c r="M45" s="43"/>
      <c r="N45" s="44"/>
      <c r="O45" s="45"/>
      <c r="P45" s="45">
        <v>44539</v>
      </c>
      <c r="Q45" s="46">
        <v>44538</v>
      </c>
    </row>
    <row r="46" spans="2:17" s="35" customFormat="1" ht="19.7" customHeight="1" x14ac:dyDescent="0.15">
      <c r="B46" s="38"/>
      <c r="C46" s="44"/>
      <c r="D46" s="44"/>
      <c r="E46" s="55"/>
      <c r="F46" s="56"/>
      <c r="G46" s="47"/>
      <c r="H46" s="57">
        <f t="shared" si="3"/>
        <v>0</v>
      </c>
      <c r="I46" s="58"/>
      <c r="J46" s="59"/>
      <c r="K46" s="59"/>
      <c r="L46" s="40"/>
      <c r="M46" s="43"/>
      <c r="N46" s="44"/>
      <c r="O46" s="45"/>
      <c r="P46" s="48"/>
      <c r="Q46" s="46"/>
    </row>
    <row r="47" spans="2:17" s="35" customFormat="1" ht="19.7" customHeight="1" x14ac:dyDescent="0.15">
      <c r="B47" s="38"/>
      <c r="C47" s="44"/>
      <c r="D47" s="44"/>
      <c r="E47" s="55"/>
      <c r="F47" s="56"/>
      <c r="G47" s="47"/>
      <c r="H47" s="57">
        <f t="shared" si="3"/>
        <v>0</v>
      </c>
      <c r="I47" s="58"/>
      <c r="J47" s="59"/>
      <c r="K47" s="59"/>
      <c r="L47" s="40"/>
      <c r="M47" s="43"/>
      <c r="N47" s="44"/>
      <c r="O47" s="45"/>
      <c r="P47" s="48"/>
      <c r="Q47" s="46"/>
    </row>
    <row r="48" spans="2:17" s="35" customFormat="1" ht="19.7" customHeight="1" x14ac:dyDescent="0.15">
      <c r="B48" s="38">
        <v>18</v>
      </c>
      <c r="C48" s="44" t="s">
        <v>101</v>
      </c>
      <c r="D48" s="44" t="s">
        <v>101</v>
      </c>
      <c r="E48" s="55" t="s">
        <v>102</v>
      </c>
      <c r="F48" s="71">
        <v>1</v>
      </c>
      <c r="G48" s="47">
        <v>2390</v>
      </c>
      <c r="H48" s="57">
        <f t="shared" si="3"/>
        <v>2390</v>
      </c>
      <c r="I48" s="58"/>
      <c r="J48" s="59" t="s">
        <v>103</v>
      </c>
      <c r="K48" s="59"/>
      <c r="L48" s="40" t="s">
        <v>104</v>
      </c>
      <c r="M48" s="43">
        <v>44498</v>
      </c>
      <c r="N48" s="44"/>
      <c r="O48" s="45"/>
      <c r="P48" s="45">
        <v>44525</v>
      </c>
      <c r="Q48" s="46">
        <v>44525</v>
      </c>
    </row>
    <row r="49" spans="2:17" s="35" customFormat="1" ht="19.7" customHeight="1" x14ac:dyDescent="0.15">
      <c r="B49" s="38">
        <v>23</v>
      </c>
      <c r="C49" s="44" t="s">
        <v>101</v>
      </c>
      <c r="D49" s="44" t="s">
        <v>101</v>
      </c>
      <c r="E49" s="55" t="s">
        <v>105</v>
      </c>
      <c r="F49" s="71">
        <v>2</v>
      </c>
      <c r="G49" s="47">
        <v>280</v>
      </c>
      <c r="H49" s="57">
        <f t="shared" si="3"/>
        <v>560</v>
      </c>
      <c r="I49" s="58"/>
      <c r="J49" s="59" t="s">
        <v>106</v>
      </c>
      <c r="K49" s="59"/>
      <c r="L49" s="40" t="s">
        <v>107</v>
      </c>
      <c r="M49" s="43">
        <v>44498</v>
      </c>
      <c r="N49" s="44"/>
      <c r="O49" s="45"/>
      <c r="P49" s="45">
        <v>44525</v>
      </c>
      <c r="Q49" s="46">
        <v>44525</v>
      </c>
    </row>
    <row r="50" spans="2:17" s="35" customFormat="1" ht="19.7" customHeight="1" x14ac:dyDescent="0.15">
      <c r="B50" s="38">
        <v>23</v>
      </c>
      <c r="C50" s="44" t="s">
        <v>101</v>
      </c>
      <c r="D50" s="44" t="s">
        <v>101</v>
      </c>
      <c r="E50" s="55" t="s">
        <v>108</v>
      </c>
      <c r="F50" s="71">
        <v>1</v>
      </c>
      <c r="G50" s="47">
        <v>5300</v>
      </c>
      <c r="H50" s="57">
        <f t="shared" si="3"/>
        <v>5300</v>
      </c>
      <c r="I50" s="58"/>
      <c r="J50" s="59" t="s">
        <v>109</v>
      </c>
      <c r="K50" s="59"/>
      <c r="L50" s="40" t="s">
        <v>107</v>
      </c>
      <c r="M50" s="43">
        <v>44498</v>
      </c>
      <c r="N50" s="44"/>
      <c r="O50" s="45"/>
      <c r="P50" s="45">
        <v>44525</v>
      </c>
      <c r="Q50" s="46">
        <v>44525</v>
      </c>
    </row>
    <row r="51" spans="2:17" s="35" customFormat="1" ht="19.7" customHeight="1" x14ac:dyDescent="0.15">
      <c r="B51" s="38">
        <v>23</v>
      </c>
      <c r="C51" s="44" t="s">
        <v>101</v>
      </c>
      <c r="D51" s="44" t="s">
        <v>101</v>
      </c>
      <c r="E51" s="55" t="s">
        <v>110</v>
      </c>
      <c r="F51" s="71">
        <v>1</v>
      </c>
      <c r="G51" s="47">
        <v>2830</v>
      </c>
      <c r="H51" s="57">
        <f t="shared" si="3"/>
        <v>2830</v>
      </c>
      <c r="I51" s="58"/>
      <c r="J51" s="59" t="s">
        <v>111</v>
      </c>
      <c r="K51" s="59"/>
      <c r="L51" s="40" t="s">
        <v>107</v>
      </c>
      <c r="M51" s="43">
        <v>44498</v>
      </c>
      <c r="N51" s="44"/>
      <c r="O51" s="45"/>
      <c r="P51" s="45">
        <v>44525</v>
      </c>
      <c r="Q51" s="46">
        <v>44525</v>
      </c>
    </row>
    <row r="52" spans="2:17" s="35" customFormat="1" ht="19.7" customHeight="1" x14ac:dyDescent="0.15">
      <c r="B52" s="38">
        <v>23</v>
      </c>
      <c r="C52" s="44" t="s">
        <v>101</v>
      </c>
      <c r="D52" s="44" t="s">
        <v>101</v>
      </c>
      <c r="E52" s="55" t="s">
        <v>112</v>
      </c>
      <c r="F52" s="71">
        <v>1</v>
      </c>
      <c r="G52" s="47">
        <v>1990</v>
      </c>
      <c r="H52" s="57">
        <f t="shared" si="3"/>
        <v>1990</v>
      </c>
      <c r="I52" s="58"/>
      <c r="J52" s="59" t="s">
        <v>113</v>
      </c>
      <c r="K52" s="59"/>
      <c r="L52" s="40" t="s">
        <v>107</v>
      </c>
      <c r="M52" s="43">
        <v>44498</v>
      </c>
      <c r="N52" s="44"/>
      <c r="O52" s="45"/>
      <c r="P52" s="45">
        <v>44525</v>
      </c>
      <c r="Q52" s="46">
        <v>44525</v>
      </c>
    </row>
    <row r="53" spans="2:17" s="35" customFormat="1" ht="19.7" customHeight="1" x14ac:dyDescent="0.15">
      <c r="B53" s="38">
        <v>23</v>
      </c>
      <c r="C53" s="38" t="s">
        <v>114</v>
      </c>
      <c r="D53" s="44" t="s">
        <v>101</v>
      </c>
      <c r="E53" s="55" t="s">
        <v>115</v>
      </c>
      <c r="F53" s="71">
        <v>10</v>
      </c>
      <c r="G53" s="47">
        <v>43</v>
      </c>
      <c r="H53" s="57">
        <f t="shared" si="3"/>
        <v>430</v>
      </c>
      <c r="I53" s="58"/>
      <c r="J53" s="59" t="s">
        <v>116</v>
      </c>
      <c r="K53" s="59"/>
      <c r="L53" s="40" t="s">
        <v>107</v>
      </c>
      <c r="M53" s="43">
        <v>44498</v>
      </c>
      <c r="N53" s="44"/>
      <c r="O53" s="45"/>
      <c r="P53" s="45">
        <v>44525</v>
      </c>
      <c r="Q53" s="46">
        <v>44525</v>
      </c>
    </row>
    <row r="54" spans="2:17" s="35" customFormat="1" ht="19.7" customHeight="1" x14ac:dyDescent="0.15">
      <c r="B54" s="38">
        <v>23</v>
      </c>
      <c r="C54" s="44" t="s">
        <v>101</v>
      </c>
      <c r="D54" s="44" t="s">
        <v>101</v>
      </c>
      <c r="E54" s="55" t="s">
        <v>117</v>
      </c>
      <c r="F54" s="71">
        <v>2</v>
      </c>
      <c r="G54" s="47">
        <v>1150</v>
      </c>
      <c r="H54" s="57">
        <f t="shared" si="3"/>
        <v>2300</v>
      </c>
      <c r="I54" s="58"/>
      <c r="J54" s="59" t="s">
        <v>118</v>
      </c>
      <c r="K54" s="59"/>
      <c r="L54" s="40" t="s">
        <v>119</v>
      </c>
      <c r="M54" s="43">
        <v>44498</v>
      </c>
      <c r="N54" s="44"/>
      <c r="O54" s="45"/>
      <c r="P54" s="45">
        <v>44525</v>
      </c>
      <c r="Q54" s="46">
        <v>44525</v>
      </c>
    </row>
    <row r="55" spans="2:17" s="35" customFormat="1" ht="19.7" customHeight="1" x14ac:dyDescent="0.15">
      <c r="B55" s="38">
        <v>23</v>
      </c>
      <c r="C55" s="44" t="s">
        <v>101</v>
      </c>
      <c r="D55" s="44" t="s">
        <v>101</v>
      </c>
      <c r="E55" s="55" t="s">
        <v>120</v>
      </c>
      <c r="F55" s="71">
        <v>1</v>
      </c>
      <c r="G55" s="47">
        <v>1970</v>
      </c>
      <c r="H55" s="57">
        <f t="shared" si="3"/>
        <v>1970</v>
      </c>
      <c r="I55" s="58"/>
      <c r="J55" s="59" t="s">
        <v>121</v>
      </c>
      <c r="K55" s="59"/>
      <c r="L55" s="40" t="s">
        <v>122</v>
      </c>
      <c r="M55" s="43">
        <v>44498</v>
      </c>
      <c r="N55" s="44"/>
      <c r="O55" s="45"/>
      <c r="P55" s="45">
        <v>44525</v>
      </c>
      <c r="Q55" s="46">
        <v>44525</v>
      </c>
    </row>
    <row r="56" spans="2:17" s="35" customFormat="1" ht="19.7" customHeight="1" x14ac:dyDescent="0.15">
      <c r="B56" s="38">
        <v>24</v>
      </c>
      <c r="C56" s="44" t="s">
        <v>101</v>
      </c>
      <c r="D56" s="44" t="s">
        <v>101</v>
      </c>
      <c r="E56" s="55" t="s">
        <v>123</v>
      </c>
      <c r="F56" s="71">
        <v>1</v>
      </c>
      <c r="G56" s="47">
        <v>4280</v>
      </c>
      <c r="H56" s="57">
        <f t="shared" si="3"/>
        <v>4280</v>
      </c>
      <c r="I56" s="58"/>
      <c r="J56" s="59" t="s">
        <v>124</v>
      </c>
      <c r="K56" s="59"/>
      <c r="L56" s="40" t="s">
        <v>125</v>
      </c>
      <c r="M56" s="43">
        <v>44498</v>
      </c>
      <c r="N56" s="44"/>
      <c r="O56" s="45"/>
      <c r="P56" s="45">
        <v>44525</v>
      </c>
      <c r="Q56" s="46">
        <v>44525</v>
      </c>
    </row>
    <row r="57" spans="2:17" s="35" customFormat="1" ht="19.7" customHeight="1" x14ac:dyDescent="0.15">
      <c r="B57" s="38">
        <v>23</v>
      </c>
      <c r="C57" s="44" t="s">
        <v>101</v>
      </c>
      <c r="D57" s="44" t="s">
        <v>101</v>
      </c>
      <c r="E57" s="55" t="s">
        <v>126</v>
      </c>
      <c r="F57" s="71">
        <v>1</v>
      </c>
      <c r="G57" s="47">
        <v>3250</v>
      </c>
      <c r="H57" s="57">
        <f t="shared" si="3"/>
        <v>3250</v>
      </c>
      <c r="I57" s="58"/>
      <c r="J57" s="59" t="s">
        <v>127</v>
      </c>
      <c r="K57" s="59"/>
      <c r="L57" s="40" t="s">
        <v>128</v>
      </c>
      <c r="M57" s="43">
        <v>44498</v>
      </c>
      <c r="N57" s="44"/>
      <c r="O57" s="45"/>
      <c r="P57" s="45">
        <v>44525</v>
      </c>
      <c r="Q57" s="46">
        <v>44525</v>
      </c>
    </row>
    <row r="58" spans="2:17" s="35" customFormat="1" ht="19.7" customHeight="1" x14ac:dyDescent="0.15">
      <c r="B58" s="38">
        <v>23</v>
      </c>
      <c r="C58" s="44" t="s">
        <v>101</v>
      </c>
      <c r="D58" s="44" t="s">
        <v>101</v>
      </c>
      <c r="E58" s="55" t="s">
        <v>129</v>
      </c>
      <c r="F58" s="71">
        <v>1</v>
      </c>
      <c r="G58" s="47">
        <v>4580</v>
      </c>
      <c r="H58" s="57">
        <f t="shared" si="3"/>
        <v>4580</v>
      </c>
      <c r="I58" s="58"/>
      <c r="J58" s="59" t="s">
        <v>130</v>
      </c>
      <c r="K58" s="59"/>
      <c r="L58" s="40" t="s">
        <v>131</v>
      </c>
      <c r="M58" s="43">
        <v>44498</v>
      </c>
      <c r="N58" s="44"/>
      <c r="O58" s="45"/>
      <c r="P58" s="45">
        <v>44525</v>
      </c>
      <c r="Q58" s="46">
        <v>44525</v>
      </c>
    </row>
    <row r="59" spans="2:17" s="35" customFormat="1" ht="19.7" customHeight="1" x14ac:dyDescent="0.15">
      <c r="B59" s="38">
        <v>23</v>
      </c>
      <c r="C59" s="44" t="s">
        <v>101</v>
      </c>
      <c r="D59" s="44" t="s">
        <v>101</v>
      </c>
      <c r="E59" s="55" t="s">
        <v>132</v>
      </c>
      <c r="F59" s="71">
        <v>1</v>
      </c>
      <c r="G59" s="47">
        <v>6390</v>
      </c>
      <c r="H59" s="57">
        <f t="shared" si="3"/>
        <v>6390</v>
      </c>
      <c r="I59" s="58"/>
      <c r="J59" s="59" t="s">
        <v>133</v>
      </c>
      <c r="K59" s="59"/>
      <c r="L59" s="40" t="s">
        <v>131</v>
      </c>
      <c r="M59" s="43">
        <v>44498</v>
      </c>
      <c r="N59" s="44"/>
      <c r="O59" s="45"/>
      <c r="P59" s="45">
        <v>44525</v>
      </c>
      <c r="Q59" s="46">
        <v>44525</v>
      </c>
    </row>
    <row r="60" spans="2:17" s="35" customFormat="1" ht="19.7" customHeight="1" x14ac:dyDescent="0.15">
      <c r="B60" s="38">
        <v>18</v>
      </c>
      <c r="C60" s="44" t="s">
        <v>101</v>
      </c>
      <c r="D60" s="44" t="s">
        <v>101</v>
      </c>
      <c r="E60" s="55" t="s">
        <v>134</v>
      </c>
      <c r="F60" s="71">
        <v>1</v>
      </c>
      <c r="G60" s="47">
        <v>2310</v>
      </c>
      <c r="H60" s="57">
        <f t="shared" si="3"/>
        <v>2310</v>
      </c>
      <c r="I60" s="58"/>
      <c r="J60" s="59" t="s">
        <v>135</v>
      </c>
      <c r="K60" s="59"/>
      <c r="L60" s="40" t="s">
        <v>136</v>
      </c>
      <c r="M60" s="43">
        <v>44498</v>
      </c>
      <c r="N60" s="44"/>
      <c r="O60" s="45"/>
      <c r="P60" s="45">
        <v>44525</v>
      </c>
      <c r="Q60" s="46">
        <v>44525</v>
      </c>
    </row>
    <row r="61" spans="2:17" s="35" customFormat="1" ht="19.7" customHeight="1" x14ac:dyDescent="0.15">
      <c r="B61" s="38">
        <v>18</v>
      </c>
      <c r="C61" s="44" t="s">
        <v>101</v>
      </c>
      <c r="D61" s="44" t="s">
        <v>101</v>
      </c>
      <c r="E61" s="55" t="s">
        <v>137</v>
      </c>
      <c r="F61" s="71">
        <v>1</v>
      </c>
      <c r="G61" s="47">
        <v>935</v>
      </c>
      <c r="H61" s="57">
        <f t="shared" si="3"/>
        <v>935</v>
      </c>
      <c r="I61" s="58"/>
      <c r="J61" s="59" t="s">
        <v>138</v>
      </c>
      <c r="K61" s="59"/>
      <c r="L61" s="40" t="s">
        <v>136</v>
      </c>
      <c r="M61" s="43">
        <v>44498</v>
      </c>
      <c r="N61" s="44"/>
      <c r="O61" s="45"/>
      <c r="P61" s="45">
        <v>44525</v>
      </c>
      <c r="Q61" s="46">
        <v>44525</v>
      </c>
    </row>
    <row r="62" spans="2:17" s="35" customFormat="1" ht="19.7" customHeight="1" x14ac:dyDescent="0.15">
      <c r="B62" s="38">
        <v>23</v>
      </c>
      <c r="C62" s="44" t="s">
        <v>101</v>
      </c>
      <c r="D62" s="44" t="s">
        <v>101</v>
      </c>
      <c r="E62" s="72" t="s">
        <v>139</v>
      </c>
      <c r="F62" s="73">
        <v>1</v>
      </c>
      <c r="G62" s="47">
        <v>1536</v>
      </c>
      <c r="H62" s="57">
        <f t="shared" si="3"/>
        <v>1536</v>
      </c>
      <c r="I62" s="41"/>
      <c r="J62" s="60" t="s">
        <v>140</v>
      </c>
      <c r="K62" s="74"/>
      <c r="L62" s="39" t="s">
        <v>141</v>
      </c>
      <c r="M62" s="43">
        <v>44498</v>
      </c>
      <c r="N62" s="44"/>
      <c r="O62" s="45"/>
      <c r="P62" s="45">
        <v>44525</v>
      </c>
      <c r="Q62" s="46">
        <v>44525</v>
      </c>
    </row>
    <row r="63" spans="2:17" s="35" customFormat="1" ht="19.7" customHeight="1" x14ac:dyDescent="0.15">
      <c r="B63" s="38">
        <v>23</v>
      </c>
      <c r="C63" s="44" t="s">
        <v>101</v>
      </c>
      <c r="D63" s="44" t="s">
        <v>101</v>
      </c>
      <c r="E63" s="72" t="s">
        <v>142</v>
      </c>
      <c r="F63" s="73">
        <v>1</v>
      </c>
      <c r="G63" s="47">
        <v>1488</v>
      </c>
      <c r="H63" s="57">
        <f t="shared" si="3"/>
        <v>1488</v>
      </c>
      <c r="I63" s="41"/>
      <c r="J63" s="60" t="s">
        <v>143</v>
      </c>
      <c r="K63" s="74"/>
      <c r="L63" s="39" t="s">
        <v>141</v>
      </c>
      <c r="M63" s="43">
        <v>44498</v>
      </c>
      <c r="N63" s="44"/>
      <c r="O63" s="45"/>
      <c r="P63" s="45">
        <v>44525</v>
      </c>
      <c r="Q63" s="46">
        <v>44525</v>
      </c>
    </row>
    <row r="64" spans="2:17" s="35" customFormat="1" ht="19.7" customHeight="1" x14ac:dyDescent="0.15">
      <c r="B64" s="38">
        <v>23</v>
      </c>
      <c r="C64" s="44" t="s">
        <v>101</v>
      </c>
      <c r="D64" s="44" t="s">
        <v>101</v>
      </c>
      <c r="E64" s="72" t="s">
        <v>144</v>
      </c>
      <c r="F64" s="73">
        <v>1</v>
      </c>
      <c r="G64" s="47">
        <v>1312</v>
      </c>
      <c r="H64" s="57">
        <f t="shared" si="3"/>
        <v>1312</v>
      </c>
      <c r="I64" s="41"/>
      <c r="J64" s="60" t="s">
        <v>145</v>
      </c>
      <c r="K64" s="74"/>
      <c r="L64" s="39" t="s">
        <v>141</v>
      </c>
      <c r="M64" s="43">
        <v>44498</v>
      </c>
      <c r="N64" s="44"/>
      <c r="O64" s="45"/>
      <c r="P64" s="45">
        <v>44525</v>
      </c>
      <c r="Q64" s="46">
        <v>44525</v>
      </c>
    </row>
    <row r="65" spans="2:17" s="35" customFormat="1" ht="19.7" customHeight="1" x14ac:dyDescent="0.15">
      <c r="B65" s="38">
        <v>23</v>
      </c>
      <c r="C65" s="44" t="s">
        <v>101</v>
      </c>
      <c r="D65" s="44" t="s">
        <v>101</v>
      </c>
      <c r="E65" s="72" t="s">
        <v>146</v>
      </c>
      <c r="F65" s="73">
        <v>1</v>
      </c>
      <c r="G65" s="47">
        <v>750</v>
      </c>
      <c r="H65" s="57">
        <f t="shared" si="3"/>
        <v>750</v>
      </c>
      <c r="I65" s="41"/>
      <c r="J65" s="60" t="s">
        <v>147</v>
      </c>
      <c r="K65" s="74"/>
      <c r="L65" s="39" t="s">
        <v>141</v>
      </c>
      <c r="M65" s="43">
        <v>44498</v>
      </c>
      <c r="N65" s="44"/>
      <c r="O65" s="45"/>
      <c r="P65" s="45">
        <v>44525</v>
      </c>
      <c r="Q65" s="46">
        <v>44525</v>
      </c>
    </row>
    <row r="66" spans="2:17" s="35" customFormat="1" ht="19.7" customHeight="1" x14ac:dyDescent="0.15">
      <c r="B66" s="38">
        <v>23</v>
      </c>
      <c r="C66" s="44" t="s">
        <v>101</v>
      </c>
      <c r="D66" s="44" t="s">
        <v>101</v>
      </c>
      <c r="E66" s="72" t="s">
        <v>148</v>
      </c>
      <c r="F66" s="73">
        <v>1</v>
      </c>
      <c r="G66" s="47">
        <v>930</v>
      </c>
      <c r="H66" s="57">
        <f t="shared" si="3"/>
        <v>930</v>
      </c>
      <c r="I66" s="41"/>
      <c r="J66" s="60" t="s">
        <v>149</v>
      </c>
      <c r="K66" s="74"/>
      <c r="L66" s="39" t="s">
        <v>141</v>
      </c>
      <c r="M66" s="43">
        <v>44498</v>
      </c>
      <c r="N66" s="44"/>
      <c r="O66" s="45"/>
      <c r="P66" s="45">
        <v>44525</v>
      </c>
      <c r="Q66" s="46">
        <v>44525</v>
      </c>
    </row>
    <row r="67" spans="2:17" s="35" customFormat="1" ht="19.7" customHeight="1" x14ac:dyDescent="0.15">
      <c r="B67" s="38">
        <v>23</v>
      </c>
      <c r="C67" s="44" t="s">
        <v>150</v>
      </c>
      <c r="D67" s="44" t="s">
        <v>101</v>
      </c>
      <c r="E67" s="75" t="s">
        <v>151</v>
      </c>
      <c r="F67" s="73">
        <v>20</v>
      </c>
      <c r="G67" s="47">
        <v>19</v>
      </c>
      <c r="H67" s="57">
        <f t="shared" si="3"/>
        <v>380</v>
      </c>
      <c r="I67" s="41"/>
      <c r="J67" s="60" t="s">
        <v>152</v>
      </c>
      <c r="K67" s="59"/>
      <c r="L67" s="40" t="s">
        <v>153</v>
      </c>
      <c r="M67" s="43">
        <v>44498</v>
      </c>
      <c r="N67" s="44"/>
      <c r="O67" s="45"/>
      <c r="P67" s="45">
        <v>44525</v>
      </c>
      <c r="Q67" s="46">
        <v>44525</v>
      </c>
    </row>
    <row r="68" spans="2:17" s="35" customFormat="1" ht="19.7" customHeight="1" x14ac:dyDescent="0.15">
      <c r="B68" s="38">
        <v>23</v>
      </c>
      <c r="C68" s="44" t="s">
        <v>101</v>
      </c>
      <c r="D68" s="44" t="s">
        <v>101</v>
      </c>
      <c r="E68" s="75" t="s">
        <v>154</v>
      </c>
      <c r="F68" s="73">
        <v>1</v>
      </c>
      <c r="G68" s="47">
        <v>5140</v>
      </c>
      <c r="H68" s="57">
        <f t="shared" si="3"/>
        <v>5140</v>
      </c>
      <c r="I68" s="41"/>
      <c r="J68" s="60" t="s">
        <v>155</v>
      </c>
      <c r="K68" s="59"/>
      <c r="L68" s="40" t="s">
        <v>153</v>
      </c>
      <c r="M68" s="43">
        <v>44498</v>
      </c>
      <c r="N68" s="44"/>
      <c r="O68" s="45"/>
      <c r="P68" s="45">
        <v>44525</v>
      </c>
      <c r="Q68" s="46">
        <v>44525</v>
      </c>
    </row>
    <row r="69" spans="2:17" s="35" customFormat="1" ht="19.7" customHeight="1" x14ac:dyDescent="0.15">
      <c r="B69" s="38">
        <v>23</v>
      </c>
      <c r="C69" s="44" t="s">
        <v>101</v>
      </c>
      <c r="D69" s="44" t="s">
        <v>101</v>
      </c>
      <c r="E69" s="75" t="s">
        <v>156</v>
      </c>
      <c r="F69" s="73">
        <v>1</v>
      </c>
      <c r="G69" s="47">
        <v>1750</v>
      </c>
      <c r="H69" s="57">
        <f t="shared" si="3"/>
        <v>1750</v>
      </c>
      <c r="I69" s="41"/>
      <c r="J69" s="60" t="s">
        <v>157</v>
      </c>
      <c r="K69" s="59"/>
      <c r="L69" s="40" t="s">
        <v>153</v>
      </c>
      <c r="M69" s="43">
        <v>44498</v>
      </c>
      <c r="N69" s="44"/>
      <c r="O69" s="45"/>
      <c r="P69" s="45">
        <v>44525</v>
      </c>
      <c r="Q69" s="46">
        <v>44525</v>
      </c>
    </row>
    <row r="70" spans="2:17" s="35" customFormat="1" ht="19.7" customHeight="1" x14ac:dyDescent="0.15">
      <c r="B70" s="38">
        <v>23</v>
      </c>
      <c r="C70" s="44" t="s">
        <v>101</v>
      </c>
      <c r="D70" s="44" t="s">
        <v>101</v>
      </c>
      <c r="E70" s="75" t="s">
        <v>158</v>
      </c>
      <c r="F70" s="73">
        <v>1</v>
      </c>
      <c r="G70" s="47">
        <v>2300</v>
      </c>
      <c r="H70" s="57">
        <f t="shared" si="3"/>
        <v>2300</v>
      </c>
      <c r="I70" s="41"/>
      <c r="J70" s="60" t="s">
        <v>159</v>
      </c>
      <c r="K70" s="59"/>
      <c r="L70" s="40" t="s">
        <v>153</v>
      </c>
      <c r="M70" s="43">
        <v>44498</v>
      </c>
      <c r="N70" s="44"/>
      <c r="O70" s="45"/>
      <c r="P70" s="45">
        <v>44525</v>
      </c>
      <c r="Q70" s="46">
        <v>44525</v>
      </c>
    </row>
    <row r="71" spans="2:17" s="35" customFormat="1" ht="19.7" customHeight="1" x14ac:dyDescent="0.15">
      <c r="B71" s="38">
        <v>23</v>
      </c>
      <c r="C71" s="38" t="s">
        <v>160</v>
      </c>
      <c r="D71" s="44" t="s">
        <v>101</v>
      </c>
      <c r="E71" s="75" t="s">
        <v>161</v>
      </c>
      <c r="F71" s="73">
        <v>2</v>
      </c>
      <c r="G71" s="47">
        <v>319</v>
      </c>
      <c r="H71" s="57">
        <f t="shared" si="3"/>
        <v>638</v>
      </c>
      <c r="I71" s="41"/>
      <c r="J71" s="60" t="s">
        <v>162</v>
      </c>
      <c r="K71" s="74"/>
      <c r="L71" s="40" t="s">
        <v>163</v>
      </c>
      <c r="M71" s="43">
        <v>44498</v>
      </c>
      <c r="N71" s="44"/>
      <c r="O71" s="45"/>
      <c r="P71" s="45">
        <v>44525</v>
      </c>
      <c r="Q71" s="46">
        <v>44525</v>
      </c>
    </row>
    <row r="72" spans="2:17" s="35" customFormat="1" ht="19.7" customHeight="1" x14ac:dyDescent="0.15">
      <c r="B72" s="38">
        <v>23</v>
      </c>
      <c r="C72" s="44" t="s">
        <v>101</v>
      </c>
      <c r="D72" s="44" t="s">
        <v>101</v>
      </c>
      <c r="E72" s="75" t="s">
        <v>164</v>
      </c>
      <c r="F72" s="73">
        <v>2</v>
      </c>
      <c r="G72" s="47">
        <v>40</v>
      </c>
      <c r="H72" s="57">
        <f t="shared" si="3"/>
        <v>80</v>
      </c>
      <c r="I72" s="41"/>
      <c r="J72" s="60" t="s">
        <v>165</v>
      </c>
      <c r="K72" s="74"/>
      <c r="L72" s="40" t="s">
        <v>163</v>
      </c>
      <c r="M72" s="43">
        <v>44498</v>
      </c>
      <c r="N72" s="44"/>
      <c r="O72" s="45"/>
      <c r="P72" s="45">
        <v>44525</v>
      </c>
      <c r="Q72" s="46">
        <v>44525</v>
      </c>
    </row>
    <row r="73" spans="2:17" s="35" customFormat="1" ht="19.7" customHeight="1" x14ac:dyDescent="0.15">
      <c r="B73" s="38">
        <v>23</v>
      </c>
      <c r="C73" s="44" t="s">
        <v>101</v>
      </c>
      <c r="D73" s="44" t="s">
        <v>101</v>
      </c>
      <c r="E73" s="75" t="s">
        <v>166</v>
      </c>
      <c r="F73" s="73">
        <v>2</v>
      </c>
      <c r="G73" s="47">
        <v>71</v>
      </c>
      <c r="H73" s="57">
        <f t="shared" si="3"/>
        <v>142</v>
      </c>
      <c r="I73" s="41"/>
      <c r="J73" s="60" t="s">
        <v>167</v>
      </c>
      <c r="K73" s="74"/>
      <c r="L73" s="40" t="s">
        <v>163</v>
      </c>
      <c r="M73" s="43">
        <v>44498</v>
      </c>
      <c r="N73" s="44"/>
      <c r="O73" s="45"/>
      <c r="P73" s="45">
        <v>44525</v>
      </c>
      <c r="Q73" s="46">
        <v>44525</v>
      </c>
    </row>
    <row r="74" spans="2:17" s="35" customFormat="1" ht="19.7" customHeight="1" x14ac:dyDescent="0.15">
      <c r="B74" s="38">
        <v>23</v>
      </c>
      <c r="C74" s="44" t="s">
        <v>101</v>
      </c>
      <c r="D74" s="44" t="s">
        <v>101</v>
      </c>
      <c r="E74" s="75" t="s">
        <v>168</v>
      </c>
      <c r="F74" s="73">
        <v>2</v>
      </c>
      <c r="G74" s="47">
        <v>30</v>
      </c>
      <c r="H74" s="57">
        <f t="shared" si="3"/>
        <v>60</v>
      </c>
      <c r="I74" s="41"/>
      <c r="J74" s="60" t="s">
        <v>169</v>
      </c>
      <c r="K74" s="74"/>
      <c r="L74" s="40" t="s">
        <v>163</v>
      </c>
      <c r="M74" s="43">
        <v>44498</v>
      </c>
      <c r="N74" s="44"/>
      <c r="O74" s="45"/>
      <c r="P74" s="45">
        <v>44525</v>
      </c>
      <c r="Q74" s="46">
        <v>44525</v>
      </c>
    </row>
    <row r="75" spans="2:17" s="35" customFormat="1" ht="19.7" customHeight="1" x14ac:dyDescent="0.15">
      <c r="B75" s="38">
        <v>23</v>
      </c>
      <c r="C75" s="44" t="s">
        <v>101</v>
      </c>
      <c r="D75" s="44" t="s">
        <v>101</v>
      </c>
      <c r="E75" s="72" t="s">
        <v>170</v>
      </c>
      <c r="F75" s="73">
        <v>1</v>
      </c>
      <c r="G75" s="47">
        <v>1010</v>
      </c>
      <c r="H75" s="57">
        <f t="shared" si="3"/>
        <v>1010</v>
      </c>
      <c r="I75" s="41"/>
      <c r="J75" s="60" t="s">
        <v>171</v>
      </c>
      <c r="K75" s="74"/>
      <c r="L75" s="40" t="s">
        <v>163</v>
      </c>
      <c r="M75" s="43">
        <v>44498</v>
      </c>
      <c r="N75" s="44"/>
      <c r="O75" s="45"/>
      <c r="P75" s="45">
        <v>44525</v>
      </c>
      <c r="Q75" s="46">
        <v>44525</v>
      </c>
    </row>
    <row r="76" spans="2:17" s="35" customFormat="1" ht="19.7" customHeight="1" x14ac:dyDescent="0.15">
      <c r="B76" s="38">
        <v>23</v>
      </c>
      <c r="C76" s="44" t="s">
        <v>101</v>
      </c>
      <c r="D76" s="44" t="s">
        <v>101</v>
      </c>
      <c r="E76" s="72" t="s">
        <v>172</v>
      </c>
      <c r="F76" s="73">
        <v>1</v>
      </c>
      <c r="G76" s="47">
        <v>1490</v>
      </c>
      <c r="H76" s="57">
        <f t="shared" si="3"/>
        <v>1490</v>
      </c>
      <c r="I76" s="41"/>
      <c r="J76" s="60" t="s">
        <v>173</v>
      </c>
      <c r="K76" s="74"/>
      <c r="L76" s="40" t="s">
        <v>163</v>
      </c>
      <c r="M76" s="43">
        <v>44498</v>
      </c>
      <c r="N76" s="44"/>
      <c r="O76" s="45"/>
      <c r="P76" s="45">
        <v>44525</v>
      </c>
      <c r="Q76" s="46">
        <v>44525</v>
      </c>
    </row>
    <row r="77" spans="2:17" s="35" customFormat="1" ht="19.7" customHeight="1" x14ac:dyDescent="0.15">
      <c r="B77" s="38">
        <v>23</v>
      </c>
      <c r="C77" s="44" t="s">
        <v>101</v>
      </c>
      <c r="D77" s="44" t="s">
        <v>101</v>
      </c>
      <c r="E77" s="72" t="s">
        <v>174</v>
      </c>
      <c r="F77" s="73">
        <v>1</v>
      </c>
      <c r="G77" s="47">
        <v>1530</v>
      </c>
      <c r="H77" s="57">
        <f t="shared" si="3"/>
        <v>1530</v>
      </c>
      <c r="I77" s="41"/>
      <c r="J77" s="60" t="s">
        <v>173</v>
      </c>
      <c r="K77" s="74"/>
      <c r="L77" s="40" t="s">
        <v>163</v>
      </c>
      <c r="M77" s="43">
        <v>44498</v>
      </c>
      <c r="N77" s="44"/>
      <c r="O77" s="45"/>
      <c r="P77" s="45">
        <v>44525</v>
      </c>
      <c r="Q77" s="46">
        <v>44525</v>
      </c>
    </row>
    <row r="78" spans="2:17" s="35" customFormat="1" ht="19.7" customHeight="1" x14ac:dyDescent="0.15">
      <c r="B78" s="38">
        <v>23</v>
      </c>
      <c r="C78" s="44" t="s">
        <v>101</v>
      </c>
      <c r="D78" s="44" t="s">
        <v>101</v>
      </c>
      <c r="E78" s="72" t="s">
        <v>175</v>
      </c>
      <c r="F78" s="73">
        <v>1</v>
      </c>
      <c r="G78" s="47">
        <v>2000</v>
      </c>
      <c r="H78" s="57">
        <f t="shared" si="3"/>
        <v>2000</v>
      </c>
      <c r="I78" s="41"/>
      <c r="J78" s="60" t="s">
        <v>176</v>
      </c>
      <c r="K78" s="74"/>
      <c r="L78" s="40" t="s">
        <v>163</v>
      </c>
      <c r="M78" s="43">
        <v>44498</v>
      </c>
      <c r="N78" s="44"/>
      <c r="O78" s="45"/>
      <c r="P78" s="45">
        <v>44525</v>
      </c>
      <c r="Q78" s="46">
        <v>44525</v>
      </c>
    </row>
    <row r="79" spans="2:17" s="35" customFormat="1" ht="19.7" customHeight="1" x14ac:dyDescent="0.15">
      <c r="B79" s="38">
        <v>23</v>
      </c>
      <c r="C79" s="44" t="s">
        <v>101</v>
      </c>
      <c r="D79" s="44" t="s">
        <v>101</v>
      </c>
      <c r="E79" s="72" t="s">
        <v>177</v>
      </c>
      <c r="F79" s="73">
        <v>1</v>
      </c>
      <c r="G79" s="47">
        <v>1680</v>
      </c>
      <c r="H79" s="57">
        <f t="shared" si="3"/>
        <v>1680</v>
      </c>
      <c r="I79" s="41"/>
      <c r="J79" s="60" t="s">
        <v>178</v>
      </c>
      <c r="K79" s="74"/>
      <c r="L79" s="40" t="s">
        <v>163</v>
      </c>
      <c r="M79" s="43">
        <v>44498</v>
      </c>
      <c r="N79" s="44"/>
      <c r="O79" s="45"/>
      <c r="P79" s="45">
        <v>44525</v>
      </c>
      <c r="Q79" s="46">
        <v>44525</v>
      </c>
    </row>
    <row r="80" spans="2:17" s="35" customFormat="1" ht="19.7" customHeight="1" x14ac:dyDescent="0.15">
      <c r="B80" s="38">
        <v>23</v>
      </c>
      <c r="C80" s="44" t="s">
        <v>101</v>
      </c>
      <c r="D80" s="38" t="s">
        <v>179</v>
      </c>
      <c r="E80" s="55" t="s">
        <v>180</v>
      </c>
      <c r="F80" s="71">
        <v>2</v>
      </c>
      <c r="G80" s="47">
        <v>1320</v>
      </c>
      <c r="H80" s="57">
        <f t="shared" si="3"/>
        <v>2640</v>
      </c>
      <c r="I80" s="58"/>
      <c r="J80" s="59" t="s">
        <v>181</v>
      </c>
      <c r="K80" s="59"/>
      <c r="L80" s="40" t="s">
        <v>182</v>
      </c>
      <c r="M80" s="43">
        <v>44498</v>
      </c>
      <c r="N80" s="44"/>
      <c r="O80" s="45"/>
      <c r="P80" s="45">
        <v>44525</v>
      </c>
      <c r="Q80" s="46">
        <v>44525</v>
      </c>
    </row>
    <row r="81" spans="2:17" s="35" customFormat="1" ht="19.7" customHeight="1" x14ac:dyDescent="0.15">
      <c r="B81" s="38">
        <v>23</v>
      </c>
      <c r="C81" s="44" t="s">
        <v>101</v>
      </c>
      <c r="D81" s="38" t="s">
        <v>179</v>
      </c>
      <c r="E81" s="55" t="s">
        <v>183</v>
      </c>
      <c r="F81" s="71">
        <v>2</v>
      </c>
      <c r="G81" s="47">
        <v>1320</v>
      </c>
      <c r="H81" s="57">
        <f t="shared" si="3"/>
        <v>2640</v>
      </c>
      <c r="I81" s="58"/>
      <c r="J81" s="59" t="s">
        <v>181</v>
      </c>
      <c r="K81" s="59"/>
      <c r="L81" s="40" t="s">
        <v>182</v>
      </c>
      <c r="M81" s="43">
        <v>44498</v>
      </c>
      <c r="N81" s="44"/>
      <c r="O81" s="45"/>
      <c r="P81" s="45">
        <v>44525</v>
      </c>
      <c r="Q81" s="46">
        <v>44525</v>
      </c>
    </row>
    <row r="82" spans="2:17" s="35" customFormat="1" ht="19.7" customHeight="1" x14ac:dyDescent="0.15">
      <c r="B82" s="38">
        <v>18</v>
      </c>
      <c r="C82" s="44" t="s">
        <v>101</v>
      </c>
      <c r="D82" s="38" t="s">
        <v>179</v>
      </c>
      <c r="E82" s="60" t="s">
        <v>184</v>
      </c>
      <c r="F82" s="76">
        <v>1</v>
      </c>
      <c r="G82" s="47">
        <v>360</v>
      </c>
      <c r="H82" s="57">
        <f t="shared" si="3"/>
        <v>360</v>
      </c>
      <c r="I82" s="58"/>
      <c r="J82" s="59" t="s">
        <v>185</v>
      </c>
      <c r="K82" s="59"/>
      <c r="L82" s="40" t="s">
        <v>186</v>
      </c>
      <c r="M82" s="43">
        <v>44498</v>
      </c>
      <c r="N82" s="44"/>
      <c r="O82" s="45"/>
      <c r="P82" s="45">
        <v>44525</v>
      </c>
      <c r="Q82" s="46">
        <v>44525</v>
      </c>
    </row>
    <row r="83" spans="2:17" s="35" customFormat="1" ht="19.7" customHeight="1" x14ac:dyDescent="0.15">
      <c r="B83" s="38">
        <v>18</v>
      </c>
      <c r="C83" s="44" t="s">
        <v>101</v>
      </c>
      <c r="D83" s="38" t="s">
        <v>179</v>
      </c>
      <c r="E83" s="60" t="s">
        <v>187</v>
      </c>
      <c r="F83" s="76">
        <v>1</v>
      </c>
      <c r="G83" s="47">
        <v>360</v>
      </c>
      <c r="H83" s="57">
        <f t="shared" si="3"/>
        <v>360</v>
      </c>
      <c r="I83" s="58"/>
      <c r="J83" s="59" t="s">
        <v>185</v>
      </c>
      <c r="K83" s="59"/>
      <c r="L83" s="40" t="s">
        <v>186</v>
      </c>
      <c r="M83" s="43">
        <v>44498</v>
      </c>
      <c r="N83" s="44"/>
      <c r="O83" s="45"/>
      <c r="P83" s="45">
        <v>44525</v>
      </c>
      <c r="Q83" s="46">
        <v>44525</v>
      </c>
    </row>
    <row r="84" spans="2:17" s="35" customFormat="1" ht="19.7" customHeight="1" x14ac:dyDescent="0.15">
      <c r="B84" s="38">
        <v>18</v>
      </c>
      <c r="C84" s="44" t="s">
        <v>101</v>
      </c>
      <c r="D84" s="38" t="s">
        <v>179</v>
      </c>
      <c r="E84" s="60" t="s">
        <v>188</v>
      </c>
      <c r="F84" s="76">
        <v>2</v>
      </c>
      <c r="G84" s="47">
        <v>360</v>
      </c>
      <c r="H84" s="57">
        <f t="shared" si="3"/>
        <v>720</v>
      </c>
      <c r="I84" s="58"/>
      <c r="J84" s="59" t="s">
        <v>185</v>
      </c>
      <c r="K84" s="59"/>
      <c r="L84" s="40" t="s">
        <v>186</v>
      </c>
      <c r="M84" s="43">
        <v>44498</v>
      </c>
      <c r="N84" s="44"/>
      <c r="O84" s="45"/>
      <c r="P84" s="45">
        <v>44525</v>
      </c>
      <c r="Q84" s="46">
        <v>44525</v>
      </c>
    </row>
    <row r="85" spans="2:17" s="35" customFormat="1" ht="19.7" customHeight="1" x14ac:dyDescent="0.15">
      <c r="B85" s="38">
        <v>18</v>
      </c>
      <c r="C85" s="44" t="s">
        <v>101</v>
      </c>
      <c r="D85" s="38" t="s">
        <v>179</v>
      </c>
      <c r="E85" s="60" t="s">
        <v>189</v>
      </c>
      <c r="F85" s="76">
        <v>1</v>
      </c>
      <c r="G85" s="47">
        <v>340</v>
      </c>
      <c r="H85" s="57">
        <f t="shared" ref="H85:H148" si="5">F85*G85</f>
        <v>340</v>
      </c>
      <c r="I85" s="58"/>
      <c r="J85" s="59" t="s">
        <v>185</v>
      </c>
      <c r="K85" s="59"/>
      <c r="L85" s="40" t="s">
        <v>186</v>
      </c>
      <c r="M85" s="43">
        <v>44498</v>
      </c>
      <c r="N85" s="44"/>
      <c r="O85" s="45"/>
      <c r="P85" s="45">
        <v>44525</v>
      </c>
      <c r="Q85" s="46">
        <v>44525</v>
      </c>
    </row>
    <row r="86" spans="2:17" s="35" customFormat="1" ht="19.7" customHeight="1" x14ac:dyDescent="0.15">
      <c r="B86" s="38">
        <v>18</v>
      </c>
      <c r="C86" s="44" t="s">
        <v>101</v>
      </c>
      <c r="D86" s="38" t="s">
        <v>179</v>
      </c>
      <c r="E86" s="60" t="s">
        <v>190</v>
      </c>
      <c r="F86" s="76">
        <v>2</v>
      </c>
      <c r="G86" s="47">
        <v>460</v>
      </c>
      <c r="H86" s="57">
        <f t="shared" si="5"/>
        <v>920</v>
      </c>
      <c r="I86" s="58"/>
      <c r="J86" s="59" t="s">
        <v>185</v>
      </c>
      <c r="K86" s="59"/>
      <c r="L86" s="40" t="s">
        <v>186</v>
      </c>
      <c r="M86" s="43">
        <v>44498</v>
      </c>
      <c r="N86" s="44"/>
      <c r="O86" s="45"/>
      <c r="P86" s="45">
        <v>44525</v>
      </c>
      <c r="Q86" s="46">
        <v>44525</v>
      </c>
    </row>
    <row r="87" spans="2:17" s="35" customFormat="1" ht="19.7" customHeight="1" x14ac:dyDescent="0.15">
      <c r="B87" s="38">
        <v>18</v>
      </c>
      <c r="C87" s="44" t="s">
        <v>101</v>
      </c>
      <c r="D87" s="38" t="s">
        <v>179</v>
      </c>
      <c r="E87" s="60" t="s">
        <v>191</v>
      </c>
      <c r="F87" s="76">
        <v>1</v>
      </c>
      <c r="G87" s="47">
        <v>500</v>
      </c>
      <c r="H87" s="57">
        <f t="shared" si="5"/>
        <v>500</v>
      </c>
      <c r="I87" s="58"/>
      <c r="J87" s="59" t="s">
        <v>185</v>
      </c>
      <c r="K87" s="59"/>
      <c r="L87" s="40" t="s">
        <v>186</v>
      </c>
      <c r="M87" s="43">
        <v>44498</v>
      </c>
      <c r="N87" s="44"/>
      <c r="O87" s="45"/>
      <c r="P87" s="45">
        <v>44525</v>
      </c>
      <c r="Q87" s="46">
        <v>44525</v>
      </c>
    </row>
    <row r="88" spans="2:17" s="35" customFormat="1" ht="19.7" customHeight="1" x14ac:dyDescent="0.15">
      <c r="B88" s="38">
        <v>18</v>
      </c>
      <c r="C88" s="44" t="s">
        <v>101</v>
      </c>
      <c r="D88" s="38" t="s">
        <v>179</v>
      </c>
      <c r="E88" s="60" t="s">
        <v>192</v>
      </c>
      <c r="F88" s="76">
        <v>8</v>
      </c>
      <c r="G88" s="47">
        <v>550</v>
      </c>
      <c r="H88" s="57">
        <f t="shared" si="5"/>
        <v>4400</v>
      </c>
      <c r="I88" s="58"/>
      <c r="J88" s="59" t="s">
        <v>185</v>
      </c>
      <c r="K88" s="59"/>
      <c r="L88" s="40" t="s">
        <v>186</v>
      </c>
      <c r="M88" s="43">
        <v>44498</v>
      </c>
      <c r="N88" s="44"/>
      <c r="O88" s="45"/>
      <c r="P88" s="45">
        <v>44525</v>
      </c>
      <c r="Q88" s="46">
        <v>44525</v>
      </c>
    </row>
    <row r="89" spans="2:17" s="35" customFormat="1" ht="19.7" customHeight="1" x14ac:dyDescent="0.15">
      <c r="B89" s="38">
        <v>18</v>
      </c>
      <c r="C89" s="44" t="s">
        <v>101</v>
      </c>
      <c r="D89" s="38" t="s">
        <v>179</v>
      </c>
      <c r="E89" s="60" t="s">
        <v>193</v>
      </c>
      <c r="F89" s="76">
        <v>4</v>
      </c>
      <c r="G89" s="47">
        <v>660</v>
      </c>
      <c r="H89" s="57">
        <f t="shared" si="5"/>
        <v>2640</v>
      </c>
      <c r="I89" s="58"/>
      <c r="J89" s="59" t="s">
        <v>185</v>
      </c>
      <c r="K89" s="59"/>
      <c r="L89" s="40" t="s">
        <v>186</v>
      </c>
      <c r="M89" s="43">
        <v>44498</v>
      </c>
      <c r="N89" s="44"/>
      <c r="O89" s="45"/>
      <c r="P89" s="45">
        <v>44525</v>
      </c>
      <c r="Q89" s="46">
        <v>44525</v>
      </c>
    </row>
    <row r="90" spans="2:17" s="35" customFormat="1" ht="19.7" customHeight="1" x14ac:dyDescent="0.15">
      <c r="B90" s="38">
        <v>18</v>
      </c>
      <c r="C90" s="44" t="s">
        <v>101</v>
      </c>
      <c r="D90" s="38" t="s">
        <v>179</v>
      </c>
      <c r="E90" s="60" t="s">
        <v>194</v>
      </c>
      <c r="F90" s="76">
        <v>2</v>
      </c>
      <c r="G90" s="47">
        <v>360</v>
      </c>
      <c r="H90" s="57">
        <f t="shared" si="5"/>
        <v>720</v>
      </c>
      <c r="I90" s="58"/>
      <c r="J90" s="59" t="s">
        <v>185</v>
      </c>
      <c r="K90" s="59"/>
      <c r="L90" s="40" t="s">
        <v>186</v>
      </c>
      <c r="M90" s="43">
        <v>44498</v>
      </c>
      <c r="N90" s="44"/>
      <c r="O90" s="45"/>
      <c r="P90" s="45">
        <v>44525</v>
      </c>
      <c r="Q90" s="46">
        <v>44525</v>
      </c>
    </row>
    <row r="91" spans="2:17" s="35" customFormat="1" ht="19.7" customHeight="1" x14ac:dyDescent="0.15">
      <c r="B91" s="38">
        <v>18</v>
      </c>
      <c r="C91" s="44" t="s">
        <v>101</v>
      </c>
      <c r="D91" s="38" t="s">
        <v>179</v>
      </c>
      <c r="E91" s="60" t="s">
        <v>195</v>
      </c>
      <c r="F91" s="76">
        <v>2</v>
      </c>
      <c r="G91" s="47">
        <v>740</v>
      </c>
      <c r="H91" s="57">
        <f t="shared" si="5"/>
        <v>1480</v>
      </c>
      <c r="I91" s="58"/>
      <c r="J91" s="59" t="s">
        <v>185</v>
      </c>
      <c r="K91" s="59"/>
      <c r="L91" s="40" t="s">
        <v>186</v>
      </c>
      <c r="M91" s="43">
        <v>44498</v>
      </c>
      <c r="N91" s="44"/>
      <c r="O91" s="45"/>
      <c r="P91" s="45">
        <v>44525</v>
      </c>
      <c r="Q91" s="17">
        <v>44525</v>
      </c>
    </row>
    <row r="92" spans="2:17" s="35" customFormat="1" ht="19.7" customHeight="1" x14ac:dyDescent="0.15">
      <c r="B92" s="38">
        <v>18</v>
      </c>
      <c r="C92" s="44" t="s">
        <v>101</v>
      </c>
      <c r="D92" s="38" t="s">
        <v>179</v>
      </c>
      <c r="E92" s="60" t="s">
        <v>196</v>
      </c>
      <c r="F92" s="76">
        <v>4</v>
      </c>
      <c r="G92" s="47">
        <v>1360</v>
      </c>
      <c r="H92" s="57">
        <f t="shared" si="5"/>
        <v>5440</v>
      </c>
      <c r="I92" s="58"/>
      <c r="J92" s="59" t="s">
        <v>197</v>
      </c>
      <c r="K92" s="59"/>
      <c r="L92" s="40" t="s">
        <v>186</v>
      </c>
      <c r="M92" s="43">
        <v>44498</v>
      </c>
      <c r="N92" s="44"/>
      <c r="O92" s="45"/>
      <c r="P92" s="45">
        <v>44525</v>
      </c>
      <c r="Q92" s="17">
        <v>44525</v>
      </c>
    </row>
    <row r="93" spans="2:17" s="35" customFormat="1" ht="19.7" customHeight="1" x14ac:dyDescent="0.15">
      <c r="B93" s="38">
        <v>18</v>
      </c>
      <c r="C93" s="44" t="s">
        <v>101</v>
      </c>
      <c r="D93" s="38" t="s">
        <v>179</v>
      </c>
      <c r="E93" s="60" t="s">
        <v>198</v>
      </c>
      <c r="F93" s="76">
        <v>2</v>
      </c>
      <c r="G93" s="47">
        <v>800</v>
      </c>
      <c r="H93" s="57">
        <f t="shared" si="5"/>
        <v>1600</v>
      </c>
      <c r="I93" s="58"/>
      <c r="J93" s="59" t="s">
        <v>199</v>
      </c>
      <c r="K93" s="59"/>
      <c r="L93" s="40" t="s">
        <v>186</v>
      </c>
      <c r="M93" s="43">
        <v>44498</v>
      </c>
      <c r="N93" s="44"/>
      <c r="O93" s="45"/>
      <c r="P93" s="45">
        <v>44525</v>
      </c>
      <c r="Q93" s="17">
        <v>44525</v>
      </c>
    </row>
    <row r="94" spans="2:17" s="35" customFormat="1" ht="19.7" customHeight="1" x14ac:dyDescent="0.15">
      <c r="B94" s="38">
        <v>18</v>
      </c>
      <c r="C94" s="44" t="s">
        <v>101</v>
      </c>
      <c r="D94" s="38" t="s">
        <v>179</v>
      </c>
      <c r="E94" s="60" t="s">
        <v>200</v>
      </c>
      <c r="F94" s="76">
        <v>80</v>
      </c>
      <c r="G94" s="47">
        <v>224</v>
      </c>
      <c r="H94" s="57">
        <f t="shared" si="5"/>
        <v>17920</v>
      </c>
      <c r="I94" s="58"/>
      <c r="J94" s="60" t="s">
        <v>201</v>
      </c>
      <c r="K94" s="59"/>
      <c r="L94" s="40" t="s">
        <v>186</v>
      </c>
      <c r="M94" s="43">
        <v>44498</v>
      </c>
      <c r="N94" s="44"/>
      <c r="O94" s="45"/>
      <c r="P94" s="48">
        <v>44546</v>
      </c>
      <c r="Q94" s="17">
        <v>44546</v>
      </c>
    </row>
    <row r="95" spans="2:17" s="35" customFormat="1" ht="19.7" customHeight="1" x14ac:dyDescent="0.15">
      <c r="B95" s="38">
        <v>18</v>
      </c>
      <c r="C95" s="44" t="s">
        <v>101</v>
      </c>
      <c r="D95" s="38" t="s">
        <v>179</v>
      </c>
      <c r="E95" s="60" t="s">
        <v>202</v>
      </c>
      <c r="F95" s="76">
        <v>4</v>
      </c>
      <c r="G95" s="47">
        <v>266</v>
      </c>
      <c r="H95" s="57">
        <f t="shared" si="5"/>
        <v>1064</v>
      </c>
      <c r="I95" s="58"/>
      <c r="J95" s="60" t="s">
        <v>203</v>
      </c>
      <c r="K95" s="59"/>
      <c r="L95" s="40" t="s">
        <v>186</v>
      </c>
      <c r="M95" s="43">
        <v>44498</v>
      </c>
      <c r="N95" s="44"/>
      <c r="O95" s="45"/>
      <c r="P95" s="45">
        <v>44525</v>
      </c>
      <c r="Q95" s="17">
        <v>44525</v>
      </c>
    </row>
    <row r="96" spans="2:17" s="35" customFormat="1" ht="19.7" customHeight="1" x14ac:dyDescent="0.15">
      <c r="B96" s="38">
        <v>18</v>
      </c>
      <c r="C96" s="44" t="s">
        <v>101</v>
      </c>
      <c r="D96" s="38" t="s">
        <v>179</v>
      </c>
      <c r="E96" s="60" t="s">
        <v>204</v>
      </c>
      <c r="F96" s="76">
        <v>4</v>
      </c>
      <c r="G96" s="47">
        <v>200</v>
      </c>
      <c r="H96" s="57">
        <f t="shared" si="5"/>
        <v>800</v>
      </c>
      <c r="I96" s="58"/>
      <c r="J96" s="60" t="s">
        <v>205</v>
      </c>
      <c r="K96" s="59"/>
      <c r="L96" s="40" t="s">
        <v>186</v>
      </c>
      <c r="M96" s="43">
        <v>44498</v>
      </c>
      <c r="N96" s="44"/>
      <c r="O96" s="45"/>
      <c r="P96" s="45">
        <v>44525</v>
      </c>
      <c r="Q96" s="17">
        <v>44525</v>
      </c>
    </row>
    <row r="97" spans="2:17" s="35" customFormat="1" ht="19.7" customHeight="1" x14ac:dyDescent="0.15">
      <c r="B97" s="38">
        <v>18</v>
      </c>
      <c r="C97" s="44" t="s">
        <v>101</v>
      </c>
      <c r="D97" s="38" t="s">
        <v>179</v>
      </c>
      <c r="E97" s="60" t="s">
        <v>206</v>
      </c>
      <c r="F97" s="76">
        <v>4</v>
      </c>
      <c r="G97" s="47">
        <v>260</v>
      </c>
      <c r="H97" s="57">
        <f t="shared" si="5"/>
        <v>1040</v>
      </c>
      <c r="I97" s="58"/>
      <c r="J97" s="60" t="s">
        <v>205</v>
      </c>
      <c r="K97" s="59"/>
      <c r="L97" s="40" t="s">
        <v>186</v>
      </c>
      <c r="M97" s="43">
        <v>44498</v>
      </c>
      <c r="N97" s="44"/>
      <c r="O97" s="45"/>
      <c r="P97" s="45">
        <v>44525</v>
      </c>
      <c r="Q97" s="17">
        <v>44525</v>
      </c>
    </row>
    <row r="98" spans="2:17" s="35" customFormat="1" ht="19.7" customHeight="1" x14ac:dyDescent="0.15">
      <c r="B98" s="38">
        <v>18</v>
      </c>
      <c r="C98" s="44" t="s">
        <v>101</v>
      </c>
      <c r="D98" s="38" t="s">
        <v>179</v>
      </c>
      <c r="E98" s="60" t="s">
        <v>207</v>
      </c>
      <c r="F98" s="76">
        <v>2</v>
      </c>
      <c r="G98" s="47">
        <v>401</v>
      </c>
      <c r="H98" s="57">
        <f t="shared" si="5"/>
        <v>802</v>
      </c>
      <c r="I98" s="58"/>
      <c r="J98" s="60" t="s">
        <v>208</v>
      </c>
      <c r="K98" s="59"/>
      <c r="L98" s="40" t="s">
        <v>186</v>
      </c>
      <c r="M98" s="43">
        <v>44498</v>
      </c>
      <c r="N98" s="44"/>
      <c r="O98" s="45"/>
      <c r="P98" s="45">
        <v>44525</v>
      </c>
      <c r="Q98" s="17">
        <v>44525</v>
      </c>
    </row>
    <row r="99" spans="2:17" s="35" customFormat="1" ht="19.7" customHeight="1" x14ac:dyDescent="0.15">
      <c r="B99" s="38">
        <v>18</v>
      </c>
      <c r="C99" s="44" t="s">
        <v>101</v>
      </c>
      <c r="D99" s="38" t="s">
        <v>179</v>
      </c>
      <c r="E99" s="60" t="s">
        <v>209</v>
      </c>
      <c r="F99" s="76">
        <v>2</v>
      </c>
      <c r="G99" s="47">
        <v>690</v>
      </c>
      <c r="H99" s="57">
        <f t="shared" si="5"/>
        <v>1380</v>
      </c>
      <c r="I99" s="58"/>
      <c r="J99" s="60" t="s">
        <v>210</v>
      </c>
      <c r="K99" s="59"/>
      <c r="L99" s="40" t="s">
        <v>186</v>
      </c>
      <c r="M99" s="43">
        <v>44498</v>
      </c>
      <c r="N99" s="44"/>
      <c r="O99" s="45"/>
      <c r="P99" s="45">
        <v>44525</v>
      </c>
      <c r="Q99" s="17">
        <v>44525</v>
      </c>
    </row>
    <row r="100" spans="2:17" s="35" customFormat="1" ht="19.7" customHeight="1" x14ac:dyDescent="0.15">
      <c r="B100" s="38">
        <v>18</v>
      </c>
      <c r="C100" s="44" t="s">
        <v>101</v>
      </c>
      <c r="D100" s="38" t="s">
        <v>179</v>
      </c>
      <c r="E100" s="55" t="s">
        <v>211</v>
      </c>
      <c r="F100" s="71">
        <v>70</v>
      </c>
      <c r="G100" s="47">
        <v>93</v>
      </c>
      <c r="H100" s="57">
        <f t="shared" si="5"/>
        <v>6510</v>
      </c>
      <c r="I100" s="58"/>
      <c r="J100" s="59" t="s">
        <v>212</v>
      </c>
      <c r="K100" s="59"/>
      <c r="L100" s="40" t="s">
        <v>186</v>
      </c>
      <c r="M100" s="43">
        <v>44498</v>
      </c>
      <c r="N100" s="44"/>
      <c r="O100" s="45"/>
      <c r="P100" s="45">
        <v>44525</v>
      </c>
      <c r="Q100" s="17">
        <v>44525</v>
      </c>
    </row>
    <row r="101" spans="2:17" s="35" customFormat="1" ht="19.7" customHeight="1" x14ac:dyDescent="0.15">
      <c r="B101" s="38">
        <v>18</v>
      </c>
      <c r="C101" s="44" t="s">
        <v>101</v>
      </c>
      <c r="D101" s="38" t="s">
        <v>179</v>
      </c>
      <c r="E101" s="55" t="s">
        <v>213</v>
      </c>
      <c r="F101" s="71">
        <v>2</v>
      </c>
      <c r="G101" s="47">
        <v>1990</v>
      </c>
      <c r="H101" s="57">
        <f t="shared" si="5"/>
        <v>3980</v>
      </c>
      <c r="I101" s="58"/>
      <c r="J101" s="59" t="s">
        <v>214</v>
      </c>
      <c r="K101" s="59"/>
      <c r="L101" s="40" t="s">
        <v>186</v>
      </c>
      <c r="M101" s="43">
        <v>44498</v>
      </c>
      <c r="N101" s="44"/>
      <c r="O101" s="45"/>
      <c r="P101" s="45">
        <v>44525</v>
      </c>
      <c r="Q101" s="17">
        <v>44525</v>
      </c>
    </row>
    <row r="102" spans="2:17" s="35" customFormat="1" ht="19.7" customHeight="1" x14ac:dyDescent="0.15">
      <c r="B102" s="38">
        <v>18</v>
      </c>
      <c r="C102" s="38" t="s">
        <v>215</v>
      </c>
      <c r="D102" s="38" t="s">
        <v>179</v>
      </c>
      <c r="E102" s="55" t="s">
        <v>216</v>
      </c>
      <c r="F102" s="71">
        <v>2</v>
      </c>
      <c r="G102" s="47">
        <v>474</v>
      </c>
      <c r="H102" s="57">
        <f t="shared" si="5"/>
        <v>948</v>
      </c>
      <c r="I102" s="58"/>
      <c r="J102" s="59" t="s">
        <v>217</v>
      </c>
      <c r="K102" s="59"/>
      <c r="L102" s="40" t="s">
        <v>186</v>
      </c>
      <c r="M102" s="43">
        <v>44498</v>
      </c>
      <c r="N102" s="44"/>
      <c r="O102" s="45"/>
      <c r="P102" s="45">
        <v>44525</v>
      </c>
      <c r="Q102" s="17">
        <v>44525</v>
      </c>
    </row>
    <row r="103" spans="2:17" s="35" customFormat="1" ht="19.7" customHeight="1" x14ac:dyDescent="0.15">
      <c r="B103" s="38">
        <v>18</v>
      </c>
      <c r="C103" s="44" t="s">
        <v>101</v>
      </c>
      <c r="D103" s="38" t="s">
        <v>179</v>
      </c>
      <c r="E103" s="55" t="s">
        <v>218</v>
      </c>
      <c r="F103" s="71">
        <v>1</v>
      </c>
      <c r="G103" s="47">
        <v>265</v>
      </c>
      <c r="H103" s="57">
        <f t="shared" si="5"/>
        <v>265</v>
      </c>
      <c r="I103" s="58"/>
      <c r="J103" s="59" t="s">
        <v>219</v>
      </c>
      <c r="K103" s="59"/>
      <c r="L103" s="40" t="s">
        <v>186</v>
      </c>
      <c r="M103" s="43">
        <v>44498</v>
      </c>
      <c r="N103" s="44"/>
      <c r="O103" s="45"/>
      <c r="P103" s="45">
        <v>44525</v>
      </c>
      <c r="Q103" s="17">
        <v>44525</v>
      </c>
    </row>
    <row r="104" spans="2:17" s="35" customFormat="1" ht="19.7" customHeight="1" x14ac:dyDescent="0.15">
      <c r="B104" s="38">
        <v>18</v>
      </c>
      <c r="C104" s="44" t="s">
        <v>101</v>
      </c>
      <c r="D104" s="38" t="s">
        <v>179</v>
      </c>
      <c r="E104" s="55" t="s">
        <v>220</v>
      </c>
      <c r="F104" s="71">
        <v>1</v>
      </c>
      <c r="G104" s="47">
        <v>1745</v>
      </c>
      <c r="H104" s="57">
        <f t="shared" si="5"/>
        <v>1745</v>
      </c>
      <c r="I104" s="58"/>
      <c r="J104" s="59" t="s">
        <v>221</v>
      </c>
      <c r="K104" s="59"/>
      <c r="L104" s="40" t="s">
        <v>186</v>
      </c>
      <c r="M104" s="43">
        <v>44498</v>
      </c>
      <c r="N104" s="44"/>
      <c r="O104" s="45"/>
      <c r="P104" s="45">
        <v>44525</v>
      </c>
      <c r="Q104" s="17">
        <v>44525</v>
      </c>
    </row>
    <row r="105" spans="2:17" s="35" customFormat="1" ht="19.7" customHeight="1" x14ac:dyDescent="0.15">
      <c r="B105" s="38">
        <v>18</v>
      </c>
      <c r="C105" s="44" t="s">
        <v>101</v>
      </c>
      <c r="D105" s="38" t="s">
        <v>179</v>
      </c>
      <c r="E105" s="55" t="s">
        <v>222</v>
      </c>
      <c r="F105" s="71">
        <v>1</v>
      </c>
      <c r="G105" s="47">
        <v>810</v>
      </c>
      <c r="H105" s="57">
        <f t="shared" si="5"/>
        <v>810</v>
      </c>
      <c r="I105" s="58"/>
      <c r="J105" s="59" t="s">
        <v>223</v>
      </c>
      <c r="K105" s="59"/>
      <c r="L105" s="40" t="s">
        <v>186</v>
      </c>
      <c r="M105" s="43">
        <v>44498</v>
      </c>
      <c r="N105" s="44"/>
      <c r="O105" s="45"/>
      <c r="P105" s="45">
        <v>44525</v>
      </c>
      <c r="Q105" s="17">
        <v>44525</v>
      </c>
    </row>
    <row r="106" spans="2:17" s="35" customFormat="1" ht="19.7" customHeight="1" x14ac:dyDescent="0.15">
      <c r="B106" s="38">
        <v>18</v>
      </c>
      <c r="C106" s="44" t="s">
        <v>101</v>
      </c>
      <c r="D106" s="38" t="s">
        <v>179</v>
      </c>
      <c r="E106" s="55" t="s">
        <v>224</v>
      </c>
      <c r="F106" s="71">
        <v>2</v>
      </c>
      <c r="G106" s="47">
        <v>2420</v>
      </c>
      <c r="H106" s="57">
        <f t="shared" si="5"/>
        <v>4840</v>
      </c>
      <c r="I106" s="58"/>
      <c r="J106" s="59" t="s">
        <v>225</v>
      </c>
      <c r="K106" s="59"/>
      <c r="L106" s="40" t="s">
        <v>186</v>
      </c>
      <c r="M106" s="43">
        <v>44498</v>
      </c>
      <c r="N106" s="44"/>
      <c r="O106" s="45"/>
      <c r="P106" s="45">
        <v>44525</v>
      </c>
      <c r="Q106" s="17">
        <v>44525</v>
      </c>
    </row>
    <row r="107" spans="2:17" s="35" customFormat="1" ht="19.7" customHeight="1" x14ac:dyDescent="0.15">
      <c r="B107" s="38">
        <v>18</v>
      </c>
      <c r="C107" s="44" t="s">
        <v>101</v>
      </c>
      <c r="D107" s="38" t="s">
        <v>179</v>
      </c>
      <c r="E107" s="55" t="s">
        <v>226</v>
      </c>
      <c r="F107" s="71">
        <v>2</v>
      </c>
      <c r="G107" s="47">
        <v>2200</v>
      </c>
      <c r="H107" s="57">
        <f t="shared" si="5"/>
        <v>4400</v>
      </c>
      <c r="I107" s="58"/>
      <c r="J107" s="59" t="s">
        <v>227</v>
      </c>
      <c r="K107" s="59"/>
      <c r="L107" s="40" t="s">
        <v>186</v>
      </c>
      <c r="M107" s="43">
        <v>44498</v>
      </c>
      <c r="N107" s="44"/>
      <c r="O107" s="45"/>
      <c r="P107" s="45">
        <v>44525</v>
      </c>
      <c r="Q107" s="17">
        <v>44525</v>
      </c>
    </row>
    <row r="108" spans="2:17" s="35" customFormat="1" ht="19.7" customHeight="1" x14ac:dyDescent="0.15">
      <c r="B108" s="38">
        <v>18</v>
      </c>
      <c r="C108" s="44" t="s">
        <v>101</v>
      </c>
      <c r="D108" s="38" t="s">
        <v>179</v>
      </c>
      <c r="E108" s="55" t="s">
        <v>228</v>
      </c>
      <c r="F108" s="71">
        <v>2</v>
      </c>
      <c r="G108" s="47">
        <v>3140</v>
      </c>
      <c r="H108" s="57">
        <f t="shared" si="5"/>
        <v>6280</v>
      </c>
      <c r="I108" s="58"/>
      <c r="J108" s="59" t="s">
        <v>229</v>
      </c>
      <c r="K108" s="59"/>
      <c r="L108" s="40" t="s">
        <v>186</v>
      </c>
      <c r="M108" s="43">
        <v>44498</v>
      </c>
      <c r="N108" s="44"/>
      <c r="O108" s="45"/>
      <c r="P108" s="45">
        <v>44525</v>
      </c>
      <c r="Q108" s="17">
        <v>44525</v>
      </c>
    </row>
    <row r="109" spans="2:17" s="35" customFormat="1" ht="19.7" customHeight="1" x14ac:dyDescent="0.15">
      <c r="B109" s="38">
        <v>18</v>
      </c>
      <c r="C109" s="44" t="s">
        <v>101</v>
      </c>
      <c r="D109" s="38" t="s">
        <v>179</v>
      </c>
      <c r="E109" s="55" t="s">
        <v>230</v>
      </c>
      <c r="F109" s="71">
        <v>1</v>
      </c>
      <c r="G109" s="47">
        <v>2000</v>
      </c>
      <c r="H109" s="57">
        <f t="shared" si="5"/>
        <v>2000</v>
      </c>
      <c r="I109" s="58"/>
      <c r="J109" s="59" t="s">
        <v>231</v>
      </c>
      <c r="K109" s="59"/>
      <c r="L109" s="40" t="s">
        <v>186</v>
      </c>
      <c r="M109" s="43">
        <v>44498</v>
      </c>
      <c r="N109" s="44"/>
      <c r="O109" s="45"/>
      <c r="P109" s="45">
        <v>44525</v>
      </c>
      <c r="Q109" s="17">
        <v>44525</v>
      </c>
    </row>
    <row r="110" spans="2:17" s="35" customFormat="1" ht="19.7" customHeight="1" x14ac:dyDescent="0.15">
      <c r="B110" s="38">
        <v>18</v>
      </c>
      <c r="C110" s="44" t="s">
        <v>101</v>
      </c>
      <c r="D110" s="38" t="s">
        <v>179</v>
      </c>
      <c r="E110" s="77" t="s">
        <v>232</v>
      </c>
      <c r="F110" s="71">
        <v>2</v>
      </c>
      <c r="G110" s="47">
        <v>2060</v>
      </c>
      <c r="H110" s="57">
        <f t="shared" si="5"/>
        <v>4120</v>
      </c>
      <c r="I110" s="58"/>
      <c r="J110" s="59" t="s">
        <v>233</v>
      </c>
      <c r="K110" s="59"/>
      <c r="L110" s="40" t="s">
        <v>186</v>
      </c>
      <c r="M110" s="43">
        <v>44498</v>
      </c>
      <c r="N110" s="44"/>
      <c r="O110" s="45"/>
      <c r="P110" s="45">
        <v>44525</v>
      </c>
      <c r="Q110" s="17">
        <v>44525</v>
      </c>
    </row>
    <row r="111" spans="2:17" s="35" customFormat="1" ht="19.7" customHeight="1" x14ac:dyDescent="0.15">
      <c r="B111" s="38">
        <v>18</v>
      </c>
      <c r="C111" s="44" t="s">
        <v>101</v>
      </c>
      <c r="D111" s="38" t="s">
        <v>179</v>
      </c>
      <c r="E111" s="55" t="s">
        <v>234</v>
      </c>
      <c r="F111" s="71">
        <v>100</v>
      </c>
      <c r="G111" s="47">
        <v>12</v>
      </c>
      <c r="H111" s="57">
        <f t="shared" si="5"/>
        <v>1200</v>
      </c>
      <c r="I111" s="58"/>
      <c r="J111" s="60" t="s">
        <v>235</v>
      </c>
      <c r="K111" s="59"/>
      <c r="L111" s="40" t="s">
        <v>186</v>
      </c>
      <c r="M111" s="43">
        <v>44498</v>
      </c>
      <c r="N111" s="44"/>
      <c r="O111" s="45"/>
      <c r="P111" s="45">
        <v>44525</v>
      </c>
      <c r="Q111" s="17">
        <v>44525</v>
      </c>
    </row>
    <row r="112" spans="2:17" s="35" customFormat="1" ht="19.7" customHeight="1" x14ac:dyDescent="0.15">
      <c r="B112" s="38">
        <v>18</v>
      </c>
      <c r="C112" s="44" t="s">
        <v>101</v>
      </c>
      <c r="D112" s="38" t="s">
        <v>179</v>
      </c>
      <c r="E112" s="55" t="s">
        <v>236</v>
      </c>
      <c r="F112" s="71">
        <v>100</v>
      </c>
      <c r="G112" s="47">
        <v>12</v>
      </c>
      <c r="H112" s="57">
        <f t="shared" si="5"/>
        <v>1200</v>
      </c>
      <c r="I112" s="58"/>
      <c r="J112" s="60" t="s">
        <v>235</v>
      </c>
      <c r="K112" s="59"/>
      <c r="L112" s="40" t="s">
        <v>237</v>
      </c>
      <c r="M112" s="43">
        <v>44498</v>
      </c>
      <c r="N112" s="44"/>
      <c r="O112" s="45"/>
      <c r="P112" s="45">
        <v>44525</v>
      </c>
      <c r="Q112" s="17">
        <v>44525</v>
      </c>
    </row>
    <row r="113" spans="2:17" s="35" customFormat="1" ht="19.7" customHeight="1" x14ac:dyDescent="0.15">
      <c r="B113" s="38">
        <v>18</v>
      </c>
      <c r="C113" s="44" t="s">
        <v>101</v>
      </c>
      <c r="D113" s="38" t="s">
        <v>179</v>
      </c>
      <c r="E113" s="55" t="s">
        <v>238</v>
      </c>
      <c r="F113" s="71">
        <v>1</v>
      </c>
      <c r="G113" s="47">
        <v>3250</v>
      </c>
      <c r="H113" s="57">
        <f t="shared" si="5"/>
        <v>3250</v>
      </c>
      <c r="I113" s="58"/>
      <c r="J113" s="59" t="s">
        <v>239</v>
      </c>
      <c r="K113" s="59"/>
      <c r="L113" s="40" t="s">
        <v>237</v>
      </c>
      <c r="M113" s="43">
        <v>44498</v>
      </c>
      <c r="N113" s="44"/>
      <c r="O113" s="45"/>
      <c r="P113" s="45">
        <v>44525</v>
      </c>
      <c r="Q113" s="17">
        <v>44525</v>
      </c>
    </row>
    <row r="114" spans="2:17" s="35" customFormat="1" ht="19.7" customHeight="1" x14ac:dyDescent="0.15">
      <c r="B114" s="38">
        <v>18</v>
      </c>
      <c r="C114" s="44" t="s">
        <v>101</v>
      </c>
      <c r="D114" s="38" t="s">
        <v>179</v>
      </c>
      <c r="E114" s="55" t="s">
        <v>240</v>
      </c>
      <c r="F114" s="71">
        <v>2</v>
      </c>
      <c r="G114" s="47">
        <v>3040</v>
      </c>
      <c r="H114" s="57">
        <f t="shared" si="5"/>
        <v>6080</v>
      </c>
      <c r="I114" s="58"/>
      <c r="J114" s="59" t="s">
        <v>241</v>
      </c>
      <c r="K114" s="59"/>
      <c r="L114" s="40" t="s">
        <v>242</v>
      </c>
      <c r="M114" s="43">
        <v>44498</v>
      </c>
      <c r="N114" s="44"/>
      <c r="O114" s="45"/>
      <c r="P114" s="45">
        <v>44525</v>
      </c>
      <c r="Q114" s="17">
        <v>44525</v>
      </c>
    </row>
    <row r="115" spans="2:17" s="35" customFormat="1" ht="19.7" customHeight="1" x14ac:dyDescent="0.15">
      <c r="B115" s="38">
        <v>18</v>
      </c>
      <c r="C115" s="44" t="s">
        <v>101</v>
      </c>
      <c r="D115" s="38" t="s">
        <v>179</v>
      </c>
      <c r="E115" s="55" t="s">
        <v>243</v>
      </c>
      <c r="F115" s="71">
        <v>4</v>
      </c>
      <c r="G115" s="47">
        <v>560</v>
      </c>
      <c r="H115" s="57">
        <f t="shared" si="5"/>
        <v>2240</v>
      </c>
      <c r="I115" s="58"/>
      <c r="J115" s="59" t="s">
        <v>244</v>
      </c>
      <c r="K115" s="59"/>
      <c r="L115" s="40" t="s">
        <v>242</v>
      </c>
      <c r="M115" s="43">
        <v>44498</v>
      </c>
      <c r="N115" s="44"/>
      <c r="O115" s="45"/>
      <c r="P115" s="45">
        <v>44525</v>
      </c>
      <c r="Q115" s="17">
        <v>44525</v>
      </c>
    </row>
    <row r="116" spans="2:17" s="35" customFormat="1" ht="19.7" customHeight="1" x14ac:dyDescent="0.15">
      <c r="B116" s="38">
        <v>18</v>
      </c>
      <c r="C116" s="44" t="s">
        <v>245</v>
      </c>
      <c r="D116" s="38" t="s">
        <v>179</v>
      </c>
      <c r="E116" s="55" t="s">
        <v>246</v>
      </c>
      <c r="F116" s="71">
        <v>2</v>
      </c>
      <c r="G116" s="47">
        <v>2489</v>
      </c>
      <c r="H116" s="57">
        <f t="shared" si="5"/>
        <v>4978</v>
      </c>
      <c r="I116" s="58"/>
      <c r="J116" s="59" t="s">
        <v>247</v>
      </c>
      <c r="K116" s="59"/>
      <c r="L116" s="40" t="s">
        <v>242</v>
      </c>
      <c r="M116" s="43">
        <v>44498</v>
      </c>
      <c r="N116" s="44"/>
      <c r="O116" s="45"/>
      <c r="P116" s="92">
        <v>44525</v>
      </c>
      <c r="Q116" s="17">
        <v>44525</v>
      </c>
    </row>
    <row r="117" spans="2:17" s="35" customFormat="1" ht="19.7" customHeight="1" x14ac:dyDescent="0.15">
      <c r="B117" s="38">
        <v>18</v>
      </c>
      <c r="C117" s="44" t="s">
        <v>101</v>
      </c>
      <c r="D117" s="38" t="s">
        <v>179</v>
      </c>
      <c r="E117" s="55" t="s">
        <v>248</v>
      </c>
      <c r="F117" s="71">
        <v>2</v>
      </c>
      <c r="G117" s="47">
        <v>780</v>
      </c>
      <c r="H117" s="57">
        <f t="shared" si="5"/>
        <v>1560</v>
      </c>
      <c r="I117" s="58"/>
      <c r="J117" s="59" t="s">
        <v>249</v>
      </c>
      <c r="K117" s="59"/>
      <c r="L117" s="40" t="s">
        <v>242</v>
      </c>
      <c r="M117" s="43">
        <v>44498</v>
      </c>
      <c r="N117" s="44"/>
      <c r="O117" s="45"/>
      <c r="P117" s="45">
        <v>44525</v>
      </c>
      <c r="Q117" s="17">
        <v>44525</v>
      </c>
    </row>
    <row r="118" spans="2:17" s="35" customFormat="1" ht="19.7" customHeight="1" x14ac:dyDescent="0.15">
      <c r="B118" s="38">
        <v>18</v>
      </c>
      <c r="C118" s="44" t="s">
        <v>101</v>
      </c>
      <c r="D118" s="38" t="s">
        <v>179</v>
      </c>
      <c r="E118" s="55" t="s">
        <v>250</v>
      </c>
      <c r="F118" s="71">
        <v>2</v>
      </c>
      <c r="G118" s="47">
        <v>780</v>
      </c>
      <c r="H118" s="57">
        <f t="shared" si="5"/>
        <v>1560</v>
      </c>
      <c r="I118" s="58"/>
      <c r="J118" s="59" t="s">
        <v>249</v>
      </c>
      <c r="K118" s="59"/>
      <c r="L118" s="40" t="s">
        <v>242</v>
      </c>
      <c r="M118" s="43">
        <v>44498</v>
      </c>
      <c r="N118" s="44"/>
      <c r="O118" s="45"/>
      <c r="P118" s="45">
        <v>44525</v>
      </c>
      <c r="Q118" s="17">
        <v>44525</v>
      </c>
    </row>
    <row r="119" spans="2:17" s="35" customFormat="1" ht="19.7" customHeight="1" x14ac:dyDescent="0.15">
      <c r="B119" s="38">
        <v>18</v>
      </c>
      <c r="C119" s="44" t="s">
        <v>101</v>
      </c>
      <c r="D119" s="38" t="s">
        <v>179</v>
      </c>
      <c r="E119" s="55" t="s">
        <v>251</v>
      </c>
      <c r="F119" s="71">
        <v>10</v>
      </c>
      <c r="G119" s="47">
        <v>31</v>
      </c>
      <c r="H119" s="57">
        <f t="shared" si="5"/>
        <v>310</v>
      </c>
      <c r="I119" s="58"/>
      <c r="J119" s="59" t="s">
        <v>252</v>
      </c>
      <c r="K119" s="59"/>
      <c r="L119" s="40" t="s">
        <v>242</v>
      </c>
      <c r="M119" s="43">
        <v>44498</v>
      </c>
      <c r="N119" s="44"/>
      <c r="O119" s="45"/>
      <c r="P119" s="45">
        <v>44525</v>
      </c>
      <c r="Q119" s="17">
        <v>44525</v>
      </c>
    </row>
    <row r="120" spans="2:17" s="35" customFormat="1" ht="19.7" customHeight="1" x14ac:dyDescent="0.15">
      <c r="B120" s="38">
        <v>18</v>
      </c>
      <c r="C120" s="44" t="s">
        <v>101</v>
      </c>
      <c r="D120" s="38" t="s">
        <v>179</v>
      </c>
      <c r="E120" s="55" t="s">
        <v>253</v>
      </c>
      <c r="F120" s="71">
        <v>2</v>
      </c>
      <c r="G120" s="47">
        <v>240</v>
      </c>
      <c r="H120" s="57">
        <f t="shared" si="5"/>
        <v>480</v>
      </c>
      <c r="I120" s="58"/>
      <c r="J120" s="59" t="s">
        <v>254</v>
      </c>
      <c r="K120" s="59"/>
      <c r="L120" s="40" t="s">
        <v>255</v>
      </c>
      <c r="M120" s="43">
        <v>44498</v>
      </c>
      <c r="N120" s="44"/>
      <c r="O120" s="45"/>
      <c r="P120" s="45">
        <v>44525</v>
      </c>
      <c r="Q120" s="17">
        <v>44525</v>
      </c>
    </row>
    <row r="121" spans="2:17" s="35" customFormat="1" ht="19.7" customHeight="1" x14ac:dyDescent="0.15">
      <c r="B121" s="38">
        <v>18</v>
      </c>
      <c r="C121" s="38" t="s">
        <v>160</v>
      </c>
      <c r="D121" s="38" t="s">
        <v>179</v>
      </c>
      <c r="E121" s="55" t="s">
        <v>256</v>
      </c>
      <c r="F121" s="71">
        <v>5</v>
      </c>
      <c r="G121" s="47">
        <v>173</v>
      </c>
      <c r="H121" s="57">
        <f t="shared" si="5"/>
        <v>865</v>
      </c>
      <c r="I121" s="58"/>
      <c r="J121" s="59" t="s">
        <v>257</v>
      </c>
      <c r="K121" s="59"/>
      <c r="L121" s="40" t="s">
        <v>255</v>
      </c>
      <c r="M121" s="43">
        <v>44498</v>
      </c>
      <c r="N121" s="44"/>
      <c r="O121" s="45"/>
      <c r="P121" s="45">
        <v>44525</v>
      </c>
      <c r="Q121" s="17">
        <v>44525</v>
      </c>
    </row>
    <row r="122" spans="2:17" s="35" customFormat="1" ht="19.7" customHeight="1" x14ac:dyDescent="0.15">
      <c r="B122" s="38">
        <v>18</v>
      </c>
      <c r="C122" s="44" t="s">
        <v>101</v>
      </c>
      <c r="D122" s="38" t="s">
        <v>179</v>
      </c>
      <c r="E122" s="55" t="s">
        <v>258</v>
      </c>
      <c r="F122" s="71">
        <v>1</v>
      </c>
      <c r="G122" s="47">
        <v>749</v>
      </c>
      <c r="H122" s="57">
        <f t="shared" si="5"/>
        <v>749</v>
      </c>
      <c r="I122" s="58"/>
      <c r="J122" s="59" t="s">
        <v>259</v>
      </c>
      <c r="K122" s="59"/>
      <c r="L122" s="40" t="s">
        <v>255</v>
      </c>
      <c r="M122" s="43">
        <v>44498</v>
      </c>
      <c r="N122" s="44"/>
      <c r="O122" s="45"/>
      <c r="P122" s="45">
        <v>44525</v>
      </c>
      <c r="Q122" s="17">
        <v>44525</v>
      </c>
    </row>
    <row r="123" spans="2:17" s="35" customFormat="1" ht="19.7" customHeight="1" x14ac:dyDescent="0.15">
      <c r="B123" s="38">
        <v>18</v>
      </c>
      <c r="C123" s="44" t="s">
        <v>101</v>
      </c>
      <c r="D123" s="38" t="s">
        <v>179</v>
      </c>
      <c r="E123" s="55" t="s">
        <v>260</v>
      </c>
      <c r="F123" s="71">
        <v>4</v>
      </c>
      <c r="G123" s="47">
        <v>1710</v>
      </c>
      <c r="H123" s="57">
        <f t="shared" si="5"/>
        <v>6840</v>
      </c>
      <c r="I123" s="58"/>
      <c r="J123" s="59" t="s">
        <v>261</v>
      </c>
      <c r="K123" s="59"/>
      <c r="L123" s="40" t="s">
        <v>262</v>
      </c>
      <c r="M123" s="43">
        <v>44498</v>
      </c>
      <c r="N123" s="44"/>
      <c r="O123" s="45"/>
      <c r="P123" s="45">
        <v>44525</v>
      </c>
      <c r="Q123" s="17">
        <v>44525</v>
      </c>
    </row>
    <row r="124" spans="2:17" s="35" customFormat="1" ht="19.7" customHeight="1" x14ac:dyDescent="0.15">
      <c r="B124" s="38">
        <v>18</v>
      </c>
      <c r="C124" s="38" t="s">
        <v>160</v>
      </c>
      <c r="D124" s="38" t="s">
        <v>179</v>
      </c>
      <c r="E124" s="55" t="s">
        <v>263</v>
      </c>
      <c r="F124" s="71">
        <v>10</v>
      </c>
      <c r="G124" s="47">
        <v>165</v>
      </c>
      <c r="H124" s="57">
        <f t="shared" si="5"/>
        <v>1650</v>
      </c>
      <c r="I124" s="58"/>
      <c r="J124" s="59" t="s">
        <v>257</v>
      </c>
      <c r="K124" s="59"/>
      <c r="L124" s="40" t="s">
        <v>262</v>
      </c>
      <c r="M124" s="43">
        <v>44498</v>
      </c>
      <c r="N124" s="44"/>
      <c r="O124" s="45"/>
      <c r="P124" s="45">
        <v>44525</v>
      </c>
      <c r="Q124" s="17">
        <v>44525</v>
      </c>
    </row>
    <row r="125" spans="2:17" s="35" customFormat="1" ht="19.7" customHeight="1" x14ac:dyDescent="0.15">
      <c r="B125" s="38">
        <v>18</v>
      </c>
      <c r="C125" s="38" t="s">
        <v>160</v>
      </c>
      <c r="D125" s="38" t="s">
        <v>179</v>
      </c>
      <c r="E125" s="55" t="s">
        <v>264</v>
      </c>
      <c r="F125" s="71">
        <v>10</v>
      </c>
      <c r="G125" s="47">
        <v>142</v>
      </c>
      <c r="H125" s="57">
        <f t="shared" si="5"/>
        <v>1420</v>
      </c>
      <c r="I125" s="58"/>
      <c r="J125" s="59" t="s">
        <v>257</v>
      </c>
      <c r="K125" s="59"/>
      <c r="L125" s="40" t="s">
        <v>262</v>
      </c>
      <c r="M125" s="43">
        <v>44498</v>
      </c>
      <c r="N125" s="44"/>
      <c r="O125" s="45"/>
      <c r="P125" s="45">
        <v>44525</v>
      </c>
      <c r="Q125" s="17">
        <v>44525</v>
      </c>
    </row>
    <row r="126" spans="2:17" s="35" customFormat="1" ht="19.7" customHeight="1" x14ac:dyDescent="0.15">
      <c r="B126" s="38">
        <v>18</v>
      </c>
      <c r="C126" s="38" t="s">
        <v>101</v>
      </c>
      <c r="D126" s="38" t="s">
        <v>179</v>
      </c>
      <c r="E126" s="55" t="s">
        <v>265</v>
      </c>
      <c r="F126" s="71">
        <v>4</v>
      </c>
      <c r="G126" s="61">
        <v>249</v>
      </c>
      <c r="H126" s="57">
        <f t="shared" si="5"/>
        <v>996</v>
      </c>
      <c r="I126" s="58"/>
      <c r="J126" s="59" t="s">
        <v>266</v>
      </c>
      <c r="K126" s="59"/>
      <c r="L126" s="40" t="s">
        <v>267</v>
      </c>
      <c r="M126" s="43">
        <v>44498</v>
      </c>
      <c r="N126" s="44"/>
      <c r="O126" s="45"/>
      <c r="P126" s="45">
        <v>44525</v>
      </c>
      <c r="Q126" s="17">
        <v>44525</v>
      </c>
    </row>
    <row r="127" spans="2:17" s="35" customFormat="1" ht="19.7" customHeight="1" x14ac:dyDescent="0.15">
      <c r="B127" s="38">
        <v>18</v>
      </c>
      <c r="C127" s="38" t="s">
        <v>268</v>
      </c>
      <c r="D127" s="38" t="s">
        <v>179</v>
      </c>
      <c r="E127" s="55" t="s">
        <v>269</v>
      </c>
      <c r="F127" s="71">
        <v>1</v>
      </c>
      <c r="G127" s="47">
        <v>14834</v>
      </c>
      <c r="H127" s="57">
        <f t="shared" si="5"/>
        <v>14834</v>
      </c>
      <c r="I127" s="58"/>
      <c r="J127" s="59" t="s">
        <v>270</v>
      </c>
      <c r="K127" s="59"/>
      <c r="L127" s="40" t="s">
        <v>271</v>
      </c>
      <c r="M127" s="43">
        <v>44498</v>
      </c>
      <c r="N127" s="44"/>
      <c r="O127" s="45"/>
      <c r="P127" s="45">
        <v>44525</v>
      </c>
      <c r="Q127" s="17">
        <v>44525</v>
      </c>
    </row>
    <row r="128" spans="2:17" s="35" customFormat="1" ht="19.7" customHeight="1" x14ac:dyDescent="0.15">
      <c r="B128" s="38">
        <v>18</v>
      </c>
      <c r="C128" s="38" t="s">
        <v>268</v>
      </c>
      <c r="D128" s="38" t="s">
        <v>179</v>
      </c>
      <c r="E128" s="55" t="s">
        <v>425</v>
      </c>
      <c r="F128" s="71">
        <v>1</v>
      </c>
      <c r="G128" s="47"/>
      <c r="H128" s="57">
        <f t="shared" si="5"/>
        <v>0</v>
      </c>
      <c r="I128" s="58"/>
      <c r="J128" s="59" t="s">
        <v>272</v>
      </c>
      <c r="K128" s="59"/>
      <c r="L128" s="40" t="s">
        <v>271</v>
      </c>
      <c r="M128" s="43"/>
      <c r="N128" s="44"/>
      <c r="O128" s="45"/>
      <c r="P128" s="48"/>
      <c r="Q128" s="17"/>
    </row>
    <row r="129" spans="2:17" s="35" customFormat="1" ht="19.7" customHeight="1" x14ac:dyDescent="0.15">
      <c r="B129" s="38">
        <v>18</v>
      </c>
      <c r="C129" s="44" t="s">
        <v>101</v>
      </c>
      <c r="D129" s="38" t="s">
        <v>179</v>
      </c>
      <c r="E129" s="55" t="s">
        <v>273</v>
      </c>
      <c r="F129" s="71">
        <v>2</v>
      </c>
      <c r="G129" s="47">
        <v>240</v>
      </c>
      <c r="H129" s="57">
        <f t="shared" si="5"/>
        <v>480</v>
      </c>
      <c r="I129" s="58"/>
      <c r="J129" s="59" t="s">
        <v>254</v>
      </c>
      <c r="K129" s="59"/>
      <c r="L129" s="40" t="s">
        <v>271</v>
      </c>
      <c r="M129" s="45">
        <v>44498</v>
      </c>
      <c r="N129" s="44"/>
      <c r="O129" s="45"/>
      <c r="P129" s="45">
        <v>44525</v>
      </c>
      <c r="Q129" s="17">
        <v>44525</v>
      </c>
    </row>
    <row r="130" spans="2:17" s="35" customFormat="1" ht="19.7" customHeight="1" x14ac:dyDescent="0.15">
      <c r="B130" s="38">
        <v>18</v>
      </c>
      <c r="C130" s="38" t="s">
        <v>160</v>
      </c>
      <c r="D130" s="38" t="s">
        <v>179</v>
      </c>
      <c r="E130" s="55" t="s">
        <v>264</v>
      </c>
      <c r="F130" s="71">
        <v>5</v>
      </c>
      <c r="G130" s="47">
        <v>172</v>
      </c>
      <c r="H130" s="57">
        <f t="shared" si="5"/>
        <v>860</v>
      </c>
      <c r="I130" s="58"/>
      <c r="J130" s="59" t="s">
        <v>257</v>
      </c>
      <c r="K130" s="59"/>
      <c r="L130" s="40" t="s">
        <v>271</v>
      </c>
      <c r="M130" s="45">
        <v>44498</v>
      </c>
      <c r="N130" s="44"/>
      <c r="O130" s="45"/>
      <c r="P130" s="45">
        <v>44525</v>
      </c>
      <c r="Q130" s="17">
        <v>44525</v>
      </c>
    </row>
    <row r="131" spans="2:17" s="35" customFormat="1" ht="19.7" customHeight="1" x14ac:dyDescent="0.15">
      <c r="B131" s="38">
        <v>18</v>
      </c>
      <c r="C131" s="44" t="s">
        <v>101</v>
      </c>
      <c r="D131" s="38" t="s">
        <v>179</v>
      </c>
      <c r="E131" s="55" t="s">
        <v>274</v>
      </c>
      <c r="F131" s="71">
        <v>8</v>
      </c>
      <c r="G131" s="47">
        <v>936</v>
      </c>
      <c r="H131" s="57">
        <f t="shared" si="5"/>
        <v>7488</v>
      </c>
      <c r="I131" s="58"/>
      <c r="J131" s="59" t="s">
        <v>275</v>
      </c>
      <c r="K131" s="59"/>
      <c r="L131" s="40" t="s">
        <v>276</v>
      </c>
      <c r="M131" s="45">
        <v>44498</v>
      </c>
      <c r="N131" s="44"/>
      <c r="O131" s="45"/>
      <c r="P131" s="45">
        <v>44525</v>
      </c>
      <c r="Q131" s="17">
        <v>44525</v>
      </c>
    </row>
    <row r="132" spans="2:17" s="35" customFormat="1" ht="19.7" customHeight="1" x14ac:dyDescent="0.15">
      <c r="B132" s="38">
        <v>18</v>
      </c>
      <c r="C132" s="44" t="s">
        <v>101</v>
      </c>
      <c r="D132" s="38" t="s">
        <v>179</v>
      </c>
      <c r="E132" s="60" t="s">
        <v>277</v>
      </c>
      <c r="F132" s="76">
        <v>2</v>
      </c>
      <c r="G132" s="47">
        <v>1980</v>
      </c>
      <c r="H132" s="57">
        <f t="shared" si="5"/>
        <v>3960</v>
      </c>
      <c r="I132" s="40"/>
      <c r="J132" s="59" t="s">
        <v>278</v>
      </c>
      <c r="K132" s="59"/>
      <c r="L132" s="40" t="s">
        <v>276</v>
      </c>
      <c r="M132" s="45">
        <v>44498</v>
      </c>
      <c r="N132" s="44"/>
      <c r="O132" s="45"/>
      <c r="P132" s="45">
        <v>44525</v>
      </c>
      <c r="Q132" s="17">
        <v>44525</v>
      </c>
    </row>
    <row r="133" spans="2:17" s="35" customFormat="1" ht="19.7" customHeight="1" x14ac:dyDescent="0.15">
      <c r="B133" s="38">
        <v>18</v>
      </c>
      <c r="C133" s="44" t="s">
        <v>101</v>
      </c>
      <c r="D133" s="38" t="s">
        <v>179</v>
      </c>
      <c r="E133" s="60" t="s">
        <v>279</v>
      </c>
      <c r="F133" s="76">
        <v>1</v>
      </c>
      <c r="G133" s="47">
        <v>320</v>
      </c>
      <c r="H133" s="57">
        <f t="shared" si="5"/>
        <v>320</v>
      </c>
      <c r="I133" s="40"/>
      <c r="J133" s="59" t="s">
        <v>280</v>
      </c>
      <c r="K133" s="59"/>
      <c r="L133" s="40" t="s">
        <v>276</v>
      </c>
      <c r="M133" s="45">
        <v>44498</v>
      </c>
      <c r="N133" s="44"/>
      <c r="O133" s="45"/>
      <c r="P133" s="45">
        <v>44525</v>
      </c>
      <c r="Q133" s="17">
        <v>44525</v>
      </c>
    </row>
    <row r="134" spans="2:17" s="35" customFormat="1" ht="19.7" customHeight="1" x14ac:dyDescent="0.15">
      <c r="B134" s="38">
        <v>18</v>
      </c>
      <c r="C134" s="44" t="s">
        <v>101</v>
      </c>
      <c r="D134" s="38" t="s">
        <v>179</v>
      </c>
      <c r="E134" s="60" t="s">
        <v>281</v>
      </c>
      <c r="F134" s="76">
        <v>2</v>
      </c>
      <c r="G134" s="47">
        <v>380</v>
      </c>
      <c r="H134" s="57">
        <f t="shared" si="5"/>
        <v>760</v>
      </c>
      <c r="I134" s="40"/>
      <c r="J134" s="59" t="s">
        <v>280</v>
      </c>
      <c r="K134" s="59"/>
      <c r="L134" s="40" t="s">
        <v>276</v>
      </c>
      <c r="M134" s="45">
        <v>44498</v>
      </c>
      <c r="N134" s="44"/>
      <c r="O134" s="45"/>
      <c r="P134" s="45">
        <v>44525</v>
      </c>
      <c r="Q134" s="17">
        <v>44525</v>
      </c>
    </row>
    <row r="135" spans="2:17" s="35" customFormat="1" ht="19.7" customHeight="1" x14ac:dyDescent="0.15">
      <c r="B135" s="38">
        <v>18</v>
      </c>
      <c r="C135" s="44" t="s">
        <v>101</v>
      </c>
      <c r="D135" s="38" t="s">
        <v>179</v>
      </c>
      <c r="E135" s="60" t="s">
        <v>282</v>
      </c>
      <c r="F135" s="76">
        <v>4</v>
      </c>
      <c r="G135" s="47">
        <v>470</v>
      </c>
      <c r="H135" s="57">
        <f t="shared" si="5"/>
        <v>1880</v>
      </c>
      <c r="I135" s="40"/>
      <c r="J135" s="59" t="s">
        <v>280</v>
      </c>
      <c r="K135" s="59"/>
      <c r="L135" s="40" t="s">
        <v>276</v>
      </c>
      <c r="M135" s="45">
        <v>44498</v>
      </c>
      <c r="N135" s="44"/>
      <c r="O135" s="45"/>
      <c r="P135" s="45">
        <v>44525</v>
      </c>
      <c r="Q135" s="17">
        <v>44525</v>
      </c>
    </row>
    <row r="136" spans="2:17" s="35" customFormat="1" ht="19.7" customHeight="1" x14ac:dyDescent="0.15">
      <c r="B136" s="38">
        <v>18</v>
      </c>
      <c r="C136" s="44" t="s">
        <v>101</v>
      </c>
      <c r="D136" s="38" t="s">
        <v>179</v>
      </c>
      <c r="E136" s="60" t="s">
        <v>283</v>
      </c>
      <c r="F136" s="76">
        <v>2</v>
      </c>
      <c r="G136" s="47">
        <v>690</v>
      </c>
      <c r="H136" s="57">
        <f t="shared" si="5"/>
        <v>1380</v>
      </c>
      <c r="I136" s="40"/>
      <c r="J136" s="59" t="s">
        <v>284</v>
      </c>
      <c r="K136" s="59"/>
      <c r="L136" s="40" t="s">
        <v>276</v>
      </c>
      <c r="M136" s="45">
        <v>44498</v>
      </c>
      <c r="N136" s="44"/>
      <c r="O136" s="45"/>
      <c r="P136" s="45">
        <v>44525</v>
      </c>
      <c r="Q136" s="17">
        <v>44525</v>
      </c>
    </row>
    <row r="137" spans="2:17" s="35" customFormat="1" ht="19.7" customHeight="1" x14ac:dyDescent="0.15">
      <c r="B137" s="38">
        <v>18</v>
      </c>
      <c r="C137" s="44" t="s">
        <v>101</v>
      </c>
      <c r="D137" s="38" t="s">
        <v>179</v>
      </c>
      <c r="E137" s="60" t="s">
        <v>285</v>
      </c>
      <c r="F137" s="76">
        <v>2</v>
      </c>
      <c r="G137" s="47">
        <v>1210</v>
      </c>
      <c r="H137" s="57">
        <f t="shared" si="5"/>
        <v>2420</v>
      </c>
      <c r="I137" s="40"/>
      <c r="J137" s="59" t="s">
        <v>284</v>
      </c>
      <c r="K137" s="59"/>
      <c r="L137" s="40" t="s">
        <v>276</v>
      </c>
      <c r="M137" s="45">
        <v>44498</v>
      </c>
      <c r="N137" s="44"/>
      <c r="O137" s="45"/>
      <c r="P137" s="45">
        <v>44525</v>
      </c>
      <c r="Q137" s="17">
        <v>44525</v>
      </c>
    </row>
    <row r="138" spans="2:17" s="35" customFormat="1" ht="19.7" customHeight="1" x14ac:dyDescent="0.15">
      <c r="B138" s="38">
        <v>18</v>
      </c>
      <c r="C138" s="44" t="s">
        <v>101</v>
      </c>
      <c r="D138" s="38" t="s">
        <v>179</v>
      </c>
      <c r="E138" s="60" t="s">
        <v>286</v>
      </c>
      <c r="F138" s="76">
        <v>2</v>
      </c>
      <c r="G138" s="47">
        <v>1720</v>
      </c>
      <c r="H138" s="57">
        <f t="shared" si="5"/>
        <v>3440</v>
      </c>
      <c r="I138" s="40"/>
      <c r="J138" s="59" t="s">
        <v>287</v>
      </c>
      <c r="K138" s="59"/>
      <c r="L138" s="40" t="s">
        <v>276</v>
      </c>
      <c r="M138" s="45">
        <v>44498</v>
      </c>
      <c r="N138" s="44"/>
      <c r="O138" s="45"/>
      <c r="P138" s="45">
        <v>44525</v>
      </c>
      <c r="Q138" s="17">
        <v>44525</v>
      </c>
    </row>
    <row r="139" spans="2:17" s="35" customFormat="1" ht="19.7" customHeight="1" x14ac:dyDescent="0.15">
      <c r="B139" s="38">
        <v>18</v>
      </c>
      <c r="C139" s="44" t="s">
        <v>101</v>
      </c>
      <c r="D139" s="38" t="s">
        <v>179</v>
      </c>
      <c r="E139" s="60" t="s">
        <v>288</v>
      </c>
      <c r="F139" s="76">
        <v>2</v>
      </c>
      <c r="G139" s="47">
        <v>2000</v>
      </c>
      <c r="H139" s="57">
        <f t="shared" si="5"/>
        <v>4000</v>
      </c>
      <c r="I139" s="40"/>
      <c r="J139" s="59" t="s">
        <v>287</v>
      </c>
      <c r="K139" s="59"/>
      <c r="L139" s="40" t="s">
        <v>276</v>
      </c>
      <c r="M139" s="45">
        <v>44498</v>
      </c>
      <c r="N139" s="44"/>
      <c r="O139" s="45"/>
      <c r="P139" s="45">
        <v>44525</v>
      </c>
      <c r="Q139" s="17">
        <v>44525</v>
      </c>
    </row>
    <row r="140" spans="2:17" s="35" customFormat="1" ht="19.7" customHeight="1" x14ac:dyDescent="0.15">
      <c r="B140" s="38">
        <v>18</v>
      </c>
      <c r="C140" s="44" t="s">
        <v>101</v>
      </c>
      <c r="D140" s="38" t="s">
        <v>179</v>
      </c>
      <c r="E140" s="60" t="s">
        <v>289</v>
      </c>
      <c r="F140" s="76">
        <v>4</v>
      </c>
      <c r="G140" s="47">
        <v>2260</v>
      </c>
      <c r="H140" s="57">
        <f t="shared" si="5"/>
        <v>9040</v>
      </c>
      <c r="I140" s="40"/>
      <c r="J140" s="59" t="s">
        <v>287</v>
      </c>
      <c r="K140" s="59"/>
      <c r="L140" s="40" t="s">
        <v>276</v>
      </c>
      <c r="M140" s="45">
        <v>44498</v>
      </c>
      <c r="N140" s="44"/>
      <c r="O140" s="45"/>
      <c r="P140" s="45">
        <v>44525</v>
      </c>
      <c r="Q140" s="17">
        <v>44525</v>
      </c>
    </row>
    <row r="141" spans="2:17" s="35" customFormat="1" ht="19.7" customHeight="1" x14ac:dyDescent="0.15">
      <c r="B141" s="38">
        <v>18</v>
      </c>
      <c r="C141" s="44" t="s">
        <v>101</v>
      </c>
      <c r="D141" s="38" t="s">
        <v>179</v>
      </c>
      <c r="E141" s="60" t="s">
        <v>290</v>
      </c>
      <c r="F141" s="76">
        <v>5</v>
      </c>
      <c r="G141" s="47">
        <v>2300</v>
      </c>
      <c r="H141" s="57">
        <f t="shared" si="5"/>
        <v>11500</v>
      </c>
      <c r="I141" s="40"/>
      <c r="J141" s="59" t="s">
        <v>287</v>
      </c>
      <c r="K141" s="59"/>
      <c r="L141" s="40" t="s">
        <v>276</v>
      </c>
      <c r="M141" s="45">
        <v>44498</v>
      </c>
      <c r="N141" s="44"/>
      <c r="O141" s="45"/>
      <c r="P141" s="45">
        <v>44525</v>
      </c>
      <c r="Q141" s="17">
        <v>44525</v>
      </c>
    </row>
    <row r="142" spans="2:17" s="35" customFormat="1" ht="19.7" customHeight="1" x14ac:dyDescent="0.15">
      <c r="B142" s="38">
        <v>18</v>
      </c>
      <c r="C142" s="44" t="s">
        <v>101</v>
      </c>
      <c r="D142" s="38" t="s">
        <v>179</v>
      </c>
      <c r="E142" s="60" t="s">
        <v>291</v>
      </c>
      <c r="F142" s="76">
        <v>4</v>
      </c>
      <c r="G142" s="47">
        <v>2740</v>
      </c>
      <c r="H142" s="57">
        <f t="shared" si="5"/>
        <v>10960</v>
      </c>
      <c r="I142" s="40"/>
      <c r="J142" s="59" t="s">
        <v>287</v>
      </c>
      <c r="K142" s="59"/>
      <c r="L142" s="40" t="s">
        <v>276</v>
      </c>
      <c r="M142" s="45">
        <v>44498</v>
      </c>
      <c r="N142" s="44"/>
      <c r="O142" s="45"/>
      <c r="P142" s="45">
        <v>44525</v>
      </c>
      <c r="Q142" s="17">
        <v>44525</v>
      </c>
    </row>
    <row r="143" spans="2:17" s="35" customFormat="1" ht="19.7" customHeight="1" x14ac:dyDescent="0.15">
      <c r="B143" s="38">
        <v>18</v>
      </c>
      <c r="C143" s="44" t="s">
        <v>101</v>
      </c>
      <c r="D143" s="38" t="s">
        <v>179</v>
      </c>
      <c r="E143" s="60" t="s">
        <v>200</v>
      </c>
      <c r="F143" s="76">
        <v>30</v>
      </c>
      <c r="G143" s="47">
        <v>224</v>
      </c>
      <c r="H143" s="57">
        <f t="shared" si="5"/>
        <v>6720</v>
      </c>
      <c r="I143" s="40"/>
      <c r="J143" s="60" t="s">
        <v>201</v>
      </c>
      <c r="K143" s="59"/>
      <c r="L143" s="40" t="s">
        <v>276</v>
      </c>
      <c r="M143" s="45">
        <v>44498</v>
      </c>
      <c r="N143" s="44"/>
      <c r="O143" s="45"/>
      <c r="P143" s="48">
        <v>44546</v>
      </c>
      <c r="Q143" s="17">
        <v>44546</v>
      </c>
    </row>
    <row r="144" spans="2:17" s="35" customFormat="1" ht="19.7" customHeight="1" x14ac:dyDescent="0.15">
      <c r="B144" s="38">
        <v>18</v>
      </c>
      <c r="C144" s="44" t="s">
        <v>101</v>
      </c>
      <c r="D144" s="38" t="s">
        <v>179</v>
      </c>
      <c r="E144" s="60" t="s">
        <v>292</v>
      </c>
      <c r="F144" s="76">
        <v>8</v>
      </c>
      <c r="G144" s="47">
        <v>531</v>
      </c>
      <c r="H144" s="57">
        <f t="shared" si="5"/>
        <v>4248</v>
      </c>
      <c r="I144" s="40"/>
      <c r="J144" s="60" t="s">
        <v>201</v>
      </c>
      <c r="K144" s="59"/>
      <c r="L144" s="40" t="s">
        <v>276</v>
      </c>
      <c r="M144" s="45">
        <v>44498</v>
      </c>
      <c r="N144" s="44"/>
      <c r="O144" s="45"/>
      <c r="P144" s="45">
        <v>44525</v>
      </c>
      <c r="Q144" s="17">
        <v>44525</v>
      </c>
    </row>
    <row r="145" spans="2:17" s="35" customFormat="1" ht="19.7" customHeight="1" x14ac:dyDescent="0.15">
      <c r="B145" s="38">
        <v>18</v>
      </c>
      <c r="C145" s="44" t="s">
        <v>101</v>
      </c>
      <c r="D145" s="38" t="s">
        <v>179</v>
      </c>
      <c r="E145" s="60" t="s">
        <v>293</v>
      </c>
      <c r="F145" s="76">
        <v>56</v>
      </c>
      <c r="G145" s="47">
        <v>540</v>
      </c>
      <c r="H145" s="57">
        <f t="shared" si="5"/>
        <v>30240</v>
      </c>
      <c r="I145" s="40"/>
      <c r="J145" s="60" t="s">
        <v>294</v>
      </c>
      <c r="K145" s="59"/>
      <c r="L145" s="40" t="s">
        <v>276</v>
      </c>
      <c r="M145" s="45">
        <v>44498</v>
      </c>
      <c r="N145" s="44"/>
      <c r="O145" s="45"/>
      <c r="P145" s="45">
        <v>44525</v>
      </c>
      <c r="Q145" s="17">
        <v>44525</v>
      </c>
    </row>
    <row r="146" spans="2:17" s="35" customFormat="1" ht="19.7" customHeight="1" x14ac:dyDescent="0.15">
      <c r="B146" s="38">
        <v>18</v>
      </c>
      <c r="C146" s="44" t="s">
        <v>101</v>
      </c>
      <c r="D146" s="38" t="s">
        <v>179</v>
      </c>
      <c r="E146" s="60" t="s">
        <v>295</v>
      </c>
      <c r="F146" s="76">
        <v>20</v>
      </c>
      <c r="G146" s="47">
        <v>25</v>
      </c>
      <c r="H146" s="57">
        <f t="shared" si="5"/>
        <v>500</v>
      </c>
      <c r="I146" s="40"/>
      <c r="J146" s="60" t="s">
        <v>235</v>
      </c>
      <c r="K146" s="59"/>
      <c r="L146" s="40" t="s">
        <v>276</v>
      </c>
      <c r="M146" s="45">
        <v>44498</v>
      </c>
      <c r="N146" s="44"/>
      <c r="O146" s="45"/>
      <c r="P146" s="45">
        <v>44525</v>
      </c>
      <c r="Q146" s="17">
        <v>44525</v>
      </c>
    </row>
    <row r="147" spans="2:17" s="35" customFormat="1" ht="19.7" customHeight="1" x14ac:dyDescent="0.15">
      <c r="B147" s="38">
        <v>18</v>
      </c>
      <c r="C147" s="44" t="s">
        <v>101</v>
      </c>
      <c r="D147" s="38" t="s">
        <v>179</v>
      </c>
      <c r="E147" s="60" t="s">
        <v>296</v>
      </c>
      <c r="F147" s="76">
        <v>10</v>
      </c>
      <c r="G147" s="47">
        <v>72</v>
      </c>
      <c r="H147" s="57">
        <f t="shared" si="5"/>
        <v>720</v>
      </c>
      <c r="I147" s="40"/>
      <c r="J147" s="60" t="s">
        <v>297</v>
      </c>
      <c r="K147" s="59"/>
      <c r="L147" s="40" t="s">
        <v>276</v>
      </c>
      <c r="M147" s="45">
        <v>44498</v>
      </c>
      <c r="N147" s="44"/>
      <c r="O147" s="45"/>
      <c r="P147" s="45">
        <v>44525</v>
      </c>
      <c r="Q147" s="17">
        <v>44525</v>
      </c>
    </row>
    <row r="148" spans="2:17" s="35" customFormat="1" ht="19.7" customHeight="1" x14ac:dyDescent="0.15">
      <c r="B148" s="38">
        <v>18</v>
      </c>
      <c r="C148" s="44" t="s">
        <v>101</v>
      </c>
      <c r="D148" s="38" t="s">
        <v>179</v>
      </c>
      <c r="E148" s="60" t="s">
        <v>298</v>
      </c>
      <c r="F148" s="76">
        <v>8</v>
      </c>
      <c r="G148" s="47">
        <v>230</v>
      </c>
      <c r="H148" s="57">
        <f t="shared" si="5"/>
        <v>1840</v>
      </c>
      <c r="I148" s="40"/>
      <c r="J148" s="60" t="s">
        <v>299</v>
      </c>
      <c r="K148" s="59"/>
      <c r="L148" s="40" t="s">
        <v>276</v>
      </c>
      <c r="M148" s="45">
        <v>44498</v>
      </c>
      <c r="N148" s="44"/>
      <c r="O148" s="45"/>
      <c r="P148" s="45">
        <v>44525</v>
      </c>
      <c r="Q148" s="17">
        <v>44525</v>
      </c>
    </row>
    <row r="149" spans="2:17" s="35" customFormat="1" ht="19.7" customHeight="1" x14ac:dyDescent="0.15">
      <c r="B149" s="38">
        <v>18</v>
      </c>
      <c r="C149" s="44" t="s">
        <v>101</v>
      </c>
      <c r="D149" s="38" t="s">
        <v>179</v>
      </c>
      <c r="E149" s="60" t="s">
        <v>300</v>
      </c>
      <c r="F149" s="76">
        <v>4</v>
      </c>
      <c r="G149" s="47">
        <v>6850</v>
      </c>
      <c r="H149" s="57">
        <f t="shared" ref="H149:H211" si="6">F149*G149</f>
        <v>27400</v>
      </c>
      <c r="I149" s="40"/>
      <c r="J149" s="60" t="s">
        <v>301</v>
      </c>
      <c r="K149" s="59"/>
      <c r="L149" s="40" t="s">
        <v>276</v>
      </c>
      <c r="M149" s="45">
        <v>44498</v>
      </c>
      <c r="N149" s="44"/>
      <c r="O149" s="45"/>
      <c r="P149" s="45">
        <v>44525</v>
      </c>
      <c r="Q149" s="17">
        <v>44525</v>
      </c>
    </row>
    <row r="150" spans="2:17" s="35" customFormat="1" ht="19.7" customHeight="1" x14ac:dyDescent="0.15">
      <c r="B150" s="38">
        <v>18</v>
      </c>
      <c r="C150" s="44" t="s">
        <v>101</v>
      </c>
      <c r="D150" s="38" t="s">
        <v>179</v>
      </c>
      <c r="E150" s="60" t="s">
        <v>302</v>
      </c>
      <c r="F150" s="76">
        <v>4</v>
      </c>
      <c r="G150" s="47">
        <v>33</v>
      </c>
      <c r="H150" s="57">
        <f t="shared" si="6"/>
        <v>132</v>
      </c>
      <c r="I150" s="40"/>
      <c r="J150" s="60" t="s">
        <v>303</v>
      </c>
      <c r="K150" s="59"/>
      <c r="L150" s="40" t="s">
        <v>276</v>
      </c>
      <c r="M150" s="45">
        <v>44498</v>
      </c>
      <c r="N150" s="44"/>
      <c r="O150" s="45"/>
      <c r="P150" s="45">
        <v>44525</v>
      </c>
      <c r="Q150" s="17">
        <v>44525</v>
      </c>
    </row>
    <row r="151" spans="2:17" s="35" customFormat="1" ht="19.7" customHeight="1" x14ac:dyDescent="0.15">
      <c r="B151" s="38">
        <v>18</v>
      </c>
      <c r="C151" s="44" t="s">
        <v>101</v>
      </c>
      <c r="D151" s="38" t="s">
        <v>179</v>
      </c>
      <c r="E151" s="60" t="s">
        <v>304</v>
      </c>
      <c r="F151" s="76">
        <v>2</v>
      </c>
      <c r="G151" s="47">
        <v>6000</v>
      </c>
      <c r="H151" s="57">
        <f t="shared" si="6"/>
        <v>12000</v>
      </c>
      <c r="I151" s="40"/>
      <c r="J151" s="60" t="s">
        <v>305</v>
      </c>
      <c r="K151" s="59"/>
      <c r="L151" s="40" t="s">
        <v>276</v>
      </c>
      <c r="M151" s="45">
        <v>44498</v>
      </c>
      <c r="N151" s="44"/>
      <c r="O151" s="45"/>
      <c r="P151" s="45">
        <v>44525</v>
      </c>
      <c r="Q151" s="17">
        <v>44525</v>
      </c>
    </row>
    <row r="152" spans="2:17" s="35" customFormat="1" ht="19.7" customHeight="1" x14ac:dyDescent="0.15">
      <c r="B152" s="38">
        <v>18</v>
      </c>
      <c r="C152" s="44" t="s">
        <v>101</v>
      </c>
      <c r="D152" s="38" t="s">
        <v>179</v>
      </c>
      <c r="E152" s="60" t="s">
        <v>306</v>
      </c>
      <c r="F152" s="76">
        <v>2</v>
      </c>
      <c r="G152" s="47">
        <v>4240</v>
      </c>
      <c r="H152" s="57">
        <f t="shared" si="6"/>
        <v>8480</v>
      </c>
      <c r="I152" s="58"/>
      <c r="J152" s="60" t="s">
        <v>307</v>
      </c>
      <c r="K152" s="59"/>
      <c r="L152" s="40" t="s">
        <v>276</v>
      </c>
      <c r="M152" s="45">
        <v>44498</v>
      </c>
      <c r="N152" s="44"/>
      <c r="O152" s="45"/>
      <c r="P152" s="45">
        <v>44525</v>
      </c>
      <c r="Q152" s="17">
        <v>44525</v>
      </c>
    </row>
    <row r="153" spans="2:17" s="35" customFormat="1" ht="19.7" customHeight="1" x14ac:dyDescent="0.15">
      <c r="B153" s="38">
        <v>18</v>
      </c>
      <c r="C153" s="44" t="s">
        <v>101</v>
      </c>
      <c r="D153" s="38" t="s">
        <v>179</v>
      </c>
      <c r="E153" s="60" t="s">
        <v>308</v>
      </c>
      <c r="F153" s="76">
        <v>2</v>
      </c>
      <c r="G153" s="47">
        <v>860</v>
      </c>
      <c r="H153" s="57">
        <f t="shared" si="6"/>
        <v>1720</v>
      </c>
      <c r="I153" s="40"/>
      <c r="J153" s="60" t="s">
        <v>309</v>
      </c>
      <c r="K153" s="59"/>
      <c r="L153" s="40" t="s">
        <v>276</v>
      </c>
      <c r="M153" s="45">
        <v>44498</v>
      </c>
      <c r="N153" s="44"/>
      <c r="O153" s="45"/>
      <c r="P153" s="45">
        <v>44525</v>
      </c>
      <c r="Q153" s="17">
        <v>44525</v>
      </c>
    </row>
    <row r="154" spans="2:17" s="35" customFormat="1" ht="19.7" customHeight="1" x14ac:dyDescent="0.15">
      <c r="B154" s="38">
        <v>18</v>
      </c>
      <c r="C154" s="44" t="s">
        <v>101</v>
      </c>
      <c r="D154" s="38" t="s">
        <v>179</v>
      </c>
      <c r="E154" s="60" t="s">
        <v>310</v>
      </c>
      <c r="F154" s="76">
        <v>2</v>
      </c>
      <c r="G154" s="47">
        <v>690</v>
      </c>
      <c r="H154" s="57">
        <f t="shared" si="6"/>
        <v>1380</v>
      </c>
      <c r="I154" s="40"/>
      <c r="J154" s="60" t="s">
        <v>210</v>
      </c>
      <c r="K154" s="59"/>
      <c r="L154" s="40" t="s">
        <v>276</v>
      </c>
      <c r="M154" s="45">
        <v>44498</v>
      </c>
      <c r="N154" s="44"/>
      <c r="O154" s="45"/>
      <c r="P154" s="45">
        <v>44525</v>
      </c>
      <c r="Q154" s="17">
        <v>44525</v>
      </c>
    </row>
    <row r="155" spans="2:17" s="35" customFormat="1" ht="19.7" customHeight="1" x14ac:dyDescent="0.15">
      <c r="B155" s="38">
        <v>18</v>
      </c>
      <c r="C155" s="44" t="s">
        <v>101</v>
      </c>
      <c r="D155" s="38" t="s">
        <v>179</v>
      </c>
      <c r="E155" s="60" t="s">
        <v>209</v>
      </c>
      <c r="F155" s="76">
        <v>2</v>
      </c>
      <c r="G155" s="47">
        <v>690</v>
      </c>
      <c r="H155" s="57">
        <f t="shared" si="6"/>
        <v>1380</v>
      </c>
      <c r="I155" s="40"/>
      <c r="J155" s="60" t="s">
        <v>210</v>
      </c>
      <c r="K155" s="59"/>
      <c r="L155" s="40" t="s">
        <v>276</v>
      </c>
      <c r="M155" s="45">
        <v>44498</v>
      </c>
      <c r="N155" s="44"/>
      <c r="O155" s="45"/>
      <c r="P155" s="45">
        <v>44525</v>
      </c>
      <c r="Q155" s="17">
        <v>44525</v>
      </c>
    </row>
    <row r="156" spans="2:17" s="35" customFormat="1" ht="19.7" customHeight="1" x14ac:dyDescent="0.15">
      <c r="B156" s="38">
        <v>18</v>
      </c>
      <c r="C156" s="44" t="s">
        <v>215</v>
      </c>
      <c r="D156" s="38" t="s">
        <v>179</v>
      </c>
      <c r="E156" s="60" t="s">
        <v>311</v>
      </c>
      <c r="F156" s="76">
        <v>2</v>
      </c>
      <c r="G156" s="47">
        <v>355</v>
      </c>
      <c r="H156" s="57">
        <f t="shared" si="6"/>
        <v>710</v>
      </c>
      <c r="I156" s="58"/>
      <c r="J156" s="60" t="s">
        <v>312</v>
      </c>
      <c r="K156" s="59"/>
      <c r="L156" s="40" t="s">
        <v>276</v>
      </c>
      <c r="M156" s="45">
        <v>44498</v>
      </c>
      <c r="N156" s="44"/>
      <c r="O156" s="45"/>
      <c r="P156" s="45">
        <v>44525</v>
      </c>
      <c r="Q156" s="17">
        <v>44525</v>
      </c>
    </row>
    <row r="157" spans="2:17" s="35" customFormat="1" ht="19.7" customHeight="1" x14ac:dyDescent="0.15">
      <c r="B157" s="38">
        <v>18</v>
      </c>
      <c r="C157" s="44" t="s">
        <v>101</v>
      </c>
      <c r="D157" s="38" t="s">
        <v>179</v>
      </c>
      <c r="E157" s="55" t="s">
        <v>313</v>
      </c>
      <c r="F157" s="71">
        <v>1</v>
      </c>
      <c r="G157" s="47">
        <v>19520</v>
      </c>
      <c r="H157" s="57">
        <f t="shared" si="6"/>
        <v>19520</v>
      </c>
      <c r="I157" s="58"/>
      <c r="J157" s="59" t="s">
        <v>314</v>
      </c>
      <c r="K157" s="59"/>
      <c r="L157" s="40" t="s">
        <v>276</v>
      </c>
      <c r="M157" s="45">
        <v>44498</v>
      </c>
      <c r="N157" s="44"/>
      <c r="O157" s="45"/>
      <c r="P157" s="45">
        <v>44525</v>
      </c>
      <c r="Q157" s="17">
        <v>44525</v>
      </c>
    </row>
    <row r="158" spans="2:17" s="35" customFormat="1" ht="19.7" customHeight="1" x14ac:dyDescent="0.15">
      <c r="B158" s="38">
        <v>18</v>
      </c>
      <c r="C158" s="44" t="s">
        <v>101</v>
      </c>
      <c r="D158" s="38" t="s">
        <v>179</v>
      </c>
      <c r="E158" s="55" t="s">
        <v>315</v>
      </c>
      <c r="F158" s="71">
        <v>4</v>
      </c>
      <c r="G158" s="47">
        <v>3291</v>
      </c>
      <c r="H158" s="57">
        <f t="shared" si="6"/>
        <v>13164</v>
      </c>
      <c r="I158" s="58"/>
      <c r="J158" s="59" t="s">
        <v>316</v>
      </c>
      <c r="K158" s="59"/>
      <c r="L158" s="40" t="s">
        <v>276</v>
      </c>
      <c r="M158" s="45">
        <v>44498</v>
      </c>
      <c r="N158" s="44"/>
      <c r="O158" s="45"/>
      <c r="P158" s="45">
        <v>44525</v>
      </c>
      <c r="Q158" s="17">
        <v>44525</v>
      </c>
    </row>
    <row r="159" spans="2:17" s="35" customFormat="1" ht="19.7" customHeight="1" x14ac:dyDescent="0.15">
      <c r="B159" s="38">
        <v>18</v>
      </c>
      <c r="C159" s="44" t="s">
        <v>215</v>
      </c>
      <c r="D159" s="38" t="s">
        <v>179</v>
      </c>
      <c r="E159" s="55" t="s">
        <v>317</v>
      </c>
      <c r="F159" s="71">
        <v>5</v>
      </c>
      <c r="G159" s="47">
        <v>154</v>
      </c>
      <c r="H159" s="57">
        <f t="shared" si="6"/>
        <v>770</v>
      </c>
      <c r="I159" s="58"/>
      <c r="J159" s="60" t="s">
        <v>312</v>
      </c>
      <c r="K159" s="59"/>
      <c r="L159" s="40" t="s">
        <v>276</v>
      </c>
      <c r="M159" s="45">
        <v>44498</v>
      </c>
      <c r="N159" s="44"/>
      <c r="O159" s="45"/>
      <c r="P159" s="45">
        <v>44525</v>
      </c>
      <c r="Q159" s="17">
        <v>44525</v>
      </c>
    </row>
    <row r="160" spans="2:17" s="35" customFormat="1" ht="19.7" customHeight="1" x14ac:dyDescent="0.15">
      <c r="B160" s="38">
        <v>18</v>
      </c>
      <c r="C160" s="44" t="s">
        <v>101</v>
      </c>
      <c r="D160" s="38" t="s">
        <v>179</v>
      </c>
      <c r="E160" s="55" t="s">
        <v>211</v>
      </c>
      <c r="F160" s="71">
        <v>50</v>
      </c>
      <c r="G160" s="47">
        <v>93</v>
      </c>
      <c r="H160" s="57">
        <f t="shared" si="6"/>
        <v>4650</v>
      </c>
      <c r="I160" s="58"/>
      <c r="J160" s="59" t="s">
        <v>212</v>
      </c>
      <c r="K160" s="59"/>
      <c r="L160" s="40" t="s">
        <v>276</v>
      </c>
      <c r="M160" s="45">
        <v>44498</v>
      </c>
      <c r="N160" s="44"/>
      <c r="O160" s="45"/>
      <c r="P160" s="45">
        <v>44525</v>
      </c>
      <c r="Q160" s="17">
        <v>44525</v>
      </c>
    </row>
    <row r="161" spans="2:17" s="35" customFormat="1" ht="19.7" customHeight="1" x14ac:dyDescent="0.15">
      <c r="B161" s="38">
        <v>18</v>
      </c>
      <c r="C161" s="44" t="s">
        <v>101</v>
      </c>
      <c r="D161" s="38" t="s">
        <v>179</v>
      </c>
      <c r="E161" s="55" t="s">
        <v>234</v>
      </c>
      <c r="F161" s="71">
        <v>50</v>
      </c>
      <c r="G161" s="47">
        <v>32</v>
      </c>
      <c r="H161" s="57">
        <f t="shared" si="6"/>
        <v>1600</v>
      </c>
      <c r="I161" s="58"/>
      <c r="J161" s="60" t="s">
        <v>235</v>
      </c>
      <c r="K161" s="59"/>
      <c r="L161" s="40" t="s">
        <v>276</v>
      </c>
      <c r="M161" s="45">
        <v>44498</v>
      </c>
      <c r="N161" s="44"/>
      <c r="O161" s="45"/>
      <c r="P161" s="45">
        <v>44525</v>
      </c>
      <c r="Q161" s="17">
        <v>44525</v>
      </c>
    </row>
    <row r="162" spans="2:17" s="35" customFormat="1" ht="19.7" customHeight="1" x14ac:dyDescent="0.15">
      <c r="B162" s="38">
        <v>18</v>
      </c>
      <c r="C162" s="44" t="s">
        <v>101</v>
      </c>
      <c r="D162" s="38" t="s">
        <v>179</v>
      </c>
      <c r="E162" s="55" t="s">
        <v>236</v>
      </c>
      <c r="F162" s="71">
        <v>50</v>
      </c>
      <c r="G162" s="47">
        <v>32</v>
      </c>
      <c r="H162" s="57">
        <f t="shared" si="6"/>
        <v>1600</v>
      </c>
      <c r="I162" s="58"/>
      <c r="J162" s="60" t="s">
        <v>235</v>
      </c>
      <c r="K162" s="59"/>
      <c r="L162" s="40" t="s">
        <v>276</v>
      </c>
      <c r="M162" s="45">
        <v>44498</v>
      </c>
      <c r="N162" s="44"/>
      <c r="O162" s="45"/>
      <c r="P162" s="45">
        <v>44525</v>
      </c>
      <c r="Q162" s="17">
        <v>44525</v>
      </c>
    </row>
    <row r="163" spans="2:17" s="35" customFormat="1" ht="19.7" customHeight="1" x14ac:dyDescent="0.15">
      <c r="B163" s="38">
        <v>18</v>
      </c>
      <c r="C163" s="44" t="s">
        <v>101</v>
      </c>
      <c r="D163" s="38" t="s">
        <v>179</v>
      </c>
      <c r="E163" s="55" t="s">
        <v>222</v>
      </c>
      <c r="F163" s="71">
        <v>4</v>
      </c>
      <c r="G163" s="47">
        <v>810</v>
      </c>
      <c r="H163" s="57">
        <f t="shared" si="6"/>
        <v>3240</v>
      </c>
      <c r="I163" s="58"/>
      <c r="J163" s="59" t="s">
        <v>318</v>
      </c>
      <c r="K163" s="59"/>
      <c r="L163" s="40" t="s">
        <v>276</v>
      </c>
      <c r="M163" s="45">
        <v>44498</v>
      </c>
      <c r="N163" s="44"/>
      <c r="O163" s="45"/>
      <c r="P163" s="45">
        <v>44525</v>
      </c>
      <c r="Q163" s="17">
        <v>44525</v>
      </c>
    </row>
    <row r="164" spans="2:17" s="35" customFormat="1" ht="19.7" customHeight="1" x14ac:dyDescent="0.15">
      <c r="B164" s="38">
        <v>18</v>
      </c>
      <c r="C164" s="44" t="s">
        <v>101</v>
      </c>
      <c r="D164" s="38" t="s">
        <v>179</v>
      </c>
      <c r="E164" s="55" t="s">
        <v>319</v>
      </c>
      <c r="F164" s="71">
        <v>4</v>
      </c>
      <c r="G164" s="47">
        <v>3650</v>
      </c>
      <c r="H164" s="57">
        <f t="shared" si="6"/>
        <v>14600</v>
      </c>
      <c r="I164" s="58"/>
      <c r="J164" s="59" t="s">
        <v>320</v>
      </c>
      <c r="K164" s="59"/>
      <c r="L164" s="40" t="s">
        <v>276</v>
      </c>
      <c r="M164" s="45">
        <v>44498</v>
      </c>
      <c r="N164" s="44"/>
      <c r="O164" s="45"/>
      <c r="P164" s="45">
        <v>44525</v>
      </c>
      <c r="Q164" s="17">
        <v>44525</v>
      </c>
    </row>
    <row r="165" spans="2:17" s="35" customFormat="1" ht="19.7" customHeight="1" x14ac:dyDescent="0.15">
      <c r="B165" s="38">
        <v>18</v>
      </c>
      <c r="C165" s="44" t="s">
        <v>101</v>
      </c>
      <c r="D165" s="38" t="s">
        <v>179</v>
      </c>
      <c r="E165" s="55" t="s">
        <v>321</v>
      </c>
      <c r="F165" s="71">
        <v>2</v>
      </c>
      <c r="G165" s="47">
        <v>2090</v>
      </c>
      <c r="H165" s="57">
        <f t="shared" si="6"/>
        <v>4180</v>
      </c>
      <c r="I165" s="58"/>
      <c r="J165" s="59" t="s">
        <v>322</v>
      </c>
      <c r="K165" s="59"/>
      <c r="L165" s="40" t="s">
        <v>276</v>
      </c>
      <c r="M165" s="45">
        <v>44498</v>
      </c>
      <c r="N165" s="44"/>
      <c r="O165" s="45"/>
      <c r="P165" s="45">
        <v>44525</v>
      </c>
      <c r="Q165" s="17">
        <v>44525</v>
      </c>
    </row>
    <row r="166" spans="2:17" s="35" customFormat="1" ht="19.7" customHeight="1" x14ac:dyDescent="0.15">
      <c r="B166" s="38">
        <v>18</v>
      </c>
      <c r="C166" s="44" t="s">
        <v>101</v>
      </c>
      <c r="D166" s="38" t="s">
        <v>179</v>
      </c>
      <c r="E166" s="55" t="s">
        <v>323</v>
      </c>
      <c r="F166" s="71">
        <v>1</v>
      </c>
      <c r="G166" s="47">
        <v>2340</v>
      </c>
      <c r="H166" s="57">
        <f t="shared" si="6"/>
        <v>2340</v>
      </c>
      <c r="I166" s="58"/>
      <c r="J166" s="59" t="s">
        <v>324</v>
      </c>
      <c r="K166" s="59"/>
      <c r="L166" s="40" t="s">
        <v>276</v>
      </c>
      <c r="M166" s="45">
        <v>44498</v>
      </c>
      <c r="N166" s="44"/>
      <c r="O166" s="45"/>
      <c r="P166" s="45">
        <v>44525</v>
      </c>
      <c r="Q166" s="17">
        <v>44525</v>
      </c>
    </row>
    <row r="167" spans="2:17" s="35" customFormat="1" ht="19.7" customHeight="1" x14ac:dyDescent="0.15">
      <c r="B167" s="38">
        <v>18</v>
      </c>
      <c r="C167" s="44" t="s">
        <v>101</v>
      </c>
      <c r="D167" s="38" t="s">
        <v>179</v>
      </c>
      <c r="E167" s="55" t="s">
        <v>325</v>
      </c>
      <c r="F167" s="71">
        <v>1</v>
      </c>
      <c r="G167" s="47">
        <v>2340</v>
      </c>
      <c r="H167" s="57">
        <f t="shared" si="6"/>
        <v>2340</v>
      </c>
      <c r="I167" s="58"/>
      <c r="J167" s="59" t="s">
        <v>326</v>
      </c>
      <c r="K167" s="59"/>
      <c r="L167" s="40" t="s">
        <v>276</v>
      </c>
      <c r="M167" s="45">
        <v>44498</v>
      </c>
      <c r="N167" s="44"/>
      <c r="O167" s="45"/>
      <c r="P167" s="45">
        <v>44525</v>
      </c>
      <c r="Q167" s="17">
        <v>44525</v>
      </c>
    </row>
    <row r="168" spans="2:17" s="35" customFormat="1" ht="19.7" customHeight="1" x14ac:dyDescent="0.15">
      <c r="B168" s="38">
        <v>18</v>
      </c>
      <c r="C168" s="44" t="s">
        <v>101</v>
      </c>
      <c r="D168" s="38" t="s">
        <v>179</v>
      </c>
      <c r="E168" s="55" t="s">
        <v>327</v>
      </c>
      <c r="F168" s="71">
        <v>1</v>
      </c>
      <c r="G168" s="47">
        <v>3650</v>
      </c>
      <c r="H168" s="57">
        <f t="shared" si="6"/>
        <v>3650</v>
      </c>
      <c r="I168" s="58"/>
      <c r="J168" s="59" t="s">
        <v>328</v>
      </c>
      <c r="K168" s="59"/>
      <c r="L168" s="40" t="s">
        <v>276</v>
      </c>
      <c r="M168" s="45">
        <v>44498</v>
      </c>
      <c r="N168" s="44"/>
      <c r="O168" s="45"/>
      <c r="P168" s="45">
        <v>44525</v>
      </c>
      <c r="Q168" s="17">
        <v>44525</v>
      </c>
    </row>
    <row r="169" spans="2:17" s="35" customFormat="1" ht="19.7" customHeight="1" x14ac:dyDescent="0.15">
      <c r="B169" s="38">
        <v>18</v>
      </c>
      <c r="C169" s="44" t="s">
        <v>101</v>
      </c>
      <c r="D169" s="38" t="s">
        <v>179</v>
      </c>
      <c r="E169" s="55" t="s">
        <v>329</v>
      </c>
      <c r="F169" s="71">
        <v>1</v>
      </c>
      <c r="G169" s="47">
        <v>590</v>
      </c>
      <c r="H169" s="57">
        <f t="shared" si="6"/>
        <v>590</v>
      </c>
      <c r="I169" s="58"/>
      <c r="J169" s="59" t="s">
        <v>330</v>
      </c>
      <c r="K169" s="59"/>
      <c r="L169" s="40" t="s">
        <v>276</v>
      </c>
      <c r="M169" s="45">
        <v>44498</v>
      </c>
      <c r="N169" s="44"/>
      <c r="O169" s="45"/>
      <c r="P169" s="45">
        <v>44525</v>
      </c>
      <c r="Q169" s="17">
        <v>44525</v>
      </c>
    </row>
    <row r="170" spans="2:17" s="35" customFormat="1" ht="19.7" customHeight="1" x14ac:dyDescent="0.15">
      <c r="B170" s="38">
        <v>18</v>
      </c>
      <c r="C170" s="44" t="s">
        <v>101</v>
      </c>
      <c r="D170" s="38" t="s">
        <v>179</v>
      </c>
      <c r="E170" s="55" t="s">
        <v>331</v>
      </c>
      <c r="F170" s="71">
        <v>30</v>
      </c>
      <c r="G170" s="47">
        <v>49</v>
      </c>
      <c r="H170" s="57">
        <f t="shared" si="6"/>
        <v>1470</v>
      </c>
      <c r="I170" s="58"/>
      <c r="J170" s="59" t="s">
        <v>332</v>
      </c>
      <c r="K170" s="59"/>
      <c r="L170" s="40" t="s">
        <v>276</v>
      </c>
      <c r="M170" s="45">
        <v>44498</v>
      </c>
      <c r="N170" s="44"/>
      <c r="O170" s="45"/>
      <c r="P170" s="45">
        <v>44525</v>
      </c>
      <c r="Q170" s="17">
        <v>44525</v>
      </c>
    </row>
    <row r="171" spans="2:17" s="35" customFormat="1" ht="19.7" customHeight="1" x14ac:dyDescent="0.15">
      <c r="B171" s="38">
        <v>18</v>
      </c>
      <c r="C171" s="44" t="s">
        <v>101</v>
      </c>
      <c r="D171" s="38" t="s">
        <v>179</v>
      </c>
      <c r="E171" s="55" t="s">
        <v>333</v>
      </c>
      <c r="F171" s="71">
        <v>50</v>
      </c>
      <c r="G171" s="47">
        <v>49</v>
      </c>
      <c r="H171" s="57">
        <f t="shared" si="6"/>
        <v>2450</v>
      </c>
      <c r="I171" s="58"/>
      <c r="J171" s="59" t="s">
        <v>332</v>
      </c>
      <c r="K171" s="59"/>
      <c r="L171" s="40" t="s">
        <v>276</v>
      </c>
      <c r="M171" s="45">
        <v>44498</v>
      </c>
      <c r="N171" s="44"/>
      <c r="O171" s="45"/>
      <c r="P171" s="45">
        <v>44525</v>
      </c>
      <c r="Q171" s="17">
        <v>44525</v>
      </c>
    </row>
    <row r="172" spans="2:17" s="35" customFormat="1" ht="19.7" customHeight="1" x14ac:dyDescent="0.15">
      <c r="B172" s="38">
        <v>18</v>
      </c>
      <c r="C172" s="44" t="s">
        <v>101</v>
      </c>
      <c r="D172" s="38" t="s">
        <v>179</v>
      </c>
      <c r="E172" s="55" t="s">
        <v>334</v>
      </c>
      <c r="F172" s="71">
        <v>100</v>
      </c>
      <c r="G172" s="47">
        <v>49</v>
      </c>
      <c r="H172" s="57">
        <f t="shared" si="6"/>
        <v>4900</v>
      </c>
      <c r="I172" s="58"/>
      <c r="J172" s="59" t="s">
        <v>332</v>
      </c>
      <c r="K172" s="59"/>
      <c r="L172" s="40" t="s">
        <v>276</v>
      </c>
      <c r="M172" s="45">
        <v>44498</v>
      </c>
      <c r="N172" s="44"/>
      <c r="O172" s="45"/>
      <c r="P172" s="45">
        <v>44525</v>
      </c>
      <c r="Q172" s="17">
        <v>44525</v>
      </c>
    </row>
    <row r="173" spans="2:17" s="35" customFormat="1" ht="19.7" customHeight="1" x14ac:dyDescent="0.15">
      <c r="B173" s="38">
        <v>18</v>
      </c>
      <c r="C173" s="44" t="s">
        <v>101</v>
      </c>
      <c r="D173" s="38" t="s">
        <v>179</v>
      </c>
      <c r="E173" s="55" t="s">
        <v>335</v>
      </c>
      <c r="F173" s="71">
        <v>50</v>
      </c>
      <c r="G173" s="47">
        <v>49</v>
      </c>
      <c r="H173" s="57">
        <f t="shared" si="6"/>
        <v>2450</v>
      </c>
      <c r="I173" s="58"/>
      <c r="J173" s="59" t="s">
        <v>332</v>
      </c>
      <c r="K173" s="59"/>
      <c r="L173" s="40" t="s">
        <v>276</v>
      </c>
      <c r="M173" s="45">
        <v>44498</v>
      </c>
      <c r="N173" s="44"/>
      <c r="O173" s="45"/>
      <c r="P173" s="45">
        <v>44525</v>
      </c>
      <c r="Q173" s="17">
        <v>44525</v>
      </c>
    </row>
    <row r="174" spans="2:17" s="35" customFormat="1" ht="19.7" customHeight="1" x14ac:dyDescent="0.15">
      <c r="B174" s="38">
        <v>18</v>
      </c>
      <c r="C174" s="44" t="s">
        <v>101</v>
      </c>
      <c r="D174" s="38" t="s">
        <v>179</v>
      </c>
      <c r="E174" s="55" t="s">
        <v>336</v>
      </c>
      <c r="F174" s="71">
        <v>2</v>
      </c>
      <c r="G174" s="47">
        <v>610</v>
      </c>
      <c r="H174" s="57">
        <f t="shared" si="6"/>
        <v>1220</v>
      </c>
      <c r="I174" s="58"/>
      <c r="J174" s="59" t="s">
        <v>197</v>
      </c>
      <c r="K174" s="59"/>
      <c r="L174" s="40" t="s">
        <v>337</v>
      </c>
      <c r="M174" s="45">
        <v>44498</v>
      </c>
      <c r="N174" s="44"/>
      <c r="O174" s="45"/>
      <c r="P174" s="45">
        <v>44525</v>
      </c>
      <c r="Q174" s="17">
        <v>44525</v>
      </c>
    </row>
    <row r="175" spans="2:17" s="35" customFormat="1" ht="19.7" customHeight="1" x14ac:dyDescent="0.15">
      <c r="B175" s="38">
        <v>18</v>
      </c>
      <c r="C175" s="44" t="s">
        <v>101</v>
      </c>
      <c r="D175" s="38" t="s">
        <v>179</v>
      </c>
      <c r="E175" s="55" t="s">
        <v>338</v>
      </c>
      <c r="F175" s="71">
        <v>4</v>
      </c>
      <c r="G175" s="47">
        <v>260</v>
      </c>
      <c r="H175" s="57">
        <f t="shared" si="6"/>
        <v>1040</v>
      </c>
      <c r="I175" s="58"/>
      <c r="J175" s="59" t="s">
        <v>339</v>
      </c>
      <c r="K175" s="59"/>
      <c r="L175" s="40" t="s">
        <v>337</v>
      </c>
      <c r="M175" s="45">
        <v>44498</v>
      </c>
      <c r="N175" s="44"/>
      <c r="O175" s="45"/>
      <c r="P175" s="92">
        <v>44525</v>
      </c>
      <c r="Q175" s="17">
        <v>44525</v>
      </c>
    </row>
    <row r="176" spans="2:17" s="35" customFormat="1" ht="19.7" customHeight="1" x14ac:dyDescent="0.15">
      <c r="B176" s="38">
        <v>18</v>
      </c>
      <c r="C176" s="44" t="s">
        <v>101</v>
      </c>
      <c r="D176" s="38" t="s">
        <v>179</v>
      </c>
      <c r="E176" s="55" t="s">
        <v>340</v>
      </c>
      <c r="F176" s="71">
        <v>4</v>
      </c>
      <c r="G176" s="47">
        <v>224</v>
      </c>
      <c r="H176" s="57">
        <f t="shared" si="6"/>
        <v>896</v>
      </c>
      <c r="I176" s="58"/>
      <c r="J176" s="59" t="s">
        <v>341</v>
      </c>
      <c r="K176" s="59"/>
      <c r="L176" s="40" t="s">
        <v>337</v>
      </c>
      <c r="M176" s="45">
        <v>44498</v>
      </c>
      <c r="N176" s="44"/>
      <c r="O176" s="45"/>
      <c r="P176" s="48">
        <v>44546</v>
      </c>
      <c r="Q176" s="17">
        <v>44546</v>
      </c>
    </row>
    <row r="177" spans="2:17" s="35" customFormat="1" ht="19.7" customHeight="1" x14ac:dyDescent="0.15">
      <c r="B177" s="38">
        <v>18</v>
      </c>
      <c r="C177" s="44" t="s">
        <v>101</v>
      </c>
      <c r="D177" s="38" t="s">
        <v>179</v>
      </c>
      <c r="E177" s="55" t="s">
        <v>342</v>
      </c>
      <c r="F177" s="71">
        <v>2</v>
      </c>
      <c r="G177" s="47">
        <v>1612</v>
      </c>
      <c r="H177" s="57">
        <f t="shared" si="6"/>
        <v>3224</v>
      </c>
      <c r="I177" s="58"/>
      <c r="J177" s="59" t="s">
        <v>343</v>
      </c>
      <c r="K177" s="59"/>
      <c r="L177" s="40" t="s">
        <v>337</v>
      </c>
      <c r="M177" s="45">
        <v>44498</v>
      </c>
      <c r="N177" s="44"/>
      <c r="O177" s="45"/>
      <c r="P177" s="45">
        <v>44525</v>
      </c>
      <c r="Q177" s="17">
        <v>44525</v>
      </c>
    </row>
    <row r="178" spans="2:17" s="35" customFormat="1" ht="19.7" customHeight="1" x14ac:dyDescent="0.15">
      <c r="B178" s="38">
        <v>18</v>
      </c>
      <c r="C178" s="44" t="s">
        <v>101</v>
      </c>
      <c r="D178" s="38" t="s">
        <v>179</v>
      </c>
      <c r="E178" s="55" t="s">
        <v>344</v>
      </c>
      <c r="F178" s="71">
        <v>2</v>
      </c>
      <c r="G178" s="47">
        <v>219</v>
      </c>
      <c r="H178" s="57">
        <f t="shared" si="6"/>
        <v>438</v>
      </c>
      <c r="I178" s="58"/>
      <c r="J178" s="59" t="s">
        <v>345</v>
      </c>
      <c r="K178" s="59"/>
      <c r="L178" s="40" t="s">
        <v>337</v>
      </c>
      <c r="M178" s="45">
        <v>44498</v>
      </c>
      <c r="N178" s="44"/>
      <c r="O178" s="45"/>
      <c r="P178" s="45">
        <v>44525</v>
      </c>
      <c r="Q178" s="17">
        <v>44525</v>
      </c>
    </row>
    <row r="179" spans="2:17" s="35" customFormat="1" ht="19.7" customHeight="1" x14ac:dyDescent="0.15">
      <c r="B179" s="38">
        <v>18</v>
      </c>
      <c r="C179" s="38" t="s">
        <v>160</v>
      </c>
      <c r="D179" s="38" t="s">
        <v>179</v>
      </c>
      <c r="E179" s="55" t="s">
        <v>346</v>
      </c>
      <c r="F179" s="78">
        <v>2</v>
      </c>
      <c r="G179" s="79">
        <v>1343</v>
      </c>
      <c r="H179" s="57">
        <f t="shared" si="6"/>
        <v>2686</v>
      </c>
      <c r="I179" s="58"/>
      <c r="J179" s="59" t="s">
        <v>257</v>
      </c>
      <c r="K179" s="59"/>
      <c r="L179" s="40" t="s">
        <v>337</v>
      </c>
      <c r="M179" s="45">
        <v>44498</v>
      </c>
      <c r="N179" s="44"/>
      <c r="O179" s="45"/>
      <c r="P179" s="45">
        <v>44525</v>
      </c>
      <c r="Q179" s="17">
        <v>44525</v>
      </c>
    </row>
    <row r="180" spans="2:17" s="35" customFormat="1" ht="19.7" customHeight="1" x14ac:dyDescent="0.15">
      <c r="B180" s="38">
        <v>18</v>
      </c>
      <c r="C180" s="38" t="s">
        <v>160</v>
      </c>
      <c r="D180" s="38" t="s">
        <v>179</v>
      </c>
      <c r="E180" s="55" t="s">
        <v>347</v>
      </c>
      <c r="F180" s="80">
        <v>2</v>
      </c>
      <c r="G180" s="47">
        <v>820</v>
      </c>
      <c r="H180" s="57">
        <f t="shared" si="6"/>
        <v>1640</v>
      </c>
      <c r="I180" s="58"/>
      <c r="J180" s="59" t="s">
        <v>257</v>
      </c>
      <c r="K180" s="59"/>
      <c r="L180" s="40" t="s">
        <v>337</v>
      </c>
      <c r="M180" s="45">
        <v>44498</v>
      </c>
      <c r="N180" s="44"/>
      <c r="O180" s="45"/>
      <c r="P180" s="45">
        <v>44525</v>
      </c>
      <c r="Q180" s="46">
        <v>44525</v>
      </c>
    </row>
    <row r="181" spans="2:17" s="35" customFormat="1" ht="19.7" customHeight="1" x14ac:dyDescent="0.15">
      <c r="B181" s="38">
        <v>24</v>
      </c>
      <c r="C181" s="44" t="s">
        <v>101</v>
      </c>
      <c r="D181" s="38" t="s">
        <v>179</v>
      </c>
      <c r="E181" s="55" t="s">
        <v>348</v>
      </c>
      <c r="F181" s="71">
        <v>1</v>
      </c>
      <c r="G181" s="47">
        <v>15980</v>
      </c>
      <c r="H181" s="57">
        <f t="shared" si="6"/>
        <v>15980</v>
      </c>
      <c r="I181" s="58"/>
      <c r="J181" s="59" t="s">
        <v>349</v>
      </c>
      <c r="K181" s="59"/>
      <c r="L181" s="40" t="s">
        <v>350</v>
      </c>
      <c r="M181" s="45">
        <v>44498</v>
      </c>
      <c r="N181" s="44"/>
      <c r="O181" s="45"/>
      <c r="P181" s="45">
        <v>44525</v>
      </c>
      <c r="Q181" s="46">
        <v>44525</v>
      </c>
    </row>
    <row r="182" spans="2:17" s="35" customFormat="1" ht="19.7" customHeight="1" x14ac:dyDescent="0.15">
      <c r="B182" s="38">
        <v>24</v>
      </c>
      <c r="C182" s="44" t="s">
        <v>101</v>
      </c>
      <c r="D182" s="38" t="s">
        <v>179</v>
      </c>
      <c r="E182" s="55" t="s">
        <v>351</v>
      </c>
      <c r="F182" s="71">
        <v>2</v>
      </c>
      <c r="G182" s="47">
        <v>977</v>
      </c>
      <c r="H182" s="57">
        <f t="shared" si="6"/>
        <v>1954</v>
      </c>
      <c r="I182" s="58"/>
      <c r="J182" s="59" t="s">
        <v>138</v>
      </c>
      <c r="K182" s="59"/>
      <c r="L182" s="40" t="s">
        <v>350</v>
      </c>
      <c r="M182" s="45">
        <v>44498</v>
      </c>
      <c r="N182" s="44"/>
      <c r="O182" s="45"/>
      <c r="P182" s="45">
        <v>44525</v>
      </c>
      <c r="Q182" s="46">
        <v>44525</v>
      </c>
    </row>
    <row r="183" spans="2:17" s="35" customFormat="1" ht="19.7" customHeight="1" x14ac:dyDescent="0.15">
      <c r="B183" s="38">
        <v>24</v>
      </c>
      <c r="C183" s="44" t="s">
        <v>101</v>
      </c>
      <c r="D183" s="38" t="s">
        <v>179</v>
      </c>
      <c r="E183" s="55" t="s">
        <v>352</v>
      </c>
      <c r="F183" s="71">
        <v>1</v>
      </c>
      <c r="G183" s="47">
        <v>977</v>
      </c>
      <c r="H183" s="57">
        <f t="shared" si="6"/>
        <v>977</v>
      </c>
      <c r="I183" s="58"/>
      <c r="J183" s="59" t="s">
        <v>138</v>
      </c>
      <c r="K183" s="59"/>
      <c r="L183" s="40" t="s">
        <v>350</v>
      </c>
      <c r="M183" s="45">
        <v>44498</v>
      </c>
      <c r="N183" s="44"/>
      <c r="O183" s="45"/>
      <c r="P183" s="45">
        <v>44525</v>
      </c>
      <c r="Q183" s="46">
        <v>44525</v>
      </c>
    </row>
    <row r="184" spans="2:17" s="82" customFormat="1" ht="19.7" customHeight="1" x14ac:dyDescent="0.15">
      <c r="B184" s="38">
        <v>24</v>
      </c>
      <c r="C184" s="38" t="s">
        <v>353</v>
      </c>
      <c r="D184" s="38" t="s">
        <v>179</v>
      </c>
      <c r="E184" s="55" t="s">
        <v>354</v>
      </c>
      <c r="F184" s="71">
        <v>3</v>
      </c>
      <c r="G184" s="47">
        <v>251</v>
      </c>
      <c r="H184" s="57">
        <f t="shared" si="6"/>
        <v>753</v>
      </c>
      <c r="I184" s="58"/>
      <c r="J184" s="59" t="s">
        <v>355</v>
      </c>
      <c r="K184" s="59"/>
      <c r="L184" s="40" t="s">
        <v>350</v>
      </c>
      <c r="M184" s="45">
        <v>44498</v>
      </c>
      <c r="N184" s="81"/>
      <c r="O184" s="48"/>
      <c r="P184" s="45">
        <v>44525</v>
      </c>
      <c r="Q184" s="46">
        <v>44525</v>
      </c>
    </row>
    <row r="185" spans="2:17" s="35" customFormat="1" ht="19.7" customHeight="1" x14ac:dyDescent="0.15">
      <c r="B185" s="38">
        <v>24</v>
      </c>
      <c r="C185" s="44" t="s">
        <v>101</v>
      </c>
      <c r="D185" s="38" t="s">
        <v>179</v>
      </c>
      <c r="E185" s="55" t="s">
        <v>356</v>
      </c>
      <c r="F185" s="71">
        <v>1</v>
      </c>
      <c r="G185" s="47">
        <v>4570</v>
      </c>
      <c r="H185" s="57">
        <f t="shared" si="6"/>
        <v>4570</v>
      </c>
      <c r="I185" s="58"/>
      <c r="J185" s="59" t="s">
        <v>357</v>
      </c>
      <c r="K185" s="59"/>
      <c r="L185" s="40" t="s">
        <v>350</v>
      </c>
      <c r="M185" s="45">
        <v>44498</v>
      </c>
      <c r="N185" s="44"/>
      <c r="O185" s="45"/>
      <c r="P185" s="45">
        <v>44525</v>
      </c>
      <c r="Q185" s="46">
        <v>44525</v>
      </c>
    </row>
    <row r="186" spans="2:17" s="35" customFormat="1" ht="19.7" customHeight="1" x14ac:dyDescent="0.15">
      <c r="B186" s="38">
        <v>24</v>
      </c>
      <c r="C186" s="44" t="s">
        <v>101</v>
      </c>
      <c r="D186" s="38" t="s">
        <v>179</v>
      </c>
      <c r="E186" s="55" t="s">
        <v>358</v>
      </c>
      <c r="F186" s="71">
        <v>1</v>
      </c>
      <c r="G186" s="47">
        <v>3600</v>
      </c>
      <c r="H186" s="57">
        <f t="shared" si="6"/>
        <v>3600</v>
      </c>
      <c r="I186" s="58"/>
      <c r="J186" s="59" t="s">
        <v>357</v>
      </c>
      <c r="K186" s="59"/>
      <c r="L186" s="40" t="s">
        <v>350</v>
      </c>
      <c r="M186" s="45">
        <v>44498</v>
      </c>
      <c r="N186" s="44"/>
      <c r="O186" s="45"/>
      <c r="P186" s="45">
        <v>44525</v>
      </c>
      <c r="Q186" s="46">
        <v>44525</v>
      </c>
    </row>
    <row r="187" spans="2:17" s="35" customFormat="1" ht="19.7" customHeight="1" x14ac:dyDescent="0.15">
      <c r="B187" s="38">
        <v>24</v>
      </c>
      <c r="C187" s="44" t="s">
        <v>101</v>
      </c>
      <c r="D187" s="38" t="s">
        <v>179</v>
      </c>
      <c r="E187" s="55" t="s">
        <v>359</v>
      </c>
      <c r="F187" s="71">
        <v>1</v>
      </c>
      <c r="G187" s="47">
        <v>3853</v>
      </c>
      <c r="H187" s="57">
        <f t="shared" si="6"/>
        <v>3853</v>
      </c>
      <c r="I187" s="58"/>
      <c r="J187" s="59" t="s">
        <v>360</v>
      </c>
      <c r="K187" s="59"/>
      <c r="L187" s="40" t="s">
        <v>350</v>
      </c>
      <c r="M187" s="45">
        <v>44498</v>
      </c>
      <c r="N187" s="44"/>
      <c r="O187" s="45"/>
      <c r="P187" s="45">
        <v>44525</v>
      </c>
      <c r="Q187" s="46">
        <v>44525</v>
      </c>
    </row>
    <row r="188" spans="2:17" s="35" customFormat="1" ht="19.7" customHeight="1" x14ac:dyDescent="0.15">
      <c r="B188" s="38">
        <v>24</v>
      </c>
      <c r="C188" s="38" t="s">
        <v>361</v>
      </c>
      <c r="D188" s="38" t="s">
        <v>179</v>
      </c>
      <c r="E188" s="55" t="s">
        <v>362</v>
      </c>
      <c r="F188" s="71">
        <v>10</v>
      </c>
      <c r="G188" s="61">
        <v>998</v>
      </c>
      <c r="H188" s="62">
        <f t="shared" si="6"/>
        <v>9980</v>
      </c>
      <c r="I188" s="58"/>
      <c r="J188" s="59" t="s">
        <v>363</v>
      </c>
      <c r="K188" s="42"/>
      <c r="L188" s="40" t="s">
        <v>350</v>
      </c>
      <c r="M188" s="45">
        <v>44498</v>
      </c>
      <c r="N188" s="44"/>
      <c r="O188" s="45"/>
      <c r="P188" s="92">
        <v>44525</v>
      </c>
      <c r="Q188" s="46">
        <v>44525</v>
      </c>
    </row>
    <row r="189" spans="2:17" s="35" customFormat="1" ht="19.7" customHeight="1" x14ac:dyDescent="0.15">
      <c r="B189" s="38">
        <v>24</v>
      </c>
      <c r="C189" s="38" t="s">
        <v>215</v>
      </c>
      <c r="D189" s="38" t="s">
        <v>179</v>
      </c>
      <c r="E189" s="55" t="s">
        <v>364</v>
      </c>
      <c r="F189" s="71">
        <v>2</v>
      </c>
      <c r="G189" s="47">
        <v>474</v>
      </c>
      <c r="H189" s="57">
        <f t="shared" si="6"/>
        <v>948</v>
      </c>
      <c r="I189" s="58"/>
      <c r="J189" s="59" t="s">
        <v>365</v>
      </c>
      <c r="K189" s="59"/>
      <c r="L189" s="40" t="s">
        <v>350</v>
      </c>
      <c r="M189" s="45">
        <v>44498</v>
      </c>
      <c r="N189" s="44"/>
      <c r="O189" s="45"/>
      <c r="P189" s="45">
        <v>44525</v>
      </c>
      <c r="Q189" s="46">
        <v>44525</v>
      </c>
    </row>
    <row r="190" spans="2:17" s="35" customFormat="1" ht="19.7" customHeight="1" x14ac:dyDescent="0.15">
      <c r="B190" s="38">
        <v>24</v>
      </c>
      <c r="C190" s="44" t="s">
        <v>101</v>
      </c>
      <c r="D190" s="38" t="s">
        <v>179</v>
      </c>
      <c r="E190" s="55" t="s">
        <v>366</v>
      </c>
      <c r="F190" s="71">
        <v>1</v>
      </c>
      <c r="G190" s="47">
        <v>1995</v>
      </c>
      <c r="H190" s="57">
        <f t="shared" si="6"/>
        <v>1995</v>
      </c>
      <c r="I190" s="58"/>
      <c r="J190" s="59" t="s">
        <v>367</v>
      </c>
      <c r="K190" s="59"/>
      <c r="L190" s="40" t="s">
        <v>368</v>
      </c>
      <c r="M190" s="45">
        <v>44498</v>
      </c>
      <c r="N190" s="44"/>
      <c r="O190" s="45"/>
      <c r="P190" s="45">
        <v>44525</v>
      </c>
      <c r="Q190" s="46">
        <v>44525</v>
      </c>
    </row>
    <row r="191" spans="2:17" s="35" customFormat="1" ht="19.7" customHeight="1" x14ac:dyDescent="0.15">
      <c r="B191" s="38">
        <v>24</v>
      </c>
      <c r="C191" s="44" t="s">
        <v>101</v>
      </c>
      <c r="D191" s="38" t="s">
        <v>179</v>
      </c>
      <c r="E191" s="55" t="s">
        <v>369</v>
      </c>
      <c r="F191" s="71">
        <v>1</v>
      </c>
      <c r="G191" s="47">
        <v>1533</v>
      </c>
      <c r="H191" s="57">
        <f t="shared" si="6"/>
        <v>1533</v>
      </c>
      <c r="I191" s="58"/>
      <c r="J191" s="59" t="s">
        <v>367</v>
      </c>
      <c r="K191" s="59"/>
      <c r="L191" s="40" t="s">
        <v>370</v>
      </c>
      <c r="M191" s="45">
        <v>44498</v>
      </c>
      <c r="N191" s="44"/>
      <c r="O191" s="45"/>
      <c r="P191" s="45">
        <v>44525</v>
      </c>
      <c r="Q191" s="46">
        <v>44525</v>
      </c>
    </row>
    <row r="192" spans="2:17" s="35" customFormat="1" ht="19.7" customHeight="1" x14ac:dyDescent="0.15">
      <c r="B192" s="38">
        <v>24</v>
      </c>
      <c r="C192" s="44" t="s">
        <v>101</v>
      </c>
      <c r="D192" s="38" t="s">
        <v>179</v>
      </c>
      <c r="E192" s="55" t="s">
        <v>427</v>
      </c>
      <c r="F192" s="71">
        <v>1</v>
      </c>
      <c r="G192" s="47">
        <v>2485</v>
      </c>
      <c r="H192" s="57">
        <f t="shared" si="6"/>
        <v>2485</v>
      </c>
      <c r="I192" s="58"/>
      <c r="J192" s="59" t="s">
        <v>367</v>
      </c>
      <c r="K192" s="59"/>
      <c r="L192" s="40" t="s">
        <v>371</v>
      </c>
      <c r="M192" s="43">
        <v>44498</v>
      </c>
      <c r="N192" s="44"/>
      <c r="O192" s="45"/>
      <c r="P192" s="45">
        <v>44525</v>
      </c>
      <c r="Q192" s="46">
        <v>44525</v>
      </c>
    </row>
    <row r="193" spans="2:17" s="35" customFormat="1" ht="19.7" customHeight="1" x14ac:dyDescent="0.15">
      <c r="B193" s="38">
        <v>24</v>
      </c>
      <c r="C193" s="81" t="s">
        <v>372</v>
      </c>
      <c r="D193" s="81" t="s">
        <v>179</v>
      </c>
      <c r="E193" s="83" t="s">
        <v>373</v>
      </c>
      <c r="F193" s="84">
        <v>1</v>
      </c>
      <c r="G193" s="85">
        <v>0</v>
      </c>
      <c r="H193" s="86">
        <f t="shared" si="6"/>
        <v>0</v>
      </c>
      <c r="I193" s="87"/>
      <c r="J193" s="42" t="s">
        <v>374</v>
      </c>
      <c r="K193" s="42" t="s">
        <v>375</v>
      </c>
      <c r="L193" s="40" t="s">
        <v>350</v>
      </c>
      <c r="M193" s="43"/>
      <c r="N193" s="44"/>
      <c r="O193" s="45"/>
      <c r="P193" s="45"/>
      <c r="Q193" s="46"/>
    </row>
    <row r="194" spans="2:17" s="35" customFormat="1" ht="19.7" customHeight="1" x14ac:dyDescent="0.15">
      <c r="B194" s="38">
        <v>24</v>
      </c>
      <c r="C194" s="44" t="s">
        <v>101</v>
      </c>
      <c r="D194" s="38" t="s">
        <v>179</v>
      </c>
      <c r="E194" s="55" t="s">
        <v>376</v>
      </c>
      <c r="F194" s="71">
        <v>1</v>
      </c>
      <c r="G194" s="47">
        <v>768</v>
      </c>
      <c r="H194" s="57">
        <f t="shared" si="6"/>
        <v>768</v>
      </c>
      <c r="I194" s="58"/>
      <c r="J194" s="59" t="s">
        <v>377</v>
      </c>
      <c r="K194" s="59"/>
      <c r="L194" s="40" t="s">
        <v>350</v>
      </c>
      <c r="M194" s="43">
        <v>44498</v>
      </c>
      <c r="N194" s="44"/>
      <c r="O194" s="45"/>
      <c r="P194" s="45">
        <v>44525</v>
      </c>
      <c r="Q194" s="46">
        <v>44525</v>
      </c>
    </row>
    <row r="195" spans="2:17" s="35" customFormat="1" ht="19.7" customHeight="1" x14ac:dyDescent="0.15">
      <c r="B195" s="38">
        <v>24</v>
      </c>
      <c r="C195" s="44" t="s">
        <v>101</v>
      </c>
      <c r="D195" s="38" t="s">
        <v>179</v>
      </c>
      <c r="E195" s="55" t="s">
        <v>378</v>
      </c>
      <c r="F195" s="71">
        <v>1</v>
      </c>
      <c r="G195" s="47">
        <v>3470</v>
      </c>
      <c r="H195" s="57">
        <f t="shared" si="6"/>
        <v>3470</v>
      </c>
      <c r="I195" s="58"/>
      <c r="J195" s="59" t="s">
        <v>379</v>
      </c>
      <c r="K195" s="59"/>
      <c r="L195" s="40" t="s">
        <v>68</v>
      </c>
      <c r="M195" s="43">
        <v>44498</v>
      </c>
      <c r="N195" s="44"/>
      <c r="O195" s="45"/>
      <c r="P195" s="45">
        <v>44525</v>
      </c>
      <c r="Q195" s="46">
        <v>44525</v>
      </c>
    </row>
    <row r="196" spans="2:17" s="35" customFormat="1" ht="19.7" customHeight="1" x14ac:dyDescent="0.15">
      <c r="B196" s="38">
        <v>24</v>
      </c>
      <c r="C196" s="38" t="s">
        <v>353</v>
      </c>
      <c r="D196" s="38" t="s">
        <v>179</v>
      </c>
      <c r="E196" s="55" t="s">
        <v>380</v>
      </c>
      <c r="F196" s="71">
        <v>5</v>
      </c>
      <c r="G196" s="47">
        <v>140</v>
      </c>
      <c r="H196" s="57">
        <f t="shared" si="6"/>
        <v>700</v>
      </c>
      <c r="I196" s="58"/>
      <c r="J196" s="59" t="s">
        <v>381</v>
      </c>
      <c r="K196" s="59"/>
      <c r="L196" s="40" t="s">
        <v>68</v>
      </c>
      <c r="M196" s="43">
        <v>44498</v>
      </c>
      <c r="N196" s="44"/>
      <c r="O196" s="45"/>
      <c r="P196" s="45">
        <v>44525</v>
      </c>
      <c r="Q196" s="46">
        <v>44525</v>
      </c>
    </row>
    <row r="197" spans="2:17" s="35" customFormat="1" ht="19.7" customHeight="1" x14ac:dyDescent="0.15">
      <c r="B197" s="38">
        <v>24</v>
      </c>
      <c r="C197" s="44" t="s">
        <v>101</v>
      </c>
      <c r="D197" s="38" t="s">
        <v>179</v>
      </c>
      <c r="E197" s="55" t="s">
        <v>382</v>
      </c>
      <c r="F197" s="71">
        <v>1</v>
      </c>
      <c r="G197" s="47">
        <v>3733</v>
      </c>
      <c r="H197" s="57">
        <f t="shared" si="6"/>
        <v>3733</v>
      </c>
      <c r="I197" s="58"/>
      <c r="J197" s="59" t="s">
        <v>383</v>
      </c>
      <c r="K197" s="59"/>
      <c r="L197" s="40" t="s">
        <v>68</v>
      </c>
      <c r="M197" s="43">
        <v>44498</v>
      </c>
      <c r="N197" s="44"/>
      <c r="O197" s="45"/>
      <c r="P197" s="45">
        <v>44525</v>
      </c>
      <c r="Q197" s="46">
        <v>44525</v>
      </c>
    </row>
    <row r="198" spans="2:17" s="35" customFormat="1" ht="19.7" customHeight="1" x14ac:dyDescent="0.15">
      <c r="B198" s="38">
        <v>24</v>
      </c>
      <c r="C198" s="38" t="s">
        <v>384</v>
      </c>
      <c r="D198" s="38" t="s">
        <v>179</v>
      </c>
      <c r="E198" s="55" t="s">
        <v>385</v>
      </c>
      <c r="F198" s="71">
        <v>1</v>
      </c>
      <c r="G198" s="47">
        <v>4889</v>
      </c>
      <c r="H198" s="57">
        <f t="shared" si="6"/>
        <v>4889</v>
      </c>
      <c r="I198" s="58"/>
      <c r="J198" s="59" t="s">
        <v>386</v>
      </c>
      <c r="K198" s="59"/>
      <c r="L198" s="40" t="s">
        <v>68</v>
      </c>
      <c r="M198" s="43">
        <v>44498</v>
      </c>
      <c r="N198" s="44"/>
      <c r="O198" s="45"/>
      <c r="P198" s="45">
        <v>44525</v>
      </c>
      <c r="Q198" s="46">
        <v>44525</v>
      </c>
    </row>
    <row r="199" spans="2:17" s="35" customFormat="1" ht="19.7" customHeight="1" x14ac:dyDescent="0.15">
      <c r="B199" s="38">
        <v>24</v>
      </c>
      <c r="C199" s="38" t="s">
        <v>384</v>
      </c>
      <c r="D199" s="38" t="s">
        <v>179</v>
      </c>
      <c r="E199" s="55" t="s">
        <v>387</v>
      </c>
      <c r="F199" s="71">
        <v>1</v>
      </c>
      <c r="G199" s="47">
        <v>288</v>
      </c>
      <c r="H199" s="57">
        <f t="shared" si="6"/>
        <v>288</v>
      </c>
      <c r="I199" s="58"/>
      <c r="J199" s="59" t="s">
        <v>388</v>
      </c>
      <c r="K199" s="59"/>
      <c r="L199" s="40" t="s">
        <v>68</v>
      </c>
      <c r="M199" s="43">
        <v>44498</v>
      </c>
      <c r="N199" s="44"/>
      <c r="O199" s="45"/>
      <c r="P199" s="45">
        <v>44525</v>
      </c>
      <c r="Q199" s="46">
        <v>44525</v>
      </c>
    </row>
    <row r="200" spans="2:17" s="35" customFormat="1" ht="19.7" customHeight="1" x14ac:dyDescent="0.15">
      <c r="B200" s="38">
        <v>18</v>
      </c>
      <c r="C200" s="38" t="s">
        <v>179</v>
      </c>
      <c r="D200" s="38" t="s">
        <v>179</v>
      </c>
      <c r="E200" s="55" t="s">
        <v>389</v>
      </c>
      <c r="F200" s="71">
        <v>1</v>
      </c>
      <c r="G200" s="47">
        <v>2910</v>
      </c>
      <c r="H200" s="57">
        <f t="shared" si="6"/>
        <v>2910</v>
      </c>
      <c r="I200" s="58"/>
      <c r="J200" s="59" t="s">
        <v>390</v>
      </c>
      <c r="K200" s="59"/>
      <c r="L200" s="40" t="s">
        <v>69</v>
      </c>
      <c r="M200" s="43">
        <v>44498</v>
      </c>
      <c r="N200" s="44"/>
      <c r="O200" s="45"/>
      <c r="P200" s="45">
        <v>44525</v>
      </c>
      <c r="Q200" s="46">
        <v>44525</v>
      </c>
    </row>
    <row r="201" spans="2:17" s="35" customFormat="1" ht="19.7" customHeight="1" x14ac:dyDescent="0.15">
      <c r="B201" s="38">
        <v>18</v>
      </c>
      <c r="C201" s="38" t="s">
        <v>179</v>
      </c>
      <c r="D201" s="38" t="s">
        <v>179</v>
      </c>
      <c r="E201" s="55" t="s">
        <v>391</v>
      </c>
      <c r="F201" s="71">
        <v>1</v>
      </c>
      <c r="G201" s="47">
        <v>210</v>
      </c>
      <c r="H201" s="57">
        <f t="shared" si="6"/>
        <v>210</v>
      </c>
      <c r="I201" s="58"/>
      <c r="J201" s="59" t="s">
        <v>392</v>
      </c>
      <c r="K201" s="59"/>
      <c r="L201" s="40" t="s">
        <v>69</v>
      </c>
      <c r="M201" s="43">
        <v>44498</v>
      </c>
      <c r="N201" s="44"/>
      <c r="O201" s="45"/>
      <c r="P201" s="45">
        <v>44525</v>
      </c>
      <c r="Q201" s="46">
        <v>44525</v>
      </c>
    </row>
    <row r="202" spans="2:17" s="35" customFormat="1" ht="19.7" customHeight="1" x14ac:dyDescent="0.15">
      <c r="B202" s="38">
        <v>18</v>
      </c>
      <c r="C202" s="38" t="s">
        <v>179</v>
      </c>
      <c r="D202" s="38" t="s">
        <v>179</v>
      </c>
      <c r="E202" s="55" t="s">
        <v>393</v>
      </c>
      <c r="F202" s="71">
        <v>1</v>
      </c>
      <c r="G202" s="47">
        <v>320</v>
      </c>
      <c r="H202" s="57">
        <f t="shared" si="6"/>
        <v>320</v>
      </c>
      <c r="I202" s="58"/>
      <c r="J202" s="59" t="s">
        <v>394</v>
      </c>
      <c r="K202" s="59"/>
      <c r="L202" s="40" t="s">
        <v>69</v>
      </c>
      <c r="M202" s="43">
        <v>44498</v>
      </c>
      <c r="N202" s="44"/>
      <c r="O202" s="45"/>
      <c r="P202" s="45">
        <v>44525</v>
      </c>
      <c r="Q202" s="46">
        <v>44525</v>
      </c>
    </row>
    <row r="203" spans="2:17" s="35" customFormat="1" ht="19.7" customHeight="1" x14ac:dyDescent="0.15">
      <c r="B203" s="38">
        <v>18</v>
      </c>
      <c r="C203" s="38" t="s">
        <v>179</v>
      </c>
      <c r="D203" s="38" t="s">
        <v>179</v>
      </c>
      <c r="E203" s="55" t="s">
        <v>395</v>
      </c>
      <c r="F203" s="71">
        <v>1</v>
      </c>
      <c r="G203" s="47">
        <v>260</v>
      </c>
      <c r="H203" s="57">
        <f t="shared" si="6"/>
        <v>260</v>
      </c>
      <c r="I203" s="58"/>
      <c r="J203" s="59" t="s">
        <v>396</v>
      </c>
      <c r="K203" s="59"/>
      <c r="L203" s="40" t="s">
        <v>69</v>
      </c>
      <c r="M203" s="43">
        <v>44498</v>
      </c>
      <c r="N203" s="44"/>
      <c r="O203" s="45"/>
      <c r="P203" s="45">
        <v>44525</v>
      </c>
      <c r="Q203" s="46">
        <v>44525</v>
      </c>
    </row>
    <row r="204" spans="2:17" s="35" customFormat="1" ht="19.7" customHeight="1" x14ac:dyDescent="0.15">
      <c r="B204" s="38">
        <v>18</v>
      </c>
      <c r="C204" s="38" t="s">
        <v>179</v>
      </c>
      <c r="D204" s="38" t="s">
        <v>179</v>
      </c>
      <c r="E204" s="55" t="s">
        <v>397</v>
      </c>
      <c r="F204" s="71">
        <v>1</v>
      </c>
      <c r="G204" s="47">
        <v>200</v>
      </c>
      <c r="H204" s="57">
        <f t="shared" si="6"/>
        <v>200</v>
      </c>
      <c r="I204" s="58"/>
      <c r="J204" s="59" t="s">
        <v>398</v>
      </c>
      <c r="K204" s="59"/>
      <c r="L204" s="40" t="s">
        <v>69</v>
      </c>
      <c r="M204" s="43">
        <v>44498</v>
      </c>
      <c r="N204" s="44"/>
      <c r="O204" s="45"/>
      <c r="P204" s="45">
        <v>44525</v>
      </c>
      <c r="Q204" s="46">
        <v>44525</v>
      </c>
    </row>
    <row r="205" spans="2:17" s="35" customFormat="1" ht="19.7" customHeight="1" x14ac:dyDescent="0.15">
      <c r="B205" s="38">
        <v>24</v>
      </c>
      <c r="C205" s="38" t="s">
        <v>179</v>
      </c>
      <c r="D205" s="38" t="s">
        <v>179</v>
      </c>
      <c r="E205" s="88" t="s">
        <v>399</v>
      </c>
      <c r="F205" s="71">
        <v>1</v>
      </c>
      <c r="G205" s="47">
        <v>1683</v>
      </c>
      <c r="H205" s="57">
        <f t="shared" si="6"/>
        <v>1683</v>
      </c>
      <c r="I205" s="58"/>
      <c r="J205" s="59" t="s">
        <v>400</v>
      </c>
      <c r="K205" s="59"/>
      <c r="L205" s="40" t="s">
        <v>401</v>
      </c>
      <c r="M205" s="43">
        <v>44498</v>
      </c>
      <c r="N205" s="44"/>
      <c r="O205" s="45"/>
      <c r="P205" s="92">
        <v>44525</v>
      </c>
      <c r="Q205" s="46">
        <v>44525</v>
      </c>
    </row>
    <row r="206" spans="2:17" s="91" customFormat="1" ht="19.7" customHeight="1" x14ac:dyDescent="0.15">
      <c r="B206" s="38">
        <v>24</v>
      </c>
      <c r="C206" s="38" t="s">
        <v>402</v>
      </c>
      <c r="D206" s="38" t="s">
        <v>179</v>
      </c>
      <c r="E206" s="55" t="s">
        <v>403</v>
      </c>
      <c r="F206" s="71">
        <v>1</v>
      </c>
      <c r="G206" s="47">
        <v>195</v>
      </c>
      <c r="H206" s="57">
        <f t="shared" si="6"/>
        <v>195</v>
      </c>
      <c r="I206" s="58"/>
      <c r="J206" s="59" t="s">
        <v>404</v>
      </c>
      <c r="K206" s="59"/>
      <c r="L206" s="40" t="s">
        <v>401</v>
      </c>
      <c r="M206" s="43">
        <v>44498</v>
      </c>
      <c r="N206" s="89"/>
      <c r="O206" s="90"/>
      <c r="P206" s="45">
        <v>44525</v>
      </c>
      <c r="Q206" s="46">
        <v>44525</v>
      </c>
    </row>
    <row r="207" spans="2:17" s="35" customFormat="1" ht="19.7" customHeight="1" x14ac:dyDescent="0.15">
      <c r="B207" s="38"/>
      <c r="C207" s="38"/>
      <c r="D207" s="38"/>
      <c r="E207" s="55"/>
      <c r="F207" s="71"/>
      <c r="G207" s="47">
        <v>0</v>
      </c>
      <c r="H207" s="57">
        <f t="shared" si="6"/>
        <v>0</v>
      </c>
      <c r="I207" s="58"/>
      <c r="J207" s="59"/>
      <c r="K207" s="59"/>
      <c r="L207" s="40"/>
      <c r="M207" s="43"/>
      <c r="N207" s="44"/>
      <c r="O207" s="45"/>
      <c r="P207" s="45"/>
      <c r="Q207" s="46"/>
    </row>
    <row r="208" spans="2:17" s="35" customFormat="1" ht="19.7" customHeight="1" x14ac:dyDescent="0.15">
      <c r="B208" s="38"/>
      <c r="C208" s="38"/>
      <c r="D208" s="38"/>
      <c r="E208" s="55"/>
      <c r="F208" s="71"/>
      <c r="G208" s="47">
        <v>0</v>
      </c>
      <c r="H208" s="57">
        <f t="shared" si="6"/>
        <v>0</v>
      </c>
      <c r="I208" s="58"/>
      <c r="J208" s="59"/>
      <c r="K208" s="59"/>
      <c r="L208" s="40"/>
      <c r="M208" s="43"/>
      <c r="N208" s="44"/>
      <c r="O208" s="45"/>
      <c r="P208" s="45"/>
      <c r="Q208" s="46"/>
    </row>
    <row r="209" spans="2:17" s="35" customFormat="1" ht="19.7" customHeight="1" x14ac:dyDescent="0.15">
      <c r="B209" s="38">
        <v>18</v>
      </c>
      <c r="C209" s="38" t="s">
        <v>405</v>
      </c>
      <c r="D209" s="38" t="s">
        <v>406</v>
      </c>
      <c r="E209" s="55" t="s">
        <v>407</v>
      </c>
      <c r="F209" s="71">
        <v>1</v>
      </c>
      <c r="G209" s="47">
        <v>857</v>
      </c>
      <c r="H209" s="57">
        <f t="shared" si="6"/>
        <v>857</v>
      </c>
      <c r="I209" s="58"/>
      <c r="J209" s="59" t="s">
        <v>408</v>
      </c>
      <c r="K209" s="59"/>
      <c r="L209" s="40" t="s">
        <v>267</v>
      </c>
      <c r="M209" s="43">
        <v>44501</v>
      </c>
      <c r="N209" s="44"/>
      <c r="O209" s="45"/>
      <c r="P209" s="45"/>
      <c r="Q209" s="46">
        <v>44502</v>
      </c>
    </row>
    <row r="210" spans="2:17" s="35" customFormat="1" ht="19.7" customHeight="1" x14ac:dyDescent="0.15">
      <c r="B210" s="38">
        <v>23</v>
      </c>
      <c r="C210" s="40" t="s">
        <v>409</v>
      </c>
      <c r="D210" s="40" t="s">
        <v>410</v>
      </c>
      <c r="E210" s="59" t="s">
        <v>411</v>
      </c>
      <c r="F210" s="97">
        <v>1</v>
      </c>
      <c r="G210" s="61">
        <v>2189</v>
      </c>
      <c r="H210" s="57">
        <f t="shared" si="6"/>
        <v>2189</v>
      </c>
      <c r="I210" s="58"/>
      <c r="J210" s="55" t="s">
        <v>412</v>
      </c>
      <c r="K210" s="59"/>
      <c r="L210" s="40" t="s">
        <v>163</v>
      </c>
      <c r="M210" s="43">
        <v>44501</v>
      </c>
      <c r="N210" s="44"/>
      <c r="O210" s="45"/>
      <c r="P210" s="45"/>
      <c r="Q210" s="46">
        <v>44502</v>
      </c>
    </row>
    <row r="211" spans="2:17" s="35" customFormat="1" ht="19.7" customHeight="1" x14ac:dyDescent="0.15">
      <c r="B211" s="38">
        <v>18</v>
      </c>
      <c r="C211" s="38" t="s">
        <v>268</v>
      </c>
      <c r="D211" s="38" t="s">
        <v>406</v>
      </c>
      <c r="E211" s="55" t="s">
        <v>426</v>
      </c>
      <c r="F211" s="71">
        <v>1</v>
      </c>
      <c r="G211" s="47">
        <v>2090</v>
      </c>
      <c r="H211" s="57">
        <f t="shared" si="6"/>
        <v>2090</v>
      </c>
      <c r="I211" s="58"/>
      <c r="J211" s="59" t="s">
        <v>272</v>
      </c>
      <c r="K211" s="59"/>
      <c r="L211" s="40" t="s">
        <v>271</v>
      </c>
      <c r="M211" s="43">
        <v>44501</v>
      </c>
      <c r="N211" s="44"/>
      <c r="O211" s="45"/>
      <c r="P211" s="48"/>
      <c r="Q211" s="46">
        <v>44502</v>
      </c>
    </row>
    <row r="212" spans="2:17" s="35" customFormat="1" ht="19.7" customHeight="1" x14ac:dyDescent="0.15">
      <c r="B212" s="38"/>
      <c r="C212" s="38"/>
      <c r="D212" s="38"/>
      <c r="E212" s="55"/>
      <c r="F212" s="71"/>
      <c r="G212" s="47">
        <v>0</v>
      </c>
      <c r="H212" s="57">
        <f t="shared" ref="H212:H217" si="7">F212*G212</f>
        <v>0</v>
      </c>
      <c r="I212" s="58"/>
      <c r="J212" s="59"/>
      <c r="K212" s="59"/>
      <c r="L212" s="40"/>
      <c r="M212" s="43"/>
      <c r="N212" s="44"/>
      <c r="O212" s="45"/>
      <c r="P212" s="45"/>
      <c r="Q212" s="46"/>
    </row>
    <row r="213" spans="2:17" s="35" customFormat="1" ht="19.7" customHeight="1" x14ac:dyDescent="0.15">
      <c r="B213" s="38">
        <v>18</v>
      </c>
      <c r="C213" s="38" t="s">
        <v>413</v>
      </c>
      <c r="D213" s="38" t="s">
        <v>413</v>
      </c>
      <c r="E213" s="55" t="s">
        <v>414</v>
      </c>
      <c r="F213" s="71">
        <v>1</v>
      </c>
      <c r="G213" s="61">
        <v>7900</v>
      </c>
      <c r="H213" s="57">
        <f t="shared" si="7"/>
        <v>7900</v>
      </c>
      <c r="I213" s="58"/>
      <c r="J213" s="59" t="s">
        <v>415</v>
      </c>
      <c r="K213" s="59" t="s">
        <v>416</v>
      </c>
      <c r="L213" s="40" t="s">
        <v>337</v>
      </c>
      <c r="M213" s="43">
        <v>44498</v>
      </c>
      <c r="N213" s="44"/>
      <c r="O213" s="45">
        <v>44519</v>
      </c>
      <c r="P213" s="45">
        <v>44518</v>
      </c>
      <c r="Q213" s="46">
        <v>44518</v>
      </c>
    </row>
    <row r="214" spans="2:17" s="35" customFormat="1" ht="19.7" customHeight="1" x14ac:dyDescent="0.15">
      <c r="B214" s="38">
        <v>18</v>
      </c>
      <c r="C214" s="38" t="s">
        <v>413</v>
      </c>
      <c r="D214" s="38" t="s">
        <v>413</v>
      </c>
      <c r="E214" s="55" t="s">
        <v>417</v>
      </c>
      <c r="F214" s="71">
        <v>2</v>
      </c>
      <c r="G214" s="61">
        <v>2900</v>
      </c>
      <c r="H214" s="57">
        <f t="shared" si="7"/>
        <v>5800</v>
      </c>
      <c r="I214" s="58"/>
      <c r="J214" s="59" t="s">
        <v>418</v>
      </c>
      <c r="K214" s="59" t="s">
        <v>416</v>
      </c>
      <c r="L214" s="40" t="s">
        <v>337</v>
      </c>
      <c r="M214" s="43">
        <v>44498</v>
      </c>
      <c r="N214" s="44"/>
      <c r="O214" s="45">
        <v>44519</v>
      </c>
      <c r="P214" s="45">
        <v>44518</v>
      </c>
      <c r="Q214" s="46">
        <v>44518</v>
      </c>
    </row>
    <row r="215" spans="2:17" s="35" customFormat="1" ht="19.7" customHeight="1" x14ac:dyDescent="0.15">
      <c r="B215" s="38">
        <v>23</v>
      </c>
      <c r="C215" s="38" t="s">
        <v>413</v>
      </c>
      <c r="D215" s="38" t="s">
        <v>413</v>
      </c>
      <c r="E215" s="55" t="s">
        <v>419</v>
      </c>
      <c r="F215" s="71">
        <v>1</v>
      </c>
      <c r="G215" s="61">
        <v>8200</v>
      </c>
      <c r="H215" s="57">
        <f t="shared" si="7"/>
        <v>8200</v>
      </c>
      <c r="I215" s="58"/>
      <c r="J215" s="59" t="s">
        <v>420</v>
      </c>
      <c r="K215" s="59" t="s">
        <v>416</v>
      </c>
      <c r="L215" s="40" t="s">
        <v>131</v>
      </c>
      <c r="M215" s="43">
        <v>44498</v>
      </c>
      <c r="N215" s="44"/>
      <c r="O215" s="45">
        <v>44519</v>
      </c>
      <c r="P215" s="45">
        <v>44518</v>
      </c>
      <c r="Q215" s="46">
        <v>44518</v>
      </c>
    </row>
    <row r="216" spans="2:17" s="96" customFormat="1" ht="19.7" customHeight="1" x14ac:dyDescent="0.15">
      <c r="B216" s="38">
        <v>18</v>
      </c>
      <c r="C216" s="38" t="s">
        <v>413</v>
      </c>
      <c r="D216" s="38" t="s">
        <v>413</v>
      </c>
      <c r="E216" s="55" t="s">
        <v>421</v>
      </c>
      <c r="F216" s="71">
        <v>1</v>
      </c>
      <c r="G216" s="61">
        <v>12700</v>
      </c>
      <c r="H216" s="57">
        <f t="shared" si="7"/>
        <v>12700</v>
      </c>
      <c r="I216" s="58"/>
      <c r="J216" s="59" t="s">
        <v>422</v>
      </c>
      <c r="K216" s="59" t="s">
        <v>416</v>
      </c>
      <c r="L216" s="40" t="s">
        <v>182</v>
      </c>
      <c r="M216" s="43">
        <v>44498</v>
      </c>
      <c r="N216" s="38"/>
      <c r="O216" s="45">
        <v>44519</v>
      </c>
      <c r="P216" s="45">
        <v>44518</v>
      </c>
      <c r="Q216" s="46">
        <v>44518</v>
      </c>
    </row>
    <row r="217" spans="2:17" s="96" customFormat="1" ht="19.7" customHeight="1" x14ac:dyDescent="0.15">
      <c r="B217" s="38">
        <v>23</v>
      </c>
      <c r="C217" s="38" t="s">
        <v>413</v>
      </c>
      <c r="D217" s="38" t="s">
        <v>413</v>
      </c>
      <c r="E217" s="55" t="s">
        <v>423</v>
      </c>
      <c r="F217" s="71">
        <v>1</v>
      </c>
      <c r="G217" s="61">
        <v>6500</v>
      </c>
      <c r="H217" s="57">
        <f t="shared" si="7"/>
        <v>6500</v>
      </c>
      <c r="I217" s="58"/>
      <c r="J217" s="59" t="s">
        <v>424</v>
      </c>
      <c r="K217" s="59" t="s">
        <v>416</v>
      </c>
      <c r="L217" s="40" t="s">
        <v>107</v>
      </c>
      <c r="M217" s="43">
        <v>44498</v>
      </c>
      <c r="N217" s="38"/>
      <c r="O217" s="45">
        <v>44519</v>
      </c>
      <c r="P217" s="45">
        <v>44518</v>
      </c>
      <c r="Q217" s="46">
        <v>44518</v>
      </c>
    </row>
    <row r="218" spans="2:17" s="96" customFormat="1" ht="19.7" customHeight="1" x14ac:dyDescent="0.15">
      <c r="B218" s="38"/>
      <c r="C218" s="38"/>
      <c r="D218" s="38"/>
      <c r="E218" s="55"/>
      <c r="F218" s="56"/>
      <c r="G218" s="61"/>
      <c r="H218" s="62">
        <f>F218*G218</f>
        <v>0</v>
      </c>
      <c r="I218" s="58"/>
      <c r="J218" s="59"/>
      <c r="K218" s="59"/>
      <c r="L218" s="40"/>
      <c r="M218" s="93"/>
      <c r="N218" s="38"/>
      <c r="O218" s="94"/>
      <c r="P218" s="94"/>
      <c r="Q218" s="95"/>
    </row>
    <row r="219" spans="2:17" s="96" customFormat="1" ht="19.7" customHeight="1" x14ac:dyDescent="0.15">
      <c r="B219" s="38"/>
      <c r="C219" s="38"/>
      <c r="D219" s="38"/>
      <c r="E219" s="55"/>
      <c r="F219" s="56"/>
      <c r="G219" s="61"/>
      <c r="H219" s="62">
        <f>F219*G219</f>
        <v>0</v>
      </c>
      <c r="I219" s="58"/>
      <c r="J219" s="59"/>
      <c r="K219" s="59"/>
      <c r="L219" s="40"/>
      <c r="M219" s="93"/>
      <c r="N219" s="38"/>
      <c r="O219" s="94"/>
      <c r="P219" s="94"/>
      <c r="Q219" s="95"/>
    </row>
    <row r="220" spans="2:17" s="96" customFormat="1" ht="19.7" customHeight="1" x14ac:dyDescent="0.15">
      <c r="B220" s="38">
        <v>18</v>
      </c>
      <c r="C220" s="38" t="s">
        <v>430</v>
      </c>
      <c r="D220" s="38" t="s">
        <v>430</v>
      </c>
      <c r="E220" s="55" t="s">
        <v>428</v>
      </c>
      <c r="F220" s="56">
        <v>4</v>
      </c>
      <c r="G220" s="61">
        <v>7315</v>
      </c>
      <c r="H220" s="62">
        <f>F220*G220</f>
        <v>29260</v>
      </c>
      <c r="I220" s="58"/>
      <c r="J220" s="59" t="s">
        <v>432</v>
      </c>
      <c r="K220" s="42" t="s">
        <v>431</v>
      </c>
      <c r="L220" s="40" t="s">
        <v>186</v>
      </c>
      <c r="M220" s="93">
        <v>44498</v>
      </c>
      <c r="N220" s="38"/>
      <c r="O220" s="94"/>
      <c r="P220" s="94">
        <v>44525</v>
      </c>
      <c r="Q220" s="95">
        <v>44525</v>
      </c>
    </row>
    <row r="221" spans="2:17" s="35" customFormat="1" ht="19.7" customHeight="1" x14ac:dyDescent="0.15">
      <c r="B221" s="38">
        <v>18</v>
      </c>
      <c r="C221" s="38" t="s">
        <v>430</v>
      </c>
      <c r="D221" s="38" t="s">
        <v>430</v>
      </c>
      <c r="E221" s="49" t="s">
        <v>429</v>
      </c>
      <c r="F221" s="50">
        <v>2</v>
      </c>
      <c r="G221" s="47">
        <v>6818</v>
      </c>
      <c r="H221" s="51">
        <f t="shared" ref="H221:H234" si="8">F221*G221</f>
        <v>13636</v>
      </c>
      <c r="I221" s="41"/>
      <c r="J221" s="52" t="s">
        <v>433</v>
      </c>
      <c r="K221" s="42" t="s">
        <v>431</v>
      </c>
      <c r="L221" s="40" t="s">
        <v>186</v>
      </c>
      <c r="M221" s="93">
        <v>44498</v>
      </c>
      <c r="N221" s="44"/>
      <c r="O221" s="45"/>
      <c r="P221" s="94">
        <v>44525</v>
      </c>
      <c r="Q221" s="46">
        <v>44525</v>
      </c>
    </row>
    <row r="222" spans="2:17" s="35" customFormat="1" ht="19.7" customHeight="1" x14ac:dyDescent="0.15">
      <c r="B222" s="38"/>
      <c r="C222" s="38"/>
      <c r="D222" s="38"/>
      <c r="E222" s="49"/>
      <c r="F222" s="50"/>
      <c r="G222" s="47"/>
      <c r="H222" s="51">
        <f t="shared" si="8"/>
        <v>0</v>
      </c>
      <c r="I222" s="41"/>
      <c r="J222" s="52"/>
      <c r="K222" s="42"/>
      <c r="L222" s="40"/>
      <c r="M222" s="93"/>
      <c r="N222" s="44"/>
      <c r="O222" s="45"/>
      <c r="P222" s="94"/>
      <c r="Q222" s="46"/>
    </row>
    <row r="223" spans="2:17" s="35" customFormat="1" ht="19.7" customHeight="1" x14ac:dyDescent="0.15">
      <c r="B223" s="38"/>
      <c r="C223" s="38"/>
      <c r="D223" s="38"/>
      <c r="E223" s="49"/>
      <c r="F223" s="50"/>
      <c r="G223" s="47"/>
      <c r="H223" s="51">
        <f t="shared" si="8"/>
        <v>0</v>
      </c>
      <c r="I223" s="41"/>
      <c r="J223" s="52"/>
      <c r="K223" s="42"/>
      <c r="L223" s="40"/>
      <c r="M223" s="93"/>
      <c r="N223" s="44"/>
      <c r="O223" s="45"/>
      <c r="P223" s="94"/>
      <c r="Q223" s="46"/>
    </row>
    <row r="224" spans="2:17" s="35" customFormat="1" ht="19.7" customHeight="1" x14ac:dyDescent="0.15">
      <c r="B224" s="38">
        <v>18</v>
      </c>
      <c r="C224" s="44" t="s">
        <v>101</v>
      </c>
      <c r="D224" s="38" t="s">
        <v>179</v>
      </c>
      <c r="E224" s="101" t="s">
        <v>434</v>
      </c>
      <c r="F224" s="76">
        <v>2</v>
      </c>
      <c r="G224" s="47">
        <v>6000</v>
      </c>
      <c r="H224" s="57">
        <f t="shared" si="8"/>
        <v>12000</v>
      </c>
      <c r="I224" s="40"/>
      <c r="J224" s="60" t="s">
        <v>305</v>
      </c>
      <c r="K224" s="42" t="s">
        <v>431</v>
      </c>
      <c r="L224" s="40" t="s">
        <v>276</v>
      </c>
      <c r="M224" s="45">
        <v>44554</v>
      </c>
      <c r="N224" s="44"/>
      <c r="O224" s="45"/>
      <c r="P224" s="45">
        <v>44558</v>
      </c>
      <c r="Q224" s="46">
        <v>44558</v>
      </c>
    </row>
    <row r="225" spans="2:17" s="35" customFormat="1" ht="19.7" customHeight="1" x14ac:dyDescent="0.15">
      <c r="B225" s="38"/>
      <c r="C225" s="38"/>
      <c r="D225" s="38"/>
      <c r="E225" s="74"/>
      <c r="F225" s="50"/>
      <c r="G225" s="47"/>
      <c r="H225" s="51">
        <f t="shared" si="8"/>
        <v>0</v>
      </c>
      <c r="I225" s="41"/>
      <c r="J225" s="52"/>
      <c r="K225" s="42"/>
      <c r="L225" s="40"/>
      <c r="M225" s="93"/>
      <c r="N225" s="44"/>
      <c r="O225" s="45"/>
      <c r="P225" s="94"/>
      <c r="Q225" s="46"/>
    </row>
    <row r="226" spans="2:17" s="35" customFormat="1" ht="19.7" customHeight="1" x14ac:dyDescent="0.15">
      <c r="B226" s="38"/>
      <c r="C226" s="38"/>
      <c r="D226" s="38"/>
      <c r="E226" s="49"/>
      <c r="F226" s="50"/>
      <c r="G226" s="47"/>
      <c r="H226" s="51">
        <f t="shared" si="8"/>
        <v>0</v>
      </c>
      <c r="I226" s="41"/>
      <c r="J226" s="52"/>
      <c r="K226" s="42"/>
      <c r="L226" s="40"/>
      <c r="M226" s="93"/>
      <c r="N226" s="44"/>
      <c r="O226" s="45"/>
      <c r="P226" s="94"/>
      <c r="Q226" s="46"/>
    </row>
    <row r="227" spans="2:17" s="35" customFormat="1" ht="19.7" customHeight="1" x14ac:dyDescent="0.15">
      <c r="B227" s="38">
        <v>18</v>
      </c>
      <c r="C227" s="44" t="s">
        <v>436</v>
      </c>
      <c r="D227" s="38" t="s">
        <v>179</v>
      </c>
      <c r="E227" s="49" t="s">
        <v>435</v>
      </c>
      <c r="F227" s="50">
        <v>1</v>
      </c>
      <c r="G227" s="47">
        <v>651</v>
      </c>
      <c r="H227" s="51">
        <f t="shared" si="8"/>
        <v>651</v>
      </c>
      <c r="I227" s="41"/>
      <c r="J227" s="52" t="s">
        <v>437</v>
      </c>
      <c r="K227" s="42" t="s">
        <v>431</v>
      </c>
      <c r="L227" s="40" t="s">
        <v>267</v>
      </c>
      <c r="M227" s="93">
        <v>44578</v>
      </c>
      <c r="N227" s="44"/>
      <c r="O227" s="45"/>
      <c r="P227" s="94">
        <v>44581</v>
      </c>
      <c r="Q227" s="46"/>
    </row>
    <row r="228" spans="2:17" s="35" customFormat="1" ht="19.7" customHeight="1" x14ac:dyDescent="0.15">
      <c r="B228" s="38"/>
      <c r="C228" s="44"/>
      <c r="D228" s="38"/>
      <c r="E228" s="49"/>
      <c r="F228" s="50"/>
      <c r="G228" s="47"/>
      <c r="H228" s="51"/>
      <c r="I228" s="41"/>
      <c r="J228" s="52"/>
      <c r="K228" s="42"/>
      <c r="L228" s="40"/>
      <c r="M228" s="93"/>
      <c r="N228" s="44"/>
      <c r="O228" s="45"/>
      <c r="P228" s="94"/>
      <c r="Q228" s="46"/>
    </row>
    <row r="229" spans="2:17" s="35" customFormat="1" ht="19.7" customHeight="1" x14ac:dyDescent="0.15">
      <c r="B229" s="38">
        <v>18</v>
      </c>
      <c r="C229" s="38" t="s">
        <v>405</v>
      </c>
      <c r="D229" s="38" t="s">
        <v>406</v>
      </c>
      <c r="E229" s="49" t="s">
        <v>440</v>
      </c>
      <c r="F229" s="50">
        <v>1</v>
      </c>
      <c r="G229" s="47">
        <v>899</v>
      </c>
      <c r="H229" s="51">
        <f t="shared" si="8"/>
        <v>899</v>
      </c>
      <c r="I229" s="41"/>
      <c r="J229" s="59" t="s">
        <v>438</v>
      </c>
      <c r="K229" s="42"/>
      <c r="L229" s="40" t="s">
        <v>267</v>
      </c>
      <c r="M229" s="93">
        <v>44579</v>
      </c>
      <c r="N229" s="44"/>
      <c r="O229" s="45"/>
      <c r="P229" s="94"/>
      <c r="Q229" s="46" t="s">
        <v>442</v>
      </c>
    </row>
    <row r="230" spans="2:17" s="35" customFormat="1" ht="19.7" customHeight="1" x14ac:dyDescent="0.15">
      <c r="B230" s="38">
        <v>18</v>
      </c>
      <c r="C230" s="38" t="s">
        <v>406</v>
      </c>
      <c r="D230" s="38" t="s">
        <v>406</v>
      </c>
      <c r="E230" s="49" t="s">
        <v>439</v>
      </c>
      <c r="F230" s="50">
        <v>0</v>
      </c>
      <c r="G230" s="47">
        <v>550</v>
      </c>
      <c r="H230" s="51">
        <f t="shared" si="8"/>
        <v>0</v>
      </c>
      <c r="I230" s="41"/>
      <c r="J230" s="52" t="s">
        <v>441</v>
      </c>
      <c r="K230" s="42"/>
      <c r="L230" s="40" t="s">
        <v>267</v>
      </c>
      <c r="M230" s="93"/>
      <c r="N230" s="44"/>
      <c r="O230" s="45"/>
      <c r="P230" s="94"/>
      <c r="Q230" s="46"/>
    </row>
    <row r="231" spans="2:17" s="35" customFormat="1" ht="19.7" customHeight="1" x14ac:dyDescent="0.15">
      <c r="B231" s="38"/>
      <c r="C231" s="39"/>
      <c r="D231" s="40"/>
      <c r="E231" s="49"/>
      <c r="F231" s="50"/>
      <c r="G231" s="47"/>
      <c r="H231" s="51">
        <f t="shared" si="8"/>
        <v>0</v>
      </c>
      <c r="I231" s="41"/>
      <c r="J231" s="52"/>
      <c r="K231" s="42"/>
      <c r="L231" s="39"/>
      <c r="M231" s="43"/>
      <c r="N231" s="44"/>
      <c r="O231" s="45"/>
      <c r="P231" s="45"/>
      <c r="Q231" s="46"/>
    </row>
    <row r="232" spans="2:17" s="35" customFormat="1" ht="19.7" customHeight="1" x14ac:dyDescent="0.15">
      <c r="B232" s="38"/>
      <c r="C232" s="44"/>
      <c r="D232" s="38"/>
      <c r="E232" s="60"/>
      <c r="F232" s="60"/>
      <c r="G232" s="47"/>
      <c r="H232" s="51">
        <f t="shared" si="8"/>
        <v>0</v>
      </c>
      <c r="I232" s="40"/>
      <c r="J232" s="60"/>
      <c r="K232" s="59"/>
      <c r="L232" s="40"/>
      <c r="M232" s="43"/>
      <c r="N232" s="44"/>
      <c r="O232" s="45"/>
      <c r="P232" s="45"/>
      <c r="Q232" s="46"/>
    </row>
    <row r="233" spans="2:17" s="35" customFormat="1" ht="19.7" customHeight="1" x14ac:dyDescent="0.15">
      <c r="B233" s="38"/>
      <c r="C233" s="39"/>
      <c r="D233" s="40"/>
      <c r="E233" s="49"/>
      <c r="F233" s="50"/>
      <c r="G233" s="47"/>
      <c r="H233" s="51">
        <f t="shared" si="8"/>
        <v>0</v>
      </c>
      <c r="I233" s="41"/>
      <c r="J233" s="52"/>
      <c r="K233" s="42"/>
      <c r="L233" s="39"/>
      <c r="M233" s="43"/>
      <c r="N233" s="44"/>
      <c r="O233" s="45"/>
      <c r="P233" s="45"/>
      <c r="Q233" s="46"/>
    </row>
    <row r="234" spans="2:17" s="35" customFormat="1" ht="19.7" customHeight="1" x14ac:dyDescent="0.15">
      <c r="B234" s="38"/>
      <c r="C234" s="39"/>
      <c r="D234" s="40"/>
      <c r="E234" s="49"/>
      <c r="F234" s="50"/>
      <c r="G234" s="47"/>
      <c r="H234" s="51">
        <f t="shared" si="8"/>
        <v>0</v>
      </c>
      <c r="I234" s="41"/>
      <c r="J234" s="52"/>
      <c r="K234" s="42"/>
      <c r="L234" s="39"/>
      <c r="M234" s="43"/>
      <c r="N234" s="44"/>
      <c r="O234" s="45"/>
      <c r="P234" s="45"/>
      <c r="Q234" s="46"/>
    </row>
    <row r="238" spans="2:17" x14ac:dyDescent="0.15">
      <c r="M238" s="14"/>
    </row>
    <row r="239" spans="2:17" x14ac:dyDescent="0.15">
      <c r="M239" s="15"/>
    </row>
    <row r="240" spans="2:17" x14ac:dyDescent="0.15">
      <c r="M240" s="14"/>
    </row>
    <row r="241" spans="13:13" x14ac:dyDescent="0.15">
      <c r="M241" s="15"/>
    </row>
  </sheetData>
  <autoFilter ref="B8:O234" xr:uid="{00000000-0009-0000-0000-000000000000}"/>
  <mergeCells count="21">
    <mergeCell ref="O9:O11"/>
    <mergeCell ref="P9:P11"/>
    <mergeCell ref="Q9:Q11"/>
    <mergeCell ref="J9:J11"/>
    <mergeCell ref="K9:K11"/>
    <mergeCell ref="I9:I11"/>
    <mergeCell ref="L9:L11"/>
    <mergeCell ref="M9:M11"/>
    <mergeCell ref="N9:N11"/>
    <mergeCell ref="B9:B11"/>
    <mergeCell ref="C9:C11"/>
    <mergeCell ref="D9:D11"/>
    <mergeCell ref="F9:F11"/>
    <mergeCell ref="G9:G11"/>
    <mergeCell ref="H9:H11"/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view="pageLayout" zoomScaleNormal="100" workbookViewId="0">
      <selection activeCell="B18" sqref="B18"/>
    </sheetView>
  </sheetViews>
  <sheetFormatPr defaultRowHeight="13.5" x14ac:dyDescent="0.15"/>
  <cols>
    <col min="1" max="1" width="12.125" bestFit="1" customWidth="1"/>
    <col min="2" max="2" width="57.125" bestFit="1" customWidth="1"/>
  </cols>
  <sheetData>
    <row r="1" spans="1:2" ht="48" x14ac:dyDescent="0.15">
      <c r="A1" s="37" t="s">
        <v>11</v>
      </c>
      <c r="B1" s="98" t="s">
        <v>36</v>
      </c>
    </row>
    <row r="2" spans="1:2" ht="24" x14ac:dyDescent="0.15">
      <c r="A2" s="37" t="s">
        <v>10</v>
      </c>
      <c r="B2" s="99" t="s">
        <v>29</v>
      </c>
    </row>
    <row r="3" spans="1:2" ht="24" x14ac:dyDescent="0.15">
      <c r="A3" s="37" t="s">
        <v>12</v>
      </c>
      <c r="B3" s="99">
        <v>188341</v>
      </c>
    </row>
    <row r="4" spans="1:2" ht="24" x14ac:dyDescent="0.15">
      <c r="A4" s="37" t="s">
        <v>13</v>
      </c>
      <c r="B4" s="100">
        <v>44411</v>
      </c>
    </row>
    <row r="5" spans="1:2" ht="24" x14ac:dyDescent="0.15">
      <c r="A5" s="37" t="s">
        <v>14</v>
      </c>
      <c r="B5" s="100"/>
    </row>
  </sheetData>
  <phoneticPr fontId="2"/>
  <printOptions horizontalCentered="1"/>
  <pageMargins left="0.70866141732283472" right="0.70866141732283472" top="0.74803149606299213" bottom="0.74803149606299213" header="0.31496062992125984" footer="0.31496062992125984"/>
  <pageSetup paperSize="9" scale="125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表紙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斉藤鉄也</cp:lastModifiedBy>
  <cp:lastPrinted>2021-11-25T09:46:51Z</cp:lastPrinted>
  <dcterms:created xsi:type="dcterms:W3CDTF">2011-12-13T06:48:43Z</dcterms:created>
  <dcterms:modified xsi:type="dcterms:W3CDTF">2022-01-27T07:42:06Z</dcterms:modified>
</cp:coreProperties>
</file>