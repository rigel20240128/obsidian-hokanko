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bookViews>
    <workbookView xWindow="-120" yWindow="-120" windowWidth="29040" windowHeight="15840"/>
  </bookViews>
  <sheets>
    <sheet name="Sheet1" sheetId="1" r:id="rId1"/>
    <sheet name="Sheet3" sheetId="3" r:id="rId2"/>
  </sheets>
  <definedNames>
    <definedName name="_xlnm._FilterDatabase" localSheetId="0" hidden="1">Sheet1!$B$8:$O$93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9" i="1" l="1"/>
  <c r="H78" i="1"/>
  <c r="H52" i="1" l="1"/>
  <c r="H51" i="1"/>
  <c r="H50" i="1"/>
  <c r="H53" i="1"/>
  <c r="H17" i="1" l="1"/>
  <c r="H9" i="1" l="1"/>
  <c r="H10" i="1"/>
  <c r="H11" i="1"/>
  <c r="H12" i="1"/>
  <c r="H72" i="1"/>
  <c r="H31" i="1"/>
  <c r="H61" i="1"/>
  <c r="H32" i="1"/>
  <c r="H33" i="1"/>
  <c r="H34" i="1"/>
  <c r="H35" i="1"/>
  <c r="H36" i="1"/>
  <c r="H37" i="1"/>
  <c r="H38" i="1"/>
  <c r="H39" i="1"/>
  <c r="H40" i="1"/>
  <c r="H41" i="1"/>
  <c r="H42" i="1"/>
  <c r="H13" i="1"/>
  <c r="H14" i="1"/>
  <c r="H48" i="1"/>
  <c r="H15" i="1"/>
  <c r="H16" i="1"/>
  <c r="H55" i="1"/>
  <c r="H47" i="1"/>
  <c r="H18" i="1"/>
  <c r="H19" i="1"/>
  <c r="H20" i="1"/>
  <c r="H21" i="1"/>
  <c r="H22" i="1"/>
  <c r="H23" i="1"/>
  <c r="H24" i="1"/>
  <c r="H25" i="1"/>
  <c r="H26" i="1"/>
  <c r="H57" i="1"/>
  <c r="H27" i="1"/>
  <c r="H28" i="1"/>
  <c r="H29" i="1"/>
  <c r="H30" i="1"/>
  <c r="H43" i="1"/>
  <c r="H44" i="1"/>
  <c r="H45" i="1"/>
  <c r="H46" i="1"/>
  <c r="H49" i="1"/>
  <c r="H63" i="1"/>
  <c r="H64" i="1"/>
  <c r="H65" i="1"/>
  <c r="H66" i="1"/>
  <c r="H67" i="1"/>
  <c r="H68" i="1"/>
  <c r="H69" i="1"/>
  <c r="H70" i="1"/>
  <c r="H71" i="1"/>
  <c r="H75" i="1"/>
  <c r="H62" i="1"/>
  <c r="H54" i="1" l="1"/>
  <c r="H82" i="1"/>
  <c r="H81" i="1"/>
  <c r="H80" i="1"/>
  <c r="H77" i="1"/>
  <c r="H76" i="1"/>
  <c r="H74" i="1"/>
  <c r="H73" i="1" l="1"/>
  <c r="H60" i="1"/>
  <c r="H59" i="1"/>
  <c r="H58" i="1"/>
  <c r="J2" i="1" l="1"/>
</calcChain>
</file>

<file path=xl/sharedStrings.xml><?xml version="1.0" encoding="utf-8"?>
<sst xmlns="http://schemas.openxmlformats.org/spreadsheetml/2006/main" count="352" uniqueCount="187">
  <si>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</si>
  <si>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</si>
  <si>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</si>
  <si>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</si>
  <si>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</si>
  <si>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</si>
  <si>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</si>
  <si>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</si>
  <si>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</si>
  <si>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</si>
  <si>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</si>
  <si>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</si>
  <si>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</si>
  <si>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</si>
  <si>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</si>
  <si>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</si>
  <si>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</si>
  <si>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</si>
  <si>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</si>
  <si>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</si>
  <si>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</si>
  <si>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</si>
  <si>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</si>
  <si>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超極低頭六角穴付ボルト</t>
    <phoneticPr fontId="2"/>
  </si>
  <si>
    <t>コモン端子台(東洋技研)</t>
    <phoneticPr fontId="2"/>
  </si>
  <si>
    <t>東洋技研</t>
    <rPh sb="0" eb="4">
      <t>トウヨウギケン</t>
    </rPh>
    <phoneticPr fontId="2"/>
  </si>
  <si>
    <t>TKR-TWE1</t>
    <phoneticPr fontId="2"/>
  </si>
  <si>
    <t>Dsubコネクタハーネス</t>
    <phoneticPr fontId="2"/>
  </si>
  <si>
    <t>ミスミ</t>
    <phoneticPr fontId="2"/>
  </si>
  <si>
    <t>郡山ヒロセ電機</t>
    <rPh sb="0" eb="2">
      <t>コオリヤマ</t>
    </rPh>
    <rPh sb="5" eb="7">
      <t>デンキ</t>
    </rPh>
    <phoneticPr fontId="2"/>
  </si>
  <si>
    <t>山澤</t>
    <rPh sb="0" eb="2">
      <t>ヤマサワ</t>
    </rPh>
    <phoneticPr fontId="2"/>
  </si>
  <si>
    <t>ｹｰﾌﾞﾙｷｬﾘｱ</t>
    <phoneticPr fontId="2"/>
  </si>
  <si>
    <t>Y軸ケーブルキャリアユニット</t>
    <phoneticPr fontId="2"/>
  </si>
  <si>
    <t>SUNCO</t>
    <phoneticPr fontId="2"/>
  </si>
  <si>
    <t>制御機材</t>
    <rPh sb="0" eb="2">
      <t>セイギョ</t>
    </rPh>
    <rPh sb="2" eb="4">
      <t>キザイ</t>
    </rPh>
    <phoneticPr fontId="2"/>
  </si>
  <si>
    <t>CSPRD-SUS-M3-4</t>
    <phoneticPr fontId="2"/>
  </si>
  <si>
    <t>十字穴付（+）丸皿小ねじ（SUNCO)</t>
  </si>
  <si>
    <t>見積№22-20-00404A</t>
    <rPh sb="0" eb="2">
      <t>ミツモリ</t>
    </rPh>
    <phoneticPr fontId="2"/>
  </si>
  <si>
    <t>I/O制御ユニット</t>
    <rPh sb="3" eb="5">
      <t>セイギョ</t>
    </rPh>
    <phoneticPr fontId="2"/>
  </si>
  <si>
    <t>DINレール</t>
  </si>
  <si>
    <t>Dsubコネクタ端子台</t>
  </si>
  <si>
    <t>カッチンダクト（興和化成）</t>
    <phoneticPr fontId="2"/>
  </si>
  <si>
    <t>タカチ電機工業</t>
    <rPh sb="3" eb="5">
      <t>デンキ</t>
    </rPh>
    <rPh sb="5" eb="7">
      <t>コウギョウ</t>
    </rPh>
    <phoneticPr fontId="2"/>
  </si>
  <si>
    <t>DINレール止め金具</t>
    <phoneticPr fontId="2"/>
  </si>
  <si>
    <t>単芯電線　UL</t>
    <rPh sb="0" eb="1">
      <t>タン</t>
    </rPh>
    <rPh sb="1" eb="2">
      <t>シン</t>
    </rPh>
    <rPh sb="2" eb="4">
      <t>デンセン</t>
    </rPh>
    <phoneticPr fontId="2"/>
  </si>
  <si>
    <t>多芯ロボットケーブル SS300R</t>
    <rPh sb="0" eb="2">
      <t>タシン</t>
    </rPh>
    <phoneticPr fontId="2"/>
  </si>
  <si>
    <t>φ4エルボ継手</t>
    <rPh sb="5" eb="7">
      <t>ツギテ</t>
    </rPh>
    <phoneticPr fontId="2"/>
  </si>
  <si>
    <t>バキュームカップユニット</t>
    <phoneticPr fontId="2"/>
  </si>
  <si>
    <t>円形支柱</t>
    <rPh sb="0" eb="2">
      <t>エンケイ</t>
    </rPh>
    <rPh sb="2" eb="4">
      <t>シチュウ</t>
    </rPh>
    <phoneticPr fontId="2"/>
  </si>
  <si>
    <t>バキュームカップユニット</t>
    <phoneticPr fontId="2"/>
  </si>
  <si>
    <t>ミニカップ 5ｍｌ（100個入り）</t>
    <rPh sb="13" eb="14">
      <t>コ</t>
    </rPh>
    <rPh sb="14" eb="15">
      <t>イ</t>
    </rPh>
    <phoneticPr fontId="2"/>
  </si>
  <si>
    <t>バキュームカップユニット</t>
    <phoneticPr fontId="2"/>
  </si>
  <si>
    <t>六角支柱</t>
    <rPh sb="0" eb="2">
      <t>ロッカク</t>
    </rPh>
    <rPh sb="2" eb="4">
      <t>シチュウ</t>
    </rPh>
    <phoneticPr fontId="2"/>
  </si>
  <si>
    <t>ツール治具ユニット</t>
    <rPh sb="3" eb="5">
      <t>ジグ</t>
    </rPh>
    <phoneticPr fontId="2"/>
  </si>
  <si>
    <t>樹脂ローレットねじ</t>
    <rPh sb="0" eb="2">
      <t>ジュシ</t>
    </rPh>
    <phoneticPr fontId="2"/>
  </si>
  <si>
    <t>六角穴付ボルト</t>
    <rPh sb="0" eb="2">
      <t>ロッカク</t>
    </rPh>
    <rPh sb="2" eb="3">
      <t>アナ</t>
    </rPh>
    <rPh sb="3" eb="4">
      <t>ツ</t>
    </rPh>
    <phoneticPr fontId="2"/>
  </si>
  <si>
    <t>変位センサ取付ユニット</t>
    <rPh sb="0" eb="2">
      <t>ヘンイ</t>
    </rPh>
    <rPh sb="5" eb="7">
      <t>トリツケ</t>
    </rPh>
    <phoneticPr fontId="2"/>
  </si>
  <si>
    <t>真空ｴｼﾞｪｸﾀ</t>
    <rPh sb="0" eb="2">
      <t>シンクウ</t>
    </rPh>
    <phoneticPr fontId="2"/>
  </si>
  <si>
    <t>コネクタリード線(真空ｴｼﾞｪｸﾀ、電磁弁)</t>
    <rPh sb="7" eb="8">
      <t>セン</t>
    </rPh>
    <rPh sb="9" eb="11">
      <t>シンクウ</t>
    </rPh>
    <rPh sb="18" eb="21">
      <t>デンジベン</t>
    </rPh>
    <phoneticPr fontId="2"/>
  </si>
  <si>
    <t>162081-Z01</t>
    <phoneticPr fontId="2"/>
  </si>
  <si>
    <t>Y軸ケーブルキャリアユニット</t>
  </si>
  <si>
    <t>JR3203背面板金</t>
    <rPh sb="8" eb="10">
      <t>バンキン</t>
    </rPh>
    <phoneticPr fontId="2"/>
  </si>
  <si>
    <t>制御板金</t>
    <rPh sb="0" eb="2">
      <t>セイギョ</t>
    </rPh>
    <rPh sb="2" eb="4">
      <t>バンキン</t>
    </rPh>
    <phoneticPr fontId="2"/>
  </si>
  <si>
    <t>バキュームトップ</t>
  </si>
  <si>
    <t>カップ固定板金</t>
    <rPh sb="3" eb="5">
      <t>コテイ</t>
    </rPh>
    <rPh sb="5" eb="7">
      <t>バンキン</t>
    </rPh>
    <phoneticPr fontId="2"/>
  </si>
  <si>
    <t>バキュームベース</t>
  </si>
  <si>
    <t>ミスミ</t>
    <phoneticPr fontId="2"/>
  </si>
  <si>
    <t>SZ08F-30-048-30</t>
    <phoneticPr fontId="2"/>
  </si>
  <si>
    <t>ミスミ</t>
    <phoneticPr fontId="2"/>
  </si>
  <si>
    <t>CBSTSR4-12</t>
    <phoneticPr fontId="2"/>
  </si>
  <si>
    <t>MRB-270</t>
    <phoneticPr fontId="2"/>
  </si>
  <si>
    <t>興和化成</t>
    <phoneticPr fontId="2"/>
  </si>
  <si>
    <t>NAUL1007-20-BE-10</t>
    <phoneticPr fontId="2"/>
  </si>
  <si>
    <t>SS300R-24-2-3</t>
    <phoneticPr fontId="2"/>
  </si>
  <si>
    <t>SS300R-24-3-3</t>
    <phoneticPr fontId="2"/>
  </si>
  <si>
    <t>SS300R-24-6-3</t>
    <phoneticPr fontId="2"/>
  </si>
  <si>
    <t>MNCNL4-M5</t>
    <phoneticPr fontId="2"/>
  </si>
  <si>
    <t>MNCNP4-1</t>
    <phoneticPr fontId="2"/>
  </si>
  <si>
    <t>SETGS6-22-SC2-M4-N4</t>
    <phoneticPr fontId="2"/>
  </si>
  <si>
    <t>SLSBWF7-50</t>
    <phoneticPr fontId="2"/>
  </si>
  <si>
    <t>CRKB4-10</t>
    <phoneticPr fontId="2"/>
  </si>
  <si>
    <t>SCB4-45</t>
    <phoneticPr fontId="2"/>
  </si>
  <si>
    <t>SETGS8-32.3-SC10-M4-N4-LKC</t>
    <phoneticPr fontId="2"/>
  </si>
  <si>
    <t>SMC</t>
    <phoneticPr fontId="2"/>
  </si>
  <si>
    <t>ARM5AA1-207-B</t>
    <phoneticPr fontId="2"/>
  </si>
  <si>
    <t>ZX1101-J15LOZ-EL</t>
    <phoneticPr fontId="2"/>
  </si>
  <si>
    <t>SMC</t>
    <phoneticPr fontId="2"/>
  </si>
  <si>
    <t>SY100-30-4A-15</t>
    <phoneticPr fontId="2"/>
  </si>
  <si>
    <t>NOK</t>
    <phoneticPr fontId="2"/>
  </si>
  <si>
    <t>CO0632R0（NOK)　JASO 4種D 2037</t>
    <phoneticPr fontId="2"/>
  </si>
  <si>
    <t>162081-Z02</t>
    <phoneticPr fontId="2"/>
  </si>
  <si>
    <t>162081-Z03</t>
    <phoneticPr fontId="2"/>
  </si>
  <si>
    <t>162081-Z04</t>
    <phoneticPr fontId="2"/>
  </si>
  <si>
    <t>163723-Z01</t>
    <phoneticPr fontId="2"/>
  </si>
  <si>
    <t>163723-Z02</t>
    <phoneticPr fontId="2"/>
  </si>
  <si>
    <t>SETD0022-Y01</t>
    <phoneticPr fontId="2"/>
  </si>
  <si>
    <t>SS40021-01</t>
    <phoneticPr fontId="2"/>
  </si>
  <si>
    <t>X軸ケーブルキャリアユニット/Y軸ケーブルキャリアユニット</t>
    <phoneticPr fontId="2"/>
  </si>
  <si>
    <t>X軸ケーブルキャリアユニット/Y軸ケーブルキャリアユニット</t>
    <phoneticPr fontId="2"/>
  </si>
  <si>
    <t>ミニチュアワンタッチ継手　六角穴付コネクタ</t>
    <phoneticPr fontId="2"/>
  </si>
  <si>
    <t>バキュームカップユニット</t>
    <phoneticPr fontId="2"/>
  </si>
  <si>
    <t>バキュームカップユニット</t>
    <phoneticPr fontId="2"/>
  </si>
  <si>
    <t>ﾚｷﾞｭﾚｰﾀ</t>
    <phoneticPr fontId="2"/>
  </si>
  <si>
    <t>Oリング（NOK）</t>
    <phoneticPr fontId="2"/>
  </si>
  <si>
    <t>ケーブルキャリア固定板金</t>
    <phoneticPr fontId="2"/>
  </si>
  <si>
    <t>X軸ケーブルキャリアユニット</t>
    <phoneticPr fontId="2"/>
  </si>
  <si>
    <t>ケーブルキャリア取付板金</t>
    <phoneticPr fontId="2"/>
  </si>
  <si>
    <t>ツール板</t>
    <phoneticPr fontId="2"/>
  </si>
  <si>
    <t>75ccシリンジガイド</t>
    <phoneticPr fontId="2"/>
  </si>
  <si>
    <t>バルブホルダ</t>
    <phoneticPr fontId="2"/>
  </si>
  <si>
    <t>SETMN6-22-SC2-M4</t>
    <phoneticPr fontId="2"/>
  </si>
  <si>
    <t>モノタロウ</t>
    <phoneticPr fontId="2"/>
  </si>
  <si>
    <t>マルエム</t>
    <phoneticPr fontId="2"/>
  </si>
  <si>
    <t xml:space="preserve">5-079-01　注文コード：33436155 </t>
    <rPh sb="9" eb="11">
      <t>チュウモン</t>
    </rPh>
    <phoneticPr fontId="2"/>
  </si>
  <si>
    <t>送料</t>
    <rPh sb="0" eb="2">
      <t>ソウリョウ</t>
    </rPh>
    <phoneticPr fontId="2"/>
  </si>
  <si>
    <t>MWS-DS37A-HT37</t>
    <phoneticPr fontId="2"/>
  </si>
  <si>
    <t>BVHV6-2-3-A</t>
    <phoneticPr fontId="2"/>
  </si>
  <si>
    <t>ハンドバルブ（3方弁）</t>
    <rPh sb="8" eb="9">
      <t>ホウ</t>
    </rPh>
    <rPh sb="9" eb="10">
      <t>ベン</t>
    </rPh>
    <phoneticPr fontId="2"/>
  </si>
  <si>
    <t>ミスミ</t>
    <phoneticPr fontId="2"/>
  </si>
  <si>
    <t>シリンジ加圧レギュレータユニット</t>
    <rPh sb="4" eb="6">
      <t>カアツ</t>
    </rPh>
    <phoneticPr fontId="2"/>
  </si>
  <si>
    <t>SETD0022-Z01</t>
    <phoneticPr fontId="2"/>
  </si>
  <si>
    <t>加圧レギュレータ取付板金</t>
    <phoneticPr fontId="2"/>
  </si>
  <si>
    <t>SLSBWRK7-20</t>
    <phoneticPr fontId="2"/>
  </si>
  <si>
    <t>ミスミ</t>
    <phoneticPr fontId="2"/>
  </si>
  <si>
    <t>MCHS6-55-V100-W100-F100</t>
    <phoneticPr fontId="2"/>
  </si>
  <si>
    <t>MSSFS3-3</t>
    <phoneticPr fontId="2"/>
  </si>
  <si>
    <t>NASVCTFSB-0.5-2-5</t>
    <phoneticPr fontId="2"/>
  </si>
  <si>
    <t>MFMT4-5</t>
    <phoneticPr fontId="2"/>
  </si>
  <si>
    <t>CRKW4-12</t>
    <phoneticPr fontId="2"/>
  </si>
  <si>
    <t>PC-2005-F</t>
    <phoneticPr fontId="2"/>
  </si>
  <si>
    <t>MTRF1.25-4</t>
    <phoneticPr fontId="2"/>
  </si>
  <si>
    <t>MCHYB30</t>
    <phoneticPr fontId="2"/>
  </si>
  <si>
    <t>ecoPEN450用ヒータブロック</t>
    <rPh sb="9" eb="10">
      <t>ヨウ</t>
    </rPh>
    <phoneticPr fontId="2"/>
  </si>
  <si>
    <t>カートリッジヒータ</t>
    <phoneticPr fontId="2"/>
  </si>
  <si>
    <t>六角穴付止めねじ平先</t>
    <phoneticPr fontId="2"/>
  </si>
  <si>
    <t>電力ケーブル</t>
    <phoneticPr fontId="2"/>
  </si>
  <si>
    <t>温度センサK熱</t>
    <phoneticPr fontId="2"/>
  </si>
  <si>
    <t>樹脂ローレットねじ</t>
    <phoneticPr fontId="2"/>
  </si>
  <si>
    <t>差込み型ピン端子（メス)</t>
    <phoneticPr fontId="2"/>
  </si>
  <si>
    <t>裸圧着端子 Y型</t>
    <phoneticPr fontId="2"/>
  </si>
  <si>
    <t>焼付防止剤</t>
    <rPh sb="0" eb="2">
      <t>ヤキツ</t>
    </rPh>
    <rPh sb="2" eb="4">
      <t>ボウシ</t>
    </rPh>
    <rPh sb="4" eb="5">
      <t>ザイ</t>
    </rPh>
    <phoneticPr fontId="2"/>
  </si>
  <si>
    <t>SETD0022-Z02</t>
    <phoneticPr fontId="2"/>
  </si>
  <si>
    <t>ecoPEN450用ノズルガイド</t>
    <rPh sb="9" eb="10">
      <t>ヨウ</t>
    </rPh>
    <phoneticPr fontId="2"/>
  </si>
  <si>
    <t>ヒータブロック ecoPEN450</t>
    <phoneticPr fontId="2"/>
  </si>
  <si>
    <t>ノズルガイド</t>
    <phoneticPr fontId="2"/>
  </si>
  <si>
    <t>コネクト</t>
    <phoneticPr fontId="2"/>
  </si>
  <si>
    <t>ニードルアジャスタ2 PR-1（NPN）＊JR3000用　ケーブル長：5m</t>
    <rPh sb="27" eb="28">
      <t>ヨウ</t>
    </rPh>
    <rPh sb="33" eb="34">
      <t>チョウ</t>
    </rPh>
    <phoneticPr fontId="2"/>
  </si>
  <si>
    <t>ニードルアジャスタ2</t>
    <phoneticPr fontId="2"/>
  </si>
  <si>
    <t>ミスミ</t>
    <phoneticPr fontId="2"/>
  </si>
  <si>
    <t>GLDJ-PS-WA-37-2</t>
    <phoneticPr fontId="2"/>
  </si>
  <si>
    <t>＊組立課在庫品使用</t>
    <rPh sb="1" eb="4">
      <t>クミタテカ</t>
    </rPh>
    <rPh sb="4" eb="6">
      <t>ザイコ</t>
    </rPh>
    <rPh sb="6" eb="7">
      <t>ヒン</t>
    </rPh>
    <rPh sb="7" eb="9">
      <t>シヨウ</t>
    </rPh>
    <phoneticPr fontId="2"/>
  </si>
  <si>
    <t>差込み型ピン端子（オス)</t>
    <phoneticPr fontId="2"/>
  </si>
  <si>
    <t>オムロン</t>
    <phoneticPr fontId="2"/>
  </si>
  <si>
    <t>制御機材</t>
    <rPh sb="0" eb="4">
      <t>セイギョキザイ</t>
    </rPh>
    <phoneticPr fontId="2"/>
  </si>
  <si>
    <t>MY2N-D2-Y DC24</t>
    <phoneticPr fontId="2"/>
  </si>
  <si>
    <t>ミニパワーリレー（オムロン）</t>
    <phoneticPr fontId="2"/>
  </si>
  <si>
    <t>PYFZ-08</t>
    <phoneticPr fontId="2"/>
  </si>
  <si>
    <t>ミニパワーリレーソケット（オムロン）</t>
    <phoneticPr fontId="2"/>
  </si>
  <si>
    <t>PYC-A1</t>
    <phoneticPr fontId="2"/>
  </si>
  <si>
    <t>保持金具（オムロン）</t>
    <rPh sb="0" eb="2">
      <t>ホジ</t>
    </rPh>
    <rPh sb="2" eb="4">
      <t>カナグ</t>
    </rPh>
    <phoneticPr fontId="2"/>
  </si>
  <si>
    <t>MTRF1.25-3</t>
    <phoneticPr fontId="2"/>
  </si>
  <si>
    <t>裸圧着端子 Y型</t>
    <phoneticPr fontId="2"/>
  </si>
  <si>
    <t>PC-2005-M</t>
    <phoneticPr fontId="2"/>
  </si>
  <si>
    <t>EC-200-K制御用リレー</t>
    <rPh sb="8" eb="10">
      <t>セイギョ</t>
    </rPh>
    <rPh sb="10" eb="11">
      <t>ヨウ</t>
    </rPh>
    <phoneticPr fontId="2"/>
  </si>
  <si>
    <t>＊組立課在庫品使用　＠200円位</t>
    <rPh sb="1" eb="4">
      <t>クミタテカ</t>
    </rPh>
    <rPh sb="4" eb="6">
      <t>ザイコ</t>
    </rPh>
    <rPh sb="6" eb="7">
      <t>ヒン</t>
    </rPh>
    <rPh sb="7" eb="9">
      <t>シヨウ</t>
    </rPh>
    <rPh sb="14" eb="15">
      <t>エン</t>
    </rPh>
    <rPh sb="15" eb="16">
      <t>クライ</t>
    </rPh>
    <phoneticPr fontId="2"/>
  </si>
  <si>
    <t>1，5</t>
    <phoneticPr fontId="2"/>
  </si>
  <si>
    <t>＊組立課在庫品使用　＠1500円位</t>
    <rPh sb="1" eb="4">
      <t>クミタテカ</t>
    </rPh>
    <rPh sb="4" eb="6">
      <t>ザイコ</t>
    </rPh>
    <rPh sb="6" eb="7">
      <t>ヒン</t>
    </rPh>
    <rPh sb="7" eb="9">
      <t>シヨウ</t>
    </rPh>
    <rPh sb="15" eb="16">
      <t>エン</t>
    </rPh>
    <rPh sb="16" eb="17">
      <t>クライ</t>
    </rPh>
    <phoneticPr fontId="2"/>
  </si>
  <si>
    <t>＊組立課在庫品使用　＠300円位</t>
    <rPh sb="1" eb="4">
      <t>クミタテカ</t>
    </rPh>
    <rPh sb="4" eb="6">
      <t>ザイコ</t>
    </rPh>
    <rPh sb="6" eb="7">
      <t>ヒン</t>
    </rPh>
    <rPh sb="7" eb="9">
      <t>シヨウ</t>
    </rPh>
    <rPh sb="14" eb="15">
      <t>エン</t>
    </rPh>
    <rPh sb="15" eb="16">
      <t>クライ</t>
    </rPh>
    <phoneticPr fontId="2"/>
  </si>
  <si>
    <t>＊組立課在庫品使用　＠100円位</t>
    <rPh sb="1" eb="4">
      <t>クミタテカ</t>
    </rPh>
    <rPh sb="4" eb="6">
      <t>ザイコ</t>
    </rPh>
    <rPh sb="6" eb="7">
      <t>ヒン</t>
    </rPh>
    <rPh sb="7" eb="9">
      <t>シヨウ</t>
    </rPh>
    <rPh sb="14" eb="15">
      <t>エン</t>
    </rPh>
    <rPh sb="15" eb="16">
      <t>クライ</t>
    </rPh>
    <phoneticPr fontId="2"/>
  </si>
  <si>
    <t>見積№22TM-0212-00</t>
    <rPh sb="0" eb="2">
      <t>ミツモリ</t>
    </rPh>
    <phoneticPr fontId="2"/>
  </si>
  <si>
    <t>KD-36-20T　注文コード：09914108</t>
    <rPh sb="10" eb="12">
      <t>チュウモン</t>
    </rPh>
    <phoneticPr fontId="2"/>
  </si>
  <si>
    <t>SETD0022-Y02</t>
    <phoneticPr fontId="2"/>
  </si>
  <si>
    <t>SETD0022-Y03</t>
    <phoneticPr fontId="2"/>
  </si>
  <si>
    <t>SETD0022-Z03</t>
    <phoneticPr fontId="2"/>
  </si>
  <si>
    <t>スズデン</t>
    <phoneticPr fontId="2"/>
  </si>
  <si>
    <t>PCN-COM201　</t>
    <phoneticPr fontId="2"/>
  </si>
  <si>
    <t>見積№271615</t>
    <rPh sb="0" eb="3">
      <t>ミツモリナンバー</t>
    </rPh>
    <phoneticPr fontId="2"/>
  </si>
  <si>
    <t>配送料</t>
    <rPh sb="0" eb="3">
      <t>ハイソウリョウ</t>
    </rPh>
    <phoneticPr fontId="2"/>
  </si>
  <si>
    <t>日産ネジ</t>
    <rPh sb="0" eb="2">
      <t>ニッサン</t>
    </rPh>
    <phoneticPr fontId="2"/>
  </si>
  <si>
    <t>六角穴付ボルト（日産ねじ）</t>
    <rPh sb="8" eb="10">
      <t>ニッサン</t>
    </rPh>
    <phoneticPr fontId="2"/>
  </si>
  <si>
    <t>197495(SAITO-TETSU)で発注済</t>
    <rPh sb="20" eb="22">
      <t>ハッチュウ</t>
    </rPh>
    <rPh sb="22" eb="23">
      <t>スミ</t>
    </rPh>
    <phoneticPr fontId="2"/>
  </si>
  <si>
    <t>ミスミ</t>
    <phoneticPr fontId="2"/>
  </si>
  <si>
    <t>CSHSM-SUS-M4-6</t>
    <phoneticPr fontId="2"/>
  </si>
  <si>
    <t>NOK</t>
    <phoneticPr fontId="2"/>
  </si>
  <si>
    <t>CO0632R0（NOK)　JASO 4種D 2037</t>
    <phoneticPr fontId="2"/>
  </si>
  <si>
    <t>バキュームカップユニット</t>
    <phoneticPr fontId="2"/>
  </si>
  <si>
    <t>最短</t>
    <rPh sb="0" eb="2">
      <t>サイタン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</si>
</sst>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&quot;年&quot;m&quot;月&quot;d&quot;日&quot;;@"/>
    <numFmt numFmtId="177" formatCode="m/d;@"/>
    <numFmt numFmtId="178" formatCode="m&quot;月&quot;d&quot;日&quot;;@"/>
    <numFmt numFmtId="179" formatCode="0_);[Red]\(0\)"/>
    <numFmt numFmtId="180" formatCode="0_ "/>
  </numFmts>
  <fonts count="14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" fillId="0" borderId="0">
      <alignment vertical="center"/>
    </xf>
  </cellStyleXfs>
  <cellXfs count="15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38" fontId="4" fillId="0" borderId="1" xfId="0" applyNumberFormat="1" applyFont="1" applyBorder="1">
      <alignment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56" fontId="9" fillId="3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8" fillId="3" borderId="3" xfId="2" applyFont="1" applyFill="1" applyBorder="1" applyAlignment="1">
      <alignment vertical="center"/>
    </xf>
    <xf numFmtId="38" fontId="0" fillId="3" borderId="7" xfId="0" applyNumberFormat="1" applyFill="1" applyBorder="1" applyAlignment="1">
      <alignment horizontal="right" vertical="center"/>
    </xf>
    <xf numFmtId="0" fontId="0" fillId="3" borderId="3" xfId="0" applyFill="1" applyBorder="1" applyAlignment="1">
      <alignment horizontal="left" vertical="center"/>
    </xf>
    <xf numFmtId="178" fontId="0" fillId="3" borderId="0" xfId="0" applyNumberFormat="1" applyFill="1">
      <alignment vertical="center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38" fontId="7" fillId="3" borderId="1" xfId="0" applyNumberFormat="1" applyFont="1" applyFill="1" applyBorder="1" applyAlignment="1">
      <alignment horizontal="right" vertical="center"/>
    </xf>
    <xf numFmtId="179" fontId="7" fillId="3" borderId="1" xfId="0" applyNumberFormat="1" applyFont="1" applyFill="1" applyBorder="1" applyAlignment="1">
      <alignment horizontal="right" vertical="center"/>
    </xf>
    <xf numFmtId="178" fontId="7" fillId="3" borderId="1" xfId="0" applyNumberFormat="1" applyFont="1" applyFill="1" applyBorder="1" applyAlignment="1">
      <alignment horizontal="center" vertical="center"/>
    </xf>
    <xf numFmtId="56" fontId="7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8" fillId="3" borderId="0" xfId="2" applyFont="1" applyFill="1" applyBorder="1" applyAlignment="1">
      <alignment vertical="center"/>
    </xf>
    <xf numFmtId="38" fontId="0" fillId="3" borderId="0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178" fontId="7" fillId="3" borderId="0" xfId="0" applyNumberFormat="1" applyFont="1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56" fontId="0" fillId="3" borderId="0" xfId="0" applyNumberFormat="1" applyFill="1" applyBorder="1" applyAlignment="1">
      <alignment horizontal="center" vertical="center"/>
    </xf>
    <xf numFmtId="56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38" fontId="0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  <xf numFmtId="179" fontId="0" fillId="0" borderId="1" xfId="0" applyNumberFormat="1" applyFont="1" applyFill="1" applyBorder="1" applyAlignment="1">
      <alignment horizontal="right" vertical="center"/>
    </xf>
    <xf numFmtId="38" fontId="7" fillId="0" borderId="1" xfId="0" applyNumberFormat="1" applyFont="1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right" vertical="center"/>
    </xf>
    <xf numFmtId="38" fontId="7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9" fontId="11" fillId="0" borderId="1" xfId="0" applyNumberFormat="1" applyFont="1" applyBorder="1" applyAlignment="1">
      <alignment horizontal="right" vertical="center"/>
    </xf>
    <xf numFmtId="38" fontId="11" fillId="0" borderId="1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3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6" fillId="0" borderId="3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8" fontId="6" fillId="0" borderId="1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>
      <alignment vertical="center"/>
    </xf>
    <xf numFmtId="0" fontId="6" fillId="0" borderId="1" xfId="0" applyFont="1" applyBorder="1">
      <alignment vertical="center"/>
    </xf>
    <xf numFmtId="179" fontId="6" fillId="0" borderId="1" xfId="0" applyNumberFormat="1" applyFont="1" applyBorder="1" applyAlignment="1">
      <alignment horizontal="right" vertical="center"/>
    </xf>
    <xf numFmtId="38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>
      <alignment vertical="center"/>
    </xf>
    <xf numFmtId="179" fontId="6" fillId="0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6" fillId="3" borderId="3" xfId="0" applyFont="1" applyFill="1" applyBorder="1">
      <alignment vertical="center"/>
    </xf>
    <xf numFmtId="0" fontId="6" fillId="3" borderId="1" xfId="0" applyFont="1" applyFill="1" applyBorder="1">
      <alignment vertical="center"/>
    </xf>
    <xf numFmtId="179" fontId="6" fillId="3" borderId="1" xfId="0" applyNumberFormat="1" applyFont="1" applyFill="1" applyBorder="1" applyAlignment="1">
      <alignment horizontal="right" vertical="center"/>
    </xf>
    <xf numFmtId="0" fontId="11" fillId="0" borderId="3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49" fontId="12" fillId="0" borderId="1" xfId="0" applyNumberFormat="1" applyFont="1" applyBorder="1">
      <alignment vertical="center"/>
    </xf>
    <xf numFmtId="18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9" fontId="0" fillId="0" borderId="1" xfId="0" applyNumberForma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38" fontId="0" fillId="3" borderId="7" xfId="0" applyNumberFormat="1" applyFill="1" applyBorder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179" fontId="8" fillId="3" borderId="1" xfId="2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80" fontId="9" fillId="0" borderId="1" xfId="0" applyNumberFormat="1" applyFont="1" applyBorder="1" applyAlignment="1">
      <alignment horizontal="right" vertical="center"/>
    </xf>
    <xf numFmtId="38" fontId="13" fillId="0" borderId="1" xfId="0" applyNumberFormat="1" applyFont="1" applyFill="1" applyBorder="1" applyAlignment="1">
      <alignment horizontal="right" vertical="center"/>
    </xf>
    <xf numFmtId="38" fontId="9" fillId="3" borderId="1" xfId="0" applyNumberFormat="1" applyFont="1" applyFill="1" applyBorder="1">
      <alignment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179" fontId="9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179" fontId="13" fillId="3" borderId="1" xfId="0" applyNumberFormat="1" applyFont="1" applyFill="1" applyBorder="1" applyAlignment="1">
      <alignment horizontal="right" vertical="center"/>
    </xf>
    <xf numFmtId="38" fontId="9" fillId="3" borderId="1" xfId="0" applyNumberFormat="1" applyFont="1" applyFill="1" applyBorder="1" applyAlignment="1">
      <alignment horizontal="right" vertical="center"/>
    </xf>
    <xf numFmtId="38" fontId="13" fillId="3" borderId="1" xfId="0" applyNumberFormat="1" applyFont="1" applyFill="1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38" fontId="7" fillId="3" borderId="1" xfId="0" applyNumberFormat="1" applyFont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56" fontId="0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179" fontId="0" fillId="3" borderId="4" xfId="0" applyNumberFormat="1" applyFont="1" applyFill="1" applyBorder="1">
      <alignment vertical="center"/>
    </xf>
    <xf numFmtId="38" fontId="0" fillId="3" borderId="1" xfId="0" applyNumberFormat="1" applyFont="1" applyFill="1" applyBorder="1">
      <alignment vertical="center"/>
    </xf>
    <xf numFmtId="0" fontId="0" fillId="3" borderId="2" xfId="0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38" fontId="0" fillId="3" borderId="7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38" fontId="7" fillId="3" borderId="7" xfId="0" applyNumberFormat="1" applyFont="1" applyFill="1" applyBorder="1" applyAlignment="1">
      <alignment horizontal="right" vertical="center"/>
    </xf>
    <xf numFmtId="177" fontId="0" fillId="3" borderId="0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4">
    <cellStyle name="標準" xfId="0" builtinId="0"/>
    <cellStyle name="標準 2" xfId="1"/>
    <cellStyle name="標準 3" xfId="3"/>
    <cellStyle name="標準_発注管理表" xfId="2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0"/>
  <sheetViews>
    <sheetView tabSelected="1" zoomScale="70" zoomScaleNormal="70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63.5" customWidth="1"/>
    <col min="6" max="6" width="6.25" customWidth="1"/>
    <col min="7" max="8" width="9.875" bestFit="1" customWidth="1"/>
    <col min="9" max="9" width="5.75" style="9" customWidth="1"/>
    <col min="10" max="10" width="65.625" customWidth="1"/>
    <col min="11" max="11" width="35.625" style="18" customWidth="1"/>
    <col min="12" max="12" width="50.625" style="5" customWidth="1"/>
    <col min="13" max="13" width="13.75" style="11" customWidth="1"/>
    <col min="14" max="14" width="6.375" customWidth="1"/>
    <col min="15" max="15" width="13.625" style="9" customWidth="1"/>
    <col min="16" max="16" width="19.125" style="35" customWidth="1"/>
    <col min="17" max="17" width="15.625" style="15" customWidth="1"/>
  </cols>
  <sheetData>
    <row r="2" spans="2:17" ht="20.100000000000001" customHeight="1" x14ac:dyDescent="0.15">
      <c r="B2" s="155" t="s">
        <v>11</v>
      </c>
      <c r="C2" s="155"/>
      <c r="D2" s="155"/>
      <c r="E2" s="10" t="s">
        <v>29</v>
      </c>
      <c r="G2" s="156" t="s">
        <v>15</v>
      </c>
      <c r="H2" s="157"/>
      <c r="I2" s="158"/>
      <c r="J2" s="20">
        <f>SUM(H:H)</f>
        <v>242648</v>
      </c>
      <c r="K2" s="17"/>
      <c r="L2" s="6"/>
    </row>
    <row r="3" spans="2:17" ht="20.100000000000001" customHeight="1" x14ac:dyDescent="0.15">
      <c r="B3" s="155" t="s">
        <v>10</v>
      </c>
      <c r="C3" s="155"/>
      <c r="D3" s="155"/>
      <c r="E3" s="7" t="s">
        <v>30</v>
      </c>
    </row>
    <row r="4" spans="2:17" ht="20.100000000000001" customHeight="1" x14ac:dyDescent="0.15">
      <c r="B4" s="155" t="s">
        <v>12</v>
      </c>
      <c r="C4" s="155"/>
      <c r="D4" s="155"/>
      <c r="E4" s="7">
        <v>197495</v>
      </c>
    </row>
    <row r="5" spans="2:17" ht="20.100000000000001" customHeight="1" x14ac:dyDescent="0.15">
      <c r="B5" s="155" t="s">
        <v>13</v>
      </c>
      <c r="C5" s="155"/>
      <c r="D5" s="155"/>
      <c r="E5" s="8">
        <v>44775</v>
      </c>
    </row>
    <row r="6" spans="2:17" ht="20.100000000000001" customHeight="1" x14ac:dyDescent="0.15">
      <c r="B6" s="155" t="s">
        <v>14</v>
      </c>
      <c r="C6" s="155"/>
      <c r="D6" s="155"/>
      <c r="E6" s="8">
        <v>44809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25" t="s">
        <v>20</v>
      </c>
      <c r="Q8" s="16" t="s">
        <v>21</v>
      </c>
    </row>
    <row r="9" spans="2:17" s="3" customFormat="1" ht="19.7" customHeight="1" x14ac:dyDescent="0.15">
      <c r="B9" s="4">
        <v>4</v>
      </c>
      <c r="C9" s="122" t="s">
        <v>22</v>
      </c>
      <c r="D9" s="122" t="s">
        <v>22</v>
      </c>
      <c r="E9" s="109" t="s">
        <v>146</v>
      </c>
      <c r="F9" s="123">
        <v>1</v>
      </c>
      <c r="G9" s="107">
        <v>50000</v>
      </c>
      <c r="H9" s="38">
        <f t="shared" ref="H9:H12" si="0">F9*G9</f>
        <v>50000</v>
      </c>
      <c r="I9" s="2"/>
      <c r="J9" s="1"/>
      <c r="K9" s="1"/>
      <c r="L9" s="1" t="s">
        <v>147</v>
      </c>
      <c r="M9" s="12">
        <v>44722</v>
      </c>
      <c r="N9" s="4"/>
      <c r="O9" s="140">
        <v>44753</v>
      </c>
      <c r="P9" s="25">
        <v>44732</v>
      </c>
      <c r="Q9" s="16">
        <v>44732</v>
      </c>
    </row>
    <row r="10" spans="2:17" s="3" customFormat="1" ht="19.7" customHeight="1" x14ac:dyDescent="0.15">
      <c r="B10" s="4">
        <v>4</v>
      </c>
      <c r="C10" s="122" t="s">
        <v>22</v>
      </c>
      <c r="D10" s="122" t="s">
        <v>22</v>
      </c>
      <c r="E10" s="109" t="s">
        <v>114</v>
      </c>
      <c r="F10" s="123">
        <v>1</v>
      </c>
      <c r="G10" s="107">
        <v>1300</v>
      </c>
      <c r="H10" s="38">
        <f t="shared" si="0"/>
        <v>1300</v>
      </c>
      <c r="I10" s="2"/>
      <c r="J10" s="1"/>
      <c r="K10" s="1"/>
      <c r="L10" s="1" t="s">
        <v>147</v>
      </c>
      <c r="M10" s="12">
        <v>44722</v>
      </c>
      <c r="N10" s="4"/>
      <c r="O10" s="140">
        <v>44753</v>
      </c>
      <c r="P10" s="25">
        <v>44732</v>
      </c>
      <c r="Q10" s="16"/>
    </row>
    <row r="11" spans="2:17" s="3" customFormat="1" ht="19.7" customHeight="1" x14ac:dyDescent="0.15">
      <c r="B11" s="4"/>
      <c r="C11" s="4"/>
      <c r="D11" s="4"/>
      <c r="E11" s="1"/>
      <c r="F11" s="1"/>
      <c r="G11" s="1"/>
      <c r="H11" s="38">
        <f t="shared" si="0"/>
        <v>0</v>
      </c>
      <c r="I11" s="2"/>
      <c r="J11" s="1"/>
      <c r="K11" s="1"/>
      <c r="L11" s="1"/>
      <c r="M11" s="12"/>
      <c r="N11" s="4"/>
      <c r="O11" s="1"/>
      <c r="P11" s="25"/>
      <c r="Q11" s="16"/>
    </row>
    <row r="12" spans="2:17" s="3" customFormat="1" ht="19.7" customHeight="1" x14ac:dyDescent="0.15">
      <c r="B12" s="4"/>
      <c r="C12" s="4"/>
      <c r="D12" s="4"/>
      <c r="E12" s="1"/>
      <c r="F12" s="1"/>
      <c r="G12" s="1"/>
      <c r="H12" s="38">
        <f t="shared" si="0"/>
        <v>0</v>
      </c>
      <c r="I12" s="2"/>
      <c r="J12" s="1"/>
      <c r="K12" s="1"/>
      <c r="L12" s="1"/>
      <c r="M12" s="12"/>
      <c r="N12" s="4"/>
      <c r="O12" s="1"/>
      <c r="P12" s="25"/>
      <c r="Q12" s="16"/>
    </row>
    <row r="13" spans="2:17" s="3" customFormat="1" ht="19.7" customHeight="1" x14ac:dyDescent="0.15">
      <c r="B13" s="4" t="s">
        <v>165</v>
      </c>
      <c r="C13" s="26" t="s">
        <v>66</v>
      </c>
      <c r="D13" s="26" t="s">
        <v>28</v>
      </c>
      <c r="E13" s="40" t="s">
        <v>67</v>
      </c>
      <c r="F13" s="67">
        <v>2</v>
      </c>
      <c r="G13" s="29">
        <v>4120</v>
      </c>
      <c r="H13" s="38">
        <f t="shared" ref="H13:H53" si="1">F13*G13</f>
        <v>8240</v>
      </c>
      <c r="I13" s="2"/>
      <c r="J13" s="41" t="s">
        <v>31</v>
      </c>
      <c r="K13" s="68"/>
      <c r="L13" s="68" t="s">
        <v>97</v>
      </c>
      <c r="M13" s="12">
        <v>44722</v>
      </c>
      <c r="N13" s="4"/>
      <c r="O13" s="140">
        <v>44733</v>
      </c>
      <c r="P13" s="25"/>
      <c r="Q13" s="16">
        <v>44733</v>
      </c>
    </row>
    <row r="14" spans="2:17" s="3" customFormat="1" ht="19.7" customHeight="1" x14ac:dyDescent="0.15">
      <c r="B14" s="4">
        <v>1</v>
      </c>
      <c r="C14" s="26" t="s">
        <v>68</v>
      </c>
      <c r="D14" s="26" t="s">
        <v>66</v>
      </c>
      <c r="E14" s="40" t="s">
        <v>69</v>
      </c>
      <c r="F14" s="67">
        <v>2</v>
      </c>
      <c r="G14" s="29">
        <v>280</v>
      </c>
      <c r="H14" s="38">
        <f t="shared" si="1"/>
        <v>560</v>
      </c>
      <c r="I14" s="2"/>
      <c r="J14" s="41" t="s">
        <v>23</v>
      </c>
      <c r="K14" s="68"/>
      <c r="L14" s="68" t="s">
        <v>32</v>
      </c>
      <c r="M14" s="12">
        <v>44722</v>
      </c>
      <c r="N14" s="4"/>
      <c r="O14" s="140">
        <v>44733</v>
      </c>
      <c r="P14" s="25"/>
      <c r="Q14" s="16">
        <v>44733</v>
      </c>
    </row>
    <row r="15" spans="2:17" s="3" customFormat="1" ht="19.7" customHeight="1" x14ac:dyDescent="0.15">
      <c r="B15" s="4">
        <v>2</v>
      </c>
      <c r="C15" s="75" t="s">
        <v>28</v>
      </c>
      <c r="D15" s="75" t="s">
        <v>28</v>
      </c>
      <c r="E15" s="76" t="s">
        <v>70</v>
      </c>
      <c r="F15" s="77">
        <v>1</v>
      </c>
      <c r="G15" s="78">
        <v>977</v>
      </c>
      <c r="H15" s="38">
        <f t="shared" si="1"/>
        <v>977</v>
      </c>
      <c r="I15" s="2"/>
      <c r="J15" s="79" t="s">
        <v>39</v>
      </c>
      <c r="K15" s="68"/>
      <c r="L15" s="68" t="s">
        <v>38</v>
      </c>
      <c r="M15" s="12">
        <v>44722</v>
      </c>
      <c r="N15" s="4"/>
      <c r="O15" s="140">
        <v>44733</v>
      </c>
      <c r="P15" s="25"/>
      <c r="Q15" s="16">
        <v>44733</v>
      </c>
    </row>
    <row r="16" spans="2:17" s="3" customFormat="1" ht="19.7" customHeight="1" x14ac:dyDescent="0.15">
      <c r="B16" s="4">
        <v>2</v>
      </c>
      <c r="C16" s="75" t="s">
        <v>28</v>
      </c>
      <c r="D16" s="75" t="s">
        <v>68</v>
      </c>
      <c r="E16" s="76" t="s">
        <v>115</v>
      </c>
      <c r="F16" s="77">
        <v>1</v>
      </c>
      <c r="G16" s="78">
        <v>4570</v>
      </c>
      <c r="H16" s="38">
        <f t="shared" si="1"/>
        <v>4570</v>
      </c>
      <c r="I16" s="2"/>
      <c r="J16" s="79" t="s">
        <v>40</v>
      </c>
      <c r="K16" s="68"/>
      <c r="L16" s="68" t="s">
        <v>38</v>
      </c>
      <c r="M16" s="12">
        <v>44722</v>
      </c>
      <c r="N16" s="4"/>
      <c r="O16" s="140">
        <v>44733</v>
      </c>
      <c r="P16" s="25"/>
      <c r="Q16" s="16">
        <v>44733</v>
      </c>
    </row>
    <row r="17" spans="2:17" s="3" customFormat="1" ht="19.7" customHeight="1" x14ac:dyDescent="0.15">
      <c r="B17" s="4">
        <v>2</v>
      </c>
      <c r="C17" s="26" t="s">
        <v>148</v>
      </c>
      <c r="D17" s="26" t="s">
        <v>148</v>
      </c>
      <c r="E17" s="36" t="s">
        <v>149</v>
      </c>
      <c r="F17" s="43">
        <v>1</v>
      </c>
      <c r="G17" s="29">
        <v>3876</v>
      </c>
      <c r="H17" s="38">
        <f t="shared" si="1"/>
        <v>3876</v>
      </c>
      <c r="I17" s="39"/>
      <c r="J17" s="40" t="s">
        <v>27</v>
      </c>
      <c r="K17" s="84"/>
      <c r="L17" s="84" t="s">
        <v>38</v>
      </c>
      <c r="M17" s="12">
        <v>44722</v>
      </c>
      <c r="N17" s="4"/>
      <c r="O17" s="140">
        <v>44733</v>
      </c>
      <c r="P17" s="25"/>
      <c r="Q17" s="16">
        <v>44733</v>
      </c>
    </row>
    <row r="18" spans="2:17" s="3" customFormat="1" ht="19.7" customHeight="1" x14ac:dyDescent="0.15">
      <c r="B18" s="4">
        <v>2</v>
      </c>
      <c r="C18" s="80" t="s">
        <v>28</v>
      </c>
      <c r="D18" s="80" t="s">
        <v>66</v>
      </c>
      <c r="E18" s="81" t="s">
        <v>72</v>
      </c>
      <c r="F18" s="82">
        <v>1</v>
      </c>
      <c r="G18" s="66">
        <v>768</v>
      </c>
      <c r="H18" s="38">
        <f t="shared" si="1"/>
        <v>768</v>
      </c>
      <c r="I18" s="2"/>
      <c r="J18" s="85" t="s">
        <v>44</v>
      </c>
      <c r="K18" s="84"/>
      <c r="L18" s="84" t="s">
        <v>38</v>
      </c>
      <c r="M18" s="12">
        <v>44722</v>
      </c>
      <c r="N18" s="4"/>
      <c r="O18" s="140">
        <v>44733</v>
      </c>
      <c r="P18" s="25"/>
      <c r="Q18" s="16">
        <v>44733</v>
      </c>
    </row>
    <row r="19" spans="2:17" s="3" customFormat="1" ht="19.7" customHeight="1" x14ac:dyDescent="0.15">
      <c r="B19" s="4">
        <v>2</v>
      </c>
      <c r="C19" s="80" t="s">
        <v>28</v>
      </c>
      <c r="D19" s="80" t="s">
        <v>66</v>
      </c>
      <c r="E19" s="81" t="s">
        <v>160</v>
      </c>
      <c r="F19" s="82">
        <v>1</v>
      </c>
      <c r="G19" s="66">
        <v>427</v>
      </c>
      <c r="H19" s="138">
        <f t="shared" si="1"/>
        <v>427</v>
      </c>
      <c r="I19" s="139"/>
      <c r="J19" s="85" t="s">
        <v>161</v>
      </c>
      <c r="K19" s="119" t="s">
        <v>150</v>
      </c>
      <c r="L19" s="84" t="s">
        <v>38</v>
      </c>
      <c r="M19" s="12">
        <v>44722</v>
      </c>
      <c r="N19" s="4"/>
      <c r="O19" s="140">
        <v>44733</v>
      </c>
      <c r="P19" s="25"/>
      <c r="Q19" s="16">
        <v>44733</v>
      </c>
    </row>
    <row r="20" spans="2:17" s="3" customFormat="1" ht="19.7" customHeight="1" x14ac:dyDescent="0.15">
      <c r="B20" s="4">
        <v>2</v>
      </c>
      <c r="C20" s="70" t="s">
        <v>28</v>
      </c>
      <c r="D20" s="70" t="s">
        <v>28</v>
      </c>
      <c r="E20" s="87" t="s">
        <v>73</v>
      </c>
      <c r="F20" s="72">
        <v>1</v>
      </c>
      <c r="G20" s="88">
        <v>1719</v>
      </c>
      <c r="H20" s="38">
        <f t="shared" si="1"/>
        <v>1719</v>
      </c>
      <c r="I20" s="2"/>
      <c r="J20" s="89" t="s">
        <v>45</v>
      </c>
      <c r="K20" s="22"/>
      <c r="L20" s="22" t="s">
        <v>38</v>
      </c>
      <c r="M20" s="12">
        <v>44722</v>
      </c>
      <c r="N20" s="4"/>
      <c r="O20" s="140">
        <v>44733</v>
      </c>
      <c r="P20" s="25"/>
      <c r="Q20" s="16">
        <v>44733</v>
      </c>
    </row>
    <row r="21" spans="2:17" s="3" customFormat="1" ht="19.7" customHeight="1" x14ac:dyDescent="0.15">
      <c r="B21" s="4">
        <v>2</v>
      </c>
      <c r="C21" s="70" t="s">
        <v>28</v>
      </c>
      <c r="D21" s="70" t="s">
        <v>28</v>
      </c>
      <c r="E21" s="87" t="s">
        <v>74</v>
      </c>
      <c r="F21" s="72">
        <v>1</v>
      </c>
      <c r="G21" s="88">
        <v>1935</v>
      </c>
      <c r="H21" s="38">
        <f t="shared" si="1"/>
        <v>1935</v>
      </c>
      <c r="I21" s="2"/>
      <c r="J21" s="89" t="s">
        <v>45</v>
      </c>
      <c r="K21" s="22"/>
      <c r="L21" s="22" t="s">
        <v>38</v>
      </c>
      <c r="M21" s="12">
        <v>44722</v>
      </c>
      <c r="N21" s="4"/>
      <c r="O21" s="140">
        <v>44733</v>
      </c>
      <c r="P21" s="25"/>
      <c r="Q21" s="16">
        <v>44733</v>
      </c>
    </row>
    <row r="22" spans="2:17" s="3" customFormat="1" ht="19.7" customHeight="1" x14ac:dyDescent="0.15">
      <c r="B22" s="4">
        <v>2</v>
      </c>
      <c r="C22" s="70" t="s">
        <v>66</v>
      </c>
      <c r="D22" s="70" t="s">
        <v>28</v>
      </c>
      <c r="E22" s="87" t="s">
        <v>75</v>
      </c>
      <c r="F22" s="72">
        <v>1</v>
      </c>
      <c r="G22" s="88">
        <v>3340</v>
      </c>
      <c r="H22" s="38">
        <f t="shared" si="1"/>
        <v>3340</v>
      </c>
      <c r="I22" s="2"/>
      <c r="J22" s="89" t="s">
        <v>45</v>
      </c>
      <c r="K22" s="22"/>
      <c r="L22" s="22" t="s">
        <v>38</v>
      </c>
      <c r="M22" s="12">
        <v>44722</v>
      </c>
      <c r="N22" s="4"/>
      <c r="O22" s="140">
        <v>44733</v>
      </c>
      <c r="P22" s="25"/>
      <c r="Q22" s="16">
        <v>44733</v>
      </c>
    </row>
    <row r="23" spans="2:17" s="3" customFormat="1" ht="19.7" customHeight="1" x14ac:dyDescent="0.15">
      <c r="B23" s="4">
        <v>6</v>
      </c>
      <c r="C23" s="70" t="s">
        <v>28</v>
      </c>
      <c r="D23" s="70" t="s">
        <v>28</v>
      </c>
      <c r="E23" s="87" t="s">
        <v>76</v>
      </c>
      <c r="F23" s="72">
        <v>5</v>
      </c>
      <c r="G23" s="73">
        <v>270</v>
      </c>
      <c r="H23" s="38">
        <f t="shared" si="1"/>
        <v>1350</v>
      </c>
      <c r="I23" s="2"/>
      <c r="J23" s="90" t="s">
        <v>46</v>
      </c>
      <c r="K23" s="22"/>
      <c r="L23" s="22" t="s">
        <v>47</v>
      </c>
      <c r="M23" s="12">
        <v>44722</v>
      </c>
      <c r="N23" s="4"/>
      <c r="O23" s="140">
        <v>44733</v>
      </c>
      <c r="P23" s="25"/>
      <c r="Q23" s="16">
        <v>44733</v>
      </c>
    </row>
    <row r="24" spans="2:17" s="3" customFormat="1" ht="19.7" customHeight="1" x14ac:dyDescent="0.15">
      <c r="B24" s="4">
        <v>6</v>
      </c>
      <c r="C24" s="69" t="s">
        <v>28</v>
      </c>
      <c r="D24" s="69" t="s">
        <v>28</v>
      </c>
      <c r="E24" s="91" t="s">
        <v>77</v>
      </c>
      <c r="F24" s="92">
        <v>1</v>
      </c>
      <c r="G24" s="88">
        <v>190</v>
      </c>
      <c r="H24" s="38">
        <f t="shared" si="1"/>
        <v>190</v>
      </c>
      <c r="I24" s="2"/>
      <c r="J24" s="89" t="s">
        <v>99</v>
      </c>
      <c r="K24" s="22"/>
      <c r="L24" s="22" t="s">
        <v>100</v>
      </c>
      <c r="M24" s="12">
        <v>44722</v>
      </c>
      <c r="N24" s="4"/>
      <c r="O24" s="140">
        <v>44733</v>
      </c>
      <c r="P24" s="25"/>
      <c r="Q24" s="16">
        <v>44733</v>
      </c>
    </row>
    <row r="25" spans="2:17" s="3" customFormat="1" ht="19.7" customHeight="1" x14ac:dyDescent="0.15">
      <c r="B25" s="4">
        <v>6</v>
      </c>
      <c r="C25" s="70" t="s">
        <v>68</v>
      </c>
      <c r="D25" s="70" t="s">
        <v>66</v>
      </c>
      <c r="E25" s="87" t="s">
        <v>78</v>
      </c>
      <c r="F25" s="72">
        <v>2</v>
      </c>
      <c r="G25" s="88">
        <v>1100</v>
      </c>
      <c r="H25" s="38">
        <f t="shared" si="1"/>
        <v>2200</v>
      </c>
      <c r="I25" s="2"/>
      <c r="J25" s="89" t="s">
        <v>48</v>
      </c>
      <c r="K25" s="22"/>
      <c r="L25" s="22" t="s">
        <v>51</v>
      </c>
      <c r="M25" s="12">
        <v>44722</v>
      </c>
      <c r="N25" s="4"/>
      <c r="O25" s="140">
        <v>44733</v>
      </c>
      <c r="P25" s="25"/>
      <c r="Q25" s="16">
        <v>44733</v>
      </c>
    </row>
    <row r="26" spans="2:17" s="3" customFormat="1" ht="19.7" customHeight="1" x14ac:dyDescent="0.15">
      <c r="B26" s="4">
        <v>6</v>
      </c>
      <c r="C26" s="70" t="s">
        <v>66</v>
      </c>
      <c r="D26" s="70" t="s">
        <v>28</v>
      </c>
      <c r="E26" s="87" t="s">
        <v>110</v>
      </c>
      <c r="F26" s="72">
        <v>2</v>
      </c>
      <c r="G26" s="88">
        <v>800</v>
      </c>
      <c r="H26" s="38">
        <f t="shared" si="1"/>
        <v>1600</v>
      </c>
      <c r="I26" s="2"/>
      <c r="J26" s="89" t="s">
        <v>48</v>
      </c>
      <c r="K26" s="22"/>
      <c r="L26" s="22" t="s">
        <v>47</v>
      </c>
      <c r="M26" s="12">
        <v>44722</v>
      </c>
      <c r="N26" s="4"/>
      <c r="O26" s="140">
        <v>44733</v>
      </c>
      <c r="P26" s="25"/>
      <c r="Q26" s="16">
        <v>44733</v>
      </c>
    </row>
    <row r="27" spans="2:17" s="3" customFormat="1" ht="19.7" customHeight="1" x14ac:dyDescent="0.15">
      <c r="B27" s="4">
        <v>3</v>
      </c>
      <c r="C27" s="70" t="s">
        <v>28</v>
      </c>
      <c r="D27" s="70" t="s">
        <v>28</v>
      </c>
      <c r="E27" s="64" t="s">
        <v>79</v>
      </c>
      <c r="F27" s="82">
        <v>2</v>
      </c>
      <c r="G27" s="93">
        <v>710</v>
      </c>
      <c r="H27" s="38">
        <f t="shared" si="1"/>
        <v>1420</v>
      </c>
      <c r="I27" s="2"/>
      <c r="J27" s="86" t="s">
        <v>52</v>
      </c>
      <c r="K27" s="22"/>
      <c r="L27" s="22" t="s">
        <v>53</v>
      </c>
      <c r="M27" s="12">
        <v>44722</v>
      </c>
      <c r="N27" s="4"/>
      <c r="O27" s="140">
        <v>44733</v>
      </c>
      <c r="P27" s="25"/>
      <c r="Q27" s="16">
        <v>44733</v>
      </c>
    </row>
    <row r="28" spans="2:17" s="3" customFormat="1" ht="19.7" customHeight="1" x14ac:dyDescent="0.15">
      <c r="B28" s="4">
        <v>3</v>
      </c>
      <c r="C28" s="70" t="s">
        <v>68</v>
      </c>
      <c r="D28" s="70" t="s">
        <v>68</v>
      </c>
      <c r="E28" s="94" t="s">
        <v>80</v>
      </c>
      <c r="F28" s="95">
        <v>1</v>
      </c>
      <c r="G28" s="66">
        <v>78</v>
      </c>
      <c r="H28" s="38">
        <f t="shared" si="1"/>
        <v>78</v>
      </c>
      <c r="I28" s="2"/>
      <c r="J28" s="86" t="s">
        <v>54</v>
      </c>
      <c r="K28" s="22"/>
      <c r="L28" s="22" t="s">
        <v>53</v>
      </c>
      <c r="M28" s="12">
        <v>44722</v>
      </c>
      <c r="N28" s="4"/>
      <c r="O28" s="140">
        <v>44733</v>
      </c>
      <c r="P28" s="25"/>
      <c r="Q28" s="16">
        <v>44733</v>
      </c>
    </row>
    <row r="29" spans="2:17" s="3" customFormat="1" ht="19.7" customHeight="1" x14ac:dyDescent="0.15">
      <c r="B29" s="4">
        <v>3</v>
      </c>
      <c r="C29" s="70" t="s">
        <v>68</v>
      </c>
      <c r="D29" s="70" t="s">
        <v>28</v>
      </c>
      <c r="E29" s="94" t="s">
        <v>81</v>
      </c>
      <c r="F29" s="95">
        <v>2</v>
      </c>
      <c r="G29" s="66">
        <v>268</v>
      </c>
      <c r="H29" s="38">
        <f t="shared" si="1"/>
        <v>536</v>
      </c>
      <c r="I29" s="2"/>
      <c r="J29" s="86" t="s">
        <v>55</v>
      </c>
      <c r="K29" s="22"/>
      <c r="L29" s="22" t="s">
        <v>53</v>
      </c>
      <c r="M29" s="12">
        <v>44722</v>
      </c>
      <c r="N29" s="4"/>
      <c r="O29" s="140">
        <v>44733</v>
      </c>
      <c r="P29" s="25"/>
      <c r="Q29" s="16">
        <v>44733</v>
      </c>
    </row>
    <row r="30" spans="2:17" s="3" customFormat="1" ht="19.7" customHeight="1" x14ac:dyDescent="0.15">
      <c r="B30" s="4">
        <v>7</v>
      </c>
      <c r="C30" s="70" t="s">
        <v>28</v>
      </c>
      <c r="D30" s="70" t="s">
        <v>28</v>
      </c>
      <c r="E30" s="64" t="s">
        <v>82</v>
      </c>
      <c r="F30" s="82">
        <v>2</v>
      </c>
      <c r="G30" s="93">
        <v>1520</v>
      </c>
      <c r="H30" s="38">
        <f t="shared" si="1"/>
        <v>3040</v>
      </c>
      <c r="I30" s="2"/>
      <c r="J30" s="86" t="s">
        <v>48</v>
      </c>
      <c r="K30" s="84"/>
      <c r="L30" s="84" t="s">
        <v>56</v>
      </c>
      <c r="M30" s="12">
        <v>44722</v>
      </c>
      <c r="N30" s="4"/>
      <c r="O30" s="140">
        <v>44733</v>
      </c>
      <c r="P30" s="25"/>
      <c r="Q30" s="16">
        <v>44733</v>
      </c>
    </row>
    <row r="31" spans="2:17" s="3" customFormat="1" ht="19.7" customHeight="1" x14ac:dyDescent="0.15">
      <c r="B31" s="4">
        <v>19</v>
      </c>
      <c r="C31" s="105" t="s">
        <v>118</v>
      </c>
      <c r="D31" s="105" t="s">
        <v>118</v>
      </c>
      <c r="E31" s="109" t="s">
        <v>116</v>
      </c>
      <c r="F31" s="106">
        <v>1</v>
      </c>
      <c r="G31" s="107">
        <v>1030</v>
      </c>
      <c r="H31" s="63">
        <f>F31*G31</f>
        <v>1030</v>
      </c>
      <c r="I31" s="2"/>
      <c r="J31" s="111" t="s">
        <v>117</v>
      </c>
      <c r="K31" s="108"/>
      <c r="L31" s="108" t="s">
        <v>119</v>
      </c>
      <c r="M31" s="12">
        <v>44722</v>
      </c>
      <c r="N31" s="4"/>
      <c r="O31" s="140">
        <v>44733</v>
      </c>
      <c r="P31" s="25"/>
      <c r="Q31" s="16">
        <v>44733</v>
      </c>
    </row>
    <row r="32" spans="2:17" s="3" customFormat="1" ht="19.7" customHeight="1" x14ac:dyDescent="0.15">
      <c r="B32" s="4">
        <v>12</v>
      </c>
      <c r="C32" s="75" t="s">
        <v>28</v>
      </c>
      <c r="D32" s="75" t="s">
        <v>28</v>
      </c>
      <c r="E32" s="112" t="s">
        <v>122</v>
      </c>
      <c r="F32" s="113">
        <v>2</v>
      </c>
      <c r="G32" s="93">
        <v>480</v>
      </c>
      <c r="H32" s="38">
        <f t="shared" si="1"/>
        <v>960</v>
      </c>
      <c r="I32" s="2"/>
      <c r="J32" s="117" t="s">
        <v>52</v>
      </c>
      <c r="K32" s="117"/>
      <c r="L32" s="118" t="s">
        <v>132</v>
      </c>
      <c r="M32" s="12">
        <v>44722</v>
      </c>
      <c r="N32" s="4"/>
      <c r="O32" s="140">
        <v>44733</v>
      </c>
      <c r="P32" s="25"/>
      <c r="Q32" s="16">
        <v>44733</v>
      </c>
    </row>
    <row r="33" spans="2:17" s="3" customFormat="1" ht="19.7" customHeight="1" x14ac:dyDescent="0.15">
      <c r="B33" s="4">
        <v>12</v>
      </c>
      <c r="C33" s="75" t="s">
        <v>123</v>
      </c>
      <c r="D33" s="75" t="s">
        <v>123</v>
      </c>
      <c r="E33" s="114" t="s">
        <v>124</v>
      </c>
      <c r="F33" s="113">
        <v>1</v>
      </c>
      <c r="G33" s="93">
        <v>5130</v>
      </c>
      <c r="H33" s="38">
        <f t="shared" si="1"/>
        <v>5130</v>
      </c>
      <c r="I33" s="2"/>
      <c r="J33" s="87" t="s">
        <v>133</v>
      </c>
      <c r="K33" s="87"/>
      <c r="L33" s="118" t="s">
        <v>132</v>
      </c>
      <c r="M33" s="12">
        <v>44722</v>
      </c>
      <c r="N33" s="4"/>
      <c r="O33" s="140">
        <v>44733</v>
      </c>
      <c r="P33" s="25"/>
      <c r="Q33" s="16">
        <v>44733</v>
      </c>
    </row>
    <row r="34" spans="2:17" s="3" customFormat="1" ht="19.7" customHeight="1" x14ac:dyDescent="0.15">
      <c r="B34" s="4">
        <v>12</v>
      </c>
      <c r="C34" s="75" t="s">
        <v>123</v>
      </c>
      <c r="D34" s="75" t="s">
        <v>123</v>
      </c>
      <c r="E34" s="114" t="s">
        <v>125</v>
      </c>
      <c r="F34" s="113">
        <v>5</v>
      </c>
      <c r="G34" s="93">
        <v>152</v>
      </c>
      <c r="H34" s="38">
        <f t="shared" si="1"/>
        <v>760</v>
      </c>
      <c r="I34" s="2"/>
      <c r="J34" s="87" t="s">
        <v>134</v>
      </c>
      <c r="K34" s="87"/>
      <c r="L34" s="118" t="s">
        <v>132</v>
      </c>
      <c r="M34" s="12">
        <v>44722</v>
      </c>
      <c r="N34" s="4"/>
      <c r="O34" s="140">
        <v>44733</v>
      </c>
      <c r="P34" s="25"/>
      <c r="Q34" s="16">
        <v>44733</v>
      </c>
    </row>
    <row r="35" spans="2:17" s="3" customFormat="1" ht="19.7" customHeight="1" x14ac:dyDescent="0.15">
      <c r="B35" s="4">
        <v>12</v>
      </c>
      <c r="C35" s="75" t="s">
        <v>123</v>
      </c>
      <c r="D35" s="75" t="s">
        <v>123</v>
      </c>
      <c r="E35" s="114" t="s">
        <v>126</v>
      </c>
      <c r="F35" s="113">
        <v>1</v>
      </c>
      <c r="G35" s="93">
        <v>1398</v>
      </c>
      <c r="H35" s="38">
        <f t="shared" si="1"/>
        <v>1398</v>
      </c>
      <c r="I35" s="2"/>
      <c r="J35" s="87" t="s">
        <v>135</v>
      </c>
      <c r="K35" s="87"/>
      <c r="L35" s="118" t="s">
        <v>132</v>
      </c>
      <c r="M35" s="12">
        <v>44722</v>
      </c>
      <c r="N35" s="4"/>
      <c r="O35" s="140">
        <v>44733</v>
      </c>
      <c r="P35" s="25"/>
      <c r="Q35" s="16">
        <v>44733</v>
      </c>
    </row>
    <row r="36" spans="2:17" s="3" customFormat="1" ht="19.7" customHeight="1" x14ac:dyDescent="0.15">
      <c r="B36" s="4">
        <v>12</v>
      </c>
      <c r="C36" s="75" t="s">
        <v>28</v>
      </c>
      <c r="D36" s="75" t="s">
        <v>123</v>
      </c>
      <c r="E36" s="114" t="s">
        <v>127</v>
      </c>
      <c r="F36" s="113">
        <v>1</v>
      </c>
      <c r="G36" s="93">
        <v>4182</v>
      </c>
      <c r="H36" s="38">
        <f t="shared" si="1"/>
        <v>4182</v>
      </c>
      <c r="I36" s="2"/>
      <c r="J36" s="87" t="s">
        <v>136</v>
      </c>
      <c r="K36" s="87"/>
      <c r="L36" s="118" t="s">
        <v>132</v>
      </c>
      <c r="M36" s="12">
        <v>44722</v>
      </c>
      <c r="N36" s="4"/>
      <c r="O36" s="140">
        <v>44733</v>
      </c>
      <c r="P36" s="25"/>
      <c r="Q36" s="16">
        <v>44733</v>
      </c>
    </row>
    <row r="37" spans="2:17" s="3" customFormat="1" ht="19.7" customHeight="1" x14ac:dyDescent="0.15">
      <c r="B37" s="4">
        <v>12</v>
      </c>
      <c r="C37" s="75" t="s">
        <v>123</v>
      </c>
      <c r="D37" s="75" t="s">
        <v>28</v>
      </c>
      <c r="E37" s="36" t="s">
        <v>128</v>
      </c>
      <c r="F37" s="92">
        <v>1</v>
      </c>
      <c r="G37" s="93">
        <v>78</v>
      </c>
      <c r="H37" s="38">
        <f t="shared" si="1"/>
        <v>78</v>
      </c>
      <c r="I37" s="2"/>
      <c r="J37" s="119" t="s">
        <v>137</v>
      </c>
      <c r="K37" s="119"/>
      <c r="L37" s="118" t="s">
        <v>132</v>
      </c>
      <c r="M37" s="12">
        <v>44722</v>
      </c>
      <c r="N37" s="4"/>
      <c r="O37" s="140">
        <v>44733</v>
      </c>
      <c r="P37" s="25"/>
      <c r="Q37" s="16">
        <v>44733</v>
      </c>
    </row>
    <row r="38" spans="2:17" s="3" customFormat="1" ht="19.7" customHeight="1" x14ac:dyDescent="0.15">
      <c r="B38" s="4">
        <v>12</v>
      </c>
      <c r="C38" s="124" t="s">
        <v>123</v>
      </c>
      <c r="D38" s="124" t="s">
        <v>123</v>
      </c>
      <c r="E38" s="125" t="s">
        <v>162</v>
      </c>
      <c r="F38" s="126">
        <v>1</v>
      </c>
      <c r="G38" s="127">
        <v>0</v>
      </c>
      <c r="H38" s="128">
        <f t="shared" si="1"/>
        <v>0</v>
      </c>
      <c r="I38" s="129"/>
      <c r="J38" s="130" t="s">
        <v>151</v>
      </c>
      <c r="K38" s="130" t="s">
        <v>164</v>
      </c>
      <c r="L38" s="118" t="s">
        <v>132</v>
      </c>
      <c r="M38" s="12"/>
      <c r="N38" s="4"/>
      <c r="O38" s="1"/>
      <c r="P38" s="25"/>
      <c r="Q38" s="16"/>
    </row>
    <row r="39" spans="2:17" s="3" customFormat="1" ht="19.7" customHeight="1" x14ac:dyDescent="0.15">
      <c r="B39" s="4">
        <v>12</v>
      </c>
      <c r="C39" s="124" t="s">
        <v>28</v>
      </c>
      <c r="D39" s="124" t="s">
        <v>123</v>
      </c>
      <c r="E39" s="131" t="s">
        <v>129</v>
      </c>
      <c r="F39" s="132">
        <v>1</v>
      </c>
      <c r="G39" s="127">
        <v>0</v>
      </c>
      <c r="H39" s="128">
        <f t="shared" si="1"/>
        <v>0</v>
      </c>
      <c r="I39" s="129"/>
      <c r="J39" s="130" t="s">
        <v>138</v>
      </c>
      <c r="K39" s="130" t="s">
        <v>164</v>
      </c>
      <c r="L39" s="118" t="s">
        <v>132</v>
      </c>
      <c r="M39" s="12"/>
      <c r="N39" s="4"/>
      <c r="O39" s="1"/>
      <c r="P39" s="25"/>
      <c r="Q39" s="16"/>
    </row>
    <row r="40" spans="2:17" s="3" customFormat="1" ht="19.7" customHeight="1" x14ac:dyDescent="0.15">
      <c r="B40" s="4">
        <v>12</v>
      </c>
      <c r="C40" s="75" t="s">
        <v>28</v>
      </c>
      <c r="D40" s="75" t="s">
        <v>123</v>
      </c>
      <c r="E40" s="115" t="s">
        <v>130</v>
      </c>
      <c r="F40" s="116">
        <v>1</v>
      </c>
      <c r="G40" s="93">
        <v>560</v>
      </c>
      <c r="H40" s="38">
        <f t="shared" si="1"/>
        <v>560</v>
      </c>
      <c r="I40" s="2"/>
      <c r="J40" s="87" t="s">
        <v>139</v>
      </c>
      <c r="K40" s="87"/>
      <c r="L40" s="118" t="s">
        <v>132</v>
      </c>
      <c r="M40" s="12">
        <v>44722</v>
      </c>
      <c r="N40" s="4"/>
      <c r="O40" s="140">
        <v>44733</v>
      </c>
      <c r="P40" s="25"/>
      <c r="Q40" s="16">
        <v>44733</v>
      </c>
    </row>
    <row r="41" spans="2:17" s="3" customFormat="1" ht="19.7" customHeight="1" x14ac:dyDescent="0.15">
      <c r="B41" s="4">
        <v>12</v>
      </c>
      <c r="C41" s="75" t="s">
        <v>123</v>
      </c>
      <c r="D41" s="75" t="s">
        <v>123</v>
      </c>
      <c r="E41" s="115" t="s">
        <v>131</v>
      </c>
      <c r="F41" s="116">
        <v>1</v>
      </c>
      <c r="G41" s="93">
        <v>2020</v>
      </c>
      <c r="H41" s="38">
        <f t="shared" si="1"/>
        <v>2020</v>
      </c>
      <c r="I41" s="2"/>
      <c r="J41" s="87" t="s">
        <v>140</v>
      </c>
      <c r="K41" s="87"/>
      <c r="L41" s="118" t="s">
        <v>132</v>
      </c>
      <c r="M41" s="12">
        <v>44722</v>
      </c>
      <c r="N41" s="4"/>
      <c r="O41" s="140">
        <v>44733</v>
      </c>
      <c r="P41" s="25"/>
      <c r="Q41" s="16">
        <v>44733</v>
      </c>
    </row>
    <row r="42" spans="2:17" s="3" customFormat="1" ht="19.7" customHeight="1" x14ac:dyDescent="0.15">
      <c r="B42" s="4"/>
      <c r="C42" s="80"/>
      <c r="D42" s="80"/>
      <c r="E42" s="64"/>
      <c r="F42" s="82"/>
      <c r="G42" s="93"/>
      <c r="H42" s="38">
        <f t="shared" si="1"/>
        <v>0</v>
      </c>
      <c r="I42" s="2"/>
      <c r="J42" s="86"/>
      <c r="K42" s="84"/>
      <c r="L42" s="84"/>
      <c r="M42" s="12"/>
      <c r="N42" s="4"/>
      <c r="O42" s="1"/>
      <c r="P42" s="25"/>
      <c r="Q42" s="16"/>
    </row>
    <row r="43" spans="2:17" s="3" customFormat="1" ht="19.7" customHeight="1" x14ac:dyDescent="0.15">
      <c r="B43" s="4"/>
      <c r="C43" s="80"/>
      <c r="D43" s="80"/>
      <c r="E43" s="64"/>
      <c r="F43" s="82"/>
      <c r="G43" s="93"/>
      <c r="H43" s="38">
        <f t="shared" si="1"/>
        <v>0</v>
      </c>
      <c r="I43" s="2"/>
      <c r="J43" s="86"/>
      <c r="K43" s="84"/>
      <c r="L43" s="84"/>
      <c r="M43" s="12"/>
      <c r="N43" s="4"/>
      <c r="O43" s="1"/>
      <c r="P43" s="25"/>
      <c r="Q43" s="16"/>
    </row>
    <row r="44" spans="2:17" s="3" customFormat="1" ht="19.7" customHeight="1" x14ac:dyDescent="0.15">
      <c r="B44" s="4">
        <v>2</v>
      </c>
      <c r="C44" s="21" t="s">
        <v>83</v>
      </c>
      <c r="D44" s="21" t="s">
        <v>34</v>
      </c>
      <c r="E44" s="40" t="s">
        <v>84</v>
      </c>
      <c r="F44" s="43">
        <v>1</v>
      </c>
      <c r="G44" s="42">
        <v>6850</v>
      </c>
      <c r="H44" s="38">
        <f t="shared" si="1"/>
        <v>6850</v>
      </c>
      <c r="I44" s="2"/>
      <c r="J44" s="96" t="s">
        <v>102</v>
      </c>
      <c r="K44" s="40" t="s">
        <v>37</v>
      </c>
      <c r="L44" s="22" t="s">
        <v>38</v>
      </c>
      <c r="M44" s="12">
        <v>44722</v>
      </c>
      <c r="N44" s="4"/>
      <c r="O44" s="140">
        <v>44753</v>
      </c>
      <c r="P44" s="25"/>
      <c r="Q44" s="16">
        <v>44749</v>
      </c>
    </row>
    <row r="45" spans="2:17" s="3" customFormat="1" ht="19.7" customHeight="1" x14ac:dyDescent="0.15">
      <c r="B45" s="4">
        <v>2</v>
      </c>
      <c r="C45" s="21" t="s">
        <v>83</v>
      </c>
      <c r="D45" s="21" t="s">
        <v>34</v>
      </c>
      <c r="E45" s="40" t="s">
        <v>85</v>
      </c>
      <c r="F45" s="43">
        <v>1</v>
      </c>
      <c r="G45" s="42">
        <v>17740</v>
      </c>
      <c r="H45" s="38">
        <f t="shared" si="1"/>
        <v>17740</v>
      </c>
      <c r="I45" s="2"/>
      <c r="J45" s="97" t="s">
        <v>57</v>
      </c>
      <c r="K45" s="40" t="s">
        <v>37</v>
      </c>
      <c r="L45" s="22" t="s">
        <v>38</v>
      </c>
      <c r="M45" s="12">
        <v>44722</v>
      </c>
      <c r="N45" s="4"/>
      <c r="O45" s="140">
        <v>44753</v>
      </c>
      <c r="P45" s="25"/>
      <c r="Q45" s="16">
        <v>44749</v>
      </c>
    </row>
    <row r="46" spans="2:17" s="3" customFormat="1" ht="19.7" customHeight="1" x14ac:dyDescent="0.15">
      <c r="B46" s="4">
        <v>2</v>
      </c>
      <c r="C46" s="98" t="s">
        <v>86</v>
      </c>
      <c r="D46" s="98" t="s">
        <v>34</v>
      </c>
      <c r="E46" s="99" t="s">
        <v>87</v>
      </c>
      <c r="F46" s="43">
        <v>1</v>
      </c>
      <c r="G46" s="42">
        <v>180</v>
      </c>
      <c r="H46" s="38">
        <f t="shared" si="1"/>
        <v>180</v>
      </c>
      <c r="I46" s="2"/>
      <c r="J46" s="100" t="s">
        <v>58</v>
      </c>
      <c r="K46" s="40" t="s">
        <v>37</v>
      </c>
      <c r="L46" s="22" t="s">
        <v>38</v>
      </c>
      <c r="M46" s="12">
        <v>44722</v>
      </c>
      <c r="N46" s="4"/>
      <c r="O46" s="140">
        <v>44753</v>
      </c>
      <c r="P46" s="25"/>
      <c r="Q46" s="16">
        <v>44749</v>
      </c>
    </row>
    <row r="47" spans="2:17" s="3" customFormat="1" ht="19.7" customHeight="1" x14ac:dyDescent="0.15">
      <c r="B47" s="4">
        <v>2</v>
      </c>
      <c r="C47" s="80" t="s">
        <v>42</v>
      </c>
      <c r="D47" s="80" t="s">
        <v>34</v>
      </c>
      <c r="E47" s="81" t="s">
        <v>26</v>
      </c>
      <c r="F47" s="82">
        <v>1</v>
      </c>
      <c r="G47" s="66">
        <v>160</v>
      </c>
      <c r="H47" s="38">
        <f>F47*G47</f>
        <v>160</v>
      </c>
      <c r="I47" s="2"/>
      <c r="J47" s="86" t="s">
        <v>43</v>
      </c>
      <c r="K47" s="64" t="s">
        <v>37</v>
      </c>
      <c r="L47" s="84" t="s">
        <v>38</v>
      </c>
      <c r="M47" s="12">
        <v>44722</v>
      </c>
      <c r="N47" s="4"/>
      <c r="O47" s="140">
        <v>44753</v>
      </c>
      <c r="P47" s="25"/>
      <c r="Q47" s="16">
        <v>44749</v>
      </c>
    </row>
    <row r="48" spans="2:17" s="3" customFormat="1" ht="19.7" customHeight="1" x14ac:dyDescent="0.15">
      <c r="B48" s="4">
        <v>1</v>
      </c>
      <c r="C48" s="69" t="s">
        <v>33</v>
      </c>
      <c r="D48" s="70" t="s">
        <v>34</v>
      </c>
      <c r="E48" s="71" t="s">
        <v>35</v>
      </c>
      <c r="F48" s="72">
        <v>20</v>
      </c>
      <c r="G48" s="73">
        <v>10</v>
      </c>
      <c r="H48" s="38">
        <f>F48*G48</f>
        <v>200</v>
      </c>
      <c r="I48" s="2"/>
      <c r="J48" s="74" t="s">
        <v>36</v>
      </c>
      <c r="K48" s="87" t="s">
        <v>37</v>
      </c>
      <c r="L48" s="22" t="s">
        <v>98</v>
      </c>
      <c r="M48" s="12">
        <v>44722</v>
      </c>
      <c r="N48" s="4"/>
      <c r="O48" s="140">
        <v>44753</v>
      </c>
      <c r="P48" s="25"/>
      <c r="Q48" s="16">
        <v>44749</v>
      </c>
    </row>
    <row r="49" spans="2:17" s="3" customFormat="1" ht="19.7" customHeight="1" x14ac:dyDescent="0.15">
      <c r="B49" s="4">
        <v>6</v>
      </c>
      <c r="C49" s="98" t="s">
        <v>88</v>
      </c>
      <c r="D49" s="98" t="s">
        <v>34</v>
      </c>
      <c r="E49" s="101" t="s">
        <v>89</v>
      </c>
      <c r="F49" s="102">
        <v>1</v>
      </c>
      <c r="G49" s="42">
        <v>180</v>
      </c>
      <c r="H49" s="38">
        <f t="shared" si="1"/>
        <v>180</v>
      </c>
      <c r="I49" s="2"/>
      <c r="J49" s="97" t="s">
        <v>103</v>
      </c>
      <c r="K49" s="40" t="s">
        <v>37</v>
      </c>
      <c r="L49" s="22" t="s">
        <v>47</v>
      </c>
      <c r="M49" s="12">
        <v>44722</v>
      </c>
      <c r="N49" s="4"/>
      <c r="O49" s="140">
        <v>44753</v>
      </c>
      <c r="P49" s="25"/>
      <c r="Q49" s="16">
        <v>44749</v>
      </c>
    </row>
    <row r="50" spans="2:17" s="3" customFormat="1" ht="19.7" customHeight="1" x14ac:dyDescent="0.15">
      <c r="B50" s="4">
        <v>2</v>
      </c>
      <c r="C50" s="133" t="s">
        <v>152</v>
      </c>
      <c r="D50" s="133" t="s">
        <v>153</v>
      </c>
      <c r="E50" s="24" t="s">
        <v>154</v>
      </c>
      <c r="F50" s="134">
        <v>1</v>
      </c>
      <c r="G50" s="135">
        <v>0</v>
      </c>
      <c r="H50" s="136">
        <f t="shared" si="1"/>
        <v>0</v>
      </c>
      <c r="I50" s="137"/>
      <c r="J50" s="24" t="s">
        <v>155</v>
      </c>
      <c r="K50" s="130" t="s">
        <v>166</v>
      </c>
      <c r="L50" s="22" t="s">
        <v>163</v>
      </c>
      <c r="M50" s="12"/>
      <c r="N50" s="4"/>
      <c r="O50" s="1"/>
      <c r="P50" s="25"/>
      <c r="Q50" s="16"/>
    </row>
    <row r="51" spans="2:17" s="3" customFormat="1" ht="19.7" customHeight="1" x14ac:dyDescent="0.15">
      <c r="B51" s="4">
        <v>2</v>
      </c>
      <c r="C51" s="133" t="s">
        <v>152</v>
      </c>
      <c r="D51" s="133" t="s">
        <v>153</v>
      </c>
      <c r="E51" s="24" t="s">
        <v>156</v>
      </c>
      <c r="F51" s="134">
        <v>1</v>
      </c>
      <c r="G51" s="135">
        <v>0</v>
      </c>
      <c r="H51" s="136">
        <f t="shared" si="1"/>
        <v>0</v>
      </c>
      <c r="I51" s="137"/>
      <c r="J51" s="24" t="s">
        <v>157</v>
      </c>
      <c r="K51" s="130" t="s">
        <v>167</v>
      </c>
      <c r="L51" s="22" t="s">
        <v>163</v>
      </c>
      <c r="M51" s="12"/>
      <c r="N51" s="4"/>
      <c r="O51" s="1"/>
      <c r="P51" s="25"/>
      <c r="Q51" s="16"/>
    </row>
    <row r="52" spans="2:17" s="3" customFormat="1" ht="19.7" customHeight="1" x14ac:dyDescent="0.15">
      <c r="B52" s="4">
        <v>2</v>
      </c>
      <c r="C52" s="133" t="s">
        <v>152</v>
      </c>
      <c r="D52" s="133" t="s">
        <v>153</v>
      </c>
      <c r="E52" s="24" t="s">
        <v>158</v>
      </c>
      <c r="F52" s="134">
        <v>1</v>
      </c>
      <c r="G52" s="135">
        <v>0</v>
      </c>
      <c r="H52" s="136">
        <f t="shared" si="1"/>
        <v>0</v>
      </c>
      <c r="I52" s="137"/>
      <c r="J52" s="24" t="s">
        <v>159</v>
      </c>
      <c r="K52" s="130" t="s">
        <v>168</v>
      </c>
      <c r="L52" s="22" t="s">
        <v>163</v>
      </c>
      <c r="M52" s="12"/>
      <c r="N52" s="4"/>
      <c r="O52" s="1"/>
      <c r="P52" s="25"/>
      <c r="Q52" s="16"/>
    </row>
    <row r="53" spans="2:17" s="3" customFormat="1" ht="19.7" customHeight="1" x14ac:dyDescent="0.15">
      <c r="B53" s="4"/>
      <c r="C53" s="98"/>
      <c r="D53" s="98"/>
      <c r="E53" s="101"/>
      <c r="F53" s="102"/>
      <c r="G53" s="42"/>
      <c r="H53" s="38">
        <f t="shared" si="1"/>
        <v>0</v>
      </c>
      <c r="I53" s="2"/>
      <c r="J53" s="97"/>
      <c r="K53" s="22"/>
      <c r="L53" s="22"/>
      <c r="M53" s="12"/>
      <c r="N53" s="4"/>
      <c r="O53" s="1"/>
      <c r="P53" s="25"/>
      <c r="Q53" s="16"/>
    </row>
    <row r="54" spans="2:17" s="19" customFormat="1" ht="19.7" customHeight="1" x14ac:dyDescent="0.15">
      <c r="B54" s="21"/>
      <c r="C54" s="26"/>
      <c r="D54" s="26"/>
      <c r="E54" s="36"/>
      <c r="F54" s="43"/>
      <c r="G54" s="29"/>
      <c r="H54" s="38">
        <f>F54*G54</f>
        <v>0</v>
      </c>
      <c r="I54" s="39"/>
      <c r="J54" s="41"/>
      <c r="K54" s="40"/>
      <c r="L54" s="22"/>
      <c r="M54" s="27"/>
      <c r="N54" s="26"/>
      <c r="O54" s="27"/>
      <c r="P54" s="27"/>
      <c r="Q54" s="16"/>
    </row>
    <row r="55" spans="2:17" s="19" customFormat="1" ht="19.7" customHeight="1" x14ac:dyDescent="0.15">
      <c r="B55" s="4">
        <v>2</v>
      </c>
      <c r="C55" s="80" t="s">
        <v>71</v>
      </c>
      <c r="D55" s="80" t="s">
        <v>111</v>
      </c>
      <c r="E55" s="81" t="s">
        <v>170</v>
      </c>
      <c r="F55" s="82">
        <v>1</v>
      </c>
      <c r="G55" s="66">
        <v>1690</v>
      </c>
      <c r="H55" s="38">
        <f>F55*G55</f>
        <v>1690</v>
      </c>
      <c r="I55" s="2"/>
      <c r="J55" s="83" t="s">
        <v>41</v>
      </c>
      <c r="K55" s="84"/>
      <c r="L55" s="84" t="s">
        <v>38</v>
      </c>
      <c r="M55" s="27">
        <v>44721</v>
      </c>
      <c r="N55" s="26"/>
      <c r="O55" s="27">
        <v>44728</v>
      </c>
      <c r="P55" s="27">
        <v>44729</v>
      </c>
      <c r="Q55" s="16">
        <v>44728</v>
      </c>
    </row>
    <row r="56" spans="2:17" s="19" customFormat="1" ht="19.7" customHeight="1" x14ac:dyDescent="0.15">
      <c r="B56" s="4"/>
      <c r="C56" s="80" t="s">
        <v>71</v>
      </c>
      <c r="D56" s="80" t="s">
        <v>111</v>
      </c>
      <c r="E56" s="81" t="s">
        <v>177</v>
      </c>
      <c r="F56" s="82">
        <v>1</v>
      </c>
      <c r="G56" s="66">
        <v>1400</v>
      </c>
      <c r="H56" s="38">
        <v>1400</v>
      </c>
      <c r="I56" s="2"/>
      <c r="J56" s="152"/>
      <c r="K56" s="84"/>
      <c r="L56" s="84"/>
      <c r="M56" s="27">
        <v>44721</v>
      </c>
      <c r="N56" s="26"/>
      <c r="O56" s="27">
        <v>44728</v>
      </c>
      <c r="P56" s="27">
        <v>44729</v>
      </c>
      <c r="Q56" s="16"/>
    </row>
    <row r="57" spans="2:17" s="19" customFormat="1" ht="19.7" customHeight="1" x14ac:dyDescent="0.15">
      <c r="B57" s="4">
        <v>6</v>
      </c>
      <c r="C57" s="69" t="s">
        <v>112</v>
      </c>
      <c r="D57" s="80" t="s">
        <v>111</v>
      </c>
      <c r="E57" s="91" t="s">
        <v>113</v>
      </c>
      <c r="F57" s="92">
        <v>1</v>
      </c>
      <c r="G57" s="73">
        <v>1190</v>
      </c>
      <c r="H57" s="38">
        <f>F57*G57</f>
        <v>1190</v>
      </c>
      <c r="I57" s="2"/>
      <c r="J57" s="89" t="s">
        <v>50</v>
      </c>
      <c r="K57" s="22"/>
      <c r="L57" s="22" t="s">
        <v>101</v>
      </c>
      <c r="M57" s="27">
        <v>44721</v>
      </c>
      <c r="N57" s="26"/>
      <c r="O57" s="27">
        <v>44722</v>
      </c>
      <c r="P57" s="27"/>
      <c r="Q57" s="16">
        <v>44722</v>
      </c>
    </row>
    <row r="58" spans="2:17" s="19" customFormat="1" ht="19.7" customHeight="1" x14ac:dyDescent="0.15">
      <c r="B58" s="21"/>
      <c r="C58" s="26"/>
      <c r="D58" s="26"/>
      <c r="E58" s="36"/>
      <c r="F58" s="43"/>
      <c r="G58" s="29"/>
      <c r="H58" s="38">
        <f t="shared" ref="H58:H62" si="2">F58*G58</f>
        <v>0</v>
      </c>
      <c r="I58" s="39"/>
      <c r="J58" s="40"/>
      <c r="K58" s="40"/>
      <c r="L58" s="22"/>
      <c r="M58" s="27"/>
      <c r="N58" s="26"/>
      <c r="O58" s="27"/>
      <c r="P58" s="27"/>
      <c r="Q58" s="16"/>
    </row>
    <row r="59" spans="2:17" s="19" customFormat="1" ht="19.7" customHeight="1" x14ac:dyDescent="0.15">
      <c r="B59" s="21"/>
      <c r="C59" s="26"/>
      <c r="D59" s="21"/>
      <c r="E59" s="36"/>
      <c r="F59" s="43"/>
      <c r="G59" s="29"/>
      <c r="H59" s="38">
        <f t="shared" si="2"/>
        <v>0</v>
      </c>
      <c r="I59" s="39"/>
      <c r="J59" s="40"/>
      <c r="K59" s="40"/>
      <c r="L59" s="22"/>
      <c r="M59" s="27"/>
      <c r="N59" s="26"/>
      <c r="O59" s="27"/>
      <c r="P59" s="27"/>
      <c r="Q59" s="16"/>
    </row>
    <row r="60" spans="2:17" s="149" customFormat="1" ht="19.7" customHeight="1" x14ac:dyDescent="0.15">
      <c r="B60" s="143">
        <v>2</v>
      </c>
      <c r="C60" s="105" t="s">
        <v>25</v>
      </c>
      <c r="D60" s="105" t="s">
        <v>174</v>
      </c>
      <c r="E60" s="144" t="s">
        <v>175</v>
      </c>
      <c r="F60" s="145">
        <v>1</v>
      </c>
      <c r="G60" s="107">
        <v>1800</v>
      </c>
      <c r="H60" s="146">
        <f t="shared" si="2"/>
        <v>1800</v>
      </c>
      <c r="I60" s="147"/>
      <c r="J60" s="109" t="s">
        <v>24</v>
      </c>
      <c r="K60" s="109" t="s">
        <v>176</v>
      </c>
      <c r="L60" s="104" t="s">
        <v>38</v>
      </c>
      <c r="M60" s="141">
        <v>44725</v>
      </c>
      <c r="N60" s="105"/>
      <c r="O60" s="141">
        <v>44732</v>
      </c>
      <c r="P60" s="141"/>
      <c r="Q60" s="148">
        <v>44732</v>
      </c>
    </row>
    <row r="61" spans="2:17" s="149" customFormat="1" ht="19.7" customHeight="1" x14ac:dyDescent="0.15">
      <c r="B61" s="105"/>
      <c r="C61" s="105"/>
      <c r="D61" s="105"/>
      <c r="E61" s="144"/>
      <c r="F61" s="106"/>
      <c r="G61" s="107"/>
      <c r="H61" s="150">
        <f t="shared" si="2"/>
        <v>0</v>
      </c>
      <c r="I61" s="147"/>
      <c r="J61" s="109"/>
      <c r="K61" s="109"/>
      <c r="L61" s="108"/>
      <c r="M61" s="142"/>
      <c r="N61" s="105"/>
      <c r="O61" s="141"/>
      <c r="P61" s="141"/>
      <c r="Q61" s="148"/>
    </row>
    <row r="62" spans="2:17" s="19" customFormat="1" ht="19.7" customHeight="1" x14ac:dyDescent="0.15">
      <c r="B62" s="21"/>
      <c r="C62" s="21"/>
      <c r="D62" s="21"/>
      <c r="E62" s="36"/>
      <c r="F62" s="43"/>
      <c r="G62" s="29"/>
      <c r="H62" s="33">
        <f t="shared" si="2"/>
        <v>0</v>
      </c>
      <c r="I62" s="39"/>
      <c r="J62" s="40"/>
      <c r="K62" s="40"/>
      <c r="L62" s="22"/>
      <c r="M62" s="25"/>
      <c r="N62" s="26"/>
      <c r="O62" s="27"/>
      <c r="P62" s="30"/>
      <c r="Q62" s="28"/>
    </row>
    <row r="63" spans="2:17" s="19" customFormat="1" ht="19.7" customHeight="1" x14ac:dyDescent="0.15">
      <c r="B63" s="21">
        <v>5</v>
      </c>
      <c r="C63" s="105" t="s">
        <v>145</v>
      </c>
      <c r="D63" s="105" t="s">
        <v>145</v>
      </c>
      <c r="E63" s="109" t="s">
        <v>59</v>
      </c>
      <c r="F63" s="106">
        <v>1</v>
      </c>
      <c r="G63" s="107">
        <v>3700</v>
      </c>
      <c r="H63" s="38">
        <f t="shared" ref="H63:H75" si="3">F63*G63</f>
        <v>3700</v>
      </c>
      <c r="I63" s="2"/>
      <c r="J63" s="110" t="s">
        <v>104</v>
      </c>
      <c r="K63" s="109" t="s">
        <v>169</v>
      </c>
      <c r="L63" s="108" t="s">
        <v>105</v>
      </c>
      <c r="M63" s="25">
        <v>44722</v>
      </c>
      <c r="N63" s="26"/>
      <c r="O63" s="27"/>
      <c r="P63" s="141">
        <v>44748</v>
      </c>
      <c r="Q63" s="28">
        <v>44747</v>
      </c>
    </row>
    <row r="64" spans="2:17" s="19" customFormat="1" ht="19.7" customHeight="1" x14ac:dyDescent="0.15">
      <c r="B64" s="4">
        <v>1</v>
      </c>
      <c r="C64" s="105" t="s">
        <v>145</v>
      </c>
      <c r="D64" s="105" t="s">
        <v>145</v>
      </c>
      <c r="E64" s="109" t="s">
        <v>90</v>
      </c>
      <c r="F64" s="106">
        <v>1</v>
      </c>
      <c r="G64" s="107">
        <v>3700</v>
      </c>
      <c r="H64" s="38">
        <f t="shared" si="3"/>
        <v>3700</v>
      </c>
      <c r="I64" s="2"/>
      <c r="J64" s="110" t="s">
        <v>106</v>
      </c>
      <c r="K64" s="109" t="s">
        <v>169</v>
      </c>
      <c r="L64" s="104" t="s">
        <v>60</v>
      </c>
      <c r="M64" s="25">
        <v>44722</v>
      </c>
      <c r="N64" s="26"/>
      <c r="O64" s="27"/>
      <c r="P64" s="141">
        <v>44748</v>
      </c>
      <c r="Q64" s="28">
        <v>44747</v>
      </c>
    </row>
    <row r="65" spans="2:17" s="19" customFormat="1" ht="19.7" customHeight="1" x14ac:dyDescent="0.15">
      <c r="B65" s="4">
        <v>1</v>
      </c>
      <c r="C65" s="105" t="s">
        <v>145</v>
      </c>
      <c r="D65" s="105" t="s">
        <v>145</v>
      </c>
      <c r="E65" s="109" t="s">
        <v>91</v>
      </c>
      <c r="F65" s="106">
        <v>1</v>
      </c>
      <c r="G65" s="107">
        <v>7200</v>
      </c>
      <c r="H65" s="38">
        <f t="shared" si="3"/>
        <v>7200</v>
      </c>
      <c r="I65" s="2"/>
      <c r="J65" s="110" t="s">
        <v>61</v>
      </c>
      <c r="K65" s="109" t="s">
        <v>169</v>
      </c>
      <c r="L65" s="104" t="s">
        <v>60</v>
      </c>
      <c r="M65" s="25">
        <v>44722</v>
      </c>
      <c r="N65" s="26"/>
      <c r="O65" s="27"/>
      <c r="P65" s="141">
        <v>44748</v>
      </c>
      <c r="Q65" s="28">
        <v>44747</v>
      </c>
    </row>
    <row r="66" spans="2:17" s="19" customFormat="1" ht="19.7" customHeight="1" x14ac:dyDescent="0.15">
      <c r="B66" s="4">
        <v>2</v>
      </c>
      <c r="C66" s="105" t="s">
        <v>145</v>
      </c>
      <c r="D66" s="105" t="s">
        <v>145</v>
      </c>
      <c r="E66" s="109" t="s">
        <v>92</v>
      </c>
      <c r="F66" s="106">
        <v>1</v>
      </c>
      <c r="G66" s="107">
        <v>6000</v>
      </c>
      <c r="H66" s="38">
        <f t="shared" si="3"/>
        <v>6000</v>
      </c>
      <c r="I66" s="2"/>
      <c r="J66" s="110" t="s">
        <v>62</v>
      </c>
      <c r="K66" s="109" t="s">
        <v>169</v>
      </c>
      <c r="L66" s="108" t="s">
        <v>38</v>
      </c>
      <c r="M66" s="25">
        <v>44722</v>
      </c>
      <c r="N66" s="26"/>
      <c r="O66" s="27"/>
      <c r="P66" s="141">
        <v>44748</v>
      </c>
      <c r="Q66" s="28">
        <v>44747</v>
      </c>
    </row>
    <row r="67" spans="2:17" s="19" customFormat="1" ht="19.7" customHeight="1" x14ac:dyDescent="0.15">
      <c r="B67" s="4">
        <v>6</v>
      </c>
      <c r="C67" s="105" t="s">
        <v>145</v>
      </c>
      <c r="D67" s="105" t="s">
        <v>145</v>
      </c>
      <c r="E67" s="109" t="s">
        <v>93</v>
      </c>
      <c r="F67" s="106">
        <v>2</v>
      </c>
      <c r="G67" s="107">
        <v>5600</v>
      </c>
      <c r="H67" s="38">
        <f t="shared" si="3"/>
        <v>11200</v>
      </c>
      <c r="I67" s="2"/>
      <c r="J67" s="110" t="s">
        <v>63</v>
      </c>
      <c r="K67" s="109" t="s">
        <v>169</v>
      </c>
      <c r="L67" s="108" t="s">
        <v>47</v>
      </c>
      <c r="M67" s="25">
        <v>44722</v>
      </c>
      <c r="N67" s="26"/>
      <c r="O67" s="27"/>
      <c r="P67" s="141">
        <v>44748</v>
      </c>
      <c r="Q67" s="28">
        <v>44747</v>
      </c>
    </row>
    <row r="68" spans="2:17" s="19" customFormat="1" ht="19.7" customHeight="1" x14ac:dyDescent="0.15">
      <c r="B68" s="4">
        <v>6</v>
      </c>
      <c r="C68" s="105" t="s">
        <v>145</v>
      </c>
      <c r="D68" s="105" t="s">
        <v>145</v>
      </c>
      <c r="E68" s="109" t="s">
        <v>94</v>
      </c>
      <c r="F68" s="106">
        <v>1</v>
      </c>
      <c r="G68" s="107">
        <v>1700</v>
      </c>
      <c r="H68" s="38">
        <f t="shared" si="3"/>
        <v>1700</v>
      </c>
      <c r="I68" s="2"/>
      <c r="J68" s="111" t="s">
        <v>64</v>
      </c>
      <c r="K68" s="109" t="s">
        <v>169</v>
      </c>
      <c r="L68" s="108" t="s">
        <v>49</v>
      </c>
      <c r="M68" s="25">
        <v>44722</v>
      </c>
      <c r="N68" s="26"/>
      <c r="O68" s="27"/>
      <c r="P68" s="141">
        <v>44748</v>
      </c>
      <c r="Q68" s="28">
        <v>44747</v>
      </c>
    </row>
    <row r="69" spans="2:17" s="19" customFormat="1" ht="19.7" customHeight="1" x14ac:dyDescent="0.15">
      <c r="B69" s="21">
        <v>3</v>
      </c>
      <c r="C69" s="105" t="s">
        <v>145</v>
      </c>
      <c r="D69" s="105" t="s">
        <v>145</v>
      </c>
      <c r="E69" s="62" t="s">
        <v>95</v>
      </c>
      <c r="F69" s="65">
        <v>1</v>
      </c>
      <c r="G69" s="93">
        <v>16200</v>
      </c>
      <c r="H69" s="38">
        <f t="shared" si="3"/>
        <v>16200</v>
      </c>
      <c r="I69" s="2"/>
      <c r="J69" s="103" t="s">
        <v>107</v>
      </c>
      <c r="K69" s="109" t="s">
        <v>169</v>
      </c>
      <c r="L69" s="108" t="s">
        <v>53</v>
      </c>
      <c r="M69" s="25">
        <v>44722</v>
      </c>
      <c r="N69" s="26"/>
      <c r="O69" s="27"/>
      <c r="P69" s="141">
        <v>44748</v>
      </c>
      <c r="Q69" s="28">
        <v>44747</v>
      </c>
    </row>
    <row r="70" spans="2:17" s="19" customFormat="1" ht="19.7" customHeight="1" x14ac:dyDescent="0.15">
      <c r="B70" s="21">
        <v>3</v>
      </c>
      <c r="C70" s="105" t="s">
        <v>145</v>
      </c>
      <c r="D70" s="105" t="s">
        <v>145</v>
      </c>
      <c r="E70" s="62" t="s">
        <v>171</v>
      </c>
      <c r="F70" s="65">
        <v>1</v>
      </c>
      <c r="G70" s="93">
        <v>9500</v>
      </c>
      <c r="H70" s="38">
        <f t="shared" si="3"/>
        <v>9500</v>
      </c>
      <c r="I70" s="2"/>
      <c r="J70" s="103" t="s">
        <v>108</v>
      </c>
      <c r="K70" s="109" t="s">
        <v>169</v>
      </c>
      <c r="L70" s="108" t="s">
        <v>53</v>
      </c>
      <c r="M70" s="25">
        <v>44722</v>
      </c>
      <c r="N70" s="26"/>
      <c r="O70" s="27"/>
      <c r="P70" s="141">
        <v>44748</v>
      </c>
      <c r="Q70" s="28">
        <v>44747</v>
      </c>
    </row>
    <row r="71" spans="2:17" s="19" customFormat="1" ht="19.7" customHeight="1" x14ac:dyDescent="0.15">
      <c r="B71" s="21">
        <v>3</v>
      </c>
      <c r="C71" s="105" t="s">
        <v>145</v>
      </c>
      <c r="D71" s="105" t="s">
        <v>145</v>
      </c>
      <c r="E71" s="62" t="s">
        <v>172</v>
      </c>
      <c r="F71" s="65">
        <v>1</v>
      </c>
      <c r="G71" s="93">
        <v>8200</v>
      </c>
      <c r="H71" s="38">
        <f t="shared" si="3"/>
        <v>8200</v>
      </c>
      <c r="I71" s="2"/>
      <c r="J71" s="103" t="s">
        <v>109</v>
      </c>
      <c r="K71" s="109" t="s">
        <v>169</v>
      </c>
      <c r="L71" s="108" t="s">
        <v>53</v>
      </c>
      <c r="M71" s="25">
        <v>44722</v>
      </c>
      <c r="N71" s="26"/>
      <c r="O71" s="27"/>
      <c r="P71" s="141">
        <v>44748</v>
      </c>
      <c r="Q71" s="28">
        <v>44747</v>
      </c>
    </row>
    <row r="72" spans="2:17" s="19" customFormat="1" ht="19.7" customHeight="1" x14ac:dyDescent="0.15">
      <c r="B72" s="21">
        <v>8</v>
      </c>
      <c r="C72" s="105" t="s">
        <v>145</v>
      </c>
      <c r="D72" s="105" t="s">
        <v>145</v>
      </c>
      <c r="E72" s="109" t="s">
        <v>120</v>
      </c>
      <c r="F72" s="106">
        <v>1</v>
      </c>
      <c r="G72" s="107">
        <v>2500</v>
      </c>
      <c r="H72" s="63">
        <f t="shared" si="3"/>
        <v>2500</v>
      </c>
      <c r="I72" s="39"/>
      <c r="J72" s="111" t="s">
        <v>121</v>
      </c>
      <c r="K72" s="109" t="s">
        <v>169</v>
      </c>
      <c r="L72" s="108" t="s">
        <v>119</v>
      </c>
      <c r="M72" s="25">
        <v>44722</v>
      </c>
      <c r="N72" s="26"/>
      <c r="O72" s="27"/>
      <c r="P72" s="141">
        <v>44748</v>
      </c>
      <c r="Q72" s="28">
        <v>44747</v>
      </c>
    </row>
    <row r="73" spans="2:17" s="19" customFormat="1" ht="19.7" customHeight="1" x14ac:dyDescent="0.15">
      <c r="B73" s="4">
        <v>12</v>
      </c>
      <c r="C73" s="105" t="s">
        <v>145</v>
      </c>
      <c r="D73" s="105" t="s">
        <v>145</v>
      </c>
      <c r="E73" s="120" t="s">
        <v>141</v>
      </c>
      <c r="F73" s="77">
        <v>1</v>
      </c>
      <c r="G73" s="78">
        <v>21000</v>
      </c>
      <c r="H73" s="38">
        <f t="shared" si="3"/>
        <v>21000</v>
      </c>
      <c r="I73" s="39"/>
      <c r="J73" s="79" t="s">
        <v>143</v>
      </c>
      <c r="K73" s="109" t="s">
        <v>169</v>
      </c>
      <c r="L73" s="118" t="s">
        <v>132</v>
      </c>
      <c r="M73" s="25">
        <v>44722</v>
      </c>
      <c r="N73" s="26"/>
      <c r="O73" s="27"/>
      <c r="P73" s="141">
        <v>44748</v>
      </c>
      <c r="Q73" s="28">
        <v>44747</v>
      </c>
    </row>
    <row r="74" spans="2:17" s="19" customFormat="1" ht="19.7" customHeight="1" x14ac:dyDescent="0.15">
      <c r="B74" s="21">
        <v>12</v>
      </c>
      <c r="C74" s="105" t="s">
        <v>145</v>
      </c>
      <c r="D74" s="105" t="s">
        <v>145</v>
      </c>
      <c r="E74" s="120" t="s">
        <v>173</v>
      </c>
      <c r="F74" s="116">
        <v>1</v>
      </c>
      <c r="G74" s="88">
        <v>7000</v>
      </c>
      <c r="H74" s="29">
        <f t="shared" si="3"/>
        <v>7000</v>
      </c>
      <c r="I74" s="39"/>
      <c r="J74" s="79" t="s">
        <v>144</v>
      </c>
      <c r="K74" s="109" t="s">
        <v>169</v>
      </c>
      <c r="L74" s="118" t="s">
        <v>142</v>
      </c>
      <c r="M74" s="25">
        <v>44722</v>
      </c>
      <c r="N74" s="26"/>
      <c r="O74" s="27"/>
      <c r="P74" s="141">
        <v>44748</v>
      </c>
      <c r="Q74" s="28">
        <v>44747</v>
      </c>
    </row>
    <row r="75" spans="2:17" s="19" customFormat="1" ht="19.7" customHeight="1" x14ac:dyDescent="0.15">
      <c r="B75" s="4">
        <v>6</v>
      </c>
      <c r="C75" s="105" t="s">
        <v>145</v>
      </c>
      <c r="D75" s="105" t="s">
        <v>145</v>
      </c>
      <c r="E75" s="109" t="s">
        <v>96</v>
      </c>
      <c r="F75" s="106">
        <v>1</v>
      </c>
      <c r="G75" s="107">
        <v>8600</v>
      </c>
      <c r="H75" s="121">
        <f t="shared" si="3"/>
        <v>8600</v>
      </c>
      <c r="I75" s="2"/>
      <c r="J75" s="111" t="s">
        <v>65</v>
      </c>
      <c r="K75" s="109" t="s">
        <v>169</v>
      </c>
      <c r="L75" s="108" t="s">
        <v>49</v>
      </c>
      <c r="M75" s="25">
        <v>44722</v>
      </c>
      <c r="N75" s="26"/>
      <c r="O75" s="27"/>
      <c r="P75" s="141">
        <v>44748</v>
      </c>
      <c r="Q75" s="28">
        <v>44747</v>
      </c>
    </row>
    <row r="76" spans="2:17" s="47" customFormat="1" ht="19.7" customHeight="1" x14ac:dyDescent="0.15">
      <c r="B76" s="21"/>
      <c r="C76" s="21"/>
      <c r="D76" s="21"/>
      <c r="E76" s="36"/>
      <c r="F76" s="43"/>
      <c r="G76" s="42"/>
      <c r="H76" s="33">
        <f t="shared" ref="H76:H82" si="4">F76*G76</f>
        <v>0</v>
      </c>
      <c r="I76" s="39"/>
      <c r="J76" s="40"/>
      <c r="K76" s="40"/>
      <c r="L76" s="22"/>
      <c r="M76" s="25"/>
      <c r="N76" s="21"/>
      <c r="O76" s="27"/>
      <c r="P76" s="27"/>
      <c r="Q76" s="28"/>
    </row>
    <row r="77" spans="2:17" s="47" customFormat="1" ht="19.7" customHeight="1" x14ac:dyDescent="0.15">
      <c r="B77" s="21"/>
      <c r="C77" s="21"/>
      <c r="D77" s="21"/>
      <c r="E77" s="36"/>
      <c r="F77" s="37"/>
      <c r="G77" s="42"/>
      <c r="H77" s="33">
        <f t="shared" si="4"/>
        <v>0</v>
      </c>
      <c r="I77" s="39"/>
      <c r="J77" s="40"/>
      <c r="K77" s="40"/>
      <c r="L77" s="22"/>
      <c r="M77" s="44"/>
      <c r="N77" s="21"/>
      <c r="O77" s="45"/>
      <c r="P77" s="45"/>
      <c r="Q77" s="46"/>
    </row>
    <row r="78" spans="2:17" s="47" customFormat="1" ht="19.7" customHeight="1" x14ac:dyDescent="0.15">
      <c r="B78" s="21">
        <v>3</v>
      </c>
      <c r="C78" s="21" t="s">
        <v>178</v>
      </c>
      <c r="D78" s="21" t="s">
        <v>181</v>
      </c>
      <c r="E78" s="36" t="s">
        <v>182</v>
      </c>
      <c r="F78" s="43">
        <v>2</v>
      </c>
      <c r="G78" s="42">
        <v>147</v>
      </c>
      <c r="H78" s="153">
        <f t="shared" si="4"/>
        <v>294</v>
      </c>
      <c r="I78" s="39"/>
      <c r="J78" s="40" t="s">
        <v>179</v>
      </c>
      <c r="K78" s="40" t="s">
        <v>180</v>
      </c>
      <c r="L78" s="22" t="s">
        <v>53</v>
      </c>
      <c r="M78" s="44">
        <v>44757</v>
      </c>
      <c r="N78" s="21"/>
      <c r="O78" s="44">
        <v>44757</v>
      </c>
      <c r="P78" s="45">
        <v>44758</v>
      </c>
      <c r="Q78" s="46">
        <v>44761</v>
      </c>
    </row>
    <row r="79" spans="2:17" s="47" customFormat="1" ht="19.7" customHeight="1" x14ac:dyDescent="0.15">
      <c r="B79" s="21">
        <v>6</v>
      </c>
      <c r="C79" s="98" t="s">
        <v>183</v>
      </c>
      <c r="D79" s="98" t="s">
        <v>34</v>
      </c>
      <c r="E79" s="101" t="s">
        <v>184</v>
      </c>
      <c r="F79" s="102">
        <v>1</v>
      </c>
      <c r="G79" s="42">
        <v>220</v>
      </c>
      <c r="H79" s="138">
        <f t="shared" si="4"/>
        <v>220</v>
      </c>
      <c r="I79" s="39"/>
      <c r="J79" s="97" t="s">
        <v>103</v>
      </c>
      <c r="K79" s="40" t="s">
        <v>37</v>
      </c>
      <c r="L79" s="22" t="s">
        <v>185</v>
      </c>
      <c r="M79" s="44">
        <v>44761</v>
      </c>
      <c r="N79" s="21"/>
      <c r="O79" s="45" t="s">
        <v>186</v>
      </c>
      <c r="P79" s="45">
        <v>44769</v>
      </c>
      <c r="Q79" s="46">
        <v>44768</v>
      </c>
    </row>
    <row r="80" spans="2:17" s="19" customFormat="1" ht="19.7" customHeight="1" x14ac:dyDescent="0.15">
      <c r="B80" s="21"/>
      <c r="C80" s="21"/>
      <c r="D80" s="21"/>
      <c r="E80" s="31"/>
      <c r="F80" s="32"/>
      <c r="G80" s="29"/>
      <c r="H80" s="33">
        <f t="shared" si="4"/>
        <v>0</v>
      </c>
      <c r="I80" s="23"/>
      <c r="J80" s="34"/>
      <c r="K80" s="24"/>
      <c r="L80" s="22"/>
      <c r="M80" s="44"/>
      <c r="N80" s="26"/>
      <c r="O80" s="27"/>
      <c r="P80" s="45"/>
      <c r="Q80" s="28"/>
    </row>
    <row r="81" spans="2:17" s="19" customFormat="1" ht="19.7" customHeight="1" x14ac:dyDescent="0.15">
      <c r="B81" s="21"/>
      <c r="C81" s="21"/>
      <c r="D81" s="21"/>
      <c r="E81" s="31"/>
      <c r="F81" s="32"/>
      <c r="G81" s="29"/>
      <c r="H81" s="33">
        <f t="shared" si="4"/>
        <v>0</v>
      </c>
      <c r="I81" s="23"/>
      <c r="J81" s="34"/>
      <c r="K81" s="24"/>
      <c r="L81" s="22"/>
      <c r="M81" s="44"/>
      <c r="N81" s="26"/>
      <c r="O81" s="27"/>
      <c r="P81" s="45"/>
      <c r="Q81" s="28"/>
    </row>
    <row r="82" spans="2:17" s="19" customFormat="1" ht="19.7" customHeight="1" x14ac:dyDescent="0.15">
      <c r="B82" s="21"/>
      <c r="C82" s="21"/>
      <c r="D82" s="21"/>
      <c r="E82" s="31"/>
      <c r="F82" s="32"/>
      <c r="G82" s="29"/>
      <c r="H82" s="33">
        <f t="shared" si="4"/>
        <v>0</v>
      </c>
      <c r="I82" s="23"/>
      <c r="J82" s="34"/>
      <c r="K82" s="24"/>
      <c r="L82" s="22"/>
      <c r="M82" s="44"/>
      <c r="N82" s="26"/>
      <c r="O82" s="27"/>
      <c r="P82" s="45"/>
      <c r="Q82" s="28"/>
    </row>
    <row r="83" spans="2:17" s="19" customFormat="1" ht="19.7" customHeight="1" x14ac:dyDescent="0.15">
      <c r="Q83" s="154"/>
    </row>
    <row r="84" spans="2:17" s="19" customFormat="1" ht="19.7" customHeight="1" x14ac:dyDescent="0.15">
      <c r="B84" s="48"/>
      <c r="C84" s="48"/>
      <c r="D84" s="48"/>
      <c r="E84" s="49"/>
      <c r="F84" s="50"/>
      <c r="G84" s="51"/>
      <c r="H84" s="51"/>
      <c r="I84" s="52"/>
      <c r="J84" s="49"/>
      <c r="K84" s="53"/>
      <c r="L84" s="54"/>
      <c r="M84" s="55"/>
      <c r="N84" s="56"/>
      <c r="O84" s="57"/>
      <c r="P84" s="58"/>
      <c r="Q84" s="154"/>
    </row>
    <row r="85" spans="2:17" s="19" customFormat="1" ht="19.7" customHeight="1" x14ac:dyDescent="0.15">
      <c r="B85" s="48"/>
      <c r="C85" s="48"/>
      <c r="D85" s="48"/>
      <c r="E85" s="49"/>
      <c r="F85" s="50"/>
      <c r="G85" s="51"/>
      <c r="H85" s="51"/>
      <c r="I85" s="52"/>
      <c r="J85" s="49"/>
      <c r="K85" s="53"/>
      <c r="L85" s="54"/>
      <c r="M85" s="55"/>
      <c r="N85" s="56"/>
      <c r="O85" s="57"/>
      <c r="P85" s="58"/>
      <c r="Q85" s="154"/>
    </row>
    <row r="86" spans="2:17" s="19" customFormat="1" ht="19.7" customHeight="1" x14ac:dyDescent="0.15">
      <c r="B86" s="48"/>
      <c r="C86" s="56"/>
      <c r="D86" s="48"/>
      <c r="E86" s="49"/>
      <c r="F86" s="50"/>
      <c r="G86" s="51"/>
      <c r="H86" s="51"/>
      <c r="I86" s="52"/>
      <c r="J86" s="49"/>
      <c r="K86" s="53"/>
      <c r="L86" s="54"/>
      <c r="M86" s="55"/>
      <c r="N86" s="56"/>
      <c r="O86" s="57"/>
      <c r="P86" s="58"/>
      <c r="Q86" s="154"/>
    </row>
    <row r="87" spans="2:17" s="19" customFormat="1" ht="19.7" customHeight="1" x14ac:dyDescent="0.15">
      <c r="B87" s="48"/>
      <c r="C87" s="56"/>
      <c r="D87" s="48"/>
      <c r="E87" s="49"/>
      <c r="F87" s="50"/>
      <c r="G87" s="51"/>
      <c r="H87" s="51"/>
      <c r="I87" s="52"/>
      <c r="J87" s="49"/>
      <c r="K87" s="53"/>
      <c r="L87" s="54"/>
      <c r="M87" s="55"/>
      <c r="N87" s="56"/>
      <c r="O87" s="57"/>
      <c r="P87" s="58"/>
      <c r="Q87" s="154"/>
    </row>
    <row r="88" spans="2:17" s="19" customFormat="1" ht="19.7" customHeight="1" x14ac:dyDescent="0.15">
      <c r="B88" s="48"/>
      <c r="C88" s="48"/>
      <c r="D88" s="48"/>
      <c r="E88" s="49"/>
      <c r="F88" s="50"/>
      <c r="G88" s="51"/>
      <c r="H88" s="51"/>
      <c r="I88" s="52"/>
      <c r="J88" s="59"/>
      <c r="K88" s="53"/>
      <c r="L88" s="54"/>
      <c r="M88" s="55"/>
      <c r="N88" s="56"/>
      <c r="O88" s="57"/>
      <c r="P88" s="58"/>
      <c r="Q88" s="154"/>
    </row>
    <row r="89" spans="2:17" s="19" customFormat="1" ht="19.7" customHeight="1" x14ac:dyDescent="0.15">
      <c r="B89" s="48"/>
      <c r="C89" s="48"/>
      <c r="D89" s="48"/>
      <c r="E89" s="49"/>
      <c r="F89" s="50"/>
      <c r="G89" s="51"/>
      <c r="H89" s="51"/>
      <c r="I89" s="52"/>
      <c r="J89" s="49"/>
      <c r="K89" s="53"/>
      <c r="L89" s="54"/>
      <c r="M89" s="55"/>
      <c r="N89" s="56"/>
      <c r="O89" s="57"/>
      <c r="P89" s="58"/>
      <c r="Q89" s="154"/>
    </row>
    <row r="90" spans="2:17" s="19" customFormat="1" ht="19.7" customHeight="1" x14ac:dyDescent="0.15">
      <c r="B90" s="48"/>
      <c r="C90" s="52"/>
      <c r="D90" s="54"/>
      <c r="E90" s="49"/>
      <c r="F90" s="50"/>
      <c r="G90" s="51"/>
      <c r="H90" s="51"/>
      <c r="I90" s="52"/>
      <c r="J90" s="49"/>
      <c r="K90" s="53"/>
      <c r="L90" s="52"/>
      <c r="M90" s="60"/>
      <c r="N90" s="56"/>
      <c r="O90" s="57"/>
      <c r="P90" s="57"/>
      <c r="Q90" s="154"/>
    </row>
    <row r="91" spans="2:17" s="19" customFormat="1" ht="19.7" customHeight="1" x14ac:dyDescent="0.15">
      <c r="B91" s="48"/>
      <c r="C91" s="56"/>
      <c r="D91" s="48"/>
      <c r="E91" s="61"/>
      <c r="F91" s="61"/>
      <c r="G91" s="51"/>
      <c r="H91" s="51"/>
      <c r="I91" s="54"/>
      <c r="J91" s="61"/>
      <c r="K91" s="59"/>
      <c r="L91" s="54"/>
      <c r="M91" s="60"/>
      <c r="N91" s="56"/>
      <c r="O91" s="57"/>
      <c r="P91" s="57"/>
      <c r="Q91" s="154"/>
    </row>
    <row r="92" spans="2:17" s="19" customFormat="1" ht="19.7" customHeight="1" x14ac:dyDescent="0.15">
      <c r="B92" s="48"/>
      <c r="C92" s="52"/>
      <c r="D92" s="54"/>
      <c r="E92" s="49"/>
      <c r="F92" s="50"/>
      <c r="G92" s="51"/>
      <c r="H92" s="51"/>
      <c r="I92" s="52"/>
      <c r="J92" s="49"/>
      <c r="K92" s="53"/>
      <c r="L92" s="52"/>
      <c r="M92" s="60"/>
      <c r="N92" s="56"/>
      <c r="O92" s="57"/>
      <c r="P92" s="57"/>
      <c r="Q92" s="154"/>
    </row>
    <row r="93" spans="2:17" s="19" customFormat="1" ht="19.7" customHeight="1" x14ac:dyDescent="0.15">
      <c r="B93" s="48"/>
      <c r="C93" s="52"/>
      <c r="D93" s="54"/>
      <c r="E93" s="49"/>
      <c r="F93" s="50"/>
      <c r="G93" s="51"/>
      <c r="H93" s="51"/>
      <c r="I93" s="52"/>
      <c r="J93" s="49"/>
      <c r="K93" s="53"/>
      <c r="L93" s="52"/>
      <c r="M93" s="60"/>
      <c r="N93" s="56"/>
      <c r="O93" s="57"/>
      <c r="P93" s="57"/>
      <c r="Q93" s="154"/>
    </row>
    <row r="97" spans="13:13" x14ac:dyDescent="0.15">
      <c r="M97" s="13"/>
    </row>
    <row r="98" spans="13:13" x14ac:dyDescent="0.15">
      <c r="M98" s="14"/>
    </row>
    <row r="99" spans="13:13" x14ac:dyDescent="0.15">
      <c r="M99" s="13"/>
    </row>
    <row r="100" spans="13:13" x14ac:dyDescent="0.15">
      <c r="M100" s="14"/>
    </row>
  </sheetData>
  <autoFilter ref="B8:O93"/>
  <sortState ref="C109:L121">
    <sortCondition ref="E109:E121"/>
  </sortState>
  <mergeCells count="6">
    <mergeCell ref="B6:D6"/>
    <mergeCell ref="G2:I2"/>
    <mergeCell ref="B2:D2"/>
    <mergeCell ref="B3:D3"/>
    <mergeCell ref="B4:D4"/>
    <mergeCell ref="B5:D5"/>
  </mergeCells>
  <phoneticPr fontId="2"/>
  <dataValidations disablePrompts="1" count="1">
    <dataValidation imeMode="hiragana" allowBlank="1" showInputMessage="1" showErrorMessage="1" sqref="J63"/>
  </dataValidations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view="pageBreakPreview" zoomScale="60" zoomScaleNormal="100" workbookViewId="0">
      <selection activeCell="D12" sqref="D12"/>
    </sheetView>
  </sheetViews>
  <sheetFormatPr defaultRowHeight="13.5" x14ac:dyDescent="0.15"/>
  <cols>
    <col min="1" max="1" width="12.125" bestFit="1" customWidth="1"/>
    <col min="2" max="2" width="19.5" bestFit="1" customWidth="1"/>
  </cols>
  <sheetData>
    <row r="3" spans="1:2" ht="17.25" x14ac:dyDescent="0.15">
      <c r="A3" s="151" t="s">
        <v>11</v>
      </c>
      <c r="B3" s="10" t="s">
        <v>29</v>
      </c>
    </row>
    <row r="4" spans="1:2" ht="17.25" x14ac:dyDescent="0.15">
      <c r="A4" s="151" t="s">
        <v>10</v>
      </c>
      <c r="B4" s="7" t="s">
        <v>30</v>
      </c>
    </row>
    <row r="5" spans="1:2" ht="17.25" x14ac:dyDescent="0.15">
      <c r="A5" s="151" t="s">
        <v>12</v>
      </c>
      <c r="B5" s="7">
        <v>197495</v>
      </c>
    </row>
    <row r="6" spans="1:2" ht="17.25" x14ac:dyDescent="0.15">
      <c r="A6" s="151" t="s">
        <v>13</v>
      </c>
      <c r="B6" s="8">
        <v>44775</v>
      </c>
    </row>
    <row r="7" spans="1:2" ht="17.25" x14ac:dyDescent="0.15">
      <c r="A7" s="151" t="s">
        <v>14</v>
      </c>
      <c r="B7" s="8"/>
    </row>
  </sheetData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SET T.SAITO</cp:lastModifiedBy>
  <cp:lastPrinted>2022-06-13T09:07:09Z</cp:lastPrinted>
  <dcterms:created xsi:type="dcterms:W3CDTF">2011-12-13T06:48:43Z</dcterms:created>
  <dcterms:modified xsi:type="dcterms:W3CDTF">2022-09-05T01:06:16Z</dcterms:modified>
</cp:coreProperties>
</file>