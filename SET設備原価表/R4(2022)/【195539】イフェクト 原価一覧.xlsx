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4931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9_{A6766D4D-B160-487E-A502-F40DFFCD44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表紙" sheetId="2" r:id="rId2"/>
    <sheet name="Sheet3" sheetId="3" r:id="rId3"/>
  </sheets>
  <definedNames>
    <definedName name="_xlnm._FilterDatabase" localSheetId="0" hidden="1">Sheet1!$B$8:$O$20</definedName>
    <definedName name="_xlnm.Print_Area" localSheetId="1">表紙!$A$1:$B$5</definedName>
  </definedNames>
  <calcPr calcId="18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purl.oclc.org/ooxml/spreadsheetml/main">
  <c r="H20" i="1" l="1"/>
  <c r="H19" i="1"/>
  <c r="H17" i="1"/>
  <c r="H16" i="1"/>
  <c r="H15" i="1"/>
  <c r="H14" i="1"/>
  <c r="H13" i="1"/>
  <c r="H12" i="1"/>
  <c r="H11" i="1"/>
  <c r="H10" i="1"/>
  <c r="H9" i="1"/>
  <c r="H18" i="1"/>
  <c r="J2" i="1" l="1"/>
</calcChain>
</file>

<file path=xl/sharedStrings.xml><?xml version="1.0" encoding="utf-8"?>
<sst xmlns="http://purl.oclc.org/ooxml/spreadsheetml/main" count="46" uniqueCount="34">
  <si>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</si>
  <si>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</si>
  <si>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</si>
  <si>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</si>
  <si>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</si>
  <si>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</si>
  <si>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</si>
  <si>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</si>
  <si>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</si>
  <si>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</si>
  <si>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</si>
  <si>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</si>
  <si>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</si>
  <si>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</si>
  <si>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</si>
  <si>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</si>
  <si>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</si>
  <si>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</si>
  <si>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</si>
  <si>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</si>
  <si>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</si>
  <si>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平山</t>
    <rPh sb="0" eb="2">
      <t>ヒラヤマ</t>
    </rPh>
    <phoneticPr fontId="1"/>
  </si>
  <si>
    <t xml:space="preserve">富士通テレコムネットワーク　　　　　　　　　　　　　　　　　　　　　　(渡辺精工社) </t>
    <phoneticPr fontId="1"/>
  </si>
  <si>
    <t>山澤</t>
    <rPh sb="0" eb="2">
      <t>ヤマサワ</t>
    </rPh>
    <phoneticPr fontId="1"/>
  </si>
  <si>
    <t>イフェクト</t>
    <phoneticPr fontId="1"/>
  </si>
  <si>
    <t>数量</t>
    <rPh sb="0" eb="2">
      <t>スウリョウ</t>
    </rPh>
    <phoneticPr fontId="1"/>
  </si>
  <si>
    <t>コネクト</t>
    <phoneticPr fontId="1"/>
  </si>
  <si>
    <t>SETH0005-Y01</t>
    <phoneticPr fontId="1"/>
  </si>
  <si>
    <t>SETH0005-Y02</t>
    <phoneticPr fontId="1"/>
  </si>
  <si>
    <t>SETH0005-Y03</t>
    <phoneticPr fontId="1"/>
  </si>
  <si>
    <t>遮光板１</t>
    <rPh sb="0" eb="3">
      <t>シャコウバン</t>
    </rPh>
    <phoneticPr fontId="1"/>
  </si>
  <si>
    <t>遮光板２</t>
    <rPh sb="0" eb="3">
      <t>シャコウバン</t>
    </rPh>
    <phoneticPr fontId="1"/>
  </si>
  <si>
    <t>遮光板３</t>
    <rPh sb="0" eb="3">
      <t>シャコウバン</t>
    </rPh>
    <phoneticPr fontId="1"/>
  </si>
  <si>
    <t>4/11・神奈川営着</t>
    <rPh sb="5" eb="10">
      <t>カナガワエイチャク</t>
    </rPh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</si>
</sst>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);[Red]\(0\)"/>
  </numFmts>
  <fonts count="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6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38" fontId="0" fillId="0" borderId="1" xfId="0" applyNumberForma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38" fontId="0" fillId="3" borderId="1" xfId="0" applyNumberFormat="1" applyFill="1" applyBorder="1" applyAlignment="1">
      <alignment horizontal="right" vertical="center"/>
    </xf>
    <xf numFmtId="38" fontId="0" fillId="3" borderId="3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81" fontId="5" fillId="0" borderId="1" xfId="0" applyNumberFormat="1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181" fontId="0" fillId="0" borderId="1" xfId="0" applyNumberForma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7" fillId="0" borderId="0" xfId="0" applyFont="1">
      <alignment vertical="center"/>
    </xf>
    <xf numFmtId="0" fontId="4" fillId="2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80" fontId="5" fillId="0" borderId="1" xfId="0" applyNumberFormat="1" applyFont="1" applyBorder="1">
      <alignment vertical="center"/>
    </xf>
    <xf numFmtId="38" fontId="5" fillId="0" borderId="1" xfId="0" applyNumberFormat="1" applyFont="1" applyBorder="1" applyAlignment="1">
      <alignment horizontal="right" vertical="center"/>
    </xf>
    <xf numFmtId="38" fontId="6" fillId="0" borderId="1" xfId="0" applyNumberFormat="1" applyFont="1" applyBorder="1" applyAlignment="1">
      <alignment horizontal="right" vertical="center"/>
    </xf>
    <xf numFmtId="56" fontId="0" fillId="0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3"/>
  <sheetViews>
    <sheetView tabSelected="1" topLeftCell="E1" zoomScale="74" zoomScaleNormal="74" workbookViewId="0">
      <selection activeCell="P10" sqref="P10:P11"/>
    </sheetView>
  </sheetViews>
  <sheetFormatPr defaultRowHeight="13.5" x14ac:dyDescent="0.15"/>
  <cols>
    <col min="1" max="1" width="2.625" customWidth="1"/>
    <col min="2" max="2" width="5.75" style="5" customWidth="1"/>
    <col min="3" max="4" width="20.75" customWidth="1"/>
    <col min="5" max="5" width="90.75" customWidth="1"/>
    <col min="6" max="6" width="6.25" customWidth="1"/>
    <col min="7" max="8" width="9.875" bestFit="1" customWidth="1"/>
    <col min="9" max="9" width="5.75" style="11" customWidth="1"/>
    <col min="10" max="10" width="57.375" customWidth="1"/>
    <col min="11" max="11" width="40.625" customWidth="1"/>
    <col min="12" max="12" width="40.75" style="5" customWidth="1"/>
    <col min="13" max="13" width="13.75" style="13" customWidth="1"/>
    <col min="14" max="14" width="6.375" customWidth="1"/>
    <col min="15" max="15" width="13.25" style="11" customWidth="1"/>
    <col min="16" max="16" width="18.875" style="15" customWidth="1"/>
    <col min="17" max="17" width="15.625" style="16" customWidth="1"/>
  </cols>
  <sheetData>
    <row r="2" spans="2:17" ht="20.100000000000001" customHeight="1" x14ac:dyDescent="0.15">
      <c r="B2" s="58" t="s">
        <v>10</v>
      </c>
      <c r="C2" s="58"/>
      <c r="D2" s="58"/>
      <c r="E2" s="12" t="s">
        <v>24</v>
      </c>
      <c r="G2" s="59" t="s">
        <v>14</v>
      </c>
      <c r="H2" s="60"/>
      <c r="I2" s="61"/>
      <c r="J2" s="10">
        <f>SUM(H:H)</f>
        <v>22000</v>
      </c>
      <c r="K2" s="6"/>
      <c r="L2" s="7"/>
    </row>
    <row r="3" spans="2:17" ht="20.100000000000001" customHeight="1" x14ac:dyDescent="0.15">
      <c r="B3" s="58" t="s">
        <v>9</v>
      </c>
      <c r="C3" s="58"/>
      <c r="D3" s="58"/>
      <c r="E3" s="8" t="s">
        <v>23</v>
      </c>
    </row>
    <row r="4" spans="2:17" ht="20.100000000000001" customHeight="1" x14ac:dyDescent="0.15">
      <c r="B4" s="58" t="s">
        <v>11</v>
      </c>
      <c r="C4" s="58"/>
      <c r="D4" s="58"/>
      <c r="E4" s="8">
        <v>195539</v>
      </c>
      <c r="G4" s="46"/>
    </row>
    <row r="5" spans="2:17" ht="20.100000000000001" customHeight="1" x14ac:dyDescent="0.15">
      <c r="B5" s="58" t="s">
        <v>12</v>
      </c>
      <c r="C5" s="58"/>
      <c r="D5" s="58"/>
      <c r="E5" s="9"/>
    </row>
    <row r="6" spans="2:17" ht="20.100000000000001" customHeight="1" x14ac:dyDescent="0.15">
      <c r="B6" s="58" t="s">
        <v>13</v>
      </c>
      <c r="C6" s="58"/>
      <c r="D6" s="58"/>
      <c r="E6" s="9"/>
    </row>
    <row r="7" spans="2:17" x14ac:dyDescent="0.15">
      <c r="B7" s="7"/>
      <c r="C7" s="6"/>
      <c r="D7" s="6"/>
      <c r="E7" s="6"/>
      <c r="F7" s="1"/>
      <c r="G7" s="6"/>
      <c r="H7" s="6"/>
      <c r="I7" s="22"/>
      <c r="J7" s="6"/>
      <c r="K7" s="6"/>
      <c r="L7" s="7"/>
    </row>
    <row r="8" spans="2:17" s="3" customFormat="1" ht="19.899999999999999" customHeight="1" x14ac:dyDescent="0.15">
      <c r="B8" s="4" t="s">
        <v>3</v>
      </c>
      <c r="C8" s="4" t="s">
        <v>8</v>
      </c>
      <c r="D8" s="4" t="s">
        <v>4</v>
      </c>
      <c r="E8" s="1" t="s">
        <v>7</v>
      </c>
      <c r="F8" s="1" t="s">
        <v>25</v>
      </c>
      <c r="G8" s="1" t="s">
        <v>0</v>
      </c>
      <c r="H8" s="2" t="s">
        <v>1</v>
      </c>
      <c r="I8" s="2" t="s">
        <v>17</v>
      </c>
      <c r="J8" s="1" t="s">
        <v>2</v>
      </c>
      <c r="K8" s="1" t="s">
        <v>16</v>
      </c>
      <c r="L8" s="1" t="s">
        <v>15</v>
      </c>
      <c r="M8" s="14" t="s">
        <v>5</v>
      </c>
      <c r="N8" s="4" t="s">
        <v>18</v>
      </c>
      <c r="O8" s="1" t="s">
        <v>6</v>
      </c>
      <c r="P8" s="14" t="s">
        <v>19</v>
      </c>
      <c r="Q8" s="17" t="s">
        <v>20</v>
      </c>
    </row>
    <row r="9" spans="2:17" s="32" customFormat="1" ht="19.899999999999999" customHeight="1" x14ac:dyDescent="0.15">
      <c r="B9" s="33">
        <v>1</v>
      </c>
      <c r="C9" s="38" t="s">
        <v>26</v>
      </c>
      <c r="D9" s="38" t="s">
        <v>26</v>
      </c>
      <c r="E9" s="39" t="s">
        <v>27</v>
      </c>
      <c r="F9" s="40">
        <v>1</v>
      </c>
      <c r="G9" s="28">
        <v>8500</v>
      </c>
      <c r="H9" s="29">
        <f t="shared" ref="H9:H16" si="0">F9*G9</f>
        <v>8500</v>
      </c>
      <c r="I9" s="20"/>
      <c r="J9" s="41" t="s">
        <v>30</v>
      </c>
      <c r="K9" s="21"/>
      <c r="L9" s="37"/>
      <c r="M9" s="34" t="d">
        <v>2022-03-29</v>
      </c>
      <c r="N9" s="33"/>
      <c r="O9" s="57" t="d">
        <v>2022-04-19</v>
      </c>
      <c r="P9" s="34" t="s">
        <v>33</v>
      </c>
      <c r="Q9" s="35"/>
    </row>
    <row r="10" spans="2:17" s="32" customFormat="1" ht="19.899999999999999" customHeight="1" x14ac:dyDescent="0.15">
      <c r="B10" s="33">
        <v>1</v>
      </c>
      <c r="C10" s="38" t="s">
        <v>26</v>
      </c>
      <c r="D10" s="38" t="s">
        <v>26</v>
      </c>
      <c r="E10" s="39" t="s">
        <v>28</v>
      </c>
      <c r="F10" s="40">
        <v>1</v>
      </c>
      <c r="G10" s="28">
        <v>3300</v>
      </c>
      <c r="H10" s="29">
        <f t="shared" si="0"/>
        <v>3300</v>
      </c>
      <c r="I10" s="20"/>
      <c r="J10" s="41" t="s">
        <v>31</v>
      </c>
      <c r="K10" s="21"/>
      <c r="L10" s="37"/>
      <c r="M10" s="34" t="d">
        <v>2022-03-29</v>
      </c>
      <c r="N10" s="33"/>
      <c r="O10" s="57" t="d">
        <v>2022-04-19</v>
      </c>
      <c r="P10" s="34" t="s">
        <v>33</v>
      </c>
      <c r="Q10" s="35"/>
    </row>
    <row r="11" spans="2:17" s="32" customFormat="1" ht="19.899999999999999" customHeight="1" x14ac:dyDescent="0.15">
      <c r="B11" s="33">
        <v>1</v>
      </c>
      <c r="C11" s="38" t="s">
        <v>26</v>
      </c>
      <c r="D11" s="38" t="s">
        <v>26</v>
      </c>
      <c r="E11" s="39" t="s">
        <v>29</v>
      </c>
      <c r="F11" s="40">
        <v>1</v>
      </c>
      <c r="G11" s="28">
        <v>10200</v>
      </c>
      <c r="H11" s="29">
        <f t="shared" si="0"/>
        <v>10200</v>
      </c>
      <c r="I11" s="20"/>
      <c r="J11" s="41" t="s">
        <v>32</v>
      </c>
      <c r="K11" s="21"/>
      <c r="L11" s="37"/>
      <c r="M11" s="34" t="d">
        <v>2022-03-29</v>
      </c>
      <c r="N11" s="33"/>
      <c r="O11" s="57" t="d">
        <v>2022-04-19</v>
      </c>
      <c r="P11" s="34" t="s">
        <v>33</v>
      </c>
      <c r="Q11" s="35"/>
    </row>
    <row r="12" spans="2:17" s="32" customFormat="1" ht="19.899999999999999" customHeight="1" x14ac:dyDescent="0.15">
      <c r="B12" s="33"/>
      <c r="C12" s="38"/>
      <c r="D12" s="38"/>
      <c r="E12" s="39"/>
      <c r="F12" s="40"/>
      <c r="G12" s="28"/>
      <c r="H12" s="29">
        <f t="shared" si="0"/>
        <v>0</v>
      </c>
      <c r="I12" s="20"/>
      <c r="J12" s="41"/>
      <c r="K12" s="21"/>
      <c r="L12" s="37"/>
      <c r="M12" s="34"/>
      <c r="N12" s="33"/>
      <c r="O12" s="30"/>
      <c r="P12" s="34"/>
      <c r="Q12" s="35"/>
    </row>
    <row r="13" spans="2:17" s="32" customFormat="1" ht="19.899999999999999" customHeight="1" x14ac:dyDescent="0.15">
      <c r="B13" s="33"/>
      <c r="C13" s="38"/>
      <c r="D13" s="38"/>
      <c r="E13" s="39"/>
      <c r="F13" s="40"/>
      <c r="G13" s="28"/>
      <c r="H13" s="29">
        <f t="shared" si="0"/>
        <v>0</v>
      </c>
      <c r="I13" s="20"/>
      <c r="J13" s="41"/>
      <c r="K13" s="21"/>
      <c r="L13" s="37"/>
      <c r="M13" s="34"/>
      <c r="N13" s="33"/>
      <c r="O13" s="30"/>
      <c r="P13" s="34"/>
      <c r="Q13" s="35"/>
    </row>
    <row r="14" spans="2:17" s="32" customFormat="1" ht="19.899999999999999" customHeight="1" x14ac:dyDescent="0.15">
      <c r="B14" s="33"/>
      <c r="C14" s="38"/>
      <c r="D14" s="38"/>
      <c r="E14" s="39"/>
      <c r="F14" s="40"/>
      <c r="G14" s="28"/>
      <c r="H14" s="29">
        <f t="shared" si="0"/>
        <v>0</v>
      </c>
      <c r="I14" s="20"/>
      <c r="J14" s="41"/>
      <c r="K14" s="21"/>
      <c r="L14" s="37"/>
      <c r="M14" s="34"/>
      <c r="N14" s="33"/>
      <c r="O14" s="30"/>
      <c r="P14" s="34"/>
      <c r="Q14" s="35"/>
    </row>
    <row r="15" spans="2:17" s="32" customFormat="1" ht="19.899999999999999" customHeight="1" x14ac:dyDescent="0.15">
      <c r="B15" s="33"/>
      <c r="C15" s="38"/>
      <c r="D15" s="38"/>
      <c r="E15" s="39"/>
      <c r="F15" s="40"/>
      <c r="G15" s="28"/>
      <c r="H15" s="29">
        <f t="shared" si="0"/>
        <v>0</v>
      </c>
      <c r="I15" s="20"/>
      <c r="J15" s="41"/>
      <c r="K15" s="21"/>
      <c r="L15" s="37"/>
      <c r="M15" s="34"/>
      <c r="N15" s="33"/>
      <c r="O15" s="30"/>
      <c r="P15" s="34"/>
      <c r="Q15" s="35"/>
    </row>
    <row r="16" spans="2:17" s="32" customFormat="1" ht="19.899999999999999" customHeight="1" x14ac:dyDescent="0.15">
      <c r="B16" s="33"/>
      <c r="C16" s="38"/>
      <c r="D16" s="38"/>
      <c r="E16" s="39"/>
      <c r="F16" s="40"/>
      <c r="G16" s="28"/>
      <c r="H16" s="29">
        <f t="shared" si="0"/>
        <v>0</v>
      </c>
      <c r="I16" s="20"/>
      <c r="J16" s="41"/>
      <c r="K16" s="21"/>
      <c r="L16" s="37"/>
      <c r="M16" s="34"/>
      <c r="N16" s="33"/>
      <c r="O16" s="30"/>
      <c r="P16" s="34"/>
      <c r="Q16" s="35"/>
    </row>
    <row r="17" spans="2:17" s="32" customFormat="1" ht="19.899999999999999" customHeight="1" x14ac:dyDescent="0.15">
      <c r="B17" s="33"/>
      <c r="C17" s="38"/>
      <c r="D17" s="38"/>
      <c r="E17" s="42"/>
      <c r="F17" s="43"/>
      <c r="G17" s="28"/>
      <c r="H17" s="23">
        <f>F17*G17</f>
        <v>0</v>
      </c>
      <c r="I17" s="31"/>
      <c r="J17" s="36"/>
      <c r="K17" s="36"/>
      <c r="L17" s="37"/>
      <c r="M17" s="34"/>
      <c r="N17" s="33"/>
      <c r="O17" s="30"/>
      <c r="P17" s="34"/>
      <c r="Q17" s="35"/>
    </row>
    <row r="18" spans="2:17" s="27" customFormat="1" ht="19.899999999999999" customHeight="1" x14ac:dyDescent="0.15">
      <c r="B18" s="33"/>
      <c r="C18" s="38"/>
      <c r="D18" s="38"/>
      <c r="E18" s="39"/>
      <c r="F18" s="40"/>
      <c r="G18" s="28"/>
      <c r="H18" s="29">
        <f t="shared" ref="H18" si="1">F18*G18</f>
        <v>0</v>
      </c>
      <c r="I18" s="20"/>
      <c r="J18" s="45"/>
      <c r="K18" s="21"/>
      <c r="L18" s="37"/>
      <c r="M18" s="25"/>
      <c r="N18" s="24"/>
      <c r="O18" s="21"/>
      <c r="P18" s="34"/>
      <c r="Q18" s="26"/>
    </row>
    <row r="19" spans="2:17" s="27" customFormat="1" ht="19.899999999999999" customHeight="1" x14ac:dyDescent="0.15">
      <c r="B19" s="33"/>
      <c r="C19" s="52"/>
      <c r="D19" s="52"/>
      <c r="E19" s="53"/>
      <c r="F19" s="54"/>
      <c r="G19" s="55"/>
      <c r="H19" s="56">
        <f>F19*G19</f>
        <v>0</v>
      </c>
      <c r="I19" s="44"/>
      <c r="J19" s="45"/>
      <c r="K19" s="52"/>
      <c r="L19" s="37"/>
      <c r="M19" s="25"/>
      <c r="N19" s="24"/>
      <c r="O19" s="21"/>
      <c r="P19" s="25"/>
      <c r="Q19" s="26"/>
    </row>
    <row r="20" spans="2:17" s="27" customFormat="1" ht="19.899999999999999" customHeight="1" x14ac:dyDescent="0.15">
      <c r="B20" s="33"/>
      <c r="C20" s="52"/>
      <c r="D20" s="52"/>
      <c r="E20" s="53"/>
      <c r="F20" s="54"/>
      <c r="G20" s="55"/>
      <c r="H20" s="56">
        <f>F20*G20</f>
        <v>0</v>
      </c>
      <c r="I20" s="44"/>
      <c r="J20" s="45"/>
      <c r="K20" s="52"/>
      <c r="L20" s="37"/>
      <c r="M20" s="25"/>
      <c r="N20" s="24"/>
      <c r="O20" s="21"/>
      <c r="P20" s="25"/>
      <c r="Q20" s="26"/>
    </row>
    <row r="21" spans="2:17" x14ac:dyDescent="0.15">
      <c r="H21" s="19"/>
    </row>
    <row r="22" spans="2:17" x14ac:dyDescent="0.15">
      <c r="H22" s="19"/>
    </row>
    <row r="23" spans="2:17" x14ac:dyDescent="0.15">
      <c r="H23" s="19"/>
    </row>
    <row r="24" spans="2:17" x14ac:dyDescent="0.15">
      <c r="H24" s="19"/>
    </row>
    <row r="25" spans="2:17" x14ac:dyDescent="0.15">
      <c r="H25" s="19"/>
    </row>
    <row r="26" spans="2:17" x14ac:dyDescent="0.15">
      <c r="H26" s="19"/>
    </row>
    <row r="27" spans="2:17" x14ac:dyDescent="0.15">
      <c r="H27" s="19"/>
    </row>
    <row r="28" spans="2:17" x14ac:dyDescent="0.15">
      <c r="H28" s="19"/>
    </row>
    <row r="29" spans="2:17" x14ac:dyDescent="0.15">
      <c r="H29" s="19"/>
    </row>
    <row r="30" spans="2:17" x14ac:dyDescent="0.15">
      <c r="H30" s="19"/>
    </row>
    <row r="31" spans="2:17" x14ac:dyDescent="0.15">
      <c r="H31" s="19"/>
    </row>
    <row r="32" spans="2:17" x14ac:dyDescent="0.15">
      <c r="H32" s="19"/>
    </row>
    <row r="33" spans="8:8" x14ac:dyDescent="0.15">
      <c r="H33" s="18"/>
    </row>
  </sheetData>
  <autoFilter ref="B8:O20" xr:uid="{00000000-0009-0000-0000-000000000000}"/>
  <sortState xmlns:xlrd2="http://schemas.microsoft.com/office/spreadsheetml/2017/richdata2" ref="B48:Q98">
    <sortCondition ref="E48:E98"/>
  </sortState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60" zoomScaleNormal="100" workbookViewId="0">
      <selection activeCell="C28" sqref="C28"/>
    </sheetView>
  </sheetViews>
  <sheetFormatPr defaultColWidth="25.5" defaultRowHeight="13.5" x14ac:dyDescent="0.15"/>
  <cols>
    <col min="1" max="1" width="13.25" bestFit="1" customWidth="1"/>
    <col min="2" max="2" width="46.875" customWidth="1"/>
  </cols>
  <sheetData>
    <row r="1" spans="1:2" ht="69" customHeight="1" x14ac:dyDescent="0.15">
      <c r="A1" s="47" t="s">
        <v>10</v>
      </c>
      <c r="B1" s="48" t="s">
        <v>22</v>
      </c>
    </row>
    <row r="2" spans="1:2" ht="17.25" x14ac:dyDescent="0.15">
      <c r="A2" s="47" t="s">
        <v>9</v>
      </c>
      <c r="B2" s="49" t="s">
        <v>21</v>
      </c>
    </row>
    <row r="3" spans="1:2" ht="18.75" x14ac:dyDescent="0.15">
      <c r="A3" s="47" t="s">
        <v>11</v>
      </c>
      <c r="B3" s="50">
        <v>190957</v>
      </c>
    </row>
    <row r="4" spans="1:2" ht="17.25" x14ac:dyDescent="0.15">
      <c r="A4" s="47" t="s">
        <v>12</v>
      </c>
      <c r="B4" s="51" t="d">
        <v>2021-10-26</v>
      </c>
    </row>
    <row r="5" spans="1:2" ht="17.25" x14ac:dyDescent="0.15">
      <c r="A5" s="47" t="s">
        <v>13</v>
      </c>
      <c r="B5" s="51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148" orientation="portrait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表紙</vt:lpstr>
      <vt:lpstr>Sheet3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moriwaki</cp:lastModifiedBy>
  <cp:lastPrinted>2021-10-07T07:50:45Z</cp:lastPrinted>
  <dcterms:created xsi:type="dcterms:W3CDTF">2011-12-13T06:48:43Z</dcterms:created>
  <dcterms:modified xsi:type="dcterms:W3CDTF">2022-03-31T00:23:45Z</dcterms:modified>
</cp:coreProperties>
</file>