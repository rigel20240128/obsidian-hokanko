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128"/>
  <workbookPr defaultThemeVersion="124226"/>
  <mc:AlternateContent xmlns:mc="http://schemas.openxmlformats.org/markup-compatibility/2006">
    <mc:Choice Requires="x15">
      <x15ac:absPath xmlns:x15ac="http://schemas.microsoft.com/office/spreadsheetml/2010/11/ac" url="\\192.168.1.6\data\製品管理部(機材)出荷管理課・資材調達課\機材・資材調達課(ﾛﾎﾞｯﾄ部品手配)\"/>
    </mc:Choice>
  </mc:AlternateContent>
  <xr:revisionPtr revIDLastSave="0" documentId="13_ncr:1_{340FF5D2-ED71-4AF5-98DE-924833F3FDFC}" xr6:coauthVersionLast="47" xr6:coauthVersionMax="47" xr10:uidLastSave="{00000000-0000-0000-0000-000000000000}"/>
  <bookViews>
    <workbookView xWindow="28680" yWindow="-120" windowWidth="29040" windowHeight="15840" xr2:uid="{00000000-000D-0000-FFFF-FFFF00000000}"/>
  </bookViews>
  <sheets>
    <sheet name="Sheet1" sheetId="1" r:id="rId1"/>
    <sheet name="表紙" sheetId="2" r:id="rId2"/>
    <sheet name="Sheet3" sheetId="3" r:id="rId3"/>
  </sheets>
  <definedNames>
    <definedName name="_xlnm._FilterDatabase" localSheetId="0" hidden="1">Sheet1!$D$8:$Q$32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D29" i="1" l="1"/>
  <c r="J29" i="1"/>
  <c r="J17" i="1"/>
  <c r="J22" i="1"/>
  <c r="J21" i="1"/>
  <c r="J10" i="1"/>
  <c r="D10" i="1"/>
  <c r="D11" i="1" s="1"/>
  <c r="D12" i="1" s="1"/>
  <c r="D13" i="1" s="1"/>
  <c r="D14" i="1" s="1"/>
  <c r="D15" i="1" s="1"/>
  <c r="D16" i="1" s="1"/>
  <c r="D18" i="1" s="1"/>
  <c r="D19" i="1" s="1"/>
  <c r="D20" i="1" s="1"/>
  <c r="D21" i="1" s="1"/>
  <c r="D22" i="1" s="1"/>
  <c r="D23" i="1" s="1"/>
  <c r="D24" i="1" s="1"/>
  <c r="D25" i="1" s="1"/>
  <c r="D26" i="1" s="1"/>
  <c r="D27" i="1" s="1"/>
  <c r="J23" i="1"/>
  <c r="J24" i="1"/>
  <c r="J25" i="1"/>
  <c r="J26" i="1"/>
  <c r="J27" i="1"/>
  <c r="J20" i="1"/>
  <c r="J19" i="1"/>
  <c r="J18" i="1"/>
  <c r="J16" i="1"/>
  <c r="J15" i="1"/>
  <c r="J14" i="1"/>
  <c r="J13" i="1"/>
  <c r="J12" i="1"/>
  <c r="J11" i="1"/>
  <c r="J9" i="1"/>
  <c r="J32" i="1"/>
  <c r="J31" i="1"/>
  <c r="J30" i="1"/>
  <c r="J28" i="1"/>
  <c r="L2" i="1" l="1"/>
</calcChain>
</file>

<file path=xl/sharedStrings.xml><?xml version="1.0" encoding="utf-8"?>
<sst xmlns="http://schemas.openxmlformats.org/spreadsheetml/2006/main" count="167" uniqueCount="92">
  <si>
    <t>単価</t>
  </si>
  <si>
    <t>金額</t>
  </si>
  <si>
    <t>見積り分類</t>
    <rPh sb="0" eb="2">
      <t>ミツモ</t>
    </rPh>
    <rPh sb="3" eb="5">
      <t>ブンルイ</t>
    </rPh>
    <phoneticPr fontId="1"/>
  </si>
  <si>
    <t>仕入先</t>
    <rPh sb="0" eb="2">
      <t>シイレ</t>
    </rPh>
    <rPh sb="2" eb="3">
      <t>サキ</t>
    </rPh>
    <phoneticPr fontId="1"/>
  </si>
  <si>
    <t>発注日</t>
    <rPh sb="0" eb="2">
      <t>ハッチュウ</t>
    </rPh>
    <rPh sb="2" eb="3">
      <t>ヒ</t>
    </rPh>
    <phoneticPr fontId="1"/>
  </si>
  <si>
    <t>納期</t>
    <rPh sb="0" eb="2">
      <t>ノウ</t>
    </rPh>
    <phoneticPr fontId="1"/>
  </si>
  <si>
    <t>品名 / 型式</t>
    <rPh sb="0" eb="2">
      <t>ヒンメイ</t>
    </rPh>
    <rPh sb="5" eb="7">
      <t>カタシキ</t>
    </rPh>
    <phoneticPr fontId="2"/>
  </si>
  <si>
    <t>メーカー</t>
    <phoneticPr fontId="1"/>
  </si>
  <si>
    <t>担当営業</t>
    <rPh sb="0" eb="2">
      <t>タントウ</t>
    </rPh>
    <rPh sb="2" eb="4">
      <t>エイギョウ</t>
    </rPh>
    <phoneticPr fontId="1"/>
  </si>
  <si>
    <t>お客先名</t>
    <rPh sb="1" eb="3">
      <t>キャクサキ</t>
    </rPh>
    <rPh sb="3" eb="4">
      <t>メイ</t>
    </rPh>
    <phoneticPr fontId="1"/>
  </si>
  <si>
    <t>受注番号</t>
    <rPh sb="0" eb="2">
      <t>ジュチュウ</t>
    </rPh>
    <rPh sb="2" eb="4">
      <t>バンゴウ</t>
    </rPh>
    <phoneticPr fontId="1"/>
  </si>
  <si>
    <t>希望納期</t>
    <rPh sb="0" eb="2">
      <t>キボウ</t>
    </rPh>
    <rPh sb="2" eb="4">
      <t>ノウ</t>
    </rPh>
    <phoneticPr fontId="1"/>
  </si>
  <si>
    <t>最終納品</t>
    <rPh sb="0" eb="2">
      <t>サイシュウ</t>
    </rPh>
    <rPh sb="2" eb="4">
      <t>ノウヒン</t>
    </rPh>
    <phoneticPr fontId="1"/>
  </si>
  <si>
    <t>合計金額</t>
    <rPh sb="0" eb="2">
      <t>ゴウケイ</t>
    </rPh>
    <rPh sb="2" eb="4">
      <t>キンガク</t>
    </rPh>
    <phoneticPr fontId="1"/>
  </si>
  <si>
    <t>分類合計</t>
    <rPh sb="0" eb="2">
      <t>ブンルイ</t>
    </rPh>
    <rPh sb="2" eb="4">
      <t>ゴウケイ</t>
    </rPh>
    <phoneticPr fontId="1"/>
  </si>
  <si>
    <t>発注</t>
    <rPh sb="0" eb="2">
      <t>ハッチュウ</t>
    </rPh>
    <phoneticPr fontId="1"/>
  </si>
  <si>
    <t>入荷予定日</t>
    <rPh sb="0" eb="2">
      <t>ニュウカ</t>
    </rPh>
    <rPh sb="2" eb="4">
      <t>ヨテイ</t>
    </rPh>
    <rPh sb="4" eb="5">
      <t>ヒ</t>
    </rPh>
    <phoneticPr fontId="1"/>
  </si>
  <si>
    <t>入荷日</t>
    <rPh sb="0" eb="2">
      <t>ニュウカ</t>
    </rPh>
    <rPh sb="2" eb="3">
      <t>ビ</t>
    </rPh>
    <phoneticPr fontId="1"/>
  </si>
  <si>
    <t>備考</t>
    <rPh sb="0" eb="2">
      <t>ビコウ</t>
    </rPh>
    <phoneticPr fontId="1"/>
  </si>
  <si>
    <t>技術分類</t>
    <rPh sb="0" eb="2">
      <t>ギジュツ</t>
    </rPh>
    <rPh sb="2" eb="4">
      <t>ブンルイ</t>
    </rPh>
    <phoneticPr fontId="1"/>
  </si>
  <si>
    <t>ミスミ</t>
  </si>
  <si>
    <t>MSYL4-M5</t>
    <phoneticPr fontId="1"/>
  </si>
  <si>
    <t>Φ4分岐継手</t>
    <phoneticPr fontId="1"/>
  </si>
  <si>
    <t>MNCNL4-1</t>
    <phoneticPr fontId="1"/>
  </si>
  <si>
    <t>Φ4ミニチュアワンタッチ継手</t>
    <phoneticPr fontId="1"/>
  </si>
  <si>
    <t>MSHRT3</t>
    <phoneticPr fontId="1"/>
  </si>
  <si>
    <t>小型切替バルブ トグルタイプ</t>
    <phoneticPr fontId="1"/>
  </si>
  <si>
    <t>MNCNL4-M5</t>
    <phoneticPr fontId="1"/>
  </si>
  <si>
    <t xml:space="preserve">Φ4ミニチュアワンタッチ継手 </t>
    <phoneticPr fontId="1"/>
  </si>
  <si>
    <t>MNCNP6-M5</t>
    <phoneticPr fontId="1"/>
  </si>
  <si>
    <t>Φ6ミニチュアワンタッチ継手</t>
    <phoneticPr fontId="1"/>
  </si>
  <si>
    <t>e-CONコネクタ(プラグ)</t>
    <phoneticPr fontId="1"/>
  </si>
  <si>
    <t>e-CON(ソケット)コネクタ付ケーブル</t>
    <phoneticPr fontId="1"/>
  </si>
  <si>
    <t>ミスミ</t>
    <phoneticPr fontId="1"/>
  </si>
  <si>
    <t>モノタロウ</t>
    <phoneticPr fontId="1"/>
  </si>
  <si>
    <t>SMC</t>
    <phoneticPr fontId="1"/>
  </si>
  <si>
    <t>制御機材</t>
    <rPh sb="0" eb="4">
      <t>セイギョキザイ</t>
    </rPh>
    <phoneticPr fontId="1"/>
  </si>
  <si>
    <t xml:space="preserve">デジタル圧力スイッチ（SMC） </t>
    <phoneticPr fontId="1"/>
  </si>
  <si>
    <t>ARP20K-01H-1</t>
    <phoneticPr fontId="1"/>
  </si>
  <si>
    <t>逆流機能付直動精密レギュレータ（SMC）</t>
    <phoneticPr fontId="1"/>
  </si>
  <si>
    <t>ｱﾙﾌﾟｽｱﾙﾊﾟｲﾝ</t>
    <phoneticPr fontId="1"/>
  </si>
  <si>
    <t>千葉(齋藤）</t>
    <rPh sb="0" eb="2">
      <t>チバ</t>
    </rPh>
    <rPh sb="3" eb="5">
      <t>サイトウ</t>
    </rPh>
    <phoneticPr fontId="1"/>
  </si>
  <si>
    <t>194885、 194886</t>
    <phoneticPr fontId="1"/>
  </si>
  <si>
    <t>シリンジ加圧レギュレータユニット（0.4Mpa）</t>
    <rPh sb="4" eb="6">
      <t>カアツ</t>
    </rPh>
    <phoneticPr fontId="1"/>
  </si>
  <si>
    <t>シリンジ加圧レギュレータユニット（0.0～1Mpa）</t>
    <rPh sb="4" eb="6">
      <t>カアツ</t>
    </rPh>
    <phoneticPr fontId="1"/>
  </si>
  <si>
    <t>シリンジ加圧レギュレータユニット</t>
    <rPh sb="4" eb="6">
      <t>カアツ</t>
    </rPh>
    <phoneticPr fontId="1"/>
  </si>
  <si>
    <t>https://www.monotaro.com/p/3992/0728/?t.mpn=ise20-n-m-m5-l</t>
    <phoneticPr fontId="1"/>
  </si>
  <si>
    <t>4日以内</t>
    <rPh sb="1" eb="2">
      <t>ヒ</t>
    </rPh>
    <rPh sb="2" eb="4">
      <t>イナイ</t>
    </rPh>
    <phoneticPr fontId="1"/>
  </si>
  <si>
    <t>ISE20-N-M-M5-L</t>
    <phoneticPr fontId="1"/>
  </si>
  <si>
    <t>8日以内</t>
    <rPh sb="1" eb="2">
      <t>ヒ</t>
    </rPh>
    <rPh sb="2" eb="4">
      <t>イナイ</t>
    </rPh>
    <phoneticPr fontId="1"/>
  </si>
  <si>
    <t>SECON-S-U-3-3</t>
    <phoneticPr fontId="1"/>
  </si>
  <si>
    <t>2日目</t>
    <rPh sb="1" eb="2">
      <t>ヒ</t>
    </rPh>
    <rPh sb="2" eb="3">
      <t>メ</t>
    </rPh>
    <phoneticPr fontId="1"/>
  </si>
  <si>
    <t>https://www.monotaro.com/p/0858/0677/?t.mpn=37103-3101</t>
    <phoneticPr fontId="1"/>
  </si>
  <si>
    <t>スリーエム</t>
    <phoneticPr fontId="1"/>
  </si>
  <si>
    <t>当日出荷</t>
    <rPh sb="0" eb="2">
      <t>トウジツ</t>
    </rPh>
    <rPh sb="2" eb="4">
      <t>シュッカ</t>
    </rPh>
    <phoneticPr fontId="1"/>
  </si>
  <si>
    <t>1日目</t>
    <rPh sb="1" eb="2">
      <t>ヒ</t>
    </rPh>
    <rPh sb="2" eb="3">
      <t>メ</t>
    </rPh>
    <phoneticPr fontId="1"/>
  </si>
  <si>
    <t>FWRBNA-D10-V2-T5</t>
    <phoneticPr fontId="1"/>
  </si>
  <si>
    <t>ゴムワッシャ FWRBNA</t>
    <phoneticPr fontId="1"/>
  </si>
  <si>
    <t>WP43570B1B00にて発注済み</t>
    <rPh sb="14" eb="16">
      <t>ハッチュウ</t>
    </rPh>
    <rPh sb="16" eb="17">
      <t>ズ</t>
    </rPh>
    <phoneticPr fontId="1"/>
  </si>
  <si>
    <t>FWRBNA-D19-V2-T1</t>
    <phoneticPr fontId="1"/>
  </si>
  <si>
    <t>SPWF4</t>
    <phoneticPr fontId="1"/>
  </si>
  <si>
    <t>ヒラザガネ-タンピンハンバイ-</t>
    <phoneticPr fontId="1"/>
  </si>
  <si>
    <t>AETGS8-28.2-SC10-M4-N4</t>
    <phoneticPr fontId="1"/>
  </si>
  <si>
    <t>エンケイシチュウ</t>
    <phoneticPr fontId="1"/>
  </si>
  <si>
    <t>SCB3-8</t>
    <phoneticPr fontId="1"/>
  </si>
  <si>
    <t>社内在庫使用　仙台</t>
    <rPh sb="0" eb="2">
      <t>シャナイ</t>
    </rPh>
    <rPh sb="2" eb="4">
      <t>ザイコ</t>
    </rPh>
    <rPh sb="4" eb="6">
      <t>シヨウ</t>
    </rPh>
    <rPh sb="7" eb="9">
      <t>センダイ</t>
    </rPh>
    <phoneticPr fontId="1"/>
  </si>
  <si>
    <t>六角穴付きﾎﾞﾙﾄ　 (M3×8)　4本　3Set</t>
    <rPh sb="19" eb="20">
      <t>ホン</t>
    </rPh>
    <phoneticPr fontId="1"/>
  </si>
  <si>
    <t>MVSHM-3N02050-32J-7GYH8</t>
    <phoneticPr fontId="1"/>
  </si>
  <si>
    <t>3日目</t>
    <rPh sb="1" eb="2">
      <t>ヒ</t>
    </rPh>
    <rPh sb="2" eb="3">
      <t>メ</t>
    </rPh>
    <phoneticPr fontId="1"/>
  </si>
  <si>
    <t>meviy</t>
    <phoneticPr fontId="1"/>
  </si>
  <si>
    <t>MVSHM-3N02002-32J-APE8C</t>
    <phoneticPr fontId="1"/>
  </si>
  <si>
    <t>SETB-0073-Z20　ARP20K取付板金3</t>
    <phoneticPr fontId="1"/>
  </si>
  <si>
    <t>SETB-0073-Z21  ＳＶＥＭ取付ﾌﾞﾗｹｯﾄ　ﾛﾝｸﾞ</t>
    <phoneticPr fontId="1"/>
  </si>
  <si>
    <t>5日目</t>
    <rPh sb="1" eb="2">
      <t>ヒ</t>
    </rPh>
    <rPh sb="2" eb="3">
      <t>メ</t>
    </rPh>
    <phoneticPr fontId="1"/>
  </si>
  <si>
    <t xml:space="preserve"> ＳＶＥＭ取付ﾌﾞﾗｹｯﾄ</t>
    <phoneticPr fontId="1"/>
  </si>
  <si>
    <t>ﾉｽﾞﾙｸﾘｰﾆﾝｸﾞﾕﾆｯﾄ</t>
    <phoneticPr fontId="1"/>
  </si>
  <si>
    <t>ツ－ル治具部分</t>
    <phoneticPr fontId="1"/>
  </si>
  <si>
    <t>CHNS4</t>
    <phoneticPr fontId="1"/>
  </si>
  <si>
    <t>蝶ﾅｯﾄ</t>
    <phoneticPr fontId="1"/>
  </si>
  <si>
    <t>RSCB4-15</t>
    <phoneticPr fontId="1"/>
  </si>
  <si>
    <t>六角ﾎﾞﾙﾄ</t>
    <phoneticPr fontId="1"/>
  </si>
  <si>
    <t>6/8・仙台営業所着</t>
    <rPh sb="4" eb="10">
      <t>センダイエイギョウショチャク</t>
    </rPh>
    <phoneticPr fontId="1"/>
  </si>
  <si>
    <t>アマゾン</t>
    <phoneticPr fontId="1"/>
  </si>
  <si>
    <r>
      <t>37103-3101-000FL</t>
    </r>
    <r>
      <rPr>
        <sz val="11"/>
        <color rgb="FFFF0000"/>
        <rFont val="ＭＳ Ｐゴシック"/>
        <family val="3"/>
        <charset val="128"/>
        <scheme val="minor"/>
      </rPr>
      <t>（4ｹ入）</t>
    </r>
    <rPh sb="19" eb="20">
      <t>イ</t>
    </rPh>
    <phoneticPr fontId="1"/>
  </si>
  <si>
    <t>送料</t>
    <rPh sb="0" eb="2">
      <t>ソウリョウ</t>
    </rPh>
    <phoneticPr fontId="1"/>
  </si>
  <si>
    <t>6/13・仙台営業所着</t>
    <rPh sb="5" eb="11">
      <t>センダイエイギョウショチャク</t>
    </rPh>
    <phoneticPr fontId="1"/>
  </si>
  <si>
    <t>6/1・仙台営業所着</t>
    <rPh sb="4" eb="10">
      <t>センダイエイギョウショチャク</t>
    </rPh>
    <phoneticPr fontId="1"/>
  </si>
  <si>
    <t>オーム電機</t>
    <phoneticPr fontId="1"/>
  </si>
  <si>
    <t>OA-1</t>
    <phoneticPr fontId="1"/>
  </si>
  <si>
    <t>ハンヨウケーブルクランプ</t>
    <phoneticPr fontId="1"/>
  </si>
  <si>
    <t>WP435B058300にて発注済み</t>
    <rPh sb="14" eb="16">
      <t>ハッチュウ</t>
    </rPh>
    <rPh sb="16" eb="17">
      <t>ズ</t>
    </rPh>
    <phoneticPr fontId="1"/>
  </si>
  <si>
    <t>ブレーカーボックス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</si>
</sst>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76" formatCode="#,##0_);[Red]\(#,##0\)"/>
    <numFmt numFmtId="177" formatCode="yyyy&quot;年&quot;m&quot;月&quot;d&quot;日&quot;;@"/>
    <numFmt numFmtId="178" formatCode="m/d;@"/>
    <numFmt numFmtId="179" formatCode="m&quot;月&quot;d&quot;日&quot;;@"/>
    <numFmt numFmtId="180" formatCode="0_ ;[Red]\-0\ "/>
  </numFmts>
  <fonts count="14" x14ac:knownFonts="1">
    <font>
      <sz val="11"/>
      <color theme="1"/>
      <name val="ＭＳ Ｐゴシック"/>
      <family val="3"/>
      <charset val="128"/>
      <scheme val="minor"/>
    </font>
    <font>
      <sz val="6"/>
      <name val="ＭＳ Ｐゴシック"/>
      <family val="3"/>
      <charset val="128"/>
    </font>
    <font>
      <sz val="6"/>
      <name val="ＭＳ Ｐゴシック"/>
      <family val="3"/>
      <charset val="128"/>
    </font>
    <font>
      <b/>
      <sz val="11"/>
      <color indexed="8"/>
      <name val="ＭＳ Ｐゴシック"/>
      <family val="3"/>
      <charset val="128"/>
    </font>
    <font>
      <b/>
      <sz val="14"/>
      <color indexed="8"/>
      <name val="ＭＳ Ｐゴシック"/>
      <family val="3"/>
      <charset val="128"/>
    </font>
    <font>
      <sz val="11"/>
      <name val="ＭＳ Ｐゴシック"/>
      <family val="3"/>
      <charset val="128"/>
    </font>
    <font>
      <sz val="11"/>
      <color rgb="FFFF0000"/>
      <name val="ＭＳ Ｐゴシック"/>
      <family val="3"/>
      <charset val="128"/>
      <scheme val="minor"/>
    </font>
    <font>
      <b/>
      <sz val="11"/>
      <color theme="1"/>
      <name val="ＭＳ Ｐゴシック"/>
      <family val="3"/>
      <charset val="128"/>
      <scheme val="minor"/>
    </font>
    <font>
      <sz val="11"/>
      <name val="ＭＳ Ｐゴシック"/>
      <family val="3"/>
      <charset val="128"/>
      <scheme val="minor"/>
    </font>
    <font>
      <sz val="16"/>
      <color theme="1"/>
      <name val="ＭＳ Ｐゴシック"/>
      <family val="3"/>
      <charset val="128"/>
      <scheme val="minor"/>
    </font>
    <font>
      <sz val="10"/>
      <name val="ＭＳ Ｐゴシック"/>
      <family val="3"/>
      <charset val="128"/>
      <scheme val="minor"/>
    </font>
    <font>
      <u/>
      <sz val="11"/>
      <color theme="10"/>
      <name val="ＭＳ Ｐゴシック"/>
      <family val="3"/>
      <charset val="128"/>
      <scheme val="minor"/>
    </font>
    <font>
      <sz val="11"/>
      <color indexed="8"/>
      <name val="ＭＳ Ｐゴシック"/>
      <family val="3"/>
      <charset val="128"/>
    </font>
    <font>
      <sz val="11"/>
      <color rgb="FFFF0000"/>
      <name val="ＭＳ Ｐゴシック"/>
      <family val="3"/>
      <charset val="128"/>
    </font>
  </fonts>
  <fills count="7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>
      <alignment vertical="center"/>
    </xf>
    <xf numFmtId="0" fontId="5" fillId="0" borderId="0"/>
    <xf numFmtId="0" fontId="11" fillId="0" borderId="0" applyNumberFormat="0" applyFill="0" applyBorder="0" applyAlignment="0" applyProtection="0">
      <alignment vertical="center"/>
    </xf>
  </cellStyleXfs>
  <cellXfs count="92">
    <xf numFmtId="0" fontId="0" fillId="0" borderId="0" xfId="0">
      <alignment vertical="center"/>
    </xf>
    <xf numFmtId="0" fontId="0" fillId="0" borderId="1" xfId="0" applyFill="1" applyBorder="1" applyAlignment="1">
      <alignment horizontal="center" vertical="center"/>
    </xf>
    <xf numFmtId="0" fontId="0" fillId="0" borderId="2" xfId="0" applyFill="1" applyBorder="1" applyAlignment="1">
      <alignment horizontal="center" vertical="center"/>
    </xf>
    <xf numFmtId="0" fontId="0" fillId="0" borderId="0" xfId="0" applyFill="1" applyAlignment="1">
      <alignment horizontal="center" vertical="center"/>
    </xf>
    <xf numFmtId="3" fontId="0" fillId="0" borderId="1" xfId="0" applyNumberForma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177" fontId="4" fillId="0" borderId="1" xfId="0" applyNumberFormat="1" applyFont="1" applyBorder="1" applyAlignment="1">
      <alignment horizontal="center" vertical="center"/>
    </xf>
    <xf numFmtId="176" fontId="3" fillId="0" borderId="1" xfId="0" applyNumberFormat="1" applyFont="1" applyBorder="1">
      <alignment vertical="center"/>
    </xf>
    <xf numFmtId="0" fontId="0" fillId="0" borderId="0" xfId="0" applyAlignment="1">
      <alignment horizontal="right" vertical="center"/>
    </xf>
    <xf numFmtId="0" fontId="4" fillId="0" borderId="1" xfId="0" applyFont="1" applyBorder="1" applyAlignment="1">
      <alignment horizontal="center" vertical="center" shrinkToFit="1"/>
    </xf>
    <xf numFmtId="179" fontId="0" fillId="0" borderId="0" xfId="0" applyNumberFormat="1" applyAlignment="1">
      <alignment horizontal="center" vertical="center"/>
    </xf>
    <xf numFmtId="179" fontId="0" fillId="0" borderId="1" xfId="0" applyNumberFormat="1" applyFill="1" applyBorder="1" applyAlignment="1">
      <alignment horizontal="center" vertical="center"/>
    </xf>
    <xf numFmtId="179" fontId="0" fillId="0" borderId="0" xfId="0" applyNumberFormat="1" applyFill="1" applyBorder="1" applyAlignment="1">
      <alignment horizontal="center" vertical="center"/>
    </xf>
    <xf numFmtId="179" fontId="0" fillId="0" borderId="0" xfId="0" applyNumberFormat="1" applyBorder="1" applyAlignment="1">
      <alignment horizontal="center" vertical="center"/>
    </xf>
    <xf numFmtId="179" fontId="0" fillId="0" borderId="0" xfId="0" applyNumberFormat="1">
      <alignment vertical="center"/>
    </xf>
    <xf numFmtId="178" fontId="0" fillId="0" borderId="0" xfId="0" applyNumberFormat="1">
      <alignment vertical="center"/>
    </xf>
    <xf numFmtId="178" fontId="0" fillId="0" borderId="1" xfId="0" applyNumberFormat="1" applyFill="1" applyBorder="1" applyAlignment="1">
      <alignment horizontal="center" vertical="center"/>
    </xf>
    <xf numFmtId="0" fontId="8" fillId="0" borderId="1" xfId="0" applyFont="1" applyFill="1" applyBorder="1" applyAlignment="1">
      <alignment horizontal="left" vertical="center"/>
    </xf>
    <xf numFmtId="3" fontId="8" fillId="0" borderId="1" xfId="0" applyNumberFormat="1" applyFont="1" applyFill="1" applyBorder="1" applyAlignment="1">
      <alignment horizontal="center" vertical="center"/>
    </xf>
    <xf numFmtId="0" fontId="8" fillId="0" borderId="1" xfId="0" applyFont="1" applyFill="1" applyBorder="1" applyAlignment="1">
      <alignment horizontal="center" vertical="center"/>
    </xf>
    <xf numFmtId="179" fontId="8" fillId="0" borderId="1" xfId="0" applyNumberFormat="1" applyFont="1" applyFill="1" applyBorder="1" applyAlignment="1">
      <alignment horizontal="center" vertical="center"/>
    </xf>
    <xf numFmtId="178" fontId="8" fillId="0" borderId="1" xfId="0" applyNumberFormat="1" applyFont="1" applyFill="1" applyBorder="1" applyAlignment="1">
      <alignment horizontal="center" vertical="center"/>
    </xf>
    <xf numFmtId="176" fontId="0" fillId="0" borderId="0" xfId="0" applyNumberFormat="1">
      <alignment vertical="center"/>
    </xf>
    <xf numFmtId="176" fontId="0" fillId="0" borderId="0" xfId="0" applyNumberFormat="1" applyFill="1" applyBorder="1" applyAlignment="1">
      <alignment vertical="center"/>
    </xf>
    <xf numFmtId="56" fontId="8" fillId="0" borderId="1" xfId="0" applyNumberFormat="1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38" fontId="8" fillId="0" borderId="1" xfId="0" applyNumberFormat="1" applyFont="1" applyFill="1" applyBorder="1" applyAlignment="1">
      <alignment horizontal="right" vertical="center"/>
    </xf>
    <xf numFmtId="0" fontId="8" fillId="0" borderId="2" xfId="0" applyFont="1" applyFill="1" applyBorder="1" applyAlignment="1">
      <alignment horizontal="center" vertical="center"/>
    </xf>
    <xf numFmtId="0" fontId="7" fillId="0" borderId="0" xfId="0" applyFont="1" applyBorder="1">
      <alignment vertical="center"/>
    </xf>
    <xf numFmtId="0" fontId="0" fillId="3" borderId="0" xfId="0" applyFill="1" applyAlignment="1">
      <alignment horizontal="center" vertical="center"/>
    </xf>
    <xf numFmtId="0" fontId="9" fillId="0" borderId="0" xfId="0" applyFont="1">
      <alignment vertical="center"/>
    </xf>
    <xf numFmtId="0" fontId="9" fillId="0" borderId="1" xfId="0" applyFont="1" applyFill="1" applyBorder="1" applyAlignment="1">
      <alignment horizontal="center" vertical="center"/>
    </xf>
    <xf numFmtId="3" fontId="8" fillId="3" borderId="1" xfId="0" applyNumberFormat="1" applyFont="1" applyFill="1" applyBorder="1" applyAlignment="1">
      <alignment horizontal="center" vertical="center"/>
    </xf>
    <xf numFmtId="180" fontId="8" fillId="3" borderId="1" xfId="0" applyNumberFormat="1" applyFont="1" applyFill="1" applyBorder="1" applyAlignment="1">
      <alignment horizontal="right" vertical="center"/>
    </xf>
    <xf numFmtId="38" fontId="8" fillId="3" borderId="1" xfId="0" applyNumberFormat="1" applyFont="1" applyFill="1" applyBorder="1" applyAlignment="1">
      <alignment horizontal="right" vertical="center"/>
    </xf>
    <xf numFmtId="38" fontId="8" fillId="3" borderId="1" xfId="0" applyNumberFormat="1" applyFont="1" applyFill="1" applyBorder="1">
      <alignment vertical="center"/>
    </xf>
    <xf numFmtId="0" fontId="8" fillId="3" borderId="1" xfId="0" applyFont="1" applyFill="1" applyBorder="1" applyAlignment="1">
      <alignment horizontal="center" vertical="center"/>
    </xf>
    <xf numFmtId="0" fontId="8" fillId="3" borderId="1" xfId="0" applyFont="1" applyFill="1" applyBorder="1" applyAlignment="1">
      <alignment horizontal="left" vertical="center"/>
    </xf>
    <xf numFmtId="179" fontId="8" fillId="3" borderId="1" xfId="0" applyNumberFormat="1" applyFont="1" applyFill="1" applyBorder="1" applyAlignment="1">
      <alignment horizontal="center" vertical="center"/>
    </xf>
    <xf numFmtId="56" fontId="8" fillId="3" borderId="1" xfId="0" applyNumberFormat="1" applyFont="1" applyFill="1" applyBorder="1" applyAlignment="1">
      <alignment horizontal="center" vertical="center"/>
    </xf>
    <xf numFmtId="178" fontId="8" fillId="3" borderId="1" xfId="0" applyNumberFormat="1" applyFont="1" applyFill="1" applyBorder="1" applyAlignment="1">
      <alignment horizontal="center" vertical="center"/>
    </xf>
    <xf numFmtId="0" fontId="8" fillId="3" borderId="2" xfId="0" applyFont="1" applyFill="1" applyBorder="1" applyAlignment="1">
      <alignment horizontal="center" vertical="center"/>
    </xf>
    <xf numFmtId="38" fontId="8" fillId="3" borderId="5" xfId="0" applyNumberFormat="1" applyFont="1" applyFill="1" applyBorder="1" applyAlignment="1">
      <alignment horizontal="right" vertical="center"/>
    </xf>
    <xf numFmtId="0" fontId="8" fillId="3" borderId="3" xfId="0" applyFont="1" applyFill="1" applyBorder="1" applyAlignment="1">
      <alignment horizontal="left" vertical="center"/>
    </xf>
    <xf numFmtId="38" fontId="5" fillId="3" borderId="1" xfId="0" applyNumberFormat="1" applyFont="1" applyFill="1" applyBorder="1">
      <alignment vertical="center"/>
    </xf>
    <xf numFmtId="180" fontId="8" fillId="3" borderId="3" xfId="1" applyNumberFormat="1" applyFont="1" applyFill="1" applyBorder="1" applyAlignment="1">
      <alignment vertical="center"/>
    </xf>
    <xf numFmtId="180" fontId="8" fillId="3" borderId="1" xfId="1" applyNumberFormat="1" applyFont="1" applyFill="1" applyBorder="1" applyAlignment="1">
      <alignment vertical="center"/>
    </xf>
    <xf numFmtId="0" fontId="10" fillId="3" borderId="1" xfId="0" applyFont="1" applyFill="1" applyBorder="1">
      <alignment vertical="center"/>
    </xf>
    <xf numFmtId="0" fontId="10" fillId="3" borderId="4" xfId="0" applyFont="1" applyFill="1" applyBorder="1" applyAlignment="1">
      <alignment horizontal="left" vertical="center"/>
    </xf>
    <xf numFmtId="0" fontId="10" fillId="3" borderId="1" xfId="0" applyFont="1" applyFill="1" applyBorder="1" applyAlignment="1">
      <alignment horizontal="left" vertical="center"/>
    </xf>
    <xf numFmtId="0" fontId="8" fillId="0" borderId="1" xfId="0" applyFont="1" applyFill="1" applyBorder="1">
      <alignment vertical="center"/>
    </xf>
    <xf numFmtId="180" fontId="8" fillId="0" borderId="1" xfId="0" applyNumberFormat="1" applyFont="1" applyFill="1" applyBorder="1" applyAlignment="1">
      <alignment horizontal="right" vertical="center"/>
    </xf>
    <xf numFmtId="38" fontId="8" fillId="0" borderId="1" xfId="0" applyNumberFormat="1" applyFont="1" applyFill="1" applyBorder="1">
      <alignment vertical="center"/>
    </xf>
    <xf numFmtId="49" fontId="4" fillId="0" borderId="1" xfId="0" applyNumberFormat="1" applyFont="1" applyBorder="1" applyAlignment="1">
      <alignment horizontal="center" vertical="center"/>
    </xf>
    <xf numFmtId="180" fontId="8" fillId="0" borderId="1" xfId="1" applyNumberFormat="1" applyFont="1" applyFill="1" applyBorder="1" applyAlignment="1">
      <alignment horizontal="right" vertical="center"/>
    </xf>
    <xf numFmtId="38" fontId="5" fillId="0" borderId="1" xfId="0" applyNumberFormat="1" applyFont="1" applyFill="1" applyBorder="1">
      <alignment vertical="center"/>
    </xf>
    <xf numFmtId="180" fontId="8" fillId="0" borderId="1" xfId="0" applyNumberFormat="1" applyFont="1" applyFill="1" applyBorder="1">
      <alignment vertical="center"/>
    </xf>
    <xf numFmtId="0" fontId="0" fillId="0" borderId="1" xfId="0" applyFill="1" applyBorder="1" applyAlignment="1">
      <alignment horizontal="left" vertical="center"/>
    </xf>
    <xf numFmtId="0" fontId="11" fillId="0" borderId="1" xfId="2" applyFill="1" applyBorder="1" applyAlignment="1">
      <alignment horizontal="left" vertical="center"/>
    </xf>
    <xf numFmtId="0" fontId="8" fillId="0" borderId="4" xfId="0" applyFont="1" applyFill="1" applyBorder="1" applyAlignment="1">
      <alignment horizontal="left" vertical="center"/>
    </xf>
    <xf numFmtId="180" fontId="8" fillId="0" borderId="3" xfId="1" applyNumberFormat="1" applyFont="1" applyFill="1" applyBorder="1" applyAlignment="1">
      <alignment horizontal="right" vertical="center"/>
    </xf>
    <xf numFmtId="38" fontId="8" fillId="0" borderId="5" xfId="0" applyNumberFormat="1" applyFont="1" applyFill="1" applyBorder="1" applyAlignment="1">
      <alignment horizontal="right" vertical="center"/>
    </xf>
    <xf numFmtId="0" fontId="8" fillId="0" borderId="3" xfId="0" applyFont="1" applyFill="1" applyBorder="1" applyAlignment="1">
      <alignment horizontal="left" vertical="center"/>
    </xf>
    <xf numFmtId="3" fontId="8" fillId="4" borderId="1" xfId="0" applyNumberFormat="1" applyFont="1" applyFill="1" applyBorder="1" applyAlignment="1">
      <alignment horizontal="center" vertical="center"/>
    </xf>
    <xf numFmtId="0" fontId="8" fillId="4" borderId="1" xfId="0" applyFont="1" applyFill="1" applyBorder="1" applyAlignment="1">
      <alignment horizontal="left" vertical="center"/>
    </xf>
    <xf numFmtId="180" fontId="8" fillId="4" borderId="1" xfId="1" applyNumberFormat="1" applyFont="1" applyFill="1" applyBorder="1" applyAlignment="1">
      <alignment horizontal="right" vertical="center"/>
    </xf>
    <xf numFmtId="38" fontId="8" fillId="4" borderId="1" xfId="0" applyNumberFormat="1" applyFont="1" applyFill="1" applyBorder="1" applyAlignment="1">
      <alignment horizontal="right" vertical="center"/>
    </xf>
    <xf numFmtId="38" fontId="5" fillId="4" borderId="1" xfId="0" applyNumberFormat="1" applyFont="1" applyFill="1" applyBorder="1">
      <alignment vertical="center"/>
    </xf>
    <xf numFmtId="0" fontId="8" fillId="4" borderId="2" xfId="0" applyFont="1" applyFill="1" applyBorder="1" applyAlignment="1">
      <alignment horizontal="center" vertical="center"/>
    </xf>
    <xf numFmtId="3" fontId="6" fillId="5" borderId="1" xfId="0" applyNumberFormat="1" applyFont="1" applyFill="1" applyBorder="1" applyAlignment="1">
      <alignment horizontal="center" vertical="center"/>
    </xf>
    <xf numFmtId="0" fontId="6" fillId="5" borderId="1" xfId="0" applyFont="1" applyFill="1" applyBorder="1">
      <alignment vertical="center"/>
    </xf>
    <xf numFmtId="0" fontId="6" fillId="5" borderId="1" xfId="0" applyFont="1" applyFill="1" applyBorder="1" applyAlignment="1">
      <alignment horizontal="center" vertical="center"/>
    </xf>
    <xf numFmtId="176" fontId="12" fillId="0" borderId="1" xfId="0" applyNumberFormat="1" applyFont="1" applyBorder="1">
      <alignment vertical="center"/>
    </xf>
    <xf numFmtId="176" fontId="13" fillId="0" borderId="1" xfId="0" applyNumberFormat="1" applyFont="1" applyBorder="1" applyAlignment="1"/>
    <xf numFmtId="0" fontId="6" fillId="0" borderId="1" xfId="0" applyFont="1" applyBorder="1" applyAlignment="1">
      <alignment horizontal="left" vertical="center"/>
    </xf>
    <xf numFmtId="38" fontId="6" fillId="0" borderId="1" xfId="0" applyNumberFormat="1" applyFont="1" applyBorder="1">
      <alignment vertical="center"/>
    </xf>
    <xf numFmtId="3" fontId="8" fillId="6" borderId="1" xfId="0" applyNumberFormat="1" applyFont="1" applyFill="1" applyBorder="1" applyAlignment="1">
      <alignment horizontal="center" vertical="center"/>
    </xf>
    <xf numFmtId="3" fontId="0" fillId="0" borderId="1" xfId="0" applyNumberFormat="1" applyBorder="1" applyAlignment="1">
      <alignment horizontal="center" vertical="center"/>
    </xf>
    <xf numFmtId="49" fontId="0" fillId="0" borderId="1" xfId="0" applyNumberFormat="1" applyBorder="1" applyAlignment="1">
      <alignment horizontal="left" vertical="center"/>
    </xf>
    <xf numFmtId="180" fontId="0" fillId="0" borderId="1" xfId="0" applyNumberFormat="1" applyBorder="1" applyAlignment="1">
      <alignment horizontal="right" vertical="center"/>
    </xf>
    <xf numFmtId="38" fontId="0" fillId="0" borderId="1" xfId="0" applyNumberFormat="1" applyBorder="1">
      <alignment vertical="center"/>
    </xf>
    <xf numFmtId="0" fontId="0" fillId="0" borderId="2" xfId="0" applyBorder="1" applyAlignment="1">
      <alignment horizontal="center" vertical="center"/>
    </xf>
    <xf numFmtId="0" fontId="0" fillId="0" borderId="1" xfId="0" applyBorder="1">
      <alignment vertical="center"/>
    </xf>
    <xf numFmtId="0" fontId="6" fillId="0" borderId="1" xfId="0" applyFont="1" applyFill="1" applyBorder="1" applyAlignment="1">
      <alignment horizontal="center" vertical="center"/>
    </xf>
    <xf numFmtId="56" fontId="6" fillId="3" borderId="1" xfId="0" applyNumberFormat="1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3" fillId="2" borderId="6" xfId="0" applyFont="1" applyFill="1" applyBorder="1" applyAlignment="1">
      <alignment horizontal="center" vertical="center"/>
    </xf>
    <xf numFmtId="0" fontId="3" fillId="2" borderId="7" xfId="0" applyFont="1" applyFill="1" applyBorder="1" applyAlignment="1">
      <alignment horizontal="center" vertical="center"/>
    </xf>
    <xf numFmtId="3" fontId="8" fillId="0" borderId="1" xfId="0" applyNumberFormat="1" applyFont="1" applyBorder="1" applyAlignment="1">
      <alignment horizontal="center" vertical="center"/>
    </xf>
  </cellXfs>
  <cellStyles count="3">
    <cellStyle name="ハイパーリンク" xfId="2" builtinId="8"/>
    <cellStyle name="標準" xfId="0" builtinId="0"/>
    <cellStyle name="標準_発注管理表" xfId="1" xr:uid="{00000000-0005-0000-0000-00000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https://www.monotaro.com/p/0858/0677/?t.mpn=37103-3101" TargetMode="External"/><Relationship Id="rId1" Type="http://schemas.openxmlformats.org/officeDocument/2006/relationships/hyperlink" Target="https://www.monotaro.com/p/3992/0728/?t.mpn=ise20-n-m-m5-l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S67"/>
  <sheetViews>
    <sheetView tabSelected="1" zoomScale="70" zoomScaleNormal="70" workbookViewId="0">
      <pane xSplit="12" ySplit="8" topLeftCell="M24" activePane="bottomRight" state="frozen"/>
      <selection pane="topRight" activeCell="K1" sqref="K1"/>
      <selection pane="bottomLeft" activeCell="A9" sqref="A9"/>
      <selection pane="bottomRight" activeCell="L41" sqref="L41"/>
    </sheetView>
  </sheetViews>
  <sheetFormatPr defaultRowHeight="19.2" x14ac:dyDescent="0.2"/>
  <cols>
    <col min="3" max="3" width="2.6640625" customWidth="1"/>
    <col min="4" max="4" width="5.77734375" style="5" customWidth="1"/>
    <col min="5" max="6" width="20.77734375" customWidth="1"/>
    <col min="7" max="7" width="68" style="32" customWidth="1"/>
    <col min="8" max="8" width="6.21875" customWidth="1"/>
    <col min="9" max="10" width="9.88671875" bestFit="1" customWidth="1"/>
    <col min="11" max="11" width="5.77734375" style="10" customWidth="1"/>
    <col min="12" max="12" width="45.77734375" customWidth="1"/>
    <col min="13" max="13" width="40.77734375" customWidth="1"/>
    <col min="14" max="14" width="40.77734375" style="5" customWidth="1"/>
    <col min="15" max="15" width="13.77734375" style="12" customWidth="1"/>
    <col min="16" max="16" width="6.33203125" customWidth="1"/>
    <col min="17" max="17" width="28.33203125" style="10" customWidth="1"/>
    <col min="18" max="18" width="20" style="16" customWidth="1"/>
    <col min="19" max="19" width="15.6640625" style="17" customWidth="1"/>
  </cols>
  <sheetData>
    <row r="2" spans="1:19" ht="20.100000000000001" customHeight="1" x14ac:dyDescent="0.2">
      <c r="D2" s="87" t="s">
        <v>9</v>
      </c>
      <c r="E2" s="87"/>
      <c r="F2" s="87"/>
      <c r="G2" s="11" t="s">
        <v>40</v>
      </c>
      <c r="I2" s="88" t="s">
        <v>13</v>
      </c>
      <c r="J2" s="89"/>
      <c r="K2" s="90"/>
      <c r="L2" s="9">
        <f>SUM(J:J)</f>
        <v>85584</v>
      </c>
      <c r="M2" s="30"/>
      <c r="N2" s="6"/>
    </row>
    <row r="3" spans="1:19" ht="20.100000000000001" customHeight="1" x14ac:dyDescent="0.2">
      <c r="D3" s="87" t="s">
        <v>8</v>
      </c>
      <c r="E3" s="87"/>
      <c r="F3" s="87"/>
      <c r="G3" s="7" t="s">
        <v>41</v>
      </c>
    </row>
    <row r="4" spans="1:19" ht="20.100000000000001" customHeight="1" x14ac:dyDescent="0.2">
      <c r="D4" s="87" t="s">
        <v>10</v>
      </c>
      <c r="E4" s="87"/>
      <c r="F4" s="87"/>
      <c r="G4" s="55" t="s">
        <v>42</v>
      </c>
    </row>
    <row r="5" spans="1:19" ht="20.100000000000001" customHeight="1" x14ac:dyDescent="0.2">
      <c r="D5" s="87" t="s">
        <v>11</v>
      </c>
      <c r="E5" s="87"/>
      <c r="F5" s="87"/>
      <c r="G5" s="8">
        <v>44720</v>
      </c>
    </row>
    <row r="6" spans="1:19" ht="20.100000000000001" customHeight="1" x14ac:dyDescent="0.2">
      <c r="D6" s="87" t="s">
        <v>12</v>
      </c>
      <c r="E6" s="87"/>
      <c r="F6" s="87"/>
      <c r="G6" s="8">
        <v>44720</v>
      </c>
    </row>
    <row r="7" spans="1:19" x14ac:dyDescent="0.2">
      <c r="H7" s="1"/>
    </row>
    <row r="8" spans="1:19" s="3" customFormat="1" ht="19.95" customHeight="1" x14ac:dyDescent="0.2">
      <c r="D8" s="4" t="s">
        <v>2</v>
      </c>
      <c r="E8" s="4" t="s">
        <v>7</v>
      </c>
      <c r="F8" s="4" t="s">
        <v>3</v>
      </c>
      <c r="G8" s="33" t="s">
        <v>6</v>
      </c>
      <c r="H8" s="1"/>
      <c r="I8" s="1" t="s">
        <v>0</v>
      </c>
      <c r="J8" s="2" t="s">
        <v>1</v>
      </c>
      <c r="K8" s="2" t="s">
        <v>14</v>
      </c>
      <c r="L8" s="27"/>
      <c r="M8" s="27" t="s">
        <v>18</v>
      </c>
      <c r="N8" s="27" t="s">
        <v>19</v>
      </c>
      <c r="O8" s="13" t="s">
        <v>4</v>
      </c>
      <c r="P8" s="4" t="s">
        <v>15</v>
      </c>
      <c r="Q8" s="1" t="s">
        <v>5</v>
      </c>
      <c r="R8" s="13" t="s">
        <v>16</v>
      </c>
      <c r="S8" s="18" t="s">
        <v>17</v>
      </c>
    </row>
    <row r="9" spans="1:19" s="31" customFormat="1" ht="19.95" customHeight="1" x14ac:dyDescent="0.2">
      <c r="A9" s="31" t="s">
        <v>68</v>
      </c>
      <c r="B9" s="3"/>
      <c r="C9" s="3"/>
      <c r="D9" s="34">
        <v>1</v>
      </c>
      <c r="E9" s="78" t="s">
        <v>69</v>
      </c>
      <c r="F9" s="78" t="s">
        <v>20</v>
      </c>
      <c r="G9" s="52" t="s">
        <v>67</v>
      </c>
      <c r="H9" s="58">
        <v>3</v>
      </c>
      <c r="I9" s="28">
        <v>2390</v>
      </c>
      <c r="J9" s="54">
        <f t="shared" ref="J9:J18" si="0">H9*I9</f>
        <v>7170</v>
      </c>
      <c r="K9" s="29"/>
      <c r="L9" s="19" t="s">
        <v>71</v>
      </c>
      <c r="M9" s="19"/>
      <c r="N9" s="1" t="s">
        <v>45</v>
      </c>
      <c r="O9" s="40">
        <v>44707</v>
      </c>
      <c r="P9" s="34"/>
      <c r="Q9" s="41"/>
      <c r="R9" s="41" t="s">
        <v>81</v>
      </c>
      <c r="S9" s="42"/>
    </row>
    <row r="10" spans="1:19" s="31" customFormat="1" ht="19.95" customHeight="1" x14ac:dyDescent="0.2">
      <c r="A10" s="31" t="s">
        <v>68</v>
      </c>
      <c r="B10" s="3"/>
      <c r="C10" s="3"/>
      <c r="D10" s="34">
        <f>+D9+1</f>
        <v>2</v>
      </c>
      <c r="E10" s="78" t="s">
        <v>69</v>
      </c>
      <c r="F10" s="78" t="s">
        <v>20</v>
      </c>
      <c r="G10" s="52" t="s">
        <v>70</v>
      </c>
      <c r="H10" s="58">
        <v>3</v>
      </c>
      <c r="I10" s="28">
        <v>2320</v>
      </c>
      <c r="J10" s="54">
        <f t="shared" si="0"/>
        <v>6960</v>
      </c>
      <c r="K10" s="29"/>
      <c r="L10" s="19" t="s">
        <v>72</v>
      </c>
      <c r="M10" s="19"/>
      <c r="N10" s="1" t="s">
        <v>74</v>
      </c>
      <c r="O10" s="40">
        <v>44707</v>
      </c>
      <c r="P10" s="34"/>
      <c r="Q10" s="41"/>
      <c r="R10" s="41" t="s">
        <v>81</v>
      </c>
      <c r="S10" s="42"/>
    </row>
    <row r="11" spans="1:19" s="31" customFormat="1" ht="19.95" customHeight="1" x14ac:dyDescent="0.2">
      <c r="A11" s="31" t="s">
        <v>55</v>
      </c>
      <c r="B11" s="3"/>
      <c r="C11" s="3"/>
      <c r="D11" s="34">
        <f t="shared" ref="D11:D29" si="1">+D10+1</f>
        <v>3</v>
      </c>
      <c r="E11" s="20" t="s">
        <v>20</v>
      </c>
      <c r="F11" s="20" t="s">
        <v>20</v>
      </c>
      <c r="G11" s="52" t="s">
        <v>21</v>
      </c>
      <c r="H11" s="58">
        <v>3</v>
      </c>
      <c r="I11" s="28">
        <v>280</v>
      </c>
      <c r="J11" s="54">
        <f t="shared" si="0"/>
        <v>840</v>
      </c>
      <c r="K11" s="29"/>
      <c r="L11" s="52" t="s">
        <v>22</v>
      </c>
      <c r="M11" s="19"/>
      <c r="N11" s="1" t="s">
        <v>45</v>
      </c>
      <c r="O11" s="40">
        <v>44707</v>
      </c>
      <c r="P11" s="34"/>
      <c r="Q11" s="41"/>
      <c r="R11" s="41" t="s">
        <v>81</v>
      </c>
      <c r="S11" s="42"/>
    </row>
    <row r="12" spans="1:19" s="31" customFormat="1" ht="19.95" customHeight="1" x14ac:dyDescent="0.2">
      <c r="A12" s="31" t="s">
        <v>55</v>
      </c>
      <c r="B12" s="3"/>
      <c r="C12" s="3"/>
      <c r="D12" s="34">
        <f t="shared" si="1"/>
        <v>4</v>
      </c>
      <c r="E12" s="20" t="s">
        <v>20</v>
      </c>
      <c r="F12" s="20" t="s">
        <v>20</v>
      </c>
      <c r="G12" s="52" t="s">
        <v>23</v>
      </c>
      <c r="H12" s="53">
        <v>6</v>
      </c>
      <c r="I12" s="28">
        <v>240</v>
      </c>
      <c r="J12" s="54">
        <f t="shared" si="0"/>
        <v>1440</v>
      </c>
      <c r="K12" s="29"/>
      <c r="L12" s="19" t="s">
        <v>24</v>
      </c>
      <c r="M12" s="19"/>
      <c r="N12" s="1" t="s">
        <v>45</v>
      </c>
      <c r="O12" s="40">
        <v>44707</v>
      </c>
      <c r="P12" s="34"/>
      <c r="Q12" s="41"/>
      <c r="R12" s="41" t="s">
        <v>81</v>
      </c>
      <c r="S12" s="42"/>
    </row>
    <row r="13" spans="1:19" s="31" customFormat="1" ht="19.5" customHeight="1" x14ac:dyDescent="0.2">
      <c r="A13" s="31" t="s">
        <v>55</v>
      </c>
      <c r="B13" s="3"/>
      <c r="C13" s="3"/>
      <c r="D13" s="34">
        <f t="shared" si="1"/>
        <v>5</v>
      </c>
      <c r="E13" s="20" t="s">
        <v>20</v>
      </c>
      <c r="F13" s="20" t="s">
        <v>20</v>
      </c>
      <c r="G13" s="52" t="s">
        <v>25</v>
      </c>
      <c r="H13" s="53">
        <v>3</v>
      </c>
      <c r="I13" s="28">
        <v>2830</v>
      </c>
      <c r="J13" s="54">
        <f t="shared" si="0"/>
        <v>8490</v>
      </c>
      <c r="K13" s="29"/>
      <c r="L13" s="52" t="s">
        <v>26</v>
      </c>
      <c r="M13" s="59"/>
      <c r="N13" s="1" t="s">
        <v>45</v>
      </c>
      <c r="O13" s="40">
        <v>44707</v>
      </c>
      <c r="P13" s="34"/>
      <c r="Q13" s="41"/>
      <c r="R13" s="41" t="s">
        <v>81</v>
      </c>
      <c r="S13" s="42"/>
    </row>
    <row r="14" spans="1:19" s="31" customFormat="1" ht="19.95" customHeight="1" x14ac:dyDescent="0.2">
      <c r="A14" s="31" t="s">
        <v>55</v>
      </c>
      <c r="B14" s="3"/>
      <c r="C14" s="3"/>
      <c r="D14" s="34">
        <f t="shared" si="1"/>
        <v>6</v>
      </c>
      <c r="E14" s="20" t="s">
        <v>20</v>
      </c>
      <c r="F14" s="20" t="s">
        <v>20</v>
      </c>
      <c r="G14" s="52" t="s">
        <v>27</v>
      </c>
      <c r="H14" s="53">
        <v>3</v>
      </c>
      <c r="I14" s="28">
        <v>270</v>
      </c>
      <c r="J14" s="54">
        <f t="shared" si="0"/>
        <v>810</v>
      </c>
      <c r="K14" s="29"/>
      <c r="L14" s="52" t="s">
        <v>28</v>
      </c>
      <c r="M14" s="59"/>
      <c r="N14" s="1" t="s">
        <v>45</v>
      </c>
      <c r="O14" s="40">
        <v>44707</v>
      </c>
      <c r="P14" s="34"/>
      <c r="Q14" s="41"/>
      <c r="R14" s="41" t="s">
        <v>81</v>
      </c>
      <c r="S14" s="42"/>
    </row>
    <row r="15" spans="1:19" s="31" customFormat="1" ht="19.95" customHeight="1" x14ac:dyDescent="0.2">
      <c r="A15" s="31" t="s">
        <v>55</v>
      </c>
      <c r="B15" s="3"/>
      <c r="C15" s="3"/>
      <c r="D15" s="34">
        <f t="shared" si="1"/>
        <v>7</v>
      </c>
      <c r="E15" s="20" t="s">
        <v>20</v>
      </c>
      <c r="F15" s="20" t="s">
        <v>20</v>
      </c>
      <c r="G15" s="52" t="s">
        <v>29</v>
      </c>
      <c r="H15" s="53">
        <v>3</v>
      </c>
      <c r="I15" s="28">
        <v>200</v>
      </c>
      <c r="J15" s="54">
        <f t="shared" si="0"/>
        <v>600</v>
      </c>
      <c r="K15" s="29"/>
      <c r="L15" s="52" t="s">
        <v>30</v>
      </c>
      <c r="M15" s="59"/>
      <c r="N15" s="1" t="s">
        <v>45</v>
      </c>
      <c r="O15" s="40">
        <v>44707</v>
      </c>
      <c r="P15" s="34"/>
      <c r="Q15" s="41"/>
      <c r="R15" s="41" t="s">
        <v>81</v>
      </c>
      <c r="S15" s="42"/>
    </row>
    <row r="16" spans="1:19" s="31" customFormat="1" ht="19.95" customHeight="1" x14ac:dyDescent="0.2">
      <c r="A16" s="31" t="s">
        <v>54</v>
      </c>
      <c r="B16" s="3"/>
      <c r="C16" s="3"/>
      <c r="D16" s="34">
        <f t="shared" si="1"/>
        <v>8</v>
      </c>
      <c r="E16" s="20" t="s">
        <v>53</v>
      </c>
      <c r="F16" s="85" t="s">
        <v>82</v>
      </c>
      <c r="G16" s="52" t="s">
        <v>83</v>
      </c>
      <c r="H16" s="53">
        <v>2</v>
      </c>
      <c r="I16" s="28">
        <v>873</v>
      </c>
      <c r="J16" s="54">
        <f t="shared" si="0"/>
        <v>1746</v>
      </c>
      <c r="K16" s="29"/>
      <c r="L16" s="52" t="s">
        <v>31</v>
      </c>
      <c r="M16" s="60" t="s">
        <v>52</v>
      </c>
      <c r="N16" s="1" t="s">
        <v>45</v>
      </c>
      <c r="O16" s="40">
        <v>44708</v>
      </c>
      <c r="P16" s="34"/>
      <c r="Q16" s="41" t="s">
        <v>81</v>
      </c>
      <c r="R16" s="41" t="s">
        <v>86</v>
      </c>
      <c r="S16" s="42"/>
    </row>
    <row r="17" spans="1:19" s="31" customFormat="1" ht="19.95" customHeight="1" x14ac:dyDescent="0.2">
      <c r="B17" s="3"/>
      <c r="C17" s="3"/>
      <c r="D17" s="34"/>
      <c r="E17" s="20" t="s">
        <v>53</v>
      </c>
      <c r="F17" s="85" t="s">
        <v>82</v>
      </c>
      <c r="G17" s="52" t="s">
        <v>84</v>
      </c>
      <c r="H17" s="53">
        <v>1</v>
      </c>
      <c r="I17" s="28">
        <v>924</v>
      </c>
      <c r="J17" s="54">
        <f t="shared" si="0"/>
        <v>924</v>
      </c>
      <c r="K17" s="29"/>
      <c r="L17" s="52"/>
      <c r="M17" s="60"/>
      <c r="N17" s="1"/>
      <c r="O17" s="40">
        <v>44708</v>
      </c>
      <c r="P17" s="34"/>
      <c r="Q17" s="41"/>
      <c r="R17" s="40"/>
      <c r="S17" s="42"/>
    </row>
    <row r="18" spans="1:19" s="31" customFormat="1" ht="19.95" customHeight="1" x14ac:dyDescent="0.2">
      <c r="A18" s="31" t="s">
        <v>51</v>
      </c>
      <c r="B18" s="3"/>
      <c r="C18" s="3"/>
      <c r="D18" s="34">
        <f>+D16+1</f>
        <v>9</v>
      </c>
      <c r="E18" s="20" t="s">
        <v>20</v>
      </c>
      <c r="F18" s="20" t="s">
        <v>20</v>
      </c>
      <c r="G18" s="52" t="s">
        <v>50</v>
      </c>
      <c r="H18" s="53">
        <v>3</v>
      </c>
      <c r="I18" s="28">
        <v>2044</v>
      </c>
      <c r="J18" s="54">
        <f t="shared" si="0"/>
        <v>6132</v>
      </c>
      <c r="K18" s="29"/>
      <c r="L18" s="52" t="s">
        <v>32</v>
      </c>
      <c r="M18" s="19"/>
      <c r="N18" s="1" t="s">
        <v>45</v>
      </c>
      <c r="O18" s="40">
        <v>44707</v>
      </c>
      <c r="P18" s="34"/>
      <c r="Q18" s="41"/>
      <c r="R18" s="41" t="s">
        <v>81</v>
      </c>
      <c r="S18" s="42"/>
    </row>
    <row r="19" spans="1:19" s="31" customFormat="1" ht="19.95" customHeight="1" x14ac:dyDescent="0.2">
      <c r="A19" s="31" t="s">
        <v>47</v>
      </c>
      <c r="B19" s="3"/>
      <c r="C19" s="3"/>
      <c r="D19" s="34">
        <f t="shared" si="1"/>
        <v>10</v>
      </c>
      <c r="E19" s="20" t="s">
        <v>35</v>
      </c>
      <c r="F19" s="21" t="s">
        <v>34</v>
      </c>
      <c r="G19" s="61" t="s">
        <v>48</v>
      </c>
      <c r="H19" s="62">
        <v>3</v>
      </c>
      <c r="I19" s="28">
        <v>6780</v>
      </c>
      <c r="J19" s="63">
        <f t="shared" ref="J19:J27" si="2">H19*I19</f>
        <v>20340</v>
      </c>
      <c r="K19" s="29"/>
      <c r="L19" s="64" t="s">
        <v>37</v>
      </c>
      <c r="M19" s="60" t="s">
        <v>46</v>
      </c>
      <c r="N19" s="1" t="s">
        <v>44</v>
      </c>
      <c r="O19" s="40">
        <v>44707</v>
      </c>
      <c r="P19" s="34"/>
      <c r="Q19" s="41"/>
      <c r="R19" s="86" t="s">
        <v>85</v>
      </c>
      <c r="S19" s="42"/>
    </row>
    <row r="20" spans="1:19" s="31" customFormat="1" ht="19.95" customHeight="1" x14ac:dyDescent="0.2">
      <c r="A20" s="31" t="s">
        <v>49</v>
      </c>
      <c r="B20" s="3"/>
      <c r="C20" s="3"/>
      <c r="D20" s="34">
        <f t="shared" si="1"/>
        <v>11</v>
      </c>
      <c r="E20" s="20" t="s">
        <v>35</v>
      </c>
      <c r="F20" s="21" t="s">
        <v>36</v>
      </c>
      <c r="G20" s="19" t="s">
        <v>38</v>
      </c>
      <c r="H20" s="56">
        <v>3</v>
      </c>
      <c r="I20" s="28">
        <v>4080</v>
      </c>
      <c r="J20" s="57">
        <f t="shared" si="2"/>
        <v>12240</v>
      </c>
      <c r="K20" s="29"/>
      <c r="L20" s="19" t="s">
        <v>39</v>
      </c>
      <c r="M20" s="19"/>
      <c r="N20" s="1" t="s">
        <v>43</v>
      </c>
      <c r="O20" s="40">
        <v>44707</v>
      </c>
      <c r="P20" s="34"/>
      <c r="Q20" s="41" t="s">
        <v>81</v>
      </c>
      <c r="R20" s="40"/>
      <c r="S20" s="42"/>
    </row>
    <row r="21" spans="1:19" s="31" customFormat="1" ht="19.95" customHeight="1" x14ac:dyDescent="0.2">
      <c r="A21" s="31" t="s">
        <v>55</v>
      </c>
      <c r="B21" s="3"/>
      <c r="C21" s="3"/>
      <c r="D21" s="34">
        <f t="shared" si="1"/>
        <v>12</v>
      </c>
      <c r="E21" s="79" t="s">
        <v>33</v>
      </c>
      <c r="F21" s="79" t="s">
        <v>33</v>
      </c>
      <c r="G21" s="80" t="s">
        <v>77</v>
      </c>
      <c r="H21" s="27">
        <v>6</v>
      </c>
      <c r="I21" s="81">
        <v>71</v>
      </c>
      <c r="J21" s="82">
        <f t="shared" si="2"/>
        <v>426</v>
      </c>
      <c r="K21" s="83"/>
      <c r="L21" s="84" t="s">
        <v>78</v>
      </c>
      <c r="M21" s="19"/>
      <c r="N21" s="1" t="s">
        <v>45</v>
      </c>
      <c r="O21" s="40">
        <v>44707</v>
      </c>
      <c r="P21" s="34"/>
      <c r="Q21" s="41"/>
      <c r="R21" s="41" t="s">
        <v>81</v>
      </c>
      <c r="S21" s="42"/>
    </row>
    <row r="22" spans="1:19" s="31" customFormat="1" ht="19.95" customHeight="1" x14ac:dyDescent="0.2">
      <c r="A22" s="31" t="s">
        <v>55</v>
      </c>
      <c r="B22" s="3"/>
      <c r="C22" s="3"/>
      <c r="D22" s="34">
        <f t="shared" si="1"/>
        <v>13</v>
      </c>
      <c r="E22" s="79" t="s">
        <v>33</v>
      </c>
      <c r="F22" s="79" t="s">
        <v>33</v>
      </c>
      <c r="G22" s="80" t="s">
        <v>79</v>
      </c>
      <c r="H22" s="27">
        <v>6</v>
      </c>
      <c r="I22" s="81">
        <v>30</v>
      </c>
      <c r="J22" s="82">
        <f t="shared" si="2"/>
        <v>180</v>
      </c>
      <c r="K22" s="83"/>
      <c r="L22" s="84" t="s">
        <v>80</v>
      </c>
      <c r="M22" s="19"/>
      <c r="N22" s="1" t="s">
        <v>45</v>
      </c>
      <c r="O22" s="40">
        <v>44707</v>
      </c>
      <c r="P22" s="34"/>
      <c r="Q22" s="41"/>
      <c r="R22" s="41" t="s">
        <v>81</v>
      </c>
      <c r="S22" s="42"/>
    </row>
    <row r="23" spans="1:19" s="3" customFormat="1" ht="19.95" customHeight="1" x14ac:dyDescent="0.2">
      <c r="A23" s="31" t="s">
        <v>55</v>
      </c>
      <c r="D23" s="34">
        <f t="shared" si="1"/>
        <v>14</v>
      </c>
      <c r="E23" s="71" t="s">
        <v>33</v>
      </c>
      <c r="F23" s="71" t="s">
        <v>33</v>
      </c>
      <c r="G23" s="72" t="s">
        <v>64</v>
      </c>
      <c r="H23" s="73"/>
      <c r="I23" s="72">
        <v>22</v>
      </c>
      <c r="J23" s="74">
        <f t="shared" si="2"/>
        <v>0</v>
      </c>
      <c r="K23" s="75"/>
      <c r="L23" s="76" t="s">
        <v>66</v>
      </c>
      <c r="M23" s="77" t="s">
        <v>65</v>
      </c>
      <c r="N23" s="1" t="s">
        <v>45</v>
      </c>
      <c r="O23" s="22"/>
      <c r="P23" s="20"/>
      <c r="Q23" s="26"/>
      <c r="R23" s="22"/>
      <c r="S23" s="23"/>
    </row>
    <row r="24" spans="1:19" s="3" customFormat="1" ht="19.95" customHeight="1" x14ac:dyDescent="0.2">
      <c r="A24" s="3" t="s">
        <v>73</v>
      </c>
      <c r="D24" s="34">
        <f t="shared" si="1"/>
        <v>15</v>
      </c>
      <c r="E24" s="65" t="s">
        <v>20</v>
      </c>
      <c r="F24" s="65" t="s">
        <v>20</v>
      </c>
      <c r="G24" s="66" t="s">
        <v>56</v>
      </c>
      <c r="H24" s="67">
        <v>3</v>
      </c>
      <c r="I24" s="68">
        <v>230</v>
      </c>
      <c r="J24" s="69">
        <f t="shared" si="2"/>
        <v>690</v>
      </c>
      <c r="K24" s="70"/>
      <c r="L24" s="66" t="s">
        <v>57</v>
      </c>
      <c r="M24" s="66" t="s">
        <v>58</v>
      </c>
      <c r="N24" s="1" t="s">
        <v>75</v>
      </c>
      <c r="O24" s="22">
        <v>44705</v>
      </c>
      <c r="P24" s="20"/>
      <c r="Q24" s="26"/>
      <c r="R24" s="22">
        <v>44711</v>
      </c>
      <c r="S24" s="23"/>
    </row>
    <row r="25" spans="1:19" s="3" customFormat="1" ht="19.95" customHeight="1" x14ac:dyDescent="0.2">
      <c r="A25" s="3" t="s">
        <v>73</v>
      </c>
      <c r="D25" s="34">
        <f t="shared" si="1"/>
        <v>16</v>
      </c>
      <c r="E25" s="65" t="s">
        <v>20</v>
      </c>
      <c r="F25" s="65" t="s">
        <v>20</v>
      </c>
      <c r="G25" s="66" t="s">
        <v>59</v>
      </c>
      <c r="H25" s="67">
        <v>3</v>
      </c>
      <c r="I25" s="68">
        <v>370</v>
      </c>
      <c r="J25" s="69">
        <f t="shared" si="2"/>
        <v>1110</v>
      </c>
      <c r="K25" s="70"/>
      <c r="L25" s="66" t="s">
        <v>57</v>
      </c>
      <c r="M25" s="66" t="s">
        <v>58</v>
      </c>
      <c r="N25" s="1" t="s">
        <v>75</v>
      </c>
      <c r="O25" s="22">
        <v>44705</v>
      </c>
      <c r="P25" s="22"/>
      <c r="Q25" s="26"/>
      <c r="R25" s="22">
        <v>44711</v>
      </c>
      <c r="S25" s="23"/>
    </row>
    <row r="26" spans="1:19" s="3" customFormat="1" ht="19.95" customHeight="1" x14ac:dyDescent="0.2">
      <c r="A26" s="31" t="s">
        <v>55</v>
      </c>
      <c r="D26" s="34">
        <f t="shared" si="1"/>
        <v>17</v>
      </c>
      <c r="E26" s="65" t="s">
        <v>20</v>
      </c>
      <c r="F26" s="65" t="s">
        <v>20</v>
      </c>
      <c r="G26" s="66" t="s">
        <v>60</v>
      </c>
      <c r="H26" s="67">
        <v>12</v>
      </c>
      <c r="I26" s="68">
        <v>92</v>
      </c>
      <c r="J26" s="69">
        <f t="shared" si="2"/>
        <v>1104</v>
      </c>
      <c r="K26" s="70"/>
      <c r="L26" s="66" t="s">
        <v>61</v>
      </c>
      <c r="M26" s="66" t="s">
        <v>58</v>
      </c>
      <c r="N26" s="1" t="s">
        <v>76</v>
      </c>
      <c r="O26" s="22">
        <v>44705</v>
      </c>
      <c r="P26" s="22"/>
      <c r="Q26" s="26"/>
      <c r="R26" s="22">
        <v>44711</v>
      </c>
      <c r="S26" s="23"/>
    </row>
    <row r="27" spans="1:19" s="3" customFormat="1" ht="19.95" customHeight="1" x14ac:dyDescent="0.2">
      <c r="A27" s="3" t="s">
        <v>73</v>
      </c>
      <c r="D27" s="34">
        <f t="shared" si="1"/>
        <v>18</v>
      </c>
      <c r="E27" s="65" t="s">
        <v>20</v>
      </c>
      <c r="F27" s="65" t="s">
        <v>20</v>
      </c>
      <c r="G27" s="66" t="s">
        <v>62</v>
      </c>
      <c r="H27" s="67">
        <v>12</v>
      </c>
      <c r="I27" s="68">
        <v>1140</v>
      </c>
      <c r="J27" s="69">
        <f t="shared" si="2"/>
        <v>13680</v>
      </c>
      <c r="K27" s="70"/>
      <c r="L27" s="66" t="s">
        <v>63</v>
      </c>
      <c r="M27" s="66" t="s">
        <v>58</v>
      </c>
      <c r="N27" s="1" t="s">
        <v>76</v>
      </c>
      <c r="O27" s="22">
        <v>44705</v>
      </c>
      <c r="P27" s="22"/>
      <c r="Q27" s="26"/>
      <c r="R27" s="22">
        <v>44711</v>
      </c>
      <c r="S27" s="23"/>
    </row>
    <row r="28" spans="1:19" s="31" customFormat="1" ht="19.95" customHeight="1" x14ac:dyDescent="0.2">
      <c r="A28" s="3"/>
      <c r="B28" s="3"/>
      <c r="C28" s="3"/>
      <c r="D28" s="34"/>
      <c r="E28" s="34"/>
      <c r="F28" s="38"/>
      <c r="G28" s="49"/>
      <c r="H28" s="35"/>
      <c r="I28" s="36"/>
      <c r="J28" s="37">
        <f t="shared" ref="J28:J32" si="3">H28*I28</f>
        <v>0</v>
      </c>
      <c r="K28" s="43"/>
      <c r="L28" s="39"/>
      <c r="M28" s="39"/>
      <c r="N28" s="38"/>
      <c r="O28" s="40"/>
      <c r="P28" s="34"/>
      <c r="Q28" s="41"/>
      <c r="R28" s="40"/>
      <c r="S28" s="42"/>
    </row>
    <row r="29" spans="1:19" s="31" customFormat="1" ht="19.95" customHeight="1" x14ac:dyDescent="0.2">
      <c r="A29" s="5" t="s">
        <v>55</v>
      </c>
      <c r="B29" s="5"/>
      <c r="C29" s="5"/>
      <c r="D29" s="34">
        <f>+D27+1</f>
        <v>19</v>
      </c>
      <c r="E29" s="34" t="s">
        <v>87</v>
      </c>
      <c r="F29" s="91" t="s">
        <v>20</v>
      </c>
      <c r="G29" s="50" t="s">
        <v>88</v>
      </c>
      <c r="H29" s="47">
        <v>6</v>
      </c>
      <c r="I29" s="36">
        <v>117</v>
      </c>
      <c r="J29" s="44">
        <f t="shared" si="3"/>
        <v>702</v>
      </c>
      <c r="K29" s="43"/>
      <c r="L29" s="45" t="s">
        <v>89</v>
      </c>
      <c r="M29" s="19" t="s">
        <v>90</v>
      </c>
      <c r="N29" s="38" t="s">
        <v>91</v>
      </c>
      <c r="O29" s="40">
        <v>44715</v>
      </c>
      <c r="P29" s="34"/>
      <c r="Q29" s="41"/>
      <c r="R29" s="40">
        <v>44718</v>
      </c>
      <c r="S29" s="42"/>
    </row>
    <row r="30" spans="1:19" s="31" customFormat="1" ht="19.95" customHeight="1" x14ac:dyDescent="0.2">
      <c r="A30" s="3"/>
      <c r="B30" s="3"/>
      <c r="C30" s="3"/>
      <c r="D30" s="34"/>
      <c r="E30" s="34"/>
      <c r="F30" s="38"/>
      <c r="G30" s="50"/>
      <c r="H30" s="47"/>
      <c r="I30" s="36"/>
      <c r="J30" s="44">
        <f t="shared" si="3"/>
        <v>0</v>
      </c>
      <c r="K30" s="43"/>
      <c r="L30" s="45"/>
      <c r="M30" s="39"/>
      <c r="N30" s="38"/>
      <c r="O30" s="40"/>
      <c r="P30" s="34"/>
      <c r="Q30" s="41"/>
      <c r="R30" s="40"/>
      <c r="S30" s="42"/>
    </row>
    <row r="31" spans="1:19" s="31" customFormat="1" ht="19.95" customHeight="1" x14ac:dyDescent="0.2">
      <c r="A31" s="3"/>
      <c r="B31" s="3"/>
      <c r="C31" s="3"/>
      <c r="D31" s="34"/>
      <c r="E31" s="34"/>
      <c r="F31" s="38"/>
      <c r="G31" s="51"/>
      <c r="H31" s="48"/>
      <c r="I31" s="36"/>
      <c r="J31" s="46">
        <f t="shared" si="3"/>
        <v>0</v>
      </c>
      <c r="K31" s="43"/>
      <c r="L31" s="39"/>
      <c r="M31" s="39"/>
      <c r="N31" s="38"/>
      <c r="O31" s="40"/>
      <c r="P31" s="34"/>
      <c r="Q31" s="41"/>
      <c r="R31" s="40"/>
      <c r="S31" s="42"/>
    </row>
    <row r="32" spans="1:19" s="31" customFormat="1" ht="19.95" customHeight="1" x14ac:dyDescent="0.2">
      <c r="A32" s="3"/>
      <c r="B32" s="3"/>
      <c r="C32" s="3"/>
      <c r="D32" s="34"/>
      <c r="E32" s="34"/>
      <c r="F32" s="38"/>
      <c r="G32" s="49"/>
      <c r="H32" s="35"/>
      <c r="I32" s="36"/>
      <c r="J32" s="37">
        <f t="shared" si="3"/>
        <v>0</v>
      </c>
      <c r="K32" s="43"/>
      <c r="L32" s="39"/>
      <c r="M32" s="39"/>
      <c r="N32" s="38"/>
      <c r="O32" s="40"/>
      <c r="P32" s="34"/>
      <c r="Q32" s="41"/>
      <c r="R32" s="40"/>
      <c r="S32" s="42"/>
    </row>
    <row r="33" spans="10:15" x14ac:dyDescent="0.2">
      <c r="O33" s="15"/>
    </row>
    <row r="34" spans="10:15" x14ac:dyDescent="0.2">
      <c r="O34" s="14"/>
    </row>
    <row r="35" spans="10:15" x14ac:dyDescent="0.2">
      <c r="J35" s="25"/>
      <c r="O35" s="15"/>
    </row>
    <row r="36" spans="10:15" x14ac:dyDescent="0.2">
      <c r="J36" s="25"/>
    </row>
    <row r="37" spans="10:15" x14ac:dyDescent="0.2">
      <c r="J37" s="25"/>
    </row>
    <row r="38" spans="10:15" x14ac:dyDescent="0.2">
      <c r="J38" s="25"/>
    </row>
    <row r="39" spans="10:15" x14ac:dyDescent="0.2">
      <c r="J39" s="25"/>
    </row>
    <row r="40" spans="10:15" x14ac:dyDescent="0.2">
      <c r="J40" s="25"/>
    </row>
    <row r="41" spans="10:15" x14ac:dyDescent="0.2">
      <c r="J41" s="25"/>
    </row>
    <row r="42" spans="10:15" x14ac:dyDescent="0.2">
      <c r="J42" s="25"/>
    </row>
    <row r="43" spans="10:15" x14ac:dyDescent="0.2">
      <c r="J43" s="25"/>
    </row>
    <row r="44" spans="10:15" x14ac:dyDescent="0.2">
      <c r="J44" s="25"/>
    </row>
    <row r="45" spans="10:15" x14ac:dyDescent="0.2">
      <c r="J45" s="25"/>
    </row>
    <row r="46" spans="10:15" x14ac:dyDescent="0.2">
      <c r="J46" s="25"/>
    </row>
    <row r="47" spans="10:15" x14ac:dyDescent="0.2">
      <c r="J47" s="25"/>
    </row>
    <row r="48" spans="10:15" x14ac:dyDescent="0.2">
      <c r="J48" s="25"/>
    </row>
    <row r="49" spans="10:10" x14ac:dyDescent="0.2">
      <c r="J49" s="25"/>
    </row>
    <row r="50" spans="10:10" x14ac:dyDescent="0.2">
      <c r="J50" s="25"/>
    </row>
    <row r="51" spans="10:10" x14ac:dyDescent="0.2">
      <c r="J51" s="25"/>
    </row>
    <row r="52" spans="10:10" x14ac:dyDescent="0.2">
      <c r="J52" s="25"/>
    </row>
    <row r="53" spans="10:10" x14ac:dyDescent="0.2">
      <c r="J53" s="25"/>
    </row>
    <row r="54" spans="10:10" x14ac:dyDescent="0.2">
      <c r="J54" s="25"/>
    </row>
    <row r="55" spans="10:10" x14ac:dyDescent="0.2">
      <c r="J55" s="25"/>
    </row>
    <row r="56" spans="10:10" x14ac:dyDescent="0.2">
      <c r="J56" s="25"/>
    </row>
    <row r="57" spans="10:10" x14ac:dyDescent="0.2">
      <c r="J57" s="25"/>
    </row>
    <row r="58" spans="10:10" x14ac:dyDescent="0.2">
      <c r="J58" s="25"/>
    </row>
    <row r="59" spans="10:10" x14ac:dyDescent="0.2">
      <c r="J59" s="25"/>
    </row>
    <row r="60" spans="10:10" x14ac:dyDescent="0.2">
      <c r="J60" s="25"/>
    </row>
    <row r="61" spans="10:10" x14ac:dyDescent="0.2">
      <c r="J61" s="25"/>
    </row>
    <row r="62" spans="10:10" x14ac:dyDescent="0.2">
      <c r="J62" s="25"/>
    </row>
    <row r="63" spans="10:10" x14ac:dyDescent="0.2">
      <c r="J63" s="25"/>
    </row>
    <row r="64" spans="10:10" x14ac:dyDescent="0.2">
      <c r="J64" s="25"/>
    </row>
    <row r="65" spans="10:10" x14ac:dyDescent="0.2">
      <c r="J65" s="25"/>
    </row>
    <row r="66" spans="10:10" x14ac:dyDescent="0.2">
      <c r="J66" s="25"/>
    </row>
    <row r="67" spans="10:10" x14ac:dyDescent="0.2">
      <c r="J67" s="24"/>
    </row>
  </sheetData>
  <autoFilter ref="D8:Q32" xr:uid="{00000000-0009-0000-0000-000000000000}"/>
  <mergeCells count="6">
    <mergeCell ref="D6:F6"/>
    <mergeCell ref="I2:K2"/>
    <mergeCell ref="D2:F2"/>
    <mergeCell ref="D3:F3"/>
    <mergeCell ref="D4:F4"/>
    <mergeCell ref="D5:F5"/>
  </mergeCells>
  <phoneticPr fontId="1"/>
  <dataValidations count="1">
    <dataValidation imeMode="hiragana" allowBlank="1" showInputMessage="1" showErrorMessage="1" sqref="L23" xr:uid="{6696064D-6BD4-4FFB-BEBC-AB68E58CB689}"/>
  </dataValidations>
  <hyperlinks>
    <hyperlink ref="M19" r:id="rId1" xr:uid="{84C5828A-E5E0-4BEA-9EA4-368C5430BB65}"/>
    <hyperlink ref="M16" r:id="rId2" xr:uid="{440A2BDD-07EB-4411-B221-743C1659ECC6}"/>
  </hyperlinks>
  <pageMargins left="0.2" right="0.2" top="0.36" bottom="0.41" header="0.3" footer="0.3"/>
  <pageSetup paperSize="9" scale="70" orientation="landscape"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5"/>
  <sheetViews>
    <sheetView view="pageBreakPreview" zoomScaleNormal="100" zoomScaleSheetLayoutView="100" workbookViewId="0">
      <selection activeCell="D3" sqref="D3"/>
    </sheetView>
  </sheetViews>
  <sheetFormatPr defaultRowHeight="13.2" x14ac:dyDescent="0.2"/>
  <cols>
    <col min="3" max="3" width="1.44140625" customWidth="1"/>
    <col min="4" max="4" width="20.33203125" bestFit="1" customWidth="1"/>
  </cols>
  <sheetData>
    <row r="1" spans="1:4" ht="16.2" x14ac:dyDescent="0.2">
      <c r="A1" s="87" t="s">
        <v>9</v>
      </c>
      <c r="B1" s="87"/>
      <c r="C1" s="87"/>
      <c r="D1" s="11"/>
    </row>
    <row r="2" spans="1:4" ht="16.2" x14ac:dyDescent="0.2">
      <c r="A2" s="87" t="s">
        <v>8</v>
      </c>
      <c r="B2" s="87"/>
      <c r="C2" s="87"/>
      <c r="D2" s="7"/>
    </row>
    <row r="3" spans="1:4" ht="16.2" x14ac:dyDescent="0.2">
      <c r="A3" s="87" t="s">
        <v>10</v>
      </c>
      <c r="B3" s="87"/>
      <c r="C3" s="87"/>
      <c r="D3" s="7"/>
    </row>
    <row r="4" spans="1:4" ht="16.2" x14ac:dyDescent="0.2">
      <c r="A4" s="87" t="s">
        <v>11</v>
      </c>
      <c r="B4" s="87"/>
      <c r="C4" s="87"/>
      <c r="D4" s="8"/>
    </row>
    <row r="5" spans="1:4" ht="16.2" x14ac:dyDescent="0.2">
      <c r="A5" s="87" t="s">
        <v>12</v>
      </c>
      <c r="B5" s="87"/>
      <c r="C5" s="87"/>
      <c r="D5" s="8"/>
    </row>
  </sheetData>
  <mergeCells count="5">
    <mergeCell ref="A1:C1"/>
    <mergeCell ref="A2:C2"/>
    <mergeCell ref="A3:C3"/>
    <mergeCell ref="A4:C4"/>
    <mergeCell ref="A5:C5"/>
  </mergeCells>
  <phoneticPr fontId="1"/>
  <pageMargins left="0.7" right="0.7" top="0.75" bottom="0.75" header="0.3" footer="0.3"/>
  <pageSetup paperSize="9" scale="190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3.2" x14ac:dyDescent="0.2"/>
  <sheetData/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3</vt:i4>
      </vt:variant>
    </vt:vector>
  </HeadingPairs>
  <TitlesOfParts>
    <vt:vector size="3" baseType="lpstr">
      <vt:lpstr>Sheet1</vt:lpstr>
      <vt:lpstr>表紙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SATOH</dc:creator>
  <cp:lastModifiedBy>齋藤 秀昭</cp:lastModifiedBy>
  <cp:lastPrinted>2021-09-03T08:30:55Z</cp:lastPrinted>
  <dcterms:created xsi:type="dcterms:W3CDTF">2011-12-13T06:48:43Z</dcterms:created>
  <dcterms:modified xsi:type="dcterms:W3CDTF">2022-06-06T04:30:03Z</dcterms:modified>
</cp:coreProperties>
</file>