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10FD9A4-4775-4748-BEA7-84E30632AB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Sheet1!$B$8:$O$61</definedName>
    <definedName name="_xlnm.Print_Area" localSheetId="1">Sheet3!$A$1:$B$8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45" i="1"/>
  <c r="H35" i="1"/>
  <c r="H34" i="1"/>
  <c r="H23" i="1" l="1"/>
  <c r="H11" i="1"/>
  <c r="H12" i="1" l="1"/>
  <c r="H10" i="1"/>
  <c r="H9" i="1"/>
  <c r="H38" i="1" l="1"/>
  <c r="H37" i="1"/>
  <c r="H36" i="1"/>
  <c r="H33" i="1"/>
  <c r="H46" i="1"/>
  <c r="H50" i="1"/>
  <c r="H49" i="1"/>
  <c r="H48" i="1" l="1"/>
  <c r="H47" i="1"/>
  <c r="H44" i="1"/>
  <c r="H43" i="1"/>
  <c r="H42" i="1"/>
  <c r="H41" i="1"/>
  <c r="H40" i="1"/>
  <c r="H39" i="1"/>
  <c r="H30" i="1"/>
  <c r="H29" i="1"/>
  <c r="H32" i="1"/>
  <c r="H31" i="1"/>
  <c r="H28" i="1"/>
  <c r="H27" i="1"/>
  <c r="H26" i="1"/>
  <c r="H25" i="1"/>
  <c r="H24" i="1"/>
  <c r="H22" i="1"/>
  <c r="H21" i="1"/>
  <c r="J2" i="1" l="1"/>
</calcChain>
</file>

<file path=xl/sharedStrings.xml><?xml version="1.0" encoding="utf-8"?>
<sst xmlns="http://schemas.openxmlformats.org/spreadsheetml/2006/main" count="178" uniqueCount="95">
  <si>
    <t>数量</t>
  </si>
  <si>
    <t>単価</t>
  </si>
  <si>
    <t>金額</t>
  </si>
  <si>
    <t>詳細</t>
    <rPh sb="0" eb="2">
      <t>ショウサイ</t>
    </rPh>
    <phoneticPr fontId="4"/>
  </si>
  <si>
    <t>見積り分類</t>
    <rPh sb="0" eb="2">
      <t>ミツモ</t>
    </rPh>
    <rPh sb="3" eb="5">
      <t>ブンルイ</t>
    </rPh>
    <phoneticPr fontId="3"/>
  </si>
  <si>
    <t>仕入先</t>
    <rPh sb="0" eb="2">
      <t>シイレ</t>
    </rPh>
    <rPh sb="2" eb="3">
      <t>サキ</t>
    </rPh>
    <phoneticPr fontId="3"/>
  </si>
  <si>
    <t>発注日</t>
    <rPh sb="0" eb="2">
      <t>ハッチュウ</t>
    </rPh>
    <rPh sb="2" eb="3">
      <t>ヒ</t>
    </rPh>
    <phoneticPr fontId="3"/>
  </si>
  <si>
    <t>納期</t>
    <rPh sb="0" eb="2">
      <t>ノウ</t>
    </rPh>
    <phoneticPr fontId="3"/>
  </si>
  <si>
    <t>品名 / 型式</t>
    <rPh sb="0" eb="2">
      <t>ヒンメイ</t>
    </rPh>
    <rPh sb="5" eb="7">
      <t>カタシキ</t>
    </rPh>
    <phoneticPr fontId="4"/>
  </si>
  <si>
    <t>メーカー</t>
    <phoneticPr fontId="3"/>
  </si>
  <si>
    <t>担当営業</t>
    <rPh sb="0" eb="2">
      <t>タントウ</t>
    </rPh>
    <rPh sb="2" eb="4">
      <t>エイギョウ</t>
    </rPh>
    <phoneticPr fontId="3"/>
  </si>
  <si>
    <t>お客先名</t>
    <rPh sb="1" eb="3">
      <t>キャクサキ</t>
    </rPh>
    <rPh sb="3" eb="4">
      <t>メイ</t>
    </rPh>
    <phoneticPr fontId="3"/>
  </si>
  <si>
    <t>受注番号</t>
    <rPh sb="0" eb="2">
      <t>ジュチュウ</t>
    </rPh>
    <rPh sb="2" eb="4">
      <t>バンゴウ</t>
    </rPh>
    <phoneticPr fontId="3"/>
  </si>
  <si>
    <t>希望納期</t>
    <rPh sb="0" eb="2">
      <t>キボウ</t>
    </rPh>
    <rPh sb="2" eb="4">
      <t>ノウ</t>
    </rPh>
    <phoneticPr fontId="3"/>
  </si>
  <si>
    <t>最終納品</t>
    <rPh sb="0" eb="2">
      <t>サイシュウ</t>
    </rPh>
    <rPh sb="2" eb="4">
      <t>ノウヒン</t>
    </rPh>
    <phoneticPr fontId="3"/>
  </si>
  <si>
    <t>合計金額</t>
    <rPh sb="0" eb="2">
      <t>ゴウケイ</t>
    </rPh>
    <rPh sb="2" eb="4">
      <t>キンガク</t>
    </rPh>
    <phoneticPr fontId="3"/>
  </si>
  <si>
    <t>技術分類</t>
    <rPh sb="0" eb="2">
      <t>ギジュツ</t>
    </rPh>
    <rPh sb="2" eb="4">
      <t>ブンルイ</t>
    </rPh>
    <phoneticPr fontId="3"/>
  </si>
  <si>
    <t>備考</t>
    <rPh sb="0" eb="2">
      <t>ビコウ</t>
    </rPh>
    <phoneticPr fontId="3"/>
  </si>
  <si>
    <t>分類合計</t>
    <rPh sb="0" eb="2">
      <t>ブンルイ</t>
    </rPh>
    <rPh sb="2" eb="4">
      <t>ゴウケイ</t>
    </rPh>
    <phoneticPr fontId="3"/>
  </si>
  <si>
    <t>発注</t>
    <rPh sb="0" eb="2">
      <t>ハッチュウ</t>
    </rPh>
    <phoneticPr fontId="3"/>
  </si>
  <si>
    <t>入荷予定日</t>
    <rPh sb="0" eb="2">
      <t>ニュウカ</t>
    </rPh>
    <rPh sb="2" eb="4">
      <t>ヨテイ</t>
    </rPh>
    <rPh sb="4" eb="5">
      <t>ヒ</t>
    </rPh>
    <phoneticPr fontId="3"/>
  </si>
  <si>
    <t>入荷日</t>
    <rPh sb="0" eb="2">
      <t>ニュウカ</t>
    </rPh>
    <rPh sb="2" eb="3">
      <t>ビ</t>
    </rPh>
    <phoneticPr fontId="3"/>
  </si>
  <si>
    <t>福島</t>
    <rPh sb="0" eb="2">
      <t>フクシマ</t>
    </rPh>
    <phoneticPr fontId="3"/>
  </si>
  <si>
    <t>蛇の目</t>
    <rPh sb="0" eb="1">
      <t>ジャ</t>
    </rPh>
    <rPh sb="2" eb="3">
      <t>メ</t>
    </rPh>
    <phoneticPr fontId="3"/>
  </si>
  <si>
    <t>MVSHM-3N03052-2YF-NAC82</t>
    <phoneticPr fontId="3"/>
  </si>
  <si>
    <t>メビー加工品(端子ボックス押え板金)</t>
    <phoneticPr fontId="3"/>
  </si>
  <si>
    <t>端子ボックス</t>
    <rPh sb="0" eb="2">
      <t>タンシ</t>
    </rPh>
    <phoneticPr fontId="3"/>
  </si>
  <si>
    <t>CBSTSR4-12</t>
    <phoneticPr fontId="3"/>
  </si>
  <si>
    <t>超極低頭六角穴付ボルト</t>
    <phoneticPr fontId="3"/>
  </si>
  <si>
    <t>WSNA-SU-D8-T2.7-V4.2</t>
    <phoneticPr fontId="3"/>
  </si>
  <si>
    <t>金属ワッシャ</t>
    <phoneticPr fontId="3"/>
  </si>
  <si>
    <t>MVSHM-3N03052-2YE-F2TNK</t>
    <phoneticPr fontId="3"/>
  </si>
  <si>
    <t>メビー加工品(端子ボックス固定台)</t>
    <phoneticPr fontId="3"/>
  </si>
  <si>
    <t>RSAS-PS-300-250-120-K-WB2202180052</t>
    <phoneticPr fontId="3"/>
  </si>
  <si>
    <t>Web設計ボック</t>
    <phoneticPr fontId="3"/>
  </si>
  <si>
    <t>MRB-260</t>
    <phoneticPr fontId="3"/>
  </si>
  <si>
    <t>DINレール</t>
    <phoneticPr fontId="3"/>
  </si>
  <si>
    <t>MWS-DS37A-HT37</t>
    <phoneticPr fontId="3"/>
  </si>
  <si>
    <t>Dsubコネクタ端子台</t>
    <phoneticPr fontId="3"/>
  </si>
  <si>
    <t>東洋技研</t>
    <rPh sb="0" eb="4">
      <t>トウヨウギケン</t>
    </rPh>
    <phoneticPr fontId="3"/>
  </si>
  <si>
    <t>PCN-COM201　注文コード：34818804</t>
    <rPh sb="11" eb="13">
      <t>チュウモン</t>
    </rPh>
    <phoneticPr fontId="3"/>
  </si>
  <si>
    <t>TKR-TWE1</t>
    <phoneticPr fontId="3"/>
  </si>
  <si>
    <t xml:space="preserve">DINレール止め金具（タカチ電機工業） </t>
    <phoneticPr fontId="3"/>
  </si>
  <si>
    <t>タカチ電機工業</t>
    <phoneticPr fontId="3"/>
  </si>
  <si>
    <t>KD-36-20-T</t>
    <phoneticPr fontId="3"/>
  </si>
  <si>
    <t>カッチンダクト（興和化成）</t>
    <phoneticPr fontId="3"/>
  </si>
  <si>
    <t>興和化成</t>
    <phoneticPr fontId="3"/>
  </si>
  <si>
    <t>GLDJ-PS-WA-37-2</t>
    <phoneticPr fontId="3"/>
  </si>
  <si>
    <t>I/O-SYS⇔端子台用ケーブル</t>
    <rPh sb="8" eb="11">
      <t>タンシダイ</t>
    </rPh>
    <rPh sb="11" eb="12">
      <t>ヨウ</t>
    </rPh>
    <phoneticPr fontId="3"/>
  </si>
  <si>
    <t>Dsubコネクタハーネス</t>
    <phoneticPr fontId="3"/>
  </si>
  <si>
    <t>F1.25-M3</t>
    <phoneticPr fontId="3"/>
  </si>
  <si>
    <t>裸圧着端子 Y型（大同端子製造）</t>
    <phoneticPr fontId="3"/>
  </si>
  <si>
    <t>大同端子製造</t>
  </si>
  <si>
    <t>NAUL1007-20-BE-10</t>
    <phoneticPr fontId="3"/>
  </si>
  <si>
    <t>単芯電線UL</t>
    <phoneticPr fontId="3"/>
  </si>
  <si>
    <t>MVBLK-AMW-2YF-1Y38Y</t>
    <phoneticPr fontId="3"/>
  </si>
  <si>
    <t>メビー加工品(ツール板)</t>
    <phoneticPr fontId="3"/>
  </si>
  <si>
    <t>ツールユニット</t>
    <phoneticPr fontId="3"/>
  </si>
  <si>
    <t>MVBLK-AMW-2YF-2JPHT</t>
    <phoneticPr fontId="3"/>
  </si>
  <si>
    <t>メビー加工品(□40ステージ固定板)</t>
    <phoneticPr fontId="3"/>
  </si>
  <si>
    <t>3軸調整ユニット</t>
    <phoneticPr fontId="3"/>
  </si>
  <si>
    <t>XYZSSG40-CU</t>
    <phoneticPr fontId="3"/>
  </si>
  <si>
    <t>XYZステージ</t>
    <phoneticPr fontId="3"/>
  </si>
  <si>
    <t>MVBLK-AMW-2YF-3LXLW</t>
    <phoneticPr fontId="3"/>
  </si>
  <si>
    <t>メビー加工品(□40シリンジ+バルブ取付上板)</t>
    <phoneticPr fontId="3"/>
  </si>
  <si>
    <t>MVBLK-AMW-2YF-97YD3</t>
    <phoneticPr fontId="3"/>
  </si>
  <si>
    <t>メビー加工品(□40温調取付板)</t>
    <phoneticPr fontId="3"/>
  </si>
  <si>
    <t>ミスミ</t>
    <phoneticPr fontId="3"/>
  </si>
  <si>
    <t>出雲村田製作所(ホクシン)</t>
    <phoneticPr fontId="3"/>
  </si>
  <si>
    <t>CAT5e STP （より線） やわらか LANケーブル</t>
  </si>
  <si>
    <t>PCソフト接続ケーブル</t>
    <rPh sb="5" eb="7">
      <t>セツゾク</t>
    </rPh>
    <phoneticPr fontId="3"/>
  </si>
  <si>
    <t>NWC5E-STP1-Y-GY-2</t>
    <phoneticPr fontId="3"/>
  </si>
  <si>
    <t>コモン端子台(東洋技研)</t>
  </si>
  <si>
    <t>端子台⇔ULTRA 2400用ケーブル</t>
    <rPh sb="0" eb="2">
      <t>タンシ</t>
    </rPh>
    <rPh sb="2" eb="3">
      <t>ダイ</t>
    </rPh>
    <rPh sb="14" eb="15">
      <t>ヨウ</t>
    </rPh>
    <phoneticPr fontId="3"/>
  </si>
  <si>
    <t>MP018-8</t>
    <phoneticPr fontId="3"/>
  </si>
  <si>
    <t>DINコネクタ　ストレートプラグ(8芯)</t>
    <rPh sb="18" eb="19">
      <t>シン</t>
    </rPh>
    <phoneticPr fontId="3"/>
  </si>
  <si>
    <t>多芯ケーブル</t>
    <rPh sb="0" eb="2">
      <t>タシン</t>
    </rPh>
    <phoneticPr fontId="3"/>
  </si>
  <si>
    <t>SS300SB-24-1P-2</t>
    <phoneticPr fontId="3"/>
  </si>
  <si>
    <t>制御機材</t>
    <rPh sb="0" eb="4">
      <t>セイギョキザイ</t>
    </rPh>
    <phoneticPr fontId="3"/>
  </si>
  <si>
    <t>JR3203-SET02</t>
  </si>
  <si>
    <t>改修基本料</t>
    <rPh sb="0" eb="5">
      <t>カイシュウキホンリョウ</t>
    </rPh>
    <phoneticPr fontId="3"/>
  </si>
  <si>
    <t>改修技術料</t>
    <rPh sb="0" eb="5">
      <t>カイシュウギジュツリョウ</t>
    </rPh>
    <phoneticPr fontId="3"/>
  </si>
  <si>
    <t>送料</t>
    <rPh sb="0" eb="2">
      <t>ソウリョウ</t>
    </rPh>
    <phoneticPr fontId="3"/>
  </si>
  <si>
    <t>操作パネル</t>
    <rPh sb="0" eb="2">
      <t>ソウサ</t>
    </rPh>
    <phoneticPr fontId="3"/>
  </si>
  <si>
    <t>電源ランプ（組）</t>
    <rPh sb="0" eb="2">
      <t>デンゲン</t>
    </rPh>
    <rPh sb="6" eb="7">
      <t>クミ</t>
    </rPh>
    <phoneticPr fontId="3"/>
  </si>
  <si>
    <t>B板～スイッチボックスコード（組）</t>
    <rPh sb="1" eb="2">
      <t>イタ</t>
    </rPh>
    <rPh sb="15" eb="16">
      <t>クミ</t>
    </rPh>
    <phoneticPr fontId="3"/>
  </si>
  <si>
    <t>D-Sub固定板3</t>
    <rPh sb="5" eb="8">
      <t>コテイバン</t>
    </rPh>
    <phoneticPr fontId="3"/>
  </si>
  <si>
    <t>ダストキャップ3</t>
  </si>
  <si>
    <t>スイッチボックス2（組）OPSW付</t>
    <rPh sb="10" eb="11">
      <t>クミ</t>
    </rPh>
    <rPh sb="16" eb="17">
      <t>ツ</t>
    </rPh>
    <phoneticPr fontId="3"/>
  </si>
  <si>
    <t>定格銘板　JR3203N-BC</t>
    <rPh sb="0" eb="4">
      <t>テイカクメイバン</t>
    </rPh>
    <phoneticPr fontId="3"/>
  </si>
  <si>
    <t>PCソフト（JR　C-PointsⅡ　塗布仕様）</t>
    <rPh sb="19" eb="21">
      <t>トフ</t>
    </rPh>
    <rPh sb="21" eb="23">
      <t>シヨウ</t>
    </rPh>
    <phoneticPr fontId="3"/>
  </si>
  <si>
    <t>弊社在庫より支給　4/6発送</t>
    <rPh sb="0" eb="4">
      <t>ヘイシャザイコ</t>
    </rPh>
    <rPh sb="6" eb="8">
      <t>シキュウ</t>
    </rPh>
    <rPh sb="12" eb="14">
      <t>ハッソウ</t>
    </rPh>
    <phoneticPr fontId="3"/>
  </si>
  <si>
    <t>見積№HQ22-0009</t>
    <rPh sb="0" eb="3">
      <t>ミツモリナンバー</t>
    </rPh>
    <phoneticPr fontId="3"/>
  </si>
  <si>
    <t>送料　機材センター➡ジャノメ</t>
    <rPh sb="0" eb="2">
      <t>ソウリョウ</t>
    </rPh>
    <rPh sb="3" eb="5">
      <t>キザイ</t>
    </rPh>
    <phoneticPr fontId="3"/>
  </si>
  <si>
    <t>JIT便</t>
    <rPh sb="3" eb="4">
      <t>ビン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</si>
</sst>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m/d;@"/>
    <numFmt numFmtId="178" formatCode="m&quot;月&quot;d&quot;日&quot;;@"/>
    <numFmt numFmtId="179" formatCode="0_);[Red]\(0\)"/>
    <numFmt numFmtId="180" formatCode="0_ ;[Red]\-0\ 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48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1" xfId="0" applyFont="1" applyBorder="1" applyAlignment="1">
      <alignment horizontal="center" vertical="center" shrinkToFit="1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38" fontId="5" fillId="0" borderId="1" xfId="0" applyNumberFormat="1" applyFont="1" applyBorder="1">
      <alignment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7" xfId="0" applyNumberFormat="1" applyFill="1" applyBorder="1" applyAlignment="1">
      <alignment horizontal="right" vertical="center"/>
    </xf>
    <xf numFmtId="178" fontId="0" fillId="3" borderId="0" xfId="0" applyNumberFormat="1" applyFill="1">
      <alignment vertical="center"/>
    </xf>
    <xf numFmtId="0" fontId="8" fillId="3" borderId="1" xfId="0" applyFont="1" applyFill="1" applyBorder="1">
      <alignment vertical="center"/>
    </xf>
    <xf numFmtId="38" fontId="0" fillId="3" borderId="1" xfId="0" applyNumberForma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38" fontId="8" fillId="3" borderId="1" xfId="0" applyNumberFormat="1" applyFont="1" applyFill="1" applyBorder="1" applyAlignment="1">
      <alignment horizontal="right" vertical="center"/>
    </xf>
    <xf numFmtId="179" fontId="8" fillId="3" borderId="1" xfId="0" applyNumberFormat="1" applyFont="1" applyFill="1" applyBorder="1" applyAlignment="1">
      <alignment horizontal="right" vertical="center"/>
    </xf>
    <xf numFmtId="179" fontId="0" fillId="3" borderId="1" xfId="0" applyNumberFormat="1" applyFill="1" applyBorder="1">
      <alignment vertical="center"/>
    </xf>
    <xf numFmtId="179" fontId="8" fillId="3" borderId="0" xfId="0" applyNumberFormat="1" applyFont="1" applyFill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3" fontId="8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9" fillId="3" borderId="0" xfId="2" applyFont="1" applyFill="1" applyBorder="1" applyAlignment="1">
      <alignment vertical="center"/>
    </xf>
    <xf numFmtId="38" fontId="0" fillId="3" borderId="0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178" fontId="8" fillId="3" borderId="0" xfId="0" applyNumberFormat="1" applyFont="1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56" fontId="0" fillId="3" borderId="0" xfId="0" applyNumberFormat="1" applyFill="1" applyBorder="1" applyAlignment="1">
      <alignment horizontal="center" vertical="center"/>
    </xf>
    <xf numFmtId="56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79" fontId="0" fillId="0" borderId="1" xfId="0" applyNumberFormat="1" applyFill="1" applyBorder="1" applyAlignment="1">
      <alignment horizontal="right" vertical="center"/>
    </xf>
    <xf numFmtId="38" fontId="0" fillId="0" borderId="1" xfId="0" applyNumberFormat="1" applyFont="1" applyFill="1" applyBorder="1" applyAlignment="1">
      <alignment horizontal="right" vertical="center"/>
    </xf>
    <xf numFmtId="38" fontId="8" fillId="0" borderId="1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38" fontId="8" fillId="0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38" fontId="7" fillId="3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Fill="1" applyBorder="1">
      <alignment vertical="center"/>
    </xf>
    <xf numFmtId="179" fontId="7" fillId="0" borderId="1" xfId="0" applyNumberFormat="1" applyFont="1" applyFill="1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38" fontId="0" fillId="0" borderId="1" xfId="0" applyNumberFormat="1" applyFill="1" applyBorder="1">
      <alignment vertical="center"/>
    </xf>
    <xf numFmtId="38" fontId="7" fillId="0" borderId="1" xfId="0" applyNumberFormat="1" applyFont="1" applyFill="1" applyBorder="1">
      <alignment vertical="center"/>
    </xf>
    <xf numFmtId="0" fontId="8" fillId="0" borderId="4" xfId="0" applyFont="1" applyFill="1" applyBorder="1" applyAlignment="1">
      <alignment horizontal="left" vertical="center"/>
    </xf>
    <xf numFmtId="177" fontId="0" fillId="0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>
      <alignment vertical="center"/>
    </xf>
    <xf numFmtId="38" fontId="0" fillId="3" borderId="1" xfId="0" applyNumberForma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79" fontId="8" fillId="3" borderId="1" xfId="0" applyNumberFormat="1" applyFont="1" applyFill="1" applyBorder="1" applyAlignment="1">
      <alignment horizontal="right" vertical="center"/>
    </xf>
    <xf numFmtId="179" fontId="0" fillId="3" borderId="5" xfId="0" applyNumberFormat="1" applyFill="1" applyBorder="1">
      <alignment vertical="center"/>
    </xf>
    <xf numFmtId="56" fontId="0" fillId="0" borderId="1" xfId="0" applyNumberForma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0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</cellXfs>
  <cellStyles count="5">
    <cellStyle name="標準" xfId="0" builtinId="0"/>
    <cellStyle name="標準 2" xfId="1" xr:uid="{00000000-0005-0000-0000-000001000000}"/>
    <cellStyle name="標準 3" xfId="3" xr:uid="{00000000-0005-0000-0000-000002000000}"/>
    <cellStyle name="標準 3 2" xfId="4" xr:uid="{00000000-0005-0000-0000-000003000000}"/>
    <cellStyle name="標準_発注管理表" xfId="2" xr:uid="{00000000-0005-0000-0000-000004000000}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8"/>
  <sheetViews>
    <sheetView tabSelected="1" zoomScale="70" zoomScaleNormal="70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B12" sqref="B12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63.5" customWidth="1"/>
    <col min="6" max="6" width="6.25" customWidth="1"/>
    <col min="7" max="8" width="9.875" bestFit="1" customWidth="1"/>
    <col min="9" max="9" width="5.75" style="9" customWidth="1"/>
    <col min="10" max="10" width="65.625" customWidth="1"/>
    <col min="11" max="11" width="35.625" style="18" customWidth="1"/>
    <col min="12" max="12" width="35.625" style="5" customWidth="1"/>
    <col min="13" max="13" width="13.75" style="11" customWidth="1"/>
    <col min="14" max="14" width="6.375" customWidth="1"/>
    <col min="15" max="15" width="13.625" style="9" customWidth="1"/>
    <col min="16" max="16" width="19.125" style="29" customWidth="1"/>
    <col min="17" max="17" width="15.625" style="15" customWidth="1"/>
  </cols>
  <sheetData>
    <row r="2" spans="2:17" ht="20.100000000000001" customHeight="1" x14ac:dyDescent="0.15">
      <c r="B2" s="95" t="s">
        <v>11</v>
      </c>
      <c r="C2" s="95"/>
      <c r="D2" s="95"/>
      <c r="E2" s="10" t="s">
        <v>68</v>
      </c>
      <c r="G2" s="96" t="s">
        <v>15</v>
      </c>
      <c r="H2" s="97"/>
      <c r="I2" s="98"/>
      <c r="J2" s="20">
        <f>SUM(H:H)</f>
        <v>570379</v>
      </c>
      <c r="K2" s="17"/>
      <c r="L2" s="6"/>
    </row>
    <row r="3" spans="2:17" ht="20.100000000000001" customHeight="1" x14ac:dyDescent="0.15">
      <c r="B3" s="95" t="s">
        <v>10</v>
      </c>
      <c r="C3" s="95"/>
      <c r="D3" s="95"/>
      <c r="E3" s="7" t="s">
        <v>22</v>
      </c>
    </row>
    <row r="4" spans="2:17" ht="20.100000000000001" customHeight="1" x14ac:dyDescent="0.15">
      <c r="B4" s="95" t="s">
        <v>12</v>
      </c>
      <c r="C4" s="95"/>
      <c r="D4" s="95"/>
      <c r="E4" s="7">
        <v>194734</v>
      </c>
    </row>
    <row r="5" spans="2:17" ht="20.100000000000001" customHeight="1" x14ac:dyDescent="0.15">
      <c r="B5" s="95" t="s">
        <v>13</v>
      </c>
      <c r="C5" s="95"/>
      <c r="D5" s="95"/>
      <c r="E5" s="8">
        <v>44676</v>
      </c>
    </row>
    <row r="6" spans="2:17" ht="20.100000000000001" customHeight="1" x14ac:dyDescent="0.15">
      <c r="B6" s="95" t="s">
        <v>14</v>
      </c>
      <c r="C6" s="95"/>
      <c r="D6" s="95"/>
      <c r="E6" s="8">
        <v>44708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23" t="s">
        <v>20</v>
      </c>
      <c r="Q8" s="16" t="s">
        <v>21</v>
      </c>
    </row>
    <row r="9" spans="2:17" s="3" customFormat="1" ht="19.7" customHeight="1" x14ac:dyDescent="0.15">
      <c r="B9" s="4">
        <v>2</v>
      </c>
      <c r="C9" s="4" t="s">
        <v>23</v>
      </c>
      <c r="D9" s="4" t="s">
        <v>23</v>
      </c>
      <c r="E9" s="56" t="s">
        <v>79</v>
      </c>
      <c r="F9" s="57">
        <v>1</v>
      </c>
      <c r="G9" s="58">
        <v>333000</v>
      </c>
      <c r="H9" s="59">
        <f t="shared" ref="H9:H20" si="0">F9*G9</f>
        <v>333000</v>
      </c>
      <c r="I9" s="60"/>
      <c r="J9" s="56" t="s">
        <v>91</v>
      </c>
      <c r="K9" s="1"/>
      <c r="L9" s="1"/>
      <c r="M9" s="12">
        <v>44620</v>
      </c>
      <c r="N9" s="4"/>
      <c r="O9" s="89">
        <v>44676</v>
      </c>
      <c r="P9" s="23">
        <v>44676</v>
      </c>
      <c r="Q9" s="16">
        <v>44676</v>
      </c>
    </row>
    <row r="10" spans="2:17" s="19" customFormat="1" ht="19.7" customHeight="1" x14ac:dyDescent="0.15">
      <c r="B10" s="21">
        <v>3</v>
      </c>
      <c r="C10" s="4" t="s">
        <v>23</v>
      </c>
      <c r="D10" s="4" t="s">
        <v>23</v>
      </c>
      <c r="E10" s="56" t="s">
        <v>80</v>
      </c>
      <c r="F10" s="57">
        <v>1</v>
      </c>
      <c r="G10" s="58">
        <v>5000</v>
      </c>
      <c r="H10" s="59">
        <f t="shared" si="0"/>
        <v>5000</v>
      </c>
      <c r="I10" s="60"/>
      <c r="J10" s="56"/>
      <c r="K10" s="33"/>
      <c r="L10" s="22"/>
      <c r="M10" s="25">
        <v>44655</v>
      </c>
      <c r="N10" s="24"/>
      <c r="O10" s="89">
        <v>44676</v>
      </c>
      <c r="P10" s="23">
        <v>44676</v>
      </c>
      <c r="Q10" s="76">
        <v>44676</v>
      </c>
    </row>
    <row r="11" spans="2:17" s="19" customFormat="1" ht="19.7" customHeight="1" x14ac:dyDescent="0.15">
      <c r="B11" s="21">
        <v>2</v>
      </c>
      <c r="C11" s="61" t="s">
        <v>23</v>
      </c>
      <c r="D11" s="61" t="s">
        <v>23</v>
      </c>
      <c r="E11" s="65" t="s">
        <v>81</v>
      </c>
      <c r="F11" s="66">
        <v>4</v>
      </c>
      <c r="G11" s="35">
        <v>10000</v>
      </c>
      <c r="H11" s="67">
        <f>F11*G11</f>
        <v>40000</v>
      </c>
      <c r="I11" s="68"/>
      <c r="J11" s="69"/>
      <c r="K11" s="33"/>
      <c r="L11" s="22"/>
      <c r="M11" s="25">
        <v>44655</v>
      </c>
      <c r="N11" s="24"/>
      <c r="O11" s="89">
        <v>44676</v>
      </c>
      <c r="P11" s="23">
        <v>44676</v>
      </c>
      <c r="Q11" s="76">
        <v>44676</v>
      </c>
    </row>
    <row r="12" spans="2:17" s="19" customFormat="1" ht="19.7" customHeight="1" x14ac:dyDescent="0.15">
      <c r="B12" s="21">
        <v>2</v>
      </c>
      <c r="C12" s="4" t="s">
        <v>23</v>
      </c>
      <c r="D12" s="4" t="s">
        <v>23</v>
      </c>
      <c r="E12" s="55" t="s">
        <v>82</v>
      </c>
      <c r="F12" s="57">
        <v>1</v>
      </c>
      <c r="G12" s="63">
        <v>5000</v>
      </c>
      <c r="H12" s="59">
        <f t="shared" si="0"/>
        <v>5000</v>
      </c>
      <c r="I12" s="2"/>
      <c r="J12" s="62"/>
      <c r="K12" s="33"/>
      <c r="L12" s="22"/>
      <c r="M12" s="25">
        <v>44655</v>
      </c>
      <c r="N12" s="24"/>
      <c r="O12" s="89">
        <v>44676</v>
      </c>
      <c r="P12" s="23">
        <v>44676</v>
      </c>
      <c r="Q12" s="76">
        <v>44676</v>
      </c>
    </row>
    <row r="13" spans="2:17" s="77" customFormat="1" ht="19.7" customHeight="1" x14ac:dyDescent="0.15">
      <c r="B13" s="78">
        <v>2</v>
      </c>
      <c r="C13" s="4" t="s">
        <v>23</v>
      </c>
      <c r="D13" s="4" t="s">
        <v>23</v>
      </c>
      <c r="E13" s="55" t="s">
        <v>83</v>
      </c>
      <c r="F13" s="57">
        <v>1</v>
      </c>
      <c r="G13" s="63">
        <v>4500</v>
      </c>
      <c r="H13" s="59">
        <f t="shared" si="0"/>
        <v>4500</v>
      </c>
      <c r="I13" s="2"/>
      <c r="J13" s="62"/>
      <c r="K13" s="86"/>
      <c r="L13" s="79"/>
      <c r="M13" s="81">
        <v>44655</v>
      </c>
      <c r="N13" s="80"/>
      <c r="O13" s="89">
        <v>44676</v>
      </c>
      <c r="P13" s="23">
        <v>44676</v>
      </c>
      <c r="Q13" s="76">
        <v>44676</v>
      </c>
    </row>
    <row r="14" spans="2:17" s="77" customFormat="1" ht="19.7" customHeight="1" x14ac:dyDescent="0.15">
      <c r="B14" s="78">
        <v>2</v>
      </c>
      <c r="C14" s="4" t="s">
        <v>23</v>
      </c>
      <c r="D14" s="4" t="s">
        <v>23</v>
      </c>
      <c r="E14" s="55" t="s">
        <v>84</v>
      </c>
      <c r="F14" s="57">
        <v>1</v>
      </c>
      <c r="G14" s="63">
        <v>1300</v>
      </c>
      <c r="H14" s="59">
        <f t="shared" si="0"/>
        <v>1300</v>
      </c>
      <c r="I14" s="2"/>
      <c r="J14" s="62"/>
      <c r="K14" s="86"/>
      <c r="L14" s="79"/>
      <c r="M14" s="81">
        <v>44655</v>
      </c>
      <c r="N14" s="80"/>
      <c r="O14" s="89">
        <v>44676</v>
      </c>
      <c r="P14" s="23">
        <v>44676</v>
      </c>
      <c r="Q14" s="76">
        <v>44676</v>
      </c>
    </row>
    <row r="15" spans="2:17" s="77" customFormat="1" ht="19.7" customHeight="1" x14ac:dyDescent="0.15">
      <c r="B15" s="78">
        <v>2</v>
      </c>
      <c r="C15" s="4" t="s">
        <v>23</v>
      </c>
      <c r="D15" s="4" t="s">
        <v>23</v>
      </c>
      <c r="E15" s="55" t="s">
        <v>85</v>
      </c>
      <c r="F15" s="57">
        <v>1</v>
      </c>
      <c r="G15" s="63">
        <v>1100</v>
      </c>
      <c r="H15" s="59">
        <f t="shared" si="0"/>
        <v>1100</v>
      </c>
      <c r="I15" s="2"/>
      <c r="J15" s="62"/>
      <c r="K15" s="86"/>
      <c r="L15" s="79"/>
      <c r="M15" s="81">
        <v>44655</v>
      </c>
      <c r="N15" s="80"/>
      <c r="O15" s="89">
        <v>44676</v>
      </c>
      <c r="P15" s="23">
        <v>44676</v>
      </c>
      <c r="Q15" s="76">
        <v>44676</v>
      </c>
    </row>
    <row r="16" spans="2:17" s="77" customFormat="1" ht="19.7" customHeight="1" x14ac:dyDescent="0.15">
      <c r="B16" s="78">
        <v>2</v>
      </c>
      <c r="C16" s="4" t="s">
        <v>23</v>
      </c>
      <c r="D16" s="4" t="s">
        <v>23</v>
      </c>
      <c r="E16" s="55" t="s">
        <v>86</v>
      </c>
      <c r="F16" s="57">
        <v>1</v>
      </c>
      <c r="G16" s="63">
        <v>280</v>
      </c>
      <c r="H16" s="59">
        <f t="shared" si="0"/>
        <v>280</v>
      </c>
      <c r="I16" s="2"/>
      <c r="J16" s="62"/>
      <c r="K16" s="86"/>
      <c r="L16" s="79"/>
      <c r="M16" s="81">
        <v>44655</v>
      </c>
      <c r="N16" s="80"/>
      <c r="O16" s="89">
        <v>44676</v>
      </c>
      <c r="P16" s="23">
        <v>44676</v>
      </c>
      <c r="Q16" s="76">
        <v>44676</v>
      </c>
    </row>
    <row r="17" spans="2:17" s="77" customFormat="1" ht="19.7" customHeight="1" x14ac:dyDescent="0.15">
      <c r="B17" s="78">
        <v>2</v>
      </c>
      <c r="C17" s="4" t="s">
        <v>23</v>
      </c>
      <c r="D17" s="4" t="s">
        <v>23</v>
      </c>
      <c r="E17" s="55" t="s">
        <v>87</v>
      </c>
      <c r="F17" s="57">
        <v>1</v>
      </c>
      <c r="G17" s="63">
        <v>170</v>
      </c>
      <c r="H17" s="59">
        <f t="shared" si="0"/>
        <v>170</v>
      </c>
      <c r="I17" s="2"/>
      <c r="J17" s="62"/>
      <c r="K17" s="86"/>
      <c r="L17" s="79"/>
      <c r="M17" s="81">
        <v>44655</v>
      </c>
      <c r="N17" s="80"/>
      <c r="O17" s="89">
        <v>44676</v>
      </c>
      <c r="P17" s="23">
        <v>44676</v>
      </c>
      <c r="Q17" s="76">
        <v>44676</v>
      </c>
    </row>
    <row r="18" spans="2:17" s="77" customFormat="1" ht="19.7" customHeight="1" x14ac:dyDescent="0.15">
      <c r="B18" s="78">
        <v>3</v>
      </c>
      <c r="C18" s="4" t="s">
        <v>23</v>
      </c>
      <c r="D18" s="4" t="s">
        <v>23</v>
      </c>
      <c r="E18" s="55" t="s">
        <v>88</v>
      </c>
      <c r="F18" s="57">
        <v>1</v>
      </c>
      <c r="G18" s="63">
        <v>31500</v>
      </c>
      <c r="H18" s="59">
        <f t="shared" si="0"/>
        <v>31500</v>
      </c>
      <c r="I18" s="2"/>
      <c r="J18" s="62"/>
      <c r="K18" s="86"/>
      <c r="L18" s="79"/>
      <c r="M18" s="81">
        <v>44655</v>
      </c>
      <c r="N18" s="80"/>
      <c r="O18" s="89">
        <v>44676</v>
      </c>
      <c r="P18" s="23">
        <v>44676</v>
      </c>
      <c r="Q18" s="76">
        <v>44676</v>
      </c>
    </row>
    <row r="19" spans="2:17" s="77" customFormat="1" ht="19.7" customHeight="1" x14ac:dyDescent="0.15">
      <c r="B19" s="78">
        <v>2</v>
      </c>
      <c r="C19" s="4" t="s">
        <v>23</v>
      </c>
      <c r="D19" s="4" t="s">
        <v>23</v>
      </c>
      <c r="E19" s="55" t="s">
        <v>89</v>
      </c>
      <c r="F19" s="57">
        <v>1</v>
      </c>
      <c r="G19" s="63">
        <v>50</v>
      </c>
      <c r="H19" s="59">
        <f t="shared" si="0"/>
        <v>50</v>
      </c>
      <c r="I19" s="2"/>
      <c r="J19" s="62"/>
      <c r="K19" s="86"/>
      <c r="L19" s="79"/>
      <c r="M19" s="81">
        <v>44655</v>
      </c>
      <c r="N19" s="80"/>
      <c r="O19" s="89">
        <v>44676</v>
      </c>
      <c r="P19" s="23">
        <v>44676</v>
      </c>
      <c r="Q19" s="76">
        <v>44676</v>
      </c>
    </row>
    <row r="20" spans="2:17" s="77" customFormat="1" ht="19.7" customHeight="1" x14ac:dyDescent="0.15">
      <c r="B20" s="78">
        <v>8</v>
      </c>
      <c r="C20" s="4" t="s">
        <v>23</v>
      </c>
      <c r="D20" s="4" t="s">
        <v>23</v>
      </c>
      <c r="E20" s="55" t="s">
        <v>90</v>
      </c>
      <c r="F20" s="57">
        <v>1</v>
      </c>
      <c r="G20" s="63">
        <v>30000</v>
      </c>
      <c r="H20" s="59">
        <f t="shared" si="0"/>
        <v>30000</v>
      </c>
      <c r="I20" s="2"/>
      <c r="J20" s="62" t="s">
        <v>92</v>
      </c>
      <c r="K20" s="86"/>
      <c r="L20" s="79"/>
      <c r="M20" s="81">
        <v>44655</v>
      </c>
      <c r="N20" s="80"/>
      <c r="O20" s="89">
        <v>44676</v>
      </c>
      <c r="P20" s="23">
        <v>44676</v>
      </c>
      <c r="Q20" s="76"/>
    </row>
    <row r="21" spans="2:17" s="19" customFormat="1" ht="19.7" customHeight="1" x14ac:dyDescent="0.15">
      <c r="B21" s="78">
        <v>2</v>
      </c>
      <c r="C21" s="4" t="s">
        <v>23</v>
      </c>
      <c r="D21" s="4" t="s">
        <v>23</v>
      </c>
      <c r="E21" s="34" t="s">
        <v>93</v>
      </c>
      <c r="F21" s="37">
        <v>1</v>
      </c>
      <c r="G21" s="27"/>
      <c r="H21" s="31">
        <f t="shared" ref="H21" si="1">F21*G21</f>
        <v>0</v>
      </c>
      <c r="I21" s="22"/>
      <c r="J21" s="34" t="s">
        <v>94</v>
      </c>
      <c r="K21" s="33"/>
      <c r="L21" s="22"/>
      <c r="M21" s="25"/>
      <c r="N21" s="24"/>
      <c r="O21" s="25"/>
      <c r="P21" s="25"/>
      <c r="Q21" s="76"/>
    </row>
    <row r="22" spans="2:17" s="19" customFormat="1" ht="19.7" customHeight="1" x14ac:dyDescent="0.15">
      <c r="B22" s="21"/>
      <c r="C22" s="24"/>
      <c r="D22" s="21"/>
      <c r="E22" s="34"/>
      <c r="F22" s="37"/>
      <c r="G22" s="27"/>
      <c r="H22" s="31">
        <f t="shared" ref="H22:H46" si="2">F22*G22</f>
        <v>0</v>
      </c>
      <c r="I22" s="22"/>
      <c r="J22" s="34"/>
      <c r="K22" s="33"/>
      <c r="L22" s="22"/>
      <c r="M22" s="25"/>
      <c r="N22" s="24"/>
      <c r="O22" s="25"/>
      <c r="P22" s="25"/>
      <c r="Q22" s="76"/>
    </row>
    <row r="23" spans="2:17" s="19" customFormat="1" ht="19.7" customHeight="1" x14ac:dyDescent="0.15">
      <c r="B23" s="21">
        <v>8</v>
      </c>
      <c r="C23" s="24" t="s">
        <v>67</v>
      </c>
      <c r="D23" s="24" t="s">
        <v>67</v>
      </c>
      <c r="E23" s="70" t="s">
        <v>71</v>
      </c>
      <c r="F23" s="71">
        <v>1</v>
      </c>
      <c r="G23" s="72">
        <v>830</v>
      </c>
      <c r="H23" s="73">
        <f t="shared" si="2"/>
        <v>830</v>
      </c>
      <c r="I23" s="74"/>
      <c r="J23" s="75" t="s">
        <v>69</v>
      </c>
      <c r="K23" s="1"/>
      <c r="L23" s="1" t="s">
        <v>70</v>
      </c>
      <c r="M23" s="81">
        <v>44620</v>
      </c>
      <c r="N23" s="24"/>
      <c r="O23" s="25"/>
      <c r="P23" s="25">
        <v>44648</v>
      </c>
      <c r="Q23" s="16">
        <v>44648</v>
      </c>
    </row>
    <row r="24" spans="2:17" s="19" customFormat="1" ht="19.7" customHeight="1" x14ac:dyDescent="0.15">
      <c r="B24" s="21">
        <v>5</v>
      </c>
      <c r="C24" s="24" t="s">
        <v>67</v>
      </c>
      <c r="D24" s="24" t="s">
        <v>67</v>
      </c>
      <c r="E24" s="34" t="s">
        <v>24</v>
      </c>
      <c r="F24" s="37">
        <v>1</v>
      </c>
      <c r="G24" s="27">
        <v>3790</v>
      </c>
      <c r="H24" s="31">
        <f t="shared" si="2"/>
        <v>3790</v>
      </c>
      <c r="I24" s="22"/>
      <c r="J24" s="34" t="s">
        <v>25</v>
      </c>
      <c r="K24" s="33"/>
      <c r="L24" s="22" t="s">
        <v>26</v>
      </c>
      <c r="M24" s="81">
        <v>44620</v>
      </c>
      <c r="N24" s="24"/>
      <c r="O24" s="25"/>
      <c r="P24" s="81">
        <v>44648</v>
      </c>
      <c r="Q24" s="76">
        <v>44648</v>
      </c>
    </row>
    <row r="25" spans="2:17" s="19" customFormat="1" ht="19.7" customHeight="1" x14ac:dyDescent="0.15">
      <c r="B25" s="21">
        <v>5</v>
      </c>
      <c r="C25" s="24" t="s">
        <v>67</v>
      </c>
      <c r="D25" s="24" t="s">
        <v>67</v>
      </c>
      <c r="E25" s="34" t="s">
        <v>27</v>
      </c>
      <c r="F25" s="37">
        <v>2</v>
      </c>
      <c r="G25" s="27">
        <v>280</v>
      </c>
      <c r="H25" s="31">
        <f t="shared" si="2"/>
        <v>560</v>
      </c>
      <c r="I25" s="22"/>
      <c r="J25" s="34" t="s">
        <v>28</v>
      </c>
      <c r="K25" s="33"/>
      <c r="L25" s="22" t="s">
        <v>26</v>
      </c>
      <c r="M25" s="81">
        <v>44620</v>
      </c>
      <c r="N25" s="24"/>
      <c r="O25" s="25"/>
      <c r="P25" s="81">
        <v>44648</v>
      </c>
      <c r="Q25" s="76">
        <v>44648</v>
      </c>
    </row>
    <row r="26" spans="2:17" s="19" customFormat="1" ht="19.7" customHeight="1" x14ac:dyDescent="0.15">
      <c r="B26" s="21">
        <v>5</v>
      </c>
      <c r="C26" s="24" t="s">
        <v>67</v>
      </c>
      <c r="D26" s="24" t="s">
        <v>67</v>
      </c>
      <c r="E26" s="30" t="s">
        <v>29</v>
      </c>
      <c r="F26" s="36">
        <v>2</v>
      </c>
      <c r="G26" s="27">
        <v>548</v>
      </c>
      <c r="H26" s="31">
        <f t="shared" si="2"/>
        <v>1096</v>
      </c>
      <c r="I26" s="32"/>
      <c r="J26" s="33" t="s">
        <v>30</v>
      </c>
      <c r="K26" s="33"/>
      <c r="L26" s="22" t="s">
        <v>26</v>
      </c>
      <c r="M26" s="81">
        <v>44620</v>
      </c>
      <c r="N26" s="24"/>
      <c r="O26" s="25"/>
      <c r="P26" s="81">
        <v>44648</v>
      </c>
      <c r="Q26" s="76">
        <v>44648</v>
      </c>
    </row>
    <row r="27" spans="2:17" s="19" customFormat="1" ht="19.7" customHeight="1" x14ac:dyDescent="0.15">
      <c r="B27" s="21">
        <v>5</v>
      </c>
      <c r="C27" s="24" t="s">
        <v>67</v>
      </c>
      <c r="D27" s="24" t="s">
        <v>67</v>
      </c>
      <c r="E27" s="30" t="s">
        <v>31</v>
      </c>
      <c r="F27" s="36">
        <v>1</v>
      </c>
      <c r="G27" s="27">
        <v>3900</v>
      </c>
      <c r="H27" s="31">
        <f t="shared" si="2"/>
        <v>3900</v>
      </c>
      <c r="I27" s="32"/>
      <c r="J27" s="34" t="s">
        <v>32</v>
      </c>
      <c r="K27" s="33"/>
      <c r="L27" s="22" t="s">
        <v>26</v>
      </c>
      <c r="M27" s="81">
        <v>44620</v>
      </c>
      <c r="N27" s="24"/>
      <c r="O27" s="25"/>
      <c r="P27" s="81">
        <v>44648</v>
      </c>
      <c r="Q27" s="76">
        <v>44648</v>
      </c>
    </row>
    <row r="28" spans="2:17" s="19" customFormat="1" ht="19.7" customHeight="1" x14ac:dyDescent="0.15">
      <c r="B28" s="21">
        <v>5</v>
      </c>
      <c r="C28" s="24" t="s">
        <v>67</v>
      </c>
      <c r="D28" s="24" t="s">
        <v>67</v>
      </c>
      <c r="E28" s="30" t="s">
        <v>33</v>
      </c>
      <c r="F28" s="36">
        <v>1</v>
      </c>
      <c r="G28" s="27">
        <v>11170</v>
      </c>
      <c r="H28" s="31">
        <f t="shared" si="2"/>
        <v>11170</v>
      </c>
      <c r="I28" s="32"/>
      <c r="J28" s="34" t="s">
        <v>34</v>
      </c>
      <c r="K28" s="33"/>
      <c r="L28" s="22" t="s">
        <v>26</v>
      </c>
      <c r="M28" s="81">
        <v>44620</v>
      </c>
      <c r="N28" s="24"/>
      <c r="O28" s="25"/>
      <c r="P28" s="81">
        <v>44648</v>
      </c>
      <c r="Q28" s="76">
        <v>44648</v>
      </c>
    </row>
    <row r="29" spans="2:17" s="19" customFormat="1" ht="19.7" customHeight="1" x14ac:dyDescent="0.15">
      <c r="B29" s="21">
        <v>5</v>
      </c>
      <c r="C29" s="24" t="s">
        <v>67</v>
      </c>
      <c r="D29" s="24" t="s">
        <v>67</v>
      </c>
      <c r="E29" s="30" t="s">
        <v>35</v>
      </c>
      <c r="F29" s="36">
        <v>2</v>
      </c>
      <c r="G29" s="27">
        <v>977</v>
      </c>
      <c r="H29" s="31">
        <f>F29*G29</f>
        <v>1954</v>
      </c>
      <c r="I29" s="32"/>
      <c r="J29" s="33" t="s">
        <v>36</v>
      </c>
      <c r="K29" s="33"/>
      <c r="L29" s="22" t="s">
        <v>26</v>
      </c>
      <c r="M29" s="81">
        <v>44620</v>
      </c>
      <c r="N29" s="24"/>
      <c r="O29" s="25"/>
      <c r="P29" s="81">
        <v>44648</v>
      </c>
      <c r="Q29" s="76">
        <v>44648</v>
      </c>
    </row>
    <row r="30" spans="2:17" s="19" customFormat="1" ht="19.7" customHeight="1" x14ac:dyDescent="0.15">
      <c r="B30" s="21">
        <v>5</v>
      </c>
      <c r="C30" s="24" t="s">
        <v>67</v>
      </c>
      <c r="D30" s="24" t="s">
        <v>67</v>
      </c>
      <c r="E30" s="30" t="s">
        <v>37</v>
      </c>
      <c r="F30" s="36">
        <v>1</v>
      </c>
      <c r="G30" s="27">
        <v>4570</v>
      </c>
      <c r="H30" s="31">
        <f>F30*G30</f>
        <v>4570</v>
      </c>
      <c r="I30" s="32"/>
      <c r="J30" s="33" t="s">
        <v>38</v>
      </c>
      <c r="K30" s="33"/>
      <c r="L30" s="22" t="s">
        <v>26</v>
      </c>
      <c r="M30" s="81">
        <v>44620</v>
      </c>
      <c r="N30" s="24"/>
      <c r="O30" s="25"/>
      <c r="P30" s="81">
        <v>44648</v>
      </c>
      <c r="Q30" s="76">
        <v>44648</v>
      </c>
    </row>
    <row r="31" spans="2:17" s="19" customFormat="1" ht="19.7" customHeight="1" x14ac:dyDescent="0.15">
      <c r="B31" s="21">
        <v>5</v>
      </c>
      <c r="C31" s="24" t="s">
        <v>43</v>
      </c>
      <c r="D31" s="24" t="s">
        <v>67</v>
      </c>
      <c r="E31" s="30" t="s">
        <v>41</v>
      </c>
      <c r="F31" s="36">
        <v>1</v>
      </c>
      <c r="G31" s="27">
        <v>251</v>
      </c>
      <c r="H31" s="31">
        <f t="shared" si="2"/>
        <v>251</v>
      </c>
      <c r="I31" s="32"/>
      <c r="J31" s="33" t="s">
        <v>42</v>
      </c>
      <c r="K31" s="33"/>
      <c r="L31" s="22" t="s">
        <v>26</v>
      </c>
      <c r="M31" s="81">
        <v>44620</v>
      </c>
      <c r="N31" s="24"/>
      <c r="O31" s="25"/>
      <c r="P31" s="81">
        <v>44648</v>
      </c>
      <c r="Q31" s="76">
        <v>44648</v>
      </c>
    </row>
    <row r="32" spans="2:17" s="19" customFormat="1" ht="19.7" customHeight="1" x14ac:dyDescent="0.15">
      <c r="B32" s="21">
        <v>5</v>
      </c>
      <c r="C32" s="24" t="s">
        <v>46</v>
      </c>
      <c r="D32" s="24" t="s">
        <v>67</v>
      </c>
      <c r="E32" s="30" t="s">
        <v>44</v>
      </c>
      <c r="F32" s="36">
        <v>1</v>
      </c>
      <c r="G32" s="27">
        <v>1426</v>
      </c>
      <c r="H32" s="31">
        <f t="shared" si="2"/>
        <v>1426</v>
      </c>
      <c r="I32" s="32"/>
      <c r="J32" s="33" t="s">
        <v>45</v>
      </c>
      <c r="K32" s="33"/>
      <c r="L32" s="22" t="s">
        <v>26</v>
      </c>
      <c r="M32" s="81">
        <v>44620</v>
      </c>
      <c r="N32" s="24"/>
      <c r="O32" s="25"/>
      <c r="P32" s="81">
        <v>44648</v>
      </c>
      <c r="Q32" s="76">
        <v>44648</v>
      </c>
    </row>
    <row r="33" spans="2:17" s="19" customFormat="1" ht="19.7" customHeight="1" x14ac:dyDescent="0.15">
      <c r="B33" s="21">
        <v>5</v>
      </c>
      <c r="C33" s="24" t="s">
        <v>67</v>
      </c>
      <c r="D33" s="24" t="s">
        <v>67</v>
      </c>
      <c r="E33" s="30" t="s">
        <v>47</v>
      </c>
      <c r="F33" s="36">
        <v>1</v>
      </c>
      <c r="G33" s="27">
        <v>3876</v>
      </c>
      <c r="H33" s="31">
        <f t="shared" ref="H33:H36" si="3">F33*G33</f>
        <v>3876</v>
      </c>
      <c r="I33" s="32"/>
      <c r="J33" s="33" t="s">
        <v>49</v>
      </c>
      <c r="K33" s="33"/>
      <c r="L33" s="22" t="s">
        <v>48</v>
      </c>
      <c r="M33" s="81">
        <v>44620</v>
      </c>
      <c r="N33" s="24"/>
      <c r="O33" s="25"/>
      <c r="P33" s="81">
        <v>44648</v>
      </c>
      <c r="Q33" s="76">
        <v>44648</v>
      </c>
    </row>
    <row r="34" spans="2:17" s="77" customFormat="1" ht="19.7" customHeight="1" x14ac:dyDescent="0.15">
      <c r="B34" s="78">
        <v>5</v>
      </c>
      <c r="C34" s="80" t="s">
        <v>67</v>
      </c>
      <c r="D34" s="80" t="s">
        <v>67</v>
      </c>
      <c r="E34" s="83" t="s">
        <v>74</v>
      </c>
      <c r="F34" s="87">
        <v>1</v>
      </c>
      <c r="G34" s="82">
        <v>163</v>
      </c>
      <c r="H34" s="84">
        <f t="shared" si="3"/>
        <v>163</v>
      </c>
      <c r="I34" s="85"/>
      <c r="J34" s="86" t="s">
        <v>75</v>
      </c>
      <c r="K34" s="86"/>
      <c r="L34" s="79" t="s">
        <v>73</v>
      </c>
      <c r="M34" s="81">
        <v>44620</v>
      </c>
      <c r="N34" s="80"/>
      <c r="O34" s="81"/>
      <c r="P34" s="81">
        <v>44648</v>
      </c>
      <c r="Q34" s="76">
        <v>44648</v>
      </c>
    </row>
    <row r="35" spans="2:17" s="77" customFormat="1" ht="19.7" customHeight="1" x14ac:dyDescent="0.15">
      <c r="B35" s="78">
        <v>5</v>
      </c>
      <c r="C35" s="80" t="s">
        <v>67</v>
      </c>
      <c r="D35" s="80" t="s">
        <v>67</v>
      </c>
      <c r="E35" s="83" t="s">
        <v>77</v>
      </c>
      <c r="F35" s="87">
        <v>1</v>
      </c>
      <c r="G35" s="82">
        <v>572</v>
      </c>
      <c r="H35" s="84">
        <f t="shared" si="3"/>
        <v>572</v>
      </c>
      <c r="I35" s="85"/>
      <c r="J35" s="86" t="s">
        <v>76</v>
      </c>
      <c r="K35" s="86"/>
      <c r="L35" s="79" t="s">
        <v>73</v>
      </c>
      <c r="M35" s="81">
        <v>44620</v>
      </c>
      <c r="N35" s="80"/>
      <c r="O35" s="81"/>
      <c r="P35" s="81">
        <v>44648</v>
      </c>
      <c r="Q35" s="76">
        <v>44648</v>
      </c>
    </row>
    <row r="36" spans="2:17" s="19" customFormat="1" ht="19.7" customHeight="1" x14ac:dyDescent="0.15">
      <c r="B36" s="21">
        <v>5</v>
      </c>
      <c r="C36" s="24" t="s">
        <v>52</v>
      </c>
      <c r="D36" s="24" t="s">
        <v>67</v>
      </c>
      <c r="E36" s="30" t="s">
        <v>50</v>
      </c>
      <c r="F36" s="36">
        <v>1</v>
      </c>
      <c r="G36" s="27">
        <v>436</v>
      </c>
      <c r="H36" s="31">
        <f t="shared" si="3"/>
        <v>436</v>
      </c>
      <c r="I36" s="32"/>
      <c r="J36" s="34" t="s">
        <v>51</v>
      </c>
      <c r="K36" s="33"/>
      <c r="L36" s="22" t="s">
        <v>26</v>
      </c>
      <c r="M36" s="81">
        <v>44620</v>
      </c>
      <c r="N36" s="24"/>
      <c r="O36" s="25"/>
      <c r="P36" s="81">
        <v>44648</v>
      </c>
      <c r="Q36" s="76">
        <v>44648</v>
      </c>
    </row>
    <row r="37" spans="2:17" s="19" customFormat="1" ht="19.7" customHeight="1" x14ac:dyDescent="0.15">
      <c r="B37" s="21">
        <v>5</v>
      </c>
      <c r="C37" s="24" t="s">
        <v>67</v>
      </c>
      <c r="D37" s="24" t="s">
        <v>67</v>
      </c>
      <c r="E37" s="30" t="s">
        <v>53</v>
      </c>
      <c r="F37" s="36">
        <v>1</v>
      </c>
      <c r="G37" s="27">
        <v>768</v>
      </c>
      <c r="H37" s="31">
        <f>F37*G37</f>
        <v>768</v>
      </c>
      <c r="I37" s="32"/>
      <c r="J37" s="33" t="s">
        <v>54</v>
      </c>
      <c r="K37" s="33"/>
      <c r="L37" s="22" t="s">
        <v>26</v>
      </c>
      <c r="M37" s="81">
        <v>44620</v>
      </c>
      <c r="N37" s="24"/>
      <c r="O37" s="25"/>
      <c r="P37" s="81">
        <v>44648</v>
      </c>
      <c r="Q37" s="76">
        <v>44648</v>
      </c>
    </row>
    <row r="38" spans="2:17" s="19" customFormat="1" ht="19.7" customHeight="1" x14ac:dyDescent="0.15">
      <c r="B38" s="21">
        <v>7</v>
      </c>
      <c r="C38" s="24" t="s">
        <v>67</v>
      </c>
      <c r="D38" s="24" t="s">
        <v>67</v>
      </c>
      <c r="E38" s="30" t="s">
        <v>55</v>
      </c>
      <c r="F38" s="36">
        <v>1</v>
      </c>
      <c r="G38" s="27">
        <v>6994</v>
      </c>
      <c r="H38" s="31">
        <f>F38*G38</f>
        <v>6994</v>
      </c>
      <c r="I38" s="32"/>
      <c r="J38" s="34" t="s">
        <v>56</v>
      </c>
      <c r="K38" s="33"/>
      <c r="L38" s="22" t="s">
        <v>57</v>
      </c>
      <c r="M38" s="81">
        <v>44620</v>
      </c>
      <c r="N38" s="24"/>
      <c r="O38" s="25"/>
      <c r="P38" s="81">
        <v>44648</v>
      </c>
      <c r="Q38" s="76">
        <v>44648</v>
      </c>
    </row>
    <row r="39" spans="2:17" s="19" customFormat="1" ht="19.7" customHeight="1" x14ac:dyDescent="0.15">
      <c r="B39" s="21">
        <v>7</v>
      </c>
      <c r="C39" s="24" t="s">
        <v>67</v>
      </c>
      <c r="D39" s="24" t="s">
        <v>67</v>
      </c>
      <c r="E39" s="30" t="s">
        <v>58</v>
      </c>
      <c r="F39" s="36">
        <v>1</v>
      </c>
      <c r="G39" s="27">
        <v>4906</v>
      </c>
      <c r="H39" s="31">
        <f t="shared" si="2"/>
        <v>4906</v>
      </c>
      <c r="I39" s="32"/>
      <c r="J39" s="33" t="s">
        <v>59</v>
      </c>
      <c r="K39" s="33"/>
      <c r="L39" s="22" t="s">
        <v>60</v>
      </c>
      <c r="M39" s="81">
        <v>44620</v>
      </c>
      <c r="N39" s="24"/>
      <c r="O39" s="25"/>
      <c r="P39" s="81">
        <v>44648</v>
      </c>
      <c r="Q39" s="76">
        <v>44648</v>
      </c>
    </row>
    <row r="40" spans="2:17" s="19" customFormat="1" ht="19.7" customHeight="1" x14ac:dyDescent="0.15">
      <c r="B40" s="21">
        <v>7</v>
      </c>
      <c r="C40" s="24" t="s">
        <v>67</v>
      </c>
      <c r="D40" s="24" t="s">
        <v>67</v>
      </c>
      <c r="E40" s="30" t="s">
        <v>61</v>
      </c>
      <c r="F40" s="36">
        <v>1</v>
      </c>
      <c r="G40" s="27">
        <v>59940</v>
      </c>
      <c r="H40" s="31">
        <f t="shared" si="2"/>
        <v>59940</v>
      </c>
      <c r="I40" s="32"/>
      <c r="J40" s="33" t="s">
        <v>62</v>
      </c>
      <c r="K40" s="33"/>
      <c r="L40" s="22" t="s">
        <v>60</v>
      </c>
      <c r="M40" s="81">
        <v>44620</v>
      </c>
      <c r="N40" s="24"/>
      <c r="O40" s="25"/>
      <c r="P40" s="81">
        <v>44648</v>
      </c>
      <c r="Q40" s="76">
        <v>44648</v>
      </c>
    </row>
    <row r="41" spans="2:17" s="19" customFormat="1" ht="19.7" customHeight="1" x14ac:dyDescent="0.15">
      <c r="B41" s="21">
        <v>7</v>
      </c>
      <c r="C41" s="24" t="s">
        <v>67</v>
      </c>
      <c r="D41" s="24" t="s">
        <v>67</v>
      </c>
      <c r="E41" s="30" t="s">
        <v>63</v>
      </c>
      <c r="F41" s="36">
        <v>1</v>
      </c>
      <c r="G41" s="27">
        <v>4557</v>
      </c>
      <c r="H41" s="31">
        <f t="shared" si="2"/>
        <v>4557</v>
      </c>
      <c r="I41" s="32"/>
      <c r="J41" s="33" t="s">
        <v>64</v>
      </c>
      <c r="K41" s="33"/>
      <c r="L41" s="22" t="s">
        <v>60</v>
      </c>
      <c r="M41" s="81">
        <v>44620</v>
      </c>
      <c r="N41" s="24"/>
      <c r="O41" s="25"/>
      <c r="P41" s="81">
        <v>44648</v>
      </c>
      <c r="Q41" s="76">
        <v>44648</v>
      </c>
    </row>
    <row r="42" spans="2:17" s="19" customFormat="1" ht="19.7" customHeight="1" x14ac:dyDescent="0.15">
      <c r="B42" s="21">
        <v>7</v>
      </c>
      <c r="C42" s="24" t="s">
        <v>67</v>
      </c>
      <c r="D42" s="24" t="s">
        <v>67</v>
      </c>
      <c r="E42" s="30" t="s">
        <v>65</v>
      </c>
      <c r="F42" s="36">
        <v>1</v>
      </c>
      <c r="G42" s="27">
        <v>5120</v>
      </c>
      <c r="H42" s="31">
        <f t="shared" si="2"/>
        <v>5120</v>
      </c>
      <c r="I42" s="32"/>
      <c r="J42" s="33" t="s">
        <v>66</v>
      </c>
      <c r="K42" s="33"/>
      <c r="L42" s="22" t="s">
        <v>60</v>
      </c>
      <c r="M42" s="81">
        <v>44620</v>
      </c>
      <c r="N42" s="24"/>
      <c r="O42" s="25"/>
      <c r="P42" s="81">
        <v>44648</v>
      </c>
      <c r="Q42" s="76">
        <v>44648</v>
      </c>
    </row>
    <row r="43" spans="2:17" s="19" customFormat="1" ht="19.7" customHeight="1" x14ac:dyDescent="0.15">
      <c r="B43" s="21"/>
      <c r="C43" s="24"/>
      <c r="D43" s="21"/>
      <c r="E43" s="30"/>
      <c r="F43" s="36"/>
      <c r="G43" s="27"/>
      <c r="H43" s="31">
        <f t="shared" si="2"/>
        <v>0</v>
      </c>
      <c r="I43" s="32"/>
      <c r="J43" s="33"/>
      <c r="K43" s="33"/>
      <c r="L43" s="22"/>
      <c r="M43" s="25"/>
      <c r="N43" s="24"/>
      <c r="O43" s="25"/>
      <c r="P43" s="25"/>
      <c r="Q43" s="16"/>
    </row>
    <row r="44" spans="2:17" s="19" customFormat="1" ht="19.7" customHeight="1" x14ac:dyDescent="0.15">
      <c r="B44" s="21"/>
      <c r="C44" s="21"/>
      <c r="D44" s="21"/>
      <c r="E44" s="30"/>
      <c r="F44" s="38"/>
      <c r="G44" s="39"/>
      <c r="H44" s="31">
        <f t="shared" si="2"/>
        <v>0</v>
      </c>
      <c r="I44" s="32"/>
      <c r="J44" s="33"/>
      <c r="K44" s="33"/>
      <c r="L44" s="22"/>
      <c r="M44" s="25"/>
      <c r="N44" s="24"/>
      <c r="O44" s="25"/>
      <c r="P44" s="25"/>
      <c r="Q44" s="16"/>
    </row>
    <row r="45" spans="2:17" s="19" customFormat="1" ht="19.7" customHeight="1" x14ac:dyDescent="0.15">
      <c r="B45" s="21">
        <v>7</v>
      </c>
      <c r="C45" s="78" t="s">
        <v>39</v>
      </c>
      <c r="D45" s="90" t="s">
        <v>78</v>
      </c>
      <c r="E45" s="83" t="s">
        <v>40</v>
      </c>
      <c r="F45" s="88">
        <v>1</v>
      </c>
      <c r="G45" s="82">
        <v>1600</v>
      </c>
      <c r="H45" s="84">
        <f t="shared" si="2"/>
        <v>1600</v>
      </c>
      <c r="I45" s="85"/>
      <c r="J45" s="86" t="s">
        <v>72</v>
      </c>
      <c r="K45" s="86"/>
      <c r="L45" s="79" t="s">
        <v>26</v>
      </c>
      <c r="M45" s="25">
        <v>44621</v>
      </c>
      <c r="N45" s="24"/>
      <c r="O45" s="25">
        <v>44642</v>
      </c>
      <c r="P45" s="25">
        <v>44642</v>
      </c>
      <c r="Q45" s="26">
        <v>44638</v>
      </c>
    </row>
    <row r="46" spans="2:17" s="19" customFormat="1" ht="19.7" customHeight="1" x14ac:dyDescent="0.15">
      <c r="B46" s="21"/>
      <c r="C46" s="21"/>
      <c r="D46" s="21"/>
      <c r="E46" s="64"/>
      <c r="F46" s="36"/>
      <c r="G46" s="27"/>
      <c r="H46" s="28">
        <f t="shared" si="2"/>
        <v>0</v>
      </c>
      <c r="I46" s="32"/>
      <c r="J46" s="33"/>
      <c r="K46" s="33"/>
      <c r="L46" s="22"/>
      <c r="M46" s="23"/>
      <c r="N46" s="24"/>
      <c r="O46" s="25"/>
      <c r="P46" s="25"/>
      <c r="Q46" s="26"/>
    </row>
    <row r="47" spans="2:17" s="19" customFormat="1" ht="19.7" customHeight="1" x14ac:dyDescent="0.15">
      <c r="B47" s="21"/>
      <c r="C47" s="21"/>
      <c r="D47" s="21"/>
      <c r="E47" s="30"/>
      <c r="F47" s="36"/>
      <c r="G47" s="35"/>
      <c r="H47" s="31">
        <f t="shared" ref="H47:H50" si="4">F47*G47</f>
        <v>0</v>
      </c>
      <c r="I47" s="32"/>
      <c r="J47" s="33"/>
      <c r="K47" s="33"/>
      <c r="L47" s="22"/>
      <c r="M47" s="23"/>
      <c r="N47" s="24"/>
      <c r="O47" s="25"/>
      <c r="P47" s="25"/>
      <c r="Q47" s="26"/>
    </row>
    <row r="48" spans="2:17" s="19" customFormat="1" ht="19.7" customHeight="1" x14ac:dyDescent="0.15">
      <c r="B48" s="21"/>
      <c r="C48" s="21"/>
      <c r="D48" s="21"/>
      <c r="E48" s="30"/>
      <c r="F48" s="36"/>
      <c r="G48" s="35"/>
      <c r="H48" s="31">
        <f t="shared" si="4"/>
        <v>0</v>
      </c>
      <c r="I48" s="32"/>
      <c r="J48" s="33"/>
      <c r="K48" s="33"/>
      <c r="L48" s="22"/>
      <c r="M48" s="23"/>
      <c r="N48" s="24"/>
      <c r="O48" s="25"/>
      <c r="P48" s="25"/>
      <c r="Q48" s="26"/>
    </row>
    <row r="49" spans="2:17" s="19" customFormat="1" ht="19.7" customHeight="1" x14ac:dyDescent="0.15">
      <c r="B49" s="21"/>
      <c r="C49" s="21"/>
      <c r="D49" s="21"/>
      <c r="E49" s="30"/>
      <c r="F49" s="36"/>
      <c r="G49" s="35"/>
      <c r="H49" s="28">
        <f t="shared" si="4"/>
        <v>0</v>
      </c>
      <c r="I49" s="32"/>
      <c r="J49" s="33"/>
      <c r="K49" s="33"/>
      <c r="L49" s="22"/>
      <c r="M49" s="23"/>
      <c r="N49" s="24"/>
      <c r="O49" s="25"/>
      <c r="P49" s="25"/>
      <c r="Q49" s="26"/>
    </row>
    <row r="50" spans="2:17" s="40" customFormat="1" ht="19.7" customHeight="1" x14ac:dyDescent="0.15">
      <c r="B50" s="21"/>
      <c r="C50" s="21"/>
      <c r="D50" s="21"/>
      <c r="E50" s="30"/>
      <c r="F50" s="36"/>
      <c r="G50" s="35"/>
      <c r="H50" s="28">
        <f t="shared" si="4"/>
        <v>0</v>
      </c>
      <c r="I50" s="32"/>
      <c r="J50" s="33"/>
      <c r="K50" s="33"/>
      <c r="L50" s="22"/>
      <c r="M50" s="23"/>
      <c r="N50" s="21"/>
      <c r="O50" s="25"/>
      <c r="P50" s="25"/>
      <c r="Q50" s="26"/>
    </row>
    <row r="51" spans="2:17" s="19" customFormat="1" ht="19.7" customHeight="1" x14ac:dyDescent="0.15">
      <c r="P51" s="94"/>
      <c r="Q51" s="93"/>
    </row>
    <row r="52" spans="2:17" s="19" customFormat="1" ht="19.7" customHeight="1" x14ac:dyDescent="0.15">
      <c r="B52" s="41"/>
      <c r="C52" s="41"/>
      <c r="D52" s="41"/>
      <c r="E52" s="42"/>
      <c r="F52" s="43"/>
      <c r="G52" s="44"/>
      <c r="H52" s="44"/>
      <c r="I52" s="45"/>
      <c r="J52" s="42"/>
      <c r="K52" s="46"/>
      <c r="L52" s="47"/>
      <c r="M52" s="48"/>
      <c r="N52" s="49"/>
      <c r="O52" s="50"/>
      <c r="P52" s="51"/>
      <c r="Q52" s="92"/>
    </row>
    <row r="53" spans="2:17" s="19" customFormat="1" ht="19.7" customHeight="1" x14ac:dyDescent="0.15">
      <c r="B53" s="41"/>
      <c r="C53" s="41"/>
      <c r="D53" s="41"/>
      <c r="E53" s="42"/>
      <c r="F53" s="43"/>
      <c r="G53" s="44"/>
      <c r="H53" s="44"/>
      <c r="I53" s="45"/>
      <c r="J53" s="42"/>
      <c r="K53" s="46"/>
      <c r="L53" s="47"/>
      <c r="M53" s="48"/>
      <c r="N53" s="49"/>
      <c r="O53" s="50"/>
      <c r="P53" s="51"/>
      <c r="Q53" s="92"/>
    </row>
    <row r="54" spans="2:17" s="19" customFormat="1" ht="19.7" customHeight="1" x14ac:dyDescent="0.15">
      <c r="B54" s="41"/>
      <c r="C54" s="49"/>
      <c r="D54" s="41"/>
      <c r="E54" s="42"/>
      <c r="F54" s="43"/>
      <c r="G54" s="44"/>
      <c r="H54" s="44"/>
      <c r="I54" s="45"/>
      <c r="J54" s="42"/>
      <c r="K54" s="46"/>
      <c r="L54" s="47"/>
      <c r="M54" s="48"/>
      <c r="N54" s="49"/>
      <c r="O54" s="50"/>
      <c r="P54" s="51"/>
      <c r="Q54" s="92"/>
    </row>
    <row r="55" spans="2:17" s="19" customFormat="1" ht="19.7" customHeight="1" x14ac:dyDescent="0.15">
      <c r="B55" s="41"/>
      <c r="C55" s="49"/>
      <c r="D55" s="41"/>
      <c r="E55" s="42"/>
      <c r="F55" s="43"/>
      <c r="G55" s="44"/>
      <c r="H55" s="44"/>
      <c r="I55" s="45"/>
      <c r="J55" s="42"/>
      <c r="K55" s="46"/>
      <c r="L55" s="47"/>
      <c r="M55" s="48"/>
      <c r="N55" s="49"/>
      <c r="O55" s="50"/>
      <c r="P55" s="51"/>
      <c r="Q55" s="92"/>
    </row>
    <row r="56" spans="2:17" s="19" customFormat="1" ht="19.7" customHeight="1" x14ac:dyDescent="0.15">
      <c r="B56" s="41"/>
      <c r="C56" s="41"/>
      <c r="D56" s="41"/>
      <c r="E56" s="42"/>
      <c r="F56" s="43"/>
      <c r="G56" s="44"/>
      <c r="H56" s="44"/>
      <c r="I56" s="45"/>
      <c r="J56" s="52"/>
      <c r="K56" s="46"/>
      <c r="L56" s="47"/>
      <c r="M56" s="48"/>
      <c r="N56" s="49"/>
      <c r="O56" s="50"/>
      <c r="P56" s="51"/>
      <c r="Q56" s="92"/>
    </row>
    <row r="57" spans="2:17" s="19" customFormat="1" ht="19.7" customHeight="1" x14ac:dyDescent="0.15">
      <c r="B57" s="41"/>
      <c r="C57" s="41"/>
      <c r="D57" s="41"/>
      <c r="E57" s="42"/>
      <c r="F57" s="43"/>
      <c r="G57" s="44"/>
      <c r="H57" s="44"/>
      <c r="I57" s="45"/>
      <c r="J57" s="42"/>
      <c r="K57" s="46"/>
      <c r="L57" s="47"/>
      <c r="M57" s="48"/>
      <c r="N57" s="49"/>
      <c r="O57" s="50"/>
      <c r="P57" s="51"/>
      <c r="Q57" s="92"/>
    </row>
    <row r="58" spans="2:17" s="19" customFormat="1" ht="19.7" customHeight="1" x14ac:dyDescent="0.15">
      <c r="B58" s="41"/>
      <c r="C58" s="45"/>
      <c r="D58" s="47"/>
      <c r="E58" s="42"/>
      <c r="F58" s="43"/>
      <c r="G58" s="44"/>
      <c r="H58" s="44"/>
      <c r="I58" s="45"/>
      <c r="J58" s="42"/>
      <c r="K58" s="46"/>
      <c r="L58" s="45"/>
      <c r="M58" s="53"/>
      <c r="N58" s="49"/>
      <c r="O58" s="50"/>
      <c r="P58" s="50"/>
      <c r="Q58" s="92"/>
    </row>
    <row r="59" spans="2:17" s="19" customFormat="1" ht="19.7" customHeight="1" x14ac:dyDescent="0.15">
      <c r="B59" s="41"/>
      <c r="C59" s="49"/>
      <c r="D59" s="41"/>
      <c r="E59" s="54"/>
      <c r="F59" s="54"/>
      <c r="G59" s="44"/>
      <c r="H59" s="44"/>
      <c r="I59" s="47"/>
      <c r="J59" s="54"/>
      <c r="K59" s="52"/>
      <c r="L59" s="47"/>
      <c r="M59" s="53"/>
      <c r="N59" s="49"/>
      <c r="O59" s="50"/>
      <c r="P59" s="50"/>
      <c r="Q59" s="92"/>
    </row>
    <row r="60" spans="2:17" s="19" customFormat="1" ht="19.7" customHeight="1" x14ac:dyDescent="0.15">
      <c r="B60" s="41"/>
      <c r="C60" s="45"/>
      <c r="D60" s="47"/>
      <c r="E60" s="42"/>
      <c r="F60" s="43"/>
      <c r="G60" s="44"/>
      <c r="H60" s="44"/>
      <c r="I60" s="45"/>
      <c r="J60" s="42"/>
      <c r="K60" s="46"/>
      <c r="L60" s="45"/>
      <c r="M60" s="53"/>
      <c r="N60" s="49"/>
      <c r="O60" s="50"/>
      <c r="P60" s="50"/>
      <c r="Q60" s="92"/>
    </row>
    <row r="61" spans="2:17" s="19" customFormat="1" ht="19.7" customHeight="1" x14ac:dyDescent="0.15">
      <c r="B61" s="41"/>
      <c r="C61" s="45"/>
      <c r="D61" s="47"/>
      <c r="E61" s="42"/>
      <c r="F61" s="43"/>
      <c r="G61" s="44"/>
      <c r="H61" s="44"/>
      <c r="I61" s="45"/>
      <c r="J61" s="42"/>
      <c r="K61" s="46"/>
      <c r="L61" s="45"/>
      <c r="M61" s="53"/>
      <c r="N61" s="49"/>
      <c r="O61" s="50"/>
      <c r="P61" s="50"/>
      <c r="Q61" s="92"/>
    </row>
    <row r="65" spans="13:13" x14ac:dyDescent="0.15">
      <c r="M65" s="13"/>
    </row>
    <row r="66" spans="13:13" x14ac:dyDescent="0.15">
      <c r="M66" s="14"/>
    </row>
    <row r="67" spans="13:13" x14ac:dyDescent="0.15">
      <c r="M67" s="13"/>
    </row>
    <row r="68" spans="13:13" x14ac:dyDescent="0.15">
      <c r="M68" s="14"/>
    </row>
  </sheetData>
  <autoFilter ref="B8:O61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3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view="pageBreakPreview" zoomScaleNormal="100" zoomScaleSheetLayoutView="100" workbookViewId="0">
      <selection activeCell="C15" sqref="C15"/>
    </sheetView>
  </sheetViews>
  <sheetFormatPr defaultRowHeight="13.5" x14ac:dyDescent="0.15"/>
  <cols>
    <col min="1" max="1" width="12.125" bestFit="1" customWidth="1"/>
    <col min="2" max="2" width="32.625" bestFit="1" customWidth="1"/>
  </cols>
  <sheetData>
    <row r="1" spans="1:2" ht="17.25" x14ac:dyDescent="0.15">
      <c r="A1" s="91" t="s">
        <v>11</v>
      </c>
      <c r="B1" s="10" t="s">
        <v>68</v>
      </c>
    </row>
    <row r="2" spans="1:2" ht="17.25" x14ac:dyDescent="0.15">
      <c r="A2" s="91" t="s">
        <v>10</v>
      </c>
      <c r="B2" s="7" t="s">
        <v>22</v>
      </c>
    </row>
    <row r="3" spans="1:2" ht="17.25" x14ac:dyDescent="0.15">
      <c r="A3" s="91" t="s">
        <v>12</v>
      </c>
      <c r="B3" s="7">
        <v>194734</v>
      </c>
    </row>
    <row r="4" spans="1:2" ht="17.25" x14ac:dyDescent="0.15">
      <c r="A4" s="91" t="s">
        <v>13</v>
      </c>
      <c r="B4" s="8">
        <v>44676</v>
      </c>
    </row>
    <row r="5" spans="1:2" ht="17.25" x14ac:dyDescent="0.15">
      <c r="A5" s="91" t="s">
        <v>14</v>
      </c>
      <c r="B5" s="8"/>
    </row>
    <row r="7" spans="1:2" ht="55.5" x14ac:dyDescent="0.15">
      <c r="A7" s="99"/>
      <c r="B7" s="99"/>
    </row>
  </sheetData>
  <mergeCells count="1">
    <mergeCell ref="A7:B7"/>
  </mergeCells>
  <phoneticPr fontId="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2022-04-21T01:42:21Z</cp:lastPrinted>
  <dcterms:created xsi:type="dcterms:W3CDTF">2011-12-13T06:48:43Z</dcterms:created>
  <dcterms:modified xsi:type="dcterms:W3CDTF">2022-05-31T04:12:25Z</dcterms:modified>
</cp:coreProperties>
</file>