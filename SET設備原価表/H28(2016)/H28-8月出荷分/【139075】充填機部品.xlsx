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28035" windowHeight="14295"/>
  </bookViews>
  <sheets>
    <sheet name="部品表" sheetId="1" r:id="rId1"/>
  </sheets>
  <calcPr calcId="14562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</calcChain>
</file>

<file path=xl/sharedStrings.xml><?xml version="1.0" encoding="utf-8"?>
<sst xmlns="http://schemas.openxmlformats.org/spreadsheetml/2006/main" count="398" uniqueCount="222">
  <si>
    <t>皿ねじ</t>
    <rPh sb="0" eb="1">
      <t>サラ</t>
    </rPh>
    <phoneticPr fontId="1"/>
  </si>
  <si>
    <t>M5 x 12</t>
    <phoneticPr fontId="1"/>
  </si>
  <si>
    <t>+字穴</t>
    <phoneticPr fontId="1"/>
  </si>
  <si>
    <t>M2 x 2</t>
    <phoneticPr fontId="1"/>
  </si>
  <si>
    <t>六角穴付きボルト（ダブルセムス）</t>
    <rPh sb="0" eb="2">
      <t>ロッカク</t>
    </rPh>
    <rPh sb="2" eb="3">
      <t>アナ</t>
    </rPh>
    <rPh sb="3" eb="4">
      <t>ツ</t>
    </rPh>
    <phoneticPr fontId="1"/>
  </si>
  <si>
    <t>M4 x 30</t>
    <phoneticPr fontId="1"/>
  </si>
  <si>
    <t>M4 x 25</t>
    <phoneticPr fontId="1"/>
  </si>
  <si>
    <t>ワッシャ</t>
    <phoneticPr fontId="1"/>
  </si>
  <si>
    <t>M5</t>
    <phoneticPr fontId="1"/>
  </si>
  <si>
    <t>M4</t>
    <phoneticPr fontId="1"/>
  </si>
  <si>
    <t>六角穴付きボルト</t>
    <rPh sb="0" eb="2">
      <t>ロッカク</t>
    </rPh>
    <rPh sb="2" eb="3">
      <t>アナ</t>
    </rPh>
    <rPh sb="3" eb="4">
      <t>ツ</t>
    </rPh>
    <phoneticPr fontId="1"/>
  </si>
  <si>
    <t>M8 x 25</t>
    <phoneticPr fontId="1"/>
  </si>
  <si>
    <t>M5 x 30</t>
    <phoneticPr fontId="1"/>
  </si>
  <si>
    <t>M5 x 25</t>
    <phoneticPr fontId="1"/>
  </si>
  <si>
    <t>M5 x 20</t>
    <phoneticPr fontId="1"/>
  </si>
  <si>
    <t>M5 x 10</t>
    <phoneticPr fontId="1"/>
  </si>
  <si>
    <t>M5 x 8</t>
    <phoneticPr fontId="1"/>
  </si>
  <si>
    <t>M4 x 20</t>
    <phoneticPr fontId="1"/>
  </si>
  <si>
    <t>M4 x 16</t>
    <phoneticPr fontId="1"/>
  </si>
  <si>
    <t>M4 x 10</t>
    <phoneticPr fontId="1"/>
  </si>
  <si>
    <t>M4  x  8</t>
    <phoneticPr fontId="1"/>
  </si>
  <si>
    <t>M4 x 6</t>
    <phoneticPr fontId="1"/>
  </si>
  <si>
    <t>M3 x 25</t>
    <phoneticPr fontId="1"/>
  </si>
  <si>
    <t>M3 x 16</t>
    <phoneticPr fontId="1"/>
  </si>
  <si>
    <t>M3 x 12</t>
    <phoneticPr fontId="1"/>
  </si>
  <si>
    <t>pisco</t>
    <phoneticPr fontId="1"/>
  </si>
  <si>
    <t>φ4 プラグ</t>
    <phoneticPr fontId="1"/>
  </si>
  <si>
    <t>PP4</t>
    <phoneticPr fontId="1"/>
  </si>
  <si>
    <t>φ6 プラグ</t>
    <phoneticPr fontId="1"/>
  </si>
  <si>
    <t>PP6</t>
    <phoneticPr fontId="1"/>
  </si>
  <si>
    <t>φ6-φ4 異径トリプル</t>
    <rPh sb="6" eb="7">
      <t>イ</t>
    </rPh>
    <rPh sb="7" eb="8">
      <t>ケイ</t>
    </rPh>
    <phoneticPr fontId="1"/>
  </si>
  <si>
    <t>PKG6-4</t>
    <phoneticPr fontId="1"/>
  </si>
  <si>
    <t>φ6 ユニオンティー</t>
    <phoneticPr fontId="1"/>
  </si>
  <si>
    <t>PE6</t>
    <phoneticPr fontId="1"/>
  </si>
  <si>
    <t>φ4 ユニオンティー</t>
    <phoneticPr fontId="1"/>
  </si>
  <si>
    <t>PE4</t>
    <phoneticPr fontId="1"/>
  </si>
  <si>
    <t>φ6-φ4 違径二重ワイ</t>
    <phoneticPr fontId="1"/>
  </si>
  <si>
    <t>PRG6-4</t>
    <phoneticPr fontId="1"/>
  </si>
  <si>
    <t>SMC</t>
    <phoneticPr fontId="1"/>
  </si>
  <si>
    <t>φ4 M5 スピコン</t>
    <phoneticPr fontId="1"/>
  </si>
  <si>
    <t>AS1211F-M5-04K</t>
    <phoneticPr fontId="1"/>
  </si>
  <si>
    <t>φ4 1/8 エルボ継手</t>
    <rPh sb="10" eb="12">
      <t>ツギテ</t>
    </rPh>
    <phoneticPr fontId="1"/>
  </si>
  <si>
    <t>KQ2L04-01AS</t>
    <phoneticPr fontId="1"/>
  </si>
  <si>
    <t>φ4 M5 継手</t>
    <rPh sb="6" eb="8">
      <t>ツギテ</t>
    </rPh>
    <phoneticPr fontId="1"/>
  </si>
  <si>
    <t>KQ2H04-M5A</t>
    <phoneticPr fontId="1"/>
  </si>
  <si>
    <t>φ4 M5 エルボ継手</t>
    <rPh sb="9" eb="11">
      <t>ツギテ</t>
    </rPh>
    <phoneticPr fontId="1"/>
  </si>
  <si>
    <t>KQB2L04-M5</t>
    <phoneticPr fontId="1"/>
  </si>
  <si>
    <t>MISUMI</t>
    <phoneticPr fontId="1"/>
  </si>
  <si>
    <t>5シリーズ 後入れナット M4</t>
    <rPh sb="6" eb="8">
      <t>アトイ</t>
    </rPh>
    <phoneticPr fontId="1"/>
  </si>
  <si>
    <t>SHNTP5-4</t>
    <phoneticPr fontId="1"/>
  </si>
  <si>
    <t>5シリーズ 後入れナット M5</t>
    <rPh sb="6" eb="8">
      <t>アトイ</t>
    </rPh>
    <phoneticPr fontId="1"/>
  </si>
  <si>
    <t xml:space="preserve"> SHNTP5-5</t>
    <phoneticPr fontId="1"/>
  </si>
  <si>
    <t>6シリーズ 後入れナット M5</t>
    <rPh sb="6" eb="8">
      <t>アトイ</t>
    </rPh>
    <phoneticPr fontId="1"/>
  </si>
  <si>
    <t xml:space="preserve"> SHNTP6-5</t>
    <phoneticPr fontId="1"/>
  </si>
  <si>
    <t>シリンジ種類により変更</t>
    <rPh sb="4" eb="6">
      <t>シュルイ</t>
    </rPh>
    <rPh sb="9" eb="11">
      <t>ヘンコウ</t>
    </rPh>
    <phoneticPr fontId="1"/>
  </si>
  <si>
    <t>アクリル板　U型　穴加工付</t>
    <rPh sb="4" eb="5">
      <t>イタ</t>
    </rPh>
    <rPh sb="7" eb="8">
      <t>ガタ</t>
    </rPh>
    <rPh sb="9" eb="10">
      <t>アナ</t>
    </rPh>
    <rPh sb="10" eb="12">
      <t>カコウ</t>
    </rPh>
    <rPh sb="12" eb="13">
      <t>ツキ</t>
    </rPh>
    <phoneticPr fontId="1"/>
  </si>
  <si>
    <t xml:space="preserve"> ACAU4H-110-60-160-5-F130-G10-N5</t>
    <phoneticPr fontId="1"/>
  </si>
  <si>
    <t>ACAU4H-45-70-60-5-F40-G10-N6</t>
    <phoneticPr fontId="1"/>
  </si>
  <si>
    <t>フレームキャップ 6シリーズ</t>
  </si>
  <si>
    <t>HFC6-3090-B</t>
    <phoneticPr fontId="1"/>
  </si>
  <si>
    <t>フレームキャップ 5シリーズ</t>
    <phoneticPr fontId="1"/>
  </si>
  <si>
    <t>HFC5-2550-B</t>
    <phoneticPr fontId="1"/>
  </si>
  <si>
    <t>押出極厚型ブラケット</t>
    <phoneticPr fontId="1"/>
  </si>
  <si>
    <t>HBLUSB6</t>
    <phoneticPr fontId="1"/>
  </si>
  <si>
    <t>アルミフレーム 6シリーズ</t>
    <phoneticPr fontId="1"/>
  </si>
  <si>
    <t>EFSB6-3090-550-LTP</t>
    <phoneticPr fontId="1"/>
  </si>
  <si>
    <t>アルミフレーム 5シリーズ</t>
    <phoneticPr fontId="1"/>
  </si>
  <si>
    <t xml:space="preserve"> HFSB5-2550-550-LTP</t>
    <phoneticPr fontId="1"/>
  </si>
  <si>
    <t>シリコンゴムプッシャ</t>
    <phoneticPr fontId="1"/>
  </si>
  <si>
    <t xml:space="preserve"> SLLM12</t>
    <phoneticPr fontId="1"/>
  </si>
  <si>
    <t>アクリル板　穴加工付</t>
    <rPh sb="4" eb="5">
      <t>イタ</t>
    </rPh>
    <rPh sb="6" eb="7">
      <t>アナ</t>
    </rPh>
    <rPh sb="7" eb="9">
      <t>カコウ</t>
    </rPh>
    <rPh sb="9" eb="10">
      <t>ツキ</t>
    </rPh>
    <phoneticPr fontId="1"/>
  </si>
  <si>
    <t>ACA4H-63-50-5-F51-G30-N4</t>
    <phoneticPr fontId="1"/>
  </si>
  <si>
    <t>バネ</t>
    <phoneticPr fontId="1"/>
  </si>
  <si>
    <t xml:space="preserve"> WL27-35</t>
    <phoneticPr fontId="1"/>
  </si>
  <si>
    <t>線径2　内径33.5</t>
    <rPh sb="0" eb="2">
      <t>センケイ</t>
    </rPh>
    <rPh sb="4" eb="6">
      <t>ナイケイ</t>
    </rPh>
    <phoneticPr fontId="1"/>
  </si>
  <si>
    <t>Oリング NBR</t>
    <phoneticPr fontId="1"/>
  </si>
  <si>
    <t>S34</t>
    <phoneticPr fontId="1"/>
  </si>
  <si>
    <t>線径3.5　内径22.1</t>
    <rPh sb="0" eb="2">
      <t>センケイ</t>
    </rPh>
    <rPh sb="6" eb="8">
      <t>ナイケイ</t>
    </rPh>
    <phoneticPr fontId="1"/>
  </si>
  <si>
    <t>P22.4</t>
    <phoneticPr fontId="1"/>
  </si>
  <si>
    <t>ピンチバルブ部品</t>
    <rPh sb="6" eb="8">
      <t>ブヒン</t>
    </rPh>
    <phoneticPr fontId="1"/>
  </si>
  <si>
    <t>段付おねじ段付めねじ Cナビ</t>
    <phoneticPr fontId="1"/>
  </si>
  <si>
    <t>SPHE-SU-B12-L40-E4-P10-J16-M8-F5-V10-MA5-U1.5</t>
    <phoneticPr fontId="1"/>
  </si>
  <si>
    <t>9100-P13 支給材</t>
    <rPh sb="9" eb="11">
      <t>シキュウ</t>
    </rPh>
    <rPh sb="11" eb="12">
      <t>ザイ</t>
    </rPh>
    <phoneticPr fontId="1"/>
  </si>
  <si>
    <t>六角材</t>
    <rPh sb="0" eb="2">
      <t>ロッカク</t>
    </rPh>
    <rPh sb="2" eb="3">
      <t>ザイ</t>
    </rPh>
    <phoneticPr fontId="1"/>
  </si>
  <si>
    <t>RDRS19-65</t>
    <phoneticPr fontId="1"/>
  </si>
  <si>
    <t>ワンタッチ継手　バルクヘッドユニオン</t>
    <phoneticPr fontId="1"/>
  </si>
  <si>
    <t>MSBUL6</t>
    <phoneticPr fontId="1"/>
  </si>
  <si>
    <t>MSBUL4</t>
    <phoneticPr fontId="1"/>
  </si>
  <si>
    <t>予想</t>
    <rPh sb="0" eb="2">
      <t>ヨソウ</t>
    </rPh>
    <phoneticPr fontId="1"/>
  </si>
  <si>
    <t>3M</t>
    <phoneticPr fontId="1"/>
  </si>
  <si>
    <t>e-con パネマン</t>
    <phoneticPr fontId="1"/>
  </si>
  <si>
    <t xml:space="preserve"> 37303-2165-0P0FL</t>
    <phoneticPr fontId="1"/>
  </si>
  <si>
    <t>フットスイッチコネクタ</t>
    <phoneticPr fontId="1"/>
  </si>
  <si>
    <t>TE</t>
    <phoneticPr fontId="1"/>
  </si>
  <si>
    <t>コマーシャル・メイテンロック・コネクタ</t>
    <phoneticPr fontId="1"/>
  </si>
  <si>
    <t xml:space="preserve"> 1-480304-0</t>
    <phoneticPr fontId="1"/>
  </si>
  <si>
    <t>MISUMI</t>
    <phoneticPr fontId="1"/>
  </si>
  <si>
    <t>セレクタスイッチ</t>
    <phoneticPr fontId="1"/>
  </si>
  <si>
    <t>SB1C214</t>
    <phoneticPr fontId="1"/>
  </si>
  <si>
    <t>NKK</t>
    <phoneticPr fontId="1"/>
  </si>
  <si>
    <t>シーソースイッチ</t>
    <phoneticPr fontId="1"/>
  </si>
  <si>
    <t>CW-SC11WCKRRES</t>
    <phoneticPr fontId="1"/>
  </si>
  <si>
    <t>小型インレット</t>
    <rPh sb="0" eb="2">
      <t>コガタ</t>
    </rPh>
    <phoneticPr fontId="1"/>
  </si>
  <si>
    <t>WTN-1181</t>
    <phoneticPr fontId="1"/>
  </si>
  <si>
    <t>富士電機</t>
    <rPh sb="0" eb="2">
      <t>フジ</t>
    </rPh>
    <rPh sb="2" eb="4">
      <t>デンキ</t>
    </rPh>
    <phoneticPr fontId="1"/>
  </si>
  <si>
    <t>FJE押しボタン</t>
    <rPh sb="3" eb="4">
      <t>オ</t>
    </rPh>
    <phoneticPr fontId="1"/>
  </si>
  <si>
    <t>AR16G5N-C1E3Y</t>
    <phoneticPr fontId="1"/>
  </si>
  <si>
    <t>AR16G5N-C1E3G</t>
    <phoneticPr fontId="1"/>
  </si>
  <si>
    <t>スタートSW</t>
  </si>
  <si>
    <t>AH164-LG11E</t>
  </si>
  <si>
    <t>IDEC</t>
    <phoneticPr fontId="1"/>
  </si>
  <si>
    <t>非常停止SW</t>
  </si>
  <si>
    <t>XA1E-BV301R</t>
  </si>
  <si>
    <t>LEDランプ</t>
  </si>
  <si>
    <t>UP8-2487Y</t>
  </si>
  <si>
    <t>UP8-2487G</t>
  </si>
  <si>
    <t>UP8-2487R</t>
  </si>
  <si>
    <t>DINレール</t>
    <phoneticPr fontId="1"/>
  </si>
  <si>
    <t>MRA-250</t>
    <phoneticPr fontId="1"/>
  </si>
  <si>
    <t>端子台</t>
    <rPh sb="0" eb="3">
      <t>タンシダイ</t>
    </rPh>
    <phoneticPr fontId="1"/>
  </si>
  <si>
    <t>Panasonic</t>
    <phoneticPr fontId="1"/>
  </si>
  <si>
    <t>カウンタ</t>
    <phoneticPr fontId="1"/>
  </si>
  <si>
    <t>LC4HL-R6-DC24VS</t>
    <phoneticPr fontId="1"/>
  </si>
  <si>
    <t>KEYENCE</t>
    <phoneticPr fontId="1"/>
  </si>
  <si>
    <t>取付具</t>
    <rPh sb="0" eb="2">
      <t>トリツケ</t>
    </rPh>
    <rPh sb="2" eb="3">
      <t>グ</t>
    </rPh>
    <phoneticPr fontId="1"/>
  </si>
  <si>
    <t>OP-73880</t>
    <phoneticPr fontId="1"/>
  </si>
  <si>
    <t>アンプユニット</t>
    <phoneticPr fontId="1"/>
  </si>
  <si>
    <t>FS-N11N</t>
    <phoneticPr fontId="1"/>
  </si>
  <si>
    <t>ファイバユニット</t>
    <phoneticPr fontId="1"/>
  </si>
  <si>
    <t>FU-41TZ</t>
    <phoneticPr fontId="1"/>
  </si>
  <si>
    <t>オムロン</t>
    <phoneticPr fontId="1"/>
  </si>
  <si>
    <t>電源</t>
    <rPh sb="0" eb="2">
      <t>デンゲン</t>
    </rPh>
    <phoneticPr fontId="1"/>
  </si>
  <si>
    <t>S8VM-03024CD</t>
    <phoneticPr fontId="1"/>
  </si>
  <si>
    <t>拡張ユニット</t>
    <rPh sb="0" eb="2">
      <t>カクチョウ</t>
    </rPh>
    <phoneticPr fontId="1"/>
  </si>
  <si>
    <t>PLC</t>
    <phoneticPr fontId="1"/>
  </si>
  <si>
    <t>KV-N24DT</t>
    <phoneticPr fontId="1"/>
  </si>
  <si>
    <t>SMC</t>
    <phoneticPr fontId="1"/>
  </si>
  <si>
    <t>電磁弁</t>
    <rPh sb="0" eb="3">
      <t>デンジベン</t>
    </rPh>
    <phoneticPr fontId="1"/>
  </si>
  <si>
    <t>SY3140-5MZE-01</t>
    <phoneticPr fontId="1"/>
  </si>
  <si>
    <t>SYJ314-5MZE-M5</t>
    <phoneticPr fontId="1"/>
  </si>
  <si>
    <t>SYJ314R-5MZE-M5</t>
    <phoneticPr fontId="1"/>
  </si>
  <si>
    <t>圧力センサ</t>
    <rPh sb="0" eb="2">
      <t>アツリョク</t>
    </rPh>
    <phoneticPr fontId="1"/>
  </si>
  <si>
    <t>ISE30A-C4H-N-MLD</t>
    <phoneticPr fontId="1"/>
  </si>
  <si>
    <t>レギュレータ</t>
    <phoneticPr fontId="1"/>
  </si>
  <si>
    <t>エアシリンダ</t>
    <phoneticPr fontId="1"/>
  </si>
  <si>
    <t>CDJ2RA16-200RZ-M9NV-A</t>
    <phoneticPr fontId="1"/>
  </si>
  <si>
    <t>要追加工</t>
    <rPh sb="0" eb="1">
      <t>ヨウ</t>
    </rPh>
    <rPh sb="1" eb="3">
      <t>ツイカ</t>
    </rPh>
    <rPh sb="3" eb="4">
      <t>コウ</t>
    </rPh>
    <phoneticPr fontId="1"/>
  </si>
  <si>
    <t>ケース</t>
    <phoneticPr fontId="1"/>
  </si>
  <si>
    <t>OS149-32-33</t>
    <phoneticPr fontId="1"/>
  </si>
  <si>
    <t>前回流用部品</t>
    <rPh sb="0" eb="2">
      <t>ゼンカイ</t>
    </rPh>
    <rPh sb="2" eb="4">
      <t>リュウヨウ</t>
    </rPh>
    <rPh sb="4" eb="6">
      <t>ブヒン</t>
    </rPh>
    <phoneticPr fontId="1"/>
  </si>
  <si>
    <t>追加工図面</t>
    <rPh sb="0" eb="2">
      <t>ツイカ</t>
    </rPh>
    <rPh sb="2" eb="3">
      <t>コウ</t>
    </rPh>
    <rPh sb="3" eb="5">
      <t>ズメン</t>
    </rPh>
    <phoneticPr fontId="1"/>
  </si>
  <si>
    <t>9100-P13</t>
    <phoneticPr fontId="1"/>
  </si>
  <si>
    <t>継手保持②</t>
    <rPh sb="0" eb="2">
      <t>ツギテ</t>
    </rPh>
    <rPh sb="2" eb="4">
      <t>ホジ</t>
    </rPh>
    <phoneticPr fontId="1"/>
  </si>
  <si>
    <t>9100-P10</t>
  </si>
  <si>
    <t>継手保持①</t>
    <rPh sb="0" eb="2">
      <t>ツギテ</t>
    </rPh>
    <rPh sb="2" eb="4">
      <t>ホジ</t>
    </rPh>
    <phoneticPr fontId="1"/>
  </si>
  <si>
    <t>9100-P09</t>
  </si>
  <si>
    <t>ピンチ部</t>
    <rPh sb="3" eb="4">
      <t>ブ</t>
    </rPh>
    <phoneticPr fontId="1"/>
  </si>
  <si>
    <t>9100-P08</t>
  </si>
  <si>
    <t>六角ガイド</t>
    <rPh sb="0" eb="2">
      <t>ロッカク</t>
    </rPh>
    <phoneticPr fontId="1"/>
  </si>
  <si>
    <t>9100-P07</t>
  </si>
  <si>
    <t>ピストンリング</t>
    <phoneticPr fontId="1"/>
  </si>
  <si>
    <t>9100-P06</t>
  </si>
  <si>
    <t>シリンダ蓋</t>
    <rPh sb="4" eb="5">
      <t>フタ</t>
    </rPh>
    <phoneticPr fontId="1"/>
  </si>
  <si>
    <t>9100-P05</t>
  </si>
  <si>
    <t>シリンダ筒</t>
    <rPh sb="4" eb="5">
      <t>ツツ</t>
    </rPh>
    <phoneticPr fontId="1"/>
  </si>
  <si>
    <t>9100-P04</t>
  </si>
  <si>
    <t>シリンダプレート</t>
    <phoneticPr fontId="1"/>
  </si>
  <si>
    <t>9100-P03</t>
  </si>
  <si>
    <t>アンプ取付プレート</t>
    <rPh sb="3" eb="5">
      <t>トリツケ</t>
    </rPh>
    <phoneticPr fontId="1"/>
  </si>
  <si>
    <t>9100-A05</t>
  </si>
  <si>
    <t>センサ取付プレート</t>
    <rPh sb="3" eb="5">
      <t>トリツケ</t>
    </rPh>
    <phoneticPr fontId="1"/>
  </si>
  <si>
    <t>9100-A04</t>
  </si>
  <si>
    <t>エアシリンダ固定プレート</t>
    <rPh sb="6" eb="8">
      <t>コテイ</t>
    </rPh>
    <phoneticPr fontId="1"/>
  </si>
  <si>
    <t>9100-A03</t>
    <phoneticPr fontId="1"/>
  </si>
  <si>
    <t>エアシリンダ固定ブロック</t>
    <rPh sb="6" eb="8">
      <t>コテイ</t>
    </rPh>
    <phoneticPr fontId="1"/>
  </si>
  <si>
    <t>9100-A02</t>
    <phoneticPr fontId="1"/>
  </si>
  <si>
    <t>BOTTOM PANEL</t>
    <phoneticPr fontId="1"/>
  </si>
  <si>
    <t>SC30095</t>
  </si>
  <si>
    <t>BACK PANEL</t>
    <phoneticPr fontId="1"/>
  </si>
  <si>
    <t>SC30094</t>
  </si>
  <si>
    <t>FRONT PANEL</t>
    <phoneticPr fontId="1"/>
  </si>
  <si>
    <t>SC30093</t>
  </si>
  <si>
    <t>TUBE ADAPTER</t>
    <phoneticPr fontId="1"/>
  </si>
  <si>
    <t>SC30092</t>
  </si>
  <si>
    <t>TUBE HOLDER</t>
    <phoneticPr fontId="1"/>
  </si>
  <si>
    <t>SC30091</t>
  </si>
  <si>
    <t>CARTRIDGE HOLDER BOTTOM</t>
    <phoneticPr fontId="1"/>
  </si>
  <si>
    <t>SC30090</t>
  </si>
  <si>
    <t>CARTRIDGE HOLDER TOP</t>
    <phoneticPr fontId="1"/>
  </si>
  <si>
    <t>SC30089</t>
  </si>
  <si>
    <t>MAIN PLATE</t>
    <phoneticPr fontId="1"/>
  </si>
  <si>
    <t>SC30088</t>
  </si>
  <si>
    <t>BASE PLATE</t>
    <phoneticPr fontId="1"/>
  </si>
  <si>
    <t>SC30087</t>
    <phoneticPr fontId="1"/>
  </si>
  <si>
    <t>備考</t>
    <rPh sb="0" eb="2">
      <t>ビコウ</t>
    </rPh>
    <phoneticPr fontId="1"/>
  </si>
  <si>
    <t>手配先</t>
    <rPh sb="0" eb="2">
      <t>テハイ</t>
    </rPh>
    <rPh sb="2" eb="3">
      <t>サキ</t>
    </rPh>
    <phoneticPr fontId="1"/>
  </si>
  <si>
    <t>計</t>
    <rPh sb="0" eb="1">
      <t>ケイ</t>
    </rPh>
    <phoneticPr fontId="1"/>
  </si>
  <si>
    <t>単価</t>
    <rPh sb="0" eb="2">
      <t>タンカ</t>
    </rPh>
    <phoneticPr fontId="1"/>
  </si>
  <si>
    <t>手配数</t>
    <rPh sb="0" eb="2">
      <t>テハイ</t>
    </rPh>
    <rPh sb="2" eb="3">
      <t>スウ</t>
    </rPh>
    <phoneticPr fontId="1"/>
  </si>
  <si>
    <t>員数</t>
    <rPh sb="0" eb="2">
      <t>インズウ</t>
    </rPh>
    <phoneticPr fontId="1"/>
  </si>
  <si>
    <t>メーカ</t>
    <phoneticPr fontId="1"/>
  </si>
  <si>
    <t>名称</t>
    <rPh sb="0" eb="2">
      <t>メイショウ</t>
    </rPh>
    <phoneticPr fontId="1"/>
  </si>
  <si>
    <t>部番/型式</t>
    <rPh sb="0" eb="1">
      <t>ブ</t>
    </rPh>
    <rPh sb="1" eb="2">
      <t>バン</t>
    </rPh>
    <rPh sb="3" eb="5">
      <t>カタシキ</t>
    </rPh>
    <phoneticPr fontId="1"/>
  </si>
  <si>
    <t>KV-N8ET</t>
    <phoneticPr fontId="1"/>
  </si>
  <si>
    <t>TAKACHI</t>
    <phoneticPr fontId="1"/>
  </si>
  <si>
    <t>新規作成 2016.06.09</t>
    <rPh sb="0" eb="2">
      <t>シンキ</t>
    </rPh>
    <rPh sb="2" eb="4">
      <t>サクセイ</t>
    </rPh>
    <phoneticPr fontId="1"/>
  </si>
  <si>
    <t>タカチカスタム製品</t>
    <rPh sb="7" eb="9">
      <t>セイヒン</t>
    </rPh>
    <phoneticPr fontId="1"/>
  </si>
  <si>
    <t>ESAW-TCM310-5P</t>
    <phoneticPr fontId="1"/>
  </si>
  <si>
    <t>ﾐｽﾐ10%引き</t>
    <rPh sb="6" eb="7">
      <t>ヒ</t>
    </rPh>
    <phoneticPr fontId="1"/>
  </si>
  <si>
    <t>ｸｰﾎﾟﾝ使用</t>
    <rPh sb="5" eb="7">
      <t>シヨウ</t>
    </rPh>
    <phoneticPr fontId="1"/>
  </si>
  <si>
    <t>加工品　№1～24</t>
    <rPh sb="0" eb="3">
      <t>カコウヒン</t>
    </rPh>
    <phoneticPr fontId="1"/>
  </si>
  <si>
    <t>ﾐﾉﾘﾃｯｸ</t>
  </si>
  <si>
    <t>ﾐﾉﾘﾃｯｸ</t>
    <phoneticPr fontId="1"/>
  </si>
  <si>
    <t>石鍋</t>
    <rPh sb="0" eb="2">
      <t>イシナベ</t>
    </rPh>
    <phoneticPr fontId="1"/>
  </si>
  <si>
    <t>-</t>
  </si>
  <si>
    <t>-</t>
    <phoneticPr fontId="1"/>
  </si>
  <si>
    <t>MISUMI</t>
  </si>
  <si>
    <t>KEYENCE</t>
  </si>
  <si>
    <t>最少Lot　10個</t>
    <rPh sb="0" eb="2">
      <t>サイショウ</t>
    </rPh>
    <rPh sb="8" eb="9">
      <t>コ</t>
    </rPh>
    <phoneticPr fontId="1"/>
  </si>
  <si>
    <t>SY3440R-5ME-C4-F2　⇒　SY3440R-5MZE-01</t>
    <phoneticPr fontId="1"/>
  </si>
  <si>
    <t>最少Lot　5個</t>
    <rPh sb="0" eb="2">
      <t>サイショウ</t>
    </rPh>
    <rPh sb="7" eb="8">
      <t>コ</t>
    </rPh>
    <phoneticPr fontId="1"/>
  </si>
  <si>
    <t>AR10-A ⇒　AR10-M5H-A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</si>
</sst>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¥&quot;#,##0;&quot;¥&quot;\-#,##0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5"/>
  <sheetViews>
    <sheetView tabSelected="1" zoomScaleNormal="100" workbookViewId="0">
      <pane ySplit="2" topLeftCell="A78" activePane="bottomLeft" state="frozen"/>
      <selection pane="bottomLeft" activeCell="J100" sqref="J100"/>
    </sheetView>
  </sheetViews>
  <sheetFormatPr defaultRowHeight="13.5" outlineLevelCol="1" x14ac:dyDescent="0.15"/>
  <cols>
    <col min="1" max="1" width="9" style="1"/>
    <col min="2" max="2" width="42.875" style="1" bestFit="1" customWidth="1"/>
    <col min="3" max="3" width="33.75" style="1" customWidth="1" outlineLevel="1"/>
    <col min="4" max="4" width="9.75" style="11" customWidth="1" outlineLevel="1"/>
    <col min="5" max="5" width="5.625" style="1" customWidth="1" outlineLevel="1"/>
    <col min="6" max="6" width="7.5" style="1" customWidth="1" outlineLevel="1"/>
    <col min="7" max="7" width="9.125" style="1" customWidth="1"/>
    <col min="8" max="8" width="10.375" style="1" bestFit="1" customWidth="1"/>
    <col min="9" max="9" width="9" style="1"/>
    <col min="10" max="10" width="21.5" style="1" bestFit="1" customWidth="1"/>
    <col min="11" max="16384" width="9" style="1"/>
  </cols>
  <sheetData>
    <row r="2" spans="1:10" x14ac:dyDescent="0.15">
      <c r="B2" s="5" t="s">
        <v>202</v>
      </c>
      <c r="C2" s="5" t="s">
        <v>201</v>
      </c>
      <c r="D2" s="8" t="s">
        <v>200</v>
      </c>
      <c r="E2" s="5" t="s">
        <v>199</v>
      </c>
      <c r="F2" s="5" t="s">
        <v>198</v>
      </c>
      <c r="G2" s="5" t="s">
        <v>197</v>
      </c>
      <c r="H2" s="5" t="s">
        <v>196</v>
      </c>
      <c r="I2" s="5" t="s">
        <v>195</v>
      </c>
      <c r="J2" s="5" t="s">
        <v>194</v>
      </c>
    </row>
    <row r="3" spans="1:10" x14ac:dyDescent="0.15">
      <c r="A3" s="1">
        <v>1</v>
      </c>
      <c r="B3" s="8" t="s">
        <v>210</v>
      </c>
      <c r="C3" s="8"/>
      <c r="D3" s="8"/>
      <c r="E3" s="8"/>
      <c r="F3" s="8">
        <v>1</v>
      </c>
      <c r="G3" s="8"/>
      <c r="H3" s="6">
        <v>167000</v>
      </c>
      <c r="I3" s="8" t="s">
        <v>212</v>
      </c>
      <c r="J3" s="8"/>
    </row>
    <row r="4" spans="1:10" x14ac:dyDescent="0.15">
      <c r="A4" s="1">
        <v>2</v>
      </c>
      <c r="B4" s="2" t="s">
        <v>193</v>
      </c>
      <c r="C4" s="2" t="s">
        <v>192</v>
      </c>
      <c r="D4" s="8"/>
      <c r="E4" s="2">
        <v>1</v>
      </c>
      <c r="F4" s="2">
        <v>1</v>
      </c>
      <c r="G4" s="6"/>
      <c r="H4" s="6">
        <f t="shared" ref="H4:H35" si="0">F4*G4</f>
        <v>0</v>
      </c>
      <c r="I4" s="2" t="s">
        <v>211</v>
      </c>
      <c r="J4" s="2"/>
    </row>
    <row r="5" spans="1:10" x14ac:dyDescent="0.15">
      <c r="A5" s="1">
        <v>3</v>
      </c>
      <c r="B5" s="2" t="s">
        <v>191</v>
      </c>
      <c r="C5" s="2" t="s">
        <v>190</v>
      </c>
      <c r="D5" s="8"/>
      <c r="E5" s="2">
        <v>1</v>
      </c>
      <c r="F5" s="2">
        <v>1</v>
      </c>
      <c r="G5" s="6"/>
      <c r="H5" s="6">
        <f t="shared" si="0"/>
        <v>0</v>
      </c>
      <c r="I5" s="2" t="s">
        <v>211</v>
      </c>
      <c r="J5" s="2"/>
    </row>
    <row r="6" spans="1:10" x14ac:dyDescent="0.15">
      <c r="A6" s="1">
        <v>4</v>
      </c>
      <c r="B6" s="2" t="s">
        <v>189</v>
      </c>
      <c r="C6" s="2" t="s">
        <v>188</v>
      </c>
      <c r="D6" s="8"/>
      <c r="E6" s="2">
        <v>1</v>
      </c>
      <c r="F6" s="2">
        <v>1</v>
      </c>
      <c r="G6" s="6"/>
      <c r="H6" s="6">
        <f t="shared" si="0"/>
        <v>0</v>
      </c>
      <c r="I6" s="2" t="s">
        <v>211</v>
      </c>
      <c r="J6" s="2"/>
    </row>
    <row r="7" spans="1:10" x14ac:dyDescent="0.15">
      <c r="A7" s="1">
        <v>5</v>
      </c>
      <c r="B7" s="2" t="s">
        <v>187</v>
      </c>
      <c r="C7" s="2" t="s">
        <v>186</v>
      </c>
      <c r="D7" s="8"/>
      <c r="E7" s="2">
        <v>1</v>
      </c>
      <c r="F7" s="2">
        <v>1</v>
      </c>
      <c r="G7" s="6"/>
      <c r="H7" s="6">
        <f t="shared" si="0"/>
        <v>0</v>
      </c>
      <c r="I7" s="2" t="s">
        <v>211</v>
      </c>
      <c r="J7" s="2"/>
    </row>
    <row r="8" spans="1:10" x14ac:dyDescent="0.15">
      <c r="A8" s="1">
        <v>6</v>
      </c>
      <c r="B8" s="2" t="s">
        <v>185</v>
      </c>
      <c r="C8" s="2" t="s">
        <v>184</v>
      </c>
      <c r="D8" s="8"/>
      <c r="E8" s="2">
        <v>2</v>
      </c>
      <c r="F8" s="2">
        <v>2</v>
      </c>
      <c r="G8" s="6"/>
      <c r="H8" s="6">
        <f t="shared" si="0"/>
        <v>0</v>
      </c>
      <c r="I8" s="2" t="s">
        <v>211</v>
      </c>
      <c r="J8" s="2"/>
    </row>
    <row r="9" spans="1:10" x14ac:dyDescent="0.15">
      <c r="A9" s="1">
        <v>7</v>
      </c>
      <c r="B9" s="2" t="s">
        <v>183</v>
      </c>
      <c r="C9" s="2" t="s">
        <v>182</v>
      </c>
      <c r="D9" s="8"/>
      <c r="E9" s="2">
        <v>1</v>
      </c>
      <c r="F9" s="2">
        <v>1</v>
      </c>
      <c r="G9" s="6"/>
      <c r="H9" s="6">
        <f t="shared" si="0"/>
        <v>0</v>
      </c>
      <c r="I9" s="2" t="s">
        <v>211</v>
      </c>
      <c r="J9" s="2"/>
    </row>
    <row r="10" spans="1:10" x14ac:dyDescent="0.15">
      <c r="A10" s="1">
        <v>8</v>
      </c>
      <c r="B10" s="2" t="s">
        <v>181</v>
      </c>
      <c r="C10" s="2" t="s">
        <v>180</v>
      </c>
      <c r="D10" s="8"/>
      <c r="E10" s="2">
        <v>1</v>
      </c>
      <c r="F10" s="2">
        <v>1</v>
      </c>
      <c r="G10" s="6"/>
      <c r="H10" s="6">
        <f t="shared" si="0"/>
        <v>0</v>
      </c>
      <c r="I10" s="2" t="s">
        <v>211</v>
      </c>
      <c r="J10" s="2" t="s">
        <v>206</v>
      </c>
    </row>
    <row r="11" spans="1:10" x14ac:dyDescent="0.15">
      <c r="A11" s="1">
        <v>9</v>
      </c>
      <c r="B11" s="2" t="s">
        <v>179</v>
      </c>
      <c r="C11" s="2" t="s">
        <v>178</v>
      </c>
      <c r="D11" s="8"/>
      <c r="E11" s="2">
        <v>1</v>
      </c>
      <c r="F11" s="2">
        <v>1</v>
      </c>
      <c r="G11" s="6"/>
      <c r="H11" s="6">
        <f t="shared" si="0"/>
        <v>0</v>
      </c>
      <c r="I11" s="2" t="s">
        <v>211</v>
      </c>
      <c r="J11" s="2" t="s">
        <v>206</v>
      </c>
    </row>
    <row r="12" spans="1:10" x14ac:dyDescent="0.15">
      <c r="A12" s="1">
        <v>10</v>
      </c>
      <c r="B12" s="2" t="s">
        <v>177</v>
      </c>
      <c r="C12" s="2" t="s">
        <v>176</v>
      </c>
      <c r="D12" s="8"/>
      <c r="E12" s="2">
        <v>1</v>
      </c>
      <c r="F12" s="2">
        <v>1</v>
      </c>
      <c r="G12" s="6"/>
      <c r="H12" s="6">
        <f t="shared" si="0"/>
        <v>0</v>
      </c>
      <c r="I12" s="2" t="s">
        <v>211</v>
      </c>
      <c r="J12" s="2" t="s">
        <v>206</v>
      </c>
    </row>
    <row r="13" spans="1:10" x14ac:dyDescent="0.15">
      <c r="A13" s="1">
        <v>11</v>
      </c>
      <c r="B13" s="2" t="s">
        <v>175</v>
      </c>
      <c r="C13" s="2" t="s">
        <v>174</v>
      </c>
      <c r="D13" s="8"/>
      <c r="E13" s="2">
        <v>1</v>
      </c>
      <c r="F13" s="2">
        <v>1</v>
      </c>
      <c r="G13" s="6"/>
      <c r="H13" s="6">
        <f t="shared" si="0"/>
        <v>0</v>
      </c>
      <c r="I13" s="2" t="s">
        <v>211</v>
      </c>
      <c r="J13" s="2" t="s">
        <v>149</v>
      </c>
    </row>
    <row r="14" spans="1:10" x14ac:dyDescent="0.15">
      <c r="A14" s="1">
        <v>12</v>
      </c>
      <c r="B14" s="2" t="s">
        <v>173</v>
      </c>
      <c r="C14" s="2" t="s">
        <v>172</v>
      </c>
      <c r="D14" s="8"/>
      <c r="E14" s="2">
        <v>1</v>
      </c>
      <c r="F14" s="2">
        <v>1</v>
      </c>
      <c r="G14" s="6"/>
      <c r="H14" s="6">
        <f t="shared" si="0"/>
        <v>0</v>
      </c>
      <c r="I14" s="2" t="s">
        <v>211</v>
      </c>
      <c r="J14" s="2" t="s">
        <v>149</v>
      </c>
    </row>
    <row r="15" spans="1:10" x14ac:dyDescent="0.15">
      <c r="A15" s="1">
        <v>13</v>
      </c>
      <c r="B15" s="2" t="s">
        <v>171</v>
      </c>
      <c r="C15" s="2" t="s">
        <v>170</v>
      </c>
      <c r="D15" s="8"/>
      <c r="E15" s="2">
        <v>1</v>
      </c>
      <c r="F15" s="2">
        <v>1</v>
      </c>
      <c r="G15" s="6"/>
      <c r="H15" s="6">
        <f t="shared" si="0"/>
        <v>0</v>
      </c>
      <c r="I15" s="2" t="s">
        <v>211</v>
      </c>
      <c r="J15" s="2" t="s">
        <v>149</v>
      </c>
    </row>
    <row r="16" spans="1:10" x14ac:dyDescent="0.15">
      <c r="A16" s="1">
        <v>14</v>
      </c>
      <c r="B16" s="2" t="s">
        <v>169</v>
      </c>
      <c r="C16" s="2" t="s">
        <v>168</v>
      </c>
      <c r="D16" s="8"/>
      <c r="E16" s="2">
        <v>1</v>
      </c>
      <c r="F16" s="2">
        <v>1</v>
      </c>
      <c r="G16" s="6"/>
      <c r="H16" s="6">
        <f t="shared" si="0"/>
        <v>0</v>
      </c>
      <c r="I16" s="2" t="s">
        <v>211</v>
      </c>
      <c r="J16" s="2" t="s">
        <v>149</v>
      </c>
    </row>
    <row r="17" spans="1:10" x14ac:dyDescent="0.15">
      <c r="A17" s="1">
        <v>15</v>
      </c>
      <c r="B17" s="2" t="s">
        <v>167</v>
      </c>
      <c r="C17" s="2" t="s">
        <v>166</v>
      </c>
      <c r="D17" s="8"/>
      <c r="E17" s="2">
        <v>1</v>
      </c>
      <c r="F17" s="2">
        <v>1</v>
      </c>
      <c r="G17" s="6"/>
      <c r="H17" s="6">
        <f t="shared" si="0"/>
        <v>0</v>
      </c>
      <c r="I17" s="2" t="s">
        <v>211</v>
      </c>
      <c r="J17" s="2" t="s">
        <v>149</v>
      </c>
    </row>
    <row r="18" spans="1:10" x14ac:dyDescent="0.15">
      <c r="A18" s="1">
        <v>16</v>
      </c>
      <c r="B18" s="2" t="s">
        <v>165</v>
      </c>
      <c r="C18" s="2" t="s">
        <v>164</v>
      </c>
      <c r="D18" s="8"/>
      <c r="E18" s="2">
        <v>1</v>
      </c>
      <c r="F18" s="2">
        <v>1</v>
      </c>
      <c r="G18" s="6"/>
      <c r="H18" s="6">
        <f t="shared" si="0"/>
        <v>0</v>
      </c>
      <c r="I18" s="2" t="s">
        <v>211</v>
      </c>
      <c r="J18" s="2" t="s">
        <v>149</v>
      </c>
    </row>
    <row r="19" spans="1:10" x14ac:dyDescent="0.15">
      <c r="A19" s="1">
        <v>17</v>
      </c>
      <c r="B19" s="2" t="s">
        <v>163</v>
      </c>
      <c r="C19" s="2" t="s">
        <v>162</v>
      </c>
      <c r="D19" s="8"/>
      <c r="E19" s="2">
        <v>1</v>
      </c>
      <c r="F19" s="2">
        <v>1</v>
      </c>
      <c r="G19" s="6"/>
      <c r="H19" s="6">
        <f t="shared" si="0"/>
        <v>0</v>
      </c>
      <c r="I19" s="2" t="s">
        <v>211</v>
      </c>
      <c r="J19" s="2" t="s">
        <v>149</v>
      </c>
    </row>
    <row r="20" spans="1:10" x14ac:dyDescent="0.15">
      <c r="A20" s="1">
        <v>18</v>
      </c>
      <c r="B20" s="2" t="s">
        <v>161</v>
      </c>
      <c r="C20" s="2" t="s">
        <v>160</v>
      </c>
      <c r="D20" s="8"/>
      <c r="E20" s="2">
        <v>1</v>
      </c>
      <c r="F20" s="2">
        <v>1</v>
      </c>
      <c r="G20" s="6"/>
      <c r="H20" s="6">
        <f t="shared" si="0"/>
        <v>0</v>
      </c>
      <c r="I20" s="2" t="s">
        <v>211</v>
      </c>
      <c r="J20" s="2" t="s">
        <v>149</v>
      </c>
    </row>
    <row r="21" spans="1:10" x14ac:dyDescent="0.15">
      <c r="A21" s="1">
        <v>19</v>
      </c>
      <c r="B21" s="2" t="s">
        <v>159</v>
      </c>
      <c r="C21" s="2" t="s">
        <v>158</v>
      </c>
      <c r="D21" s="8"/>
      <c r="E21" s="2">
        <v>1</v>
      </c>
      <c r="F21" s="2">
        <v>1</v>
      </c>
      <c r="G21" s="6"/>
      <c r="H21" s="6">
        <f t="shared" si="0"/>
        <v>0</v>
      </c>
      <c r="I21" s="2" t="s">
        <v>211</v>
      </c>
      <c r="J21" s="2" t="s">
        <v>149</v>
      </c>
    </row>
    <row r="22" spans="1:10" x14ac:dyDescent="0.15">
      <c r="A22" s="1">
        <v>20</v>
      </c>
      <c r="B22" s="2" t="s">
        <v>157</v>
      </c>
      <c r="C22" s="2" t="s">
        <v>156</v>
      </c>
      <c r="D22" s="8"/>
      <c r="E22" s="2">
        <v>1</v>
      </c>
      <c r="F22" s="2">
        <v>1</v>
      </c>
      <c r="G22" s="6"/>
      <c r="H22" s="6">
        <f t="shared" si="0"/>
        <v>0</v>
      </c>
      <c r="I22" s="2" t="s">
        <v>211</v>
      </c>
      <c r="J22" s="2" t="s">
        <v>149</v>
      </c>
    </row>
    <row r="23" spans="1:10" x14ac:dyDescent="0.15">
      <c r="A23" s="1">
        <v>21</v>
      </c>
      <c r="B23" s="2" t="s">
        <v>155</v>
      </c>
      <c r="C23" s="2" t="s">
        <v>154</v>
      </c>
      <c r="D23" s="8"/>
      <c r="E23" s="2">
        <v>1</v>
      </c>
      <c r="F23" s="2">
        <v>1</v>
      </c>
      <c r="G23" s="6"/>
      <c r="H23" s="6">
        <f t="shared" si="0"/>
        <v>0</v>
      </c>
      <c r="I23" s="2" t="s">
        <v>211</v>
      </c>
      <c r="J23" s="2" t="s">
        <v>149</v>
      </c>
    </row>
    <row r="24" spans="1:10" x14ac:dyDescent="0.15">
      <c r="A24" s="1">
        <v>22</v>
      </c>
      <c r="B24" s="2" t="s">
        <v>153</v>
      </c>
      <c r="C24" s="2" t="s">
        <v>152</v>
      </c>
      <c r="D24" s="8"/>
      <c r="E24" s="2">
        <v>1</v>
      </c>
      <c r="F24" s="2">
        <v>1</v>
      </c>
      <c r="G24" s="6"/>
      <c r="H24" s="6">
        <f t="shared" si="0"/>
        <v>0</v>
      </c>
      <c r="I24" s="2" t="s">
        <v>211</v>
      </c>
      <c r="J24" s="2" t="s">
        <v>149</v>
      </c>
    </row>
    <row r="25" spans="1:10" x14ac:dyDescent="0.15">
      <c r="A25" s="1">
        <v>23</v>
      </c>
      <c r="B25" s="2" t="s">
        <v>151</v>
      </c>
      <c r="C25" s="2" t="s">
        <v>150</v>
      </c>
      <c r="D25" s="8"/>
      <c r="E25" s="2">
        <v>1</v>
      </c>
      <c r="F25" s="2">
        <v>1</v>
      </c>
      <c r="G25" s="6"/>
      <c r="H25" s="6">
        <f t="shared" si="0"/>
        <v>0</v>
      </c>
      <c r="I25" s="2" t="s">
        <v>211</v>
      </c>
      <c r="J25" s="2" t="s">
        <v>149</v>
      </c>
    </row>
    <row r="26" spans="1:10" x14ac:dyDescent="0.15">
      <c r="A26" s="1">
        <v>24</v>
      </c>
      <c r="B26" s="2" t="s">
        <v>148</v>
      </c>
      <c r="C26" s="2" t="s">
        <v>147</v>
      </c>
      <c r="D26" s="8" t="s">
        <v>204</v>
      </c>
      <c r="E26" s="2">
        <v>1</v>
      </c>
      <c r="F26" s="2">
        <v>1</v>
      </c>
      <c r="G26" s="6"/>
      <c r="H26" s="6">
        <f t="shared" si="0"/>
        <v>0</v>
      </c>
      <c r="I26" s="2" t="s">
        <v>211</v>
      </c>
      <c r="J26" s="2" t="s">
        <v>146</v>
      </c>
    </row>
    <row r="27" spans="1:10" x14ac:dyDescent="0.15">
      <c r="A27" s="1">
        <v>25</v>
      </c>
      <c r="B27" s="2" t="s">
        <v>145</v>
      </c>
      <c r="C27" s="2" t="s">
        <v>144</v>
      </c>
      <c r="D27" s="8" t="s">
        <v>136</v>
      </c>
      <c r="E27" s="2">
        <v>1</v>
      </c>
      <c r="F27" s="2">
        <v>1</v>
      </c>
      <c r="G27" s="6">
        <v>7810</v>
      </c>
      <c r="H27" s="6">
        <f t="shared" si="0"/>
        <v>7810</v>
      </c>
      <c r="I27" s="2" t="s">
        <v>213</v>
      </c>
      <c r="J27" s="2"/>
    </row>
    <row r="28" spans="1:10" x14ac:dyDescent="0.15">
      <c r="A28" s="1">
        <v>26</v>
      </c>
      <c r="B28" s="9" t="s">
        <v>221</v>
      </c>
      <c r="C28" s="2" t="s">
        <v>143</v>
      </c>
      <c r="D28" s="8" t="s">
        <v>136</v>
      </c>
      <c r="E28" s="2">
        <v>3</v>
      </c>
      <c r="F28" s="2">
        <v>3</v>
      </c>
      <c r="G28" s="6">
        <v>1593</v>
      </c>
      <c r="H28" s="6">
        <f t="shared" si="0"/>
        <v>4779</v>
      </c>
      <c r="I28" s="2" t="s">
        <v>213</v>
      </c>
      <c r="J28" s="9"/>
    </row>
    <row r="29" spans="1:10" x14ac:dyDescent="0.15">
      <c r="A29" s="1">
        <v>27</v>
      </c>
      <c r="B29" s="2" t="s">
        <v>142</v>
      </c>
      <c r="C29" s="2" t="s">
        <v>141</v>
      </c>
      <c r="D29" s="8" t="s">
        <v>136</v>
      </c>
      <c r="E29" s="2">
        <v>3</v>
      </c>
      <c r="F29" s="2">
        <v>3</v>
      </c>
      <c r="G29" s="6">
        <v>6005</v>
      </c>
      <c r="H29" s="6">
        <f t="shared" si="0"/>
        <v>18015</v>
      </c>
      <c r="I29" s="2" t="s">
        <v>213</v>
      </c>
      <c r="J29" s="2"/>
    </row>
    <row r="30" spans="1:10" x14ac:dyDescent="0.15">
      <c r="A30" s="1">
        <v>28</v>
      </c>
      <c r="B30" s="2" t="s">
        <v>140</v>
      </c>
      <c r="C30" s="2" t="s">
        <v>137</v>
      </c>
      <c r="D30" s="8" t="s">
        <v>136</v>
      </c>
      <c r="E30" s="2">
        <v>1</v>
      </c>
      <c r="F30" s="2">
        <v>1</v>
      </c>
      <c r="G30" s="6">
        <v>4210</v>
      </c>
      <c r="H30" s="6">
        <f t="shared" si="0"/>
        <v>4210</v>
      </c>
      <c r="I30" s="2" t="s">
        <v>213</v>
      </c>
      <c r="J30" s="2"/>
    </row>
    <row r="31" spans="1:10" x14ac:dyDescent="0.15">
      <c r="A31" s="1">
        <v>29</v>
      </c>
      <c r="B31" s="10" t="s">
        <v>219</v>
      </c>
      <c r="C31" s="2" t="s">
        <v>137</v>
      </c>
      <c r="D31" s="8" t="s">
        <v>136</v>
      </c>
      <c r="E31" s="2">
        <v>1</v>
      </c>
      <c r="F31" s="2">
        <v>1</v>
      </c>
      <c r="G31" s="6">
        <v>8555</v>
      </c>
      <c r="H31" s="6">
        <f t="shared" si="0"/>
        <v>8555</v>
      </c>
      <c r="I31" s="2" t="s">
        <v>213</v>
      </c>
      <c r="J31" s="9"/>
    </row>
    <row r="32" spans="1:10" x14ac:dyDescent="0.15">
      <c r="A32" s="1">
        <v>30</v>
      </c>
      <c r="B32" s="2" t="s">
        <v>139</v>
      </c>
      <c r="C32" s="2" t="s">
        <v>137</v>
      </c>
      <c r="D32" s="8" t="s">
        <v>136</v>
      </c>
      <c r="E32" s="2">
        <v>1</v>
      </c>
      <c r="F32" s="2">
        <v>1</v>
      </c>
      <c r="G32" s="6">
        <v>4145</v>
      </c>
      <c r="H32" s="6">
        <f t="shared" si="0"/>
        <v>4145</v>
      </c>
      <c r="I32" s="2" t="s">
        <v>213</v>
      </c>
      <c r="J32" s="2"/>
    </row>
    <row r="33" spans="1:11" x14ac:dyDescent="0.15">
      <c r="A33" s="1">
        <v>31</v>
      </c>
      <c r="B33" s="2" t="s">
        <v>138</v>
      </c>
      <c r="C33" s="2" t="s">
        <v>137</v>
      </c>
      <c r="D33" s="8" t="s">
        <v>136</v>
      </c>
      <c r="E33" s="2">
        <v>1</v>
      </c>
      <c r="F33" s="2">
        <v>1</v>
      </c>
      <c r="G33" s="6">
        <v>5315</v>
      </c>
      <c r="H33" s="6">
        <f t="shared" si="0"/>
        <v>5315</v>
      </c>
      <c r="I33" s="2" t="s">
        <v>213</v>
      </c>
      <c r="J33" s="2"/>
    </row>
    <row r="34" spans="1:11" x14ac:dyDescent="0.15">
      <c r="A34" s="1">
        <v>32</v>
      </c>
      <c r="B34" s="2" t="s">
        <v>135</v>
      </c>
      <c r="C34" s="2" t="s">
        <v>134</v>
      </c>
      <c r="D34" s="8" t="s">
        <v>123</v>
      </c>
      <c r="E34" s="2">
        <v>1</v>
      </c>
      <c r="F34" s="2">
        <v>1</v>
      </c>
      <c r="G34" s="6">
        <v>29000</v>
      </c>
      <c r="H34" s="6">
        <f t="shared" si="0"/>
        <v>29000</v>
      </c>
      <c r="I34" s="2" t="s">
        <v>217</v>
      </c>
      <c r="J34" s="2"/>
    </row>
    <row r="35" spans="1:11" x14ac:dyDescent="0.15">
      <c r="A35" s="1">
        <v>33</v>
      </c>
      <c r="B35" s="2" t="s">
        <v>203</v>
      </c>
      <c r="C35" s="2" t="s">
        <v>133</v>
      </c>
      <c r="D35" s="8" t="s">
        <v>123</v>
      </c>
      <c r="E35" s="2">
        <v>1</v>
      </c>
      <c r="F35" s="2">
        <v>1</v>
      </c>
      <c r="G35" s="6">
        <v>8800</v>
      </c>
      <c r="H35" s="6">
        <f t="shared" si="0"/>
        <v>8800</v>
      </c>
      <c r="I35" s="2" t="s">
        <v>217</v>
      </c>
      <c r="J35" s="2"/>
    </row>
    <row r="36" spans="1:11" x14ac:dyDescent="0.15">
      <c r="A36" s="1">
        <v>34</v>
      </c>
      <c r="B36" s="2" t="s">
        <v>132</v>
      </c>
      <c r="C36" s="2" t="s">
        <v>131</v>
      </c>
      <c r="D36" s="8" t="s">
        <v>130</v>
      </c>
      <c r="E36" s="2">
        <v>1</v>
      </c>
      <c r="F36" s="2">
        <v>1</v>
      </c>
      <c r="G36" s="6">
        <v>4090</v>
      </c>
      <c r="H36" s="6">
        <f t="shared" ref="H36:H67" si="1">F36*G36</f>
        <v>4090</v>
      </c>
      <c r="I36" s="2" t="s">
        <v>213</v>
      </c>
      <c r="J36" s="2"/>
    </row>
    <row r="37" spans="1:11" x14ac:dyDescent="0.15">
      <c r="A37" s="1">
        <v>35</v>
      </c>
      <c r="B37" s="2" t="s">
        <v>129</v>
      </c>
      <c r="C37" s="2" t="s">
        <v>128</v>
      </c>
      <c r="D37" s="8" t="s">
        <v>123</v>
      </c>
      <c r="E37" s="2">
        <v>1</v>
      </c>
      <c r="F37" s="2">
        <v>1</v>
      </c>
      <c r="G37" s="6">
        <v>8800</v>
      </c>
      <c r="H37" s="6">
        <f t="shared" si="1"/>
        <v>8800</v>
      </c>
      <c r="I37" s="2" t="s">
        <v>217</v>
      </c>
      <c r="J37" s="2"/>
    </row>
    <row r="38" spans="1:11" x14ac:dyDescent="0.15">
      <c r="A38" s="1">
        <v>36</v>
      </c>
      <c r="B38" s="2" t="s">
        <v>127</v>
      </c>
      <c r="C38" s="2" t="s">
        <v>126</v>
      </c>
      <c r="D38" s="8" t="s">
        <v>123</v>
      </c>
      <c r="E38" s="2">
        <v>1</v>
      </c>
      <c r="F38" s="2">
        <v>1</v>
      </c>
      <c r="G38" s="6">
        <v>8000</v>
      </c>
      <c r="H38" s="6">
        <f t="shared" si="1"/>
        <v>8000</v>
      </c>
      <c r="I38" s="2" t="s">
        <v>217</v>
      </c>
      <c r="J38" s="2"/>
    </row>
    <row r="39" spans="1:11" x14ac:dyDescent="0.15">
      <c r="A39" s="1">
        <v>37</v>
      </c>
      <c r="B39" s="2" t="s">
        <v>125</v>
      </c>
      <c r="C39" s="2" t="s">
        <v>124</v>
      </c>
      <c r="D39" s="8" t="s">
        <v>123</v>
      </c>
      <c r="E39" s="2">
        <v>1</v>
      </c>
      <c r="F39" s="2">
        <v>1</v>
      </c>
      <c r="G39" s="6">
        <v>100</v>
      </c>
      <c r="H39" s="6">
        <f t="shared" si="1"/>
        <v>100</v>
      </c>
      <c r="I39" s="2" t="s">
        <v>217</v>
      </c>
      <c r="J39" s="2"/>
    </row>
    <row r="40" spans="1:11" x14ac:dyDescent="0.15">
      <c r="A40" s="1">
        <v>38</v>
      </c>
      <c r="B40" s="2" t="s">
        <v>122</v>
      </c>
      <c r="C40" s="2" t="s">
        <v>121</v>
      </c>
      <c r="D40" s="8" t="s">
        <v>120</v>
      </c>
      <c r="E40" s="2">
        <v>1</v>
      </c>
      <c r="F40" s="2">
        <v>1</v>
      </c>
      <c r="G40" s="6">
        <v>4420</v>
      </c>
      <c r="H40" s="6">
        <f t="shared" si="1"/>
        <v>4420</v>
      </c>
      <c r="I40" s="2" t="s">
        <v>213</v>
      </c>
      <c r="J40" s="2"/>
      <c r="K40" s="1" t="s">
        <v>208</v>
      </c>
    </row>
    <row r="41" spans="1:11" x14ac:dyDescent="0.15">
      <c r="A41" s="1">
        <v>39</v>
      </c>
      <c r="B41" s="2" t="s">
        <v>207</v>
      </c>
      <c r="C41" s="2" t="s">
        <v>119</v>
      </c>
      <c r="D41" s="8" t="s">
        <v>96</v>
      </c>
      <c r="E41" s="2">
        <v>2</v>
      </c>
      <c r="F41" s="2">
        <v>5</v>
      </c>
      <c r="G41" s="6">
        <v>544</v>
      </c>
      <c r="H41" s="6">
        <f t="shared" si="1"/>
        <v>2720</v>
      </c>
      <c r="I41" s="2" t="s">
        <v>216</v>
      </c>
      <c r="J41" s="2" t="s">
        <v>220</v>
      </c>
      <c r="K41" s="1" t="s">
        <v>209</v>
      </c>
    </row>
    <row r="42" spans="1:11" x14ac:dyDescent="0.15">
      <c r="A42" s="1">
        <v>40</v>
      </c>
      <c r="B42" s="2" t="s">
        <v>118</v>
      </c>
      <c r="C42" s="2" t="s">
        <v>117</v>
      </c>
      <c r="D42" s="8" t="s">
        <v>96</v>
      </c>
      <c r="E42" s="2">
        <v>1</v>
      </c>
      <c r="F42" s="2">
        <v>1</v>
      </c>
      <c r="G42" s="6">
        <v>837</v>
      </c>
      <c r="H42" s="6">
        <f t="shared" si="1"/>
        <v>837</v>
      </c>
      <c r="I42" s="2" t="s">
        <v>216</v>
      </c>
      <c r="J42" s="2"/>
    </row>
    <row r="43" spans="1:11" x14ac:dyDescent="0.15">
      <c r="A43" s="1">
        <v>41</v>
      </c>
      <c r="B43" s="2" t="s">
        <v>116</v>
      </c>
      <c r="C43" s="2" t="s">
        <v>113</v>
      </c>
      <c r="D43" s="8" t="s">
        <v>110</v>
      </c>
      <c r="E43" s="2">
        <v>1</v>
      </c>
      <c r="F43" s="2">
        <v>1</v>
      </c>
      <c r="G43" s="6">
        <v>265</v>
      </c>
      <c r="H43" s="6">
        <f t="shared" si="1"/>
        <v>265</v>
      </c>
      <c r="I43" s="2" t="s">
        <v>213</v>
      </c>
      <c r="J43" s="2"/>
    </row>
    <row r="44" spans="1:11" x14ac:dyDescent="0.15">
      <c r="A44" s="1">
        <v>42</v>
      </c>
      <c r="B44" s="2" t="s">
        <v>115</v>
      </c>
      <c r="C44" s="2" t="s">
        <v>113</v>
      </c>
      <c r="D44" s="8" t="s">
        <v>110</v>
      </c>
      <c r="E44" s="2">
        <v>1</v>
      </c>
      <c r="F44" s="2">
        <v>1</v>
      </c>
      <c r="G44" s="6">
        <v>265</v>
      </c>
      <c r="H44" s="6">
        <f t="shared" si="1"/>
        <v>265</v>
      </c>
      <c r="I44" s="2" t="s">
        <v>213</v>
      </c>
      <c r="J44" s="2"/>
    </row>
    <row r="45" spans="1:11" x14ac:dyDescent="0.15">
      <c r="A45" s="1">
        <v>43</v>
      </c>
      <c r="B45" s="2" t="s">
        <v>114</v>
      </c>
      <c r="C45" s="2" t="s">
        <v>113</v>
      </c>
      <c r="D45" s="8" t="s">
        <v>110</v>
      </c>
      <c r="E45" s="2">
        <v>2</v>
      </c>
      <c r="F45" s="2">
        <v>2</v>
      </c>
      <c r="G45" s="6">
        <v>265</v>
      </c>
      <c r="H45" s="6">
        <f t="shared" si="1"/>
        <v>530</v>
      </c>
      <c r="I45" s="2" t="s">
        <v>213</v>
      </c>
      <c r="J45" s="2"/>
    </row>
    <row r="46" spans="1:11" x14ac:dyDescent="0.15">
      <c r="A46" s="1">
        <v>44</v>
      </c>
      <c r="B46" s="2" t="s">
        <v>112</v>
      </c>
      <c r="C46" s="2" t="s">
        <v>111</v>
      </c>
      <c r="D46" s="8" t="s">
        <v>110</v>
      </c>
      <c r="E46" s="2">
        <v>1</v>
      </c>
      <c r="F46" s="2">
        <v>1</v>
      </c>
      <c r="G46" s="6">
        <v>1545</v>
      </c>
      <c r="H46" s="6">
        <f t="shared" si="1"/>
        <v>1545</v>
      </c>
      <c r="I46" s="2" t="s">
        <v>213</v>
      </c>
      <c r="J46" s="2"/>
    </row>
    <row r="47" spans="1:11" x14ac:dyDescent="0.15">
      <c r="A47" s="1">
        <v>45</v>
      </c>
      <c r="B47" s="2" t="s">
        <v>109</v>
      </c>
      <c r="C47" s="2" t="s">
        <v>108</v>
      </c>
      <c r="D47" s="8" t="s">
        <v>104</v>
      </c>
      <c r="E47" s="2">
        <v>1</v>
      </c>
      <c r="F47" s="2">
        <v>1</v>
      </c>
      <c r="G47" s="6">
        <v>675</v>
      </c>
      <c r="H47" s="6">
        <f t="shared" si="1"/>
        <v>675</v>
      </c>
      <c r="I47" s="2" t="s">
        <v>213</v>
      </c>
      <c r="J47" s="2"/>
    </row>
    <row r="48" spans="1:11" x14ac:dyDescent="0.15">
      <c r="A48" s="1">
        <v>46</v>
      </c>
      <c r="B48" s="2" t="s">
        <v>107</v>
      </c>
      <c r="C48" s="2" t="s">
        <v>105</v>
      </c>
      <c r="D48" s="8" t="s">
        <v>104</v>
      </c>
      <c r="E48" s="2">
        <v>1</v>
      </c>
      <c r="F48" s="2">
        <v>1</v>
      </c>
      <c r="G48" s="6">
        <v>707</v>
      </c>
      <c r="H48" s="6">
        <f t="shared" si="1"/>
        <v>707</v>
      </c>
      <c r="I48" s="2" t="s">
        <v>213</v>
      </c>
      <c r="J48" s="2"/>
    </row>
    <row r="49" spans="1:10" x14ac:dyDescent="0.15">
      <c r="A49" s="1">
        <v>47</v>
      </c>
      <c r="B49" s="2" t="s">
        <v>106</v>
      </c>
      <c r="C49" s="2" t="s">
        <v>105</v>
      </c>
      <c r="D49" s="8" t="s">
        <v>104</v>
      </c>
      <c r="E49" s="2">
        <v>1</v>
      </c>
      <c r="F49" s="2">
        <v>1</v>
      </c>
      <c r="G49" s="6">
        <v>707</v>
      </c>
      <c r="H49" s="6">
        <f t="shared" si="1"/>
        <v>707</v>
      </c>
      <c r="I49" s="2" t="s">
        <v>213</v>
      </c>
      <c r="J49" s="2"/>
    </row>
    <row r="50" spans="1:10" x14ac:dyDescent="0.15">
      <c r="A50" s="1">
        <v>48</v>
      </c>
      <c r="B50" s="2" t="s">
        <v>103</v>
      </c>
      <c r="C50" s="2" t="s">
        <v>102</v>
      </c>
      <c r="D50" s="8" t="s">
        <v>96</v>
      </c>
      <c r="E50" s="2">
        <v>1</v>
      </c>
      <c r="F50" s="2">
        <v>1</v>
      </c>
      <c r="G50" s="6">
        <v>243</v>
      </c>
      <c r="H50" s="6">
        <f t="shared" si="1"/>
        <v>243</v>
      </c>
      <c r="I50" s="2" t="s">
        <v>216</v>
      </c>
      <c r="J50" s="2"/>
    </row>
    <row r="51" spans="1:10" x14ac:dyDescent="0.15">
      <c r="A51" s="1">
        <v>49</v>
      </c>
      <c r="B51" s="2" t="s">
        <v>101</v>
      </c>
      <c r="C51" s="2" t="s">
        <v>100</v>
      </c>
      <c r="D51" s="8" t="s">
        <v>99</v>
      </c>
      <c r="E51" s="2">
        <v>1</v>
      </c>
      <c r="F51" s="2">
        <v>1</v>
      </c>
      <c r="G51" s="6">
        <v>153</v>
      </c>
      <c r="H51" s="6">
        <f t="shared" si="1"/>
        <v>153</v>
      </c>
      <c r="I51" s="2" t="s">
        <v>213</v>
      </c>
      <c r="J51" s="2"/>
    </row>
    <row r="52" spans="1:10" x14ac:dyDescent="0.15">
      <c r="A52" s="1">
        <v>50</v>
      </c>
      <c r="B52" s="2" t="s">
        <v>98</v>
      </c>
      <c r="C52" s="2" t="s">
        <v>97</v>
      </c>
      <c r="D52" s="8" t="s">
        <v>96</v>
      </c>
      <c r="E52" s="2">
        <v>3</v>
      </c>
      <c r="F52" s="2">
        <v>3</v>
      </c>
      <c r="G52" s="6">
        <v>1323</v>
      </c>
      <c r="H52" s="6">
        <f t="shared" si="1"/>
        <v>3969</v>
      </c>
      <c r="I52" s="2" t="s">
        <v>216</v>
      </c>
      <c r="J52" s="2"/>
    </row>
    <row r="53" spans="1:10" x14ac:dyDescent="0.15">
      <c r="A53" s="1">
        <v>51</v>
      </c>
      <c r="B53" s="2" t="s">
        <v>95</v>
      </c>
      <c r="C53" s="2" t="s">
        <v>94</v>
      </c>
      <c r="D53" s="8" t="s">
        <v>93</v>
      </c>
      <c r="E53" s="2">
        <v>1</v>
      </c>
      <c r="F53" s="2">
        <v>1</v>
      </c>
      <c r="G53" s="6">
        <v>26</v>
      </c>
      <c r="H53" s="6">
        <f t="shared" si="1"/>
        <v>26</v>
      </c>
      <c r="I53" s="2" t="s">
        <v>213</v>
      </c>
      <c r="J53" s="2" t="s">
        <v>92</v>
      </c>
    </row>
    <row r="54" spans="1:10" x14ac:dyDescent="0.15">
      <c r="A54" s="1">
        <v>52</v>
      </c>
      <c r="B54" s="2" t="s">
        <v>91</v>
      </c>
      <c r="C54" s="2" t="s">
        <v>90</v>
      </c>
      <c r="D54" s="8" t="s">
        <v>89</v>
      </c>
      <c r="E54" s="2">
        <v>4</v>
      </c>
      <c r="F54" s="2">
        <v>4</v>
      </c>
      <c r="G54" s="6">
        <v>134</v>
      </c>
      <c r="H54" s="6">
        <f t="shared" si="1"/>
        <v>536</v>
      </c>
      <c r="I54" s="2" t="s">
        <v>213</v>
      </c>
      <c r="J54" s="2" t="s">
        <v>88</v>
      </c>
    </row>
    <row r="55" spans="1:10" x14ac:dyDescent="0.15">
      <c r="A55" s="1">
        <v>53</v>
      </c>
      <c r="B55" s="2" t="s">
        <v>87</v>
      </c>
      <c r="C55" s="2" t="s">
        <v>85</v>
      </c>
      <c r="D55" s="8" t="s">
        <v>47</v>
      </c>
      <c r="E55" s="2">
        <v>6</v>
      </c>
      <c r="F55" s="2">
        <v>6</v>
      </c>
      <c r="G55" s="6">
        <v>234</v>
      </c>
      <c r="H55" s="6">
        <f t="shared" si="1"/>
        <v>1404</v>
      </c>
      <c r="I55" s="2" t="s">
        <v>216</v>
      </c>
      <c r="J55" s="2"/>
    </row>
    <row r="56" spans="1:10" x14ac:dyDescent="0.15">
      <c r="A56" s="1">
        <v>54</v>
      </c>
      <c r="B56" s="2" t="s">
        <v>86</v>
      </c>
      <c r="C56" s="2" t="s">
        <v>85</v>
      </c>
      <c r="D56" s="8" t="s">
        <v>47</v>
      </c>
      <c r="E56" s="2">
        <v>1</v>
      </c>
      <c r="F56" s="2">
        <v>1</v>
      </c>
      <c r="G56" s="6">
        <v>243</v>
      </c>
      <c r="H56" s="6">
        <f t="shared" si="1"/>
        <v>243</v>
      </c>
      <c r="I56" s="2" t="s">
        <v>216</v>
      </c>
      <c r="J56" s="2"/>
    </row>
    <row r="57" spans="1:10" ht="13.5" customHeight="1" x14ac:dyDescent="0.15">
      <c r="A57" s="1">
        <v>55</v>
      </c>
      <c r="B57" s="2" t="s">
        <v>84</v>
      </c>
      <c r="C57" s="2" t="s">
        <v>83</v>
      </c>
      <c r="D57" s="8" t="s">
        <v>47</v>
      </c>
      <c r="E57" s="2">
        <v>1</v>
      </c>
      <c r="F57" s="2">
        <v>1</v>
      </c>
      <c r="G57" s="6">
        <v>576</v>
      </c>
      <c r="H57" s="6">
        <f t="shared" si="1"/>
        <v>576</v>
      </c>
      <c r="I57" s="2" t="s">
        <v>216</v>
      </c>
      <c r="J57" s="2" t="s">
        <v>82</v>
      </c>
    </row>
    <row r="58" spans="1:10" ht="27" x14ac:dyDescent="0.15">
      <c r="A58" s="1">
        <v>56</v>
      </c>
      <c r="B58" s="4" t="s">
        <v>81</v>
      </c>
      <c r="C58" s="2" t="s">
        <v>80</v>
      </c>
      <c r="D58" s="8" t="s">
        <v>47</v>
      </c>
      <c r="E58" s="2">
        <v>1</v>
      </c>
      <c r="F58" s="2">
        <v>1</v>
      </c>
      <c r="G58" s="6">
        <v>1090</v>
      </c>
      <c r="H58" s="6">
        <f t="shared" si="1"/>
        <v>1090</v>
      </c>
      <c r="I58" s="2" t="s">
        <v>216</v>
      </c>
      <c r="J58" s="2" t="s">
        <v>79</v>
      </c>
    </row>
    <row r="59" spans="1:10" x14ac:dyDescent="0.15">
      <c r="A59" s="1">
        <v>57</v>
      </c>
      <c r="B59" s="2" t="s">
        <v>78</v>
      </c>
      <c r="C59" s="2" t="s">
        <v>75</v>
      </c>
      <c r="D59" s="8"/>
      <c r="E59" s="2">
        <v>1</v>
      </c>
      <c r="F59" s="2">
        <v>1</v>
      </c>
      <c r="G59" s="6">
        <v>7</v>
      </c>
      <c r="H59" s="6">
        <f t="shared" si="1"/>
        <v>7</v>
      </c>
      <c r="I59" s="2" t="s">
        <v>213</v>
      </c>
      <c r="J59" s="2" t="s">
        <v>77</v>
      </c>
    </row>
    <row r="60" spans="1:10" x14ac:dyDescent="0.15">
      <c r="A60" s="1">
        <v>58</v>
      </c>
      <c r="B60" s="2" t="s">
        <v>76</v>
      </c>
      <c r="C60" s="2" t="s">
        <v>75</v>
      </c>
      <c r="D60" s="8"/>
      <c r="E60" s="2">
        <v>1</v>
      </c>
      <c r="F60" s="2">
        <v>1</v>
      </c>
      <c r="G60" s="6">
        <v>10</v>
      </c>
      <c r="H60" s="6">
        <f t="shared" si="1"/>
        <v>10</v>
      </c>
      <c r="I60" s="2" t="s">
        <v>213</v>
      </c>
      <c r="J60" s="2" t="s">
        <v>74</v>
      </c>
    </row>
    <row r="61" spans="1:10" x14ac:dyDescent="0.15">
      <c r="A61" s="1">
        <v>59</v>
      </c>
      <c r="B61" s="2" t="s">
        <v>73</v>
      </c>
      <c r="C61" s="2" t="s">
        <v>72</v>
      </c>
      <c r="D61" s="8" t="s">
        <v>47</v>
      </c>
      <c r="E61" s="2">
        <v>1</v>
      </c>
      <c r="F61" s="2">
        <v>1</v>
      </c>
      <c r="G61" s="6">
        <v>414</v>
      </c>
      <c r="H61" s="6">
        <f t="shared" si="1"/>
        <v>414</v>
      </c>
      <c r="I61" s="2" t="s">
        <v>216</v>
      </c>
      <c r="J61" s="2"/>
    </row>
    <row r="62" spans="1:10" x14ac:dyDescent="0.15">
      <c r="A62" s="1">
        <v>60</v>
      </c>
      <c r="B62" s="2" t="s">
        <v>71</v>
      </c>
      <c r="C62" s="2" t="s">
        <v>70</v>
      </c>
      <c r="D62" s="8" t="s">
        <v>47</v>
      </c>
      <c r="E62" s="2">
        <v>1</v>
      </c>
      <c r="F62" s="2">
        <v>1</v>
      </c>
      <c r="G62" s="6">
        <v>549</v>
      </c>
      <c r="H62" s="6">
        <f t="shared" si="1"/>
        <v>549</v>
      </c>
      <c r="I62" s="2" t="s">
        <v>216</v>
      </c>
      <c r="J62" s="2"/>
    </row>
    <row r="63" spans="1:10" x14ac:dyDescent="0.15">
      <c r="A63" s="1">
        <v>61</v>
      </c>
      <c r="B63" s="2" t="s">
        <v>69</v>
      </c>
      <c r="C63" s="2" t="s">
        <v>68</v>
      </c>
      <c r="D63" s="8" t="s">
        <v>47</v>
      </c>
      <c r="E63" s="2">
        <v>1</v>
      </c>
      <c r="F63" s="2">
        <v>1</v>
      </c>
      <c r="G63" s="6">
        <v>1368</v>
      </c>
      <c r="H63" s="6">
        <f t="shared" si="1"/>
        <v>1368</v>
      </c>
      <c r="I63" s="2" t="s">
        <v>216</v>
      </c>
      <c r="J63" s="2"/>
    </row>
    <row r="64" spans="1:10" x14ac:dyDescent="0.15">
      <c r="A64" s="1">
        <v>62</v>
      </c>
      <c r="B64" s="2" t="s">
        <v>67</v>
      </c>
      <c r="C64" s="2" t="s">
        <v>66</v>
      </c>
      <c r="D64" s="8" t="s">
        <v>47</v>
      </c>
      <c r="E64" s="2">
        <v>1</v>
      </c>
      <c r="F64" s="2">
        <v>1</v>
      </c>
      <c r="G64" s="6">
        <v>1485</v>
      </c>
      <c r="H64" s="6">
        <f t="shared" si="1"/>
        <v>1485</v>
      </c>
      <c r="I64" s="2" t="s">
        <v>216</v>
      </c>
      <c r="J64" s="2"/>
    </row>
    <row r="65" spans="1:10" x14ac:dyDescent="0.15">
      <c r="A65" s="1">
        <v>63</v>
      </c>
      <c r="B65" s="2" t="s">
        <v>65</v>
      </c>
      <c r="C65" s="2" t="s">
        <v>64</v>
      </c>
      <c r="D65" s="8" t="s">
        <v>47</v>
      </c>
      <c r="E65" s="2">
        <v>1</v>
      </c>
      <c r="F65" s="2">
        <v>1</v>
      </c>
      <c r="G65" s="6">
        <v>1953</v>
      </c>
      <c r="H65" s="6">
        <f t="shared" si="1"/>
        <v>1953</v>
      </c>
      <c r="I65" s="2" t="s">
        <v>216</v>
      </c>
      <c r="J65" s="2"/>
    </row>
    <row r="66" spans="1:10" x14ac:dyDescent="0.15">
      <c r="A66" s="1">
        <v>64</v>
      </c>
      <c r="B66" s="2" t="s">
        <v>63</v>
      </c>
      <c r="C66" s="2" t="s">
        <v>62</v>
      </c>
      <c r="D66" s="8" t="s">
        <v>47</v>
      </c>
      <c r="E66" s="2">
        <v>5</v>
      </c>
      <c r="F66" s="2">
        <v>5</v>
      </c>
      <c r="G66" s="6">
        <v>506</v>
      </c>
      <c r="H66" s="6">
        <f t="shared" si="1"/>
        <v>2530</v>
      </c>
      <c r="I66" s="2" t="s">
        <v>216</v>
      </c>
      <c r="J66" s="2"/>
    </row>
    <row r="67" spans="1:10" x14ac:dyDescent="0.15">
      <c r="A67" s="1">
        <v>65</v>
      </c>
      <c r="B67" s="2" t="s">
        <v>61</v>
      </c>
      <c r="C67" s="2" t="s">
        <v>60</v>
      </c>
      <c r="D67" s="8" t="s">
        <v>47</v>
      </c>
      <c r="E67" s="2">
        <v>1</v>
      </c>
      <c r="F67" s="2">
        <v>1</v>
      </c>
      <c r="G67" s="6">
        <v>171</v>
      </c>
      <c r="H67" s="6">
        <f t="shared" si="1"/>
        <v>171</v>
      </c>
      <c r="I67" s="2" t="s">
        <v>216</v>
      </c>
      <c r="J67" s="2"/>
    </row>
    <row r="68" spans="1:10" x14ac:dyDescent="0.15">
      <c r="A68" s="1">
        <v>66</v>
      </c>
      <c r="B68" s="2" t="s">
        <v>59</v>
      </c>
      <c r="C68" s="2" t="s">
        <v>58</v>
      </c>
      <c r="D68" s="8" t="s">
        <v>47</v>
      </c>
      <c r="E68" s="2">
        <v>1</v>
      </c>
      <c r="F68" s="2">
        <v>1</v>
      </c>
      <c r="G68" s="6">
        <v>180</v>
      </c>
      <c r="H68" s="6">
        <f t="shared" ref="H68:H99" si="2">F68*G68</f>
        <v>180</v>
      </c>
      <c r="I68" s="2" t="s">
        <v>216</v>
      </c>
      <c r="J68" s="2"/>
    </row>
    <row r="69" spans="1:10" x14ac:dyDescent="0.15">
      <c r="A69" s="1">
        <v>67</v>
      </c>
      <c r="B69" s="2" t="s">
        <v>57</v>
      </c>
      <c r="C69" s="2" t="s">
        <v>55</v>
      </c>
      <c r="D69" s="8" t="s">
        <v>47</v>
      </c>
      <c r="E69" s="2">
        <v>1</v>
      </c>
      <c r="F69" s="2">
        <v>1</v>
      </c>
      <c r="G69" s="6">
        <v>1665</v>
      </c>
      <c r="H69" s="6">
        <f t="shared" si="2"/>
        <v>1665</v>
      </c>
      <c r="I69" s="2" t="s">
        <v>216</v>
      </c>
      <c r="J69" s="2" t="s">
        <v>54</v>
      </c>
    </row>
    <row r="70" spans="1:10" x14ac:dyDescent="0.15">
      <c r="A70" s="1">
        <v>68</v>
      </c>
      <c r="B70" s="2" t="s">
        <v>56</v>
      </c>
      <c r="C70" s="2" t="s">
        <v>55</v>
      </c>
      <c r="D70" s="8" t="s">
        <v>47</v>
      </c>
      <c r="E70" s="2">
        <v>1</v>
      </c>
      <c r="F70" s="2">
        <v>1</v>
      </c>
      <c r="G70" s="6">
        <v>6471</v>
      </c>
      <c r="H70" s="6">
        <f t="shared" si="2"/>
        <v>6471</v>
      </c>
      <c r="I70" s="2" t="s">
        <v>216</v>
      </c>
      <c r="J70" s="2" t="s">
        <v>54</v>
      </c>
    </row>
    <row r="71" spans="1:10" x14ac:dyDescent="0.15">
      <c r="A71" s="1">
        <v>69</v>
      </c>
      <c r="B71" s="2" t="s">
        <v>53</v>
      </c>
      <c r="C71" s="2" t="s">
        <v>52</v>
      </c>
      <c r="D71" s="8" t="s">
        <v>47</v>
      </c>
      <c r="E71" s="2">
        <v>7</v>
      </c>
      <c r="F71" s="2">
        <v>7</v>
      </c>
      <c r="G71" s="6">
        <v>44</v>
      </c>
      <c r="H71" s="6">
        <f t="shared" si="2"/>
        <v>308</v>
      </c>
      <c r="I71" s="2" t="s">
        <v>216</v>
      </c>
      <c r="J71" s="2"/>
    </row>
    <row r="72" spans="1:10" x14ac:dyDescent="0.15">
      <c r="A72" s="1">
        <v>70</v>
      </c>
      <c r="B72" s="2" t="s">
        <v>51</v>
      </c>
      <c r="C72" s="2" t="s">
        <v>50</v>
      </c>
      <c r="D72" s="8" t="s">
        <v>47</v>
      </c>
      <c r="E72" s="2">
        <v>10</v>
      </c>
      <c r="F72" s="2">
        <v>10</v>
      </c>
      <c r="G72" s="6">
        <v>46</v>
      </c>
      <c r="H72" s="6">
        <f t="shared" si="2"/>
        <v>460</v>
      </c>
      <c r="I72" s="2" t="s">
        <v>216</v>
      </c>
      <c r="J72" s="2"/>
    </row>
    <row r="73" spans="1:10" x14ac:dyDescent="0.15">
      <c r="A73" s="1">
        <v>71</v>
      </c>
      <c r="B73" s="2" t="s">
        <v>49</v>
      </c>
      <c r="C73" s="2" t="s">
        <v>48</v>
      </c>
      <c r="D73" s="8" t="s">
        <v>47</v>
      </c>
      <c r="E73" s="2">
        <v>2</v>
      </c>
      <c r="F73" s="2">
        <v>2</v>
      </c>
      <c r="G73" s="6">
        <v>41</v>
      </c>
      <c r="H73" s="6">
        <f t="shared" si="2"/>
        <v>82</v>
      </c>
      <c r="I73" s="2" t="s">
        <v>216</v>
      </c>
      <c r="J73" s="2"/>
    </row>
    <row r="74" spans="1:10" x14ac:dyDescent="0.15">
      <c r="A74" s="1">
        <v>72</v>
      </c>
      <c r="B74" s="2" t="s">
        <v>46</v>
      </c>
      <c r="C74" s="2" t="s">
        <v>45</v>
      </c>
      <c r="D74" s="8" t="s">
        <v>38</v>
      </c>
      <c r="E74" s="2">
        <v>13</v>
      </c>
      <c r="F74" s="2">
        <v>13</v>
      </c>
      <c r="G74" s="6">
        <v>372</v>
      </c>
      <c r="H74" s="6">
        <f t="shared" si="2"/>
        <v>4836</v>
      </c>
      <c r="I74" s="2" t="s">
        <v>213</v>
      </c>
      <c r="J74" s="2"/>
    </row>
    <row r="75" spans="1:10" x14ac:dyDescent="0.15">
      <c r="A75" s="1">
        <v>73</v>
      </c>
      <c r="B75" s="2" t="s">
        <v>44</v>
      </c>
      <c r="C75" s="2" t="s">
        <v>43</v>
      </c>
      <c r="D75" s="8" t="s">
        <v>38</v>
      </c>
      <c r="E75" s="2">
        <v>2</v>
      </c>
      <c r="F75" s="2">
        <v>10</v>
      </c>
      <c r="G75" s="6">
        <v>140</v>
      </c>
      <c r="H75" s="6">
        <f t="shared" si="2"/>
        <v>1400</v>
      </c>
      <c r="I75" s="2" t="s">
        <v>213</v>
      </c>
      <c r="J75" s="2" t="s">
        <v>218</v>
      </c>
    </row>
    <row r="76" spans="1:10" x14ac:dyDescent="0.15">
      <c r="A76" s="1">
        <v>74</v>
      </c>
      <c r="B76" s="2" t="s">
        <v>42</v>
      </c>
      <c r="C76" s="2" t="s">
        <v>41</v>
      </c>
      <c r="D76" s="8" t="s">
        <v>38</v>
      </c>
      <c r="E76" s="2">
        <v>6</v>
      </c>
      <c r="F76" s="2">
        <v>10</v>
      </c>
      <c r="G76" s="6">
        <v>153</v>
      </c>
      <c r="H76" s="6">
        <f t="shared" si="2"/>
        <v>1530</v>
      </c>
      <c r="I76" s="2" t="s">
        <v>213</v>
      </c>
      <c r="J76" s="2" t="s">
        <v>218</v>
      </c>
    </row>
    <row r="77" spans="1:10" x14ac:dyDescent="0.15">
      <c r="A77" s="1">
        <v>75</v>
      </c>
      <c r="B77" s="2" t="s">
        <v>40</v>
      </c>
      <c r="C77" s="2" t="s">
        <v>39</v>
      </c>
      <c r="D77" s="8" t="s">
        <v>38</v>
      </c>
      <c r="E77" s="2">
        <v>1</v>
      </c>
      <c r="F77" s="2">
        <v>1</v>
      </c>
      <c r="G77" s="6">
        <v>638</v>
      </c>
      <c r="H77" s="6">
        <f t="shared" si="2"/>
        <v>638</v>
      </c>
      <c r="I77" s="2" t="s">
        <v>213</v>
      </c>
      <c r="J77" s="2"/>
    </row>
    <row r="78" spans="1:10" x14ac:dyDescent="0.15">
      <c r="A78" s="1">
        <v>76</v>
      </c>
      <c r="B78" s="2" t="s">
        <v>37</v>
      </c>
      <c r="C78" s="2" t="s">
        <v>36</v>
      </c>
      <c r="D78" s="8" t="s">
        <v>25</v>
      </c>
      <c r="E78" s="2">
        <v>1</v>
      </c>
      <c r="F78" s="2">
        <v>1</v>
      </c>
      <c r="G78" s="6">
        <v>295</v>
      </c>
      <c r="H78" s="6">
        <f t="shared" si="2"/>
        <v>295</v>
      </c>
      <c r="I78" s="2" t="s">
        <v>213</v>
      </c>
      <c r="J78" s="2"/>
    </row>
    <row r="79" spans="1:10" x14ac:dyDescent="0.15">
      <c r="A79" s="1">
        <v>77</v>
      </c>
      <c r="B79" s="2" t="s">
        <v>35</v>
      </c>
      <c r="C79" s="2" t="s">
        <v>34</v>
      </c>
      <c r="D79" s="8" t="s">
        <v>25</v>
      </c>
      <c r="E79" s="2">
        <v>3</v>
      </c>
      <c r="F79" s="2">
        <v>3</v>
      </c>
      <c r="G79" s="6">
        <v>200</v>
      </c>
      <c r="H79" s="6">
        <f t="shared" si="2"/>
        <v>600</v>
      </c>
      <c r="I79" s="2" t="s">
        <v>213</v>
      </c>
      <c r="J79" s="2"/>
    </row>
    <row r="80" spans="1:10" x14ac:dyDescent="0.15">
      <c r="A80" s="1">
        <v>78</v>
      </c>
      <c r="B80" s="2" t="s">
        <v>33</v>
      </c>
      <c r="C80" s="2" t="s">
        <v>32</v>
      </c>
      <c r="D80" s="8" t="s">
        <v>25</v>
      </c>
      <c r="E80" s="2">
        <v>1</v>
      </c>
      <c r="F80" s="2">
        <v>1</v>
      </c>
      <c r="G80" s="6">
        <v>202</v>
      </c>
      <c r="H80" s="6">
        <f t="shared" si="2"/>
        <v>202</v>
      </c>
      <c r="I80" s="2" t="s">
        <v>213</v>
      </c>
      <c r="J80" s="2"/>
    </row>
    <row r="81" spans="1:10" x14ac:dyDescent="0.15">
      <c r="A81" s="1">
        <v>79</v>
      </c>
      <c r="B81" s="2" t="s">
        <v>31</v>
      </c>
      <c r="C81" s="2" t="s">
        <v>30</v>
      </c>
      <c r="D81" s="8" t="s">
        <v>25</v>
      </c>
      <c r="E81" s="2">
        <v>1</v>
      </c>
      <c r="F81" s="2">
        <v>1</v>
      </c>
      <c r="G81" s="6">
        <v>292</v>
      </c>
      <c r="H81" s="6">
        <f t="shared" si="2"/>
        <v>292</v>
      </c>
      <c r="I81" s="2" t="s">
        <v>213</v>
      </c>
      <c r="J81" s="2"/>
    </row>
    <row r="82" spans="1:10" x14ac:dyDescent="0.15">
      <c r="A82" s="1">
        <v>80</v>
      </c>
      <c r="B82" s="2" t="s">
        <v>29</v>
      </c>
      <c r="C82" s="2" t="s">
        <v>28</v>
      </c>
      <c r="D82" s="8" t="s">
        <v>25</v>
      </c>
      <c r="E82" s="2">
        <v>1</v>
      </c>
      <c r="F82" s="2">
        <v>1</v>
      </c>
      <c r="G82" s="6">
        <v>47</v>
      </c>
      <c r="H82" s="6">
        <f t="shared" si="2"/>
        <v>47</v>
      </c>
      <c r="I82" s="2" t="s">
        <v>213</v>
      </c>
      <c r="J82" s="2"/>
    </row>
    <row r="83" spans="1:10" x14ac:dyDescent="0.15">
      <c r="A83" s="1">
        <v>81</v>
      </c>
      <c r="B83" s="2" t="s">
        <v>27</v>
      </c>
      <c r="C83" s="2" t="s">
        <v>26</v>
      </c>
      <c r="D83" s="8" t="s">
        <v>25</v>
      </c>
      <c r="E83" s="2">
        <v>2</v>
      </c>
      <c r="F83" s="2">
        <v>2</v>
      </c>
      <c r="G83" s="6">
        <v>47</v>
      </c>
      <c r="H83" s="6">
        <f t="shared" si="2"/>
        <v>94</v>
      </c>
      <c r="I83" s="2" t="s">
        <v>213</v>
      </c>
      <c r="J83" s="2"/>
    </row>
    <row r="84" spans="1:10" x14ac:dyDescent="0.15">
      <c r="A84" s="1">
        <v>82</v>
      </c>
      <c r="B84" s="2" t="s">
        <v>24</v>
      </c>
      <c r="C84" s="2" t="s">
        <v>10</v>
      </c>
      <c r="D84" s="8"/>
      <c r="E84" s="2">
        <v>2</v>
      </c>
      <c r="F84" s="2"/>
      <c r="G84" s="6"/>
      <c r="H84" s="6">
        <f t="shared" si="2"/>
        <v>0</v>
      </c>
      <c r="I84" s="2" t="s">
        <v>215</v>
      </c>
      <c r="J84" s="2"/>
    </row>
    <row r="85" spans="1:10" x14ac:dyDescent="0.15">
      <c r="A85" s="1">
        <v>83</v>
      </c>
      <c r="B85" s="2" t="s">
        <v>23</v>
      </c>
      <c r="C85" s="2" t="s">
        <v>10</v>
      </c>
      <c r="D85" s="8"/>
      <c r="E85" s="2">
        <v>8</v>
      </c>
      <c r="F85" s="2"/>
      <c r="G85" s="6"/>
      <c r="H85" s="6">
        <f t="shared" si="2"/>
        <v>0</v>
      </c>
      <c r="I85" s="2" t="s">
        <v>214</v>
      </c>
      <c r="J85" s="2"/>
    </row>
    <row r="86" spans="1:10" x14ac:dyDescent="0.15">
      <c r="A86" s="1">
        <v>84</v>
      </c>
      <c r="B86" s="2" t="s">
        <v>22</v>
      </c>
      <c r="C86" s="2" t="s">
        <v>10</v>
      </c>
      <c r="D86" s="8"/>
      <c r="E86" s="2">
        <v>4</v>
      </c>
      <c r="F86" s="2"/>
      <c r="G86" s="6"/>
      <c r="H86" s="6">
        <f t="shared" si="2"/>
        <v>0</v>
      </c>
      <c r="I86" s="2" t="s">
        <v>214</v>
      </c>
      <c r="J86" s="2"/>
    </row>
    <row r="87" spans="1:10" x14ac:dyDescent="0.15">
      <c r="A87" s="1">
        <v>85</v>
      </c>
      <c r="B87" s="2" t="s">
        <v>21</v>
      </c>
      <c r="C87" s="2" t="s">
        <v>10</v>
      </c>
      <c r="D87" s="8"/>
      <c r="E87" s="2">
        <v>2</v>
      </c>
      <c r="F87" s="2"/>
      <c r="G87" s="6"/>
      <c r="H87" s="6">
        <f t="shared" si="2"/>
        <v>0</v>
      </c>
      <c r="I87" s="2" t="s">
        <v>214</v>
      </c>
      <c r="J87" s="2"/>
    </row>
    <row r="88" spans="1:10" x14ac:dyDescent="0.15">
      <c r="A88" s="1">
        <v>86</v>
      </c>
      <c r="B88" s="2" t="s">
        <v>20</v>
      </c>
      <c r="C88" s="2" t="s">
        <v>10</v>
      </c>
      <c r="D88" s="8"/>
      <c r="E88" s="2">
        <v>2</v>
      </c>
      <c r="F88" s="2"/>
      <c r="G88" s="6"/>
      <c r="H88" s="6">
        <f t="shared" si="2"/>
        <v>0</v>
      </c>
      <c r="I88" s="2" t="s">
        <v>214</v>
      </c>
      <c r="J88" s="2"/>
    </row>
    <row r="89" spans="1:10" x14ac:dyDescent="0.15">
      <c r="A89" s="1">
        <v>87</v>
      </c>
      <c r="B89" s="2" t="s">
        <v>19</v>
      </c>
      <c r="C89" s="2" t="s">
        <v>10</v>
      </c>
      <c r="D89" s="8"/>
      <c r="E89" s="2">
        <v>30</v>
      </c>
      <c r="F89" s="2"/>
      <c r="G89" s="6"/>
      <c r="H89" s="6">
        <f t="shared" si="2"/>
        <v>0</v>
      </c>
      <c r="I89" s="2" t="s">
        <v>214</v>
      </c>
      <c r="J89" s="2"/>
    </row>
    <row r="90" spans="1:10" x14ac:dyDescent="0.15">
      <c r="A90" s="1">
        <v>88</v>
      </c>
      <c r="B90" s="2" t="s">
        <v>18</v>
      </c>
      <c r="C90" s="2" t="s">
        <v>10</v>
      </c>
      <c r="D90" s="8"/>
      <c r="E90" s="2">
        <v>2</v>
      </c>
      <c r="F90" s="2"/>
      <c r="G90" s="6"/>
      <c r="H90" s="6">
        <f t="shared" si="2"/>
        <v>0</v>
      </c>
      <c r="I90" s="2" t="s">
        <v>214</v>
      </c>
      <c r="J90" s="2"/>
    </row>
    <row r="91" spans="1:10" x14ac:dyDescent="0.15">
      <c r="A91" s="1">
        <v>89</v>
      </c>
      <c r="B91" s="2" t="s">
        <v>17</v>
      </c>
      <c r="C91" s="2" t="s">
        <v>10</v>
      </c>
      <c r="D91" s="8"/>
      <c r="E91" s="2">
        <v>2</v>
      </c>
      <c r="F91" s="2"/>
      <c r="G91" s="6"/>
      <c r="H91" s="6">
        <f t="shared" si="2"/>
        <v>0</v>
      </c>
      <c r="I91" s="2" t="s">
        <v>214</v>
      </c>
      <c r="J91" s="2"/>
    </row>
    <row r="92" spans="1:10" x14ac:dyDescent="0.15">
      <c r="A92" s="1">
        <v>90</v>
      </c>
      <c r="B92" s="2" t="s">
        <v>16</v>
      </c>
      <c r="C92" s="2" t="s">
        <v>10</v>
      </c>
      <c r="D92" s="8"/>
      <c r="E92" s="2">
        <v>6</v>
      </c>
      <c r="F92" s="2"/>
      <c r="G92" s="6"/>
      <c r="H92" s="6">
        <f t="shared" si="2"/>
        <v>0</v>
      </c>
      <c r="I92" s="2" t="s">
        <v>214</v>
      </c>
      <c r="J92" s="2"/>
    </row>
    <row r="93" spans="1:10" x14ac:dyDescent="0.15">
      <c r="A93" s="1">
        <v>91</v>
      </c>
      <c r="B93" s="2" t="s">
        <v>15</v>
      </c>
      <c r="C93" s="2" t="s">
        <v>10</v>
      </c>
      <c r="D93" s="8"/>
      <c r="E93" s="2">
        <v>10</v>
      </c>
      <c r="F93" s="2"/>
      <c r="G93" s="6"/>
      <c r="H93" s="6">
        <f t="shared" si="2"/>
        <v>0</v>
      </c>
      <c r="I93" s="2" t="s">
        <v>214</v>
      </c>
      <c r="J93" s="2"/>
    </row>
    <row r="94" spans="1:10" x14ac:dyDescent="0.15">
      <c r="A94" s="1">
        <v>92</v>
      </c>
      <c r="B94" s="2" t="s">
        <v>14</v>
      </c>
      <c r="C94" s="2" t="s">
        <v>10</v>
      </c>
      <c r="D94" s="8"/>
      <c r="E94" s="2">
        <v>7</v>
      </c>
      <c r="F94" s="2"/>
      <c r="G94" s="6"/>
      <c r="H94" s="6">
        <f t="shared" si="2"/>
        <v>0</v>
      </c>
      <c r="I94" s="2" t="s">
        <v>214</v>
      </c>
      <c r="J94" s="2"/>
    </row>
    <row r="95" spans="1:10" x14ac:dyDescent="0.15">
      <c r="A95" s="1">
        <v>93</v>
      </c>
      <c r="B95" s="2" t="s">
        <v>13</v>
      </c>
      <c r="C95" s="2" t="s">
        <v>10</v>
      </c>
      <c r="D95" s="8"/>
      <c r="E95" s="2">
        <v>5</v>
      </c>
      <c r="F95" s="2"/>
      <c r="G95" s="6"/>
      <c r="H95" s="6">
        <f t="shared" si="2"/>
        <v>0</v>
      </c>
      <c r="I95" s="2" t="s">
        <v>214</v>
      </c>
      <c r="J95" s="2"/>
    </row>
    <row r="96" spans="1:10" x14ac:dyDescent="0.15">
      <c r="A96" s="1">
        <v>94</v>
      </c>
      <c r="B96" s="2" t="s">
        <v>12</v>
      </c>
      <c r="C96" s="2" t="s">
        <v>10</v>
      </c>
      <c r="D96" s="8"/>
      <c r="E96" s="2">
        <v>2</v>
      </c>
      <c r="F96" s="2"/>
      <c r="G96" s="6"/>
      <c r="H96" s="6">
        <f t="shared" si="2"/>
        <v>0</v>
      </c>
      <c r="I96" s="2" t="s">
        <v>214</v>
      </c>
      <c r="J96" s="2"/>
    </row>
    <row r="97" spans="1:10" x14ac:dyDescent="0.15">
      <c r="A97" s="1">
        <v>95</v>
      </c>
      <c r="B97" s="2" t="s">
        <v>11</v>
      </c>
      <c r="C97" s="2" t="s">
        <v>10</v>
      </c>
      <c r="D97" s="8"/>
      <c r="E97" s="2">
        <v>4</v>
      </c>
      <c r="F97" s="2"/>
      <c r="G97" s="6"/>
      <c r="H97" s="6">
        <f t="shared" si="2"/>
        <v>0</v>
      </c>
      <c r="I97" s="2" t="s">
        <v>214</v>
      </c>
      <c r="J97" s="2"/>
    </row>
    <row r="98" spans="1:10" x14ac:dyDescent="0.15">
      <c r="A98" s="1">
        <v>96</v>
      </c>
      <c r="B98" s="2" t="s">
        <v>9</v>
      </c>
      <c r="C98" s="2" t="s">
        <v>7</v>
      </c>
      <c r="D98" s="8"/>
      <c r="E98" s="2">
        <v>2</v>
      </c>
      <c r="F98" s="2"/>
      <c r="G98" s="6"/>
      <c r="H98" s="6">
        <f t="shared" si="2"/>
        <v>0</v>
      </c>
      <c r="I98" s="2" t="s">
        <v>214</v>
      </c>
      <c r="J98" s="2"/>
    </row>
    <row r="99" spans="1:10" x14ac:dyDescent="0.15">
      <c r="A99" s="1">
        <v>97</v>
      </c>
      <c r="B99" s="2" t="s">
        <v>8</v>
      </c>
      <c r="C99" s="2" t="s">
        <v>7</v>
      </c>
      <c r="D99" s="8"/>
      <c r="E99" s="2">
        <v>10</v>
      </c>
      <c r="F99" s="2"/>
      <c r="G99" s="6"/>
      <c r="H99" s="6">
        <f t="shared" si="2"/>
        <v>0</v>
      </c>
      <c r="I99" s="2" t="s">
        <v>214</v>
      </c>
      <c r="J99" s="2"/>
    </row>
    <row r="100" spans="1:10" x14ac:dyDescent="0.15">
      <c r="A100" s="1">
        <v>98</v>
      </c>
      <c r="B100" s="2" t="s">
        <v>6</v>
      </c>
      <c r="C100" s="2" t="s">
        <v>4</v>
      </c>
      <c r="D100" s="8"/>
      <c r="E100" s="2">
        <v>2</v>
      </c>
      <c r="F100" s="2">
        <v>2</v>
      </c>
      <c r="G100" s="6">
        <v>73</v>
      </c>
      <c r="H100" s="6">
        <f t="shared" ref="H100:H103" si="3">F100*G100</f>
        <v>146</v>
      </c>
      <c r="I100" s="2" t="s">
        <v>213</v>
      </c>
      <c r="J100" s="2"/>
    </row>
    <row r="101" spans="1:10" x14ac:dyDescent="0.15">
      <c r="A101" s="1">
        <v>99</v>
      </c>
      <c r="B101" s="2" t="s">
        <v>5</v>
      </c>
      <c r="C101" s="2" t="s">
        <v>4</v>
      </c>
      <c r="D101" s="8"/>
      <c r="E101" s="2">
        <v>2</v>
      </c>
      <c r="F101" s="2">
        <v>2</v>
      </c>
      <c r="G101" s="6">
        <v>73</v>
      </c>
      <c r="H101" s="6">
        <f t="shared" si="3"/>
        <v>146</v>
      </c>
      <c r="I101" s="2" t="s">
        <v>213</v>
      </c>
      <c r="J101" s="2"/>
    </row>
    <row r="102" spans="1:10" x14ac:dyDescent="0.15">
      <c r="A102" s="1">
        <v>100</v>
      </c>
      <c r="B102" s="2" t="s">
        <v>3</v>
      </c>
      <c r="C102" s="3" t="s">
        <v>2</v>
      </c>
      <c r="D102" s="8"/>
      <c r="E102" s="2">
        <v>2</v>
      </c>
      <c r="F102" s="2">
        <v>2</v>
      </c>
      <c r="G102" s="6">
        <v>84</v>
      </c>
      <c r="H102" s="6">
        <f t="shared" si="3"/>
        <v>168</v>
      </c>
      <c r="I102" s="2" t="s">
        <v>213</v>
      </c>
      <c r="J102" s="2"/>
    </row>
    <row r="103" spans="1:10" x14ac:dyDescent="0.15">
      <c r="B103" s="2" t="s">
        <v>1</v>
      </c>
      <c r="C103" s="2" t="s">
        <v>0</v>
      </c>
      <c r="D103" s="8"/>
      <c r="E103" s="2">
        <v>1</v>
      </c>
      <c r="F103" s="2">
        <v>1</v>
      </c>
      <c r="G103" s="6">
        <v>112</v>
      </c>
      <c r="H103" s="6">
        <f t="shared" si="3"/>
        <v>112</v>
      </c>
      <c r="I103" s="2" t="s">
        <v>213</v>
      </c>
      <c r="J103" s="2"/>
    </row>
    <row r="105" spans="1:10" x14ac:dyDescent="0.15">
      <c r="J105" s="7" t="s">
        <v>205</v>
      </c>
    </row>
  </sheetData>
  <phoneticPr fontId="1"/>
  <pageMargins left="0.7" right="0.7" top="0.75" bottom="0.75" header="0.3" footer="0.3"/>
  <pageSetup paperSize="8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部品表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太輔</dc:creator>
  <cp:lastModifiedBy>matsumaru</cp:lastModifiedBy>
  <cp:lastPrinted>2016-06-29T07:49:26Z</cp:lastPrinted>
  <dcterms:created xsi:type="dcterms:W3CDTF">2016-06-09T06:23:37Z</dcterms:created>
  <dcterms:modified xsi:type="dcterms:W3CDTF">2016-07-06T06:30:33Z</dcterms:modified>
</cp:coreProperties>
</file>