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00" windowWidth="18015" windowHeight="5835" firstSheet="3" activeTab="3"/>
  </bookViews>
  <sheets>
    <sheet name="Sheet1" sheetId="1" r:id="rId1"/>
    <sheet name="Sheet2" sheetId="2" r:id="rId2"/>
    <sheet name="Sheet3" sheetId="3" r:id="rId3"/>
    <sheet name=" (浸け置き追加) 発注 (最終)" sheetId="7" r:id="rId4"/>
  </sheets>
  <definedNames>
    <definedName name="_xlnm._FilterDatabase" localSheetId="3">' (浸け置き追加) 発注 (最終)'!$B$8:$O$8</definedName>
    <definedName name="_xlnm._FilterDatabase" localSheetId="0">Sheet1!$B$8:$O$8</definedName>
  </definedNames>
  <calcPr calcId="145621"/>
</workbook>
</file>

<file path=xl/calcChain.xml><?xml version="1.0" encoding="utf-8"?>
<calcChain xmlns="http://schemas.openxmlformats.org/spreadsheetml/2006/main">
  <c r="H82" i="7" l="1"/>
  <c r="H81" i="7"/>
  <c r="H80" i="7"/>
  <c r="H79" i="7" l="1"/>
  <c r="H78" i="7"/>
  <c r="H73" i="7"/>
  <c r="H72" i="7"/>
  <c r="H71" i="7"/>
  <c r="H70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B52" i="7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H35" i="7"/>
  <c r="H28" i="7"/>
  <c r="H34" i="7"/>
  <c r="H30" i="7"/>
  <c r="H11" i="7" l="1"/>
  <c r="H51" i="7" l="1"/>
  <c r="H50" i="7"/>
  <c r="H88" i="7" l="1"/>
  <c r="H87" i="7"/>
  <c r="H86" i="7"/>
  <c r="H46" i="7"/>
  <c r="H45" i="7"/>
  <c r="H44" i="7"/>
  <c r="H43" i="7"/>
  <c r="H42" i="7"/>
  <c r="H41" i="7"/>
  <c r="H40" i="7"/>
  <c r="H33" i="7"/>
  <c r="H32" i="7"/>
  <c r="H31" i="7"/>
  <c r="H29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B12" i="7"/>
  <c r="B13" i="7" s="1"/>
  <c r="B14" i="7" s="1"/>
  <c r="B15" i="7" s="1"/>
  <c r="B16" i="7" s="1"/>
  <c r="B17" i="7" s="1"/>
  <c r="H93" i="1"/>
  <c r="H92" i="1"/>
  <c r="H91" i="1"/>
  <c r="H83" i="1"/>
  <c r="H82" i="1"/>
  <c r="H81" i="1"/>
  <c r="H80" i="1"/>
  <c r="H79" i="1"/>
  <c r="H78" i="1"/>
  <c r="H77" i="1"/>
  <c r="H76" i="1"/>
  <c r="E84" i="1" s="1"/>
  <c r="H75" i="1"/>
  <c r="H71" i="1"/>
  <c r="H70" i="1"/>
  <c r="H69" i="1"/>
  <c r="H68" i="1"/>
  <c r="H67" i="1"/>
  <c r="H66" i="1"/>
  <c r="H65" i="1"/>
  <c r="H64" i="1"/>
  <c r="H63" i="1"/>
  <c r="E72" i="1" s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E59" i="1" s="1"/>
  <c r="H38" i="1"/>
  <c r="H37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E34" i="1" s="1"/>
  <c r="E84" i="7" l="1"/>
  <c r="B18" i="7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40" i="7" s="1"/>
  <c r="E37" i="7"/>
  <c r="E47" i="7"/>
  <c r="J2" i="1"/>
  <c r="J2" i="7"/>
  <c r="B41" i="7" l="1"/>
  <c r="B42" i="7" s="1"/>
  <c r="B43" i="7" s="1"/>
  <c r="B44" i="7" s="1"/>
  <c r="B45" i="7" s="1"/>
  <c r="B46" i="7" s="1"/>
  <c r="B50" i="7" s="1"/>
  <c r="B51" i="7" s="1"/>
</calcChain>
</file>

<file path=xl/sharedStrings.xml><?xml version="1.0" encoding="utf-8"?>
<sst xmlns="http://schemas.openxmlformats.org/spreadsheetml/2006/main" count="664" uniqueCount="270">
  <si>
    <t>お客先名</t>
  </si>
  <si>
    <t>京セミ（）</t>
  </si>
  <si>
    <t>合計金額</t>
  </si>
  <si>
    <t>担当営業</t>
  </si>
  <si>
    <t>青木、千葉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</si>
  <si>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</si>
  <si>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</si>
  <si>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</si>
  <si>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</si>
  <si>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</si>
  <si>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</si>
  <si>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</si>
  <si>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</si>
  <si>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</si>
  <si>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</si>
  <si>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</si>
  <si>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</si>
  <si>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</si>
  <si>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</si>
  <si>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</si>
  <si>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</si>
  <si>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</si>
  <si>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</si>
  <si>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</si>
  <si>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</si>
  <si>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加工メ－カ</t>
  </si>
  <si>
    <t>スライドプレート上</t>
  </si>
  <si>
    <t>スライドプレート下</t>
  </si>
  <si>
    <t>ガイド板</t>
  </si>
  <si>
    <t>SV51用エルボカバー</t>
  </si>
  <si>
    <t>ライト取付板2</t>
  </si>
  <si>
    <t>ＣＣＤ取付板　　折り曲げ溶接</t>
  </si>
  <si>
    <t>取付板</t>
  </si>
  <si>
    <t>Z調整　変換板</t>
  </si>
  <si>
    <t>Z調整　変換板　スペーサ</t>
  </si>
  <si>
    <t>スライドガイド　スペ－サ</t>
  </si>
  <si>
    <t>SV51用カップホルダ</t>
  </si>
  <si>
    <t>ミスミ</t>
  </si>
  <si>
    <t>SSE2B10-155</t>
  </si>
  <si>
    <t>スライドガイド　　ＣＣＤ側</t>
  </si>
  <si>
    <t>SSE2B10-100</t>
  </si>
  <si>
    <t>スライドガイド　　変換板受け</t>
  </si>
  <si>
    <t>XSG40-CR</t>
  </si>
  <si>
    <t>リニアボールX軸ステージ</t>
  </si>
  <si>
    <t>LRLB4-15</t>
  </si>
  <si>
    <t>長尺ローレット付ボルト</t>
  </si>
  <si>
    <t>ＭＳ３－１０</t>
  </si>
  <si>
    <t>ﾉｯｸﾋﾟﾝ　φ3mm</t>
  </si>
  <si>
    <t>ＭＳ4－１0</t>
  </si>
  <si>
    <t>ﾉｯｸﾋﾟﾝ　φ4mm</t>
  </si>
  <si>
    <t>SCB5-10</t>
  </si>
  <si>
    <t>六角穴付きﾎﾞﾙﾄ　 (M5×10)</t>
  </si>
  <si>
    <t>SCB4-10</t>
  </si>
  <si>
    <t>六角穴付きﾎﾞﾙﾄ　 (M4×10)</t>
  </si>
  <si>
    <t>SCB4-12</t>
  </si>
  <si>
    <t>六角穴付きﾎﾞﾙﾄ　 (M4×12)</t>
  </si>
  <si>
    <t>SCB3-6</t>
  </si>
  <si>
    <t>六角穴付きﾎﾞﾙﾄ　 (M3×6)</t>
  </si>
  <si>
    <t>SCB3-8</t>
  </si>
  <si>
    <t>六角穴付きﾎﾞﾙﾄ　 (M3×8)</t>
  </si>
  <si>
    <t>SCB3-10</t>
  </si>
  <si>
    <t>六角穴付きﾎﾞﾙﾄ　 (M3×10)</t>
  </si>
  <si>
    <t>ワーク受けベース治具部分</t>
  </si>
  <si>
    <t>ヒータベース</t>
  </si>
  <si>
    <t>ワークベース</t>
  </si>
  <si>
    <t>ワーク治具ガイド</t>
  </si>
  <si>
    <t>配線ｶガート゜</t>
  </si>
  <si>
    <t>配線ｶガート゜　　板金カバー</t>
  </si>
  <si>
    <t>NA2517T-16-3-2</t>
  </si>
  <si>
    <t>固定用電源ケーブル（300V用）</t>
  </si>
  <si>
    <t>1.25-4</t>
  </si>
  <si>
    <t>裸圧着端子（丸型）</t>
  </si>
  <si>
    <t>VCTF-A-0.75-2-10</t>
  </si>
  <si>
    <t>SETGR8-50</t>
  </si>
  <si>
    <t>円柱支柱</t>
  </si>
  <si>
    <t>MPHKH-150-150-V100-W500</t>
  </si>
  <si>
    <t>ヒータ-</t>
  </si>
  <si>
    <t>HIPA4H-160-160-5-F130-G130-N6</t>
  </si>
  <si>
    <t>断熱板</t>
  </si>
  <si>
    <t>MTCD</t>
  </si>
  <si>
    <t>温度調節コントローラ</t>
  </si>
  <si>
    <t>2P-2</t>
  </si>
  <si>
    <t>電源コード</t>
  </si>
  <si>
    <t>MFSK1.6-100</t>
  </si>
  <si>
    <t>センサ</t>
  </si>
  <si>
    <t>MSSFS3-4</t>
  </si>
  <si>
    <t>六角穴付止めネジ</t>
  </si>
  <si>
    <t>SBCB3-5</t>
  </si>
  <si>
    <t>六角穴付ボタンネジ</t>
  </si>
  <si>
    <t>SFB3-6</t>
  </si>
  <si>
    <t>六角穴付皿ネジ</t>
  </si>
  <si>
    <t>六角穴付ｷｬｯﾌﾟﾈｼﾞ　　M3×8</t>
  </si>
  <si>
    <t>SCB4-8</t>
  </si>
  <si>
    <t>六角穴付ｷｬｯﾌﾟﾈｼﾞ　　M4×8</t>
  </si>
  <si>
    <t>SCB4-15</t>
  </si>
  <si>
    <t>六角穴付ｷｬｯﾌﾟﾈｼﾞ　　M4×15</t>
  </si>
  <si>
    <t>MS3-10</t>
  </si>
  <si>
    <t>ﾉｯｸﾋﾟﾝ　　φ3-10</t>
  </si>
  <si>
    <t>JPBA5-7.96</t>
  </si>
  <si>
    <t>大頭位置決めﾋﾟﾝ  丸</t>
  </si>
  <si>
    <t>JPBD5-7.96</t>
  </si>
  <si>
    <t>大頭位置決めﾋﾟﾝ  ﾀﾞｲﾔ</t>
  </si>
  <si>
    <t>ワーク治具部分（基盤受け治具）　　2ＳＥＴ分</t>
  </si>
  <si>
    <t>基板セット冶具ベース</t>
  </si>
  <si>
    <t>取手変換ブロック</t>
  </si>
  <si>
    <t>KFSAMS3-P1.80-L5-B4.0-E2.2-A15</t>
  </si>
  <si>
    <t>位置決ﾋﾟﾝ　φ1.80  小頭ﾃｰﾊﾟﾀｲﾌﾟ</t>
  </si>
  <si>
    <t>位置決ﾋﾟﾝ　φ1.80  小頭ﾃｰﾊﾟﾀｲﾌﾟ（ﾀﾞｲｱ型を選択）</t>
  </si>
  <si>
    <t>ＪＢＡＭ８－１０</t>
  </si>
  <si>
    <t>位置決めﾋﾟﾝ用ﾌﾞｯｼｭ</t>
  </si>
  <si>
    <t>UWANSG100</t>
  </si>
  <si>
    <t>丸棒取手</t>
  </si>
  <si>
    <t>配電部分</t>
  </si>
  <si>
    <t>102703－Z001</t>
  </si>
  <si>
    <t>配電ﾍﾞ-ｽ</t>
  </si>
  <si>
    <t>MRB-350</t>
  </si>
  <si>
    <t>DINレール</t>
  </si>
  <si>
    <t>MWS-DS37A-HT37</t>
  </si>
  <si>
    <t>D-Subコネクタ端子台</t>
  </si>
  <si>
    <t>ESAW-TCM310-5P</t>
  </si>
  <si>
    <t>コモンブロック端子台</t>
  </si>
  <si>
    <t>NEDJ-PS-SB-37-1.5</t>
  </si>
  <si>
    <t>D-Subコネクタハーネス</t>
  </si>
  <si>
    <t>F1.25-M3</t>
  </si>
  <si>
    <t>圧着端子（Y型）</t>
  </si>
  <si>
    <t>UL1007-24-BE-305</t>
  </si>
  <si>
    <t>単芯電線</t>
  </si>
  <si>
    <t>VTUB3.2-W-10</t>
  </si>
  <si>
    <t>ﾏｰｸﾁｭｰﾌﾞ</t>
  </si>
  <si>
    <t>結束バンドとマウントベース　Etc</t>
  </si>
  <si>
    <t>運送費</t>
  </si>
  <si>
    <t>設計費</t>
  </si>
  <si>
    <t>組立調整費</t>
  </si>
  <si>
    <t>ﾉｯｸﾋﾟﾝ　φ3-10mm</t>
  </si>
  <si>
    <t>ﾉｽﾞﾙ位置合わせ冶具　</t>
  </si>
  <si>
    <t>捨てうちｶｯﾌﾟ台ﾍﾞｰｽ</t>
  </si>
  <si>
    <t>捨てうちｶｯﾌﾟ受け</t>
  </si>
  <si>
    <t>DBS4-10-8</t>
  </si>
  <si>
    <t>段付ﾎﾞﾙﾄ</t>
  </si>
  <si>
    <t>六角支柱</t>
  </si>
  <si>
    <t>SLSBWRK7-80</t>
  </si>
  <si>
    <t>M4ﾈｼﾞ×8</t>
  </si>
  <si>
    <t>ｱｽﾞﾜﾝ</t>
  </si>
  <si>
    <t>都機工</t>
  </si>
  <si>
    <t>SBCB4-8</t>
  </si>
  <si>
    <t>六角穴付きﾎﾞﾀﾝﾎﾞﾙﾄ　 (M4×8)</t>
  </si>
  <si>
    <t>図面送信済み</t>
  </si>
  <si>
    <t>ﾂｰﾙ取付ﾌﾞﾗｹｯﾄ(90°回転用）</t>
  </si>
  <si>
    <t>スラスト玉軸受ﾌﾞﾗｹｯﾄ</t>
  </si>
  <si>
    <t>補強ﾌﾞﾛｯｸ</t>
  </si>
  <si>
    <t>B51100</t>
  </si>
  <si>
    <t>スラスト玉軸受</t>
  </si>
  <si>
    <t>WSSS10-8-1.5</t>
  </si>
  <si>
    <t>金属ワッシャ　Ｔ寸選択・指定タイプ　並級</t>
  </si>
  <si>
    <t>PSSFGC8-68-M5-SC1-SX5</t>
  </si>
  <si>
    <t>シャフト　片端めねじキリ穴付・スパナ溝付タイプ</t>
  </si>
  <si>
    <t>BGHWTA628ZZ-22-26</t>
  </si>
  <si>
    <t>ベアリングホルダセット</t>
  </si>
  <si>
    <t>CPR 25-8-8</t>
  </si>
  <si>
    <t>カップリング　リジット形セットスクリュータイプ</t>
  </si>
  <si>
    <t>加工ﾒｰｶ</t>
  </si>
  <si>
    <t>@ECHN-20111222-00025</t>
  </si>
  <si>
    <t>I/Oｹｰﾌﾞﾙ 　v用</t>
  </si>
  <si>
    <t>NEDJ-PS-SB-25-1.5</t>
  </si>
  <si>
    <t>D-Subコネクタハーネス 25</t>
  </si>
  <si>
    <t>Dsubコネクタ端子台 25</t>
  </si>
  <si>
    <t>MWI-COM-P10N10</t>
  </si>
  <si>
    <t>コモン端子台</t>
  </si>
  <si>
    <t>MRB-230</t>
  </si>
  <si>
    <t>SMC</t>
    <phoneticPr fontId="16"/>
  </si>
  <si>
    <t>配電用背板</t>
    <phoneticPr fontId="14"/>
  </si>
  <si>
    <t>ミスミ</t>
    <phoneticPr fontId="16"/>
  </si>
  <si>
    <t xml:space="preserve">AD-342 </t>
    <phoneticPr fontId="16"/>
  </si>
  <si>
    <t>カッチンダクト</t>
    <phoneticPr fontId="16"/>
  </si>
  <si>
    <t>F1.25-M3</t>
    <phoneticPr fontId="16"/>
  </si>
  <si>
    <t>裸圧着端子Y型</t>
    <rPh sb="0" eb="1">
      <t>ハダカ</t>
    </rPh>
    <rPh sb="1" eb="3">
      <t>アッチャク</t>
    </rPh>
    <rPh sb="3" eb="5">
      <t>タンシ</t>
    </rPh>
    <rPh sb="6" eb="7">
      <t>ガタ</t>
    </rPh>
    <phoneticPr fontId="16"/>
  </si>
  <si>
    <t>PUT6-10-B</t>
    <phoneticPr fontId="16"/>
  </si>
  <si>
    <t>ポリウレタンチューブ</t>
    <phoneticPr fontId="16"/>
  </si>
  <si>
    <t>ハンドバルブ</t>
    <phoneticPr fontId="16"/>
  </si>
  <si>
    <t>MWS-DS25A-HT25</t>
    <phoneticPr fontId="14"/>
  </si>
  <si>
    <r>
      <t>ミニカップ（アズワン）　No.</t>
    </r>
    <r>
      <rPr>
        <sz val="11"/>
        <color theme="1"/>
        <rFont val="ＭＳ Ｐゴシック"/>
        <family val="3"/>
        <charset val="128"/>
        <scheme val="minor"/>
      </rPr>
      <t>20</t>
    </r>
    <phoneticPr fontId="14"/>
  </si>
  <si>
    <t>配電部分</t>
    <rPh sb="0" eb="2">
      <t>ハイデン</t>
    </rPh>
    <rPh sb="2" eb="4">
      <t>ブブン</t>
    </rPh>
    <phoneticPr fontId="14"/>
  </si>
  <si>
    <t>φ6エルボ継手　※制御側</t>
    <rPh sb="5" eb="7">
      <t>ツギテ</t>
    </rPh>
    <rPh sb="9" eb="11">
      <t>セイギョ</t>
    </rPh>
    <rPh sb="11" eb="12">
      <t>ガワ</t>
    </rPh>
    <phoneticPr fontId="16"/>
  </si>
  <si>
    <t>SCB4-8</t>
    <phoneticPr fontId="16"/>
  </si>
  <si>
    <t>六角穴付きﾎﾞﾙﾄ　 (M4×8)</t>
    <phoneticPr fontId="16"/>
  </si>
  <si>
    <t>PUT4-10-B</t>
    <phoneticPr fontId="16"/>
  </si>
  <si>
    <t>エアチューブ</t>
    <phoneticPr fontId="16"/>
  </si>
  <si>
    <t>SGPPP6A</t>
  </si>
  <si>
    <t>ﾌﾟﾗｸﾞ</t>
  </si>
  <si>
    <t>φ6継ぎ手</t>
    <rPh sb="2" eb="3">
      <t>ツ</t>
    </rPh>
    <rPh sb="4" eb="5">
      <t>テ</t>
    </rPh>
    <phoneticPr fontId="16"/>
  </si>
  <si>
    <t>PC4-M5</t>
    <phoneticPr fontId="16"/>
  </si>
  <si>
    <t>φ4継ぎ手</t>
    <rPh sb="2" eb="3">
      <t>ツ</t>
    </rPh>
    <rPh sb="4" eb="5">
      <t>テ</t>
    </rPh>
    <phoneticPr fontId="16"/>
  </si>
  <si>
    <t>SMC</t>
  </si>
  <si>
    <t>都機工</t>
    <rPh sb="0" eb="1">
      <t>ミヤコ</t>
    </rPh>
    <rPh sb="1" eb="2">
      <t>キ</t>
    </rPh>
    <rPh sb="2" eb="3">
      <t>コウ</t>
    </rPh>
    <phoneticPr fontId="16"/>
  </si>
  <si>
    <t>SS5Y3-20-03</t>
    <phoneticPr fontId="16"/>
  </si>
  <si>
    <t>一体型ﾍﾞｰｽﾏﾆﾎｰﾙﾄﾞ</t>
    <rPh sb="0" eb="2">
      <t>イッタイ</t>
    </rPh>
    <rPh sb="2" eb="3">
      <t>ガタ</t>
    </rPh>
    <phoneticPr fontId="16"/>
  </si>
  <si>
    <t>*SY3120-5LZE-C4</t>
    <phoneticPr fontId="16"/>
  </si>
  <si>
    <t>ｼﾝｸﾞﾙｿﾚﾉｲﾄﾞﾊﾞﾙﾌﾞ</t>
  </si>
  <si>
    <t>*SY3000-26-9A</t>
  </si>
  <si>
    <t>ﾌﾞﾗﾝｷﾝｸﾞﾌﾟﾚｰﾄASSY</t>
  </si>
  <si>
    <t>ｻｲﾚﾝｻ　ｺﾝﾊﾟｸﾄﾀｲﾌﾟ</t>
  </si>
  <si>
    <t>レギュレーター</t>
  </si>
  <si>
    <t>ｽﾋﾟｰﾄﾞｺﾝﾄﾛｰﾗ</t>
    <phoneticPr fontId="16"/>
  </si>
  <si>
    <t>CDRBU2WU30-90SZ-S79L</t>
    <phoneticPr fontId="16"/>
  </si>
  <si>
    <t>セットカラー　止めねじ固定</t>
    <phoneticPr fontId="14"/>
  </si>
  <si>
    <t>低頭M5ﾈｼﾞ</t>
    <rPh sb="0" eb="2">
      <t>テイトウ</t>
    </rPh>
    <phoneticPr fontId="14"/>
  </si>
  <si>
    <t>(浸け置き有)</t>
    <rPh sb="5" eb="6">
      <t>アリ</t>
    </rPh>
    <phoneticPr fontId="14"/>
  </si>
  <si>
    <t>フリーマウント形ロータリアクチュエータ ベーンタイプ</t>
    <phoneticPr fontId="16"/>
  </si>
  <si>
    <t>137581－Y001</t>
    <phoneticPr fontId="14"/>
  </si>
  <si>
    <t>137581－Y002</t>
  </si>
  <si>
    <t>137581－Y003</t>
  </si>
  <si>
    <t>137581－Y004</t>
  </si>
  <si>
    <t>137581－Y005</t>
  </si>
  <si>
    <t>137581－Y006</t>
  </si>
  <si>
    <t>137581－Z004</t>
    <phoneticPr fontId="14"/>
  </si>
  <si>
    <t>137581－Z001</t>
    <phoneticPr fontId="14"/>
  </si>
  <si>
    <t>137581－Z002</t>
    <phoneticPr fontId="14"/>
  </si>
  <si>
    <r>
      <t>137581－Z00</t>
    </r>
    <r>
      <rPr>
        <sz val="11"/>
        <color theme="1"/>
        <rFont val="ＭＳ Ｐゴシック"/>
        <family val="3"/>
        <charset val="128"/>
        <scheme val="minor"/>
      </rPr>
      <t>3</t>
    </r>
    <phoneticPr fontId="14"/>
  </si>
  <si>
    <t>セットカラー固定ﾌﾞﾗｹｯﾄ</t>
    <phoneticPr fontId="14"/>
  </si>
  <si>
    <t>ﾊ"ﾙﾌﾞﾎﾙﾀﾞｰﾌﾞﾗｹｯﾄ</t>
    <phoneticPr fontId="14"/>
  </si>
  <si>
    <t>ﾊﾞﾙﾌﾞﾎﾙﾀﾞﾈｼﾞ固定ﾀｲﾌﾟ</t>
    <phoneticPr fontId="14"/>
  </si>
  <si>
    <t>ＳＶＥＭ取付ﾌﾞﾗｹｯﾄ</t>
    <phoneticPr fontId="14"/>
  </si>
  <si>
    <t xml:space="preserve"> SSCMW8</t>
    <phoneticPr fontId="14"/>
  </si>
  <si>
    <t xml:space="preserve"> CSHBTT-SUS-M5-18</t>
    <phoneticPr fontId="14"/>
  </si>
  <si>
    <t xml:space="preserve"> SSHH-SUS-M4-6</t>
    <phoneticPr fontId="14"/>
  </si>
  <si>
    <t>六角穴付止めねじ 平先</t>
    <phoneticPr fontId="14"/>
  </si>
  <si>
    <t>Ｎo.137581</t>
    <phoneticPr fontId="14"/>
  </si>
  <si>
    <t>日本電計　（富士通ｾﾞﾈﾗﾙ）</t>
    <rPh sb="0" eb="2">
      <t>ニホン</t>
    </rPh>
    <rPh sb="2" eb="4">
      <t>デンケイ</t>
    </rPh>
    <rPh sb="6" eb="9">
      <t>フジツウ</t>
    </rPh>
    <phoneticPr fontId="14"/>
  </si>
  <si>
    <t>見積もりまだ</t>
    <rPh sb="0" eb="2">
      <t>ミツ</t>
    </rPh>
    <phoneticPr fontId="14"/>
  </si>
  <si>
    <t>ＭＳ3－１0</t>
    <phoneticPr fontId="14"/>
  </si>
  <si>
    <t>ＭＳ3－35</t>
    <phoneticPr fontId="14"/>
  </si>
  <si>
    <t>ﾉｯｸﾋﾟﾝ　φ3-35mm</t>
    <phoneticPr fontId="14"/>
  </si>
  <si>
    <t>六角穴付きﾎﾞﾙﾄ　 (M5×60)</t>
    <phoneticPr fontId="14"/>
  </si>
  <si>
    <t>CＳH-SUS-M5-60</t>
    <phoneticPr fontId="14"/>
  </si>
  <si>
    <t>SCB5-18</t>
    <phoneticPr fontId="14"/>
  </si>
  <si>
    <t>SCB5-10</t>
    <phoneticPr fontId="14"/>
  </si>
  <si>
    <t>SCB4-14</t>
    <phoneticPr fontId="14"/>
  </si>
  <si>
    <t>六角穴付きﾎﾞﾙﾄ　 (M6×10)</t>
    <phoneticPr fontId="14"/>
  </si>
  <si>
    <t>SCB6-10</t>
    <phoneticPr fontId="14"/>
  </si>
  <si>
    <t>SCB4-20</t>
    <phoneticPr fontId="14"/>
  </si>
  <si>
    <t>BVHVU6-3</t>
    <phoneticPr fontId="16"/>
  </si>
  <si>
    <t>MNCNL6-M5</t>
    <phoneticPr fontId="16"/>
  </si>
  <si>
    <t>MNCNL4-M5</t>
    <phoneticPr fontId="16"/>
  </si>
  <si>
    <t>φ4エルボ継手　※制御側</t>
    <rPh sb="5" eb="7">
      <t>ツギテ</t>
    </rPh>
    <rPh sb="9" eb="11">
      <t>セイギョ</t>
    </rPh>
    <rPh sb="11" eb="12">
      <t>ガワ</t>
    </rPh>
    <phoneticPr fontId="16"/>
  </si>
  <si>
    <t>ワンタッチ継手　異径ユニオンストレート</t>
    <phoneticPr fontId="14"/>
  </si>
  <si>
    <t>UJDST4-W</t>
    <phoneticPr fontId="14"/>
  </si>
  <si>
    <t>JSC4-M5</t>
    <phoneticPr fontId="16"/>
  </si>
  <si>
    <t>JSMU4</t>
    <phoneticPr fontId="14"/>
  </si>
  <si>
    <t>標準タイプ スピードコントローラ ユニオンストレート</t>
    <phoneticPr fontId="14"/>
  </si>
  <si>
    <t>5-079-03　　NO.20</t>
    <phoneticPr fontId="14"/>
  </si>
  <si>
    <t>PC6-01</t>
    <phoneticPr fontId="16"/>
  </si>
  <si>
    <t>PC6-M5</t>
    <phoneticPr fontId="16"/>
  </si>
  <si>
    <t>SLSBWRK7-50</t>
    <phoneticPr fontId="14"/>
  </si>
  <si>
    <t>千葉(齋藤）</t>
    <rPh sb="0" eb="2">
      <t>チバ</t>
    </rPh>
    <rPh sb="3" eb="5">
      <t>サイトウ</t>
    </rPh>
    <phoneticPr fontId="14"/>
  </si>
  <si>
    <t>MRB-160</t>
    <phoneticPr fontId="14"/>
  </si>
  <si>
    <t>仙台（営）入れ</t>
    <rPh sb="0" eb="2">
      <t>センダイ</t>
    </rPh>
    <rPh sb="3" eb="4">
      <t>エイ</t>
    </rPh>
    <rPh sb="5" eb="6">
      <t>イ</t>
    </rPh>
    <phoneticPr fontId="14"/>
  </si>
  <si>
    <r>
      <t>5</t>
    </r>
    <r>
      <rPr>
        <sz val="11"/>
        <color theme="1"/>
        <rFont val="ＭＳ Ｐゴシック"/>
        <family val="3"/>
        <charset val="128"/>
        <scheme val="minor"/>
      </rPr>
      <t>/23仙台入れ</t>
    </r>
    <rPh sb="4" eb="6">
      <t>センダイ</t>
    </rPh>
    <rPh sb="6" eb="7">
      <t>イ</t>
    </rPh>
    <phoneticPr fontId="14"/>
  </si>
  <si>
    <r>
      <t>AW10-M5BＧ</t>
    </r>
    <r>
      <rPr>
        <sz val="11"/>
        <color rgb="FFFF0000"/>
        <rFont val="ＭＳ Ｐゴシック"/>
        <family val="3"/>
        <charset val="128"/>
      </rPr>
      <t>-A</t>
    </r>
    <phoneticPr fontId="16"/>
  </si>
  <si>
    <r>
      <t>*AN103-01⇒</t>
    </r>
    <r>
      <rPr>
        <sz val="11"/>
        <color rgb="FFFF0000"/>
        <rFont val="ＭＳ Ｐゴシック"/>
        <family val="3"/>
        <charset val="128"/>
      </rPr>
      <t>新型式AN10-01</t>
    </r>
    <rPh sb="10" eb="13">
      <t>シンカタシキ</t>
    </rPh>
    <phoneticPr fontId="14"/>
  </si>
  <si>
    <t>5・24</t>
    <phoneticPr fontId="14"/>
  </si>
  <si>
    <r>
      <t>5</t>
    </r>
    <r>
      <rPr>
        <sz val="11"/>
        <color theme="1"/>
        <rFont val="ＭＳ Ｐゴシック"/>
        <family val="3"/>
        <charset val="128"/>
        <scheme val="minor"/>
      </rPr>
      <t>/26仙台入れ</t>
    </r>
    <rPh sb="4" eb="6">
      <t>センダイ</t>
    </rPh>
    <rPh sb="6" eb="7">
      <t>イ</t>
    </rPh>
    <phoneticPr fontId="14"/>
  </si>
  <si>
    <t>5/25仙台(営)へ</t>
    <rPh sb="4" eb="6">
      <t>センダイ</t>
    </rPh>
    <rPh sb="6" eb="9">
      <t>エイ</t>
    </rPh>
    <phoneticPr fontId="14"/>
  </si>
  <si>
    <t>5・26</t>
    <phoneticPr fontId="14"/>
  </si>
  <si>
    <t>5/26仙台(営)へ発送</t>
    <rPh sb="4" eb="6">
      <t>センダイ</t>
    </rPh>
    <rPh sb="6" eb="9">
      <t>エイ</t>
    </rPh>
    <rPh sb="10" eb="12">
      <t>ハッソウ</t>
    </rPh>
    <phoneticPr fontId="14"/>
  </si>
  <si>
    <t>5/25仙台(営)へ発送</t>
    <rPh sb="4" eb="6">
      <t>センダイ</t>
    </rPh>
    <rPh sb="6" eb="9">
      <t>エイ</t>
    </rPh>
    <rPh sb="10" eb="12">
      <t>ハッソウ</t>
    </rPh>
    <phoneticPr fontId="14"/>
  </si>
  <si>
    <t>ﾛｯｶｸｼﾁｭｳ</t>
    <phoneticPr fontId="14"/>
  </si>
  <si>
    <t>SLSBWRK7-130</t>
    <phoneticPr fontId="14"/>
  </si>
  <si>
    <t>SLSBWRK7-50</t>
    <phoneticPr fontId="14"/>
  </si>
  <si>
    <t>SLSBWRK7-100</t>
    <phoneticPr fontId="14"/>
  </si>
  <si>
    <t>6/6仙台入れ</t>
    <rPh sb="3" eb="5">
      <t>センダイ</t>
    </rPh>
    <rPh sb="5" eb="6">
      <t>イ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</si>
</sst>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</numFmts>
  <fonts count="26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8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ajor"/>
    </font>
    <font>
      <b/>
      <sz val="11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9.95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FFFF9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/>
  </cellStyleXfs>
  <cellXfs count="274"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 shrinkToFit="1"/>
    </xf>
    <xf numFmtId="0" fontId="0" fillId="0" borderId="1" xfId="0" applyFont="1" applyBorder="1" applyAlignment="1">
      <alignment vertical="center" shrinkToFit="1"/>
    </xf>
    <xf numFmtId="176" fontId="0" fillId="0" borderId="1" xfId="0" applyNumberFormat="1" applyFont="1" applyBorder="1">
      <alignment vertical="center"/>
    </xf>
    <xf numFmtId="0" fontId="0" fillId="0" borderId="0" xfId="0" applyFont="1" applyAlignment="1">
      <alignment horizontal="center" vertical="center"/>
    </xf>
    <xf numFmtId="177" fontId="0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Font="1" applyAlignment="1">
      <alignment horizontal="right" vertical="center"/>
    </xf>
    <xf numFmtId="177" fontId="0" fillId="0" borderId="1" xfId="0" applyNumberFormat="1" applyFont="1" applyBorder="1" applyAlignment="1">
      <alignment horizontal="right" vertical="center"/>
    </xf>
    <xf numFmtId="176" fontId="0" fillId="0" borderId="1" xfId="0" applyNumberFormat="1" applyFont="1" applyBorder="1" applyAlignment="1"/>
    <xf numFmtId="177" fontId="0" fillId="0" borderId="0" xfId="0" applyNumberFormat="1" applyFont="1">
      <alignment vertical="center"/>
    </xf>
    <xf numFmtId="0" fontId="0" fillId="0" borderId="1" xfId="0" applyFont="1" applyBorder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179" fontId="0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176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/>
    <xf numFmtId="0" fontId="6" fillId="0" borderId="1" xfId="0" applyFont="1" applyBorder="1" applyAlignment="1">
      <alignment horizontal="left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Font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3" xfId="0" applyFont="1" applyBorder="1" applyAlignment="1">
      <alignment horizontal="center" vertical="center"/>
    </xf>
    <xf numFmtId="3" fontId="0" fillId="0" borderId="3" xfId="0" applyNumberFormat="1" applyFont="1" applyBorder="1" applyAlignment="1">
      <alignment horizontal="center" vertical="center"/>
    </xf>
    <xf numFmtId="0" fontId="0" fillId="0" borderId="3" xfId="0" applyFont="1" applyBorder="1" applyAlignment="1">
      <alignment vertical="center" shrinkToFit="1"/>
    </xf>
    <xf numFmtId="176" fontId="0" fillId="0" borderId="3" xfId="0" applyNumberFormat="1" applyFont="1" applyBorder="1">
      <alignment vertical="center"/>
    </xf>
    <xf numFmtId="176" fontId="0" fillId="0" borderId="3" xfId="0" applyNumberFormat="1" applyFont="1" applyBorder="1" applyAlignment="1"/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/>
    </xf>
    <xf numFmtId="3" fontId="0" fillId="0" borderId="4" xfId="0" applyNumberFormat="1" applyFont="1" applyBorder="1" applyAlignment="1">
      <alignment horizontal="center" vertical="center"/>
    </xf>
    <xf numFmtId="0" fontId="0" fillId="0" borderId="4" xfId="0" applyFont="1" applyBorder="1" applyAlignment="1">
      <alignment vertical="center" shrinkToFit="1"/>
    </xf>
    <xf numFmtId="176" fontId="0" fillId="0" borderId="4" xfId="0" applyNumberFormat="1" applyFont="1" applyBorder="1">
      <alignment vertical="center"/>
    </xf>
    <xf numFmtId="176" fontId="0" fillId="0" borderId="4" xfId="0" applyNumberFormat="1" applyFont="1" applyBorder="1" applyAlignment="1"/>
    <xf numFmtId="0" fontId="0" fillId="0" borderId="4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0" fillId="0" borderId="4" xfId="0" applyFont="1" applyBorder="1" applyAlignment="1">
      <alignment horizontal="right" vertical="center"/>
    </xf>
    <xf numFmtId="177" fontId="0" fillId="0" borderId="4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0" fillId="0" borderId="1" xfId="0" applyFont="1" applyBorder="1" applyAlignment="1">
      <alignment horizontal="left" vertical="center"/>
    </xf>
    <xf numFmtId="176" fontId="6" fillId="0" borderId="1" xfId="0" applyNumberFormat="1" applyFont="1" applyBorder="1">
      <alignment vertical="center"/>
    </xf>
    <xf numFmtId="176" fontId="6" fillId="0" borderId="1" xfId="0" applyNumberFormat="1" applyFont="1" applyBorder="1" applyAlignment="1"/>
    <xf numFmtId="176" fontId="0" fillId="0" borderId="2" xfId="0" applyNumberFormat="1" applyFont="1" applyBorder="1" applyAlignment="1"/>
    <xf numFmtId="176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shrinkToFi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 shrinkToFit="1"/>
    </xf>
    <xf numFmtId="0" fontId="0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right" vertical="center"/>
    </xf>
    <xf numFmtId="177" fontId="0" fillId="0" borderId="1" xfId="0" applyNumberFormat="1" applyFont="1" applyBorder="1">
      <alignment vertical="center"/>
    </xf>
    <xf numFmtId="179" fontId="0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6" fontId="0" fillId="2" borderId="1" xfId="0" applyNumberFormat="1" applyFont="1" applyFill="1" applyBorder="1">
      <alignment vertical="center"/>
    </xf>
    <xf numFmtId="176" fontId="0" fillId="2" borderId="1" xfId="0" applyNumberFormat="1" applyFont="1" applyFill="1" applyBorder="1" applyAlignment="1"/>
    <xf numFmtId="0" fontId="7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176" fontId="0" fillId="3" borderId="1" xfId="0" applyNumberFormat="1" applyFont="1" applyFill="1" applyBorder="1">
      <alignment vertical="center"/>
    </xf>
    <xf numFmtId="0" fontId="7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0" fontId="7" fillId="3" borderId="1" xfId="0" applyFont="1" applyFill="1" applyBorder="1">
      <alignment vertical="center"/>
    </xf>
    <xf numFmtId="176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/>
    <xf numFmtId="0" fontId="6" fillId="3" borderId="1" xfId="0" applyFont="1" applyFill="1" applyBorder="1">
      <alignment vertical="center"/>
    </xf>
    <xf numFmtId="0" fontId="5" fillId="3" borderId="1" xfId="0" applyFont="1" applyFill="1" applyBorder="1" applyAlignment="1">
      <alignment horizontal="left"/>
    </xf>
    <xf numFmtId="0" fontId="0" fillId="0" borderId="1" xfId="0" applyFont="1" applyBorder="1">
      <alignment vertical="center"/>
    </xf>
    <xf numFmtId="0" fontId="6" fillId="0" borderId="3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0" fillId="0" borderId="5" xfId="0" applyFont="1" applyBorder="1" applyAlignment="1">
      <alignment horizontal="center" vertical="center"/>
    </xf>
    <xf numFmtId="0" fontId="0" fillId="0" borderId="3" xfId="0" applyFont="1" applyBorder="1" applyAlignment="1">
      <alignment horizontal="left" vertical="center"/>
    </xf>
    <xf numFmtId="179" fontId="0" fillId="0" borderId="3" xfId="0" applyNumberFormat="1" applyFont="1" applyBorder="1" applyAlignment="1">
      <alignment horizontal="center" vertical="center"/>
    </xf>
    <xf numFmtId="178" fontId="0" fillId="0" borderId="3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0" fontId="7" fillId="4" borderId="1" xfId="0" applyFont="1" applyFill="1" applyBorder="1">
      <alignment vertical="center"/>
    </xf>
    <xf numFmtId="176" fontId="9" fillId="5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0" fillId="0" borderId="2" xfId="0" applyNumberFormat="1" applyFont="1" applyBorder="1">
      <alignment vertical="center"/>
    </xf>
    <xf numFmtId="49" fontId="5" fillId="0" borderId="1" xfId="0" applyNumberFormat="1" applyFont="1" applyBorder="1" applyAlignment="1">
      <alignment vertical="center" shrinkToFit="1"/>
    </xf>
    <xf numFmtId="0" fontId="11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0" fillId="0" borderId="0" xfId="0" applyFont="1">
      <alignment vertical="center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10" xfId="0" applyFont="1" applyBorder="1">
      <alignment vertical="center"/>
    </xf>
    <xf numFmtId="0" fontId="0" fillId="0" borderId="10" xfId="0" applyFont="1" applyBorder="1" applyAlignment="1">
      <alignment horizontal="right" vertical="center"/>
    </xf>
    <xf numFmtId="3" fontId="5" fillId="0" borderId="10" xfId="0" applyNumberFormat="1" applyFont="1" applyBorder="1" applyAlignment="1">
      <alignment horizontal="center" vertical="center"/>
    </xf>
    <xf numFmtId="176" fontId="5" fillId="0" borderId="10" xfId="0" applyNumberFormat="1" applyFont="1" applyBorder="1" applyAlignment="1">
      <alignment horizontal="right" vertical="center"/>
    </xf>
    <xf numFmtId="3" fontId="15" fillId="0" borderId="10" xfId="0" applyNumberFormat="1" applyFont="1" applyFill="1" applyBorder="1" applyAlignment="1">
      <alignment horizontal="center" vertical="center"/>
    </xf>
    <xf numFmtId="0" fontId="15" fillId="0" borderId="10" xfId="0" applyFont="1" applyFill="1" applyBorder="1">
      <alignment vertical="center"/>
    </xf>
    <xf numFmtId="0" fontId="0" fillId="0" borderId="10" xfId="0" applyFill="1" applyBorder="1" applyAlignment="1">
      <alignment horizontal="center" vertical="center"/>
    </xf>
    <xf numFmtId="176" fontId="15" fillId="0" borderId="10" xfId="0" applyNumberFormat="1" applyFont="1" applyFill="1" applyBorder="1" applyAlignment="1">
      <alignment horizontal="right" vertical="center"/>
    </xf>
    <xf numFmtId="0" fontId="0" fillId="0" borderId="12" xfId="0" applyFill="1" applyBorder="1" applyAlignment="1">
      <alignment horizontal="center" vertical="center"/>
    </xf>
    <xf numFmtId="0" fontId="15" fillId="0" borderId="10" xfId="0" applyFont="1" applyFill="1" applyBorder="1" applyAlignment="1">
      <alignment horizontal="left" vertical="center"/>
    </xf>
    <xf numFmtId="0" fontId="15" fillId="0" borderId="10" xfId="0" applyFont="1" applyFill="1" applyBorder="1" applyAlignment="1">
      <alignment horizontal="center" vertical="center"/>
    </xf>
    <xf numFmtId="176" fontId="15" fillId="0" borderId="12" xfId="0" applyNumberFormat="1" applyFont="1" applyFill="1" applyBorder="1" applyAlignment="1">
      <alignment vertical="center"/>
    </xf>
    <xf numFmtId="3" fontId="0" fillId="0" borderId="10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/>
    </xf>
    <xf numFmtId="176" fontId="0" fillId="0" borderId="10" xfId="0" applyNumberFormat="1" applyFill="1" applyBorder="1" applyAlignment="1">
      <alignment vertical="center"/>
    </xf>
    <xf numFmtId="176" fontId="0" fillId="0" borderId="12" xfId="0" applyNumberFormat="1" applyFill="1" applyBorder="1" applyAlignment="1">
      <alignment vertical="center"/>
    </xf>
    <xf numFmtId="176" fontId="0" fillId="0" borderId="10" xfId="0" applyNumberFormat="1" applyFill="1" applyBorder="1" applyAlignment="1">
      <alignment horizontal="right" vertical="center"/>
    </xf>
    <xf numFmtId="3" fontId="18" fillId="0" borderId="10" xfId="0" applyNumberFormat="1" applyFont="1" applyFill="1" applyBorder="1" applyAlignment="1">
      <alignment horizontal="center" vertical="center"/>
    </xf>
    <xf numFmtId="0" fontId="18" fillId="0" borderId="10" xfId="0" applyFont="1" applyFill="1" applyBorder="1">
      <alignment vertical="center"/>
    </xf>
    <xf numFmtId="180" fontId="18" fillId="0" borderId="10" xfId="0" applyNumberFormat="1" applyFont="1" applyFill="1" applyBorder="1" applyAlignment="1">
      <alignment horizontal="center" vertical="center"/>
    </xf>
    <xf numFmtId="176" fontId="18" fillId="0" borderId="10" xfId="0" applyNumberFormat="1" applyFont="1" applyFill="1" applyBorder="1" applyAlignment="1"/>
    <xf numFmtId="0" fontId="18" fillId="0" borderId="10" xfId="0" applyFont="1" applyFill="1" applyBorder="1" applyAlignment="1">
      <alignment horizontal="left" vertical="center" shrinkToFit="1"/>
    </xf>
    <xf numFmtId="0" fontId="0" fillId="0" borderId="10" xfId="0" applyFont="1" applyFill="1" applyBorder="1" applyAlignment="1">
      <alignment horizontal="center" vertical="center"/>
    </xf>
    <xf numFmtId="0" fontId="0" fillId="0" borderId="10" xfId="0" applyFont="1" applyFill="1" applyBorder="1">
      <alignment vertical="center"/>
    </xf>
    <xf numFmtId="3" fontId="0" fillId="0" borderId="11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5" xfId="0" applyFont="1" applyBorder="1">
      <alignment vertical="center"/>
    </xf>
    <xf numFmtId="0" fontId="13" fillId="0" borderId="10" xfId="0" applyFont="1" applyBorder="1">
      <alignment vertical="center"/>
    </xf>
    <xf numFmtId="3" fontId="5" fillId="0" borderId="3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11" xfId="0" applyFont="1" applyBorder="1" applyAlignment="1">
      <alignment vertical="center" shrinkToFit="1"/>
    </xf>
    <xf numFmtId="176" fontId="0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 shrinkToFit="1"/>
    </xf>
    <xf numFmtId="177" fontId="0" fillId="0" borderId="3" xfId="0" applyNumberFormat="1" applyFont="1" applyBorder="1" applyAlignment="1">
      <alignment horizontal="center" vertical="center"/>
    </xf>
    <xf numFmtId="177" fontId="0" fillId="0" borderId="3" xfId="0" applyNumberFormat="1" applyFont="1" applyBorder="1" applyAlignment="1">
      <alignment horizontal="right" vertical="center"/>
    </xf>
    <xf numFmtId="0" fontId="5" fillId="0" borderId="12" xfId="0" applyFont="1" applyBorder="1" applyAlignment="1">
      <alignment horizontal="left" vertical="center"/>
    </xf>
    <xf numFmtId="0" fontId="0" fillId="0" borderId="12" xfId="0" applyFont="1" applyBorder="1">
      <alignment vertical="center"/>
    </xf>
    <xf numFmtId="0" fontId="0" fillId="0" borderId="12" xfId="0" applyFont="1" applyFill="1" applyBorder="1">
      <alignment vertical="center"/>
    </xf>
    <xf numFmtId="0" fontId="15" fillId="0" borderId="12" xfId="0" applyFont="1" applyFill="1" applyBorder="1">
      <alignment vertical="center"/>
    </xf>
    <xf numFmtId="0" fontId="0" fillId="0" borderId="12" xfId="0" applyFill="1" applyBorder="1" applyAlignment="1">
      <alignment vertical="center"/>
    </xf>
    <xf numFmtId="0" fontId="18" fillId="0" borderId="12" xfId="0" applyFont="1" applyFill="1" applyBorder="1" applyAlignment="1">
      <alignment horizontal="left" vertical="center" shrinkToFit="1"/>
    </xf>
    <xf numFmtId="0" fontId="0" fillId="0" borderId="10" xfId="0" applyFont="1" applyBorder="1" applyAlignment="1">
      <alignment vertical="center" shrinkToFit="1"/>
    </xf>
    <xf numFmtId="0" fontId="0" fillId="0" borderId="10" xfId="0" applyFont="1" applyBorder="1" applyAlignment="1">
      <alignment horizontal="center" vertical="center" shrinkToFit="1"/>
    </xf>
    <xf numFmtId="177" fontId="0" fillId="0" borderId="10" xfId="0" applyNumberFormat="1" applyFont="1" applyBorder="1" applyAlignment="1">
      <alignment horizontal="center" vertical="center"/>
    </xf>
    <xf numFmtId="177" fontId="0" fillId="0" borderId="10" xfId="0" applyNumberFormat="1" applyFont="1" applyBorder="1" applyAlignment="1">
      <alignment horizontal="right" vertical="center"/>
    </xf>
    <xf numFmtId="178" fontId="0" fillId="0" borderId="10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176" fontId="0" fillId="0" borderId="10" xfId="0" applyNumberFormat="1" applyFill="1" applyBorder="1" applyAlignment="1">
      <alignment horizontal="center" vertical="center"/>
    </xf>
    <xf numFmtId="0" fontId="0" fillId="0" borderId="2" xfId="0" applyFont="1" applyBorder="1" applyAlignment="1">
      <alignment horizontal="right" vertical="center"/>
    </xf>
    <xf numFmtId="176" fontId="0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176" fontId="18" fillId="0" borderId="10" xfId="0" applyNumberFormat="1" applyFont="1" applyFill="1" applyBorder="1" applyAlignment="1">
      <alignment horizontal="right" vertical="center"/>
    </xf>
    <xf numFmtId="176" fontId="17" fillId="0" borderId="10" xfId="0" applyNumberFormat="1" applyFont="1" applyFill="1" applyBorder="1" applyAlignment="1">
      <alignment horizontal="right" vertical="center"/>
    </xf>
    <xf numFmtId="176" fontId="15" fillId="0" borderId="10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176" fontId="10" fillId="0" borderId="1" xfId="0" applyNumberFormat="1" applyFont="1" applyBorder="1" applyAlignment="1">
      <alignment horizontal="right" vertical="center"/>
    </xf>
    <xf numFmtId="0" fontId="18" fillId="0" borderId="10" xfId="3" applyFill="1" applyBorder="1" applyAlignment="1">
      <alignment horizontal="right" vertical="center"/>
    </xf>
    <xf numFmtId="0" fontId="0" fillId="0" borderId="10" xfId="0" applyNumberFormat="1" applyFill="1" applyBorder="1" applyAlignment="1">
      <alignment horizontal="center" vertical="center"/>
    </xf>
    <xf numFmtId="0" fontId="18" fillId="0" borderId="10" xfId="3" applyFont="1" applyBorder="1"/>
    <xf numFmtId="0" fontId="18" fillId="0" borderId="10" xfId="3" applyFont="1" applyBorder="1" applyAlignment="1">
      <alignment horizontal="right" vertical="center"/>
    </xf>
    <xf numFmtId="176" fontId="15" fillId="0" borderId="12" xfId="0" applyNumberFormat="1" applyFont="1" applyFill="1" applyBorder="1" applyAlignment="1"/>
    <xf numFmtId="0" fontId="18" fillId="0" borderId="10" xfId="3" applyFont="1" applyFill="1" applyBorder="1" applyAlignment="1">
      <alignment vertical="center"/>
    </xf>
    <xf numFmtId="0" fontId="15" fillId="0" borderId="10" xfId="0" applyNumberFormat="1" applyFont="1" applyFill="1" applyBorder="1" applyAlignment="1">
      <alignment horizontal="center" vertical="center"/>
    </xf>
    <xf numFmtId="0" fontId="18" fillId="0" borderId="10" xfId="3" applyFont="1" applyBorder="1" applyAlignment="1">
      <alignment horizontal="left"/>
    </xf>
    <xf numFmtId="176" fontId="15" fillId="0" borderId="10" xfId="0" applyNumberFormat="1" applyFont="1" applyFill="1" applyBorder="1" applyAlignment="1">
      <alignment horizontal="center"/>
    </xf>
    <xf numFmtId="0" fontId="18" fillId="0" borderId="10" xfId="3" applyFont="1" applyBorder="1" applyAlignment="1">
      <alignment vertical="center"/>
    </xf>
    <xf numFmtId="49" fontId="18" fillId="0" borderId="10" xfId="0" applyNumberFormat="1" applyFont="1" applyFill="1" applyBorder="1" applyAlignment="1">
      <alignment vertical="center" shrinkToFit="1"/>
    </xf>
    <xf numFmtId="176" fontId="0" fillId="0" borderId="12" xfId="0" applyNumberFormat="1" applyFill="1" applyBorder="1" applyAlignment="1"/>
    <xf numFmtId="0" fontId="0" fillId="0" borderId="10" xfId="0" applyFill="1" applyBorder="1" applyAlignment="1">
      <alignment horizontal="left" vertical="center" shrinkToFit="1"/>
    </xf>
    <xf numFmtId="0" fontId="15" fillId="0" borderId="10" xfId="0" applyFont="1" applyFill="1" applyBorder="1" applyAlignment="1">
      <alignment horizontal="right" vertical="center"/>
    </xf>
    <xf numFmtId="0" fontId="22" fillId="0" borderId="13" xfId="0" applyFont="1" applyBorder="1" applyAlignment="1"/>
    <xf numFmtId="0" fontId="22" fillId="0" borderId="13" xfId="0" applyFont="1" applyFill="1" applyBorder="1" applyAlignment="1">
      <alignment horizontal="center"/>
    </xf>
    <xf numFmtId="0" fontId="0" fillId="0" borderId="13" xfId="0" applyBorder="1" applyAlignment="1">
      <alignment horizontal="right" vertical="center"/>
    </xf>
    <xf numFmtId="0" fontId="0" fillId="0" borderId="14" xfId="0" applyBorder="1">
      <alignment vertical="center"/>
    </xf>
    <xf numFmtId="0" fontId="22" fillId="0" borderId="13" xfId="0" applyFont="1" applyFill="1" applyBorder="1" applyAlignment="1"/>
    <xf numFmtId="0" fontId="0" fillId="0" borderId="14" xfId="0" applyFill="1" applyBorder="1">
      <alignment vertical="center"/>
    </xf>
    <xf numFmtId="0" fontId="20" fillId="0" borderId="10" xfId="0" applyFont="1" applyFill="1" applyBorder="1">
      <alignment vertical="center"/>
    </xf>
    <xf numFmtId="49" fontId="0" fillId="0" borderId="10" xfId="0" applyNumberFormat="1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left" vertical="center"/>
    </xf>
    <xf numFmtId="0" fontId="13" fillId="0" borderId="10" xfId="0" applyFont="1" applyFill="1" applyBorder="1">
      <alignment vertical="center"/>
    </xf>
    <xf numFmtId="0" fontId="0" fillId="0" borderId="3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3" fontId="5" fillId="0" borderId="6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3" fillId="0" borderId="15" xfId="0" applyFont="1" applyBorder="1">
      <alignment vertical="center"/>
    </xf>
    <xf numFmtId="0" fontId="19" fillId="0" borderId="10" xfId="0" applyFont="1" applyFill="1" applyBorder="1">
      <alignment vertical="center"/>
    </xf>
    <xf numFmtId="0" fontId="0" fillId="7" borderId="0" xfId="0" applyFont="1" applyFill="1" applyAlignment="1">
      <alignment horizontal="right" vertical="center"/>
    </xf>
    <xf numFmtId="0" fontId="24" fillId="0" borderId="0" xfId="0" applyFont="1" applyAlignment="1">
      <alignment horizontal="left" vertical="center"/>
    </xf>
    <xf numFmtId="0" fontId="24" fillId="7" borderId="10" xfId="0" applyFont="1" applyFill="1" applyBorder="1" applyAlignment="1">
      <alignment horizontal="right" vertical="center"/>
    </xf>
    <xf numFmtId="0" fontId="25" fillId="7" borderId="1" xfId="0" applyFont="1" applyFill="1" applyBorder="1" applyAlignment="1">
      <alignment horizontal="right" vertical="center"/>
    </xf>
    <xf numFmtId="0" fontId="5" fillId="0" borderId="1" xfId="0" applyFont="1" applyFill="1" applyBorder="1" applyAlignment="1"/>
    <xf numFmtId="176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176" fontId="0" fillId="0" borderId="1" xfId="0" applyNumberFormat="1" applyFont="1" applyFill="1" applyBorder="1" applyAlignment="1"/>
    <xf numFmtId="0" fontId="5" fillId="0" borderId="3" xfId="0" applyFont="1" applyFill="1" applyBorder="1" applyAlignment="1"/>
    <xf numFmtId="0" fontId="6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right" vertical="center"/>
    </xf>
    <xf numFmtId="176" fontId="6" fillId="0" borderId="3" xfId="0" applyNumberFormat="1" applyFont="1" applyFill="1" applyBorder="1" applyAlignment="1">
      <alignment horizontal="right" vertical="center"/>
    </xf>
    <xf numFmtId="176" fontId="6" fillId="0" borderId="3" xfId="0" applyNumberFormat="1" applyFont="1" applyFill="1" applyBorder="1" applyAlignment="1"/>
    <xf numFmtId="0" fontId="5" fillId="0" borderId="3" xfId="0" applyFont="1" applyFill="1" applyBorder="1">
      <alignment vertical="center"/>
    </xf>
    <xf numFmtId="0" fontId="13" fillId="0" borderId="1" xfId="0" applyFont="1" applyBorder="1" applyAlignment="1">
      <alignment horizontal="left" vertical="center"/>
    </xf>
    <xf numFmtId="0" fontId="24" fillId="0" borderId="13" xfId="0" applyFont="1" applyFill="1" applyBorder="1" applyAlignment="1">
      <alignment horizontal="right" vertical="center"/>
    </xf>
    <xf numFmtId="0" fontId="13" fillId="0" borderId="13" xfId="0" applyFont="1" applyFill="1" applyBorder="1" applyAlignment="1">
      <alignment horizontal="right" vertical="center"/>
    </xf>
    <xf numFmtId="56" fontId="0" fillId="0" borderId="10" xfId="0" applyNumberFormat="1" applyFont="1" applyBorder="1" applyAlignment="1">
      <alignment horizontal="center" vertical="center"/>
    </xf>
    <xf numFmtId="179" fontId="0" fillId="0" borderId="10" xfId="0" applyNumberFormat="1" applyFont="1" applyBorder="1">
      <alignment vertical="center"/>
    </xf>
    <xf numFmtId="179" fontId="0" fillId="0" borderId="1" xfId="0" applyNumberFormat="1" applyFont="1" applyBorder="1">
      <alignment vertical="center"/>
    </xf>
    <xf numFmtId="0" fontId="0" fillId="0" borderId="16" xfId="0" applyFont="1" applyBorder="1">
      <alignment vertical="center"/>
    </xf>
    <xf numFmtId="0" fontId="0" fillId="0" borderId="16" xfId="0" applyFont="1" applyBorder="1" applyAlignment="1">
      <alignment horizontal="right" vertical="center"/>
    </xf>
    <xf numFmtId="179" fontId="13" fillId="0" borderId="10" xfId="0" applyNumberFormat="1" applyFont="1" applyBorder="1" applyAlignment="1">
      <alignment horizontal="center" vertical="center"/>
    </xf>
    <xf numFmtId="179" fontId="0" fillId="0" borderId="10" xfId="0" applyNumberFormat="1" applyFont="1" applyBorder="1" applyAlignment="1">
      <alignment horizontal="center" vertical="center"/>
    </xf>
    <xf numFmtId="178" fontId="13" fillId="0" borderId="1" xfId="0" applyNumberFormat="1" applyFont="1" applyBorder="1" applyAlignment="1">
      <alignment horizontal="center" vertical="center"/>
    </xf>
    <xf numFmtId="179" fontId="13" fillId="7" borderId="16" xfId="0" applyNumberFormat="1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0" fillId="0" borderId="0" xfId="0" applyNumberFormat="1" applyFont="1" applyAlignment="1">
      <alignment horizontal="center" vertical="center"/>
    </xf>
    <xf numFmtId="177" fontId="13" fillId="0" borderId="16" xfId="0" applyNumberFormat="1" applyFont="1" applyBorder="1" applyAlignment="1">
      <alignment horizontal="center" vertical="center"/>
    </xf>
    <xf numFmtId="177" fontId="13" fillId="0" borderId="10" xfId="0" applyNumberFormat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8" borderId="10" xfId="0" applyNumberFormat="1" applyFill="1" applyBorder="1" applyAlignment="1">
      <alignment horizontal="center" vertical="center"/>
    </xf>
    <xf numFmtId="0" fontId="22" fillId="8" borderId="13" xfId="0" applyFont="1" applyFill="1" applyBorder="1" applyAlignment="1"/>
    <xf numFmtId="0" fontId="22" fillId="8" borderId="13" xfId="0" applyFont="1" applyFill="1" applyBorder="1" applyAlignment="1">
      <alignment horizontal="center"/>
    </xf>
    <xf numFmtId="0" fontId="13" fillId="8" borderId="13" xfId="0" applyFont="1" applyFill="1" applyBorder="1" applyAlignment="1">
      <alignment horizontal="right" vertical="center"/>
    </xf>
    <xf numFmtId="176" fontId="0" fillId="8" borderId="10" xfId="0" applyNumberFormat="1" applyFill="1" applyBorder="1" applyAlignment="1">
      <alignment horizontal="right" vertical="center"/>
    </xf>
    <xf numFmtId="0" fontId="0" fillId="8" borderId="14" xfId="0" applyFill="1" applyBorder="1">
      <alignment vertical="center"/>
    </xf>
    <xf numFmtId="0" fontId="0" fillId="8" borderId="10" xfId="0" applyFont="1" applyFill="1" applyBorder="1">
      <alignment vertical="center"/>
    </xf>
    <xf numFmtId="0" fontId="0" fillId="8" borderId="10" xfId="0" applyFont="1" applyFill="1" applyBorder="1" applyAlignment="1">
      <alignment horizontal="center" vertical="center"/>
    </xf>
    <xf numFmtId="56" fontId="0" fillId="8" borderId="10" xfId="0" applyNumberFormat="1" applyFont="1" applyFill="1" applyBorder="1" applyAlignment="1">
      <alignment horizontal="center" vertical="center"/>
    </xf>
    <xf numFmtId="0" fontId="0" fillId="8" borderId="10" xfId="0" applyFont="1" applyFill="1" applyBorder="1" applyAlignment="1">
      <alignment horizontal="right" vertical="center"/>
    </xf>
    <xf numFmtId="177" fontId="13" fillId="8" borderId="10" xfId="0" applyNumberFormat="1" applyFont="1" applyFill="1" applyBorder="1" applyAlignment="1">
      <alignment horizontal="center" vertical="center"/>
    </xf>
    <xf numFmtId="0" fontId="13" fillId="8" borderId="0" xfId="0" applyFont="1" applyFill="1">
      <alignment vertical="center"/>
    </xf>
    <xf numFmtId="0" fontId="0" fillId="8" borderId="0" xfId="0" applyFont="1" applyFill="1">
      <alignment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/>
    </xf>
    <xf numFmtId="176" fontId="9" fillId="0" borderId="8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21" fillId="2" borderId="10" xfId="0" applyNumberFormat="1" applyFont="1" applyFill="1" applyBorder="1" applyAlignment="1">
      <alignment horizontal="center" vertical="center"/>
    </xf>
    <xf numFmtId="3" fontId="2" fillId="2" borderId="10" xfId="0" applyNumberFormat="1" applyFont="1" applyFill="1" applyBorder="1" applyAlignment="1">
      <alignment horizontal="center" vertical="center"/>
    </xf>
    <xf numFmtId="176" fontId="9" fillId="5" borderId="2" xfId="0" applyNumberFormat="1" applyFont="1" applyFill="1" applyBorder="1" applyAlignment="1">
      <alignment horizontal="center" vertical="center"/>
    </xf>
    <xf numFmtId="176" fontId="9" fillId="5" borderId="7" xfId="0" applyNumberFormat="1" applyFont="1" applyFill="1" applyBorder="1" applyAlignment="1">
      <alignment horizontal="center" vertical="center"/>
    </xf>
    <xf numFmtId="176" fontId="9" fillId="5" borderId="8" xfId="0" applyNumberFormat="1" applyFont="1" applyFill="1" applyBorder="1" applyAlignment="1">
      <alignment horizontal="center" vertical="center"/>
    </xf>
  </cellXfs>
  <cellStyles count="4">
    <cellStyle name="ハイパーリンク" xfId="2"/>
    <cellStyle name="標準" xfId="0" builtinId="0"/>
    <cellStyle name="標準_発注管理表" xfId="3"/>
    <cellStyle name="表示済みのハイパーリンク" xfId="1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18"/>
  <sheetViews>
    <sheetView zoomScale="85" workbookViewId="0">
      <pane xSplit="10" ySplit="8" topLeftCell="K9" activePane="bottomRight" state="frozen"/>
      <selection activeCell="E28" sqref="E28"/>
      <selection pane="topRight" activeCell="E28" sqref="E28"/>
      <selection pane="bottomLeft" activeCell="E28" sqref="E28"/>
      <selection pane="bottomRight" activeCell="E28" sqref="E28"/>
    </sheetView>
  </sheetViews>
  <sheetFormatPr defaultColWidth="11.75" defaultRowHeight="13.5" customHeight="1" x14ac:dyDescent="0.15"/>
  <cols>
    <col min="1" max="1" width="3.125" style="4" customWidth="1"/>
    <col min="2" max="2" width="6.25" style="9" customWidth="1"/>
    <col min="3" max="3" width="15.25" style="4" customWidth="1"/>
    <col min="4" max="4" width="15.5" style="4" customWidth="1"/>
    <col min="5" max="5" width="43.875" style="4" customWidth="1"/>
    <col min="6" max="6" width="10.75" style="4" customWidth="1"/>
    <col min="7" max="8" width="12.125" style="4" customWidth="1"/>
    <col min="9" max="9" width="7.125" style="19" customWidth="1"/>
    <col min="10" max="10" width="55.25" style="4" customWidth="1"/>
    <col min="11" max="11" width="22.125" style="4" customWidth="1"/>
    <col min="12" max="12" width="8.125" style="9" customWidth="1"/>
    <col min="13" max="13" width="17" style="9" customWidth="1"/>
    <col min="14" max="14" width="7.875" style="4" customWidth="1"/>
    <col min="15" max="15" width="16.375" style="19" customWidth="1"/>
    <col min="16" max="16" width="17.875" style="22" customWidth="1"/>
    <col min="17" max="17" width="19.375" style="22" customWidth="1"/>
  </cols>
  <sheetData>
    <row r="2" spans="2:17" ht="20.100000000000001" customHeight="1" x14ac:dyDescent="0.15">
      <c r="B2" s="257" t="s">
        <v>0</v>
      </c>
      <c r="C2" s="257"/>
      <c r="D2" s="257"/>
      <c r="E2" s="16" t="s">
        <v>1</v>
      </c>
      <c r="G2" s="254" t="s">
        <v>2</v>
      </c>
      <c r="H2" s="255"/>
      <c r="I2" s="256"/>
      <c r="J2" s="18">
        <f>SUM(H:H)</f>
        <v>412688</v>
      </c>
      <c r="K2" s="10"/>
      <c r="L2" s="14"/>
    </row>
    <row r="3" spans="2:17" ht="20.100000000000001" customHeight="1" x14ac:dyDescent="0.15">
      <c r="B3" s="257" t="s">
        <v>3</v>
      </c>
      <c r="C3" s="257"/>
      <c r="D3" s="257"/>
      <c r="E3" s="16" t="s">
        <v>4</v>
      </c>
    </row>
    <row r="4" spans="2:17" ht="20.100000000000001" customHeight="1" x14ac:dyDescent="0.15">
      <c r="B4" s="257" t="s">
        <v>5</v>
      </c>
      <c r="C4" s="257"/>
      <c r="D4" s="257"/>
      <c r="E4" s="16"/>
    </row>
    <row r="5" spans="2:17" ht="20.100000000000001" customHeight="1" x14ac:dyDescent="0.15">
      <c r="B5" s="257" t="s">
        <v>6</v>
      </c>
      <c r="C5" s="257"/>
      <c r="D5" s="257"/>
      <c r="E5" s="17">
        <v>42165</v>
      </c>
    </row>
    <row r="6" spans="2:17" ht="20.100000000000001" customHeight="1" x14ac:dyDescent="0.15">
      <c r="B6" s="257" t="s">
        <v>7</v>
      </c>
      <c r="C6" s="257"/>
      <c r="D6" s="257"/>
      <c r="E6" s="17">
        <v>42170</v>
      </c>
    </row>
    <row r="8" spans="2:17" s="7" customFormat="1" ht="19.5" customHeight="1" x14ac:dyDescent="0.15">
      <c r="B8" s="8" t="s">
        <v>8</v>
      </c>
      <c r="C8" s="8" t="s">
        <v>9</v>
      </c>
      <c r="D8" s="8" t="s">
        <v>10</v>
      </c>
      <c r="E8" s="5" t="s">
        <v>11</v>
      </c>
      <c r="F8" s="5" t="s">
        <v>12</v>
      </c>
      <c r="G8" s="5" t="s">
        <v>13</v>
      </c>
      <c r="H8" s="6" t="s">
        <v>14</v>
      </c>
      <c r="I8" s="6" t="s">
        <v>15</v>
      </c>
      <c r="J8" s="5" t="s">
        <v>16</v>
      </c>
      <c r="K8" s="5" t="s">
        <v>17</v>
      </c>
      <c r="L8" s="5" t="s">
        <v>18</v>
      </c>
      <c r="M8" s="26" t="s">
        <v>19</v>
      </c>
      <c r="N8" s="8" t="s">
        <v>20</v>
      </c>
      <c r="O8" s="5" t="s">
        <v>21</v>
      </c>
      <c r="P8" s="26" t="s">
        <v>22</v>
      </c>
      <c r="Q8" s="15" t="s">
        <v>23</v>
      </c>
    </row>
    <row r="9" spans="2:17" s="7" customFormat="1" ht="19.5" customHeight="1" x14ac:dyDescent="0.15">
      <c r="B9" s="8"/>
      <c r="C9" s="8"/>
      <c r="D9" s="8"/>
      <c r="E9" s="12"/>
      <c r="F9" s="68"/>
      <c r="G9" s="13"/>
      <c r="H9" s="13"/>
      <c r="I9" s="21"/>
      <c r="J9" s="69"/>
      <c r="K9" s="5"/>
      <c r="L9" s="5"/>
      <c r="M9" s="26"/>
      <c r="N9" s="8"/>
      <c r="O9" s="5"/>
      <c r="P9" s="26"/>
      <c r="Q9" s="15"/>
    </row>
    <row r="10" spans="2:17" s="37" customFormat="1" ht="18" customHeight="1" x14ac:dyDescent="0.15">
      <c r="B10" s="261" t="s">
        <v>24</v>
      </c>
      <c r="C10" s="262"/>
      <c r="D10" s="262"/>
      <c r="E10" s="263"/>
      <c r="F10" s="44"/>
      <c r="G10" s="25"/>
      <c r="H10" s="13"/>
      <c r="I10" s="21"/>
      <c r="J10" s="45"/>
      <c r="K10" s="12"/>
      <c r="L10" s="11"/>
      <c r="M10" s="26"/>
      <c r="N10" s="15"/>
      <c r="O10" s="20"/>
      <c r="P10" s="26"/>
      <c r="Q10" s="24"/>
    </row>
    <row r="11" spans="2:17" s="37" customFormat="1" ht="18" customHeight="1" x14ac:dyDescent="0.15">
      <c r="B11" s="28"/>
      <c r="C11" s="35" t="s">
        <v>25</v>
      </c>
      <c r="D11" s="35" t="s">
        <v>25</v>
      </c>
      <c r="E11" s="36" t="s">
        <v>26</v>
      </c>
      <c r="F11" s="44">
        <v>1</v>
      </c>
      <c r="G11" s="87">
        <v>4500</v>
      </c>
      <c r="H11" s="13">
        <f t="shared" ref="H11:H33" si="0">F11*G11</f>
        <v>4500</v>
      </c>
      <c r="I11" s="21"/>
      <c r="J11" s="36" t="s">
        <v>26</v>
      </c>
      <c r="K11" s="12"/>
      <c r="L11" s="11"/>
      <c r="M11" s="26"/>
      <c r="N11" s="15"/>
      <c r="O11" s="20"/>
      <c r="P11" s="26"/>
      <c r="Q11" s="24"/>
    </row>
    <row r="12" spans="2:17" s="37" customFormat="1" ht="18" customHeight="1" x14ac:dyDescent="0.15">
      <c r="B12" s="28"/>
      <c r="C12" s="35" t="s">
        <v>25</v>
      </c>
      <c r="D12" s="35" t="s">
        <v>25</v>
      </c>
      <c r="E12" s="45" t="s">
        <v>27</v>
      </c>
      <c r="F12" s="44">
        <v>1</v>
      </c>
      <c r="G12" s="87">
        <v>4500</v>
      </c>
      <c r="H12" s="13">
        <f t="shared" si="0"/>
        <v>4500</v>
      </c>
      <c r="I12" s="21"/>
      <c r="J12" s="45" t="s">
        <v>27</v>
      </c>
      <c r="K12" s="12"/>
      <c r="L12" s="11"/>
      <c r="M12" s="26"/>
      <c r="N12" s="15"/>
      <c r="O12" s="20"/>
      <c r="P12" s="26"/>
      <c r="Q12" s="24"/>
    </row>
    <row r="13" spans="2:17" s="37" customFormat="1" ht="18" customHeight="1" x14ac:dyDescent="0.15">
      <c r="B13" s="28"/>
      <c r="C13" s="35" t="s">
        <v>25</v>
      </c>
      <c r="D13" s="35" t="s">
        <v>25</v>
      </c>
      <c r="E13" s="45" t="s">
        <v>28</v>
      </c>
      <c r="F13" s="44">
        <v>2</v>
      </c>
      <c r="G13" s="87">
        <v>3500</v>
      </c>
      <c r="H13" s="13">
        <f t="shared" si="0"/>
        <v>7000</v>
      </c>
      <c r="I13" s="21"/>
      <c r="J13" s="45" t="s">
        <v>28</v>
      </c>
      <c r="K13" s="12"/>
      <c r="L13" s="11"/>
      <c r="M13" s="26"/>
      <c r="N13" s="15"/>
      <c r="O13" s="20"/>
      <c r="P13" s="26"/>
      <c r="Q13" s="24"/>
    </row>
    <row r="14" spans="2:17" s="37" customFormat="1" ht="18" customHeight="1" x14ac:dyDescent="0.15">
      <c r="B14" s="28"/>
      <c r="C14" s="35" t="s">
        <v>25</v>
      </c>
      <c r="D14" s="35" t="s">
        <v>25</v>
      </c>
      <c r="E14" s="36" t="s">
        <v>29</v>
      </c>
      <c r="F14" s="44">
        <v>1</v>
      </c>
      <c r="G14" s="87">
        <v>4000</v>
      </c>
      <c r="H14" s="13">
        <f t="shared" si="0"/>
        <v>4000</v>
      </c>
      <c r="I14" s="21"/>
      <c r="J14" s="36" t="s">
        <v>29</v>
      </c>
      <c r="K14" s="12"/>
      <c r="L14" s="11"/>
      <c r="M14" s="26"/>
      <c r="N14" s="15"/>
      <c r="O14" s="20"/>
      <c r="P14" s="26"/>
      <c r="Q14" s="24"/>
    </row>
    <row r="15" spans="2:17" s="37" customFormat="1" ht="18" customHeight="1" x14ac:dyDescent="0.15">
      <c r="B15" s="28"/>
      <c r="C15" s="35" t="s">
        <v>25</v>
      </c>
      <c r="D15" s="35" t="s">
        <v>25</v>
      </c>
      <c r="E15" s="36" t="s">
        <v>30</v>
      </c>
      <c r="F15" s="44">
        <v>1</v>
      </c>
      <c r="G15" s="87">
        <v>4000</v>
      </c>
      <c r="H15" s="13">
        <f t="shared" si="0"/>
        <v>4000</v>
      </c>
      <c r="I15" s="21"/>
      <c r="J15" s="36" t="s">
        <v>30</v>
      </c>
      <c r="K15" s="12"/>
      <c r="L15" s="11"/>
      <c r="M15" s="26"/>
      <c r="N15" s="15"/>
      <c r="O15" s="20"/>
      <c r="P15" s="26"/>
      <c r="Q15" s="24"/>
    </row>
    <row r="16" spans="2:17" s="37" customFormat="1" ht="18" customHeight="1" x14ac:dyDescent="0.15">
      <c r="B16" s="28"/>
      <c r="C16" s="35" t="s">
        <v>25</v>
      </c>
      <c r="D16" s="35" t="s">
        <v>25</v>
      </c>
      <c r="E16" s="36" t="s">
        <v>31</v>
      </c>
      <c r="F16" s="44">
        <v>1</v>
      </c>
      <c r="G16" s="87">
        <v>7500</v>
      </c>
      <c r="H16" s="13">
        <f t="shared" si="0"/>
        <v>7500</v>
      </c>
      <c r="I16" s="21"/>
      <c r="J16" s="36" t="s">
        <v>31</v>
      </c>
      <c r="K16" s="12"/>
      <c r="L16" s="11"/>
      <c r="M16" s="26"/>
      <c r="N16" s="15"/>
      <c r="O16" s="20"/>
      <c r="P16" s="26"/>
      <c r="Q16" s="24"/>
    </row>
    <row r="17" spans="2:17" s="37" customFormat="1" ht="18" customHeight="1" x14ac:dyDescent="0.15">
      <c r="B17" s="28"/>
      <c r="C17" s="35" t="s">
        <v>25</v>
      </c>
      <c r="D17" s="35" t="s">
        <v>25</v>
      </c>
      <c r="E17" s="36" t="s">
        <v>32</v>
      </c>
      <c r="F17" s="44">
        <v>1</v>
      </c>
      <c r="G17" s="87">
        <v>18000</v>
      </c>
      <c r="H17" s="13">
        <f t="shared" si="0"/>
        <v>18000</v>
      </c>
      <c r="I17" s="21"/>
      <c r="J17" s="36" t="s">
        <v>32</v>
      </c>
      <c r="K17" s="12"/>
      <c r="L17" s="11"/>
      <c r="M17" s="26"/>
      <c r="N17" s="15"/>
      <c r="O17" s="20"/>
      <c r="P17" s="26"/>
      <c r="Q17" s="24"/>
    </row>
    <row r="18" spans="2:17" s="37" customFormat="1" ht="18" customHeight="1" x14ac:dyDescent="0.15">
      <c r="B18" s="28"/>
      <c r="C18" s="35" t="s">
        <v>25</v>
      </c>
      <c r="D18" s="35" t="s">
        <v>25</v>
      </c>
      <c r="E18" s="36" t="s">
        <v>33</v>
      </c>
      <c r="F18" s="44">
        <v>1</v>
      </c>
      <c r="G18" s="87">
        <v>8000</v>
      </c>
      <c r="H18" s="13">
        <f t="shared" si="0"/>
        <v>8000</v>
      </c>
      <c r="I18" s="21"/>
      <c r="J18" s="36" t="s">
        <v>33</v>
      </c>
      <c r="K18" s="12"/>
      <c r="L18" s="11"/>
      <c r="M18" s="26"/>
      <c r="N18" s="15"/>
      <c r="O18" s="20"/>
      <c r="P18" s="26"/>
      <c r="Q18" s="24"/>
    </row>
    <row r="19" spans="2:17" s="37" customFormat="1" ht="18" customHeight="1" x14ac:dyDescent="0.15">
      <c r="B19" s="28"/>
      <c r="C19" s="35" t="s">
        <v>25</v>
      </c>
      <c r="D19" s="35" t="s">
        <v>25</v>
      </c>
      <c r="E19" s="36" t="s">
        <v>34</v>
      </c>
      <c r="F19" s="44">
        <v>1</v>
      </c>
      <c r="G19" s="87">
        <v>3000</v>
      </c>
      <c r="H19" s="13">
        <f t="shared" si="0"/>
        <v>3000</v>
      </c>
      <c r="I19" s="21"/>
      <c r="J19" s="36" t="s">
        <v>34</v>
      </c>
      <c r="K19" s="12"/>
      <c r="L19" s="11"/>
      <c r="M19" s="26"/>
      <c r="N19" s="15"/>
      <c r="O19" s="20"/>
      <c r="P19" s="26"/>
      <c r="Q19" s="24"/>
    </row>
    <row r="20" spans="2:17" s="37" customFormat="1" ht="18" customHeight="1" x14ac:dyDescent="0.15">
      <c r="B20" s="28"/>
      <c r="C20" s="35" t="s">
        <v>25</v>
      </c>
      <c r="D20" s="35" t="s">
        <v>25</v>
      </c>
      <c r="E20" s="36" t="s">
        <v>35</v>
      </c>
      <c r="F20" s="44">
        <v>1</v>
      </c>
      <c r="G20" s="87">
        <v>3500</v>
      </c>
      <c r="H20" s="13">
        <f t="shared" si="0"/>
        <v>3500</v>
      </c>
      <c r="I20" s="21"/>
      <c r="J20" s="36" t="s">
        <v>35</v>
      </c>
      <c r="K20" s="12"/>
      <c r="L20" s="11"/>
      <c r="M20" s="26"/>
      <c r="N20" s="15"/>
      <c r="O20" s="20"/>
      <c r="P20" s="26"/>
      <c r="Q20" s="24"/>
    </row>
    <row r="21" spans="2:17" s="37" customFormat="1" ht="18" customHeight="1" x14ac:dyDescent="0.15">
      <c r="B21" s="28"/>
      <c r="C21" s="35" t="s">
        <v>25</v>
      </c>
      <c r="D21" s="35" t="s">
        <v>25</v>
      </c>
      <c r="E21" s="36" t="s">
        <v>36</v>
      </c>
      <c r="F21" s="44">
        <v>1</v>
      </c>
      <c r="G21" s="87">
        <v>12500</v>
      </c>
      <c r="H21" s="13">
        <f t="shared" si="0"/>
        <v>12500</v>
      </c>
      <c r="I21" s="21"/>
      <c r="J21" s="36" t="s">
        <v>36</v>
      </c>
      <c r="K21" s="12"/>
      <c r="L21" s="11"/>
      <c r="M21" s="26"/>
      <c r="N21" s="15"/>
      <c r="O21" s="20"/>
      <c r="P21" s="26"/>
      <c r="Q21" s="24"/>
    </row>
    <row r="22" spans="2:17" s="37" customFormat="1" ht="18" customHeight="1" x14ac:dyDescent="0.15">
      <c r="B22" s="28"/>
      <c r="C22" s="30" t="s">
        <v>37</v>
      </c>
      <c r="D22" s="30" t="s">
        <v>37</v>
      </c>
      <c r="E22" s="94" t="s">
        <v>38</v>
      </c>
      <c r="F22" s="30">
        <v>1</v>
      </c>
      <c r="G22" s="94">
        <v>6899</v>
      </c>
      <c r="H22" s="65">
        <f t="shared" si="0"/>
        <v>6899</v>
      </c>
      <c r="I22" s="66"/>
      <c r="J22" s="34" t="s">
        <v>39</v>
      </c>
      <c r="K22" s="12"/>
      <c r="L22" s="11"/>
      <c r="M22" s="26"/>
      <c r="N22" s="15"/>
      <c r="O22" s="20"/>
      <c r="P22" s="26"/>
      <c r="Q22" s="24"/>
    </row>
    <row r="23" spans="2:17" s="37" customFormat="1" ht="18" customHeight="1" x14ac:dyDescent="0.15">
      <c r="B23" s="28"/>
      <c r="C23" s="30" t="s">
        <v>37</v>
      </c>
      <c r="D23" s="30" t="s">
        <v>37</v>
      </c>
      <c r="E23" s="94" t="s">
        <v>40</v>
      </c>
      <c r="F23" s="30">
        <v>1</v>
      </c>
      <c r="G23" s="94">
        <v>6899</v>
      </c>
      <c r="H23" s="65">
        <f t="shared" si="0"/>
        <v>6899</v>
      </c>
      <c r="I23" s="66"/>
      <c r="J23" s="34" t="s">
        <v>41</v>
      </c>
      <c r="K23" s="12"/>
      <c r="L23" s="11"/>
      <c r="M23" s="26"/>
      <c r="N23" s="15"/>
      <c r="O23" s="20"/>
      <c r="P23" s="26"/>
      <c r="Q23" s="24"/>
    </row>
    <row r="24" spans="2:17" s="37" customFormat="1" ht="18" customHeight="1" x14ac:dyDescent="0.15">
      <c r="B24" s="28"/>
      <c r="C24" s="23" t="s">
        <v>37</v>
      </c>
      <c r="D24" s="23" t="s">
        <v>37</v>
      </c>
      <c r="E24" s="93" t="s">
        <v>42</v>
      </c>
      <c r="F24" s="89">
        <v>1</v>
      </c>
      <c r="G24" s="94">
        <v>16000</v>
      </c>
      <c r="H24" s="32">
        <f t="shared" si="0"/>
        <v>16000</v>
      </c>
      <c r="I24" s="21"/>
      <c r="J24" s="35" t="s">
        <v>43</v>
      </c>
      <c r="K24" s="12"/>
      <c r="L24" s="11"/>
      <c r="M24" s="26"/>
      <c r="N24" s="15"/>
      <c r="O24" s="20"/>
      <c r="P24" s="26"/>
      <c r="Q24" s="24"/>
    </row>
    <row r="25" spans="2:17" s="37" customFormat="1" ht="18" customHeight="1" x14ac:dyDescent="0.15">
      <c r="B25" s="28"/>
      <c r="C25" s="23" t="s">
        <v>37</v>
      </c>
      <c r="D25" s="23" t="s">
        <v>37</v>
      </c>
      <c r="E25" s="83" t="s">
        <v>44</v>
      </c>
      <c r="F25" s="81">
        <v>2</v>
      </c>
      <c r="G25" s="94">
        <v>570</v>
      </c>
      <c r="H25" s="32">
        <f t="shared" si="0"/>
        <v>1140</v>
      </c>
      <c r="I25" s="6"/>
      <c r="J25" s="35" t="s">
        <v>45</v>
      </c>
      <c r="K25" s="12"/>
      <c r="L25" s="11"/>
      <c r="M25" s="26"/>
      <c r="N25" s="15"/>
      <c r="O25" s="20"/>
      <c r="P25" s="26"/>
      <c r="Q25" s="24"/>
    </row>
    <row r="26" spans="2:17" s="37" customFormat="1" ht="18" customHeight="1" x14ac:dyDescent="0.15">
      <c r="B26" s="28"/>
      <c r="C26" s="23" t="s">
        <v>37</v>
      </c>
      <c r="D26" s="23" t="s">
        <v>37</v>
      </c>
      <c r="E26" s="95" t="s">
        <v>46</v>
      </c>
      <c r="F26" s="81">
        <v>26</v>
      </c>
      <c r="G26" s="94">
        <v>99</v>
      </c>
      <c r="H26" s="32">
        <f t="shared" si="0"/>
        <v>2574</v>
      </c>
      <c r="I26" s="6"/>
      <c r="J26" s="90" t="s">
        <v>47</v>
      </c>
      <c r="K26" s="12"/>
      <c r="L26" s="11"/>
      <c r="M26" s="26"/>
      <c r="N26" s="15"/>
      <c r="O26" s="20"/>
      <c r="P26" s="26"/>
      <c r="Q26" s="24"/>
    </row>
    <row r="27" spans="2:17" s="37" customFormat="1" ht="18" customHeight="1" x14ac:dyDescent="0.15">
      <c r="B27" s="28"/>
      <c r="C27" s="23" t="s">
        <v>37</v>
      </c>
      <c r="D27" s="23" t="s">
        <v>37</v>
      </c>
      <c r="E27" s="95" t="s">
        <v>48</v>
      </c>
      <c r="F27" s="81">
        <v>2</v>
      </c>
      <c r="G27" s="94">
        <v>99</v>
      </c>
      <c r="H27" s="32">
        <f t="shared" si="0"/>
        <v>198</v>
      </c>
      <c r="I27" s="6"/>
      <c r="J27" s="90" t="s">
        <v>49</v>
      </c>
      <c r="K27" s="12"/>
      <c r="L27" s="11"/>
      <c r="M27" s="26"/>
      <c r="N27" s="15"/>
      <c r="O27" s="20"/>
      <c r="P27" s="26"/>
      <c r="Q27" s="24"/>
    </row>
    <row r="28" spans="2:17" s="37" customFormat="1" ht="18" customHeight="1" x14ac:dyDescent="0.15">
      <c r="B28" s="28"/>
      <c r="C28" s="8" t="s">
        <v>37</v>
      </c>
      <c r="D28" s="8" t="s">
        <v>37</v>
      </c>
      <c r="E28" s="91" t="s">
        <v>50</v>
      </c>
      <c r="F28" s="92">
        <v>4</v>
      </c>
      <c r="G28" s="13">
        <v>75</v>
      </c>
      <c r="H28" s="13">
        <f t="shared" si="0"/>
        <v>300</v>
      </c>
      <c r="I28" s="13"/>
      <c r="J28" s="64" t="s">
        <v>51</v>
      </c>
      <c r="K28" s="12"/>
      <c r="L28" s="11"/>
      <c r="M28" s="26"/>
      <c r="N28" s="15"/>
      <c r="O28" s="20"/>
      <c r="P28" s="26"/>
      <c r="Q28" s="24"/>
    </row>
    <row r="29" spans="2:17" s="37" customFormat="1" ht="18" customHeight="1" x14ac:dyDescent="0.15">
      <c r="B29" s="28"/>
      <c r="C29" s="8" t="s">
        <v>37</v>
      </c>
      <c r="D29" s="8" t="s">
        <v>37</v>
      </c>
      <c r="E29" s="91" t="s">
        <v>52</v>
      </c>
      <c r="F29" s="92">
        <v>8</v>
      </c>
      <c r="G29" s="84">
        <v>80</v>
      </c>
      <c r="H29" s="13">
        <f t="shared" si="0"/>
        <v>640</v>
      </c>
      <c r="I29" s="13"/>
      <c r="J29" s="64" t="s">
        <v>53</v>
      </c>
      <c r="K29" s="12"/>
      <c r="L29" s="11"/>
      <c r="M29" s="26"/>
      <c r="N29" s="15"/>
      <c r="O29" s="20"/>
      <c r="P29" s="26"/>
      <c r="Q29" s="24"/>
    </row>
    <row r="30" spans="2:17" s="37" customFormat="1" ht="18" customHeight="1" x14ac:dyDescent="0.15">
      <c r="B30" s="28"/>
      <c r="C30" s="8" t="s">
        <v>37</v>
      </c>
      <c r="D30" s="8" t="s">
        <v>37</v>
      </c>
      <c r="E30" s="91" t="s">
        <v>54</v>
      </c>
      <c r="F30" s="92">
        <v>2</v>
      </c>
      <c r="G30" s="84">
        <v>88</v>
      </c>
      <c r="H30" s="13">
        <f t="shared" si="0"/>
        <v>176</v>
      </c>
      <c r="I30" s="13"/>
      <c r="J30" s="64" t="s">
        <v>55</v>
      </c>
      <c r="K30" s="12"/>
      <c r="L30" s="11"/>
      <c r="M30" s="26"/>
      <c r="N30" s="15"/>
      <c r="O30" s="20"/>
      <c r="P30" s="26"/>
      <c r="Q30" s="24"/>
    </row>
    <row r="31" spans="2:17" s="37" customFormat="1" ht="18" customHeight="1" x14ac:dyDescent="0.15">
      <c r="B31" s="28"/>
      <c r="C31" s="8" t="s">
        <v>37</v>
      </c>
      <c r="D31" s="8" t="s">
        <v>37</v>
      </c>
      <c r="E31" s="91" t="s">
        <v>56</v>
      </c>
      <c r="F31" s="92">
        <v>9</v>
      </c>
      <c r="G31" s="84">
        <v>70</v>
      </c>
      <c r="H31" s="13">
        <f t="shared" si="0"/>
        <v>630</v>
      </c>
      <c r="I31" s="13"/>
      <c r="J31" s="64" t="s">
        <v>57</v>
      </c>
      <c r="K31" s="12"/>
      <c r="L31" s="11"/>
      <c r="M31" s="26"/>
      <c r="N31" s="15"/>
      <c r="O31" s="20"/>
      <c r="P31" s="26"/>
      <c r="Q31" s="24"/>
    </row>
    <row r="32" spans="2:17" s="37" customFormat="1" ht="18" customHeight="1" x14ac:dyDescent="0.15">
      <c r="B32" s="28"/>
      <c r="C32" s="8" t="s">
        <v>37</v>
      </c>
      <c r="D32" s="8" t="s">
        <v>37</v>
      </c>
      <c r="E32" s="91" t="s">
        <v>58</v>
      </c>
      <c r="F32" s="92">
        <v>9</v>
      </c>
      <c r="G32" s="84">
        <v>70</v>
      </c>
      <c r="H32" s="13">
        <f t="shared" si="0"/>
        <v>630</v>
      </c>
      <c r="I32" s="13"/>
      <c r="J32" s="64" t="s">
        <v>59</v>
      </c>
      <c r="K32" s="12"/>
      <c r="L32" s="11"/>
      <c r="M32" s="26"/>
      <c r="N32" s="15"/>
      <c r="O32" s="20"/>
      <c r="P32" s="26"/>
      <c r="Q32" s="24"/>
    </row>
    <row r="33" spans="2:17" s="37" customFormat="1" ht="18" customHeight="1" x14ac:dyDescent="0.15">
      <c r="B33" s="28"/>
      <c r="C33" s="8" t="s">
        <v>37</v>
      </c>
      <c r="D33" s="8" t="s">
        <v>37</v>
      </c>
      <c r="E33" s="91" t="s">
        <v>60</v>
      </c>
      <c r="F33" s="68">
        <v>20</v>
      </c>
      <c r="G33" s="84">
        <v>75</v>
      </c>
      <c r="H33" s="13">
        <f t="shared" si="0"/>
        <v>1500</v>
      </c>
      <c r="I33" s="67"/>
      <c r="J33" s="64" t="s">
        <v>61</v>
      </c>
      <c r="K33" s="12"/>
      <c r="L33" s="11"/>
      <c r="M33" s="26"/>
      <c r="N33" s="15"/>
      <c r="O33" s="20"/>
      <c r="P33" s="26"/>
      <c r="Q33" s="24"/>
    </row>
    <row r="34" spans="2:17" s="37" customFormat="1" ht="18" customHeight="1" x14ac:dyDescent="0.15">
      <c r="B34" s="28"/>
      <c r="C34" s="8"/>
      <c r="D34" s="13"/>
      <c r="E34" s="105">
        <f>SUM(H11:H33)</f>
        <v>114086</v>
      </c>
      <c r="F34" s="68"/>
      <c r="H34" s="96"/>
      <c r="I34" s="67"/>
      <c r="J34" s="64"/>
      <c r="K34" s="12"/>
      <c r="L34" s="11"/>
      <c r="M34" s="26"/>
      <c r="N34" s="15"/>
      <c r="O34" s="20"/>
      <c r="P34" s="26"/>
      <c r="Q34" s="24"/>
    </row>
    <row r="35" spans="2:17" s="7" customFormat="1" ht="19.5" customHeight="1" x14ac:dyDescent="0.15">
      <c r="B35" s="8"/>
      <c r="C35" s="8"/>
      <c r="D35" s="8"/>
      <c r="E35" s="12"/>
      <c r="F35" s="68"/>
      <c r="G35" s="13"/>
      <c r="H35" s="13"/>
      <c r="I35" s="21"/>
      <c r="J35" s="69"/>
      <c r="K35" s="5"/>
      <c r="L35" s="5"/>
      <c r="M35" s="26"/>
      <c r="N35" s="8"/>
      <c r="O35" s="5"/>
      <c r="P35" s="26"/>
      <c r="Q35" s="15"/>
    </row>
    <row r="36" spans="2:17" s="7" customFormat="1" ht="19.5" customHeight="1" x14ac:dyDescent="0.15">
      <c r="B36" s="258" t="s">
        <v>62</v>
      </c>
      <c r="C36" s="259"/>
      <c r="D36" s="259"/>
      <c r="E36" s="260"/>
      <c r="F36" s="46"/>
      <c r="G36" s="97"/>
      <c r="H36" s="98"/>
      <c r="I36" s="99"/>
      <c r="J36" s="100"/>
      <c r="K36" s="46"/>
      <c r="L36" s="46"/>
      <c r="M36" s="101"/>
      <c r="N36" s="47"/>
      <c r="O36" s="46"/>
      <c r="P36" s="101"/>
      <c r="Q36" s="102"/>
    </row>
    <row r="37" spans="2:17" s="7" customFormat="1" ht="19.5" customHeight="1" x14ac:dyDescent="0.15">
      <c r="B37" s="28"/>
      <c r="C37" s="35" t="s">
        <v>25</v>
      </c>
      <c r="D37" s="35" t="s">
        <v>25</v>
      </c>
      <c r="E37" s="73" t="s">
        <v>63</v>
      </c>
      <c r="F37" s="73">
        <v>1</v>
      </c>
      <c r="G37" s="73">
        <v>19500</v>
      </c>
      <c r="H37" s="63">
        <f t="shared" ref="H37:H58" si="1">F37*G37</f>
        <v>19500</v>
      </c>
      <c r="I37" s="74"/>
      <c r="J37" s="73" t="s">
        <v>63</v>
      </c>
      <c r="K37" s="5"/>
      <c r="L37" s="5"/>
      <c r="M37" s="26"/>
      <c r="N37" s="8"/>
      <c r="O37" s="5"/>
      <c r="P37" s="26"/>
      <c r="Q37" s="24"/>
    </row>
    <row r="38" spans="2:17" s="7" customFormat="1" ht="19.5" customHeight="1" x14ac:dyDescent="0.15">
      <c r="B38" s="28"/>
      <c r="C38" s="35" t="s">
        <v>25</v>
      </c>
      <c r="D38" s="35" t="s">
        <v>25</v>
      </c>
      <c r="E38" s="73" t="s">
        <v>64</v>
      </c>
      <c r="F38" s="73">
        <v>1</v>
      </c>
      <c r="G38" s="73">
        <v>17500</v>
      </c>
      <c r="H38" s="63">
        <f t="shared" si="1"/>
        <v>17500</v>
      </c>
      <c r="I38" s="74"/>
      <c r="J38" s="73" t="s">
        <v>64</v>
      </c>
      <c r="K38" s="5"/>
      <c r="L38" s="5"/>
      <c r="M38" s="26"/>
      <c r="N38" s="8"/>
      <c r="O38" s="5"/>
      <c r="P38" s="26"/>
      <c r="Q38" s="24"/>
    </row>
    <row r="39" spans="2:17" s="7" customFormat="1" ht="19.5" customHeight="1" x14ac:dyDescent="0.15">
      <c r="B39" s="28"/>
      <c r="C39" s="35" t="s">
        <v>25</v>
      </c>
      <c r="D39" s="35" t="s">
        <v>25</v>
      </c>
      <c r="E39" s="73" t="s">
        <v>65</v>
      </c>
      <c r="F39" s="73">
        <v>8</v>
      </c>
      <c r="G39" s="73">
        <v>3800</v>
      </c>
      <c r="H39" s="63">
        <f t="shared" si="1"/>
        <v>30400</v>
      </c>
      <c r="I39" s="74"/>
      <c r="J39" s="73" t="s">
        <v>65</v>
      </c>
      <c r="K39" s="5"/>
      <c r="L39" s="5"/>
      <c r="M39" s="26"/>
      <c r="N39" s="8"/>
      <c r="O39" s="5"/>
      <c r="P39" s="26"/>
      <c r="Q39" s="24"/>
    </row>
    <row r="40" spans="2:17" s="7" customFormat="1" ht="19.5" customHeight="1" x14ac:dyDescent="0.15">
      <c r="B40" s="28"/>
      <c r="C40" s="35" t="s">
        <v>25</v>
      </c>
      <c r="D40" s="35" t="s">
        <v>25</v>
      </c>
      <c r="E40" s="73" t="s">
        <v>66</v>
      </c>
      <c r="F40" s="73">
        <v>2</v>
      </c>
      <c r="G40" s="73">
        <v>5000</v>
      </c>
      <c r="H40" s="63">
        <f t="shared" si="1"/>
        <v>10000</v>
      </c>
      <c r="I40" s="74"/>
      <c r="J40" s="73" t="s">
        <v>67</v>
      </c>
      <c r="K40" s="5"/>
      <c r="L40" s="5"/>
      <c r="M40" s="26"/>
      <c r="N40" s="8"/>
      <c r="O40" s="5"/>
      <c r="P40" s="26"/>
      <c r="Q40" s="24"/>
    </row>
    <row r="41" spans="2:17" ht="18" customHeight="1" x14ac:dyDescent="0.15">
      <c r="B41" s="28"/>
      <c r="C41" s="29" t="s">
        <v>37</v>
      </c>
      <c r="D41" s="29" t="s">
        <v>37</v>
      </c>
      <c r="E41" s="31" t="s">
        <v>68</v>
      </c>
      <c r="F41" s="30">
        <v>1</v>
      </c>
      <c r="G41" s="31">
        <v>356</v>
      </c>
      <c r="H41" s="32">
        <f t="shared" si="1"/>
        <v>356</v>
      </c>
      <c r="I41" s="33"/>
      <c r="J41" s="34" t="s">
        <v>69</v>
      </c>
      <c r="K41" s="12"/>
      <c r="L41" s="11"/>
      <c r="M41" s="26"/>
      <c r="N41" s="15"/>
      <c r="O41" s="20"/>
      <c r="P41" s="26"/>
      <c r="Q41" s="24"/>
    </row>
    <row r="42" spans="2:17" ht="18" customHeight="1" x14ac:dyDescent="0.15">
      <c r="B42" s="28"/>
      <c r="C42" s="29" t="s">
        <v>37</v>
      </c>
      <c r="D42" s="29" t="s">
        <v>37</v>
      </c>
      <c r="E42" s="31" t="s">
        <v>70</v>
      </c>
      <c r="F42" s="30">
        <v>1</v>
      </c>
      <c r="G42" s="31">
        <v>479</v>
      </c>
      <c r="H42" s="32">
        <f t="shared" si="1"/>
        <v>479</v>
      </c>
      <c r="I42" s="33"/>
      <c r="J42" s="34" t="s">
        <v>71</v>
      </c>
      <c r="K42" s="12"/>
      <c r="L42" s="11"/>
      <c r="M42" s="26"/>
      <c r="N42" s="15"/>
      <c r="O42" s="20"/>
      <c r="P42" s="26"/>
      <c r="Q42" s="24"/>
    </row>
    <row r="43" spans="2:17" ht="18" customHeight="1" x14ac:dyDescent="0.15">
      <c r="B43" s="28"/>
      <c r="C43" s="29" t="s">
        <v>37</v>
      </c>
      <c r="D43" s="29" t="s">
        <v>37</v>
      </c>
      <c r="E43" s="31" t="s">
        <v>72</v>
      </c>
      <c r="F43" s="30">
        <v>1</v>
      </c>
      <c r="G43" s="31">
        <v>650</v>
      </c>
      <c r="H43" s="32">
        <f t="shared" si="1"/>
        <v>650</v>
      </c>
      <c r="I43" s="33"/>
      <c r="J43" s="34" t="s">
        <v>69</v>
      </c>
      <c r="K43" s="12"/>
      <c r="L43" s="11"/>
      <c r="M43" s="26"/>
      <c r="N43" s="15"/>
      <c r="O43" s="20"/>
      <c r="P43" s="26"/>
      <c r="Q43" s="24"/>
    </row>
    <row r="44" spans="2:17" s="37" customFormat="1" ht="18" customHeight="1" x14ac:dyDescent="0.15">
      <c r="B44" s="28"/>
      <c r="C44" s="62" t="s">
        <v>37</v>
      </c>
      <c r="D44" s="62" t="s">
        <v>37</v>
      </c>
      <c r="E44" s="40" t="s">
        <v>73</v>
      </c>
      <c r="F44" s="82">
        <v>6</v>
      </c>
      <c r="G44" s="83">
        <v>370</v>
      </c>
      <c r="H44" s="13">
        <f t="shared" si="1"/>
        <v>2220</v>
      </c>
      <c r="I44" s="21"/>
      <c r="J44" s="41" t="s">
        <v>74</v>
      </c>
      <c r="K44" s="12"/>
      <c r="L44" s="11"/>
      <c r="M44" s="26"/>
      <c r="N44" s="15"/>
      <c r="O44" s="20"/>
      <c r="P44" s="26"/>
      <c r="Q44" s="24"/>
    </row>
    <row r="45" spans="2:17" s="37" customFormat="1" ht="18" customHeight="1" x14ac:dyDescent="0.15">
      <c r="B45" s="28"/>
      <c r="C45" s="30" t="s">
        <v>37</v>
      </c>
      <c r="D45" s="30" t="s">
        <v>37</v>
      </c>
      <c r="E45" s="85" t="s">
        <v>75</v>
      </c>
      <c r="F45" s="86">
        <v>2</v>
      </c>
      <c r="G45" s="87">
        <v>8800</v>
      </c>
      <c r="H45" s="13">
        <f t="shared" si="1"/>
        <v>17600</v>
      </c>
      <c r="I45" s="21"/>
      <c r="J45" s="42" t="s">
        <v>76</v>
      </c>
      <c r="K45" s="12"/>
      <c r="L45" s="11"/>
      <c r="M45" s="26"/>
      <c r="N45" s="15"/>
      <c r="O45" s="20"/>
      <c r="P45" s="26"/>
      <c r="Q45" s="24"/>
    </row>
    <row r="46" spans="2:17" s="37" customFormat="1" ht="18" customHeight="1" x14ac:dyDescent="0.15">
      <c r="B46" s="28"/>
      <c r="C46" s="30" t="s">
        <v>37</v>
      </c>
      <c r="D46" s="30" t="s">
        <v>37</v>
      </c>
      <c r="E46" s="43" t="s">
        <v>77</v>
      </c>
      <c r="F46" s="86">
        <v>2</v>
      </c>
      <c r="G46" s="87">
        <v>4710</v>
      </c>
      <c r="H46" s="13">
        <f t="shared" si="1"/>
        <v>9420</v>
      </c>
      <c r="I46" s="21"/>
      <c r="J46" s="42" t="s">
        <v>78</v>
      </c>
      <c r="K46" s="12"/>
      <c r="L46" s="11"/>
      <c r="M46" s="26"/>
      <c r="N46" s="15"/>
      <c r="O46" s="20"/>
      <c r="P46" s="26"/>
      <c r="Q46" s="24"/>
    </row>
    <row r="47" spans="2:17" s="37" customFormat="1" ht="18" customHeight="1" x14ac:dyDescent="0.15">
      <c r="B47" s="28"/>
      <c r="C47" s="30" t="s">
        <v>37</v>
      </c>
      <c r="D47" s="30" t="s">
        <v>37</v>
      </c>
      <c r="E47" s="88" t="s">
        <v>79</v>
      </c>
      <c r="F47" s="44">
        <v>1</v>
      </c>
      <c r="G47" s="87">
        <v>59000</v>
      </c>
      <c r="H47" s="13">
        <f t="shared" si="1"/>
        <v>59000</v>
      </c>
      <c r="I47" s="21"/>
      <c r="J47" s="39" t="s">
        <v>80</v>
      </c>
      <c r="K47" s="12"/>
      <c r="L47" s="11"/>
      <c r="M47" s="26"/>
      <c r="N47" s="15"/>
      <c r="O47" s="20"/>
      <c r="P47" s="26"/>
      <c r="Q47" s="24"/>
    </row>
    <row r="48" spans="2:17" s="37" customFormat="1" ht="18" customHeight="1" x14ac:dyDescent="0.15">
      <c r="B48" s="28"/>
      <c r="C48" s="30" t="s">
        <v>37</v>
      </c>
      <c r="D48" s="30" t="s">
        <v>37</v>
      </c>
      <c r="E48" s="85" t="s">
        <v>81</v>
      </c>
      <c r="F48" s="44">
        <v>1</v>
      </c>
      <c r="G48" s="25">
        <v>370</v>
      </c>
      <c r="H48" s="13">
        <f t="shared" si="1"/>
        <v>370</v>
      </c>
      <c r="I48" s="21"/>
      <c r="J48" s="42" t="s">
        <v>82</v>
      </c>
      <c r="K48" s="12"/>
      <c r="L48" s="11"/>
      <c r="M48" s="26"/>
      <c r="N48" s="15"/>
      <c r="O48" s="20"/>
      <c r="P48" s="26"/>
      <c r="Q48" s="24"/>
    </row>
    <row r="49" spans="2:17" s="37" customFormat="1" ht="18" customHeight="1" x14ac:dyDescent="0.15">
      <c r="B49" s="28"/>
      <c r="C49" s="30" t="s">
        <v>37</v>
      </c>
      <c r="D49" s="30" t="s">
        <v>37</v>
      </c>
      <c r="E49" s="88" t="s">
        <v>83</v>
      </c>
      <c r="F49" s="86">
        <v>2</v>
      </c>
      <c r="G49" s="87">
        <v>3560</v>
      </c>
      <c r="H49" s="13">
        <f t="shared" si="1"/>
        <v>7120</v>
      </c>
      <c r="I49" s="21"/>
      <c r="J49" s="39" t="s">
        <v>84</v>
      </c>
      <c r="K49" s="12"/>
      <c r="L49" s="11"/>
      <c r="M49" s="26"/>
      <c r="N49" s="15"/>
      <c r="O49" s="20"/>
      <c r="P49" s="26"/>
      <c r="Q49" s="24"/>
    </row>
    <row r="50" spans="2:17" s="37" customFormat="1" ht="18" customHeight="1" x14ac:dyDescent="0.15">
      <c r="B50" s="28"/>
      <c r="C50" s="30" t="s">
        <v>37</v>
      </c>
      <c r="D50" s="30" t="s">
        <v>37</v>
      </c>
      <c r="E50" s="35" t="s">
        <v>85</v>
      </c>
      <c r="F50" s="44">
        <v>10</v>
      </c>
      <c r="G50" s="25">
        <v>26</v>
      </c>
      <c r="H50" s="13">
        <f t="shared" si="1"/>
        <v>260</v>
      </c>
      <c r="I50" s="21"/>
      <c r="J50" s="36" t="s">
        <v>86</v>
      </c>
      <c r="K50" s="12"/>
      <c r="L50" s="11"/>
      <c r="M50" s="26"/>
      <c r="N50" s="15"/>
      <c r="O50" s="20"/>
      <c r="P50" s="26"/>
      <c r="Q50" s="24"/>
    </row>
    <row r="51" spans="2:17" s="37" customFormat="1" ht="18" customHeight="1" x14ac:dyDescent="0.15">
      <c r="B51" s="28"/>
      <c r="C51" s="30" t="s">
        <v>37</v>
      </c>
      <c r="D51" s="30" t="s">
        <v>37</v>
      </c>
      <c r="E51" s="35" t="s">
        <v>87</v>
      </c>
      <c r="F51" s="44">
        <v>4</v>
      </c>
      <c r="G51" s="25">
        <v>29</v>
      </c>
      <c r="H51" s="13">
        <f t="shared" si="1"/>
        <v>116</v>
      </c>
      <c r="I51" s="21"/>
      <c r="J51" s="36" t="s">
        <v>88</v>
      </c>
      <c r="K51" s="12"/>
      <c r="L51" s="11"/>
      <c r="M51" s="26"/>
      <c r="N51" s="15"/>
      <c r="O51" s="20"/>
      <c r="P51" s="26"/>
      <c r="Q51" s="24"/>
    </row>
    <row r="52" spans="2:17" s="37" customFormat="1" ht="18" customHeight="1" x14ac:dyDescent="0.15">
      <c r="B52" s="28"/>
      <c r="C52" s="30" t="s">
        <v>37</v>
      </c>
      <c r="D52" s="30" t="s">
        <v>37</v>
      </c>
      <c r="E52" s="35" t="s">
        <v>89</v>
      </c>
      <c r="F52" s="44">
        <v>16</v>
      </c>
      <c r="G52" s="25">
        <v>54</v>
      </c>
      <c r="H52" s="13">
        <f t="shared" si="1"/>
        <v>864</v>
      </c>
      <c r="I52" s="21"/>
      <c r="J52" s="36" t="s">
        <v>90</v>
      </c>
      <c r="K52" s="12"/>
      <c r="L52" s="11"/>
      <c r="M52" s="26"/>
      <c r="N52" s="15"/>
      <c r="O52" s="20"/>
      <c r="P52" s="26"/>
      <c r="Q52" s="24"/>
    </row>
    <row r="53" spans="2:17" s="37" customFormat="1" ht="18" customHeight="1" x14ac:dyDescent="0.15">
      <c r="B53" s="28"/>
      <c r="C53" s="30" t="s">
        <v>37</v>
      </c>
      <c r="D53" s="30" t="s">
        <v>37</v>
      </c>
      <c r="E53" s="35" t="s">
        <v>58</v>
      </c>
      <c r="F53" s="44">
        <v>6</v>
      </c>
      <c r="G53" s="25">
        <v>70</v>
      </c>
      <c r="H53" s="13">
        <f t="shared" si="1"/>
        <v>420</v>
      </c>
      <c r="I53" s="21"/>
      <c r="J53" s="36" t="s">
        <v>91</v>
      </c>
      <c r="K53" s="12"/>
      <c r="L53" s="11"/>
      <c r="M53" s="26"/>
      <c r="N53" s="15"/>
      <c r="O53" s="20"/>
      <c r="P53" s="26"/>
      <c r="Q53" s="24"/>
    </row>
    <row r="54" spans="2:17" s="37" customFormat="1" ht="18" customHeight="1" x14ac:dyDescent="0.15">
      <c r="B54" s="28"/>
      <c r="C54" s="30" t="s">
        <v>37</v>
      </c>
      <c r="D54" s="30" t="s">
        <v>37</v>
      </c>
      <c r="E54" s="35" t="s">
        <v>92</v>
      </c>
      <c r="F54" s="44">
        <v>12</v>
      </c>
      <c r="G54" s="25">
        <v>75</v>
      </c>
      <c r="H54" s="13">
        <f t="shared" si="1"/>
        <v>900</v>
      </c>
      <c r="I54" s="21"/>
      <c r="J54" s="36" t="s">
        <v>93</v>
      </c>
      <c r="K54" s="12"/>
      <c r="L54" s="11"/>
      <c r="M54" s="26"/>
      <c r="N54" s="15"/>
      <c r="O54" s="20"/>
      <c r="P54" s="26"/>
      <c r="Q54" s="24"/>
    </row>
    <row r="55" spans="2:17" s="37" customFormat="1" ht="18" customHeight="1" x14ac:dyDescent="0.15">
      <c r="B55" s="28"/>
      <c r="C55" s="30" t="s">
        <v>37</v>
      </c>
      <c r="D55" s="30" t="s">
        <v>37</v>
      </c>
      <c r="E55" s="35" t="s">
        <v>94</v>
      </c>
      <c r="F55" s="44">
        <v>4</v>
      </c>
      <c r="G55" s="25">
        <v>80</v>
      </c>
      <c r="H55" s="13">
        <f t="shared" si="1"/>
        <v>320</v>
      </c>
      <c r="I55" s="21"/>
      <c r="J55" s="36" t="s">
        <v>95</v>
      </c>
      <c r="K55" s="12"/>
      <c r="L55" s="11"/>
      <c r="M55" s="26"/>
      <c r="N55" s="15"/>
      <c r="O55" s="20"/>
      <c r="P55" s="26"/>
      <c r="Q55" s="24"/>
    </row>
    <row r="56" spans="2:17" s="37" customFormat="1" ht="18" customHeight="1" x14ac:dyDescent="0.15">
      <c r="B56" s="28"/>
      <c r="C56" s="30" t="s">
        <v>37</v>
      </c>
      <c r="D56" s="30" t="s">
        <v>37</v>
      </c>
      <c r="E56" s="35" t="s">
        <v>96</v>
      </c>
      <c r="F56" s="44">
        <v>10</v>
      </c>
      <c r="G56" s="25">
        <v>99</v>
      </c>
      <c r="H56" s="13">
        <f t="shared" si="1"/>
        <v>990</v>
      </c>
      <c r="I56" s="21"/>
      <c r="J56" s="36" t="s">
        <v>97</v>
      </c>
      <c r="K56" s="12"/>
      <c r="L56" s="11"/>
      <c r="M56" s="26"/>
      <c r="N56" s="15"/>
      <c r="O56" s="20"/>
      <c r="P56" s="26"/>
      <c r="Q56" s="24"/>
    </row>
    <row r="57" spans="2:17" s="37" customFormat="1" ht="18" customHeight="1" x14ac:dyDescent="0.15">
      <c r="B57" s="28"/>
      <c r="C57" s="30" t="s">
        <v>37</v>
      </c>
      <c r="D57" s="30" t="s">
        <v>37</v>
      </c>
      <c r="E57" s="35" t="s">
        <v>98</v>
      </c>
      <c r="F57" s="44">
        <v>2</v>
      </c>
      <c r="G57" s="25">
        <v>610</v>
      </c>
      <c r="H57" s="13">
        <f t="shared" si="1"/>
        <v>1220</v>
      </c>
      <c r="I57" s="21"/>
      <c r="J57" s="45" t="s">
        <v>99</v>
      </c>
      <c r="K57" s="12"/>
      <c r="L57" s="11"/>
      <c r="M57" s="26"/>
      <c r="N57" s="15"/>
      <c r="O57" s="20"/>
      <c r="P57" s="26"/>
      <c r="Q57" s="24"/>
    </row>
    <row r="58" spans="2:17" s="37" customFormat="1" ht="18" customHeight="1" x14ac:dyDescent="0.15">
      <c r="B58" s="28"/>
      <c r="C58" s="30" t="s">
        <v>37</v>
      </c>
      <c r="D58" s="30" t="s">
        <v>37</v>
      </c>
      <c r="E58" s="35" t="s">
        <v>100</v>
      </c>
      <c r="F58" s="44">
        <v>2</v>
      </c>
      <c r="G58" s="25">
        <v>780</v>
      </c>
      <c r="H58" s="13">
        <f t="shared" si="1"/>
        <v>1560</v>
      </c>
      <c r="I58" s="21"/>
      <c r="J58" s="45" t="s">
        <v>101</v>
      </c>
      <c r="K58" s="12"/>
      <c r="L58" s="11"/>
      <c r="M58" s="26"/>
      <c r="N58" s="15"/>
      <c r="O58" s="20"/>
      <c r="P58" s="26"/>
      <c r="Q58" s="24"/>
    </row>
    <row r="59" spans="2:17" s="37" customFormat="1" ht="18" customHeight="1" x14ac:dyDescent="0.15">
      <c r="B59" s="28"/>
      <c r="C59" s="30"/>
      <c r="D59" s="30"/>
      <c r="E59" s="106">
        <f>SUM(H37:H58)</f>
        <v>181265</v>
      </c>
      <c r="F59" s="30"/>
      <c r="G59" s="31"/>
      <c r="I59" s="66"/>
      <c r="J59" s="34"/>
      <c r="K59" s="12"/>
      <c r="L59" s="11"/>
      <c r="M59" s="26"/>
      <c r="N59" s="15"/>
      <c r="O59" s="20"/>
      <c r="P59" s="26"/>
      <c r="Q59" s="24"/>
    </row>
    <row r="60" spans="2:17" s="37" customFormat="1" ht="18" customHeight="1" x14ac:dyDescent="0.15">
      <c r="B60" s="28"/>
      <c r="C60" s="30"/>
      <c r="D60" s="30"/>
      <c r="E60" s="31"/>
      <c r="F60" s="30"/>
      <c r="G60" s="31"/>
      <c r="H60" s="65"/>
      <c r="I60" s="66"/>
      <c r="J60" s="34"/>
      <c r="K60" s="12"/>
      <c r="L60" s="11"/>
      <c r="M60" s="26"/>
      <c r="N60" s="15"/>
      <c r="O60" s="20"/>
      <c r="P60" s="26"/>
      <c r="Q60" s="24"/>
    </row>
    <row r="61" spans="2:17" s="37" customFormat="1" ht="18" customHeight="1" x14ac:dyDescent="0.15">
      <c r="B61" s="258" t="s">
        <v>102</v>
      </c>
      <c r="C61" s="259"/>
      <c r="D61" s="259"/>
      <c r="E61" s="260"/>
      <c r="F61" s="30"/>
      <c r="G61" s="31"/>
      <c r="H61" s="65"/>
      <c r="I61" s="66"/>
      <c r="J61" s="34"/>
      <c r="K61" s="12"/>
      <c r="L61" s="11"/>
      <c r="M61" s="26"/>
      <c r="N61" s="15"/>
      <c r="O61" s="20"/>
      <c r="P61" s="26"/>
      <c r="Q61" s="24"/>
    </row>
    <row r="62" spans="2:17" s="37" customFormat="1" ht="18" customHeight="1" x14ac:dyDescent="0.15">
      <c r="B62" s="28"/>
      <c r="C62" s="30"/>
      <c r="D62" s="30"/>
      <c r="E62" s="31"/>
      <c r="F62" s="30"/>
      <c r="G62" s="31"/>
      <c r="H62" s="65"/>
      <c r="I62" s="66"/>
      <c r="J62" s="34"/>
      <c r="K62" s="12"/>
      <c r="L62" s="11"/>
      <c r="M62" s="26"/>
      <c r="N62" s="15"/>
      <c r="O62" s="20"/>
      <c r="P62" s="26"/>
      <c r="Q62" s="24"/>
    </row>
    <row r="63" spans="2:17" s="37" customFormat="1" ht="18" customHeight="1" x14ac:dyDescent="0.15">
      <c r="B63" s="28"/>
      <c r="C63" s="35" t="s">
        <v>25</v>
      </c>
      <c r="D63" s="35" t="s">
        <v>25</v>
      </c>
      <c r="E63" s="73" t="s">
        <v>103</v>
      </c>
      <c r="F63" s="70">
        <v>2</v>
      </c>
      <c r="G63" s="73">
        <v>18500</v>
      </c>
      <c r="H63" s="73">
        <f t="shared" ref="H63:H71" si="2">F63*G63</f>
        <v>37000</v>
      </c>
      <c r="I63" s="74"/>
      <c r="J63" s="73" t="s">
        <v>103</v>
      </c>
      <c r="K63" s="12"/>
      <c r="L63" s="11"/>
      <c r="M63" s="26"/>
      <c r="N63" s="15"/>
      <c r="O63" s="20"/>
      <c r="P63" s="26"/>
      <c r="Q63" s="24"/>
    </row>
    <row r="64" spans="2:17" s="37" customFormat="1" ht="18" customHeight="1" x14ac:dyDescent="0.15">
      <c r="B64" s="28"/>
      <c r="C64" s="35" t="s">
        <v>25</v>
      </c>
      <c r="D64" s="35" t="s">
        <v>25</v>
      </c>
      <c r="E64" s="73" t="s">
        <v>104</v>
      </c>
      <c r="F64" s="70">
        <v>4</v>
      </c>
      <c r="G64" s="73">
        <v>4000</v>
      </c>
      <c r="H64" s="73">
        <f t="shared" si="2"/>
        <v>16000</v>
      </c>
      <c r="I64" s="74"/>
      <c r="J64" s="73" t="s">
        <v>104</v>
      </c>
      <c r="K64" s="12"/>
      <c r="L64" s="11"/>
      <c r="M64" s="26"/>
      <c r="N64" s="15"/>
      <c r="O64" s="20"/>
      <c r="P64" s="26"/>
      <c r="Q64" s="24"/>
    </row>
    <row r="65" spans="2:17" s="37" customFormat="1" ht="18" customHeight="1" x14ac:dyDescent="0.15">
      <c r="B65" s="28"/>
      <c r="C65" s="30" t="s">
        <v>37</v>
      </c>
      <c r="D65" s="30" t="s">
        <v>37</v>
      </c>
      <c r="E65" s="88" t="s">
        <v>105</v>
      </c>
      <c r="F65" s="77">
        <v>10</v>
      </c>
      <c r="G65" s="87">
        <v>920</v>
      </c>
      <c r="H65" s="78">
        <f t="shared" si="2"/>
        <v>9200</v>
      </c>
      <c r="I65" s="79"/>
      <c r="J65" s="80" t="s">
        <v>106</v>
      </c>
      <c r="K65" s="12"/>
      <c r="L65" s="11"/>
      <c r="M65" s="26"/>
      <c r="N65" s="15"/>
      <c r="O65" s="20"/>
      <c r="P65" s="26"/>
      <c r="Q65" s="24"/>
    </row>
    <row r="66" spans="2:17" s="37" customFormat="1" ht="18" customHeight="1" x14ac:dyDescent="0.15">
      <c r="B66" s="28"/>
      <c r="C66" s="30" t="s">
        <v>37</v>
      </c>
      <c r="D66" s="30" t="s">
        <v>37</v>
      </c>
      <c r="E66" s="104" t="s">
        <v>105</v>
      </c>
      <c r="F66" s="77">
        <v>10</v>
      </c>
      <c r="G66" s="87">
        <v>1250</v>
      </c>
      <c r="H66" s="78">
        <f t="shared" si="2"/>
        <v>12500</v>
      </c>
      <c r="I66" s="79"/>
      <c r="J66" s="103" t="s">
        <v>107</v>
      </c>
      <c r="K66" s="12"/>
      <c r="L66" s="11"/>
      <c r="M66" s="26"/>
      <c r="N66" s="15"/>
      <c r="O66" s="20"/>
      <c r="P66" s="26"/>
      <c r="Q66" s="24"/>
    </row>
    <row r="67" spans="2:17" s="37" customFormat="1" ht="18" customHeight="1" x14ac:dyDescent="0.15">
      <c r="B67" s="28"/>
      <c r="C67" s="30" t="s">
        <v>37</v>
      </c>
      <c r="D67" s="30" t="s">
        <v>37</v>
      </c>
      <c r="E67" s="38" t="s">
        <v>108</v>
      </c>
      <c r="F67" s="44">
        <v>4</v>
      </c>
      <c r="G67" s="25">
        <v>570</v>
      </c>
      <c r="H67" s="13">
        <f t="shared" si="2"/>
        <v>2280</v>
      </c>
      <c r="I67" s="21"/>
      <c r="J67" s="39" t="s">
        <v>109</v>
      </c>
      <c r="K67" s="12"/>
      <c r="L67" s="11"/>
      <c r="M67" s="26"/>
      <c r="N67" s="15"/>
      <c r="O67" s="20"/>
      <c r="P67" s="26"/>
      <c r="Q67" s="24"/>
    </row>
    <row r="68" spans="2:17" s="37" customFormat="1" ht="18" customHeight="1" x14ac:dyDescent="0.15">
      <c r="B68" s="28"/>
      <c r="C68" s="30" t="s">
        <v>37</v>
      </c>
      <c r="D68" s="30" t="s">
        <v>37</v>
      </c>
      <c r="E68" s="35" t="s">
        <v>85</v>
      </c>
      <c r="F68" s="44">
        <v>4</v>
      </c>
      <c r="G68" s="87">
        <v>26</v>
      </c>
      <c r="H68" s="13">
        <f t="shared" si="2"/>
        <v>104</v>
      </c>
      <c r="I68" s="21"/>
      <c r="J68" s="36" t="s">
        <v>86</v>
      </c>
      <c r="K68" s="12"/>
      <c r="L68" s="11"/>
      <c r="M68" s="26"/>
      <c r="N68" s="15"/>
      <c r="O68" s="20"/>
      <c r="P68" s="26"/>
      <c r="Q68" s="24"/>
    </row>
    <row r="69" spans="2:17" s="37" customFormat="1" ht="18" customHeight="1" x14ac:dyDescent="0.15">
      <c r="B69" s="28"/>
      <c r="C69" s="30" t="s">
        <v>37</v>
      </c>
      <c r="D69" s="30" t="s">
        <v>37</v>
      </c>
      <c r="E69" s="83" t="s">
        <v>110</v>
      </c>
      <c r="F69" s="44">
        <v>4</v>
      </c>
      <c r="G69" s="87">
        <v>800</v>
      </c>
      <c r="H69" s="13">
        <f t="shared" si="2"/>
        <v>3200</v>
      </c>
      <c r="I69" s="21"/>
      <c r="J69" s="36" t="s">
        <v>111</v>
      </c>
      <c r="K69" s="12"/>
      <c r="L69" s="11"/>
      <c r="M69" s="26"/>
      <c r="N69" s="15"/>
      <c r="O69" s="20"/>
      <c r="P69" s="26"/>
      <c r="Q69" s="24"/>
    </row>
    <row r="70" spans="2:17" s="37" customFormat="1" ht="18" customHeight="1" x14ac:dyDescent="0.15">
      <c r="B70" s="28"/>
      <c r="C70" s="30" t="s">
        <v>37</v>
      </c>
      <c r="D70" s="30" t="s">
        <v>37</v>
      </c>
      <c r="E70" s="35" t="s">
        <v>92</v>
      </c>
      <c r="F70" s="44">
        <v>8</v>
      </c>
      <c r="G70" s="25">
        <v>75</v>
      </c>
      <c r="H70" s="13">
        <f t="shared" si="2"/>
        <v>600</v>
      </c>
      <c r="I70" s="21"/>
      <c r="J70" s="36" t="s">
        <v>93</v>
      </c>
      <c r="K70" s="12"/>
      <c r="L70" s="11"/>
      <c r="M70" s="26"/>
      <c r="N70" s="15"/>
      <c r="O70" s="20"/>
      <c r="P70" s="26"/>
      <c r="Q70" s="24"/>
    </row>
    <row r="71" spans="2:17" s="37" customFormat="1" ht="18" customHeight="1" x14ac:dyDescent="0.15">
      <c r="B71" s="28"/>
      <c r="C71" s="30" t="s">
        <v>37</v>
      </c>
      <c r="D71" s="30" t="s">
        <v>37</v>
      </c>
      <c r="E71" s="35" t="s">
        <v>94</v>
      </c>
      <c r="F71" s="44">
        <v>8</v>
      </c>
      <c r="G71" s="25">
        <v>80</v>
      </c>
      <c r="H71" s="13">
        <f t="shared" si="2"/>
        <v>640</v>
      </c>
      <c r="I71" s="21"/>
      <c r="J71" s="36" t="s">
        <v>95</v>
      </c>
      <c r="K71" s="12"/>
      <c r="L71" s="11"/>
      <c r="M71" s="26"/>
      <c r="N71" s="15"/>
      <c r="O71" s="20"/>
      <c r="P71" s="26"/>
      <c r="Q71" s="24"/>
    </row>
    <row r="72" spans="2:17" s="37" customFormat="1" ht="18" customHeight="1" x14ac:dyDescent="0.15">
      <c r="B72" s="28"/>
      <c r="C72" s="30"/>
      <c r="D72" s="30"/>
      <c r="E72" s="105">
        <f>SUM(H63:H71)</f>
        <v>81524</v>
      </c>
      <c r="F72" s="44"/>
      <c r="G72" s="25"/>
      <c r="I72" s="21"/>
      <c r="J72" s="36"/>
      <c r="K72" s="12"/>
      <c r="L72" s="11"/>
      <c r="M72" s="26"/>
      <c r="N72" s="15"/>
      <c r="O72" s="20"/>
      <c r="P72" s="26"/>
      <c r="Q72" s="24"/>
    </row>
    <row r="73" spans="2:17" s="37" customFormat="1" ht="18" customHeight="1" x14ac:dyDescent="0.15">
      <c r="B73" s="28"/>
      <c r="C73" s="8"/>
      <c r="D73" s="8"/>
      <c r="E73" s="91"/>
      <c r="F73" s="68"/>
      <c r="G73" s="13"/>
      <c r="H73" s="13"/>
      <c r="I73" s="67"/>
      <c r="J73" s="64"/>
      <c r="K73" s="12"/>
      <c r="L73" s="11"/>
      <c r="M73" s="26"/>
      <c r="N73" s="15"/>
      <c r="O73" s="20"/>
      <c r="P73" s="26"/>
      <c r="Q73" s="24"/>
    </row>
    <row r="74" spans="2:17" s="37" customFormat="1" ht="18" customHeight="1" x14ac:dyDescent="0.15">
      <c r="B74" s="261" t="s">
        <v>112</v>
      </c>
      <c r="C74" s="262"/>
      <c r="D74" s="262"/>
      <c r="E74" s="263"/>
      <c r="F74" s="68"/>
      <c r="G74" s="13"/>
      <c r="H74" s="13"/>
      <c r="I74" s="67"/>
      <c r="J74" s="64"/>
      <c r="K74" s="12"/>
      <c r="L74" s="11"/>
      <c r="M74" s="26"/>
      <c r="N74" s="15"/>
      <c r="O74" s="20"/>
      <c r="P74" s="26"/>
      <c r="Q74" s="24"/>
    </row>
    <row r="75" spans="2:17" s="37" customFormat="1" ht="18" customHeight="1" x14ac:dyDescent="0.15">
      <c r="B75" s="28"/>
      <c r="C75" s="35" t="s">
        <v>25</v>
      </c>
      <c r="D75" s="35" t="s">
        <v>25</v>
      </c>
      <c r="E75" s="73" t="s">
        <v>113</v>
      </c>
      <c r="F75" s="73">
        <v>1</v>
      </c>
      <c r="G75" s="73">
        <v>16500</v>
      </c>
      <c r="H75" s="73">
        <f t="shared" ref="H75:H83" si="3">F75*G75</f>
        <v>16500</v>
      </c>
      <c r="I75" s="74"/>
      <c r="J75" s="73" t="s">
        <v>114</v>
      </c>
      <c r="K75" s="12"/>
      <c r="L75" s="11"/>
      <c r="M75" s="26"/>
      <c r="N75" s="15"/>
      <c r="O75" s="20"/>
      <c r="P75" s="26"/>
      <c r="Q75" s="24"/>
    </row>
    <row r="76" spans="2:17" s="37" customFormat="1" ht="18" customHeight="1" x14ac:dyDescent="0.15">
      <c r="B76" s="28"/>
      <c r="C76" s="23" t="s">
        <v>37</v>
      </c>
      <c r="D76" s="23" t="s">
        <v>37</v>
      </c>
      <c r="E76" s="12" t="s">
        <v>115</v>
      </c>
      <c r="F76" s="13">
        <v>1</v>
      </c>
      <c r="G76" s="13">
        <v>1080</v>
      </c>
      <c r="H76" s="13">
        <f t="shared" si="3"/>
        <v>1080</v>
      </c>
      <c r="I76" s="21"/>
      <c r="J76" s="11" t="s">
        <v>116</v>
      </c>
      <c r="K76" s="12"/>
      <c r="L76" s="11"/>
      <c r="M76" s="26"/>
      <c r="N76" s="15"/>
      <c r="O76" s="20"/>
      <c r="P76" s="26"/>
      <c r="Q76" s="24"/>
    </row>
    <row r="77" spans="2:17" s="37" customFormat="1" ht="18" customHeight="1" x14ac:dyDescent="0.15">
      <c r="B77" s="28"/>
      <c r="C77" s="23" t="s">
        <v>37</v>
      </c>
      <c r="D77" s="23" t="s">
        <v>37</v>
      </c>
      <c r="E77" s="12" t="s">
        <v>117</v>
      </c>
      <c r="F77" s="13">
        <v>1</v>
      </c>
      <c r="G77" s="13">
        <v>3350</v>
      </c>
      <c r="H77" s="13">
        <f t="shared" si="3"/>
        <v>3350</v>
      </c>
      <c r="I77" s="21"/>
      <c r="J77" s="11" t="s">
        <v>118</v>
      </c>
      <c r="K77" s="12"/>
      <c r="L77" s="11"/>
      <c r="M77" s="26"/>
      <c r="N77" s="15"/>
      <c r="O77" s="20"/>
      <c r="P77" s="26"/>
      <c r="Q77" s="24"/>
    </row>
    <row r="78" spans="2:17" s="37" customFormat="1" ht="18" customHeight="1" x14ac:dyDescent="0.15">
      <c r="B78" s="28"/>
      <c r="C78" s="23" t="s">
        <v>37</v>
      </c>
      <c r="D78" s="23" t="s">
        <v>37</v>
      </c>
      <c r="E78" s="12" t="s">
        <v>119</v>
      </c>
      <c r="F78" s="13">
        <v>1</v>
      </c>
      <c r="G78" s="13">
        <v>3022</v>
      </c>
      <c r="H78" s="13">
        <f t="shared" si="3"/>
        <v>3022</v>
      </c>
      <c r="I78" s="21"/>
      <c r="J78" s="11" t="s">
        <v>120</v>
      </c>
      <c r="K78" s="12"/>
      <c r="L78" s="11"/>
      <c r="M78" s="26"/>
      <c r="N78" s="15"/>
      <c r="O78" s="20"/>
      <c r="P78" s="26"/>
      <c r="Q78" s="24"/>
    </row>
    <row r="79" spans="2:17" s="37" customFormat="1" ht="18" customHeight="1" x14ac:dyDescent="0.15">
      <c r="B79" s="28"/>
      <c r="C79" s="23" t="s">
        <v>37</v>
      </c>
      <c r="D79" s="23" t="s">
        <v>37</v>
      </c>
      <c r="E79" s="12" t="s">
        <v>121</v>
      </c>
      <c r="F79" s="13">
        <v>1</v>
      </c>
      <c r="G79" s="13">
        <v>5719</v>
      </c>
      <c r="H79" s="13">
        <f t="shared" si="3"/>
        <v>5719</v>
      </c>
      <c r="I79" s="21"/>
      <c r="J79" s="11" t="s">
        <v>122</v>
      </c>
      <c r="K79" s="12"/>
      <c r="L79" s="11"/>
      <c r="M79" s="26"/>
      <c r="N79" s="15"/>
      <c r="O79" s="20"/>
      <c r="P79" s="26"/>
      <c r="Q79" s="24"/>
    </row>
    <row r="80" spans="2:17" s="37" customFormat="1" ht="18" customHeight="1" x14ac:dyDescent="0.15">
      <c r="B80" s="28"/>
      <c r="C80" s="23" t="s">
        <v>37</v>
      </c>
      <c r="D80" s="23" t="s">
        <v>37</v>
      </c>
      <c r="E80" s="12" t="s">
        <v>123</v>
      </c>
      <c r="F80" s="13">
        <v>1</v>
      </c>
      <c r="G80" s="13">
        <v>460</v>
      </c>
      <c r="H80" s="13">
        <f t="shared" si="3"/>
        <v>460</v>
      </c>
      <c r="I80" s="21"/>
      <c r="J80" s="11" t="s">
        <v>124</v>
      </c>
      <c r="K80" s="12"/>
      <c r="L80" s="11"/>
      <c r="M80" s="26"/>
      <c r="N80" s="15"/>
      <c r="O80" s="20"/>
      <c r="P80" s="26"/>
      <c r="Q80" s="24"/>
    </row>
    <row r="81" spans="2:17" s="37" customFormat="1" ht="18" customHeight="1" x14ac:dyDescent="0.15">
      <c r="B81" s="28"/>
      <c r="C81" s="23" t="s">
        <v>37</v>
      </c>
      <c r="D81" s="23" t="s">
        <v>37</v>
      </c>
      <c r="E81" s="12" t="s">
        <v>125</v>
      </c>
      <c r="F81" s="13">
        <v>1</v>
      </c>
      <c r="G81" s="13">
        <v>2060</v>
      </c>
      <c r="H81" s="13">
        <f t="shared" si="3"/>
        <v>2060</v>
      </c>
      <c r="I81" s="21"/>
      <c r="J81" s="11" t="s">
        <v>126</v>
      </c>
      <c r="K81" s="12"/>
      <c r="L81" s="11"/>
      <c r="M81" s="26"/>
      <c r="N81" s="15"/>
      <c r="O81" s="20"/>
      <c r="P81" s="26"/>
      <c r="Q81" s="24"/>
    </row>
    <row r="82" spans="2:17" s="37" customFormat="1" ht="18" customHeight="1" x14ac:dyDescent="0.15">
      <c r="B82" s="28"/>
      <c r="C82" s="8" t="s">
        <v>37</v>
      </c>
      <c r="D82" s="8" t="s">
        <v>37</v>
      </c>
      <c r="E82" s="71" t="s">
        <v>127</v>
      </c>
      <c r="F82" s="72">
        <v>1</v>
      </c>
      <c r="G82" s="13">
        <v>622</v>
      </c>
      <c r="H82" s="13">
        <f t="shared" si="3"/>
        <v>622</v>
      </c>
      <c r="I82" s="13"/>
      <c r="J82" s="72" t="s">
        <v>128</v>
      </c>
      <c r="K82" s="12"/>
      <c r="L82" s="11"/>
      <c r="M82" s="26"/>
      <c r="N82" s="15"/>
      <c r="O82" s="20"/>
      <c r="P82" s="26"/>
      <c r="Q82" s="24"/>
    </row>
    <row r="83" spans="2:17" s="37" customFormat="1" ht="18" customHeight="1" x14ac:dyDescent="0.15">
      <c r="B83" s="28"/>
      <c r="C83" s="8" t="s">
        <v>37</v>
      </c>
      <c r="D83" s="8" t="s">
        <v>37</v>
      </c>
      <c r="E83" s="72" t="s">
        <v>129</v>
      </c>
      <c r="F83" s="72">
        <v>1</v>
      </c>
      <c r="G83" s="13">
        <v>3000</v>
      </c>
      <c r="H83" s="13">
        <f t="shared" si="3"/>
        <v>3000</v>
      </c>
      <c r="I83" s="13"/>
      <c r="J83" s="72" t="s">
        <v>129</v>
      </c>
      <c r="K83" s="12"/>
      <c r="L83" s="11"/>
      <c r="M83" s="26"/>
      <c r="N83" s="15"/>
      <c r="O83" s="20"/>
      <c r="P83" s="26"/>
      <c r="Q83" s="24"/>
    </row>
    <row r="84" spans="2:17" s="37" customFormat="1" ht="18" customHeight="1" x14ac:dyDescent="0.15">
      <c r="B84" s="28"/>
      <c r="C84" s="25"/>
      <c r="D84" s="25"/>
      <c r="E84" s="105">
        <f>SUM(H75:H83)</f>
        <v>35813</v>
      </c>
      <c r="F84" s="44"/>
      <c r="G84" s="25"/>
      <c r="I84" s="21"/>
      <c r="J84" s="36"/>
      <c r="K84" s="12"/>
      <c r="L84" s="11"/>
      <c r="M84" s="26"/>
      <c r="N84" s="15"/>
      <c r="O84" s="20"/>
      <c r="P84" s="26"/>
      <c r="Q84" s="24"/>
    </row>
    <row r="85" spans="2:17" s="37" customFormat="1" ht="18" customHeight="1" x14ac:dyDescent="0.15">
      <c r="B85" s="28"/>
      <c r="C85" s="25"/>
      <c r="D85" s="25"/>
      <c r="E85" s="35"/>
      <c r="F85" s="44"/>
      <c r="G85" s="25"/>
      <c r="H85" s="13"/>
      <c r="I85" s="21"/>
      <c r="J85" s="36"/>
      <c r="K85" s="12"/>
      <c r="L85" s="11"/>
      <c r="M85" s="26"/>
      <c r="N85" s="15"/>
      <c r="O85" s="20"/>
      <c r="P85" s="26"/>
      <c r="Q85" s="24"/>
    </row>
    <row r="86" spans="2:17" s="37" customFormat="1" ht="18" customHeight="1" x14ac:dyDescent="0.15">
      <c r="B86" s="28"/>
      <c r="C86" s="25"/>
      <c r="D86" s="25"/>
      <c r="E86" s="35"/>
      <c r="F86" s="44"/>
      <c r="G86" s="25"/>
      <c r="H86" s="13"/>
      <c r="I86" s="21"/>
      <c r="J86" s="36"/>
      <c r="K86" s="12"/>
      <c r="L86" s="11"/>
      <c r="M86" s="26"/>
      <c r="N86" s="15"/>
      <c r="O86" s="20"/>
      <c r="P86" s="26"/>
      <c r="Q86" s="24"/>
    </row>
    <row r="87" spans="2:17" s="37" customFormat="1" ht="18" customHeight="1" x14ac:dyDescent="0.15">
      <c r="B87" s="28"/>
      <c r="C87" s="25"/>
      <c r="D87" s="25"/>
      <c r="E87" s="35"/>
      <c r="F87" s="44"/>
      <c r="G87" s="25"/>
      <c r="H87" s="13"/>
      <c r="I87" s="21"/>
      <c r="J87" s="36"/>
      <c r="K87" s="12"/>
      <c r="L87" s="11"/>
      <c r="M87" s="26"/>
      <c r="N87" s="15"/>
      <c r="O87" s="20"/>
      <c r="P87" s="26"/>
      <c r="Q87" s="24"/>
    </row>
    <row r="88" spans="2:17" s="37" customFormat="1" ht="18" customHeight="1" x14ac:dyDescent="0.15">
      <c r="B88" s="28"/>
      <c r="C88" s="25"/>
      <c r="D88" s="25"/>
      <c r="E88" s="35"/>
      <c r="F88" s="44"/>
      <c r="G88" s="25"/>
      <c r="H88" s="13"/>
      <c r="I88" s="21"/>
      <c r="J88" s="36"/>
      <c r="K88" s="12"/>
      <c r="L88" s="11"/>
      <c r="M88" s="26"/>
      <c r="N88" s="15"/>
      <c r="O88" s="20"/>
      <c r="P88" s="26"/>
      <c r="Q88" s="24"/>
    </row>
    <row r="89" spans="2:17" s="37" customFormat="1" ht="18" customHeight="1" x14ac:dyDescent="0.15">
      <c r="B89" s="28"/>
      <c r="C89" s="25"/>
      <c r="D89" s="25"/>
      <c r="E89" s="35"/>
      <c r="F89" s="44"/>
      <c r="G89" s="25"/>
      <c r="H89" s="13"/>
      <c r="I89" s="21"/>
      <c r="J89" s="36"/>
      <c r="K89" s="12"/>
      <c r="L89" s="11"/>
      <c r="M89" s="26"/>
      <c r="N89" s="15"/>
      <c r="O89" s="20"/>
      <c r="P89" s="26"/>
      <c r="Q89" s="24"/>
    </row>
    <row r="90" spans="2:17" s="37" customFormat="1" ht="18" customHeight="1" x14ac:dyDescent="0.15">
      <c r="B90" s="28"/>
      <c r="C90" s="25"/>
      <c r="D90" s="25"/>
      <c r="E90" s="35"/>
      <c r="F90" s="44"/>
      <c r="G90" s="25"/>
      <c r="H90" s="13"/>
      <c r="I90" s="21"/>
      <c r="J90" s="36"/>
      <c r="K90" s="12"/>
      <c r="L90" s="11"/>
      <c r="M90" s="26"/>
      <c r="N90" s="15"/>
      <c r="O90" s="20"/>
      <c r="P90" s="26"/>
      <c r="Q90" s="24"/>
    </row>
    <row r="91" spans="2:17" ht="18" customHeight="1" x14ac:dyDescent="0.15">
      <c r="B91" s="5"/>
      <c r="C91" s="8"/>
      <c r="D91" s="8"/>
      <c r="E91" s="12" t="s">
        <v>130</v>
      </c>
      <c r="F91" s="68"/>
      <c r="G91" s="13"/>
      <c r="H91" s="13">
        <f>F91*G91</f>
        <v>0</v>
      </c>
      <c r="I91" s="21"/>
      <c r="J91" s="27" t="s">
        <v>131</v>
      </c>
      <c r="K91" s="12"/>
      <c r="L91" s="11"/>
      <c r="M91" s="26"/>
      <c r="N91" s="15"/>
      <c r="O91" s="20"/>
      <c r="P91" s="26"/>
      <c r="Q91" s="24"/>
    </row>
    <row r="92" spans="2:17" ht="18" customHeight="1" x14ac:dyDescent="0.15">
      <c r="B92" s="23"/>
      <c r="C92" s="23"/>
      <c r="D92" s="23"/>
      <c r="E92" s="12" t="s">
        <v>131</v>
      </c>
      <c r="F92" s="68"/>
      <c r="G92" s="13">
        <v>5000</v>
      </c>
      <c r="H92" s="13">
        <f>F92*G92</f>
        <v>0</v>
      </c>
      <c r="I92" s="21"/>
      <c r="J92" s="27" t="s">
        <v>132</v>
      </c>
      <c r="K92" s="12"/>
      <c r="L92" s="11"/>
      <c r="M92" s="26"/>
      <c r="N92" s="15"/>
      <c r="O92" s="20"/>
      <c r="P92" s="26"/>
      <c r="Q92" s="24"/>
    </row>
    <row r="93" spans="2:17" ht="18" customHeight="1" x14ac:dyDescent="0.15">
      <c r="B93" s="23"/>
      <c r="C93" s="23"/>
      <c r="D93" s="23"/>
      <c r="E93" s="12" t="s">
        <v>132</v>
      </c>
      <c r="F93" s="13"/>
      <c r="G93" s="13"/>
      <c r="H93" s="13">
        <f>F93*G93</f>
        <v>0</v>
      </c>
      <c r="I93" s="21"/>
      <c r="J93" s="11"/>
      <c r="K93" s="12"/>
      <c r="L93" s="11"/>
      <c r="M93" s="26"/>
      <c r="N93" s="15"/>
      <c r="O93" s="20"/>
      <c r="P93" s="26"/>
      <c r="Q93" s="24"/>
    </row>
    <row r="94" spans="2:17" ht="18" customHeight="1" x14ac:dyDescent="0.15">
      <c r="B94" s="23"/>
      <c r="C94" s="23"/>
      <c r="D94" s="23"/>
      <c r="E94" s="12"/>
      <c r="F94" s="13"/>
      <c r="G94" s="13"/>
      <c r="H94" s="13"/>
      <c r="I94" s="21"/>
      <c r="J94" s="11"/>
      <c r="K94" s="12"/>
      <c r="L94" s="11"/>
      <c r="M94" s="26"/>
      <c r="N94" s="15"/>
      <c r="O94" s="20"/>
      <c r="P94" s="26"/>
      <c r="Q94" s="24"/>
    </row>
    <row r="95" spans="2:17" ht="18" customHeight="1" x14ac:dyDescent="0.15">
      <c r="B95" s="23"/>
      <c r="C95" s="23"/>
      <c r="D95" s="23"/>
      <c r="E95" s="12"/>
      <c r="F95" s="13"/>
      <c r="G95" s="13"/>
      <c r="H95" s="13"/>
      <c r="I95" s="21"/>
      <c r="J95" s="11"/>
      <c r="K95" s="12"/>
      <c r="L95" s="11"/>
      <c r="M95" s="26"/>
      <c r="N95" s="15"/>
      <c r="O95" s="20"/>
      <c r="P95" s="26"/>
      <c r="Q95" s="24"/>
    </row>
    <row r="96" spans="2:17" ht="18" customHeight="1" x14ac:dyDescent="0.15">
      <c r="B96" s="23"/>
      <c r="C96" s="23"/>
      <c r="D96" s="23"/>
      <c r="E96" s="12"/>
      <c r="F96" s="13"/>
      <c r="G96" s="13"/>
      <c r="H96" s="13"/>
      <c r="I96" s="21"/>
      <c r="J96" s="11"/>
      <c r="K96" s="12"/>
      <c r="L96" s="11"/>
      <c r="M96" s="26"/>
      <c r="N96" s="15"/>
      <c r="O96" s="20"/>
      <c r="P96" s="26"/>
      <c r="Q96" s="24"/>
    </row>
    <row r="97" spans="2:17" ht="18" customHeight="1" x14ac:dyDescent="0.15">
      <c r="B97" s="23"/>
      <c r="C97" s="23"/>
      <c r="D97" s="23"/>
      <c r="E97" s="12"/>
      <c r="F97" s="13"/>
      <c r="G97" s="13"/>
      <c r="H97" s="13"/>
      <c r="I97" s="21"/>
      <c r="J97" s="11"/>
      <c r="K97" s="12"/>
      <c r="L97" s="11"/>
      <c r="M97" s="26"/>
      <c r="N97" s="15"/>
      <c r="O97" s="20"/>
      <c r="P97" s="26"/>
      <c r="Q97" s="24"/>
    </row>
    <row r="98" spans="2:17" ht="18" customHeight="1" x14ac:dyDescent="0.15">
      <c r="B98" s="23"/>
      <c r="C98" s="23"/>
      <c r="D98" s="23"/>
      <c r="E98" s="12"/>
      <c r="F98" s="13"/>
      <c r="G98" s="13"/>
      <c r="H98" s="13"/>
      <c r="I98" s="21"/>
      <c r="J98" s="11"/>
      <c r="K98" s="12"/>
      <c r="L98" s="11"/>
      <c r="M98" s="26"/>
      <c r="N98" s="15"/>
      <c r="O98" s="20"/>
      <c r="P98" s="26"/>
      <c r="Q98" s="24"/>
    </row>
    <row r="99" spans="2:17" ht="18" customHeight="1" x14ac:dyDescent="0.15">
      <c r="B99" s="23"/>
      <c r="C99" s="23"/>
      <c r="D99" s="23"/>
      <c r="E99" s="12"/>
      <c r="F99" s="13"/>
      <c r="G99" s="13"/>
      <c r="H99" s="13"/>
      <c r="I99" s="21"/>
      <c r="J99" s="11"/>
      <c r="K99" s="12"/>
      <c r="L99" s="11"/>
      <c r="M99" s="26"/>
      <c r="N99" s="15"/>
      <c r="O99" s="20"/>
      <c r="P99" s="26"/>
      <c r="Q99" s="24"/>
    </row>
    <row r="100" spans="2:17" ht="18" customHeight="1" x14ac:dyDescent="0.15">
      <c r="B100" s="23"/>
      <c r="C100" s="23"/>
      <c r="D100" s="23"/>
      <c r="E100" s="12"/>
      <c r="F100" s="13"/>
      <c r="G100" s="13"/>
      <c r="H100" s="13"/>
      <c r="I100" s="21"/>
      <c r="J100" s="11"/>
      <c r="K100" s="12"/>
      <c r="L100" s="11"/>
      <c r="M100" s="26"/>
      <c r="N100" s="15"/>
      <c r="O100" s="20"/>
      <c r="P100" s="26"/>
      <c r="Q100" s="24"/>
    </row>
    <row r="101" spans="2:17" ht="18" customHeight="1" x14ac:dyDescent="0.15">
      <c r="B101" s="23"/>
      <c r="C101" s="23"/>
      <c r="D101" s="23"/>
      <c r="E101" s="12"/>
      <c r="F101" s="13"/>
      <c r="G101" s="13"/>
      <c r="H101" s="13"/>
      <c r="I101" s="21"/>
      <c r="J101" s="11"/>
      <c r="K101" s="12"/>
      <c r="L101" s="11"/>
      <c r="M101" s="26"/>
      <c r="N101" s="15"/>
      <c r="O101" s="20"/>
      <c r="P101" s="26"/>
      <c r="Q101" s="24"/>
    </row>
    <row r="102" spans="2:17" ht="18" customHeight="1" x14ac:dyDescent="0.15">
      <c r="B102" s="23"/>
      <c r="C102" s="23"/>
      <c r="D102" s="23"/>
      <c r="E102" s="12"/>
      <c r="F102" s="13"/>
      <c r="G102" s="13"/>
      <c r="H102" s="13"/>
      <c r="I102" s="21"/>
      <c r="J102" s="11"/>
      <c r="K102" s="12"/>
      <c r="L102" s="11"/>
      <c r="M102" s="26"/>
      <c r="N102" s="15"/>
      <c r="O102" s="20"/>
      <c r="P102" s="26"/>
      <c r="Q102" s="24"/>
    </row>
    <row r="103" spans="2:17" ht="18" customHeight="1" x14ac:dyDescent="0.15">
      <c r="B103" s="70"/>
      <c r="C103" s="8"/>
      <c r="D103" s="8"/>
      <c r="E103" s="71"/>
      <c r="F103" s="72"/>
      <c r="G103" s="13"/>
      <c r="H103" s="13"/>
      <c r="I103" s="13"/>
      <c r="J103" s="72"/>
      <c r="K103" s="73"/>
      <c r="L103" s="70"/>
      <c r="M103" s="26"/>
      <c r="N103" s="73"/>
      <c r="O103" s="74"/>
      <c r="P103" s="26"/>
      <c r="Q103" s="24"/>
    </row>
    <row r="104" spans="2:17" ht="18" customHeight="1" x14ac:dyDescent="0.15">
      <c r="B104" s="70"/>
      <c r="C104" s="73"/>
      <c r="D104" s="73"/>
      <c r="E104" s="73"/>
      <c r="F104" s="73"/>
      <c r="G104" s="73"/>
      <c r="H104" s="73"/>
      <c r="I104" s="74"/>
      <c r="J104" s="73"/>
      <c r="K104" s="73"/>
      <c r="L104" s="70"/>
      <c r="M104" s="26"/>
      <c r="N104" s="73"/>
      <c r="O104" s="74"/>
      <c r="P104" s="76"/>
      <c r="Q104" s="75"/>
    </row>
    <row r="105" spans="2:17" ht="18" customHeight="1" x14ac:dyDescent="0.15">
      <c r="B105" s="70"/>
      <c r="C105" s="73"/>
      <c r="D105" s="73"/>
      <c r="E105" s="73"/>
      <c r="F105" s="73"/>
      <c r="G105" s="73"/>
      <c r="H105" s="73"/>
      <c r="I105" s="74"/>
      <c r="J105" s="73"/>
      <c r="K105" s="73"/>
      <c r="L105" s="70"/>
      <c r="M105" s="70"/>
      <c r="N105" s="73"/>
      <c r="O105" s="74"/>
      <c r="P105" s="75"/>
      <c r="Q105" s="75"/>
    </row>
    <row r="106" spans="2:17" ht="18" customHeight="1" x14ac:dyDescent="0.15"/>
    <row r="107" spans="2:17" ht="18" customHeight="1" x14ac:dyDescent="0.15"/>
    <row r="108" spans="2:17" ht="18" customHeight="1" x14ac:dyDescent="0.15"/>
    <row r="109" spans="2:17" ht="18" customHeight="1" x14ac:dyDescent="0.15"/>
    <row r="110" spans="2:17" ht="18" customHeight="1" x14ac:dyDescent="0.15"/>
    <row r="111" spans="2:17" ht="18" customHeight="1" x14ac:dyDescent="0.15"/>
    <row r="112" spans="2:17" ht="18" customHeight="1" x14ac:dyDescent="0.15"/>
    <row r="113" spans="2:17" ht="18" customHeight="1" x14ac:dyDescent="0.15"/>
    <row r="114" spans="2:17" s="59" customFormat="1" ht="13.5" customHeight="1" x14ac:dyDescent="0.15">
      <c r="B114" s="52"/>
      <c r="C114" s="53"/>
      <c r="D114" s="53"/>
      <c r="E114" s="54"/>
      <c r="F114" s="55"/>
      <c r="G114" s="55"/>
      <c r="H114" s="55"/>
      <c r="I114" s="56"/>
      <c r="J114" s="57"/>
      <c r="K114" s="54"/>
      <c r="L114" s="58"/>
      <c r="M114" s="58"/>
      <c r="O114" s="60"/>
      <c r="P114" s="61"/>
      <c r="Q114" s="61"/>
    </row>
    <row r="115" spans="2:17" ht="13.5" customHeight="1" x14ac:dyDescent="0.15">
      <c r="B115" s="46"/>
      <c r="C115" s="47"/>
      <c r="D115" s="47"/>
      <c r="E115" s="48"/>
      <c r="F115" s="49"/>
      <c r="G115" s="49"/>
      <c r="H115" s="49"/>
      <c r="I115" s="50"/>
      <c r="J115" s="51"/>
      <c r="K115" s="48"/>
    </row>
    <row r="116" spans="2:17" ht="13.5" customHeight="1" x14ac:dyDescent="0.15">
      <c r="B116" s="8"/>
      <c r="C116" s="8"/>
      <c r="D116" s="8"/>
      <c r="E116" s="12"/>
      <c r="F116" s="13"/>
      <c r="G116" s="13"/>
      <c r="H116" s="13"/>
      <c r="I116" s="21"/>
      <c r="J116" s="11"/>
      <c r="K116" s="12"/>
    </row>
    <row r="117" spans="2:17" ht="13.5" customHeight="1" x14ac:dyDescent="0.15">
      <c r="B117" s="8"/>
      <c r="C117" s="8"/>
      <c r="D117" s="8"/>
      <c r="E117" s="12"/>
      <c r="F117" s="13"/>
      <c r="G117" s="13"/>
      <c r="H117" s="13"/>
      <c r="I117" s="21"/>
      <c r="J117" s="11"/>
      <c r="K117" s="12"/>
    </row>
    <row r="118" spans="2:17" ht="13.5" customHeight="1" x14ac:dyDescent="0.15">
      <c r="B118" s="8"/>
      <c r="C118" s="8"/>
      <c r="D118" s="8"/>
      <c r="E118" s="12"/>
      <c r="F118" s="13"/>
      <c r="G118" s="13"/>
      <c r="H118" s="13"/>
      <c r="I118" s="21"/>
      <c r="J118" s="11"/>
      <c r="K118" s="12"/>
    </row>
  </sheetData>
  <autoFilter ref="B8:O118"/>
  <mergeCells count="10">
    <mergeCell ref="B36:E36"/>
    <mergeCell ref="B61:E61"/>
    <mergeCell ref="B74:E74"/>
    <mergeCell ref="B10:E10"/>
    <mergeCell ref="B6:D6"/>
    <mergeCell ref="G2:I2"/>
    <mergeCell ref="B2:D2"/>
    <mergeCell ref="B3:D3"/>
    <mergeCell ref="B4:D4"/>
    <mergeCell ref="B5:D5"/>
  </mergeCells>
  <phoneticPr fontId="14"/>
  <dataValidations count="11">
    <dataValidation allowBlank="1" showInputMessage="1" showErrorMessage="1" sqref="J25"/>
    <dataValidation allowBlank="1" showInputMessage="1" showErrorMessage="1" sqref="J26"/>
    <dataValidation allowBlank="1" showInputMessage="1" showErrorMessage="1" sqref="J27"/>
    <dataValidation allowBlank="1" showInputMessage="1" showErrorMessage="1" sqref="J29"/>
    <dataValidation allowBlank="1" showInputMessage="1" showErrorMessage="1" sqref="J30"/>
    <dataValidation allowBlank="1" showInputMessage="1" showErrorMessage="1" sqref="J31"/>
    <dataValidation allowBlank="1" showInputMessage="1" showErrorMessage="1" sqref="J32"/>
    <dataValidation allowBlank="1" showInputMessage="1" showErrorMessage="1" sqref="J33"/>
    <dataValidation allowBlank="1" showInputMessage="1" showErrorMessage="1" sqref="J34"/>
    <dataValidation allowBlank="1" showInputMessage="1" showErrorMessage="1" sqref="J73"/>
    <dataValidation allowBlank="1" showInputMessage="1" showErrorMessage="1" sqref="J74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D7" sqref="D7"/>
    </sheetView>
  </sheetViews>
  <sheetFormatPr defaultColWidth="11.75" defaultRowHeight="13.5" customHeight="1" x14ac:dyDescent="0.15"/>
  <cols>
    <col min="1" max="4" width="11.75" style="3"/>
  </cols>
  <sheetData/>
  <phoneticPr fontId="14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75" defaultRowHeight="13.5" customHeight="1" x14ac:dyDescent="0.15"/>
  <cols>
    <col min="1" max="1" width="11.75" style="3"/>
  </cols>
  <sheetData/>
  <phoneticPr fontId="14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2:LE92"/>
  <sheetViews>
    <sheetView tabSelected="1" zoomScale="85" zoomScaleNormal="85" workbookViewId="0">
      <pane xSplit="10" ySplit="8" topLeftCell="M63" activePane="bottomRight" state="frozen"/>
      <selection activeCell="D26" sqref="D26"/>
      <selection pane="topRight" activeCell="D26" sqref="D26"/>
      <selection pane="bottomLeft" activeCell="D26" sqref="D26"/>
      <selection pane="bottomRight" activeCell="S84" sqref="S84"/>
    </sheetView>
  </sheetViews>
  <sheetFormatPr defaultColWidth="11.75" defaultRowHeight="13.5" customHeight="1" x14ac:dyDescent="0.15"/>
  <cols>
    <col min="1" max="1" width="3.125" style="37" customWidth="1"/>
    <col min="2" max="2" width="6.25" style="9" customWidth="1"/>
    <col min="3" max="3" width="15.25" style="4" customWidth="1"/>
    <col min="4" max="4" width="15.5" style="4" customWidth="1"/>
    <col min="5" max="5" width="43.875" style="4" customWidth="1"/>
    <col min="6" max="6" width="10.75" style="14" customWidth="1"/>
    <col min="7" max="8" width="12.125" style="19" customWidth="1"/>
    <col min="9" max="9" width="7.125" style="19" customWidth="1"/>
    <col min="10" max="10" width="55.25" style="4" customWidth="1"/>
    <col min="11" max="11" width="22.125" style="4" customWidth="1"/>
    <col min="12" max="12" width="8.125" style="9" customWidth="1"/>
    <col min="13" max="13" width="17" style="9" customWidth="1"/>
    <col min="14" max="14" width="7.875" style="4" customWidth="1"/>
    <col min="15" max="15" width="16.375" style="19" customWidth="1"/>
    <col min="16" max="16" width="17.875" style="22" customWidth="1"/>
    <col min="17" max="17" width="19.375" style="237" customWidth="1"/>
    <col min="18" max="117" width="11.75" style="3"/>
    <col min="118" max="217" width="11.75" style="2"/>
    <col min="218" max="317" width="11.75" style="1"/>
  </cols>
  <sheetData>
    <row r="2" spans="2:17" ht="20.100000000000001" customHeight="1" x14ac:dyDescent="0.15">
      <c r="B2" s="257" t="s">
        <v>0</v>
      </c>
      <c r="C2" s="257"/>
      <c r="D2" s="257"/>
      <c r="E2" s="110" t="s">
        <v>227</v>
      </c>
      <c r="G2" s="254" t="s">
        <v>2</v>
      </c>
      <c r="H2" s="255"/>
      <c r="I2" s="256"/>
      <c r="J2" s="18">
        <f>SUM(H:H)</f>
        <v>183342</v>
      </c>
      <c r="K2" s="10"/>
      <c r="L2" s="14"/>
    </row>
    <row r="3" spans="2:17" ht="20.100000000000001" customHeight="1" x14ac:dyDescent="0.15">
      <c r="B3" s="257" t="s">
        <v>3</v>
      </c>
      <c r="C3" s="257"/>
      <c r="D3" s="257"/>
      <c r="E3" s="16" t="s">
        <v>253</v>
      </c>
    </row>
    <row r="4" spans="2:17" ht="20.100000000000001" customHeight="1" x14ac:dyDescent="0.15">
      <c r="B4" s="257" t="s">
        <v>5</v>
      </c>
      <c r="C4" s="257"/>
      <c r="D4" s="257"/>
      <c r="E4" s="16" t="s">
        <v>226</v>
      </c>
      <c r="G4" s="267" t="s">
        <v>206</v>
      </c>
      <c r="H4" s="268"/>
      <c r="I4" s="268"/>
      <c r="J4" s="268"/>
    </row>
    <row r="5" spans="2:17" ht="20.100000000000001" customHeight="1" x14ac:dyDescent="0.15">
      <c r="B5" s="257" t="s">
        <v>6</v>
      </c>
      <c r="C5" s="257"/>
      <c r="D5" s="257"/>
      <c r="E5" s="17">
        <v>42517</v>
      </c>
      <c r="G5" s="268"/>
      <c r="H5" s="268"/>
      <c r="I5" s="268"/>
      <c r="J5" s="268"/>
    </row>
    <row r="6" spans="2:17" ht="20.100000000000001" customHeight="1" x14ac:dyDescent="0.15">
      <c r="B6" s="257" t="s">
        <v>7</v>
      </c>
      <c r="C6" s="257"/>
      <c r="D6" s="257"/>
      <c r="E6" s="17">
        <v>42517</v>
      </c>
      <c r="G6" s="209"/>
      <c r="H6" s="210" t="s">
        <v>228</v>
      </c>
    </row>
    <row r="8" spans="2:17" s="7" customFormat="1" ht="19.5" customHeight="1" x14ac:dyDescent="0.15">
      <c r="B8" s="8" t="s">
        <v>8</v>
      </c>
      <c r="C8" s="8" t="s">
        <v>9</v>
      </c>
      <c r="D8" s="8" t="s">
        <v>10</v>
      </c>
      <c r="E8" s="5" t="s">
        <v>11</v>
      </c>
      <c r="F8" s="70" t="s">
        <v>12</v>
      </c>
      <c r="G8" s="74" t="s">
        <v>13</v>
      </c>
      <c r="H8" s="169" t="s">
        <v>14</v>
      </c>
      <c r="I8" s="6" t="s">
        <v>15</v>
      </c>
      <c r="J8" s="5" t="s">
        <v>16</v>
      </c>
      <c r="K8" s="5" t="s">
        <v>17</v>
      </c>
      <c r="L8" s="5" t="s">
        <v>18</v>
      </c>
      <c r="M8" s="26" t="s">
        <v>19</v>
      </c>
      <c r="N8" s="8" t="s">
        <v>20</v>
      </c>
      <c r="O8" s="5" t="s">
        <v>21</v>
      </c>
      <c r="P8" s="26" t="s">
        <v>22</v>
      </c>
      <c r="Q8" s="15" t="s">
        <v>23</v>
      </c>
    </row>
    <row r="9" spans="2:17" s="7" customFormat="1" ht="19.5" customHeight="1" x14ac:dyDescent="0.15">
      <c r="B9" s="8"/>
      <c r="C9" s="8"/>
      <c r="D9" s="8"/>
      <c r="E9" s="12"/>
      <c r="F9" s="68"/>
      <c r="G9" s="170"/>
      <c r="H9" s="170"/>
      <c r="I9" s="21"/>
      <c r="J9" s="69"/>
      <c r="K9" s="5"/>
      <c r="L9" s="5"/>
      <c r="M9" s="26"/>
      <c r="N9" s="8"/>
      <c r="O9" s="5"/>
      <c r="P9" s="76"/>
      <c r="Q9" s="15"/>
    </row>
    <row r="10" spans="2:17" s="37" customFormat="1" ht="18" customHeight="1" x14ac:dyDescent="0.15">
      <c r="B10" s="261" t="s">
        <v>24</v>
      </c>
      <c r="C10" s="262"/>
      <c r="D10" s="262"/>
      <c r="E10" s="263"/>
      <c r="F10" s="113"/>
      <c r="G10" s="175"/>
      <c r="H10" s="170"/>
      <c r="I10" s="21"/>
      <c r="J10" s="45"/>
      <c r="K10" s="12"/>
      <c r="L10" s="11"/>
      <c r="M10" s="26"/>
      <c r="N10" s="15"/>
      <c r="O10" s="20"/>
      <c r="P10" s="76"/>
      <c r="Q10" s="24"/>
    </row>
    <row r="11" spans="2:17" ht="18" customHeight="1" x14ac:dyDescent="0.15">
      <c r="B11" s="118">
        <v>1</v>
      </c>
      <c r="C11" s="121" t="s">
        <v>160</v>
      </c>
      <c r="D11" s="121" t="s">
        <v>160</v>
      </c>
      <c r="E11" s="207" t="s">
        <v>208</v>
      </c>
      <c r="F11" s="144">
        <v>1</v>
      </c>
      <c r="G11" s="211">
        <v>5250</v>
      </c>
      <c r="H11" s="122">
        <f t="shared" ref="H11:H33" si="0">F11*G11</f>
        <v>5250</v>
      </c>
      <c r="I11" s="120"/>
      <c r="J11" s="119" t="s">
        <v>147</v>
      </c>
      <c r="K11" s="71" t="s">
        <v>146</v>
      </c>
      <c r="L11" s="144"/>
      <c r="M11" s="227">
        <v>42507</v>
      </c>
      <c r="N11" s="119"/>
      <c r="O11" s="120"/>
      <c r="P11" s="232" t="s">
        <v>255</v>
      </c>
      <c r="Q11" s="163"/>
    </row>
    <row r="12" spans="2:17" ht="18" customHeight="1" x14ac:dyDescent="0.15">
      <c r="B12" s="118">
        <f t="shared" ref="B12:B23" si="1">+B11+1</f>
        <v>2</v>
      </c>
      <c r="C12" s="121" t="s">
        <v>160</v>
      </c>
      <c r="D12" s="121" t="s">
        <v>160</v>
      </c>
      <c r="E12" s="207" t="s">
        <v>209</v>
      </c>
      <c r="F12" s="144">
        <v>1</v>
      </c>
      <c r="G12" s="211">
        <v>18500</v>
      </c>
      <c r="H12" s="122">
        <f t="shared" si="0"/>
        <v>18500</v>
      </c>
      <c r="I12" s="120"/>
      <c r="J12" s="119" t="s">
        <v>148</v>
      </c>
      <c r="K12" s="71" t="s">
        <v>146</v>
      </c>
      <c r="L12" s="144"/>
      <c r="M12" s="227">
        <v>42507</v>
      </c>
      <c r="N12" s="119"/>
      <c r="O12" s="120"/>
      <c r="P12" s="232" t="s">
        <v>255</v>
      </c>
      <c r="Q12" s="163"/>
    </row>
    <row r="13" spans="2:17" ht="18" customHeight="1" x14ac:dyDescent="0.15">
      <c r="B13" s="118">
        <f t="shared" si="1"/>
        <v>3</v>
      </c>
      <c r="C13" s="147" t="s">
        <v>160</v>
      </c>
      <c r="D13" s="147" t="s">
        <v>160</v>
      </c>
      <c r="E13" s="207" t="s">
        <v>210</v>
      </c>
      <c r="F13" s="144">
        <v>1</v>
      </c>
      <c r="G13" s="211">
        <v>7500</v>
      </c>
      <c r="H13" s="122">
        <f t="shared" si="0"/>
        <v>7500</v>
      </c>
      <c r="I13" s="120"/>
      <c r="J13" s="146" t="s">
        <v>219</v>
      </c>
      <c r="K13" s="71" t="s">
        <v>146</v>
      </c>
      <c r="L13" s="144"/>
      <c r="M13" s="227">
        <v>42507</v>
      </c>
      <c r="N13" s="119"/>
      <c r="O13" s="120"/>
      <c r="P13" s="232" t="s">
        <v>255</v>
      </c>
      <c r="Q13" s="163"/>
    </row>
    <row r="14" spans="2:17" ht="18" customHeight="1" x14ac:dyDescent="0.15">
      <c r="B14" s="118">
        <f t="shared" si="1"/>
        <v>4</v>
      </c>
      <c r="C14" s="147" t="s">
        <v>160</v>
      </c>
      <c r="D14" s="147" t="s">
        <v>160</v>
      </c>
      <c r="E14" s="207" t="s">
        <v>211</v>
      </c>
      <c r="F14" s="144">
        <v>1</v>
      </c>
      <c r="G14" s="211">
        <v>8500</v>
      </c>
      <c r="H14" s="122">
        <f t="shared" si="0"/>
        <v>8500</v>
      </c>
      <c r="I14" s="120"/>
      <c r="J14" s="146" t="s">
        <v>218</v>
      </c>
      <c r="K14" s="71" t="s">
        <v>146</v>
      </c>
      <c r="L14" s="144"/>
      <c r="M14" s="227">
        <v>42507</v>
      </c>
      <c r="N14" s="119"/>
      <c r="O14" s="120"/>
      <c r="P14" s="232" t="s">
        <v>255</v>
      </c>
      <c r="Q14" s="163"/>
    </row>
    <row r="15" spans="2:17" ht="18" customHeight="1" x14ac:dyDescent="0.15">
      <c r="B15" s="118">
        <f t="shared" si="1"/>
        <v>5</v>
      </c>
      <c r="C15" s="147" t="s">
        <v>160</v>
      </c>
      <c r="D15" s="147" t="s">
        <v>160</v>
      </c>
      <c r="E15" s="207" t="s">
        <v>212</v>
      </c>
      <c r="F15" s="144">
        <v>1</v>
      </c>
      <c r="G15" s="211">
        <v>6500</v>
      </c>
      <c r="H15" s="122">
        <f t="shared" si="0"/>
        <v>6500</v>
      </c>
      <c r="I15" s="120"/>
      <c r="J15" s="119" t="s">
        <v>149</v>
      </c>
      <c r="K15" s="71" t="s">
        <v>146</v>
      </c>
      <c r="L15" s="144"/>
      <c r="M15" s="227">
        <v>42507</v>
      </c>
      <c r="N15" s="119"/>
      <c r="O15" s="120"/>
      <c r="P15" s="232" t="s">
        <v>255</v>
      </c>
      <c r="Q15" s="163"/>
    </row>
    <row r="16" spans="2:17" ht="18" customHeight="1" x14ac:dyDescent="0.15">
      <c r="B16" s="118">
        <f t="shared" si="1"/>
        <v>6</v>
      </c>
      <c r="C16" s="147" t="s">
        <v>160</v>
      </c>
      <c r="D16" s="147" t="s">
        <v>160</v>
      </c>
      <c r="E16" s="207" t="s">
        <v>213</v>
      </c>
      <c r="F16" s="144">
        <v>1</v>
      </c>
      <c r="G16" s="211">
        <v>12500</v>
      </c>
      <c r="H16" s="122">
        <f t="shared" si="0"/>
        <v>12500</v>
      </c>
      <c r="I16" s="120"/>
      <c r="J16" s="146" t="s">
        <v>220</v>
      </c>
      <c r="K16" s="71" t="s">
        <v>146</v>
      </c>
      <c r="L16" s="144"/>
      <c r="M16" s="227">
        <v>42507</v>
      </c>
      <c r="N16" s="119"/>
      <c r="O16" s="120"/>
      <c r="P16" s="232" t="s">
        <v>255</v>
      </c>
      <c r="Q16" s="163"/>
    </row>
    <row r="17" spans="2:17" ht="18" customHeight="1" x14ac:dyDescent="0.15">
      <c r="B17" s="118">
        <f t="shared" si="1"/>
        <v>7</v>
      </c>
      <c r="C17" s="147" t="s">
        <v>160</v>
      </c>
      <c r="D17" s="147" t="s">
        <v>160</v>
      </c>
      <c r="E17" s="202" t="s">
        <v>217</v>
      </c>
      <c r="F17" s="144">
        <v>1</v>
      </c>
      <c r="G17" s="211">
        <v>8500</v>
      </c>
      <c r="H17" s="122">
        <f t="shared" si="0"/>
        <v>8500</v>
      </c>
      <c r="I17" s="120"/>
      <c r="J17" s="146" t="s">
        <v>221</v>
      </c>
      <c r="K17" s="71" t="s">
        <v>146</v>
      </c>
      <c r="L17" s="144"/>
      <c r="M17" s="227">
        <v>42507</v>
      </c>
      <c r="N17" s="119"/>
      <c r="O17" s="120"/>
      <c r="P17" s="232" t="s">
        <v>255</v>
      </c>
      <c r="Q17" s="163"/>
    </row>
    <row r="18" spans="2:17" ht="18" customHeight="1" x14ac:dyDescent="0.15">
      <c r="B18" s="118">
        <f>+B17+1</f>
        <v>8</v>
      </c>
      <c r="C18" s="116" t="s">
        <v>37</v>
      </c>
      <c r="D18" s="116" t="s">
        <v>37</v>
      </c>
      <c r="E18" s="208" t="s">
        <v>150</v>
      </c>
      <c r="F18" s="144">
        <v>1</v>
      </c>
      <c r="G18" s="120">
        <v>450</v>
      </c>
      <c r="H18" s="122">
        <f t="shared" si="0"/>
        <v>450</v>
      </c>
      <c r="I18" s="120"/>
      <c r="J18" s="119" t="s">
        <v>151</v>
      </c>
      <c r="K18" s="119"/>
      <c r="L18" s="144"/>
      <c r="M18" s="227">
        <v>42507</v>
      </c>
      <c r="N18" s="119"/>
      <c r="O18" s="120"/>
      <c r="P18" s="232" t="s">
        <v>256</v>
      </c>
      <c r="Q18" s="163"/>
    </row>
    <row r="19" spans="2:17" ht="18" customHeight="1" x14ac:dyDescent="0.15">
      <c r="B19" s="118">
        <f t="shared" si="1"/>
        <v>9</v>
      </c>
      <c r="C19" s="116" t="s">
        <v>37</v>
      </c>
      <c r="D19" s="116" t="s">
        <v>37</v>
      </c>
      <c r="E19" s="208" t="s">
        <v>222</v>
      </c>
      <c r="F19" s="144">
        <v>1</v>
      </c>
      <c r="G19" s="120">
        <v>530</v>
      </c>
      <c r="H19" s="122">
        <f t="shared" si="0"/>
        <v>530</v>
      </c>
      <c r="I19" s="120"/>
      <c r="J19" s="146" t="s">
        <v>204</v>
      </c>
      <c r="K19" s="119"/>
      <c r="L19" s="144"/>
      <c r="M19" s="227">
        <v>42507</v>
      </c>
      <c r="N19" s="119"/>
      <c r="O19" s="120"/>
      <c r="P19" s="232" t="s">
        <v>256</v>
      </c>
      <c r="Q19" s="163"/>
    </row>
    <row r="20" spans="2:17" ht="18" customHeight="1" x14ac:dyDescent="0.15">
      <c r="B20" s="118">
        <f t="shared" si="1"/>
        <v>10</v>
      </c>
      <c r="C20" s="116" t="s">
        <v>37</v>
      </c>
      <c r="D20" s="116" t="s">
        <v>37</v>
      </c>
      <c r="E20" s="208" t="s">
        <v>152</v>
      </c>
      <c r="F20" s="144">
        <v>1</v>
      </c>
      <c r="G20" s="120">
        <v>140</v>
      </c>
      <c r="H20" s="122">
        <f t="shared" si="0"/>
        <v>140</v>
      </c>
      <c r="I20" s="120"/>
      <c r="J20" s="119" t="s">
        <v>153</v>
      </c>
      <c r="K20" s="119"/>
      <c r="L20" s="144"/>
      <c r="M20" s="227">
        <v>42507</v>
      </c>
      <c r="N20" s="119"/>
      <c r="O20" s="120"/>
      <c r="P20" s="232" t="s">
        <v>256</v>
      </c>
      <c r="Q20" s="163"/>
    </row>
    <row r="21" spans="2:17" ht="18" customHeight="1" x14ac:dyDescent="0.15">
      <c r="B21" s="118">
        <f t="shared" si="1"/>
        <v>11</v>
      </c>
      <c r="C21" s="116" t="s">
        <v>37</v>
      </c>
      <c r="D21" s="116" t="s">
        <v>37</v>
      </c>
      <c r="E21" s="208" t="s">
        <v>154</v>
      </c>
      <c r="F21" s="144">
        <v>1</v>
      </c>
      <c r="G21" s="120">
        <v>1490</v>
      </c>
      <c r="H21" s="122">
        <f t="shared" si="0"/>
        <v>1490</v>
      </c>
      <c r="I21" s="120"/>
      <c r="J21" s="119" t="s">
        <v>155</v>
      </c>
      <c r="K21" s="119"/>
      <c r="L21" s="144"/>
      <c r="M21" s="227">
        <v>42507</v>
      </c>
      <c r="N21" s="119"/>
      <c r="O21" s="120"/>
      <c r="P21" s="232" t="s">
        <v>256</v>
      </c>
      <c r="Q21" s="163"/>
    </row>
    <row r="22" spans="2:17" ht="18" customHeight="1" x14ac:dyDescent="0.15">
      <c r="B22" s="118">
        <f t="shared" si="1"/>
        <v>12</v>
      </c>
      <c r="C22" s="116" t="s">
        <v>37</v>
      </c>
      <c r="D22" s="116" t="s">
        <v>37</v>
      </c>
      <c r="E22" s="208" t="s">
        <v>156</v>
      </c>
      <c r="F22" s="144">
        <v>1</v>
      </c>
      <c r="G22" s="120">
        <v>9220</v>
      </c>
      <c r="H22" s="122">
        <f t="shared" si="0"/>
        <v>9220</v>
      </c>
      <c r="I22" s="120"/>
      <c r="J22" s="119" t="s">
        <v>157</v>
      </c>
      <c r="K22" s="119"/>
      <c r="L22" s="144"/>
      <c r="M22" s="227">
        <v>42507</v>
      </c>
      <c r="N22" s="119"/>
      <c r="O22" s="120"/>
      <c r="P22" s="232" t="s">
        <v>256</v>
      </c>
      <c r="Q22" s="163"/>
    </row>
    <row r="23" spans="2:17" ht="18" customHeight="1" x14ac:dyDescent="0.15">
      <c r="B23" s="118">
        <f t="shared" si="1"/>
        <v>13</v>
      </c>
      <c r="C23" s="116" t="s">
        <v>37</v>
      </c>
      <c r="D23" s="116" t="s">
        <v>37</v>
      </c>
      <c r="E23" s="208" t="s">
        <v>158</v>
      </c>
      <c r="F23" s="144">
        <v>1</v>
      </c>
      <c r="G23" s="120">
        <v>1080</v>
      </c>
      <c r="H23" s="122">
        <f t="shared" si="0"/>
        <v>1080</v>
      </c>
      <c r="I23" s="120"/>
      <c r="J23" s="119" t="s">
        <v>159</v>
      </c>
      <c r="K23" s="119"/>
      <c r="L23" s="144"/>
      <c r="M23" s="227">
        <v>42507</v>
      </c>
      <c r="N23" s="119"/>
      <c r="O23" s="120"/>
      <c r="P23" s="232" t="s">
        <v>256</v>
      </c>
      <c r="Q23" s="163"/>
    </row>
    <row r="24" spans="2:17" s="37" customFormat="1" ht="18" customHeight="1" x14ac:dyDescent="0.15">
      <c r="B24" s="112">
        <f>+B23+1</f>
        <v>14</v>
      </c>
      <c r="C24" s="116" t="s">
        <v>37</v>
      </c>
      <c r="D24" s="116" t="s">
        <v>37</v>
      </c>
      <c r="E24" s="218" t="s">
        <v>224</v>
      </c>
      <c r="F24" s="219">
        <v>10</v>
      </c>
      <c r="G24" s="220">
        <v>38</v>
      </c>
      <c r="H24" s="221">
        <f t="shared" si="0"/>
        <v>380</v>
      </c>
      <c r="I24" s="222"/>
      <c r="J24" s="223" t="s">
        <v>225</v>
      </c>
      <c r="K24" s="48"/>
      <c r="L24" s="51"/>
      <c r="M24" s="227">
        <v>42507</v>
      </c>
      <c r="N24" s="153"/>
      <c r="O24" s="154"/>
      <c r="P24" s="232" t="s">
        <v>256</v>
      </c>
      <c r="Q24" s="102"/>
    </row>
    <row r="25" spans="2:17" s="37" customFormat="1" ht="18" customHeight="1" x14ac:dyDescent="0.15">
      <c r="B25" s="112">
        <f t="shared" ref="B25:B27" si="2">+B24+1</f>
        <v>15</v>
      </c>
      <c r="C25" s="23" t="s">
        <v>37</v>
      </c>
      <c r="D25" s="23" t="s">
        <v>37</v>
      </c>
      <c r="E25" s="213" t="s">
        <v>223</v>
      </c>
      <c r="F25" s="214">
        <v>1</v>
      </c>
      <c r="G25" s="215">
        <v>248</v>
      </c>
      <c r="H25" s="216">
        <f t="shared" si="0"/>
        <v>248</v>
      </c>
      <c r="I25" s="217"/>
      <c r="J25" s="200" t="s">
        <v>205</v>
      </c>
      <c r="K25" s="12"/>
      <c r="L25" s="11"/>
      <c r="M25" s="227">
        <v>42507</v>
      </c>
      <c r="N25" s="15"/>
      <c r="O25" s="20"/>
      <c r="P25" s="232" t="s">
        <v>256</v>
      </c>
      <c r="Q25" s="24"/>
    </row>
    <row r="26" spans="2:17" s="37" customFormat="1" ht="18" customHeight="1" x14ac:dyDescent="0.15">
      <c r="B26" s="112">
        <f t="shared" si="2"/>
        <v>16</v>
      </c>
      <c r="C26" s="23" t="s">
        <v>37</v>
      </c>
      <c r="D26" s="23" t="s">
        <v>37</v>
      </c>
      <c r="E26" s="90" t="s">
        <v>229</v>
      </c>
      <c r="F26" s="107">
        <v>30</v>
      </c>
      <c r="G26" s="175">
        <v>19</v>
      </c>
      <c r="H26" s="171">
        <f t="shared" si="0"/>
        <v>570</v>
      </c>
      <c r="I26" s="6"/>
      <c r="J26" s="90" t="s">
        <v>133</v>
      </c>
      <c r="K26" s="12"/>
      <c r="L26" s="11"/>
      <c r="M26" s="227">
        <v>42507</v>
      </c>
      <c r="N26" s="15"/>
      <c r="O26" s="20"/>
      <c r="P26" s="232" t="s">
        <v>256</v>
      </c>
      <c r="Q26" s="24"/>
    </row>
    <row r="27" spans="2:17" s="37" customFormat="1" ht="18" customHeight="1" x14ac:dyDescent="0.15">
      <c r="B27" s="112">
        <f t="shared" si="2"/>
        <v>17</v>
      </c>
      <c r="C27" s="23" t="s">
        <v>37</v>
      </c>
      <c r="D27" s="23" t="s">
        <v>37</v>
      </c>
      <c r="E27" s="90" t="s">
        <v>230</v>
      </c>
      <c r="F27" s="107">
        <v>3</v>
      </c>
      <c r="G27" s="175">
        <v>185</v>
      </c>
      <c r="H27" s="171">
        <f t="shared" si="0"/>
        <v>555</v>
      </c>
      <c r="I27" s="6"/>
      <c r="J27" s="90" t="s">
        <v>231</v>
      </c>
      <c r="K27" s="12"/>
      <c r="L27" s="11"/>
      <c r="M27" s="227">
        <v>42507</v>
      </c>
      <c r="N27" s="15"/>
      <c r="O27" s="20"/>
      <c r="P27" s="232" t="s">
        <v>256</v>
      </c>
      <c r="Q27" s="24"/>
    </row>
    <row r="28" spans="2:17" s="115" customFormat="1" ht="18" customHeight="1" x14ac:dyDescent="0.15">
      <c r="B28" s="113">
        <f>+B27+1</f>
        <v>18</v>
      </c>
      <c r="C28" s="8" t="s">
        <v>37</v>
      </c>
      <c r="D28" s="8" t="s">
        <v>37</v>
      </c>
      <c r="E28" s="91" t="s">
        <v>238</v>
      </c>
      <c r="F28" s="113">
        <v>1</v>
      </c>
      <c r="G28" s="177">
        <v>75</v>
      </c>
      <c r="H28" s="170">
        <f t="shared" si="0"/>
        <v>75</v>
      </c>
      <c r="I28" s="13"/>
      <c r="J28" s="224" t="s">
        <v>237</v>
      </c>
      <c r="K28" s="71"/>
      <c r="L28" s="11"/>
      <c r="M28" s="227">
        <v>42507</v>
      </c>
      <c r="N28" s="15"/>
      <c r="O28" s="20"/>
      <c r="P28" s="232" t="s">
        <v>256</v>
      </c>
      <c r="Q28" s="24"/>
    </row>
    <row r="29" spans="2:17" s="37" customFormat="1" ht="18" customHeight="1" x14ac:dyDescent="0.15">
      <c r="B29" s="112">
        <f>+B28+1</f>
        <v>19</v>
      </c>
      <c r="C29" s="23" t="s">
        <v>37</v>
      </c>
      <c r="D29" s="23" t="s">
        <v>37</v>
      </c>
      <c r="E29" s="91" t="s">
        <v>233</v>
      </c>
      <c r="F29" s="107">
        <v>2</v>
      </c>
      <c r="G29" s="175">
        <v>136</v>
      </c>
      <c r="H29" s="171">
        <f t="shared" si="0"/>
        <v>272</v>
      </c>
      <c r="I29" s="6"/>
      <c r="J29" s="224" t="s">
        <v>232</v>
      </c>
      <c r="K29" s="12"/>
      <c r="L29" s="11"/>
      <c r="M29" s="227">
        <v>42507</v>
      </c>
      <c r="N29" s="15"/>
      <c r="O29" s="20"/>
      <c r="P29" s="232" t="s">
        <v>256</v>
      </c>
      <c r="Q29" s="24"/>
    </row>
    <row r="30" spans="2:17" s="115" customFormat="1" ht="18" customHeight="1" x14ac:dyDescent="0.15">
      <c r="B30" s="113">
        <f>+B29+1</f>
        <v>20</v>
      </c>
      <c r="C30" s="8" t="s">
        <v>37</v>
      </c>
      <c r="D30" s="8" t="s">
        <v>37</v>
      </c>
      <c r="E30" s="91" t="s">
        <v>234</v>
      </c>
      <c r="F30" s="113">
        <v>4</v>
      </c>
      <c r="G30" s="177">
        <v>80</v>
      </c>
      <c r="H30" s="170">
        <f t="shared" ref="H30" si="3">F30*G30</f>
        <v>320</v>
      </c>
      <c r="I30" s="13"/>
      <c r="J30" s="64" t="s">
        <v>51</v>
      </c>
      <c r="K30" s="71"/>
      <c r="L30" s="11"/>
      <c r="M30" s="227">
        <v>42507</v>
      </c>
      <c r="N30" s="15"/>
      <c r="O30" s="20"/>
      <c r="P30" s="232" t="s">
        <v>256</v>
      </c>
      <c r="Q30" s="24"/>
    </row>
    <row r="31" spans="2:17" s="37" customFormat="1" ht="18" customHeight="1" x14ac:dyDescent="0.15">
      <c r="B31" s="113">
        <f t="shared" ref="B31:B35" si="4">+B30+1</f>
        <v>21</v>
      </c>
      <c r="C31" s="8" t="s">
        <v>37</v>
      </c>
      <c r="D31" s="8" t="s">
        <v>37</v>
      </c>
      <c r="E31" s="91" t="s">
        <v>235</v>
      </c>
      <c r="F31" s="113">
        <v>2</v>
      </c>
      <c r="G31" s="177">
        <v>75</v>
      </c>
      <c r="H31" s="170">
        <f t="shared" si="0"/>
        <v>150</v>
      </c>
      <c r="I31" s="13"/>
      <c r="J31" s="64" t="s">
        <v>51</v>
      </c>
      <c r="K31" s="12"/>
      <c r="L31" s="11"/>
      <c r="M31" s="227">
        <v>42507</v>
      </c>
      <c r="N31" s="15"/>
      <c r="O31" s="20"/>
      <c r="P31" s="232" t="s">
        <v>256</v>
      </c>
      <c r="Q31" s="24"/>
    </row>
    <row r="32" spans="2:17" s="37" customFormat="1" ht="18" customHeight="1" x14ac:dyDescent="0.15">
      <c r="B32" s="113">
        <f t="shared" si="4"/>
        <v>22</v>
      </c>
      <c r="C32" s="8" t="s">
        <v>37</v>
      </c>
      <c r="D32" s="8" t="s">
        <v>37</v>
      </c>
      <c r="E32" s="91" t="s">
        <v>52</v>
      </c>
      <c r="F32" s="113">
        <v>8</v>
      </c>
      <c r="G32" s="177">
        <v>75</v>
      </c>
      <c r="H32" s="170">
        <f t="shared" si="0"/>
        <v>600</v>
      </c>
      <c r="I32" s="13"/>
      <c r="J32" s="64" t="s">
        <v>53</v>
      </c>
      <c r="K32" s="12"/>
      <c r="L32" s="11"/>
      <c r="M32" s="227">
        <v>42507</v>
      </c>
      <c r="N32" s="15"/>
      <c r="O32" s="20"/>
      <c r="P32" s="232" t="s">
        <v>256</v>
      </c>
      <c r="Q32" s="24"/>
    </row>
    <row r="33" spans="1:18" s="37" customFormat="1" ht="18" customHeight="1" x14ac:dyDescent="0.15">
      <c r="B33" s="113">
        <f t="shared" si="4"/>
        <v>23</v>
      </c>
      <c r="C33" s="8" t="s">
        <v>37</v>
      </c>
      <c r="D33" s="8" t="s">
        <v>37</v>
      </c>
      <c r="E33" s="91" t="s">
        <v>54</v>
      </c>
      <c r="F33" s="113">
        <v>4</v>
      </c>
      <c r="G33" s="177">
        <v>80</v>
      </c>
      <c r="H33" s="170">
        <f t="shared" si="0"/>
        <v>320</v>
      </c>
      <c r="I33" s="13"/>
      <c r="J33" s="64" t="s">
        <v>55</v>
      </c>
      <c r="K33" s="12"/>
      <c r="L33" s="11"/>
      <c r="M33" s="227">
        <v>42507</v>
      </c>
      <c r="N33" s="15"/>
      <c r="O33" s="20"/>
      <c r="P33" s="232" t="s">
        <v>256</v>
      </c>
      <c r="Q33" s="24"/>
    </row>
    <row r="34" spans="1:18" s="115" customFormat="1" ht="18" customHeight="1" x14ac:dyDescent="0.15">
      <c r="B34" s="113">
        <f t="shared" si="4"/>
        <v>24</v>
      </c>
      <c r="C34" s="8" t="s">
        <v>37</v>
      </c>
      <c r="D34" s="8" t="s">
        <v>37</v>
      </c>
      <c r="E34" s="91" t="s">
        <v>236</v>
      </c>
      <c r="F34" s="113">
        <v>7</v>
      </c>
      <c r="G34" s="177">
        <v>80</v>
      </c>
      <c r="H34" s="170">
        <f t="shared" ref="H34" si="5">F34*G34</f>
        <v>560</v>
      </c>
      <c r="I34" s="13"/>
      <c r="J34" s="64" t="s">
        <v>55</v>
      </c>
      <c r="K34" s="71"/>
      <c r="L34" s="11"/>
      <c r="M34" s="227">
        <v>42507</v>
      </c>
      <c r="N34" s="15"/>
      <c r="O34" s="20"/>
      <c r="P34" s="232" t="s">
        <v>256</v>
      </c>
      <c r="Q34" s="24"/>
    </row>
    <row r="35" spans="1:18" s="115" customFormat="1" ht="18" customHeight="1" x14ac:dyDescent="0.15">
      <c r="B35" s="113">
        <f t="shared" si="4"/>
        <v>25</v>
      </c>
      <c r="C35" s="8" t="s">
        <v>37</v>
      </c>
      <c r="D35" s="8" t="s">
        <v>37</v>
      </c>
      <c r="E35" s="91" t="s">
        <v>239</v>
      </c>
      <c r="F35" s="113">
        <v>2</v>
      </c>
      <c r="G35" s="177">
        <v>80</v>
      </c>
      <c r="H35" s="170">
        <f t="shared" ref="H35" si="6">F35*G35</f>
        <v>160</v>
      </c>
      <c r="I35" s="13"/>
      <c r="J35" s="64" t="s">
        <v>55</v>
      </c>
      <c r="K35" s="71"/>
      <c r="L35" s="11"/>
      <c r="M35" s="227">
        <v>42507</v>
      </c>
      <c r="N35" s="15"/>
      <c r="O35" s="20"/>
      <c r="P35" s="232" t="s">
        <v>256</v>
      </c>
      <c r="Q35" s="24"/>
    </row>
    <row r="36" spans="1:18" s="37" customFormat="1" ht="18" customHeight="1" x14ac:dyDescent="0.15">
      <c r="B36" s="112"/>
      <c r="C36" s="8"/>
      <c r="D36" s="8"/>
      <c r="E36" s="91"/>
      <c r="F36" s="113"/>
      <c r="G36" s="177"/>
      <c r="H36" s="170"/>
      <c r="I36" s="13"/>
      <c r="J36" s="64"/>
      <c r="K36" s="12"/>
      <c r="L36" s="11"/>
      <c r="M36" s="227"/>
      <c r="N36" s="15"/>
      <c r="O36" s="20"/>
      <c r="P36" s="76"/>
      <c r="Q36" s="24"/>
    </row>
    <row r="37" spans="1:18" s="37" customFormat="1" ht="18" customHeight="1" x14ac:dyDescent="0.15">
      <c r="B37" s="28"/>
      <c r="C37" s="8"/>
      <c r="D37" s="13"/>
      <c r="E37" s="271">
        <f>SUM(H11:H36)</f>
        <v>84370</v>
      </c>
      <c r="F37" s="272"/>
      <c r="G37" s="272"/>
      <c r="H37" s="273"/>
      <c r="I37" s="67"/>
      <c r="J37" s="64"/>
      <c r="K37" s="12"/>
      <c r="L37" s="11"/>
      <c r="M37" s="227"/>
      <c r="N37" s="15"/>
      <c r="O37" s="20"/>
      <c r="P37" s="76"/>
      <c r="Q37" s="24"/>
    </row>
    <row r="38" spans="1:18" s="7" customFormat="1" ht="19.5" customHeight="1" x14ac:dyDescent="0.15">
      <c r="B38" s="8"/>
      <c r="C38" s="143"/>
      <c r="D38" s="143"/>
      <c r="E38" s="150"/>
      <c r="F38" s="68"/>
      <c r="G38" s="170"/>
      <c r="H38" s="170"/>
      <c r="I38" s="21"/>
      <c r="J38" s="69"/>
      <c r="K38" s="5"/>
      <c r="L38" s="5"/>
      <c r="M38" s="227"/>
      <c r="N38" s="8"/>
      <c r="O38" s="5"/>
      <c r="P38" s="76"/>
      <c r="Q38" s="15"/>
    </row>
    <row r="39" spans="1:18" s="37" customFormat="1" ht="18" customHeight="1" x14ac:dyDescent="0.15">
      <c r="B39" s="148"/>
      <c r="C39" s="270" t="s">
        <v>134</v>
      </c>
      <c r="D39" s="270"/>
      <c r="E39" s="270"/>
      <c r="F39" s="149"/>
      <c r="G39" s="170"/>
      <c r="H39" s="170"/>
      <c r="I39" s="13"/>
      <c r="J39" s="64"/>
      <c r="K39" s="12"/>
      <c r="L39" s="11"/>
      <c r="M39" s="227"/>
      <c r="N39" s="15"/>
      <c r="O39" s="20"/>
      <c r="P39" s="76"/>
      <c r="Q39" s="24"/>
    </row>
    <row r="40" spans="1:18" s="37" customFormat="1" ht="18" customHeight="1" x14ac:dyDescent="0.15">
      <c r="B40" s="118">
        <f>+B35+1</f>
        <v>26</v>
      </c>
      <c r="C40" s="147" t="s">
        <v>160</v>
      </c>
      <c r="D40" s="147" t="s">
        <v>160</v>
      </c>
      <c r="E40" s="152" t="s">
        <v>215</v>
      </c>
      <c r="F40" s="113">
        <v>1</v>
      </c>
      <c r="G40" s="212">
        <v>7500</v>
      </c>
      <c r="H40" s="170">
        <f t="shared" ref="H40:H46" si="7">F40*G40</f>
        <v>7500</v>
      </c>
      <c r="I40" s="108"/>
      <c r="J40" s="69" t="s">
        <v>135</v>
      </c>
      <c r="K40" s="12" t="s">
        <v>146</v>
      </c>
      <c r="L40" s="11"/>
      <c r="M40" s="227">
        <v>42507</v>
      </c>
      <c r="N40" s="15"/>
      <c r="O40" s="20"/>
      <c r="P40" s="232" t="s">
        <v>255</v>
      </c>
      <c r="Q40" s="24"/>
    </row>
    <row r="41" spans="1:18" ht="18" customHeight="1" x14ac:dyDescent="0.15">
      <c r="B41" s="118">
        <f t="shared" ref="B41:B46" si="8">+B40+1</f>
        <v>27</v>
      </c>
      <c r="C41" s="147" t="s">
        <v>160</v>
      </c>
      <c r="D41" s="147" t="s">
        <v>160</v>
      </c>
      <c r="E41" s="152" t="s">
        <v>216</v>
      </c>
      <c r="F41" s="113">
        <v>1</v>
      </c>
      <c r="G41" s="212">
        <v>5000</v>
      </c>
      <c r="H41" s="170">
        <f t="shared" si="7"/>
        <v>5000</v>
      </c>
      <c r="I41" s="108"/>
      <c r="J41" s="69" t="s">
        <v>136</v>
      </c>
      <c r="K41" s="12" t="s">
        <v>146</v>
      </c>
      <c r="L41" s="11"/>
      <c r="M41" s="227">
        <v>42507</v>
      </c>
      <c r="N41" s="15"/>
      <c r="O41" s="20"/>
      <c r="P41" s="232" t="s">
        <v>255</v>
      </c>
      <c r="Q41" s="24"/>
    </row>
    <row r="42" spans="1:18" ht="18" customHeight="1" x14ac:dyDescent="0.15">
      <c r="B42" s="118">
        <f t="shared" si="8"/>
        <v>28</v>
      </c>
      <c r="C42" s="8" t="s">
        <v>37</v>
      </c>
      <c r="D42" s="8" t="s">
        <v>37</v>
      </c>
      <c r="E42" s="109" t="s">
        <v>137</v>
      </c>
      <c r="F42" s="68">
        <v>1</v>
      </c>
      <c r="G42" s="170">
        <v>460</v>
      </c>
      <c r="H42" s="170">
        <f t="shared" si="7"/>
        <v>460</v>
      </c>
      <c r="I42" s="67"/>
      <c r="J42" s="69" t="s">
        <v>138</v>
      </c>
      <c r="K42" s="12"/>
      <c r="L42" s="11"/>
      <c r="M42" s="227">
        <v>42507</v>
      </c>
      <c r="N42" s="15"/>
      <c r="O42" s="20"/>
      <c r="P42" s="232" t="s">
        <v>256</v>
      </c>
      <c r="Q42" s="24"/>
    </row>
    <row r="43" spans="1:18" ht="18" customHeight="1" x14ac:dyDescent="0.15">
      <c r="B43" s="118">
        <f t="shared" si="8"/>
        <v>29</v>
      </c>
      <c r="C43" s="8" t="s">
        <v>37</v>
      </c>
      <c r="D43" s="8" t="s">
        <v>37</v>
      </c>
      <c r="E43" s="109" t="s">
        <v>252</v>
      </c>
      <c r="F43" s="68">
        <v>1</v>
      </c>
      <c r="G43" s="170">
        <v>280</v>
      </c>
      <c r="H43" s="170">
        <f t="shared" si="7"/>
        <v>280</v>
      </c>
      <c r="I43" s="67"/>
      <c r="J43" s="69" t="s">
        <v>139</v>
      </c>
      <c r="K43" s="12"/>
      <c r="L43" s="11"/>
      <c r="M43" s="227">
        <v>42507</v>
      </c>
      <c r="N43" s="15"/>
      <c r="O43" s="20"/>
      <c r="P43" s="232" t="s">
        <v>256</v>
      </c>
      <c r="Q43" s="24"/>
    </row>
    <row r="44" spans="1:18" ht="18" customHeight="1" x14ac:dyDescent="0.15">
      <c r="B44" s="118">
        <f t="shared" si="8"/>
        <v>30</v>
      </c>
      <c r="C44" s="8" t="s">
        <v>37</v>
      </c>
      <c r="D44" s="8" t="s">
        <v>37</v>
      </c>
      <c r="E44" s="109" t="s">
        <v>140</v>
      </c>
      <c r="F44" s="68">
        <v>4</v>
      </c>
      <c r="G44" s="170">
        <v>300</v>
      </c>
      <c r="H44" s="170">
        <f t="shared" si="7"/>
        <v>1200</v>
      </c>
      <c r="I44" s="67"/>
      <c r="J44" s="69" t="s">
        <v>139</v>
      </c>
      <c r="K44" s="12"/>
      <c r="L44" s="11"/>
      <c r="M44" s="227">
        <v>42507</v>
      </c>
      <c r="N44" s="15"/>
      <c r="O44" s="20"/>
      <c r="P44" s="232" t="s">
        <v>256</v>
      </c>
      <c r="Q44" s="24"/>
    </row>
    <row r="45" spans="1:18" ht="18" customHeight="1" x14ac:dyDescent="0.15">
      <c r="B45" s="118">
        <f t="shared" si="8"/>
        <v>31</v>
      </c>
      <c r="C45" s="8" t="s">
        <v>37</v>
      </c>
      <c r="D45" s="8" t="s">
        <v>37</v>
      </c>
      <c r="E45" s="45" t="s">
        <v>92</v>
      </c>
      <c r="F45" s="113">
        <v>10</v>
      </c>
      <c r="G45" s="175">
        <v>25</v>
      </c>
      <c r="H45" s="170">
        <f t="shared" si="7"/>
        <v>250</v>
      </c>
      <c r="I45" s="6"/>
      <c r="J45" s="45" t="s">
        <v>141</v>
      </c>
      <c r="K45" s="12"/>
      <c r="L45" s="11"/>
      <c r="M45" s="227">
        <v>42507</v>
      </c>
      <c r="N45" s="15"/>
      <c r="O45" s="20"/>
      <c r="P45" s="232" t="s">
        <v>256</v>
      </c>
      <c r="Q45" s="24"/>
    </row>
    <row r="46" spans="1:18" ht="18" customHeight="1" x14ac:dyDescent="0.15">
      <c r="A46" s="111"/>
      <c r="B46" s="118">
        <f t="shared" si="8"/>
        <v>32</v>
      </c>
      <c r="C46" s="23" t="s">
        <v>142</v>
      </c>
      <c r="D46" s="23" t="s">
        <v>143</v>
      </c>
      <c r="E46" s="109" t="s">
        <v>249</v>
      </c>
      <c r="F46" s="151">
        <v>1</v>
      </c>
      <c r="G46" s="170">
        <v>1390</v>
      </c>
      <c r="H46" s="170">
        <f t="shared" si="7"/>
        <v>1390</v>
      </c>
      <c r="I46" s="67"/>
      <c r="J46" s="152" t="s">
        <v>180</v>
      </c>
      <c r="K46" s="12"/>
      <c r="L46" s="11"/>
      <c r="M46" s="227">
        <v>42507</v>
      </c>
      <c r="N46" s="15"/>
      <c r="O46" s="20"/>
      <c r="P46" s="232">
        <v>42516</v>
      </c>
      <c r="Q46" s="234" t="s">
        <v>259</v>
      </c>
      <c r="R46" s="236" t="s">
        <v>261</v>
      </c>
    </row>
    <row r="47" spans="1:18" ht="18" customHeight="1" x14ac:dyDescent="0.15">
      <c r="B47" s="23"/>
      <c r="C47" s="8"/>
      <c r="D47" s="8"/>
      <c r="E47" s="271">
        <f>SUM(H40:H46)</f>
        <v>16080</v>
      </c>
      <c r="F47" s="272"/>
      <c r="G47" s="272"/>
      <c r="H47" s="273"/>
      <c r="I47" s="13"/>
      <c r="J47" s="64"/>
      <c r="K47" s="12"/>
      <c r="L47" s="11"/>
      <c r="M47" s="227"/>
      <c r="N47" s="15"/>
      <c r="O47" s="20"/>
      <c r="P47" s="76"/>
      <c r="Q47" s="24"/>
    </row>
    <row r="48" spans="1:18" ht="18" customHeight="1" x14ac:dyDescent="0.15">
      <c r="B48" s="23"/>
      <c r="C48" s="8"/>
      <c r="D48" s="8"/>
      <c r="E48" s="109"/>
      <c r="F48" s="68"/>
      <c r="G48" s="170"/>
      <c r="H48" s="170"/>
      <c r="I48" s="67"/>
      <c r="J48" s="69"/>
      <c r="K48" s="12"/>
      <c r="L48" s="11"/>
      <c r="M48" s="227"/>
      <c r="N48" s="15"/>
      <c r="O48" s="20"/>
      <c r="P48" s="76"/>
      <c r="Q48" s="24"/>
    </row>
    <row r="49" spans="2:18" s="115" customFormat="1" ht="18" customHeight="1" x14ac:dyDescent="0.15">
      <c r="B49" s="166"/>
      <c r="C49" s="269" t="s">
        <v>181</v>
      </c>
      <c r="D49" s="270"/>
      <c r="E49" s="270"/>
      <c r="F49" s="149"/>
      <c r="G49" s="170"/>
      <c r="H49" s="170"/>
      <c r="I49" s="13"/>
      <c r="J49" s="64"/>
      <c r="K49" s="71"/>
      <c r="L49" s="11"/>
      <c r="M49" s="227"/>
      <c r="N49" s="15"/>
      <c r="O49" s="20"/>
      <c r="P49" s="76"/>
      <c r="Q49" s="24"/>
    </row>
    <row r="50" spans="2:18" ht="18" customHeight="1" x14ac:dyDescent="0.15">
      <c r="B50" s="206">
        <f>+B46+1</f>
        <v>33</v>
      </c>
      <c r="C50" s="205" t="s">
        <v>160</v>
      </c>
      <c r="D50" s="147" t="s">
        <v>160</v>
      </c>
      <c r="E50" s="198" t="s">
        <v>214</v>
      </c>
      <c r="F50" s="141">
        <v>1</v>
      </c>
      <c r="G50" s="211">
        <v>14500</v>
      </c>
      <c r="H50" s="170">
        <f t="shared" ref="H50:H57" si="9">F50*G50</f>
        <v>14500</v>
      </c>
      <c r="I50" s="120"/>
      <c r="J50" s="157" t="s">
        <v>170</v>
      </c>
      <c r="K50" s="71" t="s">
        <v>146</v>
      </c>
      <c r="L50" s="11"/>
      <c r="M50" s="227">
        <v>42507</v>
      </c>
      <c r="N50" s="15"/>
      <c r="O50" s="20"/>
      <c r="P50" s="232" t="s">
        <v>255</v>
      </c>
      <c r="Q50" s="24"/>
    </row>
    <row r="51" spans="2:18" ht="18" customHeight="1" x14ac:dyDescent="0.15">
      <c r="B51" s="117">
        <f>+B50+1</f>
        <v>34</v>
      </c>
      <c r="C51" s="47" t="s">
        <v>37</v>
      </c>
      <c r="D51" s="47" t="s">
        <v>37</v>
      </c>
      <c r="E51" s="199" t="s">
        <v>161</v>
      </c>
      <c r="F51" s="144">
        <v>1</v>
      </c>
      <c r="G51" s="120">
        <v>1767</v>
      </c>
      <c r="H51" s="170">
        <f t="shared" si="9"/>
        <v>1767</v>
      </c>
      <c r="I51" s="120"/>
      <c r="J51" s="119" t="s">
        <v>162</v>
      </c>
      <c r="M51" s="227">
        <v>42507</v>
      </c>
      <c r="N51" s="230"/>
      <c r="O51" s="231"/>
      <c r="P51" s="235" t="s">
        <v>260</v>
      </c>
      <c r="Q51" s="238" t="s">
        <v>262</v>
      </c>
      <c r="R51" s="236" t="s">
        <v>263</v>
      </c>
    </row>
    <row r="52" spans="2:18" s="115" customFormat="1" ht="18" customHeight="1" x14ac:dyDescent="0.15">
      <c r="B52" s="113">
        <f>+B51+1</f>
        <v>35</v>
      </c>
      <c r="C52" s="47" t="s">
        <v>37</v>
      </c>
      <c r="D52" s="47" t="s">
        <v>37</v>
      </c>
      <c r="E52" s="200" t="s">
        <v>247</v>
      </c>
      <c r="F52" s="113">
        <v>2</v>
      </c>
      <c r="G52" s="170">
        <v>455</v>
      </c>
      <c r="H52" s="170">
        <f t="shared" si="9"/>
        <v>910</v>
      </c>
      <c r="I52" s="13"/>
      <c r="J52" s="224" t="s">
        <v>248</v>
      </c>
      <c r="K52" s="71"/>
      <c r="L52" s="11"/>
      <c r="M52" s="227">
        <v>42507</v>
      </c>
      <c r="N52" s="15"/>
      <c r="O52" s="20"/>
      <c r="P52" s="232" t="s">
        <v>256</v>
      </c>
      <c r="Q52" s="24"/>
    </row>
    <row r="53" spans="2:18" s="115" customFormat="1" ht="18" customHeight="1" x14ac:dyDescent="0.15">
      <c r="B53" s="113">
        <f>+B52+1</f>
        <v>36</v>
      </c>
      <c r="C53" s="47" t="s">
        <v>37</v>
      </c>
      <c r="D53" s="47" t="s">
        <v>37</v>
      </c>
      <c r="E53" s="201" t="s">
        <v>245</v>
      </c>
      <c r="F53" s="113">
        <v>2</v>
      </c>
      <c r="G53" s="175">
        <v>220</v>
      </c>
      <c r="H53" s="170">
        <f t="shared" si="9"/>
        <v>440</v>
      </c>
      <c r="I53" s="21"/>
      <c r="J53" s="45" t="s">
        <v>244</v>
      </c>
      <c r="K53" s="71"/>
      <c r="L53" s="11"/>
      <c r="M53" s="227">
        <v>42507</v>
      </c>
      <c r="N53" s="15"/>
      <c r="O53" s="20"/>
      <c r="P53" s="232" t="s">
        <v>256</v>
      </c>
      <c r="Q53" s="24"/>
    </row>
    <row r="54" spans="2:18" s="115" customFormat="1" ht="18" customHeight="1" x14ac:dyDescent="0.15">
      <c r="B54" s="113">
        <f t="shared" ref="B54:B79" si="10">+B53+1</f>
        <v>37</v>
      </c>
      <c r="C54" s="107" t="s">
        <v>37</v>
      </c>
      <c r="D54" s="107" t="s">
        <v>37</v>
      </c>
      <c r="E54" s="142" t="s">
        <v>163</v>
      </c>
      <c r="F54" s="144">
        <v>1</v>
      </c>
      <c r="G54" s="120">
        <v>4293</v>
      </c>
      <c r="H54" s="170">
        <f t="shared" si="9"/>
        <v>4293</v>
      </c>
      <c r="I54" s="120"/>
      <c r="J54" s="155" t="s">
        <v>164</v>
      </c>
      <c r="K54" s="119"/>
      <c r="L54" s="144"/>
      <c r="M54" s="227">
        <v>42507</v>
      </c>
      <c r="N54" s="119"/>
      <c r="O54" s="120"/>
      <c r="P54" s="232" t="s">
        <v>256</v>
      </c>
      <c r="Q54" s="163"/>
    </row>
    <row r="55" spans="2:18" s="115" customFormat="1" ht="18" customHeight="1" x14ac:dyDescent="0.15">
      <c r="B55" s="113">
        <f t="shared" si="10"/>
        <v>38</v>
      </c>
      <c r="C55" s="107" t="s">
        <v>37</v>
      </c>
      <c r="D55" s="107" t="s">
        <v>37</v>
      </c>
      <c r="E55" s="202" t="s">
        <v>179</v>
      </c>
      <c r="F55" s="144">
        <v>1</v>
      </c>
      <c r="G55" s="120">
        <v>2490</v>
      </c>
      <c r="H55" s="170">
        <f t="shared" si="9"/>
        <v>2490</v>
      </c>
      <c r="I55" s="120"/>
      <c r="J55" s="156" t="s">
        <v>165</v>
      </c>
      <c r="K55" s="119"/>
      <c r="L55" s="144"/>
      <c r="M55" s="227">
        <v>42507</v>
      </c>
      <c r="N55" s="119"/>
      <c r="O55" s="120"/>
      <c r="P55" s="232" t="s">
        <v>256</v>
      </c>
      <c r="Q55" s="163"/>
    </row>
    <row r="56" spans="2:18" s="115" customFormat="1" ht="18" customHeight="1" x14ac:dyDescent="0.15">
      <c r="B56" s="113">
        <f t="shared" si="10"/>
        <v>39</v>
      </c>
      <c r="C56" s="107" t="s">
        <v>37</v>
      </c>
      <c r="D56" s="107" t="s">
        <v>37</v>
      </c>
      <c r="E56" s="203" t="s">
        <v>166</v>
      </c>
      <c r="F56" s="46">
        <v>1</v>
      </c>
      <c r="G56" s="176">
        <v>2218</v>
      </c>
      <c r="H56" s="170">
        <f t="shared" si="9"/>
        <v>2218</v>
      </c>
      <c r="I56" s="145"/>
      <c r="J56" s="145" t="s">
        <v>167</v>
      </c>
      <c r="K56" s="119"/>
      <c r="L56" s="144"/>
      <c r="M56" s="227">
        <v>42507</v>
      </c>
      <c r="N56" s="119"/>
      <c r="O56" s="120"/>
      <c r="P56" s="232" t="s">
        <v>256</v>
      </c>
      <c r="Q56" s="163"/>
    </row>
    <row r="57" spans="2:18" s="115" customFormat="1" ht="18" customHeight="1" x14ac:dyDescent="0.15">
      <c r="B57" s="113">
        <f t="shared" si="10"/>
        <v>40</v>
      </c>
      <c r="C57" s="107" t="s">
        <v>37</v>
      </c>
      <c r="D57" s="107" t="s">
        <v>37</v>
      </c>
      <c r="E57" s="204" t="s">
        <v>168</v>
      </c>
      <c r="F57" s="70">
        <v>1</v>
      </c>
      <c r="G57" s="175">
        <v>930</v>
      </c>
      <c r="H57" s="170">
        <f t="shared" si="9"/>
        <v>930</v>
      </c>
      <c r="I57" s="108"/>
      <c r="J57" s="114" t="s">
        <v>116</v>
      </c>
      <c r="K57" s="161"/>
      <c r="L57" s="162"/>
      <c r="M57" s="227">
        <v>42507</v>
      </c>
      <c r="N57" s="163"/>
      <c r="O57" s="164"/>
      <c r="P57" s="232" t="s">
        <v>256</v>
      </c>
      <c r="Q57" s="165"/>
    </row>
    <row r="58" spans="2:18" s="115" customFormat="1" ht="18" customHeight="1" x14ac:dyDescent="0.15">
      <c r="B58" s="113">
        <f t="shared" si="10"/>
        <v>41</v>
      </c>
      <c r="C58" s="179" t="s">
        <v>37</v>
      </c>
      <c r="D58" s="179" t="s">
        <v>37</v>
      </c>
      <c r="E58" s="188" t="s">
        <v>254</v>
      </c>
      <c r="F58" s="168">
        <v>1</v>
      </c>
      <c r="G58" s="135">
        <v>930</v>
      </c>
      <c r="H58" s="135">
        <f>F58*G58</f>
        <v>930</v>
      </c>
      <c r="I58" s="189"/>
      <c r="J58" s="190" t="s">
        <v>116</v>
      </c>
      <c r="K58" s="119"/>
      <c r="L58" s="144"/>
      <c r="M58" s="227">
        <v>42507</v>
      </c>
      <c r="N58" s="119"/>
      <c r="O58" s="120"/>
      <c r="P58" s="232" t="s">
        <v>256</v>
      </c>
      <c r="Q58" s="163"/>
    </row>
    <row r="59" spans="2:18" s="115" customFormat="1" ht="18" customHeight="1" x14ac:dyDescent="0.15">
      <c r="B59" s="113">
        <f t="shared" si="10"/>
        <v>42</v>
      </c>
      <c r="C59" s="123" t="s">
        <v>171</v>
      </c>
      <c r="D59" s="123" t="s">
        <v>171</v>
      </c>
      <c r="E59" s="124" t="s">
        <v>172</v>
      </c>
      <c r="F59" s="129">
        <v>1</v>
      </c>
      <c r="G59" s="126">
        <v>830</v>
      </c>
      <c r="H59" s="170">
        <f t="shared" ref="H59:H66" si="11">F59*G59</f>
        <v>830</v>
      </c>
      <c r="I59" s="130"/>
      <c r="J59" s="158" t="s">
        <v>173</v>
      </c>
      <c r="K59" s="119"/>
      <c r="L59" s="144"/>
      <c r="M59" s="227">
        <v>42507</v>
      </c>
      <c r="N59" s="119"/>
      <c r="O59" s="120"/>
      <c r="P59" s="232" t="s">
        <v>256</v>
      </c>
      <c r="Q59" s="163"/>
    </row>
    <row r="60" spans="2:18" s="115" customFormat="1" ht="18" customHeight="1" x14ac:dyDescent="0.15">
      <c r="B60" s="113">
        <f t="shared" si="10"/>
        <v>43</v>
      </c>
      <c r="C60" s="131" t="s">
        <v>171</v>
      </c>
      <c r="D60" s="131" t="s">
        <v>171</v>
      </c>
      <c r="E60" s="132" t="s">
        <v>174</v>
      </c>
      <c r="F60" s="125">
        <v>1</v>
      </c>
      <c r="G60" s="178">
        <v>403</v>
      </c>
      <c r="H60" s="170">
        <f t="shared" si="11"/>
        <v>403</v>
      </c>
      <c r="I60" s="134"/>
      <c r="J60" s="159" t="s">
        <v>175</v>
      </c>
      <c r="K60" s="119"/>
      <c r="L60" s="144"/>
      <c r="M60" s="227">
        <v>42507</v>
      </c>
      <c r="N60" s="119"/>
      <c r="O60" s="120"/>
      <c r="P60" s="232" t="s">
        <v>256</v>
      </c>
      <c r="Q60" s="163"/>
    </row>
    <row r="61" spans="2:18" s="115" customFormat="1" ht="18" customHeight="1" x14ac:dyDescent="0.15">
      <c r="B61" s="113">
        <f t="shared" si="10"/>
        <v>44</v>
      </c>
      <c r="C61" s="131" t="s">
        <v>171</v>
      </c>
      <c r="D61" s="131" t="s">
        <v>171</v>
      </c>
      <c r="E61" s="132" t="s">
        <v>176</v>
      </c>
      <c r="F61" s="125">
        <v>1</v>
      </c>
      <c r="G61" s="135">
        <v>940</v>
      </c>
      <c r="H61" s="170">
        <f t="shared" si="11"/>
        <v>940</v>
      </c>
      <c r="I61" s="135"/>
      <c r="J61" s="159" t="s">
        <v>177</v>
      </c>
      <c r="K61" s="119"/>
      <c r="L61" s="144"/>
      <c r="M61" s="227">
        <v>42507</v>
      </c>
      <c r="N61" s="119"/>
      <c r="O61" s="120"/>
      <c r="P61" s="232" t="s">
        <v>256</v>
      </c>
      <c r="Q61" s="163"/>
    </row>
    <row r="62" spans="2:18" s="115" customFormat="1" ht="18" customHeight="1" x14ac:dyDescent="0.15">
      <c r="B62" s="113">
        <f t="shared" si="10"/>
        <v>45</v>
      </c>
      <c r="C62" s="136" t="s">
        <v>171</v>
      </c>
      <c r="D62" s="136" t="s">
        <v>171</v>
      </c>
      <c r="E62" s="137" t="s">
        <v>185</v>
      </c>
      <c r="F62" s="138">
        <v>1</v>
      </c>
      <c r="G62" s="172">
        <v>570</v>
      </c>
      <c r="H62" s="172">
        <f t="shared" si="11"/>
        <v>570</v>
      </c>
      <c r="I62" s="139"/>
      <c r="J62" s="140" t="s">
        <v>186</v>
      </c>
      <c r="K62" s="119"/>
      <c r="L62" s="144"/>
      <c r="M62" s="227">
        <v>42507</v>
      </c>
      <c r="N62" s="119"/>
      <c r="O62" s="120"/>
      <c r="P62" s="232" t="s">
        <v>256</v>
      </c>
      <c r="Q62" s="163"/>
    </row>
    <row r="63" spans="2:18" s="115" customFormat="1" ht="18" customHeight="1" x14ac:dyDescent="0.15">
      <c r="B63" s="113">
        <f t="shared" si="10"/>
        <v>46</v>
      </c>
      <c r="C63" s="136" t="s">
        <v>171</v>
      </c>
      <c r="D63" s="136" t="s">
        <v>171</v>
      </c>
      <c r="E63" s="137" t="s">
        <v>240</v>
      </c>
      <c r="F63" s="138">
        <v>1</v>
      </c>
      <c r="G63" s="172">
        <v>780</v>
      </c>
      <c r="H63" s="170">
        <f t="shared" si="11"/>
        <v>780</v>
      </c>
      <c r="I63" s="139"/>
      <c r="J63" s="160" t="s">
        <v>178</v>
      </c>
      <c r="K63" s="119"/>
      <c r="L63" s="144"/>
      <c r="M63" s="227">
        <v>42507</v>
      </c>
      <c r="N63" s="119"/>
      <c r="O63" s="120"/>
      <c r="P63" s="232" t="s">
        <v>256</v>
      </c>
      <c r="Q63" s="163"/>
    </row>
    <row r="64" spans="2:18" s="115" customFormat="1" ht="18" customHeight="1" x14ac:dyDescent="0.15">
      <c r="B64" s="113">
        <f t="shared" si="10"/>
        <v>47</v>
      </c>
      <c r="C64" s="123" t="s">
        <v>171</v>
      </c>
      <c r="D64" s="123" t="s">
        <v>171</v>
      </c>
      <c r="E64" s="124" t="s">
        <v>241</v>
      </c>
      <c r="F64" s="129">
        <v>6</v>
      </c>
      <c r="G64" s="126">
        <v>230</v>
      </c>
      <c r="H64" s="173">
        <f t="shared" si="11"/>
        <v>1380</v>
      </c>
      <c r="I64" s="130"/>
      <c r="J64" s="124" t="s">
        <v>182</v>
      </c>
      <c r="K64" s="119"/>
      <c r="L64" s="144"/>
      <c r="M64" s="227">
        <v>42507</v>
      </c>
      <c r="N64" s="119"/>
      <c r="O64" s="120"/>
      <c r="P64" s="232" t="s">
        <v>256</v>
      </c>
      <c r="Q64" s="163"/>
    </row>
    <row r="65" spans="2:18" s="115" customFormat="1" ht="18" customHeight="1" x14ac:dyDescent="0.15">
      <c r="B65" s="113">
        <f t="shared" si="10"/>
        <v>48</v>
      </c>
      <c r="C65" s="123" t="s">
        <v>171</v>
      </c>
      <c r="D65" s="123" t="s">
        <v>171</v>
      </c>
      <c r="E65" s="124" t="s">
        <v>242</v>
      </c>
      <c r="F65" s="129">
        <v>2</v>
      </c>
      <c r="G65" s="126">
        <v>230</v>
      </c>
      <c r="H65" s="173">
        <f t="shared" si="11"/>
        <v>460</v>
      </c>
      <c r="I65" s="130"/>
      <c r="J65" s="124" t="s">
        <v>243</v>
      </c>
      <c r="K65" s="119"/>
      <c r="L65" s="144"/>
      <c r="M65" s="227">
        <v>42507</v>
      </c>
      <c r="N65" s="119"/>
      <c r="O65" s="120"/>
      <c r="P65" s="232" t="s">
        <v>256</v>
      </c>
      <c r="Q65" s="163"/>
    </row>
    <row r="66" spans="2:18" s="115" customFormat="1" ht="18" customHeight="1" x14ac:dyDescent="0.15">
      <c r="B66" s="113">
        <f t="shared" si="10"/>
        <v>49</v>
      </c>
      <c r="C66" s="131" t="s">
        <v>171</v>
      </c>
      <c r="D66" s="131" t="s">
        <v>171</v>
      </c>
      <c r="E66" s="137" t="s">
        <v>183</v>
      </c>
      <c r="F66" s="167">
        <v>10</v>
      </c>
      <c r="G66" s="135">
        <v>25</v>
      </c>
      <c r="H66" s="135">
        <f t="shared" si="11"/>
        <v>250</v>
      </c>
      <c r="I66" s="133"/>
      <c r="J66" s="132" t="s">
        <v>184</v>
      </c>
      <c r="K66" s="119"/>
      <c r="L66" s="144"/>
      <c r="M66" s="227">
        <v>42507</v>
      </c>
      <c r="N66" s="119"/>
      <c r="O66" s="120"/>
      <c r="P66" s="232" t="s">
        <v>256</v>
      </c>
      <c r="Q66" s="163"/>
    </row>
    <row r="67" spans="2:18" s="115" customFormat="1" ht="18" customHeight="1" x14ac:dyDescent="0.15">
      <c r="B67" s="113">
        <f t="shared" si="10"/>
        <v>50</v>
      </c>
      <c r="C67" s="8" t="s">
        <v>37</v>
      </c>
      <c r="D67" s="8" t="s">
        <v>37</v>
      </c>
      <c r="E67" s="200" t="s">
        <v>144</v>
      </c>
      <c r="F67" s="113">
        <v>10</v>
      </c>
      <c r="G67" s="170">
        <v>29</v>
      </c>
      <c r="H67" s="170">
        <f>F67*G67</f>
        <v>290</v>
      </c>
      <c r="I67" s="13"/>
      <c r="J67" s="64" t="s">
        <v>145</v>
      </c>
      <c r="K67" s="119"/>
      <c r="L67" s="144"/>
      <c r="M67" s="227">
        <v>42507</v>
      </c>
      <c r="N67" s="119"/>
      <c r="O67" s="120"/>
      <c r="P67" s="232" t="s">
        <v>256</v>
      </c>
      <c r="Q67" s="163"/>
    </row>
    <row r="68" spans="2:18" s="115" customFormat="1" ht="18" customHeight="1" x14ac:dyDescent="0.15">
      <c r="B68" s="113">
        <f t="shared" si="10"/>
        <v>51</v>
      </c>
      <c r="C68" s="179" t="s">
        <v>37</v>
      </c>
      <c r="D68" s="179" t="s">
        <v>37</v>
      </c>
      <c r="E68" s="180" t="s">
        <v>127</v>
      </c>
      <c r="F68" s="174">
        <v>1</v>
      </c>
      <c r="G68" s="181">
        <v>622</v>
      </c>
      <c r="H68" s="126">
        <v>622</v>
      </c>
      <c r="I68" s="182"/>
      <c r="J68" s="183" t="s">
        <v>128</v>
      </c>
      <c r="K68" s="119"/>
      <c r="L68" s="144"/>
      <c r="M68" s="227">
        <v>42507</v>
      </c>
      <c r="N68" s="119"/>
      <c r="O68" s="120"/>
      <c r="P68" s="232" t="s">
        <v>256</v>
      </c>
      <c r="Q68" s="163"/>
    </row>
    <row r="69" spans="2:18" s="115" customFormat="1" ht="18" customHeight="1" x14ac:dyDescent="0.15">
      <c r="B69" s="113">
        <f t="shared" si="10"/>
        <v>52</v>
      </c>
      <c r="C69" s="179" t="s">
        <v>37</v>
      </c>
      <c r="D69" s="179" t="s">
        <v>37</v>
      </c>
      <c r="E69" s="180" t="s">
        <v>187</v>
      </c>
      <c r="F69" s="174">
        <v>5</v>
      </c>
      <c r="G69" s="181">
        <v>110</v>
      </c>
      <c r="H69" s="126">
        <v>550</v>
      </c>
      <c r="I69" s="182"/>
      <c r="J69" s="183" t="s">
        <v>188</v>
      </c>
      <c r="K69" s="119"/>
      <c r="L69" s="144"/>
      <c r="M69" s="227">
        <v>42507</v>
      </c>
      <c r="N69" s="119"/>
      <c r="O69" s="120"/>
      <c r="P69" s="232" t="s">
        <v>256</v>
      </c>
      <c r="Q69" s="163"/>
    </row>
    <row r="70" spans="2:18" s="115" customFormat="1" ht="18" customHeight="1" x14ac:dyDescent="0.15">
      <c r="B70" s="113">
        <f t="shared" si="10"/>
        <v>53</v>
      </c>
      <c r="C70" s="184" t="s">
        <v>171</v>
      </c>
      <c r="D70" s="184" t="s">
        <v>171</v>
      </c>
      <c r="E70" s="185" t="s">
        <v>250</v>
      </c>
      <c r="F70" s="174">
        <v>1</v>
      </c>
      <c r="G70" s="181">
        <v>124</v>
      </c>
      <c r="H70" s="126">
        <f>F70*G70</f>
        <v>124</v>
      </c>
      <c r="I70" s="186"/>
      <c r="J70" s="185" t="s">
        <v>189</v>
      </c>
      <c r="K70" s="119"/>
      <c r="L70" s="144"/>
      <c r="M70" s="227">
        <v>42507</v>
      </c>
      <c r="N70" s="119"/>
      <c r="O70" s="120"/>
      <c r="P70" s="232" t="s">
        <v>256</v>
      </c>
      <c r="Q70" s="163"/>
    </row>
    <row r="71" spans="2:18" s="115" customFormat="1" ht="18" customHeight="1" x14ac:dyDescent="0.15">
      <c r="B71" s="113">
        <f t="shared" si="10"/>
        <v>54</v>
      </c>
      <c r="C71" s="184" t="s">
        <v>171</v>
      </c>
      <c r="D71" s="184" t="s">
        <v>171</v>
      </c>
      <c r="E71" s="187" t="s">
        <v>251</v>
      </c>
      <c r="F71" s="174">
        <v>2</v>
      </c>
      <c r="G71" s="181">
        <v>161</v>
      </c>
      <c r="H71" s="126">
        <f>F71*G71</f>
        <v>322</v>
      </c>
      <c r="I71" s="186"/>
      <c r="J71" s="185" t="s">
        <v>189</v>
      </c>
      <c r="K71" s="119"/>
      <c r="L71" s="144"/>
      <c r="M71" s="227">
        <v>42507</v>
      </c>
      <c r="N71" s="119"/>
      <c r="O71" s="120"/>
      <c r="P71" s="232" t="s">
        <v>256</v>
      </c>
      <c r="Q71" s="163"/>
    </row>
    <row r="72" spans="2:18" s="115" customFormat="1" ht="18" customHeight="1" x14ac:dyDescent="0.15">
      <c r="B72" s="113">
        <f t="shared" si="10"/>
        <v>55</v>
      </c>
      <c r="C72" s="184" t="s">
        <v>171</v>
      </c>
      <c r="D72" s="184" t="s">
        <v>171</v>
      </c>
      <c r="E72" s="180" t="s">
        <v>190</v>
      </c>
      <c r="F72" s="174">
        <v>2</v>
      </c>
      <c r="G72" s="181">
        <v>154</v>
      </c>
      <c r="H72" s="126">
        <f>F72*G72</f>
        <v>308</v>
      </c>
      <c r="I72" s="186"/>
      <c r="J72" s="185" t="s">
        <v>191</v>
      </c>
      <c r="K72" s="119"/>
      <c r="L72" s="144"/>
      <c r="M72" s="227">
        <v>42507</v>
      </c>
      <c r="N72" s="119"/>
      <c r="O72" s="120"/>
      <c r="P72" s="232" t="s">
        <v>256</v>
      </c>
      <c r="Q72" s="163"/>
    </row>
    <row r="73" spans="2:18" s="115" customFormat="1" ht="18" customHeight="1" x14ac:dyDescent="0.15">
      <c r="B73" s="113">
        <f t="shared" si="10"/>
        <v>56</v>
      </c>
      <c r="C73" s="179" t="s">
        <v>37</v>
      </c>
      <c r="D73" s="179" t="s">
        <v>37</v>
      </c>
      <c r="E73" s="192" t="s">
        <v>246</v>
      </c>
      <c r="F73" s="193">
        <v>2</v>
      </c>
      <c r="G73" s="194">
        <v>609</v>
      </c>
      <c r="H73" s="135">
        <f t="shared" ref="H73" si="12">F73*G73</f>
        <v>1218</v>
      </c>
      <c r="I73" s="195"/>
      <c r="J73" s="192" t="s">
        <v>202</v>
      </c>
      <c r="K73" s="119"/>
      <c r="L73" s="144"/>
      <c r="M73" s="227">
        <v>42507</v>
      </c>
      <c r="N73" s="119"/>
      <c r="O73" s="120"/>
      <c r="P73" s="232" t="s">
        <v>256</v>
      </c>
      <c r="Q73" s="163"/>
    </row>
    <row r="74" spans="2:18" s="115" customFormat="1" ht="18" customHeight="1" x14ac:dyDescent="0.15">
      <c r="B74" s="113">
        <f t="shared" si="10"/>
        <v>57</v>
      </c>
      <c r="C74" s="179" t="s">
        <v>192</v>
      </c>
      <c r="D74" s="179" t="s">
        <v>193</v>
      </c>
      <c r="E74" s="180" t="s">
        <v>194</v>
      </c>
      <c r="F74" s="174">
        <v>1</v>
      </c>
      <c r="G74" s="181">
        <v>2320</v>
      </c>
      <c r="H74" s="126">
        <v>2320</v>
      </c>
      <c r="I74" s="182"/>
      <c r="J74" s="183" t="s">
        <v>195</v>
      </c>
      <c r="K74" s="119"/>
      <c r="L74" s="144"/>
      <c r="M74" s="227">
        <v>42507</v>
      </c>
      <c r="N74" s="119"/>
      <c r="O74" s="120"/>
      <c r="P74" s="233">
        <v>42514</v>
      </c>
      <c r="Q74" s="239" t="s">
        <v>259</v>
      </c>
      <c r="R74" s="236" t="s">
        <v>264</v>
      </c>
    </row>
    <row r="75" spans="2:18" s="115" customFormat="1" ht="18" customHeight="1" x14ac:dyDescent="0.15">
      <c r="B75" s="113">
        <f t="shared" si="10"/>
        <v>58</v>
      </c>
      <c r="C75" s="179" t="s">
        <v>192</v>
      </c>
      <c r="D75" s="179" t="s">
        <v>193</v>
      </c>
      <c r="E75" s="180" t="s">
        <v>196</v>
      </c>
      <c r="F75" s="174">
        <v>1</v>
      </c>
      <c r="G75" s="181">
        <v>5350</v>
      </c>
      <c r="H75" s="126">
        <v>16050</v>
      </c>
      <c r="I75" s="182"/>
      <c r="J75" s="183" t="s">
        <v>197</v>
      </c>
      <c r="K75" s="119"/>
      <c r="L75" s="144"/>
      <c r="M75" s="227">
        <v>42507</v>
      </c>
      <c r="N75" s="119"/>
      <c r="O75" s="120"/>
      <c r="P75" s="233">
        <v>42514</v>
      </c>
      <c r="Q75" s="239" t="s">
        <v>259</v>
      </c>
      <c r="R75" s="236" t="s">
        <v>264</v>
      </c>
    </row>
    <row r="76" spans="2:18" s="115" customFormat="1" ht="18" customHeight="1" x14ac:dyDescent="0.15">
      <c r="B76" s="113">
        <f t="shared" si="10"/>
        <v>59</v>
      </c>
      <c r="C76" s="179" t="s">
        <v>192</v>
      </c>
      <c r="D76" s="179" t="s">
        <v>193</v>
      </c>
      <c r="E76" s="180" t="s">
        <v>198</v>
      </c>
      <c r="F76" s="174">
        <v>2</v>
      </c>
      <c r="G76" s="181">
        <v>235</v>
      </c>
      <c r="H76" s="126">
        <v>470</v>
      </c>
      <c r="I76" s="182"/>
      <c r="J76" s="183" t="s">
        <v>199</v>
      </c>
      <c r="K76" s="119"/>
      <c r="L76" s="144"/>
      <c r="M76" s="227">
        <v>42507</v>
      </c>
      <c r="N76" s="119"/>
      <c r="O76" s="120"/>
      <c r="P76" s="233">
        <v>42514</v>
      </c>
      <c r="Q76" s="239" t="s">
        <v>259</v>
      </c>
      <c r="R76" s="236" t="s">
        <v>264</v>
      </c>
    </row>
    <row r="77" spans="2:18" s="115" customFormat="1" ht="18" customHeight="1" x14ac:dyDescent="0.15">
      <c r="B77" s="113">
        <f t="shared" si="10"/>
        <v>60</v>
      </c>
      <c r="C77" s="179" t="s">
        <v>192</v>
      </c>
      <c r="D77" s="179" t="s">
        <v>193</v>
      </c>
      <c r="E77" s="180" t="s">
        <v>258</v>
      </c>
      <c r="F77" s="174">
        <v>2</v>
      </c>
      <c r="G77" s="181">
        <v>295</v>
      </c>
      <c r="H77" s="126">
        <v>590</v>
      </c>
      <c r="I77" s="182"/>
      <c r="J77" s="183" t="s">
        <v>200</v>
      </c>
      <c r="K77" s="119"/>
      <c r="L77" s="144"/>
      <c r="M77" s="227">
        <v>42507</v>
      </c>
      <c r="N77" s="119"/>
      <c r="O77" s="120"/>
      <c r="P77" s="233">
        <v>42514</v>
      </c>
      <c r="Q77" s="239" t="s">
        <v>259</v>
      </c>
      <c r="R77" s="236" t="s">
        <v>264</v>
      </c>
    </row>
    <row r="78" spans="2:18" s="115" customFormat="1" ht="18" customHeight="1" x14ac:dyDescent="0.15">
      <c r="B78" s="113">
        <f t="shared" si="10"/>
        <v>61</v>
      </c>
      <c r="C78" s="184" t="s">
        <v>169</v>
      </c>
      <c r="D78" s="184" t="s">
        <v>193</v>
      </c>
      <c r="E78" s="128" t="s">
        <v>257</v>
      </c>
      <c r="F78" s="129">
        <v>1</v>
      </c>
      <c r="G78" s="191">
        <v>3827</v>
      </c>
      <c r="H78" s="126">
        <f>F78*G78</f>
        <v>3827</v>
      </c>
      <c r="I78" s="127"/>
      <c r="J78" s="190" t="s">
        <v>201</v>
      </c>
      <c r="K78" s="119"/>
      <c r="L78" s="144"/>
      <c r="M78" s="227">
        <v>42507</v>
      </c>
      <c r="N78" s="119"/>
      <c r="O78" s="120"/>
      <c r="P78" s="233">
        <v>42514</v>
      </c>
      <c r="Q78" s="239" t="s">
        <v>259</v>
      </c>
      <c r="R78" s="236" t="s">
        <v>264</v>
      </c>
    </row>
    <row r="79" spans="2:18" s="115" customFormat="1" ht="18" customHeight="1" x14ac:dyDescent="0.15">
      <c r="B79" s="113">
        <f t="shared" si="10"/>
        <v>62</v>
      </c>
      <c r="C79" s="179" t="s">
        <v>192</v>
      </c>
      <c r="D79" s="179" t="s">
        <v>193</v>
      </c>
      <c r="E79" s="196" t="s">
        <v>203</v>
      </c>
      <c r="F79" s="193">
        <v>1</v>
      </c>
      <c r="G79" s="226">
        <v>18890</v>
      </c>
      <c r="H79" s="135">
        <f t="shared" ref="H79:H82" si="13">F79*G79</f>
        <v>18890</v>
      </c>
      <c r="I79" s="197"/>
      <c r="J79" s="196" t="s">
        <v>207</v>
      </c>
      <c r="K79" s="119"/>
      <c r="L79" s="144"/>
      <c r="M79" s="227">
        <v>42507</v>
      </c>
      <c r="N79" s="119"/>
      <c r="O79" s="120"/>
      <c r="P79" s="233">
        <v>42514</v>
      </c>
      <c r="Q79" s="239" t="s">
        <v>259</v>
      </c>
      <c r="R79" s="236" t="s">
        <v>264</v>
      </c>
    </row>
    <row r="80" spans="2:18" s="253" customFormat="1" ht="18" customHeight="1" x14ac:dyDescent="0.15">
      <c r="B80" s="240">
        <v>63</v>
      </c>
      <c r="C80" s="241" t="s">
        <v>37</v>
      </c>
      <c r="D80" s="241" t="s">
        <v>37</v>
      </c>
      <c r="E80" s="242" t="s">
        <v>266</v>
      </c>
      <c r="F80" s="243">
        <v>4</v>
      </c>
      <c r="G80" s="244">
        <v>310</v>
      </c>
      <c r="H80" s="245">
        <f t="shared" si="13"/>
        <v>1240</v>
      </c>
      <c r="I80" s="246"/>
      <c r="J80" s="242" t="s">
        <v>265</v>
      </c>
      <c r="K80" s="247"/>
      <c r="L80" s="248"/>
      <c r="M80" s="249">
        <v>42524</v>
      </c>
      <c r="N80" s="247"/>
      <c r="O80" s="250"/>
      <c r="P80" s="232" t="s">
        <v>269</v>
      </c>
      <c r="Q80" s="251"/>
      <c r="R80" s="252"/>
    </row>
    <row r="81" spans="2:18" s="253" customFormat="1" ht="18" customHeight="1" x14ac:dyDescent="0.15">
      <c r="B81" s="240">
        <v>64</v>
      </c>
      <c r="C81" s="241" t="s">
        <v>37</v>
      </c>
      <c r="D81" s="241" t="s">
        <v>37</v>
      </c>
      <c r="E81" s="242" t="s">
        <v>267</v>
      </c>
      <c r="F81" s="243">
        <v>6</v>
      </c>
      <c r="G81" s="244">
        <v>280</v>
      </c>
      <c r="H81" s="245">
        <f t="shared" si="13"/>
        <v>1680</v>
      </c>
      <c r="I81" s="246"/>
      <c r="J81" s="242" t="s">
        <v>265</v>
      </c>
      <c r="K81" s="247"/>
      <c r="L81" s="248"/>
      <c r="M81" s="249">
        <v>42524</v>
      </c>
      <c r="N81" s="247"/>
      <c r="O81" s="250"/>
      <c r="P81" s="232" t="s">
        <v>269</v>
      </c>
      <c r="Q81" s="251"/>
      <c r="R81" s="252"/>
    </row>
    <row r="82" spans="2:18" s="253" customFormat="1" ht="18" customHeight="1" x14ac:dyDescent="0.15">
      <c r="B82" s="240">
        <v>65</v>
      </c>
      <c r="C82" s="241" t="s">
        <v>37</v>
      </c>
      <c r="D82" s="241" t="s">
        <v>37</v>
      </c>
      <c r="E82" s="242" t="s">
        <v>268</v>
      </c>
      <c r="F82" s="243">
        <v>1</v>
      </c>
      <c r="G82" s="244">
        <v>300</v>
      </c>
      <c r="H82" s="245">
        <f t="shared" si="13"/>
        <v>300</v>
      </c>
      <c r="I82" s="246"/>
      <c r="J82" s="242" t="s">
        <v>265</v>
      </c>
      <c r="K82" s="247"/>
      <c r="L82" s="248"/>
      <c r="M82" s="249">
        <v>42524</v>
      </c>
      <c r="N82" s="247"/>
      <c r="O82" s="250"/>
      <c r="P82" s="232" t="s">
        <v>269</v>
      </c>
      <c r="Q82" s="251"/>
      <c r="R82" s="252"/>
    </row>
    <row r="83" spans="2:18" s="115" customFormat="1" ht="18" customHeight="1" x14ac:dyDescent="0.15">
      <c r="B83" s="113"/>
      <c r="C83" s="179"/>
      <c r="D83" s="179"/>
      <c r="E83" s="196"/>
      <c r="F83" s="193"/>
      <c r="G83" s="225"/>
      <c r="H83" s="135"/>
      <c r="I83" s="197"/>
      <c r="J83" s="196"/>
      <c r="K83" s="119"/>
      <c r="L83" s="144"/>
      <c r="M83" s="144"/>
      <c r="N83" s="119"/>
      <c r="O83" s="120"/>
      <c r="P83" s="228"/>
      <c r="Q83" s="163"/>
    </row>
    <row r="84" spans="2:18" s="115" customFormat="1" ht="18" customHeight="1" x14ac:dyDescent="0.15">
      <c r="B84" s="70"/>
      <c r="C84" s="8"/>
      <c r="D84" s="8"/>
      <c r="E84" s="271">
        <f>SUM(H50:H83)</f>
        <v>82892</v>
      </c>
      <c r="F84" s="272"/>
      <c r="G84" s="272"/>
      <c r="H84" s="273"/>
      <c r="I84" s="13"/>
      <c r="J84" s="64"/>
      <c r="K84" s="71"/>
      <c r="L84" s="11"/>
      <c r="M84" s="76"/>
      <c r="N84" s="15"/>
      <c r="O84" s="20"/>
      <c r="P84" s="76"/>
      <c r="Q84" s="24"/>
    </row>
    <row r="85" spans="2:18" ht="18" customHeight="1" x14ac:dyDescent="0.15">
      <c r="B85" s="23"/>
      <c r="C85" s="8"/>
      <c r="D85" s="8"/>
      <c r="E85" s="45"/>
      <c r="F85" s="113"/>
      <c r="G85" s="175"/>
      <c r="H85" s="170"/>
      <c r="I85" s="6"/>
      <c r="J85" s="45"/>
      <c r="K85" s="12"/>
      <c r="L85" s="11"/>
      <c r="M85" s="26"/>
      <c r="N85" s="15"/>
      <c r="O85" s="20"/>
      <c r="P85" s="76"/>
      <c r="Q85" s="24"/>
    </row>
    <row r="86" spans="2:18" ht="18" customHeight="1" x14ac:dyDescent="0.15">
      <c r="B86" s="70"/>
      <c r="C86" s="23"/>
      <c r="D86" s="23"/>
      <c r="E86" s="12" t="s">
        <v>130</v>
      </c>
      <c r="F86" s="68"/>
      <c r="G86" s="170"/>
      <c r="H86" s="170">
        <f>F86*G86</f>
        <v>0</v>
      </c>
      <c r="I86" s="21"/>
      <c r="J86" s="27" t="s">
        <v>131</v>
      </c>
      <c r="K86" s="73"/>
      <c r="L86" s="70"/>
      <c r="M86" s="26"/>
      <c r="N86" s="73"/>
      <c r="O86" s="74"/>
      <c r="P86" s="76"/>
      <c r="Q86" s="24"/>
    </row>
    <row r="87" spans="2:18" ht="18" customHeight="1" x14ac:dyDescent="0.15">
      <c r="B87" s="70"/>
      <c r="C87" s="8"/>
      <c r="D87" s="8"/>
      <c r="E87" s="12" t="s">
        <v>131</v>
      </c>
      <c r="F87" s="68"/>
      <c r="G87" s="170">
        <v>5000</v>
      </c>
      <c r="H87" s="170">
        <f>F87*G87</f>
        <v>0</v>
      </c>
      <c r="I87" s="21"/>
      <c r="J87" s="27" t="s">
        <v>132</v>
      </c>
      <c r="K87" s="73"/>
      <c r="L87" s="70"/>
      <c r="M87" s="26"/>
      <c r="N87" s="73"/>
      <c r="O87" s="74"/>
      <c r="P87" s="76"/>
      <c r="Q87" s="15"/>
    </row>
    <row r="88" spans="2:18" ht="18" customHeight="1" x14ac:dyDescent="0.15">
      <c r="B88" s="70"/>
      <c r="C88" s="8"/>
      <c r="D88" s="8"/>
      <c r="E88" s="12" t="s">
        <v>132</v>
      </c>
      <c r="F88" s="68"/>
      <c r="G88" s="170"/>
      <c r="H88" s="170">
        <f>F88*G88</f>
        <v>0</v>
      </c>
      <c r="I88" s="21"/>
      <c r="J88" s="11"/>
      <c r="K88" s="73"/>
      <c r="L88" s="70"/>
      <c r="M88" s="70"/>
      <c r="N88" s="73"/>
      <c r="O88" s="74"/>
      <c r="P88" s="229"/>
      <c r="Q88" s="15"/>
    </row>
    <row r="89" spans="2:18" ht="18" customHeight="1" x14ac:dyDescent="0.15">
      <c r="B89" s="70"/>
      <c r="C89" s="8"/>
      <c r="D89" s="8"/>
      <c r="E89" s="264"/>
      <c r="F89" s="265"/>
      <c r="G89" s="265"/>
      <c r="H89" s="266"/>
      <c r="I89" s="13"/>
      <c r="J89" s="64"/>
    </row>
    <row r="90" spans="2:18" ht="18" customHeight="1" x14ac:dyDescent="0.15"/>
    <row r="91" spans="2:18" ht="18" customHeight="1" x14ac:dyDescent="0.15"/>
    <row r="92" spans="2:18" ht="18" customHeight="1" x14ac:dyDescent="0.15"/>
  </sheetData>
  <autoFilter ref="B8:O92"/>
  <mergeCells count="14">
    <mergeCell ref="E89:H89"/>
    <mergeCell ref="B2:D2"/>
    <mergeCell ref="G2:I2"/>
    <mergeCell ref="B3:D3"/>
    <mergeCell ref="B4:D4"/>
    <mergeCell ref="G4:J5"/>
    <mergeCell ref="B5:D5"/>
    <mergeCell ref="C49:E49"/>
    <mergeCell ref="E84:H84"/>
    <mergeCell ref="B6:D6"/>
    <mergeCell ref="B10:E10"/>
    <mergeCell ref="E37:H37"/>
    <mergeCell ref="C39:E39"/>
    <mergeCell ref="E47:H47"/>
  </mergeCells>
  <phoneticPr fontId="14"/>
  <dataValidations count="2">
    <dataValidation allowBlank="1" showInputMessage="1" showErrorMessage="1" sqref="J26:J27 J32:J37"/>
    <dataValidation imeMode="hiragana" allowBlank="1" showInputMessage="1" showErrorMessage="1" sqref="J66 J73 J79:J83"/>
  </dataValidations>
  <printOptions gridLines="1"/>
  <pageMargins left="0" right="0" top="0" bottom="0" header="0.31496062992125984" footer="0.31496062992125984"/>
  <pageSetup scale="40"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 (浸け置き追加) 発注 (最終)</vt:lpstr>
      <vt:lpstr>' (浸け置き追加) 発注 (最終)'!_FilterDatabase</vt:lpstr>
      <vt:lpstr>Sheet1!_FilterDatabase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moriwaki</cp:lastModifiedBy>
  <cp:lastPrinted>2016-06-14T00:08:37Z</cp:lastPrinted>
  <dcterms:created xsi:type="dcterms:W3CDTF">2016-05-16T08:05:24Z</dcterms:created>
  <dcterms:modified xsi:type="dcterms:W3CDTF">2016-06-14T01:40:00Z</dcterms:modified>
</cp:coreProperties>
</file>