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18015" windowHeight="5835" firstSheet="3" activeTab="4"/>
  </bookViews>
  <sheets>
    <sheet name="Sheet1" sheetId="1" r:id="rId1"/>
    <sheet name="Sheet2" sheetId="2" r:id="rId2"/>
    <sheet name="Sheet3" sheetId="3" r:id="rId3"/>
    <sheet name=" (ﾜｰｸ冶具改造)" sheetId="7" r:id="rId4"/>
    <sheet name=" (ﾜｰｸ冶具改造) (追加工)" sheetId="8" r:id="rId5"/>
  </sheets>
  <definedNames>
    <definedName name="_xlnm._FilterDatabase" localSheetId="3">' (ﾜｰｸ冶具改造)'!$B$8:$O$8</definedName>
    <definedName name="_xlnm._FilterDatabase" localSheetId="4">' (ﾜｰｸ冶具改造) (追加工)'!$B$8:$O$8</definedName>
    <definedName name="_xlnm._FilterDatabase" localSheetId="0">Sheet1!$B$8:$O$8</definedName>
  </definedNames>
  <calcPr calcId="145621"/>
</workbook>
</file>

<file path=xl/calcChain.xml><?xml version="1.0" encoding="utf-8"?>
<calcChain xmlns="http://schemas.openxmlformats.org/spreadsheetml/2006/main">
  <c r="H29" i="8" l="1"/>
  <c r="H28" i="8"/>
  <c r="H27" i="8"/>
  <c r="H19" i="8"/>
  <c r="H18" i="8"/>
  <c r="H17" i="8"/>
  <c r="H16" i="8"/>
  <c r="H15" i="8"/>
  <c r="H14" i="8"/>
  <c r="H13" i="8"/>
  <c r="B13" i="8"/>
  <c r="B14" i="8" s="1"/>
  <c r="B15" i="8" s="1"/>
  <c r="B16" i="8" s="1"/>
  <c r="B17" i="8" s="1"/>
  <c r="B18" i="8" s="1"/>
  <c r="B19" i="8" s="1"/>
  <c r="B20" i="8" s="1"/>
  <c r="B21" i="8" s="1"/>
  <c r="B22" i="8" s="1"/>
  <c r="H12" i="8"/>
  <c r="B12" i="8"/>
  <c r="H11" i="8"/>
  <c r="J2" i="8"/>
  <c r="E24" i="8" l="1"/>
  <c r="H19" i="7"/>
  <c r="H18" i="7"/>
  <c r="H17" i="7"/>
  <c r="H16" i="7"/>
  <c r="H15" i="7"/>
  <c r="H11" i="7" l="1"/>
  <c r="H29" i="7" l="1"/>
  <c r="H28" i="7"/>
  <c r="H27" i="7"/>
  <c r="H14" i="7"/>
  <c r="H13" i="7"/>
  <c r="H12" i="7"/>
  <c r="B12" i="7"/>
  <c r="B13" i="7" s="1"/>
  <c r="B14" i="7" s="1"/>
  <c r="B15" i="7" s="1"/>
  <c r="B16" i="7" s="1"/>
  <c r="B17" i="7" s="1"/>
  <c r="H93" i="1"/>
  <c r="H92" i="1"/>
  <c r="H91" i="1"/>
  <c r="H83" i="1"/>
  <c r="H82" i="1"/>
  <c r="H81" i="1"/>
  <c r="H80" i="1"/>
  <c r="H79" i="1"/>
  <c r="H78" i="1"/>
  <c r="H77" i="1"/>
  <c r="H76" i="1"/>
  <c r="E84" i="1" s="1"/>
  <c r="H75" i="1"/>
  <c r="H71" i="1"/>
  <c r="H70" i="1"/>
  <c r="H69" i="1"/>
  <c r="H68" i="1"/>
  <c r="H67" i="1"/>
  <c r="H66" i="1"/>
  <c r="H65" i="1"/>
  <c r="H64" i="1"/>
  <c r="H63" i="1"/>
  <c r="E72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E59" i="1" s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34" i="1" s="1"/>
  <c r="B18" i="7" l="1"/>
  <c r="B19" i="7" s="1"/>
  <c r="B20" i="7" s="1"/>
  <c r="B21" i="7" s="1"/>
  <c r="B22" i="7" s="1"/>
  <c r="E24" i="7"/>
  <c r="J2" i="1"/>
  <c r="J2" i="7"/>
</calcChain>
</file>

<file path=xl/sharedStrings.xml><?xml version="1.0" encoding="utf-8"?>
<sst xmlns="http://schemas.openxmlformats.org/spreadsheetml/2006/main" count="432" uniqueCount="161">
  <si>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</si>
  <si>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</si>
  <si>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</si>
  <si>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</si>
  <si>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</si>
  <si>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</si>
  <si>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</si>
  <si>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</si>
  <si>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</si>
  <si>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</si>
  <si>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</si>
  <si>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</si>
  <si>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</si>
  <si>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</si>
  <si>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</si>
  <si>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</si>
  <si>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</si>
  <si>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</si>
  <si>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</si>
  <si>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</si>
  <si>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</si>
  <si>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</si>
  <si>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</si>
  <si>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</si>
  <si>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</si>
  <si>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</si>
  <si>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</si>
  <si>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</si>
  <si>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</si>
  <si>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</si>
  <si>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</si>
  <si>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</si>
  <si>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</si>
  <si>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</si>
  <si>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</si>
  <si>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</si>
  <si>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</si>
  <si>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</si>
  <si>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</si>
  <si>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</si>
  <si>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</si>
  <si>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</si>
  <si>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</si>
  <si>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</si>
  <si>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</si>
  <si>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</si>
  <si>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</si>
  <si>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</si>
  <si>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</si>
  <si>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</si>
  <si>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</si>
  <si>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</si>
  <si>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</si>
  <si>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</si>
  <si>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</si>
  <si>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</si>
  <si>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</si>
  <si>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</si>
  <si>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</si>
  <si>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</si>
  <si>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</si>
  <si>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</si>
  <si>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</si>
  <si>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</si>
  <si>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</si>
  <si>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</si>
  <si>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</si>
  <si>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</si>
  <si>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</si>
  <si>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</si>
  <si>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</si>
  <si>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</si>
  <si>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</si>
  <si>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</si>
  <si>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</si>
  <si>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</si>
  <si>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</si>
  <si>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</si>
  <si>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</si>
  <si>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</si>
  <si>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</si>
  <si>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</si>
  <si>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</si>
  <si>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</si>
  <si>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</si>
  <si>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</si>
  <si>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</si>
  <si>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</si>
  <si>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</si>
  <si>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</si>
  <si>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</si>
  <si>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</si>
  <si>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</si>
  <si>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</si>
  <si>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</si>
  <si>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</si>
  <si>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</si>
  <si>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</si>
  <si>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</si>
  <si>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</si>
  <si>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</si>
  <si>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</si>
  <si>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</si>
  <si>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</si>
  <si>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</si>
  <si>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</si>
  <si>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</si>
  <si>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</si>
  <si>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</si>
  <si>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</si>
  <si>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</si>
  <si>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</si>
  <si>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</si>
  <si>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</si>
  <si>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</si>
  <si>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</si>
  <si>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</si>
  <si>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</si>
  <si>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</si>
  <si>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</si>
  <si>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</si>
  <si>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</si>
  <si>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</si>
  <si>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</si>
  <si>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</si>
  <si>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</si>
  <si>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</si>
  <si>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</si>
  <si>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</si>
  <si>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</si>
  <si>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</si>
  <si>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</si>
  <si>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</si>
  <si>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ﾉｯｸﾋﾟﾝ　φ3-10mm</t>
  </si>
  <si>
    <t>図面送信済み</t>
  </si>
  <si>
    <t>加工ﾒｰｶ</t>
  </si>
  <si>
    <t>ＭＳ3－１0</t>
    <phoneticPr fontId="13"/>
  </si>
  <si>
    <t>渡部</t>
    <rPh sb="0" eb="2">
      <t>ワタナベ</t>
    </rPh>
    <phoneticPr fontId="13"/>
  </si>
  <si>
    <t>Ｎo.</t>
    <phoneticPr fontId="13"/>
  </si>
  <si>
    <t>六角穴付きﾎﾞﾙﾄ　 (M4×40)</t>
    <phoneticPr fontId="13"/>
  </si>
  <si>
    <t>六角穴付きﾎﾞﾙﾄ　 (M4×10)</t>
    <phoneticPr fontId="13"/>
  </si>
  <si>
    <t>SCB4-40</t>
    <phoneticPr fontId="13"/>
  </si>
  <si>
    <t>ソニーエナジー・ﾃﾞﾊﾞｲｽ本宮</t>
    <rPh sb="14" eb="16">
      <t>モトミヤ</t>
    </rPh>
    <phoneticPr fontId="13"/>
  </si>
  <si>
    <t>ＭＳ4－10</t>
    <phoneticPr fontId="13"/>
  </si>
  <si>
    <t>SCB4-12</t>
    <phoneticPr fontId="13"/>
  </si>
  <si>
    <t>六角穴付きﾎﾞﾙﾄ　 (M4×12)</t>
    <phoneticPr fontId="13"/>
  </si>
  <si>
    <t>000000－Y001</t>
    <phoneticPr fontId="13"/>
  </si>
  <si>
    <t>000000－Y002</t>
    <phoneticPr fontId="13"/>
  </si>
  <si>
    <t>000000－Y003</t>
    <phoneticPr fontId="13"/>
  </si>
  <si>
    <t>000000－Y004</t>
    <phoneticPr fontId="13"/>
  </si>
  <si>
    <t>ﾜｰｸ治具改造部分</t>
    <rPh sb="3" eb="5">
      <t>ジグ</t>
    </rPh>
    <rPh sb="5" eb="7">
      <t>カイゾウ</t>
    </rPh>
    <phoneticPr fontId="13"/>
  </si>
  <si>
    <t>溶接ﾍﾞｰｽｽﾍﾟｰｻ</t>
    <phoneticPr fontId="13"/>
  </si>
  <si>
    <t>溶接ﾛﾎﾞｯﾄﾜｰｸﾍﾞｰｽ</t>
    <phoneticPr fontId="13"/>
  </si>
  <si>
    <t>溶接ﾛﾎﾞｯﾄﾜｰｸ位置決め A</t>
    <phoneticPr fontId="13"/>
  </si>
  <si>
    <t>溶接ﾛﾎﾞｯﾄﾜｰｸ位置決め Ｂ</t>
    <phoneticPr fontId="13"/>
  </si>
  <si>
    <t>溶接ﾛﾎﾞｯﾄﾜｰｸﾍﾞｰｽ（追加工にて対応）</t>
    <rPh sb="15" eb="17">
      <t>ツイカ</t>
    </rPh>
    <rPh sb="17" eb="18">
      <t>コウ</t>
    </rPh>
    <rPh sb="20" eb="22">
      <t>タイオウ</t>
    </rPh>
    <phoneticPr fontId="13"/>
  </si>
  <si>
    <t>000000－Y002-1</t>
    <phoneticPr fontId="13"/>
  </si>
  <si>
    <t>ﾉｯｸﾋﾟﾝ　φ4-10mm</t>
    <phoneticPr fontId="13"/>
  </si>
  <si>
    <t>ﾉｯｸﾋﾟﾝ　φ4-10mm</t>
    <phoneticPr fontId="13"/>
  </si>
  <si>
    <r>
      <t>5</t>
    </r>
    <r>
      <rPr>
        <sz val="11"/>
        <color theme="1"/>
        <rFont val="ＭＳ Ｐゴシック"/>
        <family val="3"/>
        <charset val="128"/>
        <scheme val="minor"/>
      </rPr>
      <t>/30仙台（営）入れ</t>
    </r>
    <rPh sb="4" eb="6">
      <t>センダイ</t>
    </rPh>
    <rPh sb="7" eb="8">
      <t>エイ</t>
    </rPh>
    <rPh sb="9" eb="10">
      <t>イ</t>
    </rPh>
    <phoneticPr fontId="13"/>
  </si>
  <si>
    <t>Ｎo.138419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</si>
</sst>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8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6"/>
      <color rgb="FF00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3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177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176" fontId="0" fillId="0" borderId="3" xfId="0" applyNumberFormat="1" applyFont="1" applyBorder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0" fillId="0" borderId="4" xfId="0" applyNumberFormat="1" applyFont="1" applyBorder="1">
      <alignment vertical="center"/>
    </xf>
    <xf numFmtId="176" fontId="0" fillId="0" borderId="4" xfId="0" applyNumberFormat="1" applyFont="1" applyBorder="1" applyAlignment="1"/>
    <xf numFmtId="0" fontId="0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right" vertical="center"/>
    </xf>
    <xf numFmtId="177" fontId="0" fillId="0" borderId="4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76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/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7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/>
    <xf numFmtId="0" fontId="6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0" fontId="6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/>
    <xf numFmtId="0" fontId="5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17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9" xfId="0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right" vertical="center"/>
    </xf>
    <xf numFmtId="3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2" fillId="0" borderId="9" xfId="0" applyFont="1" applyBorder="1">
      <alignment vertical="center"/>
    </xf>
    <xf numFmtId="3" fontId="4" fillId="0" borderId="3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 shrinkToFit="1"/>
    </xf>
    <xf numFmtId="177" fontId="0" fillId="0" borderId="9" xfId="0" applyNumberFormat="1" applyFont="1" applyBorder="1">
      <alignment vertical="center"/>
    </xf>
    <xf numFmtId="0" fontId="0" fillId="0" borderId="2" xfId="0" applyFont="1" applyBorder="1" applyAlignment="1">
      <alignment horizontal="right" vertical="center"/>
    </xf>
    <xf numFmtId="176" fontId="0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0" fontId="12" fillId="0" borderId="11" xfId="0" applyFont="1" applyBorder="1">
      <alignment vertical="center"/>
    </xf>
    <xf numFmtId="0" fontId="14" fillId="0" borderId="9" xfId="0" applyFont="1" applyFill="1" applyBorder="1">
      <alignment vertical="center"/>
    </xf>
    <xf numFmtId="0" fontId="16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14" fillId="0" borderId="9" xfId="0" applyFont="1" applyFill="1" applyBorder="1" applyAlignment="1">
      <alignment horizontal="right" vertical="center"/>
    </xf>
    <xf numFmtId="0" fontId="12" fillId="0" borderId="9" xfId="0" applyFont="1" applyBorder="1" applyAlignment="1">
      <alignment horizontal="center" vertical="center"/>
    </xf>
    <xf numFmtId="176" fontId="17" fillId="0" borderId="1" xfId="0" applyNumberFormat="1" applyFont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3" fontId="4" fillId="7" borderId="9" xfId="0" applyNumberFormat="1" applyFont="1" applyFill="1" applyBorder="1" applyAlignment="1">
      <alignment horizontal="center" vertical="center"/>
    </xf>
    <xf numFmtId="0" fontId="12" fillId="7" borderId="11" xfId="0" applyFont="1" applyFill="1" applyBorder="1">
      <alignment vertical="center"/>
    </xf>
    <xf numFmtId="0" fontId="0" fillId="7" borderId="9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right" vertical="center"/>
    </xf>
    <xf numFmtId="176" fontId="4" fillId="7" borderId="9" xfId="0" applyNumberFormat="1" applyFont="1" applyFill="1" applyBorder="1" applyAlignment="1">
      <alignment horizontal="right" vertical="center"/>
    </xf>
    <xf numFmtId="0" fontId="0" fillId="7" borderId="9" xfId="0" applyFont="1" applyFill="1" applyBorder="1" applyAlignment="1">
      <alignment horizontal="right" vertical="center"/>
    </xf>
    <xf numFmtId="0" fontId="12" fillId="7" borderId="9" xfId="0" applyFont="1" applyFill="1" applyBorder="1">
      <alignment vertical="center"/>
    </xf>
    <xf numFmtId="0" fontId="0" fillId="7" borderId="1" xfId="0" applyFont="1" applyFill="1" applyBorder="1" applyAlignment="1">
      <alignment vertical="center" shrinkToFit="1"/>
    </xf>
    <xf numFmtId="56" fontId="0" fillId="7" borderId="9" xfId="0" applyNumberFormat="1" applyFont="1" applyFill="1" applyBorder="1" applyAlignment="1">
      <alignment horizontal="center" vertical="center"/>
    </xf>
    <xf numFmtId="0" fontId="0" fillId="7" borderId="9" xfId="0" applyFont="1" applyFill="1" applyBorder="1">
      <alignment vertical="center"/>
    </xf>
    <xf numFmtId="177" fontId="0" fillId="7" borderId="9" xfId="0" applyNumberFormat="1" applyFont="1" applyFill="1" applyBorder="1">
      <alignment vertical="center"/>
    </xf>
    <xf numFmtId="0" fontId="0" fillId="7" borderId="0" xfId="0" applyFont="1" applyFill="1">
      <alignment vertical="center"/>
    </xf>
    <xf numFmtId="3" fontId="4" fillId="7" borderId="3" xfId="0" applyNumberFormat="1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  <xf numFmtId="0" fontId="0" fillId="7" borderId="2" xfId="0" applyFont="1" applyFill="1" applyBorder="1" applyAlignment="1">
      <alignment horizontal="center" vertical="center"/>
    </xf>
    <xf numFmtId="177" fontId="12" fillId="7" borderId="9" xfId="0" applyNumberFormat="1" applyFont="1" applyFill="1" applyBorder="1">
      <alignment vertical="center"/>
    </xf>
    <xf numFmtId="3" fontId="0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right" vertical="center"/>
    </xf>
    <xf numFmtId="176" fontId="0" fillId="7" borderId="1" xfId="0" applyNumberFormat="1" applyFont="1" applyFill="1" applyBorder="1" applyAlignment="1">
      <alignment horizontal="right" vertical="center"/>
    </xf>
    <xf numFmtId="176" fontId="0" fillId="7" borderId="1" xfId="0" applyNumberFormat="1" applyFont="1" applyFill="1" applyBorder="1">
      <alignment vertical="center"/>
    </xf>
    <xf numFmtId="0" fontId="12" fillId="7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176" fontId="8" fillId="5" borderId="7" xfId="0" applyNumberFormat="1" applyFont="1" applyFill="1" applyBorder="1" applyAlignment="1">
      <alignment horizontal="center" vertical="center"/>
    </xf>
    <xf numFmtId="176" fontId="8" fillId="5" borderId="8" xfId="0" applyNumberFormat="1" applyFont="1" applyFill="1" applyBorder="1" applyAlignment="1">
      <alignment horizontal="center" vertical="center"/>
    </xf>
  </cellXfs>
  <cellStyles count="3">
    <cellStyle name="ハイパーリンク" xfId="2"/>
    <cellStyle name="標準" xfId="0" builtinId="0"/>
    <cellStyle name="表示済みのハイパーリンク" xfId="1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style="4" customWidth="1"/>
    <col min="2" max="2" width="6.25" style="9" customWidth="1"/>
    <col min="3" max="3" width="15.25" style="4" customWidth="1"/>
    <col min="4" max="4" width="15.5" style="4" customWidth="1"/>
    <col min="5" max="5" width="43.875" style="4" customWidth="1"/>
    <col min="6" max="6" width="10.75" style="4" customWidth="1"/>
    <col min="7" max="8" width="12.125" style="4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2" customWidth="1"/>
  </cols>
  <sheetData>
    <row r="2" spans="2:17" ht="20.100000000000001" customHeight="1" x14ac:dyDescent="0.15">
      <c r="B2" s="168" t="s">
        <v>0</v>
      </c>
      <c r="C2" s="168"/>
      <c r="D2" s="168"/>
      <c r="E2" s="16" t="s">
        <v>1</v>
      </c>
      <c r="G2" s="165" t="s">
        <v>2</v>
      </c>
      <c r="H2" s="166"/>
      <c r="I2" s="167"/>
      <c r="J2" s="18">
        <f>SUM(H:H)</f>
        <v>412688</v>
      </c>
      <c r="K2" s="10"/>
      <c r="L2" s="14"/>
    </row>
    <row r="3" spans="2:17" ht="20.100000000000001" customHeight="1" x14ac:dyDescent="0.15">
      <c r="B3" s="168" t="s">
        <v>3</v>
      </c>
      <c r="C3" s="168"/>
      <c r="D3" s="168"/>
      <c r="E3" s="16" t="s">
        <v>4</v>
      </c>
    </row>
    <row r="4" spans="2:17" ht="20.100000000000001" customHeight="1" x14ac:dyDescent="0.15">
      <c r="B4" s="168" t="s">
        <v>5</v>
      </c>
      <c r="C4" s="168"/>
      <c r="D4" s="168"/>
      <c r="E4" s="16"/>
    </row>
    <row r="5" spans="2:17" ht="20.100000000000001" customHeight="1" x14ac:dyDescent="0.15">
      <c r="B5" s="168" t="s">
        <v>6</v>
      </c>
      <c r="C5" s="168"/>
      <c r="D5" s="168"/>
      <c r="E5" s="17">
        <v>42165</v>
      </c>
    </row>
    <row r="6" spans="2:17" ht="20.100000000000001" customHeight="1" x14ac:dyDescent="0.15">
      <c r="B6" s="168" t="s">
        <v>7</v>
      </c>
      <c r="C6" s="168"/>
      <c r="D6" s="168"/>
      <c r="E6" s="17">
        <v>42170</v>
      </c>
    </row>
    <row r="8" spans="2:17" s="7" customFormat="1" ht="19.5" customHeight="1" x14ac:dyDescent="0.15">
      <c r="B8" s="8" t="s">
        <v>8</v>
      </c>
      <c r="C8" s="8" t="s">
        <v>9</v>
      </c>
      <c r="D8" s="8" t="s">
        <v>10</v>
      </c>
      <c r="E8" s="5" t="s">
        <v>11</v>
      </c>
      <c r="F8" s="5" t="s">
        <v>12</v>
      </c>
      <c r="G8" s="5" t="s">
        <v>13</v>
      </c>
      <c r="H8" s="6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 x14ac:dyDescent="0.15">
      <c r="B9" s="8"/>
      <c r="C9" s="8"/>
      <c r="D9" s="8"/>
      <c r="E9" s="12"/>
      <c r="F9" s="68"/>
      <c r="G9" s="13"/>
      <c r="H9" s="13"/>
      <c r="I9" s="21"/>
      <c r="J9" s="69"/>
      <c r="K9" s="5"/>
      <c r="L9" s="5"/>
      <c r="M9" s="26"/>
      <c r="N9" s="8"/>
      <c r="O9" s="5"/>
      <c r="P9" s="26"/>
      <c r="Q9" s="15"/>
    </row>
    <row r="10" spans="2:17" s="37" customFormat="1" ht="18" customHeight="1" x14ac:dyDescent="0.15">
      <c r="B10" s="172" t="s">
        <v>24</v>
      </c>
      <c r="C10" s="173"/>
      <c r="D10" s="173"/>
      <c r="E10" s="174"/>
      <c r="F10" s="44"/>
      <c r="G10" s="25"/>
      <c r="H10" s="13"/>
      <c r="I10" s="21"/>
      <c r="J10" s="45"/>
      <c r="K10" s="12"/>
      <c r="L10" s="11"/>
      <c r="M10" s="26"/>
      <c r="N10" s="15"/>
      <c r="O10" s="20"/>
      <c r="P10" s="26"/>
      <c r="Q10" s="24"/>
    </row>
    <row r="11" spans="2:17" s="37" customFormat="1" ht="18" customHeight="1" x14ac:dyDescent="0.15">
      <c r="B11" s="28"/>
      <c r="C11" s="35" t="s">
        <v>25</v>
      </c>
      <c r="D11" s="35" t="s">
        <v>25</v>
      </c>
      <c r="E11" s="36" t="s">
        <v>26</v>
      </c>
      <c r="F11" s="44">
        <v>1</v>
      </c>
      <c r="G11" s="87">
        <v>4500</v>
      </c>
      <c r="H11" s="13">
        <f t="shared" ref="H11:H33" si="0">F11*G11</f>
        <v>4500</v>
      </c>
      <c r="I11" s="21"/>
      <c r="J11" s="36" t="s">
        <v>26</v>
      </c>
      <c r="K11" s="12"/>
      <c r="L11" s="11"/>
      <c r="M11" s="26"/>
      <c r="N11" s="15"/>
      <c r="O11" s="20"/>
      <c r="P11" s="26"/>
      <c r="Q11" s="24"/>
    </row>
    <row r="12" spans="2:17" s="37" customFormat="1" ht="18" customHeight="1" x14ac:dyDescent="0.15">
      <c r="B12" s="28"/>
      <c r="C12" s="35" t="s">
        <v>25</v>
      </c>
      <c r="D12" s="35" t="s">
        <v>25</v>
      </c>
      <c r="E12" s="45" t="s">
        <v>27</v>
      </c>
      <c r="F12" s="44">
        <v>1</v>
      </c>
      <c r="G12" s="87">
        <v>4500</v>
      </c>
      <c r="H12" s="13">
        <f t="shared" si="0"/>
        <v>4500</v>
      </c>
      <c r="I12" s="21"/>
      <c r="J12" s="45" t="s">
        <v>27</v>
      </c>
      <c r="K12" s="12"/>
      <c r="L12" s="11"/>
      <c r="M12" s="26"/>
      <c r="N12" s="15"/>
      <c r="O12" s="20"/>
      <c r="P12" s="26"/>
      <c r="Q12" s="24"/>
    </row>
    <row r="13" spans="2:17" s="37" customFormat="1" ht="18" customHeight="1" x14ac:dyDescent="0.15">
      <c r="B13" s="28"/>
      <c r="C13" s="35" t="s">
        <v>25</v>
      </c>
      <c r="D13" s="35" t="s">
        <v>25</v>
      </c>
      <c r="E13" s="45" t="s">
        <v>28</v>
      </c>
      <c r="F13" s="44">
        <v>2</v>
      </c>
      <c r="G13" s="87">
        <v>3500</v>
      </c>
      <c r="H13" s="13">
        <f t="shared" si="0"/>
        <v>7000</v>
      </c>
      <c r="I13" s="21"/>
      <c r="J13" s="45" t="s">
        <v>28</v>
      </c>
      <c r="K13" s="12"/>
      <c r="L13" s="11"/>
      <c r="M13" s="26"/>
      <c r="N13" s="15"/>
      <c r="O13" s="20"/>
      <c r="P13" s="26"/>
      <c r="Q13" s="24"/>
    </row>
    <row r="14" spans="2:17" s="37" customFormat="1" ht="18" customHeight="1" x14ac:dyDescent="0.15">
      <c r="B14" s="28"/>
      <c r="C14" s="35" t="s">
        <v>25</v>
      </c>
      <c r="D14" s="35" t="s">
        <v>25</v>
      </c>
      <c r="E14" s="36" t="s">
        <v>29</v>
      </c>
      <c r="F14" s="44">
        <v>1</v>
      </c>
      <c r="G14" s="87">
        <v>4000</v>
      </c>
      <c r="H14" s="13">
        <f t="shared" si="0"/>
        <v>4000</v>
      </c>
      <c r="I14" s="21"/>
      <c r="J14" s="36" t="s">
        <v>29</v>
      </c>
      <c r="K14" s="12"/>
      <c r="L14" s="11"/>
      <c r="M14" s="26"/>
      <c r="N14" s="15"/>
      <c r="O14" s="20"/>
      <c r="P14" s="26"/>
      <c r="Q14" s="24"/>
    </row>
    <row r="15" spans="2:17" s="37" customFormat="1" ht="18" customHeight="1" x14ac:dyDescent="0.15">
      <c r="B15" s="28"/>
      <c r="C15" s="35" t="s">
        <v>25</v>
      </c>
      <c r="D15" s="35" t="s">
        <v>25</v>
      </c>
      <c r="E15" s="36" t="s">
        <v>30</v>
      </c>
      <c r="F15" s="44">
        <v>1</v>
      </c>
      <c r="G15" s="87">
        <v>4000</v>
      </c>
      <c r="H15" s="13">
        <f t="shared" si="0"/>
        <v>4000</v>
      </c>
      <c r="I15" s="21"/>
      <c r="J15" s="36" t="s">
        <v>30</v>
      </c>
      <c r="K15" s="12"/>
      <c r="L15" s="11"/>
      <c r="M15" s="26"/>
      <c r="N15" s="15"/>
      <c r="O15" s="20"/>
      <c r="P15" s="26"/>
      <c r="Q15" s="24"/>
    </row>
    <row r="16" spans="2:17" s="37" customFormat="1" ht="18" customHeight="1" x14ac:dyDescent="0.15">
      <c r="B16" s="28"/>
      <c r="C16" s="35" t="s">
        <v>25</v>
      </c>
      <c r="D16" s="35" t="s">
        <v>25</v>
      </c>
      <c r="E16" s="36" t="s">
        <v>31</v>
      </c>
      <c r="F16" s="44">
        <v>1</v>
      </c>
      <c r="G16" s="87">
        <v>7500</v>
      </c>
      <c r="H16" s="13">
        <f t="shared" si="0"/>
        <v>7500</v>
      </c>
      <c r="I16" s="21"/>
      <c r="J16" s="36" t="s">
        <v>31</v>
      </c>
      <c r="K16" s="12"/>
      <c r="L16" s="11"/>
      <c r="M16" s="26"/>
      <c r="N16" s="15"/>
      <c r="O16" s="20"/>
      <c r="P16" s="26"/>
      <c r="Q16" s="24"/>
    </row>
    <row r="17" spans="2:17" s="37" customFormat="1" ht="18" customHeight="1" x14ac:dyDescent="0.15">
      <c r="B17" s="28"/>
      <c r="C17" s="35" t="s">
        <v>25</v>
      </c>
      <c r="D17" s="35" t="s">
        <v>25</v>
      </c>
      <c r="E17" s="36" t="s">
        <v>32</v>
      </c>
      <c r="F17" s="44">
        <v>1</v>
      </c>
      <c r="G17" s="87">
        <v>18000</v>
      </c>
      <c r="H17" s="13">
        <f t="shared" si="0"/>
        <v>18000</v>
      </c>
      <c r="I17" s="21"/>
      <c r="J17" s="36" t="s">
        <v>32</v>
      </c>
      <c r="K17" s="12"/>
      <c r="L17" s="11"/>
      <c r="M17" s="26"/>
      <c r="N17" s="15"/>
      <c r="O17" s="20"/>
      <c r="P17" s="26"/>
      <c r="Q17" s="24"/>
    </row>
    <row r="18" spans="2:17" s="37" customFormat="1" ht="18" customHeight="1" x14ac:dyDescent="0.15">
      <c r="B18" s="28"/>
      <c r="C18" s="35" t="s">
        <v>25</v>
      </c>
      <c r="D18" s="35" t="s">
        <v>25</v>
      </c>
      <c r="E18" s="36" t="s">
        <v>33</v>
      </c>
      <c r="F18" s="44">
        <v>1</v>
      </c>
      <c r="G18" s="87">
        <v>8000</v>
      </c>
      <c r="H18" s="13">
        <f t="shared" si="0"/>
        <v>8000</v>
      </c>
      <c r="I18" s="21"/>
      <c r="J18" s="36" t="s">
        <v>33</v>
      </c>
      <c r="K18" s="12"/>
      <c r="L18" s="11"/>
      <c r="M18" s="26"/>
      <c r="N18" s="15"/>
      <c r="O18" s="20"/>
      <c r="P18" s="26"/>
      <c r="Q18" s="24"/>
    </row>
    <row r="19" spans="2:17" s="37" customFormat="1" ht="18" customHeight="1" x14ac:dyDescent="0.15">
      <c r="B19" s="28"/>
      <c r="C19" s="35" t="s">
        <v>25</v>
      </c>
      <c r="D19" s="35" t="s">
        <v>25</v>
      </c>
      <c r="E19" s="36" t="s">
        <v>34</v>
      </c>
      <c r="F19" s="44">
        <v>1</v>
      </c>
      <c r="G19" s="87">
        <v>3000</v>
      </c>
      <c r="H19" s="13">
        <f t="shared" si="0"/>
        <v>3000</v>
      </c>
      <c r="I19" s="21"/>
      <c r="J19" s="36" t="s">
        <v>34</v>
      </c>
      <c r="K19" s="12"/>
      <c r="L19" s="11"/>
      <c r="M19" s="26"/>
      <c r="N19" s="15"/>
      <c r="O19" s="20"/>
      <c r="P19" s="26"/>
      <c r="Q19" s="24"/>
    </row>
    <row r="20" spans="2:17" s="37" customFormat="1" ht="18" customHeight="1" x14ac:dyDescent="0.15">
      <c r="B20" s="28"/>
      <c r="C20" s="35" t="s">
        <v>25</v>
      </c>
      <c r="D20" s="35" t="s">
        <v>25</v>
      </c>
      <c r="E20" s="36" t="s">
        <v>35</v>
      </c>
      <c r="F20" s="44">
        <v>1</v>
      </c>
      <c r="G20" s="87">
        <v>3500</v>
      </c>
      <c r="H20" s="13">
        <f t="shared" si="0"/>
        <v>3500</v>
      </c>
      <c r="I20" s="21"/>
      <c r="J20" s="36" t="s">
        <v>35</v>
      </c>
      <c r="K20" s="12"/>
      <c r="L20" s="11"/>
      <c r="M20" s="26"/>
      <c r="N20" s="15"/>
      <c r="O20" s="20"/>
      <c r="P20" s="26"/>
      <c r="Q20" s="24"/>
    </row>
    <row r="21" spans="2:17" s="37" customFormat="1" ht="18" customHeight="1" x14ac:dyDescent="0.15">
      <c r="B21" s="28"/>
      <c r="C21" s="35" t="s">
        <v>25</v>
      </c>
      <c r="D21" s="35" t="s">
        <v>25</v>
      </c>
      <c r="E21" s="36" t="s">
        <v>36</v>
      </c>
      <c r="F21" s="44">
        <v>1</v>
      </c>
      <c r="G21" s="87">
        <v>12500</v>
      </c>
      <c r="H21" s="13">
        <f t="shared" si="0"/>
        <v>12500</v>
      </c>
      <c r="I21" s="21"/>
      <c r="J21" s="36" t="s">
        <v>36</v>
      </c>
      <c r="K21" s="12"/>
      <c r="L21" s="11"/>
      <c r="M21" s="26"/>
      <c r="N21" s="15"/>
      <c r="O21" s="20"/>
      <c r="P21" s="26"/>
      <c r="Q21" s="24"/>
    </row>
    <row r="22" spans="2:17" s="37" customFormat="1" ht="18" customHeight="1" x14ac:dyDescent="0.15">
      <c r="B22" s="28"/>
      <c r="C22" s="30" t="s">
        <v>37</v>
      </c>
      <c r="D22" s="30" t="s">
        <v>37</v>
      </c>
      <c r="E22" s="94" t="s">
        <v>38</v>
      </c>
      <c r="F22" s="30">
        <v>1</v>
      </c>
      <c r="G22" s="94">
        <v>6899</v>
      </c>
      <c r="H22" s="65">
        <f t="shared" si="0"/>
        <v>6899</v>
      </c>
      <c r="I22" s="66"/>
      <c r="J22" s="34" t="s">
        <v>39</v>
      </c>
      <c r="K22" s="12"/>
      <c r="L22" s="11"/>
      <c r="M22" s="26"/>
      <c r="N22" s="15"/>
      <c r="O22" s="20"/>
      <c r="P22" s="26"/>
      <c r="Q22" s="24"/>
    </row>
    <row r="23" spans="2:17" s="37" customFormat="1" ht="18" customHeight="1" x14ac:dyDescent="0.15">
      <c r="B23" s="28"/>
      <c r="C23" s="30" t="s">
        <v>37</v>
      </c>
      <c r="D23" s="30" t="s">
        <v>37</v>
      </c>
      <c r="E23" s="94" t="s">
        <v>40</v>
      </c>
      <c r="F23" s="30">
        <v>1</v>
      </c>
      <c r="G23" s="94">
        <v>6899</v>
      </c>
      <c r="H23" s="65">
        <f t="shared" si="0"/>
        <v>6899</v>
      </c>
      <c r="I23" s="66"/>
      <c r="J23" s="34" t="s">
        <v>41</v>
      </c>
      <c r="K23" s="12"/>
      <c r="L23" s="11"/>
      <c r="M23" s="26"/>
      <c r="N23" s="15"/>
      <c r="O23" s="20"/>
      <c r="P23" s="26"/>
      <c r="Q23" s="24"/>
    </row>
    <row r="24" spans="2:17" s="37" customFormat="1" ht="18" customHeight="1" x14ac:dyDescent="0.15">
      <c r="B24" s="28"/>
      <c r="C24" s="23" t="s">
        <v>37</v>
      </c>
      <c r="D24" s="23" t="s">
        <v>37</v>
      </c>
      <c r="E24" s="93" t="s">
        <v>42</v>
      </c>
      <c r="F24" s="89">
        <v>1</v>
      </c>
      <c r="G24" s="94">
        <v>16000</v>
      </c>
      <c r="H24" s="32">
        <f t="shared" si="0"/>
        <v>16000</v>
      </c>
      <c r="I24" s="21"/>
      <c r="J24" s="35" t="s">
        <v>43</v>
      </c>
      <c r="K24" s="12"/>
      <c r="L24" s="11"/>
      <c r="M24" s="26"/>
      <c r="N24" s="15"/>
      <c r="O24" s="20"/>
      <c r="P24" s="26"/>
      <c r="Q24" s="24"/>
    </row>
    <row r="25" spans="2:17" s="37" customFormat="1" ht="18" customHeight="1" x14ac:dyDescent="0.15">
      <c r="B25" s="28"/>
      <c r="C25" s="23" t="s">
        <v>37</v>
      </c>
      <c r="D25" s="23" t="s">
        <v>37</v>
      </c>
      <c r="E25" s="83" t="s">
        <v>44</v>
      </c>
      <c r="F25" s="81">
        <v>2</v>
      </c>
      <c r="G25" s="94">
        <v>570</v>
      </c>
      <c r="H25" s="32">
        <f t="shared" si="0"/>
        <v>1140</v>
      </c>
      <c r="I25" s="6"/>
      <c r="J25" s="35" t="s">
        <v>45</v>
      </c>
      <c r="K25" s="12"/>
      <c r="L25" s="11"/>
      <c r="M25" s="26"/>
      <c r="N25" s="15"/>
      <c r="O25" s="20"/>
      <c r="P25" s="26"/>
      <c r="Q25" s="24"/>
    </row>
    <row r="26" spans="2:17" s="37" customFormat="1" ht="18" customHeight="1" x14ac:dyDescent="0.15">
      <c r="B26" s="28"/>
      <c r="C26" s="23" t="s">
        <v>37</v>
      </c>
      <c r="D26" s="23" t="s">
        <v>37</v>
      </c>
      <c r="E26" s="95" t="s">
        <v>46</v>
      </c>
      <c r="F26" s="81">
        <v>26</v>
      </c>
      <c r="G26" s="94">
        <v>99</v>
      </c>
      <c r="H26" s="32">
        <f t="shared" si="0"/>
        <v>2574</v>
      </c>
      <c r="I26" s="6"/>
      <c r="J26" s="90" t="s">
        <v>47</v>
      </c>
      <c r="K26" s="12"/>
      <c r="L26" s="11"/>
      <c r="M26" s="26"/>
      <c r="N26" s="15"/>
      <c r="O26" s="20"/>
      <c r="P26" s="26"/>
      <c r="Q26" s="24"/>
    </row>
    <row r="27" spans="2:17" s="37" customFormat="1" ht="18" customHeight="1" x14ac:dyDescent="0.15">
      <c r="B27" s="28"/>
      <c r="C27" s="23" t="s">
        <v>37</v>
      </c>
      <c r="D27" s="23" t="s">
        <v>37</v>
      </c>
      <c r="E27" s="95" t="s">
        <v>48</v>
      </c>
      <c r="F27" s="81">
        <v>2</v>
      </c>
      <c r="G27" s="94">
        <v>99</v>
      </c>
      <c r="H27" s="32">
        <f t="shared" si="0"/>
        <v>198</v>
      </c>
      <c r="I27" s="6"/>
      <c r="J27" s="90" t="s">
        <v>49</v>
      </c>
      <c r="K27" s="12"/>
      <c r="L27" s="11"/>
      <c r="M27" s="26"/>
      <c r="N27" s="15"/>
      <c r="O27" s="20"/>
      <c r="P27" s="26"/>
      <c r="Q27" s="24"/>
    </row>
    <row r="28" spans="2:17" s="37" customFormat="1" ht="18" customHeight="1" x14ac:dyDescent="0.15">
      <c r="B28" s="28"/>
      <c r="C28" s="8" t="s">
        <v>37</v>
      </c>
      <c r="D28" s="8" t="s">
        <v>37</v>
      </c>
      <c r="E28" s="91" t="s">
        <v>50</v>
      </c>
      <c r="F28" s="92">
        <v>4</v>
      </c>
      <c r="G28" s="13">
        <v>75</v>
      </c>
      <c r="H28" s="13">
        <f t="shared" si="0"/>
        <v>300</v>
      </c>
      <c r="I28" s="13"/>
      <c r="J28" s="64" t="s">
        <v>51</v>
      </c>
      <c r="K28" s="12"/>
      <c r="L28" s="11"/>
      <c r="M28" s="26"/>
      <c r="N28" s="15"/>
      <c r="O28" s="20"/>
      <c r="P28" s="26"/>
      <c r="Q28" s="24"/>
    </row>
    <row r="29" spans="2:17" s="37" customFormat="1" ht="18" customHeight="1" x14ac:dyDescent="0.15">
      <c r="B29" s="28"/>
      <c r="C29" s="8" t="s">
        <v>37</v>
      </c>
      <c r="D29" s="8" t="s">
        <v>37</v>
      </c>
      <c r="E29" s="91" t="s">
        <v>52</v>
      </c>
      <c r="F29" s="92">
        <v>8</v>
      </c>
      <c r="G29" s="84">
        <v>80</v>
      </c>
      <c r="H29" s="13">
        <f t="shared" si="0"/>
        <v>640</v>
      </c>
      <c r="I29" s="13"/>
      <c r="J29" s="64" t="s">
        <v>53</v>
      </c>
      <c r="K29" s="12"/>
      <c r="L29" s="11"/>
      <c r="M29" s="26"/>
      <c r="N29" s="15"/>
      <c r="O29" s="20"/>
      <c r="P29" s="26"/>
      <c r="Q29" s="24"/>
    </row>
    <row r="30" spans="2:17" s="37" customFormat="1" ht="18" customHeight="1" x14ac:dyDescent="0.15">
      <c r="B30" s="28"/>
      <c r="C30" s="8" t="s">
        <v>37</v>
      </c>
      <c r="D30" s="8" t="s">
        <v>37</v>
      </c>
      <c r="E30" s="91" t="s">
        <v>54</v>
      </c>
      <c r="F30" s="92">
        <v>2</v>
      </c>
      <c r="G30" s="84">
        <v>88</v>
      </c>
      <c r="H30" s="13">
        <f t="shared" si="0"/>
        <v>176</v>
      </c>
      <c r="I30" s="13"/>
      <c r="J30" s="64" t="s">
        <v>55</v>
      </c>
      <c r="K30" s="12"/>
      <c r="L30" s="11"/>
      <c r="M30" s="26"/>
      <c r="N30" s="15"/>
      <c r="O30" s="20"/>
      <c r="P30" s="26"/>
      <c r="Q30" s="24"/>
    </row>
    <row r="31" spans="2:17" s="37" customFormat="1" ht="18" customHeight="1" x14ac:dyDescent="0.15">
      <c r="B31" s="28"/>
      <c r="C31" s="8" t="s">
        <v>37</v>
      </c>
      <c r="D31" s="8" t="s">
        <v>37</v>
      </c>
      <c r="E31" s="91" t="s">
        <v>56</v>
      </c>
      <c r="F31" s="92">
        <v>9</v>
      </c>
      <c r="G31" s="84">
        <v>70</v>
      </c>
      <c r="H31" s="13">
        <f t="shared" si="0"/>
        <v>630</v>
      </c>
      <c r="I31" s="13"/>
      <c r="J31" s="64" t="s">
        <v>57</v>
      </c>
      <c r="K31" s="12"/>
      <c r="L31" s="11"/>
      <c r="M31" s="26"/>
      <c r="N31" s="15"/>
      <c r="O31" s="20"/>
      <c r="P31" s="26"/>
      <c r="Q31" s="24"/>
    </row>
    <row r="32" spans="2:17" s="37" customFormat="1" ht="18" customHeight="1" x14ac:dyDescent="0.15">
      <c r="B32" s="28"/>
      <c r="C32" s="8" t="s">
        <v>37</v>
      </c>
      <c r="D32" s="8" t="s">
        <v>37</v>
      </c>
      <c r="E32" s="91" t="s">
        <v>58</v>
      </c>
      <c r="F32" s="92">
        <v>9</v>
      </c>
      <c r="G32" s="84">
        <v>70</v>
      </c>
      <c r="H32" s="13">
        <f t="shared" si="0"/>
        <v>630</v>
      </c>
      <c r="I32" s="13"/>
      <c r="J32" s="64" t="s">
        <v>59</v>
      </c>
      <c r="K32" s="12"/>
      <c r="L32" s="11"/>
      <c r="M32" s="26"/>
      <c r="N32" s="15"/>
      <c r="O32" s="20"/>
      <c r="P32" s="26"/>
      <c r="Q32" s="24"/>
    </row>
    <row r="33" spans="2:17" s="37" customFormat="1" ht="18" customHeight="1" x14ac:dyDescent="0.15">
      <c r="B33" s="28"/>
      <c r="C33" s="8" t="s">
        <v>37</v>
      </c>
      <c r="D33" s="8" t="s">
        <v>37</v>
      </c>
      <c r="E33" s="91" t="s">
        <v>60</v>
      </c>
      <c r="F33" s="68">
        <v>20</v>
      </c>
      <c r="G33" s="84">
        <v>75</v>
      </c>
      <c r="H33" s="13">
        <f t="shared" si="0"/>
        <v>1500</v>
      </c>
      <c r="I33" s="67"/>
      <c r="J33" s="64" t="s">
        <v>61</v>
      </c>
      <c r="K33" s="12"/>
      <c r="L33" s="11"/>
      <c r="M33" s="26"/>
      <c r="N33" s="15"/>
      <c r="O33" s="20"/>
      <c r="P33" s="26"/>
      <c r="Q33" s="24"/>
    </row>
    <row r="34" spans="2:17" s="37" customFormat="1" ht="18" customHeight="1" x14ac:dyDescent="0.15">
      <c r="B34" s="28"/>
      <c r="C34" s="8"/>
      <c r="D34" s="13"/>
      <c r="E34" s="105">
        <f>SUM(H11:H33)</f>
        <v>114086</v>
      </c>
      <c r="F34" s="68"/>
      <c r="H34" s="96"/>
      <c r="I34" s="67"/>
      <c r="J34" s="64"/>
      <c r="K34" s="12"/>
      <c r="L34" s="11"/>
      <c r="M34" s="26"/>
      <c r="N34" s="15"/>
      <c r="O34" s="20"/>
      <c r="P34" s="26"/>
      <c r="Q34" s="24"/>
    </row>
    <row r="35" spans="2:17" s="7" customFormat="1" ht="19.5" customHeight="1" x14ac:dyDescent="0.15">
      <c r="B35" s="8"/>
      <c r="C35" s="8"/>
      <c r="D35" s="8"/>
      <c r="E35" s="12"/>
      <c r="F35" s="68"/>
      <c r="G35" s="13"/>
      <c r="H35" s="13"/>
      <c r="I35" s="21"/>
      <c r="J35" s="69"/>
      <c r="K35" s="5"/>
      <c r="L35" s="5"/>
      <c r="M35" s="26"/>
      <c r="N35" s="8"/>
      <c r="O35" s="5"/>
      <c r="P35" s="26"/>
      <c r="Q35" s="15"/>
    </row>
    <row r="36" spans="2:17" s="7" customFormat="1" ht="19.5" customHeight="1" x14ac:dyDescent="0.15">
      <c r="B36" s="169" t="s">
        <v>62</v>
      </c>
      <c r="C36" s="170"/>
      <c r="D36" s="170"/>
      <c r="E36" s="171"/>
      <c r="F36" s="46"/>
      <c r="G36" s="97"/>
      <c r="H36" s="98"/>
      <c r="I36" s="99"/>
      <c r="J36" s="100"/>
      <c r="K36" s="46"/>
      <c r="L36" s="46"/>
      <c r="M36" s="101"/>
      <c r="N36" s="47"/>
      <c r="O36" s="46"/>
      <c r="P36" s="101"/>
      <c r="Q36" s="102"/>
    </row>
    <row r="37" spans="2:17" s="7" customFormat="1" ht="19.5" customHeight="1" x14ac:dyDescent="0.15">
      <c r="B37" s="28"/>
      <c r="C37" s="35" t="s">
        <v>25</v>
      </c>
      <c r="D37" s="35" t="s">
        <v>25</v>
      </c>
      <c r="E37" s="73" t="s">
        <v>63</v>
      </c>
      <c r="F37" s="73">
        <v>1</v>
      </c>
      <c r="G37" s="73">
        <v>19500</v>
      </c>
      <c r="H37" s="63">
        <f t="shared" ref="H37:H58" si="1">F37*G37</f>
        <v>19500</v>
      </c>
      <c r="I37" s="74"/>
      <c r="J37" s="73" t="s">
        <v>63</v>
      </c>
      <c r="K37" s="5"/>
      <c r="L37" s="5"/>
      <c r="M37" s="26"/>
      <c r="N37" s="8"/>
      <c r="O37" s="5"/>
      <c r="P37" s="26"/>
      <c r="Q37" s="24"/>
    </row>
    <row r="38" spans="2:17" s="7" customFormat="1" ht="19.5" customHeight="1" x14ac:dyDescent="0.15">
      <c r="B38" s="28"/>
      <c r="C38" s="35" t="s">
        <v>25</v>
      </c>
      <c r="D38" s="35" t="s">
        <v>25</v>
      </c>
      <c r="E38" s="73" t="s">
        <v>64</v>
      </c>
      <c r="F38" s="73">
        <v>1</v>
      </c>
      <c r="G38" s="73">
        <v>17500</v>
      </c>
      <c r="H38" s="63">
        <f t="shared" si="1"/>
        <v>17500</v>
      </c>
      <c r="I38" s="74"/>
      <c r="J38" s="73" t="s">
        <v>64</v>
      </c>
      <c r="K38" s="5"/>
      <c r="L38" s="5"/>
      <c r="M38" s="26"/>
      <c r="N38" s="8"/>
      <c r="O38" s="5"/>
      <c r="P38" s="26"/>
      <c r="Q38" s="24"/>
    </row>
    <row r="39" spans="2:17" s="7" customFormat="1" ht="19.5" customHeight="1" x14ac:dyDescent="0.15">
      <c r="B39" s="28"/>
      <c r="C39" s="35" t="s">
        <v>25</v>
      </c>
      <c r="D39" s="35" t="s">
        <v>25</v>
      </c>
      <c r="E39" s="73" t="s">
        <v>65</v>
      </c>
      <c r="F39" s="73">
        <v>8</v>
      </c>
      <c r="G39" s="73">
        <v>3800</v>
      </c>
      <c r="H39" s="63">
        <f t="shared" si="1"/>
        <v>30400</v>
      </c>
      <c r="I39" s="74"/>
      <c r="J39" s="73" t="s">
        <v>65</v>
      </c>
      <c r="K39" s="5"/>
      <c r="L39" s="5"/>
      <c r="M39" s="26"/>
      <c r="N39" s="8"/>
      <c r="O39" s="5"/>
      <c r="P39" s="26"/>
      <c r="Q39" s="24"/>
    </row>
    <row r="40" spans="2:17" s="7" customFormat="1" ht="19.5" customHeight="1" x14ac:dyDescent="0.15">
      <c r="B40" s="28"/>
      <c r="C40" s="35" t="s">
        <v>25</v>
      </c>
      <c r="D40" s="35" t="s">
        <v>25</v>
      </c>
      <c r="E40" s="73" t="s">
        <v>66</v>
      </c>
      <c r="F40" s="73">
        <v>2</v>
      </c>
      <c r="G40" s="73">
        <v>5000</v>
      </c>
      <c r="H40" s="63">
        <f t="shared" si="1"/>
        <v>10000</v>
      </c>
      <c r="I40" s="74"/>
      <c r="J40" s="73" t="s">
        <v>67</v>
      </c>
      <c r="K40" s="5"/>
      <c r="L40" s="5"/>
      <c r="M40" s="26"/>
      <c r="N40" s="8"/>
      <c r="O40" s="5"/>
      <c r="P40" s="26"/>
      <c r="Q40" s="24"/>
    </row>
    <row r="41" spans="2:17" ht="18" customHeight="1" x14ac:dyDescent="0.15">
      <c r="B41" s="28"/>
      <c r="C41" s="29" t="s">
        <v>37</v>
      </c>
      <c r="D41" s="29" t="s">
        <v>37</v>
      </c>
      <c r="E41" s="31" t="s">
        <v>68</v>
      </c>
      <c r="F41" s="30">
        <v>1</v>
      </c>
      <c r="G41" s="31">
        <v>356</v>
      </c>
      <c r="H41" s="32">
        <f t="shared" si="1"/>
        <v>356</v>
      </c>
      <c r="I41" s="33"/>
      <c r="J41" s="34" t="s">
        <v>69</v>
      </c>
      <c r="K41" s="12"/>
      <c r="L41" s="11"/>
      <c r="M41" s="26"/>
      <c r="N41" s="15"/>
      <c r="O41" s="20"/>
      <c r="P41" s="26"/>
      <c r="Q41" s="24"/>
    </row>
    <row r="42" spans="2:17" ht="18" customHeight="1" x14ac:dyDescent="0.15">
      <c r="B42" s="28"/>
      <c r="C42" s="29" t="s">
        <v>37</v>
      </c>
      <c r="D42" s="29" t="s">
        <v>37</v>
      </c>
      <c r="E42" s="31" t="s">
        <v>70</v>
      </c>
      <c r="F42" s="30">
        <v>1</v>
      </c>
      <c r="G42" s="31">
        <v>479</v>
      </c>
      <c r="H42" s="32">
        <f t="shared" si="1"/>
        <v>479</v>
      </c>
      <c r="I42" s="33"/>
      <c r="J42" s="34" t="s">
        <v>71</v>
      </c>
      <c r="K42" s="12"/>
      <c r="L42" s="11"/>
      <c r="M42" s="26"/>
      <c r="N42" s="15"/>
      <c r="O42" s="20"/>
      <c r="P42" s="26"/>
      <c r="Q42" s="24"/>
    </row>
    <row r="43" spans="2:17" ht="18" customHeight="1" x14ac:dyDescent="0.15">
      <c r="B43" s="28"/>
      <c r="C43" s="29" t="s">
        <v>37</v>
      </c>
      <c r="D43" s="29" t="s">
        <v>37</v>
      </c>
      <c r="E43" s="31" t="s">
        <v>72</v>
      </c>
      <c r="F43" s="30">
        <v>1</v>
      </c>
      <c r="G43" s="31">
        <v>650</v>
      </c>
      <c r="H43" s="32">
        <f t="shared" si="1"/>
        <v>650</v>
      </c>
      <c r="I43" s="33"/>
      <c r="J43" s="34" t="s">
        <v>69</v>
      </c>
      <c r="K43" s="12"/>
      <c r="L43" s="11"/>
      <c r="M43" s="26"/>
      <c r="N43" s="15"/>
      <c r="O43" s="20"/>
      <c r="P43" s="26"/>
      <c r="Q43" s="24"/>
    </row>
    <row r="44" spans="2:17" s="37" customFormat="1" ht="18" customHeight="1" x14ac:dyDescent="0.15">
      <c r="B44" s="28"/>
      <c r="C44" s="62" t="s">
        <v>37</v>
      </c>
      <c r="D44" s="62" t="s">
        <v>37</v>
      </c>
      <c r="E44" s="40" t="s">
        <v>73</v>
      </c>
      <c r="F44" s="82">
        <v>6</v>
      </c>
      <c r="G44" s="83">
        <v>370</v>
      </c>
      <c r="H44" s="13">
        <f t="shared" si="1"/>
        <v>2220</v>
      </c>
      <c r="I44" s="21"/>
      <c r="J44" s="41" t="s">
        <v>74</v>
      </c>
      <c r="K44" s="12"/>
      <c r="L44" s="11"/>
      <c r="M44" s="26"/>
      <c r="N44" s="15"/>
      <c r="O44" s="20"/>
      <c r="P44" s="26"/>
      <c r="Q44" s="24"/>
    </row>
    <row r="45" spans="2:17" s="37" customFormat="1" ht="18" customHeight="1" x14ac:dyDescent="0.15">
      <c r="B45" s="28"/>
      <c r="C45" s="30" t="s">
        <v>37</v>
      </c>
      <c r="D45" s="30" t="s">
        <v>37</v>
      </c>
      <c r="E45" s="85" t="s">
        <v>75</v>
      </c>
      <c r="F45" s="86">
        <v>2</v>
      </c>
      <c r="G45" s="87">
        <v>8800</v>
      </c>
      <c r="H45" s="13">
        <f t="shared" si="1"/>
        <v>17600</v>
      </c>
      <c r="I45" s="21"/>
      <c r="J45" s="42" t="s">
        <v>76</v>
      </c>
      <c r="K45" s="12"/>
      <c r="L45" s="11"/>
      <c r="M45" s="26"/>
      <c r="N45" s="15"/>
      <c r="O45" s="20"/>
      <c r="P45" s="26"/>
      <c r="Q45" s="24"/>
    </row>
    <row r="46" spans="2:17" s="37" customFormat="1" ht="18" customHeight="1" x14ac:dyDescent="0.15">
      <c r="B46" s="28"/>
      <c r="C46" s="30" t="s">
        <v>37</v>
      </c>
      <c r="D46" s="30" t="s">
        <v>37</v>
      </c>
      <c r="E46" s="43" t="s">
        <v>77</v>
      </c>
      <c r="F46" s="86">
        <v>2</v>
      </c>
      <c r="G46" s="87">
        <v>4710</v>
      </c>
      <c r="H46" s="13">
        <f t="shared" si="1"/>
        <v>9420</v>
      </c>
      <c r="I46" s="21"/>
      <c r="J46" s="42" t="s">
        <v>78</v>
      </c>
      <c r="K46" s="12"/>
      <c r="L46" s="11"/>
      <c r="M46" s="26"/>
      <c r="N46" s="15"/>
      <c r="O46" s="20"/>
      <c r="P46" s="26"/>
      <c r="Q46" s="24"/>
    </row>
    <row r="47" spans="2:17" s="37" customFormat="1" ht="18" customHeight="1" x14ac:dyDescent="0.15">
      <c r="B47" s="28"/>
      <c r="C47" s="30" t="s">
        <v>37</v>
      </c>
      <c r="D47" s="30" t="s">
        <v>37</v>
      </c>
      <c r="E47" s="88" t="s">
        <v>79</v>
      </c>
      <c r="F47" s="44">
        <v>1</v>
      </c>
      <c r="G47" s="87">
        <v>59000</v>
      </c>
      <c r="H47" s="13">
        <f t="shared" si="1"/>
        <v>59000</v>
      </c>
      <c r="I47" s="21"/>
      <c r="J47" s="39" t="s">
        <v>80</v>
      </c>
      <c r="K47" s="12"/>
      <c r="L47" s="11"/>
      <c r="M47" s="26"/>
      <c r="N47" s="15"/>
      <c r="O47" s="20"/>
      <c r="P47" s="26"/>
      <c r="Q47" s="24"/>
    </row>
    <row r="48" spans="2:17" s="37" customFormat="1" ht="18" customHeight="1" x14ac:dyDescent="0.15">
      <c r="B48" s="28"/>
      <c r="C48" s="30" t="s">
        <v>37</v>
      </c>
      <c r="D48" s="30" t="s">
        <v>37</v>
      </c>
      <c r="E48" s="85" t="s">
        <v>81</v>
      </c>
      <c r="F48" s="44">
        <v>1</v>
      </c>
      <c r="G48" s="25">
        <v>370</v>
      </c>
      <c r="H48" s="13">
        <f t="shared" si="1"/>
        <v>370</v>
      </c>
      <c r="I48" s="21"/>
      <c r="J48" s="42" t="s">
        <v>82</v>
      </c>
      <c r="K48" s="12"/>
      <c r="L48" s="11"/>
      <c r="M48" s="26"/>
      <c r="N48" s="15"/>
      <c r="O48" s="20"/>
      <c r="P48" s="26"/>
      <c r="Q48" s="24"/>
    </row>
    <row r="49" spans="2:17" s="37" customFormat="1" ht="18" customHeight="1" x14ac:dyDescent="0.15">
      <c r="B49" s="28"/>
      <c r="C49" s="30" t="s">
        <v>37</v>
      </c>
      <c r="D49" s="30" t="s">
        <v>37</v>
      </c>
      <c r="E49" s="88" t="s">
        <v>83</v>
      </c>
      <c r="F49" s="86">
        <v>2</v>
      </c>
      <c r="G49" s="87">
        <v>3560</v>
      </c>
      <c r="H49" s="13">
        <f t="shared" si="1"/>
        <v>7120</v>
      </c>
      <c r="I49" s="21"/>
      <c r="J49" s="39" t="s">
        <v>84</v>
      </c>
      <c r="K49" s="12"/>
      <c r="L49" s="11"/>
      <c r="M49" s="26"/>
      <c r="N49" s="15"/>
      <c r="O49" s="20"/>
      <c r="P49" s="26"/>
      <c r="Q49" s="24"/>
    </row>
    <row r="50" spans="2:17" s="37" customFormat="1" ht="18" customHeight="1" x14ac:dyDescent="0.15">
      <c r="B50" s="28"/>
      <c r="C50" s="30" t="s">
        <v>37</v>
      </c>
      <c r="D50" s="30" t="s">
        <v>37</v>
      </c>
      <c r="E50" s="35" t="s">
        <v>85</v>
      </c>
      <c r="F50" s="44">
        <v>10</v>
      </c>
      <c r="G50" s="25">
        <v>26</v>
      </c>
      <c r="H50" s="13">
        <f t="shared" si="1"/>
        <v>260</v>
      </c>
      <c r="I50" s="21"/>
      <c r="J50" s="36" t="s">
        <v>86</v>
      </c>
      <c r="K50" s="12"/>
      <c r="L50" s="11"/>
      <c r="M50" s="26"/>
      <c r="N50" s="15"/>
      <c r="O50" s="20"/>
      <c r="P50" s="26"/>
      <c r="Q50" s="24"/>
    </row>
    <row r="51" spans="2:17" s="37" customFormat="1" ht="18" customHeight="1" x14ac:dyDescent="0.15">
      <c r="B51" s="28"/>
      <c r="C51" s="30" t="s">
        <v>37</v>
      </c>
      <c r="D51" s="30" t="s">
        <v>37</v>
      </c>
      <c r="E51" s="35" t="s">
        <v>87</v>
      </c>
      <c r="F51" s="44">
        <v>4</v>
      </c>
      <c r="G51" s="25">
        <v>29</v>
      </c>
      <c r="H51" s="13">
        <f t="shared" si="1"/>
        <v>116</v>
      </c>
      <c r="I51" s="21"/>
      <c r="J51" s="36" t="s">
        <v>88</v>
      </c>
      <c r="K51" s="12"/>
      <c r="L51" s="11"/>
      <c r="M51" s="26"/>
      <c r="N51" s="15"/>
      <c r="O51" s="20"/>
      <c r="P51" s="26"/>
      <c r="Q51" s="24"/>
    </row>
    <row r="52" spans="2:17" s="37" customFormat="1" ht="18" customHeight="1" x14ac:dyDescent="0.15">
      <c r="B52" s="28"/>
      <c r="C52" s="30" t="s">
        <v>37</v>
      </c>
      <c r="D52" s="30" t="s">
        <v>37</v>
      </c>
      <c r="E52" s="35" t="s">
        <v>89</v>
      </c>
      <c r="F52" s="44">
        <v>16</v>
      </c>
      <c r="G52" s="25">
        <v>54</v>
      </c>
      <c r="H52" s="13">
        <f t="shared" si="1"/>
        <v>864</v>
      </c>
      <c r="I52" s="21"/>
      <c r="J52" s="36" t="s">
        <v>90</v>
      </c>
      <c r="K52" s="12"/>
      <c r="L52" s="11"/>
      <c r="M52" s="26"/>
      <c r="N52" s="15"/>
      <c r="O52" s="20"/>
      <c r="P52" s="26"/>
      <c r="Q52" s="24"/>
    </row>
    <row r="53" spans="2:17" s="37" customFormat="1" ht="18" customHeight="1" x14ac:dyDescent="0.15">
      <c r="B53" s="28"/>
      <c r="C53" s="30" t="s">
        <v>37</v>
      </c>
      <c r="D53" s="30" t="s">
        <v>37</v>
      </c>
      <c r="E53" s="35" t="s">
        <v>58</v>
      </c>
      <c r="F53" s="44">
        <v>6</v>
      </c>
      <c r="G53" s="25">
        <v>70</v>
      </c>
      <c r="H53" s="13">
        <f t="shared" si="1"/>
        <v>420</v>
      </c>
      <c r="I53" s="21"/>
      <c r="J53" s="36" t="s">
        <v>91</v>
      </c>
      <c r="K53" s="12"/>
      <c r="L53" s="11"/>
      <c r="M53" s="26"/>
      <c r="N53" s="15"/>
      <c r="O53" s="20"/>
      <c r="P53" s="26"/>
      <c r="Q53" s="24"/>
    </row>
    <row r="54" spans="2:17" s="37" customFormat="1" ht="18" customHeight="1" x14ac:dyDescent="0.15">
      <c r="B54" s="28"/>
      <c r="C54" s="30" t="s">
        <v>37</v>
      </c>
      <c r="D54" s="30" t="s">
        <v>37</v>
      </c>
      <c r="E54" s="35" t="s">
        <v>92</v>
      </c>
      <c r="F54" s="44">
        <v>12</v>
      </c>
      <c r="G54" s="25">
        <v>75</v>
      </c>
      <c r="H54" s="13">
        <f t="shared" si="1"/>
        <v>900</v>
      </c>
      <c r="I54" s="21"/>
      <c r="J54" s="36" t="s">
        <v>93</v>
      </c>
      <c r="K54" s="12"/>
      <c r="L54" s="11"/>
      <c r="M54" s="26"/>
      <c r="N54" s="15"/>
      <c r="O54" s="20"/>
      <c r="P54" s="26"/>
      <c r="Q54" s="24"/>
    </row>
    <row r="55" spans="2:17" s="37" customFormat="1" ht="18" customHeight="1" x14ac:dyDescent="0.15">
      <c r="B55" s="28"/>
      <c r="C55" s="30" t="s">
        <v>37</v>
      </c>
      <c r="D55" s="30" t="s">
        <v>37</v>
      </c>
      <c r="E55" s="35" t="s">
        <v>94</v>
      </c>
      <c r="F55" s="44">
        <v>4</v>
      </c>
      <c r="G55" s="25">
        <v>80</v>
      </c>
      <c r="H55" s="13">
        <f t="shared" si="1"/>
        <v>320</v>
      </c>
      <c r="I55" s="21"/>
      <c r="J55" s="36" t="s">
        <v>95</v>
      </c>
      <c r="K55" s="12"/>
      <c r="L55" s="11"/>
      <c r="M55" s="26"/>
      <c r="N55" s="15"/>
      <c r="O55" s="20"/>
      <c r="P55" s="26"/>
      <c r="Q55" s="24"/>
    </row>
    <row r="56" spans="2:17" s="37" customFormat="1" ht="18" customHeight="1" x14ac:dyDescent="0.15">
      <c r="B56" s="28"/>
      <c r="C56" s="30" t="s">
        <v>37</v>
      </c>
      <c r="D56" s="30" t="s">
        <v>37</v>
      </c>
      <c r="E56" s="35" t="s">
        <v>96</v>
      </c>
      <c r="F56" s="44">
        <v>10</v>
      </c>
      <c r="G56" s="25">
        <v>99</v>
      </c>
      <c r="H56" s="13">
        <f t="shared" si="1"/>
        <v>990</v>
      </c>
      <c r="I56" s="21"/>
      <c r="J56" s="36" t="s">
        <v>97</v>
      </c>
      <c r="K56" s="12"/>
      <c r="L56" s="11"/>
      <c r="M56" s="26"/>
      <c r="N56" s="15"/>
      <c r="O56" s="20"/>
      <c r="P56" s="26"/>
      <c r="Q56" s="24"/>
    </row>
    <row r="57" spans="2:17" s="37" customFormat="1" ht="18" customHeight="1" x14ac:dyDescent="0.15">
      <c r="B57" s="28"/>
      <c r="C57" s="30" t="s">
        <v>37</v>
      </c>
      <c r="D57" s="30" t="s">
        <v>37</v>
      </c>
      <c r="E57" s="35" t="s">
        <v>98</v>
      </c>
      <c r="F57" s="44">
        <v>2</v>
      </c>
      <c r="G57" s="25">
        <v>610</v>
      </c>
      <c r="H57" s="13">
        <f t="shared" si="1"/>
        <v>1220</v>
      </c>
      <c r="I57" s="21"/>
      <c r="J57" s="45" t="s">
        <v>99</v>
      </c>
      <c r="K57" s="12"/>
      <c r="L57" s="11"/>
      <c r="M57" s="26"/>
      <c r="N57" s="15"/>
      <c r="O57" s="20"/>
      <c r="P57" s="26"/>
      <c r="Q57" s="24"/>
    </row>
    <row r="58" spans="2:17" s="37" customFormat="1" ht="18" customHeight="1" x14ac:dyDescent="0.15">
      <c r="B58" s="28"/>
      <c r="C58" s="30" t="s">
        <v>37</v>
      </c>
      <c r="D58" s="30" t="s">
        <v>37</v>
      </c>
      <c r="E58" s="35" t="s">
        <v>100</v>
      </c>
      <c r="F58" s="44">
        <v>2</v>
      </c>
      <c r="G58" s="25">
        <v>780</v>
      </c>
      <c r="H58" s="13">
        <f t="shared" si="1"/>
        <v>1560</v>
      </c>
      <c r="I58" s="21"/>
      <c r="J58" s="45" t="s">
        <v>101</v>
      </c>
      <c r="K58" s="12"/>
      <c r="L58" s="11"/>
      <c r="M58" s="26"/>
      <c r="N58" s="15"/>
      <c r="O58" s="20"/>
      <c r="P58" s="26"/>
      <c r="Q58" s="24"/>
    </row>
    <row r="59" spans="2:17" s="37" customFormat="1" ht="18" customHeight="1" x14ac:dyDescent="0.15">
      <c r="B59" s="28"/>
      <c r="C59" s="30"/>
      <c r="D59" s="30"/>
      <c r="E59" s="106">
        <f>SUM(H37:H58)</f>
        <v>181265</v>
      </c>
      <c r="F59" s="30"/>
      <c r="G59" s="31"/>
      <c r="I59" s="66"/>
      <c r="J59" s="34"/>
      <c r="K59" s="12"/>
      <c r="L59" s="11"/>
      <c r="M59" s="26"/>
      <c r="N59" s="15"/>
      <c r="O59" s="20"/>
      <c r="P59" s="26"/>
      <c r="Q59" s="24"/>
    </row>
    <row r="60" spans="2:17" s="37" customFormat="1" ht="18" customHeight="1" x14ac:dyDescent="0.15">
      <c r="B60" s="28"/>
      <c r="C60" s="30"/>
      <c r="D60" s="30"/>
      <c r="E60" s="31"/>
      <c r="F60" s="30"/>
      <c r="G60" s="31"/>
      <c r="H60" s="65"/>
      <c r="I60" s="66"/>
      <c r="J60" s="34"/>
      <c r="K60" s="12"/>
      <c r="L60" s="11"/>
      <c r="M60" s="26"/>
      <c r="N60" s="15"/>
      <c r="O60" s="20"/>
      <c r="P60" s="26"/>
      <c r="Q60" s="24"/>
    </row>
    <row r="61" spans="2:17" s="37" customFormat="1" ht="18" customHeight="1" x14ac:dyDescent="0.15">
      <c r="B61" s="169" t="s">
        <v>102</v>
      </c>
      <c r="C61" s="170"/>
      <c r="D61" s="170"/>
      <c r="E61" s="171"/>
      <c r="F61" s="30"/>
      <c r="G61" s="31"/>
      <c r="H61" s="65"/>
      <c r="I61" s="66"/>
      <c r="J61" s="34"/>
      <c r="K61" s="12"/>
      <c r="L61" s="11"/>
      <c r="M61" s="26"/>
      <c r="N61" s="15"/>
      <c r="O61" s="20"/>
      <c r="P61" s="26"/>
      <c r="Q61" s="24"/>
    </row>
    <row r="62" spans="2:17" s="37" customFormat="1" ht="18" customHeight="1" x14ac:dyDescent="0.15">
      <c r="B62" s="28"/>
      <c r="C62" s="30"/>
      <c r="D62" s="30"/>
      <c r="E62" s="31"/>
      <c r="F62" s="30"/>
      <c r="G62" s="31"/>
      <c r="H62" s="65"/>
      <c r="I62" s="66"/>
      <c r="J62" s="34"/>
      <c r="K62" s="12"/>
      <c r="L62" s="11"/>
      <c r="M62" s="26"/>
      <c r="N62" s="15"/>
      <c r="O62" s="20"/>
      <c r="P62" s="26"/>
      <c r="Q62" s="24"/>
    </row>
    <row r="63" spans="2:17" s="37" customFormat="1" ht="18" customHeight="1" x14ac:dyDescent="0.15">
      <c r="B63" s="28"/>
      <c r="C63" s="35" t="s">
        <v>25</v>
      </c>
      <c r="D63" s="35" t="s">
        <v>25</v>
      </c>
      <c r="E63" s="73" t="s">
        <v>103</v>
      </c>
      <c r="F63" s="70">
        <v>2</v>
      </c>
      <c r="G63" s="73">
        <v>18500</v>
      </c>
      <c r="H63" s="73">
        <f t="shared" ref="H63:H71" si="2">F63*G63</f>
        <v>37000</v>
      </c>
      <c r="I63" s="74"/>
      <c r="J63" s="73" t="s">
        <v>103</v>
      </c>
      <c r="K63" s="12"/>
      <c r="L63" s="11"/>
      <c r="M63" s="26"/>
      <c r="N63" s="15"/>
      <c r="O63" s="20"/>
      <c r="P63" s="26"/>
      <c r="Q63" s="24"/>
    </row>
    <row r="64" spans="2:17" s="37" customFormat="1" ht="18" customHeight="1" x14ac:dyDescent="0.15">
      <c r="B64" s="28"/>
      <c r="C64" s="35" t="s">
        <v>25</v>
      </c>
      <c r="D64" s="35" t="s">
        <v>25</v>
      </c>
      <c r="E64" s="73" t="s">
        <v>104</v>
      </c>
      <c r="F64" s="70">
        <v>4</v>
      </c>
      <c r="G64" s="73">
        <v>4000</v>
      </c>
      <c r="H64" s="73">
        <f t="shared" si="2"/>
        <v>16000</v>
      </c>
      <c r="I64" s="74"/>
      <c r="J64" s="73" t="s">
        <v>104</v>
      </c>
      <c r="K64" s="12"/>
      <c r="L64" s="11"/>
      <c r="M64" s="26"/>
      <c r="N64" s="15"/>
      <c r="O64" s="20"/>
      <c r="P64" s="26"/>
      <c r="Q64" s="24"/>
    </row>
    <row r="65" spans="2:17" s="37" customFormat="1" ht="18" customHeight="1" x14ac:dyDescent="0.15">
      <c r="B65" s="28"/>
      <c r="C65" s="30" t="s">
        <v>37</v>
      </c>
      <c r="D65" s="30" t="s">
        <v>37</v>
      </c>
      <c r="E65" s="88" t="s">
        <v>105</v>
      </c>
      <c r="F65" s="77">
        <v>10</v>
      </c>
      <c r="G65" s="87">
        <v>920</v>
      </c>
      <c r="H65" s="78">
        <f t="shared" si="2"/>
        <v>9200</v>
      </c>
      <c r="I65" s="79"/>
      <c r="J65" s="80" t="s">
        <v>106</v>
      </c>
      <c r="K65" s="12"/>
      <c r="L65" s="11"/>
      <c r="M65" s="26"/>
      <c r="N65" s="15"/>
      <c r="O65" s="20"/>
      <c r="P65" s="26"/>
      <c r="Q65" s="24"/>
    </row>
    <row r="66" spans="2:17" s="37" customFormat="1" ht="18" customHeight="1" x14ac:dyDescent="0.15">
      <c r="B66" s="28"/>
      <c r="C66" s="30" t="s">
        <v>37</v>
      </c>
      <c r="D66" s="30" t="s">
        <v>37</v>
      </c>
      <c r="E66" s="104" t="s">
        <v>105</v>
      </c>
      <c r="F66" s="77">
        <v>10</v>
      </c>
      <c r="G66" s="87">
        <v>1250</v>
      </c>
      <c r="H66" s="78">
        <f t="shared" si="2"/>
        <v>12500</v>
      </c>
      <c r="I66" s="79"/>
      <c r="J66" s="103" t="s">
        <v>107</v>
      </c>
      <c r="K66" s="12"/>
      <c r="L66" s="11"/>
      <c r="M66" s="26"/>
      <c r="N66" s="15"/>
      <c r="O66" s="20"/>
      <c r="P66" s="26"/>
      <c r="Q66" s="24"/>
    </row>
    <row r="67" spans="2:17" s="37" customFormat="1" ht="18" customHeight="1" x14ac:dyDescent="0.15">
      <c r="B67" s="28"/>
      <c r="C67" s="30" t="s">
        <v>37</v>
      </c>
      <c r="D67" s="30" t="s">
        <v>37</v>
      </c>
      <c r="E67" s="38" t="s">
        <v>108</v>
      </c>
      <c r="F67" s="44">
        <v>4</v>
      </c>
      <c r="G67" s="25">
        <v>570</v>
      </c>
      <c r="H67" s="13">
        <f t="shared" si="2"/>
        <v>2280</v>
      </c>
      <c r="I67" s="21"/>
      <c r="J67" s="39" t="s">
        <v>109</v>
      </c>
      <c r="K67" s="12"/>
      <c r="L67" s="11"/>
      <c r="M67" s="26"/>
      <c r="N67" s="15"/>
      <c r="O67" s="20"/>
      <c r="P67" s="26"/>
      <c r="Q67" s="24"/>
    </row>
    <row r="68" spans="2:17" s="37" customFormat="1" ht="18" customHeight="1" x14ac:dyDescent="0.15">
      <c r="B68" s="28"/>
      <c r="C68" s="30" t="s">
        <v>37</v>
      </c>
      <c r="D68" s="30" t="s">
        <v>37</v>
      </c>
      <c r="E68" s="35" t="s">
        <v>85</v>
      </c>
      <c r="F68" s="44">
        <v>4</v>
      </c>
      <c r="G68" s="87">
        <v>26</v>
      </c>
      <c r="H68" s="13">
        <f t="shared" si="2"/>
        <v>104</v>
      </c>
      <c r="I68" s="21"/>
      <c r="J68" s="36" t="s">
        <v>86</v>
      </c>
      <c r="K68" s="12"/>
      <c r="L68" s="11"/>
      <c r="M68" s="26"/>
      <c r="N68" s="15"/>
      <c r="O68" s="20"/>
      <c r="P68" s="26"/>
      <c r="Q68" s="24"/>
    </row>
    <row r="69" spans="2:17" s="37" customFormat="1" ht="18" customHeight="1" x14ac:dyDescent="0.15">
      <c r="B69" s="28"/>
      <c r="C69" s="30" t="s">
        <v>37</v>
      </c>
      <c r="D69" s="30" t="s">
        <v>37</v>
      </c>
      <c r="E69" s="83" t="s">
        <v>110</v>
      </c>
      <c r="F69" s="44">
        <v>4</v>
      </c>
      <c r="G69" s="87">
        <v>800</v>
      </c>
      <c r="H69" s="13">
        <f t="shared" si="2"/>
        <v>3200</v>
      </c>
      <c r="I69" s="21"/>
      <c r="J69" s="36" t="s">
        <v>111</v>
      </c>
      <c r="K69" s="12"/>
      <c r="L69" s="11"/>
      <c r="M69" s="26"/>
      <c r="N69" s="15"/>
      <c r="O69" s="20"/>
      <c r="P69" s="26"/>
      <c r="Q69" s="24"/>
    </row>
    <row r="70" spans="2:17" s="37" customFormat="1" ht="18" customHeight="1" x14ac:dyDescent="0.15">
      <c r="B70" s="28"/>
      <c r="C70" s="30" t="s">
        <v>37</v>
      </c>
      <c r="D70" s="30" t="s">
        <v>37</v>
      </c>
      <c r="E70" s="35" t="s">
        <v>92</v>
      </c>
      <c r="F70" s="44">
        <v>8</v>
      </c>
      <c r="G70" s="25">
        <v>75</v>
      </c>
      <c r="H70" s="13">
        <f t="shared" si="2"/>
        <v>600</v>
      </c>
      <c r="I70" s="21"/>
      <c r="J70" s="36" t="s">
        <v>93</v>
      </c>
      <c r="K70" s="12"/>
      <c r="L70" s="11"/>
      <c r="M70" s="26"/>
      <c r="N70" s="15"/>
      <c r="O70" s="20"/>
      <c r="P70" s="26"/>
      <c r="Q70" s="24"/>
    </row>
    <row r="71" spans="2:17" s="37" customFormat="1" ht="18" customHeight="1" x14ac:dyDescent="0.15">
      <c r="B71" s="28"/>
      <c r="C71" s="30" t="s">
        <v>37</v>
      </c>
      <c r="D71" s="30" t="s">
        <v>37</v>
      </c>
      <c r="E71" s="35" t="s">
        <v>94</v>
      </c>
      <c r="F71" s="44">
        <v>8</v>
      </c>
      <c r="G71" s="25">
        <v>80</v>
      </c>
      <c r="H71" s="13">
        <f t="shared" si="2"/>
        <v>640</v>
      </c>
      <c r="I71" s="21"/>
      <c r="J71" s="36" t="s">
        <v>95</v>
      </c>
      <c r="K71" s="12"/>
      <c r="L71" s="11"/>
      <c r="M71" s="26"/>
      <c r="N71" s="15"/>
      <c r="O71" s="20"/>
      <c r="P71" s="26"/>
      <c r="Q71" s="24"/>
    </row>
    <row r="72" spans="2:17" s="37" customFormat="1" ht="18" customHeight="1" x14ac:dyDescent="0.15">
      <c r="B72" s="28"/>
      <c r="C72" s="30"/>
      <c r="D72" s="30"/>
      <c r="E72" s="105">
        <f>SUM(H63:H71)</f>
        <v>81524</v>
      </c>
      <c r="F72" s="44"/>
      <c r="G72" s="25"/>
      <c r="I72" s="21"/>
      <c r="J72" s="36"/>
      <c r="K72" s="12"/>
      <c r="L72" s="11"/>
      <c r="M72" s="26"/>
      <c r="N72" s="15"/>
      <c r="O72" s="20"/>
      <c r="P72" s="26"/>
      <c r="Q72" s="24"/>
    </row>
    <row r="73" spans="2:17" s="37" customFormat="1" ht="18" customHeight="1" x14ac:dyDescent="0.15">
      <c r="B73" s="28"/>
      <c r="C73" s="8"/>
      <c r="D73" s="8"/>
      <c r="E73" s="91"/>
      <c r="F73" s="68"/>
      <c r="G73" s="13"/>
      <c r="H73" s="13"/>
      <c r="I73" s="67"/>
      <c r="J73" s="64"/>
      <c r="K73" s="12"/>
      <c r="L73" s="11"/>
      <c r="M73" s="26"/>
      <c r="N73" s="15"/>
      <c r="O73" s="20"/>
      <c r="P73" s="26"/>
      <c r="Q73" s="24"/>
    </row>
    <row r="74" spans="2:17" s="37" customFormat="1" ht="18" customHeight="1" x14ac:dyDescent="0.15">
      <c r="B74" s="172" t="s">
        <v>112</v>
      </c>
      <c r="C74" s="173"/>
      <c r="D74" s="173"/>
      <c r="E74" s="174"/>
      <c r="F74" s="68"/>
      <c r="G74" s="13"/>
      <c r="H74" s="13"/>
      <c r="I74" s="67"/>
      <c r="J74" s="64"/>
      <c r="K74" s="12"/>
      <c r="L74" s="11"/>
      <c r="M74" s="26"/>
      <c r="N74" s="15"/>
      <c r="O74" s="20"/>
      <c r="P74" s="26"/>
      <c r="Q74" s="24"/>
    </row>
    <row r="75" spans="2:17" s="37" customFormat="1" ht="18" customHeight="1" x14ac:dyDescent="0.15">
      <c r="B75" s="28"/>
      <c r="C75" s="35" t="s">
        <v>25</v>
      </c>
      <c r="D75" s="35" t="s">
        <v>25</v>
      </c>
      <c r="E75" s="73" t="s">
        <v>113</v>
      </c>
      <c r="F75" s="73">
        <v>1</v>
      </c>
      <c r="G75" s="73">
        <v>16500</v>
      </c>
      <c r="H75" s="73">
        <f t="shared" ref="H75:H83" si="3">F75*G75</f>
        <v>16500</v>
      </c>
      <c r="I75" s="74"/>
      <c r="J75" s="73" t="s">
        <v>114</v>
      </c>
      <c r="K75" s="12"/>
      <c r="L75" s="11"/>
      <c r="M75" s="26"/>
      <c r="N75" s="15"/>
      <c r="O75" s="20"/>
      <c r="P75" s="26"/>
      <c r="Q75" s="24"/>
    </row>
    <row r="76" spans="2:17" s="37" customFormat="1" ht="18" customHeight="1" x14ac:dyDescent="0.15">
      <c r="B76" s="28"/>
      <c r="C76" s="23" t="s">
        <v>37</v>
      </c>
      <c r="D76" s="23" t="s">
        <v>37</v>
      </c>
      <c r="E76" s="12" t="s">
        <v>115</v>
      </c>
      <c r="F76" s="13">
        <v>1</v>
      </c>
      <c r="G76" s="13">
        <v>1080</v>
      </c>
      <c r="H76" s="13">
        <f t="shared" si="3"/>
        <v>1080</v>
      </c>
      <c r="I76" s="21"/>
      <c r="J76" s="11" t="s">
        <v>116</v>
      </c>
      <c r="K76" s="12"/>
      <c r="L76" s="11"/>
      <c r="M76" s="26"/>
      <c r="N76" s="15"/>
      <c r="O76" s="20"/>
      <c r="P76" s="26"/>
      <c r="Q76" s="24"/>
    </row>
    <row r="77" spans="2:17" s="37" customFormat="1" ht="18" customHeight="1" x14ac:dyDescent="0.15">
      <c r="B77" s="28"/>
      <c r="C77" s="23" t="s">
        <v>37</v>
      </c>
      <c r="D77" s="23" t="s">
        <v>37</v>
      </c>
      <c r="E77" s="12" t="s">
        <v>117</v>
      </c>
      <c r="F77" s="13">
        <v>1</v>
      </c>
      <c r="G77" s="13">
        <v>3350</v>
      </c>
      <c r="H77" s="13">
        <f t="shared" si="3"/>
        <v>3350</v>
      </c>
      <c r="I77" s="21"/>
      <c r="J77" s="11" t="s">
        <v>118</v>
      </c>
      <c r="K77" s="12"/>
      <c r="L77" s="11"/>
      <c r="M77" s="26"/>
      <c r="N77" s="15"/>
      <c r="O77" s="20"/>
      <c r="P77" s="26"/>
      <c r="Q77" s="24"/>
    </row>
    <row r="78" spans="2:17" s="37" customFormat="1" ht="18" customHeight="1" x14ac:dyDescent="0.15">
      <c r="B78" s="28"/>
      <c r="C78" s="23" t="s">
        <v>37</v>
      </c>
      <c r="D78" s="23" t="s">
        <v>37</v>
      </c>
      <c r="E78" s="12" t="s">
        <v>119</v>
      </c>
      <c r="F78" s="13">
        <v>1</v>
      </c>
      <c r="G78" s="13">
        <v>3022</v>
      </c>
      <c r="H78" s="13">
        <f t="shared" si="3"/>
        <v>3022</v>
      </c>
      <c r="I78" s="21"/>
      <c r="J78" s="11" t="s">
        <v>120</v>
      </c>
      <c r="K78" s="12"/>
      <c r="L78" s="11"/>
      <c r="M78" s="26"/>
      <c r="N78" s="15"/>
      <c r="O78" s="20"/>
      <c r="P78" s="26"/>
      <c r="Q78" s="24"/>
    </row>
    <row r="79" spans="2:17" s="37" customFormat="1" ht="18" customHeight="1" x14ac:dyDescent="0.15">
      <c r="B79" s="28"/>
      <c r="C79" s="23" t="s">
        <v>37</v>
      </c>
      <c r="D79" s="23" t="s">
        <v>37</v>
      </c>
      <c r="E79" s="12" t="s">
        <v>121</v>
      </c>
      <c r="F79" s="13">
        <v>1</v>
      </c>
      <c r="G79" s="13">
        <v>5719</v>
      </c>
      <c r="H79" s="13">
        <f t="shared" si="3"/>
        <v>5719</v>
      </c>
      <c r="I79" s="21"/>
      <c r="J79" s="11" t="s">
        <v>122</v>
      </c>
      <c r="K79" s="12"/>
      <c r="L79" s="11"/>
      <c r="M79" s="26"/>
      <c r="N79" s="15"/>
      <c r="O79" s="20"/>
      <c r="P79" s="26"/>
      <c r="Q79" s="24"/>
    </row>
    <row r="80" spans="2:17" s="37" customFormat="1" ht="18" customHeight="1" x14ac:dyDescent="0.15">
      <c r="B80" s="28"/>
      <c r="C80" s="23" t="s">
        <v>37</v>
      </c>
      <c r="D80" s="23" t="s">
        <v>37</v>
      </c>
      <c r="E80" s="12" t="s">
        <v>123</v>
      </c>
      <c r="F80" s="13">
        <v>1</v>
      </c>
      <c r="G80" s="13">
        <v>460</v>
      </c>
      <c r="H80" s="13">
        <f t="shared" si="3"/>
        <v>460</v>
      </c>
      <c r="I80" s="21"/>
      <c r="J80" s="11" t="s">
        <v>124</v>
      </c>
      <c r="K80" s="12"/>
      <c r="L80" s="11"/>
      <c r="M80" s="26"/>
      <c r="N80" s="15"/>
      <c r="O80" s="20"/>
      <c r="P80" s="26"/>
      <c r="Q80" s="24"/>
    </row>
    <row r="81" spans="2:17" s="37" customFormat="1" ht="18" customHeight="1" x14ac:dyDescent="0.15">
      <c r="B81" s="28"/>
      <c r="C81" s="23" t="s">
        <v>37</v>
      </c>
      <c r="D81" s="23" t="s">
        <v>37</v>
      </c>
      <c r="E81" s="12" t="s">
        <v>125</v>
      </c>
      <c r="F81" s="13">
        <v>1</v>
      </c>
      <c r="G81" s="13">
        <v>2060</v>
      </c>
      <c r="H81" s="13">
        <f t="shared" si="3"/>
        <v>2060</v>
      </c>
      <c r="I81" s="21"/>
      <c r="J81" s="11" t="s">
        <v>126</v>
      </c>
      <c r="K81" s="12"/>
      <c r="L81" s="11"/>
      <c r="M81" s="26"/>
      <c r="N81" s="15"/>
      <c r="O81" s="20"/>
      <c r="P81" s="26"/>
      <c r="Q81" s="24"/>
    </row>
    <row r="82" spans="2:17" s="37" customFormat="1" ht="18" customHeight="1" x14ac:dyDescent="0.15">
      <c r="B82" s="28"/>
      <c r="C82" s="8" t="s">
        <v>37</v>
      </c>
      <c r="D82" s="8" t="s">
        <v>37</v>
      </c>
      <c r="E82" s="71" t="s">
        <v>127</v>
      </c>
      <c r="F82" s="72">
        <v>1</v>
      </c>
      <c r="G82" s="13">
        <v>622</v>
      </c>
      <c r="H82" s="13">
        <f t="shared" si="3"/>
        <v>622</v>
      </c>
      <c r="I82" s="13"/>
      <c r="J82" s="72" t="s">
        <v>128</v>
      </c>
      <c r="K82" s="12"/>
      <c r="L82" s="11"/>
      <c r="M82" s="26"/>
      <c r="N82" s="15"/>
      <c r="O82" s="20"/>
      <c r="P82" s="26"/>
      <c r="Q82" s="24"/>
    </row>
    <row r="83" spans="2:17" s="37" customFormat="1" ht="18" customHeight="1" x14ac:dyDescent="0.15">
      <c r="B83" s="28"/>
      <c r="C83" s="8" t="s">
        <v>37</v>
      </c>
      <c r="D83" s="8" t="s">
        <v>37</v>
      </c>
      <c r="E83" s="72" t="s">
        <v>129</v>
      </c>
      <c r="F83" s="72">
        <v>1</v>
      </c>
      <c r="G83" s="13">
        <v>3000</v>
      </c>
      <c r="H83" s="13">
        <f t="shared" si="3"/>
        <v>3000</v>
      </c>
      <c r="I83" s="13"/>
      <c r="J83" s="72" t="s">
        <v>129</v>
      </c>
      <c r="K83" s="12"/>
      <c r="L83" s="11"/>
      <c r="M83" s="26"/>
      <c r="N83" s="15"/>
      <c r="O83" s="20"/>
      <c r="P83" s="26"/>
      <c r="Q83" s="24"/>
    </row>
    <row r="84" spans="2:17" s="37" customFormat="1" ht="18" customHeight="1" x14ac:dyDescent="0.15">
      <c r="B84" s="28"/>
      <c r="C84" s="25"/>
      <c r="D84" s="25"/>
      <c r="E84" s="105">
        <f>SUM(H75:H83)</f>
        <v>35813</v>
      </c>
      <c r="F84" s="44"/>
      <c r="G84" s="25"/>
      <c r="I84" s="21"/>
      <c r="J84" s="36"/>
      <c r="K84" s="12"/>
      <c r="L84" s="11"/>
      <c r="M84" s="26"/>
      <c r="N84" s="15"/>
      <c r="O84" s="20"/>
      <c r="P84" s="26"/>
      <c r="Q84" s="24"/>
    </row>
    <row r="85" spans="2:17" s="37" customFormat="1" ht="18" customHeight="1" x14ac:dyDescent="0.15">
      <c r="B85" s="28"/>
      <c r="C85" s="25"/>
      <c r="D85" s="25"/>
      <c r="E85" s="35"/>
      <c r="F85" s="44"/>
      <c r="G85" s="25"/>
      <c r="H85" s="13"/>
      <c r="I85" s="21"/>
      <c r="J85" s="36"/>
      <c r="K85" s="12"/>
      <c r="L85" s="11"/>
      <c r="M85" s="26"/>
      <c r="N85" s="15"/>
      <c r="O85" s="20"/>
      <c r="P85" s="26"/>
      <c r="Q85" s="24"/>
    </row>
    <row r="86" spans="2:17" s="37" customFormat="1" ht="18" customHeight="1" x14ac:dyDescent="0.15">
      <c r="B86" s="28"/>
      <c r="C86" s="25"/>
      <c r="D86" s="25"/>
      <c r="E86" s="35"/>
      <c r="F86" s="44"/>
      <c r="G86" s="25"/>
      <c r="H86" s="13"/>
      <c r="I86" s="21"/>
      <c r="J86" s="36"/>
      <c r="K86" s="12"/>
      <c r="L86" s="11"/>
      <c r="M86" s="26"/>
      <c r="N86" s="15"/>
      <c r="O86" s="20"/>
      <c r="P86" s="26"/>
      <c r="Q86" s="24"/>
    </row>
    <row r="87" spans="2:17" s="37" customFormat="1" ht="18" customHeight="1" x14ac:dyDescent="0.15">
      <c r="B87" s="28"/>
      <c r="C87" s="25"/>
      <c r="D87" s="25"/>
      <c r="E87" s="35"/>
      <c r="F87" s="44"/>
      <c r="G87" s="25"/>
      <c r="H87" s="13"/>
      <c r="I87" s="21"/>
      <c r="J87" s="36"/>
      <c r="K87" s="12"/>
      <c r="L87" s="11"/>
      <c r="M87" s="26"/>
      <c r="N87" s="15"/>
      <c r="O87" s="20"/>
      <c r="P87" s="26"/>
      <c r="Q87" s="24"/>
    </row>
    <row r="88" spans="2:17" s="37" customFormat="1" ht="18" customHeight="1" x14ac:dyDescent="0.15">
      <c r="B88" s="28"/>
      <c r="C88" s="25"/>
      <c r="D88" s="25"/>
      <c r="E88" s="35"/>
      <c r="F88" s="44"/>
      <c r="G88" s="25"/>
      <c r="H88" s="13"/>
      <c r="I88" s="21"/>
      <c r="J88" s="36"/>
      <c r="K88" s="12"/>
      <c r="L88" s="11"/>
      <c r="M88" s="26"/>
      <c r="N88" s="15"/>
      <c r="O88" s="20"/>
      <c r="P88" s="26"/>
      <c r="Q88" s="24"/>
    </row>
    <row r="89" spans="2:17" s="37" customFormat="1" ht="18" customHeight="1" x14ac:dyDescent="0.15">
      <c r="B89" s="28"/>
      <c r="C89" s="25"/>
      <c r="D89" s="25"/>
      <c r="E89" s="35"/>
      <c r="F89" s="44"/>
      <c r="G89" s="25"/>
      <c r="H89" s="13"/>
      <c r="I89" s="21"/>
      <c r="J89" s="36"/>
      <c r="K89" s="12"/>
      <c r="L89" s="11"/>
      <c r="M89" s="26"/>
      <c r="N89" s="15"/>
      <c r="O89" s="20"/>
      <c r="P89" s="26"/>
      <c r="Q89" s="24"/>
    </row>
    <row r="90" spans="2:17" s="37" customFormat="1" ht="18" customHeight="1" x14ac:dyDescent="0.15">
      <c r="B90" s="28"/>
      <c r="C90" s="25"/>
      <c r="D90" s="25"/>
      <c r="E90" s="35"/>
      <c r="F90" s="44"/>
      <c r="G90" s="25"/>
      <c r="H90" s="13"/>
      <c r="I90" s="21"/>
      <c r="J90" s="36"/>
      <c r="K90" s="12"/>
      <c r="L90" s="11"/>
      <c r="M90" s="26"/>
      <c r="N90" s="15"/>
      <c r="O90" s="20"/>
      <c r="P90" s="26"/>
      <c r="Q90" s="24"/>
    </row>
    <row r="91" spans="2:17" ht="18" customHeight="1" x14ac:dyDescent="0.15">
      <c r="B91" s="5"/>
      <c r="C91" s="8"/>
      <c r="D91" s="8"/>
      <c r="E91" s="12" t="s">
        <v>130</v>
      </c>
      <c r="F91" s="68"/>
      <c r="G91" s="13"/>
      <c r="H91" s="13">
        <f>F91*G91</f>
        <v>0</v>
      </c>
      <c r="I91" s="21"/>
      <c r="J91" s="27" t="s">
        <v>131</v>
      </c>
      <c r="K91" s="12"/>
      <c r="L91" s="11"/>
      <c r="M91" s="26"/>
      <c r="N91" s="15"/>
      <c r="O91" s="20"/>
      <c r="P91" s="26"/>
      <c r="Q91" s="24"/>
    </row>
    <row r="92" spans="2:17" ht="18" customHeight="1" x14ac:dyDescent="0.15">
      <c r="B92" s="23"/>
      <c r="C92" s="23"/>
      <c r="D92" s="23"/>
      <c r="E92" s="12" t="s">
        <v>131</v>
      </c>
      <c r="F92" s="68"/>
      <c r="G92" s="13">
        <v>5000</v>
      </c>
      <c r="H92" s="13">
        <f>F92*G92</f>
        <v>0</v>
      </c>
      <c r="I92" s="21"/>
      <c r="J92" s="27" t="s">
        <v>132</v>
      </c>
      <c r="K92" s="12"/>
      <c r="L92" s="11"/>
      <c r="M92" s="26"/>
      <c r="N92" s="15"/>
      <c r="O92" s="20"/>
      <c r="P92" s="26"/>
      <c r="Q92" s="24"/>
    </row>
    <row r="93" spans="2:17" ht="18" customHeight="1" x14ac:dyDescent="0.15">
      <c r="B93" s="23"/>
      <c r="C93" s="23"/>
      <c r="D93" s="23"/>
      <c r="E93" s="12" t="s">
        <v>132</v>
      </c>
      <c r="F93" s="13"/>
      <c r="G93" s="13"/>
      <c r="H93" s="13">
        <f>F93*G93</f>
        <v>0</v>
      </c>
      <c r="I93" s="21"/>
      <c r="J93" s="11"/>
      <c r="K93" s="12"/>
      <c r="L93" s="11"/>
      <c r="M93" s="26"/>
      <c r="N93" s="15"/>
      <c r="O93" s="20"/>
      <c r="P93" s="26"/>
      <c r="Q93" s="24"/>
    </row>
    <row r="94" spans="2:17" ht="18" customHeight="1" x14ac:dyDescent="0.15">
      <c r="B94" s="23"/>
      <c r="C94" s="23"/>
      <c r="D94" s="23"/>
      <c r="E94" s="12"/>
      <c r="F94" s="13"/>
      <c r="G94" s="13"/>
      <c r="H94" s="13"/>
      <c r="I94" s="21"/>
      <c r="J94" s="11"/>
      <c r="K94" s="12"/>
      <c r="L94" s="11"/>
      <c r="M94" s="26"/>
      <c r="N94" s="15"/>
      <c r="O94" s="20"/>
      <c r="P94" s="26"/>
      <c r="Q94" s="24"/>
    </row>
    <row r="95" spans="2:17" ht="18" customHeight="1" x14ac:dyDescent="0.15">
      <c r="B95" s="23"/>
      <c r="C95" s="23"/>
      <c r="D95" s="23"/>
      <c r="E95" s="12"/>
      <c r="F95" s="13"/>
      <c r="G95" s="13"/>
      <c r="H95" s="13"/>
      <c r="I95" s="21"/>
      <c r="J95" s="11"/>
      <c r="K95" s="12"/>
      <c r="L95" s="11"/>
      <c r="M95" s="26"/>
      <c r="N95" s="15"/>
      <c r="O95" s="20"/>
      <c r="P95" s="26"/>
      <c r="Q95" s="24"/>
    </row>
    <row r="96" spans="2:17" ht="18" customHeight="1" x14ac:dyDescent="0.15">
      <c r="B96" s="23"/>
      <c r="C96" s="23"/>
      <c r="D96" s="23"/>
      <c r="E96" s="12"/>
      <c r="F96" s="13"/>
      <c r="G96" s="13"/>
      <c r="H96" s="13"/>
      <c r="I96" s="21"/>
      <c r="J96" s="11"/>
      <c r="K96" s="12"/>
      <c r="L96" s="11"/>
      <c r="M96" s="26"/>
      <c r="N96" s="15"/>
      <c r="O96" s="20"/>
      <c r="P96" s="26"/>
      <c r="Q96" s="24"/>
    </row>
    <row r="97" spans="2:17" ht="18" customHeight="1" x14ac:dyDescent="0.15">
      <c r="B97" s="23"/>
      <c r="C97" s="23"/>
      <c r="D97" s="23"/>
      <c r="E97" s="12"/>
      <c r="F97" s="13"/>
      <c r="G97" s="13"/>
      <c r="H97" s="13"/>
      <c r="I97" s="21"/>
      <c r="J97" s="11"/>
      <c r="K97" s="12"/>
      <c r="L97" s="11"/>
      <c r="M97" s="26"/>
      <c r="N97" s="15"/>
      <c r="O97" s="20"/>
      <c r="P97" s="26"/>
      <c r="Q97" s="24"/>
    </row>
    <row r="98" spans="2:17" ht="18" customHeight="1" x14ac:dyDescent="0.15">
      <c r="B98" s="23"/>
      <c r="C98" s="23"/>
      <c r="D98" s="23"/>
      <c r="E98" s="12"/>
      <c r="F98" s="13"/>
      <c r="G98" s="13"/>
      <c r="H98" s="13"/>
      <c r="I98" s="21"/>
      <c r="J98" s="11"/>
      <c r="K98" s="12"/>
      <c r="L98" s="11"/>
      <c r="M98" s="26"/>
      <c r="N98" s="15"/>
      <c r="O98" s="20"/>
      <c r="P98" s="26"/>
      <c r="Q98" s="24"/>
    </row>
    <row r="99" spans="2:17" ht="18" customHeight="1" x14ac:dyDescent="0.15">
      <c r="B99" s="23"/>
      <c r="C99" s="23"/>
      <c r="D99" s="23"/>
      <c r="E99" s="12"/>
      <c r="F99" s="13"/>
      <c r="G99" s="13"/>
      <c r="H99" s="13"/>
      <c r="I99" s="21"/>
      <c r="J99" s="11"/>
      <c r="K99" s="12"/>
      <c r="L99" s="11"/>
      <c r="M99" s="26"/>
      <c r="N99" s="15"/>
      <c r="O99" s="20"/>
      <c r="P99" s="26"/>
      <c r="Q99" s="24"/>
    </row>
    <row r="100" spans="2:17" ht="18" customHeight="1" x14ac:dyDescent="0.15">
      <c r="B100" s="23"/>
      <c r="C100" s="23"/>
      <c r="D100" s="23"/>
      <c r="E100" s="12"/>
      <c r="F100" s="13"/>
      <c r="G100" s="13"/>
      <c r="H100" s="13"/>
      <c r="I100" s="21"/>
      <c r="J100" s="11"/>
      <c r="K100" s="12"/>
      <c r="L100" s="11"/>
      <c r="M100" s="26"/>
      <c r="N100" s="15"/>
      <c r="O100" s="20"/>
      <c r="P100" s="26"/>
      <c r="Q100" s="24"/>
    </row>
    <row r="101" spans="2:17" ht="18" customHeight="1" x14ac:dyDescent="0.15">
      <c r="B101" s="23"/>
      <c r="C101" s="23"/>
      <c r="D101" s="23"/>
      <c r="E101" s="12"/>
      <c r="F101" s="13"/>
      <c r="G101" s="13"/>
      <c r="H101" s="13"/>
      <c r="I101" s="21"/>
      <c r="J101" s="11"/>
      <c r="K101" s="12"/>
      <c r="L101" s="11"/>
      <c r="M101" s="26"/>
      <c r="N101" s="15"/>
      <c r="O101" s="20"/>
      <c r="P101" s="26"/>
      <c r="Q101" s="24"/>
    </row>
    <row r="102" spans="2:17" ht="18" customHeight="1" x14ac:dyDescent="0.15">
      <c r="B102" s="23"/>
      <c r="C102" s="23"/>
      <c r="D102" s="23"/>
      <c r="E102" s="12"/>
      <c r="F102" s="13"/>
      <c r="G102" s="13"/>
      <c r="H102" s="13"/>
      <c r="I102" s="21"/>
      <c r="J102" s="11"/>
      <c r="K102" s="12"/>
      <c r="L102" s="11"/>
      <c r="M102" s="26"/>
      <c r="N102" s="15"/>
      <c r="O102" s="20"/>
      <c r="P102" s="26"/>
      <c r="Q102" s="24"/>
    </row>
    <row r="103" spans="2:17" ht="18" customHeight="1" x14ac:dyDescent="0.15">
      <c r="B103" s="70"/>
      <c r="C103" s="8"/>
      <c r="D103" s="8"/>
      <c r="E103" s="71"/>
      <c r="F103" s="72"/>
      <c r="G103" s="13"/>
      <c r="H103" s="13"/>
      <c r="I103" s="13"/>
      <c r="J103" s="72"/>
      <c r="K103" s="73"/>
      <c r="L103" s="70"/>
      <c r="M103" s="26"/>
      <c r="N103" s="73"/>
      <c r="O103" s="74"/>
      <c r="P103" s="26"/>
      <c r="Q103" s="24"/>
    </row>
    <row r="104" spans="2:17" ht="18" customHeight="1" x14ac:dyDescent="0.15">
      <c r="B104" s="70"/>
      <c r="C104" s="73"/>
      <c r="D104" s="73"/>
      <c r="E104" s="73"/>
      <c r="F104" s="73"/>
      <c r="G104" s="73"/>
      <c r="H104" s="73"/>
      <c r="I104" s="74"/>
      <c r="J104" s="73"/>
      <c r="K104" s="73"/>
      <c r="L104" s="70"/>
      <c r="M104" s="26"/>
      <c r="N104" s="73"/>
      <c r="O104" s="74"/>
      <c r="P104" s="76"/>
      <c r="Q104" s="75"/>
    </row>
    <row r="105" spans="2:17" ht="18" customHeight="1" x14ac:dyDescent="0.15">
      <c r="B105" s="70"/>
      <c r="C105" s="73"/>
      <c r="D105" s="73"/>
      <c r="E105" s="73"/>
      <c r="F105" s="73"/>
      <c r="G105" s="73"/>
      <c r="H105" s="73"/>
      <c r="I105" s="74"/>
      <c r="J105" s="73"/>
      <c r="K105" s="73"/>
      <c r="L105" s="70"/>
      <c r="M105" s="70"/>
      <c r="N105" s="73"/>
      <c r="O105" s="74"/>
      <c r="P105" s="75"/>
      <c r="Q105" s="75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59" customFormat="1" ht="13.5" customHeight="1" x14ac:dyDescent="0.15">
      <c r="B114" s="52"/>
      <c r="C114" s="53"/>
      <c r="D114" s="53"/>
      <c r="E114" s="54"/>
      <c r="F114" s="55"/>
      <c r="G114" s="55"/>
      <c r="H114" s="55"/>
      <c r="I114" s="56"/>
      <c r="J114" s="57"/>
      <c r="K114" s="54"/>
      <c r="L114" s="58"/>
      <c r="M114" s="58"/>
      <c r="O114" s="60"/>
      <c r="P114" s="61"/>
      <c r="Q114" s="61"/>
    </row>
    <row r="115" spans="2:17" ht="13.5" customHeight="1" x14ac:dyDescent="0.15">
      <c r="B115" s="46"/>
      <c r="C115" s="47"/>
      <c r="D115" s="47"/>
      <c r="E115" s="48"/>
      <c r="F115" s="49"/>
      <c r="G115" s="49"/>
      <c r="H115" s="49"/>
      <c r="I115" s="50"/>
      <c r="J115" s="51"/>
      <c r="K115" s="48"/>
    </row>
    <row r="116" spans="2:17" ht="13.5" customHeight="1" x14ac:dyDescent="0.15">
      <c r="B116" s="8"/>
      <c r="C116" s="8"/>
      <c r="D116" s="8"/>
      <c r="E116" s="12"/>
      <c r="F116" s="13"/>
      <c r="G116" s="13"/>
      <c r="H116" s="13"/>
      <c r="I116" s="21"/>
      <c r="J116" s="11"/>
      <c r="K116" s="12"/>
    </row>
    <row r="117" spans="2:17" ht="13.5" customHeight="1" x14ac:dyDescent="0.15">
      <c r="B117" s="8"/>
      <c r="C117" s="8"/>
      <c r="D117" s="8"/>
      <c r="E117" s="12"/>
      <c r="F117" s="13"/>
      <c r="G117" s="13"/>
      <c r="H117" s="13"/>
      <c r="I117" s="21"/>
      <c r="J117" s="11"/>
      <c r="K117" s="12"/>
    </row>
    <row r="118" spans="2:17" ht="13.5" customHeight="1" x14ac:dyDescent="0.15">
      <c r="B118" s="8"/>
      <c r="C118" s="8"/>
      <c r="D118" s="8"/>
      <c r="E118" s="12"/>
      <c r="F118" s="13"/>
      <c r="G118" s="13"/>
      <c r="H118" s="13"/>
      <c r="I118" s="21"/>
      <c r="J118" s="11"/>
      <c r="K118" s="12"/>
    </row>
  </sheetData>
  <autoFilter ref="B8:O118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3"/>
  <dataValidations count="11">
    <dataValidation allowBlank="1" showInputMessage="1" showErrorMessage="1" sqref="J25"/>
    <dataValidation allowBlank="1" showInputMessage="1" showErrorMessage="1" sqref="J26"/>
    <dataValidation allowBlank="1" showInputMessage="1" showErrorMessage="1" sqref="J27"/>
    <dataValidation allowBlank="1" showInputMessage="1" showErrorMessage="1" sqref="J29"/>
    <dataValidation allowBlank="1" showInputMessage="1" showErrorMessage="1" sqref="J30"/>
    <dataValidation allowBlank="1" showInputMessage="1" showErrorMessage="1" sqref="J31"/>
    <dataValidation allowBlank="1" showInputMessage="1" showErrorMessage="1" sqref="J32"/>
    <dataValidation allowBlank="1" showInputMessage="1" showErrorMessage="1" sqref="J33"/>
    <dataValidation allowBlank="1" showInputMessage="1" showErrorMessage="1" sqref="J34"/>
    <dataValidation allowBlank="1" showInputMessage="1" showErrorMessage="1" sqref="J73"/>
    <dataValidation allowBlank="1" showInputMessage="1" showErrorMessage="1" sqref="J74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7" sqref="D7"/>
    </sheetView>
  </sheetViews>
  <sheetFormatPr defaultColWidth="11.75" defaultRowHeight="13.5" customHeight="1" x14ac:dyDescent="0.15"/>
  <cols>
    <col min="1" max="4" width="11.75" style="3"/>
  </cols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75" defaultRowHeight="13.5" customHeight="1" x14ac:dyDescent="0.15"/>
  <cols>
    <col min="1" max="1" width="11.75" style="3"/>
  </cols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LE33"/>
  <sheetViews>
    <sheetView zoomScale="85" zoomScaleNormal="85" workbookViewId="0">
      <pane xSplit="10" ySplit="8" topLeftCell="K9" activePane="bottomRight" state="frozen"/>
      <selection activeCell="D26" sqref="D26"/>
      <selection pane="topRight" activeCell="D26" sqref="D26"/>
      <selection pane="bottomLeft" activeCell="D26" sqref="D26"/>
      <selection pane="bottomRight" activeCell="J17" sqref="J17"/>
    </sheetView>
  </sheetViews>
  <sheetFormatPr defaultColWidth="11.75" defaultRowHeight="13.5" customHeight="1" x14ac:dyDescent="0.15"/>
  <cols>
    <col min="1" max="1" width="3.125" style="37" customWidth="1"/>
    <col min="2" max="2" width="6.25" style="9" customWidth="1"/>
    <col min="3" max="3" width="15.25" style="4" customWidth="1"/>
    <col min="4" max="4" width="15.5" style="4" customWidth="1"/>
    <col min="5" max="5" width="33.375" style="4" customWidth="1"/>
    <col min="6" max="6" width="10.75" style="14" customWidth="1"/>
    <col min="7" max="8" width="12.125" style="19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2" customWidth="1"/>
    <col min="18" max="117" width="11.75" style="3"/>
    <col min="118" max="217" width="11.75" style="2"/>
    <col min="218" max="317" width="11.75" style="1"/>
  </cols>
  <sheetData>
    <row r="2" spans="2:17" ht="20.100000000000001" customHeight="1" x14ac:dyDescent="0.15">
      <c r="B2" s="168" t="s">
        <v>0</v>
      </c>
      <c r="C2" s="168"/>
      <c r="D2" s="168"/>
      <c r="E2" s="108" t="s">
        <v>142</v>
      </c>
      <c r="G2" s="165" t="s">
        <v>2</v>
      </c>
      <c r="H2" s="166"/>
      <c r="I2" s="167"/>
      <c r="J2" s="135">
        <f>SUM(H:H)</f>
        <v>185650</v>
      </c>
      <c r="K2" s="10"/>
      <c r="L2" s="14"/>
    </row>
    <row r="3" spans="2:17" ht="20.100000000000001" customHeight="1" x14ac:dyDescent="0.15">
      <c r="B3" s="168" t="s">
        <v>3</v>
      </c>
      <c r="C3" s="168"/>
      <c r="D3" s="168"/>
      <c r="E3" s="16" t="s">
        <v>137</v>
      </c>
    </row>
    <row r="4" spans="2:17" ht="20.100000000000001" customHeight="1" x14ac:dyDescent="0.15">
      <c r="B4" s="168" t="s">
        <v>5</v>
      </c>
      <c r="C4" s="168"/>
      <c r="D4" s="168"/>
      <c r="E4" s="16" t="s">
        <v>138</v>
      </c>
      <c r="G4" s="178"/>
      <c r="H4" s="179"/>
      <c r="I4" s="179"/>
      <c r="J4" s="179"/>
    </row>
    <row r="5" spans="2:17" ht="20.100000000000001" customHeight="1" x14ac:dyDescent="0.15">
      <c r="B5" s="168" t="s">
        <v>6</v>
      </c>
      <c r="C5" s="168"/>
      <c r="D5" s="168"/>
      <c r="E5" s="17">
        <v>42528</v>
      </c>
      <c r="G5" s="179"/>
      <c r="H5" s="179"/>
      <c r="I5" s="179"/>
      <c r="J5" s="179"/>
    </row>
    <row r="6" spans="2:17" ht="20.100000000000001" customHeight="1" x14ac:dyDescent="0.15">
      <c r="B6" s="168" t="s">
        <v>7</v>
      </c>
      <c r="C6" s="168"/>
      <c r="D6" s="168"/>
      <c r="E6" s="17">
        <v>42528</v>
      </c>
      <c r="G6" s="132"/>
      <c r="H6" s="130"/>
    </row>
    <row r="8" spans="2:17" s="7" customFormat="1" ht="19.5" customHeight="1" x14ac:dyDescent="0.15">
      <c r="B8" s="8" t="s">
        <v>8</v>
      </c>
      <c r="C8" s="8" t="s">
        <v>9</v>
      </c>
      <c r="D8" s="8" t="s">
        <v>10</v>
      </c>
      <c r="E8" s="5" t="s">
        <v>11</v>
      </c>
      <c r="F8" s="70" t="s">
        <v>12</v>
      </c>
      <c r="G8" s="74" t="s">
        <v>13</v>
      </c>
      <c r="H8" s="123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 x14ac:dyDescent="0.15">
      <c r="B9" s="8"/>
      <c r="C9" s="8"/>
      <c r="D9" s="8"/>
      <c r="E9" s="12"/>
      <c r="F9" s="68"/>
      <c r="G9" s="124"/>
      <c r="H9" s="124"/>
      <c r="I9" s="21"/>
      <c r="J9" s="69"/>
      <c r="K9" s="5"/>
      <c r="L9" s="5"/>
      <c r="M9" s="26"/>
      <c r="N9" s="8"/>
      <c r="O9" s="5"/>
      <c r="P9" s="26"/>
      <c r="Q9" s="15"/>
    </row>
    <row r="10" spans="2:17" s="37" customFormat="1" ht="18" customHeight="1" x14ac:dyDescent="0.15">
      <c r="B10" s="172" t="s">
        <v>150</v>
      </c>
      <c r="C10" s="173"/>
      <c r="D10" s="173"/>
      <c r="E10" s="174"/>
      <c r="F10" s="110"/>
      <c r="G10" s="126"/>
      <c r="H10" s="124"/>
      <c r="I10" s="21"/>
      <c r="J10" s="45"/>
      <c r="K10" s="12"/>
      <c r="L10" s="11"/>
      <c r="M10" s="26"/>
      <c r="N10" s="15"/>
      <c r="O10" s="20"/>
      <c r="P10" s="26"/>
      <c r="Q10" s="24"/>
    </row>
    <row r="11" spans="2:17" ht="18" customHeight="1" x14ac:dyDescent="0.15">
      <c r="B11" s="112">
        <v>1</v>
      </c>
      <c r="C11" s="115" t="s">
        <v>135</v>
      </c>
      <c r="D11" s="115" t="s">
        <v>135</v>
      </c>
      <c r="E11" s="128" t="s">
        <v>146</v>
      </c>
      <c r="F11" s="118">
        <v>1</v>
      </c>
      <c r="G11" s="133">
        <v>95200</v>
      </c>
      <c r="H11" s="116">
        <f t="shared" ref="H11:H14" si="0">F11*G11</f>
        <v>95200</v>
      </c>
      <c r="I11" s="114"/>
      <c r="J11" s="119" t="s">
        <v>151</v>
      </c>
      <c r="K11" s="71" t="s">
        <v>134</v>
      </c>
      <c r="L11" s="118"/>
      <c r="M11" s="118"/>
      <c r="N11" s="113"/>
      <c r="O11" s="114"/>
      <c r="P11" s="122"/>
      <c r="Q11" s="122"/>
    </row>
    <row r="12" spans="2:17" ht="18" customHeight="1" x14ac:dyDescent="0.15">
      <c r="B12" s="112">
        <f t="shared" ref="B12:B22" si="1">+B11+1</f>
        <v>2</v>
      </c>
      <c r="C12" s="115" t="s">
        <v>135</v>
      </c>
      <c r="D12" s="115" t="s">
        <v>135</v>
      </c>
      <c r="E12" s="128" t="s">
        <v>147</v>
      </c>
      <c r="F12" s="118">
        <v>1</v>
      </c>
      <c r="G12" s="133">
        <v>45900</v>
      </c>
      <c r="H12" s="116">
        <f t="shared" si="0"/>
        <v>45900</v>
      </c>
      <c r="I12" s="114"/>
      <c r="J12" s="119" t="s">
        <v>152</v>
      </c>
      <c r="K12" s="71" t="s">
        <v>134</v>
      </c>
      <c r="L12" s="118"/>
      <c r="M12" s="118"/>
      <c r="N12" s="113"/>
      <c r="O12" s="114"/>
      <c r="P12" s="122"/>
      <c r="Q12" s="122"/>
    </row>
    <row r="13" spans="2:17" ht="18" customHeight="1" x14ac:dyDescent="0.15">
      <c r="B13" s="112">
        <f t="shared" si="1"/>
        <v>3</v>
      </c>
      <c r="C13" s="120" t="s">
        <v>135</v>
      </c>
      <c r="D13" s="120" t="s">
        <v>135</v>
      </c>
      <c r="E13" s="128" t="s">
        <v>148</v>
      </c>
      <c r="F13" s="118">
        <v>8</v>
      </c>
      <c r="G13" s="133">
        <v>3000</v>
      </c>
      <c r="H13" s="116">
        <f t="shared" si="0"/>
        <v>24000</v>
      </c>
      <c r="I13" s="114"/>
      <c r="J13" s="119" t="s">
        <v>153</v>
      </c>
      <c r="K13" s="71" t="s">
        <v>134</v>
      </c>
      <c r="L13" s="118"/>
      <c r="M13" s="118"/>
      <c r="N13" s="113"/>
      <c r="O13" s="114"/>
      <c r="P13" s="122"/>
      <c r="Q13" s="122"/>
    </row>
    <row r="14" spans="2:17" ht="18" customHeight="1" x14ac:dyDescent="0.15">
      <c r="B14" s="112">
        <f t="shared" si="1"/>
        <v>4</v>
      </c>
      <c r="C14" s="120" t="s">
        <v>135</v>
      </c>
      <c r="D14" s="120" t="s">
        <v>135</v>
      </c>
      <c r="E14" s="128" t="s">
        <v>149</v>
      </c>
      <c r="F14" s="134">
        <v>4</v>
      </c>
      <c r="G14" s="133">
        <v>4500</v>
      </c>
      <c r="H14" s="116">
        <f t="shared" si="0"/>
        <v>18000</v>
      </c>
      <c r="I14" s="114"/>
      <c r="J14" s="119" t="s">
        <v>154</v>
      </c>
      <c r="K14" s="71" t="s">
        <v>134</v>
      </c>
      <c r="L14" s="118"/>
      <c r="M14" s="118"/>
      <c r="N14" s="113"/>
      <c r="O14" s="114"/>
      <c r="P14" s="122"/>
      <c r="Q14" s="122"/>
    </row>
    <row r="15" spans="2:17" ht="18" customHeight="1" x14ac:dyDescent="0.15">
      <c r="B15" s="112">
        <f t="shared" si="1"/>
        <v>5</v>
      </c>
      <c r="C15" s="70" t="s">
        <v>37</v>
      </c>
      <c r="D15" s="70" t="s">
        <v>37</v>
      </c>
      <c r="E15" s="90" t="s">
        <v>136</v>
      </c>
      <c r="F15" s="107">
        <v>4</v>
      </c>
      <c r="G15" s="126">
        <v>144</v>
      </c>
      <c r="H15" s="125">
        <f t="shared" ref="H15:H19" si="2">F15*G15</f>
        <v>576</v>
      </c>
      <c r="I15" s="6"/>
      <c r="J15" s="90" t="s">
        <v>133</v>
      </c>
      <c r="K15" s="71"/>
      <c r="L15" s="118"/>
      <c r="M15" s="118"/>
      <c r="N15" s="113"/>
      <c r="O15" s="114"/>
      <c r="P15" s="122"/>
      <c r="Q15" s="122"/>
    </row>
    <row r="16" spans="2:17" ht="18" customHeight="1" x14ac:dyDescent="0.15">
      <c r="B16" s="112">
        <f t="shared" si="1"/>
        <v>6</v>
      </c>
      <c r="C16" s="70" t="s">
        <v>37</v>
      </c>
      <c r="D16" s="70" t="s">
        <v>37</v>
      </c>
      <c r="E16" s="90" t="s">
        <v>143</v>
      </c>
      <c r="F16" s="107">
        <v>30</v>
      </c>
      <c r="G16" s="126">
        <v>19</v>
      </c>
      <c r="H16" s="125">
        <f t="shared" si="2"/>
        <v>570</v>
      </c>
      <c r="I16" s="6"/>
      <c r="J16" s="90" t="s">
        <v>158</v>
      </c>
      <c r="K16" s="71"/>
      <c r="L16" s="118"/>
      <c r="M16" s="118"/>
      <c r="N16" s="113"/>
      <c r="O16" s="114"/>
      <c r="P16" s="122"/>
      <c r="Q16" s="122"/>
    </row>
    <row r="17" spans="2:17" ht="18" customHeight="1" x14ac:dyDescent="0.15">
      <c r="B17" s="112">
        <f t="shared" si="1"/>
        <v>7</v>
      </c>
      <c r="C17" s="8" t="s">
        <v>37</v>
      </c>
      <c r="D17" s="8" t="s">
        <v>37</v>
      </c>
      <c r="E17" s="91" t="s">
        <v>52</v>
      </c>
      <c r="F17" s="110">
        <v>14</v>
      </c>
      <c r="G17" s="127">
        <v>25</v>
      </c>
      <c r="H17" s="124">
        <f t="shared" si="2"/>
        <v>350</v>
      </c>
      <c r="I17" s="13"/>
      <c r="J17" s="131" t="s">
        <v>140</v>
      </c>
      <c r="K17" s="71"/>
      <c r="L17" s="118"/>
      <c r="M17" s="118"/>
      <c r="N17" s="113"/>
      <c r="O17" s="114"/>
      <c r="P17" s="122"/>
      <c r="Q17" s="122"/>
    </row>
    <row r="18" spans="2:17" ht="18" customHeight="1" x14ac:dyDescent="0.15">
      <c r="B18" s="112">
        <f>+B17+1</f>
        <v>8</v>
      </c>
      <c r="C18" s="8" t="s">
        <v>37</v>
      </c>
      <c r="D18" s="8" t="s">
        <v>37</v>
      </c>
      <c r="E18" s="91" t="s">
        <v>144</v>
      </c>
      <c r="F18" s="110">
        <v>10</v>
      </c>
      <c r="G18" s="127">
        <v>30</v>
      </c>
      <c r="H18" s="124">
        <f t="shared" si="2"/>
        <v>300</v>
      </c>
      <c r="I18" s="13"/>
      <c r="J18" s="131" t="s">
        <v>145</v>
      </c>
      <c r="K18" s="113"/>
      <c r="L18" s="118"/>
      <c r="M18" s="118"/>
      <c r="N18" s="113"/>
      <c r="O18" s="114"/>
      <c r="P18" s="122"/>
      <c r="Q18" s="122"/>
    </row>
    <row r="19" spans="2:17" ht="18" customHeight="1" x14ac:dyDescent="0.15">
      <c r="B19" s="112">
        <f t="shared" si="1"/>
        <v>9</v>
      </c>
      <c r="C19" s="8" t="s">
        <v>37</v>
      </c>
      <c r="D19" s="8" t="s">
        <v>37</v>
      </c>
      <c r="E19" s="91" t="s">
        <v>141</v>
      </c>
      <c r="F19" s="110">
        <v>26</v>
      </c>
      <c r="G19" s="127">
        <v>29</v>
      </c>
      <c r="H19" s="124">
        <f t="shared" si="2"/>
        <v>754</v>
      </c>
      <c r="I19" s="13"/>
      <c r="J19" s="131" t="s">
        <v>139</v>
      </c>
      <c r="K19" s="113"/>
      <c r="L19" s="118"/>
      <c r="M19" s="118"/>
      <c r="N19" s="113"/>
      <c r="O19" s="114"/>
      <c r="P19" s="122"/>
      <c r="Q19" s="122"/>
    </row>
    <row r="20" spans="2:17" ht="18" customHeight="1" x14ac:dyDescent="0.15">
      <c r="B20" s="112">
        <f t="shared" si="1"/>
        <v>10</v>
      </c>
      <c r="C20" s="111"/>
      <c r="D20" s="111"/>
      <c r="E20" s="129"/>
      <c r="F20" s="118"/>
      <c r="G20" s="114"/>
      <c r="H20" s="116"/>
      <c r="I20" s="114"/>
      <c r="J20" s="113"/>
      <c r="K20" s="113"/>
      <c r="L20" s="118"/>
      <c r="M20" s="118"/>
      <c r="N20" s="113"/>
      <c r="O20" s="114"/>
      <c r="P20" s="122"/>
      <c r="Q20" s="122"/>
    </row>
    <row r="21" spans="2:17" ht="18" customHeight="1" x14ac:dyDescent="0.15">
      <c r="B21" s="112">
        <f t="shared" si="1"/>
        <v>11</v>
      </c>
      <c r="C21" s="111"/>
      <c r="D21" s="111"/>
      <c r="E21" s="129"/>
      <c r="F21" s="118"/>
      <c r="G21" s="114"/>
      <c r="H21" s="116"/>
      <c r="I21" s="114"/>
      <c r="J21" s="113"/>
      <c r="K21" s="113"/>
      <c r="L21" s="118"/>
      <c r="M21" s="118"/>
      <c r="N21" s="113"/>
      <c r="O21" s="114"/>
      <c r="P21" s="122"/>
      <c r="Q21" s="122"/>
    </row>
    <row r="22" spans="2:17" ht="18" customHeight="1" x14ac:dyDescent="0.15">
      <c r="B22" s="112">
        <f t="shared" si="1"/>
        <v>12</v>
      </c>
      <c r="C22" s="111"/>
      <c r="D22" s="111"/>
      <c r="E22" s="129"/>
      <c r="F22" s="118"/>
      <c r="G22" s="114"/>
      <c r="H22" s="116"/>
      <c r="I22" s="114"/>
      <c r="J22" s="113"/>
      <c r="K22" s="113"/>
      <c r="L22" s="118"/>
      <c r="M22" s="118"/>
      <c r="N22" s="113"/>
      <c r="O22" s="114"/>
      <c r="P22" s="122"/>
      <c r="Q22" s="122"/>
    </row>
    <row r="23" spans="2:17" s="37" customFormat="1" ht="18" customHeight="1" x14ac:dyDescent="0.15">
      <c r="B23" s="109"/>
      <c r="C23" s="8"/>
      <c r="D23" s="8"/>
      <c r="E23" s="91"/>
      <c r="F23" s="110"/>
      <c r="G23" s="127"/>
      <c r="H23" s="124"/>
      <c r="I23" s="13"/>
      <c r="J23" s="64"/>
      <c r="K23" s="12"/>
      <c r="L23" s="11"/>
      <c r="M23" s="26"/>
      <c r="N23" s="15"/>
      <c r="O23" s="20"/>
      <c r="P23" s="26"/>
      <c r="Q23" s="24"/>
    </row>
    <row r="24" spans="2:17" s="37" customFormat="1" ht="18" customHeight="1" x14ac:dyDescent="0.15">
      <c r="B24" s="28"/>
      <c r="C24" s="8"/>
      <c r="D24" s="13"/>
      <c r="E24" s="180">
        <f>SUM(H11:H23)</f>
        <v>185650</v>
      </c>
      <c r="F24" s="181"/>
      <c r="G24" s="181"/>
      <c r="H24" s="182"/>
      <c r="I24" s="67"/>
      <c r="J24" s="64"/>
      <c r="K24" s="12"/>
      <c r="L24" s="11"/>
      <c r="M24" s="26"/>
      <c r="N24" s="15"/>
      <c r="O24" s="20"/>
      <c r="P24" s="26"/>
      <c r="Q24" s="24"/>
    </row>
    <row r="25" spans="2:17" s="7" customFormat="1" ht="19.5" customHeight="1" x14ac:dyDescent="0.15">
      <c r="B25" s="8"/>
      <c r="C25" s="117"/>
      <c r="D25" s="117"/>
      <c r="E25" s="121"/>
      <c r="F25" s="68"/>
      <c r="G25" s="124"/>
      <c r="H25" s="124"/>
      <c r="I25" s="21"/>
      <c r="J25" s="69"/>
      <c r="K25" s="5"/>
      <c r="L25" s="5"/>
      <c r="M25" s="26"/>
      <c r="N25" s="8"/>
      <c r="O25" s="5"/>
      <c r="P25" s="26"/>
      <c r="Q25" s="15"/>
    </row>
    <row r="26" spans="2:17" ht="18" customHeight="1" x14ac:dyDescent="0.15">
      <c r="B26" s="23"/>
      <c r="C26" s="8"/>
      <c r="D26" s="8"/>
      <c r="E26" s="45"/>
      <c r="F26" s="110"/>
      <c r="G26" s="126"/>
      <c r="H26" s="124"/>
      <c r="I26" s="6"/>
      <c r="J26" s="45"/>
      <c r="K26" s="12"/>
      <c r="L26" s="11"/>
      <c r="M26" s="26"/>
      <c r="N26" s="15"/>
      <c r="O26" s="20"/>
      <c r="P26" s="26"/>
      <c r="Q26" s="24"/>
    </row>
    <row r="27" spans="2:17" ht="18" customHeight="1" x14ac:dyDescent="0.15">
      <c r="B27" s="70"/>
      <c r="C27" s="23"/>
      <c r="D27" s="23"/>
      <c r="E27" s="12" t="s">
        <v>130</v>
      </c>
      <c r="F27" s="68"/>
      <c r="G27" s="124"/>
      <c r="H27" s="124">
        <f>F27*G27</f>
        <v>0</v>
      </c>
      <c r="I27" s="21"/>
      <c r="J27" s="27" t="s">
        <v>131</v>
      </c>
      <c r="K27" s="73"/>
      <c r="L27" s="70"/>
      <c r="M27" s="26"/>
      <c r="N27" s="73"/>
      <c r="O27" s="74"/>
      <c r="P27" s="26"/>
      <c r="Q27" s="24"/>
    </row>
    <row r="28" spans="2:17" ht="18" customHeight="1" x14ac:dyDescent="0.15">
      <c r="B28" s="70"/>
      <c r="C28" s="8"/>
      <c r="D28" s="8"/>
      <c r="E28" s="12" t="s">
        <v>131</v>
      </c>
      <c r="F28" s="68"/>
      <c r="G28" s="124">
        <v>5000</v>
      </c>
      <c r="H28" s="124">
        <f>F28*G28</f>
        <v>0</v>
      </c>
      <c r="I28" s="21"/>
      <c r="J28" s="27" t="s">
        <v>132</v>
      </c>
      <c r="K28" s="73"/>
      <c r="L28" s="70"/>
      <c r="M28" s="26"/>
      <c r="N28" s="73"/>
      <c r="O28" s="74"/>
      <c r="P28" s="76"/>
      <c r="Q28" s="75"/>
    </row>
    <row r="29" spans="2:17" ht="18" customHeight="1" x14ac:dyDescent="0.15">
      <c r="B29" s="70"/>
      <c r="C29" s="8"/>
      <c r="D29" s="8"/>
      <c r="E29" s="12" t="s">
        <v>132</v>
      </c>
      <c r="F29" s="68"/>
      <c r="G29" s="124"/>
      <c r="H29" s="124">
        <f>F29*G29</f>
        <v>0</v>
      </c>
      <c r="I29" s="21"/>
      <c r="J29" s="11"/>
      <c r="K29" s="73"/>
      <c r="L29" s="70"/>
      <c r="M29" s="70"/>
      <c r="N29" s="73"/>
      <c r="O29" s="74"/>
      <c r="P29" s="75"/>
      <c r="Q29" s="75"/>
    </row>
    <row r="30" spans="2:17" ht="18" customHeight="1" x14ac:dyDescent="0.15">
      <c r="B30" s="70"/>
      <c r="C30" s="8"/>
      <c r="D30" s="8"/>
      <c r="E30" s="175"/>
      <c r="F30" s="176"/>
      <c r="G30" s="176"/>
      <c r="H30" s="177"/>
      <c r="I30" s="13"/>
      <c r="J30" s="64"/>
    </row>
    <row r="31" spans="2:17" ht="18" customHeight="1" x14ac:dyDescent="0.15"/>
    <row r="32" spans="2:17" ht="18" customHeight="1" x14ac:dyDescent="0.15"/>
    <row r="33" ht="18" customHeight="1" x14ac:dyDescent="0.15"/>
  </sheetData>
  <autoFilter ref="B8:O33"/>
  <mergeCells count="10">
    <mergeCell ref="E30:H30"/>
    <mergeCell ref="B2:D2"/>
    <mergeCell ref="G2:I2"/>
    <mergeCell ref="B3:D3"/>
    <mergeCell ref="B4:D4"/>
    <mergeCell ref="G4:J5"/>
    <mergeCell ref="B5:D5"/>
    <mergeCell ref="B6:D6"/>
    <mergeCell ref="B10:E10"/>
    <mergeCell ref="E24:H24"/>
  </mergeCells>
  <phoneticPr fontId="13"/>
  <dataValidations count="1">
    <dataValidation allowBlank="1" showInputMessage="1" showErrorMessage="1" sqref="J15:J19 J23:J24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Q33"/>
  <sheetViews>
    <sheetView tabSelected="1" zoomScale="85" zoomScaleNormal="85" workbookViewId="0">
      <pane xSplit="10" ySplit="8" topLeftCell="K9" activePane="bottomRight" state="frozen"/>
      <selection activeCell="D26" sqref="D26"/>
      <selection pane="topRight" activeCell="D26" sqref="D26"/>
      <selection pane="bottomLeft" activeCell="D26" sqref="D26"/>
      <selection pane="bottomRight" activeCell="E26" sqref="E26:E27"/>
    </sheetView>
  </sheetViews>
  <sheetFormatPr defaultColWidth="11.75" defaultRowHeight="13.5" customHeight="1" x14ac:dyDescent="0.15"/>
  <cols>
    <col min="1" max="1" width="3.125" style="37" customWidth="1"/>
    <col min="2" max="2" width="6.25" style="14" customWidth="1"/>
    <col min="3" max="3" width="15.25" style="37" customWidth="1"/>
    <col min="4" max="4" width="15.5" style="37" customWidth="1"/>
    <col min="5" max="5" width="33.375" style="37" customWidth="1"/>
    <col min="6" max="6" width="10.75" style="14" customWidth="1"/>
    <col min="7" max="8" width="12.125" style="19" customWidth="1"/>
    <col min="9" max="9" width="7.125" style="19" customWidth="1"/>
    <col min="10" max="10" width="55.25" style="37" customWidth="1"/>
    <col min="11" max="11" width="22.125" style="37" customWidth="1"/>
    <col min="12" max="12" width="8.125" style="14" customWidth="1"/>
    <col min="13" max="13" width="17" style="14" customWidth="1"/>
    <col min="14" max="14" width="7.875" style="37" customWidth="1"/>
    <col min="15" max="15" width="16.375" style="19" customWidth="1"/>
    <col min="16" max="16" width="17.875" style="22" customWidth="1"/>
    <col min="17" max="17" width="19.375" style="22" customWidth="1"/>
    <col min="18" max="16384" width="11.75" style="37"/>
  </cols>
  <sheetData>
    <row r="2" spans="2:17" ht="20.100000000000001" customHeight="1" x14ac:dyDescent="0.15">
      <c r="B2" s="168" t="s">
        <v>0</v>
      </c>
      <c r="C2" s="168"/>
      <c r="D2" s="168"/>
      <c r="E2" s="108" t="s">
        <v>142</v>
      </c>
      <c r="G2" s="165" t="s">
        <v>2</v>
      </c>
      <c r="H2" s="166"/>
      <c r="I2" s="167"/>
      <c r="J2" s="135">
        <f>SUM(H:H)</f>
        <v>148250</v>
      </c>
    </row>
    <row r="3" spans="2:17" ht="20.100000000000001" customHeight="1" x14ac:dyDescent="0.15">
      <c r="B3" s="168" t="s">
        <v>3</v>
      </c>
      <c r="C3" s="168"/>
      <c r="D3" s="168"/>
      <c r="E3" s="16" t="s">
        <v>137</v>
      </c>
    </row>
    <row r="4" spans="2:17" ht="20.100000000000001" customHeight="1" x14ac:dyDescent="0.15">
      <c r="B4" s="168" t="s">
        <v>5</v>
      </c>
      <c r="C4" s="168"/>
      <c r="D4" s="168"/>
      <c r="E4" s="16" t="s">
        <v>160</v>
      </c>
      <c r="G4" s="178"/>
      <c r="H4" s="179"/>
      <c r="I4" s="179"/>
      <c r="J4" s="179"/>
    </row>
    <row r="5" spans="2:17" ht="20.100000000000001" customHeight="1" x14ac:dyDescent="0.15">
      <c r="B5" s="168" t="s">
        <v>6</v>
      </c>
      <c r="C5" s="168"/>
      <c r="D5" s="168"/>
      <c r="E5" s="17">
        <v>42529</v>
      </c>
      <c r="G5" s="179"/>
      <c r="H5" s="179"/>
      <c r="I5" s="179"/>
      <c r="J5" s="179"/>
    </row>
    <row r="6" spans="2:17" ht="20.100000000000001" customHeight="1" x14ac:dyDescent="0.15">
      <c r="B6" s="168" t="s">
        <v>7</v>
      </c>
      <c r="C6" s="168"/>
      <c r="D6" s="168"/>
      <c r="E6" s="17">
        <v>42530</v>
      </c>
      <c r="G6" s="132"/>
      <c r="H6" s="130"/>
    </row>
    <row r="8" spans="2:17" s="14" customFormat="1" ht="19.5" customHeight="1" x14ac:dyDescent="0.15">
      <c r="B8" s="8" t="s">
        <v>8</v>
      </c>
      <c r="C8" s="8" t="s">
        <v>9</v>
      </c>
      <c r="D8" s="8" t="s">
        <v>10</v>
      </c>
      <c r="E8" s="70" t="s">
        <v>11</v>
      </c>
      <c r="F8" s="70" t="s">
        <v>12</v>
      </c>
      <c r="G8" s="74" t="s">
        <v>13</v>
      </c>
      <c r="H8" s="123" t="s">
        <v>14</v>
      </c>
      <c r="I8" s="6" t="s">
        <v>15</v>
      </c>
      <c r="J8" s="70" t="s">
        <v>16</v>
      </c>
      <c r="K8" s="70" t="s">
        <v>17</v>
      </c>
      <c r="L8" s="70" t="s">
        <v>18</v>
      </c>
      <c r="M8" s="76" t="s">
        <v>19</v>
      </c>
      <c r="N8" s="8" t="s">
        <v>20</v>
      </c>
      <c r="O8" s="70" t="s">
        <v>21</v>
      </c>
      <c r="P8" s="76" t="s">
        <v>22</v>
      </c>
      <c r="Q8" s="15" t="s">
        <v>23</v>
      </c>
    </row>
    <row r="9" spans="2:17" s="14" customFormat="1" ht="19.5" customHeight="1" x14ac:dyDescent="0.15">
      <c r="B9" s="8"/>
      <c r="C9" s="8"/>
      <c r="D9" s="8"/>
      <c r="E9" s="71"/>
      <c r="F9" s="68"/>
      <c r="G9" s="124"/>
      <c r="H9" s="124"/>
      <c r="I9" s="21"/>
      <c r="J9" s="69"/>
      <c r="K9" s="70"/>
      <c r="L9" s="70"/>
      <c r="M9" s="76"/>
      <c r="N9" s="8"/>
      <c r="O9" s="70"/>
      <c r="P9" s="76"/>
      <c r="Q9" s="15"/>
    </row>
    <row r="10" spans="2:17" ht="18" customHeight="1" x14ac:dyDescent="0.15">
      <c r="B10" s="172" t="s">
        <v>150</v>
      </c>
      <c r="C10" s="173"/>
      <c r="D10" s="173"/>
      <c r="E10" s="174"/>
      <c r="F10" s="110"/>
      <c r="G10" s="126"/>
      <c r="H10" s="124"/>
      <c r="I10" s="21"/>
      <c r="J10" s="45"/>
      <c r="K10" s="71"/>
      <c r="L10" s="11"/>
      <c r="M10" s="76"/>
      <c r="N10" s="15"/>
      <c r="O10" s="20"/>
      <c r="P10" s="76"/>
      <c r="Q10" s="24"/>
    </row>
    <row r="11" spans="2:17" s="148" customFormat="1" ht="18" customHeight="1" x14ac:dyDescent="0.15">
      <c r="B11" s="136">
        <v>1</v>
      </c>
      <c r="C11" s="137" t="s">
        <v>135</v>
      </c>
      <c r="D11" s="137" t="s">
        <v>135</v>
      </c>
      <c r="E11" s="138" t="s">
        <v>146</v>
      </c>
      <c r="F11" s="139">
        <v>1</v>
      </c>
      <c r="G11" s="140">
        <v>95200</v>
      </c>
      <c r="H11" s="141">
        <f t="shared" ref="H11:H19" si="0">F11*G11</f>
        <v>95200</v>
      </c>
      <c r="I11" s="142"/>
      <c r="J11" s="143" t="s">
        <v>151</v>
      </c>
      <c r="K11" s="144" t="s">
        <v>134</v>
      </c>
      <c r="L11" s="139"/>
      <c r="M11" s="145">
        <v>42516</v>
      </c>
      <c r="N11" s="146"/>
      <c r="O11" s="142"/>
      <c r="P11" s="147"/>
      <c r="Q11" s="147"/>
    </row>
    <row r="12" spans="2:17" s="148" customFormat="1" ht="18" customHeight="1" x14ac:dyDescent="0.15">
      <c r="B12" s="136">
        <f t="shared" ref="B12:B22" si="1">+B11+1</f>
        <v>2</v>
      </c>
      <c r="C12" s="137" t="s">
        <v>135</v>
      </c>
      <c r="D12" s="137" t="s">
        <v>135</v>
      </c>
      <c r="E12" s="138" t="s">
        <v>156</v>
      </c>
      <c r="F12" s="139">
        <v>1</v>
      </c>
      <c r="G12" s="140">
        <v>8500</v>
      </c>
      <c r="H12" s="141">
        <f t="shared" si="0"/>
        <v>8500</v>
      </c>
      <c r="I12" s="142"/>
      <c r="J12" s="143" t="s">
        <v>155</v>
      </c>
      <c r="K12" s="144" t="s">
        <v>134</v>
      </c>
      <c r="L12" s="139"/>
      <c r="M12" s="145">
        <v>42516</v>
      </c>
      <c r="N12" s="146"/>
      <c r="O12" s="142"/>
      <c r="P12" s="147"/>
      <c r="Q12" s="147"/>
    </row>
    <row r="13" spans="2:17" s="148" customFormat="1" ht="18" customHeight="1" x14ac:dyDescent="0.15">
      <c r="B13" s="136">
        <f t="shared" si="1"/>
        <v>3</v>
      </c>
      <c r="C13" s="149" t="s">
        <v>135</v>
      </c>
      <c r="D13" s="149" t="s">
        <v>135</v>
      </c>
      <c r="E13" s="138" t="s">
        <v>148</v>
      </c>
      <c r="F13" s="139">
        <v>8</v>
      </c>
      <c r="G13" s="140">
        <v>3000</v>
      </c>
      <c r="H13" s="141">
        <f t="shared" si="0"/>
        <v>24000</v>
      </c>
      <c r="I13" s="142"/>
      <c r="J13" s="143" t="s">
        <v>153</v>
      </c>
      <c r="K13" s="144" t="s">
        <v>134</v>
      </c>
      <c r="L13" s="139"/>
      <c r="M13" s="145">
        <v>42516</v>
      </c>
      <c r="N13" s="146"/>
      <c r="O13" s="142"/>
      <c r="P13" s="147"/>
      <c r="Q13" s="147"/>
    </row>
    <row r="14" spans="2:17" s="148" customFormat="1" ht="18" customHeight="1" x14ac:dyDescent="0.15">
      <c r="B14" s="136">
        <f t="shared" si="1"/>
        <v>4</v>
      </c>
      <c r="C14" s="149" t="s">
        <v>135</v>
      </c>
      <c r="D14" s="149" t="s">
        <v>135</v>
      </c>
      <c r="E14" s="138" t="s">
        <v>149</v>
      </c>
      <c r="F14" s="150">
        <v>4</v>
      </c>
      <c r="G14" s="140">
        <v>4500</v>
      </c>
      <c r="H14" s="141">
        <f t="shared" si="0"/>
        <v>18000</v>
      </c>
      <c r="I14" s="142"/>
      <c r="J14" s="143" t="s">
        <v>154</v>
      </c>
      <c r="K14" s="144" t="s">
        <v>134</v>
      </c>
      <c r="L14" s="139"/>
      <c r="M14" s="145">
        <v>42516</v>
      </c>
      <c r="N14" s="146"/>
      <c r="O14" s="142"/>
      <c r="P14" s="147"/>
      <c r="Q14" s="147"/>
    </row>
    <row r="15" spans="2:17" s="148" customFormat="1" ht="18" customHeight="1" x14ac:dyDescent="0.15">
      <c r="B15" s="136">
        <f t="shared" si="1"/>
        <v>5</v>
      </c>
      <c r="C15" s="151" t="s">
        <v>37</v>
      </c>
      <c r="D15" s="151" t="s">
        <v>37</v>
      </c>
      <c r="E15" s="152" t="s">
        <v>136</v>
      </c>
      <c r="F15" s="153">
        <v>4</v>
      </c>
      <c r="G15" s="154">
        <v>144</v>
      </c>
      <c r="H15" s="155">
        <f t="shared" si="0"/>
        <v>576</v>
      </c>
      <c r="I15" s="156"/>
      <c r="J15" s="152" t="s">
        <v>133</v>
      </c>
      <c r="K15" s="144"/>
      <c r="L15" s="139"/>
      <c r="M15" s="145">
        <v>42516</v>
      </c>
      <c r="N15" s="146"/>
      <c r="O15" s="142"/>
      <c r="P15" s="157" t="s">
        <v>159</v>
      </c>
      <c r="Q15" s="147"/>
    </row>
    <row r="16" spans="2:17" s="148" customFormat="1" ht="18" customHeight="1" x14ac:dyDescent="0.15">
      <c r="B16" s="136">
        <f t="shared" si="1"/>
        <v>6</v>
      </c>
      <c r="C16" s="151" t="s">
        <v>37</v>
      </c>
      <c r="D16" s="151" t="s">
        <v>37</v>
      </c>
      <c r="E16" s="152" t="s">
        <v>143</v>
      </c>
      <c r="F16" s="153">
        <v>30</v>
      </c>
      <c r="G16" s="154">
        <v>19</v>
      </c>
      <c r="H16" s="155">
        <f t="shared" si="0"/>
        <v>570</v>
      </c>
      <c r="I16" s="156"/>
      <c r="J16" s="152" t="s">
        <v>157</v>
      </c>
      <c r="K16" s="144"/>
      <c r="L16" s="139"/>
      <c r="M16" s="145">
        <v>42516</v>
      </c>
      <c r="N16" s="146"/>
      <c r="O16" s="142"/>
      <c r="P16" s="157" t="s">
        <v>159</v>
      </c>
      <c r="Q16" s="147"/>
    </row>
    <row r="17" spans="2:17" s="148" customFormat="1" ht="18" customHeight="1" x14ac:dyDescent="0.15">
      <c r="B17" s="136">
        <f t="shared" si="1"/>
        <v>7</v>
      </c>
      <c r="C17" s="158" t="s">
        <v>37</v>
      </c>
      <c r="D17" s="158" t="s">
        <v>37</v>
      </c>
      <c r="E17" s="159" t="s">
        <v>52</v>
      </c>
      <c r="F17" s="160">
        <v>14</v>
      </c>
      <c r="G17" s="161">
        <v>25</v>
      </c>
      <c r="H17" s="162">
        <f t="shared" si="0"/>
        <v>350</v>
      </c>
      <c r="I17" s="163"/>
      <c r="J17" s="164" t="s">
        <v>140</v>
      </c>
      <c r="K17" s="144"/>
      <c r="L17" s="139"/>
      <c r="M17" s="145">
        <v>42516</v>
      </c>
      <c r="N17" s="146"/>
      <c r="O17" s="142"/>
      <c r="P17" s="157" t="s">
        <v>159</v>
      </c>
      <c r="Q17" s="147"/>
    </row>
    <row r="18" spans="2:17" s="148" customFormat="1" ht="18" customHeight="1" x14ac:dyDescent="0.15">
      <c r="B18" s="136">
        <f>+B17+1</f>
        <v>8</v>
      </c>
      <c r="C18" s="158" t="s">
        <v>37</v>
      </c>
      <c r="D18" s="158" t="s">
        <v>37</v>
      </c>
      <c r="E18" s="159" t="s">
        <v>144</v>
      </c>
      <c r="F18" s="160">
        <v>10</v>
      </c>
      <c r="G18" s="161">
        <v>30</v>
      </c>
      <c r="H18" s="162">
        <f t="shared" si="0"/>
        <v>300</v>
      </c>
      <c r="I18" s="163"/>
      <c r="J18" s="164" t="s">
        <v>145</v>
      </c>
      <c r="K18" s="146"/>
      <c r="L18" s="139"/>
      <c r="M18" s="145">
        <v>42516</v>
      </c>
      <c r="N18" s="146"/>
      <c r="O18" s="142"/>
      <c r="P18" s="157" t="s">
        <v>159</v>
      </c>
      <c r="Q18" s="147"/>
    </row>
    <row r="19" spans="2:17" s="148" customFormat="1" ht="18" customHeight="1" x14ac:dyDescent="0.15">
      <c r="B19" s="136">
        <f t="shared" si="1"/>
        <v>9</v>
      </c>
      <c r="C19" s="158" t="s">
        <v>37</v>
      </c>
      <c r="D19" s="158" t="s">
        <v>37</v>
      </c>
      <c r="E19" s="159" t="s">
        <v>141</v>
      </c>
      <c r="F19" s="160">
        <v>26</v>
      </c>
      <c r="G19" s="161">
        <v>29</v>
      </c>
      <c r="H19" s="162">
        <f t="shared" si="0"/>
        <v>754</v>
      </c>
      <c r="I19" s="163"/>
      <c r="J19" s="164" t="s">
        <v>139</v>
      </c>
      <c r="K19" s="146"/>
      <c r="L19" s="139"/>
      <c r="M19" s="145">
        <v>42516</v>
      </c>
      <c r="N19" s="146"/>
      <c r="O19" s="142"/>
      <c r="P19" s="157" t="s">
        <v>159</v>
      </c>
      <c r="Q19" s="147"/>
    </row>
    <row r="20" spans="2:17" ht="18" customHeight="1" x14ac:dyDescent="0.15">
      <c r="B20" s="112">
        <f t="shared" si="1"/>
        <v>10</v>
      </c>
      <c r="C20" s="111"/>
      <c r="D20" s="111"/>
      <c r="E20" s="129"/>
      <c r="F20" s="118"/>
      <c r="G20" s="114"/>
      <c r="H20" s="116"/>
      <c r="I20" s="114"/>
      <c r="J20" s="113"/>
      <c r="K20" s="113"/>
      <c r="L20" s="118"/>
      <c r="M20" s="118"/>
      <c r="N20" s="145"/>
      <c r="O20" s="114"/>
      <c r="P20" s="122"/>
      <c r="Q20" s="122"/>
    </row>
    <row r="21" spans="2:17" ht="18" customHeight="1" x14ac:dyDescent="0.15">
      <c r="B21" s="112">
        <f t="shared" si="1"/>
        <v>11</v>
      </c>
      <c r="C21" s="111"/>
      <c r="D21" s="111"/>
      <c r="E21" s="129"/>
      <c r="F21" s="118"/>
      <c r="G21" s="114"/>
      <c r="H21" s="116"/>
      <c r="I21" s="114"/>
      <c r="J21" s="113"/>
      <c r="K21" s="113"/>
      <c r="L21" s="118"/>
      <c r="M21" s="118"/>
      <c r="N21" s="113"/>
      <c r="O21" s="114"/>
      <c r="P21" s="122"/>
      <c r="Q21" s="122"/>
    </row>
    <row r="22" spans="2:17" ht="18" customHeight="1" x14ac:dyDescent="0.15">
      <c r="B22" s="112">
        <f t="shared" si="1"/>
        <v>12</v>
      </c>
      <c r="C22" s="111"/>
      <c r="D22" s="111"/>
      <c r="E22" s="129"/>
      <c r="F22" s="118"/>
      <c r="G22" s="114"/>
      <c r="H22" s="116"/>
      <c r="I22" s="114"/>
      <c r="J22" s="113"/>
      <c r="K22" s="113"/>
      <c r="L22" s="118"/>
      <c r="M22" s="118"/>
      <c r="N22" s="113"/>
      <c r="O22" s="114"/>
      <c r="P22" s="122"/>
      <c r="Q22" s="122"/>
    </row>
    <row r="23" spans="2:17" ht="18" customHeight="1" x14ac:dyDescent="0.15">
      <c r="B23" s="110"/>
      <c r="C23" s="8"/>
      <c r="D23" s="8"/>
      <c r="E23" s="91"/>
      <c r="F23" s="110"/>
      <c r="G23" s="127"/>
      <c r="H23" s="124"/>
      <c r="I23" s="13"/>
      <c r="J23" s="64"/>
      <c r="K23" s="71"/>
      <c r="L23" s="11"/>
      <c r="M23" s="76"/>
      <c r="N23" s="15"/>
      <c r="O23" s="20"/>
      <c r="P23" s="76"/>
      <c r="Q23" s="24"/>
    </row>
    <row r="24" spans="2:17" ht="18" customHeight="1" x14ac:dyDescent="0.15">
      <c r="B24" s="107"/>
      <c r="C24" s="8"/>
      <c r="D24" s="13"/>
      <c r="E24" s="180">
        <f>SUM(H11:H23)</f>
        <v>148250</v>
      </c>
      <c r="F24" s="181"/>
      <c r="G24" s="181"/>
      <c r="H24" s="182"/>
      <c r="I24" s="67"/>
      <c r="J24" s="64"/>
      <c r="K24" s="71"/>
      <c r="L24" s="11"/>
      <c r="M24" s="76"/>
      <c r="N24" s="15"/>
      <c r="O24" s="20"/>
      <c r="P24" s="76"/>
      <c r="Q24" s="24"/>
    </row>
    <row r="25" spans="2:17" s="14" customFormat="1" ht="19.5" customHeight="1" x14ac:dyDescent="0.15">
      <c r="B25" s="8"/>
      <c r="C25" s="117"/>
      <c r="D25" s="117"/>
      <c r="E25" s="121"/>
      <c r="F25" s="68"/>
      <c r="G25" s="124"/>
      <c r="H25" s="124"/>
      <c r="I25" s="21"/>
      <c r="J25" s="69"/>
      <c r="K25" s="70"/>
      <c r="L25" s="70"/>
      <c r="M25" s="76"/>
      <c r="N25" s="8"/>
      <c r="O25" s="70"/>
      <c r="P25" s="76"/>
      <c r="Q25" s="15"/>
    </row>
    <row r="26" spans="2:17" ht="18" customHeight="1" x14ac:dyDescent="0.15">
      <c r="B26" s="70"/>
      <c r="C26" s="8"/>
      <c r="D26" s="8"/>
      <c r="E26" s="45"/>
      <c r="F26" s="110"/>
      <c r="G26" s="126"/>
      <c r="H26" s="124"/>
      <c r="I26" s="6"/>
      <c r="J26" s="45"/>
      <c r="K26" s="71"/>
      <c r="L26" s="11"/>
      <c r="M26" s="76"/>
      <c r="N26" s="15"/>
      <c r="O26" s="20"/>
      <c r="P26" s="76"/>
      <c r="Q26" s="24"/>
    </row>
    <row r="27" spans="2:17" ht="18" customHeight="1" x14ac:dyDescent="0.15">
      <c r="B27" s="70"/>
      <c r="C27" s="70"/>
      <c r="D27" s="70"/>
      <c r="E27" s="71" t="s">
        <v>130</v>
      </c>
      <c r="F27" s="68"/>
      <c r="G27" s="124"/>
      <c r="H27" s="124">
        <f>F27*G27</f>
        <v>0</v>
      </c>
      <c r="I27" s="21"/>
      <c r="J27" s="45" t="s">
        <v>131</v>
      </c>
      <c r="K27" s="96"/>
      <c r="L27" s="70"/>
      <c r="M27" s="76"/>
      <c r="N27" s="96"/>
      <c r="O27" s="74"/>
      <c r="P27" s="76"/>
      <c r="Q27" s="24"/>
    </row>
    <row r="28" spans="2:17" ht="18" customHeight="1" x14ac:dyDescent="0.15">
      <c r="B28" s="70"/>
      <c r="C28" s="8"/>
      <c r="D28" s="8"/>
      <c r="E28" s="71" t="s">
        <v>131</v>
      </c>
      <c r="F28" s="68"/>
      <c r="G28" s="124">
        <v>5000</v>
      </c>
      <c r="H28" s="124">
        <f>F28*G28</f>
        <v>0</v>
      </c>
      <c r="I28" s="21"/>
      <c r="J28" s="45" t="s">
        <v>132</v>
      </c>
      <c r="K28" s="96"/>
      <c r="L28" s="70"/>
      <c r="M28" s="76"/>
      <c r="N28" s="96"/>
      <c r="O28" s="74"/>
      <c r="P28" s="76"/>
      <c r="Q28" s="75"/>
    </row>
    <row r="29" spans="2:17" ht="18" customHeight="1" x14ac:dyDescent="0.15">
      <c r="B29" s="70"/>
      <c r="C29" s="8"/>
      <c r="D29" s="8"/>
      <c r="E29" s="71" t="s">
        <v>132</v>
      </c>
      <c r="F29" s="68"/>
      <c r="G29" s="124"/>
      <c r="H29" s="124">
        <f>F29*G29</f>
        <v>0</v>
      </c>
      <c r="I29" s="21"/>
      <c r="J29" s="11"/>
      <c r="K29" s="96"/>
      <c r="L29" s="70"/>
      <c r="M29" s="70"/>
      <c r="N29" s="96"/>
      <c r="O29" s="74"/>
      <c r="P29" s="75"/>
      <c r="Q29" s="75"/>
    </row>
    <row r="30" spans="2:17" ht="18" customHeight="1" x14ac:dyDescent="0.15">
      <c r="B30" s="70"/>
      <c r="C30" s="8"/>
      <c r="D30" s="8"/>
      <c r="E30" s="175"/>
      <c r="F30" s="176"/>
      <c r="G30" s="176"/>
      <c r="H30" s="177"/>
      <c r="I30" s="13"/>
      <c r="J30" s="64"/>
    </row>
    <row r="31" spans="2:17" ht="18" customHeight="1" x14ac:dyDescent="0.15"/>
    <row r="32" spans="2:17" ht="18" customHeight="1" x14ac:dyDescent="0.15"/>
    <row r="33" ht="18" customHeight="1" x14ac:dyDescent="0.15"/>
  </sheetData>
  <autoFilter ref="B8:O33"/>
  <mergeCells count="10">
    <mergeCell ref="B6:D6"/>
    <mergeCell ref="B10:E10"/>
    <mergeCell ref="E24:H24"/>
    <mergeCell ref="E30:H30"/>
    <mergeCell ref="B2:D2"/>
    <mergeCell ref="G2:I2"/>
    <mergeCell ref="B3:D3"/>
    <mergeCell ref="B4:D4"/>
    <mergeCell ref="G4:J5"/>
    <mergeCell ref="B5:D5"/>
  </mergeCells>
  <phoneticPr fontId="13"/>
  <dataValidations count="1">
    <dataValidation allowBlank="1" showInputMessage="1" showErrorMessage="1" sqref="J15:J19 J23:J24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Sheet1</vt:lpstr>
      <vt:lpstr>Sheet2</vt:lpstr>
      <vt:lpstr>Sheet3</vt:lpstr>
      <vt:lpstr> (ﾜｰｸ冶具改造)</vt:lpstr>
      <vt:lpstr> (ﾜｰｸ冶具改造) (追加工)</vt:lpstr>
      <vt:lpstr>' (ﾜｰｸ冶具改造)'!_FilterDatabase</vt:lpstr>
      <vt:lpstr>' (ﾜｰｸ冶具改造) (追加工)'!_FilterDatabase</vt:lpstr>
      <vt:lpstr>Sheet1!_FilterDatabase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2016-06-01T07:13:55Z</dcterms:modified>
</cp:coreProperties>
</file>