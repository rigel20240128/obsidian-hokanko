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827"/>
  <workbookPr/>
  <mc:AlternateContent xmlns:mc="http://schemas.openxmlformats.org/markup-compatibility/2006">
    <mc:Choice Requires="x15">
      <x15ac:absPath xmlns:x15ac="http://schemas.microsoft.com/office/spreadsheetml/2010/11/ac" url="\\Sv-ap\data\製品管理部(機材)出荷管理課・資材調達課\機材・資材調達課(ﾛﾎﾞｯﾄ部品手配)\"/>
    </mc:Choice>
  </mc:AlternateContent>
  <xr:revisionPtr revIDLastSave="0" documentId="13_ncr:1_{A2E935C7-D947-474E-BA00-581EF35E50AC}" xr6:coauthVersionLast="37" xr6:coauthVersionMax="37" xr10:uidLastSave="{00000000-0000-0000-0000-000000000000}"/>
  <bookViews>
    <workbookView xWindow="0" yWindow="0" windowWidth="20730" windowHeight="9345" xr2:uid="{00000000-000D-0000-FFFF-FFFF00000000}"/>
  </bookViews>
  <sheets>
    <sheet name="NEW (ﾋﾟｯﾁ変更TYPE) (1SET) " sheetId="8" r:id="rId1"/>
    <sheet name="Sheet2" sheetId="5" r:id="rId2"/>
    <sheet name="Sheet3" sheetId="6" r:id="rId3"/>
  </sheets>
  <definedNames>
    <definedName name="_xlnm._FilterDatabase" localSheetId="0">'NEW (ﾋﾟｯﾁ変更TYPE) (1SET) '!$B$8:$O$40</definedName>
  </definedNames>
  <calcPr calcId="162913"/>
</workbook>
</file>

<file path=xl/calcChain.xml><?xml version="1.0" encoding="utf-8"?>
<calcChain xmlns="http://schemas.openxmlformats.org/spreadsheetml/2006/main">
  <c r="B46" i="8" l="1"/>
  <c r="H32" i="8"/>
  <c r="H31" i="8"/>
  <c r="H30" i="8"/>
  <c r="H29" i="8"/>
  <c r="H28" i="8"/>
  <c r="H27" i="8"/>
  <c r="H26" i="8"/>
  <c r="H25" i="8"/>
  <c r="H39" i="8"/>
  <c r="H38" i="8" l="1"/>
  <c r="B10" i="8"/>
  <c r="B11" i="8" s="1"/>
  <c r="B12" i="8" s="1"/>
  <c r="B13" i="8" s="1"/>
  <c r="B14" i="8" s="1"/>
  <c r="B15" i="8" s="1"/>
  <c r="B16" i="8" s="1"/>
  <c r="B17" i="8" s="1"/>
  <c r="B18" i="8" l="1"/>
  <c r="B19" i="8" s="1"/>
  <c r="B20" i="8" s="1"/>
  <c r="B21" i="8" s="1"/>
  <c r="B22" i="8" s="1"/>
  <c r="B23" i="8" s="1"/>
  <c r="B24" i="8" s="1"/>
  <c r="B25" i="8" s="1"/>
  <c r="B26" i="8" s="1"/>
  <c r="B27" i="8" s="1"/>
  <c r="B28" i="8" s="1"/>
  <c r="B29" i="8" s="1"/>
  <c r="B30" i="8" s="1"/>
  <c r="B31" i="8" s="1"/>
  <c r="B32" i="8" s="1"/>
  <c r="B37" i="8" s="1"/>
  <c r="B38" i="8" s="1"/>
  <c r="H42" i="8"/>
  <c r="H41" i="8"/>
  <c r="B39" i="8" l="1"/>
  <c r="B40" i="8" s="1"/>
  <c r="B41" i="8" s="1"/>
  <c r="B42" i="8" s="1"/>
  <c r="H17" i="8"/>
  <c r="H18" i="8"/>
  <c r="H19" i="8"/>
  <c r="H20" i="8"/>
  <c r="H21" i="8"/>
  <c r="H22" i="8"/>
  <c r="H23" i="8"/>
  <c r="H24" i="8"/>
  <c r="H37" i="8"/>
  <c r="H53" i="8"/>
  <c r="H52" i="8"/>
  <c r="H51" i="8"/>
  <c r="H40" i="8"/>
  <c r="H16" i="8"/>
  <c r="H15" i="8"/>
  <c r="H14" i="8"/>
  <c r="H13" i="8"/>
  <c r="H12" i="8"/>
  <c r="H11" i="8"/>
  <c r="H10" i="8"/>
  <c r="H9" i="8"/>
  <c r="E43" i="8" l="1"/>
  <c r="E35" i="8"/>
  <c r="J2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h-saito</author>
  </authors>
  <commentList>
    <comment ref="E37" authorId="0" shapeId="0" xr:uid="{00000000-0006-0000-0000-000001000000}">
      <text>
        <r>
          <rPr>
            <sz val="9"/>
            <color indexed="81"/>
            <rFont val="ＭＳ Ｐゴシック"/>
            <family val="3"/>
            <charset val="128"/>
          </rPr>
          <t xml:space="preserve">
</t>
        </r>
        <r>
          <rPr>
            <b/>
            <sz val="9"/>
            <color indexed="81"/>
            <rFont val="ＭＳ Ｐゴシック"/>
            <family val="3"/>
            <charset val="128"/>
          </rPr>
          <t>SXSNS3-L2-P1.5-B2.5-H4.9-T1-E1.5 
追加工が有るため２5個は早急に発注頂き
仙台営業所に納品下さい。</t>
        </r>
      </text>
    </comment>
  </commentList>
</comments>
</file>

<file path=xl/sharedStrings.xml><?xml version="1.0" encoding="utf-8"?>
<sst xmlns="http://schemas.openxmlformats.org/spreadsheetml/2006/main" count="190" uniqueCount="100">
  <si>
    <t>お客先名</t>
  </si>
  <si>
    <t>合計金額</t>
  </si>
  <si>
    <t>担当営業</t>
  </si>
  <si>
    <t>受注番号</t>
  </si>
  <si>
    <t>希望納期</t>
  </si>
  <si>
    <t>最終納品</t>
  </si>
  <si>
    <t>見積り分類</t>
  </si>
  <si>
    <t>メーカー</t>
  </si>
  <si>
    <t>仕入先</t>
  </si>
  <si>
    <t>品名 / 型式</t>
  </si>
  <si>
    <t>数量</t>
  </si>
  <si>
    <t>単価</t>
  </si>
  <si>
    <t>金額</t>
  </si>
  <si>
    <t>分類合計</t>
  </si>
  <si>
    <t>詳細</t>
  </si>
  <si>
    <t>備考</t>
  </si>
  <si>
    <t>技術分類</t>
  </si>
  <si>
    <t>発注日</t>
  </si>
  <si>
    <t>発注</t>
  </si>
  <si>
    <t>納期</t>
  </si>
  <si>
    <t>入荷予定日</t>
  </si>
  <si>
    <t>入荷日</t>
  </si>
  <si>
    <t>ﾂｰﾙ取りけﾒｲﾝﾌﾞﾗｹｯﾄ</t>
  </si>
  <si>
    <t>左Z軸ﾏｲｸﾛﾌﾞﾗｹｯﾄ</t>
  </si>
  <si>
    <t>Z軸補強樹脂</t>
  </si>
  <si>
    <t>Z軸ﾏｲｸﾛﾌﾞﾗｹｯﾄ</t>
  </si>
  <si>
    <t>変換部品</t>
  </si>
  <si>
    <t>右Z軸ﾏｲｸﾛﾌﾞﾗｹｯﾄ</t>
  </si>
  <si>
    <t>XYZ軸ﾏｲｸﾛ調整ﾌﾞﾗｹｯﾄ</t>
  </si>
  <si>
    <t>XYZ軸ﾏｲｸﾛ調整ﾌﾞﾗｹｯﾄ補強</t>
  </si>
  <si>
    <t>ミスミ</t>
  </si>
  <si>
    <t>MS3-10</t>
  </si>
  <si>
    <t>ﾉｯｸﾋﾟﾝ　φ3-10mm</t>
  </si>
  <si>
    <t>MSC2-10</t>
  </si>
  <si>
    <t>ﾉｯｸﾋﾟﾝ　φ2-10mm</t>
  </si>
  <si>
    <t>リニアボールX軸ステージ</t>
  </si>
  <si>
    <t>BSS73-40CR</t>
  </si>
  <si>
    <t>リニアボールXＹＺ軸ステージ</t>
  </si>
  <si>
    <t>SCB5-10</t>
  </si>
  <si>
    <t>六角穴付きﾎﾞﾙﾄ　 (M5×10)</t>
  </si>
  <si>
    <t>SCB4-12</t>
  </si>
  <si>
    <t>六角穴付きﾎﾞﾙﾄ　 (M4×12)</t>
  </si>
  <si>
    <t>SCB4-10</t>
  </si>
  <si>
    <t>六角穴付きﾎﾞﾙﾄ　 (M4×10)</t>
  </si>
  <si>
    <t>SCB4-8</t>
  </si>
  <si>
    <t>六角穴付きﾎﾞﾙﾄ　 (M4×8)</t>
  </si>
  <si>
    <t>SCB3-8</t>
  </si>
  <si>
    <t>六角穴付きﾎﾞﾙﾄ　 (M3×8)</t>
  </si>
  <si>
    <t>運送費</t>
  </si>
  <si>
    <t>設計費</t>
  </si>
  <si>
    <t>組立調整費</t>
  </si>
  <si>
    <t>東北ﾏﾃﾘｱﾙ</t>
  </si>
  <si>
    <t>図面送信済み</t>
  </si>
  <si>
    <t>DJC10-5-10</t>
  </si>
  <si>
    <t>断熱ﾜｯｼｬｰ　耐熱用</t>
  </si>
  <si>
    <t>DJW10-5-5</t>
  </si>
  <si>
    <t>FWSSS-D10-V5.0-T1.7</t>
  </si>
  <si>
    <t>ﾜｯｼﾔ(1.7mm）</t>
  </si>
  <si>
    <t>XSG40</t>
  </si>
  <si>
    <t>SCB3-12</t>
  </si>
  <si>
    <t>六角穴付きﾎﾞﾙﾄ　 (M3×12)</t>
  </si>
  <si>
    <t>SCB3-6</t>
  </si>
  <si>
    <t>六角穴付きﾎﾞﾙﾄ　 (M3×6)</t>
  </si>
  <si>
    <t>宝化成（福島芝浦電子）様</t>
    <phoneticPr fontId="7"/>
  </si>
  <si>
    <t>ＣＢＳＴＳ5-16</t>
    <phoneticPr fontId="7"/>
  </si>
  <si>
    <t>ＣＢＳＴＳ5-25</t>
    <phoneticPr fontId="7"/>
  </si>
  <si>
    <t>ｺﾞｸﾃｲﾄｳﾎﾞﾙﾄ</t>
    <phoneticPr fontId="7"/>
  </si>
  <si>
    <t>位置決めPIN先端加工φ1.5⇒1㎜幅ｶｯﾄ</t>
    <rPh sb="0" eb="2">
      <t>イチ</t>
    </rPh>
    <rPh sb="2" eb="3">
      <t>キ</t>
    </rPh>
    <rPh sb="7" eb="9">
      <t>センタン</t>
    </rPh>
    <rPh sb="9" eb="11">
      <t>カコウ</t>
    </rPh>
    <rPh sb="18" eb="19">
      <t>ハバ</t>
    </rPh>
    <phoneticPr fontId="7"/>
  </si>
  <si>
    <t>千葉(齋藤）</t>
    <rPh sb="0" eb="2">
      <t>チバ</t>
    </rPh>
    <rPh sb="3" eb="5">
      <t>サイトウ</t>
    </rPh>
    <phoneticPr fontId="7"/>
  </si>
  <si>
    <t>SXSNS3-L2-P1.5-B2.5-H4.9-T1-E1.5</t>
    <phoneticPr fontId="7"/>
  </si>
  <si>
    <t>SXSNS3-L2-P1.5-B2.5-H4.9-T1-E1.5の追加工</t>
    <rPh sb="33" eb="35">
      <t>ツイカ</t>
    </rPh>
    <rPh sb="35" eb="36">
      <t>コウ</t>
    </rPh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</si>
  <si>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001-1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</si>
  <si>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002-1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</si>
  <si>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003-1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</si>
  <si>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004-1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</si>
  <si>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005-1</t>
    </r>
    <phoneticPr fontId="7"/>
  </si>
  <si>
    <t>133773－Y006-2</t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</si>
  <si>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007</t>
    </r>
    <phoneticPr fontId="7"/>
  </si>
  <si>
    <r>
      <t>133773－</t>
    </r>
    <r>
      <rPr>
        <sz val="11"/>
        <color theme="1"/>
        <rFont val="ＭＳ Ｐゴシック"/>
        <family val="3"/>
        <charset val="128"/>
        <scheme val="minor"/>
      </rPr>
      <t>Y</t>
    </r>
    <r>
      <rPr>
        <sz val="11"/>
        <color theme="1"/>
        <rFont val="ＭＳ Ｐゴシック"/>
        <family val="3"/>
        <charset val="128"/>
        <scheme val="minor"/>
      </rPr>
      <t>008</t>
    </r>
    <phoneticPr fontId="7"/>
  </si>
  <si>
    <t>KKC 2016/12/19</t>
    <phoneticPr fontId="7"/>
  </si>
  <si>
    <r>
      <t>F</t>
    </r>
    <r>
      <rPr>
        <sz val="11"/>
        <color theme="1"/>
        <rFont val="ＭＳ Ｐゴシック"/>
        <family val="3"/>
        <charset val="128"/>
        <scheme val="minor"/>
      </rPr>
      <t>Aｽｲｯﾁボックス</t>
    </r>
    <phoneticPr fontId="7"/>
  </si>
  <si>
    <t>12・19</t>
    <phoneticPr fontId="7"/>
  </si>
  <si>
    <t>UL2570(FA) 18AWGX4-3</t>
    <phoneticPr fontId="7"/>
  </si>
  <si>
    <t>テンド</t>
    <phoneticPr fontId="7"/>
  </si>
  <si>
    <t>ヒタチデンセン</t>
    <phoneticPr fontId="7"/>
  </si>
  <si>
    <t>HTC　UL2570（FA)ｼﾘｰｽﾞ</t>
    <phoneticPr fontId="7"/>
  </si>
  <si>
    <t>ファイ16オシボタン ショウコウ</t>
    <phoneticPr fontId="7"/>
  </si>
  <si>
    <t>区分NO.</t>
    <rPh sb="0" eb="2">
      <t>クブン</t>
    </rPh>
    <phoneticPr fontId="7"/>
  </si>
  <si>
    <t>AXSH111-VC-1LA4-5-F</t>
    <phoneticPr fontId="7"/>
  </si>
  <si>
    <t>TT16-MLL4701</t>
    <phoneticPr fontId="7"/>
  </si>
  <si>
    <t>ミスミ</t>
    <phoneticPr fontId="17"/>
  </si>
  <si>
    <t>@ECHN-20061106-00010</t>
    <phoneticPr fontId="17"/>
  </si>
  <si>
    <t>I/Oケーブル（JRN⇔SDP)</t>
    <phoneticPr fontId="17"/>
  </si>
  <si>
    <t>蛇の目</t>
    <rPh sb="0" eb="1">
      <t>ジャ</t>
    </rPh>
    <rPh sb="2" eb="3">
      <t>メ</t>
    </rPh>
    <phoneticPr fontId="7"/>
  </si>
  <si>
    <t>JR2303N-SET02</t>
    <phoneticPr fontId="7"/>
  </si>
  <si>
    <t>3F在庫品引き当て　2303N　3軸ﾛﾎﾞｯﾄ</t>
    <rPh sb="2" eb="4">
      <t>ザイコ</t>
    </rPh>
    <rPh sb="4" eb="5">
      <t>ヒン</t>
    </rPh>
    <rPh sb="5" eb="6">
      <t>ヒ</t>
    </rPh>
    <rPh sb="7" eb="8">
      <t>ア</t>
    </rPh>
    <rPh sb="17" eb="18">
      <t>ジク</t>
    </rPh>
    <phoneticPr fontId="7"/>
  </si>
  <si>
    <r>
      <t>イチギメピン</t>
    </r>
    <r>
      <rPr>
        <sz val="9"/>
        <color theme="1"/>
        <rFont val="Arial"/>
        <family val="2"/>
      </rPr>
      <t xml:space="preserve"> (SXSNS)</t>
    </r>
    <phoneticPr fontId="7"/>
  </si>
  <si>
    <t>10/30・仙台営業所着</t>
    <rPh sb="6" eb="8">
      <t>センダイ</t>
    </rPh>
    <rPh sb="8" eb="10">
      <t>エイギョウ</t>
    </rPh>
    <rPh sb="10" eb="11">
      <t>ショ</t>
    </rPh>
    <rPh sb="11" eb="12">
      <t>チャク</t>
    </rPh>
    <phoneticPr fontId="7"/>
  </si>
  <si>
    <t>10/17・仙台営業所着</t>
    <rPh sb="6" eb="8">
      <t>センダイ</t>
    </rPh>
    <rPh sb="8" eb="10">
      <t>エイギョウ</t>
    </rPh>
    <rPh sb="10" eb="11">
      <t>ショ</t>
    </rPh>
    <rPh sb="11" eb="12">
      <t>チャク</t>
    </rPh>
    <phoneticPr fontId="7"/>
  </si>
  <si>
    <t>・仙台営業所着</t>
    <rPh sb="1" eb="3">
      <t>センダイ</t>
    </rPh>
    <rPh sb="3" eb="5">
      <t>エイギョウ</t>
    </rPh>
    <rPh sb="5" eb="6">
      <t>ショ</t>
    </rPh>
    <rPh sb="6" eb="7">
      <t>チャク</t>
    </rPh>
    <phoneticPr fontId="7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</si>
</sst>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_);[Red]\(#,##0\)"/>
    <numFmt numFmtId="177" formatCode="yyyy&quot;年&quot;m&quot;月&quot;d&quot;日&quot;;@"/>
    <numFmt numFmtId="178" formatCode="m/d;@"/>
    <numFmt numFmtId="179" formatCode="m&quot;月&quot;d&quot;日&quot;;@"/>
    <numFmt numFmtId="180" formatCode="0_);[Red]\(0\)"/>
    <numFmt numFmtId="181" formatCode="yyyy/mm/dd"/>
  </numFmts>
  <fonts count="18" x14ac:knownFonts="1">
    <font>
      <sz val="11"/>
      <color theme="1"/>
      <name val="ＭＳ Ｐゴシック"/>
      <scheme val="minor"/>
    </font>
    <font>
      <sz val="11"/>
      <color rgb="FF000000"/>
      <name val="ＭＳ Ｐゴシック"/>
      <family val="3"/>
      <charset val="128"/>
    </font>
    <font>
      <b/>
      <sz val="9.9499999999999993"/>
      <color rgb="FF000000"/>
      <name val="ＭＳ Ｐゴシック"/>
      <family val="3"/>
      <charset val="128"/>
    </font>
    <font>
      <sz val="9.9499999999999993"/>
      <color rgb="FF000000"/>
      <name val="ＭＳ Ｐゴシック"/>
      <family val="3"/>
      <charset val="128"/>
    </font>
    <font>
      <sz val="9.9499999999999993"/>
      <color rgb="FFFF0000"/>
      <name val="ＭＳ Ｐゴシック"/>
      <family val="3"/>
      <charset val="128"/>
    </font>
    <font>
      <sz val="9"/>
      <color rgb="FF000000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11"/>
      <color theme="1"/>
      <name val="ＭＳ Ｐゴシック"/>
      <family val="3"/>
      <charset val="128"/>
      <scheme val="minor"/>
    </font>
    <font>
      <b/>
      <sz val="11"/>
      <color rgb="FF000000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9"/>
      <color theme="1"/>
      <name val="Arial"/>
      <family val="2"/>
    </font>
    <font>
      <sz val="9"/>
      <color indexed="81"/>
      <name val="ＭＳ Ｐゴシック"/>
      <family val="3"/>
      <charset val="128"/>
    </font>
    <font>
      <b/>
      <sz val="9"/>
      <color indexed="81"/>
      <name val="ＭＳ Ｐゴシック"/>
      <family val="3"/>
      <charset val="128"/>
    </font>
    <font>
      <b/>
      <sz val="16"/>
      <color theme="1"/>
      <name val="ＭＳ Ｐゴシック"/>
      <family val="3"/>
      <charset val="128"/>
      <scheme val="minor"/>
    </font>
    <font>
      <b/>
      <sz val="16"/>
      <color rgb="FF0070C0"/>
      <name val="ＭＳ Ｐゴシック"/>
      <family val="3"/>
      <charset val="128"/>
    </font>
    <font>
      <sz val="11"/>
      <name val="ＭＳ Ｐゴシック"/>
      <family val="3"/>
      <charset val="128"/>
      <scheme val="minor"/>
    </font>
    <font>
      <sz val="6"/>
      <name val="ＭＳ Ｐ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rgb="FFFFFF99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30">
    <xf numFmtId="0" fontId="0" fillId="0" borderId="0" xfId="0" applyFont="1">
      <alignment vertical="center"/>
    </xf>
    <xf numFmtId="0" fontId="0" fillId="0" borderId="0" xfId="0" applyFont="1">
      <alignment vertical="center"/>
    </xf>
    <xf numFmtId="3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 shrinkToFit="1"/>
    </xf>
    <xf numFmtId="0" fontId="0" fillId="0" borderId="1" xfId="0" applyFont="1" applyBorder="1" applyAlignment="1">
      <alignment vertical="center" shrinkToFit="1"/>
    </xf>
    <xf numFmtId="176" fontId="0" fillId="0" borderId="1" xfId="0" applyNumberFormat="1" applyFont="1" applyBorder="1">
      <alignment vertical="center"/>
    </xf>
    <xf numFmtId="177" fontId="0" fillId="0" borderId="1" xfId="0" applyNumberFormat="1" applyFont="1" applyBorder="1" applyAlignment="1">
      <alignment horizontal="center" vertical="center"/>
    </xf>
    <xf numFmtId="176" fontId="0" fillId="0" borderId="1" xfId="0" applyNumberFormat="1" applyFont="1" applyBorder="1" applyAlignment="1">
      <alignment horizontal="right" vertical="center"/>
    </xf>
    <xf numFmtId="177" fontId="0" fillId="0" borderId="1" xfId="0" applyNumberFormat="1" applyFont="1" applyBorder="1" applyAlignment="1">
      <alignment horizontal="right" vertical="center"/>
    </xf>
    <xf numFmtId="176" fontId="0" fillId="0" borderId="1" xfId="0" applyNumberFormat="1" applyFont="1" applyBorder="1" applyAlignment="1"/>
    <xf numFmtId="0" fontId="0" fillId="0" borderId="1" xfId="0" applyFont="1" applyBorder="1" applyAlignment="1">
      <alignment horizontal="center" vertical="center"/>
    </xf>
    <xf numFmtId="178" fontId="0" fillId="0" borderId="1" xfId="0" applyNumberFormat="1" applyFont="1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/>
    </xf>
    <xf numFmtId="176" fontId="0" fillId="0" borderId="0" xfId="0" applyNumberFormat="1" applyFont="1">
      <alignment vertical="center"/>
    </xf>
    <xf numFmtId="179" fontId="0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0" fillId="0" borderId="0" xfId="0" applyFont="1" applyAlignment="1">
      <alignment horizontal="right" vertical="center"/>
    </xf>
    <xf numFmtId="179" fontId="0" fillId="0" borderId="0" xfId="0" applyNumberFormat="1" applyFont="1">
      <alignment vertical="center"/>
    </xf>
    <xf numFmtId="178" fontId="0" fillId="0" borderId="0" xfId="0" applyNumberFormat="1" applyFont="1">
      <alignment vertical="center"/>
    </xf>
    <xf numFmtId="0" fontId="0" fillId="0" borderId="0" xfId="0" applyFont="1" applyAlignment="1">
      <alignment vertical="center" wrapText="1"/>
    </xf>
    <xf numFmtId="0" fontId="0" fillId="0" borderId="0" xfId="0" applyFont="1">
      <alignment vertical="center"/>
    </xf>
    <xf numFmtId="0" fontId="0" fillId="0" borderId="0" xfId="0" applyFont="1" applyAlignment="1">
      <alignment vertical="center" shrinkToFit="1"/>
    </xf>
    <xf numFmtId="179" fontId="0" fillId="0" borderId="0" xfId="0" applyNumberFormat="1" applyFont="1" applyAlignment="1">
      <alignment horizontal="center" vertical="center"/>
    </xf>
    <xf numFmtId="177" fontId="0" fillId="0" borderId="0" xfId="0" applyNumberFormat="1" applyFont="1">
      <alignment vertical="center"/>
    </xf>
    <xf numFmtId="0" fontId="3" fillId="0" borderId="0" xfId="0" applyFont="1">
      <alignment vertical="center"/>
    </xf>
    <xf numFmtId="0" fontId="3" fillId="0" borderId="0" xfId="0" applyFont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/>
    <xf numFmtId="0" fontId="3" fillId="0" borderId="1" xfId="0" applyFont="1" applyBorder="1" applyAlignment="1">
      <alignment vertical="center" shrinkToFi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177" fontId="3" fillId="0" borderId="0" xfId="0" applyNumberFormat="1" applyFont="1">
      <alignment vertical="center"/>
    </xf>
    <xf numFmtId="179" fontId="3" fillId="0" borderId="1" xfId="0" applyNumberFormat="1" applyFont="1" applyBorder="1" applyAlignment="1">
      <alignment horizontal="center" vertical="center"/>
    </xf>
    <xf numFmtId="177" fontId="3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 shrinkToFit="1"/>
    </xf>
    <xf numFmtId="177" fontId="3" fillId="0" borderId="1" xfId="0" applyNumberFormat="1" applyFont="1" applyBorder="1" applyAlignment="1">
      <alignment horizontal="right" vertical="center"/>
    </xf>
    <xf numFmtId="0" fontId="4" fillId="0" borderId="0" xfId="0" applyFont="1" applyAlignment="1">
      <alignment horizontal="left" vertical="center"/>
    </xf>
    <xf numFmtId="178" fontId="3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176" fontId="0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0" fontId="0" fillId="0" borderId="2" xfId="0" applyFont="1" applyBorder="1">
      <alignment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Font="1" applyBorder="1" applyAlignment="1">
      <alignment horizontal="left" vertical="center" shrinkToFit="1"/>
    </xf>
    <xf numFmtId="0" fontId="1" fillId="0" borderId="1" xfId="0" applyFont="1" applyBorder="1">
      <alignment vertical="center"/>
    </xf>
    <xf numFmtId="0" fontId="1" fillId="0" borderId="1" xfId="0" applyFont="1" applyBorder="1" applyAlignment="1">
      <alignment horizontal="center" vertical="center"/>
    </xf>
    <xf numFmtId="176" fontId="0" fillId="0" borderId="0" xfId="0" applyNumberFormat="1" applyFont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5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/>
    <xf numFmtId="0" fontId="5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vertical="center" shrinkToFit="1"/>
    </xf>
    <xf numFmtId="0" fontId="3" fillId="0" borderId="1" xfId="0" applyFont="1" applyFill="1" applyBorder="1" applyAlignment="1">
      <alignment horizontal="center" vertical="center" shrinkToFit="1"/>
    </xf>
    <xf numFmtId="179" fontId="3" fillId="0" borderId="1" xfId="0" applyNumberFormat="1" applyFont="1" applyFill="1" applyBorder="1" applyAlignment="1">
      <alignment horizontal="center" vertical="center"/>
    </xf>
    <xf numFmtId="177" fontId="3" fillId="0" borderId="1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0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3" fontId="0" fillId="0" borderId="1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left" vertical="center"/>
    </xf>
    <xf numFmtId="0" fontId="0" fillId="0" borderId="1" xfId="0" applyFont="1" applyFill="1" applyBorder="1" applyAlignment="1">
      <alignment horizontal="center" vertical="center"/>
    </xf>
    <xf numFmtId="176" fontId="0" fillId="0" borderId="1" xfId="0" applyNumberFormat="1" applyFont="1" applyFill="1" applyBorder="1" applyAlignment="1">
      <alignment horizontal="right" vertical="center"/>
    </xf>
    <xf numFmtId="0" fontId="0" fillId="0" borderId="1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1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/>
    </xf>
    <xf numFmtId="0" fontId="0" fillId="0" borderId="1" xfId="0" applyFont="1" applyFill="1" applyBorder="1" applyAlignment="1">
      <alignment horizontal="left" vertical="center"/>
    </xf>
    <xf numFmtId="176" fontId="0" fillId="0" borderId="1" xfId="0" applyNumberFormat="1" applyFont="1" applyFill="1" applyBorder="1">
      <alignment vertical="center"/>
    </xf>
    <xf numFmtId="0" fontId="0" fillId="0" borderId="1" xfId="0" applyFont="1" applyFill="1" applyBorder="1" applyAlignment="1">
      <alignment vertical="center" wrapText="1"/>
    </xf>
    <xf numFmtId="0" fontId="3" fillId="0" borderId="1" xfId="0" applyFont="1" applyFill="1" applyBorder="1" applyAlignment="1">
      <alignment horizontal="left" vertical="center" shrinkToFit="1"/>
    </xf>
    <xf numFmtId="176" fontId="3" fillId="0" borderId="1" xfId="0" applyNumberFormat="1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/>
    <xf numFmtId="0" fontId="3" fillId="0" borderId="1" xfId="0" applyFont="1" applyFill="1" applyBorder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49" fontId="8" fillId="0" borderId="1" xfId="0" applyNumberFormat="1" applyFont="1" applyBorder="1" applyAlignment="1">
      <alignment horizontal="left" vertical="center" shrinkToFit="1"/>
    </xf>
    <xf numFmtId="180" fontId="1" fillId="0" borderId="1" xfId="0" applyNumberFormat="1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81" fontId="9" fillId="0" borderId="1" xfId="0" applyNumberFormat="1" applyFont="1" applyBorder="1" applyAlignment="1">
      <alignment horizontal="center" vertical="center"/>
    </xf>
    <xf numFmtId="0" fontId="10" fillId="0" borderId="0" xfId="0" applyFont="1">
      <alignment vertical="center"/>
    </xf>
    <xf numFmtId="0" fontId="8" fillId="3" borderId="1" xfId="0" applyFont="1" applyFill="1" applyBorder="1" applyAlignment="1">
      <alignment vertical="center" shrinkToFit="1"/>
    </xf>
    <xf numFmtId="0" fontId="1" fillId="0" borderId="0" xfId="0" applyFont="1" applyAlignment="1">
      <alignment horizontal="center" vertical="center"/>
    </xf>
    <xf numFmtId="3" fontId="3" fillId="0" borderId="4" xfId="0" applyNumberFormat="1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3" fillId="0" borderId="4" xfId="0" applyFont="1" applyFill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5" xfId="0" applyFont="1" applyBorder="1" applyAlignment="1">
      <alignment horizontal="center" vertical="center"/>
    </xf>
    <xf numFmtId="0" fontId="0" fillId="0" borderId="5" xfId="0" applyFont="1" applyBorder="1">
      <alignment vertical="center"/>
    </xf>
    <xf numFmtId="176" fontId="0" fillId="0" borderId="2" xfId="0" applyNumberFormat="1" applyFont="1" applyBorder="1">
      <alignment vertical="center"/>
    </xf>
    <xf numFmtId="176" fontId="0" fillId="0" borderId="2" xfId="0" applyNumberFormat="1" applyFont="1" applyFill="1" applyBorder="1">
      <alignment vertical="center"/>
    </xf>
    <xf numFmtId="0" fontId="3" fillId="0" borderId="4" xfId="0" applyFont="1" applyBorder="1" applyAlignment="1">
      <alignment vertical="center" shrinkToFit="1"/>
    </xf>
    <xf numFmtId="0" fontId="3" fillId="0" borderId="4" xfId="0" applyFont="1" applyFill="1" applyBorder="1" applyAlignment="1">
      <alignment vertical="center" shrinkToFit="1"/>
    </xf>
    <xf numFmtId="0" fontId="8" fillId="0" borderId="6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5" xfId="0" applyFont="1" applyFill="1" applyBorder="1" applyAlignment="1">
      <alignment horizontal="left" vertical="center"/>
    </xf>
    <xf numFmtId="176" fontId="14" fillId="6" borderId="1" xfId="0" applyNumberFormat="1" applyFont="1" applyFill="1" applyBorder="1" applyAlignment="1">
      <alignment horizontal="center" vertical="center"/>
    </xf>
    <xf numFmtId="176" fontId="15" fillId="0" borderId="1" xfId="0" applyNumberFormat="1" applyFont="1" applyBorder="1">
      <alignment vertical="center"/>
    </xf>
    <xf numFmtId="3" fontId="0" fillId="7" borderId="1" xfId="0" applyNumberFormat="1" applyFont="1" applyFill="1" applyBorder="1" applyAlignment="1">
      <alignment horizontal="center" vertical="center"/>
    </xf>
    <xf numFmtId="0" fontId="8" fillId="7" borderId="1" xfId="0" applyFont="1" applyFill="1" applyBorder="1" applyAlignment="1">
      <alignment vertical="center" shrinkToFit="1"/>
    </xf>
    <xf numFmtId="176" fontId="0" fillId="7" borderId="1" xfId="0" applyNumberFormat="1" applyFont="1" applyFill="1" applyBorder="1" applyAlignment="1">
      <alignment horizontal="center" vertical="center"/>
    </xf>
    <xf numFmtId="176" fontId="3" fillId="7" borderId="1" xfId="0" applyNumberFormat="1" applyFont="1" applyFill="1" applyBorder="1" applyAlignment="1"/>
    <xf numFmtId="0" fontId="8" fillId="7" borderId="1" xfId="0" applyFont="1" applyFill="1" applyBorder="1">
      <alignment vertical="center"/>
    </xf>
    <xf numFmtId="0" fontId="3" fillId="7" borderId="1" xfId="0" applyFont="1" applyFill="1" applyBorder="1" applyAlignment="1">
      <alignment horizontal="center" vertical="center" shrinkToFit="1"/>
    </xf>
    <xf numFmtId="179" fontId="3" fillId="7" borderId="1" xfId="0" applyNumberFormat="1" applyFont="1" applyFill="1" applyBorder="1" applyAlignment="1">
      <alignment horizontal="center" vertical="center"/>
    </xf>
    <xf numFmtId="177" fontId="3" fillId="7" borderId="1" xfId="0" applyNumberFormat="1" applyFont="1" applyFill="1" applyBorder="1" applyAlignment="1">
      <alignment horizontal="center" vertical="center"/>
    </xf>
    <xf numFmtId="178" fontId="3" fillId="7" borderId="1" xfId="0" applyNumberFormat="1" applyFont="1" applyFill="1" applyBorder="1" applyAlignment="1">
      <alignment horizontal="center" vertical="center"/>
    </xf>
    <xf numFmtId="3" fontId="8" fillId="7" borderId="1" xfId="0" applyNumberFormat="1" applyFont="1" applyFill="1" applyBorder="1" applyAlignment="1">
      <alignment horizontal="center" vertical="center"/>
    </xf>
    <xf numFmtId="3" fontId="16" fillId="0" borderId="5" xfId="0" applyNumberFormat="1" applyFont="1" applyFill="1" applyBorder="1" applyAlignment="1">
      <alignment horizontal="center" vertical="center"/>
    </xf>
    <xf numFmtId="49" fontId="16" fillId="0" borderId="5" xfId="0" applyNumberFormat="1" applyFont="1" applyFill="1" applyBorder="1" applyAlignment="1">
      <alignment horizontal="left" vertical="center"/>
    </xf>
    <xf numFmtId="0" fontId="16" fillId="0" borderId="5" xfId="0" applyFont="1" applyFill="1" applyBorder="1" applyAlignment="1">
      <alignment horizontal="center" vertical="center"/>
    </xf>
    <xf numFmtId="176" fontId="16" fillId="0" borderId="5" xfId="0" applyNumberFormat="1" applyFont="1" applyFill="1" applyBorder="1" applyAlignment="1">
      <alignment vertical="center"/>
    </xf>
    <xf numFmtId="0" fontId="16" fillId="0" borderId="7" xfId="0" applyFont="1" applyFill="1" applyBorder="1" applyAlignment="1">
      <alignment horizontal="center" vertical="center"/>
    </xf>
    <xf numFmtId="0" fontId="16" fillId="0" borderId="5" xfId="0" applyFont="1" applyFill="1" applyBorder="1" applyAlignment="1">
      <alignment vertical="center"/>
    </xf>
    <xf numFmtId="3" fontId="8" fillId="0" borderId="1" xfId="0" applyNumberFormat="1" applyFont="1" applyBorder="1" applyAlignment="1">
      <alignment horizontal="center" vertical="center"/>
    </xf>
    <xf numFmtId="0" fontId="0" fillId="8" borderId="5" xfId="0" applyFont="1" applyFill="1" applyBorder="1" applyAlignment="1">
      <alignment horizontal="center" vertical="center"/>
    </xf>
    <xf numFmtId="179" fontId="4" fillId="0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9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2:R77"/>
  <sheetViews>
    <sheetView tabSelected="1" zoomScaleNormal="100" workbookViewId="0">
      <pane xSplit="10" ySplit="8" topLeftCell="M9" activePane="bottomRight" state="frozen"/>
      <selection activeCell="J28" sqref="J28"/>
      <selection pane="topRight" activeCell="J28" sqref="J28"/>
      <selection pane="bottomLeft" activeCell="J28" sqref="J28"/>
      <selection pane="bottomRight" activeCell="P47" sqref="P47"/>
    </sheetView>
  </sheetViews>
  <sheetFormatPr defaultColWidth="10.5" defaultRowHeight="13.5" customHeight="1" x14ac:dyDescent="0.15"/>
  <cols>
    <col min="1" max="1" width="9.5" style="20" customWidth="1"/>
    <col min="2" max="2" width="7.875" style="50" customWidth="1"/>
    <col min="3" max="3" width="15.75" style="20" customWidth="1"/>
    <col min="4" max="4" width="13.25" style="20" customWidth="1"/>
    <col min="5" max="5" width="29" style="20" customWidth="1"/>
    <col min="6" max="6" width="6.625" style="50" customWidth="1"/>
    <col min="7" max="7" width="9.25" style="50" customWidth="1"/>
    <col min="8" max="8" width="10.25" style="50" customWidth="1"/>
    <col min="9" max="9" width="6.375" style="16" customWidth="1"/>
    <col min="10" max="10" width="45.625" style="20" customWidth="1"/>
    <col min="11" max="11" width="19.875" style="20" customWidth="1"/>
    <col min="12" max="12" width="7.375" style="50" customWidth="1"/>
    <col min="13" max="13" width="15.25" style="50" customWidth="1"/>
    <col min="14" max="14" width="7.125" style="20" customWidth="1"/>
    <col min="15" max="15" width="14.75" style="16" customWidth="1"/>
    <col min="16" max="16" width="25.625" style="23" customWidth="1"/>
    <col min="17" max="17" width="17.375" style="23" customWidth="1"/>
    <col min="18" max="16384" width="10.5" style="20"/>
  </cols>
  <sheetData>
    <row r="2" spans="1:18" ht="20.100000000000001" customHeight="1" x14ac:dyDescent="0.15">
      <c r="B2" s="126" t="s">
        <v>0</v>
      </c>
      <c r="C2" s="126"/>
      <c r="D2" s="126"/>
      <c r="E2" s="83" t="s">
        <v>63</v>
      </c>
      <c r="F2" s="36"/>
      <c r="G2" s="127" t="s">
        <v>1</v>
      </c>
      <c r="H2" s="128"/>
      <c r="I2" s="129"/>
      <c r="J2" s="106">
        <f>SUM(H:H)</f>
        <v>213708</v>
      </c>
      <c r="K2" s="24"/>
      <c r="L2" s="36"/>
      <c r="M2" s="36"/>
      <c r="N2" s="24"/>
      <c r="O2" s="25"/>
      <c r="P2" s="33"/>
      <c r="Q2" s="33"/>
      <c r="R2" s="24"/>
    </row>
    <row r="3" spans="1:18" ht="20.100000000000001" customHeight="1" x14ac:dyDescent="0.15">
      <c r="B3" s="126" t="s">
        <v>2</v>
      </c>
      <c r="C3" s="126"/>
      <c r="D3" s="126"/>
      <c r="E3" s="83" t="s">
        <v>68</v>
      </c>
      <c r="F3" s="36"/>
      <c r="G3" s="36"/>
      <c r="H3" s="36"/>
      <c r="I3" s="25"/>
      <c r="J3" s="24"/>
      <c r="K3" s="24"/>
      <c r="L3" s="36"/>
      <c r="M3" s="36"/>
      <c r="N3" s="24"/>
      <c r="O3" s="25"/>
      <c r="P3" s="33"/>
      <c r="Q3" s="33"/>
      <c r="R3" s="24"/>
    </row>
    <row r="4" spans="1:18" ht="20.100000000000001" customHeight="1" x14ac:dyDescent="0.15">
      <c r="B4" s="126" t="s">
        <v>3</v>
      </c>
      <c r="C4" s="126"/>
      <c r="D4" s="126"/>
      <c r="E4" s="83">
        <v>161755</v>
      </c>
      <c r="F4" s="36"/>
      <c r="G4" s="36"/>
      <c r="H4" s="36"/>
      <c r="I4" s="25"/>
      <c r="J4" s="24"/>
      <c r="K4" s="24"/>
      <c r="L4" s="36"/>
      <c r="M4" s="36"/>
      <c r="N4" s="24"/>
      <c r="O4" s="25"/>
      <c r="P4" s="33"/>
      <c r="Q4" s="33"/>
      <c r="R4" s="24"/>
    </row>
    <row r="5" spans="1:18" ht="20.100000000000001" customHeight="1" x14ac:dyDescent="0.15">
      <c r="B5" s="126" t="s">
        <v>4</v>
      </c>
      <c r="C5" s="126"/>
      <c r="D5" s="126"/>
      <c r="E5" s="84">
        <v>43403</v>
      </c>
      <c r="F5" s="36"/>
      <c r="G5" s="36"/>
      <c r="H5" s="64"/>
      <c r="I5" s="39"/>
      <c r="J5" s="24"/>
      <c r="K5" s="24"/>
      <c r="L5" s="36"/>
      <c r="M5" s="36"/>
      <c r="N5" s="24"/>
      <c r="O5" s="25"/>
      <c r="P5" s="33"/>
      <c r="Q5" s="33"/>
      <c r="R5" s="24"/>
    </row>
    <row r="6" spans="1:18" ht="20.100000000000001" customHeight="1" x14ac:dyDescent="0.15">
      <c r="B6" s="126" t="s">
        <v>5</v>
      </c>
      <c r="C6" s="126"/>
      <c r="D6" s="126"/>
      <c r="E6" s="84">
        <v>43404</v>
      </c>
      <c r="F6" s="36"/>
      <c r="G6" s="36"/>
      <c r="H6" s="36"/>
      <c r="I6" s="25"/>
      <c r="J6" s="24"/>
      <c r="K6" s="24"/>
      <c r="L6" s="36"/>
      <c r="M6" s="36"/>
      <c r="N6" s="24"/>
      <c r="O6" s="25"/>
      <c r="P6" s="33"/>
      <c r="Q6" s="33"/>
      <c r="R6" s="24"/>
    </row>
    <row r="7" spans="1:18" ht="13.5" customHeight="1" x14ac:dyDescent="0.15">
      <c r="B7" s="36"/>
      <c r="C7" s="24"/>
      <c r="D7" s="24"/>
      <c r="E7" s="24"/>
      <c r="F7" s="36"/>
      <c r="G7" s="36"/>
      <c r="H7" s="36"/>
      <c r="I7" s="25"/>
      <c r="J7" s="24"/>
      <c r="K7" s="24"/>
      <c r="L7" s="36"/>
      <c r="M7" s="36"/>
      <c r="N7" s="24"/>
      <c r="O7" s="25"/>
      <c r="P7" s="33"/>
      <c r="Q7" s="33"/>
      <c r="R7" s="24"/>
    </row>
    <row r="8" spans="1:18" s="50" customFormat="1" ht="19.5" customHeight="1" x14ac:dyDescent="0.15">
      <c r="A8" s="89" t="s">
        <v>87</v>
      </c>
      <c r="B8" s="88" t="s">
        <v>6</v>
      </c>
      <c r="C8" s="26" t="s">
        <v>7</v>
      </c>
      <c r="D8" s="26" t="s">
        <v>8</v>
      </c>
      <c r="E8" s="32" t="s">
        <v>9</v>
      </c>
      <c r="F8" s="32" t="s">
        <v>10</v>
      </c>
      <c r="G8" s="32" t="s">
        <v>11</v>
      </c>
      <c r="H8" s="27" t="s">
        <v>12</v>
      </c>
      <c r="I8" s="27" t="s">
        <v>13</v>
      </c>
      <c r="J8" s="32" t="s">
        <v>14</v>
      </c>
      <c r="K8" s="32" t="s">
        <v>15</v>
      </c>
      <c r="L8" s="32" t="s">
        <v>16</v>
      </c>
      <c r="M8" s="26" t="s">
        <v>17</v>
      </c>
      <c r="N8" s="26" t="s">
        <v>18</v>
      </c>
      <c r="O8" s="32" t="s">
        <v>19</v>
      </c>
      <c r="P8" s="34" t="s">
        <v>20</v>
      </c>
      <c r="Q8" s="35" t="s">
        <v>21</v>
      </c>
      <c r="R8" s="36"/>
    </row>
    <row r="9" spans="1:18" s="50" customFormat="1" ht="18" customHeight="1" x14ac:dyDescent="0.15">
      <c r="A9" s="91">
        <v>8</v>
      </c>
      <c r="B9" s="90">
        <v>1</v>
      </c>
      <c r="C9" s="43" t="s">
        <v>51</v>
      </c>
      <c r="D9" s="43" t="s">
        <v>51</v>
      </c>
      <c r="E9" s="81" t="s">
        <v>71</v>
      </c>
      <c r="F9" s="10">
        <v>1</v>
      </c>
      <c r="G9" s="54">
        <v>21000</v>
      </c>
      <c r="H9" s="42">
        <f t="shared" ref="H9:H37" si="0">F9*G9</f>
        <v>21000</v>
      </c>
      <c r="I9" s="44"/>
      <c r="J9" s="46" t="s">
        <v>22</v>
      </c>
      <c r="K9" s="30" t="s">
        <v>52</v>
      </c>
      <c r="L9" s="37"/>
      <c r="M9" s="34">
        <v>43388</v>
      </c>
      <c r="N9" s="35"/>
      <c r="O9" s="34"/>
      <c r="P9" s="59" t="s">
        <v>99</v>
      </c>
      <c r="Q9" s="40"/>
      <c r="R9" s="39"/>
    </row>
    <row r="10" spans="1:18" s="50" customFormat="1" ht="18" customHeight="1" x14ac:dyDescent="0.15">
      <c r="A10" s="91">
        <v>8</v>
      </c>
      <c r="B10" s="90">
        <f>+B9+1</f>
        <v>2</v>
      </c>
      <c r="C10" s="43" t="s">
        <v>51</v>
      </c>
      <c r="D10" s="43" t="s">
        <v>51</v>
      </c>
      <c r="E10" s="81" t="s">
        <v>72</v>
      </c>
      <c r="F10" s="10">
        <v>1</v>
      </c>
      <c r="G10" s="54">
        <v>6000</v>
      </c>
      <c r="H10" s="42">
        <f t="shared" si="0"/>
        <v>6000</v>
      </c>
      <c r="I10" s="9"/>
      <c r="J10" s="15" t="s">
        <v>23</v>
      </c>
      <c r="K10" s="30" t="s">
        <v>52</v>
      </c>
      <c r="L10" s="37"/>
      <c r="M10" s="34">
        <v>43388</v>
      </c>
      <c r="N10" s="35"/>
      <c r="O10" s="34"/>
      <c r="P10" s="59" t="s">
        <v>99</v>
      </c>
      <c r="Q10" s="40"/>
      <c r="R10" s="39"/>
    </row>
    <row r="11" spans="1:18" s="50" customFormat="1" ht="18" customHeight="1" x14ac:dyDescent="0.15">
      <c r="A11" s="91">
        <v>8</v>
      </c>
      <c r="B11" s="90">
        <f t="shared" ref="B11:B42" si="1">+B10+1</f>
        <v>3</v>
      </c>
      <c r="C11" s="43" t="s">
        <v>51</v>
      </c>
      <c r="D11" s="43" t="s">
        <v>51</v>
      </c>
      <c r="E11" s="81" t="s">
        <v>73</v>
      </c>
      <c r="F11" s="48">
        <v>1</v>
      </c>
      <c r="G11" s="82">
        <v>2800</v>
      </c>
      <c r="H11" s="42">
        <f t="shared" si="0"/>
        <v>2800</v>
      </c>
      <c r="I11" s="9"/>
      <c r="J11" s="45" t="s">
        <v>24</v>
      </c>
      <c r="K11" s="30" t="s">
        <v>52</v>
      </c>
      <c r="L11" s="37"/>
      <c r="M11" s="34">
        <v>43388</v>
      </c>
      <c r="N11" s="35"/>
      <c r="O11" s="34"/>
      <c r="P11" s="59" t="s">
        <v>99</v>
      </c>
      <c r="Q11" s="40"/>
      <c r="R11" s="39"/>
    </row>
    <row r="12" spans="1:18" s="50" customFormat="1" ht="18" customHeight="1" x14ac:dyDescent="0.15">
      <c r="A12" s="91">
        <v>8</v>
      </c>
      <c r="B12" s="90">
        <f t="shared" si="1"/>
        <v>4</v>
      </c>
      <c r="C12" s="43" t="s">
        <v>51</v>
      </c>
      <c r="D12" s="43" t="s">
        <v>51</v>
      </c>
      <c r="E12" s="81" t="s">
        <v>74</v>
      </c>
      <c r="F12" s="28">
        <v>1</v>
      </c>
      <c r="G12" s="51">
        <v>7000</v>
      </c>
      <c r="H12" s="42">
        <f t="shared" si="0"/>
        <v>7000</v>
      </c>
      <c r="I12" s="29"/>
      <c r="J12" s="15" t="s">
        <v>27</v>
      </c>
      <c r="K12" s="30" t="s">
        <v>52</v>
      </c>
      <c r="L12" s="37"/>
      <c r="M12" s="34">
        <v>43388</v>
      </c>
      <c r="N12" s="35"/>
      <c r="O12" s="34"/>
      <c r="P12" s="59" t="s">
        <v>99</v>
      </c>
      <c r="Q12" s="40"/>
      <c r="R12" s="39"/>
    </row>
    <row r="13" spans="1:18" s="50" customFormat="1" ht="18" customHeight="1" x14ac:dyDescent="0.15">
      <c r="A13" s="91">
        <v>8</v>
      </c>
      <c r="B13" s="90">
        <f t="shared" si="1"/>
        <v>5</v>
      </c>
      <c r="C13" s="43" t="s">
        <v>51</v>
      </c>
      <c r="D13" s="43" t="s">
        <v>51</v>
      </c>
      <c r="E13" s="81" t="s">
        <v>75</v>
      </c>
      <c r="F13" s="28">
        <v>1</v>
      </c>
      <c r="G13" s="51">
        <v>8500</v>
      </c>
      <c r="H13" s="42">
        <f t="shared" si="0"/>
        <v>8500</v>
      </c>
      <c r="I13" s="29"/>
      <c r="J13" s="46" t="s">
        <v>26</v>
      </c>
      <c r="K13" s="30" t="s">
        <v>52</v>
      </c>
      <c r="L13" s="37"/>
      <c r="M13" s="34">
        <v>43388</v>
      </c>
      <c r="N13" s="35"/>
      <c r="O13" s="34"/>
      <c r="P13" s="59" t="s">
        <v>99</v>
      </c>
      <c r="Q13" s="40"/>
      <c r="R13" s="39"/>
    </row>
    <row r="14" spans="1:18" s="50" customFormat="1" ht="18" customHeight="1" x14ac:dyDescent="0.15">
      <c r="A14" s="91">
        <v>8</v>
      </c>
      <c r="B14" s="90">
        <f t="shared" si="1"/>
        <v>6</v>
      </c>
      <c r="C14" s="43" t="s">
        <v>51</v>
      </c>
      <c r="D14" s="43" t="s">
        <v>51</v>
      </c>
      <c r="E14" s="81" t="s">
        <v>76</v>
      </c>
      <c r="F14" s="28">
        <v>1</v>
      </c>
      <c r="G14" s="51">
        <v>6200</v>
      </c>
      <c r="H14" s="42">
        <f t="shared" si="0"/>
        <v>6200</v>
      </c>
      <c r="I14" s="29"/>
      <c r="J14" s="15" t="s">
        <v>25</v>
      </c>
      <c r="K14" s="30" t="s">
        <v>52</v>
      </c>
      <c r="L14" s="37"/>
      <c r="M14" s="34">
        <v>43388</v>
      </c>
      <c r="N14" s="35"/>
      <c r="O14" s="34"/>
      <c r="P14" s="59" t="s">
        <v>99</v>
      </c>
      <c r="Q14" s="40"/>
      <c r="R14" s="39"/>
    </row>
    <row r="15" spans="1:18" s="50" customFormat="1" ht="18" customHeight="1" x14ac:dyDescent="0.15">
      <c r="A15" s="91">
        <v>8</v>
      </c>
      <c r="B15" s="90">
        <f t="shared" si="1"/>
        <v>7</v>
      </c>
      <c r="C15" s="43" t="s">
        <v>51</v>
      </c>
      <c r="D15" s="43" t="s">
        <v>51</v>
      </c>
      <c r="E15" s="81" t="s">
        <v>77</v>
      </c>
      <c r="F15" s="28">
        <v>1</v>
      </c>
      <c r="G15" s="51">
        <v>6000</v>
      </c>
      <c r="H15" s="42">
        <f t="shared" si="0"/>
        <v>6000</v>
      </c>
      <c r="I15" s="29"/>
      <c r="J15" s="15" t="s">
        <v>29</v>
      </c>
      <c r="K15" s="30" t="s">
        <v>52</v>
      </c>
      <c r="L15" s="37"/>
      <c r="M15" s="34">
        <v>43388</v>
      </c>
      <c r="N15" s="35"/>
      <c r="O15" s="34"/>
      <c r="P15" s="59" t="s">
        <v>99</v>
      </c>
      <c r="Q15" s="40"/>
      <c r="R15" s="39"/>
    </row>
    <row r="16" spans="1:18" s="50" customFormat="1" ht="18" customHeight="1" x14ac:dyDescent="0.15">
      <c r="A16" s="91">
        <v>8</v>
      </c>
      <c r="B16" s="90">
        <f t="shared" si="1"/>
        <v>8</v>
      </c>
      <c r="C16" s="43" t="s">
        <v>51</v>
      </c>
      <c r="D16" s="43" t="s">
        <v>51</v>
      </c>
      <c r="E16" s="81" t="s">
        <v>78</v>
      </c>
      <c r="F16" s="28">
        <v>1</v>
      </c>
      <c r="G16" s="51">
        <v>6000</v>
      </c>
      <c r="H16" s="42">
        <f t="shared" si="0"/>
        <v>6000</v>
      </c>
      <c r="I16" s="29"/>
      <c r="J16" s="15" t="s">
        <v>28</v>
      </c>
      <c r="K16" s="30" t="s">
        <v>52</v>
      </c>
      <c r="L16" s="37"/>
      <c r="M16" s="34">
        <v>43388</v>
      </c>
      <c r="N16" s="35"/>
      <c r="O16" s="34"/>
      <c r="P16" s="59" t="s">
        <v>99</v>
      </c>
      <c r="Q16" s="40"/>
      <c r="R16" s="39"/>
    </row>
    <row r="17" spans="1:18" s="63" customFormat="1" ht="18" customHeight="1" x14ac:dyDescent="0.15">
      <c r="A17" s="91">
        <v>8</v>
      </c>
      <c r="B17" s="90">
        <f>+B16+1</f>
        <v>9</v>
      </c>
      <c r="C17" s="51" t="s">
        <v>30</v>
      </c>
      <c r="D17" s="51" t="s">
        <v>30</v>
      </c>
      <c r="E17" s="52" t="s">
        <v>53</v>
      </c>
      <c r="F17" s="53">
        <v>2</v>
      </c>
      <c r="G17" s="53">
        <v>840</v>
      </c>
      <c r="H17" s="42">
        <f t="shared" si="0"/>
        <v>1680</v>
      </c>
      <c r="I17" s="55"/>
      <c r="J17" s="56" t="s">
        <v>54</v>
      </c>
      <c r="K17" s="57"/>
      <c r="L17" s="58"/>
      <c r="M17" s="59">
        <v>43388</v>
      </c>
      <c r="N17" s="60"/>
      <c r="O17" s="34"/>
      <c r="P17" s="59" t="s">
        <v>97</v>
      </c>
      <c r="Q17" s="61"/>
      <c r="R17" s="62"/>
    </row>
    <row r="18" spans="1:18" s="63" customFormat="1" ht="18" customHeight="1" x14ac:dyDescent="0.15">
      <c r="A18" s="91">
        <v>8</v>
      </c>
      <c r="B18" s="90">
        <f t="shared" si="1"/>
        <v>10</v>
      </c>
      <c r="C18" s="51" t="s">
        <v>30</v>
      </c>
      <c r="D18" s="51" t="s">
        <v>30</v>
      </c>
      <c r="E18" s="52" t="s">
        <v>55</v>
      </c>
      <c r="F18" s="53">
        <v>4</v>
      </c>
      <c r="G18" s="53">
        <v>490</v>
      </c>
      <c r="H18" s="42">
        <f t="shared" si="0"/>
        <v>1960</v>
      </c>
      <c r="I18" s="55"/>
      <c r="J18" s="56" t="s">
        <v>54</v>
      </c>
      <c r="K18" s="57"/>
      <c r="L18" s="58"/>
      <c r="M18" s="59">
        <v>43388</v>
      </c>
      <c r="N18" s="60"/>
      <c r="O18" s="34"/>
      <c r="P18" s="59" t="s">
        <v>97</v>
      </c>
      <c r="Q18" s="61"/>
      <c r="R18" s="64"/>
    </row>
    <row r="19" spans="1:18" s="63" customFormat="1" ht="18" customHeight="1" x14ac:dyDescent="0.15">
      <c r="A19" s="91">
        <v>8</v>
      </c>
      <c r="B19" s="90">
        <f t="shared" si="1"/>
        <v>11</v>
      </c>
      <c r="C19" s="65" t="s">
        <v>30</v>
      </c>
      <c r="D19" s="65" t="s">
        <v>30</v>
      </c>
      <c r="E19" s="66" t="s">
        <v>56</v>
      </c>
      <c r="F19" s="67">
        <v>2</v>
      </c>
      <c r="G19" s="54">
        <v>320</v>
      </c>
      <c r="H19" s="42">
        <f t="shared" si="0"/>
        <v>640</v>
      </c>
      <c r="I19" s="68"/>
      <c r="J19" s="69" t="s">
        <v>57</v>
      </c>
      <c r="K19" s="57"/>
      <c r="L19" s="58"/>
      <c r="M19" s="59">
        <v>43388</v>
      </c>
      <c r="N19" s="60"/>
      <c r="O19" s="34"/>
      <c r="P19" s="59" t="s">
        <v>97</v>
      </c>
      <c r="Q19" s="61"/>
      <c r="R19" s="64"/>
    </row>
    <row r="20" spans="1:18" s="63" customFormat="1" ht="18" customHeight="1" x14ac:dyDescent="0.15">
      <c r="A20" s="91">
        <v>8</v>
      </c>
      <c r="B20" s="90">
        <f t="shared" si="1"/>
        <v>12</v>
      </c>
      <c r="C20" s="51" t="s">
        <v>30</v>
      </c>
      <c r="D20" s="51" t="s">
        <v>30</v>
      </c>
      <c r="E20" s="70" t="s">
        <v>31</v>
      </c>
      <c r="F20" s="53">
        <v>40</v>
      </c>
      <c r="G20" s="53">
        <v>19</v>
      </c>
      <c r="H20" s="42">
        <f t="shared" si="0"/>
        <v>760</v>
      </c>
      <c r="I20" s="55"/>
      <c r="J20" s="71" t="s">
        <v>32</v>
      </c>
      <c r="K20" s="72"/>
      <c r="L20" s="58"/>
      <c r="M20" s="59">
        <v>43388</v>
      </c>
      <c r="N20" s="60"/>
      <c r="O20" s="34"/>
      <c r="P20" s="59" t="s">
        <v>97</v>
      </c>
      <c r="Q20" s="61"/>
      <c r="R20" s="64"/>
    </row>
    <row r="21" spans="1:18" s="63" customFormat="1" ht="18" customHeight="1" x14ac:dyDescent="0.15">
      <c r="A21" s="91">
        <v>8</v>
      </c>
      <c r="B21" s="90">
        <f t="shared" si="1"/>
        <v>13</v>
      </c>
      <c r="C21" s="65" t="s">
        <v>30</v>
      </c>
      <c r="D21" s="65" t="s">
        <v>30</v>
      </c>
      <c r="E21" s="73" t="s">
        <v>33</v>
      </c>
      <c r="F21" s="67">
        <v>15</v>
      </c>
      <c r="G21" s="54">
        <v>90</v>
      </c>
      <c r="H21" s="42">
        <f t="shared" si="0"/>
        <v>1350</v>
      </c>
      <c r="I21" s="74"/>
      <c r="J21" s="73" t="s">
        <v>34</v>
      </c>
      <c r="K21" s="72"/>
      <c r="L21" s="58"/>
      <c r="M21" s="59">
        <v>43388</v>
      </c>
      <c r="N21" s="60"/>
      <c r="O21" s="34"/>
      <c r="P21" s="59" t="s">
        <v>97</v>
      </c>
      <c r="Q21" s="61"/>
      <c r="R21" s="64"/>
    </row>
    <row r="22" spans="1:18" s="63" customFormat="1" ht="18" customHeight="1" x14ac:dyDescent="0.15">
      <c r="A22" s="91">
        <v>8</v>
      </c>
      <c r="B22" s="90">
        <f t="shared" si="1"/>
        <v>14</v>
      </c>
      <c r="C22" s="65" t="s">
        <v>30</v>
      </c>
      <c r="D22" s="65" t="s">
        <v>30</v>
      </c>
      <c r="E22" s="75" t="s">
        <v>58</v>
      </c>
      <c r="F22" s="67">
        <v>1</v>
      </c>
      <c r="G22" s="54">
        <v>16800</v>
      </c>
      <c r="H22" s="42">
        <f t="shared" si="0"/>
        <v>16800</v>
      </c>
      <c r="I22" s="74"/>
      <c r="J22" s="69" t="s">
        <v>35</v>
      </c>
      <c r="K22" s="72"/>
      <c r="L22" s="58"/>
      <c r="M22" s="59">
        <v>43388</v>
      </c>
      <c r="N22" s="60"/>
      <c r="O22" s="34"/>
      <c r="P22" s="59" t="s">
        <v>97</v>
      </c>
      <c r="Q22" s="61"/>
      <c r="R22" s="64"/>
    </row>
    <row r="23" spans="1:18" s="63" customFormat="1" ht="18" customHeight="1" x14ac:dyDescent="0.15">
      <c r="A23" s="91">
        <v>8</v>
      </c>
      <c r="B23" s="90">
        <f t="shared" si="1"/>
        <v>15</v>
      </c>
      <c r="C23" s="65" t="s">
        <v>30</v>
      </c>
      <c r="D23" s="65" t="s">
        <v>30</v>
      </c>
      <c r="E23" s="76" t="s">
        <v>36</v>
      </c>
      <c r="F23" s="77">
        <v>1</v>
      </c>
      <c r="G23" s="53">
        <v>62780</v>
      </c>
      <c r="H23" s="42">
        <f t="shared" si="0"/>
        <v>62780</v>
      </c>
      <c r="I23" s="78"/>
      <c r="J23" s="69" t="s">
        <v>37</v>
      </c>
      <c r="K23" s="72"/>
      <c r="L23" s="58"/>
      <c r="M23" s="59">
        <v>43388</v>
      </c>
      <c r="N23" s="60"/>
      <c r="O23" s="34"/>
      <c r="P23" s="59" t="s">
        <v>97</v>
      </c>
      <c r="Q23" s="61"/>
      <c r="R23" s="64"/>
    </row>
    <row r="24" spans="1:18" s="63" customFormat="1" ht="18" customHeight="1" x14ac:dyDescent="0.15">
      <c r="A24" s="91">
        <v>8</v>
      </c>
      <c r="B24" s="90">
        <f t="shared" si="1"/>
        <v>16</v>
      </c>
      <c r="C24" s="65" t="s">
        <v>30</v>
      </c>
      <c r="D24" s="65" t="s">
        <v>30</v>
      </c>
      <c r="E24" s="70" t="s">
        <v>38</v>
      </c>
      <c r="F24" s="53">
        <v>2</v>
      </c>
      <c r="G24" s="54">
        <v>75</v>
      </c>
      <c r="H24" s="42">
        <f t="shared" si="0"/>
        <v>150</v>
      </c>
      <c r="I24" s="74"/>
      <c r="J24" s="73" t="s">
        <v>39</v>
      </c>
      <c r="K24" s="79"/>
      <c r="L24" s="58"/>
      <c r="M24" s="59">
        <v>43388</v>
      </c>
      <c r="N24" s="60"/>
      <c r="O24" s="34"/>
      <c r="P24" s="59" t="s">
        <v>97</v>
      </c>
      <c r="Q24" s="61"/>
      <c r="R24" s="64"/>
    </row>
    <row r="25" spans="1:18" s="63" customFormat="1" ht="18" customHeight="1" x14ac:dyDescent="0.15">
      <c r="A25" s="91">
        <v>8</v>
      </c>
      <c r="B25" s="90">
        <f t="shared" si="1"/>
        <v>17</v>
      </c>
      <c r="C25" s="65" t="s">
        <v>30</v>
      </c>
      <c r="D25" s="65" t="s">
        <v>30</v>
      </c>
      <c r="E25" s="70" t="s">
        <v>40</v>
      </c>
      <c r="F25" s="53">
        <v>10</v>
      </c>
      <c r="G25" s="54">
        <v>30</v>
      </c>
      <c r="H25" s="42">
        <f t="shared" ref="H25:H32" si="2">F25*G25</f>
        <v>300</v>
      </c>
      <c r="I25" s="74"/>
      <c r="J25" s="73" t="s">
        <v>41</v>
      </c>
      <c r="K25" s="79"/>
      <c r="L25" s="58"/>
      <c r="M25" s="59">
        <v>43388</v>
      </c>
      <c r="N25" s="60"/>
      <c r="O25" s="34"/>
      <c r="P25" s="59" t="s">
        <v>97</v>
      </c>
      <c r="Q25" s="61"/>
      <c r="R25" s="64"/>
    </row>
    <row r="26" spans="1:18" s="63" customFormat="1" ht="18" customHeight="1" x14ac:dyDescent="0.15">
      <c r="A26" s="91">
        <v>8</v>
      </c>
      <c r="B26" s="90">
        <f t="shared" si="1"/>
        <v>18</v>
      </c>
      <c r="C26" s="65" t="s">
        <v>30</v>
      </c>
      <c r="D26" s="65" t="s">
        <v>30</v>
      </c>
      <c r="E26" s="70" t="s">
        <v>42</v>
      </c>
      <c r="F26" s="53">
        <v>10</v>
      </c>
      <c r="G26" s="54">
        <v>25</v>
      </c>
      <c r="H26" s="42">
        <f t="shared" si="2"/>
        <v>250</v>
      </c>
      <c r="I26" s="74"/>
      <c r="J26" s="73" t="s">
        <v>43</v>
      </c>
      <c r="K26" s="79"/>
      <c r="L26" s="58"/>
      <c r="M26" s="59">
        <v>43388</v>
      </c>
      <c r="N26" s="60"/>
      <c r="O26" s="34"/>
      <c r="P26" s="59" t="s">
        <v>97</v>
      </c>
      <c r="Q26" s="61"/>
      <c r="R26" s="64"/>
    </row>
    <row r="27" spans="1:18" s="63" customFormat="1" ht="18" customHeight="1" x14ac:dyDescent="0.15">
      <c r="A27" s="91">
        <v>8</v>
      </c>
      <c r="B27" s="90">
        <f t="shared" si="1"/>
        <v>19</v>
      </c>
      <c r="C27" s="65" t="s">
        <v>30</v>
      </c>
      <c r="D27" s="65" t="s">
        <v>30</v>
      </c>
      <c r="E27" s="70" t="s">
        <v>44</v>
      </c>
      <c r="F27" s="53">
        <v>10</v>
      </c>
      <c r="G27" s="54">
        <v>25</v>
      </c>
      <c r="H27" s="42">
        <f t="shared" si="2"/>
        <v>250</v>
      </c>
      <c r="I27" s="74"/>
      <c r="J27" s="73" t="s">
        <v>45</v>
      </c>
      <c r="K27" s="79"/>
      <c r="L27" s="58"/>
      <c r="M27" s="59">
        <v>43388</v>
      </c>
      <c r="N27" s="60"/>
      <c r="O27" s="34"/>
      <c r="P27" s="59" t="s">
        <v>97</v>
      </c>
      <c r="Q27" s="61"/>
      <c r="R27" s="64"/>
    </row>
    <row r="28" spans="1:18" s="63" customFormat="1" ht="18" customHeight="1" x14ac:dyDescent="0.15">
      <c r="A28" s="91">
        <v>8</v>
      </c>
      <c r="B28" s="90">
        <f t="shared" si="1"/>
        <v>20</v>
      </c>
      <c r="C28" s="65" t="s">
        <v>30</v>
      </c>
      <c r="D28" s="65" t="s">
        <v>30</v>
      </c>
      <c r="E28" s="70" t="s">
        <v>59</v>
      </c>
      <c r="F28" s="53">
        <v>10</v>
      </c>
      <c r="G28" s="54">
        <v>25</v>
      </c>
      <c r="H28" s="42">
        <f t="shared" si="2"/>
        <v>250</v>
      </c>
      <c r="I28" s="74"/>
      <c r="J28" s="73" t="s">
        <v>60</v>
      </c>
      <c r="K28" s="79"/>
      <c r="L28" s="58"/>
      <c r="M28" s="59">
        <v>43388</v>
      </c>
      <c r="N28" s="60"/>
      <c r="O28" s="34"/>
      <c r="P28" s="59" t="s">
        <v>97</v>
      </c>
      <c r="Q28" s="61"/>
      <c r="R28" s="64"/>
    </row>
    <row r="29" spans="1:18" s="63" customFormat="1" ht="18" customHeight="1" x14ac:dyDescent="0.15">
      <c r="A29" s="91">
        <v>8</v>
      </c>
      <c r="B29" s="90">
        <f t="shared" si="1"/>
        <v>21</v>
      </c>
      <c r="C29" s="65" t="s">
        <v>30</v>
      </c>
      <c r="D29" s="65" t="s">
        <v>30</v>
      </c>
      <c r="E29" s="70" t="s">
        <v>46</v>
      </c>
      <c r="F29" s="53">
        <v>20</v>
      </c>
      <c r="G29" s="54">
        <v>20</v>
      </c>
      <c r="H29" s="42">
        <f t="shared" si="2"/>
        <v>400</v>
      </c>
      <c r="I29" s="74"/>
      <c r="J29" s="73" t="s">
        <v>47</v>
      </c>
      <c r="K29" s="79"/>
      <c r="L29" s="58"/>
      <c r="M29" s="59">
        <v>43388</v>
      </c>
      <c r="N29" s="60"/>
      <c r="O29" s="34"/>
      <c r="P29" s="59" t="s">
        <v>97</v>
      </c>
      <c r="Q29" s="61"/>
      <c r="R29" s="64"/>
    </row>
    <row r="30" spans="1:18" s="63" customFormat="1" ht="18" customHeight="1" x14ac:dyDescent="0.15">
      <c r="A30" s="91">
        <v>8</v>
      </c>
      <c r="B30" s="90">
        <f t="shared" si="1"/>
        <v>22</v>
      </c>
      <c r="C30" s="65" t="s">
        <v>30</v>
      </c>
      <c r="D30" s="65" t="s">
        <v>30</v>
      </c>
      <c r="E30" s="70" t="s">
        <v>61</v>
      </c>
      <c r="F30" s="53">
        <v>10</v>
      </c>
      <c r="G30" s="54">
        <v>20</v>
      </c>
      <c r="H30" s="42">
        <f t="shared" si="2"/>
        <v>200</v>
      </c>
      <c r="I30" s="74"/>
      <c r="J30" s="73" t="s">
        <v>62</v>
      </c>
      <c r="K30" s="79"/>
      <c r="L30" s="58"/>
      <c r="M30" s="59">
        <v>43388</v>
      </c>
      <c r="N30" s="60"/>
      <c r="O30" s="34"/>
      <c r="P30" s="59" t="s">
        <v>97</v>
      </c>
      <c r="Q30" s="61"/>
      <c r="R30" s="64"/>
    </row>
    <row r="31" spans="1:18" s="63" customFormat="1" ht="18" customHeight="1" x14ac:dyDescent="0.15">
      <c r="A31" s="91">
        <v>8</v>
      </c>
      <c r="B31" s="90">
        <f t="shared" si="1"/>
        <v>23</v>
      </c>
      <c r="C31" s="65" t="s">
        <v>30</v>
      </c>
      <c r="D31" s="65" t="s">
        <v>30</v>
      </c>
      <c r="E31" s="47" t="s">
        <v>64</v>
      </c>
      <c r="F31" s="48">
        <v>2</v>
      </c>
      <c r="G31" s="42">
        <v>265</v>
      </c>
      <c r="H31" s="42">
        <f t="shared" si="2"/>
        <v>530</v>
      </c>
      <c r="I31" s="5"/>
      <c r="J31" s="80" t="s">
        <v>66</v>
      </c>
      <c r="K31" s="57"/>
      <c r="L31" s="58"/>
      <c r="M31" s="59">
        <v>43388</v>
      </c>
      <c r="N31" s="60"/>
      <c r="O31" s="34"/>
      <c r="P31" s="59" t="s">
        <v>97</v>
      </c>
      <c r="Q31" s="61"/>
      <c r="R31" s="64"/>
    </row>
    <row r="32" spans="1:18" s="63" customFormat="1" ht="18" customHeight="1" x14ac:dyDescent="0.15">
      <c r="A32" s="91">
        <v>8</v>
      </c>
      <c r="B32" s="90">
        <f t="shared" si="1"/>
        <v>24</v>
      </c>
      <c r="C32" s="65" t="s">
        <v>30</v>
      </c>
      <c r="D32" s="65" t="s">
        <v>30</v>
      </c>
      <c r="E32" s="47" t="s">
        <v>65</v>
      </c>
      <c r="F32" s="48">
        <v>2</v>
      </c>
      <c r="G32" s="42">
        <v>265</v>
      </c>
      <c r="H32" s="42">
        <f t="shared" si="2"/>
        <v>530</v>
      </c>
      <c r="I32" s="5"/>
      <c r="J32" s="102" t="s">
        <v>66</v>
      </c>
      <c r="K32" s="57"/>
      <c r="L32" s="58"/>
      <c r="M32" s="59">
        <v>43388</v>
      </c>
      <c r="N32" s="60"/>
      <c r="O32" s="34"/>
      <c r="P32" s="59" t="s">
        <v>97</v>
      </c>
      <c r="Q32" s="61"/>
      <c r="R32" s="64"/>
    </row>
    <row r="33" spans="1:18" s="50" customFormat="1" ht="18" customHeight="1" x14ac:dyDescent="0.15">
      <c r="A33" s="93"/>
      <c r="B33" s="90"/>
      <c r="C33" s="65"/>
      <c r="D33" s="65"/>
      <c r="E33" s="47"/>
      <c r="F33" s="48"/>
      <c r="G33" s="42"/>
      <c r="H33" s="42"/>
      <c r="I33" s="5"/>
      <c r="J33" s="80"/>
      <c r="K33" s="30"/>
      <c r="L33" s="37"/>
      <c r="M33" s="59"/>
      <c r="N33" s="35"/>
      <c r="O33" s="34"/>
      <c r="P33" s="59"/>
      <c r="Q33" s="40"/>
      <c r="R33" s="36"/>
    </row>
    <row r="34" spans="1:18" s="50" customFormat="1" ht="18" customHeight="1" x14ac:dyDescent="0.15">
      <c r="A34" s="93"/>
      <c r="B34" s="90"/>
      <c r="C34" s="65"/>
      <c r="D34" s="65"/>
      <c r="E34" s="47"/>
      <c r="F34" s="48"/>
      <c r="G34" s="42"/>
      <c r="H34" s="42"/>
      <c r="I34" s="5"/>
      <c r="J34" s="102"/>
      <c r="K34" s="30"/>
      <c r="L34" s="37"/>
      <c r="M34" s="59"/>
      <c r="N34" s="35"/>
      <c r="O34" s="34"/>
      <c r="P34" s="59"/>
      <c r="Q34" s="40"/>
      <c r="R34" s="36"/>
    </row>
    <row r="35" spans="1:18" s="50" customFormat="1" ht="18" customHeight="1" x14ac:dyDescent="0.15">
      <c r="A35" s="93"/>
      <c r="B35" s="90"/>
      <c r="C35" s="65"/>
      <c r="D35" s="65"/>
      <c r="E35" s="105">
        <f>SUM(H9:H34)</f>
        <v>152330</v>
      </c>
      <c r="F35" s="48"/>
      <c r="G35" s="42"/>
      <c r="I35" s="98"/>
      <c r="J35" s="103"/>
      <c r="K35" s="100"/>
      <c r="L35" s="37"/>
      <c r="M35" s="59"/>
      <c r="N35" s="35"/>
      <c r="O35" s="34"/>
      <c r="P35" s="59"/>
      <c r="Q35" s="40"/>
      <c r="R35" s="36"/>
    </row>
    <row r="36" spans="1:18" s="63" customFormat="1" ht="18" customHeight="1" x14ac:dyDescent="0.15">
      <c r="A36" s="93"/>
      <c r="B36" s="94"/>
      <c r="C36" s="65"/>
      <c r="D36" s="65"/>
      <c r="E36" s="70"/>
      <c r="F36" s="53"/>
      <c r="G36" s="54"/>
      <c r="H36" s="54"/>
      <c r="I36" s="99"/>
      <c r="J36" s="104"/>
      <c r="K36" s="101"/>
      <c r="L36" s="58"/>
      <c r="M36" s="59"/>
      <c r="N36" s="60"/>
      <c r="O36" s="59"/>
      <c r="P36" s="59"/>
      <c r="Q36" s="61"/>
      <c r="R36" s="64"/>
    </row>
    <row r="37" spans="1:18" s="50" customFormat="1" ht="18" customHeight="1" x14ac:dyDescent="0.15">
      <c r="A37" s="92">
        <v>9</v>
      </c>
      <c r="B37" s="90">
        <f>+B32+1</f>
        <v>25</v>
      </c>
      <c r="C37" s="65" t="s">
        <v>30</v>
      </c>
      <c r="D37" s="65" t="s">
        <v>30</v>
      </c>
      <c r="E37" s="86" t="s">
        <v>69</v>
      </c>
      <c r="F37" s="42">
        <v>25</v>
      </c>
      <c r="G37" s="42">
        <v>1510</v>
      </c>
      <c r="H37" s="42">
        <f t="shared" si="0"/>
        <v>37750</v>
      </c>
      <c r="I37" s="5"/>
      <c r="J37" s="85" t="s">
        <v>96</v>
      </c>
      <c r="K37" s="30"/>
      <c r="L37" s="37"/>
      <c r="M37" s="59">
        <v>43385</v>
      </c>
      <c r="N37" s="35"/>
      <c r="O37" s="34"/>
      <c r="P37" s="125" t="s">
        <v>98</v>
      </c>
      <c r="Q37" s="40"/>
      <c r="R37" s="36"/>
    </row>
    <row r="38" spans="1:18" s="50" customFormat="1" ht="18" customHeight="1" x14ac:dyDescent="0.15">
      <c r="A38" s="92">
        <v>9</v>
      </c>
      <c r="B38" s="90">
        <f>+B37+1</f>
        <v>26</v>
      </c>
      <c r="C38" s="43" t="s">
        <v>51</v>
      </c>
      <c r="D38" s="43" t="s">
        <v>51</v>
      </c>
      <c r="E38" s="81" t="s">
        <v>67</v>
      </c>
      <c r="F38" s="28">
        <v>20</v>
      </c>
      <c r="G38" s="51">
        <v>900</v>
      </c>
      <c r="H38" s="42">
        <f t="shared" ref="H38" si="3">F38*G38</f>
        <v>18000</v>
      </c>
      <c r="I38" s="29"/>
      <c r="J38" s="15" t="s">
        <v>70</v>
      </c>
      <c r="K38" s="30" t="s">
        <v>52</v>
      </c>
      <c r="L38" s="37"/>
      <c r="M38" s="34">
        <v>43388</v>
      </c>
      <c r="N38" s="35"/>
      <c r="O38" s="34"/>
      <c r="P38" s="59" t="s">
        <v>99</v>
      </c>
      <c r="Q38" s="40"/>
      <c r="R38" s="39"/>
    </row>
    <row r="39" spans="1:18" s="50" customFormat="1" ht="18" customHeight="1" x14ac:dyDescent="0.15">
      <c r="A39" s="92">
        <v>2</v>
      </c>
      <c r="B39" s="90">
        <f t="shared" ref="B39" si="4">+B38+1</f>
        <v>27</v>
      </c>
      <c r="C39" s="117" t="s">
        <v>90</v>
      </c>
      <c r="D39" s="117" t="s">
        <v>90</v>
      </c>
      <c r="E39" s="118" t="s">
        <v>91</v>
      </c>
      <c r="F39" s="119">
        <v>2</v>
      </c>
      <c r="G39" s="117">
        <v>2814</v>
      </c>
      <c r="H39" s="120">
        <f>F39*G39</f>
        <v>5628</v>
      </c>
      <c r="I39" s="121"/>
      <c r="J39" s="122" t="s">
        <v>92</v>
      </c>
      <c r="K39" s="30"/>
      <c r="L39" s="37"/>
      <c r="M39" s="59">
        <v>43388</v>
      </c>
      <c r="N39" s="35"/>
      <c r="O39" s="34"/>
      <c r="P39" s="59" t="s">
        <v>97</v>
      </c>
      <c r="Q39" s="40"/>
      <c r="R39" s="39"/>
    </row>
    <row r="40" spans="1:18" s="50" customFormat="1" ht="18" hidden="1" customHeight="1" x14ac:dyDescent="0.15">
      <c r="A40" s="92"/>
      <c r="B40" s="90">
        <f>+B39+1</f>
        <v>28</v>
      </c>
      <c r="C40" s="107" t="s">
        <v>30</v>
      </c>
      <c r="D40" s="107" t="s">
        <v>30</v>
      </c>
      <c r="E40" s="108" t="s">
        <v>88</v>
      </c>
      <c r="F40" s="109"/>
      <c r="G40" s="109">
        <v>3330</v>
      </c>
      <c r="H40" s="109">
        <f>F40*G40</f>
        <v>0</v>
      </c>
      <c r="I40" s="110"/>
      <c r="J40" s="111" t="s">
        <v>80</v>
      </c>
      <c r="K40" s="109">
        <v>1</v>
      </c>
      <c r="L40" s="112"/>
      <c r="M40" s="113">
        <v>42718</v>
      </c>
      <c r="N40" s="114"/>
      <c r="O40" s="113">
        <v>42723</v>
      </c>
      <c r="P40" s="113" t="s">
        <v>79</v>
      </c>
      <c r="Q40" s="115" t="s">
        <v>81</v>
      </c>
      <c r="R40" s="36"/>
    </row>
    <row r="41" spans="1:18" s="50" customFormat="1" ht="18" hidden="1" customHeight="1" x14ac:dyDescent="0.15">
      <c r="A41" s="92"/>
      <c r="B41" s="90">
        <f t="shared" si="1"/>
        <v>29</v>
      </c>
      <c r="C41" s="116" t="s">
        <v>84</v>
      </c>
      <c r="D41" s="107" t="s">
        <v>30</v>
      </c>
      <c r="E41" s="108" t="s">
        <v>82</v>
      </c>
      <c r="F41" s="109"/>
      <c r="G41" s="109">
        <v>4561</v>
      </c>
      <c r="H41" s="109">
        <f>F41*G41</f>
        <v>0</v>
      </c>
      <c r="I41" s="110"/>
      <c r="J41" s="111" t="s">
        <v>85</v>
      </c>
      <c r="K41" s="109">
        <v>2</v>
      </c>
      <c r="L41" s="112"/>
      <c r="M41" s="113">
        <v>42724</v>
      </c>
      <c r="N41" s="114"/>
      <c r="O41" s="113"/>
      <c r="P41" s="113">
        <v>42725</v>
      </c>
      <c r="Q41" s="115">
        <v>42725</v>
      </c>
      <c r="R41" s="36"/>
    </row>
    <row r="42" spans="1:18" s="50" customFormat="1" ht="18" hidden="1" customHeight="1" x14ac:dyDescent="0.15">
      <c r="A42" s="92"/>
      <c r="B42" s="90">
        <f t="shared" si="1"/>
        <v>30</v>
      </c>
      <c r="C42" s="116" t="s">
        <v>83</v>
      </c>
      <c r="D42" s="107" t="s">
        <v>30</v>
      </c>
      <c r="E42" s="108" t="s">
        <v>89</v>
      </c>
      <c r="F42" s="109"/>
      <c r="G42" s="109">
        <v>950</v>
      </c>
      <c r="H42" s="109">
        <f>F42*G42</f>
        <v>0</v>
      </c>
      <c r="I42" s="110"/>
      <c r="J42" s="111" t="s">
        <v>86</v>
      </c>
      <c r="K42" s="109">
        <v>1</v>
      </c>
      <c r="L42" s="112"/>
      <c r="M42" s="113">
        <v>42724</v>
      </c>
      <c r="N42" s="114"/>
      <c r="O42" s="113"/>
      <c r="P42" s="113">
        <v>42725</v>
      </c>
      <c r="Q42" s="115">
        <v>42725</v>
      </c>
      <c r="R42" s="36"/>
    </row>
    <row r="43" spans="1:18" s="50" customFormat="1" ht="18" customHeight="1" x14ac:dyDescent="0.15">
      <c r="A43" s="96"/>
      <c r="B43" s="90"/>
      <c r="C43" s="2"/>
      <c r="D43" s="2"/>
      <c r="E43" s="105">
        <f>SUM(H37:H42)</f>
        <v>61378</v>
      </c>
      <c r="F43" s="48"/>
      <c r="G43" s="42"/>
      <c r="H43" s="42"/>
      <c r="I43" s="5"/>
      <c r="J43" s="41"/>
      <c r="K43" s="31"/>
      <c r="L43" s="37"/>
      <c r="M43" s="34"/>
      <c r="N43" s="35"/>
      <c r="O43" s="38"/>
      <c r="P43" s="34"/>
      <c r="Q43" s="40"/>
      <c r="R43" s="36"/>
    </row>
    <row r="44" spans="1:18" s="50" customFormat="1" ht="18" customHeight="1" x14ac:dyDescent="0.15">
      <c r="A44" s="96"/>
      <c r="B44" s="90"/>
      <c r="C44" s="2"/>
      <c r="D44" s="2"/>
      <c r="E44" s="47"/>
      <c r="F44" s="48"/>
      <c r="G44" s="42"/>
      <c r="H44" s="42"/>
      <c r="I44" s="5"/>
      <c r="J44" s="41"/>
      <c r="K44" s="30"/>
      <c r="L44" s="37"/>
      <c r="M44" s="34"/>
      <c r="N44" s="35"/>
      <c r="O44" s="38"/>
      <c r="P44" s="34"/>
      <c r="Q44" s="40"/>
      <c r="R44" s="36"/>
    </row>
    <row r="45" spans="1:18" s="50" customFormat="1" ht="18" customHeight="1" x14ac:dyDescent="0.15">
      <c r="A45" s="96"/>
      <c r="B45" s="90"/>
      <c r="C45" s="2"/>
      <c r="D45" s="2"/>
      <c r="E45" s="47"/>
      <c r="F45" s="48"/>
      <c r="G45" s="42"/>
      <c r="H45" s="42"/>
      <c r="I45" s="5"/>
      <c r="J45" s="41"/>
      <c r="K45" s="30"/>
      <c r="L45" s="37"/>
      <c r="M45" s="34"/>
      <c r="N45" s="35"/>
      <c r="O45" s="38"/>
      <c r="P45" s="34"/>
      <c r="Q45" s="40"/>
      <c r="R45" s="36"/>
    </row>
    <row r="46" spans="1:18" s="50" customFormat="1" ht="18" customHeight="1" x14ac:dyDescent="0.15">
      <c r="A46" s="124">
        <v>1</v>
      </c>
      <c r="B46" s="90">
        <f>+B39+1</f>
        <v>28</v>
      </c>
      <c r="C46" s="123" t="s">
        <v>93</v>
      </c>
      <c r="D46" s="123" t="s">
        <v>93</v>
      </c>
      <c r="E46" s="47" t="s">
        <v>94</v>
      </c>
      <c r="F46" s="48">
        <v>1</v>
      </c>
      <c r="G46" s="42">
        <v>450000</v>
      </c>
      <c r="H46" s="42"/>
      <c r="I46" s="5"/>
      <c r="J46" s="80" t="s">
        <v>95</v>
      </c>
      <c r="K46" s="30"/>
      <c r="L46" s="37"/>
      <c r="M46" s="34"/>
      <c r="N46" s="35"/>
      <c r="O46" s="38"/>
      <c r="P46" s="34"/>
      <c r="Q46" s="40"/>
      <c r="R46" s="36"/>
    </row>
    <row r="47" spans="1:18" s="50" customFormat="1" ht="18" customHeight="1" x14ac:dyDescent="0.15">
      <c r="A47" s="96"/>
      <c r="B47" s="90"/>
      <c r="C47" s="2"/>
      <c r="D47" s="2"/>
      <c r="E47" s="47"/>
      <c r="F47" s="48"/>
      <c r="G47" s="42"/>
      <c r="H47" s="42"/>
      <c r="I47" s="5"/>
      <c r="J47" s="41"/>
      <c r="K47" s="30"/>
      <c r="L47" s="37"/>
      <c r="M47" s="34"/>
      <c r="N47" s="35"/>
      <c r="O47" s="38"/>
      <c r="P47" s="34"/>
      <c r="Q47" s="40"/>
      <c r="R47" s="36"/>
    </row>
    <row r="48" spans="1:18" s="50" customFormat="1" ht="18" customHeight="1" x14ac:dyDescent="0.15">
      <c r="A48" s="96"/>
      <c r="B48" s="90"/>
      <c r="C48" s="2"/>
      <c r="D48" s="2"/>
      <c r="E48" s="47"/>
      <c r="F48" s="48"/>
      <c r="G48" s="42"/>
      <c r="H48" s="42"/>
      <c r="I48" s="5"/>
      <c r="J48" s="41"/>
      <c r="K48" s="30"/>
      <c r="L48" s="37"/>
      <c r="M48" s="34"/>
      <c r="N48" s="35"/>
      <c r="O48" s="38"/>
      <c r="P48" s="34"/>
      <c r="Q48" s="40"/>
      <c r="R48" s="36"/>
    </row>
    <row r="49" spans="1:18" s="50" customFormat="1" ht="18" customHeight="1" x14ac:dyDescent="0.15">
      <c r="A49" s="96"/>
      <c r="B49" s="90"/>
      <c r="C49" s="2"/>
      <c r="D49" s="2"/>
      <c r="E49" s="47"/>
      <c r="F49" s="48"/>
      <c r="G49" s="42"/>
      <c r="H49" s="42"/>
      <c r="I49" s="5"/>
      <c r="J49" s="41"/>
      <c r="K49" s="30"/>
      <c r="L49" s="37"/>
      <c r="M49" s="34"/>
      <c r="N49" s="35"/>
      <c r="O49" s="38"/>
      <c r="P49" s="34"/>
      <c r="Q49" s="40"/>
      <c r="R49" s="36"/>
    </row>
    <row r="50" spans="1:18" s="50" customFormat="1" ht="18" customHeight="1" x14ac:dyDescent="0.15">
      <c r="A50" s="96"/>
      <c r="B50" s="90"/>
      <c r="C50" s="2"/>
      <c r="D50" s="2"/>
      <c r="E50" s="47"/>
      <c r="F50" s="48"/>
      <c r="G50" s="42"/>
      <c r="H50" s="42"/>
      <c r="I50" s="5"/>
      <c r="J50" s="41"/>
      <c r="K50" s="30"/>
      <c r="L50" s="37"/>
      <c r="M50" s="34"/>
      <c r="N50" s="35"/>
      <c r="O50" s="38"/>
      <c r="P50" s="34"/>
      <c r="Q50" s="40"/>
      <c r="R50" s="36"/>
    </row>
    <row r="51" spans="1:18" s="50" customFormat="1" ht="19.899999999999999" customHeight="1" x14ac:dyDescent="0.15">
      <c r="A51" s="96"/>
      <c r="B51" s="90"/>
      <c r="C51" s="2"/>
      <c r="D51" s="2"/>
      <c r="E51" s="4" t="s">
        <v>48</v>
      </c>
      <c r="F51" s="42"/>
      <c r="G51" s="42">
        <v>1500</v>
      </c>
      <c r="H51" s="42">
        <f>F51*G51</f>
        <v>0</v>
      </c>
      <c r="I51" s="5"/>
      <c r="J51" s="41"/>
      <c r="K51" s="30"/>
      <c r="L51" s="37"/>
      <c r="M51" s="34"/>
      <c r="N51" s="35"/>
      <c r="O51" s="38"/>
      <c r="P51" s="34"/>
      <c r="Q51" s="40"/>
      <c r="R51" s="36"/>
    </row>
    <row r="52" spans="1:18" s="50" customFormat="1" ht="18" customHeight="1" x14ac:dyDescent="0.15">
      <c r="A52" s="96"/>
      <c r="B52" s="90"/>
      <c r="C52" s="2"/>
      <c r="D52" s="2"/>
      <c r="E52" s="4" t="s">
        <v>49</v>
      </c>
      <c r="F52" s="42"/>
      <c r="G52" s="42">
        <v>5000</v>
      </c>
      <c r="H52" s="42">
        <f>F52*G52</f>
        <v>0</v>
      </c>
      <c r="I52" s="5"/>
      <c r="J52" s="41"/>
      <c r="K52" s="30"/>
      <c r="L52" s="37"/>
      <c r="M52" s="34"/>
      <c r="N52" s="35"/>
      <c r="O52" s="38"/>
      <c r="P52" s="34"/>
      <c r="Q52" s="40"/>
      <c r="R52" s="36"/>
    </row>
    <row r="53" spans="1:18" s="50" customFormat="1" ht="18" customHeight="1" x14ac:dyDescent="0.15">
      <c r="A53" s="96"/>
      <c r="B53" s="90"/>
      <c r="C53" s="2"/>
      <c r="D53" s="2"/>
      <c r="E53" s="4" t="s">
        <v>50</v>
      </c>
      <c r="F53" s="42"/>
      <c r="G53" s="42">
        <v>5000</v>
      </c>
      <c r="H53" s="42">
        <f>F53*G53</f>
        <v>0</v>
      </c>
      <c r="I53" s="5"/>
      <c r="J53" s="41"/>
      <c r="K53" s="30"/>
      <c r="L53" s="37"/>
      <c r="M53" s="34"/>
      <c r="N53" s="35"/>
      <c r="O53" s="38"/>
      <c r="P53" s="34"/>
      <c r="Q53" s="40"/>
      <c r="R53" s="36"/>
    </row>
    <row r="54" spans="1:18" s="50" customFormat="1" ht="18" customHeight="1" x14ac:dyDescent="0.15">
      <c r="A54" s="96"/>
      <c r="B54" s="90"/>
      <c r="C54" s="2"/>
      <c r="D54" s="2"/>
      <c r="E54" s="47"/>
      <c r="F54" s="48"/>
      <c r="G54" s="42"/>
      <c r="H54" s="42"/>
      <c r="I54" s="5"/>
      <c r="J54" s="41"/>
      <c r="K54" s="30"/>
      <c r="L54" s="37"/>
      <c r="M54" s="34"/>
      <c r="N54" s="35"/>
      <c r="O54" s="38"/>
      <c r="P54" s="34"/>
      <c r="Q54" s="40"/>
      <c r="R54" s="36"/>
    </row>
    <row r="55" spans="1:18" s="50" customFormat="1" ht="18" customHeight="1" x14ac:dyDescent="0.15">
      <c r="A55" s="96"/>
      <c r="B55" s="90"/>
      <c r="C55" s="2"/>
      <c r="D55" s="2"/>
      <c r="E55" s="47"/>
      <c r="F55" s="48"/>
      <c r="G55" s="42"/>
      <c r="H55" s="42"/>
      <c r="I55" s="5"/>
      <c r="J55" s="41"/>
      <c r="K55" s="30"/>
      <c r="L55" s="37"/>
      <c r="M55" s="34"/>
      <c r="N55" s="35"/>
      <c r="O55" s="38"/>
      <c r="P55" s="34"/>
      <c r="Q55" s="40"/>
      <c r="R55" s="36"/>
    </row>
    <row r="56" spans="1:18" s="50" customFormat="1" ht="18" customHeight="1" x14ac:dyDescent="0.15">
      <c r="A56" s="96"/>
      <c r="B56" s="90"/>
      <c r="C56" s="2"/>
      <c r="D56" s="2"/>
      <c r="E56" s="47"/>
      <c r="F56" s="48"/>
      <c r="G56" s="42"/>
      <c r="H56" s="42"/>
      <c r="I56" s="5"/>
      <c r="J56" s="41"/>
      <c r="K56" s="30"/>
      <c r="L56" s="37"/>
      <c r="M56" s="34"/>
      <c r="N56" s="35"/>
      <c r="O56" s="38"/>
      <c r="P56" s="34"/>
      <c r="Q56" s="40"/>
      <c r="R56" s="36"/>
    </row>
    <row r="57" spans="1:18" s="50" customFormat="1" ht="18" customHeight="1" x14ac:dyDescent="0.15">
      <c r="A57" s="96"/>
      <c r="B57" s="90"/>
      <c r="C57" s="2"/>
      <c r="D57" s="2"/>
      <c r="E57" s="47"/>
      <c r="F57" s="48"/>
      <c r="G57" s="42"/>
      <c r="H57" s="42"/>
      <c r="I57" s="5"/>
      <c r="J57" s="41"/>
      <c r="K57" s="30"/>
      <c r="L57" s="3"/>
      <c r="M57" s="14"/>
      <c r="N57" s="6"/>
      <c r="O57" s="8"/>
      <c r="P57" s="14"/>
      <c r="Q57" s="11"/>
    </row>
    <row r="58" spans="1:18" s="50" customFormat="1" ht="18" customHeight="1" x14ac:dyDescent="0.15">
      <c r="A58" s="96"/>
      <c r="B58" s="90"/>
      <c r="C58" s="2"/>
      <c r="D58" s="2"/>
      <c r="E58" s="47"/>
      <c r="F58" s="48"/>
      <c r="G58" s="42"/>
      <c r="H58" s="42"/>
      <c r="I58" s="5"/>
      <c r="J58" s="41"/>
      <c r="K58" s="30"/>
      <c r="L58" s="3"/>
      <c r="M58" s="14"/>
      <c r="N58" s="6"/>
      <c r="O58" s="8"/>
      <c r="P58" s="14"/>
      <c r="Q58" s="11"/>
    </row>
    <row r="59" spans="1:18" s="50" customFormat="1" ht="18" customHeight="1" x14ac:dyDescent="0.15">
      <c r="A59" s="96"/>
      <c r="B59" s="90"/>
      <c r="C59" s="2"/>
      <c r="D59" s="2"/>
      <c r="E59" s="47"/>
      <c r="F59" s="48"/>
      <c r="G59" s="42"/>
      <c r="H59" s="42"/>
      <c r="I59" s="5"/>
      <c r="J59" s="41"/>
      <c r="K59" s="30"/>
      <c r="L59" s="3"/>
      <c r="M59" s="14"/>
      <c r="N59" s="6"/>
      <c r="O59" s="8"/>
      <c r="P59" s="14"/>
      <c r="Q59" s="11"/>
    </row>
    <row r="60" spans="1:18" s="50" customFormat="1" ht="18" customHeight="1" x14ac:dyDescent="0.15">
      <c r="A60" s="96"/>
      <c r="B60" s="90"/>
      <c r="C60" s="2"/>
      <c r="D60" s="2"/>
      <c r="E60" s="47"/>
      <c r="F60" s="48"/>
      <c r="G60" s="42"/>
      <c r="H60" s="42"/>
      <c r="I60" s="5"/>
      <c r="J60" s="41"/>
      <c r="K60" s="30"/>
      <c r="L60" s="3"/>
      <c r="M60" s="14"/>
      <c r="N60" s="6"/>
      <c r="O60" s="8"/>
      <c r="P60" s="14"/>
      <c r="Q60" s="11"/>
    </row>
    <row r="61" spans="1:18" s="50" customFormat="1" ht="18" customHeight="1" x14ac:dyDescent="0.15">
      <c r="A61" s="96"/>
      <c r="B61" s="95"/>
      <c r="C61" s="2"/>
      <c r="D61" s="2"/>
      <c r="E61" s="4"/>
      <c r="F61" s="42"/>
      <c r="G61" s="42"/>
      <c r="H61" s="42"/>
      <c r="I61" s="9"/>
      <c r="J61" s="3"/>
      <c r="K61" s="4"/>
      <c r="L61" s="3"/>
      <c r="M61" s="14"/>
      <c r="N61" s="6"/>
      <c r="O61" s="8"/>
      <c r="P61" s="14"/>
      <c r="Q61" s="11"/>
    </row>
    <row r="62" spans="1:18" s="50" customFormat="1" ht="18" customHeight="1" x14ac:dyDescent="0.15">
      <c r="A62" s="96"/>
      <c r="B62" s="95"/>
      <c r="C62" s="10"/>
      <c r="D62" s="10"/>
      <c r="E62" s="4"/>
      <c r="F62" s="42"/>
      <c r="G62" s="42"/>
      <c r="H62" s="42"/>
      <c r="I62" s="7"/>
      <c r="J62" s="3"/>
      <c r="K62" s="4"/>
      <c r="L62" s="3"/>
      <c r="M62" s="14"/>
      <c r="N62" s="6"/>
      <c r="O62" s="8"/>
      <c r="P62" s="14"/>
      <c r="Q62" s="11"/>
    </row>
    <row r="63" spans="1:18" ht="18" customHeight="1" x14ac:dyDescent="0.15">
      <c r="A63" s="97"/>
      <c r="B63" s="95"/>
      <c r="C63" s="10"/>
      <c r="D63" s="10"/>
      <c r="E63" s="4"/>
      <c r="F63" s="42"/>
      <c r="G63" s="42"/>
      <c r="H63" s="42"/>
      <c r="I63" s="9"/>
      <c r="J63" s="3"/>
      <c r="K63" s="4"/>
      <c r="L63" s="3"/>
      <c r="M63" s="14"/>
      <c r="N63" s="6"/>
      <c r="O63" s="8"/>
      <c r="P63" s="14"/>
      <c r="Q63" s="11"/>
    </row>
    <row r="64" spans="1:18" ht="18" customHeight="1" x14ac:dyDescent="0.15">
      <c r="A64" s="97"/>
      <c r="B64" s="95"/>
      <c r="C64" s="10"/>
      <c r="D64" s="10"/>
      <c r="E64" s="4"/>
      <c r="F64" s="42"/>
      <c r="G64" s="42"/>
      <c r="H64" s="42"/>
      <c r="I64" s="9"/>
      <c r="J64" s="3"/>
      <c r="K64" s="4"/>
      <c r="L64" s="3"/>
      <c r="M64" s="14"/>
      <c r="N64" s="6"/>
      <c r="O64" s="8"/>
      <c r="P64" s="14"/>
      <c r="Q64" s="11"/>
    </row>
    <row r="65" spans="1:17" ht="18" customHeight="1" x14ac:dyDescent="0.15">
      <c r="A65" s="97"/>
      <c r="B65" s="95"/>
      <c r="C65" s="10"/>
      <c r="D65" s="10"/>
      <c r="E65" s="4"/>
      <c r="F65" s="42"/>
      <c r="G65" s="42"/>
      <c r="H65" s="42"/>
      <c r="I65" s="9"/>
      <c r="J65" s="3"/>
      <c r="K65" s="4"/>
      <c r="L65" s="3"/>
      <c r="M65" s="14"/>
      <c r="N65" s="6"/>
      <c r="O65" s="8"/>
      <c r="P65" s="14"/>
      <c r="Q65" s="11"/>
    </row>
    <row r="66" spans="1:17" ht="18" customHeight="1" x14ac:dyDescent="0.15">
      <c r="A66" s="97"/>
      <c r="B66" s="95"/>
      <c r="C66" s="2"/>
      <c r="D66" s="2"/>
      <c r="E66" s="4"/>
      <c r="F66" s="42"/>
      <c r="G66" s="42"/>
      <c r="H66" s="42"/>
      <c r="I66" s="9"/>
      <c r="J66" s="4"/>
      <c r="K66" s="4"/>
      <c r="L66" s="3"/>
      <c r="M66" s="14"/>
      <c r="N66" s="6"/>
      <c r="O66" s="8"/>
      <c r="P66" s="14"/>
      <c r="Q66" s="11"/>
    </row>
    <row r="67" spans="1:17" ht="18" customHeight="1" x14ac:dyDescent="0.15">
      <c r="A67" s="97"/>
      <c r="B67" s="95"/>
      <c r="C67" s="2"/>
      <c r="D67" s="2"/>
      <c r="E67" s="4"/>
      <c r="F67" s="42"/>
      <c r="G67" s="42"/>
      <c r="H67" s="42"/>
      <c r="I67" s="9"/>
      <c r="J67" s="3"/>
      <c r="K67" s="4"/>
      <c r="L67" s="3"/>
      <c r="M67" s="14"/>
      <c r="N67" s="6"/>
      <c r="O67" s="8"/>
      <c r="P67" s="14"/>
      <c r="Q67" s="11"/>
    </row>
    <row r="68" spans="1:17" ht="13.5" customHeight="1" x14ac:dyDescent="0.15">
      <c r="M68" s="22"/>
      <c r="P68" s="17"/>
      <c r="Q68" s="18"/>
    </row>
    <row r="69" spans="1:17" ht="13.5" customHeight="1" x14ac:dyDescent="0.15">
      <c r="M69" s="22"/>
      <c r="P69" s="17"/>
      <c r="Q69" s="18"/>
    </row>
    <row r="70" spans="1:17" ht="13.5" customHeight="1" x14ac:dyDescent="0.15">
      <c r="C70" s="12"/>
      <c r="D70" s="12"/>
      <c r="E70" s="19"/>
      <c r="G70" s="49"/>
      <c r="H70" s="49"/>
      <c r="I70" s="13"/>
      <c r="M70" s="22"/>
      <c r="P70" s="17"/>
      <c r="Q70" s="18"/>
    </row>
    <row r="71" spans="1:17" ht="13.5" customHeight="1" x14ac:dyDescent="0.15">
      <c r="C71" s="12"/>
      <c r="D71" s="12"/>
      <c r="E71" s="21"/>
      <c r="G71" s="49"/>
      <c r="H71" s="49"/>
      <c r="I71" s="13"/>
      <c r="M71" s="22"/>
      <c r="P71" s="17"/>
    </row>
    <row r="72" spans="1:17" ht="13.5" customHeight="1" x14ac:dyDescent="0.15">
      <c r="C72" s="12"/>
      <c r="D72" s="12"/>
      <c r="E72" s="19"/>
      <c r="F72" s="87"/>
      <c r="G72" s="49"/>
      <c r="H72" s="49"/>
      <c r="I72" s="13"/>
      <c r="P72" s="17"/>
    </row>
    <row r="73" spans="1:17" ht="13.5" customHeight="1" x14ac:dyDescent="0.15">
      <c r="P73" s="17"/>
    </row>
    <row r="74" spans="1:17" ht="13.5" customHeight="1" x14ac:dyDescent="0.15">
      <c r="P74" s="17"/>
    </row>
    <row r="75" spans="1:17" ht="13.5" customHeight="1" x14ac:dyDescent="0.15">
      <c r="P75" s="17"/>
    </row>
    <row r="76" spans="1:17" ht="13.5" customHeight="1" x14ac:dyDescent="0.15">
      <c r="P76" s="17"/>
    </row>
    <row r="77" spans="1:17" ht="13.5" customHeight="1" x14ac:dyDescent="0.15">
      <c r="P77" s="17"/>
    </row>
  </sheetData>
  <autoFilter ref="B8:O40" xr:uid="{00000000-0009-0000-0000-000000000000}"/>
  <mergeCells count="6">
    <mergeCell ref="B6:D6"/>
    <mergeCell ref="B2:D2"/>
    <mergeCell ref="G2:I2"/>
    <mergeCell ref="B3:D3"/>
    <mergeCell ref="B4:D4"/>
    <mergeCell ref="B5:D5"/>
  </mergeCells>
  <phoneticPr fontId="7"/>
  <dataValidations count="1">
    <dataValidation allowBlank="1" showInputMessage="1" showErrorMessage="1" sqref="J43:J60 J24:J36" xr:uid="{00000000-0002-0000-0000-000000000000}"/>
  </dataValidations>
  <printOptions gridLines="1"/>
  <pageMargins left="0.2" right="0.2" top="0.75" bottom="0.75" header="0.3" footer="0.3"/>
  <pageSetup orientation="landscape" r:id="rId1"/>
  <headerFooter>
    <oddHeader>&amp;L&amp;C&amp;R</oddHeader>
    <oddFooter>&amp;L&amp;C&amp;R</oddFooter>
    <evenHeader>&amp;L&amp;C&amp;R</evenHeader>
    <evenFooter>&amp;L&amp;C&amp;R</evenFoot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"/>
  <sheetViews>
    <sheetView workbookViewId="0">
      <selection activeCell="D7" sqref="D7"/>
    </sheetView>
  </sheetViews>
  <sheetFormatPr defaultColWidth="10.5" defaultRowHeight="13.5" customHeight="1" x14ac:dyDescent="0.15"/>
  <cols>
    <col min="1" max="4" width="10.5" style="1"/>
  </cols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0.5" defaultRowHeight="13.5" customHeight="1" x14ac:dyDescent="0.15"/>
  <cols>
    <col min="1" max="1" width="10.5" style="1"/>
  </cols>
  <sheetData/>
  <phoneticPr fontId="7"/>
  <printOptions gridLines="1"/>
  <pageMargins left="0.7" right="0.7" top="0.75" bottom="0.75" header="0.3" footer="0.3"/>
  <pageSetup orientation="landscape"/>
  <headerFooter>
    <oddHeader>&amp;L&amp;C&amp;R</oddHeader>
    <oddFooter>&amp;L&amp;C&amp;R</oddFooter>
    <evenHeader>&amp;L&amp;C&amp;R</evenHeader>
    <evenFooter>&amp;L&amp;C&amp;R</even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1</vt:i4>
      </vt:variant>
    </vt:vector>
  </HeadingPairs>
  <TitlesOfParts>
    <vt:vector size="4" baseType="lpstr">
      <vt:lpstr>NEW (ﾋﾟｯﾁ変更TYPE) (1SET) </vt:lpstr>
      <vt:lpstr>Sheet2</vt:lpstr>
      <vt:lpstr>Sheet3</vt:lpstr>
      <vt:lpstr>'NEW (ﾋﾟｯﾁ変更TYPE) (1SET) '!_FilterDatabase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moriwaki</dc:creator>
  <cp:lastModifiedBy>moriwaki</cp:lastModifiedBy>
  <dcterms:created xsi:type="dcterms:W3CDTF">2016-04-26T04:36:34Z</dcterms:created>
  <dcterms:modified xsi:type="dcterms:W3CDTF">2018-10-16T00:18:24Z</dcterms:modified>
</cp:coreProperties>
</file>