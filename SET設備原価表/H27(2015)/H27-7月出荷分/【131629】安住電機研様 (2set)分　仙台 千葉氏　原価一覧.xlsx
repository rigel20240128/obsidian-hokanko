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250" yWindow="120" windowWidth="10320" windowHeight="6975"/>
  </bookViews>
  <sheets>
    <sheet name="Z軸調整ﾀｲﾌﾟ、浸け置きｶｯﾌﾟ、捨て打ち有り" sheetId="10" r:id="rId1"/>
    <sheet name="Sheet2" sheetId="2" r:id="rId2"/>
    <sheet name="Sheet3" sheetId="3" r:id="rId3"/>
  </sheets>
  <definedNames>
    <definedName name="_xlnm._FilterDatabase" localSheetId="0" hidden="1">'Z軸調整ﾀｲﾌﾟ、浸け置きｶｯﾌﾟ、捨て打ち有り'!$B$8:$O$72</definedName>
  </definedNames>
  <calcPr calcId="145621"/>
</workbook>
</file>

<file path=xl/calcChain.xml><?xml version="1.0" encoding="utf-8"?>
<calcChain xmlns="http://schemas.openxmlformats.org/spreadsheetml/2006/main">
  <c r="H45" i="10" l="1"/>
  <c r="H44" i="10"/>
  <c r="H43" i="10"/>
  <c r="H42" i="10"/>
  <c r="H41" i="10"/>
  <c r="H40" i="10"/>
  <c r="H39" i="10"/>
  <c r="H38" i="10"/>
  <c r="H32" i="10"/>
  <c r="H33" i="10"/>
  <c r="H34" i="10"/>
  <c r="H35" i="10"/>
  <c r="H36" i="10"/>
  <c r="H37" i="10"/>
  <c r="H31" i="10" l="1"/>
  <c r="H30" i="10"/>
  <c r="H29" i="10"/>
  <c r="H25" i="10"/>
  <c r="H24" i="10"/>
  <c r="H20" i="10"/>
  <c r="H19" i="10"/>
  <c r="H17" i="10" l="1"/>
  <c r="H18" i="10"/>
  <c r="B13" i="10" l="1"/>
  <c r="H48" i="10" l="1"/>
  <c r="H16" i="10"/>
  <c r="H15" i="10"/>
  <c r="H14" i="10"/>
  <c r="B14" i="10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H13" i="10"/>
  <c r="H10" i="10"/>
  <c r="B45" i="10" l="1"/>
  <c r="J2" i="10"/>
</calcChain>
</file>

<file path=xl/sharedStrings.xml><?xml version="1.0" encoding="utf-8"?>
<sst xmlns="http://schemas.openxmlformats.org/spreadsheetml/2006/main" count="188" uniqueCount="104">
  <si>
    <t>数量</t>
  </si>
  <si>
    <t>単価</t>
  </si>
  <si>
    <t>金額</t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</si>
  <si>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</si>
  <si>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</si>
  <si>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</si>
  <si>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</si>
  <si>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</si>
  <si>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</si>
  <si>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</si>
  <si>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</si>
  <si>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</si>
  <si>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</si>
  <si>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</si>
  <si>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</si>
  <si>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</si>
  <si>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</si>
  <si>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</si>
  <si>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</si>
  <si>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</si>
  <si>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</si>
  <si>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r>
      <t>SV51用バルブホルダ（P=25）</t>
    </r>
    <r>
      <rPr>
        <sz val="11"/>
        <color indexed="8"/>
        <rFont val="ＭＳ Ｐゴシック"/>
        <family val="3"/>
        <charset val="128"/>
      </rPr>
      <t/>
    </r>
    <rPh sb="4" eb="5">
      <t>ヨウ</t>
    </rPh>
    <phoneticPr fontId="2"/>
  </si>
  <si>
    <t>六角穴付きﾎﾞﾙﾄ　 (M5×10)</t>
    <phoneticPr fontId="2"/>
  </si>
  <si>
    <t>六角穴付きﾎﾞﾙﾄ　 (M4×35)</t>
    <phoneticPr fontId="2"/>
  </si>
  <si>
    <t>東北ﾏﾃﾘｱﾙ</t>
    <rPh sb="0" eb="2">
      <t>トウホク</t>
    </rPh>
    <phoneticPr fontId="2"/>
  </si>
  <si>
    <t>SCB4-10</t>
    <phoneticPr fontId="2"/>
  </si>
  <si>
    <t>六角穴付きﾎﾞﾙﾄ　 (M4×10)</t>
    <phoneticPr fontId="2"/>
  </si>
  <si>
    <t>SCB5-10</t>
    <phoneticPr fontId="2"/>
  </si>
  <si>
    <t>SCB4-35</t>
    <phoneticPr fontId="2"/>
  </si>
  <si>
    <t>都機工</t>
    <rPh sb="0" eb="1">
      <t>ミヤコ</t>
    </rPh>
    <rPh sb="1" eb="3">
      <t>キコウ</t>
    </rPh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</si>
  <si>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ホルダー先端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</si>
  <si>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ホルダー上部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3,450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</si>
  <si>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3,980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</si>
  <si>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20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</si>
  <si>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18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</si>
  <si>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15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</si>
  <si>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14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</si>
  <si>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用カップバルブホルダツールベース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22,670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45,340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</si>
  <si>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18,570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37,140</t>
    </r>
    <r>
      <rPr>
        <sz val="10"/>
        <color indexed="56"/>
        <rFont val="ＭＳ ゴシック"/>
        <family val="3"/>
        <charset val="128"/>
      </rPr>
      <t>円</t>
    </r>
    <phoneticPr fontId="2"/>
  </si>
  <si>
    <t>荷造り運賃保険料</t>
    <rPh sb="0" eb="2">
      <t>ニヅク</t>
    </rPh>
    <rPh sb="3" eb="5">
      <t>ウンチン</t>
    </rPh>
    <rPh sb="5" eb="7">
      <t>ホケン</t>
    </rPh>
    <rPh sb="7" eb="8">
      <t>リョウ</t>
    </rPh>
    <phoneticPr fontId="2"/>
  </si>
  <si>
    <t>設計、加工費</t>
    <rPh sb="0" eb="2">
      <t>セッケイ</t>
    </rPh>
    <rPh sb="3" eb="5">
      <t>カコウ</t>
    </rPh>
    <rPh sb="5" eb="6">
      <t>ヒ</t>
    </rPh>
    <phoneticPr fontId="2"/>
  </si>
  <si>
    <t>リニアボールX軸ステージ</t>
  </si>
  <si>
    <t>XSG40-CＲ</t>
    <phoneticPr fontId="2"/>
  </si>
  <si>
    <t>六角穴付きﾎﾞﾙﾄ　 (M4×12)</t>
    <phoneticPr fontId="2"/>
  </si>
  <si>
    <t>SCB4-12</t>
    <phoneticPr fontId="2"/>
  </si>
  <si>
    <t>詳細</t>
    <rPh sb="0" eb="2">
      <t>ショウサイ</t>
    </rPh>
    <phoneticPr fontId="2"/>
  </si>
  <si>
    <t>品名 / 型式</t>
    <rPh sb="0" eb="2">
      <t>ヒンメイ</t>
    </rPh>
    <rPh sb="5" eb="7">
      <t>カタシキ</t>
    </rPh>
    <phoneticPr fontId="2"/>
  </si>
  <si>
    <t>割り冶具　ﾊﾞﾙﾌﾞﾎﾙﾀﾞ（P=25）</t>
    <rPh sb="0" eb="1">
      <t>ワリ</t>
    </rPh>
    <rPh sb="2" eb="3">
      <t>ジ</t>
    </rPh>
    <rPh sb="3" eb="4">
      <t>グ</t>
    </rPh>
    <phoneticPr fontId="9"/>
  </si>
  <si>
    <t>ﾉｯｸﾋﾟﾝ　φ3mm</t>
    <phoneticPr fontId="2"/>
  </si>
  <si>
    <t>ﾉｯｸﾋﾟﾝ　φ2mm</t>
    <phoneticPr fontId="2"/>
  </si>
  <si>
    <t>ﾂｰﾙ冶具　Z軸調整付</t>
    <rPh sb="3" eb="4">
      <t>ジ</t>
    </rPh>
    <rPh sb="4" eb="5">
      <t>グ</t>
    </rPh>
    <rPh sb="7" eb="8">
      <t>ジク</t>
    </rPh>
    <rPh sb="8" eb="10">
      <t>チョウセイ</t>
    </rPh>
    <rPh sb="10" eb="11">
      <t>ツキ</t>
    </rPh>
    <phoneticPr fontId="9"/>
  </si>
  <si>
    <t>DBS4-10-8</t>
    <phoneticPr fontId="2"/>
  </si>
  <si>
    <t>段付ﾎﾞﾙﾄ</t>
    <phoneticPr fontId="2"/>
  </si>
  <si>
    <t xml:space="preserve">六角支柱 </t>
    <phoneticPr fontId="2"/>
  </si>
  <si>
    <t>M4ﾈｼﾞ×8</t>
    <phoneticPr fontId="2"/>
  </si>
  <si>
    <t>ｱｽﾞﾜﾝ</t>
    <phoneticPr fontId="2"/>
  </si>
  <si>
    <t>5-079-06　　No.60</t>
    <phoneticPr fontId="2"/>
  </si>
  <si>
    <t>ミニカップ（アズワン）　No.60</t>
    <phoneticPr fontId="2"/>
  </si>
  <si>
    <t>位置決めPIN</t>
    <rPh sb="0" eb="2">
      <t>イチ</t>
    </rPh>
    <rPh sb="2" eb="3">
      <t>ギ</t>
    </rPh>
    <phoneticPr fontId="9"/>
  </si>
  <si>
    <t>I/Oｹｰﾌﾞﾙ</t>
    <phoneticPr fontId="9"/>
  </si>
  <si>
    <t>千葉　氏(齋藤 秀昭）</t>
    <rPh sb="0" eb="2">
      <t>チバ</t>
    </rPh>
    <rPh sb="3" eb="4">
      <t>シ</t>
    </rPh>
    <rPh sb="5" eb="7">
      <t>サイトウ</t>
    </rPh>
    <rPh sb="8" eb="10">
      <t>ヒデアキ</t>
    </rPh>
    <phoneticPr fontId="2"/>
  </si>
  <si>
    <t>@ECHN-20061106-00010</t>
    <phoneticPr fontId="2"/>
  </si>
  <si>
    <t>SCB4-8</t>
    <phoneticPr fontId="2"/>
  </si>
  <si>
    <t>SCB3-8</t>
    <phoneticPr fontId="2"/>
  </si>
  <si>
    <t>六角穴付きﾎﾞﾙﾄ　 (M3×8)</t>
    <phoneticPr fontId="2"/>
  </si>
  <si>
    <t>六角穴付きﾎﾞﾙﾄ　 (M3×10)</t>
    <phoneticPr fontId="9"/>
  </si>
  <si>
    <t>SCB3-10</t>
    <phoneticPr fontId="9"/>
  </si>
  <si>
    <t>MSC2-10</t>
    <phoneticPr fontId="2"/>
  </si>
  <si>
    <t>MS3-10</t>
    <phoneticPr fontId="2"/>
  </si>
  <si>
    <t>安住電機</t>
    <phoneticPr fontId="2"/>
  </si>
  <si>
    <t>SLSBWRK7-80</t>
    <phoneticPr fontId="2"/>
  </si>
  <si>
    <t>129800-Z005</t>
    <phoneticPr fontId="2"/>
  </si>
  <si>
    <t>配電用背板</t>
    <rPh sb="0" eb="2">
      <t>ハイデン</t>
    </rPh>
    <phoneticPr fontId="2"/>
  </si>
  <si>
    <t>MWS-DS37A-HT37</t>
    <phoneticPr fontId="2"/>
  </si>
  <si>
    <t>37pin I/O端子台</t>
    <rPh sb="9" eb="12">
      <t>タンシダイ</t>
    </rPh>
    <phoneticPr fontId="2"/>
  </si>
  <si>
    <t>NEDJL-PS-SB-37-1.0</t>
    <phoneticPr fontId="2"/>
  </si>
  <si>
    <t>37pin オスメスケーブル</t>
    <phoneticPr fontId="2"/>
  </si>
  <si>
    <t>MRB-200</t>
    <phoneticPr fontId="2"/>
  </si>
  <si>
    <t>DINレール</t>
    <phoneticPr fontId="2"/>
  </si>
  <si>
    <t>MRB-290</t>
    <phoneticPr fontId="2"/>
  </si>
  <si>
    <t>MWI-COM-P10N10</t>
    <phoneticPr fontId="2"/>
  </si>
  <si>
    <t>コモン端子台</t>
    <rPh sb="3" eb="5">
      <t>タンシ</t>
    </rPh>
    <rPh sb="5" eb="6">
      <t>ダイ</t>
    </rPh>
    <phoneticPr fontId="2"/>
  </si>
  <si>
    <t>F1.25-M3</t>
    <phoneticPr fontId="2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</si>
  <si>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2"/>
  </si>
  <si>
    <t>KR5G5-100P</t>
    <phoneticPr fontId="2"/>
  </si>
  <si>
    <t>結束バンド固定具（ビス止めタイプ）_4</t>
    <phoneticPr fontId="2"/>
  </si>
  <si>
    <t>ﾉｽﾞﾙ位置合わせ浸け置き捨て打ち冶具　</t>
    <rPh sb="4" eb="6">
      <t>イチ</t>
    </rPh>
    <rPh sb="6" eb="7">
      <t>ア</t>
    </rPh>
    <rPh sb="9" eb="10">
      <t>ツ</t>
    </rPh>
    <rPh sb="11" eb="12">
      <t>オ</t>
    </rPh>
    <rPh sb="13" eb="14">
      <t>ス</t>
    </rPh>
    <rPh sb="15" eb="16">
      <t>ウ</t>
    </rPh>
    <rPh sb="17" eb="18">
      <t>ジ</t>
    </rPh>
    <rPh sb="18" eb="19">
      <t>グ</t>
    </rPh>
    <phoneticPr fontId="9"/>
  </si>
  <si>
    <t>ﾂｰﾙ取りけﾌﾞﾗｹｯﾄ(Ｚ軸調整）</t>
    <phoneticPr fontId="2"/>
  </si>
  <si>
    <t>変換ﾌﾞﾗｹｯﾄ(Ｚ軸調整）</t>
    <rPh sb="0" eb="2">
      <t>ヘンカン</t>
    </rPh>
    <phoneticPr fontId="9"/>
  </si>
  <si>
    <t>ﾂｰﾙﾌﾟﾚｰﾄ平行ガイド</t>
    <phoneticPr fontId="2"/>
  </si>
  <si>
    <t>浸け置き位置決めﾌﾞﾗｹｯﾄ</t>
    <phoneticPr fontId="2"/>
  </si>
  <si>
    <t>浸け置き位置決めﾍﾞｰｽﾌﾞﾗｹｯﾄ</t>
    <phoneticPr fontId="2"/>
  </si>
  <si>
    <t>131629-Z001</t>
    <phoneticPr fontId="9"/>
  </si>
  <si>
    <t>131629-Z002</t>
    <phoneticPr fontId="9"/>
  </si>
  <si>
    <t>131629-Z003</t>
    <phoneticPr fontId="9"/>
  </si>
  <si>
    <t>112945-Y005</t>
    <phoneticPr fontId="9"/>
  </si>
  <si>
    <t>131629-Y002　　</t>
    <phoneticPr fontId="9"/>
  </si>
  <si>
    <t>131629-Y003　　</t>
    <phoneticPr fontId="9"/>
  </si>
  <si>
    <t>131629-Y001　　</t>
    <phoneticPr fontId="2"/>
  </si>
  <si>
    <t>NO.131629</t>
    <phoneticPr fontId="9"/>
  </si>
  <si>
    <t>SLSBWRK7-35</t>
    <phoneticPr fontId="2"/>
  </si>
  <si>
    <t>見積もり確認中に付確認次第ご連絡いたします。</t>
    <rPh sb="0" eb="2">
      <t>ミツ</t>
    </rPh>
    <rPh sb="4" eb="6">
      <t>カクニン</t>
    </rPh>
    <rPh sb="6" eb="7">
      <t>チュウ</t>
    </rPh>
    <rPh sb="8" eb="9">
      <t>ツキ</t>
    </rPh>
    <rPh sb="9" eb="11">
      <t>カクニン</t>
    </rPh>
    <rPh sb="11" eb="13">
      <t>シダイ</t>
    </rPh>
    <rPh sb="14" eb="16">
      <t>レンラク</t>
    </rPh>
    <phoneticPr fontId="9"/>
  </si>
  <si>
    <t>9/18仙台(営)ﾍ発送</t>
    <rPh sb="4" eb="6">
      <t>センダイ</t>
    </rPh>
    <rPh sb="6" eb="9">
      <t>エイ</t>
    </rPh>
    <rPh sb="10" eb="12">
      <t>ハッソウ</t>
    </rPh>
    <phoneticPr fontId="9"/>
  </si>
  <si>
    <t>9・18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</si>
</sst>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  <numFmt numFmtId="181" formatCode="0_);[Red]\(0\)"/>
  </numFmts>
  <fonts count="15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06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/>
    </xf>
    <xf numFmtId="0" fontId="5" fillId="0" borderId="1" xfId="2" applyFill="1" applyBorder="1" applyAlignment="1">
      <alignment horizontal="center" vertical="center"/>
    </xf>
    <xf numFmtId="176" fontId="0" fillId="0" borderId="2" xfId="0" applyNumberFormat="1" applyFill="1" applyBorder="1" applyAlignment="1"/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5" fillId="0" borderId="1" xfId="0" applyNumberFormat="1" applyFont="1" applyFill="1" applyBorder="1" applyAlignment="1">
      <alignment vertical="center" shrinkToFit="1"/>
    </xf>
    <xf numFmtId="176" fontId="1" fillId="0" borderId="1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1" fillId="0" borderId="0" xfId="0" applyFont="1">
      <alignment vertical="center"/>
    </xf>
    <xf numFmtId="0" fontId="5" fillId="0" borderId="1" xfId="2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0" fontId="5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5" fillId="0" borderId="1" xfId="2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left" vertical="center" shrinkToFit="1"/>
    </xf>
    <xf numFmtId="176" fontId="0" fillId="0" borderId="1" xfId="0" applyNumberFormat="1" applyFill="1" applyBorder="1" applyAlignment="1"/>
    <xf numFmtId="176" fontId="0" fillId="0" borderId="1" xfId="0" applyNumberFormat="1" applyFont="1" applyFill="1" applyBorder="1" applyAlignment="1">
      <alignment horizontal="center"/>
    </xf>
    <xf numFmtId="0" fontId="5" fillId="0" borderId="1" xfId="2" applyFill="1" applyBorder="1" applyAlignment="1">
      <alignment horizontal="left" vertical="center"/>
    </xf>
    <xf numFmtId="49" fontId="0" fillId="0" borderId="1" xfId="0" applyNumberFormat="1" applyBorder="1">
      <alignment vertical="center"/>
    </xf>
    <xf numFmtId="176" fontId="0" fillId="4" borderId="1" xfId="0" applyNumberFormat="1" applyFill="1" applyBorder="1" applyAlignment="1">
      <alignment horizontal="center" vertical="center"/>
    </xf>
    <xf numFmtId="181" fontId="5" fillId="4" borderId="1" xfId="2" applyNumberFormat="1" applyFill="1" applyBorder="1" applyAlignment="1">
      <alignment horizontal="center" vertical="center"/>
    </xf>
    <xf numFmtId="0" fontId="5" fillId="4" borderId="1" xfId="2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176" fontId="1" fillId="0" borderId="2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>
      <alignment horizontal="center" vertical="center"/>
    </xf>
    <xf numFmtId="3" fontId="12" fillId="0" borderId="2" xfId="0" applyNumberFormat="1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176" fontId="13" fillId="0" borderId="1" xfId="0" applyNumberFormat="1" applyFont="1" applyFill="1" applyBorder="1" applyAlignment="1"/>
    <xf numFmtId="0" fontId="12" fillId="0" borderId="1" xfId="0" applyFont="1" applyFill="1" applyBorder="1" applyAlignment="1">
      <alignment horizontal="left" vertical="center" shrinkToFit="1"/>
    </xf>
    <xf numFmtId="176" fontId="0" fillId="0" borderId="1" xfId="0" applyNumberForma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5" borderId="1" xfId="2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5" fillId="0" borderId="1" xfId="2" applyBorder="1" applyAlignment="1">
      <alignment horizontal="center" vertical="center" shrinkToFi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3" fontId="11" fillId="3" borderId="3" xfId="0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118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S50" sqref="S50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35.625" customWidth="1"/>
    <col min="6" max="6" width="6.25" customWidth="1"/>
    <col min="7" max="7" width="8.375" style="5" customWidth="1"/>
    <col min="8" max="8" width="8.125" style="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6.375" customWidth="1"/>
    <col min="15" max="15" width="13.25" style="15" customWidth="1"/>
    <col min="16" max="16" width="15.125" style="17" customWidth="1"/>
    <col min="17" max="17" width="15.625" style="23" customWidth="1"/>
    <col min="18" max="18" width="14.875" customWidth="1"/>
  </cols>
  <sheetData>
    <row r="2" spans="2:18" ht="20.100000000000001" customHeight="1" x14ac:dyDescent="0.15">
      <c r="B2" s="102" t="s">
        <v>9</v>
      </c>
      <c r="C2" s="102"/>
      <c r="D2" s="102"/>
      <c r="E2" s="25" t="s">
        <v>69</v>
      </c>
      <c r="G2" s="103" t="s">
        <v>13</v>
      </c>
      <c r="H2" s="104"/>
      <c r="I2" s="105"/>
      <c r="J2" s="14">
        <f>SUM(H$1:H$65557)</f>
        <v>188247</v>
      </c>
      <c r="K2" s="6"/>
      <c r="L2" s="10"/>
    </row>
    <row r="3" spans="2:18" ht="20.100000000000001" customHeight="1" x14ac:dyDescent="0.15">
      <c r="B3" s="102" t="s">
        <v>8</v>
      </c>
      <c r="C3" s="102"/>
      <c r="D3" s="102"/>
      <c r="E3" s="12" t="s">
        <v>60</v>
      </c>
    </row>
    <row r="4" spans="2:18" ht="20.100000000000001" customHeight="1" x14ac:dyDescent="0.15">
      <c r="B4" s="102" t="s">
        <v>10</v>
      </c>
      <c r="C4" s="102"/>
      <c r="D4" s="102"/>
      <c r="E4" s="12" t="s">
        <v>99</v>
      </c>
    </row>
    <row r="5" spans="2:18" ht="20.100000000000001" customHeight="1" x14ac:dyDescent="0.15">
      <c r="B5" s="102" t="s">
        <v>11</v>
      </c>
      <c r="C5" s="102"/>
      <c r="D5" s="102"/>
      <c r="E5" s="13">
        <v>42272</v>
      </c>
      <c r="G5" s="95"/>
      <c r="H5" s="96" t="s">
        <v>101</v>
      </c>
    </row>
    <row r="6" spans="2:18" ht="20.100000000000001" customHeight="1" x14ac:dyDescent="0.15">
      <c r="B6" s="102" t="s">
        <v>12</v>
      </c>
      <c r="C6" s="102"/>
      <c r="D6" s="102"/>
      <c r="E6" s="13">
        <v>42272</v>
      </c>
    </row>
    <row r="8" spans="2:18" s="3" customFormat="1" ht="19.5" customHeight="1" x14ac:dyDescent="0.15">
      <c r="B8" s="4" t="s">
        <v>3</v>
      </c>
      <c r="C8" s="4" t="s">
        <v>7</v>
      </c>
      <c r="D8" s="4" t="s">
        <v>4</v>
      </c>
      <c r="E8" s="1" t="s">
        <v>46</v>
      </c>
      <c r="F8" s="1" t="s">
        <v>0</v>
      </c>
      <c r="G8" s="1" t="s">
        <v>1</v>
      </c>
      <c r="H8" s="2" t="s">
        <v>2</v>
      </c>
      <c r="I8" s="2" t="s">
        <v>16</v>
      </c>
      <c r="J8" s="1" t="s">
        <v>45</v>
      </c>
      <c r="K8" s="1" t="s">
        <v>15</v>
      </c>
      <c r="L8" s="1" t="s">
        <v>14</v>
      </c>
      <c r="M8" s="4" t="s">
        <v>5</v>
      </c>
      <c r="N8" s="4" t="s">
        <v>17</v>
      </c>
      <c r="O8" s="1" t="s">
        <v>6</v>
      </c>
      <c r="P8" s="11" t="s">
        <v>18</v>
      </c>
      <c r="Q8" s="21" t="s">
        <v>19</v>
      </c>
    </row>
    <row r="9" spans="2:18" s="3" customFormat="1" ht="19.5" customHeight="1" x14ac:dyDescent="0.15">
      <c r="B9" s="4"/>
      <c r="C9" s="99" t="s">
        <v>50</v>
      </c>
      <c r="D9" s="100"/>
      <c r="E9" s="101"/>
      <c r="F9" s="1"/>
      <c r="G9" s="1"/>
      <c r="H9" s="2"/>
      <c r="I9" s="2"/>
      <c r="J9" s="1"/>
      <c r="K9" s="1"/>
      <c r="L9" s="1"/>
      <c r="M9" s="4"/>
      <c r="N9" s="4"/>
      <c r="O9" s="1"/>
      <c r="P9" s="11"/>
      <c r="Q9" s="21"/>
    </row>
    <row r="10" spans="2:18" s="3" customFormat="1" ht="19.5" customHeight="1" x14ac:dyDescent="0.15">
      <c r="B10" s="4">
        <v>1</v>
      </c>
      <c r="C10" s="56" t="s">
        <v>24</v>
      </c>
      <c r="D10" s="56" t="s">
        <v>24</v>
      </c>
      <c r="E10" s="72" t="s">
        <v>98</v>
      </c>
      <c r="F10" s="89">
        <v>2</v>
      </c>
      <c r="G10" s="77">
        <v>9000</v>
      </c>
      <c r="H10" s="47">
        <f t="shared" ref="H10:H16" si="0">F10*G10</f>
        <v>18000</v>
      </c>
      <c r="I10" s="70"/>
      <c r="J10" s="32" t="s">
        <v>87</v>
      </c>
      <c r="K10" s="1"/>
      <c r="L10" s="1"/>
      <c r="M10" s="30">
        <v>42257</v>
      </c>
      <c r="N10" s="4"/>
      <c r="O10" s="35"/>
      <c r="P10" s="30"/>
      <c r="Q10" s="21"/>
    </row>
    <row r="11" spans="2:18" s="3" customFormat="1" ht="19.5" customHeight="1" x14ac:dyDescent="0.15">
      <c r="B11" s="4">
        <v>2</v>
      </c>
      <c r="C11" s="56" t="s">
        <v>24</v>
      </c>
      <c r="D11" s="56" t="s">
        <v>24</v>
      </c>
      <c r="E11" s="72" t="s">
        <v>96</v>
      </c>
      <c r="F11" s="89">
        <v>2</v>
      </c>
      <c r="G11" s="77">
        <v>6400</v>
      </c>
      <c r="H11" s="47">
        <v>12800</v>
      </c>
      <c r="I11" s="73"/>
      <c r="J11" s="32" t="s">
        <v>88</v>
      </c>
      <c r="K11" s="1"/>
      <c r="L11" s="1"/>
      <c r="M11" s="30">
        <v>42257</v>
      </c>
      <c r="N11" s="4"/>
      <c r="O11" s="35"/>
      <c r="P11" s="30"/>
      <c r="Q11" s="21"/>
    </row>
    <row r="12" spans="2:18" s="3" customFormat="1" ht="19.5" customHeight="1" x14ac:dyDescent="0.15">
      <c r="B12" s="4">
        <v>2</v>
      </c>
      <c r="C12" s="64" t="s">
        <v>24</v>
      </c>
      <c r="D12" s="64" t="s">
        <v>24</v>
      </c>
      <c r="E12" s="72" t="s">
        <v>97</v>
      </c>
      <c r="F12" s="90">
        <v>2</v>
      </c>
      <c r="G12" s="78">
        <v>2800</v>
      </c>
      <c r="H12" s="47">
        <v>5600</v>
      </c>
      <c r="I12" s="73"/>
      <c r="J12" s="75" t="s">
        <v>89</v>
      </c>
      <c r="K12" s="1"/>
      <c r="L12" s="1"/>
      <c r="M12" s="30">
        <v>42257</v>
      </c>
      <c r="N12" s="4"/>
      <c r="O12" s="35"/>
      <c r="P12" s="30"/>
      <c r="Q12" s="21"/>
    </row>
    <row r="13" spans="2:18" s="3" customFormat="1" ht="19.5" customHeight="1" x14ac:dyDescent="0.15">
      <c r="B13" s="4">
        <f>+B12+1</f>
        <v>3</v>
      </c>
      <c r="C13" s="4" t="s">
        <v>20</v>
      </c>
      <c r="D13" s="4" t="s">
        <v>20</v>
      </c>
      <c r="E13" s="54" t="s">
        <v>67</v>
      </c>
      <c r="F13" s="1">
        <v>10</v>
      </c>
      <c r="G13" s="47">
        <v>90</v>
      </c>
      <c r="H13" s="47">
        <f t="shared" si="0"/>
        <v>900</v>
      </c>
      <c r="I13" s="9"/>
      <c r="J13" s="54" t="s">
        <v>49</v>
      </c>
      <c r="K13" s="1"/>
      <c r="L13" s="1"/>
      <c r="M13" s="30">
        <v>42257</v>
      </c>
      <c r="N13" s="4"/>
      <c r="O13" s="35"/>
      <c r="P13" s="30">
        <v>42264</v>
      </c>
      <c r="Q13" s="21">
        <v>42264</v>
      </c>
      <c r="R13" s="3" t="s">
        <v>102</v>
      </c>
    </row>
    <row r="14" spans="2:18" s="3" customFormat="1" ht="19.5" customHeight="1" x14ac:dyDescent="0.15">
      <c r="B14" s="4">
        <f t="shared" ref="B14:B33" si="1">+B13+1</f>
        <v>4</v>
      </c>
      <c r="C14" s="4" t="s">
        <v>20</v>
      </c>
      <c r="D14" s="4" t="s">
        <v>20</v>
      </c>
      <c r="E14" s="54" t="s">
        <v>68</v>
      </c>
      <c r="F14" s="1">
        <v>50</v>
      </c>
      <c r="G14" s="47">
        <v>19</v>
      </c>
      <c r="H14" s="47">
        <f t="shared" si="0"/>
        <v>950</v>
      </c>
      <c r="I14" s="9"/>
      <c r="J14" s="54" t="s">
        <v>48</v>
      </c>
      <c r="K14" s="1"/>
      <c r="L14" s="1"/>
      <c r="M14" s="30">
        <v>42257</v>
      </c>
      <c r="N14" s="4"/>
      <c r="O14" s="35"/>
      <c r="P14" s="30">
        <v>42264</v>
      </c>
      <c r="Q14" s="21">
        <v>42264</v>
      </c>
      <c r="R14" s="3" t="s">
        <v>102</v>
      </c>
    </row>
    <row r="15" spans="2:18" s="3" customFormat="1" ht="19.5" customHeight="1" x14ac:dyDescent="0.15">
      <c r="B15" s="4">
        <f t="shared" si="1"/>
        <v>5</v>
      </c>
      <c r="C15" s="4" t="s">
        <v>20</v>
      </c>
      <c r="D15" s="4" t="s">
        <v>20</v>
      </c>
      <c r="E15" s="51" t="s">
        <v>63</v>
      </c>
      <c r="F15" s="52">
        <v>10</v>
      </c>
      <c r="G15" s="47">
        <v>20</v>
      </c>
      <c r="H15" s="47">
        <f t="shared" si="0"/>
        <v>200</v>
      </c>
      <c r="I15" s="9"/>
      <c r="J15" s="54" t="s">
        <v>64</v>
      </c>
      <c r="K15" s="1"/>
      <c r="L15" s="1"/>
      <c r="M15" s="30">
        <v>42257</v>
      </c>
      <c r="N15" s="4"/>
      <c r="O15" s="35"/>
      <c r="P15" s="30">
        <v>42264</v>
      </c>
      <c r="Q15" s="21">
        <v>42264</v>
      </c>
      <c r="R15" s="3" t="s">
        <v>102</v>
      </c>
    </row>
    <row r="16" spans="2:18" s="3" customFormat="1" ht="19.5" customHeight="1" x14ac:dyDescent="0.15">
      <c r="B16" s="4">
        <f t="shared" si="1"/>
        <v>6</v>
      </c>
      <c r="C16" s="4" t="s">
        <v>20</v>
      </c>
      <c r="D16" s="4" t="s">
        <v>20</v>
      </c>
      <c r="E16" s="51" t="s">
        <v>66</v>
      </c>
      <c r="F16" s="52">
        <v>10</v>
      </c>
      <c r="G16" s="47">
        <v>25</v>
      </c>
      <c r="H16" s="47">
        <f t="shared" si="0"/>
        <v>250</v>
      </c>
      <c r="I16" s="9"/>
      <c r="J16" s="54" t="s">
        <v>65</v>
      </c>
      <c r="K16" s="1"/>
      <c r="L16" s="1"/>
      <c r="M16" s="30">
        <v>42257</v>
      </c>
      <c r="N16" s="4"/>
      <c r="O16" s="35"/>
      <c r="P16" s="30">
        <v>42264</v>
      </c>
      <c r="Q16" s="21">
        <v>42264</v>
      </c>
      <c r="R16" s="3" t="s">
        <v>102</v>
      </c>
    </row>
    <row r="17" spans="2:18" s="3" customFormat="1" ht="19.5" customHeight="1" x14ac:dyDescent="0.15">
      <c r="B17" s="4">
        <f t="shared" si="1"/>
        <v>7</v>
      </c>
      <c r="C17" s="4" t="s">
        <v>20</v>
      </c>
      <c r="D17" s="4" t="s">
        <v>20</v>
      </c>
      <c r="E17" s="51" t="s">
        <v>25</v>
      </c>
      <c r="F17" s="52">
        <v>10</v>
      </c>
      <c r="G17" s="47">
        <v>25</v>
      </c>
      <c r="H17" s="47">
        <f t="shared" ref="H17:H18" si="2">F17*G17</f>
        <v>250</v>
      </c>
      <c r="I17" s="9"/>
      <c r="J17" s="54" t="s">
        <v>26</v>
      </c>
      <c r="K17" s="1"/>
      <c r="L17" s="1"/>
      <c r="M17" s="30">
        <v>42257</v>
      </c>
      <c r="N17" s="4"/>
      <c r="O17" s="35"/>
      <c r="P17" s="30">
        <v>42264</v>
      </c>
      <c r="Q17" s="21">
        <v>42264</v>
      </c>
      <c r="R17" s="3" t="s">
        <v>102</v>
      </c>
    </row>
    <row r="18" spans="2:18" s="3" customFormat="1" ht="19.5" customHeight="1" x14ac:dyDescent="0.15">
      <c r="B18" s="4">
        <f t="shared" si="1"/>
        <v>8</v>
      </c>
      <c r="C18" s="4" t="s">
        <v>20</v>
      </c>
      <c r="D18" s="4" t="s">
        <v>20</v>
      </c>
      <c r="E18" s="51" t="s">
        <v>44</v>
      </c>
      <c r="F18" s="52">
        <v>4</v>
      </c>
      <c r="G18" s="47">
        <v>80</v>
      </c>
      <c r="H18" s="47">
        <f t="shared" si="2"/>
        <v>320</v>
      </c>
      <c r="I18" s="9"/>
      <c r="J18" s="54" t="s">
        <v>43</v>
      </c>
      <c r="K18" s="1"/>
      <c r="L18" s="1"/>
      <c r="M18" s="30">
        <v>42257</v>
      </c>
      <c r="N18" s="4"/>
      <c r="O18" s="35"/>
      <c r="P18" s="30">
        <v>42264</v>
      </c>
      <c r="Q18" s="21">
        <v>42264</v>
      </c>
      <c r="R18" s="3" t="s">
        <v>102</v>
      </c>
    </row>
    <row r="19" spans="2:18" s="3" customFormat="1" ht="19.5" customHeight="1" x14ac:dyDescent="0.15">
      <c r="B19" s="4">
        <f t="shared" si="1"/>
        <v>9</v>
      </c>
      <c r="C19" s="4" t="s">
        <v>20</v>
      </c>
      <c r="D19" s="4" t="s">
        <v>20</v>
      </c>
      <c r="E19" s="51" t="s">
        <v>27</v>
      </c>
      <c r="F19" s="52">
        <v>4</v>
      </c>
      <c r="G19" s="47">
        <v>125</v>
      </c>
      <c r="H19" s="47">
        <f t="shared" ref="H19" si="3">F19*G19</f>
        <v>500</v>
      </c>
      <c r="I19" s="9"/>
      <c r="J19" s="54" t="s">
        <v>22</v>
      </c>
      <c r="K19" s="1"/>
      <c r="L19" s="1"/>
      <c r="M19" s="30">
        <v>42257</v>
      </c>
      <c r="N19" s="4"/>
      <c r="O19" s="35"/>
      <c r="P19" s="30">
        <v>42264</v>
      </c>
      <c r="Q19" s="21">
        <v>42264</v>
      </c>
      <c r="R19" s="3" t="s">
        <v>102</v>
      </c>
    </row>
    <row r="20" spans="2:18" s="3" customFormat="1" ht="19.5" customHeight="1" x14ac:dyDescent="0.15">
      <c r="B20" s="4">
        <f t="shared" si="1"/>
        <v>10</v>
      </c>
      <c r="C20" s="4" t="s">
        <v>20</v>
      </c>
      <c r="D20" s="4" t="s">
        <v>20</v>
      </c>
      <c r="E20" s="53" t="s">
        <v>42</v>
      </c>
      <c r="F20" s="1">
        <v>2</v>
      </c>
      <c r="G20" s="47">
        <v>16000</v>
      </c>
      <c r="H20" s="47">
        <f>F20*G20</f>
        <v>32000</v>
      </c>
      <c r="I20" s="9"/>
      <c r="J20" s="24" t="s">
        <v>41</v>
      </c>
      <c r="K20" s="1"/>
      <c r="L20" s="1"/>
      <c r="M20" s="30">
        <v>42257</v>
      </c>
      <c r="N20" s="4"/>
      <c r="O20" s="35"/>
      <c r="P20" s="30">
        <v>42264</v>
      </c>
      <c r="Q20" s="21">
        <v>42264</v>
      </c>
      <c r="R20" s="3" t="s">
        <v>102</v>
      </c>
    </row>
    <row r="21" spans="2:18" s="3" customFormat="1" ht="19.5" customHeight="1" x14ac:dyDescent="0.15">
      <c r="B21" s="4">
        <f t="shared" si="1"/>
        <v>11</v>
      </c>
      <c r="C21" s="4"/>
      <c r="D21" s="4"/>
      <c r="E21" s="51"/>
      <c r="F21" s="52"/>
      <c r="G21" s="47"/>
      <c r="H21" s="47"/>
      <c r="I21" s="9"/>
      <c r="J21" s="54"/>
      <c r="K21" s="1"/>
      <c r="L21" s="1"/>
      <c r="M21" s="30"/>
      <c r="N21" s="4"/>
      <c r="O21" s="35"/>
      <c r="P21" s="30"/>
      <c r="Q21" s="21"/>
    </row>
    <row r="22" spans="2:18" s="3" customFormat="1" ht="19.5" customHeight="1" x14ac:dyDescent="0.15">
      <c r="B22" s="4">
        <f t="shared" si="1"/>
        <v>12</v>
      </c>
      <c r="C22" s="99" t="s">
        <v>47</v>
      </c>
      <c r="D22" s="100"/>
      <c r="E22" s="101"/>
      <c r="F22" s="38"/>
      <c r="G22" s="47"/>
      <c r="H22" s="47"/>
      <c r="I22" s="9"/>
      <c r="J22" s="54"/>
      <c r="K22" s="1"/>
      <c r="L22" s="1"/>
      <c r="M22" s="30"/>
      <c r="N22" s="4"/>
      <c r="O22" s="35"/>
      <c r="P22" s="30"/>
      <c r="Q22" s="21"/>
    </row>
    <row r="23" spans="2:18" s="3" customFormat="1" ht="19.5" customHeight="1" x14ac:dyDescent="0.15">
      <c r="B23" s="4">
        <f t="shared" si="1"/>
        <v>13</v>
      </c>
      <c r="C23" s="56" t="s">
        <v>24</v>
      </c>
      <c r="D23" s="56" t="s">
        <v>24</v>
      </c>
      <c r="E23" s="48" t="s">
        <v>95</v>
      </c>
      <c r="F23" s="91">
        <v>2</v>
      </c>
      <c r="G23" s="64">
        <v>8300</v>
      </c>
      <c r="H23" s="59">
        <v>16600</v>
      </c>
      <c r="I23" s="74"/>
      <c r="J23" s="48" t="s">
        <v>21</v>
      </c>
      <c r="K23" s="1"/>
      <c r="L23" s="1"/>
      <c r="M23" s="30">
        <v>42257</v>
      </c>
      <c r="N23" s="4"/>
      <c r="O23" s="1"/>
      <c r="P23" s="30"/>
      <c r="Q23" s="21"/>
    </row>
    <row r="24" spans="2:18" s="3" customFormat="1" ht="19.5" customHeight="1" x14ac:dyDescent="0.15">
      <c r="B24" s="4">
        <f t="shared" si="1"/>
        <v>14</v>
      </c>
      <c r="C24" s="4" t="s">
        <v>20</v>
      </c>
      <c r="D24" s="4" t="s">
        <v>20</v>
      </c>
      <c r="E24" s="51" t="s">
        <v>25</v>
      </c>
      <c r="F24" s="52">
        <v>4</v>
      </c>
      <c r="G24" s="47">
        <v>75</v>
      </c>
      <c r="H24" s="47">
        <f>F24*G24</f>
        <v>300</v>
      </c>
      <c r="I24" s="9"/>
      <c r="J24" s="54" t="s">
        <v>26</v>
      </c>
      <c r="K24" s="1"/>
      <c r="L24" s="1"/>
      <c r="M24" s="30">
        <v>42257</v>
      </c>
      <c r="N24" s="4"/>
      <c r="O24" s="1"/>
      <c r="P24" s="30">
        <v>42264</v>
      </c>
      <c r="Q24" s="21">
        <v>42264</v>
      </c>
      <c r="R24" s="3" t="s">
        <v>102</v>
      </c>
    </row>
    <row r="25" spans="2:18" s="3" customFormat="1" ht="19.5" customHeight="1" x14ac:dyDescent="0.15">
      <c r="B25" s="4">
        <f t="shared" si="1"/>
        <v>15</v>
      </c>
      <c r="C25" s="4" t="s">
        <v>20</v>
      </c>
      <c r="D25" s="4" t="s">
        <v>20</v>
      </c>
      <c r="E25" s="51" t="s">
        <v>28</v>
      </c>
      <c r="F25" s="52">
        <v>4</v>
      </c>
      <c r="G25" s="47">
        <v>88</v>
      </c>
      <c r="H25" s="47">
        <f t="shared" ref="H25" si="4">F25*G25</f>
        <v>352</v>
      </c>
      <c r="I25" s="9"/>
      <c r="J25" s="54" t="s">
        <v>23</v>
      </c>
      <c r="K25" s="1"/>
      <c r="L25" s="1"/>
      <c r="M25" s="30">
        <v>42257</v>
      </c>
      <c r="N25" s="4"/>
      <c r="O25" s="1"/>
      <c r="P25" s="30">
        <v>42264</v>
      </c>
      <c r="Q25" s="21">
        <v>42264</v>
      </c>
      <c r="R25" s="3" t="s">
        <v>102</v>
      </c>
    </row>
    <row r="26" spans="2:18" s="3" customFormat="1" ht="19.5" customHeight="1" x14ac:dyDescent="0.15">
      <c r="B26" s="4">
        <f t="shared" si="1"/>
        <v>16</v>
      </c>
      <c r="C26" s="4"/>
      <c r="D26" s="4"/>
      <c r="E26" s="33"/>
      <c r="F26" s="38"/>
      <c r="G26" s="47"/>
      <c r="H26" s="47"/>
      <c r="I26" s="9"/>
      <c r="J26" s="54"/>
      <c r="K26" s="1"/>
      <c r="L26" s="1"/>
      <c r="M26" s="30"/>
      <c r="N26" s="4"/>
      <c r="O26" s="1"/>
      <c r="P26" s="30"/>
      <c r="Q26" s="21"/>
    </row>
    <row r="27" spans="2:18" s="3" customFormat="1" ht="19.5" customHeight="1" x14ac:dyDescent="0.15">
      <c r="B27" s="4">
        <f t="shared" si="1"/>
        <v>17</v>
      </c>
      <c r="C27" s="4"/>
      <c r="D27" s="4"/>
      <c r="E27" s="33"/>
      <c r="F27" s="38"/>
      <c r="G27" s="47"/>
      <c r="H27" s="47"/>
      <c r="I27" s="9"/>
      <c r="J27" s="54"/>
      <c r="K27" s="1"/>
      <c r="L27" s="1"/>
      <c r="M27" s="30"/>
      <c r="N27" s="4"/>
      <c r="O27" s="1"/>
      <c r="P27" s="30"/>
      <c r="Q27" s="21"/>
    </row>
    <row r="28" spans="2:18" s="3" customFormat="1" ht="19.5" customHeight="1" x14ac:dyDescent="0.15">
      <c r="B28" s="4">
        <f t="shared" si="1"/>
        <v>18</v>
      </c>
      <c r="C28" s="99" t="s">
        <v>86</v>
      </c>
      <c r="D28" s="100"/>
      <c r="E28" s="101"/>
      <c r="F28" s="38"/>
      <c r="G28" s="47"/>
      <c r="H28" s="47"/>
      <c r="I28" s="9"/>
      <c r="J28" s="54"/>
      <c r="K28" s="1"/>
      <c r="L28" s="1"/>
      <c r="M28" s="30"/>
      <c r="N28" s="4"/>
      <c r="O28" s="1"/>
      <c r="P28" s="30"/>
      <c r="Q28" s="21"/>
    </row>
    <row r="29" spans="2:18" s="3" customFormat="1" ht="19.5" customHeight="1" x14ac:dyDescent="0.15">
      <c r="B29" s="4">
        <f t="shared" si="1"/>
        <v>19</v>
      </c>
      <c r="C29" s="56" t="s">
        <v>24</v>
      </c>
      <c r="D29" s="56" t="s">
        <v>24</v>
      </c>
      <c r="E29" s="72" t="s">
        <v>92</v>
      </c>
      <c r="F29" s="90">
        <v>2</v>
      </c>
      <c r="G29" s="79">
        <v>8500</v>
      </c>
      <c r="H29" s="47">
        <f t="shared" ref="H29:H32" si="5">F29*G29</f>
        <v>17000</v>
      </c>
      <c r="I29" s="34"/>
      <c r="J29" s="32" t="s">
        <v>90</v>
      </c>
      <c r="K29" s="1"/>
      <c r="L29" s="1"/>
      <c r="M29" s="30">
        <v>42257</v>
      </c>
      <c r="N29" s="4"/>
      <c r="O29" s="1"/>
      <c r="P29" s="30"/>
      <c r="Q29" s="21"/>
    </row>
    <row r="30" spans="2:18" s="3" customFormat="1" ht="19.5" customHeight="1" x14ac:dyDescent="0.15">
      <c r="B30" s="4">
        <f t="shared" si="1"/>
        <v>20</v>
      </c>
      <c r="C30" s="56" t="s">
        <v>24</v>
      </c>
      <c r="D30" s="56" t="s">
        <v>24</v>
      </c>
      <c r="E30" s="72" t="s">
        <v>93</v>
      </c>
      <c r="F30" s="90">
        <v>2</v>
      </c>
      <c r="G30" s="79">
        <v>4800</v>
      </c>
      <c r="H30" s="47">
        <f t="shared" si="5"/>
        <v>9600</v>
      </c>
      <c r="I30" s="34"/>
      <c r="J30" s="32" t="s">
        <v>91</v>
      </c>
      <c r="K30" s="1"/>
      <c r="L30" s="1"/>
      <c r="M30" s="30">
        <v>42257</v>
      </c>
      <c r="N30" s="4"/>
      <c r="O30" s="1"/>
      <c r="P30" s="30"/>
      <c r="Q30" s="21"/>
    </row>
    <row r="31" spans="2:18" s="3" customFormat="1" ht="19.5" customHeight="1" x14ac:dyDescent="0.15">
      <c r="B31" s="4">
        <f t="shared" si="1"/>
        <v>21</v>
      </c>
      <c r="C31" s="56" t="s">
        <v>24</v>
      </c>
      <c r="D31" s="56" t="s">
        <v>24</v>
      </c>
      <c r="E31" s="72" t="s">
        <v>94</v>
      </c>
      <c r="F31" s="90">
        <v>2</v>
      </c>
      <c r="G31" s="79">
        <v>2200</v>
      </c>
      <c r="H31" s="47">
        <f t="shared" si="5"/>
        <v>4400</v>
      </c>
      <c r="I31" s="34"/>
      <c r="J31" s="32" t="s">
        <v>58</v>
      </c>
      <c r="K31" s="1"/>
      <c r="L31" s="1"/>
      <c r="M31" s="30">
        <v>42257</v>
      </c>
      <c r="N31" s="4"/>
      <c r="O31" s="1"/>
      <c r="P31" s="30"/>
      <c r="Q31" s="21"/>
    </row>
    <row r="32" spans="2:18" s="3" customFormat="1" ht="19.5" customHeight="1" x14ac:dyDescent="0.15">
      <c r="B32" s="4">
        <f>+B31+1</f>
        <v>22</v>
      </c>
      <c r="C32" s="56" t="s">
        <v>24</v>
      </c>
      <c r="D32" s="56" t="s">
        <v>24</v>
      </c>
      <c r="E32" s="80" t="s">
        <v>71</v>
      </c>
      <c r="F32" s="92">
        <v>2</v>
      </c>
      <c r="G32" s="59">
        <v>13500</v>
      </c>
      <c r="H32" s="93">
        <f t="shared" si="5"/>
        <v>27000</v>
      </c>
      <c r="I32" s="81"/>
      <c r="J32" s="80" t="s">
        <v>72</v>
      </c>
      <c r="K32" s="1"/>
      <c r="L32" s="1"/>
      <c r="M32" s="30">
        <v>42257</v>
      </c>
      <c r="N32" s="4"/>
      <c r="O32" s="1"/>
      <c r="P32" s="30"/>
      <c r="Q32" s="21"/>
    </row>
    <row r="33" spans="2:18" s="3" customFormat="1" ht="19.5" customHeight="1" x14ac:dyDescent="0.15">
      <c r="B33" s="4">
        <f t="shared" si="1"/>
        <v>23</v>
      </c>
      <c r="C33" s="4" t="s">
        <v>20</v>
      </c>
      <c r="D33" s="4" t="s">
        <v>20</v>
      </c>
      <c r="E33" s="58" t="s">
        <v>51</v>
      </c>
      <c r="F33" s="47">
        <v>4</v>
      </c>
      <c r="G33" s="47">
        <v>460</v>
      </c>
      <c r="H33" s="47">
        <f t="shared" ref="H33:H37" si="6">F33*G33</f>
        <v>1840</v>
      </c>
      <c r="I33" s="50"/>
      <c r="J33" s="32" t="s">
        <v>52</v>
      </c>
      <c r="K33" s="1"/>
      <c r="L33" s="1"/>
      <c r="M33" s="30">
        <v>42257</v>
      </c>
      <c r="N33" s="4"/>
      <c r="O33" s="1"/>
      <c r="P33" s="30">
        <v>42264</v>
      </c>
      <c r="Q33" s="21">
        <v>42264</v>
      </c>
      <c r="R33" s="3" t="s">
        <v>102</v>
      </c>
    </row>
    <row r="34" spans="2:18" s="3" customFormat="1" ht="19.5" customHeight="1" x14ac:dyDescent="0.15">
      <c r="B34" s="4">
        <f>+B33+1</f>
        <v>24</v>
      </c>
      <c r="C34" s="4" t="s">
        <v>20</v>
      </c>
      <c r="D34" s="4" t="s">
        <v>20</v>
      </c>
      <c r="E34" s="58" t="s">
        <v>100</v>
      </c>
      <c r="F34" s="47">
        <v>4</v>
      </c>
      <c r="G34" s="47">
        <v>280</v>
      </c>
      <c r="H34" s="47">
        <f t="shared" si="6"/>
        <v>1120</v>
      </c>
      <c r="I34" s="50"/>
      <c r="J34" s="32" t="s">
        <v>53</v>
      </c>
      <c r="K34" s="1"/>
      <c r="L34" s="1"/>
      <c r="M34" s="30">
        <v>42257</v>
      </c>
      <c r="N34" s="4"/>
      <c r="O34" s="1"/>
      <c r="P34" s="30">
        <v>42264</v>
      </c>
      <c r="Q34" s="21">
        <v>42264</v>
      </c>
      <c r="R34" s="3" t="s">
        <v>102</v>
      </c>
    </row>
    <row r="35" spans="2:18" s="3" customFormat="1" ht="19.5" customHeight="1" x14ac:dyDescent="0.15">
      <c r="B35" s="4">
        <f t="shared" ref="B35:B45" si="7">+B34+1</f>
        <v>25</v>
      </c>
      <c r="C35" s="4" t="s">
        <v>20</v>
      </c>
      <c r="D35" s="4" t="s">
        <v>20</v>
      </c>
      <c r="E35" s="58" t="s">
        <v>70</v>
      </c>
      <c r="F35" s="47">
        <v>8</v>
      </c>
      <c r="G35" s="47">
        <v>300</v>
      </c>
      <c r="H35" s="47">
        <f t="shared" si="6"/>
        <v>2400</v>
      </c>
      <c r="I35" s="50"/>
      <c r="J35" s="32" t="s">
        <v>53</v>
      </c>
      <c r="K35" s="1"/>
      <c r="L35" s="1"/>
      <c r="M35" s="30">
        <v>42257</v>
      </c>
      <c r="N35" s="4"/>
      <c r="O35" s="1"/>
      <c r="P35" s="30">
        <v>42264</v>
      </c>
      <c r="Q35" s="21">
        <v>42264</v>
      </c>
      <c r="R35" s="3" t="s">
        <v>102</v>
      </c>
    </row>
    <row r="36" spans="2:18" s="3" customFormat="1" ht="19.5" customHeight="1" x14ac:dyDescent="0.15">
      <c r="B36" s="4">
        <f t="shared" si="7"/>
        <v>26</v>
      </c>
      <c r="C36" s="4" t="s">
        <v>20</v>
      </c>
      <c r="D36" s="4" t="s">
        <v>20</v>
      </c>
      <c r="E36" s="36" t="s">
        <v>62</v>
      </c>
      <c r="F36" s="49">
        <v>10</v>
      </c>
      <c r="G36" s="49">
        <v>25</v>
      </c>
      <c r="H36" s="47">
        <f t="shared" si="6"/>
        <v>250</v>
      </c>
      <c r="I36" s="2"/>
      <c r="J36" s="36" t="s">
        <v>54</v>
      </c>
      <c r="K36" s="1"/>
      <c r="L36" s="1"/>
      <c r="M36" s="30">
        <v>42257</v>
      </c>
      <c r="N36" s="4"/>
      <c r="O36" s="1"/>
      <c r="P36" s="30">
        <v>42264</v>
      </c>
      <c r="Q36" s="21">
        <v>42264</v>
      </c>
      <c r="R36" s="3" t="s">
        <v>102</v>
      </c>
    </row>
    <row r="37" spans="2:18" s="3" customFormat="1" ht="19.5" customHeight="1" x14ac:dyDescent="0.15">
      <c r="B37" s="4">
        <f t="shared" si="7"/>
        <v>27</v>
      </c>
      <c r="C37" s="20" t="s">
        <v>55</v>
      </c>
      <c r="D37" s="20" t="s">
        <v>29</v>
      </c>
      <c r="E37" s="58" t="s">
        <v>56</v>
      </c>
      <c r="F37" s="47">
        <v>1</v>
      </c>
      <c r="G37" s="47">
        <v>2180</v>
      </c>
      <c r="H37" s="47">
        <f t="shared" si="6"/>
        <v>2180</v>
      </c>
      <c r="I37" s="50"/>
      <c r="J37" s="32" t="s">
        <v>57</v>
      </c>
      <c r="K37" s="1"/>
      <c r="L37" s="1"/>
      <c r="M37" s="30">
        <v>42257</v>
      </c>
      <c r="N37" s="4"/>
      <c r="O37" s="1"/>
      <c r="P37" s="30">
        <v>42263</v>
      </c>
      <c r="Q37" s="21">
        <v>42261</v>
      </c>
      <c r="R37" s="3" t="s">
        <v>102</v>
      </c>
    </row>
    <row r="38" spans="2:18" s="3" customFormat="1" ht="19.5" customHeight="1" x14ac:dyDescent="0.15">
      <c r="B38" s="4">
        <f t="shared" si="7"/>
        <v>28</v>
      </c>
      <c r="C38" s="56" t="s">
        <v>20</v>
      </c>
      <c r="D38" s="56" t="s">
        <v>20</v>
      </c>
      <c r="E38" s="80" t="s">
        <v>73</v>
      </c>
      <c r="F38" s="97">
        <v>2</v>
      </c>
      <c r="G38" s="59">
        <v>3350</v>
      </c>
      <c r="H38" s="93">
        <f t="shared" ref="H38:H40" si="8">F38*G38</f>
        <v>6700</v>
      </c>
      <c r="I38" s="81"/>
      <c r="J38" s="80" t="s">
        <v>74</v>
      </c>
      <c r="K38" s="1"/>
      <c r="L38" s="1"/>
      <c r="M38" s="30">
        <v>42257</v>
      </c>
      <c r="N38" s="4"/>
      <c r="O38" s="1"/>
      <c r="P38" s="30">
        <v>42262</v>
      </c>
      <c r="Q38" s="21">
        <v>42262</v>
      </c>
      <c r="R38" s="3" t="s">
        <v>102</v>
      </c>
    </row>
    <row r="39" spans="2:18" s="3" customFormat="1" ht="19.5" customHeight="1" x14ac:dyDescent="0.15">
      <c r="B39" s="4">
        <f t="shared" si="7"/>
        <v>29</v>
      </c>
      <c r="C39" s="82" t="s">
        <v>20</v>
      </c>
      <c r="D39" s="83" t="s">
        <v>20</v>
      </c>
      <c r="E39" s="84" t="s">
        <v>75</v>
      </c>
      <c r="F39" s="98">
        <v>2</v>
      </c>
      <c r="G39" s="93">
        <v>5569</v>
      </c>
      <c r="H39" s="93">
        <f t="shared" si="8"/>
        <v>11138</v>
      </c>
      <c r="I39" s="85"/>
      <c r="J39" s="86" t="s">
        <v>76</v>
      </c>
      <c r="K39" s="1"/>
      <c r="L39" s="1"/>
      <c r="M39" s="30">
        <v>42257</v>
      </c>
      <c r="N39" s="4"/>
      <c r="O39" s="1"/>
      <c r="P39" s="30">
        <v>42264</v>
      </c>
      <c r="Q39" s="21">
        <v>42264</v>
      </c>
      <c r="R39" s="3" t="s">
        <v>102</v>
      </c>
    </row>
    <row r="40" spans="2:18" s="3" customFormat="1" ht="19.5" customHeight="1" x14ac:dyDescent="0.15">
      <c r="B40" s="4">
        <f t="shared" si="7"/>
        <v>30</v>
      </c>
      <c r="C40" s="56" t="s">
        <v>20</v>
      </c>
      <c r="D40" s="56" t="s">
        <v>20</v>
      </c>
      <c r="E40" s="80" t="s">
        <v>77</v>
      </c>
      <c r="F40" s="97">
        <v>2</v>
      </c>
      <c r="G40" s="59">
        <v>930</v>
      </c>
      <c r="H40" s="93">
        <f t="shared" si="8"/>
        <v>1860</v>
      </c>
      <c r="I40" s="81"/>
      <c r="J40" s="80" t="s">
        <v>78</v>
      </c>
      <c r="K40" s="1"/>
      <c r="L40" s="1"/>
      <c r="M40" s="30">
        <v>42257</v>
      </c>
      <c r="N40" s="4"/>
      <c r="O40" s="1"/>
      <c r="P40" s="30">
        <v>42264</v>
      </c>
      <c r="Q40" s="21">
        <v>42264</v>
      </c>
      <c r="R40" s="3" t="s">
        <v>102</v>
      </c>
    </row>
    <row r="41" spans="2:18" s="3" customFormat="1" ht="19.5" customHeight="1" x14ac:dyDescent="0.15">
      <c r="B41" s="4">
        <f t="shared" si="7"/>
        <v>31</v>
      </c>
      <c r="C41" s="56" t="s">
        <v>20</v>
      </c>
      <c r="D41" s="56" t="s">
        <v>20</v>
      </c>
      <c r="E41" s="80" t="s">
        <v>79</v>
      </c>
      <c r="F41" s="97">
        <v>2</v>
      </c>
      <c r="G41" s="59">
        <v>930</v>
      </c>
      <c r="H41" s="93">
        <f>F41*G41</f>
        <v>1860</v>
      </c>
      <c r="I41" s="81"/>
      <c r="J41" s="80" t="s">
        <v>78</v>
      </c>
      <c r="K41" s="1"/>
      <c r="L41" s="1"/>
      <c r="M41" s="30">
        <v>42257</v>
      </c>
      <c r="N41" s="4"/>
      <c r="O41" s="1"/>
      <c r="P41" s="30">
        <v>42264</v>
      </c>
      <c r="Q41" s="21">
        <v>42264</v>
      </c>
      <c r="R41" s="3" t="s">
        <v>102</v>
      </c>
    </row>
    <row r="42" spans="2:18" s="3" customFormat="1" ht="19.5" customHeight="1" x14ac:dyDescent="0.15">
      <c r="B42" s="4">
        <f t="shared" si="7"/>
        <v>32</v>
      </c>
      <c r="C42" s="4" t="s">
        <v>20</v>
      </c>
      <c r="D42" s="4" t="s">
        <v>20</v>
      </c>
      <c r="E42" s="54" t="s">
        <v>80</v>
      </c>
      <c r="F42" s="1">
        <v>2</v>
      </c>
      <c r="G42" s="47">
        <v>2218</v>
      </c>
      <c r="H42" s="47">
        <f t="shared" ref="H42:H45" si="9">F42*G42</f>
        <v>4436</v>
      </c>
      <c r="I42" s="87"/>
      <c r="J42" s="24" t="s">
        <v>81</v>
      </c>
      <c r="K42" s="1"/>
      <c r="L42" s="1"/>
      <c r="M42" s="30">
        <v>42257</v>
      </c>
      <c r="N42" s="4"/>
      <c r="O42" s="1"/>
      <c r="P42" s="30">
        <v>42264</v>
      </c>
      <c r="Q42" s="21">
        <v>42264</v>
      </c>
      <c r="R42" s="3" t="s">
        <v>102</v>
      </c>
    </row>
    <row r="43" spans="2:18" s="3" customFormat="1" ht="19.5" customHeight="1" x14ac:dyDescent="0.15">
      <c r="B43" s="4">
        <f t="shared" si="7"/>
        <v>33</v>
      </c>
      <c r="C43" s="4" t="s">
        <v>20</v>
      </c>
      <c r="D43" s="4" t="s">
        <v>20</v>
      </c>
      <c r="E43" s="54" t="s">
        <v>82</v>
      </c>
      <c r="F43" s="1">
        <v>1</v>
      </c>
      <c r="G43" s="49">
        <v>403</v>
      </c>
      <c r="H43" s="47">
        <f t="shared" si="9"/>
        <v>403</v>
      </c>
      <c r="I43" s="34"/>
      <c r="J43" s="24" t="s">
        <v>83</v>
      </c>
      <c r="K43" s="1"/>
      <c r="L43" s="1"/>
      <c r="M43" s="30">
        <v>42257</v>
      </c>
      <c r="N43" s="4"/>
      <c r="O43" s="1"/>
      <c r="P43" s="30">
        <v>42264</v>
      </c>
      <c r="Q43" s="21">
        <v>42264</v>
      </c>
      <c r="R43" s="3" t="s">
        <v>102</v>
      </c>
    </row>
    <row r="44" spans="2:18" s="3" customFormat="1" ht="19.5" customHeight="1" x14ac:dyDescent="0.15">
      <c r="B44" s="4">
        <f t="shared" si="7"/>
        <v>34</v>
      </c>
      <c r="C44" s="88" t="s">
        <v>20</v>
      </c>
      <c r="D44" s="88" t="s">
        <v>20</v>
      </c>
      <c r="E44" s="36" t="s">
        <v>84</v>
      </c>
      <c r="F44" s="49">
        <v>1</v>
      </c>
      <c r="G44" s="49">
        <v>1410</v>
      </c>
      <c r="H44" s="47">
        <f t="shared" si="9"/>
        <v>1410</v>
      </c>
      <c r="I44" s="73"/>
      <c r="J44" s="75" t="s">
        <v>85</v>
      </c>
      <c r="K44" s="1"/>
      <c r="L44" s="1"/>
      <c r="M44" s="30">
        <v>42257</v>
      </c>
      <c r="N44" s="4"/>
      <c r="O44" s="1"/>
      <c r="P44" s="30">
        <v>42264</v>
      </c>
      <c r="Q44" s="21">
        <v>42264</v>
      </c>
      <c r="R44" s="3" t="s">
        <v>102</v>
      </c>
    </row>
    <row r="45" spans="2:18" s="3" customFormat="1" ht="19.5" customHeight="1" x14ac:dyDescent="0.15">
      <c r="B45" s="4">
        <f t="shared" si="7"/>
        <v>35</v>
      </c>
      <c r="C45" s="4" t="s">
        <v>20</v>
      </c>
      <c r="D45" s="4" t="s">
        <v>20</v>
      </c>
      <c r="E45" s="63" t="s">
        <v>61</v>
      </c>
      <c r="F45" s="1">
        <v>2</v>
      </c>
      <c r="G45" s="47">
        <v>2814</v>
      </c>
      <c r="H45" s="47">
        <f t="shared" si="9"/>
        <v>5628</v>
      </c>
      <c r="I45" s="9"/>
      <c r="J45" s="24" t="s">
        <v>59</v>
      </c>
      <c r="K45" s="1"/>
      <c r="L45" s="1"/>
      <c r="M45" s="30">
        <v>42256</v>
      </c>
      <c r="N45" s="4"/>
      <c r="O45" s="1"/>
      <c r="P45" s="30">
        <v>42265</v>
      </c>
      <c r="Q45" s="21" t="s">
        <v>103</v>
      </c>
      <c r="R45" s="3" t="s">
        <v>102</v>
      </c>
    </row>
    <row r="46" spans="2:18" s="3" customFormat="1" ht="19.5" customHeight="1" x14ac:dyDescent="0.15">
      <c r="B46" s="4"/>
      <c r="C46" s="4"/>
      <c r="D46" s="4"/>
      <c r="E46" s="76"/>
      <c r="F46" s="1"/>
      <c r="G46" s="47"/>
      <c r="H46" s="47"/>
      <c r="I46" s="9"/>
      <c r="J46" s="24"/>
      <c r="K46" s="1"/>
      <c r="L46" s="1"/>
      <c r="M46" s="30"/>
      <c r="N46" s="4"/>
      <c r="O46" s="1"/>
      <c r="P46" s="30"/>
      <c r="Q46" s="21"/>
    </row>
    <row r="47" spans="2:18" s="3" customFormat="1" ht="19.5" customHeight="1" x14ac:dyDescent="0.15">
      <c r="B47" s="4"/>
      <c r="C47" s="4"/>
      <c r="D47" s="4"/>
      <c r="E47" s="51"/>
      <c r="F47" s="52"/>
      <c r="G47" s="47"/>
      <c r="H47" s="47"/>
      <c r="I47" s="9"/>
      <c r="J47" s="54"/>
      <c r="K47" s="1"/>
      <c r="L47" s="1"/>
      <c r="M47" s="30"/>
      <c r="N47" s="4"/>
      <c r="O47" s="1"/>
      <c r="P47" s="30"/>
      <c r="Q47" s="21"/>
    </row>
    <row r="48" spans="2:18" s="3" customFormat="1" ht="19.5" customHeight="1" x14ac:dyDescent="0.15">
      <c r="B48" s="4"/>
      <c r="C48" s="4"/>
      <c r="D48" s="4"/>
      <c r="E48" s="33" t="s">
        <v>40</v>
      </c>
      <c r="F48" s="38"/>
      <c r="G48" s="47">
        <v>5000</v>
      </c>
      <c r="H48" s="47">
        <f>F48*G48</f>
        <v>0</v>
      </c>
      <c r="I48" s="9"/>
      <c r="J48" s="54"/>
      <c r="K48" s="7"/>
      <c r="L48" s="1"/>
      <c r="M48" s="30"/>
      <c r="N48" s="4"/>
      <c r="O48" s="1"/>
      <c r="P48" s="30"/>
      <c r="Q48" s="21"/>
    </row>
    <row r="49" spans="2:18" s="3" customFormat="1" ht="19.5" customHeight="1" x14ac:dyDescent="0.15">
      <c r="B49" s="4"/>
      <c r="C49" s="4"/>
      <c r="D49" s="4"/>
      <c r="E49" s="33" t="s">
        <v>39</v>
      </c>
      <c r="F49" s="38">
        <v>1</v>
      </c>
      <c r="G49" s="47"/>
      <c r="H49" s="47"/>
      <c r="I49" s="9"/>
      <c r="J49" s="54"/>
      <c r="K49" s="7"/>
      <c r="L49" s="1"/>
      <c r="M49" s="30"/>
      <c r="N49" s="4"/>
      <c r="O49" s="1"/>
      <c r="P49" s="30"/>
      <c r="Q49" s="21"/>
    </row>
    <row r="50" spans="2:18" s="3" customFormat="1" ht="19.5" customHeight="1" x14ac:dyDescent="0.15">
      <c r="B50" s="4"/>
      <c r="C50" s="4"/>
      <c r="D50" s="4"/>
      <c r="E50" s="57"/>
      <c r="F50" s="55"/>
      <c r="G50" s="47"/>
      <c r="H50" s="47"/>
      <c r="I50" s="9"/>
      <c r="J50" s="36"/>
      <c r="K50" s="7"/>
      <c r="L50" s="1"/>
      <c r="M50" s="30"/>
      <c r="N50" s="4"/>
      <c r="O50" s="1"/>
      <c r="P50" s="30"/>
      <c r="Q50" s="21"/>
    </row>
    <row r="51" spans="2:18" s="3" customFormat="1" ht="18" customHeight="1" x14ac:dyDescent="0.15">
      <c r="B51" s="4"/>
      <c r="C51" s="37"/>
      <c r="D51" s="37"/>
      <c r="E51" s="33"/>
      <c r="F51" s="38"/>
      <c r="G51" s="47"/>
      <c r="H51" s="47"/>
      <c r="I51" s="70"/>
      <c r="J51" s="65"/>
      <c r="K51" s="7"/>
      <c r="L51" s="7"/>
      <c r="M51" s="30"/>
      <c r="N51" s="11"/>
      <c r="O51" s="16"/>
      <c r="P51" s="30"/>
      <c r="Q51" s="21"/>
    </row>
    <row r="52" spans="2:18" s="3" customFormat="1" ht="18" customHeight="1" x14ac:dyDescent="0.15">
      <c r="B52" s="4"/>
      <c r="C52" s="37"/>
      <c r="D52" s="37"/>
      <c r="E52" s="33"/>
      <c r="F52" s="38"/>
      <c r="G52" s="47"/>
      <c r="H52" s="47"/>
      <c r="I52" s="34"/>
      <c r="J52" s="65"/>
      <c r="K52" s="7"/>
      <c r="L52" s="7"/>
      <c r="M52" s="30"/>
      <c r="N52" s="11"/>
      <c r="O52" s="16"/>
      <c r="P52" s="30"/>
      <c r="Q52" s="21"/>
    </row>
    <row r="53" spans="2:18" s="3" customFormat="1" ht="18" customHeight="1" x14ac:dyDescent="0.15">
      <c r="B53" s="4"/>
      <c r="C53" s="37"/>
      <c r="D53" s="37"/>
      <c r="E53" s="33"/>
      <c r="F53" s="38"/>
      <c r="G53" s="47"/>
      <c r="H53" s="47"/>
      <c r="I53" s="70"/>
      <c r="J53" s="54"/>
      <c r="K53" s="7"/>
      <c r="L53" s="7"/>
      <c r="M53" s="30"/>
      <c r="N53" s="11"/>
      <c r="O53" s="16"/>
      <c r="P53" s="30"/>
      <c r="Q53" s="21"/>
    </row>
    <row r="54" spans="2:18" s="3" customFormat="1" ht="18" customHeight="1" x14ac:dyDescent="0.15">
      <c r="B54" s="4"/>
      <c r="C54" s="4"/>
      <c r="D54" s="4"/>
      <c r="E54" s="1"/>
      <c r="F54" s="62"/>
      <c r="G54" s="47"/>
      <c r="H54" s="47"/>
      <c r="I54" s="9"/>
      <c r="J54" s="54"/>
      <c r="K54" s="7"/>
      <c r="L54" s="7"/>
      <c r="M54" s="30"/>
      <c r="N54" s="11"/>
      <c r="O54" s="16"/>
      <c r="P54" s="30"/>
      <c r="Q54" s="21"/>
    </row>
    <row r="55" spans="2:18" s="3" customFormat="1" ht="18" customHeight="1" x14ac:dyDescent="0.15">
      <c r="B55" s="4"/>
      <c r="C55" s="4"/>
      <c r="D55" s="4"/>
      <c r="E55" s="71"/>
      <c r="F55" s="62"/>
      <c r="G55" s="47"/>
      <c r="H55" s="47"/>
      <c r="I55" s="9"/>
      <c r="J55" s="36"/>
      <c r="K55" s="7"/>
      <c r="L55" s="7"/>
      <c r="M55" s="30"/>
      <c r="N55" s="11"/>
      <c r="O55" s="16"/>
      <c r="P55" s="30"/>
      <c r="Q55" s="21"/>
    </row>
    <row r="56" spans="2:18" s="3" customFormat="1" ht="18" customHeight="1" x14ac:dyDescent="0.15">
      <c r="B56" s="4"/>
      <c r="C56" s="4"/>
      <c r="D56" s="4"/>
      <c r="E56" s="55"/>
      <c r="F56" s="55"/>
      <c r="G56" s="47"/>
      <c r="H56" s="47"/>
      <c r="I56" s="70"/>
      <c r="J56" s="65"/>
      <c r="K56" s="7"/>
      <c r="L56" s="7"/>
      <c r="M56" s="30"/>
      <c r="N56" s="11"/>
      <c r="O56" s="16"/>
      <c r="P56" s="30"/>
      <c r="Q56" s="21"/>
    </row>
    <row r="57" spans="2:18" s="3" customFormat="1" ht="18" customHeight="1" x14ac:dyDescent="0.15">
      <c r="B57" s="4"/>
      <c r="C57" s="4"/>
      <c r="D57" s="4"/>
      <c r="E57" s="55"/>
      <c r="F57" s="55"/>
      <c r="G57" s="47"/>
      <c r="H57" s="47"/>
      <c r="I57" s="34"/>
      <c r="J57" s="65"/>
      <c r="K57" s="7"/>
      <c r="L57" s="7"/>
      <c r="M57" s="30"/>
      <c r="N57" s="11"/>
      <c r="O57" s="16"/>
      <c r="P57" s="30"/>
      <c r="Q57" s="21"/>
      <c r="R57" s="69"/>
    </row>
    <row r="58" spans="2:18" s="3" customFormat="1" ht="18" customHeight="1" x14ac:dyDescent="0.15">
      <c r="B58" s="4"/>
      <c r="C58" s="4"/>
      <c r="D58" s="4"/>
      <c r="E58" s="1"/>
      <c r="F58" s="1"/>
      <c r="G58" s="1"/>
      <c r="H58" s="47"/>
      <c r="I58" s="70"/>
      <c r="J58" s="54"/>
      <c r="K58" s="7"/>
      <c r="L58" s="7"/>
      <c r="M58" s="30"/>
      <c r="N58" s="11"/>
      <c r="O58" s="16"/>
      <c r="P58" s="30"/>
      <c r="Q58" s="21"/>
      <c r="R58" s="69"/>
    </row>
    <row r="59" spans="2:18" s="3" customFormat="1" ht="18" customHeight="1" x14ac:dyDescent="0.15">
      <c r="B59" s="4"/>
      <c r="C59" s="4"/>
      <c r="D59" s="4"/>
      <c r="E59" s="1"/>
      <c r="F59" s="1"/>
      <c r="G59" s="1"/>
      <c r="H59" s="47"/>
      <c r="I59" s="70"/>
      <c r="J59" s="54"/>
      <c r="K59" s="7"/>
      <c r="L59" s="7"/>
      <c r="M59" s="30"/>
      <c r="N59" s="11"/>
      <c r="O59" s="16"/>
      <c r="P59" s="30"/>
      <c r="Q59" s="21"/>
      <c r="R59" s="69"/>
    </row>
    <row r="60" spans="2:18" s="3" customFormat="1" ht="18" customHeight="1" x14ac:dyDescent="0.15">
      <c r="B60" s="4"/>
      <c r="C60" s="37"/>
      <c r="D60" s="37"/>
      <c r="E60" s="57"/>
      <c r="F60" s="55"/>
      <c r="G60" s="47"/>
      <c r="H60" s="47"/>
      <c r="I60" s="34"/>
      <c r="J60" s="65"/>
      <c r="K60" s="7"/>
      <c r="L60" s="7"/>
      <c r="M60" s="30"/>
      <c r="N60" s="11"/>
      <c r="O60" s="16"/>
      <c r="P60" s="30"/>
      <c r="Q60" s="21"/>
      <c r="R60" s="69"/>
    </row>
    <row r="61" spans="2:18" s="3" customFormat="1" ht="18" customHeight="1" x14ac:dyDescent="0.15">
      <c r="B61" s="4"/>
      <c r="C61" s="37"/>
      <c r="D61" s="37"/>
      <c r="E61" s="57"/>
      <c r="F61" s="55"/>
      <c r="G61" s="47"/>
      <c r="H61" s="47"/>
      <c r="I61" s="34"/>
      <c r="J61" s="65"/>
      <c r="K61" s="7"/>
      <c r="L61" s="7"/>
      <c r="M61" s="30"/>
      <c r="N61" s="11"/>
      <c r="O61" s="16"/>
      <c r="P61" s="30"/>
      <c r="Q61" s="21"/>
    </row>
    <row r="62" spans="2:18" s="3" customFormat="1" ht="18" customHeight="1" x14ac:dyDescent="0.15">
      <c r="B62" s="4"/>
      <c r="C62" s="37"/>
      <c r="D62" s="37"/>
      <c r="E62" s="57"/>
      <c r="F62" s="55"/>
      <c r="G62" s="47"/>
      <c r="H62" s="47"/>
      <c r="I62" s="34"/>
      <c r="J62" s="65"/>
      <c r="K62" s="7"/>
      <c r="L62" s="7"/>
      <c r="M62" s="30"/>
      <c r="N62" s="11"/>
      <c r="O62" s="16"/>
      <c r="P62" s="30"/>
      <c r="Q62" s="21"/>
    </row>
    <row r="63" spans="2:18" s="3" customFormat="1" ht="18" customHeight="1" x14ac:dyDescent="0.15">
      <c r="B63" s="4"/>
      <c r="C63" s="37"/>
      <c r="D63" s="37"/>
      <c r="E63" s="57"/>
      <c r="F63" s="55"/>
      <c r="G63" s="47"/>
      <c r="H63" s="47"/>
      <c r="I63" s="34"/>
      <c r="J63" s="65"/>
      <c r="K63" s="8"/>
      <c r="L63" s="7"/>
      <c r="M63" s="30"/>
      <c r="N63" s="11"/>
      <c r="O63" s="16"/>
      <c r="P63" s="30"/>
      <c r="Q63" s="21"/>
    </row>
    <row r="64" spans="2:18" s="3" customFormat="1" ht="18" customHeight="1" x14ac:dyDescent="0.15">
      <c r="B64" s="4"/>
      <c r="C64" s="37"/>
      <c r="D64" s="37"/>
      <c r="E64" s="33"/>
      <c r="F64" s="38"/>
      <c r="G64" s="47"/>
      <c r="H64" s="47"/>
      <c r="I64" s="34"/>
      <c r="J64" s="68"/>
      <c r="K64" s="8"/>
      <c r="L64" s="7"/>
      <c r="M64" s="30"/>
      <c r="N64" s="11"/>
      <c r="O64" s="16"/>
      <c r="P64" s="30"/>
      <c r="Q64" s="21"/>
    </row>
    <row r="65" spans="2:17" s="3" customFormat="1" ht="18" customHeight="1" x14ac:dyDescent="0.15">
      <c r="B65" s="4"/>
      <c r="C65" s="37"/>
      <c r="D65" s="37"/>
      <c r="E65" s="33"/>
      <c r="F65" s="38"/>
      <c r="G65" s="47"/>
      <c r="H65" s="47"/>
      <c r="I65" s="34"/>
      <c r="J65" s="68"/>
      <c r="K65" s="8"/>
      <c r="L65" s="7"/>
      <c r="M65" s="30"/>
      <c r="N65" s="11"/>
      <c r="O65" s="16"/>
      <c r="P65" s="30"/>
      <c r="Q65" s="21"/>
    </row>
    <row r="66" spans="2:17" s="3" customFormat="1" ht="18" customHeight="1" x14ac:dyDescent="0.15">
      <c r="B66" s="4"/>
      <c r="C66" s="37"/>
      <c r="D66" s="37"/>
      <c r="E66" s="33"/>
      <c r="F66" s="38"/>
      <c r="G66" s="47"/>
      <c r="H66" s="47"/>
      <c r="I66" s="34"/>
      <c r="J66" s="68"/>
      <c r="K66" s="8"/>
      <c r="L66" s="7"/>
      <c r="M66" s="30"/>
      <c r="N66" s="11"/>
      <c r="O66" s="16"/>
      <c r="P66" s="30"/>
      <c r="Q66" s="21"/>
    </row>
    <row r="67" spans="2:17" s="3" customFormat="1" ht="18" customHeight="1" x14ac:dyDescent="0.15">
      <c r="B67" s="4"/>
      <c r="C67" s="4"/>
      <c r="D67" s="4"/>
      <c r="E67" s="33"/>
      <c r="F67" s="38"/>
      <c r="G67" s="47"/>
      <c r="H67" s="47"/>
      <c r="I67" s="34"/>
      <c r="J67" s="68"/>
      <c r="K67" s="8"/>
      <c r="L67" s="7"/>
      <c r="M67" s="30"/>
      <c r="N67" s="11"/>
      <c r="O67" s="30"/>
      <c r="P67" s="30"/>
      <c r="Q67" s="21"/>
    </row>
    <row r="68" spans="2:17" s="3" customFormat="1" ht="18" customHeight="1" x14ac:dyDescent="0.15">
      <c r="B68" s="4"/>
      <c r="C68" s="4"/>
      <c r="D68" s="4"/>
      <c r="E68" s="67"/>
      <c r="F68" s="62"/>
      <c r="G68" s="47"/>
      <c r="H68" s="47"/>
      <c r="I68" s="9"/>
      <c r="J68" s="36"/>
      <c r="K68" s="8"/>
      <c r="L68" s="7"/>
      <c r="M68" s="30"/>
      <c r="N68" s="11"/>
      <c r="O68" s="16"/>
      <c r="P68" s="30"/>
      <c r="Q68" s="21"/>
    </row>
    <row r="69" spans="2:17" s="3" customFormat="1" ht="18" customHeight="1" x14ac:dyDescent="0.15">
      <c r="B69" s="4"/>
      <c r="C69" s="4"/>
      <c r="D69" s="4"/>
      <c r="E69" s="66"/>
      <c r="F69" s="55"/>
      <c r="G69" s="47"/>
      <c r="H69" s="47"/>
      <c r="I69" s="9"/>
      <c r="J69" s="65"/>
      <c r="K69" s="8"/>
      <c r="L69" s="7"/>
      <c r="M69" s="30"/>
      <c r="N69" s="11"/>
      <c r="O69" s="16"/>
      <c r="P69" s="30"/>
      <c r="Q69" s="21"/>
    </row>
    <row r="70" spans="2:17" s="3" customFormat="1" ht="18" customHeight="1" x14ac:dyDescent="0.15">
      <c r="B70" s="4"/>
      <c r="C70" s="4"/>
      <c r="D70" s="4"/>
      <c r="E70" s="27"/>
      <c r="F70" s="55"/>
      <c r="G70" s="47"/>
      <c r="H70" s="47"/>
      <c r="I70" s="9"/>
      <c r="J70" s="27"/>
      <c r="K70" s="8"/>
      <c r="L70" s="7"/>
      <c r="M70" s="39"/>
      <c r="N70" s="11"/>
      <c r="O70" s="16"/>
      <c r="P70" s="30"/>
      <c r="Q70" s="21"/>
    </row>
    <row r="71" spans="2:17" s="3" customFormat="1" ht="18" customHeight="1" x14ac:dyDescent="0.15">
      <c r="B71" s="4"/>
      <c r="C71" s="4"/>
      <c r="D71" s="4"/>
      <c r="E71" s="60"/>
      <c r="F71" s="62"/>
      <c r="G71" s="47"/>
      <c r="H71" s="47"/>
      <c r="I71" s="9"/>
      <c r="J71" s="64"/>
      <c r="K71" s="8"/>
      <c r="L71" s="7"/>
      <c r="M71" s="30"/>
      <c r="N71" s="11"/>
      <c r="O71" s="30"/>
      <c r="P71" s="30"/>
      <c r="Q71" s="21"/>
    </row>
    <row r="72" spans="2:17" s="3" customFormat="1" ht="18" customHeight="1" x14ac:dyDescent="0.15">
      <c r="B72" s="4"/>
      <c r="C72" s="4"/>
      <c r="D72" s="4"/>
      <c r="E72" s="63"/>
      <c r="F72" s="62"/>
      <c r="G72" s="47"/>
      <c r="H72" s="47"/>
      <c r="I72" s="9"/>
      <c r="J72" s="36"/>
      <c r="K72" s="8"/>
      <c r="L72" s="7"/>
      <c r="M72" s="30"/>
      <c r="N72" s="11"/>
      <c r="O72" s="16"/>
      <c r="P72" s="30"/>
      <c r="Q72" s="21"/>
    </row>
    <row r="73" spans="2:17" s="3" customFormat="1" ht="18" customHeight="1" x14ac:dyDescent="0.15">
      <c r="B73" s="4"/>
      <c r="C73" s="37"/>
      <c r="D73" s="37"/>
      <c r="E73" s="26"/>
      <c r="F73" s="55"/>
      <c r="G73" s="47"/>
      <c r="H73" s="47"/>
      <c r="I73" s="9"/>
      <c r="J73" s="27"/>
      <c r="K73" s="8"/>
      <c r="L73" s="7"/>
      <c r="M73" s="30"/>
      <c r="N73" s="11"/>
      <c r="O73" s="16"/>
      <c r="P73" s="30"/>
      <c r="Q73" s="21"/>
    </row>
    <row r="74" spans="2:17" s="3" customFormat="1" ht="18" customHeight="1" x14ac:dyDescent="0.15">
      <c r="B74" s="4"/>
      <c r="C74" s="4"/>
      <c r="D74" s="4"/>
      <c r="E74" s="26"/>
      <c r="F74" s="55"/>
      <c r="G74" s="47"/>
      <c r="H74" s="47"/>
      <c r="I74" s="9"/>
      <c r="J74" s="27"/>
      <c r="K74" s="8"/>
      <c r="L74" s="7"/>
      <c r="M74" s="30"/>
      <c r="N74" s="11"/>
      <c r="O74" s="16"/>
      <c r="P74" s="30"/>
      <c r="Q74" s="21"/>
    </row>
    <row r="75" spans="2:17" s="3" customFormat="1" ht="18" customHeight="1" x14ac:dyDescent="0.15">
      <c r="B75" s="20"/>
      <c r="C75" s="4"/>
      <c r="D75" s="4"/>
      <c r="E75" s="26"/>
      <c r="F75" s="27"/>
      <c r="G75" s="47"/>
      <c r="H75" s="47"/>
      <c r="I75" s="9"/>
      <c r="J75" s="27"/>
      <c r="K75" s="8"/>
      <c r="L75" s="7"/>
      <c r="M75" s="30"/>
      <c r="N75" s="11"/>
      <c r="O75" s="16"/>
      <c r="P75" s="30"/>
      <c r="Q75" s="21"/>
    </row>
    <row r="76" spans="2:17" s="3" customFormat="1" ht="18" customHeight="1" x14ac:dyDescent="0.15">
      <c r="B76" s="20"/>
      <c r="C76" s="4"/>
      <c r="D76" s="4"/>
      <c r="E76" s="26"/>
      <c r="F76" s="27"/>
      <c r="G76" s="47"/>
      <c r="H76" s="47"/>
      <c r="I76" s="9"/>
      <c r="J76" s="27"/>
      <c r="K76" s="8"/>
      <c r="L76" s="7"/>
      <c r="M76" s="30"/>
      <c r="N76" s="11"/>
      <c r="O76" s="16"/>
      <c r="P76" s="30"/>
      <c r="Q76" s="21"/>
    </row>
    <row r="77" spans="2:17" s="3" customFormat="1" ht="18" customHeight="1" x14ac:dyDescent="0.15">
      <c r="B77" s="20"/>
      <c r="C77" s="4"/>
      <c r="D77" s="4"/>
      <c r="E77" s="26"/>
      <c r="F77" s="27"/>
      <c r="G77" s="47"/>
      <c r="H77" s="47"/>
      <c r="I77" s="9"/>
      <c r="J77" s="27"/>
      <c r="K77" s="8"/>
      <c r="L77" s="7"/>
      <c r="M77" s="30"/>
      <c r="N77" s="11"/>
      <c r="O77" s="16"/>
      <c r="P77" s="30"/>
      <c r="Q77" s="21"/>
    </row>
    <row r="78" spans="2:17" s="3" customFormat="1" ht="18" customHeight="1" x14ac:dyDescent="0.15">
      <c r="B78" s="20"/>
      <c r="C78" s="4"/>
      <c r="D78" s="4"/>
      <c r="E78" s="61"/>
      <c r="F78" s="27"/>
      <c r="G78" s="47"/>
      <c r="H78" s="47"/>
      <c r="I78" s="9"/>
      <c r="J78" s="27"/>
      <c r="K78" s="8"/>
      <c r="L78" s="7"/>
      <c r="M78" s="30"/>
      <c r="N78" s="11"/>
      <c r="O78" s="16"/>
      <c r="P78" s="30"/>
      <c r="Q78" s="21"/>
    </row>
    <row r="79" spans="2:17" s="3" customFormat="1" ht="18" customHeight="1" x14ac:dyDescent="0.15">
      <c r="B79" s="20"/>
      <c r="C79" s="4"/>
      <c r="D79" s="4"/>
      <c r="E79" s="26"/>
      <c r="F79" s="27"/>
      <c r="G79" s="47"/>
      <c r="H79" s="47"/>
      <c r="I79" s="9"/>
      <c r="J79" s="27"/>
      <c r="K79" s="8"/>
      <c r="L79" s="7"/>
      <c r="M79" s="30"/>
      <c r="N79" s="11"/>
      <c r="O79" s="16"/>
      <c r="P79" s="30"/>
      <c r="Q79" s="21"/>
    </row>
    <row r="80" spans="2:17" s="3" customFormat="1" ht="18" customHeight="1" x14ac:dyDescent="0.15">
      <c r="B80" s="20"/>
      <c r="C80" s="4"/>
      <c r="D80" s="4"/>
      <c r="E80" s="26"/>
      <c r="F80" s="27"/>
      <c r="G80" s="47"/>
      <c r="H80" s="47"/>
      <c r="I80" s="9"/>
      <c r="J80" s="27"/>
      <c r="K80" s="8"/>
      <c r="L80" s="7"/>
      <c r="M80" s="30"/>
      <c r="N80" s="11"/>
      <c r="O80" s="16"/>
      <c r="P80" s="30"/>
      <c r="Q80" s="21"/>
    </row>
    <row r="81" spans="2:17" s="3" customFormat="1" ht="18" customHeight="1" x14ac:dyDescent="0.15">
      <c r="B81" s="20"/>
      <c r="C81" s="4"/>
      <c r="D81" s="4"/>
      <c r="E81" s="26"/>
      <c r="F81" s="27"/>
      <c r="G81" s="47"/>
      <c r="H81" s="47"/>
      <c r="I81" s="9"/>
      <c r="J81" s="27"/>
      <c r="K81" s="8"/>
      <c r="L81" s="7"/>
      <c r="M81" s="30"/>
      <c r="N81" s="11"/>
      <c r="O81" s="16"/>
      <c r="P81" s="30"/>
      <c r="Q81" s="21"/>
    </row>
    <row r="82" spans="2:17" s="3" customFormat="1" ht="18" customHeight="1" x14ac:dyDescent="0.15">
      <c r="B82" s="20"/>
      <c r="C82" s="4"/>
      <c r="D82" s="4"/>
      <c r="E82" s="26"/>
      <c r="F82" s="27"/>
      <c r="G82" s="47"/>
      <c r="H82" s="47"/>
      <c r="I82" s="9"/>
      <c r="J82" s="27"/>
      <c r="K82" s="8"/>
      <c r="L82" s="7"/>
      <c r="M82" s="30"/>
      <c r="N82" s="11"/>
      <c r="O82" s="16"/>
      <c r="P82" s="30"/>
      <c r="Q82" s="21"/>
    </row>
    <row r="83" spans="2:17" s="3" customFormat="1" ht="18" customHeight="1" x14ac:dyDescent="0.15">
      <c r="B83" s="20"/>
      <c r="C83" s="4"/>
      <c r="D83" s="4"/>
      <c r="E83" s="26"/>
      <c r="F83" s="27"/>
      <c r="G83" s="47"/>
      <c r="H83" s="47"/>
      <c r="I83" s="9"/>
      <c r="J83" s="27"/>
      <c r="K83" s="8"/>
      <c r="L83" s="7"/>
      <c r="M83" s="30"/>
      <c r="N83" s="11"/>
      <c r="O83" s="16"/>
      <c r="P83" s="30"/>
      <c r="Q83" s="21"/>
    </row>
    <row r="84" spans="2:17" s="3" customFormat="1" ht="18" customHeight="1" x14ac:dyDescent="0.15">
      <c r="B84" s="20"/>
      <c r="C84" s="4"/>
      <c r="D84" s="4"/>
      <c r="E84" s="29"/>
      <c r="F84" s="28"/>
      <c r="G84" s="94"/>
      <c r="H84" s="47"/>
      <c r="I84" s="9"/>
      <c r="J84" s="29"/>
      <c r="K84" s="8"/>
      <c r="L84" s="7"/>
      <c r="M84" s="30"/>
      <c r="N84" s="11"/>
      <c r="O84" s="16"/>
      <c r="P84" s="30"/>
      <c r="Q84" s="21"/>
    </row>
    <row r="85" spans="2:17" s="3" customFormat="1" ht="18" customHeight="1" x14ac:dyDescent="0.15">
      <c r="B85" s="20"/>
      <c r="C85" s="4"/>
      <c r="D85" s="4"/>
      <c r="E85" s="29"/>
      <c r="F85" s="28"/>
      <c r="G85" s="94"/>
      <c r="H85" s="47"/>
      <c r="I85" s="9"/>
      <c r="J85" s="29"/>
      <c r="K85" s="8"/>
      <c r="L85" s="7"/>
      <c r="M85" s="30"/>
      <c r="N85" s="11"/>
      <c r="O85" s="16"/>
      <c r="P85" s="30"/>
      <c r="Q85" s="21"/>
    </row>
    <row r="86" spans="2:17" s="3" customFormat="1" ht="18" customHeight="1" x14ac:dyDescent="0.15">
      <c r="B86" s="20"/>
      <c r="C86" s="4"/>
      <c r="D86" s="4"/>
      <c r="E86" s="29"/>
      <c r="F86" s="28"/>
      <c r="G86" s="94"/>
      <c r="H86" s="47"/>
      <c r="I86" s="9"/>
      <c r="J86" s="29"/>
      <c r="K86" s="8"/>
      <c r="L86" s="7"/>
      <c r="M86" s="30"/>
      <c r="N86" s="11"/>
      <c r="O86" s="16"/>
      <c r="P86" s="30"/>
      <c r="Q86" s="21"/>
    </row>
    <row r="87" spans="2:17" s="3" customFormat="1" ht="18" customHeight="1" x14ac:dyDescent="0.15">
      <c r="B87" s="20"/>
      <c r="C87" s="4"/>
      <c r="D87" s="4"/>
      <c r="E87" s="29"/>
      <c r="F87" s="28"/>
      <c r="G87" s="94"/>
      <c r="H87" s="47"/>
      <c r="I87" s="9"/>
      <c r="J87" s="29"/>
      <c r="K87" s="8"/>
      <c r="L87" s="7"/>
      <c r="M87" s="30"/>
      <c r="N87" s="11"/>
      <c r="O87" s="16"/>
      <c r="P87" s="30"/>
      <c r="Q87" s="21"/>
    </row>
    <row r="88" spans="2:17" s="3" customFormat="1" ht="18" customHeight="1" x14ac:dyDescent="0.15">
      <c r="B88" s="20"/>
      <c r="C88" s="4"/>
      <c r="D88" s="4"/>
      <c r="E88" s="29"/>
      <c r="F88" s="28"/>
      <c r="G88" s="94"/>
      <c r="H88" s="47"/>
      <c r="I88" s="9"/>
      <c r="J88" s="29"/>
      <c r="K88" s="8"/>
      <c r="L88" s="7"/>
      <c r="M88" s="30"/>
      <c r="N88" s="11"/>
      <c r="O88" s="16"/>
      <c r="P88" s="30"/>
      <c r="Q88" s="21"/>
    </row>
    <row r="89" spans="2:17" s="3" customFormat="1" ht="18" customHeight="1" x14ac:dyDescent="0.15">
      <c r="B89" s="20"/>
      <c r="C89" s="4"/>
      <c r="D89" s="4"/>
      <c r="E89" s="29"/>
      <c r="F89" s="28"/>
      <c r="G89" s="94"/>
      <c r="H89" s="47"/>
      <c r="I89" s="9"/>
      <c r="J89" s="29"/>
      <c r="K89" s="8"/>
      <c r="L89" s="7"/>
      <c r="M89" s="30"/>
      <c r="N89" s="11"/>
      <c r="O89" s="16"/>
      <c r="P89" s="30"/>
      <c r="Q89" s="21"/>
    </row>
    <row r="90" spans="2:17" s="3" customFormat="1" ht="18" customHeight="1" x14ac:dyDescent="0.15">
      <c r="B90" s="20"/>
      <c r="C90" s="4"/>
      <c r="D90" s="4"/>
      <c r="E90" s="29"/>
      <c r="F90" s="28"/>
      <c r="G90" s="94"/>
      <c r="H90" s="47"/>
      <c r="I90" s="9"/>
      <c r="J90" s="29"/>
      <c r="K90" s="8"/>
      <c r="L90" s="7"/>
      <c r="M90" s="30"/>
      <c r="N90" s="11"/>
      <c r="O90" s="16"/>
      <c r="P90" s="30"/>
      <c r="Q90" s="21"/>
    </row>
    <row r="91" spans="2:17" s="3" customFormat="1" ht="18" customHeight="1" x14ac:dyDescent="0.15">
      <c r="B91" s="20"/>
      <c r="C91" s="4"/>
      <c r="D91" s="4"/>
      <c r="E91" s="29"/>
      <c r="F91" s="28"/>
      <c r="G91" s="94"/>
      <c r="H91" s="47"/>
      <c r="I91" s="9"/>
      <c r="J91" s="29"/>
      <c r="K91" s="8"/>
      <c r="L91" s="7"/>
      <c r="M91" s="30"/>
      <c r="N91" s="11"/>
      <c r="O91" s="16"/>
      <c r="P91" s="30"/>
      <c r="Q91" s="21"/>
    </row>
    <row r="92" spans="2:17" s="3" customFormat="1" ht="18" customHeight="1" x14ac:dyDescent="0.15">
      <c r="B92" s="20"/>
      <c r="C92" s="4"/>
      <c r="D92" s="4"/>
      <c r="E92" s="29"/>
      <c r="F92" s="28"/>
      <c r="G92" s="94"/>
      <c r="H92" s="47"/>
      <c r="I92" s="9"/>
      <c r="J92" s="29"/>
      <c r="K92" s="8"/>
      <c r="L92" s="7"/>
      <c r="M92" s="30"/>
      <c r="N92" s="11"/>
      <c r="O92" s="16"/>
      <c r="P92" s="30"/>
      <c r="Q92" s="21"/>
    </row>
    <row r="93" spans="2:17" s="3" customFormat="1" ht="18" customHeight="1" x14ac:dyDescent="0.15">
      <c r="B93" s="20"/>
      <c r="C93" s="4"/>
      <c r="D93" s="4"/>
      <c r="E93" s="29"/>
      <c r="F93" s="28"/>
      <c r="G93" s="94"/>
      <c r="H93" s="47"/>
      <c r="I93" s="9"/>
      <c r="J93" s="29"/>
      <c r="K93" s="8"/>
      <c r="L93" s="7"/>
      <c r="M93" s="30"/>
      <c r="N93" s="11"/>
      <c r="O93" s="16"/>
      <c r="P93" s="30"/>
      <c r="Q93" s="21"/>
    </row>
    <row r="94" spans="2:17" s="3" customFormat="1" ht="18" customHeight="1" x14ac:dyDescent="0.15">
      <c r="B94" s="20"/>
      <c r="C94" s="4"/>
      <c r="D94" s="4"/>
      <c r="E94" s="29"/>
      <c r="F94" s="28"/>
      <c r="G94" s="94"/>
      <c r="H94" s="47"/>
      <c r="I94" s="9"/>
      <c r="J94" s="29"/>
      <c r="K94" s="8"/>
      <c r="L94" s="7"/>
      <c r="M94" s="30"/>
      <c r="N94" s="11"/>
      <c r="O94" s="16"/>
      <c r="P94" s="30"/>
      <c r="Q94" s="21"/>
    </row>
    <row r="95" spans="2:17" s="3" customFormat="1" ht="18" customHeight="1" x14ac:dyDescent="0.15">
      <c r="B95" s="20"/>
      <c r="C95" s="4"/>
      <c r="D95" s="4"/>
      <c r="E95" s="29"/>
      <c r="F95" s="28"/>
      <c r="G95" s="94"/>
      <c r="H95" s="47"/>
      <c r="I95" s="9"/>
      <c r="J95" s="29"/>
      <c r="K95" s="8"/>
      <c r="L95" s="7"/>
      <c r="M95" s="30"/>
      <c r="N95" s="11"/>
      <c r="O95" s="16"/>
      <c r="P95" s="30"/>
      <c r="Q95" s="21"/>
    </row>
    <row r="96" spans="2:17" s="3" customFormat="1" ht="18" customHeight="1" x14ac:dyDescent="0.15">
      <c r="B96" s="20"/>
      <c r="C96" s="4"/>
      <c r="D96" s="4"/>
      <c r="E96" s="26"/>
      <c r="F96" s="27"/>
      <c r="G96" s="47"/>
      <c r="H96" s="47"/>
      <c r="I96" s="9"/>
      <c r="J96" s="27"/>
      <c r="K96" s="8"/>
      <c r="L96" s="7"/>
      <c r="M96" s="30"/>
      <c r="N96" s="30"/>
      <c r="O96" s="31"/>
      <c r="P96" s="30"/>
      <c r="Q96" s="21"/>
    </row>
    <row r="97" spans="2:17" s="3" customFormat="1" ht="18" customHeight="1" x14ac:dyDescent="0.15">
      <c r="B97" s="20"/>
      <c r="C97" s="4"/>
      <c r="D97" s="4"/>
      <c r="E97" s="26"/>
      <c r="F97" s="27"/>
      <c r="G97" s="47"/>
      <c r="H97" s="47"/>
      <c r="I97" s="9"/>
      <c r="J97" s="27"/>
      <c r="K97" s="8"/>
      <c r="L97" s="7"/>
      <c r="M97" s="30"/>
      <c r="N97" s="11"/>
      <c r="O97" s="16"/>
      <c r="P97" s="30"/>
      <c r="Q97" s="21"/>
    </row>
    <row r="98" spans="2:17" s="3" customFormat="1" ht="18" customHeight="1" x14ac:dyDescent="0.15">
      <c r="B98" s="20"/>
      <c r="C98" s="4"/>
      <c r="D98" s="4"/>
      <c r="E98" s="26"/>
      <c r="F98" s="27"/>
      <c r="G98" s="47"/>
      <c r="H98" s="47"/>
      <c r="I98" s="9"/>
      <c r="J98" s="27"/>
      <c r="K98" s="8"/>
      <c r="L98" s="7"/>
      <c r="M98" s="30"/>
      <c r="N98" s="11"/>
      <c r="O98" s="16"/>
      <c r="P98" s="30"/>
      <c r="Q98" s="21"/>
    </row>
    <row r="99" spans="2:17" s="3" customFormat="1" ht="18" customHeight="1" x14ac:dyDescent="0.15">
      <c r="B99" s="20"/>
      <c r="C99" s="4"/>
      <c r="D99" s="4"/>
      <c r="E99" s="8"/>
      <c r="F99" s="9"/>
      <c r="G99" s="47"/>
      <c r="H99" s="47"/>
      <c r="I99" s="9"/>
      <c r="J99" s="32"/>
      <c r="K99" s="8"/>
      <c r="L99" s="7"/>
      <c r="M99" s="30"/>
      <c r="N99" s="11"/>
      <c r="O99" s="16"/>
      <c r="P99" s="30"/>
      <c r="Q99" s="21"/>
    </row>
    <row r="100" spans="2:17" s="3" customFormat="1" ht="18" customHeight="1" x14ac:dyDescent="0.15">
      <c r="B100" s="20"/>
      <c r="C100" s="20"/>
      <c r="D100" s="20"/>
      <c r="E100" s="8"/>
      <c r="F100" s="9"/>
      <c r="G100" s="47"/>
      <c r="H100" s="47"/>
      <c r="I100" s="9"/>
      <c r="J100" s="7"/>
      <c r="K100" s="8"/>
      <c r="L100" s="7"/>
      <c r="M100" s="30"/>
      <c r="N100" s="11"/>
      <c r="O100" s="16"/>
      <c r="P100" s="11"/>
      <c r="Q100" s="21"/>
    </row>
    <row r="101" spans="2:17" s="3" customFormat="1" ht="18" customHeight="1" x14ac:dyDescent="0.15">
      <c r="B101" s="20"/>
      <c r="C101" s="20"/>
      <c r="D101" s="20"/>
      <c r="E101" s="8"/>
      <c r="F101" s="9"/>
      <c r="G101" s="47"/>
      <c r="H101" s="47"/>
      <c r="I101" s="9"/>
      <c r="J101" s="7"/>
      <c r="K101" s="8"/>
      <c r="L101" s="7"/>
      <c r="M101" s="30"/>
      <c r="N101" s="11"/>
      <c r="O101" s="16"/>
      <c r="P101" s="11"/>
      <c r="Q101" s="21"/>
    </row>
    <row r="102" spans="2:17" ht="18" customHeight="1" x14ac:dyDescent="0.15">
      <c r="B102" s="20"/>
      <c r="C102" s="20"/>
      <c r="D102" s="20"/>
      <c r="E102" s="8"/>
      <c r="F102" s="9"/>
      <c r="G102" s="47"/>
      <c r="H102" s="47"/>
      <c r="I102" s="9"/>
      <c r="J102" s="7"/>
      <c r="K102" s="8"/>
      <c r="L102" s="7"/>
      <c r="M102" s="30"/>
      <c r="N102" s="11"/>
      <c r="O102" s="16"/>
      <c r="P102" s="18"/>
      <c r="Q102" s="22"/>
    </row>
    <row r="106" spans="2:17" x14ac:dyDescent="0.15">
      <c r="M106" s="19"/>
    </row>
    <row r="107" spans="2:17" x14ac:dyDescent="0.15">
      <c r="B107" s="40"/>
      <c r="C107" s="41"/>
      <c r="D107" s="40"/>
      <c r="E107" s="42"/>
      <c r="F107" s="43"/>
      <c r="G107" s="41"/>
      <c r="H107" s="41"/>
      <c r="I107" s="44"/>
      <c r="J107" s="40"/>
      <c r="M107" s="10"/>
    </row>
    <row r="108" spans="2:17" x14ac:dyDescent="0.15">
      <c r="M108" s="19"/>
    </row>
    <row r="109" spans="2:17" x14ac:dyDescent="0.15">
      <c r="E109" s="45" t="s">
        <v>38</v>
      </c>
      <c r="M109" s="10"/>
    </row>
    <row r="110" spans="2:17" x14ac:dyDescent="0.15">
      <c r="E110" s="45" t="s">
        <v>37</v>
      </c>
    </row>
    <row r="111" spans="2:17" x14ac:dyDescent="0.15">
      <c r="E111" s="45" t="s">
        <v>36</v>
      </c>
    </row>
    <row r="112" spans="2:17" x14ac:dyDescent="0.15">
      <c r="E112" s="45" t="s">
        <v>35</v>
      </c>
    </row>
    <row r="113" spans="5:5" x14ac:dyDescent="0.15">
      <c r="E113" s="45" t="s">
        <v>34</v>
      </c>
    </row>
    <row r="114" spans="5:5" x14ac:dyDescent="0.15">
      <c r="E114" s="45" t="s">
        <v>33</v>
      </c>
    </row>
    <row r="115" spans="5:5" x14ac:dyDescent="0.15">
      <c r="E115" s="46" t="s">
        <v>32</v>
      </c>
    </row>
    <row r="116" spans="5:5" x14ac:dyDescent="0.15">
      <c r="E116" s="46" t="s">
        <v>31</v>
      </c>
    </row>
    <row r="117" spans="5:5" x14ac:dyDescent="0.15">
      <c r="E117" s="46" t="s">
        <v>30</v>
      </c>
    </row>
    <row r="118" spans="5:5" x14ac:dyDescent="0.15">
      <c r="E118" s="45"/>
    </row>
  </sheetData>
  <autoFilter ref="B8:O72"/>
  <mergeCells count="9">
    <mergeCell ref="C22:E22"/>
    <mergeCell ref="C28:E28"/>
    <mergeCell ref="C9:E9"/>
    <mergeCell ref="B2:D2"/>
    <mergeCell ref="G2:I2"/>
    <mergeCell ref="B3:D3"/>
    <mergeCell ref="B4:D4"/>
    <mergeCell ref="B5:D5"/>
    <mergeCell ref="B6:D6"/>
  </mergeCells>
  <phoneticPr fontId="9"/>
  <dataValidations disablePrompts="1" count="1">
    <dataValidation imeMode="hiragana" allowBlank="1" showInputMessage="1" showErrorMessage="1" sqref="J22 J24:J25"/>
  </dataValidations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Z軸調整ﾀｲﾌﾟ、浸け置きｶｯﾌﾟ、捨て打ち有り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2012-05-10T08:00:53Z</cp:lastPrinted>
  <dcterms:created xsi:type="dcterms:W3CDTF">2011-12-13T06:48:43Z</dcterms:created>
  <dcterms:modified xsi:type="dcterms:W3CDTF">2015-09-18T06:36:45Z</dcterms:modified>
</cp:coreProperties>
</file>