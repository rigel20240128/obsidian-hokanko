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/>
  <mc:AlternateContent xmlns:mc="http://schemas.openxmlformats.org/markup-compatibility/2006">
    <mc:Choice Requires="x15">
      <x15ac:absPath xmlns:x15ac="http://schemas.microsoft.com/office/spreadsheetml/2010/11/ac" url="C:\Users\h-saito\AppData\Local\Microsoft\Windows\INetCache\Content.Outlook\2XFZ23FT\"/>
    </mc:Choice>
  </mc:AlternateContent>
  <xr:revisionPtr revIDLastSave="0" documentId="13_ncr:1_{B6201460-76B0-4669-AF35-36DF373950EF}" xr6:coauthVersionLast="47" xr6:coauthVersionMax="47" xr10:uidLastSave="{00000000-0000-0000-0000-000000000000}"/>
  <bookViews>
    <workbookView xWindow="-108" yWindow="-108" windowWidth="23256" windowHeight="14016" xr2:uid="{00000000-000D-0000-FFFF-FFFF00000000}"/>
  </bookViews>
  <sheets>
    <sheet name="原価一覧 (20240620) ③" sheetId="16" r:id="rId1"/>
    <sheet name="Sheet2" sheetId="2" r:id="rId2"/>
    <sheet name="Sheet3" sheetId="3" r:id="rId3"/>
  </sheets>
  <definedNames>
    <definedName name="_xlnm._FilterDatabase" localSheetId="0" hidden="1">'原価一覧 (20240620) ③'!$C$8:$P$202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Q14" i="16" l="1"/>
  <c r="Q13" i="16"/>
  <c r="Q12" i="16"/>
  <c r="Q19" i="16"/>
  <c r="Q18" i="16"/>
  <c r="Q23" i="16"/>
  <c r="Q22" i="16"/>
  <c r="Q21" i="16"/>
  <c r="Q27" i="16"/>
  <c r="Q26" i="16"/>
  <c r="Q25" i="16"/>
  <c r="Q30" i="16"/>
  <c r="Q29" i="16"/>
  <c r="Q34" i="16"/>
  <c r="Q33" i="16"/>
  <c r="Q32" i="16"/>
  <c r="Q37" i="16"/>
  <c r="Q36" i="16"/>
  <c r="Q44" i="16"/>
  <c r="Q43" i="16"/>
  <c r="Q42" i="16"/>
  <c r="Q41" i="16"/>
  <c r="Q40" i="16"/>
  <c r="Q46" i="16"/>
  <c r="Q54" i="16"/>
  <c r="Q53" i="16"/>
  <c r="Q52" i="16"/>
  <c r="Q51" i="16"/>
  <c r="Q50" i="16"/>
  <c r="Q49" i="16"/>
  <c r="Q48" i="16"/>
  <c r="Q64" i="16"/>
  <c r="Q63" i="16"/>
  <c r="Q62" i="16"/>
  <c r="Q61" i="16"/>
  <c r="Q60" i="16"/>
  <c r="Q59" i="16"/>
  <c r="Q58" i="16"/>
  <c r="Q57" i="16"/>
  <c r="Q56" i="16"/>
  <c r="Q69" i="16"/>
  <c r="Q68" i="16"/>
  <c r="Q67" i="16"/>
  <c r="Q66" i="16"/>
  <c r="Q76" i="16"/>
  <c r="Q75" i="16"/>
  <c r="Q74" i="16"/>
  <c r="Q73" i="16"/>
  <c r="Q78" i="16"/>
  <c r="Q81" i="16"/>
  <c r="Q113" i="16"/>
  <c r="Q112" i="16"/>
  <c r="Q111" i="16"/>
  <c r="Q110" i="16"/>
  <c r="Q109" i="16"/>
  <c r="Q108" i="16"/>
  <c r="Q107" i="16"/>
  <c r="Q106" i="16"/>
  <c r="Q105" i="16"/>
  <c r="Q104" i="16"/>
  <c r="Q103" i="16"/>
  <c r="Q102" i="16"/>
  <c r="Q101" i="16"/>
  <c r="Q100" i="16"/>
  <c r="Q99" i="16"/>
  <c r="Q98" i="16"/>
  <c r="Q97" i="16"/>
  <c r="Q96" i="16"/>
  <c r="Q95" i="16"/>
  <c r="Q94" i="16"/>
  <c r="Q93" i="16"/>
  <c r="Q92" i="16"/>
  <c r="Q91" i="16"/>
  <c r="Q90" i="16"/>
  <c r="Q126" i="16"/>
  <c r="Q125" i="16"/>
  <c r="Q124" i="16"/>
  <c r="Q123" i="16"/>
  <c r="Q122" i="16"/>
  <c r="Q121" i="16"/>
  <c r="Q120" i="16"/>
  <c r="Q119" i="16"/>
  <c r="Q118" i="16"/>
  <c r="Q117" i="16"/>
  <c r="Q116" i="16"/>
  <c r="Q115" i="16"/>
  <c r="Q132" i="16"/>
  <c r="Q138" i="16"/>
  <c r="Q137" i="16"/>
  <c r="Q136" i="16"/>
  <c r="Q135" i="16"/>
  <c r="Q134" i="16"/>
  <c r="Q146" i="16"/>
  <c r="Q145" i="16"/>
  <c r="Q144" i="16"/>
  <c r="Q143" i="16"/>
  <c r="Q142" i="16"/>
  <c r="Q141" i="16"/>
  <c r="Q140" i="16"/>
  <c r="Q160" i="16"/>
  <c r="Q159" i="16"/>
  <c r="Q158" i="16"/>
  <c r="Q157" i="16"/>
  <c r="Q163" i="16"/>
  <c r="Q162" i="16"/>
  <c r="Q171" i="16"/>
  <c r="Q170" i="16"/>
  <c r="Q169" i="16"/>
  <c r="Q168" i="16"/>
  <c r="Q167" i="16"/>
  <c r="Q173" i="16"/>
  <c r="Q174" i="16"/>
  <c r="Q175" i="16"/>
  <c r="Q176" i="16"/>
  <c r="Q177" i="16"/>
  <c r="Q178" i="16"/>
  <c r="Q179" i="16"/>
  <c r="Q180" i="16"/>
  <c r="Q181" i="16"/>
  <c r="Q182" i="16"/>
  <c r="Q183" i="16"/>
  <c r="Q184" i="16"/>
  <c r="Q185" i="16"/>
  <c r="Q186" i="16"/>
  <c r="Q187" i="16"/>
  <c r="Q188" i="16"/>
  <c r="Q189" i="16"/>
  <c r="Q190" i="16"/>
  <c r="I198" i="16"/>
  <c r="I197" i="16"/>
  <c r="I196" i="16"/>
  <c r="I190" i="16"/>
  <c r="I189" i="16"/>
  <c r="I188" i="16"/>
  <c r="I187" i="16"/>
  <c r="I186" i="16"/>
  <c r="I185" i="16"/>
  <c r="I184" i="16"/>
  <c r="I183" i="16"/>
  <c r="I182" i="16"/>
  <c r="I181" i="16"/>
  <c r="I180" i="16"/>
  <c r="I179" i="16"/>
  <c r="I178" i="16"/>
  <c r="I177" i="16"/>
  <c r="I176" i="16"/>
  <c r="I175" i="16"/>
  <c r="I174" i="16"/>
  <c r="I173" i="16"/>
  <c r="I171" i="16"/>
  <c r="I170" i="16"/>
  <c r="I169" i="16"/>
  <c r="I168" i="16"/>
  <c r="I167" i="16"/>
  <c r="I163" i="16"/>
  <c r="I162" i="16"/>
  <c r="I160" i="16"/>
  <c r="I159" i="16"/>
  <c r="I158" i="16"/>
  <c r="I157" i="16"/>
  <c r="I146" i="16"/>
  <c r="I145" i="16"/>
  <c r="I144" i="16"/>
  <c r="I143" i="16"/>
  <c r="I142" i="16"/>
  <c r="I141" i="16"/>
  <c r="I140" i="16"/>
  <c r="I139" i="16"/>
  <c r="I138" i="16"/>
  <c r="I137" i="16"/>
  <c r="I136" i="16"/>
  <c r="I135" i="16"/>
  <c r="I134" i="16"/>
  <c r="I133" i="16"/>
  <c r="I132" i="16"/>
  <c r="I126" i="16"/>
  <c r="I125" i="16"/>
  <c r="I124" i="16"/>
  <c r="I123" i="16"/>
  <c r="I122" i="16"/>
  <c r="I121" i="16"/>
  <c r="I120" i="16"/>
  <c r="I119" i="16"/>
  <c r="I118" i="16"/>
  <c r="I117" i="16"/>
  <c r="I116" i="16"/>
  <c r="I115" i="16"/>
  <c r="I114" i="16"/>
  <c r="I113" i="16"/>
  <c r="I112" i="16"/>
  <c r="I111" i="16"/>
  <c r="I110" i="16"/>
  <c r="I109" i="16"/>
  <c r="I108" i="16"/>
  <c r="I107" i="16"/>
  <c r="I106" i="16"/>
  <c r="I105" i="16"/>
  <c r="I104" i="16"/>
  <c r="I103" i="16"/>
  <c r="I102" i="16"/>
  <c r="I101" i="16"/>
  <c r="I100" i="16"/>
  <c r="I99" i="16"/>
  <c r="I98" i="16"/>
  <c r="I97" i="16"/>
  <c r="I96" i="16"/>
  <c r="I95" i="16"/>
  <c r="I94" i="16"/>
  <c r="I93" i="16"/>
  <c r="I92" i="16"/>
  <c r="I91" i="16"/>
  <c r="I90" i="16"/>
  <c r="I81" i="16"/>
  <c r="I78" i="16"/>
  <c r="I76" i="16"/>
  <c r="I75" i="16"/>
  <c r="I74" i="16"/>
  <c r="I73" i="16"/>
  <c r="I69" i="16"/>
  <c r="I68" i="16"/>
  <c r="I67" i="16"/>
  <c r="I66" i="16"/>
  <c r="I65" i="16"/>
  <c r="I64" i="16"/>
  <c r="I63" i="16"/>
  <c r="I62" i="16"/>
  <c r="I61" i="16"/>
  <c r="I60" i="16"/>
  <c r="I59" i="16"/>
  <c r="I58" i="16"/>
  <c r="I57" i="16"/>
  <c r="I56" i="16"/>
  <c r="I54" i="16"/>
  <c r="I53" i="16"/>
  <c r="I52" i="16"/>
  <c r="I51" i="16"/>
  <c r="I50" i="16"/>
  <c r="I49" i="16"/>
  <c r="I48" i="16"/>
  <c r="I46" i="16"/>
  <c r="I45" i="16"/>
  <c r="I44" i="16"/>
  <c r="I43" i="16"/>
  <c r="I42" i="16"/>
  <c r="I41" i="16"/>
  <c r="I40" i="16"/>
  <c r="I38" i="16"/>
  <c r="I37" i="16"/>
  <c r="I36" i="16"/>
  <c r="I35" i="16"/>
  <c r="I34" i="16"/>
  <c r="I33" i="16"/>
  <c r="I32" i="16"/>
  <c r="I31" i="16"/>
  <c r="I30" i="16"/>
  <c r="I29" i="16"/>
  <c r="I28" i="16"/>
  <c r="I27" i="16"/>
  <c r="I26" i="16"/>
  <c r="I25" i="16"/>
  <c r="I23" i="16"/>
  <c r="I22" i="16"/>
  <c r="I21" i="16"/>
  <c r="I19" i="16"/>
  <c r="I18" i="16"/>
  <c r="I14" i="16"/>
  <c r="I13" i="16"/>
  <c r="I12" i="16"/>
  <c r="C13" i="16"/>
  <c r="C14" i="16" s="1"/>
  <c r="K2" i="16" l="1"/>
  <c r="C18" i="16"/>
  <c r="C19" i="16" s="1"/>
  <c r="C21" i="16" s="1"/>
  <c r="C22" i="16" s="1"/>
  <c r="C23" i="16" s="1"/>
  <c r="C25" i="16" s="1"/>
  <c r="C26" i="16" s="1"/>
  <c r="C27" i="16" s="1"/>
  <c r="C28" i="16" s="1"/>
  <c r="C29" i="16" s="1"/>
  <c r="C30" i="16" s="1"/>
  <c r="C32" i="16" s="1"/>
  <c r="C33" i="16" s="1"/>
  <c r="C34" i="16" s="1"/>
  <c r="C36" i="16" s="1"/>
  <c r="C37" i="16" s="1"/>
  <c r="C38" i="16" s="1"/>
  <c r="C40" i="16" s="1"/>
  <c r="C41" i="16" s="1"/>
  <c r="C42" i="16" s="1"/>
  <c r="C43" i="16" s="1"/>
  <c r="C44" i="16" s="1"/>
  <c r="C45" i="16" s="1"/>
  <c r="C46" i="16" s="1"/>
  <c r="C48" i="16" s="1"/>
  <c r="C49" i="16" s="1"/>
  <c r="C50" i="16" s="1"/>
  <c r="C51" i="16" s="1"/>
  <c r="C52" i="16" s="1"/>
  <c r="C53" i="16" s="1"/>
  <c r="C54" i="16" s="1"/>
  <c r="C56" i="16" s="1"/>
  <c r="C57" i="16" s="1"/>
  <c r="C58" i="16" s="1"/>
  <c r="C59" i="16" s="1"/>
  <c r="C60" i="16" s="1"/>
  <c r="C61" i="16" s="1"/>
  <c r="C62" i="16" s="1"/>
  <c r="C63" i="16" s="1"/>
  <c r="C64" i="16" s="1"/>
  <c r="C65" i="16" s="1"/>
  <c r="C66" i="16" s="1"/>
  <c r="C67" i="16" s="1"/>
  <c r="C68" i="16" s="1"/>
  <c r="C69" i="16" s="1"/>
  <c r="F84" i="16"/>
  <c r="F128" i="16"/>
  <c r="F194" i="16"/>
  <c r="F148" i="16"/>
  <c r="C73" i="16" l="1"/>
  <c r="C74" i="16" s="1"/>
  <c r="C75" i="16" s="1"/>
  <c r="C76" i="16" s="1"/>
  <c r="C78" i="16" l="1"/>
  <c r="C81" i="16" s="1"/>
  <c r="C90" i="16" s="1"/>
  <c r="C91" i="16" s="1"/>
  <c r="C92" i="16" s="1"/>
  <c r="C93" i="16" s="1"/>
  <c r="C94" i="16" s="1"/>
  <c r="C95" i="16" s="1"/>
  <c r="C96" i="16" s="1"/>
  <c r="C97" i="16" s="1"/>
  <c r="C98" i="16" s="1"/>
  <c r="C99" i="16" s="1"/>
  <c r="C100" i="16" s="1"/>
  <c r="C101" i="16" s="1"/>
  <c r="C102" i="16" s="1"/>
  <c r="C103" i="16" s="1"/>
  <c r="C104" i="16" s="1"/>
  <c r="C105" i="16" s="1"/>
  <c r="C106" i="16" s="1"/>
  <c r="C107" i="16" s="1"/>
  <c r="C108" i="16" s="1"/>
  <c r="C109" i="16" s="1"/>
  <c r="C110" i="16" s="1"/>
  <c r="C111" i="16" s="1"/>
  <c r="C112" i="16" s="1"/>
  <c r="C113" i="16" s="1"/>
  <c r="C114" i="16" s="1"/>
  <c r="C115" i="16" s="1"/>
  <c r="C116" i="16" s="1"/>
  <c r="C117" i="16" s="1"/>
  <c r="C118" i="16" s="1"/>
  <c r="C119" i="16" s="1"/>
  <c r="C120" i="16" s="1"/>
  <c r="C121" i="16" s="1"/>
  <c r="C122" i="16" s="1"/>
  <c r="C123" i="16" s="1"/>
  <c r="C124" i="16" s="1"/>
  <c r="C125" i="16" s="1"/>
  <c r="C126" i="16" s="1"/>
  <c r="C132" i="16" s="1"/>
  <c r="C133" i="16" s="1"/>
  <c r="C134" i="16" s="1"/>
  <c r="C135" i="16" s="1"/>
  <c r="C136" i="16" s="1"/>
  <c r="C137" i="16" s="1"/>
  <c r="C138" i="16" s="1"/>
  <c r="C139" i="16" s="1"/>
  <c r="C140" i="16" s="1"/>
  <c r="C141" i="16" s="1"/>
  <c r="C142" i="16" s="1"/>
  <c r="C143" i="16" s="1"/>
  <c r="C144" i="16" s="1"/>
  <c r="C145" i="16" s="1"/>
  <c r="C146" i="16" s="1"/>
  <c r="C157" i="16" s="1"/>
  <c r="C158" i="16" s="1"/>
  <c r="C159" i="16" s="1"/>
  <c r="C160" i="16" s="1"/>
  <c r="C162" i="16" s="1"/>
  <c r="C163" i="16" s="1"/>
  <c r="C167" i="16" l="1"/>
  <c r="C168" i="16" s="1"/>
  <c r="C169" i="16" s="1"/>
  <c r="C170" i="16" s="1"/>
  <c r="C171" i="16" s="1"/>
  <c r="C173" i="16" l="1"/>
  <c r="C174" i="16" s="1"/>
  <c r="C175" i="16" s="1"/>
  <c r="C176" i="16" s="1"/>
  <c r="C177" i="16" s="1"/>
  <c r="C178" i="16" s="1"/>
  <c r="C179" i="16" s="1"/>
  <c r="C180" i="16" s="1"/>
  <c r="C181" i="16" s="1"/>
  <c r="C182" i="16" s="1"/>
  <c r="C183" i="16" s="1"/>
  <c r="C184" i="16" s="1"/>
  <c r="C185" i="16" s="1"/>
  <c r="C186" i="16" s="1"/>
  <c r="C187" i="16" s="1"/>
  <c r="C188" i="16" s="1"/>
  <c r="C189" i="16" s="1"/>
  <c r="C190" i="16" s="1"/>
</calcChain>
</file>

<file path=xl/sharedStrings.xml><?xml version="1.0" encoding="utf-8"?>
<sst xmlns="http://schemas.openxmlformats.org/spreadsheetml/2006/main" count="843" uniqueCount="302">
  <si>
    <t>お客先名</t>
  </si>
  <si>
    <t>合計金額</t>
  </si>
  <si>
    <t>担当営業</t>
  </si>
  <si>
    <t>受注番号</t>
  </si>
  <si>
    <t>希望納期</t>
  </si>
  <si>
    <t>最終納品</t>
  </si>
  <si>
    <t>見積り分類</t>
  </si>
  <si>
    <t>メーカー</t>
  </si>
  <si>
    <t>仕入先</t>
  </si>
  <si>
    <t>品名 / 型式</t>
  </si>
  <si>
    <t>数量</t>
  </si>
  <si>
    <t>単価</t>
  </si>
  <si>
    <t>金額</t>
  </si>
  <si>
    <t>分類合計</t>
  </si>
  <si>
    <t>詳細</t>
  </si>
  <si>
    <t>備考</t>
  </si>
  <si>
    <t>技術分類</t>
  </si>
  <si>
    <t>発注日</t>
  </si>
  <si>
    <t>発注</t>
  </si>
  <si>
    <t>納期</t>
  </si>
  <si>
    <t>入荷予定日</t>
  </si>
  <si>
    <t>入荷日</t>
  </si>
  <si>
    <t>ツ－ル治具部分</t>
  </si>
  <si>
    <t>ミスミ</t>
  </si>
  <si>
    <t>運送費</t>
  </si>
  <si>
    <t>設計費</t>
  </si>
  <si>
    <t>組立調整費</t>
  </si>
  <si>
    <t>ミスミ</t>
    <phoneticPr fontId="12"/>
  </si>
  <si>
    <t>配電部分</t>
    <rPh sb="0" eb="2">
      <t>ハイデン</t>
    </rPh>
    <rPh sb="2" eb="4">
      <t>ブブン</t>
    </rPh>
    <phoneticPr fontId="10"/>
  </si>
  <si>
    <t>SCB4-20</t>
    <phoneticPr fontId="10"/>
  </si>
  <si>
    <t>MNCNL6-M5</t>
    <phoneticPr fontId="12"/>
  </si>
  <si>
    <t>MNCNL4-M5</t>
    <phoneticPr fontId="12"/>
  </si>
  <si>
    <t>MWS-DS37A-HT37</t>
    <phoneticPr fontId="12"/>
  </si>
  <si>
    <t>DINレール</t>
    <phoneticPr fontId="12"/>
  </si>
  <si>
    <t>漏電ブレーカ</t>
    <rPh sb="0" eb="2">
      <t>ロウデン</t>
    </rPh>
    <phoneticPr fontId="12"/>
  </si>
  <si>
    <t>TBS-22</t>
    <phoneticPr fontId="12"/>
  </si>
  <si>
    <t>ミニチュアワンタッチ継手　エルボ</t>
    <phoneticPr fontId="10"/>
  </si>
  <si>
    <t>リブ</t>
    <phoneticPr fontId="12"/>
  </si>
  <si>
    <t>WQBB-JW-A22-B8-T15-H6.5-Q45-X6-F10-S10.5-Z3</t>
    <phoneticPr fontId="12"/>
  </si>
  <si>
    <t>位置決めｶﾞｲﾄﾞ受け　2018-09-13-X028　</t>
    <phoneticPr fontId="12"/>
  </si>
  <si>
    <t>アルミフレーム用フレームキャップ</t>
    <phoneticPr fontId="12"/>
  </si>
  <si>
    <t xml:space="preserve">SHNTP5-5 </t>
    <phoneticPr fontId="12"/>
  </si>
  <si>
    <t xml:space="preserve">SCB4-8  </t>
    <phoneticPr fontId="12"/>
  </si>
  <si>
    <t xml:space="preserve">SHNTP5-4  </t>
    <phoneticPr fontId="12"/>
  </si>
  <si>
    <t xml:space="preserve">SBCB4-6 </t>
    <phoneticPr fontId="12"/>
  </si>
  <si>
    <t>WSSS10-4-1</t>
    <phoneticPr fontId="12"/>
  </si>
  <si>
    <t>金属ﾜｯｼｬｰ　　Ｔ寸選択・指定タイプ　並級</t>
    <rPh sb="0" eb="2">
      <t>キンゾク</t>
    </rPh>
    <phoneticPr fontId="12"/>
  </si>
  <si>
    <t>MS3-10</t>
    <phoneticPr fontId="12"/>
  </si>
  <si>
    <t>meviy</t>
    <phoneticPr fontId="12"/>
  </si>
  <si>
    <t xml:space="preserve">SPWF4 </t>
    <phoneticPr fontId="12"/>
  </si>
  <si>
    <t>3日目</t>
    <rPh sb="1" eb="2">
      <t>ヒ</t>
    </rPh>
    <rPh sb="2" eb="3">
      <t>メ</t>
    </rPh>
    <phoneticPr fontId="12"/>
  </si>
  <si>
    <t>1日目</t>
    <rPh sb="1" eb="2">
      <t>ヒ</t>
    </rPh>
    <rPh sb="2" eb="3">
      <t>メ</t>
    </rPh>
    <phoneticPr fontId="12"/>
  </si>
  <si>
    <t>2日目</t>
    <rPh sb="1" eb="2">
      <t>ヒ</t>
    </rPh>
    <rPh sb="2" eb="3">
      <t>メ</t>
    </rPh>
    <phoneticPr fontId="12"/>
  </si>
  <si>
    <t xml:space="preserve"> 六角穴付ボタンボルト　　6本</t>
    <rPh sb="14" eb="15">
      <t>ホン</t>
    </rPh>
    <phoneticPr fontId="12"/>
  </si>
  <si>
    <t>JPLRS4-P5.0-B7.0</t>
    <phoneticPr fontId="10"/>
  </si>
  <si>
    <t>SCB5-12</t>
    <phoneticPr fontId="10"/>
  </si>
  <si>
    <t>MS3-6</t>
    <phoneticPr fontId="10"/>
  </si>
  <si>
    <t>CBSST5-16</t>
    <phoneticPr fontId="10"/>
  </si>
  <si>
    <t xml:space="preserve">MS3-10 </t>
    <phoneticPr fontId="10"/>
  </si>
  <si>
    <t xml:space="preserve">SCB4-10 </t>
    <phoneticPr fontId="10"/>
  </si>
  <si>
    <t>SETB0075-Y07 ｶﾑﾌｧﾛｱ固定ﾌﾞﾛｯｸ</t>
    <phoneticPr fontId="10"/>
  </si>
  <si>
    <t>C-CFA5-13</t>
    <phoneticPr fontId="10"/>
  </si>
  <si>
    <t>CFBRA5-40</t>
    <phoneticPr fontId="10"/>
  </si>
  <si>
    <t>SBCB5-10</t>
    <phoneticPr fontId="10"/>
  </si>
  <si>
    <t>CSHCS-SUS-M3-4</t>
    <phoneticPr fontId="10"/>
  </si>
  <si>
    <t>SFB3-8</t>
    <phoneticPr fontId="10"/>
  </si>
  <si>
    <t>AETTS10-93-SC46.5-M3-N3</t>
    <phoneticPr fontId="10"/>
  </si>
  <si>
    <t>8日目</t>
    <rPh sb="1" eb="2">
      <t>ヒ</t>
    </rPh>
    <rPh sb="2" eb="3">
      <t>メ</t>
    </rPh>
    <phoneticPr fontId="12"/>
  </si>
  <si>
    <t>MVBLK-AMW-2UH-KM5D8</t>
    <phoneticPr fontId="10"/>
  </si>
  <si>
    <t>SUNCO</t>
    <phoneticPr fontId="10"/>
  </si>
  <si>
    <t>円形支柱－両端めねじ</t>
    <phoneticPr fontId="10"/>
  </si>
  <si>
    <t>5日目</t>
    <rPh sb="1" eb="2">
      <t>ヒ</t>
    </rPh>
    <rPh sb="2" eb="3">
      <t>メ</t>
    </rPh>
    <phoneticPr fontId="12"/>
  </si>
  <si>
    <t>カムフォロア　頭部六角穴付　フラットタイプ</t>
    <phoneticPr fontId="10"/>
  </si>
  <si>
    <t>カムフォロア用ブラケット</t>
    <phoneticPr fontId="10"/>
  </si>
  <si>
    <t>六角穴付ボタンボルト　－ステンレス</t>
    <phoneticPr fontId="10"/>
  </si>
  <si>
    <r>
      <t>六角穴付ボル  　　　</t>
    </r>
    <r>
      <rPr>
        <sz val="11"/>
        <color rgb="FFFF0000"/>
        <rFont val="ＭＳ Ｐゴシック"/>
        <family val="3"/>
        <charset val="128"/>
        <scheme val="minor"/>
      </rPr>
      <t>　2本  社内在庫使用</t>
    </r>
    <rPh sb="13" eb="14">
      <t>ホン</t>
    </rPh>
    <rPh sb="16" eb="18">
      <t>シャナイ</t>
    </rPh>
    <rPh sb="18" eb="20">
      <t>ザイコ</t>
    </rPh>
    <rPh sb="20" eb="22">
      <t>シヨウ</t>
    </rPh>
    <phoneticPr fontId="10"/>
  </si>
  <si>
    <r>
      <t xml:space="preserve">六角穴付ボル </t>
    </r>
    <r>
      <rPr>
        <sz val="11"/>
        <color rgb="FFFF0000"/>
        <rFont val="ＭＳ Ｐゴシック"/>
        <family val="3"/>
        <charset val="128"/>
        <scheme val="minor"/>
      </rPr>
      <t xml:space="preserve">  4本　  社内在庫使用</t>
    </r>
    <rPh sb="10" eb="11">
      <t>ホン</t>
    </rPh>
    <phoneticPr fontId="10"/>
  </si>
  <si>
    <t>A8110</t>
    <phoneticPr fontId="12"/>
  </si>
  <si>
    <t>汎用3芯OAタップ 4ヶ口</t>
    <phoneticPr fontId="12"/>
  </si>
  <si>
    <t>SETB0075-Z01 電磁弁+レギュラーﾕﾆｯﾄ取付板金</t>
    <phoneticPr fontId="10"/>
  </si>
  <si>
    <t>MVSHM-3N03002011027-2UK-1UMGD</t>
    <phoneticPr fontId="12"/>
  </si>
  <si>
    <t>SCB4-5</t>
    <phoneticPr fontId="10"/>
  </si>
  <si>
    <t>SBCB5-8</t>
    <phoneticPr fontId="10"/>
  </si>
  <si>
    <t>ねじ変換継手</t>
    <phoneticPr fontId="12"/>
  </si>
  <si>
    <t>出荷依頼項目NO.</t>
    <rPh sb="0" eb="4">
      <t>シュッカイライ</t>
    </rPh>
    <rPh sb="4" eb="6">
      <t>コウモク</t>
    </rPh>
    <phoneticPr fontId="10"/>
  </si>
  <si>
    <t>福島</t>
    <rPh sb="0" eb="2">
      <t>フクシマ</t>
    </rPh>
    <phoneticPr fontId="10"/>
  </si>
  <si>
    <t>六角穴付皿ボルト　  2本　×2SET　</t>
    <phoneticPr fontId="10"/>
  </si>
  <si>
    <t>六角穴付皿ボルト　  9本　×2SET　</t>
    <phoneticPr fontId="10"/>
  </si>
  <si>
    <t>5日間</t>
    <rPh sb="1" eb="2">
      <t>ヒ</t>
    </rPh>
    <rPh sb="2" eb="3">
      <t>カン</t>
    </rPh>
    <phoneticPr fontId="12"/>
  </si>
  <si>
    <t>ミニチュアクランプレバー</t>
    <phoneticPr fontId="12"/>
  </si>
  <si>
    <t>CLMSC5-12-B</t>
    <phoneticPr fontId="12"/>
  </si>
  <si>
    <t>3日間</t>
    <rPh sb="1" eb="2">
      <t>ヒ</t>
    </rPh>
    <rPh sb="2" eb="3">
      <t>カン</t>
    </rPh>
    <phoneticPr fontId="12"/>
  </si>
  <si>
    <t>HBLFSNF5-SEP</t>
    <phoneticPr fontId="12"/>
  </si>
  <si>
    <t>５シリーズ（溝幅６ｍｍ）　－１列溝用－　突起付反転ブラケット</t>
    <phoneticPr fontId="12"/>
  </si>
  <si>
    <t>HFC5-2020-S</t>
    <phoneticPr fontId="12"/>
  </si>
  <si>
    <t>HFC5-2040-S</t>
    <phoneticPr fontId="12"/>
  </si>
  <si>
    <t>アルミフレーム　５シリーズ　正方形　２０×２０ｍｍ　１列溝　４面溝</t>
    <phoneticPr fontId="12"/>
  </si>
  <si>
    <t>HNTP5-4</t>
    <phoneticPr fontId="12"/>
  </si>
  <si>
    <t>後入れバネナット  6個　凸無し</t>
    <rPh sb="11" eb="12">
      <t>コ</t>
    </rPh>
    <rPh sb="13" eb="14">
      <t>トツ</t>
    </rPh>
    <rPh sb="14" eb="15">
      <t>ナ</t>
    </rPh>
    <phoneticPr fontId="12"/>
  </si>
  <si>
    <t xml:space="preserve">HNTP5-5 </t>
    <phoneticPr fontId="12"/>
  </si>
  <si>
    <t>後入れバネナット  4個+4個　凸無し</t>
    <rPh sb="11" eb="12">
      <t>コ</t>
    </rPh>
    <rPh sb="14" eb="15">
      <t>コ</t>
    </rPh>
    <rPh sb="16" eb="17">
      <t>トツ</t>
    </rPh>
    <rPh sb="17" eb="18">
      <t>ナ</t>
    </rPh>
    <phoneticPr fontId="12"/>
  </si>
  <si>
    <t>7日間</t>
    <rPh sb="1" eb="2">
      <t>ヒ</t>
    </rPh>
    <rPh sb="2" eb="3">
      <t>カン</t>
    </rPh>
    <phoneticPr fontId="12"/>
  </si>
  <si>
    <t>NOOSAF4-8-7</t>
    <phoneticPr fontId="12"/>
  </si>
  <si>
    <t>厚型ローレットノブ</t>
    <phoneticPr fontId="12"/>
  </si>
  <si>
    <t>SCB5-20</t>
    <phoneticPr fontId="12"/>
  </si>
  <si>
    <t>六角穴付ボルト　　22本 在庫使用</t>
    <rPh sb="11" eb="12">
      <t>ホン</t>
    </rPh>
    <phoneticPr fontId="12"/>
  </si>
  <si>
    <t>BLFA-SUD-T2-A20-B20-H29-J15-X8-Y10-W0-N4-E10.5-S5-G10-MA3-LCC1</t>
    <phoneticPr fontId="12"/>
  </si>
  <si>
    <t>SETB0082-X02-1 　U字型外形位置決めﾌﾞﾛｯｸ</t>
    <phoneticPr fontId="12"/>
  </si>
  <si>
    <t>JTAB-SUD-A400-B37-T2-X20-Y10-G20-N4-L200-V180-S10-W20-NA4-CC2</t>
    <phoneticPr fontId="12"/>
  </si>
  <si>
    <t>SETB0082-X03　井桁ﾜｰｸ冶具ﾜｰｸ受け　2mm幅　</t>
    <phoneticPr fontId="12"/>
  </si>
  <si>
    <t>6日間</t>
    <rPh sb="1" eb="2">
      <t>ヒ</t>
    </rPh>
    <rPh sb="2" eb="3">
      <t>カン</t>
    </rPh>
    <phoneticPr fontId="12"/>
  </si>
  <si>
    <t>MVBLK-SUB-2XX-P8KB5</t>
    <phoneticPr fontId="12"/>
  </si>
  <si>
    <r>
      <rPr>
        <sz val="11"/>
        <rFont val="ＭＳ Ｐゴシック"/>
        <family val="3"/>
        <charset val="128"/>
      </rPr>
      <t>SETB0082-X05-1</t>
    </r>
    <r>
      <rPr>
        <sz val="11"/>
        <color indexed="8"/>
        <rFont val="ＭＳ Ｐゴシック"/>
        <family val="3"/>
        <charset val="128"/>
      </rPr>
      <t xml:space="preserve"> ﾜｰｸ押さえ</t>
    </r>
    <phoneticPr fontId="12"/>
  </si>
  <si>
    <t>8日間</t>
    <rPh sb="1" eb="2">
      <t>ヒ</t>
    </rPh>
    <rPh sb="2" eb="3">
      <t>カン</t>
    </rPh>
    <phoneticPr fontId="12"/>
  </si>
  <si>
    <t>日産ﾈｼﾞ</t>
    <rPh sb="0" eb="2">
      <t>ニッサン</t>
    </rPh>
    <phoneticPr fontId="12"/>
  </si>
  <si>
    <t xml:space="preserve">CRONUR12  </t>
    <phoneticPr fontId="12"/>
  </si>
  <si>
    <t>コロコンローラ　ローラ幅９、１０ｍｍタイプ</t>
    <phoneticPr fontId="12"/>
  </si>
  <si>
    <t>MS4-35</t>
    <phoneticPr fontId="12"/>
  </si>
  <si>
    <t>金属ワッシャ　Ｔ寸選択・指定タイプ</t>
    <phoneticPr fontId="12"/>
  </si>
  <si>
    <t>後入れバネナット  12個</t>
    <rPh sb="12" eb="13">
      <t>コ</t>
    </rPh>
    <phoneticPr fontId="12"/>
  </si>
  <si>
    <t>ワッシャ　　 12個</t>
    <phoneticPr fontId="12"/>
  </si>
  <si>
    <t>WSSS10-5-2</t>
    <phoneticPr fontId="12"/>
  </si>
  <si>
    <t>FWSSA-D16-V5-T8.7</t>
    <phoneticPr fontId="10"/>
  </si>
  <si>
    <t>金属ワッシャ　－焼入品　フリー指定タイプ－</t>
    <phoneticPr fontId="10"/>
  </si>
  <si>
    <t>MS3-20</t>
    <phoneticPr fontId="12"/>
  </si>
  <si>
    <t>Ｎo.【202839】</t>
    <phoneticPr fontId="10"/>
  </si>
  <si>
    <t>PEW池田電機様　(阪本（株））</t>
    <rPh sb="10" eb="12">
      <t>サカモト</t>
    </rPh>
    <rPh sb="12" eb="15">
      <t>カブ</t>
    </rPh>
    <phoneticPr fontId="10"/>
  </si>
  <si>
    <t>PACK10-CIMRS5-16-0.1</t>
    <phoneticPr fontId="10"/>
  </si>
  <si>
    <t>シムリング</t>
    <phoneticPr fontId="10"/>
  </si>
  <si>
    <t>Dsub9　オス　コネクタハーネス　#4-40ショートねじ</t>
    <phoneticPr fontId="12"/>
  </si>
  <si>
    <t>Dsubコネクタハーネス　M2.6ショートネジ</t>
    <phoneticPr fontId="12"/>
  </si>
  <si>
    <t>1日目</t>
    <rPh sb="1" eb="3">
      <t>ヒメ</t>
    </rPh>
    <phoneticPr fontId="12"/>
  </si>
  <si>
    <t>配線ダクト（側片折り取り可能）　1本　　カッチンダクト</t>
    <rPh sb="17" eb="18">
      <t>ホン</t>
    </rPh>
    <phoneticPr fontId="12"/>
  </si>
  <si>
    <t>ｼﾑ PACK10-CIMRS</t>
    <phoneticPr fontId="10"/>
  </si>
  <si>
    <t>富士化学産業(株)</t>
    <phoneticPr fontId="10"/>
  </si>
  <si>
    <t>宇都</t>
    <rPh sb="0" eb="2">
      <t>ウト</t>
    </rPh>
    <phoneticPr fontId="10"/>
  </si>
  <si>
    <t>HFS5-2020-506-Z5-XA65.5-XB190.5-XC315.5-XD440.5</t>
    <phoneticPr fontId="12"/>
  </si>
  <si>
    <t>NFS5-2020-452-AV51-BV226-CV401-Z5-XA77-XB352</t>
    <phoneticPr fontId="12"/>
  </si>
  <si>
    <t>NFS5-2040-452-AV77-BV352-Z5-XA51-XB226-XC401</t>
    <phoneticPr fontId="12"/>
  </si>
  <si>
    <t>SCB4-40</t>
    <phoneticPr fontId="12"/>
  </si>
  <si>
    <t xml:space="preserve">SCB5-8  </t>
    <phoneticPr fontId="12"/>
  </si>
  <si>
    <t>六角穴付ボルト    4本 在庫使用</t>
    <rPh sb="12" eb="13">
      <t>ホン</t>
    </rPh>
    <phoneticPr fontId="12"/>
  </si>
  <si>
    <t>井桁ﾜｰｸ治具　　捨て射ちつけ置き無し　AXA400用</t>
    <rPh sb="0" eb="2">
      <t>イゲタ</t>
    </rPh>
    <rPh sb="5" eb="7">
      <t>ジグ</t>
    </rPh>
    <rPh sb="9" eb="10">
      <t>ス</t>
    </rPh>
    <rPh sb="11" eb="12">
      <t>ウ</t>
    </rPh>
    <rPh sb="15" eb="16">
      <t>オ</t>
    </rPh>
    <rPh sb="17" eb="18">
      <t>ナ</t>
    </rPh>
    <rPh sb="26" eb="27">
      <t>ヨウ</t>
    </rPh>
    <phoneticPr fontId="12"/>
  </si>
  <si>
    <t>FWSSSH-D6-V4-T1.2</t>
    <phoneticPr fontId="12"/>
  </si>
  <si>
    <t>金属ワッシャ　－焼入品　フリー指定タイプ－</t>
    <phoneticPr fontId="12"/>
  </si>
  <si>
    <t xml:space="preserve">HBLSS5 </t>
    <phoneticPr fontId="12"/>
  </si>
  <si>
    <t xml:space="preserve"> 薄型ブラケット</t>
    <phoneticPr fontId="12"/>
  </si>
  <si>
    <t>全長指定六角穴付ボルト　6本</t>
    <rPh sb="13" eb="14">
      <t>ホン</t>
    </rPh>
    <phoneticPr fontId="12"/>
  </si>
  <si>
    <t>ﾉｯｸﾋﾟﾝ　φ3-20mm　4本</t>
    <rPh sb="16" eb="17">
      <t>ホン</t>
    </rPh>
    <phoneticPr fontId="10"/>
  </si>
  <si>
    <t>ﾉｯｸﾋﾟﾝ　φ3-10mm　10本</t>
    <rPh sb="17" eb="18">
      <t>ホン</t>
    </rPh>
    <phoneticPr fontId="10"/>
  </si>
  <si>
    <t>ﾉｯｸﾋﾟﾝ　φ4-35mm　8本</t>
    <rPh sb="16" eb="17">
      <t>ホン</t>
    </rPh>
    <phoneticPr fontId="12"/>
  </si>
  <si>
    <t>SETKF8-44.2-SC10-M4-N4-G2-H4-NPC</t>
    <phoneticPr fontId="10"/>
  </si>
  <si>
    <t>WSSS12-4-2</t>
    <phoneticPr fontId="12"/>
  </si>
  <si>
    <t xml:space="preserve">PACK10-CIMRS4-8-0.5  </t>
    <phoneticPr fontId="10"/>
  </si>
  <si>
    <t>フランジボタン　6本</t>
    <rPh sb="9" eb="10">
      <t>ホン</t>
    </rPh>
    <phoneticPr fontId="12"/>
  </si>
  <si>
    <t>円形支柱－片端おねじ片端めねじ両側インロー付－</t>
    <phoneticPr fontId="10"/>
  </si>
  <si>
    <t>AETTS6-93-SC46.5-M3-N3</t>
    <phoneticPr fontId="10"/>
  </si>
  <si>
    <t>SCB6-35</t>
    <phoneticPr fontId="10"/>
  </si>
  <si>
    <r>
      <t>六角穴付ボル  　　　</t>
    </r>
    <r>
      <rPr>
        <sz val="11"/>
        <color rgb="FFFF0000"/>
        <rFont val="ＭＳ Ｐゴシック"/>
        <family val="3"/>
        <charset val="128"/>
        <scheme val="minor"/>
      </rPr>
      <t xml:space="preserve">　2本  </t>
    </r>
    <rPh sb="13" eb="14">
      <t>ホン</t>
    </rPh>
    <phoneticPr fontId="10"/>
  </si>
  <si>
    <t>RACW40-60-10</t>
    <phoneticPr fontId="10"/>
  </si>
  <si>
    <t>SETB0204-Y08　ﾓｰﾀｰ用ﾌﾞﾗｹｯﾄ</t>
    <phoneticPr fontId="10"/>
  </si>
  <si>
    <t>MVBLK-AMW-3TF-R1RGP</t>
    <phoneticPr fontId="10"/>
  </si>
  <si>
    <t>CBSST5-10</t>
    <phoneticPr fontId="10"/>
  </si>
  <si>
    <t xml:space="preserve">MS4-10 </t>
    <phoneticPr fontId="10"/>
  </si>
  <si>
    <r>
      <t xml:space="preserve">ノックピン　　　 </t>
    </r>
    <r>
      <rPr>
        <sz val="11"/>
        <color rgb="FFFF0000"/>
        <rFont val="ＭＳ Ｐゴシック"/>
        <family val="3"/>
        <charset val="128"/>
        <scheme val="minor"/>
      </rPr>
      <t xml:space="preserve"> 3本　　　　</t>
    </r>
    <r>
      <rPr>
        <sz val="11"/>
        <color theme="1"/>
        <rFont val="ＭＳ Ｐゴシック"/>
        <family val="3"/>
        <charset val="128"/>
        <scheme val="minor"/>
      </rPr>
      <t>　　　</t>
    </r>
    <phoneticPr fontId="10"/>
  </si>
  <si>
    <t>低頭六角穴付ボルト  6本　</t>
    <phoneticPr fontId="10"/>
  </si>
  <si>
    <t>SETB0204-Y09　ﾊﾞﾙﾌﾞﾎﾙﾀﾞｰﾌﾞﾗｹｯﾄﾓｰﾀｰ用</t>
    <phoneticPr fontId="10"/>
  </si>
  <si>
    <t>MVBLK-AMW-3TF-4FSNP</t>
    <phoneticPr fontId="10"/>
  </si>
  <si>
    <r>
      <t xml:space="preserve">ノックピン　　　 </t>
    </r>
    <r>
      <rPr>
        <sz val="11"/>
        <color rgb="FFFF0000"/>
        <rFont val="ＭＳ Ｐゴシック"/>
        <family val="3"/>
        <charset val="128"/>
        <scheme val="minor"/>
      </rPr>
      <t xml:space="preserve"> 4本　　　　</t>
    </r>
    <r>
      <rPr>
        <sz val="11"/>
        <color theme="1"/>
        <rFont val="ＭＳ Ｐゴシック"/>
        <family val="3"/>
        <charset val="128"/>
        <scheme val="minor"/>
      </rPr>
      <t>　　　</t>
    </r>
    <phoneticPr fontId="10"/>
  </si>
  <si>
    <t>MS3-15</t>
    <phoneticPr fontId="10"/>
  </si>
  <si>
    <r>
      <t xml:space="preserve">ノックピン　　　 </t>
    </r>
    <r>
      <rPr>
        <sz val="11"/>
        <color rgb="FFFF0000"/>
        <rFont val="ＭＳ Ｐゴシック"/>
        <family val="3"/>
        <charset val="128"/>
        <scheme val="minor"/>
      </rPr>
      <t xml:space="preserve"> 2本　　　　</t>
    </r>
    <r>
      <rPr>
        <sz val="11"/>
        <color theme="1"/>
        <rFont val="ＭＳ Ｐゴシック"/>
        <family val="3"/>
        <charset val="128"/>
        <scheme val="minor"/>
      </rPr>
      <t>　　　</t>
    </r>
    <phoneticPr fontId="10"/>
  </si>
  <si>
    <t>SCB4-10</t>
    <phoneticPr fontId="10"/>
  </si>
  <si>
    <t>SCB6-40</t>
    <phoneticPr fontId="10"/>
  </si>
  <si>
    <r>
      <t>六角穴付ボル  　　　</t>
    </r>
    <r>
      <rPr>
        <sz val="11"/>
        <color rgb="FFFF0000"/>
        <rFont val="ＭＳ Ｐゴシック"/>
        <family val="3"/>
        <charset val="128"/>
        <scheme val="minor"/>
      </rPr>
      <t xml:space="preserve">　5本  </t>
    </r>
    <rPh sb="13" eb="14">
      <t>ホン</t>
    </rPh>
    <phoneticPr fontId="10"/>
  </si>
  <si>
    <r>
      <t xml:space="preserve">ノックピン　　　 </t>
    </r>
    <r>
      <rPr>
        <sz val="11"/>
        <color rgb="FFFF0000"/>
        <rFont val="ＭＳ Ｐゴシック"/>
        <family val="3"/>
        <charset val="128"/>
        <scheme val="minor"/>
      </rPr>
      <t xml:space="preserve"> 1本　　　　</t>
    </r>
    <r>
      <rPr>
        <sz val="11"/>
        <color theme="1"/>
        <rFont val="ＭＳ Ｐゴシック"/>
        <family val="3"/>
        <charset val="128"/>
        <scheme val="minor"/>
      </rPr>
      <t>　　　</t>
    </r>
    <phoneticPr fontId="10"/>
  </si>
  <si>
    <t>SETB0204-Y10 セットカラー固定ﾌﾞﾗｹｯﾄ smc用:</t>
    <phoneticPr fontId="10"/>
  </si>
  <si>
    <t>MVBLK-AMW-3TG-92TW4</t>
    <phoneticPr fontId="10"/>
  </si>
  <si>
    <r>
      <t>六角穴付ボル  　　　</t>
    </r>
    <r>
      <rPr>
        <sz val="11"/>
        <color rgb="FFFF0000"/>
        <rFont val="ＭＳ Ｐゴシック"/>
        <family val="3"/>
        <charset val="128"/>
        <scheme val="minor"/>
      </rPr>
      <t xml:space="preserve">　4本  </t>
    </r>
    <rPh sb="13" eb="14">
      <t>ホン</t>
    </rPh>
    <phoneticPr fontId="10"/>
  </si>
  <si>
    <t>SETB0204-Y12　RA取付板SMC用</t>
    <phoneticPr fontId="10"/>
  </si>
  <si>
    <t>低頭六角穴付ボルト  4本　</t>
    <phoneticPr fontId="10"/>
  </si>
  <si>
    <t>MVBLK-AMW-3TF-BBLGE</t>
    <phoneticPr fontId="10"/>
  </si>
  <si>
    <t>SETB0204-Y13　ﾂｰﾙ取付板モーターとSMC用</t>
    <phoneticPr fontId="10"/>
  </si>
  <si>
    <t>MVBLK-AMW-3TG-TR2XE</t>
  </si>
  <si>
    <t>AETGS8-28.5-SC10-M4-N4</t>
    <phoneticPr fontId="10"/>
  </si>
  <si>
    <t>低頭六角穴付ボルト  2本　</t>
    <phoneticPr fontId="10"/>
  </si>
  <si>
    <t>SETB0204-Y16　ｶﾒﾗﾌﾞﾗｹｯﾄ</t>
    <phoneticPr fontId="10"/>
  </si>
  <si>
    <t>MVSHM-3N03006-3TG-YEHTR</t>
    <phoneticPr fontId="10"/>
  </si>
  <si>
    <t>MS2-6</t>
    <phoneticPr fontId="10"/>
  </si>
  <si>
    <t>SFB4-10</t>
    <phoneticPr fontId="10"/>
  </si>
  <si>
    <t>六角穴付皿ボルト　  3本</t>
    <phoneticPr fontId="10"/>
  </si>
  <si>
    <t>APMTSL-N1-N1-L30</t>
    <phoneticPr fontId="12"/>
  </si>
  <si>
    <t>SETB0204-Y15　SV59161　SV01ﾊﾞﾙﾌﾞﾎﾙﾀﾞ</t>
    <phoneticPr fontId="10"/>
  </si>
  <si>
    <t>MVBLK-AMW-3TF-Z1GFR</t>
    <phoneticPr fontId="10"/>
  </si>
  <si>
    <t>AFPBA3-P3.96-L4-B2.3-E0.7</t>
    <phoneticPr fontId="10"/>
  </si>
  <si>
    <t>SCB6-10</t>
    <phoneticPr fontId="10"/>
  </si>
  <si>
    <r>
      <t>六角穴付ボル  　　　</t>
    </r>
    <r>
      <rPr>
        <sz val="11"/>
        <color rgb="FFFF0000"/>
        <rFont val="ＭＳ Ｐゴシック"/>
        <family val="3"/>
        <charset val="128"/>
        <scheme val="minor"/>
      </rPr>
      <t xml:space="preserve">　1本  </t>
    </r>
    <rPh sb="13" eb="14">
      <t>ホン</t>
    </rPh>
    <phoneticPr fontId="10"/>
  </si>
  <si>
    <t>SETB0204-Y14 ｶﾑﾌｧﾛｱｶﾞｲﾄﾞ</t>
    <phoneticPr fontId="10"/>
  </si>
  <si>
    <t>SETB0204-Y17 右側ｶﾞｲﾄﾞｶﾊﾞｰ</t>
    <phoneticPr fontId="10"/>
  </si>
  <si>
    <t>SETB0204-Y18 左側ｶﾞｲﾄﾞｶﾊﾞｰ</t>
    <phoneticPr fontId="10"/>
  </si>
  <si>
    <t>SETB0204-Y19 上部ｶﾞｲﾄﾞｶﾊﾞｰ</t>
    <rPh sb="13" eb="14">
      <t>ウエ</t>
    </rPh>
    <rPh sb="14" eb="15">
      <t>ブ</t>
    </rPh>
    <phoneticPr fontId="10"/>
  </si>
  <si>
    <t>MVSHM-3N02054-3TF-WRH5Y</t>
    <phoneticPr fontId="10"/>
  </si>
  <si>
    <t>MVBLK-AMW-3TF-CJZAX</t>
    <phoneticPr fontId="10"/>
  </si>
  <si>
    <t>MVSHM-3N02006-3TF-BH2CZ</t>
    <phoneticPr fontId="10"/>
  </si>
  <si>
    <t>MVSHM-3N02006-3TF-CFZR4</t>
    <phoneticPr fontId="10"/>
  </si>
  <si>
    <t>PLGJ4-6M</t>
    <phoneticPr fontId="10"/>
  </si>
  <si>
    <t xml:space="preserve">六角穴付ボタンボルト　6本  </t>
    <phoneticPr fontId="10"/>
  </si>
  <si>
    <t xml:space="preserve">六角穴付きボルト ステンレス　2本  </t>
    <phoneticPr fontId="10"/>
  </si>
  <si>
    <t>六角穴付ボルト　　8本</t>
    <rPh sb="10" eb="11">
      <t>ホン</t>
    </rPh>
    <phoneticPr fontId="12"/>
  </si>
  <si>
    <t>MVBLK-AMW-3RH-FRMJ6</t>
    <phoneticPr fontId="10"/>
  </si>
  <si>
    <t>図面NO.　SETB-0204-A01</t>
    <rPh sb="0" eb="2">
      <t>ズメン</t>
    </rPh>
    <phoneticPr fontId="10"/>
  </si>
  <si>
    <t>SETB0204-A01　AXAロボット400-HV-H12ｍｍ0+SV70ﾛｰﾀﾘｰｱｸﾁｭｴﾀｰSMCﾁﾙﾄﾓｰﾀｰ＋浸け置き+SVC720F　</t>
    <phoneticPr fontId="10"/>
  </si>
  <si>
    <t>AXA400用　ﾍｯﾄﾞ重量対応ﾕﾆｯﾄ</t>
    <rPh sb="6" eb="7">
      <t>ヨウ</t>
    </rPh>
    <rPh sb="12" eb="14">
      <t>ジュウリョウ</t>
    </rPh>
    <rPh sb="14" eb="16">
      <t>タイオウ</t>
    </rPh>
    <phoneticPr fontId="12"/>
  </si>
  <si>
    <t>SETB0204-Z01　左右ﾍｯﾄﾞ補強用ﾌﾞﾗｹｯﾄ</t>
    <phoneticPr fontId="10"/>
  </si>
  <si>
    <t>ﾉｯｸﾋﾟﾝ　φ3-10mm　8本</t>
    <rPh sb="16" eb="17">
      <t>ホン</t>
    </rPh>
    <phoneticPr fontId="10"/>
  </si>
  <si>
    <t>PACK10-CIMRS4-8-0.1</t>
    <phoneticPr fontId="10"/>
  </si>
  <si>
    <t xml:space="preserve">SCB4-12 </t>
    <phoneticPr fontId="12"/>
  </si>
  <si>
    <t>六角穴付ボルト　　4本</t>
    <rPh sb="10" eb="11">
      <t>ホン</t>
    </rPh>
    <phoneticPr fontId="12"/>
  </si>
  <si>
    <t>SCB5-8</t>
    <phoneticPr fontId="12"/>
  </si>
  <si>
    <t>SETB0204-Z02　左右ﾍｯﾄﾞ補強用ｻｲﾄﾞﾌﾟﾚｰﾄ</t>
  </si>
  <si>
    <t>FWSAA-D7.5-V4-T4.4</t>
    <phoneticPr fontId="10"/>
  </si>
  <si>
    <t>ﾉｯｸﾋﾟﾝ　φ3-10mm　6本</t>
    <rPh sb="16" eb="17">
      <t>ホン</t>
    </rPh>
    <phoneticPr fontId="10"/>
  </si>
  <si>
    <t>SCB4-25</t>
    <phoneticPr fontId="12"/>
  </si>
  <si>
    <t>SETB0204-Z03　左右ﾍｯﾄﾞ補強用ﾍﾞｰｽﾌﾟﾚｰﾄ</t>
    <phoneticPr fontId="10"/>
  </si>
  <si>
    <t>MS3-6</t>
    <phoneticPr fontId="12"/>
  </si>
  <si>
    <t>ﾉｯｸﾋﾟﾝ　φ3-6mm　3本</t>
    <rPh sb="15" eb="16">
      <t>ホン</t>
    </rPh>
    <phoneticPr fontId="10"/>
  </si>
  <si>
    <t>SCB3-8</t>
    <phoneticPr fontId="12"/>
  </si>
  <si>
    <t>WSP2-SUS-M3</t>
    <phoneticPr fontId="10"/>
  </si>
  <si>
    <t>MVBLK-AMW-3TN-FGTWT</t>
    <phoneticPr fontId="10"/>
  </si>
  <si>
    <t>MVBLK-AMW-3TN-9KGHF</t>
    <phoneticPr fontId="10"/>
  </si>
  <si>
    <t>MVSHM-3N03002-3TN-12PTR</t>
    <phoneticPr fontId="10"/>
  </si>
  <si>
    <t>JKSG16A-510</t>
    <phoneticPr fontId="10"/>
  </si>
  <si>
    <t>ばね座金 スプリングワッシャー 2号</t>
    <phoneticPr fontId="10"/>
  </si>
  <si>
    <t>リニアレール　アルミ製・ベアリングタイプ</t>
    <phoneticPr fontId="10"/>
  </si>
  <si>
    <r>
      <t xml:space="preserve">ノックピン　　　 </t>
    </r>
    <r>
      <rPr>
        <sz val="11"/>
        <color rgb="FFFF0000"/>
        <rFont val="ＭＳ Ｐゴシック"/>
        <family val="3"/>
        <charset val="128"/>
        <scheme val="minor"/>
      </rPr>
      <t xml:space="preserve"> 3本　+1本　　　</t>
    </r>
    <r>
      <rPr>
        <sz val="11"/>
        <color theme="1"/>
        <rFont val="ＭＳ Ｐゴシック"/>
        <family val="3"/>
        <charset val="128"/>
        <scheme val="minor"/>
      </rPr>
      <t>　　　</t>
    </r>
    <rPh sb="15" eb="16">
      <t>ホン</t>
    </rPh>
    <phoneticPr fontId="10"/>
  </si>
  <si>
    <t>ノックピン       8本　　　</t>
    <rPh sb="13" eb="14">
      <t>ホン</t>
    </rPh>
    <phoneticPr fontId="10"/>
  </si>
  <si>
    <t>マーカーピン　六角穴付タイプ</t>
    <phoneticPr fontId="10"/>
  </si>
  <si>
    <t>日本ﾋﾟｽｺ</t>
    <rPh sb="0" eb="2">
      <t>ニホン</t>
    </rPh>
    <phoneticPr fontId="10"/>
  </si>
  <si>
    <t>一般配管用 チューブフィッティングミニタイプ 違径ソケットエルボ</t>
    <phoneticPr fontId="10"/>
  </si>
  <si>
    <t>SCB3-12</t>
    <phoneticPr fontId="10"/>
  </si>
  <si>
    <t>ｵﾑﾛﾝ</t>
    <phoneticPr fontId="10"/>
  </si>
  <si>
    <t>EE-SPX613 1M</t>
    <phoneticPr fontId="10"/>
  </si>
  <si>
    <t>液面レベルセンサ（アンプ内蔵パイプ取りつけタイプ） EE-SPX613</t>
    <phoneticPr fontId="10"/>
  </si>
  <si>
    <t>PDDJ-PS-JS-37-3</t>
    <phoneticPr fontId="12"/>
  </si>
  <si>
    <t>PDDU-PT-MS-9-3</t>
    <phoneticPr fontId="12"/>
  </si>
  <si>
    <t>FSC10-C-3</t>
    <phoneticPr fontId="12"/>
  </si>
  <si>
    <t>M8丸型防水コネクタハーネス  ＳＶＥＭﾛﾝｸﾞ3m　TYPE</t>
    <phoneticPr fontId="12"/>
  </si>
  <si>
    <t>ＪＡＰＰＹ</t>
    <phoneticPr fontId="12"/>
  </si>
  <si>
    <t>ADR-341-JP</t>
    <phoneticPr fontId="12"/>
  </si>
  <si>
    <t>EBS-32FB-15A</t>
    <phoneticPr fontId="12"/>
  </si>
  <si>
    <r>
      <t>端子カバー　</t>
    </r>
    <r>
      <rPr>
        <b/>
        <sz val="11"/>
        <rFont val="ＭＳ Ｐゴシック"/>
        <family val="3"/>
        <charset val="128"/>
      </rPr>
      <t>　</t>
    </r>
    <phoneticPr fontId="12"/>
  </si>
  <si>
    <t>MKS9L-10P</t>
    <phoneticPr fontId="12"/>
  </si>
  <si>
    <t>MKBシリーズ　止め金具【10個入り】</t>
    <phoneticPr fontId="12"/>
  </si>
  <si>
    <t>MWSシリーズ（バネアップ）,DINレール取付、ネジ取付両対応</t>
    <phoneticPr fontId="12"/>
  </si>
  <si>
    <t>3VC-3</t>
    <phoneticPr fontId="12"/>
  </si>
  <si>
    <t>ACコード 固定長（PSE） 片側切り落としタイププラグ</t>
    <phoneticPr fontId="12"/>
  </si>
  <si>
    <t>MRB-440</t>
    <phoneticPr fontId="12"/>
  </si>
  <si>
    <t>三沢電線</t>
    <rPh sb="0" eb="2">
      <t>ミサワ</t>
    </rPh>
    <rPh sb="2" eb="4">
      <t>デンセン</t>
    </rPh>
    <phoneticPr fontId="12"/>
  </si>
  <si>
    <t>UL1007-20AWG-BE-10</t>
    <phoneticPr fontId="12"/>
  </si>
  <si>
    <t>単芯電線　　0.5　AGW20　青色</t>
    <rPh sb="0" eb="1">
      <t>タン</t>
    </rPh>
    <rPh sb="1" eb="2">
      <t>シン</t>
    </rPh>
    <rPh sb="2" eb="4">
      <t>デンセン</t>
    </rPh>
    <rPh sb="16" eb="17">
      <t>アオ</t>
    </rPh>
    <rPh sb="17" eb="18">
      <t>イロ</t>
    </rPh>
    <phoneticPr fontId="12"/>
  </si>
  <si>
    <t>UL1007-18AWG-R-10</t>
    <phoneticPr fontId="12"/>
  </si>
  <si>
    <t>単芯電線　　0.75　AGW18　赤色</t>
    <rPh sb="0" eb="1">
      <t>タン</t>
    </rPh>
    <rPh sb="1" eb="2">
      <t>シン</t>
    </rPh>
    <rPh sb="2" eb="4">
      <t>デンセン</t>
    </rPh>
    <rPh sb="17" eb="19">
      <t>アカイロ</t>
    </rPh>
    <phoneticPr fontId="12"/>
  </si>
  <si>
    <t>UL1007-18AWG-BK-10</t>
    <phoneticPr fontId="12"/>
  </si>
  <si>
    <t>単芯電線　　0.75　AGW18　黒色</t>
    <rPh sb="0" eb="1">
      <t>タン</t>
    </rPh>
    <rPh sb="1" eb="2">
      <t>シン</t>
    </rPh>
    <rPh sb="2" eb="4">
      <t>デンセン</t>
    </rPh>
    <rPh sb="17" eb="19">
      <t>コクショク</t>
    </rPh>
    <phoneticPr fontId="12"/>
  </si>
  <si>
    <t>UL1007-18AWG-Y-10</t>
    <phoneticPr fontId="12"/>
  </si>
  <si>
    <t>単芯電線　　0.75　AGW18　黄色</t>
    <rPh sb="0" eb="1">
      <t>タン</t>
    </rPh>
    <rPh sb="1" eb="2">
      <t>シン</t>
    </rPh>
    <rPh sb="2" eb="4">
      <t>デンセン</t>
    </rPh>
    <rPh sb="17" eb="19">
      <t>キイロ</t>
    </rPh>
    <phoneticPr fontId="12"/>
  </si>
  <si>
    <t>UL1007-18AWG-GN-10</t>
    <phoneticPr fontId="12"/>
  </si>
  <si>
    <t>単芯電線　　0.75　AGW18　緑色</t>
    <rPh sb="0" eb="1">
      <t>タン</t>
    </rPh>
    <rPh sb="1" eb="2">
      <t>シン</t>
    </rPh>
    <rPh sb="2" eb="4">
      <t>デンセン</t>
    </rPh>
    <rPh sb="17" eb="19">
      <t>ミドリイロ</t>
    </rPh>
    <phoneticPr fontId="12"/>
  </si>
  <si>
    <t>UL1007-16AWG-Y-10</t>
    <phoneticPr fontId="12"/>
  </si>
  <si>
    <t>単芯電線　　1.25　AGW16　黄色</t>
    <rPh sb="0" eb="1">
      <t>タン</t>
    </rPh>
    <rPh sb="1" eb="2">
      <t>シン</t>
    </rPh>
    <rPh sb="2" eb="4">
      <t>デンセン</t>
    </rPh>
    <rPh sb="17" eb="19">
      <t>キイロ</t>
    </rPh>
    <phoneticPr fontId="12"/>
  </si>
  <si>
    <t>UL1007-16AWG-GN-10</t>
    <phoneticPr fontId="12"/>
  </si>
  <si>
    <t>単芯電線　　1.25　AGW16　緑色</t>
    <rPh sb="0" eb="1">
      <t>タン</t>
    </rPh>
    <rPh sb="1" eb="2">
      <t>シン</t>
    </rPh>
    <rPh sb="2" eb="4">
      <t>デンセン</t>
    </rPh>
    <rPh sb="17" eb="19">
      <t>ミドリイロ</t>
    </rPh>
    <phoneticPr fontId="12"/>
  </si>
  <si>
    <t>SS300UCRSB-23-3-20</t>
    <phoneticPr fontId="12"/>
  </si>
  <si>
    <t>SS300UCR UL/CE対応（シールド有(３芯）</t>
    <rPh sb="24" eb="25">
      <t>シン</t>
    </rPh>
    <phoneticPr fontId="12"/>
  </si>
  <si>
    <t>10日間</t>
    <rPh sb="2" eb="3">
      <t>ヒ</t>
    </rPh>
    <rPh sb="3" eb="4">
      <t>カン</t>
    </rPh>
    <phoneticPr fontId="12"/>
  </si>
  <si>
    <t>RSAU-PS-500-330-200-K-WB2204120331</t>
    <phoneticPr fontId="12"/>
  </si>
  <si>
    <t>Web設計ボックス</t>
    <rPh sb="3" eb="5">
      <t>セッケイ</t>
    </rPh>
    <phoneticPr fontId="12"/>
  </si>
  <si>
    <t>タキゲン製造</t>
    <rPh sb="4" eb="6">
      <t>セイゾウ</t>
    </rPh>
    <phoneticPr fontId="12"/>
  </si>
  <si>
    <t>C-30-SG-30X90A-EP-UL</t>
    <phoneticPr fontId="12"/>
  </si>
  <si>
    <t>グロメット　　2個</t>
    <rPh sb="8" eb="9">
      <t>コ</t>
    </rPh>
    <phoneticPr fontId="12"/>
  </si>
  <si>
    <t>AYSK15-10</t>
    <phoneticPr fontId="12"/>
  </si>
  <si>
    <t>ゴム足</t>
    <rPh sb="2" eb="3">
      <t>アシ</t>
    </rPh>
    <phoneticPr fontId="12"/>
  </si>
  <si>
    <t>六角穴付ボルト　　4本 在庫使用</t>
    <rPh sb="10" eb="11">
      <t>ホン</t>
    </rPh>
    <phoneticPr fontId="12"/>
  </si>
  <si>
    <t>ﾜｺﾞ</t>
    <phoneticPr fontId="12"/>
  </si>
  <si>
    <t>2002-1301</t>
    <phoneticPr fontId="12"/>
  </si>
  <si>
    <t>DINレール用中継端子台 2002シリーズ　ｸﾞﾚｰ色　　6個</t>
    <rPh sb="26" eb="27">
      <t>ショク</t>
    </rPh>
    <rPh sb="30" eb="31">
      <t>コ</t>
    </rPh>
    <phoneticPr fontId="12"/>
  </si>
  <si>
    <t>2002-1307</t>
    <phoneticPr fontId="12"/>
  </si>
  <si>
    <t>DINレール用中継端子台 2002シリーズ　ｱｰｽ用ｸﾞﾘｰﾝ色　3個</t>
    <rPh sb="25" eb="26">
      <t>ヨウ</t>
    </rPh>
    <rPh sb="31" eb="32">
      <t>イロ</t>
    </rPh>
    <rPh sb="34" eb="35">
      <t>コ</t>
    </rPh>
    <phoneticPr fontId="12"/>
  </si>
  <si>
    <t>2002-403</t>
    <phoneticPr fontId="12"/>
  </si>
  <si>
    <t>中継用端子台 差込型ジャンパ（絶縁） 2002シリーズ用　3個</t>
    <rPh sb="30" eb="31">
      <t>コ</t>
    </rPh>
    <phoneticPr fontId="12"/>
  </si>
  <si>
    <t>2002-1391</t>
    <phoneticPr fontId="12"/>
  </si>
  <si>
    <t>中継用端子台用エンドプレート　　4個</t>
    <rPh sb="17" eb="18">
      <t>コ</t>
    </rPh>
    <phoneticPr fontId="12"/>
  </si>
  <si>
    <t>APMTSL-N1-N1-L30</t>
    <phoneticPr fontId="10"/>
  </si>
  <si>
    <t>ねじ変換継手</t>
    <phoneticPr fontId="10"/>
  </si>
  <si>
    <r>
      <t>SETB0204-X01</t>
    </r>
    <r>
      <rPr>
        <b/>
        <sz val="11"/>
        <color rgb="FFFF0000"/>
        <rFont val="ＭＳ Ｐゴシック"/>
        <family val="3"/>
        <charset val="128"/>
        <scheme val="minor"/>
      </rPr>
      <t>-2</t>
    </r>
    <r>
      <rPr>
        <sz val="11"/>
        <color theme="1"/>
        <rFont val="ＭＳ Ｐゴシック"/>
        <family val="3"/>
        <charset val="128"/>
        <scheme val="minor"/>
      </rPr>
      <t>　井桁ﾜｰｸ冶具ﾍﾞｰｽ- 1 (400mm)</t>
    </r>
    <phoneticPr fontId="12"/>
  </si>
  <si>
    <t>MWI-COM-P10N10</t>
    <phoneticPr fontId="12"/>
  </si>
  <si>
    <t>コモン端子台　Pコモン、Nコモン分割　1対10ｘ2極</t>
    <phoneticPr fontId="10"/>
  </si>
  <si>
    <t>Ｎo.215111</t>
    <phoneticPr fontId="10"/>
  </si>
  <si>
    <t>③</t>
    <phoneticPr fontId="10"/>
  </si>
  <si>
    <t>ノックピン　　　  9本　　　　　　　</t>
    <phoneticPr fontId="10"/>
  </si>
  <si>
    <t>ノックピン　　　  14本　　　　　　　</t>
    <phoneticPr fontId="10"/>
  </si>
  <si>
    <t>ノックピン　　　  1本　　　　　　　</t>
    <phoneticPr fontId="10"/>
  </si>
  <si>
    <t>AB2383C341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</si>
</sst>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#,##0_);[Red]\(#,##0\)"/>
    <numFmt numFmtId="177" formatCode="yyyy&quot;年&quot;m&quot;月&quot;d&quot;日&quot;;@"/>
    <numFmt numFmtId="178" formatCode="m/d;@"/>
    <numFmt numFmtId="179" formatCode="m&quot;月&quot;d&quot;日&quot;;@"/>
    <numFmt numFmtId="180" formatCode="0_ "/>
  </numFmts>
  <fonts count="34" x14ac:knownFonts="1">
    <font>
      <sz val="11"/>
      <color theme="1"/>
      <name val="ＭＳ Ｐゴシック"/>
      <scheme val="minor"/>
    </font>
    <font>
      <u/>
      <sz val="11"/>
      <name val="ＭＳ Ｐゴシック"/>
      <family val="3"/>
      <charset val="128"/>
      <scheme val="minor"/>
    </font>
    <font>
      <b/>
      <sz val="11"/>
      <color theme="1"/>
      <name val="ＭＳ Ｐゴシック"/>
      <family val="3"/>
      <charset val="128"/>
      <scheme val="minor"/>
    </font>
    <font>
      <b/>
      <sz val="13.95"/>
      <color rgb="FF000000"/>
      <name val="ＭＳ Ｐゴシック"/>
      <family val="3"/>
      <charset val="128"/>
    </font>
    <font>
      <b/>
      <sz val="11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  <font>
      <sz val="9.9499999999999993"/>
      <color rgb="FF000000"/>
      <name val="ＭＳ Ｐゴシック"/>
      <family val="3"/>
      <charset val="128"/>
    </font>
    <font>
      <b/>
      <sz val="13.95"/>
      <color theme="1"/>
      <name val="ＭＳ Ｐゴシック"/>
      <family val="3"/>
      <charset val="128"/>
      <scheme val="minor"/>
    </font>
    <font>
      <b/>
      <sz val="12"/>
      <color rgb="FF000000"/>
      <name val="ＭＳ Ｐゴシック"/>
      <family val="3"/>
      <charset val="128"/>
    </font>
    <font>
      <sz val="11"/>
      <color theme="1"/>
      <name val="ＭＳ Ｐゴシック"/>
      <family val="3"/>
      <charset val="128"/>
      <scheme val="minor"/>
    </font>
    <font>
      <sz val="6"/>
      <name val="ＭＳ Ｐゴシック"/>
      <family val="3"/>
      <charset val="128"/>
      <scheme val="minor"/>
    </font>
    <font>
      <sz val="11"/>
      <color indexed="8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name val="ＭＳ Ｐゴシック"/>
      <family val="3"/>
      <charset val="128"/>
      <scheme val="minor"/>
    </font>
    <font>
      <b/>
      <sz val="11"/>
      <color theme="1"/>
      <name val="ＭＳ Ｐゴシック"/>
      <family val="3"/>
      <charset val="128"/>
      <scheme val="minor"/>
    </font>
    <font>
      <sz val="11"/>
      <color rgb="FFFF0000"/>
      <name val="ＭＳ Ｐゴシック"/>
      <family val="3"/>
      <charset val="128"/>
      <scheme val="minor"/>
    </font>
    <font>
      <b/>
      <sz val="11"/>
      <color rgb="FFFF0000"/>
      <name val="ＭＳ Ｐゴシック"/>
      <family val="3"/>
      <charset val="128"/>
      <scheme val="minor"/>
    </font>
    <font>
      <sz val="10"/>
      <color indexed="8"/>
      <name val="ＭＳ Ｐゴシック"/>
      <family val="3"/>
      <charset val="128"/>
    </font>
    <font>
      <sz val="16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b/>
      <sz val="16"/>
      <color theme="1"/>
      <name val="ＭＳ Ｐゴシック"/>
      <family val="3"/>
      <charset val="128"/>
      <scheme val="minor"/>
    </font>
    <font>
      <b/>
      <sz val="14"/>
      <color theme="1"/>
      <name val="ＭＳ Ｐゴシック"/>
      <family val="3"/>
      <charset val="128"/>
      <scheme val="minor"/>
    </font>
    <font>
      <sz val="11"/>
      <color rgb="FF333333"/>
      <name val="ＭＳ Ｐゴシック"/>
      <family val="3"/>
      <charset val="128"/>
      <scheme val="minor"/>
    </font>
    <font>
      <sz val="11"/>
      <name val="ＭＳ Ｐ明朝"/>
      <family val="1"/>
      <charset val="128"/>
    </font>
    <font>
      <b/>
      <sz val="12"/>
      <color rgb="FFFF0000"/>
      <name val="ＭＳ Ｐゴシック"/>
      <family val="3"/>
      <charset val="128"/>
      <scheme val="minor"/>
    </font>
    <font>
      <b/>
      <sz val="11"/>
      <color rgb="FF00B0F0"/>
      <name val="ＭＳ Ｐゴシック"/>
      <family val="3"/>
      <charset val="128"/>
      <scheme val="minor"/>
    </font>
    <font>
      <b/>
      <sz val="11"/>
      <color theme="10"/>
      <name val="ＭＳ Ｐゴシック"/>
      <family val="3"/>
      <charset val="128"/>
      <scheme val="minor"/>
    </font>
    <font>
      <b/>
      <sz val="11"/>
      <name val="ＭＳ Ｐゴシック"/>
      <family val="3"/>
      <charset val="128"/>
    </font>
    <font>
      <sz val="18"/>
      <color theme="1"/>
      <name val="ＭＳ Ｐゴシック"/>
      <family val="3"/>
      <charset val="128"/>
      <scheme val="minor"/>
    </font>
    <font>
      <sz val="9.9499999999999993"/>
      <color rgb="FFFF0000"/>
      <name val="ＭＳ Ｐゴシック"/>
      <family val="3"/>
      <charset val="128"/>
    </font>
    <font>
      <sz val="11"/>
      <color rgb="FFFF0000"/>
      <name val="ＭＳ Ｐゴシック"/>
      <family val="3"/>
      <charset val="128"/>
    </font>
    <font>
      <b/>
      <sz val="11"/>
      <color theme="9" tint="-0.249977111117893"/>
      <name val="ＭＳ Ｐゴシック"/>
      <family val="3"/>
      <charset val="128"/>
    </font>
  </fonts>
  <fills count="15">
    <fill>
      <patternFill patternType="none"/>
    </fill>
    <fill>
      <patternFill patternType="gray125"/>
    </fill>
    <fill>
      <patternFill patternType="solid">
        <fgColor theme="8" tint="0.58998382518997772"/>
        <bgColor indexed="64"/>
      </patternFill>
    </fill>
    <fill>
      <patternFill patternType="solid">
        <fgColor rgb="FFFFFF99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3" tint="0.79998168889431442"/>
        <bgColor indexed="64"/>
      </patternFill>
    </fill>
  </fills>
  <borders count="2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6">
    <xf numFmtId="0" fontId="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4" fillId="0" borderId="0"/>
    <xf numFmtId="0" fontId="9" fillId="0" borderId="0">
      <alignment vertical="center"/>
    </xf>
    <xf numFmtId="0" fontId="14" fillId="0" borderId="0">
      <alignment vertical="center"/>
    </xf>
  </cellStyleXfs>
  <cellXfs count="255">
    <xf numFmtId="0" fontId="0" fillId="0" borderId="0" xfId="0">
      <alignment vertical="center"/>
    </xf>
    <xf numFmtId="0" fontId="0" fillId="0" borderId="2" xfId="0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 shrinkToFit="1"/>
    </xf>
    <xf numFmtId="176" fontId="0" fillId="0" borderId="1" xfId="0" applyNumberFormat="1" applyBorder="1">
      <alignment vertical="center"/>
    </xf>
    <xf numFmtId="0" fontId="0" fillId="0" borderId="0" xfId="0" applyAlignment="1">
      <alignment horizontal="center" vertical="center"/>
    </xf>
    <xf numFmtId="177" fontId="0" fillId="0" borderId="1" xfId="0" applyNumberForma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77" fontId="3" fillId="0" borderId="1" xfId="0" applyNumberFormat="1" applyFont="1" applyBorder="1" applyAlignment="1">
      <alignment horizontal="center" vertical="center"/>
    </xf>
    <xf numFmtId="176" fontId="4" fillId="0" borderId="1" xfId="0" applyNumberFormat="1" applyFont="1" applyBorder="1">
      <alignment vertical="center"/>
    </xf>
    <xf numFmtId="0" fontId="0" fillId="0" borderId="0" xfId="0" applyAlignment="1">
      <alignment horizontal="right" vertical="center"/>
    </xf>
    <xf numFmtId="176" fontId="0" fillId="0" borderId="1" xfId="0" applyNumberFormat="1" applyBorder="1" applyAlignment="1"/>
    <xf numFmtId="178" fontId="0" fillId="0" borderId="1" xfId="0" applyNumberFormat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176" fontId="0" fillId="0" borderId="3" xfId="0" applyNumberFormat="1" applyBorder="1">
      <alignment vertical="center"/>
    </xf>
    <xf numFmtId="0" fontId="6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176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left" vertical="center" shrinkToFi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 shrinkToFit="1"/>
    </xf>
    <xf numFmtId="179" fontId="0" fillId="0" borderId="1" xfId="0" applyNumberFormat="1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3" xfId="0" applyBorder="1" applyAlignment="1">
      <alignment horizontal="left" vertical="center"/>
    </xf>
    <xf numFmtId="0" fontId="8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0" fillId="0" borderId="9" xfId="0" applyBorder="1">
      <alignment vertical="center"/>
    </xf>
    <xf numFmtId="0" fontId="11" fillId="0" borderId="9" xfId="0" applyFont="1" applyBorder="1">
      <alignment vertical="center"/>
    </xf>
    <xf numFmtId="0" fontId="0" fillId="0" borderId="9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3" fontId="0" fillId="0" borderId="9" xfId="0" applyNumberFormat="1" applyBorder="1" applyAlignment="1">
      <alignment horizontal="center" vertical="center"/>
    </xf>
    <xf numFmtId="0" fontId="0" fillId="0" borderId="9" xfId="0" applyBorder="1" applyAlignment="1">
      <alignment horizontal="left" vertical="center"/>
    </xf>
    <xf numFmtId="178" fontId="0" fillId="0" borderId="9" xfId="0" applyNumberForma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56" fontId="0" fillId="0" borderId="9" xfId="0" applyNumberFormat="1" applyBorder="1" applyAlignment="1">
      <alignment horizontal="center" vertical="center"/>
    </xf>
    <xf numFmtId="177" fontId="0" fillId="0" borderId="0" xfId="0" applyNumberFormat="1" applyAlignment="1">
      <alignment horizontal="center" vertical="center"/>
    </xf>
    <xf numFmtId="0" fontId="15" fillId="0" borderId="9" xfId="0" applyFont="1" applyBorder="1">
      <alignment vertical="center"/>
    </xf>
    <xf numFmtId="176" fontId="0" fillId="0" borderId="9" xfId="0" applyNumberFormat="1" applyBorder="1" applyAlignment="1">
      <alignment horizontal="center" vertical="center"/>
    </xf>
    <xf numFmtId="176" fontId="0" fillId="0" borderId="9" xfId="0" applyNumberFormat="1" applyBorder="1">
      <alignment vertical="center"/>
    </xf>
    <xf numFmtId="176" fontId="0" fillId="0" borderId="9" xfId="0" applyNumberFormat="1" applyBorder="1" applyAlignment="1"/>
    <xf numFmtId="0" fontId="0" fillId="0" borderId="9" xfId="0" applyBorder="1" applyAlignment="1">
      <alignment horizontal="left" vertical="center" shrinkToFit="1"/>
    </xf>
    <xf numFmtId="3" fontId="14" fillId="0" borderId="9" xfId="0" applyNumberFormat="1" applyFont="1" applyBorder="1" applyAlignment="1">
      <alignment horizontal="center" vertical="center"/>
    </xf>
    <xf numFmtId="0" fontId="14" fillId="0" borderId="9" xfId="3" applyBorder="1" applyAlignment="1">
      <alignment horizontal="left" vertical="center"/>
    </xf>
    <xf numFmtId="176" fontId="0" fillId="0" borderId="11" xfId="0" applyNumberFormat="1" applyBorder="1" applyAlignment="1"/>
    <xf numFmtId="0" fontId="15" fillId="0" borderId="9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49" fontId="5" fillId="0" borderId="9" xfId="0" applyNumberFormat="1" applyFont="1" applyBorder="1" applyAlignment="1">
      <alignment vertical="center" shrinkToFit="1"/>
    </xf>
    <xf numFmtId="0" fontId="9" fillId="0" borderId="9" xfId="0" applyFont="1" applyBorder="1" applyAlignment="1">
      <alignment horizontal="left" vertical="center" shrinkToFit="1"/>
    </xf>
    <xf numFmtId="49" fontId="9" fillId="0" borderId="9" xfId="0" applyNumberFormat="1" applyFont="1" applyBorder="1" applyAlignment="1">
      <alignment horizontal="left" vertical="center"/>
    </xf>
    <xf numFmtId="0" fontId="15" fillId="0" borderId="9" xfId="0" applyFont="1" applyBorder="1" applyAlignment="1">
      <alignment horizontal="left" vertical="center"/>
    </xf>
    <xf numFmtId="176" fontId="15" fillId="0" borderId="9" xfId="0" applyNumberFormat="1" applyFont="1" applyBorder="1" applyAlignment="1">
      <alignment horizontal="center" vertical="center"/>
    </xf>
    <xf numFmtId="0" fontId="9" fillId="0" borderId="0" xfId="0" applyFont="1">
      <alignment vertical="center"/>
    </xf>
    <xf numFmtId="38" fontId="0" fillId="0" borderId="9" xfId="0" applyNumberFormat="1" applyBorder="1" applyAlignment="1">
      <alignment horizontal="center" vertical="center"/>
    </xf>
    <xf numFmtId="176" fontId="0" fillId="0" borderId="3" xfId="0" applyNumberFormat="1" applyBorder="1" applyAlignment="1">
      <alignment horizontal="center" vertical="center"/>
    </xf>
    <xf numFmtId="38" fontId="15" fillId="0" borderId="9" xfId="0" applyNumberFormat="1" applyFont="1" applyBorder="1" applyAlignment="1">
      <alignment horizontal="center" vertical="center"/>
    </xf>
    <xf numFmtId="0" fontId="14" fillId="0" borderId="12" xfId="3" applyBorder="1" applyAlignment="1">
      <alignment horizontal="center" vertical="center"/>
    </xf>
    <xf numFmtId="3" fontId="0" fillId="0" borderId="10" xfId="0" applyNumberFormat="1" applyBorder="1" applyAlignment="1">
      <alignment horizontal="center" vertical="center"/>
    </xf>
    <xf numFmtId="176" fontId="0" fillId="0" borderId="8" xfId="0" applyNumberFormat="1" applyBorder="1">
      <alignment vertical="center"/>
    </xf>
    <xf numFmtId="176" fontId="7" fillId="0" borderId="9" xfId="0" applyNumberFormat="1" applyFont="1" applyBorder="1" applyAlignment="1">
      <alignment horizontal="center" vertical="center"/>
    </xf>
    <xf numFmtId="3" fontId="0" fillId="0" borderId="16" xfId="0" applyNumberFormat="1" applyBorder="1" applyAlignment="1">
      <alignment horizontal="center" vertical="center"/>
    </xf>
    <xf numFmtId="176" fontId="22" fillId="0" borderId="16" xfId="0" applyNumberFormat="1" applyFont="1" applyBorder="1" applyAlignment="1">
      <alignment horizontal="center" vertical="center"/>
    </xf>
    <xf numFmtId="180" fontId="15" fillId="0" borderId="16" xfId="0" applyNumberFormat="1" applyFont="1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56" fontId="9" fillId="0" borderId="9" xfId="0" applyNumberFormat="1" applyFont="1" applyBorder="1" applyAlignment="1">
      <alignment horizontal="center" vertical="center"/>
    </xf>
    <xf numFmtId="0" fontId="0" fillId="0" borderId="3" xfId="0" applyBorder="1" applyAlignment="1">
      <alignment horizontal="center" vertical="center" shrinkToFit="1"/>
    </xf>
    <xf numFmtId="3" fontId="0" fillId="0" borderId="18" xfId="0" applyNumberFormat="1" applyBorder="1" applyAlignment="1">
      <alignment horizontal="center" vertical="center"/>
    </xf>
    <xf numFmtId="0" fontId="0" fillId="0" borderId="7" xfId="0" applyBorder="1" applyAlignment="1">
      <alignment vertical="center" shrinkToFit="1"/>
    </xf>
    <xf numFmtId="176" fontId="7" fillId="0" borderId="16" xfId="0" applyNumberFormat="1" applyFont="1" applyBorder="1" applyAlignment="1">
      <alignment horizontal="center" vertical="center"/>
    </xf>
    <xf numFmtId="176" fontId="0" fillId="0" borderId="17" xfId="0" applyNumberFormat="1" applyBorder="1" applyAlignment="1"/>
    <xf numFmtId="0" fontId="0" fillId="0" borderId="10" xfId="0" applyBorder="1" applyAlignment="1">
      <alignment horizontal="left" vertical="center"/>
    </xf>
    <xf numFmtId="0" fontId="0" fillId="4" borderId="9" xfId="0" applyFill="1" applyBorder="1" applyAlignment="1">
      <alignment horizontal="left" vertical="center"/>
    </xf>
    <xf numFmtId="0" fontId="15" fillId="0" borderId="11" xfId="0" applyFont="1" applyBorder="1" applyAlignment="1">
      <alignment horizontal="center" vertical="center"/>
    </xf>
    <xf numFmtId="0" fontId="9" fillId="0" borderId="9" xfId="0" applyFont="1" applyBorder="1" applyAlignment="1">
      <alignment horizontal="left" vertical="center"/>
    </xf>
    <xf numFmtId="3" fontId="0" fillId="11" borderId="9" xfId="0" applyNumberFormat="1" applyFill="1" applyBorder="1" applyAlignment="1">
      <alignment horizontal="center" vertical="center"/>
    </xf>
    <xf numFmtId="0" fontId="9" fillId="0" borderId="9" xfId="0" applyFont="1" applyBorder="1" applyAlignment="1">
      <alignment horizontal="left" vertical="center" wrapText="1" shrinkToFit="1"/>
    </xf>
    <xf numFmtId="0" fontId="9" fillId="0" borderId="9" xfId="0" applyFont="1" applyBorder="1" applyAlignment="1">
      <alignment horizontal="center" vertical="center"/>
    </xf>
    <xf numFmtId="3" fontId="9" fillId="0" borderId="9" xfId="0" applyNumberFormat="1" applyFont="1" applyBorder="1" applyAlignment="1">
      <alignment horizontal="center" vertical="center"/>
    </xf>
    <xf numFmtId="177" fontId="0" fillId="0" borderId="4" xfId="0" applyNumberFormat="1" applyBorder="1" applyAlignment="1">
      <alignment horizontal="center" vertical="center"/>
    </xf>
    <xf numFmtId="3" fontId="0" fillId="0" borderId="7" xfId="0" applyNumberForma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9" borderId="9" xfId="0" applyFont="1" applyFill="1" applyBorder="1" applyAlignment="1">
      <alignment horizontal="center" vertical="center"/>
    </xf>
    <xf numFmtId="0" fontId="5" fillId="7" borderId="2" xfId="0" applyFont="1" applyFill="1" applyBorder="1" applyAlignment="1">
      <alignment horizontal="center" vertical="center"/>
    </xf>
    <xf numFmtId="0" fontId="2" fillId="10" borderId="9" xfId="0" applyFont="1" applyFill="1" applyBorder="1" applyAlignment="1">
      <alignment horizontal="center" vertical="center"/>
    </xf>
    <xf numFmtId="0" fontId="0" fillId="0" borderId="11" xfId="0" applyBorder="1" applyAlignment="1">
      <alignment horizontal="left" vertical="center"/>
    </xf>
    <xf numFmtId="0" fontId="13" fillId="0" borderId="9" xfId="0" applyFont="1" applyBorder="1" applyAlignment="1">
      <alignment horizontal="left" vertical="center"/>
    </xf>
    <xf numFmtId="0" fontId="14" fillId="0" borderId="9" xfId="3" applyBorder="1" applyAlignment="1">
      <alignment horizontal="left"/>
    </xf>
    <xf numFmtId="0" fontId="5" fillId="0" borderId="9" xfId="0" applyFont="1" applyBorder="1" applyAlignment="1">
      <alignment horizontal="left" vertical="center"/>
    </xf>
    <xf numFmtId="176" fontId="22" fillId="6" borderId="9" xfId="0" applyNumberFormat="1" applyFont="1" applyFill="1" applyBorder="1" applyAlignment="1">
      <alignment horizontal="center" vertical="center"/>
    </xf>
    <xf numFmtId="3" fontId="14" fillId="0" borderId="12" xfId="0" applyNumberFormat="1" applyFont="1" applyBorder="1" applyAlignment="1">
      <alignment horizontal="center" vertical="center"/>
    </xf>
    <xf numFmtId="176" fontId="0" fillId="0" borderId="13" xfId="0" applyNumberFormat="1" applyBorder="1" applyAlignment="1"/>
    <xf numFmtId="0" fontId="5" fillId="0" borderId="12" xfId="0" applyFont="1" applyBorder="1" applyAlignment="1">
      <alignment horizontal="left" vertical="center"/>
    </xf>
    <xf numFmtId="3" fontId="0" fillId="0" borderId="2" xfId="0" applyNumberFormat="1" applyBorder="1" applyAlignment="1">
      <alignment horizontal="center" vertical="center"/>
    </xf>
    <xf numFmtId="3" fontId="0" fillId="0" borderId="6" xfId="0" applyNumberFormat="1" applyBorder="1" applyAlignment="1">
      <alignment horizontal="center" vertical="center"/>
    </xf>
    <xf numFmtId="0" fontId="9" fillId="0" borderId="11" xfId="4" applyBorder="1" applyAlignment="1">
      <alignment horizontal="center" vertical="center"/>
    </xf>
    <xf numFmtId="0" fontId="9" fillId="0" borderId="9" xfId="4" applyBorder="1" applyAlignment="1">
      <alignment horizontal="center" vertical="center"/>
    </xf>
    <xf numFmtId="0" fontId="9" fillId="0" borderId="9" xfId="4" applyBorder="1">
      <alignment vertical="center"/>
    </xf>
    <xf numFmtId="0" fontId="2" fillId="12" borderId="9" xfId="0" applyFont="1" applyFill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9" fillId="10" borderId="9" xfId="0" applyFont="1" applyFill="1" applyBorder="1" applyAlignment="1">
      <alignment horizontal="center" vertical="center"/>
    </xf>
    <xf numFmtId="0" fontId="9" fillId="0" borderId="11" xfId="0" applyFont="1" applyBorder="1" applyAlignment="1">
      <alignment horizontal="left" vertical="center"/>
    </xf>
    <xf numFmtId="0" fontId="14" fillId="0" borderId="12" xfId="3" applyBorder="1"/>
    <xf numFmtId="176" fontId="14" fillId="0" borderId="12" xfId="0" applyNumberFormat="1" applyFont="1" applyBorder="1" applyAlignment="1">
      <alignment horizontal="center" vertical="center"/>
    </xf>
    <xf numFmtId="176" fontId="14" fillId="0" borderId="13" xfId="0" applyNumberFormat="1" applyFont="1" applyBorder="1" applyAlignment="1"/>
    <xf numFmtId="0" fontId="14" fillId="0" borderId="12" xfId="3" applyBorder="1" applyAlignment="1">
      <alignment vertical="center"/>
    </xf>
    <xf numFmtId="0" fontId="5" fillId="7" borderId="9" xfId="0" applyFont="1" applyFill="1" applyBorder="1" applyAlignment="1">
      <alignment horizontal="center" vertical="center"/>
    </xf>
    <xf numFmtId="3" fontId="5" fillId="7" borderId="2" xfId="0" applyNumberFormat="1" applyFont="1" applyFill="1" applyBorder="1" applyAlignment="1">
      <alignment horizontal="center" vertical="center"/>
    </xf>
    <xf numFmtId="3" fontId="0" fillId="7" borderId="9" xfId="0" applyNumberFormat="1" applyFill="1" applyBorder="1" applyAlignment="1">
      <alignment horizontal="center" vertical="center"/>
    </xf>
    <xf numFmtId="0" fontId="26" fillId="0" borderId="0" xfId="0" applyFont="1">
      <alignment vertical="center"/>
    </xf>
    <xf numFmtId="0" fontId="17" fillId="0" borderId="19" xfId="0" applyFont="1" applyBorder="1" applyAlignment="1">
      <alignment horizontal="center" vertical="center"/>
    </xf>
    <xf numFmtId="0" fontId="15" fillId="0" borderId="16" xfId="0" applyFont="1" applyBorder="1" applyAlignment="1">
      <alignment horizontal="left" vertical="center"/>
    </xf>
    <xf numFmtId="3" fontId="14" fillId="0" borderId="16" xfId="0" applyNumberFormat="1" applyFont="1" applyBorder="1" applyAlignment="1">
      <alignment horizontal="center" vertical="center"/>
    </xf>
    <xf numFmtId="0" fontId="0" fillId="10" borderId="9" xfId="0" applyFill="1" applyBorder="1" applyAlignment="1">
      <alignment horizontal="center" vertical="center"/>
    </xf>
    <xf numFmtId="0" fontId="0" fillId="10" borderId="12" xfId="0" applyFill="1" applyBorder="1" applyAlignment="1">
      <alignment horizontal="center" vertical="center"/>
    </xf>
    <xf numFmtId="0" fontId="15" fillId="0" borderId="13" xfId="0" applyFont="1" applyBorder="1" applyAlignment="1">
      <alignment horizontal="center" vertical="center"/>
    </xf>
    <xf numFmtId="0" fontId="15" fillId="0" borderId="12" xfId="0" applyFont="1" applyBorder="1" applyAlignment="1">
      <alignment horizontal="left" vertical="center"/>
    </xf>
    <xf numFmtId="176" fontId="0" fillId="0" borderId="7" xfId="0" applyNumberFormat="1" applyBorder="1">
      <alignment vertical="center"/>
    </xf>
    <xf numFmtId="0" fontId="5" fillId="0" borderId="3" xfId="0" applyFont="1" applyBorder="1" applyAlignment="1">
      <alignment horizontal="center" vertical="center"/>
    </xf>
    <xf numFmtId="176" fontId="7" fillId="0" borderId="9" xfId="0" applyNumberFormat="1" applyFont="1" applyBorder="1">
      <alignment vertical="center"/>
    </xf>
    <xf numFmtId="176" fontId="22" fillId="6" borderId="2" xfId="0" applyNumberFormat="1" applyFont="1" applyFill="1" applyBorder="1" applyAlignment="1">
      <alignment horizontal="center" vertical="center"/>
    </xf>
    <xf numFmtId="176" fontId="0" fillId="0" borderId="6" xfId="0" applyNumberFormat="1" applyBorder="1" applyAlignment="1"/>
    <xf numFmtId="176" fontId="22" fillId="6" borderId="8" xfId="0" applyNumberFormat="1" applyFont="1" applyFill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3" fontId="0" fillId="10" borderId="9" xfId="0" applyNumberFormat="1" applyFill="1" applyBorder="1" applyAlignment="1">
      <alignment horizontal="center" vertical="center"/>
    </xf>
    <xf numFmtId="3" fontId="15" fillId="10" borderId="9" xfId="0" applyNumberFormat="1" applyFont="1" applyFill="1" applyBorder="1" applyAlignment="1">
      <alignment horizontal="center" vertical="center"/>
    </xf>
    <xf numFmtId="0" fontId="9" fillId="10" borderId="14" xfId="0" applyFont="1" applyFill="1" applyBorder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180" fontId="15" fillId="0" borderId="9" xfId="0" applyNumberFormat="1" applyFont="1" applyBorder="1">
      <alignment vertical="center"/>
    </xf>
    <xf numFmtId="176" fontId="14" fillId="0" borderId="11" xfId="0" applyNumberFormat="1" applyFont="1" applyBorder="1" applyAlignment="1">
      <alignment horizontal="center" vertical="center"/>
    </xf>
    <xf numFmtId="3" fontId="9" fillId="9" borderId="9" xfId="4" applyNumberFormat="1" applyFill="1" applyBorder="1" applyAlignment="1">
      <alignment horizontal="center" vertical="center"/>
    </xf>
    <xf numFmtId="176" fontId="9" fillId="0" borderId="9" xfId="4" applyNumberFormat="1" applyBorder="1">
      <alignment vertical="center"/>
    </xf>
    <xf numFmtId="0" fontId="9" fillId="0" borderId="9" xfId="4" applyBorder="1" applyAlignment="1">
      <alignment vertical="center" shrinkToFit="1"/>
    </xf>
    <xf numFmtId="0" fontId="9" fillId="13" borderId="9" xfId="0" applyFont="1" applyFill="1" applyBorder="1" applyAlignment="1">
      <alignment horizontal="left" vertical="center"/>
    </xf>
    <xf numFmtId="0" fontId="0" fillId="14" borderId="9" xfId="0" applyFill="1" applyBorder="1" applyAlignment="1">
      <alignment horizontal="center" vertical="center"/>
    </xf>
    <xf numFmtId="0" fontId="19" fillId="10" borderId="9" xfId="0" applyFont="1" applyFill="1" applyBorder="1" applyAlignment="1">
      <alignment horizontal="center" vertical="center"/>
    </xf>
    <xf numFmtId="176" fontId="0" fillId="13" borderId="9" xfId="0" applyNumberFormat="1" applyFill="1" applyBorder="1" applyAlignment="1">
      <alignment horizontal="center" vertical="center"/>
    </xf>
    <xf numFmtId="0" fontId="0" fillId="13" borderId="9" xfId="0" applyFill="1" applyBorder="1" applyAlignment="1">
      <alignment horizontal="center" vertical="center"/>
    </xf>
    <xf numFmtId="176" fontId="15" fillId="13" borderId="9" xfId="0" applyNumberFormat="1" applyFont="1" applyFill="1" applyBorder="1" applyAlignment="1">
      <alignment horizontal="center" vertical="center"/>
    </xf>
    <xf numFmtId="0" fontId="15" fillId="0" borderId="11" xfId="0" applyFont="1" applyBorder="1" applyAlignment="1">
      <alignment horizontal="left" vertical="center"/>
    </xf>
    <xf numFmtId="0" fontId="15" fillId="13" borderId="9" xfId="0" applyFont="1" applyFill="1" applyBorder="1" applyAlignment="1">
      <alignment horizontal="center" vertical="center"/>
    </xf>
    <xf numFmtId="38" fontId="0" fillId="13" borderId="9" xfId="0" applyNumberFormat="1" applyFill="1" applyBorder="1" applyAlignment="1">
      <alignment horizontal="center" vertical="center"/>
    </xf>
    <xf numFmtId="176" fontId="15" fillId="0" borderId="11" xfId="0" applyNumberFormat="1" applyFont="1" applyBorder="1" applyAlignment="1">
      <alignment horizontal="center" vertical="center"/>
    </xf>
    <xf numFmtId="180" fontId="0" fillId="13" borderId="9" xfId="0" applyNumberFormat="1" applyFill="1" applyBorder="1" applyAlignment="1">
      <alignment horizontal="center" vertical="center"/>
    </xf>
    <xf numFmtId="38" fontId="15" fillId="13" borderId="9" xfId="0" applyNumberFormat="1" applyFont="1" applyFill="1" applyBorder="1" applyAlignment="1">
      <alignment horizontal="center" vertical="center"/>
    </xf>
    <xf numFmtId="176" fontId="0" fillId="0" borderId="11" xfId="0" applyNumberFormat="1" applyBorder="1" applyAlignment="1">
      <alignment horizontal="left" vertical="center"/>
    </xf>
    <xf numFmtId="3" fontId="9" fillId="10" borderId="9" xfId="0" applyNumberFormat="1" applyFont="1" applyFill="1" applyBorder="1" applyAlignment="1">
      <alignment horizontal="center" vertical="center"/>
    </xf>
    <xf numFmtId="3" fontId="14" fillId="10" borderId="12" xfId="0" applyNumberFormat="1" applyFont="1" applyFill="1" applyBorder="1" applyAlignment="1">
      <alignment horizontal="center" vertical="center"/>
    </xf>
    <xf numFmtId="180" fontId="15" fillId="13" borderId="12" xfId="0" applyNumberFormat="1" applyFont="1" applyFill="1" applyBorder="1" applyAlignment="1">
      <alignment horizontal="center" vertical="center"/>
    </xf>
    <xf numFmtId="176" fontId="15" fillId="13" borderId="12" xfId="0" applyNumberFormat="1" applyFont="1" applyFill="1" applyBorder="1" applyAlignment="1">
      <alignment horizontal="center" vertical="center"/>
    </xf>
    <xf numFmtId="0" fontId="9" fillId="10" borderId="9" xfId="4" applyFill="1" applyBorder="1" applyAlignment="1">
      <alignment horizontal="center" vertical="center"/>
    </xf>
    <xf numFmtId="3" fontId="9" fillId="10" borderId="11" xfId="4" applyNumberFormat="1" applyFill="1" applyBorder="1" applyAlignment="1">
      <alignment horizontal="center" vertical="center"/>
    </xf>
    <xf numFmtId="3" fontId="9" fillId="10" borderId="9" xfId="4" applyNumberFormat="1" applyFill="1" applyBorder="1" applyAlignment="1">
      <alignment horizontal="center" vertical="center"/>
    </xf>
    <xf numFmtId="49" fontId="9" fillId="13" borderId="9" xfId="0" applyNumberFormat="1" applyFont="1" applyFill="1" applyBorder="1" applyAlignment="1">
      <alignment horizontal="left" vertical="center"/>
    </xf>
    <xf numFmtId="0" fontId="15" fillId="13" borderId="9" xfId="0" applyFont="1" applyFill="1" applyBorder="1" applyAlignment="1">
      <alignment horizontal="left" vertical="center"/>
    </xf>
    <xf numFmtId="49" fontId="15" fillId="13" borderId="9" xfId="0" applyNumberFormat="1" applyFont="1" applyFill="1" applyBorder="1" applyAlignment="1">
      <alignment horizontal="left" vertical="center"/>
    </xf>
    <xf numFmtId="49" fontId="9" fillId="13" borderId="9" xfId="0" applyNumberFormat="1" applyFont="1" applyFill="1" applyBorder="1" applyAlignment="1">
      <alignment horizontal="left" vertical="center" wrapText="1"/>
    </xf>
    <xf numFmtId="0" fontId="5" fillId="13" borderId="9" xfId="0" applyFont="1" applyFill="1" applyBorder="1">
      <alignment vertical="center"/>
    </xf>
    <xf numFmtId="176" fontId="9" fillId="13" borderId="9" xfId="0" applyNumberFormat="1" applyFont="1" applyFill="1" applyBorder="1" applyAlignment="1">
      <alignment horizontal="left" vertical="center"/>
    </xf>
    <xf numFmtId="0" fontId="15" fillId="13" borderId="12" xfId="0" applyFont="1" applyFill="1" applyBorder="1" applyAlignment="1">
      <alignment horizontal="left" vertical="center"/>
    </xf>
    <xf numFmtId="176" fontId="9" fillId="13" borderId="16" xfId="0" applyNumberFormat="1" applyFont="1" applyFill="1" applyBorder="1" applyAlignment="1">
      <alignment horizontal="left" vertical="center"/>
    </xf>
    <xf numFmtId="0" fontId="9" fillId="13" borderId="12" xfId="0" applyFont="1" applyFill="1" applyBorder="1" applyAlignment="1">
      <alignment horizontal="left" vertical="center"/>
    </xf>
    <xf numFmtId="0" fontId="15" fillId="13" borderId="16" xfId="0" applyFont="1" applyFill="1" applyBorder="1" applyAlignment="1">
      <alignment horizontal="left" vertical="center"/>
    </xf>
    <xf numFmtId="0" fontId="0" fillId="13" borderId="9" xfId="0" applyFill="1" applyBorder="1" applyAlignment="1">
      <alignment horizontal="left" vertical="center"/>
    </xf>
    <xf numFmtId="0" fontId="14" fillId="13" borderId="9" xfId="3" applyFill="1" applyBorder="1" applyAlignment="1">
      <alignment horizontal="left" vertical="center"/>
    </xf>
    <xf numFmtId="0" fontId="14" fillId="13" borderId="9" xfId="0" applyFont="1" applyFill="1" applyBorder="1">
      <alignment vertical="center"/>
    </xf>
    <xf numFmtId="0" fontId="5" fillId="13" borderId="12" xfId="0" applyFont="1" applyFill="1" applyBorder="1">
      <alignment vertical="center"/>
    </xf>
    <xf numFmtId="3" fontId="9" fillId="13" borderId="14" xfId="4" applyNumberFormat="1" applyFill="1" applyBorder="1" applyAlignment="1">
      <alignment horizontal="left" vertical="center"/>
    </xf>
    <xf numFmtId="0" fontId="15" fillId="13" borderId="9" xfId="4" applyFont="1" applyFill="1" applyBorder="1" applyAlignment="1">
      <alignment horizontal="left" vertical="center"/>
    </xf>
    <xf numFmtId="0" fontId="14" fillId="13" borderId="9" xfId="4" applyFont="1" applyFill="1" applyBorder="1" applyAlignment="1">
      <alignment horizontal="left" vertical="center"/>
    </xf>
    <xf numFmtId="0" fontId="11" fillId="13" borderId="9" xfId="0" applyFont="1" applyFill="1" applyBorder="1">
      <alignment vertical="center"/>
    </xf>
    <xf numFmtId="0" fontId="15" fillId="13" borderId="9" xfId="0" applyFont="1" applyFill="1" applyBorder="1">
      <alignment vertical="center"/>
    </xf>
    <xf numFmtId="0" fontId="11" fillId="13" borderId="9" xfId="3" applyFont="1" applyFill="1" applyBorder="1" applyAlignment="1">
      <alignment horizontal="left" vertical="center"/>
    </xf>
    <xf numFmtId="0" fontId="15" fillId="13" borderId="9" xfId="0" applyFont="1" applyFill="1" applyBorder="1" applyAlignment="1">
      <alignment vertical="center" wrapText="1"/>
    </xf>
    <xf numFmtId="49" fontId="0" fillId="13" borderId="9" xfId="0" applyNumberFormat="1" applyFill="1" applyBorder="1" applyAlignment="1">
      <alignment horizontal="left" vertical="center"/>
    </xf>
    <xf numFmtId="0" fontId="0" fillId="13" borderId="9" xfId="0" applyFill="1" applyBorder="1" applyAlignment="1">
      <alignment horizontal="left" vertical="center" wrapText="1"/>
    </xf>
    <xf numFmtId="0" fontId="0" fillId="13" borderId="11" xfId="0" applyFill="1" applyBorder="1">
      <alignment vertical="center"/>
    </xf>
    <xf numFmtId="0" fontId="9" fillId="0" borderId="9" xfId="0" applyFont="1" applyBorder="1">
      <alignment vertical="center"/>
    </xf>
    <xf numFmtId="49" fontId="27" fillId="0" borderId="9" xfId="0" applyNumberFormat="1" applyFont="1" applyBorder="1" applyAlignment="1">
      <alignment horizontal="left" vertical="center"/>
    </xf>
    <xf numFmtId="0" fontId="1" fillId="0" borderId="0" xfId="2">
      <alignment vertical="center"/>
    </xf>
    <xf numFmtId="0" fontId="25" fillId="0" borderId="9" xfId="0" applyFont="1" applyBorder="1" applyAlignment="1"/>
    <xf numFmtId="0" fontId="25" fillId="0" borderId="12" xfId="0" applyFont="1" applyBorder="1" applyAlignment="1">
      <alignment horizontal="center"/>
    </xf>
    <xf numFmtId="3" fontId="24" fillId="0" borderId="9" xfId="0" applyNumberFormat="1" applyFont="1" applyBorder="1" applyAlignment="1">
      <alignment horizontal="center" vertical="center"/>
    </xf>
    <xf numFmtId="49" fontId="13" fillId="0" borderId="9" xfId="0" applyNumberFormat="1" applyFont="1" applyBorder="1" applyAlignment="1">
      <alignment horizontal="left" vertical="center"/>
    </xf>
    <xf numFmtId="49" fontId="0" fillId="0" borderId="9" xfId="0" applyNumberFormat="1" applyBorder="1" applyAlignment="1">
      <alignment horizontal="left" vertical="center"/>
    </xf>
    <xf numFmtId="0" fontId="11" fillId="0" borderId="9" xfId="0" applyFont="1" applyBorder="1" applyAlignment="1">
      <alignment horizontal="center" vertical="center"/>
    </xf>
    <xf numFmtId="0" fontId="0" fillId="0" borderId="9" xfId="0" applyBorder="1" applyAlignment="1">
      <alignment horizontal="right" vertical="center"/>
    </xf>
    <xf numFmtId="0" fontId="9" fillId="0" borderId="0" xfId="0" applyFont="1" applyAlignment="1">
      <alignment vertical="center" wrapText="1"/>
    </xf>
    <xf numFmtId="176" fontId="17" fillId="8" borderId="9" xfId="0" applyNumberFormat="1" applyFont="1" applyFill="1" applyBorder="1" applyAlignment="1">
      <alignment horizontal="center" vertical="center"/>
    </xf>
    <xf numFmtId="0" fontId="32" fillId="8" borderId="9" xfId="0" applyFont="1" applyFill="1" applyBorder="1" applyAlignment="1">
      <alignment horizontal="center" vertical="center"/>
    </xf>
    <xf numFmtId="3" fontId="17" fillId="8" borderId="9" xfId="0" applyNumberFormat="1" applyFont="1" applyFill="1" applyBorder="1" applyAlignment="1">
      <alignment horizontal="center" vertical="center"/>
    </xf>
    <xf numFmtId="49" fontId="17" fillId="8" borderId="9" xfId="0" applyNumberFormat="1" applyFont="1" applyFill="1" applyBorder="1" applyAlignment="1">
      <alignment horizontal="left" vertical="center"/>
    </xf>
    <xf numFmtId="176" fontId="17" fillId="8" borderId="11" xfId="0" applyNumberFormat="1" applyFont="1" applyFill="1" applyBorder="1" applyAlignment="1"/>
    <xf numFmtId="0" fontId="17" fillId="8" borderId="9" xfId="0" applyFont="1" applyFill="1" applyBorder="1" applyAlignment="1">
      <alignment horizontal="left" vertical="center" shrinkToFit="1"/>
    </xf>
    <xf numFmtId="0" fontId="31" fillId="8" borderId="9" xfId="0" applyFont="1" applyFill="1" applyBorder="1" applyAlignment="1">
      <alignment horizontal="center" vertical="center"/>
    </xf>
    <xf numFmtId="0" fontId="32" fillId="8" borderId="9" xfId="0" applyFont="1" applyFill="1" applyBorder="1">
      <alignment vertical="center"/>
    </xf>
    <xf numFmtId="176" fontId="17" fillId="8" borderId="9" xfId="0" applyNumberFormat="1" applyFont="1" applyFill="1" applyBorder="1" applyAlignment="1"/>
    <xf numFmtId="0" fontId="32" fillId="8" borderId="9" xfId="0" applyFont="1" applyFill="1" applyBorder="1" applyAlignment="1">
      <alignment horizontal="left" vertical="center"/>
    </xf>
    <xf numFmtId="176" fontId="9" fillId="13" borderId="9" xfId="0" applyNumberFormat="1" applyFont="1" applyFill="1" applyBorder="1" applyAlignment="1">
      <alignment horizontal="center" vertical="center"/>
    </xf>
    <xf numFmtId="180" fontId="15" fillId="13" borderId="12" xfId="0" applyNumberFormat="1" applyFont="1" applyFill="1" applyBorder="1">
      <alignment vertical="center"/>
    </xf>
    <xf numFmtId="180" fontId="0" fillId="13" borderId="9" xfId="0" applyNumberFormat="1" applyFill="1" applyBorder="1">
      <alignment vertical="center"/>
    </xf>
    <xf numFmtId="180" fontId="0" fillId="13" borderId="12" xfId="0" applyNumberFormat="1" applyFill="1" applyBorder="1">
      <alignment vertical="center"/>
    </xf>
    <xf numFmtId="180" fontId="15" fillId="13" borderId="16" xfId="0" applyNumberFormat="1" applyFont="1" applyFill="1" applyBorder="1">
      <alignment vertical="center"/>
    </xf>
    <xf numFmtId="180" fontId="15" fillId="13" borderId="9" xfId="0" applyNumberFormat="1" applyFont="1" applyFill="1" applyBorder="1">
      <alignment vertical="center"/>
    </xf>
    <xf numFmtId="0" fontId="19" fillId="13" borderId="9" xfId="0" applyFont="1" applyFill="1" applyBorder="1">
      <alignment vertical="center"/>
    </xf>
    <xf numFmtId="180" fontId="15" fillId="13" borderId="16" xfId="0" applyNumberFormat="1" applyFont="1" applyFill="1" applyBorder="1" applyAlignment="1">
      <alignment horizontal="center" vertical="center"/>
    </xf>
    <xf numFmtId="0" fontId="5" fillId="13" borderId="9" xfId="0" applyFont="1" applyFill="1" applyBorder="1" applyAlignment="1">
      <alignment horizontal="center" vertical="center"/>
    </xf>
    <xf numFmtId="180" fontId="15" fillId="13" borderId="9" xfId="0" applyNumberFormat="1" applyFont="1" applyFill="1" applyBorder="1" applyAlignment="1">
      <alignment horizontal="center" vertical="center"/>
    </xf>
    <xf numFmtId="0" fontId="14" fillId="13" borderId="9" xfId="3" applyFill="1" applyBorder="1" applyAlignment="1">
      <alignment horizontal="center" vertical="center"/>
    </xf>
    <xf numFmtId="0" fontId="15" fillId="13" borderId="9" xfId="4" applyFont="1" applyFill="1" applyBorder="1" applyAlignment="1">
      <alignment horizontal="center" vertical="center"/>
    </xf>
    <xf numFmtId="0" fontId="15" fillId="13" borderId="11" xfId="0" applyFont="1" applyFill="1" applyBorder="1" applyAlignment="1">
      <alignment horizontal="center" vertical="center"/>
    </xf>
    <xf numFmtId="176" fontId="21" fillId="13" borderId="9" xfId="0" applyNumberFormat="1" applyFont="1" applyFill="1" applyBorder="1" applyAlignment="1">
      <alignment horizontal="center" vertical="center"/>
    </xf>
    <xf numFmtId="0" fontId="0" fillId="13" borderId="12" xfId="0" applyFill="1" applyBorder="1" applyAlignment="1">
      <alignment horizontal="center" vertical="center"/>
    </xf>
    <xf numFmtId="176" fontId="0" fillId="13" borderId="12" xfId="0" applyNumberFormat="1" applyFill="1" applyBorder="1" applyAlignment="1">
      <alignment horizontal="center" vertical="center"/>
    </xf>
    <xf numFmtId="0" fontId="15" fillId="13" borderId="16" xfId="0" applyFont="1" applyFill="1" applyBorder="1" applyAlignment="1">
      <alignment horizontal="center" vertical="center"/>
    </xf>
    <xf numFmtId="176" fontId="15" fillId="13" borderId="16" xfId="0" applyNumberFormat="1" applyFont="1" applyFill="1" applyBorder="1" applyAlignment="1">
      <alignment horizontal="center" vertical="center"/>
    </xf>
    <xf numFmtId="176" fontId="11" fillId="13" borderId="9" xfId="0" applyNumberFormat="1" applyFont="1" applyFill="1" applyBorder="1" applyAlignment="1">
      <alignment horizontal="center" vertical="center"/>
    </xf>
    <xf numFmtId="176" fontId="0" fillId="13" borderId="11" xfId="0" applyNumberFormat="1" applyFill="1" applyBorder="1" applyAlignment="1">
      <alignment horizontal="center" vertical="center"/>
    </xf>
    <xf numFmtId="0" fontId="5" fillId="13" borderId="12" xfId="0" applyFont="1" applyFill="1" applyBorder="1" applyAlignment="1">
      <alignment horizontal="center" vertical="center"/>
    </xf>
    <xf numFmtId="0" fontId="15" fillId="13" borderId="12" xfId="0" applyFont="1" applyFill="1" applyBorder="1" applyAlignment="1">
      <alignment horizontal="center" vertical="center"/>
    </xf>
    <xf numFmtId="0" fontId="0" fillId="13" borderId="16" xfId="0" applyFill="1" applyBorder="1" applyAlignment="1">
      <alignment horizontal="center" vertical="center"/>
    </xf>
    <xf numFmtId="38" fontId="9" fillId="13" borderId="9" xfId="4" applyNumberFormat="1" applyFill="1" applyBorder="1" applyAlignment="1">
      <alignment horizontal="center" vertical="center"/>
    </xf>
    <xf numFmtId="176" fontId="9" fillId="13" borderId="9" xfId="4" applyNumberFormat="1" applyFill="1" applyBorder="1" applyAlignment="1">
      <alignment horizontal="center" vertical="center"/>
    </xf>
    <xf numFmtId="0" fontId="0" fillId="0" borderId="2" xfId="0" applyBorder="1" applyAlignment="1">
      <alignment vertical="center" shrinkToFit="1"/>
    </xf>
    <xf numFmtId="0" fontId="0" fillId="0" borderId="11" xfId="0" applyBorder="1" applyAlignment="1">
      <alignment vertical="center" shrinkToFit="1"/>
    </xf>
    <xf numFmtId="0" fontId="28" fillId="0" borderId="11" xfId="2" applyFont="1" applyBorder="1">
      <alignment vertical="center"/>
    </xf>
    <xf numFmtId="0" fontId="0" fillId="0" borderId="6" xfId="0" applyBorder="1" applyAlignment="1">
      <alignment vertical="center" shrinkToFit="1"/>
    </xf>
    <xf numFmtId="0" fontId="17" fillId="8" borderId="2" xfId="0" applyFont="1" applyFill="1" applyBorder="1" applyAlignment="1">
      <alignment vertical="center" shrinkToFit="1"/>
    </xf>
    <xf numFmtId="0" fontId="17" fillId="0" borderId="2" xfId="0" applyFont="1" applyBorder="1" applyAlignment="1">
      <alignment vertical="center" shrinkToFit="1"/>
    </xf>
    <xf numFmtId="179" fontId="0" fillId="0" borderId="7" xfId="0" applyNumberFormat="1" applyBorder="1" applyAlignment="1">
      <alignment horizontal="center" vertical="center"/>
    </xf>
    <xf numFmtId="56" fontId="0" fillId="0" borderId="14" xfId="0" applyNumberFormat="1" applyBorder="1" applyAlignment="1">
      <alignment horizontal="center" vertical="center"/>
    </xf>
    <xf numFmtId="179" fontId="0" fillId="0" borderId="20" xfId="0" applyNumberForma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9" xfId="0" applyBorder="1" applyAlignment="1">
      <alignment horizontal="center" vertical="center" shrinkToFit="1"/>
    </xf>
    <xf numFmtId="0" fontId="33" fillId="0" borderId="9" xfId="0" applyFont="1" applyBorder="1">
      <alignment vertical="center"/>
    </xf>
    <xf numFmtId="179" fontId="9" fillId="0" borderId="1" xfId="0" applyNumberFormat="1" applyFont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 wrapText="1"/>
    </xf>
    <xf numFmtId="0" fontId="30" fillId="0" borderId="9" xfId="0" applyFont="1" applyBorder="1" applyAlignment="1">
      <alignment horizontal="center" vertical="center" wrapText="1"/>
    </xf>
    <xf numFmtId="3" fontId="16" fillId="2" borderId="12" xfId="0" applyNumberFormat="1" applyFont="1" applyFill="1" applyBorder="1" applyAlignment="1">
      <alignment horizontal="center" vertical="center"/>
    </xf>
    <xf numFmtId="3" fontId="2" fillId="2" borderId="12" xfId="0" applyNumberFormat="1" applyFont="1" applyFill="1" applyBorder="1" applyAlignment="1">
      <alignment horizontal="center" vertical="center"/>
    </xf>
    <xf numFmtId="176" fontId="7" fillId="0" borderId="2" xfId="0" applyNumberFormat="1" applyFont="1" applyBorder="1" applyAlignment="1">
      <alignment horizontal="center" vertical="center"/>
    </xf>
    <xf numFmtId="176" fontId="7" fillId="0" borderId="6" xfId="0" applyNumberFormat="1" applyFont="1" applyBorder="1" applyAlignment="1">
      <alignment horizontal="center" vertical="center"/>
    </xf>
    <xf numFmtId="176" fontId="7" fillId="0" borderId="7" xfId="0" applyNumberFormat="1" applyFont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3" fontId="20" fillId="5" borderId="11" xfId="0" applyNumberFormat="1" applyFont="1" applyFill="1" applyBorder="1" applyAlignment="1">
      <alignment horizontal="center" vertical="center"/>
    </xf>
    <xf numFmtId="3" fontId="20" fillId="5" borderId="15" xfId="0" applyNumberFormat="1" applyFont="1" applyFill="1" applyBorder="1" applyAlignment="1">
      <alignment horizontal="center" vertical="center"/>
    </xf>
    <xf numFmtId="3" fontId="20" fillId="5" borderId="14" xfId="0" applyNumberFormat="1" applyFont="1" applyFill="1" applyBorder="1" applyAlignment="1">
      <alignment horizontal="center" vertical="center"/>
    </xf>
    <xf numFmtId="0" fontId="23" fillId="0" borderId="0" xfId="0" applyFont="1" applyAlignment="1">
      <alignment horizontal="center" vertical="center"/>
    </xf>
  </cellXfs>
  <cellStyles count="6">
    <cellStyle name="ハイパーリンク" xfId="2" xr:uid="{00000000-0005-0000-0000-000000000000}"/>
    <cellStyle name="標準" xfId="0" builtinId="0"/>
    <cellStyle name="標準 2" xfId="5" xr:uid="{C2CBC382-4BC1-4D3B-B64A-4DC2C10C5618}"/>
    <cellStyle name="標準 3" xfId="4" xr:uid="{1B9717F3-D5E1-4047-8E84-2BA2544C8F2B}"/>
    <cellStyle name="標準_発注管理表" xfId="3" xr:uid="{00000000-0005-0000-0000-000002000000}"/>
    <cellStyle name="表示済みのハイパーリンク" xfId="1" xr:uid="{00000000-0005-0000-0000-000003000000}"/>
  </cellStyles>
  <dxfs count="0"/>
  <tableStyles count="0" defaultTableStyle="TableStyleMedium9" defaultPivotStyle="PivotStyleMedium9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F6460D-DFE9-49A0-AA20-68401FCF27FB}">
  <sheetPr>
    <tabColor theme="7" tint="0.39997558519241921"/>
  </sheetPr>
  <dimension ref="A2:R202"/>
  <sheetViews>
    <sheetView tabSelected="1" zoomScale="92" zoomScaleNormal="92" workbookViewId="0">
      <pane xSplit="11" ySplit="8" topLeftCell="L9" activePane="bottomRight" state="frozen"/>
      <selection pane="topRight" activeCell="L1" sqref="L1"/>
      <selection pane="bottomLeft" activeCell="A9" sqref="A9"/>
      <selection pane="bottomRight" activeCell="F13" sqref="F13"/>
    </sheetView>
  </sheetViews>
  <sheetFormatPr defaultColWidth="11.77734375" defaultRowHeight="13.5" customHeight="1" x14ac:dyDescent="0.2"/>
  <cols>
    <col min="1" max="1" width="10.5546875" customWidth="1"/>
    <col min="2" max="2" width="12.6640625" customWidth="1"/>
    <col min="3" max="3" width="6.21875" style="5" customWidth="1"/>
    <col min="4" max="4" width="15.21875" customWidth="1"/>
    <col min="5" max="5" width="15.44140625" customWidth="1"/>
    <col min="6" max="6" width="44.33203125" customWidth="1"/>
    <col min="7" max="7" width="10.77734375" style="5" customWidth="1"/>
    <col min="8" max="9" width="12.109375" style="5" customWidth="1"/>
    <col min="10" max="10" width="7.109375" style="10" customWidth="1"/>
    <col min="11" max="11" width="36.33203125" customWidth="1"/>
    <col min="12" max="12" width="12.33203125" customWidth="1"/>
    <col min="13" max="13" width="20.77734375" style="5" customWidth="1"/>
    <col min="14" max="14" width="12" style="5" customWidth="1"/>
    <col min="15" max="15" width="11.5546875" customWidth="1"/>
    <col min="16" max="16" width="16.33203125" style="5" customWidth="1"/>
    <col min="17" max="17" width="17.88671875" style="35" customWidth="1"/>
    <col min="18" max="18" width="19.33203125" style="35" customWidth="1"/>
  </cols>
  <sheetData>
    <row r="2" spans="1:18" ht="20.100000000000001" customHeight="1" x14ac:dyDescent="0.2">
      <c r="C2" s="237" t="s">
        <v>0</v>
      </c>
      <c r="D2" s="237"/>
      <c r="E2" s="237"/>
      <c r="F2" s="24" t="s">
        <v>134</v>
      </c>
      <c r="H2" s="238" t="s">
        <v>1</v>
      </c>
      <c r="I2" s="239"/>
      <c r="J2" s="240"/>
      <c r="K2" s="9">
        <f>SUM(I:I)</f>
        <v>517650</v>
      </c>
    </row>
    <row r="3" spans="1:18" ht="20.100000000000001" customHeight="1" x14ac:dyDescent="0.2">
      <c r="C3" s="237" t="s">
        <v>2</v>
      </c>
      <c r="D3" s="237"/>
      <c r="E3" s="237"/>
      <c r="F3" s="7" t="s">
        <v>135</v>
      </c>
    </row>
    <row r="4" spans="1:18" ht="20.100000000000001" customHeight="1" x14ac:dyDescent="0.2">
      <c r="C4" s="237" t="s">
        <v>3</v>
      </c>
      <c r="D4" s="237"/>
      <c r="E4" s="237"/>
      <c r="F4" s="7" t="s">
        <v>296</v>
      </c>
      <c r="H4" s="188"/>
      <c r="I4" s="241" t="s">
        <v>210</v>
      </c>
      <c r="J4" s="241"/>
      <c r="K4" s="241"/>
      <c r="L4" s="51"/>
    </row>
    <row r="5" spans="1:18" ht="20.100000000000001" customHeight="1" x14ac:dyDescent="0.2">
      <c r="C5" s="237" t="s">
        <v>4</v>
      </c>
      <c r="D5" s="237"/>
      <c r="E5" s="237"/>
      <c r="F5" s="8">
        <v>45481</v>
      </c>
      <c r="H5" s="242" t="s">
        <v>297</v>
      </c>
      <c r="I5" s="241"/>
      <c r="J5" s="241"/>
      <c r="K5" s="241"/>
    </row>
    <row r="6" spans="1:18" ht="20.100000000000001" customHeight="1" x14ac:dyDescent="0.2">
      <c r="C6" s="237" t="s">
        <v>5</v>
      </c>
      <c r="D6" s="237"/>
      <c r="E6" s="237"/>
      <c r="F6" s="8">
        <v>45482</v>
      </c>
      <c r="H6" s="242"/>
      <c r="I6" s="254" t="s">
        <v>209</v>
      </c>
      <c r="J6" s="254"/>
      <c r="K6" s="254"/>
    </row>
    <row r="8" spans="1:18" s="5" customFormat="1" ht="19.5" customHeight="1" x14ac:dyDescent="0.2">
      <c r="B8" s="80" t="s">
        <v>84</v>
      </c>
      <c r="C8" s="79" t="s">
        <v>6</v>
      </c>
      <c r="D8" s="2" t="s">
        <v>7</v>
      </c>
      <c r="E8" s="2" t="s">
        <v>8</v>
      </c>
      <c r="F8" s="19" t="s">
        <v>9</v>
      </c>
      <c r="G8" s="19" t="s">
        <v>10</v>
      </c>
      <c r="H8" s="19" t="s">
        <v>11</v>
      </c>
      <c r="I8" s="1" t="s">
        <v>12</v>
      </c>
      <c r="J8" s="1" t="s">
        <v>13</v>
      </c>
      <c r="K8" s="19" t="s">
        <v>14</v>
      </c>
      <c r="L8" s="19" t="s">
        <v>15</v>
      </c>
      <c r="M8" s="19" t="s">
        <v>16</v>
      </c>
      <c r="N8" s="21" t="s">
        <v>17</v>
      </c>
      <c r="O8" s="2" t="s">
        <v>18</v>
      </c>
      <c r="P8" s="19" t="s">
        <v>19</v>
      </c>
      <c r="Q8" s="21" t="s">
        <v>20</v>
      </c>
      <c r="R8" s="6" t="s">
        <v>21</v>
      </c>
    </row>
    <row r="9" spans="1:18" s="5" customFormat="1" ht="19.5" customHeight="1" x14ac:dyDescent="0.2">
      <c r="C9" s="92"/>
      <c r="D9" s="93"/>
      <c r="E9" s="93"/>
      <c r="F9" s="67"/>
      <c r="G9" s="17"/>
      <c r="H9" s="17"/>
      <c r="I9" s="17"/>
      <c r="J9" s="11"/>
      <c r="K9" s="18"/>
      <c r="L9" s="19"/>
      <c r="M9" s="233"/>
      <c r="N9" s="21"/>
      <c r="O9" s="2"/>
      <c r="P9" s="19"/>
      <c r="Q9" s="21"/>
      <c r="R9" s="6"/>
    </row>
    <row r="10" spans="1:18" s="5" customFormat="1" ht="19.5" customHeight="1" x14ac:dyDescent="0.2">
      <c r="C10" s="92"/>
      <c r="D10" s="93"/>
      <c r="E10" s="93"/>
      <c r="F10" s="67"/>
      <c r="G10" s="17"/>
      <c r="H10" s="17"/>
      <c r="I10" s="17"/>
      <c r="J10" s="11"/>
      <c r="K10" s="18"/>
      <c r="L10" s="1"/>
      <c r="M10" s="28"/>
      <c r="N10" s="230"/>
      <c r="O10" s="2"/>
      <c r="P10" s="19"/>
      <c r="Q10" s="21"/>
      <c r="R10" s="6"/>
    </row>
    <row r="11" spans="1:18" ht="18" customHeight="1" x14ac:dyDescent="0.2">
      <c r="C11" s="248" t="s">
        <v>22</v>
      </c>
      <c r="D11" s="249"/>
      <c r="E11" s="249"/>
      <c r="F11" s="250"/>
      <c r="G11" s="25"/>
      <c r="H11" s="25"/>
      <c r="I11" s="17"/>
      <c r="J11" s="11"/>
      <c r="K11" s="13"/>
      <c r="L11" s="224"/>
      <c r="M11" s="234"/>
      <c r="N11" s="230"/>
      <c r="O11" s="6"/>
      <c r="P11" s="6"/>
      <c r="Q11" s="21"/>
      <c r="R11" s="12"/>
    </row>
    <row r="12" spans="1:18" ht="18" customHeight="1" x14ac:dyDescent="0.2">
      <c r="A12" s="100" t="s">
        <v>71</v>
      </c>
      <c r="B12" s="83">
        <v>3</v>
      </c>
      <c r="C12" s="107">
        <v>1</v>
      </c>
      <c r="D12" s="30" t="s">
        <v>27</v>
      </c>
      <c r="E12" s="30" t="s">
        <v>27</v>
      </c>
      <c r="F12" s="154" t="s">
        <v>66</v>
      </c>
      <c r="G12" s="199">
        <v>2</v>
      </c>
      <c r="H12" s="137">
        <v>1200</v>
      </c>
      <c r="I12" s="137">
        <f t="shared" ref="I12:I69" si="0">G12*H12</f>
        <v>2400</v>
      </c>
      <c r="J12" s="39"/>
      <c r="K12" s="47" t="s">
        <v>70</v>
      </c>
      <c r="L12" s="225"/>
      <c r="M12" s="235" t="s">
        <v>301</v>
      </c>
      <c r="N12" s="231">
        <v>45463</v>
      </c>
      <c r="O12" s="26"/>
      <c r="P12" s="34">
        <v>45469</v>
      </c>
      <c r="Q12" s="236">
        <f t="shared" ref="Q12:Q14" si="1">+P12+1</f>
        <v>45470</v>
      </c>
      <c r="R12" s="32"/>
    </row>
    <row r="13" spans="1:18" ht="18" customHeight="1" x14ac:dyDescent="0.2">
      <c r="A13" s="100" t="s">
        <v>71</v>
      </c>
      <c r="B13" s="83">
        <v>3</v>
      </c>
      <c r="C13" s="82">
        <f>C12+1</f>
        <v>2</v>
      </c>
      <c r="D13" s="30" t="s">
        <v>27</v>
      </c>
      <c r="E13" s="30" t="s">
        <v>27</v>
      </c>
      <c r="F13" s="154" t="s">
        <v>156</v>
      </c>
      <c r="G13" s="199">
        <v>1</v>
      </c>
      <c r="H13" s="137">
        <v>1070</v>
      </c>
      <c r="I13" s="137">
        <f t="shared" si="0"/>
        <v>1070</v>
      </c>
      <c r="J13" s="39"/>
      <c r="K13" s="47" t="s">
        <v>70</v>
      </c>
      <c r="L13" s="225"/>
      <c r="M13" s="235" t="s">
        <v>301</v>
      </c>
      <c r="N13" s="231">
        <v>45463</v>
      </c>
      <c r="O13" s="26"/>
      <c r="P13" s="34">
        <v>45469</v>
      </c>
      <c r="Q13" s="236">
        <f t="shared" si="1"/>
        <v>45470</v>
      </c>
      <c r="R13" s="32"/>
    </row>
    <row r="14" spans="1:18" ht="18" customHeight="1" x14ac:dyDescent="0.2">
      <c r="A14" s="127" t="s">
        <v>50</v>
      </c>
      <c r="B14" s="83">
        <v>3</v>
      </c>
      <c r="C14" s="82">
        <f>C13+1</f>
        <v>3</v>
      </c>
      <c r="D14" s="126" t="s">
        <v>27</v>
      </c>
      <c r="E14" s="126" t="s">
        <v>27</v>
      </c>
      <c r="F14" s="155" t="s">
        <v>190</v>
      </c>
      <c r="G14" s="141">
        <v>2</v>
      </c>
      <c r="H14" s="141">
        <v>1280</v>
      </c>
      <c r="I14" s="211">
        <f t="shared" si="0"/>
        <v>2560</v>
      </c>
      <c r="J14" s="72"/>
      <c r="K14" s="49" t="s">
        <v>83</v>
      </c>
      <c r="L14" s="225"/>
      <c r="M14" s="235" t="s">
        <v>301</v>
      </c>
      <c r="N14" s="231">
        <v>45463</v>
      </c>
      <c r="O14" s="26"/>
      <c r="P14" s="34">
        <v>45467</v>
      </c>
      <c r="Q14" s="236">
        <f t="shared" si="1"/>
        <v>45468</v>
      </c>
      <c r="R14" s="32"/>
    </row>
    <row r="15" spans="1:18" ht="18" customHeight="1" x14ac:dyDescent="0.2">
      <c r="A15" s="76"/>
      <c r="B15" s="80"/>
      <c r="C15" s="124"/>
      <c r="D15" s="30"/>
      <c r="E15" s="30"/>
      <c r="F15" s="48"/>
      <c r="G15" s="37"/>
      <c r="H15" s="37"/>
      <c r="I15" s="37"/>
      <c r="J15" s="43"/>
      <c r="K15" s="47"/>
      <c r="L15" s="225"/>
      <c r="M15" s="28"/>
      <c r="N15" s="231"/>
      <c r="O15" s="26"/>
      <c r="P15" s="34"/>
      <c r="Q15" s="34"/>
      <c r="R15" s="32"/>
    </row>
    <row r="16" spans="1:18" ht="18" customHeight="1" x14ac:dyDescent="0.2">
      <c r="A16" s="178"/>
      <c r="B16" s="80"/>
      <c r="C16" s="124"/>
      <c r="D16" s="30"/>
      <c r="E16" s="30"/>
      <c r="F16" s="179"/>
      <c r="G16" s="37"/>
      <c r="H16" s="37"/>
      <c r="I16" s="37"/>
      <c r="J16" s="39"/>
      <c r="K16" s="40"/>
      <c r="L16" s="180"/>
      <c r="M16" s="28"/>
      <c r="N16" s="231"/>
      <c r="O16" s="26"/>
      <c r="P16" s="64"/>
      <c r="Q16" s="64"/>
      <c r="R16" s="32"/>
    </row>
    <row r="17" spans="1:18" ht="18" customHeight="1" x14ac:dyDescent="0.2">
      <c r="A17" s="28"/>
      <c r="B17" s="80"/>
      <c r="C17" s="124"/>
      <c r="D17" s="30"/>
      <c r="E17" s="30"/>
      <c r="F17" s="48"/>
      <c r="G17" s="28"/>
      <c r="H17" s="52"/>
      <c r="I17" s="52"/>
      <c r="J17" s="29"/>
      <c r="K17" s="40"/>
      <c r="L17" s="226"/>
      <c r="M17" s="234"/>
      <c r="N17" s="231"/>
      <c r="O17" s="78"/>
      <c r="P17" s="64"/>
      <c r="Q17" s="64"/>
      <c r="R17" s="32"/>
    </row>
    <row r="18" spans="1:18" ht="18" customHeight="1" x14ac:dyDescent="0.2">
      <c r="A18" s="113" t="s">
        <v>51</v>
      </c>
      <c r="B18" s="83">
        <v>3</v>
      </c>
      <c r="C18" s="82">
        <f>C14+1</f>
        <v>4</v>
      </c>
      <c r="D18" s="30" t="s">
        <v>27</v>
      </c>
      <c r="E18" s="30" t="s">
        <v>27</v>
      </c>
      <c r="F18" s="154" t="s">
        <v>157</v>
      </c>
      <c r="G18" s="138">
        <v>10</v>
      </c>
      <c r="H18" s="142">
        <v>31</v>
      </c>
      <c r="I18" s="142">
        <f t="shared" si="0"/>
        <v>310</v>
      </c>
      <c r="J18" s="29"/>
      <c r="K18" s="47" t="s">
        <v>158</v>
      </c>
      <c r="L18" s="225"/>
      <c r="M18" s="235" t="s">
        <v>301</v>
      </c>
      <c r="N18" s="231">
        <v>45463</v>
      </c>
      <c r="O18" s="78"/>
      <c r="P18" s="64">
        <v>45464</v>
      </c>
      <c r="Q18" s="236">
        <f t="shared" ref="Q18:Q19" si="2">+P18+1</f>
        <v>45465</v>
      </c>
      <c r="R18" s="32"/>
    </row>
    <row r="19" spans="1:18" ht="18" customHeight="1" x14ac:dyDescent="0.2">
      <c r="A19" s="100" t="s">
        <v>50</v>
      </c>
      <c r="B19" s="83">
        <v>3</v>
      </c>
      <c r="C19" s="82">
        <f>C18+1</f>
        <v>5</v>
      </c>
      <c r="D19" s="30" t="s">
        <v>27</v>
      </c>
      <c r="E19" s="30" t="s">
        <v>27</v>
      </c>
      <c r="F19" s="154" t="s">
        <v>159</v>
      </c>
      <c r="G19" s="137">
        <v>2</v>
      </c>
      <c r="H19" s="137">
        <v>1720</v>
      </c>
      <c r="I19" s="137">
        <f t="shared" si="0"/>
        <v>3440</v>
      </c>
      <c r="J19" s="39"/>
      <c r="K19" s="40" t="s">
        <v>37</v>
      </c>
      <c r="L19" s="225"/>
      <c r="M19" s="235" t="s">
        <v>301</v>
      </c>
      <c r="N19" s="231">
        <v>45463</v>
      </c>
      <c r="O19" s="78"/>
      <c r="P19" s="64">
        <v>45467</v>
      </c>
      <c r="Q19" s="236">
        <f t="shared" si="2"/>
        <v>45468</v>
      </c>
      <c r="R19" s="32"/>
    </row>
    <row r="20" spans="1:18" ht="18" customHeight="1" x14ac:dyDescent="0.2">
      <c r="A20" s="76"/>
      <c r="B20" s="80"/>
      <c r="C20" s="124"/>
      <c r="D20" s="30"/>
      <c r="E20" s="30"/>
      <c r="F20" s="48"/>
      <c r="G20" s="28"/>
      <c r="H20" s="52"/>
      <c r="I20" s="52"/>
      <c r="J20" s="29"/>
      <c r="K20" s="40"/>
      <c r="L20" s="225"/>
      <c r="M20" s="234"/>
      <c r="N20" s="231"/>
      <c r="O20" s="78"/>
      <c r="P20" s="64"/>
      <c r="Q20" s="64"/>
      <c r="R20" s="32"/>
    </row>
    <row r="21" spans="1:18" ht="18" customHeight="1" x14ac:dyDescent="0.2">
      <c r="A21" s="100" t="s">
        <v>67</v>
      </c>
      <c r="B21" s="83"/>
      <c r="C21" s="82">
        <f>C19+1</f>
        <v>6</v>
      </c>
      <c r="D21" s="125" t="s">
        <v>48</v>
      </c>
      <c r="E21" s="125" t="s">
        <v>27</v>
      </c>
      <c r="F21" s="154" t="s">
        <v>161</v>
      </c>
      <c r="G21" s="138">
        <v>1</v>
      </c>
      <c r="H21" s="142">
        <v>10226</v>
      </c>
      <c r="I21" s="137">
        <f t="shared" si="0"/>
        <v>10226</v>
      </c>
      <c r="J21" s="29"/>
      <c r="K21" s="47" t="s">
        <v>160</v>
      </c>
      <c r="L21" s="225"/>
      <c r="M21" s="235" t="s">
        <v>301</v>
      </c>
      <c r="N21" s="231">
        <v>45463</v>
      </c>
      <c r="O21" s="78"/>
      <c r="P21" s="64">
        <v>45475</v>
      </c>
      <c r="Q21" s="236">
        <f t="shared" ref="Q21:Q23" si="3">+P21+1</f>
        <v>45476</v>
      </c>
      <c r="R21" s="32"/>
    </row>
    <row r="22" spans="1:18" ht="18" customHeight="1" x14ac:dyDescent="0.2">
      <c r="A22" s="113" t="s">
        <v>51</v>
      </c>
      <c r="B22" s="83">
        <v>3</v>
      </c>
      <c r="C22" s="82">
        <f t="shared" ref="C22:C23" si="4">C21+1</f>
        <v>7</v>
      </c>
      <c r="D22" s="30" t="s">
        <v>27</v>
      </c>
      <c r="E22" s="30" t="s">
        <v>27</v>
      </c>
      <c r="F22" s="154" t="s">
        <v>162</v>
      </c>
      <c r="G22" s="137">
        <v>6</v>
      </c>
      <c r="H22" s="199">
        <v>48</v>
      </c>
      <c r="I22" s="137">
        <f t="shared" si="0"/>
        <v>288</v>
      </c>
      <c r="J22" s="43"/>
      <c r="K22" s="75" t="s">
        <v>165</v>
      </c>
      <c r="L22" s="225"/>
      <c r="M22" s="235" t="s">
        <v>301</v>
      </c>
      <c r="N22" s="231">
        <v>45463</v>
      </c>
      <c r="O22" s="78"/>
      <c r="P22" s="64">
        <v>45464</v>
      </c>
      <c r="Q22" s="236">
        <f t="shared" si="3"/>
        <v>45465</v>
      </c>
      <c r="R22" s="32"/>
    </row>
    <row r="23" spans="1:18" ht="18" customHeight="1" x14ac:dyDescent="0.2">
      <c r="A23" s="113" t="s">
        <v>51</v>
      </c>
      <c r="B23" s="83">
        <v>3</v>
      </c>
      <c r="C23" s="82">
        <f t="shared" si="4"/>
        <v>8</v>
      </c>
      <c r="D23" s="30" t="s">
        <v>27</v>
      </c>
      <c r="E23" s="30" t="s">
        <v>27</v>
      </c>
      <c r="F23" s="154" t="s">
        <v>163</v>
      </c>
      <c r="G23" s="199">
        <v>5</v>
      </c>
      <c r="H23" s="137">
        <v>155</v>
      </c>
      <c r="I23" s="137">
        <f t="shared" si="0"/>
        <v>775</v>
      </c>
      <c r="J23" s="43"/>
      <c r="K23" s="47" t="s">
        <v>233</v>
      </c>
      <c r="L23" s="225"/>
      <c r="M23" s="235" t="s">
        <v>301</v>
      </c>
      <c r="N23" s="231">
        <v>45463</v>
      </c>
      <c r="O23" s="78"/>
      <c r="P23" s="64">
        <v>45464</v>
      </c>
      <c r="Q23" s="236">
        <f t="shared" si="3"/>
        <v>45465</v>
      </c>
      <c r="R23" s="32"/>
    </row>
    <row r="24" spans="1:18" ht="18" customHeight="1" x14ac:dyDescent="0.2">
      <c r="A24" s="28"/>
      <c r="B24" s="80"/>
      <c r="C24" s="124"/>
      <c r="D24" s="30"/>
      <c r="E24" s="30"/>
      <c r="F24" s="48"/>
      <c r="G24" s="28"/>
      <c r="H24" s="52"/>
      <c r="I24" s="37"/>
      <c r="J24" s="29"/>
      <c r="K24" s="40"/>
      <c r="L24" s="225"/>
      <c r="M24" s="234"/>
      <c r="N24" s="231"/>
      <c r="O24" s="78"/>
      <c r="P24" s="64"/>
      <c r="Q24" s="64"/>
      <c r="R24" s="32"/>
    </row>
    <row r="25" spans="1:18" ht="18" customHeight="1" x14ac:dyDescent="0.2">
      <c r="A25" s="100" t="s">
        <v>67</v>
      </c>
      <c r="B25" s="83"/>
      <c r="C25" s="82">
        <f>C23+1</f>
        <v>9</v>
      </c>
      <c r="D25" s="125" t="s">
        <v>48</v>
      </c>
      <c r="E25" s="125" t="s">
        <v>27</v>
      </c>
      <c r="F25" s="154" t="s">
        <v>167</v>
      </c>
      <c r="G25" s="138">
        <v>1</v>
      </c>
      <c r="H25" s="142">
        <v>10115</v>
      </c>
      <c r="I25" s="137">
        <f t="shared" si="0"/>
        <v>10115</v>
      </c>
      <c r="J25" s="29"/>
      <c r="K25" s="47" t="s">
        <v>166</v>
      </c>
      <c r="L25" s="225"/>
      <c r="M25" s="235" t="s">
        <v>301</v>
      </c>
      <c r="N25" s="231">
        <v>45463</v>
      </c>
      <c r="O25" s="78"/>
      <c r="P25" s="64">
        <v>45475</v>
      </c>
      <c r="Q25" s="236">
        <f t="shared" ref="Q25:Q27" si="5">+P25+1</f>
        <v>45476</v>
      </c>
      <c r="R25" s="32"/>
    </row>
    <row r="26" spans="1:18" ht="18" customHeight="1" x14ac:dyDescent="0.2">
      <c r="A26" s="113" t="s">
        <v>51</v>
      </c>
      <c r="B26" s="83">
        <v>3</v>
      </c>
      <c r="C26" s="82">
        <f t="shared" ref="C26:C30" si="6">C25+1</f>
        <v>10</v>
      </c>
      <c r="D26" s="30" t="s">
        <v>27</v>
      </c>
      <c r="E26" s="30" t="s">
        <v>27</v>
      </c>
      <c r="F26" s="154" t="s">
        <v>58</v>
      </c>
      <c r="G26" s="199">
        <v>60</v>
      </c>
      <c r="H26" s="137">
        <v>23</v>
      </c>
      <c r="I26" s="137">
        <f t="shared" si="0"/>
        <v>1380</v>
      </c>
      <c r="J26" s="43"/>
      <c r="K26" s="47" t="s">
        <v>168</v>
      </c>
      <c r="L26" s="225"/>
      <c r="M26" s="235" t="s">
        <v>301</v>
      </c>
      <c r="N26" s="231">
        <v>45463</v>
      </c>
      <c r="O26" s="78"/>
      <c r="P26" s="64">
        <v>45464</v>
      </c>
      <c r="Q26" s="236">
        <f t="shared" si="5"/>
        <v>45465</v>
      </c>
      <c r="R26" s="32"/>
    </row>
    <row r="27" spans="1:18" ht="18" customHeight="1" x14ac:dyDescent="0.2">
      <c r="A27" s="113" t="s">
        <v>51</v>
      </c>
      <c r="B27" s="83">
        <v>3</v>
      </c>
      <c r="C27" s="82">
        <f t="shared" si="6"/>
        <v>11</v>
      </c>
      <c r="D27" s="30" t="s">
        <v>27</v>
      </c>
      <c r="E27" s="30" t="s">
        <v>27</v>
      </c>
      <c r="F27" s="154" t="s">
        <v>169</v>
      </c>
      <c r="G27" s="199">
        <v>4</v>
      </c>
      <c r="H27" s="137">
        <v>155</v>
      </c>
      <c r="I27" s="137">
        <f t="shared" si="0"/>
        <v>620</v>
      </c>
      <c r="J27" s="43"/>
      <c r="K27" s="47" t="s">
        <v>170</v>
      </c>
      <c r="L27" s="225"/>
      <c r="M27" s="235" t="s">
        <v>301</v>
      </c>
      <c r="N27" s="231">
        <v>45463</v>
      </c>
      <c r="O27" s="78"/>
      <c r="P27" s="64">
        <v>45464</v>
      </c>
      <c r="Q27" s="236">
        <f t="shared" si="5"/>
        <v>45465</v>
      </c>
      <c r="R27" s="32"/>
    </row>
    <row r="28" spans="1:18" ht="18" customHeight="1" x14ac:dyDescent="0.2">
      <c r="A28" s="113" t="s">
        <v>51</v>
      </c>
      <c r="B28" s="83">
        <v>3</v>
      </c>
      <c r="C28" s="82">
        <f t="shared" si="6"/>
        <v>12</v>
      </c>
      <c r="D28" s="191" t="s">
        <v>27</v>
      </c>
      <c r="E28" s="191" t="s">
        <v>27</v>
      </c>
      <c r="F28" s="192" t="s">
        <v>163</v>
      </c>
      <c r="G28" s="189"/>
      <c r="H28" s="189">
        <v>155</v>
      </c>
      <c r="I28" s="189">
        <f t="shared" si="0"/>
        <v>0</v>
      </c>
      <c r="J28" s="193"/>
      <c r="K28" s="194" t="s">
        <v>300</v>
      </c>
      <c r="L28" s="225"/>
      <c r="M28" s="234"/>
      <c r="N28" s="231">
        <v>45463</v>
      </c>
      <c r="O28" s="78"/>
      <c r="P28" s="64"/>
      <c r="Q28" s="64"/>
      <c r="R28" s="32"/>
    </row>
    <row r="29" spans="1:18" ht="18" customHeight="1" x14ac:dyDescent="0.2">
      <c r="A29" s="113" t="s">
        <v>51</v>
      </c>
      <c r="B29" s="83">
        <v>3</v>
      </c>
      <c r="C29" s="82">
        <f t="shared" si="6"/>
        <v>13</v>
      </c>
      <c r="D29" s="30" t="s">
        <v>27</v>
      </c>
      <c r="E29" s="30" t="s">
        <v>27</v>
      </c>
      <c r="F29" s="154" t="s">
        <v>171</v>
      </c>
      <c r="G29" s="138">
        <v>10</v>
      </c>
      <c r="H29" s="142">
        <v>25</v>
      </c>
      <c r="I29" s="137">
        <f t="shared" si="0"/>
        <v>250</v>
      </c>
      <c r="J29" s="29"/>
      <c r="K29" s="47" t="s">
        <v>173</v>
      </c>
      <c r="L29" s="225"/>
      <c r="M29" s="235" t="s">
        <v>301</v>
      </c>
      <c r="N29" s="231">
        <v>45463</v>
      </c>
      <c r="O29" s="78"/>
      <c r="P29" s="64">
        <v>45464</v>
      </c>
      <c r="Q29" s="236">
        <f t="shared" ref="Q29:Q30" si="7">+P29+1</f>
        <v>45465</v>
      </c>
      <c r="R29" s="32"/>
    </row>
    <row r="30" spans="1:18" ht="18" customHeight="1" x14ac:dyDescent="0.2">
      <c r="A30" s="113" t="s">
        <v>51</v>
      </c>
      <c r="B30" s="83">
        <v>3</v>
      </c>
      <c r="C30" s="82">
        <f t="shared" si="6"/>
        <v>14</v>
      </c>
      <c r="D30" s="30" t="s">
        <v>27</v>
      </c>
      <c r="E30" s="30" t="s">
        <v>27</v>
      </c>
      <c r="F30" s="154" t="s">
        <v>172</v>
      </c>
      <c r="G30" s="138">
        <v>10</v>
      </c>
      <c r="H30" s="142">
        <v>35</v>
      </c>
      <c r="I30" s="142">
        <f t="shared" si="0"/>
        <v>350</v>
      </c>
      <c r="J30" s="29"/>
      <c r="K30" s="47" t="s">
        <v>158</v>
      </c>
      <c r="L30" s="225"/>
      <c r="M30" s="235" t="s">
        <v>301</v>
      </c>
      <c r="N30" s="231">
        <v>45463</v>
      </c>
      <c r="O30" s="78"/>
      <c r="P30" s="64">
        <v>45464</v>
      </c>
      <c r="Q30" s="236">
        <f t="shared" si="7"/>
        <v>45465</v>
      </c>
      <c r="R30" s="32"/>
    </row>
    <row r="31" spans="1:18" ht="18" customHeight="1" x14ac:dyDescent="0.2">
      <c r="A31" s="28"/>
      <c r="B31" s="80"/>
      <c r="C31" s="124"/>
      <c r="D31" s="30"/>
      <c r="E31" s="30"/>
      <c r="F31" s="48"/>
      <c r="G31" s="28"/>
      <c r="H31" s="52"/>
      <c r="I31" s="37">
        <f t="shared" si="0"/>
        <v>0</v>
      </c>
      <c r="J31" s="29"/>
      <c r="K31" s="40"/>
      <c r="L31" s="225"/>
      <c r="M31" s="234"/>
      <c r="N31" s="231"/>
      <c r="O31" s="78"/>
      <c r="P31" s="64"/>
      <c r="Q31" s="64"/>
      <c r="R31" s="32"/>
    </row>
    <row r="32" spans="1:18" ht="18" customHeight="1" x14ac:dyDescent="0.2">
      <c r="A32" s="100" t="s">
        <v>67</v>
      </c>
      <c r="B32" s="83"/>
      <c r="C32" s="82">
        <f>C30+1</f>
        <v>15</v>
      </c>
      <c r="D32" s="125" t="s">
        <v>48</v>
      </c>
      <c r="E32" s="125" t="s">
        <v>27</v>
      </c>
      <c r="F32" s="154" t="s">
        <v>176</v>
      </c>
      <c r="G32" s="138">
        <v>1</v>
      </c>
      <c r="H32" s="142">
        <v>25008</v>
      </c>
      <c r="I32" s="137">
        <f t="shared" si="0"/>
        <v>25008</v>
      </c>
      <c r="J32" s="29"/>
      <c r="K32" s="47" t="s">
        <v>175</v>
      </c>
      <c r="L32" s="225"/>
      <c r="M32" s="235" t="s">
        <v>301</v>
      </c>
      <c r="N32" s="231">
        <v>45463</v>
      </c>
      <c r="O32" s="78"/>
      <c r="P32" s="64">
        <v>45475</v>
      </c>
      <c r="Q32" s="236">
        <f t="shared" ref="Q32:Q34" si="8">+P32+1</f>
        <v>45476</v>
      </c>
      <c r="R32" s="32"/>
    </row>
    <row r="33" spans="1:18" ht="18" customHeight="1" x14ac:dyDescent="0.2">
      <c r="A33" s="113" t="s">
        <v>51</v>
      </c>
      <c r="B33" s="83">
        <v>3</v>
      </c>
      <c r="C33" s="82">
        <f t="shared" ref="C33:C34" si="9">C32+1</f>
        <v>16</v>
      </c>
      <c r="D33" s="30" t="s">
        <v>27</v>
      </c>
      <c r="E33" s="30" t="s">
        <v>27</v>
      </c>
      <c r="F33" s="154" t="s">
        <v>56</v>
      </c>
      <c r="G33" s="199">
        <v>5</v>
      </c>
      <c r="H33" s="137">
        <v>155</v>
      </c>
      <c r="I33" s="137">
        <f t="shared" si="0"/>
        <v>775</v>
      </c>
      <c r="J33" s="43"/>
      <c r="K33" s="47" t="s">
        <v>174</v>
      </c>
      <c r="L33" s="225"/>
      <c r="M33" s="235" t="s">
        <v>301</v>
      </c>
      <c r="N33" s="231">
        <v>45463</v>
      </c>
      <c r="O33" s="78"/>
      <c r="P33" s="64">
        <v>45464</v>
      </c>
      <c r="Q33" s="236">
        <f t="shared" si="8"/>
        <v>45465</v>
      </c>
      <c r="R33" s="32"/>
    </row>
    <row r="34" spans="1:18" ht="18" customHeight="1" x14ac:dyDescent="0.2">
      <c r="A34" s="113" t="s">
        <v>51</v>
      </c>
      <c r="B34" s="83">
        <v>3</v>
      </c>
      <c r="C34" s="82">
        <f t="shared" si="9"/>
        <v>17</v>
      </c>
      <c r="D34" s="30" t="s">
        <v>27</v>
      </c>
      <c r="E34" s="30" t="s">
        <v>27</v>
      </c>
      <c r="F34" s="154" t="s">
        <v>55</v>
      </c>
      <c r="G34" s="138">
        <v>10</v>
      </c>
      <c r="H34" s="142">
        <v>25</v>
      </c>
      <c r="I34" s="142">
        <f t="shared" si="0"/>
        <v>250</v>
      </c>
      <c r="J34" s="29"/>
      <c r="K34" s="47" t="s">
        <v>177</v>
      </c>
      <c r="L34" s="225"/>
      <c r="M34" s="235" t="s">
        <v>301</v>
      </c>
      <c r="N34" s="231">
        <v>45463</v>
      </c>
      <c r="O34" s="78"/>
      <c r="P34" s="64">
        <v>45464</v>
      </c>
      <c r="Q34" s="236">
        <f t="shared" si="8"/>
        <v>45465</v>
      </c>
      <c r="R34" s="32"/>
    </row>
    <row r="35" spans="1:18" ht="18" customHeight="1" x14ac:dyDescent="0.2">
      <c r="A35" s="28"/>
      <c r="B35" s="80"/>
      <c r="C35" s="124"/>
      <c r="D35" s="30"/>
      <c r="E35" s="30"/>
      <c r="F35" s="48"/>
      <c r="G35" s="28"/>
      <c r="H35" s="52"/>
      <c r="I35" s="37">
        <f t="shared" si="0"/>
        <v>0</v>
      </c>
      <c r="J35" s="29"/>
      <c r="K35" s="40"/>
      <c r="L35" s="225"/>
      <c r="M35" s="234"/>
      <c r="N35" s="231"/>
      <c r="O35" s="78"/>
      <c r="P35" s="64"/>
      <c r="Q35" s="64"/>
      <c r="R35" s="32"/>
    </row>
    <row r="36" spans="1:18" ht="18" customHeight="1" x14ac:dyDescent="0.2">
      <c r="A36" s="100" t="s">
        <v>67</v>
      </c>
      <c r="B36" s="83"/>
      <c r="C36" s="82">
        <f>C34+1</f>
        <v>18</v>
      </c>
      <c r="D36" s="125" t="s">
        <v>48</v>
      </c>
      <c r="E36" s="125" t="s">
        <v>27</v>
      </c>
      <c r="F36" s="154" t="s">
        <v>180</v>
      </c>
      <c r="G36" s="138">
        <v>1</v>
      </c>
      <c r="H36" s="142">
        <v>13547</v>
      </c>
      <c r="I36" s="137">
        <f t="shared" si="0"/>
        <v>13547</v>
      </c>
      <c r="J36" s="29"/>
      <c r="K36" s="47" t="s">
        <v>178</v>
      </c>
      <c r="L36" s="225"/>
      <c r="M36" s="235" t="s">
        <v>301</v>
      </c>
      <c r="N36" s="231">
        <v>45463</v>
      </c>
      <c r="O36" s="78"/>
      <c r="P36" s="64">
        <v>45475</v>
      </c>
      <c r="Q36" s="236">
        <f t="shared" ref="Q36:Q37" si="10">+P36+1</f>
        <v>45476</v>
      </c>
      <c r="R36" s="32"/>
    </row>
    <row r="37" spans="1:18" ht="18" customHeight="1" x14ac:dyDescent="0.2">
      <c r="A37" s="113" t="s">
        <v>51</v>
      </c>
      <c r="B37" s="83">
        <v>3</v>
      </c>
      <c r="C37" s="82">
        <f t="shared" ref="C37:C38" si="11">C36+1</f>
        <v>19</v>
      </c>
      <c r="D37" s="30" t="s">
        <v>27</v>
      </c>
      <c r="E37" s="30" t="s">
        <v>27</v>
      </c>
      <c r="F37" s="154" t="s">
        <v>162</v>
      </c>
      <c r="G37" s="137">
        <v>5</v>
      </c>
      <c r="H37" s="199">
        <v>48</v>
      </c>
      <c r="I37" s="137">
        <f t="shared" si="0"/>
        <v>240</v>
      </c>
      <c r="J37" s="43"/>
      <c r="K37" s="75" t="s">
        <v>179</v>
      </c>
      <c r="L37" s="225"/>
      <c r="M37" s="235" t="s">
        <v>301</v>
      </c>
      <c r="N37" s="231">
        <v>45463</v>
      </c>
      <c r="O37" s="78"/>
      <c r="P37" s="64">
        <v>45464</v>
      </c>
      <c r="Q37" s="236">
        <f t="shared" si="10"/>
        <v>45465</v>
      </c>
      <c r="R37" s="32"/>
    </row>
    <row r="38" spans="1:18" ht="18" customHeight="1" x14ac:dyDescent="0.2">
      <c r="A38" s="113" t="s">
        <v>51</v>
      </c>
      <c r="B38" s="83">
        <v>3</v>
      </c>
      <c r="C38" s="82">
        <f t="shared" si="11"/>
        <v>20</v>
      </c>
      <c r="D38" s="191" t="s">
        <v>27</v>
      </c>
      <c r="E38" s="191" t="s">
        <v>27</v>
      </c>
      <c r="F38" s="192" t="s">
        <v>58</v>
      </c>
      <c r="G38" s="189"/>
      <c r="H38" s="189">
        <v>23</v>
      </c>
      <c r="I38" s="189">
        <f t="shared" si="0"/>
        <v>0</v>
      </c>
      <c r="J38" s="193"/>
      <c r="K38" s="194" t="s">
        <v>298</v>
      </c>
      <c r="L38" s="225"/>
      <c r="M38" s="234"/>
      <c r="N38" s="231">
        <v>45463</v>
      </c>
      <c r="O38" s="78"/>
      <c r="P38" s="64"/>
      <c r="Q38" s="64"/>
      <c r="R38" s="32"/>
    </row>
    <row r="39" spans="1:18" ht="18" customHeight="1" x14ac:dyDescent="0.2">
      <c r="A39" s="28"/>
      <c r="B39" s="80"/>
      <c r="C39" s="124"/>
      <c r="D39" s="30"/>
      <c r="E39" s="30"/>
      <c r="F39" s="48"/>
      <c r="G39" s="28"/>
      <c r="H39" s="52"/>
      <c r="I39" s="37"/>
      <c r="J39" s="29"/>
      <c r="K39" s="40"/>
      <c r="L39" s="225"/>
      <c r="M39" s="234"/>
      <c r="N39" s="231"/>
      <c r="O39" s="78"/>
      <c r="P39" s="64"/>
      <c r="Q39" s="64"/>
      <c r="R39" s="32"/>
    </row>
    <row r="40" spans="1:18" ht="18" customHeight="1" x14ac:dyDescent="0.2">
      <c r="A40" s="100" t="s">
        <v>67</v>
      </c>
      <c r="B40" s="83"/>
      <c r="C40" s="82">
        <f>C38+1</f>
        <v>21</v>
      </c>
      <c r="D40" s="125" t="s">
        <v>48</v>
      </c>
      <c r="E40" s="125" t="s">
        <v>27</v>
      </c>
      <c r="F40" s="154" t="s">
        <v>182</v>
      </c>
      <c r="G40" s="138">
        <v>1</v>
      </c>
      <c r="H40" s="142">
        <v>24320</v>
      </c>
      <c r="I40" s="137">
        <f t="shared" si="0"/>
        <v>24320</v>
      </c>
      <c r="J40" s="29"/>
      <c r="K40" s="47" t="s">
        <v>181</v>
      </c>
      <c r="L40" s="225"/>
      <c r="M40" s="235" t="s">
        <v>301</v>
      </c>
      <c r="N40" s="231">
        <v>45463</v>
      </c>
      <c r="O40" s="78"/>
      <c r="P40" s="64">
        <v>45475</v>
      </c>
      <c r="Q40" s="236">
        <f t="shared" ref="Q40:Q44" si="12">+P40+1</f>
        <v>45476</v>
      </c>
      <c r="R40" s="32"/>
    </row>
    <row r="41" spans="1:18" ht="18" customHeight="1" x14ac:dyDescent="0.2">
      <c r="A41" s="100" t="s">
        <v>71</v>
      </c>
      <c r="B41" s="83">
        <v>3</v>
      </c>
      <c r="C41" s="82">
        <f t="shared" ref="C41:C46" si="13">C40+1</f>
        <v>22</v>
      </c>
      <c r="D41" s="30" t="s">
        <v>27</v>
      </c>
      <c r="E41" s="30" t="s">
        <v>27</v>
      </c>
      <c r="F41" s="154" t="s">
        <v>183</v>
      </c>
      <c r="G41" s="138">
        <v>3</v>
      </c>
      <c r="H41" s="142">
        <v>1200</v>
      </c>
      <c r="I41" s="137">
        <f t="shared" si="0"/>
        <v>3600</v>
      </c>
      <c r="J41" s="29"/>
      <c r="K41" s="40"/>
      <c r="L41" s="225"/>
      <c r="M41" s="234"/>
      <c r="N41" s="231">
        <v>45463</v>
      </c>
      <c r="O41" s="78"/>
      <c r="P41" s="64">
        <v>45469</v>
      </c>
      <c r="Q41" s="236">
        <f t="shared" si="12"/>
        <v>45470</v>
      </c>
      <c r="R41" s="32"/>
    </row>
    <row r="42" spans="1:18" ht="18" customHeight="1" x14ac:dyDescent="0.2">
      <c r="A42" s="113" t="s">
        <v>51</v>
      </c>
      <c r="B42" s="83">
        <v>3</v>
      </c>
      <c r="C42" s="82">
        <f t="shared" si="13"/>
        <v>23</v>
      </c>
      <c r="D42" s="30" t="s">
        <v>27</v>
      </c>
      <c r="E42" s="30" t="s">
        <v>27</v>
      </c>
      <c r="F42" s="154" t="s">
        <v>162</v>
      </c>
      <c r="G42" s="137">
        <v>5</v>
      </c>
      <c r="H42" s="199">
        <v>48</v>
      </c>
      <c r="I42" s="137">
        <f t="shared" si="0"/>
        <v>240</v>
      </c>
      <c r="J42" s="43"/>
      <c r="K42" s="75" t="s">
        <v>179</v>
      </c>
      <c r="L42" s="225"/>
      <c r="M42" s="235" t="s">
        <v>301</v>
      </c>
      <c r="N42" s="231">
        <v>45463</v>
      </c>
      <c r="O42" s="78"/>
      <c r="P42" s="64">
        <v>45464</v>
      </c>
      <c r="Q42" s="236">
        <f t="shared" si="12"/>
        <v>45465</v>
      </c>
      <c r="R42" s="32"/>
    </row>
    <row r="43" spans="1:18" ht="18" customHeight="1" x14ac:dyDescent="0.2">
      <c r="A43" s="113" t="s">
        <v>51</v>
      </c>
      <c r="B43" s="83">
        <v>3</v>
      </c>
      <c r="C43" s="82">
        <f t="shared" si="13"/>
        <v>24</v>
      </c>
      <c r="D43" s="30" t="s">
        <v>27</v>
      </c>
      <c r="E43" s="30" t="s">
        <v>27</v>
      </c>
      <c r="F43" s="154" t="s">
        <v>57</v>
      </c>
      <c r="G43" s="137">
        <v>5</v>
      </c>
      <c r="H43" s="199">
        <v>48</v>
      </c>
      <c r="I43" s="137">
        <f t="shared" si="0"/>
        <v>240</v>
      </c>
      <c r="J43" s="43"/>
      <c r="K43" s="75" t="s">
        <v>184</v>
      </c>
      <c r="L43" s="225"/>
      <c r="M43" s="235" t="s">
        <v>301</v>
      </c>
      <c r="N43" s="231">
        <v>45463</v>
      </c>
      <c r="O43" s="78"/>
      <c r="P43" s="64">
        <v>45464</v>
      </c>
      <c r="Q43" s="236">
        <f t="shared" si="12"/>
        <v>45465</v>
      </c>
      <c r="R43" s="32"/>
    </row>
    <row r="44" spans="1:18" ht="18" customHeight="1" x14ac:dyDescent="0.2">
      <c r="A44" s="113" t="s">
        <v>52</v>
      </c>
      <c r="B44" s="83"/>
      <c r="C44" s="82">
        <f t="shared" si="13"/>
        <v>25</v>
      </c>
      <c r="D44" s="30" t="s">
        <v>27</v>
      </c>
      <c r="E44" s="30" t="s">
        <v>27</v>
      </c>
      <c r="F44" s="154" t="s">
        <v>54</v>
      </c>
      <c r="G44" s="138">
        <v>2</v>
      </c>
      <c r="H44" s="142">
        <v>1320</v>
      </c>
      <c r="I44" s="137">
        <f t="shared" si="0"/>
        <v>2640</v>
      </c>
      <c r="J44" s="29"/>
      <c r="K44" s="47" t="s">
        <v>235</v>
      </c>
      <c r="L44" s="225"/>
      <c r="M44" s="235" t="s">
        <v>301</v>
      </c>
      <c r="N44" s="231">
        <v>45463</v>
      </c>
      <c r="O44" s="78"/>
      <c r="P44" s="64">
        <v>45465</v>
      </c>
      <c r="Q44" s="236">
        <f t="shared" si="12"/>
        <v>45466</v>
      </c>
      <c r="R44" s="32"/>
    </row>
    <row r="45" spans="1:18" ht="18" customHeight="1" x14ac:dyDescent="0.2">
      <c r="A45" s="113" t="s">
        <v>51</v>
      </c>
      <c r="B45" s="83">
        <v>3</v>
      </c>
      <c r="C45" s="82">
        <f t="shared" si="13"/>
        <v>26</v>
      </c>
      <c r="D45" s="191" t="s">
        <v>27</v>
      </c>
      <c r="E45" s="191" t="s">
        <v>27</v>
      </c>
      <c r="F45" s="192" t="s">
        <v>58</v>
      </c>
      <c r="G45" s="189"/>
      <c r="H45" s="189">
        <v>23</v>
      </c>
      <c r="I45" s="189">
        <f t="shared" si="0"/>
        <v>0</v>
      </c>
      <c r="J45" s="193"/>
      <c r="K45" s="194" t="s">
        <v>299</v>
      </c>
      <c r="L45" s="225"/>
      <c r="M45" s="234"/>
      <c r="N45" s="231">
        <v>45463</v>
      </c>
      <c r="O45" s="78"/>
      <c r="P45" s="64"/>
      <c r="Q45" s="64"/>
      <c r="R45" s="32"/>
    </row>
    <row r="46" spans="1:18" ht="18" customHeight="1" x14ac:dyDescent="0.2">
      <c r="A46" s="113" t="s">
        <v>51</v>
      </c>
      <c r="B46" s="83">
        <v>3</v>
      </c>
      <c r="C46" s="82">
        <f t="shared" si="13"/>
        <v>27</v>
      </c>
      <c r="D46" s="30" t="s">
        <v>27</v>
      </c>
      <c r="E46" s="30" t="s">
        <v>27</v>
      </c>
      <c r="F46" s="154" t="s">
        <v>55</v>
      </c>
      <c r="G46" s="138">
        <v>10</v>
      </c>
      <c r="H46" s="142">
        <v>25</v>
      </c>
      <c r="I46" s="137">
        <f t="shared" si="0"/>
        <v>250</v>
      </c>
      <c r="J46" s="29"/>
      <c r="K46" s="47" t="s">
        <v>158</v>
      </c>
      <c r="L46" s="225"/>
      <c r="M46" s="235" t="s">
        <v>301</v>
      </c>
      <c r="N46" s="231">
        <v>45463</v>
      </c>
      <c r="O46" s="78"/>
      <c r="P46" s="64">
        <v>45464</v>
      </c>
      <c r="Q46" s="236">
        <f t="shared" ref="Q46" si="14">+P46+1</f>
        <v>45465</v>
      </c>
      <c r="R46" s="32"/>
    </row>
    <row r="47" spans="1:18" ht="18" customHeight="1" x14ac:dyDescent="0.2">
      <c r="A47" s="28"/>
      <c r="B47" s="80"/>
      <c r="C47" s="124"/>
      <c r="D47" s="30"/>
      <c r="E47" s="30"/>
      <c r="F47" s="48"/>
      <c r="G47" s="28"/>
      <c r="H47" s="52"/>
      <c r="I47" s="37"/>
      <c r="J47" s="29"/>
      <c r="K47" s="40"/>
      <c r="L47" s="225"/>
      <c r="M47" s="234"/>
      <c r="N47" s="231"/>
      <c r="O47" s="78"/>
      <c r="P47" s="64"/>
      <c r="Q47" s="64"/>
      <c r="R47" s="32"/>
    </row>
    <row r="48" spans="1:18" ht="18" customHeight="1" x14ac:dyDescent="0.2">
      <c r="A48" s="100" t="s">
        <v>67</v>
      </c>
      <c r="B48" s="83"/>
      <c r="C48" s="82">
        <f>C46+1</f>
        <v>28</v>
      </c>
      <c r="D48" s="125" t="s">
        <v>48</v>
      </c>
      <c r="E48" s="125" t="s">
        <v>27</v>
      </c>
      <c r="F48" s="154" t="s">
        <v>192</v>
      </c>
      <c r="G48" s="138">
        <v>1</v>
      </c>
      <c r="H48" s="142">
        <v>12300</v>
      </c>
      <c r="I48" s="137">
        <f t="shared" si="0"/>
        <v>12300</v>
      </c>
      <c r="J48" s="29"/>
      <c r="K48" s="47" t="s">
        <v>191</v>
      </c>
      <c r="L48" s="225"/>
      <c r="M48" s="235" t="s">
        <v>301</v>
      </c>
      <c r="N48" s="231">
        <v>45463</v>
      </c>
      <c r="O48" s="78"/>
      <c r="P48" s="64">
        <v>45475</v>
      </c>
      <c r="Q48" s="236">
        <f t="shared" ref="Q48:Q54" si="15">+P48+1</f>
        <v>45476</v>
      </c>
      <c r="R48" s="32"/>
    </row>
    <row r="49" spans="1:18" ht="18" customHeight="1" x14ac:dyDescent="0.2">
      <c r="A49" s="100" t="s">
        <v>50</v>
      </c>
      <c r="B49" s="83"/>
      <c r="C49" s="82">
        <f t="shared" ref="C49:C51" si="16">C48+1</f>
        <v>29</v>
      </c>
      <c r="D49" s="125" t="s">
        <v>27</v>
      </c>
      <c r="E49" s="125" t="s">
        <v>27</v>
      </c>
      <c r="F49" s="154" t="s">
        <v>193</v>
      </c>
      <c r="G49" s="138">
        <v>4</v>
      </c>
      <c r="H49" s="142">
        <v>550</v>
      </c>
      <c r="I49" s="137">
        <f t="shared" si="0"/>
        <v>2200</v>
      </c>
      <c r="J49" s="29"/>
      <c r="K49" s="40"/>
      <c r="L49" s="225"/>
      <c r="M49" s="235" t="s">
        <v>301</v>
      </c>
      <c r="N49" s="231">
        <v>45463</v>
      </c>
      <c r="O49" s="78"/>
      <c r="P49" s="64">
        <v>45467</v>
      </c>
      <c r="Q49" s="236">
        <f t="shared" si="15"/>
        <v>45468</v>
      </c>
      <c r="R49" s="32"/>
    </row>
    <row r="50" spans="1:18" ht="18" customHeight="1" x14ac:dyDescent="0.2">
      <c r="A50" s="113" t="s">
        <v>51</v>
      </c>
      <c r="B50" s="83">
        <v>3</v>
      </c>
      <c r="C50" s="82">
        <f t="shared" si="16"/>
        <v>30</v>
      </c>
      <c r="D50" s="30" t="s">
        <v>27</v>
      </c>
      <c r="E50" s="30" t="s">
        <v>27</v>
      </c>
      <c r="F50" s="154" t="s">
        <v>194</v>
      </c>
      <c r="G50" s="138">
        <v>10</v>
      </c>
      <c r="H50" s="142">
        <v>25</v>
      </c>
      <c r="I50" s="142">
        <f t="shared" si="0"/>
        <v>250</v>
      </c>
      <c r="J50" s="29"/>
      <c r="K50" s="47" t="s">
        <v>195</v>
      </c>
      <c r="L50" s="225"/>
      <c r="M50" s="235" t="s">
        <v>301</v>
      </c>
      <c r="N50" s="231">
        <v>45463</v>
      </c>
      <c r="O50" s="78"/>
      <c r="P50" s="64">
        <v>45464</v>
      </c>
      <c r="Q50" s="236">
        <f t="shared" si="15"/>
        <v>45465</v>
      </c>
      <c r="R50" s="32"/>
    </row>
    <row r="51" spans="1:18" ht="18" customHeight="1" x14ac:dyDescent="0.2">
      <c r="A51" s="113" t="s">
        <v>51</v>
      </c>
      <c r="B51" s="83">
        <v>3</v>
      </c>
      <c r="C51" s="82">
        <f t="shared" si="16"/>
        <v>31</v>
      </c>
      <c r="D51" s="30" t="s">
        <v>27</v>
      </c>
      <c r="E51" s="30" t="s">
        <v>27</v>
      </c>
      <c r="F51" s="154" t="s">
        <v>291</v>
      </c>
      <c r="G51" s="138">
        <v>2</v>
      </c>
      <c r="H51" s="142">
        <v>1280</v>
      </c>
      <c r="I51" s="137">
        <f t="shared" si="0"/>
        <v>2560</v>
      </c>
      <c r="J51" s="29"/>
      <c r="K51" s="47" t="s">
        <v>292</v>
      </c>
      <c r="L51" s="225"/>
      <c r="M51" s="235" t="s">
        <v>301</v>
      </c>
      <c r="N51" s="231">
        <v>45463</v>
      </c>
      <c r="O51" s="78"/>
      <c r="P51" s="64">
        <v>45467</v>
      </c>
      <c r="Q51" s="236">
        <f t="shared" si="15"/>
        <v>45468</v>
      </c>
      <c r="R51" s="32"/>
    </row>
    <row r="52" spans="1:18" ht="18" customHeight="1" x14ac:dyDescent="0.2">
      <c r="A52" s="100" t="s">
        <v>50</v>
      </c>
      <c r="B52" s="83"/>
      <c r="C52" s="82">
        <f>C51+1</f>
        <v>32</v>
      </c>
      <c r="D52" s="125" t="s">
        <v>48</v>
      </c>
      <c r="E52" s="125" t="s">
        <v>27</v>
      </c>
      <c r="F52" s="154" t="s">
        <v>186</v>
      </c>
      <c r="G52" s="138">
        <v>1</v>
      </c>
      <c r="H52" s="142">
        <v>2872</v>
      </c>
      <c r="I52" s="137">
        <f t="shared" si="0"/>
        <v>2872</v>
      </c>
      <c r="J52" s="29"/>
      <c r="K52" s="47" t="s">
        <v>185</v>
      </c>
      <c r="L52" s="225"/>
      <c r="M52" s="235" t="s">
        <v>301</v>
      </c>
      <c r="N52" s="231">
        <v>45463</v>
      </c>
      <c r="O52" s="78"/>
      <c r="P52" s="64">
        <v>45468</v>
      </c>
      <c r="Q52" s="236">
        <f t="shared" si="15"/>
        <v>45469</v>
      </c>
      <c r="R52" s="32"/>
    </row>
    <row r="53" spans="1:18" ht="18" customHeight="1" x14ac:dyDescent="0.2">
      <c r="A53" s="113" t="s">
        <v>51</v>
      </c>
      <c r="B53" s="83">
        <v>3</v>
      </c>
      <c r="C53" s="82">
        <f t="shared" ref="C53:C54" si="17">C52+1</f>
        <v>33</v>
      </c>
      <c r="D53" s="30" t="s">
        <v>27</v>
      </c>
      <c r="E53" s="30" t="s">
        <v>27</v>
      </c>
      <c r="F53" s="154" t="s">
        <v>187</v>
      </c>
      <c r="G53" s="199">
        <v>4</v>
      </c>
      <c r="H53" s="137">
        <v>155</v>
      </c>
      <c r="I53" s="137">
        <f t="shared" si="0"/>
        <v>620</v>
      </c>
      <c r="J53" s="43"/>
      <c r="K53" s="47" t="s">
        <v>164</v>
      </c>
      <c r="L53" s="225"/>
      <c r="M53" s="235" t="s">
        <v>301</v>
      </c>
      <c r="N53" s="231">
        <v>45463</v>
      </c>
      <c r="O53" s="78"/>
      <c r="P53" s="64">
        <v>45464</v>
      </c>
      <c r="Q53" s="236">
        <f t="shared" si="15"/>
        <v>45465</v>
      </c>
      <c r="R53" s="32"/>
    </row>
    <row r="54" spans="1:18" ht="18" customHeight="1" x14ac:dyDescent="0.2">
      <c r="A54" s="113" t="s">
        <v>51</v>
      </c>
      <c r="B54" s="83">
        <v>3</v>
      </c>
      <c r="C54" s="82">
        <f t="shared" si="17"/>
        <v>34</v>
      </c>
      <c r="D54" s="30" t="s">
        <v>27</v>
      </c>
      <c r="E54" s="30" t="s">
        <v>27</v>
      </c>
      <c r="F54" s="154" t="s">
        <v>188</v>
      </c>
      <c r="G54" s="199">
        <v>3</v>
      </c>
      <c r="H54" s="137">
        <v>120</v>
      </c>
      <c r="I54" s="137">
        <f t="shared" si="0"/>
        <v>360</v>
      </c>
      <c r="J54" s="39"/>
      <c r="K54" s="47" t="s">
        <v>189</v>
      </c>
      <c r="L54" s="225"/>
      <c r="M54" s="235" t="s">
        <v>301</v>
      </c>
      <c r="N54" s="231">
        <v>45463</v>
      </c>
      <c r="O54" s="78"/>
      <c r="P54" s="64">
        <v>45464</v>
      </c>
      <c r="Q54" s="236">
        <f t="shared" si="15"/>
        <v>45465</v>
      </c>
      <c r="R54" s="32"/>
    </row>
    <row r="55" spans="1:18" ht="18" customHeight="1" x14ac:dyDescent="0.2">
      <c r="A55" s="28"/>
      <c r="B55" s="80"/>
      <c r="C55" s="124"/>
      <c r="D55" s="30"/>
      <c r="E55" s="30"/>
      <c r="F55" s="48"/>
      <c r="G55" s="28"/>
      <c r="H55" s="52"/>
      <c r="I55" s="37"/>
      <c r="J55" s="29"/>
      <c r="K55" s="40"/>
      <c r="L55" s="225"/>
      <c r="M55" s="234"/>
      <c r="N55" s="231"/>
      <c r="O55" s="78"/>
      <c r="P55" s="64"/>
      <c r="Q55" s="64"/>
      <c r="R55" s="32"/>
    </row>
    <row r="56" spans="1:18" ht="18" customHeight="1" x14ac:dyDescent="0.2">
      <c r="A56" s="100" t="s">
        <v>67</v>
      </c>
      <c r="B56" s="83">
        <v>3</v>
      </c>
      <c r="C56" s="82">
        <f>C54+1</f>
        <v>35</v>
      </c>
      <c r="D56" s="125" t="s">
        <v>48</v>
      </c>
      <c r="E56" s="125" t="s">
        <v>27</v>
      </c>
      <c r="F56" s="154" t="s">
        <v>68</v>
      </c>
      <c r="G56" s="199">
        <v>2</v>
      </c>
      <c r="H56" s="137">
        <v>4896</v>
      </c>
      <c r="I56" s="212">
        <f t="shared" si="0"/>
        <v>9792</v>
      </c>
      <c r="J56" s="39"/>
      <c r="K56" s="47" t="s">
        <v>60</v>
      </c>
      <c r="L56" s="225"/>
      <c r="M56" s="235" t="s">
        <v>301</v>
      </c>
      <c r="N56" s="231">
        <v>45463</v>
      </c>
      <c r="O56" s="78"/>
      <c r="P56" s="64">
        <v>45475</v>
      </c>
      <c r="Q56" s="236">
        <f t="shared" ref="Q56:Q64" si="18">+P56+1</f>
        <v>45476</v>
      </c>
      <c r="R56" s="32"/>
    </row>
    <row r="57" spans="1:18" ht="18" customHeight="1" x14ac:dyDescent="0.2">
      <c r="A57" s="113" t="s">
        <v>51</v>
      </c>
      <c r="B57" s="83">
        <v>3</v>
      </c>
      <c r="C57" s="82">
        <f t="shared" ref="C57:C69" si="19">C56+1</f>
        <v>36</v>
      </c>
      <c r="D57" s="30" t="s">
        <v>27</v>
      </c>
      <c r="E57" s="30" t="s">
        <v>27</v>
      </c>
      <c r="F57" s="154" t="s">
        <v>61</v>
      </c>
      <c r="G57" s="199">
        <v>2</v>
      </c>
      <c r="H57" s="137">
        <v>870</v>
      </c>
      <c r="I57" s="212">
        <f t="shared" si="0"/>
        <v>1740</v>
      </c>
      <c r="J57" s="39"/>
      <c r="K57" s="47" t="s">
        <v>72</v>
      </c>
      <c r="L57" s="225"/>
      <c r="M57" s="235" t="s">
        <v>301</v>
      </c>
      <c r="N57" s="231">
        <v>45463</v>
      </c>
      <c r="O57" s="78"/>
      <c r="P57" s="64">
        <v>45464</v>
      </c>
      <c r="Q57" s="236">
        <f t="shared" si="18"/>
        <v>45465</v>
      </c>
      <c r="R57" s="32"/>
    </row>
    <row r="58" spans="1:18" ht="18" customHeight="1" x14ac:dyDescent="0.2">
      <c r="A58" s="100" t="s">
        <v>71</v>
      </c>
      <c r="B58" s="83">
        <v>3</v>
      </c>
      <c r="C58" s="82">
        <f t="shared" si="19"/>
        <v>37</v>
      </c>
      <c r="D58" s="30" t="s">
        <v>27</v>
      </c>
      <c r="E58" s="30" t="s">
        <v>27</v>
      </c>
      <c r="F58" s="154" t="s">
        <v>62</v>
      </c>
      <c r="G58" s="137">
        <v>2</v>
      </c>
      <c r="H58" s="137">
        <v>3680</v>
      </c>
      <c r="I58" s="212">
        <f t="shared" si="0"/>
        <v>7360</v>
      </c>
      <c r="J58" s="39"/>
      <c r="K58" s="47" t="s">
        <v>73</v>
      </c>
      <c r="L58" s="225"/>
      <c r="M58" s="235" t="s">
        <v>301</v>
      </c>
      <c r="N58" s="231">
        <v>45463</v>
      </c>
      <c r="O58" s="78"/>
      <c r="P58" s="64">
        <v>45469</v>
      </c>
      <c r="Q58" s="236">
        <f t="shared" si="18"/>
        <v>45470</v>
      </c>
      <c r="R58" s="32"/>
    </row>
    <row r="59" spans="1:18" ht="18" customHeight="1" x14ac:dyDescent="0.2">
      <c r="A59" s="113" t="s">
        <v>51</v>
      </c>
      <c r="B59" s="83">
        <v>3</v>
      </c>
      <c r="C59" s="82">
        <f t="shared" si="19"/>
        <v>38</v>
      </c>
      <c r="D59" s="30" t="s">
        <v>27</v>
      </c>
      <c r="E59" s="30" t="s">
        <v>27</v>
      </c>
      <c r="F59" s="154" t="s">
        <v>63</v>
      </c>
      <c r="G59" s="137">
        <v>4</v>
      </c>
      <c r="H59" s="137">
        <v>36</v>
      </c>
      <c r="I59" s="212">
        <f t="shared" si="0"/>
        <v>144</v>
      </c>
      <c r="J59" s="39"/>
      <c r="K59" s="47" t="s">
        <v>74</v>
      </c>
      <c r="L59" s="225"/>
      <c r="M59" s="235" t="s">
        <v>301</v>
      </c>
      <c r="N59" s="231">
        <v>45463</v>
      </c>
      <c r="O59" s="78"/>
      <c r="P59" s="64">
        <v>45464</v>
      </c>
      <c r="Q59" s="236">
        <f t="shared" si="18"/>
        <v>45465</v>
      </c>
      <c r="R59" s="32"/>
    </row>
    <row r="60" spans="1:18" ht="18" customHeight="1" x14ac:dyDescent="0.2">
      <c r="A60" s="113" t="s">
        <v>51</v>
      </c>
      <c r="B60" s="83">
        <v>3</v>
      </c>
      <c r="C60" s="82">
        <f t="shared" si="19"/>
        <v>39</v>
      </c>
      <c r="D60" s="30" t="s">
        <v>27</v>
      </c>
      <c r="E60" s="30" t="s">
        <v>27</v>
      </c>
      <c r="F60" s="156" t="s">
        <v>59</v>
      </c>
      <c r="G60" s="139">
        <v>10</v>
      </c>
      <c r="H60" s="137">
        <v>25</v>
      </c>
      <c r="I60" s="212">
        <f t="shared" si="0"/>
        <v>250</v>
      </c>
      <c r="J60" s="39"/>
      <c r="K60" s="47" t="s">
        <v>76</v>
      </c>
      <c r="L60" s="225"/>
      <c r="M60" s="235" t="s">
        <v>301</v>
      </c>
      <c r="N60" s="231">
        <v>45463</v>
      </c>
      <c r="O60" s="78"/>
      <c r="P60" s="64">
        <v>45464</v>
      </c>
      <c r="Q60" s="236">
        <f t="shared" si="18"/>
        <v>45465</v>
      </c>
      <c r="R60" s="32"/>
    </row>
    <row r="61" spans="1:18" ht="18" customHeight="1" x14ac:dyDescent="0.2">
      <c r="A61" s="100" t="s">
        <v>67</v>
      </c>
      <c r="B61" s="83">
        <v>3</v>
      </c>
      <c r="C61" s="82">
        <f t="shared" si="19"/>
        <v>40</v>
      </c>
      <c r="D61" s="125" t="s">
        <v>48</v>
      </c>
      <c r="E61" s="125" t="s">
        <v>27</v>
      </c>
      <c r="F61" s="157" t="s">
        <v>201</v>
      </c>
      <c r="G61" s="137">
        <v>4</v>
      </c>
      <c r="H61" s="137">
        <v>6488</v>
      </c>
      <c r="I61" s="212">
        <f t="shared" si="0"/>
        <v>25952</v>
      </c>
      <c r="J61" s="39"/>
      <c r="K61" s="48" t="s">
        <v>196</v>
      </c>
      <c r="L61" s="225"/>
      <c r="M61" s="235" t="s">
        <v>301</v>
      </c>
      <c r="N61" s="231">
        <v>45463</v>
      </c>
      <c r="O61" s="78"/>
      <c r="P61" s="64">
        <v>45475</v>
      </c>
      <c r="Q61" s="236">
        <f t="shared" si="18"/>
        <v>45476</v>
      </c>
      <c r="R61" s="32"/>
    </row>
    <row r="62" spans="1:18" ht="18" customHeight="1" x14ac:dyDescent="0.2">
      <c r="A62" s="100" t="s">
        <v>50</v>
      </c>
      <c r="B62" s="83">
        <v>3</v>
      </c>
      <c r="C62" s="82">
        <f t="shared" si="19"/>
        <v>41</v>
      </c>
      <c r="D62" s="125" t="s">
        <v>48</v>
      </c>
      <c r="E62" s="125" t="s">
        <v>27</v>
      </c>
      <c r="F62" s="154" t="s">
        <v>202</v>
      </c>
      <c r="G62" s="137">
        <v>1</v>
      </c>
      <c r="H62" s="137">
        <v>6296</v>
      </c>
      <c r="I62" s="137">
        <f t="shared" si="0"/>
        <v>6296</v>
      </c>
      <c r="J62" s="39"/>
      <c r="K62" s="48" t="s">
        <v>197</v>
      </c>
      <c r="L62" s="225"/>
      <c r="M62" s="235" t="s">
        <v>301</v>
      </c>
      <c r="N62" s="231">
        <v>45463</v>
      </c>
      <c r="O62" s="78"/>
      <c r="P62" s="64">
        <v>45468</v>
      </c>
      <c r="Q62" s="236">
        <f t="shared" si="18"/>
        <v>45469</v>
      </c>
      <c r="R62" s="32"/>
    </row>
    <row r="63" spans="1:18" ht="18" customHeight="1" x14ac:dyDescent="0.2">
      <c r="A63" s="100" t="s">
        <v>50</v>
      </c>
      <c r="B63" s="83">
        <v>3</v>
      </c>
      <c r="C63" s="82">
        <f t="shared" si="19"/>
        <v>42</v>
      </c>
      <c r="D63" s="125" t="s">
        <v>48</v>
      </c>
      <c r="E63" s="125" t="s">
        <v>27</v>
      </c>
      <c r="F63" s="154" t="s">
        <v>203</v>
      </c>
      <c r="G63" s="137">
        <v>1</v>
      </c>
      <c r="H63" s="137">
        <v>5637</v>
      </c>
      <c r="I63" s="137">
        <f t="shared" si="0"/>
        <v>5637</v>
      </c>
      <c r="J63" s="39"/>
      <c r="K63" s="47" t="s">
        <v>198</v>
      </c>
      <c r="L63" s="225"/>
      <c r="M63" s="235" t="s">
        <v>301</v>
      </c>
      <c r="N63" s="231">
        <v>45463</v>
      </c>
      <c r="O63" s="78"/>
      <c r="P63" s="64">
        <v>45468</v>
      </c>
      <c r="Q63" s="236">
        <f t="shared" si="18"/>
        <v>45469</v>
      </c>
      <c r="R63" s="32"/>
    </row>
    <row r="64" spans="1:18" ht="18" customHeight="1" x14ac:dyDescent="0.2">
      <c r="A64" s="113" t="s">
        <v>51</v>
      </c>
      <c r="B64" s="83">
        <v>3</v>
      </c>
      <c r="C64" s="82">
        <f t="shared" si="19"/>
        <v>43</v>
      </c>
      <c r="D64" s="77" t="s">
        <v>69</v>
      </c>
      <c r="E64" s="30" t="s">
        <v>27</v>
      </c>
      <c r="F64" s="154" t="s">
        <v>64</v>
      </c>
      <c r="G64" s="199">
        <v>6</v>
      </c>
      <c r="H64" s="137">
        <v>50</v>
      </c>
      <c r="I64" s="137">
        <f t="shared" si="0"/>
        <v>300</v>
      </c>
      <c r="J64" s="39"/>
      <c r="K64" s="47" t="s">
        <v>86</v>
      </c>
      <c r="L64" s="225"/>
      <c r="M64" s="235" t="s">
        <v>301</v>
      </c>
      <c r="N64" s="231">
        <v>45463</v>
      </c>
      <c r="O64" s="78"/>
      <c r="P64" s="64">
        <v>45464</v>
      </c>
      <c r="Q64" s="236">
        <f t="shared" si="18"/>
        <v>45465</v>
      </c>
      <c r="R64" s="32"/>
    </row>
    <row r="65" spans="1:18" ht="18" customHeight="1" x14ac:dyDescent="0.2">
      <c r="A65" s="113" t="s">
        <v>51</v>
      </c>
      <c r="B65" s="83">
        <v>3</v>
      </c>
      <c r="C65" s="82">
        <f t="shared" si="19"/>
        <v>44</v>
      </c>
      <c r="D65" s="191" t="s">
        <v>27</v>
      </c>
      <c r="E65" s="191" t="s">
        <v>27</v>
      </c>
      <c r="F65" s="192" t="s">
        <v>58</v>
      </c>
      <c r="G65" s="189"/>
      <c r="H65" s="189">
        <v>23</v>
      </c>
      <c r="I65" s="189">
        <f t="shared" si="0"/>
        <v>0</v>
      </c>
      <c r="J65" s="193"/>
      <c r="K65" s="194" t="s">
        <v>234</v>
      </c>
      <c r="L65" s="225"/>
      <c r="M65" s="234"/>
      <c r="N65" s="231"/>
      <c r="O65" s="78"/>
      <c r="P65" s="64"/>
      <c r="Q65" s="64"/>
      <c r="R65" s="32"/>
    </row>
    <row r="66" spans="1:18" ht="18" customHeight="1" x14ac:dyDescent="0.2">
      <c r="A66" s="113" t="s">
        <v>51</v>
      </c>
      <c r="B66" s="83">
        <v>3</v>
      </c>
      <c r="C66" s="82">
        <f t="shared" si="19"/>
        <v>45</v>
      </c>
      <c r="D66" s="30" t="s">
        <v>27</v>
      </c>
      <c r="E66" s="30" t="s">
        <v>27</v>
      </c>
      <c r="F66" s="154" t="s">
        <v>65</v>
      </c>
      <c r="G66" s="199">
        <v>18</v>
      </c>
      <c r="H66" s="137">
        <v>54</v>
      </c>
      <c r="I66" s="137">
        <f t="shared" si="0"/>
        <v>972</v>
      </c>
      <c r="J66" s="39"/>
      <c r="K66" s="47" t="s">
        <v>87</v>
      </c>
      <c r="L66" s="225"/>
      <c r="M66" s="235" t="s">
        <v>301</v>
      </c>
      <c r="N66" s="231">
        <v>45463</v>
      </c>
      <c r="O66" s="78"/>
      <c r="P66" s="64">
        <v>45464</v>
      </c>
      <c r="Q66" s="236">
        <f t="shared" ref="Q66:Q69" si="20">+P66+1</f>
        <v>45465</v>
      </c>
      <c r="R66" s="32"/>
    </row>
    <row r="67" spans="1:18" ht="18" customHeight="1" x14ac:dyDescent="0.2">
      <c r="A67" s="113" t="s">
        <v>51</v>
      </c>
      <c r="B67" s="83">
        <v>3</v>
      </c>
      <c r="C67" s="82">
        <f t="shared" si="19"/>
        <v>46</v>
      </c>
      <c r="D67" s="30" t="s">
        <v>27</v>
      </c>
      <c r="E67" s="30" t="s">
        <v>27</v>
      </c>
      <c r="F67" s="156" t="s">
        <v>29</v>
      </c>
      <c r="G67" s="139">
        <v>10</v>
      </c>
      <c r="H67" s="137">
        <v>29</v>
      </c>
      <c r="I67" s="137">
        <f t="shared" si="0"/>
        <v>290</v>
      </c>
      <c r="J67" s="39"/>
      <c r="K67" s="47" t="s">
        <v>75</v>
      </c>
      <c r="L67" s="225"/>
      <c r="M67" s="235" t="s">
        <v>301</v>
      </c>
      <c r="N67" s="231">
        <v>45463</v>
      </c>
      <c r="O67" s="78"/>
      <c r="P67" s="64">
        <v>45468</v>
      </c>
      <c r="Q67" s="236">
        <f t="shared" si="20"/>
        <v>45469</v>
      </c>
      <c r="R67" s="32"/>
    </row>
    <row r="68" spans="1:18" ht="18" customHeight="1" x14ac:dyDescent="0.2">
      <c r="A68" s="100" t="s">
        <v>50</v>
      </c>
      <c r="B68" s="83">
        <v>3</v>
      </c>
      <c r="C68" s="82">
        <f t="shared" si="19"/>
        <v>47</v>
      </c>
      <c r="D68" s="125" t="s">
        <v>48</v>
      </c>
      <c r="E68" s="125" t="s">
        <v>27</v>
      </c>
      <c r="F68" s="154" t="s">
        <v>200</v>
      </c>
      <c r="G68" s="137">
        <v>1</v>
      </c>
      <c r="H68" s="137">
        <v>3294</v>
      </c>
      <c r="I68" s="137">
        <f t="shared" si="0"/>
        <v>3294</v>
      </c>
      <c r="J68" s="39"/>
      <c r="K68" s="48" t="s">
        <v>199</v>
      </c>
      <c r="L68" s="225"/>
      <c r="M68" s="235" t="s">
        <v>301</v>
      </c>
      <c r="N68" s="231">
        <v>45463</v>
      </c>
      <c r="O68" s="78"/>
      <c r="P68" s="64">
        <v>45464</v>
      </c>
      <c r="Q68" s="236">
        <f t="shared" si="20"/>
        <v>45465</v>
      </c>
      <c r="R68" s="32"/>
    </row>
    <row r="69" spans="1:18" ht="18" customHeight="1" x14ac:dyDescent="0.2">
      <c r="A69" s="113" t="s">
        <v>51</v>
      </c>
      <c r="B69" s="83">
        <v>3</v>
      </c>
      <c r="C69" s="82">
        <f t="shared" si="19"/>
        <v>48</v>
      </c>
      <c r="D69" s="77" t="s">
        <v>236</v>
      </c>
      <c r="E69" s="30" t="s">
        <v>27</v>
      </c>
      <c r="F69" s="154" t="s">
        <v>204</v>
      </c>
      <c r="G69" s="138">
        <v>10</v>
      </c>
      <c r="H69" s="142">
        <v>364</v>
      </c>
      <c r="I69" s="137">
        <f t="shared" si="0"/>
        <v>3640</v>
      </c>
      <c r="J69" s="29"/>
      <c r="K69" s="47" t="s">
        <v>237</v>
      </c>
      <c r="L69" s="225"/>
      <c r="M69" s="235" t="s">
        <v>301</v>
      </c>
      <c r="N69" s="231">
        <v>45463</v>
      </c>
      <c r="O69" s="78"/>
      <c r="P69" s="64">
        <v>45464</v>
      </c>
      <c r="Q69" s="236">
        <f t="shared" si="20"/>
        <v>45465</v>
      </c>
      <c r="R69" s="32"/>
    </row>
    <row r="70" spans="1:18" ht="18" customHeight="1" x14ac:dyDescent="0.2">
      <c r="A70" s="28"/>
      <c r="B70" s="80"/>
      <c r="C70" s="124"/>
      <c r="D70" s="30"/>
      <c r="E70" s="30"/>
      <c r="F70" s="48"/>
      <c r="G70" s="28"/>
      <c r="H70" s="52"/>
      <c r="I70" s="37"/>
      <c r="J70" s="29"/>
      <c r="K70" s="40"/>
      <c r="L70" s="225"/>
      <c r="M70" s="234"/>
      <c r="N70" s="231"/>
      <c r="O70" s="78"/>
      <c r="P70" s="64"/>
      <c r="Q70" s="64"/>
      <c r="R70" s="32"/>
    </row>
    <row r="71" spans="1:18" ht="18" customHeight="1" x14ac:dyDescent="0.2">
      <c r="A71" s="76"/>
      <c r="B71" s="80"/>
      <c r="C71" s="124"/>
      <c r="D71" s="76"/>
      <c r="E71" s="30"/>
      <c r="F71" s="181"/>
      <c r="G71" s="182"/>
      <c r="H71" s="183"/>
      <c r="I71" s="37"/>
      <c r="J71" s="90"/>
      <c r="K71" s="47"/>
      <c r="L71" s="225"/>
      <c r="M71" s="234"/>
      <c r="N71" s="231"/>
      <c r="O71" s="78"/>
      <c r="P71" s="34"/>
      <c r="Q71" s="34"/>
      <c r="R71" s="32"/>
    </row>
    <row r="72" spans="1:18" ht="18" customHeight="1" x14ac:dyDescent="0.2">
      <c r="A72" s="76"/>
      <c r="B72" s="80"/>
      <c r="C72" s="123"/>
      <c r="D72" s="76"/>
      <c r="E72" s="76"/>
      <c r="F72" s="48"/>
      <c r="G72" s="28"/>
      <c r="H72" s="52"/>
      <c r="I72" s="37"/>
      <c r="J72" s="90"/>
      <c r="K72" s="47"/>
      <c r="L72" s="225"/>
      <c r="M72" s="234"/>
      <c r="N72" s="231"/>
      <c r="O72" s="78"/>
      <c r="P72" s="34"/>
      <c r="Q72" s="34"/>
      <c r="R72" s="32"/>
    </row>
    <row r="73" spans="1:18" ht="17.399999999999999" customHeight="1" x14ac:dyDescent="0.2">
      <c r="A73" s="100" t="s">
        <v>50</v>
      </c>
      <c r="B73" s="83">
        <v>3</v>
      </c>
      <c r="C73" s="82">
        <f>C69+1</f>
        <v>49</v>
      </c>
      <c r="D73" s="125" t="s">
        <v>48</v>
      </c>
      <c r="E73" s="125" t="s">
        <v>27</v>
      </c>
      <c r="F73" s="154" t="s">
        <v>80</v>
      </c>
      <c r="G73" s="137">
        <v>1</v>
      </c>
      <c r="H73" s="139">
        <v>4070</v>
      </c>
      <c r="I73" s="137">
        <f>G73*H73</f>
        <v>4070</v>
      </c>
      <c r="J73" s="39"/>
      <c r="K73" s="47" t="s">
        <v>79</v>
      </c>
      <c r="L73" s="225"/>
      <c r="M73" s="235" t="s">
        <v>301</v>
      </c>
      <c r="N73" s="231">
        <v>45463</v>
      </c>
      <c r="O73" s="78"/>
      <c r="P73" s="64">
        <v>45468</v>
      </c>
      <c r="Q73" s="236">
        <f t="shared" ref="Q73:Q76" si="21">+P73+1</f>
        <v>45469</v>
      </c>
      <c r="R73" s="32"/>
    </row>
    <row r="74" spans="1:18" ht="17.399999999999999" customHeight="1" x14ac:dyDescent="0.2">
      <c r="A74" s="113" t="s">
        <v>51</v>
      </c>
      <c r="B74" s="83">
        <v>3</v>
      </c>
      <c r="C74" s="82">
        <f t="shared" ref="C74:C76" si="22">C73+1</f>
        <v>50</v>
      </c>
      <c r="D74" s="30" t="s">
        <v>27</v>
      </c>
      <c r="E74" s="30" t="s">
        <v>27</v>
      </c>
      <c r="F74" s="156" t="s">
        <v>81</v>
      </c>
      <c r="G74" s="139">
        <v>10</v>
      </c>
      <c r="H74" s="137">
        <v>35</v>
      </c>
      <c r="I74" s="137">
        <f t="shared" ref="I74:I81" si="23">G74*H74</f>
        <v>350</v>
      </c>
      <c r="J74" s="39"/>
      <c r="K74" s="47" t="s">
        <v>158</v>
      </c>
      <c r="L74" s="225"/>
      <c r="M74" s="235" t="s">
        <v>301</v>
      </c>
      <c r="N74" s="231">
        <v>45463</v>
      </c>
      <c r="O74" s="78"/>
      <c r="P74" s="64">
        <v>45464</v>
      </c>
      <c r="Q74" s="236">
        <f t="shared" si="21"/>
        <v>45465</v>
      </c>
      <c r="R74" s="32"/>
    </row>
    <row r="75" spans="1:18" ht="17.399999999999999" customHeight="1" x14ac:dyDescent="0.2">
      <c r="A75" s="113" t="s">
        <v>51</v>
      </c>
      <c r="B75" s="83">
        <v>3</v>
      </c>
      <c r="C75" s="82">
        <f t="shared" si="22"/>
        <v>51</v>
      </c>
      <c r="D75" s="30" t="s">
        <v>27</v>
      </c>
      <c r="E75" s="30" t="s">
        <v>27</v>
      </c>
      <c r="F75" s="154" t="s">
        <v>82</v>
      </c>
      <c r="G75" s="137">
        <v>6</v>
      </c>
      <c r="H75" s="139">
        <v>41</v>
      </c>
      <c r="I75" s="137">
        <f t="shared" si="23"/>
        <v>246</v>
      </c>
      <c r="J75" s="39"/>
      <c r="K75" s="47" t="s">
        <v>205</v>
      </c>
      <c r="L75" s="225"/>
      <c r="M75" s="235" t="s">
        <v>301</v>
      </c>
      <c r="N75" s="231">
        <v>45463</v>
      </c>
      <c r="O75" s="78"/>
      <c r="P75" s="64">
        <v>45464</v>
      </c>
      <c r="Q75" s="236">
        <f t="shared" si="21"/>
        <v>45465</v>
      </c>
      <c r="R75" s="32"/>
    </row>
    <row r="76" spans="1:18" ht="17.399999999999999" customHeight="1" x14ac:dyDescent="0.2">
      <c r="A76" s="113" t="s">
        <v>51</v>
      </c>
      <c r="B76" s="83">
        <v>3</v>
      </c>
      <c r="C76" s="82">
        <f t="shared" si="22"/>
        <v>52</v>
      </c>
      <c r="D76" s="30" t="s">
        <v>27</v>
      </c>
      <c r="E76" s="30" t="s">
        <v>27</v>
      </c>
      <c r="F76" s="156" t="s">
        <v>238</v>
      </c>
      <c r="G76" s="137">
        <v>10</v>
      </c>
      <c r="H76" s="139">
        <v>25</v>
      </c>
      <c r="I76" s="137">
        <f t="shared" si="23"/>
        <v>250</v>
      </c>
      <c r="J76" s="39"/>
      <c r="K76" s="47" t="s">
        <v>206</v>
      </c>
      <c r="L76" s="225"/>
      <c r="M76" s="235" t="s">
        <v>301</v>
      </c>
      <c r="N76" s="231">
        <v>45463</v>
      </c>
      <c r="O76" s="78"/>
      <c r="P76" s="64">
        <v>45464</v>
      </c>
      <c r="Q76" s="236">
        <f t="shared" si="21"/>
        <v>45465</v>
      </c>
      <c r="R76" s="32"/>
    </row>
    <row r="77" spans="1:18" ht="17.399999999999999" customHeight="1" x14ac:dyDescent="0.2">
      <c r="A77" s="28"/>
      <c r="B77" s="80"/>
      <c r="C77" s="124"/>
      <c r="D77" s="30"/>
      <c r="E77" s="30"/>
      <c r="F77" s="184"/>
      <c r="G77" s="37"/>
      <c r="H77" s="37"/>
      <c r="I77" s="37"/>
      <c r="J77" s="39"/>
      <c r="K77" s="40"/>
      <c r="L77" s="226"/>
      <c r="M77" s="234"/>
      <c r="N77" s="231"/>
      <c r="O77" s="78"/>
      <c r="P77" s="34"/>
      <c r="Q77" s="34"/>
      <c r="R77" s="32"/>
    </row>
    <row r="78" spans="1:18" ht="17.399999999999999" customHeight="1" x14ac:dyDescent="0.2">
      <c r="A78" s="113" t="s">
        <v>51</v>
      </c>
      <c r="B78" s="83">
        <v>3</v>
      </c>
      <c r="C78" s="82">
        <f>C76+1</f>
        <v>53</v>
      </c>
      <c r="D78" s="30" t="s">
        <v>27</v>
      </c>
      <c r="E78" s="30" t="s">
        <v>27</v>
      </c>
      <c r="F78" s="154" t="s">
        <v>30</v>
      </c>
      <c r="G78" s="138">
        <v>3</v>
      </c>
      <c r="H78" s="142">
        <v>290</v>
      </c>
      <c r="I78" s="137">
        <f t="shared" si="23"/>
        <v>870</v>
      </c>
      <c r="J78" s="39"/>
      <c r="K78" s="47" t="s">
        <v>36</v>
      </c>
      <c r="L78" s="128"/>
      <c r="M78" s="235" t="s">
        <v>301</v>
      </c>
      <c r="N78" s="231">
        <v>45463</v>
      </c>
      <c r="O78" s="78"/>
      <c r="P78" s="64">
        <v>45464</v>
      </c>
      <c r="Q78" s="236">
        <f t="shared" ref="Q78" si="24">+P78+1</f>
        <v>45465</v>
      </c>
      <c r="R78" s="32"/>
    </row>
    <row r="79" spans="1:18" ht="17.399999999999999" customHeight="1" x14ac:dyDescent="0.2">
      <c r="A79" s="178"/>
      <c r="B79" s="80"/>
      <c r="C79" s="124"/>
      <c r="D79" s="30"/>
      <c r="E79" s="30"/>
      <c r="F79" s="48"/>
      <c r="G79" s="37"/>
      <c r="H79" s="37"/>
      <c r="I79" s="37"/>
      <c r="J79" s="39"/>
      <c r="K79" s="40"/>
      <c r="L79" s="226"/>
      <c r="M79" s="234"/>
      <c r="N79" s="231"/>
      <c r="O79" s="78"/>
      <c r="P79" s="34"/>
      <c r="Q79" s="34"/>
      <c r="R79" s="32"/>
    </row>
    <row r="80" spans="1:18" ht="17.399999999999999" customHeight="1" x14ac:dyDescent="0.2">
      <c r="A80" s="28"/>
      <c r="B80" s="80"/>
      <c r="C80" s="124"/>
      <c r="D80" s="30"/>
      <c r="E80" s="30"/>
      <c r="F80" s="48"/>
      <c r="G80" s="37"/>
      <c r="H80" s="37"/>
      <c r="I80" s="37"/>
      <c r="J80" s="39"/>
      <c r="K80" s="40"/>
      <c r="L80" s="226"/>
      <c r="M80" s="234"/>
      <c r="N80" s="231"/>
      <c r="O80" s="78"/>
      <c r="P80" s="34"/>
      <c r="Q80" s="34"/>
      <c r="R80" s="32"/>
    </row>
    <row r="81" spans="1:18" ht="17.399999999999999" customHeight="1" x14ac:dyDescent="0.2">
      <c r="A81" s="113" t="s">
        <v>51</v>
      </c>
      <c r="B81" s="83">
        <v>3</v>
      </c>
      <c r="C81" s="82">
        <f>C78+1</f>
        <v>54</v>
      </c>
      <c r="D81" s="30" t="s">
        <v>27</v>
      </c>
      <c r="E81" s="30" t="s">
        <v>27</v>
      </c>
      <c r="F81" s="154" t="s">
        <v>31</v>
      </c>
      <c r="G81" s="138">
        <v>2</v>
      </c>
      <c r="H81" s="142">
        <v>290</v>
      </c>
      <c r="I81" s="137">
        <f t="shared" si="23"/>
        <v>580</v>
      </c>
      <c r="J81" s="39"/>
      <c r="K81" s="47" t="s">
        <v>36</v>
      </c>
      <c r="L81" s="225"/>
      <c r="M81" s="235" t="s">
        <v>301</v>
      </c>
      <c r="N81" s="231">
        <v>45463</v>
      </c>
      <c r="O81" s="78"/>
      <c r="P81" s="64">
        <v>45464</v>
      </c>
      <c r="Q81" s="236">
        <f t="shared" ref="Q81" si="25">+P81+1</f>
        <v>45465</v>
      </c>
      <c r="R81" s="32"/>
    </row>
    <row r="82" spans="1:18" ht="17.399999999999999" customHeight="1" x14ac:dyDescent="0.2">
      <c r="A82" s="76"/>
      <c r="B82" s="80"/>
      <c r="C82" s="123"/>
      <c r="D82" s="76"/>
      <c r="E82" s="76"/>
      <c r="F82" s="48"/>
      <c r="G82" s="28"/>
      <c r="H82" s="52"/>
      <c r="I82" s="37"/>
      <c r="J82" s="90"/>
      <c r="K82" s="47"/>
      <c r="L82" s="225"/>
      <c r="M82" s="234"/>
      <c r="N82" s="231"/>
      <c r="O82" s="78"/>
      <c r="P82" s="34"/>
      <c r="Q82" s="34"/>
      <c r="R82" s="32"/>
    </row>
    <row r="83" spans="1:18" ht="17.399999999999999" customHeight="1" x14ac:dyDescent="0.2">
      <c r="A83" s="76"/>
      <c r="B83" s="80"/>
      <c r="C83" s="123"/>
      <c r="D83" s="76"/>
      <c r="E83" s="76"/>
      <c r="F83" s="48"/>
      <c r="G83" s="28"/>
      <c r="H83" s="52"/>
      <c r="I83" s="37"/>
      <c r="J83" s="90"/>
      <c r="K83" s="47"/>
      <c r="L83" s="225"/>
      <c r="M83" s="234"/>
      <c r="N83" s="231"/>
      <c r="O83" s="78"/>
      <c r="P83" s="34"/>
      <c r="Q83" s="34"/>
      <c r="R83" s="32"/>
    </row>
    <row r="84" spans="1:18" ht="18" customHeight="1" x14ac:dyDescent="0.2">
      <c r="C84" s="15"/>
      <c r="D84" s="2"/>
      <c r="E84" s="4"/>
      <c r="F84" s="122">
        <f>SUM(I12:I83)</f>
        <v>198089</v>
      </c>
      <c r="G84" s="119"/>
      <c r="H84" s="119"/>
      <c r="I84" s="119"/>
      <c r="J84" s="121"/>
      <c r="K84" s="16"/>
      <c r="L84" s="224"/>
      <c r="M84" s="234"/>
      <c r="N84" s="230"/>
      <c r="O84" s="6"/>
      <c r="P84" s="6"/>
      <c r="Q84" s="21"/>
      <c r="R84" s="12"/>
    </row>
    <row r="85" spans="1:18" ht="18" customHeight="1" x14ac:dyDescent="0.2">
      <c r="C85" s="15"/>
      <c r="D85" s="56"/>
      <c r="E85" s="57"/>
      <c r="F85" s="68"/>
      <c r="G85" s="68"/>
      <c r="H85" s="68"/>
      <c r="I85" s="68"/>
      <c r="J85" s="69"/>
      <c r="K85" s="70"/>
      <c r="L85" s="224"/>
      <c r="M85" s="234"/>
      <c r="N85" s="230"/>
      <c r="O85" s="6"/>
      <c r="P85" s="6"/>
      <c r="Q85" s="21"/>
      <c r="R85" s="12"/>
    </row>
    <row r="86" spans="1:18" ht="18" customHeight="1" x14ac:dyDescent="0.2">
      <c r="C86" s="15"/>
      <c r="D86" s="66"/>
      <c r="E86" s="38"/>
      <c r="F86" s="58"/>
      <c r="G86" s="58"/>
      <c r="H86" s="58"/>
      <c r="I86" s="58"/>
      <c r="J86" s="39"/>
      <c r="K86" s="31"/>
      <c r="L86" s="227"/>
      <c r="M86" s="234"/>
      <c r="N86" s="230"/>
      <c r="O86" s="6"/>
      <c r="P86" s="6"/>
      <c r="Q86" s="21"/>
      <c r="R86" s="12"/>
    </row>
    <row r="87" spans="1:18" ht="18" customHeight="1" x14ac:dyDescent="0.2">
      <c r="C87" s="28"/>
      <c r="D87" s="59"/>
      <c r="E87" s="59"/>
      <c r="F87" s="60"/>
      <c r="G87" s="61"/>
      <c r="H87" s="62"/>
      <c r="I87" s="37"/>
      <c r="J87" s="28"/>
      <c r="K87" s="36"/>
      <c r="L87" s="227"/>
      <c r="M87" s="234"/>
      <c r="N87" s="230"/>
      <c r="O87" s="6"/>
      <c r="P87" s="6"/>
      <c r="Q87" s="21"/>
      <c r="R87" s="12"/>
    </row>
    <row r="88" spans="1:18" ht="18" customHeight="1" x14ac:dyDescent="0.2">
      <c r="C88" s="28"/>
      <c r="D88" s="59"/>
      <c r="E88" s="59"/>
      <c r="F88" s="60"/>
      <c r="G88" s="61"/>
      <c r="H88" s="62"/>
      <c r="I88" s="37"/>
      <c r="J88" s="28"/>
      <c r="K88" s="36"/>
      <c r="L88" s="227"/>
      <c r="M88" s="234"/>
      <c r="N88" s="230"/>
      <c r="O88" s="6"/>
      <c r="P88" s="6"/>
      <c r="Q88" s="21"/>
      <c r="R88" s="12"/>
    </row>
    <row r="89" spans="1:18" ht="18" customHeight="1" x14ac:dyDescent="0.2">
      <c r="A89" s="5"/>
      <c r="B89" s="5"/>
      <c r="C89" s="30"/>
      <c r="D89" s="251" t="s">
        <v>142</v>
      </c>
      <c r="E89" s="252"/>
      <c r="F89" s="253"/>
      <c r="G89" s="26"/>
      <c r="H89" s="28"/>
      <c r="I89" s="29"/>
      <c r="J89" s="84"/>
      <c r="K89" s="28"/>
      <c r="L89" s="29"/>
      <c r="M89" s="234"/>
      <c r="N89" s="230"/>
      <c r="O89" s="6"/>
      <c r="P89" s="6"/>
      <c r="Q89" s="21"/>
      <c r="R89" s="12"/>
    </row>
    <row r="90" spans="1:18" ht="18" customHeight="1" x14ac:dyDescent="0.2">
      <c r="A90" s="113" t="s">
        <v>88</v>
      </c>
      <c r="B90" s="83">
        <v>11</v>
      </c>
      <c r="C90" s="108">
        <f>+C81+1</f>
        <v>55</v>
      </c>
      <c r="D90" s="89" t="s">
        <v>23</v>
      </c>
      <c r="E90" s="89" t="s">
        <v>23</v>
      </c>
      <c r="F90" s="162" t="s">
        <v>38</v>
      </c>
      <c r="G90" s="202">
        <v>4</v>
      </c>
      <c r="H90" s="213">
        <v>2940</v>
      </c>
      <c r="I90" s="214">
        <f t="shared" ref="I90:I95" si="26">G90*H90</f>
        <v>11760</v>
      </c>
      <c r="J90" s="29"/>
      <c r="K90" s="71" t="s">
        <v>39</v>
      </c>
      <c r="L90" s="29"/>
      <c r="M90" s="235" t="s">
        <v>301</v>
      </c>
      <c r="N90" s="231">
        <v>45463</v>
      </c>
      <c r="O90" s="6"/>
      <c r="P90" s="64">
        <v>45469</v>
      </c>
      <c r="Q90" s="236">
        <f t="shared" ref="Q90:Q113" si="27">+P90+1</f>
        <v>45470</v>
      </c>
      <c r="R90" s="32"/>
    </row>
    <row r="91" spans="1:18" ht="18" customHeight="1" x14ac:dyDescent="0.2">
      <c r="A91" s="113" t="s">
        <v>51</v>
      </c>
      <c r="B91" s="83">
        <v>11</v>
      </c>
      <c r="C91" s="108">
        <f>+C90+1</f>
        <v>56</v>
      </c>
      <c r="D91" s="41" t="s">
        <v>23</v>
      </c>
      <c r="E91" s="41" t="s">
        <v>23</v>
      </c>
      <c r="F91" s="134" t="s">
        <v>90</v>
      </c>
      <c r="G91" s="201">
        <v>4</v>
      </c>
      <c r="H91" s="138">
        <v>1183</v>
      </c>
      <c r="I91" s="137">
        <f t="shared" si="26"/>
        <v>4732</v>
      </c>
      <c r="J91" s="29"/>
      <c r="K91" s="31" t="s">
        <v>89</v>
      </c>
      <c r="L91" s="29"/>
      <c r="M91" s="235" t="s">
        <v>301</v>
      </c>
      <c r="N91" s="231">
        <v>45463</v>
      </c>
      <c r="O91" s="6"/>
      <c r="P91" s="64">
        <v>45464</v>
      </c>
      <c r="Q91" s="236">
        <f t="shared" si="27"/>
        <v>45465</v>
      </c>
      <c r="R91" s="32"/>
    </row>
    <row r="92" spans="1:18" ht="18" customHeight="1" x14ac:dyDescent="0.2">
      <c r="A92" s="100" t="s">
        <v>50</v>
      </c>
      <c r="B92" s="83"/>
      <c r="C92" s="108">
        <f t="shared" ref="C92:C126" si="28">+C91+1</f>
        <v>57</v>
      </c>
      <c r="D92" s="41" t="s">
        <v>23</v>
      </c>
      <c r="E92" s="41" t="s">
        <v>23</v>
      </c>
      <c r="F92" s="134" t="s">
        <v>143</v>
      </c>
      <c r="G92" s="201">
        <v>6</v>
      </c>
      <c r="H92" s="138">
        <v>410</v>
      </c>
      <c r="I92" s="137">
        <f t="shared" si="26"/>
        <v>2460</v>
      </c>
      <c r="J92" s="29"/>
      <c r="K92" s="31" t="s">
        <v>144</v>
      </c>
      <c r="L92" s="29"/>
      <c r="M92" s="235" t="s">
        <v>301</v>
      </c>
      <c r="N92" s="231">
        <v>45463</v>
      </c>
      <c r="O92" s="6"/>
      <c r="P92" s="64">
        <v>45467</v>
      </c>
      <c r="Q92" s="236">
        <f t="shared" si="27"/>
        <v>45468</v>
      </c>
      <c r="R92" s="32"/>
    </row>
    <row r="93" spans="1:18" ht="18" customHeight="1" x14ac:dyDescent="0.2">
      <c r="A93" s="113" t="s">
        <v>51</v>
      </c>
      <c r="B93" s="83">
        <v>11</v>
      </c>
      <c r="C93" s="108">
        <f t="shared" si="28"/>
        <v>58</v>
      </c>
      <c r="D93" s="41" t="s">
        <v>23</v>
      </c>
      <c r="E93" s="41" t="s">
        <v>23</v>
      </c>
      <c r="F93" s="134" t="s">
        <v>92</v>
      </c>
      <c r="G93" s="201">
        <v>4</v>
      </c>
      <c r="H93" s="138">
        <v>188</v>
      </c>
      <c r="I93" s="137">
        <f t="shared" si="26"/>
        <v>752</v>
      </c>
      <c r="J93" s="29"/>
      <c r="K93" s="31" t="s">
        <v>93</v>
      </c>
      <c r="L93" s="29"/>
      <c r="M93" s="235" t="s">
        <v>301</v>
      </c>
      <c r="N93" s="231">
        <v>45463</v>
      </c>
      <c r="O93" s="6"/>
      <c r="P93" s="64">
        <v>45464</v>
      </c>
      <c r="Q93" s="236">
        <f t="shared" si="27"/>
        <v>45465</v>
      </c>
      <c r="R93" s="32"/>
    </row>
    <row r="94" spans="1:18" ht="18" customHeight="1" x14ac:dyDescent="0.2">
      <c r="A94" s="113" t="s">
        <v>51</v>
      </c>
      <c r="B94" s="83"/>
      <c r="C94" s="108">
        <f t="shared" si="28"/>
        <v>59</v>
      </c>
      <c r="D94" s="41" t="s">
        <v>23</v>
      </c>
      <c r="E94" s="41" t="s">
        <v>23</v>
      </c>
      <c r="F94" s="134" t="s">
        <v>99</v>
      </c>
      <c r="G94" s="201">
        <v>8</v>
      </c>
      <c r="H94" s="138">
        <v>47</v>
      </c>
      <c r="I94" s="137">
        <f t="shared" si="26"/>
        <v>376</v>
      </c>
      <c r="J94" s="29"/>
      <c r="K94" s="31" t="s">
        <v>100</v>
      </c>
      <c r="L94" s="29"/>
      <c r="M94" s="235" t="s">
        <v>301</v>
      </c>
      <c r="N94" s="231">
        <v>45463</v>
      </c>
      <c r="O94" s="6"/>
      <c r="P94" s="64">
        <v>45464</v>
      </c>
      <c r="Q94" s="236">
        <f t="shared" si="27"/>
        <v>45465</v>
      </c>
      <c r="R94" s="32"/>
    </row>
    <row r="95" spans="1:18" ht="18" customHeight="1" x14ac:dyDescent="0.2">
      <c r="A95" s="113" t="s">
        <v>51</v>
      </c>
      <c r="B95" s="83"/>
      <c r="C95" s="108">
        <f t="shared" si="28"/>
        <v>60</v>
      </c>
      <c r="D95" s="41" t="s">
        <v>23</v>
      </c>
      <c r="E95" s="41" t="s">
        <v>23</v>
      </c>
      <c r="F95" s="134" t="s">
        <v>145</v>
      </c>
      <c r="G95" s="201">
        <v>4</v>
      </c>
      <c r="H95" s="138">
        <v>66</v>
      </c>
      <c r="I95" s="137">
        <f t="shared" si="26"/>
        <v>264</v>
      </c>
      <c r="J95" s="29"/>
      <c r="K95" s="71" t="s">
        <v>146</v>
      </c>
      <c r="L95" s="29"/>
      <c r="M95" s="235" t="s">
        <v>301</v>
      </c>
      <c r="N95" s="231">
        <v>45463</v>
      </c>
      <c r="O95" s="6"/>
      <c r="P95" s="64">
        <v>45464</v>
      </c>
      <c r="Q95" s="236">
        <f t="shared" si="27"/>
        <v>45465</v>
      </c>
      <c r="R95" s="32"/>
    </row>
    <row r="96" spans="1:18" ht="18" customHeight="1" x14ac:dyDescent="0.2">
      <c r="A96" s="113" t="s">
        <v>51</v>
      </c>
      <c r="B96" s="83">
        <v>11</v>
      </c>
      <c r="C96" s="108">
        <f t="shared" si="28"/>
        <v>61</v>
      </c>
      <c r="D96" s="41" t="s">
        <v>23</v>
      </c>
      <c r="E96" s="41" t="s">
        <v>23</v>
      </c>
      <c r="F96" s="134" t="s">
        <v>94</v>
      </c>
      <c r="G96" s="201">
        <v>4</v>
      </c>
      <c r="H96" s="138">
        <v>156</v>
      </c>
      <c r="I96" s="137">
        <f>G96*H96</f>
        <v>624</v>
      </c>
      <c r="J96" s="29"/>
      <c r="K96" s="71" t="s">
        <v>40</v>
      </c>
      <c r="L96" s="29"/>
      <c r="M96" s="235" t="s">
        <v>301</v>
      </c>
      <c r="N96" s="231">
        <v>45463</v>
      </c>
      <c r="O96" s="6"/>
      <c r="P96" s="64">
        <v>45464</v>
      </c>
      <c r="Q96" s="236">
        <f t="shared" si="27"/>
        <v>45465</v>
      </c>
      <c r="R96" s="32"/>
    </row>
    <row r="97" spans="1:18" ht="18" customHeight="1" x14ac:dyDescent="0.2">
      <c r="A97" s="113" t="s">
        <v>51</v>
      </c>
      <c r="B97" s="83">
        <v>11</v>
      </c>
      <c r="C97" s="108">
        <f t="shared" si="28"/>
        <v>62</v>
      </c>
      <c r="D97" s="41" t="s">
        <v>23</v>
      </c>
      <c r="E97" s="41" t="s">
        <v>23</v>
      </c>
      <c r="F97" s="134" t="s">
        <v>95</v>
      </c>
      <c r="G97" s="201">
        <v>8</v>
      </c>
      <c r="H97" s="138">
        <v>178</v>
      </c>
      <c r="I97" s="137">
        <f t="shared" ref="I97:I126" si="29">G97*H97</f>
        <v>1424</v>
      </c>
      <c r="J97" s="29"/>
      <c r="K97" s="71" t="s">
        <v>40</v>
      </c>
      <c r="L97" s="29"/>
      <c r="M97" s="235" t="s">
        <v>301</v>
      </c>
      <c r="N97" s="231">
        <v>45463</v>
      </c>
      <c r="O97" s="6"/>
      <c r="P97" s="64">
        <v>45464</v>
      </c>
      <c r="Q97" s="236">
        <f t="shared" si="27"/>
        <v>45465</v>
      </c>
      <c r="R97" s="32"/>
    </row>
    <row r="98" spans="1:18" ht="18" customHeight="1" x14ac:dyDescent="0.2">
      <c r="A98" s="113" t="s">
        <v>91</v>
      </c>
      <c r="B98" s="83">
        <v>11</v>
      </c>
      <c r="C98" s="108">
        <f t="shared" si="28"/>
        <v>63</v>
      </c>
      <c r="D98" s="41" t="s">
        <v>23</v>
      </c>
      <c r="E98" s="41" t="s">
        <v>23</v>
      </c>
      <c r="F98" s="134" t="s">
        <v>136</v>
      </c>
      <c r="G98" s="201">
        <v>4</v>
      </c>
      <c r="H98" s="138">
        <v>1260</v>
      </c>
      <c r="I98" s="137">
        <f t="shared" si="29"/>
        <v>5040</v>
      </c>
      <c r="J98" s="29"/>
      <c r="K98" s="71" t="s">
        <v>96</v>
      </c>
      <c r="L98" s="29"/>
      <c r="M98" s="235" t="s">
        <v>301</v>
      </c>
      <c r="N98" s="231">
        <v>45463</v>
      </c>
      <c r="O98" s="6"/>
      <c r="P98" s="64">
        <v>45467</v>
      </c>
      <c r="Q98" s="236">
        <f t="shared" si="27"/>
        <v>45468</v>
      </c>
      <c r="R98" s="32"/>
    </row>
    <row r="99" spans="1:18" ht="18" customHeight="1" x14ac:dyDescent="0.2">
      <c r="A99" s="113" t="s">
        <v>51</v>
      </c>
      <c r="B99" s="83">
        <v>11</v>
      </c>
      <c r="C99" s="108">
        <f t="shared" si="28"/>
        <v>64</v>
      </c>
      <c r="D99" s="41" t="s">
        <v>23</v>
      </c>
      <c r="E99" s="41" t="s">
        <v>23</v>
      </c>
      <c r="F99" s="134" t="s">
        <v>97</v>
      </c>
      <c r="G99" s="201">
        <v>6</v>
      </c>
      <c r="H99" s="138">
        <v>47</v>
      </c>
      <c r="I99" s="137">
        <f t="shared" si="29"/>
        <v>282</v>
      </c>
      <c r="J99" s="29"/>
      <c r="K99" s="31" t="s">
        <v>98</v>
      </c>
      <c r="L99" s="29"/>
      <c r="M99" s="235" t="s">
        <v>301</v>
      </c>
      <c r="N99" s="231">
        <v>45463</v>
      </c>
      <c r="O99" s="6"/>
      <c r="P99" s="64">
        <v>45464</v>
      </c>
      <c r="Q99" s="236">
        <f t="shared" si="27"/>
        <v>45465</v>
      </c>
      <c r="R99" s="32"/>
    </row>
    <row r="100" spans="1:18" ht="18" customHeight="1" x14ac:dyDescent="0.2">
      <c r="A100" s="113" t="s">
        <v>91</v>
      </c>
      <c r="B100" s="83">
        <v>11</v>
      </c>
      <c r="C100" s="108">
        <f t="shared" si="28"/>
        <v>65</v>
      </c>
      <c r="D100" s="41" t="s">
        <v>23</v>
      </c>
      <c r="E100" s="41" t="s">
        <v>23</v>
      </c>
      <c r="F100" s="155" t="s">
        <v>137</v>
      </c>
      <c r="G100" s="201">
        <v>2</v>
      </c>
      <c r="H100" s="138">
        <v>1160</v>
      </c>
      <c r="I100" s="137">
        <f t="shared" si="29"/>
        <v>2320</v>
      </c>
      <c r="J100" s="29"/>
      <c r="K100" s="71" t="s">
        <v>96</v>
      </c>
      <c r="L100" s="29"/>
      <c r="M100" s="235" t="s">
        <v>301</v>
      </c>
      <c r="N100" s="231">
        <v>45463</v>
      </c>
      <c r="O100" s="6"/>
      <c r="P100" s="64">
        <v>45467</v>
      </c>
      <c r="Q100" s="236">
        <f t="shared" si="27"/>
        <v>45468</v>
      </c>
      <c r="R100" s="32"/>
    </row>
    <row r="101" spans="1:18" ht="18" customHeight="1" x14ac:dyDescent="0.2">
      <c r="A101" s="113" t="s">
        <v>91</v>
      </c>
      <c r="B101" s="83">
        <v>11</v>
      </c>
      <c r="C101" s="108">
        <f t="shared" si="28"/>
        <v>66</v>
      </c>
      <c r="D101" s="41" t="s">
        <v>23</v>
      </c>
      <c r="E101" s="41" t="s">
        <v>23</v>
      </c>
      <c r="F101" s="134" t="s">
        <v>138</v>
      </c>
      <c r="G101" s="201">
        <v>2</v>
      </c>
      <c r="H101" s="138">
        <v>1450</v>
      </c>
      <c r="I101" s="137">
        <f t="shared" si="29"/>
        <v>2900</v>
      </c>
      <c r="J101" s="29"/>
      <c r="K101" s="71" t="s">
        <v>96</v>
      </c>
      <c r="L101" s="29"/>
      <c r="M101" s="235" t="s">
        <v>301</v>
      </c>
      <c r="N101" s="231">
        <v>45463</v>
      </c>
      <c r="O101" s="6"/>
      <c r="P101" s="64">
        <v>45467</v>
      </c>
      <c r="Q101" s="236">
        <f t="shared" si="27"/>
        <v>45468</v>
      </c>
      <c r="R101" s="32"/>
    </row>
    <row r="102" spans="1:18" ht="18" customHeight="1" x14ac:dyDescent="0.2">
      <c r="A102" s="113" t="s">
        <v>101</v>
      </c>
      <c r="B102" s="83">
        <v>11</v>
      </c>
      <c r="C102" s="108">
        <f t="shared" si="28"/>
        <v>67</v>
      </c>
      <c r="D102" s="41" t="s">
        <v>23</v>
      </c>
      <c r="E102" s="41" t="s">
        <v>23</v>
      </c>
      <c r="F102" s="134" t="s">
        <v>102</v>
      </c>
      <c r="G102" s="201">
        <v>6</v>
      </c>
      <c r="H102" s="138">
        <v>756</v>
      </c>
      <c r="I102" s="137">
        <f t="shared" si="29"/>
        <v>4536</v>
      </c>
      <c r="J102" s="29"/>
      <c r="K102" s="31" t="s">
        <v>103</v>
      </c>
      <c r="L102" s="29"/>
      <c r="M102" s="235" t="s">
        <v>301</v>
      </c>
      <c r="N102" s="231">
        <v>45463</v>
      </c>
      <c r="O102" s="6"/>
      <c r="P102" s="64">
        <v>45471</v>
      </c>
      <c r="Q102" s="236">
        <f t="shared" si="27"/>
        <v>45472</v>
      </c>
      <c r="R102" s="32"/>
    </row>
    <row r="103" spans="1:18" ht="18" customHeight="1" x14ac:dyDescent="0.2">
      <c r="A103" s="113" t="s">
        <v>51</v>
      </c>
      <c r="B103" s="83">
        <v>11</v>
      </c>
      <c r="C103" s="108">
        <f t="shared" si="28"/>
        <v>68</v>
      </c>
      <c r="D103" s="41" t="s">
        <v>23</v>
      </c>
      <c r="E103" s="41" t="s">
        <v>23</v>
      </c>
      <c r="F103" s="134" t="s">
        <v>44</v>
      </c>
      <c r="G103" s="201">
        <v>10</v>
      </c>
      <c r="H103" s="138">
        <v>29</v>
      </c>
      <c r="I103" s="137">
        <f t="shared" si="29"/>
        <v>290</v>
      </c>
      <c r="J103" s="29"/>
      <c r="K103" s="71" t="s">
        <v>53</v>
      </c>
      <c r="L103" s="29"/>
      <c r="M103" s="235" t="s">
        <v>301</v>
      </c>
      <c r="N103" s="231">
        <v>45463</v>
      </c>
      <c r="O103" s="6"/>
      <c r="P103" s="64">
        <v>45464</v>
      </c>
      <c r="Q103" s="236">
        <f t="shared" si="27"/>
        <v>45465</v>
      </c>
      <c r="R103" s="32"/>
    </row>
    <row r="104" spans="1:18" ht="18" customHeight="1" x14ac:dyDescent="0.2">
      <c r="A104" s="113" t="s">
        <v>51</v>
      </c>
      <c r="B104" s="83"/>
      <c r="C104" s="108">
        <f t="shared" si="28"/>
        <v>69</v>
      </c>
      <c r="D104" s="41" t="s">
        <v>23</v>
      </c>
      <c r="E104" s="41" t="s">
        <v>23</v>
      </c>
      <c r="F104" s="134" t="s">
        <v>139</v>
      </c>
      <c r="G104" s="201">
        <v>10</v>
      </c>
      <c r="H104" s="138">
        <v>29</v>
      </c>
      <c r="I104" s="137">
        <f t="shared" si="29"/>
        <v>290</v>
      </c>
      <c r="J104" s="29"/>
      <c r="K104" s="73" t="s">
        <v>147</v>
      </c>
      <c r="L104" s="29"/>
      <c r="M104" s="235" t="s">
        <v>301</v>
      </c>
      <c r="N104" s="231">
        <v>45463</v>
      </c>
      <c r="O104" s="6"/>
      <c r="P104" s="64">
        <v>45464</v>
      </c>
      <c r="Q104" s="236">
        <f t="shared" si="27"/>
        <v>45465</v>
      </c>
      <c r="R104" s="32"/>
    </row>
    <row r="105" spans="1:18" ht="18" customHeight="1" x14ac:dyDescent="0.2">
      <c r="A105" s="113" t="s">
        <v>51</v>
      </c>
      <c r="B105" s="83"/>
      <c r="C105" s="108">
        <f t="shared" si="28"/>
        <v>70</v>
      </c>
      <c r="D105" s="112" t="s">
        <v>23</v>
      </c>
      <c r="E105" s="112" t="s">
        <v>23</v>
      </c>
      <c r="F105" s="163" t="s">
        <v>140</v>
      </c>
      <c r="G105" s="203">
        <v>10</v>
      </c>
      <c r="H105" s="215">
        <v>26</v>
      </c>
      <c r="I105" s="216">
        <f t="shared" si="29"/>
        <v>260</v>
      </c>
      <c r="J105" s="110"/>
      <c r="K105" s="111" t="s">
        <v>141</v>
      </c>
      <c r="L105" s="29"/>
      <c r="M105" s="235" t="s">
        <v>301</v>
      </c>
      <c r="N105" s="231">
        <v>45463</v>
      </c>
      <c r="O105" s="6"/>
      <c r="P105" s="64">
        <v>45464</v>
      </c>
      <c r="Q105" s="236">
        <f t="shared" si="27"/>
        <v>45465</v>
      </c>
      <c r="R105" s="32"/>
    </row>
    <row r="106" spans="1:18" ht="18" customHeight="1" x14ac:dyDescent="0.2">
      <c r="A106" s="113" t="s">
        <v>51</v>
      </c>
      <c r="B106" s="83">
        <v>11</v>
      </c>
      <c r="C106" s="108">
        <f t="shared" si="28"/>
        <v>71</v>
      </c>
      <c r="D106" s="41" t="s">
        <v>23</v>
      </c>
      <c r="E106" s="41" t="s">
        <v>23</v>
      </c>
      <c r="F106" s="155" t="s">
        <v>104</v>
      </c>
      <c r="G106" s="204">
        <v>22</v>
      </c>
      <c r="H106" s="141">
        <v>29</v>
      </c>
      <c r="I106" s="139">
        <f t="shared" si="29"/>
        <v>638</v>
      </c>
      <c r="J106" s="72"/>
      <c r="K106" s="49" t="s">
        <v>105</v>
      </c>
      <c r="L106" s="29"/>
      <c r="M106" s="235" t="s">
        <v>301</v>
      </c>
      <c r="N106" s="231">
        <v>45463</v>
      </c>
      <c r="O106" s="6"/>
      <c r="P106" s="64">
        <v>45464</v>
      </c>
      <c r="Q106" s="236">
        <f t="shared" si="27"/>
        <v>45465</v>
      </c>
      <c r="R106" s="32"/>
    </row>
    <row r="107" spans="1:18" ht="18" customHeight="1" x14ac:dyDescent="0.2">
      <c r="A107" s="113" t="s">
        <v>91</v>
      </c>
      <c r="B107" s="83">
        <v>11</v>
      </c>
      <c r="C107" s="108">
        <f t="shared" si="28"/>
        <v>72</v>
      </c>
      <c r="D107" s="41" t="s">
        <v>23</v>
      </c>
      <c r="E107" s="41" t="s">
        <v>23</v>
      </c>
      <c r="F107" s="164" t="s">
        <v>106</v>
      </c>
      <c r="G107" s="201">
        <v>4</v>
      </c>
      <c r="H107" s="138">
        <v>3474</v>
      </c>
      <c r="I107" s="137">
        <f t="shared" si="29"/>
        <v>13896</v>
      </c>
      <c r="J107" s="29"/>
      <c r="K107" s="31" t="s">
        <v>107</v>
      </c>
      <c r="L107" s="29"/>
      <c r="M107" s="235" t="s">
        <v>301</v>
      </c>
      <c r="N107" s="231">
        <v>45463</v>
      </c>
      <c r="O107" s="6"/>
      <c r="P107" s="64">
        <v>45467</v>
      </c>
      <c r="Q107" s="236">
        <f t="shared" si="27"/>
        <v>45468</v>
      </c>
      <c r="R107" s="32"/>
    </row>
    <row r="108" spans="1:18" ht="18" customHeight="1" x14ac:dyDescent="0.2">
      <c r="A108" s="113" t="s">
        <v>91</v>
      </c>
      <c r="B108" s="83">
        <v>11</v>
      </c>
      <c r="C108" s="108">
        <f t="shared" si="28"/>
        <v>73</v>
      </c>
      <c r="D108" s="41" t="s">
        <v>23</v>
      </c>
      <c r="E108" s="41" t="s">
        <v>23</v>
      </c>
      <c r="F108" s="164" t="s">
        <v>108</v>
      </c>
      <c r="G108" s="201">
        <v>2</v>
      </c>
      <c r="H108" s="138">
        <v>2419</v>
      </c>
      <c r="I108" s="137">
        <f t="shared" si="29"/>
        <v>4838</v>
      </c>
      <c r="J108" s="29"/>
      <c r="K108" s="31" t="s">
        <v>109</v>
      </c>
      <c r="L108" s="29"/>
      <c r="M108" s="235" t="s">
        <v>301</v>
      </c>
      <c r="N108" s="231">
        <v>45463</v>
      </c>
      <c r="O108" s="6"/>
      <c r="P108" s="64">
        <v>45467</v>
      </c>
      <c r="Q108" s="236">
        <f t="shared" si="27"/>
        <v>45468</v>
      </c>
      <c r="R108" s="32"/>
    </row>
    <row r="109" spans="1:18" ht="18" customHeight="1" x14ac:dyDescent="0.2">
      <c r="A109" s="113" t="s">
        <v>110</v>
      </c>
      <c r="B109" s="83">
        <v>11</v>
      </c>
      <c r="C109" s="108">
        <f t="shared" si="28"/>
        <v>74</v>
      </c>
      <c r="D109" s="30" t="s">
        <v>48</v>
      </c>
      <c r="E109" s="30" t="s">
        <v>27</v>
      </c>
      <c r="F109" s="164" t="s">
        <v>111</v>
      </c>
      <c r="G109" s="201">
        <v>2</v>
      </c>
      <c r="H109" s="138">
        <v>7393</v>
      </c>
      <c r="I109" s="137">
        <f t="shared" si="29"/>
        <v>14786</v>
      </c>
      <c r="J109" s="28"/>
      <c r="K109" s="85" t="s">
        <v>112</v>
      </c>
      <c r="L109" s="29"/>
      <c r="M109" s="235" t="s">
        <v>301</v>
      </c>
      <c r="N109" s="231">
        <v>45463</v>
      </c>
      <c r="O109" s="6"/>
      <c r="P109" s="64">
        <v>45471</v>
      </c>
      <c r="Q109" s="236">
        <f t="shared" si="27"/>
        <v>45472</v>
      </c>
      <c r="R109" s="32"/>
    </row>
    <row r="110" spans="1:18" ht="18" customHeight="1" x14ac:dyDescent="0.2">
      <c r="A110" s="113" t="s">
        <v>113</v>
      </c>
      <c r="B110" s="83">
        <v>11</v>
      </c>
      <c r="C110" s="108">
        <f t="shared" si="28"/>
        <v>75</v>
      </c>
      <c r="D110" s="30" t="s">
        <v>48</v>
      </c>
      <c r="E110" s="30" t="s">
        <v>27</v>
      </c>
      <c r="F110" s="134" t="s">
        <v>208</v>
      </c>
      <c r="G110" s="201">
        <v>1</v>
      </c>
      <c r="H110" s="138">
        <v>63907</v>
      </c>
      <c r="I110" s="137">
        <f t="shared" si="29"/>
        <v>63907</v>
      </c>
      <c r="J110" s="28"/>
      <c r="K110" s="73" t="s">
        <v>293</v>
      </c>
      <c r="L110" s="29"/>
      <c r="M110" s="235" t="s">
        <v>301</v>
      </c>
      <c r="N110" s="231">
        <v>45463</v>
      </c>
      <c r="O110" s="6"/>
      <c r="P110" s="64">
        <v>45475</v>
      </c>
      <c r="Q110" s="236">
        <f t="shared" si="27"/>
        <v>45476</v>
      </c>
      <c r="R110" s="32"/>
    </row>
    <row r="111" spans="1:18" ht="18" customHeight="1" x14ac:dyDescent="0.2">
      <c r="A111" s="114" t="s">
        <v>51</v>
      </c>
      <c r="B111" s="83">
        <v>11</v>
      </c>
      <c r="C111" s="108">
        <f t="shared" si="28"/>
        <v>76</v>
      </c>
      <c r="D111" s="28" t="s">
        <v>114</v>
      </c>
      <c r="E111" s="41" t="s">
        <v>23</v>
      </c>
      <c r="F111" s="165">
        <v>620705016</v>
      </c>
      <c r="G111" s="205">
        <v>10</v>
      </c>
      <c r="H111" s="209">
        <v>28</v>
      </c>
      <c r="I111" s="217">
        <f t="shared" si="29"/>
        <v>280</v>
      </c>
      <c r="J111" s="29"/>
      <c r="K111" s="86" t="s">
        <v>154</v>
      </c>
      <c r="L111" s="29"/>
      <c r="M111" s="235" t="s">
        <v>301</v>
      </c>
      <c r="N111" s="231">
        <v>45463</v>
      </c>
      <c r="O111" s="6"/>
      <c r="P111" s="64">
        <v>45464</v>
      </c>
      <c r="Q111" s="236">
        <f t="shared" si="27"/>
        <v>45465</v>
      </c>
      <c r="R111" s="32"/>
    </row>
    <row r="112" spans="1:18" ht="18" customHeight="1" x14ac:dyDescent="0.2">
      <c r="A112" s="113" t="s">
        <v>91</v>
      </c>
      <c r="B112" s="83">
        <v>11</v>
      </c>
      <c r="C112" s="108">
        <f t="shared" si="28"/>
        <v>77</v>
      </c>
      <c r="D112" s="41" t="s">
        <v>23</v>
      </c>
      <c r="E112" s="41" t="s">
        <v>23</v>
      </c>
      <c r="F112" s="166" t="s">
        <v>115</v>
      </c>
      <c r="G112" s="201">
        <v>2</v>
      </c>
      <c r="H112" s="138">
        <v>6080</v>
      </c>
      <c r="I112" s="218">
        <f t="shared" si="29"/>
        <v>12160</v>
      </c>
      <c r="J112" s="84"/>
      <c r="K112" s="27" t="s">
        <v>116</v>
      </c>
      <c r="L112" s="29"/>
      <c r="M112" s="235" t="s">
        <v>301</v>
      </c>
      <c r="N112" s="231">
        <v>45463</v>
      </c>
      <c r="O112" s="6"/>
      <c r="P112" s="64">
        <v>45467</v>
      </c>
      <c r="Q112" s="236">
        <f t="shared" si="27"/>
        <v>45468</v>
      </c>
      <c r="R112" s="32"/>
    </row>
    <row r="113" spans="1:18" ht="18" customHeight="1" x14ac:dyDescent="0.2">
      <c r="A113" s="100" t="s">
        <v>88</v>
      </c>
      <c r="B113" s="83">
        <v>11</v>
      </c>
      <c r="C113" s="108">
        <f t="shared" si="28"/>
        <v>78</v>
      </c>
      <c r="D113" s="41" t="s">
        <v>23</v>
      </c>
      <c r="E113" s="41" t="s">
        <v>23</v>
      </c>
      <c r="F113" s="166" t="s">
        <v>122</v>
      </c>
      <c r="G113" s="201">
        <v>6</v>
      </c>
      <c r="H113" s="138">
        <v>570</v>
      </c>
      <c r="I113" s="218">
        <f t="shared" si="29"/>
        <v>3420</v>
      </c>
      <c r="J113" s="84"/>
      <c r="K113" s="27" t="s">
        <v>123</v>
      </c>
      <c r="L113" s="29"/>
      <c r="M113" s="235" t="s">
        <v>301</v>
      </c>
      <c r="N113" s="231">
        <v>45463</v>
      </c>
      <c r="O113" s="6"/>
      <c r="P113" s="64">
        <v>45469</v>
      </c>
      <c r="Q113" s="236">
        <f t="shared" si="27"/>
        <v>45470</v>
      </c>
      <c r="R113" s="32"/>
    </row>
    <row r="114" spans="1:18" ht="18" customHeight="1" x14ac:dyDescent="0.2">
      <c r="A114" s="113" t="s">
        <v>51</v>
      </c>
      <c r="B114" s="83">
        <v>11</v>
      </c>
      <c r="C114" s="108">
        <f t="shared" si="28"/>
        <v>79</v>
      </c>
      <c r="D114" s="195" t="s">
        <v>23</v>
      </c>
      <c r="E114" s="195" t="s">
        <v>23</v>
      </c>
      <c r="F114" s="196" t="s">
        <v>47</v>
      </c>
      <c r="G114" s="190"/>
      <c r="H114" s="190">
        <v>23</v>
      </c>
      <c r="I114" s="189">
        <f t="shared" si="29"/>
        <v>0</v>
      </c>
      <c r="J114" s="197"/>
      <c r="K114" s="198" t="s">
        <v>149</v>
      </c>
      <c r="L114" s="29"/>
      <c r="M114" s="234"/>
      <c r="N114" s="231"/>
      <c r="O114" s="6"/>
      <c r="P114" s="34"/>
      <c r="Q114" s="21"/>
      <c r="R114" s="32"/>
    </row>
    <row r="115" spans="1:18" ht="18" customHeight="1" x14ac:dyDescent="0.2">
      <c r="A115" s="113" t="s">
        <v>51</v>
      </c>
      <c r="B115" s="83">
        <v>11</v>
      </c>
      <c r="C115" s="108">
        <f t="shared" si="28"/>
        <v>80</v>
      </c>
      <c r="D115" s="63" t="s">
        <v>23</v>
      </c>
      <c r="E115" s="63" t="s">
        <v>23</v>
      </c>
      <c r="F115" s="158" t="s">
        <v>124</v>
      </c>
      <c r="G115" s="158">
        <v>4</v>
      </c>
      <c r="H115" s="207">
        <v>155</v>
      </c>
      <c r="I115" s="137">
        <f t="shared" si="29"/>
        <v>620</v>
      </c>
      <c r="J115" s="39"/>
      <c r="K115" s="87" t="s">
        <v>148</v>
      </c>
      <c r="L115" s="29"/>
      <c r="M115" s="235" t="s">
        <v>301</v>
      </c>
      <c r="N115" s="231">
        <v>45463</v>
      </c>
      <c r="O115" s="6"/>
      <c r="P115" s="64">
        <v>45464</v>
      </c>
      <c r="Q115" s="236">
        <f t="shared" ref="Q115:Q126" si="30">+P115+1</f>
        <v>45465</v>
      </c>
      <c r="R115" s="32"/>
    </row>
    <row r="116" spans="1:18" ht="18" customHeight="1" x14ac:dyDescent="0.2">
      <c r="A116" s="113" t="s">
        <v>51</v>
      </c>
      <c r="B116" s="83">
        <v>11</v>
      </c>
      <c r="C116" s="108">
        <f t="shared" si="28"/>
        <v>81</v>
      </c>
      <c r="D116" s="63" t="s">
        <v>23</v>
      </c>
      <c r="E116" s="63" t="s">
        <v>23</v>
      </c>
      <c r="F116" s="158" t="s">
        <v>117</v>
      </c>
      <c r="G116" s="158">
        <v>8</v>
      </c>
      <c r="H116" s="207">
        <v>94</v>
      </c>
      <c r="I116" s="137">
        <f t="shared" si="29"/>
        <v>752</v>
      </c>
      <c r="J116" s="39"/>
      <c r="K116" s="87" t="s">
        <v>150</v>
      </c>
      <c r="L116" s="29"/>
      <c r="M116" s="235" t="s">
        <v>301</v>
      </c>
      <c r="N116" s="231">
        <v>45463</v>
      </c>
      <c r="O116" s="6"/>
      <c r="P116" s="64">
        <v>45464</v>
      </c>
      <c r="Q116" s="236">
        <f t="shared" si="30"/>
        <v>45465</v>
      </c>
      <c r="R116" s="32"/>
    </row>
    <row r="117" spans="1:18" ht="18" customHeight="1" x14ac:dyDescent="0.2">
      <c r="A117" s="113" t="s">
        <v>51</v>
      </c>
      <c r="B117" s="83">
        <v>11</v>
      </c>
      <c r="C117" s="108">
        <f t="shared" si="28"/>
        <v>82</v>
      </c>
      <c r="D117" s="63" t="s">
        <v>23</v>
      </c>
      <c r="E117" s="63" t="s">
        <v>23</v>
      </c>
      <c r="F117" s="167" t="s">
        <v>127</v>
      </c>
      <c r="G117" s="167">
        <v>1</v>
      </c>
      <c r="H117" s="219">
        <v>880</v>
      </c>
      <c r="I117" s="214">
        <f t="shared" si="29"/>
        <v>880</v>
      </c>
      <c r="J117" s="90"/>
      <c r="K117" s="91" t="s">
        <v>128</v>
      </c>
      <c r="L117" s="29"/>
      <c r="M117" s="235" t="s">
        <v>301</v>
      </c>
      <c r="N117" s="231">
        <v>45463</v>
      </c>
      <c r="O117" s="6"/>
      <c r="P117" s="64">
        <v>45464</v>
      </c>
      <c r="Q117" s="236">
        <f t="shared" si="30"/>
        <v>45465</v>
      </c>
      <c r="R117" s="32"/>
    </row>
    <row r="118" spans="1:18" ht="18" customHeight="1" x14ac:dyDescent="0.2">
      <c r="A118" s="114" t="s">
        <v>51</v>
      </c>
      <c r="B118" s="83">
        <v>11</v>
      </c>
      <c r="C118" s="108">
        <f t="shared" si="28"/>
        <v>83</v>
      </c>
      <c r="D118" s="89" t="s">
        <v>23</v>
      </c>
      <c r="E118" s="89" t="s">
        <v>23</v>
      </c>
      <c r="F118" s="160" t="s">
        <v>42</v>
      </c>
      <c r="G118" s="200">
        <v>10</v>
      </c>
      <c r="H118" s="220">
        <v>25</v>
      </c>
      <c r="I118" s="150">
        <f t="shared" si="29"/>
        <v>250</v>
      </c>
      <c r="J118" s="115"/>
      <c r="K118" s="116" t="s">
        <v>207</v>
      </c>
      <c r="L118" s="29"/>
      <c r="M118" s="235" t="s">
        <v>301</v>
      </c>
      <c r="N118" s="231">
        <v>45463</v>
      </c>
      <c r="O118" s="6"/>
      <c r="P118" s="64">
        <v>45464</v>
      </c>
      <c r="Q118" s="236">
        <f t="shared" si="30"/>
        <v>45465</v>
      </c>
      <c r="R118" s="32"/>
    </row>
    <row r="119" spans="1:18" ht="18" customHeight="1" x14ac:dyDescent="0.2">
      <c r="A119" s="114" t="s">
        <v>52</v>
      </c>
      <c r="B119" s="83"/>
      <c r="C119" s="108">
        <f t="shared" si="28"/>
        <v>84</v>
      </c>
      <c r="D119" s="63" t="s">
        <v>23</v>
      </c>
      <c r="E119" s="63" t="s">
        <v>23</v>
      </c>
      <c r="F119" s="134" t="s">
        <v>151</v>
      </c>
      <c r="G119" s="201">
        <v>6</v>
      </c>
      <c r="H119" s="138">
        <v>1230</v>
      </c>
      <c r="I119" s="137">
        <f t="shared" si="29"/>
        <v>7380</v>
      </c>
      <c r="J119" s="29"/>
      <c r="K119" s="73" t="s">
        <v>155</v>
      </c>
      <c r="L119" s="29"/>
      <c r="M119" s="235" t="s">
        <v>301</v>
      </c>
      <c r="N119" s="231">
        <v>45463</v>
      </c>
      <c r="O119" s="6"/>
      <c r="P119" s="64">
        <v>45465</v>
      </c>
      <c r="Q119" s="236">
        <f t="shared" si="30"/>
        <v>45466</v>
      </c>
      <c r="R119" s="32"/>
    </row>
    <row r="120" spans="1:18" ht="18" customHeight="1" x14ac:dyDescent="0.2">
      <c r="A120" s="113" t="s">
        <v>51</v>
      </c>
      <c r="B120" s="83">
        <v>11</v>
      </c>
      <c r="C120" s="108">
        <f t="shared" si="28"/>
        <v>85</v>
      </c>
      <c r="D120" s="41" t="s">
        <v>23</v>
      </c>
      <c r="E120" s="41" t="s">
        <v>23</v>
      </c>
      <c r="F120" s="134" t="s">
        <v>43</v>
      </c>
      <c r="G120" s="201">
        <v>12</v>
      </c>
      <c r="H120" s="138">
        <v>51</v>
      </c>
      <c r="I120" s="137">
        <f t="shared" si="29"/>
        <v>612</v>
      </c>
      <c r="J120" s="29"/>
      <c r="K120" s="73" t="s">
        <v>119</v>
      </c>
      <c r="L120" s="29"/>
      <c r="M120" s="235" t="s">
        <v>301</v>
      </c>
      <c r="N120" s="231">
        <v>45463</v>
      </c>
      <c r="O120" s="6"/>
      <c r="P120" s="64">
        <v>45464</v>
      </c>
      <c r="Q120" s="236">
        <f t="shared" si="30"/>
        <v>45465</v>
      </c>
      <c r="R120" s="32"/>
    </row>
    <row r="121" spans="1:18" ht="18" customHeight="1" x14ac:dyDescent="0.2">
      <c r="A121" s="113" t="s">
        <v>51</v>
      </c>
      <c r="B121" s="83">
        <v>11</v>
      </c>
      <c r="C121" s="108">
        <f t="shared" si="28"/>
        <v>86</v>
      </c>
      <c r="D121" s="41" t="s">
        <v>23</v>
      </c>
      <c r="E121" s="41" t="s">
        <v>23</v>
      </c>
      <c r="F121" s="134" t="s">
        <v>41</v>
      </c>
      <c r="G121" s="201">
        <v>12</v>
      </c>
      <c r="H121" s="138">
        <v>57</v>
      </c>
      <c r="I121" s="137">
        <f t="shared" si="29"/>
        <v>684</v>
      </c>
      <c r="J121" s="29"/>
      <c r="K121" s="31" t="s">
        <v>119</v>
      </c>
      <c r="L121" s="29"/>
      <c r="M121" s="235" t="s">
        <v>301</v>
      </c>
      <c r="N121" s="231">
        <v>45463</v>
      </c>
      <c r="O121" s="6"/>
      <c r="P121" s="64">
        <v>45464</v>
      </c>
      <c r="Q121" s="236">
        <f t="shared" si="30"/>
        <v>45465</v>
      </c>
      <c r="R121" s="32"/>
    </row>
    <row r="122" spans="1:18" ht="18" customHeight="1" x14ac:dyDescent="0.2">
      <c r="A122" s="113" t="s">
        <v>51</v>
      </c>
      <c r="B122" s="83">
        <v>11</v>
      </c>
      <c r="C122" s="108">
        <f t="shared" si="28"/>
        <v>87</v>
      </c>
      <c r="D122" s="41" t="s">
        <v>23</v>
      </c>
      <c r="E122" s="41" t="s">
        <v>23</v>
      </c>
      <c r="F122" s="134" t="s">
        <v>49</v>
      </c>
      <c r="G122" s="201">
        <v>12</v>
      </c>
      <c r="H122" s="138">
        <v>92</v>
      </c>
      <c r="I122" s="137">
        <f t="shared" si="29"/>
        <v>1104</v>
      </c>
      <c r="J122" s="29"/>
      <c r="K122" s="31" t="s">
        <v>120</v>
      </c>
      <c r="L122" s="29"/>
      <c r="M122" s="235" t="s">
        <v>301</v>
      </c>
      <c r="N122" s="231">
        <v>45463</v>
      </c>
      <c r="O122" s="6"/>
      <c r="P122" s="64">
        <v>45464</v>
      </c>
      <c r="Q122" s="236">
        <f t="shared" si="30"/>
        <v>45465</v>
      </c>
      <c r="R122" s="32"/>
    </row>
    <row r="123" spans="1:18" ht="18" customHeight="1" x14ac:dyDescent="0.2">
      <c r="A123" s="113" t="s">
        <v>51</v>
      </c>
      <c r="B123" s="83">
        <v>11</v>
      </c>
      <c r="C123" s="108">
        <f t="shared" si="28"/>
        <v>88</v>
      </c>
      <c r="D123" s="41" t="s">
        <v>23</v>
      </c>
      <c r="E123" s="41" t="s">
        <v>23</v>
      </c>
      <c r="F123" s="134" t="s">
        <v>45</v>
      </c>
      <c r="G123" s="201">
        <v>4</v>
      </c>
      <c r="H123" s="138">
        <v>210</v>
      </c>
      <c r="I123" s="137">
        <f t="shared" si="29"/>
        <v>840</v>
      </c>
      <c r="J123" s="29"/>
      <c r="K123" s="31" t="s">
        <v>46</v>
      </c>
      <c r="L123" s="29"/>
      <c r="M123" s="235" t="s">
        <v>301</v>
      </c>
      <c r="N123" s="231">
        <v>45463</v>
      </c>
      <c r="O123" s="6"/>
      <c r="P123" s="64">
        <v>45464</v>
      </c>
      <c r="Q123" s="236">
        <f t="shared" si="30"/>
        <v>45465</v>
      </c>
      <c r="R123" s="32"/>
    </row>
    <row r="124" spans="1:18" ht="18" customHeight="1" x14ac:dyDescent="0.2">
      <c r="A124" s="113" t="s">
        <v>51</v>
      </c>
      <c r="B124" s="83">
        <v>11</v>
      </c>
      <c r="C124" s="108">
        <f t="shared" si="28"/>
        <v>89</v>
      </c>
      <c r="D124" s="41" t="s">
        <v>23</v>
      </c>
      <c r="E124" s="41" t="s">
        <v>23</v>
      </c>
      <c r="F124" s="134" t="s">
        <v>121</v>
      </c>
      <c r="G124" s="201">
        <v>4</v>
      </c>
      <c r="H124" s="138">
        <v>210</v>
      </c>
      <c r="I124" s="137">
        <f t="shared" si="29"/>
        <v>840</v>
      </c>
      <c r="J124" s="29"/>
      <c r="K124" s="84" t="s">
        <v>118</v>
      </c>
      <c r="L124" s="29"/>
      <c r="M124" s="235" t="s">
        <v>301</v>
      </c>
      <c r="N124" s="231">
        <v>45463</v>
      </c>
      <c r="O124" s="6"/>
      <c r="P124" s="64">
        <v>45464</v>
      </c>
      <c r="Q124" s="236">
        <f t="shared" si="30"/>
        <v>45465</v>
      </c>
      <c r="R124" s="32"/>
    </row>
    <row r="125" spans="1:18" ht="18" customHeight="1" x14ac:dyDescent="0.2">
      <c r="A125" s="113" t="s">
        <v>51</v>
      </c>
      <c r="B125" s="83"/>
      <c r="C125" s="108">
        <f t="shared" si="28"/>
        <v>90</v>
      </c>
      <c r="D125" s="41" t="s">
        <v>23</v>
      </c>
      <c r="E125" s="41" t="s">
        <v>23</v>
      </c>
      <c r="F125" s="134" t="s">
        <v>152</v>
      </c>
      <c r="G125" s="201">
        <v>6</v>
      </c>
      <c r="H125" s="138">
        <v>210</v>
      </c>
      <c r="I125" s="137">
        <f t="shared" si="29"/>
        <v>1260</v>
      </c>
      <c r="J125" s="29"/>
      <c r="K125" s="84" t="s">
        <v>118</v>
      </c>
      <c r="L125" s="29"/>
      <c r="M125" s="235" t="s">
        <v>301</v>
      </c>
      <c r="N125" s="231">
        <v>45463</v>
      </c>
      <c r="O125" s="6"/>
      <c r="P125" s="64">
        <v>45464</v>
      </c>
      <c r="Q125" s="236">
        <f t="shared" si="30"/>
        <v>45465</v>
      </c>
      <c r="R125" s="32"/>
    </row>
    <row r="126" spans="1:18" ht="18" customHeight="1" x14ac:dyDescent="0.2">
      <c r="A126" s="113" t="s">
        <v>51</v>
      </c>
      <c r="B126" s="83">
        <v>11</v>
      </c>
      <c r="C126" s="108">
        <f t="shared" si="28"/>
        <v>91</v>
      </c>
      <c r="D126" s="41" t="s">
        <v>23</v>
      </c>
      <c r="E126" s="41" t="s">
        <v>23</v>
      </c>
      <c r="F126" s="134" t="s">
        <v>153</v>
      </c>
      <c r="G126" s="201">
        <v>1</v>
      </c>
      <c r="H126" s="138">
        <v>1050</v>
      </c>
      <c r="I126" s="218">
        <f t="shared" si="29"/>
        <v>1050</v>
      </c>
      <c r="J126" s="29"/>
      <c r="K126" s="101" t="s">
        <v>133</v>
      </c>
      <c r="L126" s="29"/>
      <c r="M126" s="235" t="s">
        <v>301</v>
      </c>
      <c r="N126" s="231">
        <v>45463</v>
      </c>
      <c r="O126" s="6"/>
      <c r="P126" s="64">
        <v>45464</v>
      </c>
      <c r="Q126" s="236">
        <f t="shared" si="30"/>
        <v>45465</v>
      </c>
      <c r="R126" s="32"/>
    </row>
    <row r="127" spans="1:18" ht="18" customHeight="1" x14ac:dyDescent="0.2">
      <c r="A127" s="5"/>
      <c r="B127" s="5"/>
      <c r="C127" s="30"/>
      <c r="D127" s="30"/>
      <c r="E127" s="30"/>
      <c r="F127" s="28"/>
      <c r="G127" s="26"/>
      <c r="H127" s="28"/>
      <c r="I127" s="29"/>
      <c r="J127" s="84"/>
      <c r="K127" s="28"/>
      <c r="L127" s="29"/>
      <c r="M127" s="234"/>
      <c r="N127" s="230"/>
      <c r="O127" s="6"/>
      <c r="P127" s="6"/>
      <c r="Q127" s="21"/>
      <c r="R127" s="12"/>
    </row>
    <row r="128" spans="1:18" ht="18" customHeight="1" x14ac:dyDescent="0.2">
      <c r="A128" s="5"/>
      <c r="B128" s="5"/>
      <c r="C128" s="30"/>
      <c r="D128" s="30"/>
      <c r="E128" s="30"/>
      <c r="F128" s="88">
        <f>SUM(I90:I126)</f>
        <v>168507</v>
      </c>
      <c r="G128" s="26"/>
      <c r="H128" s="28"/>
      <c r="I128" s="29"/>
      <c r="J128" s="84"/>
      <c r="K128" s="28"/>
      <c r="L128" s="29"/>
      <c r="M128" s="234"/>
      <c r="N128" s="230"/>
      <c r="O128" s="6"/>
      <c r="P128" s="6"/>
      <c r="Q128" s="21"/>
      <c r="R128" s="12"/>
    </row>
    <row r="129" spans="1:18" ht="18" customHeight="1" x14ac:dyDescent="0.2">
      <c r="C129" s="28"/>
      <c r="D129" s="59"/>
      <c r="E129" s="59"/>
      <c r="F129" s="60"/>
      <c r="G129" s="61"/>
      <c r="H129" s="62"/>
      <c r="I129" s="37"/>
      <c r="J129" s="28"/>
      <c r="K129" s="36"/>
      <c r="L129" s="227"/>
      <c r="M129" s="234"/>
      <c r="N129" s="230"/>
      <c r="O129" s="6"/>
      <c r="P129" s="6"/>
      <c r="Q129" s="21"/>
      <c r="R129" s="12"/>
    </row>
    <row r="130" spans="1:18" ht="18" customHeight="1" x14ac:dyDescent="0.2">
      <c r="C130" s="28"/>
      <c r="D130" s="59"/>
      <c r="E130" s="59"/>
      <c r="F130" s="60"/>
      <c r="G130" s="61"/>
      <c r="H130" s="62"/>
      <c r="I130" s="37"/>
      <c r="J130" s="28"/>
      <c r="K130" s="36"/>
      <c r="L130" s="227"/>
      <c r="M130" s="234"/>
      <c r="N130" s="230"/>
      <c r="O130" s="6"/>
      <c r="P130" s="6"/>
      <c r="Q130" s="21"/>
      <c r="R130" s="12"/>
    </row>
    <row r="131" spans="1:18" ht="18" customHeight="1" x14ac:dyDescent="0.2">
      <c r="C131" s="28"/>
      <c r="D131" s="251" t="s">
        <v>211</v>
      </c>
      <c r="E131" s="252"/>
      <c r="F131" s="253"/>
      <c r="G131" s="61"/>
      <c r="H131" s="62"/>
      <c r="I131" s="37"/>
      <c r="J131" s="28"/>
      <c r="K131" s="36"/>
      <c r="L131" s="227"/>
      <c r="M131" s="234"/>
      <c r="N131" s="230"/>
      <c r="O131" s="6"/>
      <c r="P131" s="6"/>
      <c r="Q131" s="21"/>
      <c r="R131" s="12"/>
    </row>
    <row r="132" spans="1:18" ht="18" customHeight="1" x14ac:dyDescent="0.2">
      <c r="A132" s="100" t="s">
        <v>67</v>
      </c>
      <c r="B132" s="83">
        <v>11</v>
      </c>
      <c r="C132" s="107">
        <f>C126+1</f>
        <v>92</v>
      </c>
      <c r="D132" s="74" t="s">
        <v>48</v>
      </c>
      <c r="E132" s="74" t="s">
        <v>27</v>
      </c>
      <c r="F132" s="161" t="s">
        <v>227</v>
      </c>
      <c r="G132" s="206">
        <v>1</v>
      </c>
      <c r="H132" s="221">
        <v>10487</v>
      </c>
      <c r="I132" s="137">
        <f t="shared" ref="I132:I146" si="31">G132*H132</f>
        <v>10487</v>
      </c>
      <c r="J132" s="28"/>
      <c r="K132" s="36" t="s">
        <v>212</v>
      </c>
      <c r="L132" s="227"/>
      <c r="M132" s="235" t="s">
        <v>301</v>
      </c>
      <c r="N132" s="231">
        <v>45463</v>
      </c>
      <c r="O132" s="6"/>
      <c r="P132" s="64">
        <v>45475</v>
      </c>
      <c r="Q132" s="236">
        <f t="shared" ref="Q132" si="32">+P132+1</f>
        <v>45476</v>
      </c>
      <c r="R132" s="12"/>
    </row>
    <row r="133" spans="1:18" ht="18" customHeight="1" x14ac:dyDescent="0.2">
      <c r="A133" s="113" t="s">
        <v>51</v>
      </c>
      <c r="B133" s="83">
        <v>11</v>
      </c>
      <c r="C133" s="108">
        <f t="shared" ref="C133:C146" si="33">+C132+1</f>
        <v>93</v>
      </c>
      <c r="D133" s="195" t="s">
        <v>23</v>
      </c>
      <c r="E133" s="195" t="s">
        <v>23</v>
      </c>
      <c r="F133" s="196" t="s">
        <v>47</v>
      </c>
      <c r="G133" s="190"/>
      <c r="H133" s="190">
        <v>23</v>
      </c>
      <c r="I133" s="189">
        <f t="shared" si="31"/>
        <v>0</v>
      </c>
      <c r="J133" s="197"/>
      <c r="K133" s="198" t="s">
        <v>213</v>
      </c>
      <c r="L133" s="227"/>
      <c r="M133" s="234"/>
      <c r="N133" s="230"/>
      <c r="O133" s="6"/>
      <c r="P133" s="64"/>
      <c r="Q133" s="21"/>
      <c r="R133" s="12"/>
    </row>
    <row r="134" spans="1:18" ht="18" customHeight="1" x14ac:dyDescent="0.2">
      <c r="A134" s="113" t="s">
        <v>51</v>
      </c>
      <c r="B134" s="83">
        <v>11</v>
      </c>
      <c r="C134" s="108">
        <f t="shared" si="33"/>
        <v>94</v>
      </c>
      <c r="D134" s="63" t="s">
        <v>23</v>
      </c>
      <c r="E134" s="63" t="s">
        <v>23</v>
      </c>
      <c r="F134" s="159" t="s">
        <v>214</v>
      </c>
      <c r="G134" s="208">
        <v>1</v>
      </c>
      <c r="H134" s="138">
        <v>880</v>
      </c>
      <c r="I134" s="137">
        <f t="shared" si="31"/>
        <v>880</v>
      </c>
      <c r="J134" s="28"/>
      <c r="K134" s="36"/>
      <c r="L134" s="227"/>
      <c r="M134" s="235" t="s">
        <v>301</v>
      </c>
      <c r="N134" s="231">
        <v>45463</v>
      </c>
      <c r="O134" s="6"/>
      <c r="P134" s="64">
        <v>45464</v>
      </c>
      <c r="Q134" s="236">
        <f t="shared" ref="Q134:Q138" si="34">+P134+1</f>
        <v>45465</v>
      </c>
      <c r="R134" s="12"/>
    </row>
    <row r="135" spans="1:18" ht="18" customHeight="1" x14ac:dyDescent="0.2">
      <c r="A135" s="114" t="s">
        <v>51</v>
      </c>
      <c r="B135" s="83">
        <v>11</v>
      </c>
      <c r="C135" s="108">
        <f t="shared" si="33"/>
        <v>95</v>
      </c>
      <c r="D135" s="89" t="s">
        <v>23</v>
      </c>
      <c r="E135" s="89" t="s">
        <v>23</v>
      </c>
      <c r="F135" s="160" t="s">
        <v>215</v>
      </c>
      <c r="G135" s="149">
        <v>10</v>
      </c>
      <c r="H135" s="220">
        <v>29</v>
      </c>
      <c r="I135" s="137">
        <f t="shared" si="31"/>
        <v>290</v>
      </c>
      <c r="J135" s="115"/>
      <c r="K135" s="116" t="s">
        <v>216</v>
      </c>
      <c r="L135" s="227"/>
      <c r="M135" s="235" t="s">
        <v>301</v>
      </c>
      <c r="N135" s="231">
        <v>45463</v>
      </c>
      <c r="O135" s="6"/>
      <c r="P135" s="64">
        <v>45464</v>
      </c>
      <c r="Q135" s="236">
        <f t="shared" si="34"/>
        <v>45465</v>
      </c>
      <c r="R135" s="12"/>
    </row>
    <row r="136" spans="1:18" ht="18" customHeight="1" x14ac:dyDescent="0.2">
      <c r="A136" s="114" t="s">
        <v>51</v>
      </c>
      <c r="B136" s="83">
        <v>11</v>
      </c>
      <c r="C136" s="108">
        <f t="shared" si="33"/>
        <v>96</v>
      </c>
      <c r="D136" s="89" t="s">
        <v>23</v>
      </c>
      <c r="E136" s="89" t="s">
        <v>23</v>
      </c>
      <c r="F136" s="160" t="s">
        <v>217</v>
      </c>
      <c r="G136" s="149">
        <v>10</v>
      </c>
      <c r="H136" s="220">
        <v>26</v>
      </c>
      <c r="I136" s="137">
        <f t="shared" si="31"/>
        <v>260</v>
      </c>
      <c r="J136" s="115"/>
      <c r="K136" s="116" t="s">
        <v>216</v>
      </c>
      <c r="L136" s="227"/>
      <c r="M136" s="235" t="s">
        <v>301</v>
      </c>
      <c r="N136" s="231">
        <v>45463</v>
      </c>
      <c r="O136" s="6"/>
      <c r="P136" s="64">
        <v>45464</v>
      </c>
      <c r="Q136" s="236">
        <f t="shared" si="34"/>
        <v>45465</v>
      </c>
      <c r="R136" s="12"/>
    </row>
    <row r="137" spans="1:18" ht="18" customHeight="1" x14ac:dyDescent="0.2">
      <c r="A137" s="100" t="s">
        <v>67</v>
      </c>
      <c r="B137" s="83">
        <v>11</v>
      </c>
      <c r="C137" s="108">
        <f t="shared" si="33"/>
        <v>97</v>
      </c>
      <c r="D137" s="74" t="s">
        <v>48</v>
      </c>
      <c r="E137" s="74" t="s">
        <v>27</v>
      </c>
      <c r="F137" s="161" t="s">
        <v>228</v>
      </c>
      <c r="G137" s="206">
        <v>2</v>
      </c>
      <c r="H137" s="221">
        <v>8300</v>
      </c>
      <c r="I137" s="137">
        <f t="shared" si="31"/>
        <v>16600</v>
      </c>
      <c r="J137" s="28"/>
      <c r="K137" s="36" t="s">
        <v>218</v>
      </c>
      <c r="L137" s="227"/>
      <c r="M137" s="235" t="s">
        <v>301</v>
      </c>
      <c r="N137" s="231">
        <v>45463</v>
      </c>
      <c r="O137" s="6"/>
      <c r="P137" s="64">
        <v>45475</v>
      </c>
      <c r="Q137" s="236">
        <f t="shared" si="34"/>
        <v>45476</v>
      </c>
      <c r="R137" s="12"/>
    </row>
    <row r="138" spans="1:18" ht="18" customHeight="1" x14ac:dyDescent="0.2">
      <c r="A138" s="100" t="s">
        <v>52</v>
      </c>
      <c r="B138" s="83">
        <v>11</v>
      </c>
      <c r="C138" s="108">
        <f t="shared" si="33"/>
        <v>98</v>
      </c>
      <c r="D138" s="89" t="s">
        <v>23</v>
      </c>
      <c r="E138" s="89" t="s">
        <v>23</v>
      </c>
      <c r="F138" s="161" t="s">
        <v>219</v>
      </c>
      <c r="G138" s="206">
        <v>4</v>
      </c>
      <c r="H138" s="221">
        <v>450</v>
      </c>
      <c r="I138" s="137">
        <f t="shared" si="31"/>
        <v>1800</v>
      </c>
      <c r="J138" s="28"/>
      <c r="K138" s="36"/>
      <c r="L138" s="227"/>
      <c r="M138" s="235" t="s">
        <v>301</v>
      </c>
      <c r="N138" s="231">
        <v>45463</v>
      </c>
      <c r="O138" s="6"/>
      <c r="P138" s="64">
        <v>45465</v>
      </c>
      <c r="Q138" s="236">
        <f t="shared" si="34"/>
        <v>45466</v>
      </c>
      <c r="R138" s="12"/>
    </row>
    <row r="139" spans="1:18" ht="18" customHeight="1" x14ac:dyDescent="0.2">
      <c r="A139" s="113" t="s">
        <v>51</v>
      </c>
      <c r="B139" s="83">
        <v>11</v>
      </c>
      <c r="C139" s="108">
        <f t="shared" si="33"/>
        <v>99</v>
      </c>
      <c r="D139" s="195" t="s">
        <v>23</v>
      </c>
      <c r="E139" s="195" t="s">
        <v>23</v>
      </c>
      <c r="F139" s="196" t="s">
        <v>47</v>
      </c>
      <c r="G139" s="190"/>
      <c r="H139" s="190">
        <v>23</v>
      </c>
      <c r="I139" s="189">
        <f t="shared" si="31"/>
        <v>0</v>
      </c>
      <c r="J139" s="197"/>
      <c r="K139" s="198" t="s">
        <v>220</v>
      </c>
      <c r="L139" s="227"/>
      <c r="M139" s="234"/>
      <c r="N139" s="230"/>
      <c r="O139" s="6"/>
      <c r="P139" s="6"/>
      <c r="Q139" s="21"/>
      <c r="R139" s="12"/>
    </row>
    <row r="140" spans="1:18" ht="18" customHeight="1" x14ac:dyDescent="0.2">
      <c r="A140" s="114" t="s">
        <v>51</v>
      </c>
      <c r="B140" s="83">
        <v>11</v>
      </c>
      <c r="C140" s="108">
        <f t="shared" si="33"/>
        <v>100</v>
      </c>
      <c r="D140" s="89" t="s">
        <v>23</v>
      </c>
      <c r="E140" s="89" t="s">
        <v>23</v>
      </c>
      <c r="F140" s="160" t="s">
        <v>221</v>
      </c>
      <c r="G140" s="149">
        <v>10</v>
      </c>
      <c r="H140" s="220">
        <v>29</v>
      </c>
      <c r="I140" s="137">
        <f t="shared" si="31"/>
        <v>290</v>
      </c>
      <c r="J140" s="115"/>
      <c r="K140" s="116" t="s">
        <v>216</v>
      </c>
      <c r="L140" s="227"/>
      <c r="M140" s="235" t="s">
        <v>301</v>
      </c>
      <c r="N140" s="231">
        <v>45463</v>
      </c>
      <c r="O140" s="6"/>
      <c r="P140" s="64">
        <v>45464</v>
      </c>
      <c r="Q140" s="236">
        <f t="shared" ref="Q140:Q146" si="35">+P140+1</f>
        <v>45465</v>
      </c>
      <c r="R140" s="12"/>
    </row>
    <row r="141" spans="1:18" ht="18" customHeight="1" x14ac:dyDescent="0.2">
      <c r="A141" s="100" t="s">
        <v>50</v>
      </c>
      <c r="B141" s="83">
        <v>11</v>
      </c>
      <c r="C141" s="108">
        <f t="shared" si="33"/>
        <v>101</v>
      </c>
      <c r="D141" s="74" t="s">
        <v>48</v>
      </c>
      <c r="E141" s="74" t="s">
        <v>27</v>
      </c>
      <c r="F141" s="161" t="s">
        <v>229</v>
      </c>
      <c r="G141" s="206">
        <v>1</v>
      </c>
      <c r="H141" s="221">
        <v>5842</v>
      </c>
      <c r="I141" s="137">
        <f t="shared" si="31"/>
        <v>5842</v>
      </c>
      <c r="J141" s="28"/>
      <c r="K141" s="36" t="s">
        <v>222</v>
      </c>
      <c r="L141" s="227"/>
      <c r="M141" s="235" t="s">
        <v>301</v>
      </c>
      <c r="N141" s="231">
        <v>45463</v>
      </c>
      <c r="O141" s="6"/>
      <c r="P141" s="64">
        <v>45468</v>
      </c>
      <c r="Q141" s="236">
        <f t="shared" si="35"/>
        <v>45469</v>
      </c>
      <c r="R141" s="12"/>
    </row>
    <row r="142" spans="1:18" ht="18" customHeight="1" x14ac:dyDescent="0.2">
      <c r="A142" s="113" t="s">
        <v>51</v>
      </c>
      <c r="B142" s="83">
        <v>11</v>
      </c>
      <c r="C142" s="108">
        <f t="shared" si="33"/>
        <v>102</v>
      </c>
      <c r="D142" s="63" t="s">
        <v>23</v>
      </c>
      <c r="E142" s="63" t="s">
        <v>23</v>
      </c>
      <c r="F142" s="158" t="s">
        <v>223</v>
      </c>
      <c r="G142" s="207">
        <v>10</v>
      </c>
      <c r="H142" s="207">
        <v>69</v>
      </c>
      <c r="I142" s="137">
        <f t="shared" si="31"/>
        <v>690</v>
      </c>
      <c r="J142" s="39"/>
      <c r="K142" s="87" t="s">
        <v>224</v>
      </c>
      <c r="L142" s="227"/>
      <c r="M142" s="235" t="s">
        <v>301</v>
      </c>
      <c r="N142" s="231">
        <v>45463</v>
      </c>
      <c r="O142" s="6"/>
      <c r="P142" s="64">
        <v>45464</v>
      </c>
      <c r="Q142" s="236">
        <f t="shared" si="35"/>
        <v>45465</v>
      </c>
      <c r="R142" s="12"/>
    </row>
    <row r="143" spans="1:18" ht="18" customHeight="1" x14ac:dyDescent="0.2">
      <c r="A143" s="113" t="s">
        <v>51</v>
      </c>
      <c r="B143" s="83">
        <v>11</v>
      </c>
      <c r="C143" s="108">
        <f t="shared" si="33"/>
        <v>103</v>
      </c>
      <c r="D143" s="41" t="s">
        <v>23</v>
      </c>
      <c r="E143" s="41" t="s">
        <v>23</v>
      </c>
      <c r="F143" s="155" t="s">
        <v>215</v>
      </c>
      <c r="G143" s="208">
        <v>10</v>
      </c>
      <c r="H143" s="141">
        <v>29</v>
      </c>
      <c r="I143" s="137">
        <f t="shared" si="31"/>
        <v>290</v>
      </c>
      <c r="J143" s="44"/>
      <c r="K143" s="49" t="s">
        <v>216</v>
      </c>
      <c r="L143" s="227"/>
      <c r="M143" s="235" t="s">
        <v>301</v>
      </c>
      <c r="N143" s="231">
        <v>45463</v>
      </c>
      <c r="O143" s="6"/>
      <c r="P143" s="64">
        <v>45464</v>
      </c>
      <c r="Q143" s="236">
        <f t="shared" si="35"/>
        <v>45465</v>
      </c>
      <c r="R143" s="12"/>
    </row>
    <row r="144" spans="1:18" ht="18" customHeight="1" x14ac:dyDescent="0.2">
      <c r="A144" s="100" t="s">
        <v>50</v>
      </c>
      <c r="B144" s="83">
        <v>11</v>
      </c>
      <c r="C144" s="108">
        <f t="shared" si="33"/>
        <v>104</v>
      </c>
      <c r="D144" s="41" t="s">
        <v>23</v>
      </c>
      <c r="E144" s="41" t="s">
        <v>23</v>
      </c>
      <c r="F144" s="155" t="s">
        <v>230</v>
      </c>
      <c r="G144" s="208">
        <v>1</v>
      </c>
      <c r="H144" s="141">
        <v>6826</v>
      </c>
      <c r="I144" s="137">
        <f t="shared" si="31"/>
        <v>6826</v>
      </c>
      <c r="J144" s="44"/>
      <c r="K144" s="49" t="s">
        <v>232</v>
      </c>
      <c r="L144" s="227"/>
      <c r="M144" s="235" t="s">
        <v>301</v>
      </c>
      <c r="N144" s="231">
        <v>45463</v>
      </c>
      <c r="O144" s="6"/>
      <c r="P144" s="64">
        <v>45467</v>
      </c>
      <c r="Q144" s="236">
        <f t="shared" si="35"/>
        <v>45468</v>
      </c>
      <c r="R144" s="12"/>
    </row>
    <row r="145" spans="1:18" ht="18" customHeight="1" x14ac:dyDescent="0.2">
      <c r="A145" s="113" t="s">
        <v>51</v>
      </c>
      <c r="B145" s="83">
        <v>11</v>
      </c>
      <c r="C145" s="108">
        <f t="shared" si="33"/>
        <v>105</v>
      </c>
      <c r="D145" s="41" t="s">
        <v>23</v>
      </c>
      <c r="E145" s="41" t="s">
        <v>23</v>
      </c>
      <c r="F145" s="155" t="s">
        <v>225</v>
      </c>
      <c r="G145" s="208">
        <v>13</v>
      </c>
      <c r="H145" s="141">
        <v>19</v>
      </c>
      <c r="I145" s="137">
        <f t="shared" si="31"/>
        <v>247</v>
      </c>
      <c r="J145" s="115"/>
      <c r="K145" s="116" t="s">
        <v>216</v>
      </c>
      <c r="L145" s="227"/>
      <c r="M145" s="235" t="s">
        <v>301</v>
      </c>
      <c r="N145" s="231">
        <v>45463</v>
      </c>
      <c r="O145" s="6"/>
      <c r="P145" s="64">
        <v>45464</v>
      </c>
      <c r="Q145" s="236">
        <f t="shared" si="35"/>
        <v>45465</v>
      </c>
      <c r="R145" s="12"/>
    </row>
    <row r="146" spans="1:18" ht="18" customHeight="1" x14ac:dyDescent="0.2">
      <c r="A146" s="113" t="s">
        <v>51</v>
      </c>
      <c r="B146" s="83">
        <v>11</v>
      </c>
      <c r="C146" s="108">
        <f t="shared" si="33"/>
        <v>106</v>
      </c>
      <c r="D146" s="41" t="s">
        <v>69</v>
      </c>
      <c r="E146" s="41" t="s">
        <v>23</v>
      </c>
      <c r="F146" s="155" t="s">
        <v>226</v>
      </c>
      <c r="G146" s="208">
        <v>13</v>
      </c>
      <c r="H146" s="141">
        <v>20</v>
      </c>
      <c r="I146" s="137">
        <f t="shared" si="31"/>
        <v>260</v>
      </c>
      <c r="J146" s="115"/>
      <c r="K146" s="116" t="s">
        <v>231</v>
      </c>
      <c r="L146" s="227"/>
      <c r="M146" s="235" t="s">
        <v>301</v>
      </c>
      <c r="N146" s="231">
        <v>45463</v>
      </c>
      <c r="O146" s="6"/>
      <c r="P146" s="64">
        <v>45464</v>
      </c>
      <c r="Q146" s="236">
        <f t="shared" si="35"/>
        <v>45465</v>
      </c>
      <c r="R146" s="12"/>
    </row>
    <row r="147" spans="1:18" ht="18" customHeight="1" x14ac:dyDescent="0.2">
      <c r="A147" s="28"/>
      <c r="B147" s="80"/>
      <c r="C147" s="30"/>
      <c r="D147" s="41"/>
      <c r="E147" s="41"/>
      <c r="F147" s="49"/>
      <c r="G147" s="129"/>
      <c r="H147" s="44"/>
      <c r="I147" s="50"/>
      <c r="J147" s="115"/>
      <c r="K147" s="116"/>
      <c r="L147" s="227"/>
      <c r="M147" s="234"/>
      <c r="N147" s="230"/>
      <c r="O147" s="6"/>
      <c r="P147" s="6"/>
      <c r="Q147" s="21"/>
      <c r="R147" s="12"/>
    </row>
    <row r="148" spans="1:18" ht="18" customHeight="1" x14ac:dyDescent="0.2">
      <c r="C148" s="28"/>
      <c r="D148" s="59"/>
      <c r="E148" s="59"/>
      <c r="F148" s="88">
        <f>SUM(I132:I147)</f>
        <v>44762</v>
      </c>
      <c r="G148" s="61"/>
      <c r="H148" s="62"/>
      <c r="I148" s="37"/>
      <c r="J148" s="28"/>
      <c r="K148" s="36"/>
      <c r="L148" s="227"/>
      <c r="M148" s="234"/>
      <c r="N148" s="230"/>
      <c r="O148" s="6"/>
      <c r="P148" s="6"/>
      <c r="Q148" s="21"/>
      <c r="R148" s="12"/>
    </row>
    <row r="149" spans="1:18" ht="18" customHeight="1" x14ac:dyDescent="0.2">
      <c r="C149" s="28"/>
      <c r="D149" s="59"/>
      <c r="E149" s="59"/>
      <c r="F149" s="60"/>
      <c r="G149" s="61"/>
      <c r="H149" s="62"/>
      <c r="I149" s="37"/>
      <c r="J149" s="28"/>
      <c r="K149" s="36"/>
      <c r="L149" s="227"/>
      <c r="M149" s="234"/>
      <c r="N149" s="230"/>
      <c r="O149" s="6"/>
      <c r="P149" s="6"/>
      <c r="Q149" s="21"/>
      <c r="R149" s="12"/>
    </row>
    <row r="150" spans="1:18" ht="18" customHeight="1" x14ac:dyDescent="0.2">
      <c r="C150" s="28"/>
      <c r="D150" s="59"/>
      <c r="E150" s="59"/>
      <c r="F150" s="60"/>
      <c r="G150" s="61"/>
      <c r="H150" s="62"/>
      <c r="I150" s="37"/>
      <c r="J150" s="28"/>
      <c r="K150" s="36"/>
      <c r="L150" s="227"/>
      <c r="M150" s="234"/>
      <c r="N150" s="230"/>
      <c r="O150" s="6"/>
      <c r="P150" s="6"/>
      <c r="Q150" s="21"/>
      <c r="R150" s="12"/>
    </row>
    <row r="151" spans="1:18" ht="18" customHeight="1" x14ac:dyDescent="0.2">
      <c r="C151" s="28"/>
      <c r="D151" s="59"/>
      <c r="E151" s="59"/>
      <c r="F151" s="60"/>
      <c r="G151" s="61"/>
      <c r="H151" s="62"/>
      <c r="I151" s="37"/>
      <c r="J151" s="28"/>
      <c r="K151" s="36"/>
      <c r="L151" s="227"/>
      <c r="M151" s="234"/>
      <c r="N151" s="230"/>
      <c r="O151" s="6"/>
      <c r="P151" s="6"/>
      <c r="Q151" s="21"/>
      <c r="R151" s="12"/>
    </row>
    <row r="152" spans="1:18" ht="18" customHeight="1" x14ac:dyDescent="0.2">
      <c r="C152" s="28"/>
      <c r="D152" s="59"/>
      <c r="E152" s="59"/>
      <c r="F152" s="60"/>
      <c r="G152" s="61"/>
      <c r="H152" s="62"/>
      <c r="I152" s="37"/>
      <c r="J152" s="28"/>
      <c r="K152" s="36"/>
      <c r="L152" s="227"/>
      <c r="M152" s="234"/>
      <c r="N152" s="230"/>
      <c r="O152" s="6"/>
      <c r="P152" s="6"/>
      <c r="Q152" s="21"/>
      <c r="R152" s="12"/>
    </row>
    <row r="153" spans="1:18" ht="18" customHeight="1" x14ac:dyDescent="0.2">
      <c r="C153" s="28"/>
      <c r="D153" s="59"/>
      <c r="E153" s="59"/>
      <c r="F153" s="60"/>
      <c r="G153" s="61"/>
      <c r="H153" s="62"/>
      <c r="I153" s="37"/>
      <c r="J153" s="28"/>
      <c r="K153" s="36"/>
      <c r="L153" s="227"/>
      <c r="M153" s="234"/>
      <c r="N153" s="230"/>
      <c r="O153" s="6"/>
      <c r="P153" s="6"/>
      <c r="Q153" s="21"/>
      <c r="R153" s="12"/>
    </row>
    <row r="154" spans="1:18" ht="18" customHeight="1" x14ac:dyDescent="0.2">
      <c r="C154" s="28"/>
      <c r="D154" s="59"/>
      <c r="E154" s="59"/>
      <c r="F154" s="60"/>
      <c r="G154" s="61"/>
      <c r="H154" s="62"/>
      <c r="I154" s="37"/>
      <c r="J154" s="28"/>
      <c r="K154" s="36"/>
      <c r="L154" s="227"/>
      <c r="M154" s="234"/>
      <c r="N154" s="230"/>
      <c r="O154" s="6"/>
      <c r="P154" s="6"/>
      <c r="Q154" s="21"/>
      <c r="R154" s="12"/>
    </row>
    <row r="155" spans="1:18" ht="18" customHeight="1" x14ac:dyDescent="0.2">
      <c r="C155" s="28"/>
      <c r="D155" s="30"/>
      <c r="E155" s="30"/>
      <c r="F155" s="46"/>
      <c r="G155" s="37"/>
      <c r="H155" s="37"/>
      <c r="I155" s="37"/>
      <c r="J155" s="39"/>
      <c r="K155" s="40"/>
      <c r="L155" s="227"/>
      <c r="M155" s="234"/>
      <c r="N155" s="230"/>
      <c r="O155" s="6"/>
      <c r="P155" s="6"/>
      <c r="Q155" s="21"/>
      <c r="R155" s="12"/>
    </row>
    <row r="156" spans="1:18" ht="18" customHeight="1" x14ac:dyDescent="0.2">
      <c r="B156" s="109"/>
      <c r="C156" s="63"/>
      <c r="D156" s="243" t="s">
        <v>28</v>
      </c>
      <c r="E156" s="244"/>
      <c r="F156" s="244"/>
      <c r="G156" s="45"/>
      <c r="H156" s="53"/>
      <c r="I156" s="53"/>
      <c r="J156" s="14"/>
      <c r="K156" s="23"/>
      <c r="L156" s="224"/>
      <c r="M156" s="234"/>
      <c r="N156" s="230"/>
      <c r="O156" s="6"/>
      <c r="P156" s="6"/>
      <c r="Q156" s="21"/>
      <c r="R156" s="12"/>
    </row>
    <row r="157" spans="1:18" ht="18" customHeight="1" x14ac:dyDescent="0.2">
      <c r="A157" s="151" t="s">
        <v>51</v>
      </c>
      <c r="B157" s="95"/>
      <c r="C157" s="131">
        <f>+C146+1</f>
        <v>107</v>
      </c>
      <c r="D157" s="152" t="s">
        <v>239</v>
      </c>
      <c r="E157" s="153" t="s">
        <v>27</v>
      </c>
      <c r="F157" s="168" t="s">
        <v>240</v>
      </c>
      <c r="G157" s="209">
        <v>1</v>
      </c>
      <c r="H157" s="209">
        <v>8989</v>
      </c>
      <c r="I157" s="222">
        <f>G157*H157</f>
        <v>8989</v>
      </c>
      <c r="J157" s="94"/>
      <c r="K157" s="42" t="s">
        <v>241</v>
      </c>
      <c r="L157" s="228"/>
      <c r="M157" s="235" t="s">
        <v>301</v>
      </c>
      <c r="N157" s="231">
        <v>45463</v>
      </c>
      <c r="O157" s="6"/>
      <c r="P157" s="64">
        <v>45464</v>
      </c>
      <c r="Q157" s="236">
        <f t="shared" ref="Q157:Q160" si="36">+P157+1</f>
        <v>45465</v>
      </c>
      <c r="R157" s="12"/>
    </row>
    <row r="158" spans="1:18" ht="18" customHeight="1" x14ac:dyDescent="0.2">
      <c r="A158" s="151" t="s">
        <v>52</v>
      </c>
      <c r="B158" s="95"/>
      <c r="C158" s="131">
        <f>+C157+1</f>
        <v>108</v>
      </c>
      <c r="D158" s="153" t="s">
        <v>27</v>
      </c>
      <c r="E158" s="153" t="s">
        <v>27</v>
      </c>
      <c r="F158" s="169" t="s">
        <v>242</v>
      </c>
      <c r="G158" s="210">
        <v>1</v>
      </c>
      <c r="H158" s="209">
        <v>5600</v>
      </c>
      <c r="I158" s="223">
        <f>G158*H158</f>
        <v>5600</v>
      </c>
      <c r="J158" s="132"/>
      <c r="K158" s="96" t="s">
        <v>130</v>
      </c>
      <c r="L158" s="228"/>
      <c r="M158" s="235" t="s">
        <v>301</v>
      </c>
      <c r="N158" s="231">
        <v>45463</v>
      </c>
      <c r="O158" s="6"/>
      <c r="P158" s="64">
        <v>45465</v>
      </c>
      <c r="Q158" s="236">
        <f t="shared" si="36"/>
        <v>45466</v>
      </c>
      <c r="R158" s="12"/>
    </row>
    <row r="159" spans="1:18" ht="18" customHeight="1" x14ac:dyDescent="0.2">
      <c r="A159" s="151" t="s">
        <v>52</v>
      </c>
      <c r="B159" s="95"/>
      <c r="C159" s="131">
        <f>+C158+1</f>
        <v>109</v>
      </c>
      <c r="D159" s="153" t="s">
        <v>27</v>
      </c>
      <c r="E159" s="153" t="s">
        <v>27</v>
      </c>
      <c r="F159" s="170" t="s">
        <v>243</v>
      </c>
      <c r="G159" s="210">
        <v>1</v>
      </c>
      <c r="H159" s="209">
        <v>2040</v>
      </c>
      <c r="I159" s="223">
        <f>G159*H159</f>
        <v>2040</v>
      </c>
      <c r="J159" s="132"/>
      <c r="K159" s="133" t="s">
        <v>129</v>
      </c>
      <c r="L159" s="228"/>
      <c r="M159" s="235" t="s">
        <v>301</v>
      </c>
      <c r="N159" s="231">
        <v>45463</v>
      </c>
      <c r="O159" s="6"/>
      <c r="P159" s="64">
        <v>45465</v>
      </c>
      <c r="Q159" s="236">
        <f t="shared" si="36"/>
        <v>45466</v>
      </c>
      <c r="R159" s="12"/>
    </row>
    <row r="160" spans="1:18" ht="18" customHeight="1" x14ac:dyDescent="0.2">
      <c r="A160" s="151" t="s">
        <v>50</v>
      </c>
      <c r="B160" s="95"/>
      <c r="C160" s="131">
        <f>+C159+1</f>
        <v>110</v>
      </c>
      <c r="D160" s="125" t="s">
        <v>23</v>
      </c>
      <c r="E160" s="125" t="s">
        <v>23</v>
      </c>
      <c r="F160" s="134" t="s">
        <v>244</v>
      </c>
      <c r="G160" s="208">
        <v>1</v>
      </c>
      <c r="H160" s="138">
        <v>3263</v>
      </c>
      <c r="I160" s="142">
        <f>G160*H160</f>
        <v>3263</v>
      </c>
      <c r="J160" s="84"/>
      <c r="K160" s="36" t="s">
        <v>245</v>
      </c>
      <c r="L160" s="228"/>
      <c r="M160" s="235" t="s">
        <v>301</v>
      </c>
      <c r="N160" s="231">
        <v>45463</v>
      </c>
      <c r="O160" s="6"/>
      <c r="P160" s="64">
        <v>45468</v>
      </c>
      <c r="Q160" s="236">
        <f t="shared" si="36"/>
        <v>45469</v>
      </c>
      <c r="R160" s="12"/>
    </row>
    <row r="161" spans="1:18" ht="18" customHeight="1" x14ac:dyDescent="0.2">
      <c r="A161" s="28"/>
      <c r="B161" s="97"/>
      <c r="C161" s="106"/>
      <c r="D161" s="44"/>
      <c r="E161" s="44"/>
      <c r="F161" s="102"/>
      <c r="G161" s="103"/>
      <c r="H161" s="55"/>
      <c r="I161" s="130"/>
      <c r="J161" s="104"/>
      <c r="K161" s="105"/>
      <c r="L161" s="228"/>
      <c r="M161" s="234"/>
      <c r="N161" s="232"/>
      <c r="O161" s="6"/>
      <c r="P161" s="34"/>
      <c r="Q161" s="21"/>
      <c r="R161" s="12"/>
    </row>
    <row r="162" spans="1:18" ht="18" customHeight="1" x14ac:dyDescent="0.2">
      <c r="A162" s="113" t="s">
        <v>131</v>
      </c>
      <c r="B162" s="135">
        <v>17</v>
      </c>
      <c r="C162" s="74">
        <f>+C160+1</f>
        <v>111</v>
      </c>
      <c r="D162" s="136" t="s">
        <v>27</v>
      </c>
      <c r="E162" s="136" t="s">
        <v>27</v>
      </c>
      <c r="F162" s="171" t="s">
        <v>77</v>
      </c>
      <c r="G162" s="137">
        <v>1</v>
      </c>
      <c r="H162" s="137">
        <v>1989</v>
      </c>
      <c r="I162" s="137">
        <f t="shared" ref="I162:I190" si="37">G162*H162</f>
        <v>1989</v>
      </c>
      <c r="J162" s="39"/>
      <c r="K162" s="40" t="s">
        <v>78</v>
      </c>
      <c r="L162" s="1"/>
      <c r="M162" s="235" t="s">
        <v>301</v>
      </c>
      <c r="N162" s="231">
        <v>45463</v>
      </c>
      <c r="O162" s="6"/>
      <c r="P162" s="64">
        <v>45464</v>
      </c>
      <c r="Q162" s="236">
        <f t="shared" ref="Q162:Q163" si="38">+P162+1</f>
        <v>45465</v>
      </c>
      <c r="R162" s="12"/>
    </row>
    <row r="163" spans="1:18" ht="18" customHeight="1" x14ac:dyDescent="0.2">
      <c r="A163" s="113" t="s">
        <v>131</v>
      </c>
      <c r="B163" s="135">
        <v>17</v>
      </c>
      <c r="C163" s="74">
        <f t="shared" ref="C163:C171" si="39">+C162+1</f>
        <v>112</v>
      </c>
      <c r="D163" s="126" t="s">
        <v>246</v>
      </c>
      <c r="E163" s="126" t="s">
        <v>27</v>
      </c>
      <c r="F163" s="172" t="s">
        <v>247</v>
      </c>
      <c r="G163" s="138">
        <v>1</v>
      </c>
      <c r="H163" s="141">
        <v>1443</v>
      </c>
      <c r="I163" s="139">
        <f t="shared" si="37"/>
        <v>1443</v>
      </c>
      <c r="J163" s="140"/>
      <c r="K163" s="36" t="s">
        <v>132</v>
      </c>
      <c r="L163" s="1"/>
      <c r="M163" s="235" t="s">
        <v>301</v>
      </c>
      <c r="N163" s="231">
        <v>45463</v>
      </c>
      <c r="O163" s="6"/>
      <c r="P163" s="64">
        <v>45465</v>
      </c>
      <c r="Q163" s="236">
        <f t="shared" si="38"/>
        <v>45466</v>
      </c>
      <c r="R163" s="12"/>
    </row>
    <row r="164" spans="1:18" ht="18" customHeight="1" x14ac:dyDescent="0.2">
      <c r="A164" s="28"/>
      <c r="B164" s="28"/>
      <c r="C164" s="30"/>
      <c r="D164" s="30"/>
      <c r="E164" s="30"/>
      <c r="F164" s="185"/>
      <c r="G164" s="28"/>
      <c r="H164" s="52"/>
      <c r="I164" s="52"/>
      <c r="J164" s="29"/>
      <c r="K164" s="26"/>
      <c r="L164" s="226"/>
      <c r="M164" s="234"/>
      <c r="N164" s="232"/>
      <c r="O164" s="6"/>
      <c r="P164" s="34"/>
      <c r="Q164" s="21"/>
      <c r="R164" s="12"/>
    </row>
    <row r="165" spans="1:18" ht="18" customHeight="1" x14ac:dyDescent="0.2">
      <c r="A165" s="28"/>
      <c r="B165" s="28"/>
      <c r="C165" s="30"/>
      <c r="D165" s="30"/>
      <c r="E165" s="30"/>
      <c r="F165" s="185"/>
      <c r="G165" s="28"/>
      <c r="H165" s="52"/>
      <c r="I165" s="52"/>
      <c r="J165" s="29"/>
      <c r="K165" s="26"/>
      <c r="L165" s="226"/>
      <c r="M165" s="234"/>
      <c r="N165" s="232"/>
      <c r="O165" s="6"/>
      <c r="P165" s="34"/>
      <c r="Q165" s="21"/>
      <c r="R165" s="12"/>
    </row>
    <row r="166" spans="1:18" ht="18" customHeight="1" x14ac:dyDescent="0.2">
      <c r="A166" s="28"/>
      <c r="B166" s="28"/>
      <c r="C166" s="30"/>
      <c r="D166" s="186"/>
      <c r="E166" s="30"/>
      <c r="F166" s="26"/>
      <c r="G166" s="28"/>
      <c r="H166" s="28"/>
      <c r="I166" s="17"/>
      <c r="J166" s="187"/>
      <c r="K166" s="26"/>
      <c r="L166" s="226"/>
      <c r="M166" s="234"/>
      <c r="N166" s="232"/>
      <c r="O166" s="6"/>
      <c r="P166" s="34"/>
      <c r="Q166" s="21"/>
      <c r="R166" s="12"/>
    </row>
    <row r="167" spans="1:18" ht="18" customHeight="1" x14ac:dyDescent="0.2">
      <c r="A167" s="113" t="s">
        <v>131</v>
      </c>
      <c r="B167" s="135">
        <v>17</v>
      </c>
      <c r="C167" s="74">
        <f>+C163+1</f>
        <v>113</v>
      </c>
      <c r="D167" s="125" t="s">
        <v>27</v>
      </c>
      <c r="E167" s="125" t="s">
        <v>27</v>
      </c>
      <c r="F167" s="173" t="s">
        <v>248</v>
      </c>
      <c r="G167" s="138">
        <v>1</v>
      </c>
      <c r="H167" s="137">
        <v>6070</v>
      </c>
      <c r="I167" s="137">
        <f t="shared" si="37"/>
        <v>6070</v>
      </c>
      <c r="J167" s="29"/>
      <c r="K167" s="31" t="s">
        <v>34</v>
      </c>
      <c r="L167" s="1"/>
      <c r="M167" s="235" t="s">
        <v>301</v>
      </c>
      <c r="N167" s="231">
        <v>45463</v>
      </c>
      <c r="O167" s="6"/>
      <c r="P167" s="64">
        <v>45464</v>
      </c>
      <c r="Q167" s="236">
        <f t="shared" ref="Q167:Q171" si="40">+P167+1</f>
        <v>45465</v>
      </c>
      <c r="R167" s="12"/>
    </row>
    <row r="168" spans="1:18" ht="18" customHeight="1" x14ac:dyDescent="0.2">
      <c r="A168" s="113" t="s">
        <v>131</v>
      </c>
      <c r="B168" s="135">
        <v>17</v>
      </c>
      <c r="C168" s="74">
        <f t="shared" si="39"/>
        <v>114</v>
      </c>
      <c r="D168" s="126" t="s">
        <v>27</v>
      </c>
      <c r="E168" s="126" t="s">
        <v>27</v>
      </c>
      <c r="F168" s="156" t="s">
        <v>35</v>
      </c>
      <c r="G168" s="141">
        <v>1</v>
      </c>
      <c r="H168" s="145">
        <v>237</v>
      </c>
      <c r="I168" s="139">
        <f t="shared" si="37"/>
        <v>237</v>
      </c>
      <c r="J168" s="72"/>
      <c r="K168" s="36" t="s">
        <v>249</v>
      </c>
      <c r="L168" s="1"/>
      <c r="M168" s="235" t="s">
        <v>301</v>
      </c>
      <c r="N168" s="231">
        <v>45463</v>
      </c>
      <c r="O168" s="6"/>
      <c r="P168" s="64">
        <v>45464</v>
      </c>
      <c r="Q168" s="236">
        <f t="shared" si="40"/>
        <v>45465</v>
      </c>
      <c r="R168" s="12"/>
    </row>
    <row r="169" spans="1:18" ht="18" customHeight="1" x14ac:dyDescent="0.2">
      <c r="A169" s="113" t="s">
        <v>131</v>
      </c>
      <c r="B169" s="135">
        <v>17</v>
      </c>
      <c r="C169" s="74">
        <f t="shared" si="39"/>
        <v>115</v>
      </c>
      <c r="D169" s="125" t="s">
        <v>27</v>
      </c>
      <c r="E169" s="125" t="s">
        <v>27</v>
      </c>
      <c r="F169" s="174" t="s">
        <v>250</v>
      </c>
      <c r="G169" s="141">
        <v>1</v>
      </c>
      <c r="H169" s="139">
        <v>839</v>
      </c>
      <c r="I169" s="142">
        <f t="shared" si="37"/>
        <v>839</v>
      </c>
      <c r="J169" s="143"/>
      <c r="K169" s="36" t="s">
        <v>251</v>
      </c>
      <c r="L169" s="1"/>
      <c r="M169" s="235" t="s">
        <v>301</v>
      </c>
      <c r="N169" s="231">
        <v>45463</v>
      </c>
      <c r="O169" s="6"/>
      <c r="P169" s="64">
        <v>45464</v>
      </c>
      <c r="Q169" s="236">
        <f t="shared" si="40"/>
        <v>45465</v>
      </c>
      <c r="R169" s="12"/>
    </row>
    <row r="170" spans="1:18" ht="18" customHeight="1" x14ac:dyDescent="0.2">
      <c r="A170" s="113" t="s">
        <v>131</v>
      </c>
      <c r="B170" s="135">
        <v>17</v>
      </c>
      <c r="C170" s="74">
        <f t="shared" si="39"/>
        <v>116</v>
      </c>
      <c r="D170" s="125" t="s">
        <v>27</v>
      </c>
      <c r="E170" s="125" t="s">
        <v>27</v>
      </c>
      <c r="F170" s="154" t="s">
        <v>294</v>
      </c>
      <c r="G170" s="144">
        <v>1</v>
      </c>
      <c r="H170" s="142">
        <v>4239</v>
      </c>
      <c r="I170" s="142">
        <f t="shared" si="37"/>
        <v>4239</v>
      </c>
      <c r="J170" s="84"/>
      <c r="K170" s="73" t="s">
        <v>295</v>
      </c>
      <c r="L170" s="1"/>
      <c r="M170" s="235" t="s">
        <v>301</v>
      </c>
      <c r="N170" s="231">
        <v>45463</v>
      </c>
      <c r="O170" s="6"/>
      <c r="P170" s="64">
        <v>45464</v>
      </c>
      <c r="Q170" s="236">
        <f t="shared" si="40"/>
        <v>45465</v>
      </c>
      <c r="R170" s="12"/>
    </row>
    <row r="171" spans="1:18" ht="18" customHeight="1" x14ac:dyDescent="0.2">
      <c r="A171" s="113" t="s">
        <v>131</v>
      </c>
      <c r="B171" s="135">
        <v>17</v>
      </c>
      <c r="C171" s="74">
        <f t="shared" si="39"/>
        <v>117</v>
      </c>
      <c r="D171" s="125" t="s">
        <v>27</v>
      </c>
      <c r="E171" s="125" t="s">
        <v>27</v>
      </c>
      <c r="F171" s="175" t="s">
        <v>32</v>
      </c>
      <c r="G171" s="144">
        <v>1</v>
      </c>
      <c r="H171" s="142">
        <v>5117</v>
      </c>
      <c r="I171" s="142">
        <f t="shared" si="37"/>
        <v>5117</v>
      </c>
      <c r="J171" s="84"/>
      <c r="K171" s="31" t="s">
        <v>252</v>
      </c>
      <c r="L171" s="1"/>
      <c r="M171" s="235" t="s">
        <v>301</v>
      </c>
      <c r="N171" s="231">
        <v>45463</v>
      </c>
      <c r="O171" s="6"/>
      <c r="P171" s="64">
        <v>45464</v>
      </c>
      <c r="Q171" s="236">
        <f t="shared" si="40"/>
        <v>45465</v>
      </c>
      <c r="R171" s="12"/>
    </row>
    <row r="172" spans="1:18" ht="18" customHeight="1" x14ac:dyDescent="0.2">
      <c r="A172" s="28"/>
      <c r="B172" s="28"/>
      <c r="C172" s="30"/>
      <c r="D172" s="30"/>
      <c r="E172" s="30"/>
      <c r="F172" s="185"/>
      <c r="G172" s="28"/>
      <c r="H172" s="52"/>
      <c r="I172" s="52"/>
      <c r="J172" s="29"/>
      <c r="K172" s="26"/>
      <c r="L172" s="226"/>
      <c r="M172" s="234"/>
      <c r="N172" s="232"/>
      <c r="O172" s="6"/>
      <c r="P172" s="34"/>
      <c r="Q172" s="21"/>
      <c r="R172" s="12"/>
    </row>
    <row r="173" spans="1:18" ht="18" customHeight="1" x14ac:dyDescent="0.2">
      <c r="A173" s="113" t="s">
        <v>51</v>
      </c>
      <c r="B173" s="135">
        <v>17</v>
      </c>
      <c r="C173" s="74">
        <f>+C171+1</f>
        <v>118</v>
      </c>
      <c r="D173" s="126" t="s">
        <v>27</v>
      </c>
      <c r="E173" s="126" t="s">
        <v>27</v>
      </c>
      <c r="F173" s="156" t="s">
        <v>253</v>
      </c>
      <c r="G173" s="141">
        <v>1</v>
      </c>
      <c r="H173" s="145">
        <v>894</v>
      </c>
      <c r="I173" s="145">
        <f t="shared" si="37"/>
        <v>894</v>
      </c>
      <c r="J173" s="72"/>
      <c r="K173" s="36" t="s">
        <v>254</v>
      </c>
      <c r="L173" s="1"/>
      <c r="M173" s="235" t="s">
        <v>301</v>
      </c>
      <c r="N173" s="231">
        <v>45463</v>
      </c>
      <c r="O173" s="6"/>
      <c r="P173" s="64">
        <v>45464</v>
      </c>
      <c r="Q173" s="236">
        <f t="shared" ref="Q173:Q189" si="41">+P173+1</f>
        <v>45465</v>
      </c>
      <c r="R173" s="12"/>
    </row>
    <row r="174" spans="1:18" ht="18" customHeight="1" x14ac:dyDescent="0.2">
      <c r="A174" s="113" t="s">
        <v>50</v>
      </c>
      <c r="B174" s="135">
        <v>17</v>
      </c>
      <c r="C174" s="74">
        <f t="shared" ref="C174:C190" si="42">+C173+1</f>
        <v>119</v>
      </c>
      <c r="D174" s="125" t="s">
        <v>27</v>
      </c>
      <c r="E174" s="125" t="s">
        <v>27</v>
      </c>
      <c r="F174" s="155" t="s">
        <v>255</v>
      </c>
      <c r="G174" s="138">
        <v>2</v>
      </c>
      <c r="H174" s="209">
        <v>1474</v>
      </c>
      <c r="I174" s="137">
        <f t="shared" si="37"/>
        <v>2948</v>
      </c>
      <c r="J174" s="146"/>
      <c r="K174" s="26" t="s">
        <v>33</v>
      </c>
      <c r="L174" s="1"/>
      <c r="M174" s="235" t="s">
        <v>301</v>
      </c>
      <c r="N174" s="231">
        <v>45463</v>
      </c>
      <c r="O174" s="6"/>
      <c r="P174" s="64">
        <v>45467</v>
      </c>
      <c r="Q174" s="236">
        <f t="shared" si="41"/>
        <v>45468</v>
      </c>
      <c r="R174" s="12"/>
    </row>
    <row r="175" spans="1:18" ht="18" customHeight="1" x14ac:dyDescent="0.2">
      <c r="A175" s="113" t="s">
        <v>131</v>
      </c>
      <c r="B175" s="135">
        <v>17</v>
      </c>
      <c r="C175" s="74">
        <f>+C174+1</f>
        <v>120</v>
      </c>
      <c r="D175" s="147" t="s">
        <v>256</v>
      </c>
      <c r="E175" s="125" t="s">
        <v>27</v>
      </c>
      <c r="F175" s="176" t="s">
        <v>257</v>
      </c>
      <c r="G175" s="138">
        <v>1</v>
      </c>
      <c r="H175" s="141">
        <v>2380</v>
      </c>
      <c r="I175" s="137">
        <f t="shared" si="37"/>
        <v>2380</v>
      </c>
      <c r="J175" s="146"/>
      <c r="K175" s="26" t="s">
        <v>258</v>
      </c>
      <c r="L175" s="1"/>
      <c r="M175" s="235" t="s">
        <v>301</v>
      </c>
      <c r="N175" s="231">
        <v>45463</v>
      </c>
      <c r="O175" s="6"/>
      <c r="P175" s="64">
        <v>45464</v>
      </c>
      <c r="Q175" s="236">
        <f t="shared" si="41"/>
        <v>45465</v>
      </c>
      <c r="R175" s="12"/>
    </row>
    <row r="176" spans="1:18" ht="18" customHeight="1" x14ac:dyDescent="0.2">
      <c r="A176" s="113" t="s">
        <v>131</v>
      </c>
      <c r="B176" s="135">
        <v>17</v>
      </c>
      <c r="C176" s="74">
        <f t="shared" si="42"/>
        <v>121</v>
      </c>
      <c r="D176" s="125" t="s">
        <v>256</v>
      </c>
      <c r="E176" s="125" t="s">
        <v>27</v>
      </c>
      <c r="F176" s="164" t="s">
        <v>259</v>
      </c>
      <c r="G176" s="144">
        <v>1</v>
      </c>
      <c r="H176" s="141">
        <v>2700</v>
      </c>
      <c r="I176" s="137">
        <f t="shared" si="37"/>
        <v>2700</v>
      </c>
      <c r="J176" s="146"/>
      <c r="K176" s="26" t="s">
        <v>260</v>
      </c>
      <c r="L176" s="1"/>
      <c r="M176" s="235" t="s">
        <v>301</v>
      </c>
      <c r="N176" s="231">
        <v>45463</v>
      </c>
      <c r="O176" s="6"/>
      <c r="P176" s="64">
        <v>45464</v>
      </c>
      <c r="Q176" s="236">
        <f t="shared" si="41"/>
        <v>45465</v>
      </c>
      <c r="R176" s="12"/>
    </row>
    <row r="177" spans="1:18" ht="18" customHeight="1" x14ac:dyDescent="0.2">
      <c r="A177" s="113" t="s">
        <v>131</v>
      </c>
      <c r="B177" s="135">
        <v>17</v>
      </c>
      <c r="C177" s="74">
        <f t="shared" si="42"/>
        <v>122</v>
      </c>
      <c r="D177" s="125" t="s">
        <v>256</v>
      </c>
      <c r="E177" s="125" t="s">
        <v>27</v>
      </c>
      <c r="F177" s="164" t="s">
        <v>261</v>
      </c>
      <c r="G177" s="144">
        <v>1</v>
      </c>
      <c r="H177" s="141">
        <v>2700</v>
      </c>
      <c r="I177" s="137">
        <f t="shared" si="37"/>
        <v>2700</v>
      </c>
      <c r="J177" s="146"/>
      <c r="K177" s="26" t="s">
        <v>262</v>
      </c>
      <c r="L177" s="1"/>
      <c r="M177" s="235" t="s">
        <v>301</v>
      </c>
      <c r="N177" s="231">
        <v>45463</v>
      </c>
      <c r="O177" s="6"/>
      <c r="P177" s="64">
        <v>45464</v>
      </c>
      <c r="Q177" s="236">
        <f t="shared" si="41"/>
        <v>45465</v>
      </c>
      <c r="R177" s="12"/>
    </row>
    <row r="178" spans="1:18" ht="18" customHeight="1" x14ac:dyDescent="0.2">
      <c r="A178" s="113" t="s">
        <v>131</v>
      </c>
      <c r="B178" s="135">
        <v>17</v>
      </c>
      <c r="C178" s="74">
        <f t="shared" si="42"/>
        <v>123</v>
      </c>
      <c r="D178" s="125" t="s">
        <v>256</v>
      </c>
      <c r="E178" s="125" t="s">
        <v>27</v>
      </c>
      <c r="F178" s="164" t="s">
        <v>263</v>
      </c>
      <c r="G178" s="138">
        <v>1</v>
      </c>
      <c r="H178" s="141">
        <v>2700</v>
      </c>
      <c r="I178" s="137">
        <f t="shared" si="37"/>
        <v>2700</v>
      </c>
      <c r="J178" s="146"/>
      <c r="K178" s="26" t="s">
        <v>264</v>
      </c>
      <c r="L178" s="1"/>
      <c r="M178" s="235" t="s">
        <v>301</v>
      </c>
      <c r="N178" s="231">
        <v>45463</v>
      </c>
      <c r="O178" s="6"/>
      <c r="P178" s="64">
        <v>45464</v>
      </c>
      <c r="Q178" s="236">
        <f t="shared" si="41"/>
        <v>45465</v>
      </c>
      <c r="R178" s="12"/>
    </row>
    <row r="179" spans="1:18" ht="18" customHeight="1" x14ac:dyDescent="0.2">
      <c r="A179" s="113" t="s">
        <v>131</v>
      </c>
      <c r="B179" s="135">
        <v>17</v>
      </c>
      <c r="C179" s="74">
        <f t="shared" si="42"/>
        <v>124</v>
      </c>
      <c r="D179" s="125" t="s">
        <v>256</v>
      </c>
      <c r="E179" s="125" t="s">
        <v>27</v>
      </c>
      <c r="F179" s="164" t="s">
        <v>265</v>
      </c>
      <c r="G179" s="138">
        <v>1</v>
      </c>
      <c r="H179" s="141">
        <v>2700</v>
      </c>
      <c r="I179" s="137">
        <f>G179*H179</f>
        <v>2700</v>
      </c>
      <c r="J179" s="146"/>
      <c r="K179" s="26" t="s">
        <v>266</v>
      </c>
      <c r="L179" s="1"/>
      <c r="M179" s="235" t="s">
        <v>301</v>
      </c>
      <c r="N179" s="231">
        <v>45463</v>
      </c>
      <c r="O179" s="6"/>
      <c r="P179" s="64">
        <v>45464</v>
      </c>
      <c r="Q179" s="236">
        <f t="shared" si="41"/>
        <v>45465</v>
      </c>
      <c r="R179" s="12"/>
    </row>
    <row r="180" spans="1:18" ht="18" customHeight="1" x14ac:dyDescent="0.2">
      <c r="A180" s="113" t="s">
        <v>131</v>
      </c>
      <c r="B180" s="135">
        <v>17</v>
      </c>
      <c r="C180" s="74">
        <f t="shared" si="42"/>
        <v>125</v>
      </c>
      <c r="D180" s="125" t="s">
        <v>256</v>
      </c>
      <c r="E180" s="125" t="s">
        <v>27</v>
      </c>
      <c r="F180" s="164" t="s">
        <v>267</v>
      </c>
      <c r="G180" s="138">
        <v>1</v>
      </c>
      <c r="H180" s="141">
        <v>3650</v>
      </c>
      <c r="I180" s="137">
        <f>G180*H180</f>
        <v>3650</v>
      </c>
      <c r="J180" s="146"/>
      <c r="K180" s="26" t="s">
        <v>268</v>
      </c>
      <c r="L180" s="1"/>
      <c r="M180" s="235" t="s">
        <v>301</v>
      </c>
      <c r="N180" s="231">
        <v>45463</v>
      </c>
      <c r="O180" s="6"/>
      <c r="P180" s="64">
        <v>45464</v>
      </c>
      <c r="Q180" s="236">
        <f t="shared" si="41"/>
        <v>45465</v>
      </c>
      <c r="R180" s="12"/>
    </row>
    <row r="181" spans="1:18" ht="18" customHeight="1" x14ac:dyDescent="0.2">
      <c r="A181" s="113" t="s">
        <v>131</v>
      </c>
      <c r="B181" s="135">
        <v>17</v>
      </c>
      <c r="C181" s="74">
        <f t="shared" si="42"/>
        <v>126</v>
      </c>
      <c r="D181" s="125" t="s">
        <v>256</v>
      </c>
      <c r="E181" s="125" t="s">
        <v>27</v>
      </c>
      <c r="F181" s="164" t="s">
        <v>269</v>
      </c>
      <c r="G181" s="138">
        <v>1</v>
      </c>
      <c r="H181" s="141">
        <v>3650</v>
      </c>
      <c r="I181" s="137">
        <f>G181*H181</f>
        <v>3650</v>
      </c>
      <c r="J181" s="146"/>
      <c r="K181" s="26" t="s">
        <v>270</v>
      </c>
      <c r="L181" s="1"/>
      <c r="M181" s="235" t="s">
        <v>301</v>
      </c>
      <c r="N181" s="231">
        <v>45463</v>
      </c>
      <c r="O181" s="6"/>
      <c r="P181" s="64">
        <v>45464</v>
      </c>
      <c r="Q181" s="236">
        <f t="shared" si="41"/>
        <v>45465</v>
      </c>
      <c r="R181" s="12"/>
    </row>
    <row r="182" spans="1:18" ht="18" customHeight="1" x14ac:dyDescent="0.2">
      <c r="A182" s="113" t="s">
        <v>131</v>
      </c>
      <c r="B182" s="135">
        <v>17</v>
      </c>
      <c r="C182" s="74">
        <f>+C181+1</f>
        <v>127</v>
      </c>
      <c r="D182" s="125" t="s">
        <v>27</v>
      </c>
      <c r="E182" s="125" t="s">
        <v>27</v>
      </c>
      <c r="F182" s="177" t="s">
        <v>271</v>
      </c>
      <c r="G182" s="138">
        <v>1</v>
      </c>
      <c r="H182" s="137">
        <v>12895</v>
      </c>
      <c r="I182" s="137">
        <f t="shared" si="37"/>
        <v>12895</v>
      </c>
      <c r="J182" s="84"/>
      <c r="K182" s="31" t="s">
        <v>272</v>
      </c>
      <c r="L182" s="1"/>
      <c r="M182" s="235" t="s">
        <v>301</v>
      </c>
      <c r="N182" s="231">
        <v>45463</v>
      </c>
      <c r="O182" s="6"/>
      <c r="P182" s="64">
        <v>45464</v>
      </c>
      <c r="Q182" s="236">
        <f t="shared" si="41"/>
        <v>45465</v>
      </c>
      <c r="R182" s="12"/>
    </row>
    <row r="183" spans="1:18" ht="18" customHeight="1" x14ac:dyDescent="0.2">
      <c r="A183" s="113" t="s">
        <v>273</v>
      </c>
      <c r="B183" s="135">
        <v>17</v>
      </c>
      <c r="C183" s="74">
        <f>+C182+1</f>
        <v>128</v>
      </c>
      <c r="D183" s="125" t="s">
        <v>27</v>
      </c>
      <c r="E183" s="125" t="s">
        <v>27</v>
      </c>
      <c r="F183" s="172" t="s">
        <v>274</v>
      </c>
      <c r="G183" s="138">
        <v>1</v>
      </c>
      <c r="H183" s="137">
        <v>23549</v>
      </c>
      <c r="I183" s="137">
        <f t="shared" si="37"/>
        <v>23549</v>
      </c>
      <c r="J183" s="29"/>
      <c r="K183" s="31" t="s">
        <v>275</v>
      </c>
      <c r="L183" s="1"/>
      <c r="M183" s="235" t="s">
        <v>301</v>
      </c>
      <c r="N183" s="231">
        <v>45463</v>
      </c>
      <c r="O183" s="6"/>
      <c r="P183" s="64">
        <v>45468</v>
      </c>
      <c r="Q183" s="236">
        <f t="shared" si="41"/>
        <v>45469</v>
      </c>
      <c r="R183" s="12"/>
    </row>
    <row r="184" spans="1:18" ht="18" customHeight="1" x14ac:dyDescent="0.2">
      <c r="A184" s="113" t="s">
        <v>131</v>
      </c>
      <c r="B184" s="135">
        <v>17</v>
      </c>
      <c r="C184" s="74">
        <f t="shared" si="42"/>
        <v>129</v>
      </c>
      <c r="D184" s="126" t="s">
        <v>276</v>
      </c>
      <c r="E184" s="126" t="s">
        <v>27</v>
      </c>
      <c r="F184" s="156" t="s">
        <v>277</v>
      </c>
      <c r="G184" s="141">
        <v>5</v>
      </c>
      <c r="H184" s="145">
        <v>177</v>
      </c>
      <c r="I184" s="145">
        <f t="shared" si="37"/>
        <v>885</v>
      </c>
      <c r="J184" s="72"/>
      <c r="K184" s="36" t="s">
        <v>278</v>
      </c>
      <c r="L184" s="1"/>
      <c r="M184" s="235" t="s">
        <v>301</v>
      </c>
      <c r="N184" s="231">
        <v>45463</v>
      </c>
      <c r="O184" s="6"/>
      <c r="P184" s="64">
        <v>45464</v>
      </c>
      <c r="Q184" s="236">
        <f t="shared" si="41"/>
        <v>45465</v>
      </c>
      <c r="R184" s="12"/>
    </row>
    <row r="185" spans="1:18" ht="18" customHeight="1" x14ac:dyDescent="0.2">
      <c r="A185" s="113" t="s">
        <v>50</v>
      </c>
      <c r="B185" s="135">
        <v>17</v>
      </c>
      <c r="C185" s="74">
        <f t="shared" si="42"/>
        <v>130</v>
      </c>
      <c r="D185" s="125" t="s">
        <v>27</v>
      </c>
      <c r="E185" s="125" t="s">
        <v>27</v>
      </c>
      <c r="F185" s="154" t="s">
        <v>279</v>
      </c>
      <c r="G185" s="138">
        <v>4</v>
      </c>
      <c r="H185" s="142">
        <v>280</v>
      </c>
      <c r="I185" s="142">
        <f t="shared" si="37"/>
        <v>1120</v>
      </c>
      <c r="J185" s="29"/>
      <c r="K185" s="26" t="s">
        <v>280</v>
      </c>
      <c r="L185" s="1"/>
      <c r="M185" s="235" t="s">
        <v>301</v>
      </c>
      <c r="N185" s="231">
        <v>45463</v>
      </c>
      <c r="O185" s="6"/>
      <c r="P185" s="64">
        <v>45467</v>
      </c>
      <c r="Q185" s="236">
        <f t="shared" si="41"/>
        <v>45468</v>
      </c>
      <c r="R185" s="12"/>
    </row>
    <row r="186" spans="1:18" ht="18" customHeight="1" x14ac:dyDescent="0.2">
      <c r="A186" s="113" t="s">
        <v>51</v>
      </c>
      <c r="B186" s="135">
        <v>17</v>
      </c>
      <c r="C186" s="74">
        <f t="shared" si="42"/>
        <v>131</v>
      </c>
      <c r="D186" s="148" t="s">
        <v>23</v>
      </c>
      <c r="E186" s="148" t="s">
        <v>23</v>
      </c>
      <c r="F186" s="160" t="s">
        <v>42</v>
      </c>
      <c r="G186" s="149">
        <v>10</v>
      </c>
      <c r="H186" s="220">
        <v>25</v>
      </c>
      <c r="I186" s="150">
        <f t="shared" si="37"/>
        <v>250</v>
      </c>
      <c r="J186" s="115"/>
      <c r="K186" s="116" t="s">
        <v>281</v>
      </c>
      <c r="L186" s="1"/>
      <c r="M186" s="235" t="s">
        <v>301</v>
      </c>
      <c r="N186" s="231">
        <v>45463</v>
      </c>
      <c r="O186" s="6"/>
      <c r="P186" s="64">
        <v>45464</v>
      </c>
      <c r="Q186" s="236">
        <f t="shared" si="41"/>
        <v>45465</v>
      </c>
      <c r="R186" s="12"/>
    </row>
    <row r="187" spans="1:18" ht="18" customHeight="1" x14ac:dyDescent="0.2">
      <c r="A187" s="113" t="s">
        <v>131</v>
      </c>
      <c r="B187" s="135">
        <v>17</v>
      </c>
      <c r="C187" s="74">
        <f>+C186+1</f>
        <v>132</v>
      </c>
      <c r="D187" s="125" t="s">
        <v>282</v>
      </c>
      <c r="E187" s="125" t="s">
        <v>23</v>
      </c>
      <c r="F187" s="155" t="s">
        <v>283</v>
      </c>
      <c r="G187" s="138">
        <v>6</v>
      </c>
      <c r="H187" s="138">
        <v>138</v>
      </c>
      <c r="I187" s="142">
        <f t="shared" si="37"/>
        <v>828</v>
      </c>
      <c r="J187" s="28"/>
      <c r="K187" s="31" t="s">
        <v>284</v>
      </c>
      <c r="L187" s="1"/>
      <c r="M187" s="235" t="s">
        <v>301</v>
      </c>
      <c r="N187" s="231">
        <v>45463</v>
      </c>
      <c r="O187" s="6"/>
      <c r="P187" s="64">
        <v>45464</v>
      </c>
      <c r="Q187" s="236">
        <f t="shared" si="41"/>
        <v>45465</v>
      </c>
      <c r="R187" s="12"/>
    </row>
    <row r="188" spans="1:18" ht="18" customHeight="1" x14ac:dyDescent="0.2">
      <c r="A188" s="113" t="s">
        <v>131</v>
      </c>
      <c r="B188" s="135">
        <v>17</v>
      </c>
      <c r="C188" s="74">
        <f t="shared" si="42"/>
        <v>133</v>
      </c>
      <c r="D188" s="125" t="s">
        <v>282</v>
      </c>
      <c r="E188" s="125" t="s">
        <v>23</v>
      </c>
      <c r="F188" s="155" t="s">
        <v>285</v>
      </c>
      <c r="G188" s="138">
        <v>3</v>
      </c>
      <c r="H188" s="138">
        <v>464</v>
      </c>
      <c r="I188" s="142">
        <f t="shared" si="37"/>
        <v>1392</v>
      </c>
      <c r="J188" s="28"/>
      <c r="K188" s="31" t="s">
        <v>286</v>
      </c>
      <c r="L188" s="1"/>
      <c r="M188" s="235" t="s">
        <v>301</v>
      </c>
      <c r="N188" s="231">
        <v>45463</v>
      </c>
      <c r="O188" s="6"/>
      <c r="P188" s="64">
        <v>45464</v>
      </c>
      <c r="Q188" s="236">
        <f t="shared" si="41"/>
        <v>45465</v>
      </c>
      <c r="R188" s="12"/>
    </row>
    <row r="189" spans="1:18" ht="18" customHeight="1" x14ac:dyDescent="0.2">
      <c r="A189" s="113" t="s">
        <v>131</v>
      </c>
      <c r="B189" s="135">
        <v>17</v>
      </c>
      <c r="C189" s="74">
        <f t="shared" si="42"/>
        <v>134</v>
      </c>
      <c r="D189" s="125" t="s">
        <v>282</v>
      </c>
      <c r="E189" s="125" t="s">
        <v>23</v>
      </c>
      <c r="F189" s="155" t="s">
        <v>287</v>
      </c>
      <c r="G189" s="138">
        <v>5</v>
      </c>
      <c r="H189" s="138">
        <v>141</v>
      </c>
      <c r="I189" s="142">
        <f t="shared" si="37"/>
        <v>705</v>
      </c>
      <c r="J189" s="28"/>
      <c r="K189" s="31" t="s">
        <v>288</v>
      </c>
      <c r="L189" s="1"/>
      <c r="M189" s="235" t="s">
        <v>301</v>
      </c>
      <c r="N189" s="231">
        <v>45463</v>
      </c>
      <c r="O189" s="6"/>
      <c r="P189" s="64">
        <v>45464</v>
      </c>
      <c r="Q189" s="236">
        <f t="shared" si="41"/>
        <v>45465</v>
      </c>
      <c r="R189" s="12"/>
    </row>
    <row r="190" spans="1:18" ht="18" customHeight="1" x14ac:dyDescent="0.2">
      <c r="A190" s="113" t="s">
        <v>131</v>
      </c>
      <c r="B190" s="135">
        <v>17</v>
      </c>
      <c r="C190" s="74">
        <f t="shared" si="42"/>
        <v>135</v>
      </c>
      <c r="D190" s="125" t="s">
        <v>282</v>
      </c>
      <c r="E190" s="125" t="s">
        <v>23</v>
      </c>
      <c r="F190" s="155" t="s">
        <v>289</v>
      </c>
      <c r="G190" s="138">
        <v>5</v>
      </c>
      <c r="H190" s="138">
        <v>104</v>
      </c>
      <c r="I190" s="142">
        <f t="shared" si="37"/>
        <v>520</v>
      </c>
      <c r="J190" s="28"/>
      <c r="K190" s="31" t="s">
        <v>290</v>
      </c>
      <c r="L190" s="1"/>
      <c r="M190" s="235" t="s">
        <v>301</v>
      </c>
      <c r="N190" s="231">
        <v>45463</v>
      </c>
      <c r="O190" s="6"/>
      <c r="P190" s="64">
        <v>45464</v>
      </c>
      <c r="Q190" s="236">
        <f>+P190+1</f>
        <v>45465</v>
      </c>
      <c r="R190" s="12"/>
    </row>
    <row r="191" spans="1:18" ht="18" customHeight="1" x14ac:dyDescent="0.2">
      <c r="A191" s="28"/>
      <c r="B191" s="80"/>
      <c r="C191" s="33"/>
      <c r="D191" s="44"/>
      <c r="E191" s="44"/>
      <c r="F191" s="102"/>
      <c r="G191" s="103"/>
      <c r="H191" s="55"/>
      <c r="I191" s="130"/>
      <c r="J191" s="104"/>
      <c r="K191" s="105"/>
      <c r="L191" s="229"/>
      <c r="M191" s="234"/>
      <c r="N191" s="232"/>
      <c r="O191" s="6"/>
      <c r="P191" s="34"/>
      <c r="Q191" s="21"/>
      <c r="R191" s="12"/>
    </row>
    <row r="192" spans="1:18" ht="18" customHeight="1" x14ac:dyDescent="0.2">
      <c r="A192" s="28"/>
      <c r="B192" s="80"/>
      <c r="C192" s="33"/>
      <c r="D192" s="44"/>
      <c r="E192" s="44"/>
      <c r="F192" s="102"/>
      <c r="G192" s="103"/>
      <c r="H192" s="55"/>
      <c r="I192" s="130"/>
      <c r="J192" s="104"/>
      <c r="K192" s="105"/>
      <c r="L192" s="229"/>
      <c r="M192" s="234"/>
      <c r="N192" s="232"/>
      <c r="O192" s="6"/>
      <c r="P192" s="34"/>
      <c r="Q192" s="21"/>
      <c r="R192" s="12"/>
    </row>
    <row r="193" spans="1:18" ht="18" customHeight="1" x14ac:dyDescent="0.2">
      <c r="A193" s="76"/>
      <c r="B193" s="80"/>
      <c r="C193" s="33"/>
      <c r="D193" s="30"/>
      <c r="E193" s="30"/>
      <c r="F193" s="36"/>
      <c r="G193" s="44"/>
      <c r="H193" s="54"/>
      <c r="I193" s="52"/>
      <c r="J193" s="29"/>
      <c r="K193" s="26"/>
      <c r="L193" s="224"/>
      <c r="M193" s="234"/>
      <c r="N193" s="231"/>
      <c r="O193" s="6"/>
      <c r="P193" s="34"/>
      <c r="Q193" s="21"/>
      <c r="R193" s="32"/>
    </row>
    <row r="194" spans="1:18" ht="18" customHeight="1" x14ac:dyDescent="0.2">
      <c r="C194" s="19"/>
      <c r="D194" s="2"/>
      <c r="E194" s="2"/>
      <c r="F194" s="120">
        <f>SUM(I157:I193)</f>
        <v>106292</v>
      </c>
      <c r="G194" s="119"/>
      <c r="H194" s="119"/>
      <c r="I194" s="119"/>
      <c r="J194" s="117"/>
      <c r="K194" s="16"/>
      <c r="L194" s="224"/>
      <c r="M194" s="234"/>
      <c r="N194" s="230"/>
      <c r="O194" s="6"/>
      <c r="P194" s="6"/>
      <c r="Q194" s="21"/>
      <c r="R194" s="12"/>
    </row>
    <row r="195" spans="1:18" ht="18" customHeight="1" x14ac:dyDescent="0.2">
      <c r="C195" s="19"/>
      <c r="D195" s="2"/>
      <c r="E195" s="2"/>
      <c r="F195" s="13"/>
      <c r="G195" s="118"/>
      <c r="H195" s="118"/>
      <c r="I195" s="53"/>
      <c r="J195" s="1"/>
      <c r="K195" s="13"/>
      <c r="L195" s="20"/>
      <c r="M195" s="65"/>
      <c r="N195" s="21"/>
      <c r="O195" s="6"/>
      <c r="P195" s="6"/>
      <c r="Q195" s="21"/>
      <c r="R195" s="12"/>
    </row>
    <row r="196" spans="1:18" ht="18" customHeight="1" x14ac:dyDescent="0.2">
      <c r="C196" s="19"/>
      <c r="D196" s="19"/>
      <c r="E196" s="19"/>
      <c r="F196" s="20" t="s">
        <v>24</v>
      </c>
      <c r="G196" s="17"/>
      <c r="H196" s="17"/>
      <c r="I196" s="17">
        <f>G196*H196</f>
        <v>0</v>
      </c>
      <c r="J196" s="11"/>
      <c r="K196" s="13" t="s">
        <v>25</v>
      </c>
      <c r="L196" s="22"/>
      <c r="M196" s="19"/>
      <c r="N196" s="21"/>
      <c r="O196" s="22"/>
      <c r="P196" s="19"/>
      <c r="Q196" s="21"/>
      <c r="R196" s="12"/>
    </row>
    <row r="197" spans="1:18" ht="18" customHeight="1" x14ac:dyDescent="0.2">
      <c r="B197" s="81">
        <v>4</v>
      </c>
      <c r="C197" s="98"/>
      <c r="D197" s="2"/>
      <c r="E197" s="2"/>
      <c r="F197" s="20" t="s">
        <v>25</v>
      </c>
      <c r="G197" s="17"/>
      <c r="H197" s="17">
        <v>5000</v>
      </c>
      <c r="I197" s="17">
        <f>G197*H197</f>
        <v>0</v>
      </c>
      <c r="J197" s="11"/>
      <c r="K197" s="13" t="s">
        <v>26</v>
      </c>
      <c r="L197" s="22"/>
      <c r="M197" s="19"/>
      <c r="N197" s="21"/>
      <c r="O197" s="22"/>
      <c r="P197" s="19"/>
      <c r="Q197" s="21"/>
      <c r="R197" s="6"/>
    </row>
    <row r="198" spans="1:18" ht="18" customHeight="1" x14ac:dyDescent="0.2">
      <c r="C198" s="19"/>
      <c r="D198" s="2"/>
      <c r="E198" s="2"/>
      <c r="F198" s="20" t="s">
        <v>26</v>
      </c>
      <c r="G198" s="17"/>
      <c r="H198" s="17"/>
      <c r="I198" s="17">
        <f>G198*H198</f>
        <v>0</v>
      </c>
      <c r="J198" s="11"/>
      <c r="K198" s="3"/>
      <c r="L198" s="22"/>
      <c r="M198" s="19"/>
      <c r="N198" s="19"/>
      <c r="O198" s="22"/>
      <c r="P198" s="19"/>
      <c r="Q198" s="6"/>
      <c r="R198" s="6"/>
    </row>
    <row r="199" spans="1:18" ht="18" customHeight="1" x14ac:dyDescent="0.2">
      <c r="C199" s="19"/>
      <c r="D199" s="2"/>
      <c r="E199" s="2"/>
      <c r="F199" s="245"/>
      <c r="G199" s="246"/>
      <c r="H199" s="246"/>
      <c r="I199" s="247"/>
      <c r="J199" s="4"/>
      <c r="K199" s="16"/>
    </row>
    <row r="200" spans="1:18" ht="18" customHeight="1" x14ac:dyDescent="0.2"/>
    <row r="201" spans="1:18" ht="18" customHeight="1" x14ac:dyDescent="0.2"/>
    <row r="202" spans="1:18" ht="18" customHeight="1" x14ac:dyDescent="0.2"/>
  </sheetData>
  <autoFilter ref="C8:P202" xr:uid="{00000000-0009-0000-0000-000003000000}"/>
  <mergeCells count="14">
    <mergeCell ref="D156:F156"/>
    <mergeCell ref="F199:I199"/>
    <mergeCell ref="C6:E6"/>
    <mergeCell ref="C11:F11"/>
    <mergeCell ref="D89:F89"/>
    <mergeCell ref="D131:F131"/>
    <mergeCell ref="I6:K6"/>
    <mergeCell ref="C2:E2"/>
    <mergeCell ref="H2:J2"/>
    <mergeCell ref="C3:E3"/>
    <mergeCell ref="C4:E4"/>
    <mergeCell ref="C5:E5"/>
    <mergeCell ref="I4:K5"/>
    <mergeCell ref="H5:H6"/>
  </mergeCells>
  <phoneticPr fontId="10"/>
  <dataValidations count="2">
    <dataValidation allowBlank="1" showInputMessage="1" showErrorMessage="1" sqref="K84:K86" xr:uid="{17F3BA65-4C44-422E-BBF0-5806B49A35B2}"/>
    <dataValidation imeMode="hiragana" allowBlank="1" showInputMessage="1" showErrorMessage="1" sqref="K111" xr:uid="{6646872D-70EA-4FFA-A1D4-229D620F6D01}"/>
  </dataValidations>
  <printOptions gridLines="1"/>
  <pageMargins left="0.2" right="0.2" top="0.75" bottom="0.75" header="0.3" footer="0.3"/>
  <pageSetup orientation="landscape" r:id="rId1"/>
  <headerFooter>
    <oddHeader>&amp;L&amp;C&amp;R</oddHeader>
    <oddFooter>&amp;L&amp;C&amp;R</oddFooter>
    <evenHeader>&amp;L&amp;C&amp;R</evenHeader>
    <evenFooter>&amp;L&amp;C&amp;R</even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"/>
  <sheetViews>
    <sheetView view="pageBreakPreview" zoomScale="140" zoomScaleNormal="100" zoomScaleSheetLayoutView="140" workbookViewId="0">
      <selection activeCell="A3" sqref="A1:XFD1048576"/>
    </sheetView>
  </sheetViews>
  <sheetFormatPr defaultColWidth="11.6640625" defaultRowHeight="13.5" customHeight="1" x14ac:dyDescent="0.2"/>
  <cols>
    <col min="1" max="1" width="12.109375" bestFit="1" customWidth="1"/>
    <col min="2" max="2" width="31.44140625" bestFit="1" customWidth="1"/>
  </cols>
  <sheetData>
    <row r="1" spans="1:2" ht="13.5" customHeight="1" x14ac:dyDescent="0.2">
      <c r="A1" s="99" t="s">
        <v>0</v>
      </c>
      <c r="B1" s="24" t="s">
        <v>126</v>
      </c>
    </row>
    <row r="2" spans="1:2" ht="13.5" customHeight="1" x14ac:dyDescent="0.2">
      <c r="A2" s="99" t="s">
        <v>2</v>
      </c>
      <c r="B2" s="7" t="s">
        <v>85</v>
      </c>
    </row>
    <row r="3" spans="1:2" ht="13.5" customHeight="1" x14ac:dyDescent="0.2">
      <c r="A3" s="99" t="s">
        <v>3</v>
      </c>
      <c r="B3" s="7" t="s">
        <v>125</v>
      </c>
    </row>
    <row r="4" spans="1:2" ht="13.5" customHeight="1" x14ac:dyDescent="0.2">
      <c r="A4" s="99" t="s">
        <v>4</v>
      </c>
      <c r="B4" s="8">
        <v>44972</v>
      </c>
    </row>
    <row r="5" spans="1:2" ht="13.5" customHeight="1" x14ac:dyDescent="0.2">
      <c r="A5" s="99" t="s">
        <v>5</v>
      </c>
      <c r="B5" s="8">
        <v>44975</v>
      </c>
    </row>
  </sheetData>
  <phoneticPr fontId="10"/>
  <printOptions horizontalCentered="1" verticalCentered="1" gridLines="1"/>
  <pageMargins left="0.70866141732283472" right="0.70866141732283472" top="0.74803149606299213" bottom="0.74803149606299213" header="0.31496062992125984" footer="0.31496062992125984"/>
  <pageSetup paperSize="9" scale="287" orientation="landscape" r:id="rId1"/>
  <headerFooter>
    <oddHeader>&amp;L&amp;C&amp;R</oddHeader>
    <oddFooter>&amp;L&amp;C&amp;R</oddFooter>
    <evenHeader>&amp;L&amp;C&amp;R</evenHeader>
    <evenFooter>&amp;L&amp;C&amp;R</even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11.77734375" defaultRowHeight="13.5" customHeight="1" x14ac:dyDescent="0.2"/>
  <sheetData/>
  <phoneticPr fontId="10"/>
  <printOptions gridLines="1"/>
  <pageMargins left="0.7" right="0.7" top="0.75" bottom="0.75" header="0.3" footer="0.3"/>
  <pageSetup orientation="landscape" r:id="rId1"/>
  <headerFooter>
    <oddHeader>&amp;L&amp;C&amp;R</oddHeader>
    <oddFooter>&amp;L&amp;C&amp;R</oddFooter>
    <evenHeader>&amp;L&amp;C&amp;R</evenHeader>
    <evenFooter>&amp;L&amp;C&amp;R</even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原価一覧 (20240620) ③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h-saito</dc:creator>
  <cp:lastModifiedBy>齋藤 秀昭</cp:lastModifiedBy>
  <cp:lastPrinted>2023-01-13T04:52:35Z</cp:lastPrinted>
  <dcterms:created xsi:type="dcterms:W3CDTF">2016-05-16T08:05:24Z</dcterms:created>
  <dcterms:modified xsi:type="dcterms:W3CDTF">2024-06-20T07:18:57Z</dcterms:modified>
</cp:coreProperties>
</file>