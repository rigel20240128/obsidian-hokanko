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337300CC-798D-49B5-A781-B3752DA7EF54}" xr6:coauthVersionLast="47" xr6:coauthVersionMax="47" xr10:uidLastSave="{00000000-0000-0000-0000-000000000000}"/>
  <bookViews>
    <workbookView xWindow="-120" yWindow="-120" windowWidth="30960" windowHeight="15840" xr2:uid="{00000000-000D-0000-FFFF-FFFF00000000}"/>
  </bookViews>
  <sheets>
    <sheet name="原価表" sheetId="1" r:id="rId1"/>
  </sheets>
  <definedNames>
    <definedName name="_xlnm._FilterDatabase" localSheetId="0" hidden="1">原価表!$B$9:$O$18</definedName>
  </definedNames>
  <calcPr calcId="181029"/>
  <fileRecoveryPr autoRecover="0"/>
</workbook>
</file>

<file path=xl/calcChain.xml><?xml version="1.0" encoding="utf-8"?>
<calcChain xmlns="http://schemas.openxmlformats.org/spreadsheetml/2006/main">
  <c r="H19" i="1" l="1"/>
  <c r="H15" i="1"/>
  <c r="H13" i="1"/>
  <c r="H14" i="1"/>
  <c r="H16" i="1"/>
  <c r="H17" i="1"/>
  <c r="H10" i="1"/>
  <c r="H11" i="1"/>
  <c r="H12" i="1"/>
  <c r="H18" i="1"/>
  <c r="J2" i="1" l="1"/>
</calcChain>
</file>

<file path=xl/sharedStrings.xml><?xml version="1.0" encoding="utf-8"?>
<sst xmlns="http://schemas.openxmlformats.org/spreadsheetml/2006/main" count="66" uniqueCount="44">
  <si>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</si>
  <si>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</si>
  <si>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</si>
  <si>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</si>
  <si>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</si>
  <si>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</si>
  <si>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</si>
  <si>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</si>
  <si>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</si>
  <si>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</si>
  <si>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</si>
  <si>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</si>
  <si>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</si>
  <si>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</si>
  <si>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</si>
  <si>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</si>
  <si>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</si>
  <si>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</si>
  <si>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</si>
  <si>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</si>
  <si>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</si>
  <si>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</si>
  <si>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ｹｼｰﾙ</t>
    <phoneticPr fontId="1"/>
  </si>
  <si>
    <t>MISUMI</t>
    <phoneticPr fontId="1"/>
  </si>
  <si>
    <t>WEB発注済</t>
    <rPh sb="3" eb="5">
      <t>ハッチュウ</t>
    </rPh>
    <rPh sb="5" eb="6">
      <t>スミ</t>
    </rPh>
    <phoneticPr fontId="1"/>
  </si>
  <si>
    <t>SET</t>
    <phoneticPr fontId="1"/>
  </si>
  <si>
    <t>設計費</t>
    <rPh sb="0" eb="2">
      <t>セッケイ</t>
    </rPh>
    <rPh sb="2" eb="3">
      <t>ヒ</t>
    </rPh>
    <phoneticPr fontId="1"/>
  </si>
  <si>
    <t>NEDUL-PT-JS-9-3</t>
  </si>
  <si>
    <t>AXEND</t>
    <phoneticPr fontId="1"/>
  </si>
  <si>
    <t>JANOME</t>
    <phoneticPr fontId="1"/>
  </si>
  <si>
    <t>JRV2000用C-Points塗布編集ｿﾌﾄ</t>
    <phoneticPr fontId="1"/>
  </si>
  <si>
    <t>JRV-Cpts</t>
    <phoneticPr fontId="1"/>
  </si>
  <si>
    <t>JRV2303</t>
    <phoneticPr fontId="1"/>
  </si>
  <si>
    <t>JRV2000用ﾃｨｰﾁﾝｸﾞﾍﾟﾝﾀﾞﾝﾄ</t>
    <rPh sb="7" eb="8">
      <t>ヨウ</t>
    </rPh>
    <phoneticPr fontId="1"/>
  </si>
  <si>
    <t>在庫</t>
    <rPh sb="0" eb="2">
      <t>ザイコ</t>
    </rPh>
    <phoneticPr fontId="1"/>
  </si>
  <si>
    <t>PNUIC-UC-232A-R</t>
  </si>
  <si>
    <t>C06-09M4N-09F-910</t>
  </si>
  <si>
    <t>USBｺﾝﾊﾞｰﾀ</t>
  </si>
  <si>
    <t>RS232Cｹｰﾌﾞﾙ_9-9_ｽﾄﾚｰﾄｹｯｾﾝ</t>
  </si>
  <si>
    <t>Dｻﾌﾞﾊｰﾈｽ(ﾏﾙ)</t>
  </si>
  <si>
    <t>送料</t>
    <rPh sb="0" eb="2">
      <t>ソウリョウ</t>
    </rPh>
    <phoneticPr fontId="1"/>
  </si>
  <si>
    <t>C06-09F-09F-910</t>
    <phoneticPr fontId="1"/>
  </si>
  <si>
    <t>組立費</t>
    <rPh sb="0" eb="3">
      <t>クミタテヒ</t>
    </rPh>
    <phoneticPr fontId="1"/>
  </si>
  <si>
    <t>項目なし</t>
    <rPh sb="0" eb="2">
      <t>コウモク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</si>
</sst>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</numFmts>
  <fonts count="7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38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right" vertical="center"/>
    </xf>
    <xf numFmtId="179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177" fontId="6" fillId="0" borderId="0" xfId="0" applyNumberFormat="1" applyFont="1" applyAlignment="1">
      <alignment horizontal="center" vertical="center"/>
    </xf>
    <xf numFmtId="49" fontId="0" fillId="0" borderId="1" xfId="0" applyNumberFormat="1" applyBorder="1">
      <alignment vertical="center"/>
    </xf>
    <xf numFmtId="0" fontId="0" fillId="0" borderId="2" xfId="0" applyBorder="1" applyAlignment="1">
      <alignment horizontal="right" vertical="center"/>
    </xf>
    <xf numFmtId="3" fontId="0" fillId="0" borderId="5" xfId="0" applyNumberFormat="1" applyBorder="1" applyAlignment="1">
      <alignment horizontal="center" vertical="center"/>
    </xf>
    <xf numFmtId="56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9"/>
  <sheetViews>
    <sheetView tabSelected="1" zoomScale="85" zoomScaleNormal="85" workbookViewId="0">
      <pane xSplit="10" ySplit="9" topLeftCell="K10" activePane="bottomRight" state="frozen"/>
      <selection pane="topRight" activeCell="K1" sqref="K1"/>
      <selection pane="bottomLeft" activeCell="A9" sqref="A9"/>
      <selection pane="bottomRight" activeCell="B1" sqref="B1"/>
    </sheetView>
  </sheetViews>
  <sheetFormatPr defaultColWidth="9" defaultRowHeight="13.5" x14ac:dyDescent="0.15"/>
  <cols>
    <col min="1" max="1" width="2.625" customWidth="1"/>
    <col min="2" max="2" width="20.125" style="3" bestFit="1" customWidth="1"/>
    <col min="3" max="3" width="14.375" bestFit="1" customWidth="1"/>
    <col min="4" max="4" width="13.125" bestFit="1" customWidth="1"/>
    <col min="5" max="5" width="40.625" customWidth="1"/>
    <col min="6" max="6" width="6.25" customWidth="1"/>
    <col min="7" max="8" width="9.875" style="22" bestFit="1" customWidth="1"/>
    <col min="9" max="9" width="5.75" style="1" customWidth="1"/>
    <col min="10" max="10" width="35.25" bestFit="1" customWidth="1"/>
    <col min="11" max="11" width="34.625" bestFit="1" customWidth="1"/>
    <col min="12" max="12" width="16.375" style="3" customWidth="1"/>
    <col min="13" max="13" width="13.75" style="4" customWidth="1"/>
    <col min="14" max="14" width="6.375" customWidth="1"/>
    <col min="15" max="15" width="13.25" style="1" customWidth="1"/>
    <col min="16" max="16" width="14.5" style="5" customWidth="1"/>
    <col min="17" max="17" width="15.625" style="6" customWidth="1"/>
  </cols>
  <sheetData>
    <row r="2" spans="2:17" ht="20.100000000000001" customHeight="1" x14ac:dyDescent="0.15">
      <c r="B2" s="34" t="s">
        <v>11</v>
      </c>
      <c r="C2" s="34"/>
      <c r="D2" s="34"/>
      <c r="E2" s="25" t="s">
        <v>28</v>
      </c>
      <c r="G2" s="35" t="s">
        <v>15</v>
      </c>
      <c r="H2" s="36"/>
      <c r="I2" s="37"/>
      <c r="J2" s="2">
        <f>SUM(H:H)</f>
        <v>98648</v>
      </c>
    </row>
    <row r="3" spans="2:17" ht="20.100000000000001" customHeight="1" x14ac:dyDescent="0.15">
      <c r="B3" s="34" t="s">
        <v>10</v>
      </c>
      <c r="C3" s="34"/>
      <c r="D3" s="34"/>
      <c r="E3" s="26" t="s">
        <v>22</v>
      </c>
    </row>
    <row r="4" spans="2:17" ht="20.100000000000001" customHeight="1" x14ac:dyDescent="0.15">
      <c r="B4" s="34" t="s">
        <v>12</v>
      </c>
      <c r="C4" s="34"/>
      <c r="D4" s="34"/>
      <c r="E4" s="26">
        <v>215137</v>
      </c>
      <c r="J4" s="7"/>
    </row>
    <row r="5" spans="2:17" ht="20.100000000000001" customHeight="1" x14ac:dyDescent="0.15">
      <c r="B5" s="34" t="s">
        <v>13</v>
      </c>
      <c r="C5" s="34"/>
      <c r="D5" s="34"/>
      <c r="E5" s="27">
        <v>45443</v>
      </c>
      <c r="J5" s="7"/>
    </row>
    <row r="6" spans="2:17" ht="20.100000000000001" customHeight="1" x14ac:dyDescent="0.15">
      <c r="B6" s="34" t="s">
        <v>14</v>
      </c>
      <c r="C6" s="34"/>
      <c r="D6" s="34"/>
      <c r="E6" s="27">
        <v>45450</v>
      </c>
      <c r="J6" s="7"/>
    </row>
    <row r="7" spans="2:17" ht="20.100000000000001" customHeight="1" x14ac:dyDescent="0.15">
      <c r="B7" s="8"/>
      <c r="C7" s="8"/>
      <c r="D7" s="8"/>
      <c r="E7" s="28"/>
      <c r="J7" s="7"/>
      <c r="L7" s="9"/>
    </row>
    <row r="9" spans="2:17" s="3" customFormat="1" ht="19.7" customHeight="1" x14ac:dyDescent="0.15">
      <c r="B9" s="10" t="s">
        <v>4</v>
      </c>
      <c r="C9" s="10" t="s">
        <v>9</v>
      </c>
      <c r="D9" s="10" t="s">
        <v>5</v>
      </c>
      <c r="E9" s="11" t="s">
        <v>8</v>
      </c>
      <c r="F9" s="11" t="s">
        <v>0</v>
      </c>
      <c r="G9" s="20" t="s">
        <v>1</v>
      </c>
      <c r="H9" s="21" t="s">
        <v>2</v>
      </c>
      <c r="I9" s="12" t="s">
        <v>18</v>
      </c>
      <c r="J9" s="11" t="s">
        <v>3</v>
      </c>
      <c r="K9" s="11" t="s">
        <v>17</v>
      </c>
      <c r="L9" s="11" t="s">
        <v>16</v>
      </c>
      <c r="M9" s="13" t="s">
        <v>6</v>
      </c>
      <c r="N9" s="10" t="s">
        <v>19</v>
      </c>
      <c r="O9" s="11" t="s">
        <v>7</v>
      </c>
      <c r="P9" s="13" t="s">
        <v>20</v>
      </c>
      <c r="Q9" s="14" t="s">
        <v>21</v>
      </c>
    </row>
    <row r="10" spans="2:17" s="3" customFormat="1" ht="19.7" customHeight="1" x14ac:dyDescent="0.15">
      <c r="B10" s="10">
        <v>1</v>
      </c>
      <c r="C10" s="10" t="s">
        <v>29</v>
      </c>
      <c r="D10" s="10" t="s">
        <v>29</v>
      </c>
      <c r="E10" s="15" t="s">
        <v>32</v>
      </c>
      <c r="F10" s="16">
        <v>1</v>
      </c>
      <c r="G10" s="20"/>
      <c r="H10" s="23">
        <f t="shared" ref="H10:H19" si="0">F10*G10</f>
        <v>0</v>
      </c>
      <c r="I10" s="12"/>
      <c r="J10" s="11"/>
      <c r="K10" s="11" t="s">
        <v>34</v>
      </c>
      <c r="L10" s="11"/>
      <c r="M10" s="13"/>
      <c r="N10" s="10"/>
      <c r="O10" s="11"/>
      <c r="P10" s="13"/>
      <c r="Q10" s="14"/>
    </row>
    <row r="11" spans="2:17" s="3" customFormat="1" ht="19.7" customHeight="1" x14ac:dyDescent="0.15">
      <c r="B11" s="31">
        <v>2</v>
      </c>
      <c r="C11" s="10" t="s">
        <v>29</v>
      </c>
      <c r="D11" s="10" t="s">
        <v>29</v>
      </c>
      <c r="E11" s="15" t="s">
        <v>33</v>
      </c>
      <c r="F11" s="16">
        <v>1</v>
      </c>
      <c r="G11" s="20"/>
      <c r="H11" s="23">
        <f t="shared" si="0"/>
        <v>0</v>
      </c>
      <c r="I11" s="12"/>
      <c r="J11" s="11"/>
      <c r="K11" s="11" t="s">
        <v>34</v>
      </c>
      <c r="L11" s="11"/>
      <c r="M11" s="13"/>
      <c r="N11" s="10"/>
      <c r="O11" s="11"/>
      <c r="P11" s="13"/>
      <c r="Q11" s="14"/>
    </row>
    <row r="12" spans="2:17" ht="19.5" customHeight="1" x14ac:dyDescent="0.15">
      <c r="B12" s="33">
        <v>3</v>
      </c>
      <c r="C12" s="10" t="s">
        <v>29</v>
      </c>
      <c r="D12" s="10" t="s">
        <v>29</v>
      </c>
      <c r="E12" s="16" t="s">
        <v>31</v>
      </c>
      <c r="F12" s="16">
        <v>1</v>
      </c>
      <c r="G12" s="16">
        <v>38000</v>
      </c>
      <c r="H12" s="23">
        <f t="shared" si="0"/>
        <v>38000</v>
      </c>
      <c r="I12" s="30"/>
      <c r="J12" s="16" t="s">
        <v>30</v>
      </c>
      <c r="K12" s="24"/>
      <c r="L12" s="11"/>
      <c r="M12" s="13">
        <v>45436</v>
      </c>
      <c r="N12" s="16"/>
      <c r="O12" s="32">
        <v>45443</v>
      </c>
      <c r="P12" s="18">
        <v>45443</v>
      </c>
      <c r="Q12" s="14">
        <v>45443</v>
      </c>
    </row>
    <row r="13" spans="2:17" ht="19.5" customHeight="1" x14ac:dyDescent="0.15">
      <c r="B13" s="33"/>
      <c r="C13" s="10" t="s">
        <v>29</v>
      </c>
      <c r="D13" s="10" t="s">
        <v>29</v>
      </c>
      <c r="E13" s="16" t="s">
        <v>40</v>
      </c>
      <c r="F13" s="16">
        <v>1</v>
      </c>
      <c r="G13" s="16">
        <v>1300</v>
      </c>
      <c r="H13" s="23">
        <f t="shared" si="0"/>
        <v>1300</v>
      </c>
      <c r="I13" s="30"/>
      <c r="J13" s="16"/>
      <c r="K13" s="24"/>
      <c r="L13" s="11"/>
      <c r="M13" s="13">
        <v>45436</v>
      </c>
      <c r="N13" s="16"/>
      <c r="O13" s="32">
        <v>45443</v>
      </c>
      <c r="P13" s="18"/>
      <c r="Q13" s="19"/>
    </row>
    <row r="14" spans="2:17" s="3" customFormat="1" ht="19.7" customHeight="1" x14ac:dyDescent="0.15">
      <c r="B14" s="33"/>
      <c r="C14" s="10" t="s">
        <v>23</v>
      </c>
      <c r="D14" s="10" t="s">
        <v>23</v>
      </c>
      <c r="E14" s="16" t="s">
        <v>35</v>
      </c>
      <c r="F14" s="16">
        <v>1</v>
      </c>
      <c r="G14" s="16">
        <v>5000</v>
      </c>
      <c r="H14" s="23">
        <f t="shared" si="0"/>
        <v>5000</v>
      </c>
      <c r="I14" s="12"/>
      <c r="J14" s="16" t="s">
        <v>37</v>
      </c>
      <c r="K14" s="10" t="s">
        <v>24</v>
      </c>
      <c r="L14" s="11"/>
      <c r="M14" s="13"/>
      <c r="N14" s="10"/>
      <c r="O14" s="11"/>
      <c r="P14" s="13"/>
      <c r="Q14" s="14">
        <v>45439</v>
      </c>
    </row>
    <row r="15" spans="2:17" s="3" customFormat="1" ht="19.7" customHeight="1" x14ac:dyDescent="0.15">
      <c r="B15" s="33"/>
      <c r="C15" s="10" t="s">
        <v>23</v>
      </c>
      <c r="D15" s="10" t="s">
        <v>23</v>
      </c>
      <c r="E15" s="16" t="s">
        <v>36</v>
      </c>
      <c r="F15" s="16">
        <v>1</v>
      </c>
      <c r="G15" s="16">
        <v>660</v>
      </c>
      <c r="H15" s="23">
        <f t="shared" ref="H15" si="1">F15*G15</f>
        <v>660</v>
      </c>
      <c r="I15" s="12"/>
      <c r="J15" s="16" t="s">
        <v>38</v>
      </c>
      <c r="K15" s="10" t="s">
        <v>24</v>
      </c>
      <c r="L15" s="11"/>
      <c r="M15" s="13"/>
      <c r="N15" s="10"/>
      <c r="O15" s="11"/>
      <c r="P15" s="13"/>
      <c r="Q15" s="14">
        <v>45439</v>
      </c>
    </row>
    <row r="16" spans="2:17" s="3" customFormat="1" ht="19.7" customHeight="1" x14ac:dyDescent="0.15">
      <c r="B16" s="33"/>
      <c r="C16" s="10" t="s">
        <v>23</v>
      </c>
      <c r="D16" s="10" t="s">
        <v>23</v>
      </c>
      <c r="E16" s="16" t="s">
        <v>41</v>
      </c>
      <c r="F16" s="16">
        <v>1</v>
      </c>
      <c r="G16" s="16">
        <v>618</v>
      </c>
      <c r="H16" s="23">
        <f t="shared" si="0"/>
        <v>618</v>
      </c>
      <c r="I16" s="12"/>
      <c r="J16" s="16" t="s">
        <v>38</v>
      </c>
      <c r="K16" s="10" t="s">
        <v>24</v>
      </c>
      <c r="L16" s="11"/>
      <c r="M16" s="13">
        <v>45448</v>
      </c>
      <c r="N16" s="10"/>
      <c r="O16" s="11"/>
      <c r="P16" s="13">
        <v>45449</v>
      </c>
      <c r="Q16" s="14">
        <v>45439</v>
      </c>
    </row>
    <row r="17" spans="2:17" ht="19.5" customHeight="1" x14ac:dyDescent="0.15">
      <c r="B17" s="11">
        <v>4</v>
      </c>
      <c r="C17" s="10" t="s">
        <v>23</v>
      </c>
      <c r="D17" s="10" t="s">
        <v>23</v>
      </c>
      <c r="E17" s="16" t="s">
        <v>27</v>
      </c>
      <c r="F17" s="16">
        <v>1</v>
      </c>
      <c r="G17" s="16">
        <v>3070</v>
      </c>
      <c r="H17" s="23">
        <f t="shared" si="0"/>
        <v>3070</v>
      </c>
      <c r="I17" s="30"/>
      <c r="J17" s="16" t="s">
        <v>39</v>
      </c>
      <c r="K17" s="10" t="s">
        <v>24</v>
      </c>
      <c r="L17" s="11"/>
      <c r="M17" s="13"/>
      <c r="N17" s="16"/>
      <c r="O17" s="17"/>
      <c r="P17" s="18"/>
      <c r="Q17" s="14">
        <v>45439</v>
      </c>
    </row>
    <row r="18" spans="2:17" ht="19.5" customHeight="1" x14ac:dyDescent="0.15">
      <c r="B18" s="38" t="s">
        <v>43</v>
      </c>
      <c r="C18" s="10" t="s">
        <v>25</v>
      </c>
      <c r="D18" s="10" t="s">
        <v>25</v>
      </c>
      <c r="E18" s="16" t="s">
        <v>26</v>
      </c>
      <c r="F18" s="16">
        <v>5</v>
      </c>
      <c r="G18" s="16">
        <v>5000</v>
      </c>
      <c r="H18" s="23">
        <f t="shared" si="0"/>
        <v>25000</v>
      </c>
      <c r="I18" s="30"/>
      <c r="J18" s="29"/>
      <c r="K18" s="10"/>
      <c r="L18" s="11"/>
      <c r="M18" s="13"/>
      <c r="N18" s="16"/>
      <c r="O18" s="17"/>
      <c r="P18" s="18"/>
      <c r="Q18" s="19"/>
    </row>
    <row r="19" spans="2:17" ht="19.5" customHeight="1" x14ac:dyDescent="0.15">
      <c r="B19" s="39"/>
      <c r="C19" s="10" t="s">
        <v>25</v>
      </c>
      <c r="D19" s="10" t="s">
        <v>25</v>
      </c>
      <c r="E19" s="16" t="s">
        <v>42</v>
      </c>
      <c r="F19" s="16">
        <v>5</v>
      </c>
      <c r="G19" s="16">
        <v>5000</v>
      </c>
      <c r="H19" s="23">
        <f t="shared" si="0"/>
        <v>25000</v>
      </c>
      <c r="I19" s="17"/>
      <c r="J19" s="16"/>
      <c r="K19" s="16"/>
      <c r="L19" s="11"/>
      <c r="M19" s="13"/>
      <c r="N19" s="16"/>
      <c r="O19" s="17"/>
      <c r="P19" s="18"/>
      <c r="Q19" s="19"/>
    </row>
  </sheetData>
  <autoFilter ref="B9:O9" xr:uid="{00000000-0009-0000-0000-000000000000}"/>
  <mergeCells count="8">
    <mergeCell ref="B18:B19"/>
    <mergeCell ref="B12:B16"/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原価表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佐藤マネジャー</cp:lastModifiedBy>
  <cp:lastPrinted>2021-05-10T06:24:52Z</cp:lastPrinted>
  <dcterms:created xsi:type="dcterms:W3CDTF">2011-12-13T06:48:43Z</dcterms:created>
  <dcterms:modified xsi:type="dcterms:W3CDTF">2024-06-07T05:52:49Z</dcterms:modified>
</cp:coreProperties>
</file>