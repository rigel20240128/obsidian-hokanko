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2691168-FA05-419B-B4F7-29943BFC54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40425) " sheetId="12" r:id="rId1"/>
    <sheet name="Sheet1" sheetId="13" r:id="rId2"/>
    <sheet name="Sheet2" sheetId="2" r:id="rId3"/>
    <sheet name="Sheet3" sheetId="3" r:id="rId4"/>
  </sheets>
  <definedNames>
    <definedName name="_xlnm._FilterDatabase" localSheetId="0">'発注 (20240425)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2" l="1"/>
  <c r="C31" i="12"/>
  <c r="C29" i="12"/>
  <c r="I26" i="12" l="1"/>
  <c r="I31" i="12" l="1"/>
  <c r="I28" i="12"/>
  <c r="I27" i="12"/>
  <c r="I24" i="12"/>
  <c r="I23" i="12"/>
  <c r="I22" i="12"/>
  <c r="I14" i="12"/>
  <c r="I13" i="12"/>
  <c r="I12" i="12"/>
  <c r="I15" i="12"/>
  <c r="F33" i="12" l="1"/>
  <c r="I11" i="12"/>
  <c r="C11" i="12"/>
  <c r="C12" i="12" s="1"/>
  <c r="C13" i="12" s="1"/>
  <c r="I10" i="12"/>
  <c r="F18" i="12" s="1"/>
  <c r="C14" i="12" l="1"/>
  <c r="C15" i="12" s="1"/>
  <c r="C22" i="12" s="1"/>
  <c r="C23" i="12" s="1"/>
  <c r="C24" i="12" s="1"/>
  <c r="C26" i="12" s="1"/>
  <c r="C27" i="12" s="1"/>
  <c r="C28" i="12" s="1"/>
  <c r="I40" i="12"/>
  <c r="I39" i="12"/>
  <c r="I38" i="12"/>
  <c r="K2" i="12" l="1"/>
</calcChain>
</file>

<file path=xl/sharedStrings.xml><?xml version="1.0" encoding="utf-8"?>
<sst xmlns="http://schemas.openxmlformats.org/spreadsheetml/2006/main" count="105" uniqueCount="77">
  <si>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</si>
  <si>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</si>
  <si>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</si>
  <si>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</si>
  <si>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</si>
  <si>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</si>
  <si>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</si>
  <si>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</si>
  <si>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</si>
  <si>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</si>
  <si>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</si>
  <si>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</si>
  <si>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</si>
  <si>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</si>
  <si>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</si>
  <si>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</si>
  <si>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</si>
  <si>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</si>
  <si>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</si>
  <si>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</si>
  <si>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</si>
  <si>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</si>
  <si>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</si>
  <si>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</si>
  <si>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</si>
  <si>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</si>
  <si>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蛇の目</t>
    <rPh sb="0" eb="1">
      <t>ジャ</t>
    </rPh>
    <rPh sb="2" eb="3">
      <t>メ</t>
    </rPh>
    <phoneticPr fontId="11"/>
  </si>
  <si>
    <t>10日目</t>
    <rPh sb="2" eb="3">
      <t>ヒ</t>
    </rPh>
    <rPh sb="3" eb="4">
      <t>メ</t>
    </rPh>
    <phoneticPr fontId="11"/>
  </si>
  <si>
    <t>1.5ｶ月</t>
    <rPh sb="4" eb="5">
      <t>ゲツ</t>
    </rPh>
    <phoneticPr fontId="11"/>
  </si>
  <si>
    <t>B仕様ｵﾌﾟｼｮﾝSW付</t>
    <phoneticPr fontId="11"/>
  </si>
  <si>
    <t>SRO-SWB-NO</t>
    <phoneticPr fontId="11"/>
  </si>
  <si>
    <t>荷造り運賃</t>
    <rPh sb="0" eb="2">
      <t>ニヅク</t>
    </rPh>
    <rPh sb="3" eb="5">
      <t>ウンチン</t>
    </rPh>
    <phoneticPr fontId="11"/>
  </si>
  <si>
    <t>株式会社ナカヨ様(成電社）</t>
    <rPh sb="0" eb="4">
      <t>カブシキガイシャ</t>
    </rPh>
    <rPh sb="7" eb="8">
      <t>サマ</t>
    </rPh>
    <rPh sb="9" eb="12">
      <t>セイデンシャ</t>
    </rPh>
    <phoneticPr fontId="10"/>
  </si>
  <si>
    <t>勝田、米山</t>
    <rPh sb="0" eb="2">
      <t>カツタ</t>
    </rPh>
    <rPh sb="3" eb="5">
      <t>ヨネヤマ</t>
    </rPh>
    <phoneticPr fontId="10"/>
  </si>
  <si>
    <t>Ｎo.214491</t>
    <phoneticPr fontId="10"/>
  </si>
  <si>
    <r>
      <t>JR3404　　　SRS-S404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8" eb="20">
      <t>ガイブ</t>
    </rPh>
    <phoneticPr fontId="11"/>
  </si>
  <si>
    <t>JR3000用ﾃｨｰﾁﾝｸﾞﾎﾞｯｸｽ　</t>
    <phoneticPr fontId="11"/>
  </si>
  <si>
    <t>JR3-TB2</t>
    <phoneticPr fontId="11"/>
  </si>
  <si>
    <t>I/O－MT改造追加</t>
    <rPh sb="6" eb="8">
      <t>カイゾウ</t>
    </rPh>
    <rPh sb="8" eb="10">
      <t>ツイカ</t>
    </rPh>
    <phoneticPr fontId="11"/>
  </si>
  <si>
    <t>I/O-MT内部品　追加</t>
    <rPh sb="6" eb="8">
      <t>ナイブ</t>
    </rPh>
    <rPh sb="10" eb="12">
      <t>ツイカ</t>
    </rPh>
    <phoneticPr fontId="11"/>
  </si>
  <si>
    <t>ミスミ</t>
    <phoneticPr fontId="11"/>
  </si>
  <si>
    <t>KCC7-18600-210226-405</t>
    <phoneticPr fontId="11"/>
  </si>
  <si>
    <t>特注ﾊｰﾈｽ　　IO-M　4m　MWS-MDR50-HT50用</t>
    <rPh sb="0" eb="2">
      <t>トクチュウ</t>
    </rPh>
    <rPh sb="30" eb="31">
      <t>ヨウ</t>
    </rPh>
    <phoneticPr fontId="11"/>
  </si>
  <si>
    <t>見積もりNo.TQ23-1487</t>
    <rPh sb="0" eb="2">
      <t>ミツ</t>
    </rPh>
    <phoneticPr fontId="10"/>
  </si>
  <si>
    <t>配電BOX　関連</t>
    <rPh sb="0" eb="2">
      <t>ハイデン</t>
    </rPh>
    <rPh sb="6" eb="8">
      <t>カンレン</t>
    </rPh>
    <phoneticPr fontId="11"/>
  </si>
  <si>
    <t>オリエンタルモータ</t>
    <phoneticPr fontId="11"/>
  </si>
  <si>
    <t>オリムベクスタ</t>
    <phoneticPr fontId="11"/>
  </si>
  <si>
    <t>AZD-K</t>
    <phoneticPr fontId="11"/>
  </si>
  <si>
    <t>回路</t>
    <phoneticPr fontId="11"/>
  </si>
  <si>
    <t>AZM46AK-FC20DA</t>
    <phoneticPr fontId="11"/>
  </si>
  <si>
    <t>モータ</t>
    <phoneticPr fontId="11"/>
  </si>
  <si>
    <t>PDDJ-PS-JS-37-3</t>
    <phoneticPr fontId="11"/>
  </si>
  <si>
    <t>Dsubコネクタハーネス　M2.6ショートネジ</t>
    <phoneticPr fontId="11"/>
  </si>
  <si>
    <t>PDDU-PT-MS-9-3</t>
    <phoneticPr fontId="11"/>
  </si>
  <si>
    <t>Dsub9　オス　コネクタハーネス　#4-40ショートねじ</t>
    <phoneticPr fontId="11"/>
  </si>
  <si>
    <t>モノタロウ</t>
    <phoneticPr fontId="11"/>
  </si>
  <si>
    <r>
      <t>707-8255　</t>
    </r>
    <r>
      <rPr>
        <sz val="11"/>
        <color indexed="10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11"/>
  </si>
  <si>
    <t>CC070VZR2</t>
    <phoneticPr fontId="11"/>
  </si>
  <si>
    <t>可動モーターケーブル　7m</t>
    <phoneticPr fontId="11"/>
  </si>
  <si>
    <t>炭素皮膜抵抗器　抵抗 = 2.2kΩ</t>
    <phoneticPr fontId="11"/>
  </si>
  <si>
    <t>https://www.monotaro.com/g/04256341/</t>
    <phoneticPr fontId="10"/>
  </si>
  <si>
    <t>1日目</t>
    <rPh sb="1" eb="2">
      <t>ヒ</t>
    </rPh>
    <rPh sb="2" eb="3">
      <t>メ</t>
    </rPh>
    <phoneticPr fontId="11"/>
  </si>
  <si>
    <t>10日目</t>
    <rPh sb="2" eb="4">
      <t>ヒメ</t>
    </rPh>
    <phoneticPr fontId="11"/>
  </si>
  <si>
    <t>2日目</t>
    <rPh sb="1" eb="2">
      <t>ヒ</t>
    </rPh>
    <rPh sb="2" eb="3">
      <t>メ</t>
    </rPh>
    <phoneticPr fontId="11"/>
  </si>
  <si>
    <t>5日目</t>
    <rPh sb="1" eb="3">
      <t>ヒメ</t>
    </rPh>
    <phoneticPr fontId="11"/>
  </si>
  <si>
    <t>SETB-0209-A01 JR3404+SV70チルドモーター+捨て射ち+配電BOX+圧送タンク  20240423</t>
    <phoneticPr fontId="10"/>
  </si>
  <si>
    <t>8日目</t>
    <rPh sb="1" eb="3">
      <t>ヒメ</t>
    </rPh>
    <phoneticPr fontId="11"/>
  </si>
  <si>
    <t>ｵﾑﾛﾝ</t>
    <phoneticPr fontId="10"/>
  </si>
  <si>
    <t>EE-SPX613 1M</t>
    <phoneticPr fontId="10"/>
  </si>
  <si>
    <t>液面レベルセンサ（アンプ内蔵パイプ取りつけタイプ） EE-SPX613</t>
    <phoneticPr fontId="10"/>
  </si>
  <si>
    <t>①</t>
    <phoneticPr fontId="10"/>
  </si>
  <si>
    <r>
      <rPr>
        <b/>
        <sz val="11"/>
        <color indexed="8"/>
        <rFont val="ＭＳ Ｐゴシック"/>
        <family val="3"/>
        <charset val="128"/>
      </rPr>
      <t>JR3404N-BJ　</t>
    </r>
    <r>
      <rPr>
        <sz val="11"/>
        <color theme="1"/>
        <rFont val="ＭＳ Ｐゴシック"/>
        <family val="3"/>
        <charset val="128"/>
        <scheme val="minor"/>
      </rPr>
      <t xml:space="preserve">　 4軸ﾛﾎﾞｯﾄ (外部ｽｲｯﾁ仕様)　 </t>
    </r>
    <r>
      <rPr>
        <sz val="11"/>
        <color rgb="FFFF0000"/>
        <rFont val="ＭＳ Ｐゴシック"/>
        <family val="3"/>
        <charset val="128"/>
        <scheme val="minor"/>
      </rPr>
      <t>※片持ち</t>
    </r>
    <rPh sb="34" eb="36">
      <t>カタモ</t>
    </rPh>
    <phoneticPr fontId="11"/>
  </si>
  <si>
    <t>3日目</t>
    <rPh sb="1" eb="2">
      <t>ヒ</t>
    </rPh>
    <rPh sb="2" eb="3">
      <t>メ</t>
    </rPh>
    <phoneticPr fontId="11"/>
  </si>
  <si>
    <t>ミスミ</t>
  </si>
  <si>
    <t>FSC10-C-3</t>
    <phoneticPr fontId="11"/>
  </si>
  <si>
    <t>M8丸型防水コネクタハーネス  ＳＶＥＭﾛﾝｸﾞ3m　TYPE</t>
    <phoneticPr fontId="11"/>
  </si>
  <si>
    <t xml:space="preserve">
AB236A7871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</si>
</sst>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 "/>
  </numFmts>
  <fonts count="2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3" fillId="0" borderId="5" xfId="3" applyBorder="1" applyAlignment="1">
      <alignment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5" xfId="3" applyBorder="1" applyAlignment="1">
      <alignment horizontal="center" vertical="center"/>
    </xf>
    <xf numFmtId="176" fontId="0" fillId="0" borderId="5" xfId="0" applyNumberFormat="1" applyBorder="1" applyAlignment="1"/>
    <xf numFmtId="0" fontId="9" fillId="0" borderId="0" xfId="0" applyFont="1">
      <alignment vertical="center"/>
    </xf>
    <xf numFmtId="49" fontId="0" fillId="0" borderId="5" xfId="0" applyNumberForma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8" fontId="0" fillId="0" borderId="5" xfId="0" applyNumberFormat="1" applyBorder="1" applyAlignment="1">
      <alignment horizontal="right" vertical="center"/>
    </xf>
    <xf numFmtId="3" fontId="9" fillId="0" borderId="5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6" fontId="12" fillId="0" borderId="5" xfId="0" applyNumberFormat="1" applyFont="1" applyBorder="1" applyAlignment="1"/>
    <xf numFmtId="179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vertical="center" shrinkToFit="1"/>
    </xf>
    <xf numFmtId="0" fontId="20" fillId="0" borderId="5" xfId="3" applyFont="1" applyBorder="1" applyAlignment="1">
      <alignment vertical="center"/>
    </xf>
    <xf numFmtId="180" fontId="0" fillId="0" borderId="5" xfId="0" applyNumberFormat="1" applyBorder="1">
      <alignment vertical="center"/>
    </xf>
    <xf numFmtId="38" fontId="0" fillId="0" borderId="5" xfId="0" applyNumberFormat="1" applyBorder="1">
      <alignment vertical="center"/>
    </xf>
    <xf numFmtId="3" fontId="15" fillId="0" borderId="5" xfId="0" applyNumberFormat="1" applyFont="1" applyBorder="1" applyAlignment="1">
      <alignment horizontal="center" vertical="center"/>
    </xf>
    <xf numFmtId="0" fontId="18" fillId="0" borderId="5" xfId="3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3" fillId="0" borderId="7" xfId="3" applyBorder="1" applyAlignment="1">
      <alignment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0" fontId="19" fillId="0" borderId="8" xfId="3" applyFon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5" fontId="12" fillId="0" borderId="5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13" fillId="0" borderId="9" xfId="3" applyBorder="1" applyAlignment="1">
      <alignment horizontal="left" vertical="center"/>
    </xf>
    <xf numFmtId="5" fontId="12" fillId="0" borderId="7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3" fontId="0" fillId="6" borderId="5" xfId="0" applyNumberForma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181" fontId="23" fillId="0" borderId="5" xfId="0" applyNumberFormat="1" applyFont="1" applyBorder="1" applyAlignment="1">
      <alignment horizontal="center" vertical="center"/>
    </xf>
    <xf numFmtId="38" fontId="23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3" fontId="0" fillId="5" borderId="5" xfId="0" applyNumberForma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5" fontId="17" fillId="7" borderId="5" xfId="0" applyNumberFormat="1" applyFont="1" applyFill="1" applyBorder="1">
      <alignment vertical="center"/>
    </xf>
    <xf numFmtId="3" fontId="0" fillId="8" borderId="5" xfId="0" applyNumberFormat="1" applyFill="1" applyBorder="1" applyAlignment="1">
      <alignment horizontal="center" vertical="center"/>
    </xf>
    <xf numFmtId="0" fontId="13" fillId="0" borderId="5" xfId="3" applyBorder="1" applyAlignment="1">
      <alignment horizontal="left" vertical="center"/>
    </xf>
    <xf numFmtId="38" fontId="0" fillId="5" borderId="5" xfId="0" applyNumberFormat="1" applyFill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13" fillId="5" borderId="5" xfId="3" applyFill="1" applyBorder="1" applyAlignment="1">
      <alignment horizontal="center" vertical="center"/>
    </xf>
    <xf numFmtId="176" fontId="0" fillId="0" borderId="5" xfId="0" applyNumberForma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23" fillId="0" borderId="7" xfId="0" applyFont="1" applyBorder="1">
      <alignment vertical="center"/>
    </xf>
    <xf numFmtId="176" fontId="17" fillId="9" borderId="7" xfId="0" applyNumberFormat="1" applyFont="1" applyFill="1" applyBorder="1" applyAlignment="1">
      <alignment horizontal="center" vertical="center"/>
    </xf>
    <xf numFmtId="176" fontId="26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/>
    </xf>
    <xf numFmtId="0" fontId="9" fillId="0" borderId="5" xfId="0" applyFont="1" applyBorder="1">
      <alignment vertical="center"/>
    </xf>
    <xf numFmtId="0" fontId="1" fillId="0" borderId="0" xfId="2">
      <alignment vertical="center"/>
    </xf>
    <xf numFmtId="3" fontId="0" fillId="0" borderId="7" xfId="0" applyNumberFormat="1" applyBorder="1" applyAlignment="1">
      <alignment horizontal="center" vertical="center"/>
    </xf>
    <xf numFmtId="3" fontId="9" fillId="0" borderId="9" xfId="0" applyNumberFormat="1" applyFont="1" applyBorder="1" applyAlignment="1">
      <alignment horizontal="left" vertical="center"/>
    </xf>
    <xf numFmtId="56" fontId="0" fillId="0" borderId="2" xfId="0" applyNumberFormat="1" applyBorder="1" applyAlignment="1">
      <alignment horizontal="center" vertical="center"/>
    </xf>
    <xf numFmtId="179" fontId="9" fillId="0" borderId="5" xfId="0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/>
    </xf>
    <xf numFmtId="181" fontId="23" fillId="10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3" fillId="0" borderId="5" xfId="0" applyFont="1" applyBorder="1">
      <alignment vertical="center"/>
    </xf>
    <xf numFmtId="0" fontId="28" fillId="0" borderId="1" xfId="4" applyFont="1" applyBorder="1" applyAlignment="1">
      <alignment horizontal="center" vertical="center"/>
    </xf>
    <xf numFmtId="0" fontId="9" fillId="0" borderId="1" xfId="4" applyBorder="1" applyAlignment="1">
      <alignment horizontal="center" vertical="center"/>
    </xf>
    <xf numFmtId="179" fontId="9" fillId="0" borderId="1" xfId="4" applyNumberFormat="1" applyBorder="1" applyAlignment="1">
      <alignment horizontal="center" vertical="center"/>
    </xf>
    <xf numFmtId="3" fontId="9" fillId="0" borderId="1" xfId="4" applyNumberFormat="1" applyBorder="1" applyAlignment="1">
      <alignment horizontal="center" vertical="center"/>
    </xf>
    <xf numFmtId="56" fontId="9" fillId="0" borderId="2" xfId="4" applyNumberFormat="1" applyBorder="1" applyAlignment="1">
      <alignment horizontal="center" vertical="center"/>
    </xf>
    <xf numFmtId="179" fontId="9" fillId="0" borderId="5" xfId="4" applyNumberFormat="1" applyBorder="1" applyAlignment="1">
      <alignment horizontal="center" vertical="center"/>
    </xf>
    <xf numFmtId="178" fontId="9" fillId="0" borderId="5" xfId="4" applyNumberForma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shrinkToFit="1"/>
    </xf>
    <xf numFmtId="3" fontId="24" fillId="3" borderId="7" xfId="0" applyNumberFormat="1" applyFont="1" applyFill="1" applyBorder="1" applyAlignment="1">
      <alignment horizontal="center" vertical="center"/>
    </xf>
    <xf numFmtId="3" fontId="24" fillId="3" borderId="10" xfId="0" applyNumberFormat="1" applyFont="1" applyFill="1" applyBorder="1" applyAlignment="1">
      <alignment horizontal="center" vertical="center"/>
    </xf>
    <xf numFmtId="3" fontId="24" fillId="3" borderId="9" xfId="0" applyNumberFormat="1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7" fillId="3" borderId="10" xfId="0" applyNumberFormat="1" applyFont="1" applyFill="1" applyBorder="1" applyAlignment="1">
      <alignment horizontal="center" vertical="center"/>
    </xf>
    <xf numFmtId="3" fontId="17" fillId="3" borderId="9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g/042563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FFC000"/>
  </sheetPr>
  <dimension ref="A2:R43"/>
  <sheetViews>
    <sheetView tabSelected="1" zoomScale="81" zoomScaleNormal="81" workbookViewId="0">
      <pane xSplit="11" ySplit="8" topLeftCell="Q12" activePane="bottomRight" state="frozen"/>
      <selection activeCell="D26" sqref="D26"/>
      <selection pane="topRight" activeCell="D26" sqref="D26"/>
      <selection pane="bottomLeft" activeCell="D26" sqref="D26"/>
      <selection pane="bottomRight" activeCell="R26" sqref="R26:R28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30" customWidth="1"/>
    <col min="18" max="18" width="19.375" style="30" customWidth="1"/>
  </cols>
  <sheetData>
    <row r="2" spans="1:18" ht="20.100000000000001" customHeight="1" x14ac:dyDescent="0.15">
      <c r="C2" s="114" t="s">
        <v>0</v>
      </c>
      <c r="D2" s="114"/>
      <c r="E2" s="114"/>
      <c r="F2" s="21" t="s">
        <v>32</v>
      </c>
      <c r="H2" s="115" t="s">
        <v>1</v>
      </c>
      <c r="I2" s="116"/>
      <c r="J2" s="117"/>
      <c r="K2" s="11">
        <f>SUM(I:I)</f>
        <v>1136519</v>
      </c>
    </row>
    <row r="3" spans="1:18" ht="20.100000000000001" customHeight="1" x14ac:dyDescent="0.15">
      <c r="C3" s="114" t="s">
        <v>2</v>
      </c>
      <c r="D3" s="114"/>
      <c r="E3" s="114"/>
      <c r="F3" s="9" t="s">
        <v>33</v>
      </c>
    </row>
    <row r="4" spans="1:18" ht="20.100000000000001" customHeight="1" x14ac:dyDescent="0.15">
      <c r="C4" s="114" t="s">
        <v>3</v>
      </c>
      <c r="D4" s="114"/>
      <c r="E4" s="114"/>
      <c r="F4" s="9" t="s">
        <v>34</v>
      </c>
      <c r="H4" s="118" t="s">
        <v>65</v>
      </c>
      <c r="I4" s="118"/>
      <c r="J4" s="118"/>
      <c r="K4" s="118"/>
      <c r="L4" s="33"/>
    </row>
    <row r="5" spans="1:18" ht="20.100000000000001" customHeight="1" x14ac:dyDescent="0.15">
      <c r="C5" s="114" t="s">
        <v>4</v>
      </c>
      <c r="D5" s="114"/>
      <c r="E5" s="114"/>
      <c r="F5" s="10">
        <v>45434</v>
      </c>
      <c r="G5" s="125" t="s">
        <v>70</v>
      </c>
      <c r="H5" s="118"/>
      <c r="I5" s="118"/>
      <c r="J5" s="118"/>
      <c r="K5" s="118"/>
    </row>
    <row r="6" spans="1:18" ht="20.100000000000001" customHeight="1" x14ac:dyDescent="0.15">
      <c r="C6" s="114" t="s">
        <v>5</v>
      </c>
      <c r="D6" s="114"/>
      <c r="E6" s="114"/>
      <c r="F6" s="10">
        <v>45439</v>
      </c>
      <c r="G6" s="125"/>
      <c r="I6" s="35"/>
    </row>
    <row r="8" spans="1:18" s="3" customFormat="1" ht="19.5" customHeight="1" x14ac:dyDescent="0.15">
      <c r="B8" s="41" t="s">
        <v>25</v>
      </c>
      <c r="C8" s="4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4" t="s">
        <v>17</v>
      </c>
      <c r="O8" s="4" t="s">
        <v>18</v>
      </c>
      <c r="P8" s="1" t="s">
        <v>19</v>
      </c>
      <c r="Q8" s="14" t="s">
        <v>20</v>
      </c>
      <c r="R8" s="8" t="s">
        <v>21</v>
      </c>
    </row>
    <row r="9" spans="1:18" s="3" customFormat="1" ht="19.5" customHeight="1" x14ac:dyDescent="0.15">
      <c r="C9" s="4"/>
      <c r="D9" s="119" t="s">
        <v>26</v>
      </c>
      <c r="E9" s="120"/>
      <c r="F9" s="121"/>
      <c r="G9" s="18"/>
      <c r="H9" s="18"/>
      <c r="I9" s="18"/>
      <c r="J9" s="13"/>
      <c r="K9" s="19"/>
      <c r="L9" s="53"/>
      <c r="M9" s="53"/>
      <c r="N9" s="54"/>
      <c r="O9" s="26"/>
      <c r="P9" s="53"/>
      <c r="Q9" s="54"/>
      <c r="R9" s="98"/>
    </row>
    <row r="10" spans="1:18" s="3" customFormat="1" ht="19.5" customHeight="1" x14ac:dyDescent="0.15">
      <c r="A10" s="23" t="s">
        <v>28</v>
      </c>
      <c r="B10" s="23">
        <v>1</v>
      </c>
      <c r="C10" s="76">
        <v>1</v>
      </c>
      <c r="D10" s="25" t="s">
        <v>26</v>
      </c>
      <c r="E10" s="25" t="s">
        <v>26</v>
      </c>
      <c r="F10" s="58" t="s">
        <v>71</v>
      </c>
      <c r="G10" s="23">
        <v>1</v>
      </c>
      <c r="H10" s="39">
        <v>882000</v>
      </c>
      <c r="I10" s="60">
        <f t="shared" ref="I10:I13" si="0">G10*H10</f>
        <v>882000</v>
      </c>
      <c r="J10" s="24"/>
      <c r="K10" s="51" t="s">
        <v>35</v>
      </c>
      <c r="L10" s="67" t="s">
        <v>43</v>
      </c>
      <c r="M10" s="23"/>
      <c r="N10" s="44">
        <v>45412</v>
      </c>
      <c r="O10" s="25"/>
      <c r="P10" s="29">
        <v>45435</v>
      </c>
      <c r="Q10" s="44">
        <v>45432</v>
      </c>
      <c r="R10" s="27">
        <v>45432</v>
      </c>
    </row>
    <row r="11" spans="1:18" s="3" customFormat="1" ht="19.5" customHeight="1" x14ac:dyDescent="0.15">
      <c r="A11" s="23" t="s">
        <v>28</v>
      </c>
      <c r="B11" s="23">
        <v>2</v>
      </c>
      <c r="C11" s="76">
        <f t="shared" ref="C11:C13" si="1">+C10+1</f>
        <v>2</v>
      </c>
      <c r="D11" s="49" t="s">
        <v>26</v>
      </c>
      <c r="E11" s="49" t="s">
        <v>26</v>
      </c>
      <c r="F11" s="28" t="s">
        <v>29</v>
      </c>
      <c r="G11" s="31">
        <v>1</v>
      </c>
      <c r="H11" s="31">
        <v>40000</v>
      </c>
      <c r="I11" s="59">
        <f t="shared" si="0"/>
        <v>40000</v>
      </c>
      <c r="J11" s="50"/>
      <c r="K11" s="52" t="s">
        <v>30</v>
      </c>
      <c r="L11" s="23"/>
      <c r="M11" s="23"/>
      <c r="N11" s="44">
        <v>45412</v>
      </c>
      <c r="O11" s="25"/>
      <c r="P11" s="29">
        <v>45435</v>
      </c>
      <c r="Q11" s="44">
        <v>45432</v>
      </c>
      <c r="R11" s="27">
        <v>45432</v>
      </c>
    </row>
    <row r="12" spans="1:18" s="3" customFormat="1" ht="19.5" customHeight="1" x14ac:dyDescent="0.15">
      <c r="A12" s="23"/>
      <c r="B12" s="23"/>
      <c r="C12" s="76">
        <f t="shared" si="1"/>
        <v>3</v>
      </c>
      <c r="D12" s="25" t="s">
        <v>26</v>
      </c>
      <c r="E12" s="25" t="s">
        <v>26</v>
      </c>
      <c r="F12" s="68" t="s">
        <v>36</v>
      </c>
      <c r="G12" s="23">
        <v>1</v>
      </c>
      <c r="H12" s="25">
        <v>50000</v>
      </c>
      <c r="I12" s="94">
        <f t="shared" si="0"/>
        <v>50000</v>
      </c>
      <c r="J12" s="24"/>
      <c r="K12" s="68" t="s">
        <v>37</v>
      </c>
      <c r="L12" s="23"/>
      <c r="M12" s="23"/>
      <c r="N12" s="44">
        <v>45412</v>
      </c>
      <c r="O12" s="25"/>
      <c r="P12" s="29">
        <v>45435</v>
      </c>
      <c r="Q12" s="44">
        <v>45432</v>
      </c>
      <c r="R12" s="27">
        <v>45432</v>
      </c>
    </row>
    <row r="13" spans="1:18" s="3" customFormat="1" ht="19.5" customHeight="1" x14ac:dyDescent="0.15">
      <c r="A13" s="23"/>
      <c r="B13" s="23"/>
      <c r="C13" s="76">
        <f t="shared" si="1"/>
        <v>4</v>
      </c>
      <c r="D13" s="25" t="s">
        <v>26</v>
      </c>
      <c r="E13" s="25" t="s">
        <v>26</v>
      </c>
      <c r="F13" s="68" t="s">
        <v>38</v>
      </c>
      <c r="G13" s="23">
        <v>1</v>
      </c>
      <c r="H13" s="70">
        <v>25000</v>
      </c>
      <c r="I13" s="71">
        <f t="shared" si="0"/>
        <v>25000</v>
      </c>
      <c r="J13" s="24"/>
      <c r="K13" s="68" t="s">
        <v>39</v>
      </c>
      <c r="L13" s="23"/>
      <c r="M13" s="23"/>
      <c r="N13" s="44">
        <v>45412</v>
      </c>
      <c r="O13" s="25"/>
      <c r="P13" s="29">
        <v>45435</v>
      </c>
      <c r="Q13" s="44">
        <v>45432</v>
      </c>
      <c r="R13" s="27">
        <v>45432</v>
      </c>
    </row>
    <row r="14" spans="1:18" s="3" customFormat="1" ht="19.5" customHeight="1" x14ac:dyDescent="0.15">
      <c r="A14" s="67" t="s">
        <v>66</v>
      </c>
      <c r="B14" s="23"/>
      <c r="C14" s="76">
        <f>+C13+1</f>
        <v>5</v>
      </c>
      <c r="D14" s="25" t="s">
        <v>40</v>
      </c>
      <c r="E14" s="25" t="s">
        <v>40</v>
      </c>
      <c r="F14" s="72" t="s">
        <v>41</v>
      </c>
      <c r="G14" s="73">
        <v>1</v>
      </c>
      <c r="H14" s="74">
        <v>19600</v>
      </c>
      <c r="I14" s="71">
        <f>G14*H14</f>
        <v>19600</v>
      </c>
      <c r="J14" s="75"/>
      <c r="K14" s="68" t="s">
        <v>42</v>
      </c>
      <c r="L14" s="23"/>
      <c r="M14" s="23"/>
      <c r="N14" s="44">
        <v>45412</v>
      </c>
      <c r="O14" s="25"/>
      <c r="P14" s="29">
        <v>45435</v>
      </c>
      <c r="Q14" s="44">
        <v>45435</v>
      </c>
      <c r="R14" s="27">
        <v>45435</v>
      </c>
    </row>
    <row r="15" spans="1:18" s="3" customFormat="1" ht="19.5" customHeight="1" x14ac:dyDescent="0.15">
      <c r="A15" s="67" t="s">
        <v>27</v>
      </c>
      <c r="B15" s="67">
        <v>3</v>
      </c>
      <c r="C15" s="76">
        <f>+C14+1</f>
        <v>6</v>
      </c>
      <c r="D15" s="49" t="s">
        <v>26</v>
      </c>
      <c r="E15" s="49" t="s">
        <v>26</v>
      </c>
      <c r="F15" s="64" t="s">
        <v>31</v>
      </c>
      <c r="G15" s="31">
        <v>1</v>
      </c>
      <c r="H15" s="31">
        <v>12000</v>
      </c>
      <c r="I15" s="65">
        <f t="shared" ref="I15" si="2">G15*H15</f>
        <v>12000</v>
      </c>
      <c r="J15" s="43"/>
      <c r="K15" s="66"/>
      <c r="L15" s="55"/>
      <c r="M15" s="56"/>
      <c r="N15" s="44">
        <v>45412</v>
      </c>
      <c r="O15" s="25"/>
      <c r="P15" s="29">
        <v>45435</v>
      </c>
      <c r="Q15" s="42">
        <v>45432</v>
      </c>
      <c r="R15" s="27">
        <v>45432</v>
      </c>
    </row>
    <row r="16" spans="1:18" s="3" customFormat="1" ht="19.5" customHeight="1" x14ac:dyDescent="0.15">
      <c r="B16" s="41"/>
      <c r="C16" s="25"/>
      <c r="D16" s="23"/>
      <c r="E16" s="61"/>
      <c r="F16" s="37"/>
      <c r="G16" s="62"/>
      <c r="H16" s="63"/>
      <c r="I16" s="63"/>
      <c r="J16" s="32"/>
      <c r="K16" s="45"/>
      <c r="L16" s="46"/>
      <c r="M16" s="25"/>
      <c r="N16" s="44"/>
      <c r="O16" s="25"/>
      <c r="P16" s="29"/>
      <c r="Q16" s="29"/>
      <c r="R16" s="27"/>
    </row>
    <row r="17" spans="1:18" s="3" customFormat="1" ht="19.5" customHeight="1" x14ac:dyDescent="0.15">
      <c r="B17" s="23"/>
      <c r="C17" s="25"/>
      <c r="D17" s="25"/>
      <c r="E17" s="25"/>
      <c r="F17" s="34"/>
      <c r="G17" s="23"/>
      <c r="H17" s="38"/>
      <c r="I17" s="47"/>
      <c r="J17" s="24"/>
      <c r="K17" s="22"/>
      <c r="L17" s="48"/>
      <c r="M17" s="25"/>
      <c r="N17" s="44"/>
      <c r="O17" s="25"/>
      <c r="P17" s="29"/>
      <c r="Q17" s="29"/>
      <c r="R17" s="27"/>
    </row>
    <row r="18" spans="1:18" s="3" customFormat="1" ht="19.5" customHeight="1" x14ac:dyDescent="0.15">
      <c r="B18" s="23"/>
      <c r="C18" s="25"/>
      <c r="D18" s="25"/>
      <c r="E18" s="77"/>
      <c r="F18" s="78">
        <f>SUM(I10:I16)</f>
        <v>1028600</v>
      </c>
      <c r="G18" s="23"/>
      <c r="H18" s="38"/>
      <c r="I18" s="47"/>
      <c r="J18" s="24"/>
      <c r="K18" s="22"/>
      <c r="L18" s="48"/>
      <c r="M18" s="25"/>
      <c r="N18" s="44"/>
      <c r="O18" s="25"/>
      <c r="P18" s="29"/>
      <c r="Q18" s="29"/>
      <c r="R18" s="27"/>
    </row>
    <row r="19" spans="1:18" s="3" customFormat="1" ht="19.5" customHeight="1" x14ac:dyDescent="0.15">
      <c r="B19" s="23"/>
      <c r="C19" s="25"/>
      <c r="D19" s="25"/>
      <c r="E19" s="25"/>
      <c r="F19" s="37"/>
      <c r="G19" s="36"/>
      <c r="H19" s="18"/>
      <c r="I19" s="18"/>
      <c r="J19" s="13"/>
      <c r="K19" s="19"/>
      <c r="L19" s="1"/>
      <c r="M19" s="1"/>
      <c r="N19" s="14"/>
      <c r="O19" s="4"/>
      <c r="P19" s="2"/>
      <c r="Q19" s="44"/>
      <c r="R19" s="27"/>
    </row>
    <row r="20" spans="1:18" s="3" customFormat="1" ht="19.5" customHeight="1" x14ac:dyDescent="0.15">
      <c r="B20" s="23"/>
      <c r="C20" s="25"/>
      <c r="D20" s="25"/>
      <c r="E20" s="25"/>
      <c r="F20" s="37"/>
      <c r="G20" s="36"/>
      <c r="H20" s="18"/>
      <c r="I20" s="18"/>
      <c r="J20" s="13"/>
      <c r="K20" s="19"/>
      <c r="L20" s="1"/>
      <c r="M20" s="1"/>
      <c r="N20" s="14"/>
      <c r="O20" s="4"/>
      <c r="P20" s="2"/>
      <c r="Q20" s="44"/>
      <c r="R20" s="27"/>
    </row>
    <row r="21" spans="1:18" s="3" customFormat="1" ht="19.5" customHeight="1" x14ac:dyDescent="0.15">
      <c r="B21" s="23"/>
      <c r="C21" s="79"/>
      <c r="D21" s="122" t="s">
        <v>44</v>
      </c>
      <c r="E21" s="123"/>
      <c r="F21" s="124"/>
      <c r="G21" s="31"/>
      <c r="H21" s="31"/>
      <c r="I21" s="62"/>
      <c r="J21" s="24"/>
      <c r="K21" s="80"/>
      <c r="L21" s="1"/>
      <c r="M21" s="1"/>
      <c r="N21" s="14"/>
      <c r="O21" s="4"/>
      <c r="P21" s="2"/>
      <c r="Q21" s="44"/>
      <c r="R21" s="27"/>
    </row>
    <row r="22" spans="1:18" s="3" customFormat="1" ht="19.5" customHeight="1" x14ac:dyDescent="0.15">
      <c r="A22" s="67" t="s">
        <v>64</v>
      </c>
      <c r="B22" s="23"/>
      <c r="C22" s="69">
        <f>+C15+1</f>
        <v>7</v>
      </c>
      <c r="D22" s="25" t="s">
        <v>45</v>
      </c>
      <c r="E22" s="25" t="s">
        <v>46</v>
      </c>
      <c r="F22" s="91" t="s">
        <v>47</v>
      </c>
      <c r="G22" s="23">
        <v>1</v>
      </c>
      <c r="H22" s="81">
        <v>29920</v>
      </c>
      <c r="I22" s="71">
        <f>G22*H22</f>
        <v>29920</v>
      </c>
      <c r="J22" s="24"/>
      <c r="K22" s="22" t="s">
        <v>48</v>
      </c>
      <c r="L22" s="1"/>
      <c r="M22" s="1"/>
      <c r="N22" s="14">
        <v>45412</v>
      </c>
      <c r="O22" s="4"/>
      <c r="P22" s="96">
        <v>45435</v>
      </c>
      <c r="Q22" s="44">
        <v>45436</v>
      </c>
      <c r="R22" s="27">
        <v>45435</v>
      </c>
    </row>
    <row r="23" spans="1:18" s="3" customFormat="1" ht="19.5" customHeight="1" x14ac:dyDescent="0.15">
      <c r="A23" s="67" t="s">
        <v>64</v>
      </c>
      <c r="B23" s="23"/>
      <c r="C23" s="69">
        <f>+C22+1</f>
        <v>8</v>
      </c>
      <c r="D23" s="25" t="s">
        <v>45</v>
      </c>
      <c r="E23" s="25" t="s">
        <v>46</v>
      </c>
      <c r="F23" s="91" t="s">
        <v>57</v>
      </c>
      <c r="G23" s="23">
        <v>1</v>
      </c>
      <c r="H23" s="81">
        <v>12640</v>
      </c>
      <c r="I23" s="71">
        <f>G23*H23</f>
        <v>12640</v>
      </c>
      <c r="J23" s="24"/>
      <c r="K23" s="92" t="s">
        <v>58</v>
      </c>
      <c r="L23" s="1"/>
      <c r="M23" s="1"/>
      <c r="N23" s="14">
        <v>45412</v>
      </c>
      <c r="O23" s="4"/>
      <c r="P23" s="96">
        <v>45435</v>
      </c>
      <c r="Q23" s="44">
        <v>45436</v>
      </c>
      <c r="R23" s="27">
        <v>45435</v>
      </c>
    </row>
    <row r="24" spans="1:18" s="3" customFormat="1" ht="19.5" customHeight="1" x14ac:dyDescent="0.15">
      <c r="A24" s="67" t="s">
        <v>62</v>
      </c>
      <c r="B24" s="23"/>
      <c r="C24" s="69">
        <f>+C23+1</f>
        <v>9</v>
      </c>
      <c r="D24" s="25" t="s">
        <v>45</v>
      </c>
      <c r="E24" s="25" t="s">
        <v>46</v>
      </c>
      <c r="F24" s="91" t="s">
        <v>49</v>
      </c>
      <c r="G24" s="23">
        <v>1</v>
      </c>
      <c r="H24" s="81">
        <v>45440</v>
      </c>
      <c r="I24" s="71">
        <f>G24*H24</f>
        <v>45440</v>
      </c>
      <c r="J24" s="24"/>
      <c r="K24" s="22" t="s">
        <v>50</v>
      </c>
      <c r="L24" s="1"/>
      <c r="M24" s="1"/>
      <c r="N24" s="14">
        <v>45412</v>
      </c>
      <c r="O24" s="4"/>
      <c r="P24" s="96">
        <v>45435</v>
      </c>
      <c r="Q24" s="44">
        <v>45436</v>
      </c>
      <c r="R24" s="27">
        <v>45435</v>
      </c>
    </row>
    <row r="25" spans="1:18" s="3" customFormat="1" ht="19.5" customHeight="1" x14ac:dyDescent="0.15">
      <c r="B25" s="23"/>
      <c r="C25" s="25"/>
      <c r="D25" s="82"/>
      <c r="E25" s="83"/>
      <c r="F25" s="84"/>
      <c r="G25" s="31"/>
      <c r="H25" s="31"/>
      <c r="I25" s="62"/>
      <c r="J25" s="24"/>
      <c r="K25" s="80"/>
      <c r="L25" s="1"/>
      <c r="M25" s="1"/>
      <c r="N25" s="14"/>
      <c r="O25" s="4"/>
      <c r="P25" s="2"/>
      <c r="Q25" s="44"/>
      <c r="R25" s="27"/>
    </row>
    <row r="26" spans="1:18" s="3" customFormat="1" ht="19.5" customHeight="1" x14ac:dyDescent="0.15">
      <c r="A26" s="67" t="s">
        <v>61</v>
      </c>
      <c r="B26" s="23"/>
      <c r="C26" s="69">
        <f>+C24+1</f>
        <v>10</v>
      </c>
      <c r="D26" s="60" t="s">
        <v>67</v>
      </c>
      <c r="E26" s="25" t="s">
        <v>40</v>
      </c>
      <c r="F26" s="95" t="s">
        <v>68</v>
      </c>
      <c r="G26" s="31">
        <v>1</v>
      </c>
      <c r="H26" s="31">
        <v>8989</v>
      </c>
      <c r="I26" s="71">
        <f>G26*H26</f>
        <v>8989</v>
      </c>
      <c r="J26" s="24"/>
      <c r="K26" s="80" t="s">
        <v>69</v>
      </c>
      <c r="L26" s="1"/>
      <c r="M26" s="1"/>
      <c r="N26" s="14">
        <v>45412</v>
      </c>
      <c r="O26" s="4"/>
      <c r="P26" s="29">
        <v>45435</v>
      </c>
      <c r="Q26" s="44">
        <v>45435</v>
      </c>
      <c r="R26" s="27">
        <v>45435</v>
      </c>
    </row>
    <row r="27" spans="1:18" s="3" customFormat="1" ht="19.5" customHeight="1" x14ac:dyDescent="0.15">
      <c r="A27" s="23" t="s">
        <v>63</v>
      </c>
      <c r="B27" s="23"/>
      <c r="C27" s="69">
        <f>+C26+1</f>
        <v>11</v>
      </c>
      <c r="D27" s="25" t="s">
        <v>40</v>
      </c>
      <c r="E27" s="25" t="s">
        <v>40</v>
      </c>
      <c r="F27" s="72" t="s">
        <v>51</v>
      </c>
      <c r="G27" s="70">
        <v>1</v>
      </c>
      <c r="H27" s="85">
        <v>5600</v>
      </c>
      <c r="I27" s="62">
        <f>G27*H27</f>
        <v>5600</v>
      </c>
      <c r="J27" s="86"/>
      <c r="K27" s="22" t="s">
        <v>52</v>
      </c>
      <c r="L27" s="1"/>
      <c r="M27" s="1"/>
      <c r="N27" s="14">
        <v>45412</v>
      </c>
      <c r="O27" s="4"/>
      <c r="P27" s="29">
        <v>45435</v>
      </c>
      <c r="Q27" s="97">
        <v>45435</v>
      </c>
      <c r="R27" s="27">
        <v>45435</v>
      </c>
    </row>
    <row r="28" spans="1:18" s="3" customFormat="1" ht="19.5" customHeight="1" x14ac:dyDescent="0.15">
      <c r="A28" s="23" t="s">
        <v>63</v>
      </c>
      <c r="B28" s="23"/>
      <c r="C28" s="69">
        <f>+C27+1</f>
        <v>12</v>
      </c>
      <c r="D28" s="25" t="s">
        <v>40</v>
      </c>
      <c r="E28" s="25" t="s">
        <v>40</v>
      </c>
      <c r="F28" s="87" t="s">
        <v>53</v>
      </c>
      <c r="G28" s="70">
        <v>1</v>
      </c>
      <c r="H28" s="85">
        <v>2040</v>
      </c>
      <c r="I28" s="62">
        <f>G28*H28</f>
        <v>2040</v>
      </c>
      <c r="J28" s="86"/>
      <c r="K28" s="37" t="s">
        <v>54</v>
      </c>
      <c r="L28" s="1"/>
      <c r="M28" s="1"/>
      <c r="N28" s="14">
        <v>45412</v>
      </c>
      <c r="O28" s="4"/>
      <c r="P28" s="29">
        <v>45435</v>
      </c>
      <c r="Q28" s="44">
        <v>45435</v>
      </c>
      <c r="R28" s="27">
        <v>45435</v>
      </c>
    </row>
    <row r="29" spans="1:18" s="3" customFormat="1" ht="19.5" customHeight="1" x14ac:dyDescent="0.15">
      <c r="A29" s="23" t="s">
        <v>72</v>
      </c>
      <c r="B29" s="23"/>
      <c r="C29" s="69">
        <f>+C28+1</f>
        <v>13</v>
      </c>
      <c r="D29" s="99" t="s">
        <v>73</v>
      </c>
      <c r="E29" s="99" t="s">
        <v>73</v>
      </c>
      <c r="F29" s="100" t="s">
        <v>74</v>
      </c>
      <c r="G29" s="101">
        <v>1</v>
      </c>
      <c r="H29" s="102">
        <v>3263</v>
      </c>
      <c r="I29" s="71">
        <f>G29*H29</f>
        <v>3263</v>
      </c>
      <c r="J29" s="75"/>
      <c r="K29" s="103" t="s">
        <v>75</v>
      </c>
      <c r="L29" s="104" t="s">
        <v>76</v>
      </c>
      <c r="M29" s="105"/>
      <c r="N29" s="106">
        <v>45419</v>
      </c>
      <c r="O29" s="107"/>
      <c r="P29" s="108">
        <v>45422</v>
      </c>
      <c r="Q29" s="109">
        <v>45425</v>
      </c>
      <c r="R29" s="110">
        <v>45425</v>
      </c>
    </row>
    <row r="30" spans="1:18" s="3" customFormat="1" ht="19.5" customHeight="1" x14ac:dyDescent="0.15">
      <c r="B30" s="23"/>
      <c r="C30" s="25"/>
      <c r="D30" s="82"/>
      <c r="E30" s="83"/>
      <c r="F30" s="84"/>
      <c r="G30" s="31"/>
      <c r="H30" s="31"/>
      <c r="I30" s="62"/>
      <c r="J30" s="24"/>
      <c r="K30" s="80"/>
      <c r="L30" s="1"/>
      <c r="M30" s="1"/>
      <c r="N30" s="14"/>
      <c r="O30" s="4"/>
      <c r="P30" s="2"/>
      <c r="Q30" s="44"/>
      <c r="R30" s="27"/>
    </row>
    <row r="31" spans="1:18" s="3" customFormat="1" ht="19.5" customHeight="1" x14ac:dyDescent="0.15">
      <c r="A31" s="67" t="s">
        <v>61</v>
      </c>
      <c r="B31" s="23"/>
      <c r="C31" s="69">
        <f>+C29+1</f>
        <v>14</v>
      </c>
      <c r="D31" s="25" t="s">
        <v>55</v>
      </c>
      <c r="E31" s="25" t="s">
        <v>55</v>
      </c>
      <c r="F31" s="91" t="s">
        <v>56</v>
      </c>
      <c r="G31" s="23">
        <v>1</v>
      </c>
      <c r="H31" s="81">
        <v>27</v>
      </c>
      <c r="I31" s="71">
        <f>G31*H31</f>
        <v>27</v>
      </c>
      <c r="J31" s="24"/>
      <c r="K31" s="92" t="s">
        <v>59</v>
      </c>
      <c r="L31" s="93" t="s">
        <v>60</v>
      </c>
      <c r="M31" s="1"/>
      <c r="N31" s="14">
        <v>45413</v>
      </c>
      <c r="O31" s="4"/>
      <c r="P31" s="96"/>
      <c r="Q31" s="44">
        <v>45414</v>
      </c>
      <c r="R31" s="27">
        <v>45414</v>
      </c>
    </row>
    <row r="32" spans="1:18" s="3" customFormat="1" ht="19.5" customHeight="1" x14ac:dyDescent="0.15">
      <c r="B32" s="23"/>
      <c r="C32" s="79"/>
      <c r="D32" s="25"/>
      <c r="E32" s="25"/>
      <c r="F32" s="88"/>
      <c r="G32" s="70"/>
      <c r="H32" s="74"/>
      <c r="I32" s="71"/>
      <c r="J32" s="24"/>
      <c r="K32" s="22"/>
      <c r="L32" s="1"/>
      <c r="M32" s="1"/>
      <c r="N32" s="14"/>
      <c r="O32" s="4"/>
      <c r="P32" s="2"/>
      <c r="Q32" s="44"/>
      <c r="R32" s="27"/>
    </row>
    <row r="33" spans="2:18" s="3" customFormat="1" ht="19.5" customHeight="1" x14ac:dyDescent="0.15">
      <c r="B33" s="23"/>
      <c r="C33" s="79"/>
      <c r="D33" s="25"/>
      <c r="E33" s="25"/>
      <c r="F33" s="89">
        <f>SUM(I22:I31)</f>
        <v>107919</v>
      </c>
      <c r="G33" s="90"/>
      <c r="H33" s="90"/>
      <c r="I33" s="90"/>
      <c r="J33" s="62"/>
      <c r="K33" s="22"/>
      <c r="L33" s="1"/>
      <c r="M33" s="1"/>
      <c r="N33" s="14"/>
      <c r="O33" s="4"/>
      <c r="P33" s="2"/>
      <c r="Q33" s="44"/>
      <c r="R33" s="27"/>
    </row>
    <row r="34" spans="2:18" s="3" customFormat="1" ht="19.5" customHeight="1" x14ac:dyDescent="0.15">
      <c r="B34" s="23"/>
      <c r="C34" s="25"/>
      <c r="D34" s="25"/>
      <c r="E34" s="25"/>
      <c r="F34" s="37"/>
      <c r="G34" s="36"/>
      <c r="H34" s="18"/>
      <c r="I34" s="18"/>
      <c r="J34" s="13"/>
      <c r="K34" s="19"/>
      <c r="L34" s="1"/>
      <c r="M34" s="1"/>
      <c r="N34" s="14"/>
      <c r="O34" s="4"/>
      <c r="P34" s="2"/>
      <c r="Q34" s="44"/>
      <c r="R34" s="27"/>
    </row>
    <row r="35" spans="2:18" s="3" customFormat="1" ht="19.5" customHeight="1" x14ac:dyDescent="0.15">
      <c r="B35" s="23"/>
      <c r="C35" s="25"/>
      <c r="D35" s="25"/>
      <c r="E35" s="25"/>
      <c r="F35" s="37"/>
      <c r="G35" s="36"/>
      <c r="H35" s="18"/>
      <c r="I35" s="18"/>
      <c r="J35" s="13"/>
      <c r="K35" s="19"/>
      <c r="L35" s="1"/>
      <c r="M35" s="1"/>
      <c r="N35" s="14"/>
      <c r="O35" s="4"/>
      <c r="P35" s="2"/>
      <c r="Q35" s="44"/>
      <c r="R35" s="27"/>
    </row>
    <row r="36" spans="2:18" s="3" customFormat="1" ht="19.5" customHeight="1" x14ac:dyDescent="0.15">
      <c r="B36" s="23"/>
      <c r="C36" s="25"/>
      <c r="D36" s="25"/>
      <c r="E36" s="25"/>
      <c r="F36" s="37"/>
      <c r="G36" s="36"/>
      <c r="H36" s="18"/>
      <c r="I36" s="18"/>
      <c r="J36" s="13"/>
      <c r="K36" s="19"/>
      <c r="L36" s="1"/>
      <c r="M36" s="1"/>
      <c r="N36" s="14"/>
      <c r="O36" s="4"/>
      <c r="P36" s="2"/>
      <c r="Q36" s="44"/>
      <c r="R36" s="57"/>
    </row>
    <row r="37" spans="2:18" ht="18" customHeight="1" x14ac:dyDescent="0.15">
      <c r="B37" s="23"/>
      <c r="C37" s="1"/>
      <c r="D37" s="4"/>
      <c r="E37" s="4"/>
      <c r="F37" s="15"/>
      <c r="G37" s="16"/>
      <c r="H37" s="16"/>
      <c r="I37" s="18"/>
      <c r="J37" s="2"/>
      <c r="K37" s="15"/>
      <c r="L37" s="6"/>
      <c r="M37" s="1"/>
      <c r="N37" s="14"/>
      <c r="O37" s="20"/>
      <c r="P37" s="2"/>
      <c r="Q37" s="44"/>
      <c r="R37" s="27"/>
    </row>
    <row r="38" spans="2:18" ht="18" customHeight="1" x14ac:dyDescent="0.15">
      <c r="B38" s="23"/>
      <c r="C38" s="1"/>
      <c r="D38" s="1"/>
      <c r="E38" s="1"/>
      <c r="F38" s="6" t="s">
        <v>22</v>
      </c>
      <c r="G38" s="18"/>
      <c r="H38" s="18"/>
      <c r="I38" s="18">
        <f>G38*H38</f>
        <v>0</v>
      </c>
      <c r="J38" s="13"/>
      <c r="K38" s="15" t="s">
        <v>23</v>
      </c>
      <c r="L38" s="20"/>
      <c r="M38" s="1"/>
      <c r="N38" s="14"/>
      <c r="O38" s="20"/>
      <c r="P38" s="2"/>
      <c r="Q38" s="44"/>
      <c r="R38" s="57"/>
    </row>
    <row r="39" spans="2:18" ht="18" customHeight="1" x14ac:dyDescent="0.15">
      <c r="B39" s="23"/>
      <c r="C39" s="1"/>
      <c r="D39" s="4"/>
      <c r="E39" s="4"/>
      <c r="F39" s="6" t="s">
        <v>23</v>
      </c>
      <c r="G39" s="18"/>
      <c r="H39" s="18">
        <v>5000</v>
      </c>
      <c r="I39" s="18">
        <f>G39*H39</f>
        <v>0</v>
      </c>
      <c r="J39" s="13"/>
      <c r="K39" s="15" t="s">
        <v>24</v>
      </c>
      <c r="L39" s="20"/>
      <c r="M39" s="1"/>
      <c r="N39" s="1"/>
      <c r="O39" s="20"/>
      <c r="P39" s="2"/>
      <c r="Q39" s="57"/>
      <c r="R39" s="57"/>
    </row>
    <row r="40" spans="2:18" ht="18" customHeight="1" x14ac:dyDescent="0.15">
      <c r="B40" s="23"/>
      <c r="C40" s="1"/>
      <c r="D40" s="4"/>
      <c r="E40" s="4"/>
      <c r="F40" s="6" t="s">
        <v>24</v>
      </c>
      <c r="G40" s="18"/>
      <c r="H40" s="18"/>
      <c r="I40" s="18">
        <f>G40*H40</f>
        <v>0</v>
      </c>
      <c r="J40" s="13"/>
      <c r="K40" s="5"/>
      <c r="L40" s="20"/>
      <c r="M40" s="1"/>
      <c r="N40" s="1"/>
      <c r="O40" s="20"/>
      <c r="P40" s="2"/>
      <c r="Q40" s="57"/>
      <c r="R40" s="57"/>
    </row>
    <row r="41" spans="2:18" ht="18" customHeight="1" x14ac:dyDescent="0.15">
      <c r="B41" s="23"/>
      <c r="C41" s="1"/>
      <c r="D41" s="4"/>
      <c r="E41" s="4"/>
      <c r="F41" s="111"/>
      <c r="G41" s="112"/>
      <c r="H41" s="112"/>
      <c r="I41" s="113"/>
      <c r="J41" s="7"/>
      <c r="K41" s="17"/>
      <c r="L41" s="20"/>
      <c r="M41" s="1"/>
      <c r="N41" s="1"/>
      <c r="O41" s="20"/>
      <c r="P41" s="2"/>
      <c r="Q41" s="57"/>
      <c r="R41" s="57"/>
    </row>
    <row r="42" spans="2:18" ht="18" customHeight="1" x14ac:dyDescent="0.15"/>
    <row r="43" spans="2:18" ht="18" customHeight="1" x14ac:dyDescent="0.15"/>
  </sheetData>
  <autoFilter ref="C8:P43" xr:uid="{00000000-0009-0000-0000-000003000000}"/>
  <mergeCells count="11">
    <mergeCell ref="F41:I41"/>
    <mergeCell ref="C6:E6"/>
    <mergeCell ref="C2:E2"/>
    <mergeCell ref="H2:J2"/>
    <mergeCell ref="C3:E3"/>
    <mergeCell ref="C4:E4"/>
    <mergeCell ref="H4:K5"/>
    <mergeCell ref="C5:E5"/>
    <mergeCell ref="D9:F9"/>
    <mergeCell ref="D21:F21"/>
    <mergeCell ref="G5:G6"/>
  </mergeCells>
  <phoneticPr fontId="10"/>
  <hyperlinks>
    <hyperlink ref="L31" r:id="rId1" xr:uid="{EAFC57FD-0499-4360-9E27-E34AED355BEF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/>
  </sheetViews>
  <sheetFormatPr defaultRowHeight="13.5" x14ac:dyDescent="0.15"/>
  <sheetData/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発注 (20240425) </vt:lpstr>
      <vt:lpstr>Sheet1</vt:lpstr>
      <vt:lpstr>Sheet2</vt:lpstr>
      <vt:lpstr>Sheet3</vt:lpstr>
      <vt:lpstr>'発注 (20240425)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2024-05-23T02:20:02Z</dcterms:modified>
</cp:coreProperties>
</file>