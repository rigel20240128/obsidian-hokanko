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7CA10D5D-DD19-4157-AEEA-284A050BB3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発注 (20240510)  ②" sheetId="14" r:id="rId1"/>
    <sheet name="発注 (20240507) ①" sheetId="12" r:id="rId2"/>
    <sheet name="Sheet1" sheetId="13" r:id="rId3"/>
    <sheet name="Sheet2" sheetId="2" r:id="rId4"/>
    <sheet name="Sheet3" sheetId="3" r:id="rId5"/>
  </sheets>
  <definedNames>
    <definedName name="_xlnm._FilterDatabase" localSheetId="1">'発注 (20240507) ①'!$C$8:$P$8</definedName>
    <definedName name="_xlnm._FilterDatabase" localSheetId="0" hidden="1">'発注 (20240510)  ②'!$C$9:$P$121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2" l="1"/>
  <c r="I19" i="12"/>
  <c r="C19" i="12"/>
  <c r="C20" i="12" s="1"/>
  <c r="I65" i="14"/>
  <c r="I64" i="14"/>
  <c r="I63" i="14"/>
  <c r="I62" i="14"/>
  <c r="I61" i="14"/>
  <c r="I60" i="14"/>
  <c r="I15" i="14"/>
  <c r="I13" i="14"/>
  <c r="I12" i="14"/>
  <c r="I26" i="14"/>
  <c r="I25" i="14"/>
  <c r="I24" i="14"/>
  <c r="I23" i="14"/>
  <c r="I22" i="14"/>
  <c r="I20" i="14"/>
  <c r="I19" i="14"/>
  <c r="I18" i="14"/>
  <c r="I14" i="14"/>
  <c r="I17" i="14"/>
  <c r="I53" i="14"/>
  <c r="I52" i="14"/>
  <c r="I92" i="14"/>
  <c r="I91" i="14"/>
  <c r="I88" i="14"/>
  <c r="I97" i="14"/>
  <c r="I89" i="14"/>
  <c r="I106" i="14"/>
  <c r="I105" i="14"/>
  <c r="F67" i="14" l="1"/>
  <c r="I96" i="14"/>
  <c r="I95" i="14"/>
  <c r="I93" i="14"/>
  <c r="I90" i="14"/>
  <c r="I104" i="14"/>
  <c r="F108" i="14" s="1"/>
  <c r="I56" i="14"/>
  <c r="I51" i="14"/>
  <c r="I50" i="14"/>
  <c r="I49" i="14"/>
  <c r="I48" i="14"/>
  <c r="I47" i="14"/>
  <c r="I46" i="14"/>
  <c r="I45" i="14"/>
  <c r="I81" i="14"/>
  <c r="I80" i="14"/>
  <c r="I79" i="14"/>
  <c r="I78" i="14"/>
  <c r="I77" i="14"/>
  <c r="I76" i="14"/>
  <c r="I75" i="14"/>
  <c r="I74" i="14"/>
  <c r="I73" i="14"/>
  <c r="I72" i="14"/>
  <c r="I71" i="14"/>
  <c r="I39" i="14"/>
  <c r="I38" i="14"/>
  <c r="I37" i="14"/>
  <c r="I36" i="14"/>
  <c r="I35" i="14"/>
  <c r="I34" i="14"/>
  <c r="I33" i="14"/>
  <c r="I32" i="14"/>
  <c r="F99" i="14" l="1"/>
  <c r="F41" i="14"/>
  <c r="F56" i="14"/>
  <c r="F83" i="14"/>
  <c r="F28" i="14"/>
  <c r="I118" i="14"/>
  <c r="I117" i="14"/>
  <c r="I116" i="14"/>
  <c r="C13" i="14"/>
  <c r="C14" i="14" s="1"/>
  <c r="I13" i="12"/>
  <c r="C15" i="14" l="1"/>
  <c r="C17" i="14" s="1"/>
  <c r="C18" i="14" s="1"/>
  <c r="C19" i="14" s="1"/>
  <c r="C20" i="14" s="1"/>
  <c r="C22" i="14" s="1"/>
  <c r="C23" i="14" s="1"/>
  <c r="C24" i="14" s="1"/>
  <c r="C25" i="14" s="1"/>
  <c r="C26" i="14" s="1"/>
  <c r="C32" i="14" s="1"/>
  <c r="C33" i="14" s="1"/>
  <c r="C34" i="14" s="1"/>
  <c r="C35" i="14" s="1"/>
  <c r="C36" i="14" s="1"/>
  <c r="C37" i="14" s="1"/>
  <c r="C38" i="14" s="1"/>
  <c r="C39" i="14" s="1"/>
  <c r="C45" i="14" s="1"/>
  <c r="C46" i="14" s="1"/>
  <c r="C47" i="14" s="1"/>
  <c r="C48" i="14" s="1"/>
  <c r="C49" i="14" s="1"/>
  <c r="C50" i="14" s="1"/>
  <c r="C51" i="14" s="1"/>
  <c r="K2" i="14"/>
  <c r="I12" i="12"/>
  <c r="I14" i="12"/>
  <c r="C52" i="14" l="1"/>
  <c r="C53" i="14" s="1"/>
  <c r="C60" i="14" s="1"/>
  <c r="C61" i="14" s="1"/>
  <c r="C62" i="14" s="1"/>
  <c r="C63" i="14" s="1"/>
  <c r="C64" i="14" s="1"/>
  <c r="C65" i="14" s="1"/>
  <c r="C71" i="14" s="1"/>
  <c r="C72" i="14" s="1"/>
  <c r="C73" i="14" s="1"/>
  <c r="C74" i="14" s="1"/>
  <c r="C75" i="14" s="1"/>
  <c r="C76" i="14" s="1"/>
  <c r="C77" i="14" s="1"/>
  <c r="C78" i="14" s="1"/>
  <c r="C79" i="14" s="1"/>
  <c r="C80" i="14" s="1"/>
  <c r="C81" i="14" s="1"/>
  <c r="C87" i="14" s="1"/>
  <c r="C88" i="14" s="1"/>
  <c r="C89" i="14" s="1"/>
  <c r="C90" i="14" s="1"/>
  <c r="C91" i="14" s="1"/>
  <c r="C92" i="14" s="1"/>
  <c r="C93" i="14" s="1"/>
  <c r="C94" i="14" s="1"/>
  <c r="C95" i="14" s="1"/>
  <c r="C96" i="14" s="1"/>
  <c r="C97" i="14" s="1"/>
  <c r="C104" i="14" s="1"/>
  <c r="C105" i="14" s="1"/>
  <c r="C106" i="14" s="1"/>
  <c r="I11" i="12"/>
  <c r="C11" i="12"/>
  <c r="C12" i="12" s="1"/>
  <c r="C13" i="12" s="1"/>
  <c r="C14" i="12" s="1"/>
  <c r="I10" i="12"/>
  <c r="F17" i="12" s="1"/>
  <c r="I26" i="12" l="1"/>
  <c r="I25" i="12"/>
  <c r="I24" i="12"/>
  <c r="K2" i="12" l="1"/>
</calcChain>
</file>

<file path=xl/sharedStrings.xml><?xml version="1.0" encoding="utf-8"?>
<sst xmlns="http://schemas.openxmlformats.org/spreadsheetml/2006/main" count="480" uniqueCount="193">
  <si>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</si>
  <si>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</si>
  <si>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</si>
  <si>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</si>
  <si>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</si>
  <si>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</si>
  <si>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</si>
  <si>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</si>
  <si>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</si>
  <si>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</si>
  <si>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</si>
  <si>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</si>
  <si>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</si>
  <si>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</si>
  <si>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</si>
  <si>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</si>
  <si>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</si>
  <si>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</si>
  <si>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</si>
  <si>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</si>
  <si>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</si>
  <si>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</si>
  <si>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運送費</t>
  </si>
  <si>
    <t>設計費</t>
  </si>
  <si>
    <t>組立調整費</t>
  </si>
  <si>
    <t>出荷依頼項目NO.</t>
    <rPh sb="0" eb="4">
      <t>シュッカイライ</t>
    </rPh>
    <rPh sb="4" eb="6">
      <t>コウモク</t>
    </rPh>
    <phoneticPr fontId="10"/>
  </si>
  <si>
    <t>蛇の目</t>
    <rPh sb="0" eb="1">
      <t>ジャ</t>
    </rPh>
    <rPh sb="2" eb="3">
      <t>メ</t>
    </rPh>
    <phoneticPr fontId="11"/>
  </si>
  <si>
    <t>10日目</t>
    <rPh sb="2" eb="3">
      <t>ヒ</t>
    </rPh>
    <rPh sb="3" eb="4">
      <t>メ</t>
    </rPh>
    <phoneticPr fontId="11"/>
  </si>
  <si>
    <t>1.5ｶ月</t>
    <rPh sb="4" eb="5">
      <t>ゲツ</t>
    </rPh>
    <phoneticPr fontId="11"/>
  </si>
  <si>
    <t>B仕様ｵﾌﾟｼｮﾝSW付</t>
    <phoneticPr fontId="11"/>
  </si>
  <si>
    <t>SRO-SWB-NO</t>
    <phoneticPr fontId="11"/>
  </si>
  <si>
    <t>荷造り運賃</t>
    <rPh sb="0" eb="2">
      <t>ニヅク</t>
    </rPh>
    <rPh sb="3" eb="5">
      <t>ウンチン</t>
    </rPh>
    <phoneticPr fontId="11"/>
  </si>
  <si>
    <r>
      <rPr>
        <b/>
        <sz val="11"/>
        <color indexed="8"/>
        <rFont val="ＭＳ Ｐゴシック"/>
        <family val="3"/>
        <charset val="128"/>
      </rPr>
      <t>JR3404N-BJ　</t>
    </r>
    <r>
      <rPr>
        <sz val="11"/>
        <color theme="1"/>
        <rFont val="ＭＳ Ｐゴシック"/>
        <family val="3"/>
        <charset val="128"/>
        <scheme val="minor"/>
      </rPr>
      <t>　 4軸ﾛﾎﾞｯﾄ (外部ｽｲｯﾁ仕様)　</t>
    </r>
    <phoneticPr fontId="11"/>
  </si>
  <si>
    <r>
      <t>JR3404　　　SRS-S404</t>
    </r>
    <r>
      <rPr>
        <b/>
        <sz val="11"/>
        <color indexed="10"/>
        <rFont val="ＭＳ Ｐゴシック"/>
        <family val="3"/>
        <charset val="128"/>
      </rPr>
      <t>　外部スイッチBOXﾀｲﾌﾟ</t>
    </r>
    <rPh sb="18" eb="20">
      <t>ガイブ</t>
    </rPh>
    <phoneticPr fontId="11"/>
  </si>
  <si>
    <t>JR3000用ﾃｨｰﾁﾝｸﾞﾎﾞｯｸｽ　</t>
    <phoneticPr fontId="11"/>
  </si>
  <si>
    <t>JR3-TB2</t>
    <phoneticPr fontId="11"/>
  </si>
  <si>
    <t>8日目</t>
    <rPh sb="1" eb="3">
      <t>ヒメ</t>
    </rPh>
    <phoneticPr fontId="11"/>
  </si>
  <si>
    <t>エスケー電子工業株式会社様(成電社）</t>
    <rPh sb="12" eb="13">
      <t>サマ</t>
    </rPh>
    <rPh sb="14" eb="17">
      <t>セイデンシャ</t>
    </rPh>
    <phoneticPr fontId="10"/>
  </si>
  <si>
    <t>岸</t>
    <rPh sb="0" eb="1">
      <t>キシ</t>
    </rPh>
    <phoneticPr fontId="10"/>
  </si>
  <si>
    <t>Ｎo.214729</t>
    <phoneticPr fontId="10"/>
  </si>
  <si>
    <t>JR3000用C-Points2 塗布編集ｿﾌ</t>
  </si>
  <si>
    <t>JR C-Point2 Ver8</t>
    <phoneticPr fontId="11"/>
  </si>
  <si>
    <t>見積もり　 TQ24-0127</t>
    <rPh sb="0" eb="2">
      <t>ミツ</t>
    </rPh>
    <phoneticPr fontId="10"/>
  </si>
  <si>
    <t>②</t>
    <phoneticPr fontId="10"/>
  </si>
  <si>
    <t>SETB0206-A01 JR3404+SV70ロ-+SVC720F+捨て射ち+配電盤　原価一覧　20240510</t>
    <phoneticPr fontId="10"/>
  </si>
  <si>
    <t>ﾂｰﾙ冶具ﾕﾆｯﾄ</t>
    <phoneticPr fontId="11"/>
  </si>
  <si>
    <t>meviy</t>
    <phoneticPr fontId="11"/>
  </si>
  <si>
    <t>ミスミ</t>
    <phoneticPr fontId="11"/>
  </si>
  <si>
    <t>MS4-10</t>
    <phoneticPr fontId="11"/>
  </si>
  <si>
    <t>ノックピン　－プラス公差　2本</t>
    <rPh sb="14" eb="15">
      <t>ホン</t>
    </rPh>
    <phoneticPr fontId="11"/>
  </si>
  <si>
    <t>金属ワッシャ　Ｔ寸選択・指定タイプ</t>
    <phoneticPr fontId="11"/>
  </si>
  <si>
    <t>MSSFS4-8</t>
    <phoneticPr fontId="11"/>
  </si>
  <si>
    <t>六角穴付止めねじ平先</t>
    <phoneticPr fontId="11"/>
  </si>
  <si>
    <t>SETB-0091-Ｙ05 に固定</t>
    <rPh sb="15" eb="17">
      <t>コテイ</t>
    </rPh>
    <phoneticPr fontId="11"/>
  </si>
  <si>
    <t>SCB4-25</t>
    <phoneticPr fontId="11"/>
  </si>
  <si>
    <t>六角穴付きﾎﾞﾙﾄ　 (M4×25)　2本</t>
    <rPh sb="20" eb="21">
      <t>ホン</t>
    </rPh>
    <phoneticPr fontId="11"/>
  </si>
  <si>
    <t>ﾛﾎﾞｯﾄθ軸固定用</t>
    <phoneticPr fontId="11"/>
  </si>
  <si>
    <t>SCB5-10</t>
    <phoneticPr fontId="11"/>
  </si>
  <si>
    <t>六角穴付きﾎﾞﾙﾄ　M5×10mm　1本</t>
    <rPh sb="19" eb="20">
      <t>ホン</t>
    </rPh>
    <phoneticPr fontId="11"/>
  </si>
  <si>
    <t>ﾛﾎﾞｯﾄθ軸固定用</t>
    <rPh sb="6" eb="7">
      <t>ジク</t>
    </rPh>
    <rPh sb="7" eb="9">
      <t>コテイ</t>
    </rPh>
    <rPh sb="9" eb="10">
      <t>ヨウ</t>
    </rPh>
    <phoneticPr fontId="11"/>
  </si>
  <si>
    <t>WSSS16-5-3</t>
    <phoneticPr fontId="11"/>
  </si>
  <si>
    <t>MS3-10</t>
    <phoneticPr fontId="11"/>
  </si>
  <si>
    <t>ノックピン　－プラス公差　8本</t>
    <rPh sb="14" eb="15">
      <t>ホン</t>
    </rPh>
    <phoneticPr fontId="11"/>
  </si>
  <si>
    <t>APMTS-N1-T1</t>
    <phoneticPr fontId="11"/>
  </si>
  <si>
    <t>ねじ変換継手</t>
    <phoneticPr fontId="11"/>
  </si>
  <si>
    <t>8日目</t>
    <rPh sb="1" eb="2">
      <t>ヒ</t>
    </rPh>
    <rPh sb="2" eb="3">
      <t>メ</t>
    </rPh>
    <phoneticPr fontId="11"/>
  </si>
  <si>
    <t>1日目</t>
    <rPh sb="1" eb="2">
      <t>ヒ</t>
    </rPh>
    <rPh sb="2" eb="3">
      <t>メ</t>
    </rPh>
    <phoneticPr fontId="11"/>
  </si>
  <si>
    <t>2日目</t>
    <rPh sb="1" eb="2">
      <t>ヒ</t>
    </rPh>
    <rPh sb="2" eb="3">
      <t>メ</t>
    </rPh>
    <phoneticPr fontId="11"/>
  </si>
  <si>
    <t>ﾉｽﾞﾙ位置合わせ冶具　</t>
    <phoneticPr fontId="10"/>
  </si>
  <si>
    <t>東北ﾏﾃﾘｱﾙｽ</t>
    <rPh sb="0" eb="2">
      <t>トウホク</t>
    </rPh>
    <phoneticPr fontId="11"/>
  </si>
  <si>
    <t>SETA0010-Z04-1位置決めベース</t>
    <phoneticPr fontId="11"/>
  </si>
  <si>
    <t>2023/10/13実績有り</t>
    <rPh sb="10" eb="12">
      <t>ジッセキ</t>
    </rPh>
    <rPh sb="12" eb="13">
      <t>ア</t>
    </rPh>
    <phoneticPr fontId="10"/>
  </si>
  <si>
    <t>SETA0010-Z02-1角度切替ベース</t>
    <phoneticPr fontId="11"/>
  </si>
  <si>
    <t>SETA0010-Z03角度切替ブラケット</t>
    <phoneticPr fontId="11"/>
  </si>
  <si>
    <t>送料</t>
    <rPh sb="0" eb="2">
      <t>ソウリョウ</t>
    </rPh>
    <phoneticPr fontId="10"/>
  </si>
  <si>
    <t>JTDA-SUD-A27-B12-T2-X6-Y6-M4-L15-MA4</t>
    <phoneticPr fontId="11"/>
  </si>
  <si>
    <t>押え板</t>
    <phoneticPr fontId="11"/>
  </si>
  <si>
    <t>ASFCS-A27-B14-T0.3-D4.5-E6-C6-P15</t>
    <phoneticPr fontId="11"/>
  </si>
  <si>
    <t>シム</t>
    <phoneticPr fontId="11"/>
  </si>
  <si>
    <t>SCB4-5</t>
    <phoneticPr fontId="11"/>
  </si>
  <si>
    <t>六角穴付きﾎﾞﾙﾄ　M4×5mm　　　　6本</t>
    <rPh sb="21" eb="22">
      <t>ホン</t>
    </rPh>
    <phoneticPr fontId="11"/>
  </si>
  <si>
    <t xml:space="preserve">SPWF4 </t>
    <phoneticPr fontId="11"/>
  </si>
  <si>
    <t>ワッシャ　　平座金　　M4×8mm　　　4個</t>
    <rPh sb="21" eb="22">
      <t>コ</t>
    </rPh>
    <phoneticPr fontId="11"/>
  </si>
  <si>
    <t>2Week</t>
    <phoneticPr fontId="10"/>
  </si>
  <si>
    <t>ｼﾘﾝｼﾞレギュレーター</t>
    <phoneticPr fontId="11"/>
  </si>
  <si>
    <t>MVSHM-3N02052005020-2D1-AN79X</t>
    <phoneticPr fontId="11"/>
  </si>
  <si>
    <t>158930－Z001　レギュレーター取付板金</t>
    <phoneticPr fontId="11"/>
  </si>
  <si>
    <t>BVHV6-1-3-A</t>
    <phoneticPr fontId="11"/>
  </si>
  <si>
    <t>ハンドバルブ</t>
    <phoneticPr fontId="11"/>
  </si>
  <si>
    <t>CHNS4</t>
    <phoneticPr fontId="11"/>
  </si>
  <si>
    <t>蝶ﾅｯﾄ</t>
    <phoneticPr fontId="11"/>
  </si>
  <si>
    <t>SMC</t>
    <phoneticPr fontId="11"/>
  </si>
  <si>
    <t>制御機材</t>
    <rPh sb="0" eb="1">
      <t>セイ</t>
    </rPh>
    <rPh sb="1" eb="2">
      <t>オ</t>
    </rPh>
    <rPh sb="2" eb="4">
      <t>キザイ</t>
    </rPh>
    <phoneticPr fontId="11"/>
  </si>
  <si>
    <t>IR1010-01BEA-A  0.01-0.40Mp</t>
    <phoneticPr fontId="11"/>
  </si>
  <si>
    <t>精密レギュレータ IR1000-A  0.01～0.4MPa</t>
    <phoneticPr fontId="11"/>
  </si>
  <si>
    <t>エアタック</t>
    <phoneticPr fontId="11"/>
  </si>
  <si>
    <t>PC401</t>
    <phoneticPr fontId="11"/>
  </si>
  <si>
    <t>ﾜﾝﾀｯﾁﾂｷﾞﾃ PCｼﾘｰｽﾞ</t>
    <phoneticPr fontId="10"/>
  </si>
  <si>
    <t>RSCB4-15</t>
    <phoneticPr fontId="11"/>
  </si>
  <si>
    <t>六角ﾎﾞﾙﾄ</t>
    <phoneticPr fontId="11"/>
  </si>
  <si>
    <t>UJDST4-W</t>
    <phoneticPr fontId="11"/>
  </si>
  <si>
    <t>ﾜﾝﾀｯﾁ継手異径ﾕﾆｵﾝｽﾄﾚｰﾄ</t>
    <rPh sb="5" eb="7">
      <t>ツギテ</t>
    </rPh>
    <rPh sb="7" eb="8">
      <t>イ</t>
    </rPh>
    <rPh sb="8" eb="9">
      <t>ケイ</t>
    </rPh>
    <phoneticPr fontId="11"/>
  </si>
  <si>
    <t xml:space="preserve">USYL6 </t>
    <phoneticPr fontId="11"/>
  </si>
  <si>
    <t>ワンタッチ継手　Ｙタイプ</t>
    <phoneticPr fontId="11"/>
  </si>
  <si>
    <t>USSTL4</t>
    <phoneticPr fontId="11"/>
  </si>
  <si>
    <t>ﾜﾝﾀｯﾁ継手ﾕﾆｵﾝｽﾄﾚｰﾄ</t>
    <rPh sb="5" eb="7">
      <t>ツギテ</t>
    </rPh>
    <phoneticPr fontId="11"/>
  </si>
  <si>
    <t>BSLG6</t>
    <phoneticPr fontId="11"/>
  </si>
  <si>
    <t>ワンタッチ継手　ブラインドプラグ</t>
  </si>
  <si>
    <t>SCB4-6</t>
    <phoneticPr fontId="11"/>
  </si>
  <si>
    <t>六角穴付きﾎﾞﾙﾄ　M4×6mm　　　　2本</t>
    <rPh sb="21" eb="22">
      <t>ホン</t>
    </rPh>
    <phoneticPr fontId="11"/>
  </si>
  <si>
    <t>3日目</t>
    <rPh sb="1" eb="2">
      <t>ヒ</t>
    </rPh>
    <rPh sb="2" eb="3">
      <t>メ</t>
    </rPh>
    <phoneticPr fontId="11"/>
  </si>
  <si>
    <t>浸け置きﾕﾆｯﾄ</t>
    <rPh sb="0" eb="1">
      <t>ツ</t>
    </rPh>
    <rPh sb="2" eb="3">
      <t>オ</t>
    </rPh>
    <phoneticPr fontId="11"/>
  </si>
  <si>
    <t>MVSHM-3N02052011011-2LF-KW1SE</t>
    <phoneticPr fontId="11"/>
  </si>
  <si>
    <t>SETB-0055-Z03　ｶｯﾌﾟﾎﾙﾀﾞｰﾍﾞｰｽＬ字ﾌﾞﾗｹｯﾄ</t>
    <phoneticPr fontId="11"/>
  </si>
  <si>
    <t>MVSHM-3N02050006016-2LF-1RSEZ</t>
    <phoneticPr fontId="11"/>
  </si>
  <si>
    <t>SETB-0055-Z04　ｶｯﾌﾟﾎﾙﾀﾞｰＬ字ﾌﾞﾗｹｯﾄ</t>
    <phoneticPr fontId="11"/>
  </si>
  <si>
    <t>MVSHM-ZZ99000000000-JPA243U9A111AB</t>
    <phoneticPr fontId="11"/>
  </si>
  <si>
    <t>SETB-0012-Z05 ｶｯﾌﾟﾎﾙﾀﾞｰ</t>
    <phoneticPr fontId="11"/>
  </si>
  <si>
    <t>CRKB4-8</t>
    <phoneticPr fontId="11"/>
  </si>
  <si>
    <t>樹脂付ローレットボルト</t>
    <rPh sb="0" eb="2">
      <t>ジュシ</t>
    </rPh>
    <rPh sb="2" eb="3">
      <t>ツキ</t>
    </rPh>
    <phoneticPr fontId="11"/>
  </si>
  <si>
    <t>ＭＳ2-8</t>
    <phoneticPr fontId="11"/>
  </si>
  <si>
    <t>ﾉｯｸﾋﾟﾝφ2-8mm</t>
    <phoneticPr fontId="11"/>
  </si>
  <si>
    <t>アズワン</t>
    <phoneticPr fontId="11"/>
  </si>
  <si>
    <t>PUT4-10-B</t>
    <phoneticPr fontId="11"/>
  </si>
  <si>
    <t>エアチューブ</t>
    <phoneticPr fontId="11"/>
  </si>
  <si>
    <t>PUT6-10-B</t>
    <phoneticPr fontId="11"/>
  </si>
  <si>
    <t>I/Oｹｰﾌﾞﾙ</t>
    <phoneticPr fontId="11"/>
  </si>
  <si>
    <t>ミスミ</t>
  </si>
  <si>
    <t>ｺﾝﾄﾛｰﾗ用I/O　-　D-Sub(L=2m）</t>
    <rPh sb="6" eb="7">
      <t>ヨウ</t>
    </rPh>
    <phoneticPr fontId="11"/>
  </si>
  <si>
    <t>7日目</t>
    <rPh sb="1" eb="2">
      <t>ヒ</t>
    </rPh>
    <rPh sb="2" eb="3">
      <t>メ</t>
    </rPh>
    <phoneticPr fontId="11"/>
  </si>
  <si>
    <t>ｹｰﾌﾞﾙﾍﾞｱ</t>
    <phoneticPr fontId="11"/>
  </si>
  <si>
    <t>SCB4-20</t>
    <phoneticPr fontId="11"/>
  </si>
  <si>
    <t>六角穴付きﾎﾞﾙﾄ　M4×20mm</t>
    <phoneticPr fontId="11"/>
  </si>
  <si>
    <t>ＳＶＥＭ固定用ﾈｼﾞ</t>
    <rPh sb="4" eb="6">
      <t>コテイ</t>
    </rPh>
    <rPh sb="6" eb="7">
      <t>ヨウ</t>
    </rPh>
    <phoneticPr fontId="11"/>
  </si>
  <si>
    <t>SZ16F-2-060-20</t>
    <phoneticPr fontId="11"/>
  </si>
  <si>
    <t>ケーブルベア</t>
    <phoneticPr fontId="11"/>
  </si>
  <si>
    <t>ケーブルベア固定用</t>
    <rPh sb="6" eb="8">
      <t>コテイ</t>
    </rPh>
    <rPh sb="8" eb="9">
      <t>ヨウ</t>
    </rPh>
    <phoneticPr fontId="11"/>
  </si>
  <si>
    <t>M5ﾅｯﾄ</t>
  </si>
  <si>
    <t>Dsub9　オス　コネクタハーネス　#4-40ショートねじ</t>
    <phoneticPr fontId="11"/>
  </si>
  <si>
    <t>FSC10-C-3</t>
    <phoneticPr fontId="11"/>
  </si>
  <si>
    <t>M8丸型防水コネクタハーネス  ＳＶＥＭﾛﾝｸﾞ3m　TYPE</t>
    <phoneticPr fontId="11"/>
  </si>
  <si>
    <t>MVSHM-3N02052013016-JPA267D1P111AB</t>
    <phoneticPr fontId="11"/>
  </si>
  <si>
    <t>SETB-0009-Z01-1　ケーブルベアヘッド横板金</t>
    <phoneticPr fontId="11"/>
  </si>
  <si>
    <t>MVSHM-3N02002007016-2LU-F6R7Z</t>
    <phoneticPr fontId="11"/>
  </si>
  <si>
    <t>SETB-0031-Z01 ＳＶＥＭ取付ﾌﾞﾗｹｯﾄ</t>
    <phoneticPr fontId="11"/>
  </si>
  <si>
    <t>日本ﾋﾟｽｺ</t>
    <rPh sb="0" eb="2">
      <t>ニホン</t>
    </rPh>
    <phoneticPr fontId="10"/>
  </si>
  <si>
    <t>石鍋</t>
    <rPh sb="0" eb="2">
      <t>イシナベ</t>
    </rPh>
    <phoneticPr fontId="11"/>
  </si>
  <si>
    <t>PLGJ4-6M</t>
    <phoneticPr fontId="10"/>
  </si>
  <si>
    <t>一般配管用 チューブフィッティングミニタイプ 違径ソケットエルボ</t>
    <phoneticPr fontId="10"/>
  </si>
  <si>
    <t>MVBLK-AMN-JPA2547JU111AB</t>
    <phoneticPr fontId="11"/>
  </si>
  <si>
    <t>SETB-0009-Z02　ケーブルベア下板</t>
    <rPh sb="20" eb="22">
      <t>シタイタ</t>
    </rPh>
    <phoneticPr fontId="11"/>
  </si>
  <si>
    <t>SBCB4-15</t>
    <phoneticPr fontId="11"/>
  </si>
  <si>
    <t>六角穴付ボタンボルト　 (M4×15)</t>
    <phoneticPr fontId="11"/>
  </si>
  <si>
    <t xml:space="preserve">5-079-04　   </t>
    <phoneticPr fontId="11"/>
  </si>
  <si>
    <t>ﾐﾆｶｯﾌﾟ（30cc）　 在庫使用</t>
    <rPh sb="14" eb="16">
      <t>ザイコ</t>
    </rPh>
    <rPh sb="16" eb="18">
      <t>シヨウ</t>
    </rPh>
    <phoneticPr fontId="11"/>
  </si>
  <si>
    <t>ｱｽﾞﾜﾝ</t>
    <phoneticPr fontId="11"/>
  </si>
  <si>
    <t>送料</t>
    <rPh sb="0" eb="2">
      <t>ソウリョウ</t>
    </rPh>
    <phoneticPr fontId="11"/>
  </si>
  <si>
    <t>4日目</t>
    <rPh sb="1" eb="2">
      <t>ヒ</t>
    </rPh>
    <rPh sb="2" eb="3">
      <t>メ</t>
    </rPh>
    <phoneticPr fontId="11"/>
  </si>
  <si>
    <t>KCC7-8000-210226-409</t>
    <phoneticPr fontId="11"/>
  </si>
  <si>
    <t>APMTSL-N1-N1-L30</t>
    <phoneticPr fontId="10"/>
  </si>
  <si>
    <t>フジキン</t>
    <phoneticPr fontId="11"/>
  </si>
  <si>
    <t>VUWL-6AN-V</t>
    <phoneticPr fontId="11"/>
  </si>
  <si>
    <t>ニューV-Lok_エルボハーフユニオン　1/8　NPT　φ6</t>
    <phoneticPr fontId="11"/>
  </si>
  <si>
    <t>モノタロウ</t>
    <phoneticPr fontId="11"/>
  </si>
  <si>
    <t>https://www.monotaro.com/p/7580/9354/?cq_plt=bp&amp;cq_net=o&amp;utm_source=bing&amp;utm_medium=cpc&amp;utm_campaign=180698424_424835292&amp;utm_content=1353500415386533&amp;utm_term=b_84594239413666_dat-2336393490182574:loc-96&amp;msclkid=a6a07e4dc70b157432b6187018b2ab7b</t>
    <phoneticPr fontId="10"/>
  </si>
  <si>
    <t>SETB-0206-Ｙ01  4軸用ﾊﾞﾙﾌﾞ固定ﾌﾞﾗｹｯﾄ</t>
    <phoneticPr fontId="10"/>
  </si>
  <si>
    <t>SCB4-12</t>
    <phoneticPr fontId="11"/>
  </si>
  <si>
    <t>六角穴付きﾎﾞﾙﾄ　 (M4×12)　　6本</t>
    <rPh sb="21" eb="22">
      <t>ホン</t>
    </rPh>
    <phoneticPr fontId="11"/>
  </si>
  <si>
    <t>SETB-0206-Ｙ05 回転軸位置決めﾌﾞﾗｹｯﾄ</t>
    <phoneticPr fontId="11"/>
  </si>
  <si>
    <t>MVBLK-AMW-3RN-9Y162</t>
    <phoneticPr fontId="10"/>
  </si>
  <si>
    <t>MVBLK-AMW-3RN-YJDD8</t>
    <phoneticPr fontId="10"/>
  </si>
  <si>
    <t>ねじ変換継手 2個</t>
    <rPh sb="8" eb="9">
      <t>コ</t>
    </rPh>
    <phoneticPr fontId="10"/>
  </si>
  <si>
    <t>MCLPTW6-1</t>
    <phoneticPr fontId="10"/>
  </si>
  <si>
    <t>チューブ用継手　ナット・スリーブ一体型　エルボ</t>
    <phoneticPr fontId="10"/>
  </si>
  <si>
    <t>PDDU-PT-MS-9-3</t>
    <phoneticPr fontId="11"/>
  </si>
  <si>
    <t>バルブ取り置き治具</t>
    <phoneticPr fontId="11"/>
  </si>
  <si>
    <t>MS4-8</t>
    <phoneticPr fontId="11"/>
  </si>
  <si>
    <t>SETB-0206-Z01 待機ﾊﾞﾙﾌﾞ取付板金</t>
    <phoneticPr fontId="10"/>
  </si>
  <si>
    <t xml:space="preserve">SLBNR4 </t>
    <phoneticPr fontId="10"/>
  </si>
  <si>
    <t>ナット</t>
    <phoneticPr fontId="10"/>
  </si>
  <si>
    <t>MVSHM-3N02052-3SN-J9LPW</t>
  </si>
  <si>
    <t>SCB4-10</t>
    <phoneticPr fontId="11"/>
  </si>
  <si>
    <t>ワッシャ　　平座金　　M4×8mm　　　4個　</t>
    <rPh sb="21" eb="22">
      <t>コ</t>
    </rPh>
    <phoneticPr fontId="11"/>
  </si>
  <si>
    <t>6日目</t>
    <rPh sb="1" eb="2">
      <t>ヒ</t>
    </rPh>
    <rPh sb="2" eb="3">
      <t>メ</t>
    </rPh>
    <phoneticPr fontId="11"/>
  </si>
  <si>
    <t>SFB5-8</t>
    <phoneticPr fontId="10"/>
  </si>
  <si>
    <t>六角穴付皿ボルト　M5×8mm 4本</t>
    <rPh sb="17" eb="18">
      <t>ホン</t>
    </rPh>
    <phoneticPr fontId="10"/>
  </si>
  <si>
    <t>SCB4-16</t>
    <phoneticPr fontId="10"/>
  </si>
  <si>
    <t>六角穴付きﾎﾞﾙﾄ　M4×16mm</t>
    <phoneticPr fontId="10"/>
  </si>
  <si>
    <t>SLBNR5</t>
    <phoneticPr fontId="10"/>
  </si>
  <si>
    <t>①</t>
    <phoneticPr fontId="10"/>
  </si>
  <si>
    <t xml:space="preserve">
AB236D34B9</t>
    <phoneticPr fontId="10"/>
  </si>
  <si>
    <t>ﾐｽﾐ　品　発注済み　AB236D34B9</t>
    <rPh sb="4" eb="5">
      <t>ヒン</t>
    </rPh>
    <rPh sb="6" eb="8">
      <t>ハッチュウ</t>
    </rPh>
    <rPh sb="8" eb="9">
      <t>ズ</t>
    </rPh>
    <phoneticPr fontId="10"/>
  </si>
  <si>
    <t>見積もり、発注お願い致します。</t>
    <rPh sb="0" eb="2">
      <t>ミツ</t>
    </rPh>
    <rPh sb="5" eb="7">
      <t>ハッチュウ</t>
    </rPh>
    <rPh sb="8" eb="9">
      <t>ネガ</t>
    </rPh>
    <rPh sb="10" eb="11">
      <t>イタ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</si>
</sst>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#,##0_ "/>
    <numFmt numFmtId="181" formatCode="0_);[Red]\(0\)"/>
    <numFmt numFmtId="182" formatCode="0_ ;[Red]\-0\ "/>
    <numFmt numFmtId="183" formatCode="0_ "/>
  </numFmts>
  <fonts count="37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trike/>
      <sz val="11"/>
      <color theme="1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11"/>
      <color theme="9" tint="-0.249977111117893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sz val="9"/>
      <name val="ＭＳ Ｐゴシック"/>
      <family val="3"/>
      <charset val="128"/>
      <scheme val="minor"/>
    </font>
    <font>
      <sz val="9.9499999999999993"/>
      <color rgb="FF00000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2"/>
      <color theme="9" tint="-0.499984740745262"/>
      <name val="ＭＳ Ｐゴシック"/>
      <family val="3"/>
      <charset val="128"/>
      <scheme val="minor"/>
    </font>
    <font>
      <b/>
      <sz val="16"/>
      <color theme="9" tint="-0.249977111117893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9" fillId="0" borderId="0">
      <alignment vertical="center"/>
    </xf>
    <xf numFmtId="0" fontId="13" fillId="0" borderId="0">
      <alignment vertical="center"/>
    </xf>
  </cellStyleXfs>
  <cellXfs count="27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0" fontId="13" fillId="0" borderId="5" xfId="3" applyBorder="1" applyAlignment="1">
      <alignment vertical="center"/>
    </xf>
    <xf numFmtId="56" fontId="0" fillId="0" borderId="5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3" fillId="0" borderId="5" xfId="3" applyBorder="1" applyAlignment="1">
      <alignment horizontal="center" vertical="center"/>
    </xf>
    <xf numFmtId="176" fontId="0" fillId="0" borderId="5" xfId="0" applyNumberFormat="1" applyBorder="1" applyAlignment="1"/>
    <xf numFmtId="0" fontId="9" fillId="0" borderId="0" xfId="0" applyFont="1">
      <alignment vertical="center"/>
    </xf>
    <xf numFmtId="49" fontId="0" fillId="0" borderId="5" xfId="0" applyNumberForma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vertical="center" shrinkToFit="1"/>
    </xf>
    <xf numFmtId="38" fontId="0" fillId="0" borderId="5" xfId="0" applyNumberFormat="1" applyBorder="1" applyAlignment="1">
      <alignment horizontal="right" vertical="center"/>
    </xf>
    <xf numFmtId="3" fontId="9" fillId="0" borderId="5" xfId="0" applyNumberFormat="1" applyFon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56" fontId="0" fillId="0" borderId="8" xfId="0" applyNumberFormat="1" applyBorder="1" applyAlignment="1">
      <alignment horizontal="center" vertical="center"/>
    </xf>
    <xf numFmtId="176" fontId="12" fillId="0" borderId="5" xfId="0" applyNumberFormat="1" applyFont="1" applyBorder="1" applyAlignment="1"/>
    <xf numFmtId="179" fontId="0" fillId="0" borderId="5" xfId="0" applyNumberFormat="1" applyBorder="1" applyAlignment="1">
      <alignment horizontal="center" vertical="center"/>
    </xf>
    <xf numFmtId="0" fontId="14" fillId="0" borderId="5" xfId="0" applyFont="1" applyBorder="1" applyAlignment="1">
      <alignment vertical="center" shrinkToFit="1"/>
    </xf>
    <xf numFmtId="0" fontId="20" fillId="0" borderId="5" xfId="3" applyFont="1" applyBorder="1" applyAlignment="1">
      <alignment vertical="center"/>
    </xf>
    <xf numFmtId="180" fontId="0" fillId="0" borderId="5" xfId="0" applyNumberFormat="1" applyBorder="1">
      <alignment vertical="center"/>
    </xf>
    <xf numFmtId="38" fontId="0" fillId="0" borderId="5" xfId="0" applyNumberFormat="1" applyBorder="1">
      <alignment vertical="center"/>
    </xf>
    <xf numFmtId="3" fontId="15" fillId="0" borderId="5" xfId="0" applyNumberFormat="1" applyFont="1" applyBorder="1" applyAlignment="1">
      <alignment horizontal="center" vertical="center"/>
    </xf>
    <xf numFmtId="0" fontId="18" fillId="0" borderId="5" xfId="3" applyFont="1" applyBorder="1" applyAlignment="1">
      <alignment vertical="center"/>
    </xf>
    <xf numFmtId="0" fontId="9" fillId="0" borderId="7" xfId="0" applyFont="1" applyBorder="1" applyAlignment="1">
      <alignment horizontal="left" vertical="center"/>
    </xf>
    <xf numFmtId="0" fontId="13" fillId="0" borderId="7" xfId="3" applyBorder="1" applyAlignment="1">
      <alignment vertical="center"/>
    </xf>
    <xf numFmtId="0" fontId="0" fillId="0" borderId="6" xfId="0" applyBorder="1" applyAlignment="1">
      <alignment horizontal="center" vertical="center"/>
    </xf>
    <xf numFmtId="179" fontId="0" fillId="0" borderId="6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0" fontId="19" fillId="0" borderId="8" xfId="3" applyFont="1" applyBorder="1" applyAlignment="1">
      <alignment vertical="center"/>
    </xf>
    <xf numFmtId="3" fontId="0" fillId="0" borderId="8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5" fontId="12" fillId="0" borderId="5" xfId="0" applyNumberFormat="1" applyFont="1" applyBorder="1" applyAlignment="1">
      <alignment horizontal="center" vertical="center"/>
    </xf>
    <xf numFmtId="3" fontId="9" fillId="0" borderId="7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0" fontId="13" fillId="0" borderId="9" xfId="3" applyBorder="1" applyAlignment="1">
      <alignment horizontal="left" vertical="center"/>
    </xf>
    <xf numFmtId="5" fontId="12" fillId="0" borderId="7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 shrinkToFit="1"/>
    </xf>
    <xf numFmtId="0" fontId="9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3" fontId="0" fillId="5" borderId="5" xfId="0" applyNumberFormat="1" applyFill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5" fontId="17" fillId="6" borderId="5" xfId="0" applyNumberFormat="1" applyFont="1" applyFill="1" applyBorder="1">
      <alignment vertical="center"/>
    </xf>
    <xf numFmtId="3" fontId="0" fillId="0" borderId="7" xfId="0" applyNumberFormat="1" applyBorder="1" applyAlignment="1">
      <alignment horizontal="center" vertical="center"/>
    </xf>
    <xf numFmtId="0" fontId="25" fillId="0" borderId="0" xfId="4" applyFont="1">
      <alignment vertical="center"/>
    </xf>
    <xf numFmtId="3" fontId="23" fillId="3" borderId="7" xfId="0" applyNumberFormat="1" applyFont="1" applyFill="1" applyBorder="1" applyAlignment="1">
      <alignment horizontal="center" vertical="center"/>
    </xf>
    <xf numFmtId="3" fontId="23" fillId="3" borderId="10" xfId="0" applyNumberFormat="1" applyFont="1" applyFill="1" applyBorder="1" applyAlignment="1">
      <alignment horizontal="center" vertical="center"/>
    </xf>
    <xf numFmtId="3" fontId="9" fillId="0" borderId="8" xfId="0" applyNumberFormat="1" applyFont="1" applyBorder="1" applyAlignment="1">
      <alignment horizontal="center" vertical="center"/>
    </xf>
    <xf numFmtId="0" fontId="9" fillId="5" borderId="8" xfId="0" applyFont="1" applyFill="1" applyBorder="1" applyAlignment="1">
      <alignment horizontal="left" vertical="center"/>
    </xf>
    <xf numFmtId="0" fontId="0" fillId="8" borderId="8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3" fontId="0" fillId="7" borderId="5" xfId="0" applyNumberForma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left" vertical="center"/>
    </xf>
    <xf numFmtId="0" fontId="0" fillId="8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3" fontId="26" fillId="0" borderId="5" xfId="0" applyNumberFormat="1" applyFont="1" applyBorder="1" applyAlignment="1">
      <alignment horizontal="center" vertical="center"/>
    </xf>
    <xf numFmtId="0" fontId="26" fillId="8" borderId="7" xfId="0" applyFont="1" applyFill="1" applyBorder="1" applyAlignment="1">
      <alignment horizontal="center" vertical="center"/>
    </xf>
    <xf numFmtId="0" fontId="26" fillId="5" borderId="5" xfId="0" applyFont="1" applyFill="1" applyBorder="1" applyAlignment="1">
      <alignment horizontal="left" vertical="center"/>
    </xf>
    <xf numFmtId="0" fontId="26" fillId="8" borderId="5" xfId="0" applyFont="1" applyFill="1" applyBorder="1" applyAlignment="1">
      <alignment horizontal="center" vertical="center"/>
    </xf>
    <xf numFmtId="0" fontId="26" fillId="5" borderId="5" xfId="0" applyFont="1" applyFill="1" applyBorder="1" applyAlignment="1">
      <alignment horizontal="center" vertical="center"/>
    </xf>
    <xf numFmtId="0" fontId="26" fillId="0" borderId="7" xfId="0" applyFont="1" applyBorder="1" applyAlignment="1">
      <alignment horizontal="left" vertical="center"/>
    </xf>
    <xf numFmtId="0" fontId="0" fillId="5" borderId="5" xfId="0" applyFill="1" applyBorder="1" applyAlignment="1">
      <alignment horizontal="left" vertical="center"/>
    </xf>
    <xf numFmtId="0" fontId="26" fillId="0" borderId="7" xfId="0" applyFont="1" applyBorder="1" applyAlignment="1">
      <alignment horizontal="center" vertical="center"/>
    </xf>
    <xf numFmtId="0" fontId="13" fillId="5" borderId="5" xfId="0" applyFont="1" applyFill="1" applyBorder="1">
      <alignment vertical="center"/>
    </xf>
    <xf numFmtId="176" fontId="26" fillId="5" borderId="5" xfId="0" applyNumberFormat="1" applyFont="1" applyFill="1" applyBorder="1" applyAlignment="1">
      <alignment horizontal="center" vertical="center"/>
    </xf>
    <xf numFmtId="176" fontId="26" fillId="0" borderId="5" xfId="0" applyNumberFormat="1" applyFont="1" applyBorder="1" applyAlignment="1">
      <alignment horizontal="left" vertical="center"/>
    </xf>
    <xf numFmtId="0" fontId="26" fillId="0" borderId="5" xfId="0" applyFont="1" applyBorder="1" applyAlignment="1">
      <alignment horizontal="left" vertical="center"/>
    </xf>
    <xf numFmtId="0" fontId="26" fillId="5" borderId="5" xfId="0" applyFont="1" applyFill="1" applyBorder="1">
      <alignment vertical="center"/>
    </xf>
    <xf numFmtId="0" fontId="26" fillId="0" borderId="5" xfId="0" applyFont="1" applyBorder="1">
      <alignment vertical="center"/>
    </xf>
    <xf numFmtId="0" fontId="13" fillId="8" borderId="5" xfId="0" applyFont="1" applyFill="1" applyBorder="1" applyAlignment="1">
      <alignment horizontal="center" vertical="center"/>
    </xf>
    <xf numFmtId="176" fontId="26" fillId="0" borderId="7" xfId="0" applyNumberFormat="1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176" fontId="17" fillId="9" borderId="5" xfId="0" applyNumberFormat="1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3" fontId="5" fillId="7" borderId="2" xfId="0" applyNumberFormat="1" applyFont="1" applyFill="1" applyBorder="1" applyAlignment="1">
      <alignment horizontal="center" vertical="center"/>
    </xf>
    <xf numFmtId="3" fontId="9" fillId="10" borderId="5" xfId="0" applyNumberFormat="1" applyFont="1" applyFill="1" applyBorder="1" applyAlignment="1">
      <alignment horizontal="center" vertical="center"/>
    </xf>
    <xf numFmtId="0" fontId="26" fillId="10" borderId="5" xfId="0" applyFont="1" applyFill="1" applyBorder="1">
      <alignment vertical="center"/>
    </xf>
    <xf numFmtId="0" fontId="26" fillId="10" borderId="5" xfId="0" applyFont="1" applyFill="1" applyBorder="1" applyAlignment="1">
      <alignment horizontal="center" vertical="center"/>
    </xf>
    <xf numFmtId="38" fontId="26" fillId="10" borderId="5" xfId="0" applyNumberFormat="1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49" fontId="9" fillId="5" borderId="5" xfId="0" applyNumberFormat="1" applyFont="1" applyFill="1" applyBorder="1" applyAlignment="1">
      <alignment horizontal="left" vertical="center"/>
    </xf>
    <xf numFmtId="38" fontId="0" fillId="5" borderId="5" xfId="0" applyNumberFormat="1" applyFill="1" applyBorder="1" applyAlignment="1">
      <alignment horizontal="center" vertical="center"/>
    </xf>
    <xf numFmtId="0" fontId="9" fillId="0" borderId="5" xfId="0" applyFont="1" applyBorder="1">
      <alignment vertical="center"/>
    </xf>
    <xf numFmtId="38" fontId="26" fillId="5" borderId="5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49" fontId="5" fillId="0" borderId="5" xfId="0" applyNumberFormat="1" applyFont="1" applyBorder="1" applyAlignment="1">
      <alignment vertical="center" shrinkToFit="1"/>
    </xf>
    <xf numFmtId="176" fontId="0" fillId="0" borderId="3" xfId="0" applyNumberFormat="1" applyBorder="1" applyAlignment="1"/>
    <xf numFmtId="176" fontId="17" fillId="9" borderId="11" xfId="0" applyNumberFormat="1" applyFont="1" applyFill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176" fontId="6" fillId="0" borderId="5" xfId="0" applyNumberFormat="1" applyFont="1" applyBorder="1">
      <alignment vertical="center"/>
    </xf>
    <xf numFmtId="176" fontId="0" fillId="0" borderId="4" xfId="0" applyNumberFormat="1" applyBorder="1">
      <alignment vertical="center"/>
    </xf>
    <xf numFmtId="0" fontId="9" fillId="5" borderId="5" xfId="0" applyFont="1" applyFill="1" applyBorder="1" applyAlignment="1">
      <alignment horizontal="center" vertical="center"/>
    </xf>
    <xf numFmtId="181" fontId="26" fillId="0" borderId="5" xfId="0" applyNumberFormat="1" applyFont="1" applyBorder="1" applyAlignment="1">
      <alignment horizontal="center" vertical="center"/>
    </xf>
    <xf numFmtId="38" fontId="26" fillId="0" borderId="5" xfId="0" applyNumberFormat="1" applyFont="1" applyBorder="1" applyAlignment="1">
      <alignment horizontal="center" vertical="center"/>
    </xf>
    <xf numFmtId="176" fontId="0" fillId="0" borderId="5" xfId="0" applyNumberFormat="1" applyBorder="1">
      <alignment vertical="center"/>
    </xf>
    <xf numFmtId="49" fontId="0" fillId="5" borderId="5" xfId="0" applyNumberFormat="1" applyFill="1" applyBorder="1" applyAlignment="1">
      <alignment horizontal="left" vertical="center"/>
    </xf>
    <xf numFmtId="0" fontId="30" fillId="10" borderId="5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30" fillId="10" borderId="5" xfId="0" applyFont="1" applyFill="1" applyBorder="1">
      <alignment vertical="center"/>
    </xf>
    <xf numFmtId="176" fontId="30" fillId="10" borderId="5" xfId="0" applyNumberFormat="1" applyFont="1" applyFill="1" applyBorder="1" applyAlignment="1">
      <alignment horizontal="center" vertical="center"/>
    </xf>
    <xf numFmtId="176" fontId="30" fillId="0" borderId="7" xfId="0" applyNumberFormat="1" applyFont="1" applyBorder="1" applyAlignment="1">
      <alignment horizontal="left" vertical="center"/>
    </xf>
    <xf numFmtId="0" fontId="30" fillId="0" borderId="5" xfId="0" applyFont="1" applyBorder="1">
      <alignment vertical="center"/>
    </xf>
    <xf numFmtId="0" fontId="30" fillId="5" borderId="5" xfId="0" applyFont="1" applyFill="1" applyBorder="1" applyAlignment="1">
      <alignment horizontal="left" vertical="center"/>
    </xf>
    <xf numFmtId="183" fontId="30" fillId="8" borderId="5" xfId="0" applyNumberFormat="1" applyFont="1" applyFill="1" applyBorder="1" applyAlignment="1">
      <alignment horizontal="center" vertical="center"/>
    </xf>
    <xf numFmtId="0" fontId="30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center" vertical="center"/>
    </xf>
    <xf numFmtId="0" fontId="13" fillId="0" borderId="5" xfId="3" applyBorder="1" applyAlignment="1">
      <alignment horizontal="left" vertical="center"/>
    </xf>
    <xf numFmtId="0" fontId="13" fillId="8" borderId="5" xfId="3" applyFill="1" applyBorder="1" applyAlignment="1">
      <alignment horizontal="center" vertical="center"/>
    </xf>
    <xf numFmtId="176" fontId="0" fillId="0" borderId="7" xfId="0" applyNumberFormat="1" applyBorder="1" applyAlignment="1">
      <alignment horizontal="left"/>
    </xf>
    <xf numFmtId="0" fontId="0" fillId="11" borderId="5" xfId="0" applyFill="1" applyBorder="1" applyAlignment="1">
      <alignment horizontal="left" vertical="center"/>
    </xf>
    <xf numFmtId="0" fontId="0" fillId="11" borderId="5" xfId="0" applyFill="1" applyBorder="1">
      <alignment vertical="center"/>
    </xf>
    <xf numFmtId="0" fontId="30" fillId="8" borderId="5" xfId="0" applyFont="1" applyFill="1" applyBorder="1" applyAlignment="1">
      <alignment horizontal="center" vertical="center"/>
    </xf>
    <xf numFmtId="183" fontId="26" fillId="0" borderId="5" xfId="0" applyNumberFormat="1" applyFont="1" applyBorder="1" applyAlignment="1">
      <alignment horizontal="center" vertical="center"/>
    </xf>
    <xf numFmtId="176" fontId="31" fillId="0" borderId="5" xfId="0" applyNumberFormat="1" applyFont="1" applyBorder="1" applyAlignment="1">
      <alignment horizontal="center" vertical="center"/>
    </xf>
    <xf numFmtId="176" fontId="0" fillId="0" borderId="5" xfId="0" applyNumberFormat="1" applyBorder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2" fillId="0" borderId="5" xfId="0" applyFont="1" applyBorder="1">
      <alignment vertical="center"/>
    </xf>
    <xf numFmtId="176" fontId="12" fillId="0" borderId="7" xfId="0" applyNumberFormat="1" applyFont="1" applyBorder="1">
      <alignment vertical="center"/>
    </xf>
    <xf numFmtId="0" fontId="0" fillId="0" borderId="5" xfId="0" applyBorder="1" applyAlignment="1">
      <alignment horizontal="left" vertical="center" shrinkToFit="1"/>
    </xf>
    <xf numFmtId="0" fontId="13" fillId="5" borderId="5" xfId="3" applyFill="1" applyBorder="1" applyAlignment="1">
      <alignment horizontal="center" vertical="center"/>
    </xf>
    <xf numFmtId="176" fontId="0" fillId="5" borderId="5" xfId="0" applyNumberFormat="1" applyFill="1" applyBorder="1" applyAlignment="1">
      <alignment horizontal="center" vertical="center"/>
    </xf>
    <xf numFmtId="176" fontId="0" fillId="0" borderId="7" xfId="0" applyNumberFormat="1" applyBorder="1">
      <alignment vertical="center"/>
    </xf>
    <xf numFmtId="0" fontId="15" fillId="5" borderId="5" xfId="0" applyFont="1" applyFill="1" applyBorder="1" applyAlignment="1">
      <alignment horizontal="center" vertical="center"/>
    </xf>
    <xf numFmtId="0" fontId="32" fillId="5" borderId="5" xfId="3" applyFont="1" applyFill="1" applyBorder="1" applyAlignment="1">
      <alignment horizontal="center" vertical="center"/>
    </xf>
    <xf numFmtId="182" fontId="0" fillId="5" borderId="5" xfId="0" applyNumberFormat="1" applyFill="1" applyBorder="1" applyAlignment="1">
      <alignment horizontal="center" vertical="center"/>
    </xf>
    <xf numFmtId="38" fontId="0" fillId="0" borderId="5" xfId="0" applyNumberFormat="1" applyBorder="1" applyAlignment="1">
      <alignment horizontal="center" vertical="center"/>
    </xf>
    <xf numFmtId="0" fontId="32" fillId="0" borderId="5" xfId="3" applyFont="1" applyBorder="1" applyAlignment="1">
      <alignment vertical="center"/>
    </xf>
    <xf numFmtId="3" fontId="13" fillId="0" borderId="5" xfId="0" applyNumberFormat="1" applyFont="1" applyBorder="1" applyAlignment="1">
      <alignment horizontal="center" vertical="center"/>
    </xf>
    <xf numFmtId="3" fontId="0" fillId="11" borderId="5" xfId="0" applyNumberFormat="1" applyFill="1" applyBorder="1" applyAlignment="1">
      <alignment horizontal="center" vertical="center"/>
    </xf>
    <xf numFmtId="183" fontId="26" fillId="11" borderId="5" xfId="0" applyNumberFormat="1" applyFont="1" applyFill="1" applyBorder="1" applyAlignment="1">
      <alignment horizontal="right" vertical="center"/>
    </xf>
    <xf numFmtId="0" fontId="0" fillId="11" borderId="5" xfId="0" applyFill="1" applyBorder="1" applyAlignment="1">
      <alignment horizontal="right" vertical="center"/>
    </xf>
    <xf numFmtId="0" fontId="0" fillId="11" borderId="7" xfId="0" applyFill="1" applyBorder="1" applyAlignment="1">
      <alignment horizontal="center" vertical="center"/>
    </xf>
    <xf numFmtId="0" fontId="26" fillId="11" borderId="5" xfId="0" applyFont="1" applyFill="1" applyBorder="1">
      <alignment vertical="center"/>
    </xf>
    <xf numFmtId="0" fontId="0" fillId="0" borderId="7" xfId="0" applyBorder="1" applyAlignment="1">
      <alignment horizontal="right" vertical="center"/>
    </xf>
    <xf numFmtId="0" fontId="0" fillId="11" borderId="5" xfId="0" applyFill="1" applyBorder="1" applyAlignment="1">
      <alignment horizontal="center" vertical="center"/>
    </xf>
    <xf numFmtId="0" fontId="0" fillId="11" borderId="7" xfId="0" applyFill="1" applyBorder="1" applyAlignment="1">
      <alignment horizontal="right" vertical="center"/>
    </xf>
    <xf numFmtId="0" fontId="26" fillId="0" borderId="7" xfId="0" applyFont="1" applyBorder="1">
      <alignment vertical="center"/>
    </xf>
    <xf numFmtId="0" fontId="26" fillId="0" borderId="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0" xfId="0" applyFont="1" applyAlignment="1">
      <alignment vertical="center" shrinkToFit="1"/>
    </xf>
    <xf numFmtId="176" fontId="31" fillId="9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26" fillId="13" borderId="5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right" vertical="center"/>
    </xf>
    <xf numFmtId="3" fontId="14" fillId="12" borderId="5" xfId="0" applyNumberFormat="1" applyFont="1" applyFill="1" applyBorder="1" applyAlignment="1">
      <alignment horizontal="center" vertical="center"/>
    </xf>
    <xf numFmtId="176" fontId="14" fillId="12" borderId="5" xfId="0" applyNumberFormat="1" applyFont="1" applyFill="1" applyBorder="1" applyAlignment="1">
      <alignment horizontal="center" vertical="center"/>
    </xf>
    <xf numFmtId="49" fontId="14" fillId="12" borderId="5" xfId="0" applyNumberFormat="1" applyFont="1" applyFill="1" applyBorder="1" applyAlignment="1">
      <alignment horizontal="left" vertical="center"/>
    </xf>
    <xf numFmtId="0" fontId="14" fillId="12" borderId="5" xfId="0" applyFont="1" applyFill="1" applyBorder="1" applyAlignment="1">
      <alignment horizontal="center" vertical="center"/>
    </xf>
    <xf numFmtId="182" fontId="14" fillId="12" borderId="5" xfId="0" applyNumberFormat="1" applyFont="1" applyFill="1" applyBorder="1" applyAlignment="1">
      <alignment horizontal="center" vertical="center"/>
    </xf>
    <xf numFmtId="0" fontId="14" fillId="12" borderId="7" xfId="0" applyFont="1" applyFill="1" applyBorder="1" applyAlignment="1">
      <alignment horizontal="center" vertical="center"/>
    </xf>
    <xf numFmtId="49" fontId="27" fillId="12" borderId="5" xfId="0" applyNumberFormat="1" applyFont="1" applyFill="1" applyBorder="1" applyAlignment="1">
      <alignment vertical="center" shrinkToFit="1"/>
    </xf>
    <xf numFmtId="176" fontId="13" fillId="0" borderId="5" xfId="0" applyNumberFormat="1" applyFont="1" applyBorder="1" applyAlignment="1"/>
    <xf numFmtId="0" fontId="13" fillId="0" borderId="5" xfId="0" applyFont="1" applyBorder="1" applyAlignment="1">
      <alignment horizontal="left" vertical="center" shrinkToFit="1"/>
    </xf>
    <xf numFmtId="49" fontId="9" fillId="5" borderId="5" xfId="0" applyNumberFormat="1" applyFont="1" applyFill="1" applyBorder="1" applyAlignment="1">
      <alignment vertical="center" shrinkToFit="1"/>
    </xf>
    <xf numFmtId="0" fontId="13" fillId="10" borderId="5" xfId="0" applyFont="1" applyFill="1" applyBorder="1">
      <alignment vertical="center"/>
    </xf>
    <xf numFmtId="176" fontId="26" fillId="0" borderId="7" xfId="0" applyNumberFormat="1" applyFont="1" applyBorder="1">
      <alignment vertical="center"/>
    </xf>
    <xf numFmtId="0" fontId="1" fillId="0" borderId="0" xfId="2">
      <alignment vertical="center"/>
    </xf>
    <xf numFmtId="0" fontId="9" fillId="0" borderId="8" xfId="0" applyFont="1" applyBorder="1" applyAlignment="1">
      <alignment horizontal="left" vertical="center"/>
    </xf>
    <xf numFmtId="0" fontId="26" fillId="5" borderId="8" xfId="0" applyFont="1" applyFill="1" applyBorder="1" applyAlignment="1">
      <alignment horizontal="left" vertical="center"/>
    </xf>
    <xf numFmtId="0" fontId="26" fillId="5" borderId="8" xfId="0" applyFont="1" applyFill="1" applyBorder="1" applyAlignment="1">
      <alignment horizontal="center" vertical="center"/>
    </xf>
    <xf numFmtId="0" fontId="26" fillId="0" borderId="12" xfId="0" applyFont="1" applyBorder="1" applyAlignment="1">
      <alignment horizontal="left" vertical="center"/>
    </xf>
    <xf numFmtId="0" fontId="28" fillId="0" borderId="12" xfId="0" applyFont="1" applyBorder="1" applyAlignment="1">
      <alignment horizontal="left" vertical="center"/>
    </xf>
    <xf numFmtId="0" fontId="26" fillId="0" borderId="12" xfId="0" applyFont="1" applyBorder="1" applyAlignment="1">
      <alignment horizontal="center" vertical="center"/>
    </xf>
    <xf numFmtId="38" fontId="14" fillId="0" borderId="5" xfId="0" applyNumberFormat="1" applyFont="1" applyBorder="1" applyAlignment="1">
      <alignment horizontal="center" vertical="center"/>
    </xf>
    <xf numFmtId="176" fontId="27" fillId="0" borderId="5" xfId="0" applyNumberFormat="1" applyFont="1" applyBorder="1" applyAlignment="1">
      <alignment horizontal="center" vertical="center"/>
    </xf>
    <xf numFmtId="176" fontId="15" fillId="0" borderId="5" xfId="0" applyNumberFormat="1" applyFont="1" applyBorder="1">
      <alignment vertical="center"/>
    </xf>
    <xf numFmtId="0" fontId="13" fillId="5" borderId="5" xfId="0" applyFont="1" applyFill="1" applyBorder="1" applyAlignment="1">
      <alignment horizontal="left" vertical="center"/>
    </xf>
    <xf numFmtId="0" fontId="9" fillId="0" borderId="5" xfId="0" applyFont="1" applyBorder="1" applyAlignment="1">
      <alignment vertical="center" shrinkToFit="1"/>
    </xf>
    <xf numFmtId="0" fontId="26" fillId="8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3" fontId="26" fillId="7" borderId="5" xfId="0" applyNumberFormat="1" applyFont="1" applyFill="1" applyBorder="1" applyAlignment="1">
      <alignment horizontal="center" vertical="center"/>
    </xf>
    <xf numFmtId="3" fontId="26" fillId="5" borderId="5" xfId="0" applyNumberFormat="1" applyFont="1" applyFill="1" applyBorder="1" applyAlignment="1">
      <alignment horizontal="center" vertical="center"/>
    </xf>
    <xf numFmtId="0" fontId="9" fillId="5" borderId="5" xfId="0" applyFont="1" applyFill="1" applyBorder="1">
      <alignment vertical="center"/>
    </xf>
    <xf numFmtId="176" fontId="30" fillId="5" borderId="5" xfId="0" applyNumberFormat="1" applyFont="1" applyFill="1" applyBorder="1" applyAlignment="1">
      <alignment horizontal="center" vertical="center"/>
    </xf>
    <xf numFmtId="0" fontId="13" fillId="5" borderId="5" xfId="3" applyFill="1" applyBorder="1" applyAlignment="1">
      <alignment horizontal="left" vertical="center"/>
    </xf>
    <xf numFmtId="0" fontId="13" fillId="5" borderId="7" xfId="0" applyFont="1" applyFill="1" applyBorder="1">
      <alignment vertical="center"/>
    </xf>
    <xf numFmtId="0" fontId="30" fillId="5" borderId="5" xfId="0" applyFont="1" applyFill="1" applyBorder="1" applyAlignment="1">
      <alignment horizontal="center" vertical="center"/>
    </xf>
    <xf numFmtId="0" fontId="12" fillId="5" borderId="5" xfId="0" applyFont="1" applyFill="1" applyBorder="1">
      <alignment vertical="center"/>
    </xf>
    <xf numFmtId="49" fontId="9" fillId="5" borderId="5" xfId="0" applyNumberFormat="1" applyFont="1" applyFill="1" applyBorder="1" applyAlignment="1">
      <alignment horizontal="left" vertical="center" shrinkToFit="1"/>
    </xf>
    <xf numFmtId="0" fontId="13" fillId="5" borderId="5" xfId="3" applyFill="1" applyBorder="1" applyAlignment="1">
      <alignment vertical="center"/>
    </xf>
    <xf numFmtId="176" fontId="13" fillId="5" borderId="5" xfId="0" applyNumberFormat="1" applyFont="1" applyFill="1" applyBorder="1" applyAlignment="1">
      <alignment horizontal="center" vertical="center"/>
    </xf>
    <xf numFmtId="0" fontId="9" fillId="11" borderId="5" xfId="0" applyFont="1" applyFill="1" applyBorder="1">
      <alignment vertical="center"/>
    </xf>
    <xf numFmtId="3" fontId="17" fillId="3" borderId="9" xfId="0" applyNumberFormat="1" applyFont="1" applyFill="1" applyBorder="1" applyAlignment="1">
      <alignment horizontal="left" vertical="center"/>
    </xf>
    <xf numFmtId="49" fontId="26" fillId="5" borderId="5" xfId="0" applyNumberFormat="1" applyFont="1" applyFill="1" applyBorder="1" applyAlignment="1">
      <alignment horizontal="left" vertical="center"/>
    </xf>
    <xf numFmtId="3" fontId="13" fillId="5" borderId="5" xfId="0" applyNumberFormat="1" applyFont="1" applyFill="1" applyBorder="1" applyAlignment="1">
      <alignment horizontal="center" vertical="center"/>
    </xf>
    <xf numFmtId="3" fontId="0" fillId="5" borderId="8" xfId="0" applyNumberFormat="1" applyFill="1" applyBorder="1" applyAlignment="1">
      <alignment horizontal="center" vertical="center"/>
    </xf>
    <xf numFmtId="3" fontId="9" fillId="5" borderId="8" xfId="0" applyNumberFormat="1" applyFont="1" applyFill="1" applyBorder="1" applyAlignment="1">
      <alignment horizontal="center" vertical="center"/>
    </xf>
    <xf numFmtId="3" fontId="30" fillId="5" borderId="5" xfId="0" applyNumberFormat="1" applyFont="1" applyFill="1" applyBorder="1" applyAlignment="1">
      <alignment horizontal="center" vertical="center"/>
    </xf>
    <xf numFmtId="3" fontId="9" fillId="5" borderId="5" xfId="0" applyNumberFormat="1" applyFont="1" applyFill="1" applyBorder="1" applyAlignment="1">
      <alignment horizontal="center" vertical="center"/>
    </xf>
    <xf numFmtId="3" fontId="26" fillId="10" borderId="5" xfId="0" applyNumberFormat="1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26" fillId="8" borderId="8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181" fontId="13" fillId="8" borderId="5" xfId="0" applyNumberFormat="1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183" fontId="26" fillId="8" borderId="5" xfId="0" applyNumberFormat="1" applyFont="1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183" fontId="0" fillId="8" borderId="5" xfId="0" applyNumberFormat="1" applyFill="1" applyBorder="1" applyAlignment="1">
      <alignment horizontal="center" vertical="center"/>
    </xf>
    <xf numFmtId="176" fontId="0" fillId="8" borderId="5" xfId="0" applyNumberFormat="1" applyFill="1" applyBorder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0" fontId="26" fillId="8" borderId="12" xfId="0" applyFont="1" applyFill="1" applyBorder="1" applyAlignment="1">
      <alignment horizontal="center" vertical="center"/>
    </xf>
    <xf numFmtId="176" fontId="26" fillId="8" borderId="5" xfId="0" applyNumberFormat="1" applyFont="1" applyFill="1" applyBorder="1" applyAlignment="1">
      <alignment horizontal="center" vertical="center"/>
    </xf>
    <xf numFmtId="38" fontId="26" fillId="8" borderId="5" xfId="0" applyNumberFormat="1" applyFont="1" applyFill="1" applyBorder="1" applyAlignment="1">
      <alignment horizontal="center" vertical="center"/>
    </xf>
    <xf numFmtId="38" fontId="0" fillId="8" borderId="5" xfId="0" applyNumberFormat="1" applyFill="1" applyBorder="1" applyAlignment="1">
      <alignment horizontal="center" vertical="center"/>
    </xf>
    <xf numFmtId="38" fontId="26" fillId="8" borderId="9" xfId="0" applyNumberFormat="1" applyFont="1" applyFill="1" applyBorder="1" applyAlignment="1">
      <alignment horizontal="center" vertical="center"/>
    </xf>
    <xf numFmtId="176" fontId="12" fillId="8" borderId="5" xfId="0" applyNumberFormat="1" applyFont="1" applyFill="1" applyBorder="1" applyAlignment="1">
      <alignment horizontal="center" vertical="center"/>
    </xf>
    <xf numFmtId="176" fontId="30" fillId="8" borderId="5" xfId="0" applyNumberFormat="1" applyFont="1" applyFill="1" applyBorder="1" applyAlignment="1">
      <alignment horizontal="center" vertical="center"/>
    </xf>
    <xf numFmtId="176" fontId="13" fillId="8" borderId="5" xfId="0" applyNumberFormat="1" applyFont="1" applyFill="1" applyBorder="1" applyAlignment="1">
      <alignment horizontal="center" vertical="center"/>
    </xf>
    <xf numFmtId="180" fontId="0" fillId="8" borderId="5" xfId="0" applyNumberForma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176" fontId="26" fillId="10" borderId="5" xfId="0" applyNumberFormat="1" applyFont="1" applyFill="1" applyBorder="1" applyAlignment="1">
      <alignment horizontal="center" vertical="center"/>
    </xf>
    <xf numFmtId="176" fontId="0" fillId="10" borderId="5" xfId="0" applyNumberFormat="1" applyFill="1" applyBorder="1" applyAlignment="1">
      <alignment horizontal="center" vertical="center"/>
    </xf>
    <xf numFmtId="176" fontId="12" fillId="10" borderId="5" xfId="0" applyNumberFormat="1" applyFont="1" applyFill="1" applyBorder="1" applyAlignment="1">
      <alignment horizontal="center" vertical="center"/>
    </xf>
    <xf numFmtId="0" fontId="34" fillId="0" borderId="0" xfId="4" applyFont="1">
      <alignment vertic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10" borderId="0" xfId="0" applyFill="1" applyAlignment="1">
      <alignment horizontal="right" vertical="center"/>
    </xf>
    <xf numFmtId="0" fontId="35" fillId="0" borderId="0" xfId="4" applyFont="1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3" fontId="17" fillId="3" borderId="7" xfId="0" applyNumberFormat="1" applyFont="1" applyFill="1" applyBorder="1" applyAlignment="1">
      <alignment horizontal="center" vertical="center"/>
    </xf>
    <xf numFmtId="3" fontId="17" fillId="3" borderId="10" xfId="0" applyNumberFormat="1" applyFont="1" applyFill="1" applyBorder="1" applyAlignment="1">
      <alignment horizontal="center" vertical="center"/>
    </xf>
    <xf numFmtId="3" fontId="17" fillId="3" borderId="9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shrinkToFit="1"/>
    </xf>
    <xf numFmtId="0" fontId="36" fillId="0" borderId="11" xfId="0" applyFont="1" applyBorder="1" applyAlignment="1">
      <alignment horizontal="center" vertical="center"/>
    </xf>
    <xf numFmtId="3" fontId="23" fillId="3" borderId="7" xfId="0" applyNumberFormat="1" applyFont="1" applyFill="1" applyBorder="1" applyAlignment="1">
      <alignment horizontal="center" vertical="center"/>
    </xf>
    <xf numFmtId="3" fontId="23" fillId="3" borderId="10" xfId="0" applyNumberFormat="1" applyFont="1" applyFill="1" applyBorder="1" applyAlignment="1">
      <alignment horizontal="center" vertical="center"/>
    </xf>
    <xf numFmtId="3" fontId="23" fillId="3" borderId="9" xfId="0" applyNumberFormat="1" applyFont="1" applyFill="1" applyBorder="1" applyAlignment="1">
      <alignment horizontal="center" vertical="center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notaro.com/p/7580/9354/?cq_plt=bp&amp;cq_net=o&amp;utm_source=bing&amp;utm_medium=cpc&amp;utm_campaign=180698424_424835292&amp;utm_content=1353500415386533&amp;utm_term=b_84594239413666_dat-2336393490182574:loc-96&amp;msclkid=a6a07e4dc70b157432b6187018b2ab7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6F3B-9B80-4BCF-A87A-05CFAAA4DF67}">
  <sheetPr>
    <tabColor rgb="FFFFC000"/>
  </sheetPr>
  <dimension ref="A2:R121"/>
  <sheetViews>
    <sheetView tabSelected="1" zoomScale="81" zoomScaleNormal="81" workbookViewId="0">
      <pane xSplit="11" ySplit="9" topLeftCell="P25" activePane="bottomRight" state="frozen"/>
      <selection activeCell="D26" sqref="D26"/>
      <selection pane="topRight" activeCell="D26" sqref="D26"/>
      <selection pane="bottomLeft" activeCell="D26" sqref="D26"/>
      <selection pane="bottomRight" activeCell="R32" sqref="R32:R34"/>
    </sheetView>
  </sheetViews>
  <sheetFormatPr defaultColWidth="11.875" defaultRowHeight="13.5" customHeight="1" x14ac:dyDescent="0.15"/>
  <cols>
    <col min="1" max="1" width="12.125" customWidth="1"/>
    <col min="2" max="2" width="17" customWidth="1"/>
    <col min="3" max="3" width="6.125" style="3" customWidth="1"/>
    <col min="4" max="4" width="15.125" customWidth="1"/>
    <col min="5" max="5" width="15.5" customWidth="1"/>
    <col min="6" max="6" width="71.5" customWidth="1"/>
    <col min="7" max="7" width="10.875" style="3" customWidth="1"/>
    <col min="8" max="9" width="12.125" style="3" customWidth="1"/>
    <col min="10" max="10" width="7.125" style="12" customWidth="1"/>
    <col min="11" max="11" width="50.5" customWidth="1"/>
    <col min="12" max="12" width="18.875" customWidth="1"/>
    <col min="13" max="13" width="22.5" style="3" customWidth="1"/>
    <col min="14" max="14" width="17" style="3" customWidth="1"/>
    <col min="15" max="15" width="7.875" customWidth="1"/>
    <col min="16" max="16" width="16.375" style="3" customWidth="1"/>
    <col min="17" max="17" width="17.875" style="30" customWidth="1"/>
    <col min="18" max="18" width="19.375" style="260" customWidth="1"/>
  </cols>
  <sheetData>
    <row r="2" spans="1:18" ht="20.100000000000001" customHeight="1" x14ac:dyDescent="0.15">
      <c r="C2" s="268" t="s">
        <v>0</v>
      </c>
      <c r="D2" s="268"/>
      <c r="E2" s="268"/>
      <c r="F2" s="21" t="s">
        <v>37</v>
      </c>
      <c r="H2" s="269" t="s">
        <v>1</v>
      </c>
      <c r="I2" s="270"/>
      <c r="J2" s="271"/>
      <c r="K2" s="11">
        <f>SUM(I:I)</f>
        <v>120122</v>
      </c>
    </row>
    <row r="3" spans="1:18" ht="20.100000000000001" customHeight="1" x14ac:dyDescent="0.15">
      <c r="C3" s="268" t="s">
        <v>2</v>
      </c>
      <c r="D3" s="268"/>
      <c r="E3" s="268"/>
      <c r="F3" s="9" t="s">
        <v>38</v>
      </c>
    </row>
    <row r="4" spans="1:18" ht="20.100000000000001" customHeight="1" x14ac:dyDescent="0.15">
      <c r="C4" s="268" t="s">
        <v>3</v>
      </c>
      <c r="D4" s="268"/>
      <c r="E4" s="268"/>
      <c r="F4" s="9" t="s">
        <v>39</v>
      </c>
      <c r="H4" s="272" t="s">
        <v>44</v>
      </c>
      <c r="I4" s="272"/>
      <c r="J4" s="272"/>
      <c r="K4" s="272"/>
      <c r="L4" s="33"/>
    </row>
    <row r="5" spans="1:18" ht="20.100000000000001" customHeight="1" x14ac:dyDescent="0.15">
      <c r="C5" s="268" t="s">
        <v>4</v>
      </c>
      <c r="D5" s="268"/>
      <c r="E5" s="268"/>
      <c r="F5" s="10">
        <v>45434</v>
      </c>
      <c r="G5" s="273" t="s">
        <v>43</v>
      </c>
      <c r="H5" s="272"/>
      <c r="I5" s="272"/>
      <c r="J5" s="272"/>
      <c r="K5" s="272"/>
    </row>
    <row r="6" spans="1:18" ht="20.100000000000001" customHeight="1" x14ac:dyDescent="0.15">
      <c r="C6" s="268" t="s">
        <v>5</v>
      </c>
      <c r="D6" s="268"/>
      <c r="E6" s="268"/>
      <c r="F6" s="10">
        <v>45435</v>
      </c>
      <c r="G6" s="273"/>
      <c r="I6" s="35"/>
      <c r="K6" s="254" t="s">
        <v>191</v>
      </c>
    </row>
    <row r="7" spans="1:18" ht="20.100000000000001" customHeight="1" x14ac:dyDescent="0.15">
      <c r="C7" s="255"/>
      <c r="D7" s="255"/>
      <c r="E7" s="255"/>
      <c r="F7" s="256"/>
      <c r="G7" s="257"/>
      <c r="I7" s="35"/>
      <c r="J7" s="258"/>
      <c r="K7" s="259" t="s">
        <v>192</v>
      </c>
    </row>
    <row r="9" spans="1:18" s="3" customFormat="1" ht="19.5" customHeight="1" x14ac:dyDescent="0.15">
      <c r="B9" s="41" t="s">
        <v>25</v>
      </c>
      <c r="C9" s="40" t="s">
        <v>6</v>
      </c>
      <c r="D9" s="4" t="s">
        <v>7</v>
      </c>
      <c r="E9" s="4" t="s">
        <v>8</v>
      </c>
      <c r="F9" s="1" t="s">
        <v>9</v>
      </c>
      <c r="G9" s="1" t="s">
        <v>10</v>
      </c>
      <c r="H9" s="1" t="s">
        <v>11</v>
      </c>
      <c r="I9" s="2" t="s">
        <v>12</v>
      </c>
      <c r="J9" s="2" t="s">
        <v>13</v>
      </c>
      <c r="K9" s="1" t="s">
        <v>14</v>
      </c>
      <c r="L9" s="1" t="s">
        <v>15</v>
      </c>
      <c r="M9" s="1" t="s">
        <v>16</v>
      </c>
      <c r="N9" s="14" t="s">
        <v>17</v>
      </c>
      <c r="O9" s="4" t="s">
        <v>18</v>
      </c>
      <c r="P9" s="1" t="s">
        <v>19</v>
      </c>
      <c r="Q9" s="14" t="s">
        <v>20</v>
      </c>
      <c r="R9" s="261" t="s">
        <v>21</v>
      </c>
    </row>
    <row r="10" spans="1:18" s="3" customFormat="1" ht="19.5" customHeight="1" x14ac:dyDescent="0.15">
      <c r="B10" s="23"/>
      <c r="C10" s="25"/>
      <c r="D10" s="25"/>
      <c r="E10" s="25"/>
      <c r="F10" s="37"/>
      <c r="G10" s="36"/>
      <c r="H10" s="18"/>
      <c r="I10" s="18"/>
      <c r="J10" s="13"/>
      <c r="K10" s="19"/>
      <c r="L10" s="1"/>
      <c r="M10" s="1"/>
      <c r="N10" s="14"/>
      <c r="O10" s="4"/>
      <c r="P10" s="2"/>
      <c r="Q10" s="44"/>
      <c r="R10" s="27"/>
    </row>
    <row r="11" spans="1:18" s="3" customFormat="1" ht="19.5" customHeight="1" x14ac:dyDescent="0.15">
      <c r="B11" s="23"/>
      <c r="C11" s="25"/>
      <c r="D11" s="76"/>
      <c r="E11" s="77"/>
      <c r="F11" s="222" t="s">
        <v>45</v>
      </c>
      <c r="G11" s="36"/>
      <c r="H11" s="18"/>
      <c r="I11" s="18"/>
      <c r="J11" s="13"/>
      <c r="K11" s="19"/>
      <c r="L11" s="1"/>
      <c r="M11" s="1"/>
      <c r="N11" s="14"/>
      <c r="O11" s="4"/>
      <c r="P11" s="2"/>
      <c r="Q11" s="44"/>
      <c r="R11" s="27"/>
    </row>
    <row r="12" spans="1:18" s="3" customFormat="1" ht="19.5" customHeight="1" x14ac:dyDescent="0.15">
      <c r="A12" s="88" t="s">
        <v>66</v>
      </c>
      <c r="B12" s="88"/>
      <c r="C12" s="85">
        <v>1</v>
      </c>
      <c r="D12" s="71" t="s">
        <v>47</v>
      </c>
      <c r="E12" s="71" t="s">
        <v>47</v>
      </c>
      <c r="F12" s="92" t="s">
        <v>63</v>
      </c>
      <c r="G12" s="93">
        <v>1</v>
      </c>
      <c r="H12" s="94">
        <v>1070</v>
      </c>
      <c r="I12" s="91">
        <f>G12*H12</f>
        <v>1070</v>
      </c>
      <c r="J12" s="95"/>
      <c r="K12" s="101" t="s">
        <v>64</v>
      </c>
      <c r="L12" s="84"/>
      <c r="M12" s="249" t="s">
        <v>190</v>
      </c>
      <c r="N12" s="14">
        <v>45423</v>
      </c>
      <c r="O12" s="4"/>
      <c r="P12" s="239">
        <v>45434</v>
      </c>
      <c r="Q12" s="44">
        <v>45435</v>
      </c>
      <c r="R12" s="27">
        <v>45435</v>
      </c>
    </row>
    <row r="13" spans="1:18" s="3" customFormat="1" ht="19.5" customHeight="1" x14ac:dyDescent="0.15">
      <c r="A13" s="129" t="s">
        <v>110</v>
      </c>
      <c r="B13" s="88"/>
      <c r="C13" s="85">
        <f t="shared" ref="C13:C14" si="0">+C12+1</f>
        <v>2</v>
      </c>
      <c r="D13" s="71" t="s">
        <v>47</v>
      </c>
      <c r="E13" s="71" t="s">
        <v>47</v>
      </c>
      <c r="F13" s="79" t="s">
        <v>159</v>
      </c>
      <c r="G13" s="80">
        <v>4</v>
      </c>
      <c r="H13" s="81">
        <v>1280</v>
      </c>
      <c r="I13" s="91">
        <f>G13*H13</f>
        <v>5120</v>
      </c>
      <c r="J13" s="82"/>
      <c r="K13" s="83" t="s">
        <v>171</v>
      </c>
      <c r="L13" s="84"/>
      <c r="M13" s="249" t="s">
        <v>190</v>
      </c>
      <c r="N13" s="14">
        <v>45423</v>
      </c>
      <c r="O13" s="4"/>
      <c r="P13" s="239">
        <v>45434</v>
      </c>
      <c r="Q13" s="44">
        <v>45435</v>
      </c>
      <c r="R13" s="27">
        <v>45435</v>
      </c>
    </row>
    <row r="14" spans="1:18" s="3" customFormat="1" ht="19.5" customHeight="1" x14ac:dyDescent="0.15">
      <c r="A14" s="129" t="s">
        <v>129</v>
      </c>
      <c r="B14" s="88"/>
      <c r="C14" s="85">
        <f t="shared" si="0"/>
        <v>3</v>
      </c>
      <c r="D14" s="229" t="s">
        <v>160</v>
      </c>
      <c r="E14" s="230" t="s">
        <v>163</v>
      </c>
      <c r="F14" s="193" t="s">
        <v>161</v>
      </c>
      <c r="G14" s="250">
        <v>1</v>
      </c>
      <c r="H14" s="251">
        <v>1490</v>
      </c>
      <c r="I14" s="251">
        <f t="shared" ref="I14" si="1">G14*H14</f>
        <v>1490</v>
      </c>
      <c r="J14" s="194"/>
      <c r="K14" s="101" t="s">
        <v>162</v>
      </c>
      <c r="L14" s="195" t="s">
        <v>164</v>
      </c>
      <c r="M14" s="1">
        <v>63876</v>
      </c>
      <c r="N14" s="14">
        <v>45425</v>
      </c>
      <c r="O14" s="4"/>
      <c r="P14" s="239">
        <v>45440</v>
      </c>
      <c r="Q14" s="44">
        <v>45435</v>
      </c>
      <c r="R14" s="27">
        <v>45428</v>
      </c>
    </row>
    <row r="15" spans="1:18" s="3" customFormat="1" ht="19.5" customHeight="1" x14ac:dyDescent="0.15">
      <c r="A15" s="88" t="s">
        <v>66</v>
      </c>
      <c r="B15" s="88"/>
      <c r="C15" s="85">
        <f>+C14+1</f>
        <v>4</v>
      </c>
      <c r="D15" s="71" t="s">
        <v>47</v>
      </c>
      <c r="E15" s="71" t="s">
        <v>47</v>
      </c>
      <c r="F15" s="197" t="s">
        <v>172</v>
      </c>
      <c r="G15" s="231">
        <v>1</v>
      </c>
      <c r="H15" s="198">
        <v>1450</v>
      </c>
      <c r="I15" s="91">
        <f>G15*H15</f>
        <v>1450</v>
      </c>
      <c r="J15" s="199"/>
      <c r="K15" s="200" t="s">
        <v>173</v>
      </c>
      <c r="L15" s="84"/>
      <c r="M15" s="249" t="s">
        <v>190</v>
      </c>
      <c r="N15" s="14">
        <v>45423</v>
      </c>
      <c r="O15" s="4"/>
      <c r="P15" s="239">
        <v>45434</v>
      </c>
      <c r="Q15" s="44">
        <v>45435</v>
      </c>
      <c r="R15" s="27">
        <v>45435</v>
      </c>
    </row>
    <row r="16" spans="1:18" s="3" customFormat="1" ht="19.5" customHeight="1" x14ac:dyDescent="0.15">
      <c r="A16" s="23"/>
      <c r="B16" s="23"/>
      <c r="C16" s="57"/>
      <c r="D16" s="57"/>
      <c r="E16" s="78"/>
      <c r="F16" s="196"/>
      <c r="G16" s="84"/>
      <c r="H16" s="84"/>
      <c r="I16" s="201"/>
      <c r="J16" s="82"/>
      <c r="K16" s="83"/>
      <c r="L16" s="84"/>
      <c r="M16" s="1"/>
      <c r="N16" s="14"/>
      <c r="O16" s="4"/>
      <c r="P16" s="2"/>
      <c r="Q16" s="44"/>
      <c r="R16" s="27"/>
    </row>
    <row r="17" spans="1:18" s="3" customFormat="1" ht="19.5" customHeight="1" x14ac:dyDescent="0.15">
      <c r="A17" s="88" t="s">
        <v>65</v>
      </c>
      <c r="B17" s="88"/>
      <c r="C17" s="85">
        <f>+C15+1</f>
        <v>5</v>
      </c>
      <c r="D17" s="225" t="s">
        <v>46</v>
      </c>
      <c r="E17" s="226" t="s">
        <v>47</v>
      </c>
      <c r="F17" s="79" t="s">
        <v>170</v>
      </c>
      <c r="G17" s="80">
        <v>1</v>
      </c>
      <c r="H17" s="81">
        <v>11092</v>
      </c>
      <c r="I17" s="240">
        <f t="shared" ref="I17:I18" si="2">G17*H17</f>
        <v>11092</v>
      </c>
      <c r="J17" s="82"/>
      <c r="K17" s="83" t="s">
        <v>165</v>
      </c>
      <c r="L17" s="84"/>
      <c r="M17" s="249" t="s">
        <v>190</v>
      </c>
      <c r="N17" s="14">
        <v>45423</v>
      </c>
      <c r="O17" s="4"/>
      <c r="P17" s="239">
        <v>45434</v>
      </c>
      <c r="Q17" s="44">
        <v>45435</v>
      </c>
      <c r="R17" s="27">
        <v>45435</v>
      </c>
    </row>
    <row r="18" spans="1:18" s="3" customFormat="1" ht="19.5" customHeight="1" x14ac:dyDescent="0.15">
      <c r="A18" s="88" t="s">
        <v>66</v>
      </c>
      <c r="B18" s="88"/>
      <c r="C18" s="85">
        <f>+C17+1</f>
        <v>6</v>
      </c>
      <c r="D18" s="211" t="s">
        <v>47</v>
      </c>
      <c r="E18" s="211" t="s">
        <v>47</v>
      </c>
      <c r="F18" s="86" t="s">
        <v>61</v>
      </c>
      <c r="G18" s="87">
        <v>4</v>
      </c>
      <c r="H18" s="88">
        <v>155</v>
      </c>
      <c r="I18" s="91">
        <f t="shared" si="2"/>
        <v>620</v>
      </c>
      <c r="J18" s="89"/>
      <c r="K18" s="89" t="s">
        <v>62</v>
      </c>
      <c r="L18" s="84"/>
      <c r="M18" s="249" t="s">
        <v>190</v>
      </c>
      <c r="N18" s="14">
        <v>45423</v>
      </c>
      <c r="O18" s="4"/>
      <c r="P18" s="239">
        <v>45434</v>
      </c>
      <c r="Q18" s="44">
        <v>45435</v>
      </c>
      <c r="R18" s="27">
        <v>45435</v>
      </c>
    </row>
    <row r="19" spans="1:18" s="3" customFormat="1" ht="19.5" customHeight="1" x14ac:dyDescent="0.15">
      <c r="A19" s="88" t="s">
        <v>66</v>
      </c>
      <c r="B19" s="88"/>
      <c r="C19" s="85">
        <f t="shared" ref="C19" si="3">+C18+1</f>
        <v>7</v>
      </c>
      <c r="D19" s="211" t="s">
        <v>47</v>
      </c>
      <c r="E19" s="211" t="s">
        <v>47</v>
      </c>
      <c r="F19" s="86" t="s">
        <v>48</v>
      </c>
      <c r="G19" s="87">
        <v>4</v>
      </c>
      <c r="H19" s="88">
        <v>155</v>
      </c>
      <c r="I19" s="91">
        <f>G19*H19</f>
        <v>620</v>
      </c>
      <c r="J19" s="89"/>
      <c r="K19" s="89" t="s">
        <v>49</v>
      </c>
      <c r="L19" s="84"/>
      <c r="M19" s="249" t="s">
        <v>190</v>
      </c>
      <c r="N19" s="14">
        <v>45423</v>
      </c>
      <c r="O19" s="4"/>
      <c r="P19" s="239">
        <v>45434</v>
      </c>
      <c r="Q19" s="44">
        <v>45435</v>
      </c>
      <c r="R19" s="27">
        <v>45435</v>
      </c>
    </row>
    <row r="20" spans="1:18" s="3" customFormat="1" ht="19.5" customHeight="1" x14ac:dyDescent="0.15">
      <c r="A20" s="88" t="s">
        <v>66</v>
      </c>
      <c r="B20" s="88"/>
      <c r="C20" s="85">
        <f>+C19+1</f>
        <v>8</v>
      </c>
      <c r="D20" s="211" t="s">
        <v>47</v>
      </c>
      <c r="E20" s="211" t="s">
        <v>47</v>
      </c>
      <c r="F20" s="98" t="s">
        <v>166</v>
      </c>
      <c r="G20" s="104">
        <v>10</v>
      </c>
      <c r="H20" s="99">
        <v>29</v>
      </c>
      <c r="I20" s="241">
        <f t="shared" ref="I20" si="4">G20*H20</f>
        <v>290</v>
      </c>
      <c r="J20" s="100"/>
      <c r="K20" s="100" t="s">
        <v>167</v>
      </c>
      <c r="L20" s="84"/>
      <c r="M20" s="249" t="s">
        <v>190</v>
      </c>
      <c r="N20" s="14">
        <v>45423</v>
      </c>
      <c r="O20" s="4"/>
      <c r="P20" s="239">
        <v>45434</v>
      </c>
      <c r="Q20" s="44">
        <v>45435</v>
      </c>
      <c r="R20" s="27">
        <v>45435</v>
      </c>
    </row>
    <row r="21" spans="1:18" s="3" customFormat="1" ht="19.5" customHeight="1" x14ac:dyDescent="0.15">
      <c r="A21" s="23"/>
      <c r="B21" s="23"/>
      <c r="C21" s="57"/>
      <c r="D21" s="57"/>
      <c r="E21" s="78"/>
      <c r="F21" s="196"/>
      <c r="G21" s="84"/>
      <c r="H21" s="84"/>
      <c r="I21" s="201"/>
      <c r="J21" s="82"/>
      <c r="K21" s="83"/>
      <c r="L21" s="84"/>
      <c r="M21" s="1"/>
      <c r="N21" s="14"/>
      <c r="O21" s="4"/>
      <c r="P21" s="2"/>
      <c r="Q21" s="44"/>
      <c r="R21" s="27"/>
    </row>
    <row r="22" spans="1:18" s="3" customFormat="1" ht="19.5" customHeight="1" x14ac:dyDescent="0.15">
      <c r="A22" s="88" t="s">
        <v>65</v>
      </c>
      <c r="B22" s="88"/>
      <c r="C22" s="85">
        <f>+C20+1</f>
        <v>9</v>
      </c>
      <c r="D22" s="71" t="s">
        <v>46</v>
      </c>
      <c r="E22" s="71" t="s">
        <v>47</v>
      </c>
      <c r="F22" s="86" t="s">
        <v>169</v>
      </c>
      <c r="G22" s="87">
        <v>1</v>
      </c>
      <c r="H22" s="88">
        <v>11498</v>
      </c>
      <c r="I22" s="91">
        <f>G22*H22</f>
        <v>11498</v>
      </c>
      <c r="J22" s="89"/>
      <c r="K22" s="51" t="s">
        <v>168</v>
      </c>
      <c r="L22" s="23"/>
      <c r="M22" s="249" t="s">
        <v>190</v>
      </c>
      <c r="N22" s="14">
        <v>45423</v>
      </c>
      <c r="O22" s="4"/>
      <c r="P22" s="239">
        <v>45434</v>
      </c>
      <c r="Q22" s="44">
        <v>45435</v>
      </c>
      <c r="R22" s="27">
        <v>45435</v>
      </c>
    </row>
    <row r="23" spans="1:18" s="3" customFormat="1" ht="19.5" customHeight="1" x14ac:dyDescent="0.15">
      <c r="A23" s="88" t="s">
        <v>66</v>
      </c>
      <c r="B23" s="88"/>
      <c r="C23" s="85">
        <f>+C22+1</f>
        <v>10</v>
      </c>
      <c r="D23" s="211" t="s">
        <v>47</v>
      </c>
      <c r="E23" s="211" t="s">
        <v>47</v>
      </c>
      <c r="F23" s="96" t="s">
        <v>51</v>
      </c>
      <c r="G23" s="87">
        <v>2</v>
      </c>
      <c r="H23" s="88">
        <v>156</v>
      </c>
      <c r="I23" s="91">
        <f>G23*H23</f>
        <v>312</v>
      </c>
      <c r="J23" s="89"/>
      <c r="K23" s="89" t="s">
        <v>52</v>
      </c>
      <c r="L23" s="70" t="s">
        <v>53</v>
      </c>
      <c r="M23" s="249" t="s">
        <v>190</v>
      </c>
      <c r="N23" s="14">
        <v>45423</v>
      </c>
      <c r="O23" s="4"/>
      <c r="P23" s="239">
        <v>45434</v>
      </c>
      <c r="Q23" s="44">
        <v>45435</v>
      </c>
      <c r="R23" s="27">
        <v>45435</v>
      </c>
    </row>
    <row r="24" spans="1:18" s="3" customFormat="1" ht="19.5" customHeight="1" x14ac:dyDescent="0.15">
      <c r="A24" s="88" t="s">
        <v>66</v>
      </c>
      <c r="B24" s="88"/>
      <c r="C24" s="85">
        <f>+C23+1</f>
        <v>11</v>
      </c>
      <c r="D24" s="211" t="s">
        <v>47</v>
      </c>
      <c r="E24" s="211" t="s">
        <v>47</v>
      </c>
      <c r="F24" s="98" t="s">
        <v>54</v>
      </c>
      <c r="G24" s="93">
        <v>10</v>
      </c>
      <c r="H24" s="99">
        <v>29</v>
      </c>
      <c r="I24" s="91">
        <f>G24*H24</f>
        <v>290</v>
      </c>
      <c r="J24" s="100"/>
      <c r="K24" s="100" t="s">
        <v>55</v>
      </c>
      <c r="L24" s="101" t="s">
        <v>56</v>
      </c>
      <c r="M24" s="249" t="s">
        <v>190</v>
      </c>
      <c r="N24" s="14">
        <v>45423</v>
      </c>
      <c r="O24" s="4"/>
      <c r="P24" s="239">
        <v>45434</v>
      </c>
      <c r="Q24" s="44">
        <v>45435</v>
      </c>
      <c r="R24" s="27">
        <v>45435</v>
      </c>
    </row>
    <row r="25" spans="1:18" s="3" customFormat="1" ht="19.5" customHeight="1" x14ac:dyDescent="0.15">
      <c r="A25" s="88" t="s">
        <v>66</v>
      </c>
      <c r="B25" s="88"/>
      <c r="C25" s="85">
        <f>+C24+1</f>
        <v>12</v>
      </c>
      <c r="D25" s="211" t="s">
        <v>47</v>
      </c>
      <c r="E25" s="211" t="s">
        <v>47</v>
      </c>
      <c r="F25" s="102" t="s">
        <v>57</v>
      </c>
      <c r="G25" s="93">
        <v>10</v>
      </c>
      <c r="H25" s="94">
        <v>25</v>
      </c>
      <c r="I25" s="242">
        <f>G25*H25</f>
        <v>250</v>
      </c>
      <c r="J25" s="101"/>
      <c r="K25" s="101" t="s">
        <v>58</v>
      </c>
      <c r="L25" s="103" t="s">
        <v>59</v>
      </c>
      <c r="M25" s="249" t="s">
        <v>190</v>
      </c>
      <c r="N25" s="14">
        <v>45423</v>
      </c>
      <c r="O25" s="4"/>
      <c r="P25" s="239">
        <v>45434</v>
      </c>
      <c r="Q25" s="44">
        <v>45435</v>
      </c>
      <c r="R25" s="27">
        <v>45435</v>
      </c>
    </row>
    <row r="26" spans="1:18" s="3" customFormat="1" ht="19.5" customHeight="1" x14ac:dyDescent="0.15">
      <c r="A26" s="88" t="s">
        <v>66</v>
      </c>
      <c r="B26" s="88"/>
      <c r="C26" s="85">
        <f>+C25+1</f>
        <v>13</v>
      </c>
      <c r="D26" s="211" t="s">
        <v>47</v>
      </c>
      <c r="E26" s="211" t="s">
        <v>47</v>
      </c>
      <c r="F26" s="96" t="s">
        <v>60</v>
      </c>
      <c r="G26" s="104">
        <v>1</v>
      </c>
      <c r="H26" s="99">
        <v>250</v>
      </c>
      <c r="I26" s="91">
        <f>G26*H26</f>
        <v>250</v>
      </c>
      <c r="J26" s="100"/>
      <c r="K26" s="100" t="s">
        <v>50</v>
      </c>
      <c r="L26" s="70" t="s">
        <v>56</v>
      </c>
      <c r="M26" s="249" t="s">
        <v>190</v>
      </c>
      <c r="N26" s="14">
        <v>45423</v>
      </c>
      <c r="O26" s="4"/>
      <c r="P26" s="239">
        <v>45434</v>
      </c>
      <c r="Q26" s="44">
        <v>45435</v>
      </c>
      <c r="R26" s="27">
        <v>45435</v>
      </c>
    </row>
    <row r="27" spans="1:18" s="3" customFormat="1" ht="19.5" customHeight="1" x14ac:dyDescent="0.15">
      <c r="B27" s="23"/>
      <c r="C27" s="25"/>
      <c r="D27" s="49"/>
      <c r="E27" s="49"/>
      <c r="F27" s="66"/>
      <c r="G27" s="31"/>
      <c r="H27" s="31"/>
      <c r="I27" s="67"/>
      <c r="J27" s="105"/>
      <c r="K27" s="100"/>
      <c r="L27" s="106"/>
      <c r="M27" s="1"/>
      <c r="N27" s="14"/>
      <c r="O27" s="4"/>
      <c r="P27" s="2"/>
      <c r="Q27" s="44"/>
      <c r="R27" s="27"/>
    </row>
    <row r="28" spans="1:18" s="3" customFormat="1" ht="19.5" customHeight="1" x14ac:dyDescent="0.15">
      <c r="B28" s="23"/>
      <c r="C28" s="25"/>
      <c r="D28" s="25"/>
      <c r="E28" s="25"/>
      <c r="F28" s="107">
        <f>SUM(I12:I27)</f>
        <v>34352</v>
      </c>
      <c r="G28" s="23"/>
      <c r="H28" s="23"/>
      <c r="I28" s="24"/>
      <c r="J28" s="89"/>
      <c r="K28" s="23"/>
      <c r="L28" s="23"/>
      <c r="M28" s="1"/>
      <c r="N28" s="14"/>
      <c r="O28" s="4"/>
      <c r="P28" s="2"/>
      <c r="Q28" s="44"/>
      <c r="R28" s="27"/>
    </row>
    <row r="29" spans="1:18" s="3" customFormat="1" ht="19.5" customHeight="1" x14ac:dyDescent="0.15">
      <c r="B29" s="23"/>
      <c r="C29" s="25"/>
      <c r="D29" s="25"/>
      <c r="E29" s="25"/>
      <c r="F29" s="37"/>
      <c r="G29" s="36"/>
      <c r="H29" s="18"/>
      <c r="I29" s="18"/>
      <c r="J29" s="13"/>
      <c r="K29" s="19"/>
      <c r="L29" s="1"/>
      <c r="M29" s="1"/>
      <c r="N29" s="14"/>
      <c r="O29" s="4"/>
      <c r="P29" s="2"/>
      <c r="Q29" s="44"/>
      <c r="R29" s="27"/>
    </row>
    <row r="30" spans="1:18" s="3" customFormat="1" ht="19.5" customHeight="1" x14ac:dyDescent="0.15">
      <c r="B30" s="23"/>
      <c r="C30" s="25"/>
      <c r="D30" s="25"/>
      <c r="E30" s="25"/>
      <c r="F30" s="37"/>
      <c r="G30" s="36"/>
      <c r="H30" s="18"/>
      <c r="I30" s="18"/>
      <c r="J30" s="13"/>
      <c r="K30" s="19"/>
      <c r="L30" s="1"/>
      <c r="M30" s="1"/>
      <c r="N30" s="14"/>
      <c r="O30" s="4"/>
      <c r="P30" s="2"/>
      <c r="Q30" s="44"/>
      <c r="R30" s="27"/>
    </row>
    <row r="31" spans="1:18" s="3" customFormat="1" ht="19.5" customHeight="1" x14ac:dyDescent="0.15">
      <c r="B31" s="23"/>
      <c r="C31" s="108"/>
      <c r="D31" s="265" t="s">
        <v>68</v>
      </c>
      <c r="E31" s="266"/>
      <c r="F31" s="267"/>
      <c r="G31" s="109"/>
      <c r="H31" s="18"/>
      <c r="I31" s="18"/>
      <c r="J31" s="7"/>
      <c r="K31" s="17"/>
      <c r="L31" s="1"/>
      <c r="M31" s="1"/>
      <c r="N31" s="14"/>
      <c r="O31" s="4"/>
      <c r="P31" s="2"/>
      <c r="Q31" s="44"/>
      <c r="R31" s="27"/>
    </row>
    <row r="32" spans="1:18" s="3" customFormat="1" ht="19.5" customHeight="1" x14ac:dyDescent="0.15">
      <c r="A32" s="129" t="s">
        <v>83</v>
      </c>
      <c r="B32" s="88"/>
      <c r="C32" s="110">
        <f>+C26+1</f>
        <v>14</v>
      </c>
      <c r="D32" s="111" t="s">
        <v>69</v>
      </c>
      <c r="E32" s="111" t="s">
        <v>69</v>
      </c>
      <c r="F32" s="112" t="s">
        <v>70</v>
      </c>
      <c r="G32" s="113">
        <v>1</v>
      </c>
      <c r="H32" s="114">
        <v>7800</v>
      </c>
      <c r="I32" s="114">
        <f t="shared" ref="I32:I39" si="5">G32*H32</f>
        <v>7800</v>
      </c>
      <c r="J32" s="97"/>
      <c r="K32" s="103" t="s">
        <v>70</v>
      </c>
      <c r="L32" s="115" t="s">
        <v>71</v>
      </c>
      <c r="M32" s="1">
        <v>63873</v>
      </c>
      <c r="N32" s="14">
        <v>45425</v>
      </c>
      <c r="O32" s="4"/>
      <c r="P32" s="239">
        <v>45440</v>
      </c>
      <c r="Q32" s="44">
        <v>45439</v>
      </c>
      <c r="R32" s="27">
        <v>45439</v>
      </c>
    </row>
    <row r="33" spans="1:18" s="3" customFormat="1" ht="19.5" customHeight="1" x14ac:dyDescent="0.15">
      <c r="A33" s="129" t="s">
        <v>83</v>
      </c>
      <c r="B33" s="88"/>
      <c r="C33" s="116">
        <f t="shared" ref="C33:C39" si="6">+C32+1</f>
        <v>15</v>
      </c>
      <c r="D33" s="111" t="s">
        <v>69</v>
      </c>
      <c r="E33" s="111" t="s">
        <v>69</v>
      </c>
      <c r="F33" s="112" t="s">
        <v>72</v>
      </c>
      <c r="G33" s="113">
        <v>1</v>
      </c>
      <c r="H33" s="114">
        <v>3500</v>
      </c>
      <c r="I33" s="114">
        <f t="shared" si="5"/>
        <v>3500</v>
      </c>
      <c r="J33" s="97"/>
      <c r="K33" s="103" t="s">
        <v>72</v>
      </c>
      <c r="L33" s="115" t="s">
        <v>71</v>
      </c>
      <c r="M33" s="1">
        <v>63873</v>
      </c>
      <c r="N33" s="14">
        <v>45425</v>
      </c>
      <c r="O33" s="4"/>
      <c r="P33" s="239">
        <v>45440</v>
      </c>
      <c r="Q33" s="44">
        <v>45439</v>
      </c>
      <c r="R33" s="27">
        <v>45439</v>
      </c>
    </row>
    <row r="34" spans="1:18" s="3" customFormat="1" ht="19.5" customHeight="1" x14ac:dyDescent="0.15">
      <c r="A34" s="129" t="s">
        <v>83</v>
      </c>
      <c r="B34" s="88"/>
      <c r="C34" s="116">
        <f t="shared" si="6"/>
        <v>16</v>
      </c>
      <c r="D34" s="111" t="s">
        <v>69</v>
      </c>
      <c r="E34" s="111" t="s">
        <v>69</v>
      </c>
      <c r="F34" s="112" t="s">
        <v>73</v>
      </c>
      <c r="G34" s="113">
        <v>1</v>
      </c>
      <c r="H34" s="114">
        <v>4700</v>
      </c>
      <c r="I34" s="114">
        <f t="shared" si="5"/>
        <v>4700</v>
      </c>
      <c r="J34" s="97"/>
      <c r="K34" s="103" t="s">
        <v>73</v>
      </c>
      <c r="L34" s="115" t="s">
        <v>71</v>
      </c>
      <c r="M34" s="1">
        <v>63873</v>
      </c>
      <c r="N34" s="14">
        <v>45425</v>
      </c>
      <c r="O34" s="4"/>
      <c r="P34" s="239">
        <v>45440</v>
      </c>
      <c r="Q34" s="44">
        <v>45439</v>
      </c>
      <c r="R34" s="27">
        <v>45439</v>
      </c>
    </row>
    <row r="35" spans="1:18" s="3" customFormat="1" ht="19.5" customHeight="1" x14ac:dyDescent="0.15">
      <c r="A35" s="69"/>
      <c r="B35" s="23"/>
      <c r="C35" s="116">
        <f t="shared" si="6"/>
        <v>17</v>
      </c>
      <c r="D35" s="111" t="s">
        <v>69</v>
      </c>
      <c r="E35" s="111" t="s">
        <v>69</v>
      </c>
      <c r="F35" s="112" t="s">
        <v>74</v>
      </c>
      <c r="G35" s="113">
        <v>1</v>
      </c>
      <c r="H35" s="114">
        <v>1000</v>
      </c>
      <c r="I35" s="114">
        <f t="shared" si="5"/>
        <v>1000</v>
      </c>
      <c r="J35" s="97"/>
      <c r="K35" s="103"/>
      <c r="L35" s="1"/>
      <c r="M35" s="1">
        <v>63873</v>
      </c>
      <c r="N35" s="14">
        <v>45425</v>
      </c>
      <c r="O35" s="4"/>
      <c r="P35" s="239">
        <v>45440</v>
      </c>
      <c r="Q35" s="44">
        <v>45439</v>
      </c>
      <c r="R35" s="27">
        <v>45439</v>
      </c>
    </row>
    <row r="36" spans="1:18" s="3" customFormat="1" ht="19.5" customHeight="1" x14ac:dyDescent="0.15">
      <c r="A36" s="129" t="s">
        <v>110</v>
      </c>
      <c r="B36" s="88"/>
      <c r="C36" s="116">
        <f t="shared" si="6"/>
        <v>18</v>
      </c>
      <c r="D36" s="71" t="s">
        <v>47</v>
      </c>
      <c r="E36" s="71" t="s">
        <v>47</v>
      </c>
      <c r="F36" s="117" t="s">
        <v>75</v>
      </c>
      <c r="G36" s="87">
        <v>1</v>
      </c>
      <c r="H36" s="118">
        <v>930</v>
      </c>
      <c r="I36" s="243">
        <f t="shared" si="5"/>
        <v>930</v>
      </c>
      <c r="J36" s="24"/>
      <c r="K36" s="119" t="s">
        <v>76</v>
      </c>
      <c r="L36" s="1"/>
      <c r="M36" s="249" t="s">
        <v>190</v>
      </c>
      <c r="N36" s="14">
        <v>45423</v>
      </c>
      <c r="O36" s="4"/>
      <c r="P36" s="239">
        <v>45434</v>
      </c>
      <c r="Q36" s="44">
        <v>45435</v>
      </c>
      <c r="R36" s="27">
        <v>45435</v>
      </c>
    </row>
    <row r="37" spans="1:18" s="3" customFormat="1" ht="19.5" customHeight="1" x14ac:dyDescent="0.15">
      <c r="A37" s="88" t="s">
        <v>66</v>
      </c>
      <c r="B37" s="88"/>
      <c r="C37" s="116">
        <f t="shared" si="6"/>
        <v>19</v>
      </c>
      <c r="D37" s="71" t="s">
        <v>47</v>
      </c>
      <c r="E37" s="71" t="s">
        <v>47</v>
      </c>
      <c r="F37" s="117" t="s">
        <v>77</v>
      </c>
      <c r="G37" s="87">
        <v>1</v>
      </c>
      <c r="H37" s="118">
        <v>750</v>
      </c>
      <c r="I37" s="243">
        <f t="shared" si="5"/>
        <v>750</v>
      </c>
      <c r="J37" s="24"/>
      <c r="K37" s="22" t="s">
        <v>78</v>
      </c>
      <c r="L37" s="1"/>
      <c r="M37" s="249" t="s">
        <v>190</v>
      </c>
      <c r="N37" s="14">
        <v>45423</v>
      </c>
      <c r="O37" s="4"/>
      <c r="P37" s="239">
        <v>45434</v>
      </c>
      <c r="Q37" s="44">
        <v>45435</v>
      </c>
      <c r="R37" s="27">
        <v>45435</v>
      </c>
    </row>
    <row r="38" spans="1:18" s="3" customFormat="1" ht="19.5" customHeight="1" x14ac:dyDescent="0.15">
      <c r="A38" s="88" t="s">
        <v>66</v>
      </c>
      <c r="B38" s="88"/>
      <c r="C38" s="116">
        <f t="shared" si="6"/>
        <v>20</v>
      </c>
      <c r="D38" s="211" t="s">
        <v>47</v>
      </c>
      <c r="E38" s="211" t="s">
        <v>47</v>
      </c>
      <c r="F38" s="102" t="s">
        <v>79</v>
      </c>
      <c r="G38" s="91">
        <v>10</v>
      </c>
      <c r="H38" s="120">
        <v>35</v>
      </c>
      <c r="I38" s="242">
        <f t="shared" si="5"/>
        <v>350</v>
      </c>
      <c r="J38" s="97"/>
      <c r="K38" s="103" t="s">
        <v>80</v>
      </c>
      <c r="L38" s="1"/>
      <c r="M38" s="249" t="s">
        <v>190</v>
      </c>
      <c r="N38" s="14">
        <v>45423</v>
      </c>
      <c r="O38" s="4"/>
      <c r="P38" s="239">
        <v>45434</v>
      </c>
      <c r="Q38" s="44">
        <v>45435</v>
      </c>
      <c r="R38" s="27">
        <v>45435</v>
      </c>
    </row>
    <row r="39" spans="1:18" s="3" customFormat="1" ht="19.5" customHeight="1" x14ac:dyDescent="0.15">
      <c r="A39" s="88" t="s">
        <v>66</v>
      </c>
      <c r="B39" s="88"/>
      <c r="C39" s="116">
        <f t="shared" si="6"/>
        <v>21</v>
      </c>
      <c r="D39" s="211" t="s">
        <v>47</v>
      </c>
      <c r="E39" s="211" t="s">
        <v>47</v>
      </c>
      <c r="F39" s="102" t="s">
        <v>81</v>
      </c>
      <c r="G39" s="91">
        <v>6</v>
      </c>
      <c r="H39" s="120">
        <v>92</v>
      </c>
      <c r="I39" s="244">
        <f t="shared" si="5"/>
        <v>552</v>
      </c>
      <c r="J39" s="97"/>
      <c r="K39" s="103" t="s">
        <v>82</v>
      </c>
      <c r="L39" s="1"/>
      <c r="M39" s="249" t="s">
        <v>190</v>
      </c>
      <c r="N39" s="14">
        <v>45423</v>
      </c>
      <c r="O39" s="4"/>
      <c r="P39" s="239">
        <v>45434</v>
      </c>
      <c r="Q39" s="44">
        <v>45435</v>
      </c>
      <c r="R39" s="27">
        <v>45435</v>
      </c>
    </row>
    <row r="40" spans="1:18" s="3" customFormat="1" ht="19.5" customHeight="1" x14ac:dyDescent="0.15">
      <c r="B40" s="23"/>
      <c r="C40" s="121"/>
      <c r="D40" s="4"/>
      <c r="E40" s="122"/>
      <c r="F40" s="123"/>
      <c r="G40" s="64"/>
      <c r="H40" s="64"/>
      <c r="I40" s="64"/>
      <c r="J40" s="124"/>
      <c r="K40" s="19"/>
      <c r="L40" s="1"/>
      <c r="M40" s="1"/>
      <c r="N40" s="14"/>
      <c r="O40" s="4"/>
      <c r="P40" s="2"/>
      <c r="Q40" s="44"/>
      <c r="R40" s="27"/>
    </row>
    <row r="41" spans="1:18" s="3" customFormat="1" ht="19.5" customHeight="1" x14ac:dyDescent="0.15">
      <c r="B41" s="23"/>
      <c r="C41" s="1"/>
      <c r="D41" s="4"/>
      <c r="E41" s="4"/>
      <c r="F41" s="125">
        <f>SUM(I32:I39)</f>
        <v>19582</v>
      </c>
      <c r="G41" s="126"/>
      <c r="H41" s="127"/>
      <c r="I41" s="127"/>
      <c r="J41" s="128"/>
      <c r="K41" s="17"/>
      <c r="L41" s="1"/>
      <c r="M41" s="1"/>
      <c r="N41" s="14"/>
      <c r="O41" s="4"/>
      <c r="P41" s="2"/>
      <c r="Q41" s="44"/>
      <c r="R41" s="27"/>
    </row>
    <row r="42" spans="1:18" s="3" customFormat="1" ht="19.5" customHeight="1" x14ac:dyDescent="0.15">
      <c r="B42" s="23"/>
      <c r="C42" s="25"/>
      <c r="D42" s="25"/>
      <c r="E42" s="25"/>
      <c r="F42" s="37"/>
      <c r="G42" s="36"/>
      <c r="H42" s="18"/>
      <c r="I42" s="18"/>
      <c r="J42" s="13"/>
      <c r="K42" s="19"/>
      <c r="L42" s="1"/>
      <c r="M42" s="1"/>
      <c r="N42" s="14"/>
      <c r="O42" s="4"/>
      <c r="P42" s="2"/>
      <c r="Q42" s="44"/>
      <c r="R42" s="27"/>
    </row>
    <row r="43" spans="1:18" s="3" customFormat="1" ht="19.5" customHeight="1" x14ac:dyDescent="0.15">
      <c r="B43" s="23"/>
      <c r="C43" s="25"/>
      <c r="D43" s="25"/>
      <c r="E43" s="25"/>
      <c r="F43" s="37"/>
      <c r="G43" s="36"/>
      <c r="H43" s="18"/>
      <c r="I43" s="18"/>
      <c r="J43" s="13"/>
      <c r="K43" s="19"/>
      <c r="L43" s="1"/>
      <c r="M43" s="1"/>
      <c r="N43" s="14"/>
      <c r="O43" s="4"/>
      <c r="P43" s="2"/>
      <c r="Q43" s="44"/>
      <c r="R43" s="27"/>
    </row>
    <row r="44" spans="1:18" s="3" customFormat="1" ht="19.5" customHeight="1" x14ac:dyDescent="0.15">
      <c r="B44" s="23"/>
      <c r="C44" s="25"/>
      <c r="D44" s="265" t="s">
        <v>111</v>
      </c>
      <c r="E44" s="266"/>
      <c r="F44" s="267"/>
      <c r="G44" s="23"/>
      <c r="H44" s="23"/>
      <c r="I44" s="24"/>
      <c r="J44" s="24"/>
      <c r="K44" s="23"/>
      <c r="L44" s="1"/>
      <c r="M44" s="1"/>
      <c r="N44" s="14"/>
      <c r="O44" s="4"/>
      <c r="P44" s="2"/>
      <c r="Q44" s="44"/>
      <c r="R44" s="27"/>
    </row>
    <row r="45" spans="1:18" s="3" customFormat="1" ht="19.5" customHeight="1" x14ac:dyDescent="0.15">
      <c r="A45" s="88" t="s">
        <v>110</v>
      </c>
      <c r="B45" s="88"/>
      <c r="C45" s="210">
        <f>+C39+1</f>
        <v>22</v>
      </c>
      <c r="D45" s="71" t="s">
        <v>46</v>
      </c>
      <c r="E45" s="71" t="s">
        <v>47</v>
      </c>
      <c r="F45" s="217" t="s">
        <v>112</v>
      </c>
      <c r="G45" s="232">
        <v>1</v>
      </c>
      <c r="H45" s="159">
        <v>2620</v>
      </c>
      <c r="I45" s="245">
        <f>G45*H45</f>
        <v>2620</v>
      </c>
      <c r="J45" s="156"/>
      <c r="K45" s="157" t="s">
        <v>113</v>
      </c>
      <c r="L45" s="1"/>
      <c r="M45" s="249" t="s">
        <v>190</v>
      </c>
      <c r="N45" s="14">
        <v>45423</v>
      </c>
      <c r="O45" s="4"/>
      <c r="P45" s="239">
        <v>45434</v>
      </c>
      <c r="Q45" s="44">
        <v>45435</v>
      </c>
      <c r="R45" s="27">
        <v>45435</v>
      </c>
    </row>
    <row r="46" spans="1:18" s="3" customFormat="1" ht="19.5" customHeight="1" x14ac:dyDescent="0.15">
      <c r="A46" s="88" t="s">
        <v>110</v>
      </c>
      <c r="B46" s="88"/>
      <c r="C46" s="210">
        <f t="shared" ref="C46:C53" si="7">+C45+1</f>
        <v>23</v>
      </c>
      <c r="D46" s="71" t="s">
        <v>46</v>
      </c>
      <c r="E46" s="71" t="s">
        <v>47</v>
      </c>
      <c r="F46" s="217" t="s">
        <v>114</v>
      </c>
      <c r="G46" s="232">
        <v>1</v>
      </c>
      <c r="H46" s="159">
        <v>2600</v>
      </c>
      <c r="I46" s="245">
        <f>G46*H46</f>
        <v>2600</v>
      </c>
      <c r="J46" s="156"/>
      <c r="K46" s="157" t="s">
        <v>115</v>
      </c>
      <c r="L46" s="1"/>
      <c r="M46" s="249" t="s">
        <v>190</v>
      </c>
      <c r="N46" s="14">
        <v>45423</v>
      </c>
      <c r="O46" s="4"/>
      <c r="P46" s="239">
        <v>45434</v>
      </c>
      <c r="Q46" s="44">
        <v>45435</v>
      </c>
      <c r="R46" s="27">
        <v>45435</v>
      </c>
    </row>
    <row r="47" spans="1:18" s="3" customFormat="1" ht="19.5" customHeight="1" x14ac:dyDescent="0.15">
      <c r="A47" s="129" t="s">
        <v>157</v>
      </c>
      <c r="B47" s="88"/>
      <c r="C47" s="210">
        <f t="shared" si="7"/>
        <v>24</v>
      </c>
      <c r="D47" s="71" t="s">
        <v>46</v>
      </c>
      <c r="E47" s="71" t="s">
        <v>47</v>
      </c>
      <c r="F47" s="218" t="s">
        <v>116</v>
      </c>
      <c r="G47" s="145">
        <v>1</v>
      </c>
      <c r="H47" s="159">
        <v>4500</v>
      </c>
      <c r="I47" s="238">
        <f t="shared" ref="I47:I51" si="8">G47*H47</f>
        <v>4500</v>
      </c>
      <c r="J47" s="160"/>
      <c r="K47" s="157" t="s">
        <v>117</v>
      </c>
      <c r="L47" s="1"/>
      <c r="M47" s="249" t="s">
        <v>190</v>
      </c>
      <c r="N47" s="14">
        <v>45423</v>
      </c>
      <c r="O47" s="4"/>
      <c r="P47" s="239">
        <v>45434</v>
      </c>
      <c r="Q47" s="44">
        <v>45435</v>
      </c>
      <c r="R47" s="27">
        <v>45435</v>
      </c>
    </row>
    <row r="48" spans="1:18" s="3" customFormat="1" ht="19.5" customHeight="1" x14ac:dyDescent="0.15">
      <c r="A48" s="88" t="s">
        <v>66</v>
      </c>
      <c r="B48" s="88"/>
      <c r="C48" s="210">
        <f t="shared" si="7"/>
        <v>25</v>
      </c>
      <c r="D48" s="88" t="s">
        <v>47</v>
      </c>
      <c r="E48" s="88" t="s">
        <v>47</v>
      </c>
      <c r="F48" s="219" t="s">
        <v>118</v>
      </c>
      <c r="G48" s="149">
        <v>4</v>
      </c>
      <c r="H48" s="158">
        <v>70</v>
      </c>
      <c r="I48" s="246">
        <f t="shared" si="8"/>
        <v>280</v>
      </c>
      <c r="J48" s="24"/>
      <c r="K48" s="28" t="s">
        <v>119</v>
      </c>
      <c r="L48" s="1"/>
      <c r="M48" s="249" t="s">
        <v>190</v>
      </c>
      <c r="N48" s="14">
        <v>45423</v>
      </c>
      <c r="O48" s="4"/>
      <c r="P48" s="239">
        <v>45434</v>
      </c>
      <c r="Q48" s="44">
        <v>45435</v>
      </c>
      <c r="R48" s="27">
        <v>45435</v>
      </c>
    </row>
    <row r="49" spans="1:18" s="3" customFormat="1" ht="19.5" customHeight="1" x14ac:dyDescent="0.15">
      <c r="A49" s="88" t="s">
        <v>66</v>
      </c>
      <c r="B49" s="88"/>
      <c r="C49" s="210">
        <f>+C48+1</f>
        <v>26</v>
      </c>
      <c r="D49" s="71" t="s">
        <v>47</v>
      </c>
      <c r="E49" s="71" t="s">
        <v>47</v>
      </c>
      <c r="F49" s="217" t="s">
        <v>120</v>
      </c>
      <c r="G49" s="232">
        <v>4</v>
      </c>
      <c r="H49" s="159">
        <v>155</v>
      </c>
      <c r="I49" s="245">
        <f t="shared" si="8"/>
        <v>620</v>
      </c>
      <c r="J49" s="156"/>
      <c r="K49" s="155" t="s">
        <v>121</v>
      </c>
      <c r="L49" s="1"/>
      <c r="M49" s="249" t="s">
        <v>190</v>
      </c>
      <c r="N49" s="14">
        <v>45423</v>
      </c>
      <c r="O49" s="4"/>
      <c r="P49" s="239">
        <v>45434</v>
      </c>
      <c r="Q49" s="44">
        <v>45435</v>
      </c>
      <c r="R49" s="27">
        <v>45435</v>
      </c>
    </row>
    <row r="50" spans="1:18" s="3" customFormat="1" ht="19.5" customHeight="1" x14ac:dyDescent="0.15">
      <c r="A50" s="88" t="s">
        <v>66</v>
      </c>
      <c r="B50" s="88"/>
      <c r="C50" s="210">
        <f t="shared" si="7"/>
        <v>27</v>
      </c>
      <c r="D50" s="71" t="s">
        <v>47</v>
      </c>
      <c r="E50" s="71" t="s">
        <v>47</v>
      </c>
      <c r="F50" s="133" t="s">
        <v>89</v>
      </c>
      <c r="G50" s="87">
        <v>2</v>
      </c>
      <c r="H50" s="163">
        <v>72</v>
      </c>
      <c r="I50" s="243">
        <f t="shared" si="8"/>
        <v>144</v>
      </c>
      <c r="J50" s="24"/>
      <c r="K50" s="22" t="s">
        <v>90</v>
      </c>
      <c r="L50" s="1"/>
      <c r="M50" s="249" t="s">
        <v>190</v>
      </c>
      <c r="N50" s="14">
        <v>45423</v>
      </c>
      <c r="O50" s="4"/>
      <c r="P50" s="239">
        <v>45434</v>
      </c>
      <c r="Q50" s="44">
        <v>45435</v>
      </c>
      <c r="R50" s="27">
        <v>45435</v>
      </c>
    </row>
    <row r="51" spans="1:18" s="3" customFormat="1" ht="19.5" customHeight="1" x14ac:dyDescent="0.15">
      <c r="A51" s="88" t="s">
        <v>66</v>
      </c>
      <c r="B51" s="88"/>
      <c r="C51" s="210">
        <f t="shared" si="7"/>
        <v>28</v>
      </c>
      <c r="D51" s="71" t="s">
        <v>47</v>
      </c>
      <c r="E51" s="71" t="s">
        <v>47</v>
      </c>
      <c r="F51" s="133" t="s">
        <v>98</v>
      </c>
      <c r="G51" s="87">
        <v>2</v>
      </c>
      <c r="H51" s="163">
        <v>31</v>
      </c>
      <c r="I51" s="243">
        <f t="shared" si="8"/>
        <v>62</v>
      </c>
      <c r="J51" s="24"/>
      <c r="K51" s="22" t="s">
        <v>99</v>
      </c>
      <c r="L51" s="1"/>
      <c r="M51" s="249" t="s">
        <v>190</v>
      </c>
      <c r="N51" s="14">
        <v>45423</v>
      </c>
      <c r="O51" s="4"/>
      <c r="P51" s="239">
        <v>45434</v>
      </c>
      <c r="Q51" s="44">
        <v>45435</v>
      </c>
      <c r="R51" s="27">
        <v>45435</v>
      </c>
    </row>
    <row r="52" spans="1:18" s="3" customFormat="1" ht="19.5" customHeight="1" x14ac:dyDescent="0.15">
      <c r="A52" s="88" t="s">
        <v>66</v>
      </c>
      <c r="B52" s="88"/>
      <c r="C52" s="210">
        <f>+C51+1</f>
        <v>29</v>
      </c>
      <c r="D52" s="224" t="s">
        <v>47</v>
      </c>
      <c r="E52" s="224" t="s">
        <v>47</v>
      </c>
      <c r="F52" s="98" t="s">
        <v>123</v>
      </c>
      <c r="G52" s="233">
        <v>1</v>
      </c>
      <c r="H52" s="220">
        <v>830</v>
      </c>
      <c r="I52" s="247">
        <f>G52*H52</f>
        <v>830</v>
      </c>
      <c r="J52" s="190"/>
      <c r="K52" s="191" t="s">
        <v>124</v>
      </c>
      <c r="L52" s="1"/>
      <c r="M52" s="249" t="s">
        <v>190</v>
      </c>
      <c r="N52" s="14">
        <v>45423</v>
      </c>
      <c r="O52" s="4"/>
      <c r="P52" s="239">
        <v>45434</v>
      </c>
      <c r="Q52" s="44">
        <v>45435</v>
      </c>
      <c r="R52" s="27">
        <v>45435</v>
      </c>
    </row>
    <row r="53" spans="1:18" s="3" customFormat="1" ht="19.5" customHeight="1" x14ac:dyDescent="0.15">
      <c r="A53" s="88" t="s">
        <v>66</v>
      </c>
      <c r="B53" s="88"/>
      <c r="C53" s="210">
        <f t="shared" si="7"/>
        <v>30</v>
      </c>
      <c r="D53" s="224" t="s">
        <v>47</v>
      </c>
      <c r="E53" s="224" t="s">
        <v>47</v>
      </c>
      <c r="F53" s="98" t="s">
        <v>125</v>
      </c>
      <c r="G53" s="233">
        <v>1</v>
      </c>
      <c r="H53" s="220">
        <v>1350</v>
      </c>
      <c r="I53" s="247">
        <f>G53*H53</f>
        <v>1350</v>
      </c>
      <c r="J53" s="190"/>
      <c r="K53" s="191" t="s">
        <v>124</v>
      </c>
      <c r="L53" s="1"/>
      <c r="M53" s="249" t="s">
        <v>190</v>
      </c>
      <c r="N53" s="14">
        <v>45423</v>
      </c>
      <c r="O53" s="4"/>
      <c r="P53" s="239">
        <v>45434</v>
      </c>
      <c r="Q53" s="44">
        <v>45435</v>
      </c>
      <c r="R53" s="27">
        <v>45435</v>
      </c>
    </row>
    <row r="54" spans="1:18" s="3" customFormat="1" ht="19.5" customHeight="1" x14ac:dyDescent="0.15">
      <c r="B54" s="23"/>
      <c r="C54" s="25"/>
      <c r="D54" s="23"/>
      <c r="E54" s="23"/>
      <c r="F54" s="28"/>
      <c r="G54" s="143"/>
      <c r="H54" s="165"/>
      <c r="I54" s="204"/>
      <c r="J54" s="24"/>
      <c r="K54" s="28"/>
      <c r="L54" s="1"/>
      <c r="M54" s="1"/>
      <c r="N54" s="14"/>
      <c r="O54" s="4"/>
      <c r="P54" s="2"/>
      <c r="Q54" s="44"/>
      <c r="R54" s="27"/>
    </row>
    <row r="55" spans="1:18" s="3" customFormat="1" ht="19.5" customHeight="1" x14ac:dyDescent="0.15">
      <c r="B55" s="23"/>
      <c r="C55" s="25"/>
      <c r="D55" s="166"/>
      <c r="E55" s="166"/>
      <c r="F55" s="70"/>
      <c r="G55" s="23"/>
      <c r="H55" s="64"/>
      <c r="I55" s="132"/>
      <c r="J55" s="24"/>
      <c r="K55" s="142"/>
      <c r="L55" s="1"/>
      <c r="M55" s="1"/>
      <c r="N55" s="14"/>
      <c r="O55" s="4"/>
      <c r="P55" s="2"/>
      <c r="Q55" s="44"/>
      <c r="R55" s="27"/>
    </row>
    <row r="56" spans="1:18" s="3" customFormat="1" ht="19.5" customHeight="1" x14ac:dyDescent="0.15">
      <c r="B56" s="23"/>
      <c r="C56" s="25"/>
      <c r="D56" s="167"/>
      <c r="E56" s="167"/>
      <c r="F56" s="107">
        <f>SUM(I45:I55)</f>
        <v>13006</v>
      </c>
      <c r="G56" s="168"/>
      <c r="H56" s="169"/>
      <c r="I56" s="132">
        <f>G56*H56</f>
        <v>0</v>
      </c>
      <c r="J56" s="170"/>
      <c r="K56" s="171"/>
      <c r="L56" s="1"/>
      <c r="M56" s="1"/>
      <c r="N56" s="14"/>
      <c r="O56" s="4"/>
      <c r="P56" s="2"/>
      <c r="Q56" s="44"/>
      <c r="R56" s="27"/>
    </row>
    <row r="57" spans="1:18" s="3" customFormat="1" ht="19.5" customHeight="1" x14ac:dyDescent="0.15">
      <c r="B57" s="23"/>
      <c r="C57" s="25"/>
      <c r="D57" s="25"/>
      <c r="E57" s="25"/>
      <c r="F57" s="37"/>
      <c r="G57" s="36"/>
      <c r="H57" s="18"/>
      <c r="I57" s="18"/>
      <c r="J57" s="13"/>
      <c r="K57" s="19"/>
      <c r="L57" s="1"/>
      <c r="M57" s="1"/>
      <c r="N57" s="14"/>
      <c r="O57" s="4"/>
      <c r="P57" s="2"/>
      <c r="Q57" s="44"/>
      <c r="R57" s="27"/>
    </row>
    <row r="58" spans="1:18" s="3" customFormat="1" ht="19.5" customHeight="1" x14ac:dyDescent="0.15">
      <c r="B58" s="23"/>
      <c r="C58" s="25"/>
      <c r="D58" s="25"/>
      <c r="E58" s="25"/>
      <c r="F58" s="206"/>
      <c r="G58" s="36"/>
      <c r="H58" s="18"/>
      <c r="I58" s="18"/>
      <c r="J58" s="13"/>
      <c r="K58" s="19"/>
      <c r="L58" s="1"/>
      <c r="M58" s="1"/>
      <c r="N58" s="14"/>
      <c r="O58" s="4"/>
      <c r="P58" s="2"/>
      <c r="Q58" s="44"/>
      <c r="R58" s="27"/>
    </row>
    <row r="59" spans="1:18" s="3" customFormat="1" ht="19.5" customHeight="1" x14ac:dyDescent="0.15">
      <c r="A59" s="154"/>
      <c r="B59" s="23"/>
      <c r="C59" s="25"/>
      <c r="D59" s="265" t="s">
        <v>175</v>
      </c>
      <c r="E59" s="266"/>
      <c r="F59" s="267"/>
      <c r="G59" s="36"/>
      <c r="H59" s="18"/>
      <c r="I59" s="18"/>
      <c r="J59" s="13"/>
      <c r="K59" s="19"/>
      <c r="L59" s="1"/>
      <c r="M59" s="1"/>
      <c r="N59" s="14"/>
      <c r="O59" s="4"/>
      <c r="P59" s="2"/>
      <c r="Q59" s="44"/>
      <c r="R59" s="27"/>
    </row>
    <row r="60" spans="1:18" s="3" customFormat="1" ht="19.5" customHeight="1" x14ac:dyDescent="0.15">
      <c r="A60" s="153" t="s">
        <v>110</v>
      </c>
      <c r="B60" s="88"/>
      <c r="C60" s="85">
        <f>+C53+1</f>
        <v>31</v>
      </c>
      <c r="D60" s="71" t="s">
        <v>46</v>
      </c>
      <c r="E60" s="71" t="s">
        <v>47</v>
      </c>
      <c r="F60" s="96" t="s">
        <v>180</v>
      </c>
      <c r="G60" s="87">
        <v>1</v>
      </c>
      <c r="H60" s="88">
        <v>3056</v>
      </c>
      <c r="I60" s="238">
        <f t="shared" ref="I60:I62" si="9">G60*H60</f>
        <v>3056</v>
      </c>
      <c r="J60" s="89"/>
      <c r="K60" s="60" t="s">
        <v>177</v>
      </c>
      <c r="L60" s="1"/>
      <c r="M60" s="249" t="s">
        <v>190</v>
      </c>
      <c r="N60" s="14">
        <v>45423</v>
      </c>
      <c r="O60" s="4"/>
      <c r="P60" s="239">
        <v>45434</v>
      </c>
      <c r="Q60" s="44">
        <v>45435</v>
      </c>
      <c r="R60" s="27">
        <v>45435</v>
      </c>
    </row>
    <row r="61" spans="1:18" s="3" customFormat="1" ht="19.5" customHeight="1" x14ac:dyDescent="0.15">
      <c r="A61" s="88" t="s">
        <v>66</v>
      </c>
      <c r="B61" s="88"/>
      <c r="C61" s="85">
        <f t="shared" ref="C61:C65" si="10">+C60+1</f>
        <v>32</v>
      </c>
      <c r="D61" s="71" t="s">
        <v>47</v>
      </c>
      <c r="E61" s="71" t="s">
        <v>47</v>
      </c>
      <c r="F61" s="133" t="s">
        <v>89</v>
      </c>
      <c r="G61" s="87">
        <v>2</v>
      </c>
      <c r="H61" s="163">
        <v>72</v>
      </c>
      <c r="I61" s="243">
        <f t="shared" si="9"/>
        <v>144</v>
      </c>
      <c r="J61" s="89"/>
      <c r="K61" s="22" t="s">
        <v>90</v>
      </c>
      <c r="L61" s="1"/>
      <c r="M61" s="249" t="s">
        <v>190</v>
      </c>
      <c r="N61" s="14">
        <v>45423</v>
      </c>
      <c r="O61" s="4"/>
      <c r="P61" s="239">
        <v>45434</v>
      </c>
      <c r="Q61" s="44">
        <v>45435</v>
      </c>
      <c r="R61" s="27">
        <v>45435</v>
      </c>
    </row>
    <row r="62" spans="1:18" s="3" customFormat="1" ht="19.5" customHeight="1" x14ac:dyDescent="0.15">
      <c r="A62" s="88" t="s">
        <v>66</v>
      </c>
      <c r="B62" s="88"/>
      <c r="C62" s="85">
        <f t="shared" si="10"/>
        <v>33</v>
      </c>
      <c r="D62" s="71" t="s">
        <v>47</v>
      </c>
      <c r="E62" s="71" t="s">
        <v>47</v>
      </c>
      <c r="F62" s="117" t="s">
        <v>98</v>
      </c>
      <c r="G62" s="87">
        <v>2</v>
      </c>
      <c r="H62" s="163">
        <v>31</v>
      </c>
      <c r="I62" s="243">
        <f t="shared" si="9"/>
        <v>62</v>
      </c>
      <c r="J62" s="89"/>
      <c r="K62" s="22" t="s">
        <v>99</v>
      </c>
      <c r="L62" s="1"/>
      <c r="M62" s="249" t="s">
        <v>190</v>
      </c>
      <c r="N62" s="14">
        <v>45423</v>
      </c>
      <c r="O62" s="4"/>
      <c r="P62" s="239">
        <v>45434</v>
      </c>
      <c r="Q62" s="44">
        <v>45435</v>
      </c>
      <c r="R62" s="27">
        <v>45435</v>
      </c>
    </row>
    <row r="63" spans="1:18" s="3" customFormat="1" ht="19.5" customHeight="1" x14ac:dyDescent="0.15">
      <c r="A63" s="88" t="s">
        <v>66</v>
      </c>
      <c r="B63" s="88"/>
      <c r="C63" s="85">
        <f t="shared" si="10"/>
        <v>34</v>
      </c>
      <c r="D63" s="211" t="s">
        <v>47</v>
      </c>
      <c r="E63" s="211" t="s">
        <v>47</v>
      </c>
      <c r="F63" s="86" t="s">
        <v>176</v>
      </c>
      <c r="G63" s="87">
        <v>4</v>
      </c>
      <c r="H63" s="88">
        <v>155</v>
      </c>
      <c r="I63" s="91">
        <f>G63*H63</f>
        <v>620</v>
      </c>
      <c r="J63" s="89"/>
      <c r="K63" s="89" t="s">
        <v>49</v>
      </c>
      <c r="L63" s="1"/>
      <c r="M63" s="249" t="s">
        <v>190</v>
      </c>
      <c r="N63" s="14">
        <v>45423</v>
      </c>
      <c r="O63" s="4"/>
      <c r="P63" s="239">
        <v>45434</v>
      </c>
      <c r="Q63" s="44">
        <v>45435</v>
      </c>
      <c r="R63" s="27">
        <v>45435</v>
      </c>
    </row>
    <row r="64" spans="1:18" s="3" customFormat="1" ht="19.5" customHeight="1" x14ac:dyDescent="0.15">
      <c r="A64" s="88" t="s">
        <v>66</v>
      </c>
      <c r="B64" s="88"/>
      <c r="C64" s="85">
        <f t="shared" si="10"/>
        <v>35</v>
      </c>
      <c r="D64" s="211" t="s">
        <v>47</v>
      </c>
      <c r="E64" s="211" t="s">
        <v>47</v>
      </c>
      <c r="F64" s="102" t="s">
        <v>181</v>
      </c>
      <c r="G64" s="91">
        <v>10</v>
      </c>
      <c r="H64" s="120">
        <v>25</v>
      </c>
      <c r="I64" s="242">
        <f>G64*H64</f>
        <v>250</v>
      </c>
      <c r="J64" s="97"/>
      <c r="K64" s="103" t="s">
        <v>109</v>
      </c>
      <c r="L64" s="1"/>
      <c r="M64" s="249" t="s">
        <v>190</v>
      </c>
      <c r="N64" s="14">
        <v>45423</v>
      </c>
      <c r="O64" s="4"/>
      <c r="P64" s="239">
        <v>45434</v>
      </c>
      <c r="Q64" s="44">
        <v>45435</v>
      </c>
      <c r="R64" s="27">
        <v>45435</v>
      </c>
    </row>
    <row r="65" spans="1:18" s="3" customFormat="1" ht="19.5" customHeight="1" x14ac:dyDescent="0.15">
      <c r="A65" s="88" t="s">
        <v>66</v>
      </c>
      <c r="B65" s="88"/>
      <c r="C65" s="85">
        <f t="shared" si="10"/>
        <v>36</v>
      </c>
      <c r="D65" s="211" t="s">
        <v>47</v>
      </c>
      <c r="E65" s="211" t="s">
        <v>47</v>
      </c>
      <c r="F65" s="102" t="s">
        <v>178</v>
      </c>
      <c r="G65" s="207">
        <v>2</v>
      </c>
      <c r="H65" s="120">
        <v>76</v>
      </c>
      <c r="I65" s="242">
        <f>G65*H65</f>
        <v>152</v>
      </c>
      <c r="J65" s="208"/>
      <c r="K65" s="209" t="s">
        <v>179</v>
      </c>
      <c r="L65" s="1"/>
      <c r="M65" s="249" t="s">
        <v>190</v>
      </c>
      <c r="N65" s="14">
        <v>45423</v>
      </c>
      <c r="O65" s="4"/>
      <c r="P65" s="239">
        <v>45434</v>
      </c>
      <c r="Q65" s="44">
        <v>45435</v>
      </c>
      <c r="R65" s="27">
        <v>45435</v>
      </c>
    </row>
    <row r="66" spans="1:18" s="3" customFormat="1" ht="19.5" customHeight="1" x14ac:dyDescent="0.15">
      <c r="B66" s="23"/>
      <c r="C66" s="25"/>
      <c r="D66" s="25"/>
      <c r="E66" s="25"/>
      <c r="F66" s="37"/>
      <c r="G66" s="36"/>
      <c r="H66" s="18"/>
      <c r="I66" s="18"/>
      <c r="J66" s="13"/>
      <c r="K66" s="19"/>
      <c r="L66" s="1"/>
      <c r="M66" s="1"/>
      <c r="N66" s="14"/>
      <c r="O66" s="4"/>
      <c r="P66" s="2"/>
      <c r="Q66" s="44"/>
      <c r="R66" s="27"/>
    </row>
    <row r="67" spans="1:18" s="3" customFormat="1" ht="19.5" customHeight="1" x14ac:dyDescent="0.15">
      <c r="B67" s="23"/>
      <c r="C67" s="25"/>
      <c r="D67" s="25"/>
      <c r="E67" s="25"/>
      <c r="F67" s="107">
        <f>SUM(I60:I66)</f>
        <v>4284</v>
      </c>
      <c r="G67" s="36"/>
      <c r="H67" s="18"/>
      <c r="I67" s="18"/>
      <c r="J67" s="13"/>
      <c r="K67" s="19"/>
      <c r="L67" s="1"/>
      <c r="M67" s="1"/>
      <c r="N67" s="14"/>
      <c r="O67" s="4"/>
      <c r="P67" s="2"/>
      <c r="Q67" s="44"/>
      <c r="R67" s="27"/>
    </row>
    <row r="68" spans="1:18" s="3" customFormat="1" ht="19.5" customHeight="1" x14ac:dyDescent="0.15">
      <c r="B68" s="23"/>
      <c r="C68" s="25"/>
      <c r="D68" s="25"/>
      <c r="E68" s="25"/>
      <c r="F68" s="37"/>
      <c r="G68" s="36"/>
      <c r="H68" s="18"/>
      <c r="I68" s="18"/>
      <c r="J68" s="13"/>
      <c r="K68" s="19"/>
      <c r="L68" s="1"/>
      <c r="M68" s="1"/>
      <c r="N68" s="14"/>
      <c r="O68" s="4"/>
      <c r="P68" s="2"/>
      <c r="Q68" s="44"/>
      <c r="R68" s="27"/>
    </row>
    <row r="69" spans="1:18" s="3" customFormat="1" ht="19.5" customHeight="1" x14ac:dyDescent="0.15">
      <c r="B69" s="23"/>
      <c r="C69" s="25"/>
      <c r="D69" s="25"/>
      <c r="E69" s="25"/>
      <c r="F69" s="37"/>
      <c r="G69" s="36"/>
      <c r="H69" s="18"/>
      <c r="I69" s="18"/>
      <c r="J69" s="13"/>
      <c r="K69" s="19"/>
      <c r="L69" s="1"/>
      <c r="M69" s="1"/>
      <c r="N69" s="14"/>
      <c r="O69" s="4"/>
      <c r="P69" s="2"/>
      <c r="Q69" s="44"/>
      <c r="R69" s="27"/>
    </row>
    <row r="70" spans="1:18" s="3" customFormat="1" ht="19.5" customHeight="1" x14ac:dyDescent="0.15">
      <c r="A70" s="154"/>
      <c r="B70" s="23"/>
      <c r="C70" s="25"/>
      <c r="D70" s="265" t="s">
        <v>84</v>
      </c>
      <c r="E70" s="266"/>
      <c r="F70" s="267"/>
      <c r="G70" s="130"/>
      <c r="H70" s="131"/>
      <c r="I70" s="132"/>
      <c r="J70" s="95"/>
      <c r="K70" s="103"/>
      <c r="L70" s="1"/>
      <c r="M70" s="1"/>
      <c r="N70" s="14"/>
      <c r="O70" s="4"/>
      <c r="P70" s="2"/>
      <c r="Q70" s="44"/>
      <c r="R70" s="27"/>
    </row>
    <row r="71" spans="1:18" s="3" customFormat="1" ht="19.5" customHeight="1" x14ac:dyDescent="0.15">
      <c r="A71" s="153" t="s">
        <v>110</v>
      </c>
      <c r="B71" s="88"/>
      <c r="C71" s="85">
        <f>+C65+1</f>
        <v>37</v>
      </c>
      <c r="D71" s="71" t="s">
        <v>46</v>
      </c>
      <c r="E71" s="71" t="s">
        <v>47</v>
      </c>
      <c r="F71" s="86" t="s">
        <v>85</v>
      </c>
      <c r="G71" s="87">
        <v>1</v>
      </c>
      <c r="H71" s="88">
        <v>2320</v>
      </c>
      <c r="I71" s="238">
        <f t="shared" ref="I71:I80" si="11">G71*H71</f>
        <v>2320</v>
      </c>
      <c r="J71" s="89"/>
      <c r="K71" s="70" t="s">
        <v>86</v>
      </c>
      <c r="L71" s="1"/>
      <c r="M71" s="249" t="s">
        <v>190</v>
      </c>
      <c r="N71" s="14">
        <v>45423</v>
      </c>
      <c r="O71" s="4"/>
      <c r="P71" s="239">
        <v>45434</v>
      </c>
      <c r="Q71" s="44">
        <v>45435</v>
      </c>
      <c r="R71" s="27">
        <v>45435</v>
      </c>
    </row>
    <row r="72" spans="1:18" s="3" customFormat="1" ht="19.5" customHeight="1" x14ac:dyDescent="0.15">
      <c r="A72" s="88" t="s">
        <v>66</v>
      </c>
      <c r="B72" s="88"/>
      <c r="C72" s="85">
        <f t="shared" ref="C72:C81" si="12">+C71+1</f>
        <v>38</v>
      </c>
      <c r="D72" s="88" t="s">
        <v>47</v>
      </c>
      <c r="E72" s="88" t="s">
        <v>47</v>
      </c>
      <c r="F72" s="212" t="s">
        <v>87</v>
      </c>
      <c r="G72" s="87">
        <v>1</v>
      </c>
      <c r="H72" s="88">
        <v>990</v>
      </c>
      <c r="I72" s="248">
        <f>G72*H72</f>
        <v>990</v>
      </c>
      <c r="J72" s="70"/>
      <c r="K72" s="22" t="s">
        <v>88</v>
      </c>
      <c r="L72" s="1"/>
      <c r="M72" s="249" t="s">
        <v>190</v>
      </c>
      <c r="N72" s="14">
        <v>45423</v>
      </c>
      <c r="O72" s="4"/>
      <c r="P72" s="239">
        <v>45434</v>
      </c>
      <c r="Q72" s="44">
        <v>45435</v>
      </c>
      <c r="R72" s="27">
        <v>45435</v>
      </c>
    </row>
    <row r="73" spans="1:18" s="3" customFormat="1" ht="19.5" customHeight="1" x14ac:dyDescent="0.15">
      <c r="A73" s="88" t="s">
        <v>66</v>
      </c>
      <c r="B73" s="88"/>
      <c r="C73" s="85">
        <f t="shared" si="12"/>
        <v>39</v>
      </c>
      <c r="D73" s="71" t="s">
        <v>47</v>
      </c>
      <c r="E73" s="71" t="s">
        <v>47</v>
      </c>
      <c r="F73" s="133" t="s">
        <v>89</v>
      </c>
      <c r="G73" s="87">
        <v>2</v>
      </c>
      <c r="H73" s="163">
        <v>72</v>
      </c>
      <c r="I73" s="243">
        <f t="shared" si="11"/>
        <v>144</v>
      </c>
      <c r="J73" s="89"/>
      <c r="K73" s="22" t="s">
        <v>90</v>
      </c>
      <c r="L73" s="1"/>
      <c r="M73" s="249" t="s">
        <v>190</v>
      </c>
      <c r="N73" s="14">
        <v>45423</v>
      </c>
      <c r="O73" s="4"/>
      <c r="P73" s="239">
        <v>45434</v>
      </c>
      <c r="Q73" s="44">
        <v>45435</v>
      </c>
      <c r="R73" s="27">
        <v>45435</v>
      </c>
    </row>
    <row r="74" spans="1:18" s="3" customFormat="1" ht="19.5" customHeight="1" x14ac:dyDescent="0.15">
      <c r="A74" s="88" t="s">
        <v>27</v>
      </c>
      <c r="B74" s="88"/>
      <c r="C74" s="85">
        <f t="shared" si="12"/>
        <v>40</v>
      </c>
      <c r="D74" s="134" t="s">
        <v>91</v>
      </c>
      <c r="E74" s="135" t="s">
        <v>92</v>
      </c>
      <c r="F74" s="136" t="s">
        <v>93</v>
      </c>
      <c r="G74" s="134">
        <v>1</v>
      </c>
      <c r="H74" s="137">
        <v>10610</v>
      </c>
      <c r="I74" s="253">
        <f>G74*H74</f>
        <v>10610</v>
      </c>
      <c r="J74" s="138"/>
      <c r="K74" s="139" t="s">
        <v>94</v>
      </c>
      <c r="L74" s="1"/>
      <c r="M74" s="1">
        <v>63875</v>
      </c>
      <c r="N74" s="14">
        <v>45425</v>
      </c>
      <c r="O74" s="4"/>
      <c r="P74" s="239">
        <v>45440</v>
      </c>
      <c r="Q74" s="44">
        <v>45435</v>
      </c>
      <c r="R74" s="27">
        <v>45435</v>
      </c>
    </row>
    <row r="75" spans="1:18" s="3" customFormat="1" ht="19.5" customHeight="1" x14ac:dyDescent="0.15">
      <c r="A75" s="88" t="s">
        <v>66</v>
      </c>
      <c r="B75" s="88"/>
      <c r="C75" s="85">
        <f t="shared" si="12"/>
        <v>41</v>
      </c>
      <c r="D75" s="227" t="s">
        <v>95</v>
      </c>
      <c r="E75" s="71" t="s">
        <v>47</v>
      </c>
      <c r="F75" s="140" t="s">
        <v>96</v>
      </c>
      <c r="G75" s="141">
        <v>1</v>
      </c>
      <c r="H75" s="213">
        <v>149</v>
      </c>
      <c r="I75" s="245">
        <f>G75*H75</f>
        <v>149</v>
      </c>
      <c r="J75" s="138"/>
      <c r="K75" s="142" t="s">
        <v>97</v>
      </c>
      <c r="L75" s="1"/>
      <c r="M75" s="249" t="s">
        <v>190</v>
      </c>
      <c r="N75" s="14">
        <v>45423</v>
      </c>
      <c r="O75" s="4"/>
      <c r="P75" s="239">
        <v>45434</v>
      </c>
      <c r="Q75" s="44">
        <v>45435</v>
      </c>
      <c r="R75" s="27">
        <v>45435</v>
      </c>
    </row>
    <row r="76" spans="1:18" s="3" customFormat="1" ht="19.5" customHeight="1" x14ac:dyDescent="0.15">
      <c r="A76" s="88" t="s">
        <v>66</v>
      </c>
      <c r="B76" s="88"/>
      <c r="C76" s="85">
        <f t="shared" si="12"/>
        <v>42</v>
      </c>
      <c r="D76" s="71" t="s">
        <v>47</v>
      </c>
      <c r="E76" s="71" t="s">
        <v>47</v>
      </c>
      <c r="F76" s="117" t="s">
        <v>98</v>
      </c>
      <c r="G76" s="87">
        <v>2</v>
      </c>
      <c r="H76" s="163">
        <v>31</v>
      </c>
      <c r="I76" s="243">
        <f t="shared" si="11"/>
        <v>62</v>
      </c>
      <c r="J76" s="89"/>
      <c r="K76" s="22" t="s">
        <v>99</v>
      </c>
      <c r="L76" s="1"/>
      <c r="M76" s="249" t="s">
        <v>190</v>
      </c>
      <c r="N76" s="14">
        <v>45423</v>
      </c>
      <c r="O76" s="4"/>
      <c r="P76" s="239">
        <v>45434</v>
      </c>
      <c r="Q76" s="44">
        <v>45435</v>
      </c>
      <c r="R76" s="27">
        <v>45435</v>
      </c>
    </row>
    <row r="77" spans="1:18" s="3" customFormat="1" ht="19.5" customHeight="1" x14ac:dyDescent="0.15">
      <c r="A77" s="88" t="s">
        <v>66</v>
      </c>
      <c r="B77" s="88"/>
      <c r="C77" s="85">
        <f t="shared" si="12"/>
        <v>43</v>
      </c>
      <c r="D77" s="161" t="s">
        <v>47</v>
      </c>
      <c r="E77" s="161" t="s">
        <v>47</v>
      </c>
      <c r="F77" s="214" t="s">
        <v>100</v>
      </c>
      <c r="G77" s="145">
        <v>1</v>
      </c>
      <c r="H77" s="158">
        <v>270</v>
      </c>
      <c r="I77" s="238">
        <f t="shared" si="11"/>
        <v>270</v>
      </c>
      <c r="J77" s="146"/>
      <c r="K77" s="144" t="s">
        <v>101</v>
      </c>
      <c r="L77" s="1"/>
      <c r="M77" s="249" t="s">
        <v>190</v>
      </c>
      <c r="N77" s="14">
        <v>45423</v>
      </c>
      <c r="O77" s="4"/>
      <c r="P77" s="239">
        <v>45434</v>
      </c>
      <c r="Q77" s="44">
        <v>45435</v>
      </c>
      <c r="R77" s="27">
        <v>45435</v>
      </c>
    </row>
    <row r="78" spans="1:18" s="3" customFormat="1" ht="19.5" customHeight="1" x14ac:dyDescent="0.15">
      <c r="A78" s="88" t="s">
        <v>66</v>
      </c>
      <c r="B78" s="88"/>
      <c r="C78" s="85">
        <f t="shared" si="12"/>
        <v>44</v>
      </c>
      <c r="D78" s="216" t="s">
        <v>47</v>
      </c>
      <c r="E78" s="216" t="s">
        <v>47</v>
      </c>
      <c r="F78" s="212" t="s">
        <v>102</v>
      </c>
      <c r="G78" s="87">
        <v>1</v>
      </c>
      <c r="H78" s="88">
        <v>290</v>
      </c>
      <c r="I78" s="246">
        <f t="shared" si="11"/>
        <v>290</v>
      </c>
      <c r="J78" s="147"/>
      <c r="K78" s="148" t="s">
        <v>103</v>
      </c>
      <c r="L78" s="1"/>
      <c r="M78" s="249" t="s">
        <v>190</v>
      </c>
      <c r="N78" s="14">
        <v>45423</v>
      </c>
      <c r="O78" s="4"/>
      <c r="P78" s="239">
        <v>45434</v>
      </c>
      <c r="Q78" s="44">
        <v>45435</v>
      </c>
      <c r="R78" s="27">
        <v>45435</v>
      </c>
    </row>
    <row r="79" spans="1:18" s="3" customFormat="1" ht="19.5" customHeight="1" x14ac:dyDescent="0.15">
      <c r="A79" s="88" t="s">
        <v>66</v>
      </c>
      <c r="B79" s="88"/>
      <c r="C79" s="85">
        <f t="shared" si="12"/>
        <v>45</v>
      </c>
      <c r="D79" s="161" t="s">
        <v>47</v>
      </c>
      <c r="E79" s="161" t="s">
        <v>47</v>
      </c>
      <c r="F79" s="214" t="s">
        <v>104</v>
      </c>
      <c r="G79" s="145">
        <v>1</v>
      </c>
      <c r="H79" s="158">
        <v>210</v>
      </c>
      <c r="I79" s="238">
        <f t="shared" si="11"/>
        <v>210</v>
      </c>
      <c r="J79" s="146"/>
      <c r="K79" s="144" t="s">
        <v>105</v>
      </c>
      <c r="L79" s="1"/>
      <c r="M79" s="249" t="s">
        <v>190</v>
      </c>
      <c r="N79" s="14">
        <v>45423</v>
      </c>
      <c r="O79" s="4"/>
      <c r="P79" s="239">
        <v>45434</v>
      </c>
      <c r="Q79" s="44">
        <v>45435</v>
      </c>
      <c r="R79" s="27">
        <v>45435</v>
      </c>
    </row>
    <row r="80" spans="1:18" s="3" customFormat="1" ht="19.5" customHeight="1" x14ac:dyDescent="0.15">
      <c r="A80" s="88" t="s">
        <v>66</v>
      </c>
      <c r="B80" s="88"/>
      <c r="C80" s="85">
        <f t="shared" si="12"/>
        <v>46</v>
      </c>
      <c r="D80" s="161" t="s">
        <v>47</v>
      </c>
      <c r="E80" s="211" t="s">
        <v>47</v>
      </c>
      <c r="F80" s="215" t="s">
        <v>106</v>
      </c>
      <c r="G80" s="149">
        <v>1</v>
      </c>
      <c r="H80" s="213">
        <v>130</v>
      </c>
      <c r="I80" s="248">
        <f t="shared" si="11"/>
        <v>130</v>
      </c>
      <c r="J80" s="138"/>
      <c r="K80" s="139" t="s">
        <v>107</v>
      </c>
      <c r="L80" s="1"/>
      <c r="M80" s="249" t="s">
        <v>190</v>
      </c>
      <c r="N80" s="14">
        <v>45423</v>
      </c>
      <c r="O80" s="4"/>
      <c r="P80" s="239">
        <v>45434</v>
      </c>
      <c r="Q80" s="44">
        <v>45435</v>
      </c>
      <c r="R80" s="27">
        <v>45435</v>
      </c>
    </row>
    <row r="81" spans="1:18" s="3" customFormat="1" ht="19.5" customHeight="1" x14ac:dyDescent="0.15">
      <c r="A81" s="88" t="s">
        <v>66</v>
      </c>
      <c r="B81" s="88"/>
      <c r="C81" s="85">
        <f t="shared" si="12"/>
        <v>47</v>
      </c>
      <c r="D81" s="211" t="s">
        <v>47</v>
      </c>
      <c r="E81" s="211" t="s">
        <v>47</v>
      </c>
      <c r="F81" s="102" t="s">
        <v>108</v>
      </c>
      <c r="G81" s="91">
        <v>10</v>
      </c>
      <c r="H81" s="120">
        <v>25</v>
      </c>
      <c r="I81" s="242">
        <f>G81*H81</f>
        <v>250</v>
      </c>
      <c r="J81" s="97"/>
      <c r="K81" s="103" t="s">
        <v>109</v>
      </c>
      <c r="L81" s="1"/>
      <c r="M81" s="249" t="s">
        <v>190</v>
      </c>
      <c r="N81" s="14">
        <v>45423</v>
      </c>
      <c r="O81" s="4"/>
      <c r="P81" s="239">
        <v>45434</v>
      </c>
      <c r="Q81" s="44">
        <v>45435</v>
      </c>
      <c r="R81" s="27">
        <v>45435</v>
      </c>
    </row>
    <row r="82" spans="1:18" s="3" customFormat="1" ht="19.5" customHeight="1" x14ac:dyDescent="0.15">
      <c r="B82" s="23"/>
      <c r="C82" s="25"/>
      <c r="D82" s="90"/>
      <c r="E82" s="90"/>
      <c r="F82" s="70"/>
      <c r="G82" s="150"/>
      <c r="H82" s="23"/>
      <c r="I82" s="64"/>
      <c r="J82" s="89"/>
      <c r="K82" s="101"/>
      <c r="L82" s="1"/>
      <c r="M82" s="1"/>
      <c r="N82" s="14"/>
      <c r="O82" s="4"/>
      <c r="P82" s="2"/>
      <c r="Q82" s="44"/>
      <c r="R82" s="27"/>
    </row>
    <row r="83" spans="1:18" s="3" customFormat="1" ht="19.5" customHeight="1" x14ac:dyDescent="0.15">
      <c r="B83" s="23"/>
      <c r="C83" s="25"/>
      <c r="D83" s="25"/>
      <c r="E83" s="25"/>
      <c r="F83" s="107">
        <f>SUM(I71:I81)</f>
        <v>15425</v>
      </c>
      <c r="G83" s="151"/>
      <c r="H83" s="151"/>
      <c r="I83" s="151"/>
      <c r="J83" s="152"/>
      <c r="K83" s="22"/>
      <c r="L83" s="1"/>
      <c r="M83" s="1"/>
      <c r="N83" s="14"/>
      <c r="O83" s="4"/>
      <c r="P83" s="2"/>
      <c r="Q83" s="44"/>
      <c r="R83" s="27"/>
    </row>
    <row r="84" spans="1:18" s="3" customFormat="1" ht="19.5" customHeight="1" x14ac:dyDescent="0.15">
      <c r="B84" s="23"/>
      <c r="C84" s="25"/>
      <c r="D84" s="25"/>
      <c r="E84" s="25"/>
      <c r="F84" s="37"/>
      <c r="G84" s="36"/>
      <c r="H84" s="18"/>
      <c r="I84" s="18"/>
      <c r="J84" s="13"/>
      <c r="K84" s="19"/>
      <c r="L84" s="1"/>
      <c r="M84" s="1"/>
      <c r="N84" s="14"/>
      <c r="O84" s="4"/>
      <c r="P84" s="2"/>
      <c r="Q84" s="44"/>
      <c r="R84" s="27"/>
    </row>
    <row r="85" spans="1:18" s="3" customFormat="1" ht="19.5" customHeight="1" x14ac:dyDescent="0.15">
      <c r="B85" s="23"/>
      <c r="C85" s="25"/>
      <c r="D85" s="25"/>
      <c r="E85" s="25"/>
      <c r="F85" s="37"/>
      <c r="G85" s="36"/>
      <c r="H85" s="18"/>
      <c r="I85" s="18"/>
      <c r="J85" s="13"/>
      <c r="K85" s="19"/>
      <c r="L85" s="1"/>
      <c r="M85" s="1"/>
      <c r="N85" s="14"/>
      <c r="O85" s="4"/>
      <c r="P85" s="2"/>
      <c r="Q85" s="44"/>
      <c r="R85" s="27"/>
    </row>
    <row r="86" spans="1:18" s="3" customFormat="1" ht="19.5" customHeight="1" x14ac:dyDescent="0.15">
      <c r="B86" s="23"/>
      <c r="C86" s="25"/>
      <c r="D86" s="265" t="s">
        <v>130</v>
      </c>
      <c r="E86" s="266"/>
      <c r="F86" s="267"/>
      <c r="G86" s="150"/>
      <c r="H86" s="23"/>
      <c r="I86" s="64"/>
      <c r="J86" s="24"/>
      <c r="K86" s="103"/>
      <c r="L86" s="23"/>
      <c r="M86" s="1"/>
      <c r="N86" s="14"/>
      <c r="O86" s="4"/>
      <c r="P86" s="2"/>
      <c r="Q86" s="44"/>
      <c r="R86" s="27"/>
    </row>
    <row r="87" spans="1:18" s="3" customFormat="1" ht="19.5" customHeight="1" x14ac:dyDescent="0.15">
      <c r="A87" s="88" t="s">
        <v>110</v>
      </c>
      <c r="B87" s="88">
        <v>6</v>
      </c>
      <c r="C87" s="85">
        <f>+C81+1</f>
        <v>48</v>
      </c>
      <c r="D87" s="71" t="s">
        <v>46</v>
      </c>
      <c r="E87" s="71" t="s">
        <v>47</v>
      </c>
      <c r="F87" s="217" t="s">
        <v>141</v>
      </c>
      <c r="G87" s="87">
        <v>1</v>
      </c>
      <c r="H87" s="88">
        <v>2000</v>
      </c>
      <c r="I87" s="87">
        <v>2000</v>
      </c>
      <c r="J87" s="172"/>
      <c r="K87" s="22" t="s">
        <v>142</v>
      </c>
      <c r="L87" s="23"/>
      <c r="M87" s="249" t="s">
        <v>190</v>
      </c>
      <c r="N87" s="14">
        <v>45423</v>
      </c>
      <c r="O87" s="4"/>
      <c r="P87" s="239">
        <v>45434</v>
      </c>
      <c r="Q87" s="44">
        <v>45435</v>
      </c>
      <c r="R87" s="27">
        <v>45435</v>
      </c>
    </row>
    <row r="88" spans="1:18" s="3" customFormat="1" ht="19.5" customHeight="1" x14ac:dyDescent="0.15">
      <c r="A88" s="129" t="s">
        <v>183</v>
      </c>
      <c r="B88" s="88"/>
      <c r="C88" s="85">
        <f>+C87+1</f>
        <v>49</v>
      </c>
      <c r="D88" s="228" t="s">
        <v>47</v>
      </c>
      <c r="E88" s="228" t="s">
        <v>47</v>
      </c>
      <c r="F88" s="217" t="s">
        <v>149</v>
      </c>
      <c r="G88" s="234">
        <v>1</v>
      </c>
      <c r="H88" s="129">
        <v>7104</v>
      </c>
      <c r="I88" s="234">
        <f>G88*H88</f>
        <v>7104</v>
      </c>
      <c r="J88" s="182"/>
      <c r="K88" s="119" t="s">
        <v>150</v>
      </c>
      <c r="L88" s="23"/>
      <c r="M88" s="249" t="s">
        <v>190</v>
      </c>
      <c r="N88" s="14">
        <v>45423</v>
      </c>
      <c r="O88" s="4"/>
      <c r="P88" s="239">
        <v>45434</v>
      </c>
      <c r="Q88" s="44">
        <v>45435</v>
      </c>
      <c r="R88" s="27">
        <v>45435</v>
      </c>
    </row>
    <row r="89" spans="1:18" s="3" customFormat="1" ht="19.5" customHeight="1" x14ac:dyDescent="0.15">
      <c r="A89" s="88" t="s">
        <v>110</v>
      </c>
      <c r="B89" s="88">
        <v>6</v>
      </c>
      <c r="C89" s="85">
        <f t="shared" ref="C89:C97" si="13">+C88+1</f>
        <v>50</v>
      </c>
      <c r="D89" s="227" t="s">
        <v>46</v>
      </c>
      <c r="E89" s="227" t="s">
        <v>47</v>
      </c>
      <c r="F89" s="86" t="s">
        <v>143</v>
      </c>
      <c r="G89" s="235">
        <v>1</v>
      </c>
      <c r="H89" s="88">
        <v>2550</v>
      </c>
      <c r="I89" s="243">
        <f t="shared" ref="I89" si="14">G89*H89</f>
        <v>2550</v>
      </c>
      <c r="J89" s="89"/>
      <c r="K89" s="103" t="s">
        <v>144</v>
      </c>
      <c r="L89" s="23"/>
      <c r="M89" s="249" t="s">
        <v>190</v>
      </c>
      <c r="N89" s="14">
        <v>45423</v>
      </c>
      <c r="O89" s="4"/>
      <c r="P89" s="239">
        <v>45434</v>
      </c>
      <c r="Q89" s="44">
        <v>45435</v>
      </c>
      <c r="R89" s="27">
        <v>45435</v>
      </c>
    </row>
    <row r="90" spans="1:18" s="3" customFormat="1" ht="19.5" customHeight="1" x14ac:dyDescent="0.15">
      <c r="A90" s="88" t="s">
        <v>66</v>
      </c>
      <c r="B90" s="88">
        <v>6</v>
      </c>
      <c r="C90" s="85">
        <f t="shared" si="13"/>
        <v>51</v>
      </c>
      <c r="D90" s="71" t="s">
        <v>47</v>
      </c>
      <c r="E90" s="71" t="s">
        <v>47</v>
      </c>
      <c r="F90" s="212" t="s">
        <v>131</v>
      </c>
      <c r="G90" s="236">
        <v>10</v>
      </c>
      <c r="H90" s="118">
        <v>29</v>
      </c>
      <c r="I90" s="87">
        <f>G90*H90</f>
        <v>290</v>
      </c>
      <c r="J90" s="24"/>
      <c r="K90" s="22" t="s">
        <v>132</v>
      </c>
      <c r="L90" s="70" t="s">
        <v>133</v>
      </c>
      <c r="M90" s="249" t="s">
        <v>190</v>
      </c>
      <c r="N90" s="14">
        <v>45423</v>
      </c>
      <c r="O90" s="4"/>
      <c r="P90" s="239">
        <v>45434</v>
      </c>
      <c r="Q90" s="44">
        <v>45435</v>
      </c>
      <c r="R90" s="27">
        <v>45435</v>
      </c>
    </row>
    <row r="91" spans="1:18" s="3" customFormat="1" ht="19.5" customHeight="1" x14ac:dyDescent="0.15">
      <c r="A91" s="88" t="s">
        <v>66</v>
      </c>
      <c r="B91" s="88">
        <v>6</v>
      </c>
      <c r="C91" s="85">
        <f t="shared" si="13"/>
        <v>52</v>
      </c>
      <c r="D91" s="224" t="s">
        <v>127</v>
      </c>
      <c r="E91" s="224" t="s">
        <v>127</v>
      </c>
      <c r="F91" s="86" t="s">
        <v>151</v>
      </c>
      <c r="G91" s="237">
        <v>4</v>
      </c>
      <c r="H91" s="88">
        <v>29</v>
      </c>
      <c r="I91" s="238">
        <f t="shared" ref="I91:I92" si="15">G91*H91</f>
        <v>116</v>
      </c>
      <c r="J91" s="89"/>
      <c r="K91" s="70" t="s">
        <v>152</v>
      </c>
      <c r="L91" s="70"/>
      <c r="M91" s="249" t="s">
        <v>190</v>
      </c>
      <c r="N91" s="14">
        <v>45423</v>
      </c>
      <c r="O91" s="4"/>
      <c r="P91" s="239">
        <v>45434</v>
      </c>
      <c r="Q91" s="44">
        <v>45435</v>
      </c>
      <c r="R91" s="27">
        <v>45435</v>
      </c>
    </row>
    <row r="92" spans="1:18" s="3" customFormat="1" ht="19.5" customHeight="1" x14ac:dyDescent="0.15">
      <c r="A92" s="88" t="s">
        <v>66</v>
      </c>
      <c r="B92" s="88">
        <v>6</v>
      </c>
      <c r="C92" s="85">
        <f t="shared" si="13"/>
        <v>53</v>
      </c>
      <c r="D92" s="211" t="s">
        <v>47</v>
      </c>
      <c r="E92" s="211" t="s">
        <v>47</v>
      </c>
      <c r="F92" s="98" t="s">
        <v>81</v>
      </c>
      <c r="G92" s="104">
        <v>4</v>
      </c>
      <c r="H92" s="99">
        <v>92</v>
      </c>
      <c r="I92" s="241">
        <f t="shared" si="15"/>
        <v>368</v>
      </c>
      <c r="J92" s="100"/>
      <c r="K92" s="103" t="s">
        <v>182</v>
      </c>
      <c r="L92" s="70"/>
      <c r="M92" s="249" t="s">
        <v>190</v>
      </c>
      <c r="N92" s="14">
        <v>45423</v>
      </c>
      <c r="O92" s="4"/>
      <c r="P92" s="239">
        <v>45434</v>
      </c>
      <c r="Q92" s="44">
        <v>45435</v>
      </c>
      <c r="R92" s="27">
        <v>45435</v>
      </c>
    </row>
    <row r="93" spans="1:18" s="3" customFormat="1" ht="19.5" customHeight="1" x14ac:dyDescent="0.15">
      <c r="A93" s="88" t="s">
        <v>66</v>
      </c>
      <c r="B93" s="88">
        <v>6</v>
      </c>
      <c r="C93" s="85">
        <f t="shared" si="13"/>
        <v>54</v>
      </c>
      <c r="D93" s="88" t="s">
        <v>47</v>
      </c>
      <c r="E93" s="88" t="s">
        <v>47</v>
      </c>
      <c r="F93" s="212" t="s">
        <v>134</v>
      </c>
      <c r="G93" s="87">
        <v>1</v>
      </c>
      <c r="H93" s="88">
        <v>4560</v>
      </c>
      <c r="I93" s="87">
        <f>G93*H93</f>
        <v>4560</v>
      </c>
      <c r="J93" s="169"/>
      <c r="K93" s="148" t="s">
        <v>135</v>
      </c>
      <c r="L93" s="70" t="s">
        <v>136</v>
      </c>
      <c r="M93" s="249" t="s">
        <v>190</v>
      </c>
      <c r="N93" s="14">
        <v>45423</v>
      </c>
      <c r="O93" s="4"/>
      <c r="P93" s="239">
        <v>45434</v>
      </c>
      <c r="Q93" s="44">
        <v>45435</v>
      </c>
      <c r="R93" s="27">
        <v>45435</v>
      </c>
    </row>
    <row r="94" spans="1:18" s="3" customFormat="1" ht="19.5" customHeight="1" x14ac:dyDescent="0.15">
      <c r="A94" s="88" t="s">
        <v>66</v>
      </c>
      <c r="B94" s="88">
        <v>6</v>
      </c>
      <c r="C94" s="85">
        <f t="shared" si="13"/>
        <v>55</v>
      </c>
      <c r="D94" s="88" t="s">
        <v>127</v>
      </c>
      <c r="E94" s="88" t="s">
        <v>127</v>
      </c>
      <c r="F94" s="212" t="s">
        <v>184</v>
      </c>
      <c r="G94" s="236">
        <v>4</v>
      </c>
      <c r="H94" s="88">
        <v>96</v>
      </c>
      <c r="I94" s="87">
        <v>648</v>
      </c>
      <c r="J94" s="174"/>
      <c r="K94" s="221" t="s">
        <v>185</v>
      </c>
      <c r="L94" s="70" t="s">
        <v>136</v>
      </c>
      <c r="M94" s="249" t="s">
        <v>190</v>
      </c>
      <c r="N94" s="14">
        <v>45423</v>
      </c>
      <c r="O94" s="4"/>
      <c r="P94" s="239">
        <v>45434</v>
      </c>
      <c r="Q94" s="44">
        <v>45435</v>
      </c>
      <c r="R94" s="27">
        <v>45435</v>
      </c>
    </row>
    <row r="95" spans="1:18" s="3" customFormat="1" ht="19.5" customHeight="1" x14ac:dyDescent="0.15">
      <c r="A95" s="88" t="s">
        <v>66</v>
      </c>
      <c r="B95" s="88">
        <v>6</v>
      </c>
      <c r="C95" s="85">
        <f t="shared" si="13"/>
        <v>56</v>
      </c>
      <c r="D95" s="71" t="s">
        <v>127</v>
      </c>
      <c r="E95" s="71" t="s">
        <v>127</v>
      </c>
      <c r="F95" s="212" t="s">
        <v>186</v>
      </c>
      <c r="G95" s="236">
        <v>10</v>
      </c>
      <c r="H95" s="118">
        <v>29</v>
      </c>
      <c r="I95" s="245">
        <f>G95*H95</f>
        <v>290</v>
      </c>
      <c r="J95" s="24"/>
      <c r="K95" s="119" t="s">
        <v>187</v>
      </c>
      <c r="L95" s="70" t="s">
        <v>136</v>
      </c>
      <c r="M95" s="249" t="s">
        <v>190</v>
      </c>
      <c r="N95" s="14">
        <v>45423</v>
      </c>
      <c r="O95" s="4"/>
      <c r="P95" s="239">
        <v>45434</v>
      </c>
      <c r="Q95" s="44">
        <v>45435</v>
      </c>
      <c r="R95" s="27">
        <v>45435</v>
      </c>
    </row>
    <row r="96" spans="1:18" s="3" customFormat="1" ht="19.5" customHeight="1" x14ac:dyDescent="0.15">
      <c r="A96" s="88" t="s">
        <v>66</v>
      </c>
      <c r="B96" s="88">
        <v>6</v>
      </c>
      <c r="C96" s="85">
        <f t="shared" si="13"/>
        <v>57</v>
      </c>
      <c r="D96" s="71" t="s">
        <v>127</v>
      </c>
      <c r="E96" s="71" t="s">
        <v>127</v>
      </c>
      <c r="F96" s="223" t="s">
        <v>188</v>
      </c>
      <c r="G96" s="236">
        <v>4</v>
      </c>
      <c r="H96" s="118">
        <v>76</v>
      </c>
      <c r="I96" s="245">
        <f>G96*H96</f>
        <v>304</v>
      </c>
      <c r="J96" s="24"/>
      <c r="K96" s="22" t="s">
        <v>137</v>
      </c>
      <c r="L96" s="70" t="s">
        <v>136</v>
      </c>
      <c r="M96" s="249" t="s">
        <v>190</v>
      </c>
      <c r="N96" s="14">
        <v>45423</v>
      </c>
      <c r="O96" s="4"/>
      <c r="P96" s="239">
        <v>45434</v>
      </c>
      <c r="Q96" s="44">
        <v>45435</v>
      </c>
      <c r="R96" s="27">
        <v>45435</v>
      </c>
    </row>
    <row r="97" spans="1:18" s="3" customFormat="1" ht="19.5" customHeight="1" x14ac:dyDescent="0.15">
      <c r="A97" s="88" t="s">
        <v>66</v>
      </c>
      <c r="B97" s="88">
        <v>6</v>
      </c>
      <c r="C97" s="85">
        <f t="shared" si="13"/>
        <v>58</v>
      </c>
      <c r="D97" s="211" t="s">
        <v>145</v>
      </c>
      <c r="E97" s="181" t="s">
        <v>146</v>
      </c>
      <c r="F97" s="193" t="s">
        <v>147</v>
      </c>
      <c r="G97" s="250">
        <v>10</v>
      </c>
      <c r="H97" s="251">
        <v>144</v>
      </c>
      <c r="I97" s="252">
        <f t="shared" ref="I97" si="16">G97*H97</f>
        <v>1440</v>
      </c>
      <c r="J97" s="105"/>
      <c r="K97" s="60" t="s">
        <v>148</v>
      </c>
      <c r="L97" s="180"/>
      <c r="M97" s="1">
        <v>63877</v>
      </c>
      <c r="N97" s="14">
        <v>45425</v>
      </c>
      <c r="O97" s="4"/>
      <c r="P97" s="239">
        <v>45440</v>
      </c>
      <c r="Q97" s="44"/>
      <c r="R97" s="27">
        <v>45432</v>
      </c>
    </row>
    <row r="98" spans="1:18" s="3" customFormat="1" ht="19.5" customHeight="1" x14ac:dyDescent="0.15">
      <c r="B98" s="23"/>
      <c r="C98" s="25"/>
      <c r="D98" s="90"/>
      <c r="E98" s="90"/>
      <c r="F98" s="175"/>
      <c r="G98" s="176"/>
      <c r="H98" s="131"/>
      <c r="I98" s="131"/>
      <c r="J98" s="177"/>
      <c r="K98" s="103"/>
      <c r="L98" s="178"/>
      <c r="M98" s="1"/>
      <c r="N98" s="14"/>
      <c r="O98" s="4"/>
      <c r="P98" s="2"/>
      <c r="Q98" s="44"/>
      <c r="R98" s="27"/>
    </row>
    <row r="99" spans="1:18" s="3" customFormat="1" ht="19.5" customHeight="1" x14ac:dyDescent="0.15">
      <c r="B99" s="23"/>
      <c r="C99" s="25"/>
      <c r="D99" s="25"/>
      <c r="E99" s="25"/>
      <c r="F99" s="179">
        <f>SUM(I87:I98)</f>
        <v>19670</v>
      </c>
      <c r="G99" s="151"/>
      <c r="H99" s="151"/>
      <c r="I99" s="151"/>
      <c r="J99" s="64"/>
      <c r="K99" s="22"/>
      <c r="L99" s="173"/>
      <c r="M99" s="1"/>
      <c r="N99" s="14"/>
      <c r="O99" s="4"/>
      <c r="P99" s="2"/>
      <c r="Q99" s="44"/>
      <c r="R99" s="27"/>
    </row>
    <row r="100" spans="1:18" s="3" customFormat="1" ht="19.5" customHeight="1" x14ac:dyDescent="0.15">
      <c r="B100" s="23"/>
      <c r="C100" s="25"/>
      <c r="D100" s="25"/>
      <c r="E100" s="25"/>
      <c r="F100" s="37"/>
      <c r="G100" s="36"/>
      <c r="H100" s="18"/>
      <c r="I100" s="18"/>
      <c r="J100" s="13"/>
      <c r="K100" s="19"/>
      <c r="L100" s="1"/>
      <c r="M100" s="1"/>
      <c r="N100" s="14"/>
      <c r="O100" s="4"/>
      <c r="P100" s="2"/>
      <c r="Q100" s="44"/>
      <c r="R100" s="27"/>
    </row>
    <row r="101" spans="1:18" s="3" customFormat="1" ht="19.5" customHeight="1" x14ac:dyDescent="0.15">
      <c r="B101" s="23"/>
      <c r="C101" s="25"/>
      <c r="D101" s="25"/>
      <c r="E101" s="25"/>
      <c r="F101" s="37"/>
      <c r="G101" s="36"/>
      <c r="H101" s="18"/>
      <c r="I101" s="18"/>
      <c r="J101" s="13"/>
      <c r="K101" s="19"/>
      <c r="L101" s="1"/>
      <c r="M101" s="1"/>
      <c r="N101" s="14"/>
      <c r="O101" s="4"/>
      <c r="P101" s="2"/>
      <c r="Q101" s="44"/>
      <c r="R101" s="27"/>
    </row>
    <row r="102" spans="1:18" s="3" customFormat="1" ht="19.5" customHeight="1" x14ac:dyDescent="0.15">
      <c r="B102" s="23"/>
      <c r="C102" s="25"/>
      <c r="D102" s="25"/>
      <c r="E102" s="25"/>
      <c r="F102" s="37"/>
      <c r="G102" s="36"/>
      <c r="H102" s="18"/>
      <c r="I102" s="18"/>
      <c r="J102" s="13"/>
      <c r="K102" s="19"/>
      <c r="L102" s="1"/>
      <c r="M102" s="1"/>
      <c r="N102" s="14"/>
      <c r="O102" s="4"/>
      <c r="P102" s="2"/>
      <c r="Q102" s="44"/>
      <c r="R102" s="27"/>
    </row>
    <row r="103" spans="1:18" s="3" customFormat="1" ht="19.5" customHeight="1" x14ac:dyDescent="0.15">
      <c r="B103" s="23"/>
      <c r="C103" s="25"/>
      <c r="D103" s="265" t="s">
        <v>126</v>
      </c>
      <c r="E103" s="266"/>
      <c r="F103" s="267"/>
      <c r="G103" s="168"/>
      <c r="H103" s="169"/>
      <c r="I103" s="132"/>
      <c r="J103" s="170"/>
      <c r="K103" s="171"/>
      <c r="L103" s="1"/>
      <c r="M103" s="1"/>
      <c r="N103" s="14"/>
      <c r="O103" s="4"/>
      <c r="P103" s="2"/>
      <c r="Q103" s="44"/>
      <c r="R103" s="27"/>
    </row>
    <row r="104" spans="1:18" s="3" customFormat="1" ht="19.5" customHeight="1" x14ac:dyDescent="0.15">
      <c r="A104" s="88" t="s">
        <v>129</v>
      </c>
      <c r="B104" s="88"/>
      <c r="C104" s="85">
        <f>+C97+1</f>
        <v>59</v>
      </c>
      <c r="D104" s="162" t="s">
        <v>127</v>
      </c>
      <c r="E104" s="162" t="s">
        <v>127</v>
      </c>
      <c r="F104" s="192" t="s">
        <v>158</v>
      </c>
      <c r="G104" s="238">
        <v>1</v>
      </c>
      <c r="H104" s="159">
        <v>8500</v>
      </c>
      <c r="I104" s="238">
        <f>G104*H104</f>
        <v>8500</v>
      </c>
      <c r="J104" s="32"/>
      <c r="K104" s="157" t="s">
        <v>128</v>
      </c>
      <c r="L104" s="1"/>
      <c r="M104" s="249" t="s">
        <v>190</v>
      </c>
      <c r="N104" s="14">
        <v>45423</v>
      </c>
      <c r="O104" s="4"/>
      <c r="P104" s="239">
        <v>45434</v>
      </c>
      <c r="Q104" s="44">
        <v>45435</v>
      </c>
      <c r="R104" s="27">
        <v>45435</v>
      </c>
    </row>
    <row r="105" spans="1:18" s="3" customFormat="1" ht="19.5" customHeight="1" x14ac:dyDescent="0.15">
      <c r="A105" s="88" t="s">
        <v>67</v>
      </c>
      <c r="B105" s="88"/>
      <c r="C105" s="85">
        <f>+C104+1</f>
        <v>60</v>
      </c>
      <c r="D105" s="71" t="s">
        <v>47</v>
      </c>
      <c r="E105" s="71" t="s">
        <v>47</v>
      </c>
      <c r="F105" s="205" t="s">
        <v>174</v>
      </c>
      <c r="G105" s="93">
        <v>1</v>
      </c>
      <c r="H105" s="158">
        <v>2040</v>
      </c>
      <c r="I105" s="238">
        <f>G105*H105</f>
        <v>2040</v>
      </c>
      <c r="J105" s="132"/>
      <c r="K105" s="37" t="s">
        <v>138</v>
      </c>
      <c r="L105" s="1"/>
      <c r="M105" s="249" t="s">
        <v>190</v>
      </c>
      <c r="N105" s="14">
        <v>45423</v>
      </c>
      <c r="O105" s="4"/>
      <c r="P105" s="239">
        <v>45434</v>
      </c>
      <c r="Q105" s="44">
        <v>45435</v>
      </c>
      <c r="R105" s="27">
        <v>45435</v>
      </c>
    </row>
    <row r="106" spans="1:18" s="3" customFormat="1" ht="19.5" customHeight="1" x14ac:dyDescent="0.15">
      <c r="A106" s="129" t="s">
        <v>110</v>
      </c>
      <c r="B106" s="88"/>
      <c r="C106" s="85">
        <f>+C105+1</f>
        <v>61</v>
      </c>
      <c r="D106" s="71" t="s">
        <v>127</v>
      </c>
      <c r="E106" s="71" t="s">
        <v>127</v>
      </c>
      <c r="F106" s="86" t="s">
        <v>139</v>
      </c>
      <c r="G106" s="235">
        <v>1</v>
      </c>
      <c r="H106" s="88">
        <v>3263</v>
      </c>
      <c r="I106" s="243">
        <f>G106*H106</f>
        <v>3263</v>
      </c>
      <c r="J106" s="89"/>
      <c r="K106" s="103" t="s">
        <v>140</v>
      </c>
      <c r="L106" s="1"/>
      <c r="M106" s="249" t="s">
        <v>190</v>
      </c>
      <c r="N106" s="14">
        <v>45423</v>
      </c>
      <c r="O106" s="4"/>
      <c r="P106" s="239">
        <v>45434</v>
      </c>
      <c r="Q106" s="44">
        <v>45435</v>
      </c>
      <c r="R106" s="27">
        <v>45435</v>
      </c>
    </row>
    <row r="107" spans="1:18" s="3" customFormat="1" ht="19.5" customHeight="1" x14ac:dyDescent="0.15">
      <c r="B107" s="23"/>
      <c r="C107" s="25"/>
      <c r="D107" s="25"/>
      <c r="E107" s="25"/>
      <c r="F107" s="103"/>
      <c r="G107" s="176"/>
      <c r="H107" s="131"/>
      <c r="I107" s="164"/>
      <c r="J107" s="24"/>
      <c r="K107" s="22"/>
      <c r="L107" s="1"/>
      <c r="M107" s="1"/>
      <c r="N107" s="14"/>
      <c r="O107" s="4"/>
      <c r="P107" s="2"/>
      <c r="Q107" s="44"/>
      <c r="R107" s="27"/>
    </row>
    <row r="108" spans="1:18" s="3" customFormat="1" ht="19.5" customHeight="1" x14ac:dyDescent="0.15">
      <c r="B108" s="23"/>
      <c r="C108" s="25"/>
      <c r="D108" s="167"/>
      <c r="E108" s="167"/>
      <c r="F108" s="107">
        <f>SUM(I104:I106)</f>
        <v>13803</v>
      </c>
      <c r="G108" s="168"/>
      <c r="H108" s="169"/>
      <c r="I108" s="132"/>
      <c r="J108" s="170"/>
      <c r="K108" s="171"/>
      <c r="L108" s="1"/>
      <c r="M108" s="1"/>
      <c r="N108" s="14"/>
      <c r="O108" s="4"/>
      <c r="P108" s="2"/>
      <c r="Q108" s="44"/>
      <c r="R108" s="27"/>
    </row>
    <row r="109" spans="1:18" s="3" customFormat="1" ht="19.5" customHeight="1" x14ac:dyDescent="0.15">
      <c r="B109" s="23"/>
      <c r="C109" s="25"/>
      <c r="D109" s="25"/>
      <c r="E109" s="25"/>
      <c r="F109" s="37"/>
      <c r="G109" s="36"/>
      <c r="H109" s="18"/>
      <c r="I109" s="18"/>
      <c r="J109" s="13"/>
      <c r="K109" s="19"/>
      <c r="L109" s="1"/>
      <c r="M109" s="1"/>
      <c r="N109" s="14"/>
      <c r="O109" s="4"/>
      <c r="P109" s="2"/>
      <c r="Q109" s="44"/>
      <c r="R109" s="27"/>
    </row>
    <row r="110" spans="1:18" s="3" customFormat="1" ht="19.5" customHeight="1" x14ac:dyDescent="0.15">
      <c r="B110" s="23"/>
      <c r="C110" s="25"/>
      <c r="D110" s="25"/>
      <c r="E110" s="25"/>
      <c r="F110" s="37"/>
      <c r="G110" s="36"/>
      <c r="H110" s="18"/>
      <c r="I110" s="18"/>
      <c r="J110" s="13"/>
      <c r="K110" s="19"/>
      <c r="L110" s="1"/>
      <c r="M110" s="1"/>
      <c r="N110" s="14"/>
      <c r="O110" s="4"/>
      <c r="P110" s="2"/>
      <c r="Q110" s="44"/>
      <c r="R110" s="27"/>
    </row>
    <row r="111" spans="1:18" s="3" customFormat="1" ht="19.5" customHeight="1" x14ac:dyDescent="0.15">
      <c r="B111" s="23"/>
      <c r="C111" s="25"/>
      <c r="D111" s="25"/>
      <c r="E111" s="25"/>
      <c r="F111" s="37"/>
      <c r="G111" s="36"/>
      <c r="H111" s="18"/>
      <c r="I111" s="18"/>
      <c r="J111" s="13"/>
      <c r="K111" s="19"/>
      <c r="L111" s="1"/>
      <c r="M111" s="1"/>
      <c r="N111" s="14"/>
      <c r="O111" s="4"/>
      <c r="P111" s="2"/>
      <c r="Q111" s="44"/>
      <c r="R111" s="27"/>
    </row>
    <row r="112" spans="1:18" s="3" customFormat="1" ht="19.5" customHeight="1" x14ac:dyDescent="0.15">
      <c r="B112" s="23"/>
      <c r="C112" s="25"/>
      <c r="D112" s="25"/>
      <c r="E112" s="25"/>
      <c r="F112" s="37"/>
      <c r="G112" s="36"/>
      <c r="H112" s="18"/>
      <c r="I112" s="18"/>
      <c r="J112" s="13"/>
      <c r="K112" s="19"/>
      <c r="L112" s="1"/>
      <c r="M112" s="1"/>
      <c r="N112" s="14"/>
      <c r="O112" s="4"/>
      <c r="P112" s="2"/>
      <c r="Q112" s="44"/>
      <c r="R112" s="27"/>
    </row>
    <row r="113" spans="2:18" s="3" customFormat="1" ht="19.5" customHeight="1" x14ac:dyDescent="0.15">
      <c r="B113" s="23"/>
      <c r="C113" s="25"/>
      <c r="D113" s="25"/>
      <c r="E113" s="25"/>
      <c r="F113" s="37"/>
      <c r="G113" s="36"/>
      <c r="H113" s="18"/>
      <c r="I113" s="18"/>
      <c r="J113" s="13"/>
      <c r="K113" s="19"/>
      <c r="L113" s="1"/>
      <c r="M113" s="1"/>
      <c r="N113" s="14"/>
      <c r="O113" s="4"/>
      <c r="P113" s="2"/>
      <c r="Q113" s="44"/>
      <c r="R113" s="27"/>
    </row>
    <row r="114" spans="2:18" s="3" customFormat="1" ht="19.5" customHeight="1" x14ac:dyDescent="0.15">
      <c r="B114" s="23"/>
      <c r="C114" s="25"/>
      <c r="D114" s="25"/>
      <c r="E114" s="25"/>
      <c r="F114" s="37"/>
      <c r="G114" s="36"/>
      <c r="H114" s="18"/>
      <c r="I114" s="18"/>
      <c r="J114" s="13"/>
      <c r="K114" s="19"/>
      <c r="L114" s="1"/>
      <c r="M114" s="1"/>
      <c r="N114" s="14"/>
      <c r="O114" s="4"/>
      <c r="P114" s="2"/>
      <c r="Q114" s="44"/>
      <c r="R114" s="27"/>
    </row>
    <row r="115" spans="2:18" ht="18" customHeight="1" x14ac:dyDescent="0.15">
      <c r="B115" s="23"/>
      <c r="C115" s="1"/>
      <c r="D115" s="4"/>
      <c r="E115" s="4"/>
      <c r="F115" s="15"/>
      <c r="G115" s="16"/>
      <c r="H115" s="16"/>
      <c r="I115" s="18"/>
      <c r="J115" s="2"/>
      <c r="K115" s="15"/>
      <c r="L115" s="6"/>
      <c r="M115" s="1"/>
      <c r="N115" s="14"/>
      <c r="O115" s="20"/>
      <c r="P115" s="2"/>
      <c r="Q115" s="44"/>
      <c r="R115" s="27"/>
    </row>
    <row r="116" spans="2:18" ht="18" customHeight="1" x14ac:dyDescent="0.15">
      <c r="B116" s="23"/>
      <c r="C116" s="1"/>
      <c r="D116" s="1"/>
      <c r="E116" s="1"/>
      <c r="F116" s="6" t="s">
        <v>22</v>
      </c>
      <c r="G116" s="18"/>
      <c r="H116" s="18"/>
      <c r="I116" s="18">
        <f>G116*H116</f>
        <v>0</v>
      </c>
      <c r="J116" s="13"/>
      <c r="K116" s="15" t="s">
        <v>23</v>
      </c>
      <c r="L116" s="20"/>
      <c r="M116" s="1"/>
      <c r="N116" s="14"/>
      <c r="O116" s="20"/>
      <c r="P116" s="2"/>
      <c r="Q116" s="44"/>
      <c r="R116" s="27"/>
    </row>
    <row r="117" spans="2:18" ht="18" customHeight="1" x14ac:dyDescent="0.15">
      <c r="B117" s="23"/>
      <c r="C117" s="1"/>
      <c r="D117" s="4"/>
      <c r="E117" s="4"/>
      <c r="F117" s="6" t="s">
        <v>23</v>
      </c>
      <c r="G117" s="18"/>
      <c r="H117" s="18">
        <v>5000</v>
      </c>
      <c r="I117" s="18">
        <f>G117*H117</f>
        <v>0</v>
      </c>
      <c r="J117" s="13"/>
      <c r="K117" s="15" t="s">
        <v>24</v>
      </c>
      <c r="L117" s="20"/>
      <c r="M117" s="1"/>
      <c r="N117" s="1"/>
      <c r="O117" s="20"/>
      <c r="P117" s="2"/>
      <c r="Q117" s="59"/>
      <c r="R117" s="27"/>
    </row>
    <row r="118" spans="2:18" ht="18" customHeight="1" x14ac:dyDescent="0.15">
      <c r="B118" s="23"/>
      <c r="C118" s="1"/>
      <c r="D118" s="4"/>
      <c r="E118" s="4"/>
      <c r="F118" s="6" t="s">
        <v>24</v>
      </c>
      <c r="G118" s="18"/>
      <c r="H118" s="18"/>
      <c r="I118" s="18">
        <f>G118*H118</f>
        <v>0</v>
      </c>
      <c r="J118" s="13"/>
      <c r="K118" s="5"/>
      <c r="L118" s="20"/>
      <c r="M118" s="1"/>
      <c r="N118" s="1"/>
      <c r="O118" s="20"/>
      <c r="P118" s="2"/>
      <c r="Q118" s="59"/>
      <c r="R118" s="27"/>
    </row>
    <row r="119" spans="2:18" ht="18" customHeight="1" x14ac:dyDescent="0.15">
      <c r="B119" s="23"/>
      <c r="C119" s="1"/>
      <c r="D119" s="4"/>
      <c r="E119" s="4"/>
      <c r="F119" s="262"/>
      <c r="G119" s="263"/>
      <c r="H119" s="263"/>
      <c r="I119" s="264"/>
      <c r="J119" s="7"/>
      <c r="K119" s="17"/>
      <c r="L119" s="20"/>
      <c r="M119" s="1"/>
      <c r="N119" s="1"/>
      <c r="O119" s="20"/>
      <c r="P119" s="2"/>
      <c r="Q119" s="59"/>
      <c r="R119" s="27"/>
    </row>
    <row r="120" spans="2:18" ht="18" customHeight="1" x14ac:dyDescent="0.15"/>
    <row r="121" spans="2:18" ht="18" customHeight="1" x14ac:dyDescent="0.15"/>
  </sheetData>
  <autoFilter ref="C9:P121" xr:uid="{00000000-0009-0000-0000-000003000000}"/>
  <mergeCells count="15">
    <mergeCell ref="C2:E2"/>
    <mergeCell ref="H2:J2"/>
    <mergeCell ref="C3:E3"/>
    <mergeCell ref="C4:E4"/>
    <mergeCell ref="H4:K5"/>
    <mergeCell ref="C5:E5"/>
    <mergeCell ref="G5:G6"/>
    <mergeCell ref="C6:E6"/>
    <mergeCell ref="F119:I119"/>
    <mergeCell ref="D31:F31"/>
    <mergeCell ref="D70:F70"/>
    <mergeCell ref="D44:F44"/>
    <mergeCell ref="D103:F103"/>
    <mergeCell ref="D86:F86"/>
    <mergeCell ref="D59:F59"/>
  </mergeCells>
  <phoneticPr fontId="10"/>
  <dataValidations count="1">
    <dataValidation imeMode="hiragana" allowBlank="1" showInputMessage="1" showErrorMessage="1" sqref="L27 K54 K48 K97 K14" xr:uid="{5609183B-F57F-45F4-B382-E61281546937}"/>
  </dataValidations>
  <hyperlinks>
    <hyperlink ref="L14" r:id="rId1" xr:uid="{90A3E53C-52BD-459E-9D26-F5AE2B0D82DE}"/>
  </hyperlinks>
  <printOptions gridLines="1"/>
  <pageMargins left="0.2" right="0.2" top="0.75" bottom="0.75" header="0.3" footer="0.3"/>
  <pageSetup orientation="landscape" r:id="rId2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5B11-EA03-4D9F-B7D5-933EB783FCD2}">
  <sheetPr>
    <tabColor rgb="FF00B0F0"/>
  </sheetPr>
  <dimension ref="A2:R29"/>
  <sheetViews>
    <sheetView zoomScale="81" zoomScaleNormal="81" workbookViewId="0">
      <pane xSplit="11" ySplit="8" topLeftCell="L9" activePane="bottomRight" state="frozen"/>
      <selection activeCell="D26" sqref="D26"/>
      <selection pane="topRight" activeCell="D26" sqref="D26"/>
      <selection pane="bottomLeft" activeCell="D26" sqref="D26"/>
      <selection pane="bottomRight" activeCell="E10" sqref="E10"/>
    </sheetView>
  </sheetViews>
  <sheetFormatPr defaultColWidth="11.875" defaultRowHeight="13.5" customHeight="1" x14ac:dyDescent="0.15"/>
  <cols>
    <col min="1" max="1" width="18.625" customWidth="1"/>
    <col min="2" max="2" width="17" customWidth="1"/>
    <col min="3" max="3" width="6.125" style="3" customWidth="1"/>
    <col min="4" max="4" width="15.125" customWidth="1"/>
    <col min="5" max="5" width="15.5" customWidth="1"/>
    <col min="6" max="6" width="71.5" customWidth="1"/>
    <col min="7" max="7" width="10.875" style="3" customWidth="1"/>
    <col min="8" max="9" width="12.125" style="3" customWidth="1"/>
    <col min="10" max="10" width="7.125" style="12" customWidth="1"/>
    <col min="11" max="11" width="50.5" customWidth="1"/>
    <col min="12" max="12" width="45.125" customWidth="1"/>
    <col min="13" max="13" width="8.125" style="3" customWidth="1"/>
    <col min="14" max="14" width="17" style="3" customWidth="1"/>
    <col min="15" max="15" width="7.875" customWidth="1"/>
    <col min="16" max="16" width="16.375" style="3" customWidth="1"/>
    <col min="17" max="17" width="17.875" style="30" customWidth="1"/>
    <col min="18" max="18" width="19.375" style="30" customWidth="1"/>
  </cols>
  <sheetData>
    <row r="2" spans="1:18" ht="20.100000000000001" customHeight="1" x14ac:dyDescent="0.15">
      <c r="C2" s="268" t="s">
        <v>0</v>
      </c>
      <c r="D2" s="268"/>
      <c r="E2" s="268"/>
      <c r="F2" s="21" t="s">
        <v>37</v>
      </c>
      <c r="H2" s="269" t="s">
        <v>1</v>
      </c>
      <c r="I2" s="270"/>
      <c r="J2" s="271"/>
      <c r="K2" s="11">
        <f>SUM(I:I)</f>
        <v>1022000</v>
      </c>
    </row>
    <row r="3" spans="1:18" ht="20.100000000000001" customHeight="1" x14ac:dyDescent="0.15">
      <c r="C3" s="268" t="s">
        <v>2</v>
      </c>
      <c r="D3" s="268"/>
      <c r="E3" s="268"/>
      <c r="F3" s="9" t="s">
        <v>38</v>
      </c>
    </row>
    <row r="4" spans="1:18" ht="20.100000000000001" customHeight="1" x14ac:dyDescent="0.15">
      <c r="C4" s="268" t="s">
        <v>3</v>
      </c>
      <c r="D4" s="268"/>
      <c r="E4" s="268"/>
      <c r="F4" s="9" t="s">
        <v>39</v>
      </c>
      <c r="H4" s="272" t="s">
        <v>44</v>
      </c>
      <c r="I4" s="272"/>
      <c r="J4" s="272"/>
      <c r="K4" s="272"/>
      <c r="L4" s="33"/>
    </row>
    <row r="5" spans="1:18" ht="20.100000000000001" customHeight="1" x14ac:dyDescent="0.15">
      <c r="C5" s="268" t="s">
        <v>4</v>
      </c>
      <c r="D5" s="268"/>
      <c r="E5" s="268"/>
      <c r="F5" s="10">
        <v>45446</v>
      </c>
      <c r="G5" s="273" t="s">
        <v>189</v>
      </c>
      <c r="H5" s="272"/>
      <c r="I5" s="272"/>
      <c r="J5" s="272"/>
      <c r="K5" s="272"/>
    </row>
    <row r="6" spans="1:18" ht="20.100000000000001" customHeight="1" x14ac:dyDescent="0.15">
      <c r="C6" s="268" t="s">
        <v>5</v>
      </c>
      <c r="D6" s="268"/>
      <c r="E6" s="268"/>
      <c r="F6" s="10">
        <v>45447</v>
      </c>
      <c r="G6" s="273"/>
      <c r="I6" s="35"/>
      <c r="K6" s="75"/>
    </row>
    <row r="8" spans="1:18" s="3" customFormat="1" ht="19.5" customHeight="1" x14ac:dyDescent="0.15">
      <c r="B8" s="41" t="s">
        <v>25</v>
      </c>
      <c r="C8" s="40" t="s">
        <v>6</v>
      </c>
      <c r="D8" s="4" t="s">
        <v>7</v>
      </c>
      <c r="E8" s="4" t="s">
        <v>8</v>
      </c>
      <c r="F8" s="1" t="s">
        <v>9</v>
      </c>
      <c r="G8" s="1" t="s">
        <v>10</v>
      </c>
      <c r="H8" s="1" t="s">
        <v>11</v>
      </c>
      <c r="I8" s="2" t="s">
        <v>12</v>
      </c>
      <c r="J8" s="2" t="s">
        <v>13</v>
      </c>
      <c r="K8" s="1" t="s">
        <v>14</v>
      </c>
      <c r="L8" s="1" t="s">
        <v>15</v>
      </c>
      <c r="M8" s="1" t="s">
        <v>16</v>
      </c>
      <c r="N8" s="14" t="s">
        <v>17</v>
      </c>
      <c r="O8" s="4" t="s">
        <v>18</v>
      </c>
      <c r="P8" s="1" t="s">
        <v>19</v>
      </c>
      <c r="Q8" s="14" t="s">
        <v>20</v>
      </c>
      <c r="R8" s="8" t="s">
        <v>21</v>
      </c>
    </row>
    <row r="9" spans="1:18" s="3" customFormat="1" ht="19.5" customHeight="1" x14ac:dyDescent="0.15">
      <c r="C9" s="4"/>
      <c r="D9" s="274" t="s">
        <v>26</v>
      </c>
      <c r="E9" s="275"/>
      <c r="F9" s="276"/>
      <c r="G9" s="18"/>
      <c r="H9" s="18"/>
      <c r="I9" s="18"/>
      <c r="J9" s="13"/>
      <c r="K9" s="19"/>
      <c r="L9" s="53"/>
      <c r="M9" s="53"/>
      <c r="N9" s="54"/>
      <c r="O9" s="26"/>
      <c r="P9" s="53"/>
      <c r="Q9" s="54"/>
      <c r="R9" s="55"/>
    </row>
    <row r="10" spans="1:18" s="3" customFormat="1" ht="19.5" customHeight="1" x14ac:dyDescent="0.15">
      <c r="A10" s="23" t="s">
        <v>28</v>
      </c>
      <c r="B10" s="23">
        <v>1</v>
      </c>
      <c r="C10" s="71">
        <v>1</v>
      </c>
      <c r="D10" s="25" t="s">
        <v>26</v>
      </c>
      <c r="E10" s="25" t="s">
        <v>26</v>
      </c>
      <c r="F10" s="60" t="s">
        <v>32</v>
      </c>
      <c r="G10" s="23">
        <v>1</v>
      </c>
      <c r="H10" s="39">
        <v>882000</v>
      </c>
      <c r="I10" s="62">
        <f t="shared" ref="I10:I12" si="0">G10*H10</f>
        <v>882000</v>
      </c>
      <c r="J10" s="24"/>
      <c r="K10" s="51" t="s">
        <v>33</v>
      </c>
      <c r="L10" s="69" t="s">
        <v>42</v>
      </c>
      <c r="M10" s="23"/>
      <c r="N10" s="44"/>
      <c r="O10" s="25"/>
      <c r="P10" s="29"/>
      <c r="Q10" s="44"/>
      <c r="R10" s="27"/>
    </row>
    <row r="11" spans="1:18" s="3" customFormat="1" ht="19.5" customHeight="1" x14ac:dyDescent="0.15">
      <c r="A11" s="23" t="s">
        <v>28</v>
      </c>
      <c r="B11" s="23">
        <v>2</v>
      </c>
      <c r="C11" s="71">
        <f t="shared" ref="C11:C13" si="1">+C10+1</f>
        <v>2</v>
      </c>
      <c r="D11" s="49" t="s">
        <v>26</v>
      </c>
      <c r="E11" s="49" t="s">
        <v>26</v>
      </c>
      <c r="F11" s="28" t="s">
        <v>29</v>
      </c>
      <c r="G11" s="31">
        <v>1</v>
      </c>
      <c r="H11" s="31">
        <v>40000</v>
      </c>
      <c r="I11" s="61">
        <f t="shared" si="0"/>
        <v>40000</v>
      </c>
      <c r="J11" s="50"/>
      <c r="K11" s="52" t="s">
        <v>30</v>
      </c>
      <c r="L11" s="23"/>
      <c r="M11" s="23"/>
      <c r="N11" s="44"/>
      <c r="O11" s="25"/>
      <c r="P11" s="29"/>
      <c r="Q11" s="44"/>
      <c r="R11" s="27"/>
    </row>
    <row r="12" spans="1:18" s="3" customFormat="1" ht="19.5" customHeight="1" x14ac:dyDescent="0.15">
      <c r="A12" s="69" t="s">
        <v>36</v>
      </c>
      <c r="B12" s="23"/>
      <c r="C12" s="71">
        <f t="shared" si="1"/>
        <v>3</v>
      </c>
      <c r="D12" s="25" t="s">
        <v>26</v>
      </c>
      <c r="E12" s="25" t="s">
        <v>26</v>
      </c>
      <c r="F12" s="70" t="s">
        <v>34</v>
      </c>
      <c r="G12" s="23">
        <v>1</v>
      </c>
      <c r="H12" s="25">
        <v>50000</v>
      </c>
      <c r="I12" s="74">
        <f t="shared" si="0"/>
        <v>50000</v>
      </c>
      <c r="J12" s="24"/>
      <c r="K12" s="70" t="s">
        <v>35</v>
      </c>
      <c r="L12" s="23"/>
      <c r="M12" s="23"/>
      <c r="N12" s="44"/>
      <c r="O12" s="25"/>
      <c r="P12" s="29"/>
      <c r="Q12" s="44"/>
      <c r="R12" s="27"/>
    </row>
    <row r="13" spans="1:18" s="3" customFormat="1" ht="19.5" customHeight="1" x14ac:dyDescent="0.15">
      <c r="A13" s="69" t="s">
        <v>36</v>
      </c>
      <c r="B13" s="23"/>
      <c r="C13" s="71">
        <f t="shared" si="1"/>
        <v>4</v>
      </c>
      <c r="D13" s="25" t="s">
        <v>26</v>
      </c>
      <c r="E13" s="25" t="s">
        <v>26</v>
      </c>
      <c r="F13" s="70" t="s">
        <v>40</v>
      </c>
      <c r="G13" s="23">
        <v>1</v>
      </c>
      <c r="H13" s="25">
        <v>38000</v>
      </c>
      <c r="I13" s="74">
        <f>G13*H13</f>
        <v>38000</v>
      </c>
      <c r="J13" s="24"/>
      <c r="K13" s="70" t="s">
        <v>41</v>
      </c>
      <c r="L13" s="23"/>
      <c r="M13" s="23"/>
      <c r="N13" s="44"/>
      <c r="O13" s="25"/>
      <c r="P13" s="29"/>
      <c r="Q13" s="44"/>
      <c r="R13" s="27"/>
    </row>
    <row r="14" spans="1:18" s="3" customFormat="1" ht="19.5" customHeight="1" x14ac:dyDescent="0.15">
      <c r="A14" s="69" t="s">
        <v>27</v>
      </c>
      <c r="B14" s="69">
        <v>3</v>
      </c>
      <c r="C14" s="71">
        <f>+C13+1</f>
        <v>5</v>
      </c>
      <c r="D14" s="49" t="s">
        <v>26</v>
      </c>
      <c r="E14" s="49" t="s">
        <v>26</v>
      </c>
      <c r="F14" s="66" t="s">
        <v>31</v>
      </c>
      <c r="G14" s="31">
        <v>1</v>
      </c>
      <c r="H14" s="31">
        <v>12000</v>
      </c>
      <c r="I14" s="67">
        <f t="shared" ref="I14" si="2">G14*H14</f>
        <v>12000</v>
      </c>
      <c r="J14" s="43"/>
      <c r="K14" s="68"/>
      <c r="L14" s="56"/>
      <c r="M14" s="57"/>
      <c r="N14" s="44"/>
      <c r="O14" s="25"/>
      <c r="P14" s="29"/>
      <c r="Q14" s="42"/>
      <c r="R14" s="58"/>
    </row>
    <row r="15" spans="1:18" s="3" customFormat="1" ht="19.5" customHeight="1" x14ac:dyDescent="0.15">
      <c r="B15" s="41"/>
      <c r="C15" s="25"/>
      <c r="D15" s="23"/>
      <c r="E15" s="63"/>
      <c r="F15" s="37"/>
      <c r="G15" s="64"/>
      <c r="H15" s="65"/>
      <c r="I15" s="65"/>
      <c r="J15" s="32"/>
      <c r="K15" s="45"/>
      <c r="L15" s="46"/>
      <c r="M15" s="25"/>
      <c r="N15" s="44"/>
      <c r="O15" s="25"/>
      <c r="P15" s="29"/>
      <c r="Q15" s="29"/>
      <c r="R15" s="27"/>
    </row>
    <row r="16" spans="1:18" s="3" customFormat="1" ht="19.5" customHeight="1" x14ac:dyDescent="0.15">
      <c r="B16" s="23"/>
      <c r="C16" s="25"/>
      <c r="D16" s="25"/>
      <c r="E16" s="25"/>
      <c r="F16" s="34"/>
      <c r="G16" s="23"/>
      <c r="H16" s="38"/>
      <c r="I16" s="47"/>
      <c r="J16" s="24"/>
      <c r="K16" s="22"/>
      <c r="L16" s="48"/>
      <c r="M16" s="25"/>
      <c r="N16" s="44"/>
      <c r="O16" s="25"/>
      <c r="P16" s="29"/>
      <c r="Q16" s="29"/>
      <c r="R16" s="27"/>
    </row>
    <row r="17" spans="1:18" s="3" customFormat="1" ht="19.5" customHeight="1" x14ac:dyDescent="0.15">
      <c r="B17" s="23"/>
      <c r="C17" s="25"/>
      <c r="D17" s="25"/>
      <c r="E17" s="72"/>
      <c r="F17" s="73">
        <f>SUM(I10:I15)</f>
        <v>1022000</v>
      </c>
      <c r="G17" s="23"/>
      <c r="H17" s="38"/>
      <c r="I17" s="47"/>
      <c r="J17" s="24"/>
      <c r="K17" s="22"/>
      <c r="L17" s="48"/>
      <c r="M17" s="25"/>
      <c r="N17" s="44"/>
      <c r="O17" s="25"/>
      <c r="P17" s="29"/>
      <c r="Q17" s="29"/>
      <c r="R17" s="27"/>
    </row>
    <row r="18" spans="1:18" s="3" customFormat="1" ht="19.5" customHeight="1" x14ac:dyDescent="0.15">
      <c r="B18" s="23"/>
      <c r="C18" s="25"/>
      <c r="D18" s="25"/>
      <c r="E18" s="25"/>
      <c r="F18" s="37"/>
      <c r="G18" s="36"/>
      <c r="H18" s="18"/>
      <c r="I18" s="18"/>
      <c r="J18" s="13"/>
      <c r="K18" s="19"/>
      <c r="L18" s="1"/>
      <c r="M18" s="1"/>
      <c r="N18" s="14"/>
      <c r="O18" s="4"/>
      <c r="P18" s="2"/>
      <c r="Q18" s="44"/>
      <c r="R18" s="59"/>
    </row>
    <row r="19" spans="1:18" s="3" customFormat="1" ht="19.5" customHeight="1" x14ac:dyDescent="0.15">
      <c r="A19" s="88" t="s">
        <v>66</v>
      </c>
      <c r="B19" s="23"/>
      <c r="C19" s="210">
        <f t="shared" ref="C19:C20" si="3">+C18+1</f>
        <v>1</v>
      </c>
      <c r="D19" s="183" t="s">
        <v>122</v>
      </c>
      <c r="E19" s="183" t="s">
        <v>146</v>
      </c>
      <c r="F19" s="185" t="s">
        <v>153</v>
      </c>
      <c r="G19" s="186"/>
      <c r="H19" s="187">
        <v>2000</v>
      </c>
      <c r="I19" s="202">
        <f t="shared" ref="I19" si="4">G19*H19</f>
        <v>0</v>
      </c>
      <c r="J19" s="188"/>
      <c r="K19" s="185" t="s">
        <v>154</v>
      </c>
      <c r="L19" s="1"/>
      <c r="M19" s="1"/>
      <c r="N19" s="14"/>
      <c r="O19" s="4"/>
      <c r="P19" s="2"/>
      <c r="Q19" s="44"/>
      <c r="R19" s="59"/>
    </row>
    <row r="20" spans="1:18" s="3" customFormat="1" ht="19.5" customHeight="1" x14ac:dyDescent="0.15">
      <c r="A20" s="88" t="s">
        <v>66</v>
      </c>
      <c r="B20" s="23"/>
      <c r="C20" s="210">
        <f t="shared" si="3"/>
        <v>2</v>
      </c>
      <c r="D20" s="183" t="s">
        <v>155</v>
      </c>
      <c r="E20" s="183" t="s">
        <v>146</v>
      </c>
      <c r="F20" s="189" t="s">
        <v>156</v>
      </c>
      <c r="G20" s="184"/>
      <c r="H20" s="184">
        <v>1000</v>
      </c>
      <c r="I20" s="203">
        <f>G20*H20</f>
        <v>0</v>
      </c>
      <c r="J20" s="188"/>
      <c r="K20" s="185"/>
      <c r="L20" s="1"/>
      <c r="M20" s="1"/>
      <c r="N20" s="14"/>
      <c r="O20" s="4"/>
      <c r="P20" s="2"/>
      <c r="Q20" s="44"/>
      <c r="R20" s="59"/>
    </row>
    <row r="21" spans="1:18" s="3" customFormat="1" ht="19.5" customHeight="1" x14ac:dyDescent="0.15">
      <c r="B21" s="23"/>
      <c r="C21" s="25"/>
      <c r="D21" s="25"/>
      <c r="E21" s="25"/>
      <c r="F21" s="37"/>
      <c r="G21" s="36"/>
      <c r="H21" s="18"/>
      <c r="I21" s="18"/>
      <c r="J21" s="13"/>
      <c r="K21" s="19"/>
      <c r="L21" s="1"/>
      <c r="M21" s="1"/>
      <c r="N21" s="14"/>
      <c r="O21" s="4"/>
      <c r="P21" s="2"/>
      <c r="Q21" s="44"/>
      <c r="R21" s="59"/>
    </row>
    <row r="22" spans="1:18" s="3" customFormat="1" ht="19.5" customHeight="1" x14ac:dyDescent="0.15">
      <c r="B22" s="23"/>
      <c r="C22" s="25"/>
      <c r="D22" s="25"/>
      <c r="E22" s="25"/>
      <c r="F22" s="37"/>
      <c r="G22" s="36"/>
      <c r="H22" s="18"/>
      <c r="I22" s="18"/>
      <c r="J22" s="13"/>
      <c r="K22" s="19"/>
      <c r="L22" s="1"/>
      <c r="M22" s="1"/>
      <c r="N22" s="14"/>
      <c r="O22" s="4"/>
      <c r="P22" s="2"/>
      <c r="Q22" s="44"/>
      <c r="R22" s="59"/>
    </row>
    <row r="23" spans="1:18" ht="18" customHeight="1" x14ac:dyDescent="0.15">
      <c r="B23" s="23"/>
      <c r="C23" s="1"/>
      <c r="D23" s="4"/>
      <c r="E23" s="4"/>
      <c r="F23" s="15"/>
      <c r="G23" s="16"/>
      <c r="H23" s="16"/>
      <c r="I23" s="18"/>
      <c r="J23" s="2"/>
      <c r="K23" s="15"/>
      <c r="L23" s="6"/>
      <c r="M23" s="1"/>
      <c r="N23" s="14"/>
      <c r="O23" s="20"/>
      <c r="P23" s="2"/>
      <c r="Q23" s="44"/>
      <c r="R23" s="27"/>
    </row>
    <row r="24" spans="1:18" ht="18" customHeight="1" x14ac:dyDescent="0.15">
      <c r="B24" s="23"/>
      <c r="C24" s="1"/>
      <c r="D24" s="1"/>
      <c r="E24" s="1"/>
      <c r="F24" s="6" t="s">
        <v>22</v>
      </c>
      <c r="G24" s="18"/>
      <c r="H24" s="18"/>
      <c r="I24" s="18">
        <f>G24*H24</f>
        <v>0</v>
      </c>
      <c r="J24" s="13"/>
      <c r="K24" s="15" t="s">
        <v>23</v>
      </c>
      <c r="L24" s="20"/>
      <c r="M24" s="1"/>
      <c r="N24" s="14"/>
      <c r="O24" s="20"/>
      <c r="P24" s="2"/>
      <c r="Q24" s="44"/>
      <c r="R24" s="59"/>
    </row>
    <row r="25" spans="1:18" ht="18" customHeight="1" x14ac:dyDescent="0.15">
      <c r="B25" s="23"/>
      <c r="C25" s="1"/>
      <c r="D25" s="4"/>
      <c r="E25" s="4"/>
      <c r="F25" s="6" t="s">
        <v>23</v>
      </c>
      <c r="G25" s="18"/>
      <c r="H25" s="18">
        <v>5000</v>
      </c>
      <c r="I25" s="18">
        <f>G25*H25</f>
        <v>0</v>
      </c>
      <c r="J25" s="13"/>
      <c r="K25" s="15" t="s">
        <v>24</v>
      </c>
      <c r="L25" s="20"/>
      <c r="M25" s="1"/>
      <c r="N25" s="1"/>
      <c r="O25" s="20"/>
      <c r="P25" s="2"/>
      <c r="Q25" s="59"/>
      <c r="R25" s="59"/>
    </row>
    <row r="26" spans="1:18" ht="18" customHeight="1" x14ac:dyDescent="0.15">
      <c r="B26" s="23"/>
      <c r="C26" s="1"/>
      <c r="D26" s="4"/>
      <c r="E26" s="4"/>
      <c r="F26" s="6" t="s">
        <v>24</v>
      </c>
      <c r="G26" s="18"/>
      <c r="H26" s="18"/>
      <c r="I26" s="18">
        <f>G26*H26</f>
        <v>0</v>
      </c>
      <c r="J26" s="13"/>
      <c r="K26" s="5"/>
      <c r="L26" s="20"/>
      <c r="M26" s="1"/>
      <c r="N26" s="1"/>
      <c r="O26" s="20"/>
      <c r="P26" s="2"/>
      <c r="Q26" s="59"/>
      <c r="R26" s="59"/>
    </row>
    <row r="27" spans="1:18" ht="18" customHeight="1" x14ac:dyDescent="0.15">
      <c r="B27" s="23"/>
      <c r="C27" s="1"/>
      <c r="D27" s="4"/>
      <c r="E27" s="4"/>
      <c r="F27" s="262"/>
      <c r="G27" s="263"/>
      <c r="H27" s="263"/>
      <c r="I27" s="264"/>
      <c r="J27" s="7"/>
      <c r="K27" s="17"/>
      <c r="L27" s="20"/>
      <c r="M27" s="1"/>
      <c r="N27" s="1"/>
      <c r="O27" s="20"/>
      <c r="P27" s="2"/>
      <c r="Q27" s="59"/>
      <c r="R27" s="59"/>
    </row>
    <row r="28" spans="1:18" ht="18" customHeight="1" x14ac:dyDescent="0.15"/>
    <row r="29" spans="1:18" ht="18" customHeight="1" x14ac:dyDescent="0.15"/>
  </sheetData>
  <autoFilter ref="C8:P29" xr:uid="{00000000-0009-0000-0000-000003000000}"/>
  <mergeCells count="10">
    <mergeCell ref="F27:I27"/>
    <mergeCell ref="C6:E6"/>
    <mergeCell ref="C2:E2"/>
    <mergeCell ref="H2:J2"/>
    <mergeCell ref="C3:E3"/>
    <mergeCell ref="C4:E4"/>
    <mergeCell ref="H4:K5"/>
    <mergeCell ref="C5:E5"/>
    <mergeCell ref="D9:F9"/>
    <mergeCell ref="G5:G6"/>
  </mergeCells>
  <phoneticPr fontId="10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D593-9FB6-409E-B65F-766E11A67462}">
  <dimension ref="A1"/>
  <sheetViews>
    <sheetView workbookViewId="0"/>
  </sheetViews>
  <sheetFormatPr defaultRowHeight="13.5" x14ac:dyDescent="0.15"/>
  <sheetData/>
  <phoneticPr fontId="1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875" defaultRowHeight="13.5" customHeight="1" x14ac:dyDescent="0.15"/>
  <sheetData/>
  <phoneticPr fontId="10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875" defaultRowHeight="13.5" customHeight="1" x14ac:dyDescent="0.15"/>
  <sheetData/>
  <phoneticPr fontId="10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発注 (20240510)  ②</vt:lpstr>
      <vt:lpstr>発注 (20240507) ①</vt:lpstr>
      <vt:lpstr>Sheet1</vt:lpstr>
      <vt:lpstr>Sheet2</vt:lpstr>
      <vt:lpstr>Sheet3</vt:lpstr>
      <vt:lpstr>'発注 (20240507) ①'!_FilterDatabase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2024-05-27T02:56:18Z</dcterms:modified>
</cp:coreProperties>
</file>