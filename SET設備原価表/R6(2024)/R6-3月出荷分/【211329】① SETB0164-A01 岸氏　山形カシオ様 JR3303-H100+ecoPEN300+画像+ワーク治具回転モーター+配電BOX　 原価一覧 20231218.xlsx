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4DC6DECF-644A-461E-B920-43DA97E285C0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ETB0164-A01　ecoPEN300用　1218" sheetId="13" r:id="rId1"/>
    <sheet name="Sheet2" sheetId="2" r:id="rId2"/>
    <sheet name="Sheet3" sheetId="3" r:id="rId3"/>
  </sheets>
  <definedNames>
    <definedName name="_xlnm._FilterDatabase" localSheetId="0" hidden="1">'SETB0164-A01　ecoPEN300用　1218'!$D$9:$Q$181</definedName>
    <definedName name="_xlnm.Print_Area" localSheetId="0">'SETB0164-A01　ecoPEN300用　1218'!$C$1:$L$126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" i="13" l="1"/>
  <c r="G178" i="13"/>
  <c r="J66" i="13"/>
  <c r="J55" i="13"/>
  <c r="J54" i="13"/>
  <c r="J53" i="13"/>
  <c r="J46" i="13"/>
  <c r="J45" i="13"/>
  <c r="J44" i="13"/>
  <c r="J43" i="13"/>
  <c r="J33" i="13"/>
  <c r="J24" i="13"/>
  <c r="J23" i="13"/>
  <c r="J22" i="13"/>
  <c r="J21" i="13"/>
  <c r="J20" i="13"/>
  <c r="J19" i="13"/>
  <c r="J18" i="13"/>
  <c r="J17" i="13"/>
  <c r="J16" i="13"/>
  <c r="J15" i="13"/>
  <c r="J14" i="13"/>
  <c r="J13" i="13"/>
  <c r="D13" i="13"/>
  <c r="D14" i="13" s="1"/>
  <c r="D15" i="13" s="1"/>
  <c r="D16" i="13" s="1"/>
  <c r="D17" i="13" s="1"/>
  <c r="D18" i="13" s="1"/>
  <c r="D19" i="13" s="1"/>
  <c r="D20" i="13" s="1"/>
  <c r="D21" i="13" s="1"/>
  <c r="D22" i="13" s="1"/>
  <c r="D23" i="13" s="1"/>
  <c r="D24" i="13" s="1"/>
  <c r="J12" i="13"/>
  <c r="G48" i="13" l="1"/>
  <c r="D33" i="13"/>
  <c r="D34" i="13" s="1"/>
  <c r="D35" i="13" s="1"/>
  <c r="D36" i="13" s="1"/>
  <c r="D37" i="13" s="1"/>
  <c r="D38" i="13" s="1"/>
  <c r="D39" i="13" s="1"/>
  <c r="D40" i="13" s="1"/>
  <c r="D41" i="13" s="1"/>
  <c r="D42" i="13" s="1"/>
  <c r="D43" i="13" s="1"/>
  <c r="D44" i="13" s="1"/>
  <c r="D45" i="13" s="1"/>
  <c r="D46" i="13" s="1"/>
  <c r="D53" i="13" s="1"/>
  <c r="D54" i="13" s="1"/>
  <c r="D55" i="13" s="1"/>
  <c r="G27" i="13"/>
  <c r="G58" i="13"/>
  <c r="L2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クエリ - テーブル1" description="ブック内の 'テーブル1' クエリへの接続です。" type="5" refreshedVersion="4" background="1" saveData="1">
    <dbPr connection="Provider=Microsoft.Mashup.OleDb.1;Data Source=$Workbook$;Location=テーブル1;Extended Properties=&quot;&quot;" command="SELECT * FROM [テーブル1]"/>
  </connection>
</connections>
</file>

<file path=xl/sharedStrings.xml><?xml version="1.0" encoding="utf-8"?>
<sst xmlns="http://schemas.openxmlformats.org/spreadsheetml/2006/main" count="255" uniqueCount="132">
  <si>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</si>
  <si>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</si>
  <si>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</si>
  <si>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</si>
  <si>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</si>
  <si>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</si>
  <si>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</si>
  <si>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</si>
  <si>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</si>
  <si>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</si>
  <si>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</si>
  <si>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</si>
  <si>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</si>
  <si>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</si>
  <si>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</si>
  <si>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</si>
  <si>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</si>
  <si>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</si>
  <si>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</si>
  <si>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</si>
  <si>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</si>
  <si>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図面番号</t>
    <rPh sb="0" eb="1">
      <t>ズ</t>
    </rPh>
    <rPh sb="1" eb="2">
      <t>メン</t>
    </rPh>
    <rPh sb="2" eb="4">
      <t>バンゴウ</t>
    </rPh>
    <phoneticPr fontId="2"/>
  </si>
  <si>
    <t>ミスミ</t>
    <phoneticPr fontId="2"/>
  </si>
  <si>
    <t>汎用3芯OAタップ 4ヶ口</t>
    <phoneticPr fontId="2"/>
  </si>
  <si>
    <t>運送費</t>
    <rPh sb="0" eb="2">
      <t>ウンソウ</t>
    </rPh>
    <rPh sb="2" eb="3">
      <t>ヒ</t>
    </rPh>
    <phoneticPr fontId="2"/>
  </si>
  <si>
    <t>設計費</t>
    <rPh sb="0" eb="2">
      <t>セッケイ</t>
    </rPh>
    <rPh sb="2" eb="3">
      <t>ヒ</t>
    </rPh>
    <phoneticPr fontId="2"/>
  </si>
  <si>
    <t>A8110</t>
    <phoneticPr fontId="2"/>
  </si>
  <si>
    <t>1日目</t>
    <rPh sb="1" eb="3">
      <t>ヒメ</t>
    </rPh>
    <phoneticPr fontId="2"/>
  </si>
  <si>
    <t>蛇の目</t>
    <rPh sb="0" eb="1">
      <t>ジャ</t>
    </rPh>
    <rPh sb="2" eb="3">
      <t>メ</t>
    </rPh>
    <phoneticPr fontId="2"/>
  </si>
  <si>
    <t>1.5ｶ月</t>
    <rPh sb="4" eb="5">
      <t>ゲツ</t>
    </rPh>
    <phoneticPr fontId="2"/>
  </si>
  <si>
    <t>B仕様ｵﾌﾟｼｮﾝSW付</t>
    <phoneticPr fontId="2"/>
  </si>
  <si>
    <t>SRO-SWB-NO</t>
    <phoneticPr fontId="2"/>
  </si>
  <si>
    <t>JR3000用ﾃｨｰﾁﾝｸﾞﾎﾞｯｸｽ   JR3-TB2</t>
    <phoneticPr fontId="2"/>
  </si>
  <si>
    <r>
      <t>SRO-TB500</t>
    </r>
    <r>
      <rPr>
        <b/>
        <sz val="11"/>
        <color indexed="10"/>
        <rFont val="ＭＳ Ｐゴシック"/>
        <family val="3"/>
        <charset val="128"/>
      </rPr>
      <t xml:space="preserve"> </t>
    </r>
    <phoneticPr fontId="2"/>
  </si>
  <si>
    <t>在庫使用</t>
    <rPh sb="0" eb="2">
      <t>ザイコ</t>
    </rPh>
    <rPh sb="2" eb="4">
      <t>シヨウ</t>
    </rPh>
    <phoneticPr fontId="2"/>
  </si>
  <si>
    <r>
      <t>COM2増設</t>
    </r>
    <r>
      <rPr>
        <b/>
        <sz val="11"/>
        <color indexed="10"/>
        <rFont val="ＭＳ Ｐゴシック"/>
        <family val="3"/>
        <charset val="128"/>
      </rPr>
      <t>　JR3300-COM2</t>
    </r>
    <phoneticPr fontId="2"/>
  </si>
  <si>
    <t>SRO-COM2</t>
    <phoneticPr fontId="2"/>
  </si>
  <si>
    <t>組立課へ組立指示、在庫引当</t>
    <phoneticPr fontId="2"/>
  </si>
  <si>
    <t>I/O－MT改造追加</t>
    <rPh sb="6" eb="8">
      <t>カイゾウ</t>
    </rPh>
    <rPh sb="8" eb="10">
      <t>ツイカ</t>
    </rPh>
    <phoneticPr fontId="2"/>
  </si>
  <si>
    <t>I/O-MT内部品　追加</t>
    <rPh sb="6" eb="8">
      <t>ナイブ</t>
    </rPh>
    <rPh sb="10" eb="12">
      <t>ツイカ</t>
    </rPh>
    <phoneticPr fontId="2"/>
  </si>
  <si>
    <t>送料</t>
  </si>
  <si>
    <r>
      <t>I/O-S増設</t>
    </r>
    <r>
      <rPr>
        <b/>
        <sz val="11"/>
        <color indexed="10"/>
        <rFont val="ＭＳ Ｐゴシック"/>
        <family val="3"/>
        <charset val="128"/>
      </rPr>
      <t>　JR3300-I/O-S</t>
    </r>
    <phoneticPr fontId="2"/>
  </si>
  <si>
    <t>SRO-IOS</t>
    <phoneticPr fontId="2"/>
  </si>
  <si>
    <r>
      <t xml:space="preserve">I/O-1増設 </t>
    </r>
    <r>
      <rPr>
        <b/>
        <sz val="11"/>
        <color indexed="10"/>
        <rFont val="ＭＳ Ｐゴシック"/>
        <family val="3"/>
        <charset val="128"/>
      </rPr>
      <t>JR3300-I/O-1</t>
    </r>
    <phoneticPr fontId="2"/>
  </si>
  <si>
    <t>SRO-IO1</t>
    <phoneticPr fontId="2"/>
  </si>
  <si>
    <t>JR3000用C-Points2 塗布編集ｿﾌ</t>
  </si>
  <si>
    <t>JR C-Point2 Ver8</t>
    <phoneticPr fontId="2"/>
  </si>
  <si>
    <t>オリエンタルモータ</t>
    <phoneticPr fontId="2"/>
  </si>
  <si>
    <t>オリムベクスタ</t>
    <phoneticPr fontId="2"/>
  </si>
  <si>
    <t>AZD-K</t>
    <phoneticPr fontId="2"/>
  </si>
  <si>
    <t>回路</t>
    <phoneticPr fontId="2"/>
  </si>
  <si>
    <t>出荷依頼項目NO.</t>
    <rPh sb="0" eb="2">
      <t>シュッカ</t>
    </rPh>
    <rPh sb="2" eb="4">
      <t>イライ</t>
    </rPh>
    <rPh sb="4" eb="6">
      <t>コウモク</t>
    </rPh>
    <phoneticPr fontId="10"/>
  </si>
  <si>
    <t>納期</t>
    <rPh sb="0" eb="2">
      <t>ノウキ</t>
    </rPh>
    <phoneticPr fontId="10"/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</si>
  <si>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</si>
  <si>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</si>
  <si>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</si>
  <si>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</si>
  <si>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</si>
  <si>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</si>
  <si>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</si>
  <si>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</si>
  <si>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</si>
  <si>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</si>
  <si>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</si>
  <si>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</si>
  <si>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</si>
  <si>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</si>
  <si>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</si>
  <si>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</si>
  <si>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</si>
  <si>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</si>
  <si>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NO.20</t>
    <phoneticPr fontId="2"/>
  </si>
  <si>
    <t>KCC7-18600-210226-405</t>
    <phoneticPr fontId="2"/>
  </si>
  <si>
    <t>特注ﾊｰﾈｽ　　IO-M　4m　MWS-MDR50-HT50用</t>
    <rPh sb="0" eb="2">
      <t>トクチュウ</t>
    </rPh>
    <rPh sb="30" eb="31">
      <t>ヨウ</t>
    </rPh>
    <phoneticPr fontId="2"/>
  </si>
  <si>
    <t>IO-M用コネクタ端子台</t>
    <rPh sb="4" eb="5">
      <t>ヨウ</t>
    </rPh>
    <rPh sb="9" eb="11">
      <t>タンシ</t>
    </rPh>
    <rPh sb="11" eb="12">
      <t>ダイ</t>
    </rPh>
    <phoneticPr fontId="2"/>
  </si>
  <si>
    <t>5日目</t>
    <rPh sb="1" eb="3">
      <t>ヒメ</t>
    </rPh>
    <phoneticPr fontId="2"/>
  </si>
  <si>
    <t>柱嵩上げ(特殊)　SRO-POC(100mm)</t>
    <rPh sb="0" eb="3">
      <t>ハシラカサア</t>
    </rPh>
    <rPh sb="5" eb="7">
      <t>トクシュ</t>
    </rPh>
    <phoneticPr fontId="2"/>
  </si>
  <si>
    <t>柱嵩上げ(特殊)　SRO-POC(100)</t>
    <phoneticPr fontId="2"/>
  </si>
  <si>
    <t>山形カシオ株式会社</t>
    <rPh sb="0" eb="2">
      <t>ヤマガタ</t>
    </rPh>
    <rPh sb="5" eb="9">
      <t>カブシキガイシャ</t>
    </rPh>
    <phoneticPr fontId="2"/>
  </si>
  <si>
    <t>岸</t>
    <rPh sb="0" eb="1">
      <t>キシ</t>
    </rPh>
    <phoneticPr fontId="10"/>
  </si>
  <si>
    <r>
      <rPr>
        <b/>
        <sz val="11"/>
        <color indexed="8"/>
        <rFont val="ＭＳ Ｐゴシック"/>
        <family val="3"/>
        <charset val="128"/>
      </rPr>
      <t>JR3303-H100　　</t>
    </r>
    <r>
      <rPr>
        <sz val="11"/>
        <color theme="1"/>
        <rFont val="ＭＳ Ｐゴシック"/>
        <family val="3"/>
        <charset val="128"/>
        <scheme val="minor"/>
      </rPr>
      <t>　 3軸ﾛﾎﾞｯﾄ (外部ｽｲｯﾁ仕様)　</t>
    </r>
    <phoneticPr fontId="2"/>
  </si>
  <si>
    <t>JR3303用Z軸強化ばね　</t>
    <rPh sb="6" eb="7">
      <t>ヨウ</t>
    </rPh>
    <rPh sb="8" eb="9">
      <t>ジク</t>
    </rPh>
    <rPh sb="9" eb="11">
      <t>キョウカ</t>
    </rPh>
    <phoneticPr fontId="2"/>
  </si>
  <si>
    <t>JR3303用　強化ばね　1式（2本）</t>
    <rPh sb="6" eb="7">
      <t>ヨウ</t>
    </rPh>
    <rPh sb="8" eb="10">
      <t>キョウカ</t>
    </rPh>
    <rPh sb="14" eb="15">
      <t>シキ</t>
    </rPh>
    <rPh sb="17" eb="18">
      <t>ホン</t>
    </rPh>
    <phoneticPr fontId="2"/>
  </si>
  <si>
    <t>KC-VMH2</t>
    <phoneticPr fontId="2"/>
  </si>
  <si>
    <t>極細ディスプレイケーブル（複合同軸） アナログRGB</t>
    <phoneticPr fontId="2"/>
  </si>
  <si>
    <t>NEDUL-ST-KS-9-2</t>
    <phoneticPr fontId="2"/>
  </si>
  <si>
    <t>Dsubﾊ-ﾈｽ</t>
    <phoneticPr fontId="2"/>
  </si>
  <si>
    <t>カメラﾕﾆｯﾄ</t>
    <phoneticPr fontId="2"/>
  </si>
  <si>
    <t>17型タッチパネル液晶 LCD-AD173SFB-T</t>
    <phoneticPr fontId="2"/>
  </si>
  <si>
    <t>LCD-AD173SFB-T</t>
    <phoneticPr fontId="2"/>
  </si>
  <si>
    <t>ﾜｰｸ回転ﾃｰﾌﾞﾙ冶具</t>
    <rPh sb="3" eb="5">
      <t>カイテン</t>
    </rPh>
    <rPh sb="10" eb="12">
      <t>ジグ</t>
    </rPh>
    <phoneticPr fontId="2"/>
  </si>
  <si>
    <t>モータ　中空ロータリーアクチュエータ</t>
    <phoneticPr fontId="2"/>
  </si>
  <si>
    <t>CA-035C</t>
    <phoneticPr fontId="2"/>
  </si>
  <si>
    <t>ｷｰｴﾝｽ</t>
    <phoneticPr fontId="2"/>
  </si>
  <si>
    <t>31万画素ｶﾗｰｶﾒﾗ</t>
    <phoneticPr fontId="2"/>
  </si>
  <si>
    <t xml:space="preserve"> 高速ｶﾒﾗ専用耐屈曲ｹｰﾌﾞﾙ3m</t>
    <phoneticPr fontId="2"/>
  </si>
  <si>
    <t>高解像度・低ﾃﾞｨｽﾄｰｼｮﾝﾚﾝｽﾞ 50mm</t>
    <phoneticPr fontId="2"/>
  </si>
  <si>
    <t>接写ﾘﾝｸﾞｾｯﾄ</t>
    <phoneticPr fontId="2"/>
  </si>
  <si>
    <t>LED照明拡張ﾕﾆｯﾄ</t>
    <phoneticPr fontId="2"/>
  </si>
  <si>
    <t>耐屈曲LED照明用ｹｰﾌﾞﾙ3m</t>
    <phoneticPr fontId="2"/>
  </si>
  <si>
    <t>Dsub 9pﾓｼﾞｭﾗ6p変換ｺﾈｸﾀ</t>
    <phoneticPr fontId="2"/>
  </si>
  <si>
    <t>直結ｹｰﾌﾞﾙ5m</t>
    <phoneticPr fontId="2"/>
  </si>
  <si>
    <t xml:space="preserve">ｱｸｾｽｷｰｼｰﾄ </t>
    <phoneticPr fontId="2"/>
  </si>
  <si>
    <t>CA-LH50</t>
    <phoneticPr fontId="2"/>
  </si>
  <si>
    <t>OP-51612</t>
    <phoneticPr fontId="2"/>
  </si>
  <si>
    <t>列19</t>
  </si>
  <si>
    <t>kg</t>
    <phoneticPr fontId="2"/>
  </si>
  <si>
    <t>6日目</t>
    <rPh sb="1" eb="3">
      <t>ヒメ</t>
    </rPh>
    <phoneticPr fontId="2"/>
  </si>
  <si>
    <t>アメリカン電機</t>
    <rPh sb="5" eb="7">
      <t>デンキ</t>
    </rPh>
    <phoneticPr fontId="2"/>
  </si>
  <si>
    <t>CA-CH3</t>
    <phoneticPr fontId="2"/>
  </si>
  <si>
    <t>CA-DC40E</t>
    <phoneticPr fontId="2"/>
  </si>
  <si>
    <t>CA-D3s</t>
    <phoneticPr fontId="2"/>
  </si>
  <si>
    <t>DGM85R-AZAK</t>
    <phoneticPr fontId="2"/>
  </si>
  <si>
    <t>10日目</t>
    <rPh sb="2" eb="4">
      <t>ヒメ</t>
    </rPh>
    <phoneticPr fontId="2"/>
  </si>
  <si>
    <r>
      <t>SETB0164-A01　JR3303-H100+</t>
    </r>
    <r>
      <rPr>
        <sz val="20"/>
        <color indexed="10"/>
        <rFont val="ＭＳ Ｐゴシック"/>
        <family val="3"/>
        <charset val="128"/>
      </rPr>
      <t>ecoPEN300</t>
    </r>
    <r>
      <rPr>
        <sz val="20"/>
        <color indexed="8"/>
        <rFont val="ＭＳ Ｐゴシック"/>
        <family val="3"/>
        <charset val="128"/>
      </rPr>
      <t>+30cc撹拌ｼﾘﾝｼﾞ+ﾜｰｸ回転ﾃｰﾌﾞﾙ+浸け置き+配電BOX</t>
    </r>
    <phoneticPr fontId="2"/>
  </si>
  <si>
    <t>白色丸型ﾏﾙﾁｱﾝｸﾞﾙ照明 80-36</t>
    <phoneticPr fontId="2"/>
  </si>
  <si>
    <t>CA-DRW8M</t>
    <phoneticPr fontId="14"/>
  </si>
  <si>
    <t>見積もりNo. 20735117</t>
    <rPh sb="0" eb="2">
      <t>ミツ</t>
    </rPh>
    <phoneticPr fontId="14"/>
  </si>
  <si>
    <r>
      <t>JR3303　　　SRS-S303　</t>
    </r>
    <r>
      <rPr>
        <b/>
        <sz val="11"/>
        <color indexed="10"/>
        <rFont val="ＭＳ Ｐゴシック"/>
        <family val="3"/>
        <charset val="128"/>
      </rPr>
      <t>　外部スイッチBOXﾀｲﾌﾟ</t>
    </r>
    <rPh sb="19" eb="21">
      <t>ガイブ</t>
    </rPh>
    <phoneticPr fontId="2"/>
  </si>
  <si>
    <t>ｻﾝﾜｻﾌﾟﾗｲ</t>
    <phoneticPr fontId="2"/>
  </si>
  <si>
    <t>アイ・オー・データ機器</t>
    <rPh sb="9" eb="11">
      <t>キキ</t>
    </rPh>
    <phoneticPr fontId="2"/>
  </si>
  <si>
    <t>CC040VZR2</t>
    <phoneticPr fontId="2"/>
  </si>
  <si>
    <t>可動モーターケーブル　4m</t>
    <phoneticPr fontId="2"/>
  </si>
  <si>
    <t>見積もりお願い致します。</t>
    <rPh sb="0" eb="2">
      <t>ミツ</t>
    </rPh>
    <rPh sb="5" eb="6">
      <t>ネガ</t>
    </rPh>
    <rPh sb="7" eb="8">
      <t>イタ</t>
    </rPh>
    <phoneticPr fontId="14"/>
  </si>
  <si>
    <t>①</t>
    <phoneticPr fontId="14"/>
  </si>
  <si>
    <t>2Week</t>
    <phoneticPr fontId="14"/>
  </si>
  <si>
    <t>2日目</t>
    <rPh sb="1" eb="3">
      <t>ヒメ</t>
    </rPh>
    <phoneticPr fontId="2"/>
  </si>
  <si>
    <t>7日目</t>
    <rPh sb="1" eb="2">
      <t>ヒ</t>
    </rPh>
    <rPh sb="2" eb="3">
      <t>メ</t>
    </rPh>
    <phoneticPr fontId="14"/>
  </si>
  <si>
    <t>ばね　　送料</t>
    <phoneticPr fontId="14"/>
  </si>
  <si>
    <t>納品先　仙台営業所へ</t>
    <rPh sb="0" eb="2">
      <t>ノウヒン</t>
    </rPh>
    <rPh sb="2" eb="3">
      <t>サキ</t>
    </rPh>
    <rPh sb="4" eb="6">
      <t>センダイ</t>
    </rPh>
    <rPh sb="6" eb="9">
      <t>エイギョウショ</t>
    </rPh>
    <phoneticPr fontId="14"/>
  </si>
  <si>
    <t>納品　機材へ</t>
    <rPh sb="0" eb="2">
      <t>ノウヒン</t>
    </rPh>
    <rPh sb="3" eb="5">
      <t>キザイ</t>
    </rPh>
    <phoneticPr fontId="14"/>
  </si>
  <si>
    <t>1/17仙台(営)</t>
    <rPh sb="4" eb="9">
      <t>センダイエイ</t>
    </rPh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</si>
</sst>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¥&quot;#,##0;&quot;¥&quot;\-#,##0"/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"/>
  </numFmts>
  <fonts count="31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20"/>
      <color indexed="8"/>
      <name val="ＭＳ Ｐゴシック"/>
      <family val="3"/>
      <charset val="128"/>
    </font>
    <font>
      <sz val="20"/>
      <color indexed="10"/>
      <name val="ＭＳ Ｐゴシック"/>
      <family val="3"/>
      <charset val="128"/>
    </font>
    <font>
      <sz val="6"/>
      <name val="ＭＳ Ｐゴシック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11"/>
      <color rgb="FF0070C0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  <scheme val="minor"/>
    </font>
    <font>
      <b/>
      <sz val="16"/>
      <color rgb="FF0070C0"/>
      <name val="ＭＳ Ｐゴシック"/>
      <family val="3"/>
      <charset val="128"/>
      <scheme val="minor"/>
    </font>
    <font>
      <b/>
      <sz val="12"/>
      <color rgb="FFFF0000"/>
      <name val="ＭＳ Ｐゴシック"/>
      <family val="3"/>
      <charset val="128"/>
    </font>
    <font>
      <b/>
      <sz val="11"/>
      <color rgb="FF0070C0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20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/>
  </cellStyleXfs>
  <cellXfs count="14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176" fontId="4" fillId="0" borderId="2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5" fillId="0" borderId="2" xfId="0" applyFont="1" applyBorder="1" applyAlignment="1">
      <alignment horizontal="center" vertical="center" shrinkToFit="1"/>
    </xf>
    <xf numFmtId="179" fontId="0" fillId="0" borderId="2" xfId="0" applyNumberForma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6" fillId="0" borderId="2" xfId="0" applyFont="1" applyBorder="1">
      <alignment vertical="center"/>
    </xf>
    <xf numFmtId="0" fontId="1" fillId="0" borderId="2" xfId="0" applyFont="1" applyBorder="1">
      <alignment vertical="center"/>
    </xf>
    <xf numFmtId="176" fontId="18" fillId="3" borderId="2" xfId="0" applyNumberFormat="1" applyFont="1" applyFill="1" applyBorder="1" applyAlignment="1">
      <alignment horizontal="center" vertical="center"/>
    </xf>
    <xf numFmtId="176" fontId="0" fillId="0" borderId="2" xfId="0" applyNumberFormat="1" applyBorder="1">
      <alignment vertical="center"/>
    </xf>
    <xf numFmtId="3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3" fontId="19" fillId="0" borderId="2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2" xfId="0" applyBorder="1">
      <alignment vertical="center"/>
    </xf>
    <xf numFmtId="176" fontId="0" fillId="0" borderId="2" xfId="0" applyNumberForma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6" fillId="0" borderId="2" xfId="3" applyBorder="1" applyAlignment="1">
      <alignment horizontal="center" vertical="center"/>
    </xf>
    <xf numFmtId="0" fontId="6" fillId="0" borderId="2" xfId="3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 shrinkToFit="1"/>
    </xf>
    <xf numFmtId="0" fontId="19" fillId="0" borderId="2" xfId="0" applyFont="1" applyBorder="1">
      <alignment vertical="center"/>
    </xf>
    <xf numFmtId="176" fontId="20" fillId="3" borderId="2" xfId="0" applyNumberFormat="1" applyFont="1" applyFill="1" applyBorder="1" applyAlignment="1">
      <alignment horizontal="center" vertical="center"/>
    </xf>
    <xf numFmtId="3" fontId="0" fillId="4" borderId="2" xfId="0" applyNumberFormat="1" applyFill="1" applyBorder="1" applyAlignment="1">
      <alignment horizontal="center" vertical="center"/>
    </xf>
    <xf numFmtId="38" fontId="0" fillId="0" borderId="2" xfId="0" applyNumberFormat="1" applyBorder="1" applyAlignment="1">
      <alignment horizontal="center" vertical="center"/>
    </xf>
    <xf numFmtId="176" fontId="21" fillId="0" borderId="2" xfId="0" applyNumberFormat="1" applyFont="1" applyBorder="1" applyAlignment="1">
      <alignment horizontal="center" vertical="center"/>
    </xf>
    <xf numFmtId="0" fontId="6" fillId="0" borderId="2" xfId="3" applyBorder="1" applyAlignment="1">
      <alignment vertical="center"/>
    </xf>
    <xf numFmtId="0" fontId="19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176" fontId="22" fillId="3" borderId="2" xfId="0" applyNumberFormat="1" applyFont="1" applyFill="1" applyBorder="1" applyAlignment="1">
      <alignment horizontal="center" vertical="center"/>
    </xf>
    <xf numFmtId="38" fontId="0" fillId="0" borderId="2" xfId="0" applyNumberFormat="1" applyBorder="1">
      <alignment vertical="center"/>
    </xf>
    <xf numFmtId="0" fontId="0" fillId="4" borderId="2" xfId="0" applyFill="1" applyBorder="1" applyAlignment="1">
      <alignment horizontal="left" vertical="center"/>
    </xf>
    <xf numFmtId="176" fontId="0" fillId="0" borderId="2" xfId="0" applyNumberFormat="1" applyBorder="1" applyAlignment="1"/>
    <xf numFmtId="0" fontId="0" fillId="4" borderId="2" xfId="0" applyFill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0" xfId="0" applyNumberFormat="1" applyAlignment="1">
      <alignment horizontal="center" vertical="center"/>
    </xf>
    <xf numFmtId="0" fontId="23" fillId="0" borderId="2" xfId="0" applyFont="1" applyBorder="1" applyAlignment="1">
      <alignment vertical="center" shrinkToFit="1"/>
    </xf>
    <xf numFmtId="0" fontId="24" fillId="0" borderId="2" xfId="0" applyFont="1" applyBorder="1">
      <alignment vertical="center"/>
    </xf>
    <xf numFmtId="176" fontId="19" fillId="6" borderId="2" xfId="0" applyNumberFormat="1" applyFont="1" applyFill="1" applyBorder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176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49" fontId="0" fillId="0" borderId="2" xfId="0" applyNumberFormat="1" applyBorder="1" applyAlignment="1">
      <alignment horizontal="left" vertical="center"/>
    </xf>
    <xf numFmtId="0" fontId="16" fillId="0" borderId="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6" fontId="22" fillId="0" borderId="2" xfId="0" applyNumberFormat="1" applyFont="1" applyBorder="1" applyAlignment="1">
      <alignment horizontal="center" vertical="center"/>
    </xf>
    <xf numFmtId="180" fontId="0" fillId="0" borderId="2" xfId="0" applyNumberFormat="1" applyBorder="1">
      <alignment vertical="center"/>
    </xf>
    <xf numFmtId="180" fontId="19" fillId="0" borderId="2" xfId="0" applyNumberFormat="1" applyFont="1" applyBorder="1">
      <alignment vertical="center"/>
    </xf>
    <xf numFmtId="180" fontId="19" fillId="4" borderId="2" xfId="0" applyNumberFormat="1" applyFont="1" applyFill="1" applyBorder="1">
      <alignment vertical="center"/>
    </xf>
    <xf numFmtId="38" fontId="19" fillId="0" borderId="2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56" fontId="0" fillId="0" borderId="2" xfId="0" applyNumberFormat="1" applyBorder="1" applyAlignment="1">
      <alignment horizontal="center" vertical="center"/>
    </xf>
    <xf numFmtId="38" fontId="0" fillId="0" borderId="1" xfId="0" applyNumberFormat="1" applyBorder="1" applyAlignment="1">
      <alignment horizontal="right" vertical="center"/>
    </xf>
    <xf numFmtId="3" fontId="18" fillId="7" borderId="1" xfId="0" applyNumberFormat="1" applyFont="1" applyFill="1" applyBorder="1" applyAlignment="1">
      <alignment horizontal="center" vertical="center"/>
    </xf>
    <xf numFmtId="3" fontId="18" fillId="7" borderId="4" xfId="0" applyNumberFormat="1" applyFont="1" applyFill="1" applyBorder="1" applyAlignment="1">
      <alignment horizontal="center" vertical="center"/>
    </xf>
    <xf numFmtId="3" fontId="18" fillId="7" borderId="3" xfId="0" applyNumberFormat="1" applyFont="1" applyFill="1" applyBorder="1" applyAlignment="1">
      <alignment horizontal="center" vertical="center"/>
    </xf>
    <xf numFmtId="3" fontId="8" fillId="0" borderId="2" xfId="0" applyNumberFormat="1" applyFont="1" applyBorder="1" applyAlignment="1">
      <alignment horizontal="center" vertical="center"/>
    </xf>
    <xf numFmtId="5" fontId="21" fillId="0" borderId="2" xfId="0" applyNumberFormat="1" applyFont="1" applyBorder="1">
      <alignment vertical="center"/>
    </xf>
    <xf numFmtId="0" fontId="9" fillId="0" borderId="2" xfId="3" applyFont="1" applyBorder="1" applyAlignment="1">
      <alignment vertical="center"/>
    </xf>
    <xf numFmtId="0" fontId="26" fillId="0" borderId="2" xfId="3" applyFont="1" applyBorder="1" applyAlignment="1">
      <alignment vertical="center"/>
    </xf>
    <xf numFmtId="3" fontId="8" fillId="8" borderId="2" xfId="0" applyNumberFormat="1" applyFont="1" applyFill="1" applyBorder="1" applyAlignment="1">
      <alignment horizontal="center" vertical="center"/>
    </xf>
    <xf numFmtId="0" fontId="6" fillId="8" borderId="3" xfId="3" applyFill="1" applyBorder="1" applyAlignment="1">
      <alignment horizontal="left" vertical="center"/>
    </xf>
    <xf numFmtId="0" fontId="6" fillId="8" borderId="2" xfId="3" applyFill="1" applyBorder="1" applyAlignment="1">
      <alignment horizontal="center" vertical="center"/>
    </xf>
    <xf numFmtId="5" fontId="21" fillId="8" borderId="1" xfId="0" applyNumberFormat="1" applyFont="1" applyFill="1" applyBorder="1" applyAlignment="1">
      <alignment horizontal="center" vertical="center"/>
    </xf>
    <xf numFmtId="0" fontId="6" fillId="0" borderId="2" xfId="3" applyBorder="1" applyAlignment="1">
      <alignment horizontal="right" vertical="center"/>
    </xf>
    <xf numFmtId="5" fontId="21" fillId="0" borderId="1" xfId="0" applyNumberFormat="1" applyFont="1" applyBorder="1" applyAlignment="1">
      <alignment horizontal="center" vertical="center"/>
    </xf>
    <xf numFmtId="0" fontId="23" fillId="0" borderId="2" xfId="0" applyFont="1" applyBorder="1" applyAlignment="1">
      <alignment horizontal="left" vertical="center"/>
    </xf>
    <xf numFmtId="0" fontId="15" fillId="0" borderId="2" xfId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79" fontId="0" fillId="0" borderId="5" xfId="0" applyNumberFormat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0" fontId="6" fillId="0" borderId="0" xfId="3"/>
    <xf numFmtId="0" fontId="21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left" vertical="center" shrinkToFit="1"/>
    </xf>
    <xf numFmtId="0" fontId="6" fillId="0" borderId="2" xfId="0" applyFont="1" applyBorder="1" applyAlignment="1">
      <alignment horizontal="center" vertical="center"/>
    </xf>
    <xf numFmtId="176" fontId="21" fillId="0" borderId="2" xfId="0" applyNumberFormat="1" applyFont="1" applyBorder="1" applyAlignment="1"/>
    <xf numFmtId="0" fontId="8" fillId="0" borderId="2" xfId="0" applyFont="1" applyBorder="1" applyAlignment="1">
      <alignment horizontal="center" vertical="center"/>
    </xf>
    <xf numFmtId="180" fontId="6" fillId="0" borderId="2" xfId="3" applyNumberFormat="1" applyBorder="1" applyAlignment="1">
      <alignment vertical="center"/>
    </xf>
    <xf numFmtId="176" fontId="21" fillId="0" borderId="1" xfId="0" applyNumberFormat="1" applyFont="1" applyBorder="1" applyAlignment="1"/>
    <xf numFmtId="5" fontId="21" fillId="0" borderId="2" xfId="0" applyNumberFormat="1" applyFont="1" applyBorder="1" applyAlignment="1">
      <alignment horizontal="center" vertical="center"/>
    </xf>
    <xf numFmtId="176" fontId="6" fillId="5" borderId="3" xfId="0" applyNumberFormat="1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6" fillId="0" borderId="3" xfId="3" applyBorder="1" applyAlignment="1">
      <alignment horizontal="center" vertical="center"/>
    </xf>
    <xf numFmtId="176" fontId="0" fillId="0" borderId="1" xfId="0" applyNumberFormat="1" applyBorder="1" applyAlignment="1"/>
    <xf numFmtId="3" fontId="0" fillId="6" borderId="2" xfId="0" applyNumberFormat="1" applyFill="1" applyBorder="1" applyAlignment="1">
      <alignment horizontal="center" vertical="center"/>
    </xf>
    <xf numFmtId="176" fontId="22" fillId="0" borderId="2" xfId="0" applyNumberFormat="1" applyFont="1" applyBorder="1" applyAlignment="1">
      <alignment horizontal="left" vertical="center"/>
    </xf>
    <xf numFmtId="3" fontId="18" fillId="7" borderId="1" xfId="0" applyNumberFormat="1" applyFont="1" applyFill="1" applyBorder="1" applyAlignment="1">
      <alignment horizontal="left" vertical="center"/>
    </xf>
    <xf numFmtId="0" fontId="21" fillId="0" borderId="2" xfId="3" applyFont="1" applyBorder="1" applyAlignment="1">
      <alignment vertical="center"/>
    </xf>
    <xf numFmtId="176" fontId="0" fillId="0" borderId="2" xfId="0" applyNumberFormat="1" applyBorder="1" applyAlignment="1">
      <alignment horizontal="center"/>
    </xf>
    <xf numFmtId="176" fontId="21" fillId="0" borderId="3" xfId="0" applyNumberFormat="1" applyFont="1" applyBorder="1">
      <alignment vertical="center"/>
    </xf>
    <xf numFmtId="0" fontId="11" fillId="0" borderId="2" xfId="3" applyFont="1" applyBorder="1" applyAlignment="1">
      <alignment horizontal="center" vertical="center"/>
    </xf>
    <xf numFmtId="0" fontId="11" fillId="7" borderId="1" xfId="3" applyFont="1" applyFill="1" applyBorder="1" applyAlignment="1">
      <alignment horizontal="center" vertical="center"/>
    </xf>
    <xf numFmtId="0" fontId="11" fillId="7" borderId="4" xfId="3" applyFont="1" applyFill="1" applyBorder="1" applyAlignment="1">
      <alignment horizontal="center" vertical="center"/>
    </xf>
    <xf numFmtId="0" fontId="11" fillId="7" borderId="3" xfId="3" applyFont="1" applyFill="1" applyBorder="1" applyAlignment="1">
      <alignment horizontal="center" vertical="center"/>
    </xf>
    <xf numFmtId="3" fontId="0" fillId="9" borderId="2" xfId="0" applyNumberFormat="1" applyFill="1" applyBorder="1" applyAlignment="1">
      <alignment horizontal="center" vertical="center"/>
    </xf>
    <xf numFmtId="3" fontId="0" fillId="7" borderId="2" xfId="0" applyNumberFormat="1" applyFill="1" applyBorder="1" applyAlignment="1">
      <alignment horizontal="center" vertical="center"/>
    </xf>
    <xf numFmtId="176" fontId="22" fillId="7" borderId="2" xfId="0" applyNumberFormat="1" applyFont="1" applyFill="1" applyBorder="1" applyAlignment="1">
      <alignment horizontal="left" vertical="center"/>
    </xf>
    <xf numFmtId="176" fontId="21" fillId="0" borderId="1" xfId="0" applyNumberFormat="1" applyFont="1" applyBorder="1" applyAlignment="1">
      <alignment horizontal="left" vertical="center"/>
    </xf>
    <xf numFmtId="0" fontId="17" fillId="10" borderId="0" xfId="0" applyFont="1" applyFill="1" applyAlignment="1">
      <alignment horizontal="center" vertical="center"/>
    </xf>
    <xf numFmtId="0" fontId="17" fillId="10" borderId="2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1" fillId="0" borderId="2" xfId="0" applyFont="1" applyBorder="1" applyAlignment="1">
      <alignment horizontal="center" vertical="center" shrinkToFit="1"/>
    </xf>
    <xf numFmtId="176" fontId="0" fillId="0" borderId="3" xfId="0" applyNumberFormat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3" fontId="21" fillId="11" borderId="2" xfId="0" applyNumberFormat="1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2" xfId="0" applyFill="1" applyBorder="1">
      <alignment vertical="center"/>
    </xf>
    <xf numFmtId="38" fontId="0" fillId="11" borderId="2" xfId="0" applyNumberFormat="1" applyFill="1" applyBorder="1" applyAlignment="1">
      <alignment horizontal="center" vertical="center"/>
    </xf>
    <xf numFmtId="176" fontId="28" fillId="11" borderId="2" xfId="0" applyNumberFormat="1" applyFont="1" applyFill="1" applyBorder="1" applyAlignment="1">
      <alignment horizontal="center" vertical="center"/>
    </xf>
    <xf numFmtId="176" fontId="21" fillId="11" borderId="2" xfId="0" applyNumberFormat="1" applyFont="1" applyFill="1" applyBorder="1">
      <alignment vertical="center"/>
    </xf>
    <xf numFmtId="5" fontId="0" fillId="11" borderId="2" xfId="0" applyNumberFormat="1" applyFill="1" applyBorder="1">
      <alignment vertical="center"/>
    </xf>
    <xf numFmtId="176" fontId="0" fillId="11" borderId="2" xfId="0" applyNumberFormat="1" applyFill="1" applyBorder="1">
      <alignment vertical="center"/>
    </xf>
    <xf numFmtId="180" fontId="0" fillId="11" borderId="2" xfId="0" applyNumberFormat="1" applyFill="1" applyBorder="1">
      <alignment vertical="center"/>
    </xf>
    <xf numFmtId="176" fontId="0" fillId="11" borderId="2" xfId="0" applyNumberFormat="1" applyFill="1" applyBorder="1" applyAlignment="1">
      <alignment horizontal="center" vertical="center"/>
    </xf>
    <xf numFmtId="0" fontId="27" fillId="0" borderId="2" xfId="0" applyFont="1" applyBorder="1" applyAlignment="1">
      <alignment horizontal="left" vertical="center" shrinkToFit="1"/>
    </xf>
    <xf numFmtId="176" fontId="6" fillId="0" borderId="3" xfId="0" applyNumberFormat="1" applyFont="1" applyBorder="1" applyAlignment="1">
      <alignment horizontal="center" vertical="center"/>
    </xf>
    <xf numFmtId="0" fontId="0" fillId="11" borderId="2" xfId="0" applyFill="1" applyBorder="1" applyAlignment="1">
      <alignment horizontal="left" vertical="center"/>
    </xf>
    <xf numFmtId="0" fontId="23" fillId="0" borderId="2" xfId="0" applyFont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38" fontId="30" fillId="10" borderId="2" xfId="0" applyNumberFormat="1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9" fillId="6" borderId="0" xfId="0" applyFont="1" applyFill="1" applyAlignment="1">
      <alignment horizontal="left" vertical="center"/>
    </xf>
    <xf numFmtId="0" fontId="29" fillId="0" borderId="8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80" fontId="19" fillId="0" borderId="2" xfId="0" applyNumberFormat="1" applyFont="1" applyBorder="1" applyAlignment="1">
      <alignment horizontal="center" vertical="center"/>
    </xf>
    <xf numFmtId="180" fontId="6" fillId="8" borderId="2" xfId="3" applyNumberFormat="1" applyFill="1" applyBorder="1" applyAlignment="1">
      <alignment horizontal="center" vertical="center"/>
    </xf>
  </cellXfs>
  <cellStyles count="4">
    <cellStyle name="ハイパーリンク" xfId="1" builtinId="8"/>
    <cellStyle name="標準" xfId="0" builtinId="0"/>
    <cellStyle name="標準 2" xfId="2" xr:uid="{00000000-0005-0000-0000-000002000000}"/>
    <cellStyle name="標準_発注管理表" xfId="3" xr:uid="{00000000-0005-0000-0000-000003000000}"/>
  </cellStyles>
  <dxfs count="22">
    <dxf>
      <numFmt numFmtId="178" formatCode="m/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6" formatCode="#,##0_);[Red]\(#,##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80" formatCode="0_ 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right style="thin">
          <color rgb="FF000000"/>
        </right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00000000}" name="テーブル1192829" displayName="テーブル1192829" ref="A8:S181" totalsRowShown="0" dataDxfId="20" headerRowBorderDxfId="21" tableBorderDxfId="19">
  <autoFilter ref="A8:S181" xr:uid="{00000000-0009-0000-0100-00001C000000}"/>
  <tableColumns count="19">
    <tableColumn id="1" xr3:uid="{00000000-0010-0000-0000-000001000000}" name="列1" dataDxfId="18"/>
    <tableColumn id="19" xr3:uid="{00000000-0010-0000-0000-000013000000}" name="列19" dataDxfId="17"/>
    <tableColumn id="2" xr3:uid="{00000000-0010-0000-0000-000002000000}" name="列2" dataDxfId="16"/>
    <tableColumn id="3" xr3:uid="{00000000-0010-0000-0000-000003000000}" name="列3" dataDxfId="15"/>
    <tableColumn id="4" xr3:uid="{00000000-0010-0000-0000-000004000000}" name="列4" dataDxfId="14"/>
    <tableColumn id="5" xr3:uid="{00000000-0010-0000-0000-000005000000}" name="列5" dataDxfId="13"/>
    <tableColumn id="6" xr3:uid="{00000000-0010-0000-0000-000006000000}" name="列6" dataDxfId="12"/>
    <tableColumn id="7" xr3:uid="{00000000-0010-0000-0000-000007000000}" name="列7" dataDxfId="11"/>
    <tableColumn id="8" xr3:uid="{00000000-0010-0000-0000-000008000000}" name="列8" dataDxfId="10"/>
    <tableColumn id="9" xr3:uid="{00000000-0010-0000-0000-000009000000}" name="列9" dataDxfId="9"/>
    <tableColumn id="10" xr3:uid="{00000000-0010-0000-0000-00000A000000}" name="列10" dataDxfId="8"/>
    <tableColumn id="11" xr3:uid="{00000000-0010-0000-0000-00000B000000}" name="列11" dataDxfId="7"/>
    <tableColumn id="12" xr3:uid="{00000000-0010-0000-0000-00000C000000}" name="列12" dataDxfId="6"/>
    <tableColumn id="13" xr3:uid="{00000000-0010-0000-0000-00000D000000}" name="列13" dataDxfId="5"/>
    <tableColumn id="14" xr3:uid="{00000000-0010-0000-0000-00000E000000}" name="列14" dataDxfId="4"/>
    <tableColumn id="15" xr3:uid="{00000000-0010-0000-0000-00000F000000}" name="列15" dataDxfId="3"/>
    <tableColumn id="16" xr3:uid="{00000000-0010-0000-0000-000010000000}" name="列16" dataDxfId="2"/>
    <tableColumn id="17" xr3:uid="{00000000-0010-0000-0000-000011000000}" name="列17" dataDxfId="1"/>
    <tableColumn id="18" xr3:uid="{00000000-0010-0000-0000-000012000000}" name="列1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2:S182"/>
  <sheetViews>
    <sheetView tabSelected="1" zoomScale="85" zoomScaleNormal="85" workbookViewId="0">
      <pane xSplit="12" ySplit="8" topLeftCell="M9" activePane="bottomRight" state="frozen"/>
      <selection pane="topRight" activeCell="K1" sqref="K1"/>
      <selection pane="bottomLeft" activeCell="A9" sqref="A9"/>
      <selection pane="bottomRight" activeCell="F16" sqref="F16"/>
    </sheetView>
  </sheetViews>
  <sheetFormatPr defaultRowHeight="13" x14ac:dyDescent="0.2"/>
  <cols>
    <col min="3" max="3" width="9.08984375" customWidth="1"/>
    <col min="4" max="4" width="6.08984375" style="2" customWidth="1"/>
    <col min="5" max="6" width="15.90625" customWidth="1"/>
    <col min="7" max="7" width="64.08984375" customWidth="1"/>
    <col min="8" max="8" width="6.08984375" customWidth="1"/>
    <col min="9" max="10" width="9.90625" style="2" bestFit="1" customWidth="1"/>
    <col min="11" max="11" width="7.36328125" style="48" customWidth="1"/>
    <col min="12" max="12" width="47.90625" customWidth="1"/>
    <col min="13" max="13" width="47.453125" customWidth="1"/>
    <col min="14" max="14" width="30.90625" style="2" customWidth="1"/>
    <col min="15" max="15" width="13.90625" style="9" customWidth="1"/>
    <col min="16" max="16" width="7.36328125" customWidth="1"/>
    <col min="17" max="17" width="13.08984375" style="6" customWidth="1"/>
    <col min="18" max="18" width="18.08984375" style="10" customWidth="1"/>
    <col min="19" max="19" width="15.6328125" style="11" customWidth="1"/>
  </cols>
  <sheetData>
    <row r="2" spans="1:19" ht="20.149999999999999" customHeight="1" x14ac:dyDescent="0.2">
      <c r="D2" s="136" t="s">
        <v>11</v>
      </c>
      <c r="E2" s="136"/>
      <c r="F2" s="136"/>
      <c r="G2" s="7" t="s">
        <v>78</v>
      </c>
      <c r="I2" s="137" t="s">
        <v>14</v>
      </c>
      <c r="J2" s="138"/>
      <c r="K2" s="139"/>
      <c r="L2" s="5">
        <f>SUM(J:J)</f>
        <v>1815380</v>
      </c>
    </row>
    <row r="3" spans="1:19" ht="20.149999999999999" customHeight="1" x14ac:dyDescent="0.2">
      <c r="D3" s="136" t="s">
        <v>10</v>
      </c>
      <c r="E3" s="136"/>
      <c r="F3" s="136"/>
      <c r="G3" s="3" t="s">
        <v>79</v>
      </c>
      <c r="J3" s="140" t="s">
        <v>114</v>
      </c>
      <c r="K3" s="140"/>
      <c r="L3" s="140"/>
      <c r="M3" s="140"/>
    </row>
    <row r="4" spans="1:19" ht="20.149999999999999" customHeight="1" x14ac:dyDescent="0.2">
      <c r="D4" s="136" t="s">
        <v>21</v>
      </c>
      <c r="E4" s="136"/>
      <c r="F4" s="136"/>
      <c r="G4" s="3" t="s">
        <v>71</v>
      </c>
      <c r="I4" s="141" t="s">
        <v>124</v>
      </c>
      <c r="J4" s="140"/>
      <c r="K4" s="140"/>
      <c r="L4" s="140"/>
      <c r="M4" s="140"/>
    </row>
    <row r="5" spans="1:19" ht="20.149999999999999" customHeight="1" x14ac:dyDescent="0.2">
      <c r="D5" s="136" t="s">
        <v>12</v>
      </c>
      <c r="E5" s="136"/>
      <c r="F5" s="136"/>
      <c r="G5" s="4">
        <v>45324</v>
      </c>
      <c r="I5" s="142"/>
      <c r="J5" s="61"/>
    </row>
    <row r="6" spans="1:19" ht="20.149999999999999" customHeight="1" x14ac:dyDescent="0.2">
      <c r="D6" s="136" t="s">
        <v>13</v>
      </c>
      <c r="E6" s="136"/>
      <c r="F6" s="136"/>
      <c r="G6" s="4">
        <v>45327</v>
      </c>
      <c r="I6" s="119"/>
      <c r="J6" s="48" t="s">
        <v>123</v>
      </c>
    </row>
    <row r="8" spans="1:19" s="2" customFormat="1" ht="19.75" customHeight="1" x14ac:dyDescent="0.2">
      <c r="A8" s="55" t="s">
        <v>53</v>
      </c>
      <c r="B8" s="55" t="s">
        <v>105</v>
      </c>
      <c r="C8" s="55" t="s">
        <v>54</v>
      </c>
      <c r="D8" s="80" t="s">
        <v>55</v>
      </c>
      <c r="E8" s="80" t="s">
        <v>56</v>
      </c>
      <c r="F8" s="80" t="s">
        <v>57</v>
      </c>
      <c r="G8" s="55" t="s">
        <v>58</v>
      </c>
      <c r="H8" s="81" t="s">
        <v>59</v>
      </c>
      <c r="I8" s="55" t="s">
        <v>60</v>
      </c>
      <c r="J8" s="82" t="s">
        <v>61</v>
      </c>
      <c r="K8" s="83" t="s">
        <v>62</v>
      </c>
      <c r="L8" s="55" t="s">
        <v>63</v>
      </c>
      <c r="M8" s="55" t="s">
        <v>64</v>
      </c>
      <c r="N8" s="55" t="s">
        <v>65</v>
      </c>
      <c r="O8" s="84" t="s">
        <v>66</v>
      </c>
      <c r="P8" s="80" t="s">
        <v>67</v>
      </c>
      <c r="Q8" s="55" t="s">
        <v>68</v>
      </c>
      <c r="R8" s="84" t="s">
        <v>69</v>
      </c>
      <c r="S8" s="85" t="s">
        <v>70</v>
      </c>
    </row>
    <row r="9" spans="1:19" s="2" customFormat="1" ht="19.75" customHeight="1" x14ac:dyDescent="0.2">
      <c r="A9" s="17" t="s">
        <v>52</v>
      </c>
      <c r="B9" s="17"/>
      <c r="C9" s="17" t="s">
        <v>51</v>
      </c>
      <c r="D9" s="16" t="s">
        <v>4</v>
      </c>
      <c r="E9" s="16" t="s">
        <v>9</v>
      </c>
      <c r="F9" s="16" t="s">
        <v>5</v>
      </c>
      <c r="G9" s="17" t="s">
        <v>8</v>
      </c>
      <c r="H9" s="21" t="s">
        <v>0</v>
      </c>
      <c r="I9" s="17" t="s">
        <v>1</v>
      </c>
      <c r="J9" s="1" t="s">
        <v>2</v>
      </c>
      <c r="K9" s="49" t="s">
        <v>17</v>
      </c>
      <c r="L9" s="17" t="s">
        <v>3</v>
      </c>
      <c r="M9" s="17" t="s">
        <v>16</v>
      </c>
      <c r="N9" s="17" t="s">
        <v>15</v>
      </c>
      <c r="O9" s="8" t="s">
        <v>6</v>
      </c>
      <c r="P9" s="16" t="s">
        <v>18</v>
      </c>
      <c r="Q9" s="17" t="s">
        <v>7</v>
      </c>
      <c r="R9" s="8" t="s">
        <v>19</v>
      </c>
      <c r="S9" s="79" t="s">
        <v>20</v>
      </c>
    </row>
    <row r="10" spans="1:19" s="2" customFormat="1" ht="19.75" customHeight="1" x14ac:dyDescent="0.2">
      <c r="D10" s="16"/>
      <c r="E10" s="16"/>
      <c r="F10" s="16"/>
      <c r="G10" s="17"/>
      <c r="H10" s="21"/>
      <c r="I10" s="17"/>
      <c r="J10" s="1"/>
      <c r="K10" s="49"/>
      <c r="L10" s="17"/>
      <c r="M10" s="17"/>
      <c r="N10" s="17"/>
      <c r="O10" s="8"/>
      <c r="P10" s="16"/>
      <c r="Q10" s="17"/>
      <c r="R10" s="8"/>
      <c r="S10" s="79"/>
    </row>
    <row r="11" spans="1:19" s="2" customFormat="1" ht="19.75" customHeight="1" x14ac:dyDescent="0.2">
      <c r="D11" s="16"/>
      <c r="E11" s="64" t="s">
        <v>28</v>
      </c>
      <c r="F11" s="65"/>
      <c r="G11" s="66"/>
      <c r="H11" s="17"/>
      <c r="I11" s="17"/>
      <c r="J11" s="1"/>
      <c r="K11" s="49"/>
      <c r="L11" s="17"/>
      <c r="M11" s="17"/>
      <c r="N11" s="17"/>
      <c r="O11" s="8"/>
      <c r="P11" s="16"/>
      <c r="Q11" s="17"/>
      <c r="R11" s="8"/>
      <c r="S11" s="79"/>
    </row>
    <row r="12" spans="1:19" s="2" customFormat="1" ht="19.75" customHeight="1" x14ac:dyDescent="0.2">
      <c r="A12" s="17" t="s">
        <v>29</v>
      </c>
      <c r="B12" s="17"/>
      <c r="C12" s="17">
        <v>1</v>
      </c>
      <c r="D12" s="109">
        <v>1</v>
      </c>
      <c r="E12" s="16" t="s">
        <v>28</v>
      </c>
      <c r="F12" s="16" t="s">
        <v>28</v>
      </c>
      <c r="G12" s="18" t="s">
        <v>80</v>
      </c>
      <c r="H12" s="17">
        <v>1</v>
      </c>
      <c r="I12" s="16">
        <v>643000</v>
      </c>
      <c r="J12" s="20">
        <f t="shared" ref="J12:J25" si="0">H12*I12</f>
        <v>643000</v>
      </c>
      <c r="K12" s="1"/>
      <c r="L12" s="18" t="s">
        <v>118</v>
      </c>
      <c r="M12" s="17"/>
      <c r="N12" s="133" t="s">
        <v>130</v>
      </c>
      <c r="O12" s="8">
        <v>45280</v>
      </c>
      <c r="P12" s="16"/>
      <c r="Q12" s="62">
        <v>44962</v>
      </c>
      <c r="R12" s="8">
        <v>45327</v>
      </c>
      <c r="S12" s="79">
        <v>45327</v>
      </c>
    </row>
    <row r="13" spans="1:19" s="2" customFormat="1" ht="19.75" customHeight="1" x14ac:dyDescent="0.2">
      <c r="A13" s="17" t="s">
        <v>29</v>
      </c>
      <c r="B13" s="17"/>
      <c r="C13" s="17">
        <v>1</v>
      </c>
      <c r="D13" s="109">
        <f t="shared" ref="D13:D24" si="1">+D12+1</f>
        <v>2</v>
      </c>
      <c r="E13" s="67" t="s">
        <v>28</v>
      </c>
      <c r="F13" s="67" t="s">
        <v>28</v>
      </c>
      <c r="G13" s="33" t="s">
        <v>30</v>
      </c>
      <c r="H13" s="24">
        <v>1</v>
      </c>
      <c r="I13" s="24">
        <v>40000</v>
      </c>
      <c r="J13" s="94">
        <f t="shared" si="0"/>
        <v>40000</v>
      </c>
      <c r="K13" s="69"/>
      <c r="L13" s="33" t="s">
        <v>31</v>
      </c>
      <c r="M13" s="17"/>
      <c r="N13" s="133" t="s">
        <v>130</v>
      </c>
      <c r="O13" s="8">
        <v>45280</v>
      </c>
      <c r="P13" s="16"/>
      <c r="Q13" s="62">
        <v>44962</v>
      </c>
      <c r="R13" s="8">
        <v>45327</v>
      </c>
      <c r="S13" s="79">
        <v>45327</v>
      </c>
    </row>
    <row r="14" spans="1:19" s="2" customFormat="1" ht="19.75" customHeight="1" x14ac:dyDescent="0.2">
      <c r="A14" s="17" t="s">
        <v>29</v>
      </c>
      <c r="B14" s="17"/>
      <c r="C14" s="17">
        <v>8</v>
      </c>
      <c r="D14" s="109">
        <f t="shared" si="1"/>
        <v>3</v>
      </c>
      <c r="E14" s="16" t="s">
        <v>28</v>
      </c>
      <c r="F14" s="16" t="s">
        <v>28</v>
      </c>
      <c r="G14" s="52" t="s">
        <v>32</v>
      </c>
      <c r="H14" s="17">
        <v>1</v>
      </c>
      <c r="I14" s="16">
        <v>48000</v>
      </c>
      <c r="J14" s="20">
        <f t="shared" si="0"/>
        <v>48000</v>
      </c>
      <c r="K14" s="1"/>
      <c r="L14" s="18" t="s">
        <v>33</v>
      </c>
      <c r="M14" s="54" t="s">
        <v>34</v>
      </c>
      <c r="N14" s="133" t="s">
        <v>130</v>
      </c>
      <c r="O14" s="8"/>
      <c r="P14" s="16"/>
      <c r="Q14" s="62"/>
      <c r="R14" s="8"/>
      <c r="S14" s="79"/>
    </row>
    <row r="15" spans="1:19" s="2" customFormat="1" ht="19.75" customHeight="1" x14ac:dyDescent="0.2">
      <c r="A15" s="17" t="s">
        <v>125</v>
      </c>
      <c r="B15" s="17"/>
      <c r="C15" s="17">
        <v>5</v>
      </c>
      <c r="D15" s="109">
        <f t="shared" si="1"/>
        <v>4</v>
      </c>
      <c r="E15" s="67" t="s">
        <v>28</v>
      </c>
      <c r="F15" s="67" t="s">
        <v>28</v>
      </c>
      <c r="G15" s="33" t="s">
        <v>35</v>
      </c>
      <c r="H15" s="24">
        <v>1</v>
      </c>
      <c r="I15" s="24">
        <v>2000</v>
      </c>
      <c r="J15" s="94">
        <f t="shared" si="0"/>
        <v>2000</v>
      </c>
      <c r="K15" s="69"/>
      <c r="L15" s="33" t="s">
        <v>36</v>
      </c>
      <c r="M15" s="70" t="s">
        <v>37</v>
      </c>
      <c r="N15" s="133" t="s">
        <v>130</v>
      </c>
      <c r="O15" s="8"/>
      <c r="P15" s="16"/>
      <c r="Q15" s="62"/>
      <c r="R15" s="8"/>
      <c r="S15" s="79"/>
    </row>
    <row r="16" spans="1:19" s="2" customFormat="1" ht="19.75" customHeight="1" x14ac:dyDescent="0.2">
      <c r="A16" s="17" t="s">
        <v>29</v>
      </c>
      <c r="B16" s="17"/>
      <c r="C16" s="17">
        <v>2</v>
      </c>
      <c r="D16" s="109">
        <f t="shared" si="1"/>
        <v>5</v>
      </c>
      <c r="E16" s="16" t="s">
        <v>28</v>
      </c>
      <c r="F16" s="16" t="s">
        <v>28</v>
      </c>
      <c r="G16" s="18" t="s">
        <v>38</v>
      </c>
      <c r="H16" s="17">
        <v>1</v>
      </c>
      <c r="I16" s="23">
        <v>25600</v>
      </c>
      <c r="J16" s="31">
        <f t="shared" si="0"/>
        <v>25600</v>
      </c>
      <c r="K16" s="1"/>
      <c r="L16" s="18" t="s">
        <v>39</v>
      </c>
      <c r="M16" s="54"/>
      <c r="N16" s="133" t="s">
        <v>130</v>
      </c>
      <c r="O16" s="8">
        <v>45338</v>
      </c>
      <c r="P16" s="16"/>
      <c r="Q16" s="62">
        <v>45342</v>
      </c>
      <c r="R16" s="8"/>
      <c r="S16" s="79"/>
    </row>
    <row r="17" spans="1:19" s="2" customFormat="1" ht="19.75" customHeight="1" x14ac:dyDescent="0.2">
      <c r="A17" s="17" t="s">
        <v>127</v>
      </c>
      <c r="B17" s="17"/>
      <c r="C17" s="17">
        <v>6</v>
      </c>
      <c r="D17" s="109">
        <f t="shared" si="1"/>
        <v>6</v>
      </c>
      <c r="E17" s="16" t="s">
        <v>22</v>
      </c>
      <c r="F17" s="16" t="s">
        <v>22</v>
      </c>
      <c r="G17" s="34" t="s">
        <v>72</v>
      </c>
      <c r="H17" s="144">
        <v>1</v>
      </c>
      <c r="I17" s="60">
        <v>19600</v>
      </c>
      <c r="J17" s="31">
        <f>H17*I17</f>
        <v>19600</v>
      </c>
      <c r="K17" s="49"/>
      <c r="L17" s="18" t="s">
        <v>73</v>
      </c>
      <c r="M17" s="17" t="s">
        <v>74</v>
      </c>
      <c r="N17" s="133" t="s">
        <v>130</v>
      </c>
      <c r="O17" s="8">
        <v>45280</v>
      </c>
      <c r="P17" s="16"/>
      <c r="Q17" s="62"/>
      <c r="R17" s="8">
        <v>44943</v>
      </c>
      <c r="S17" s="79"/>
    </row>
    <row r="18" spans="1:19" s="2" customFormat="1" ht="19.75" customHeight="1" x14ac:dyDescent="0.2">
      <c r="A18" s="17" t="s">
        <v>125</v>
      </c>
      <c r="B18" s="17"/>
      <c r="C18" s="17">
        <v>1</v>
      </c>
      <c r="D18" s="109">
        <f t="shared" si="1"/>
        <v>7</v>
      </c>
      <c r="E18" s="71" t="s">
        <v>28</v>
      </c>
      <c r="F18" s="71" t="s">
        <v>28</v>
      </c>
      <c r="G18" s="72" t="s">
        <v>128</v>
      </c>
      <c r="H18" s="73">
        <v>1</v>
      </c>
      <c r="I18" s="73">
        <v>1300</v>
      </c>
      <c r="J18" s="74">
        <f t="shared" si="0"/>
        <v>1300</v>
      </c>
      <c r="K18" s="1"/>
      <c r="L18" s="18"/>
      <c r="M18" s="54"/>
      <c r="N18" s="133" t="s">
        <v>130</v>
      </c>
      <c r="O18" s="8">
        <v>45280</v>
      </c>
      <c r="P18" s="16"/>
      <c r="Q18" s="62">
        <v>44962</v>
      </c>
      <c r="R18" s="8">
        <v>45327</v>
      </c>
      <c r="S18" s="79">
        <v>45327</v>
      </c>
    </row>
    <row r="19" spans="1:19" s="2" customFormat="1" ht="19.75" customHeight="1" x14ac:dyDescent="0.2">
      <c r="A19" s="17" t="s">
        <v>125</v>
      </c>
      <c r="B19" s="17"/>
      <c r="C19" s="17">
        <v>1</v>
      </c>
      <c r="D19" s="109">
        <f t="shared" si="1"/>
        <v>8</v>
      </c>
      <c r="E19" s="87" t="s">
        <v>28</v>
      </c>
      <c r="F19" s="87" t="s">
        <v>28</v>
      </c>
      <c r="G19" s="88" t="s">
        <v>81</v>
      </c>
      <c r="H19" s="89">
        <v>2</v>
      </c>
      <c r="I19" s="95">
        <v>700</v>
      </c>
      <c r="J19" s="22">
        <f t="shared" si="0"/>
        <v>1400</v>
      </c>
      <c r="K19" s="90"/>
      <c r="L19" s="88" t="s">
        <v>82</v>
      </c>
      <c r="M19" s="54"/>
      <c r="N19" s="133" t="s">
        <v>130</v>
      </c>
      <c r="O19" s="8">
        <v>45280</v>
      </c>
      <c r="P19" s="16"/>
      <c r="Q19" s="62">
        <v>44962</v>
      </c>
      <c r="R19" s="8">
        <v>45327</v>
      </c>
      <c r="S19" s="79">
        <v>45327</v>
      </c>
    </row>
    <row r="20" spans="1:19" s="2" customFormat="1" ht="19.75" customHeight="1" x14ac:dyDescent="0.2">
      <c r="A20" s="17" t="s">
        <v>29</v>
      </c>
      <c r="B20" s="17"/>
      <c r="C20" s="17">
        <v>7</v>
      </c>
      <c r="D20" s="109">
        <f t="shared" si="1"/>
        <v>9</v>
      </c>
      <c r="E20" s="87" t="s">
        <v>28</v>
      </c>
      <c r="F20" s="87" t="s">
        <v>28</v>
      </c>
      <c r="G20" s="130" t="s">
        <v>76</v>
      </c>
      <c r="H20" s="89">
        <v>1</v>
      </c>
      <c r="I20" s="131">
        <v>31000</v>
      </c>
      <c r="J20" s="96">
        <f t="shared" si="0"/>
        <v>31000</v>
      </c>
      <c r="K20" s="93"/>
      <c r="L20" s="88" t="s">
        <v>77</v>
      </c>
      <c r="M20" s="54"/>
      <c r="N20" s="133" t="s">
        <v>130</v>
      </c>
      <c r="O20" s="8">
        <v>45280</v>
      </c>
      <c r="P20" s="16"/>
      <c r="Q20" s="62">
        <v>44962</v>
      </c>
      <c r="R20" s="8">
        <v>45327</v>
      </c>
      <c r="S20" s="79">
        <v>45327</v>
      </c>
    </row>
    <row r="21" spans="1:19" s="2" customFormat="1" ht="19.75" customHeight="1" x14ac:dyDescent="0.2">
      <c r="A21" s="17" t="s">
        <v>125</v>
      </c>
      <c r="B21" s="17"/>
      <c r="C21" s="17">
        <v>3</v>
      </c>
      <c r="D21" s="109">
        <f t="shared" si="1"/>
        <v>10</v>
      </c>
      <c r="E21" s="67" t="s">
        <v>28</v>
      </c>
      <c r="F21" s="67" t="s">
        <v>28</v>
      </c>
      <c r="G21" s="33" t="s">
        <v>41</v>
      </c>
      <c r="H21" s="24">
        <v>1</v>
      </c>
      <c r="I21" s="97">
        <v>3500</v>
      </c>
      <c r="J21" s="94">
        <f t="shared" si="0"/>
        <v>3500</v>
      </c>
      <c r="K21" s="69"/>
      <c r="L21" s="33" t="s">
        <v>42</v>
      </c>
      <c r="M21" s="70" t="s">
        <v>37</v>
      </c>
      <c r="N21" s="133" t="s">
        <v>130</v>
      </c>
      <c r="O21" s="8"/>
      <c r="P21" s="16"/>
      <c r="Q21" s="62"/>
      <c r="R21" s="8"/>
      <c r="S21" s="79"/>
    </row>
    <row r="22" spans="1:19" s="2" customFormat="1" ht="19.75" customHeight="1" x14ac:dyDescent="0.2">
      <c r="A22" s="17" t="s">
        <v>125</v>
      </c>
      <c r="B22" s="17"/>
      <c r="C22" s="17">
        <v>4</v>
      </c>
      <c r="D22" s="109">
        <f t="shared" si="1"/>
        <v>11</v>
      </c>
      <c r="E22" s="67" t="s">
        <v>28</v>
      </c>
      <c r="F22" s="67" t="s">
        <v>28</v>
      </c>
      <c r="G22" s="33" t="s">
        <v>43</v>
      </c>
      <c r="H22" s="24">
        <v>1</v>
      </c>
      <c r="I22" s="24">
        <v>3000</v>
      </c>
      <c r="J22" s="94">
        <f t="shared" si="0"/>
        <v>3000</v>
      </c>
      <c r="K22" s="69"/>
      <c r="L22" s="33" t="s">
        <v>44</v>
      </c>
      <c r="M22" s="70" t="s">
        <v>37</v>
      </c>
      <c r="N22" s="133" t="s">
        <v>130</v>
      </c>
      <c r="O22" s="8"/>
      <c r="P22" s="16"/>
      <c r="Q22" s="62"/>
      <c r="R22" s="8"/>
      <c r="S22" s="79"/>
    </row>
    <row r="23" spans="1:19" s="2" customFormat="1" ht="19.75" customHeight="1" x14ac:dyDescent="0.2">
      <c r="A23" s="17" t="s">
        <v>125</v>
      </c>
      <c r="B23" s="17"/>
      <c r="C23" s="17">
        <v>10</v>
      </c>
      <c r="D23" s="109">
        <f t="shared" si="1"/>
        <v>12</v>
      </c>
      <c r="E23" s="16" t="s">
        <v>28</v>
      </c>
      <c r="F23" s="16" t="s">
        <v>28</v>
      </c>
      <c r="G23" s="18" t="s">
        <v>45</v>
      </c>
      <c r="H23" s="17">
        <v>1</v>
      </c>
      <c r="I23" s="16">
        <v>38000</v>
      </c>
      <c r="J23" s="20">
        <f>H23*I23</f>
        <v>38000</v>
      </c>
      <c r="K23" s="1"/>
      <c r="L23" s="18" t="s">
        <v>46</v>
      </c>
      <c r="M23" s="70"/>
      <c r="N23" s="133" t="s">
        <v>130</v>
      </c>
      <c r="O23" s="8">
        <v>45280</v>
      </c>
      <c r="P23" s="16"/>
      <c r="Q23" s="62">
        <v>44962</v>
      </c>
      <c r="R23" s="8">
        <v>45327</v>
      </c>
      <c r="S23" s="79">
        <v>45327</v>
      </c>
    </row>
    <row r="24" spans="1:19" s="2" customFormat="1" ht="19.75" customHeight="1" x14ac:dyDescent="0.2">
      <c r="A24" s="17" t="s">
        <v>29</v>
      </c>
      <c r="B24" s="17"/>
      <c r="C24" s="17">
        <v>1</v>
      </c>
      <c r="D24" s="109">
        <f t="shared" si="1"/>
        <v>13</v>
      </c>
      <c r="E24" s="71" t="s">
        <v>28</v>
      </c>
      <c r="F24" s="71" t="s">
        <v>28</v>
      </c>
      <c r="G24" s="72" t="s">
        <v>40</v>
      </c>
      <c r="H24" s="73">
        <v>1</v>
      </c>
      <c r="I24" s="73">
        <v>12000</v>
      </c>
      <c r="J24" s="74">
        <f t="shared" si="0"/>
        <v>12000</v>
      </c>
      <c r="K24" s="1"/>
      <c r="L24" s="18"/>
      <c r="M24" s="17"/>
      <c r="N24" s="133" t="s">
        <v>130</v>
      </c>
      <c r="O24" s="8">
        <v>45280</v>
      </c>
      <c r="P24" s="16"/>
      <c r="Q24" s="62">
        <v>44962</v>
      </c>
      <c r="R24" s="8">
        <v>45327</v>
      </c>
      <c r="S24" s="79">
        <v>45327</v>
      </c>
    </row>
    <row r="25" spans="1:19" s="2" customFormat="1" ht="19.75" customHeight="1" x14ac:dyDescent="0.2">
      <c r="A25" s="143"/>
      <c r="B25" s="143"/>
      <c r="C25" s="143"/>
      <c r="D25" s="109"/>
      <c r="E25" s="71" t="s">
        <v>28</v>
      </c>
      <c r="F25" s="71" t="s">
        <v>28</v>
      </c>
      <c r="G25" s="72" t="s">
        <v>40</v>
      </c>
      <c r="H25" s="145">
        <v>1</v>
      </c>
      <c r="I25" s="73">
        <v>1300</v>
      </c>
      <c r="J25" s="74">
        <f t="shared" si="0"/>
        <v>1300</v>
      </c>
      <c r="K25" s="49"/>
      <c r="L25" s="18"/>
      <c r="M25" s="17"/>
      <c r="N25" s="133"/>
      <c r="O25" s="8"/>
      <c r="P25" s="16"/>
      <c r="Q25" s="62"/>
      <c r="R25" s="8"/>
      <c r="S25" s="79"/>
    </row>
    <row r="26" spans="1:19" s="2" customFormat="1" ht="19.75" customHeight="1" x14ac:dyDescent="0.2">
      <c r="B26" s="116">
        <v>40</v>
      </c>
      <c r="C26" s="113" t="s">
        <v>106</v>
      </c>
      <c r="D26" s="16"/>
      <c r="E26" s="67"/>
      <c r="F26" s="67"/>
      <c r="G26" s="25"/>
      <c r="H26" s="92"/>
      <c r="I26" s="24"/>
      <c r="J26" s="32"/>
      <c r="K26" s="49"/>
      <c r="L26" s="77"/>
      <c r="M26" s="17"/>
      <c r="N26" s="17"/>
      <c r="O26" s="8"/>
      <c r="P26" s="16"/>
      <c r="Q26" s="62"/>
      <c r="R26" s="8"/>
      <c r="S26" s="79"/>
    </row>
    <row r="27" spans="1:19" s="2" customFormat="1" ht="19.75" customHeight="1" x14ac:dyDescent="0.2">
      <c r="D27" s="16"/>
      <c r="E27" s="67"/>
      <c r="F27" s="67"/>
      <c r="G27" s="37">
        <f>SUM(J12:J24)</f>
        <v>868400</v>
      </c>
      <c r="H27" s="75"/>
      <c r="I27" s="24"/>
      <c r="J27" s="76"/>
      <c r="K27" s="49"/>
      <c r="L27" s="18"/>
      <c r="M27" s="17"/>
      <c r="N27" s="17"/>
      <c r="O27" s="8"/>
      <c r="P27" s="16"/>
      <c r="Q27" s="62"/>
      <c r="R27" s="8"/>
      <c r="S27" s="79"/>
    </row>
    <row r="28" spans="1:19" s="2" customFormat="1" ht="19.75" customHeight="1" x14ac:dyDescent="0.2">
      <c r="D28" s="16"/>
      <c r="E28" s="20"/>
      <c r="F28" s="36"/>
      <c r="G28" s="35"/>
      <c r="H28" s="21"/>
      <c r="I28" s="17"/>
      <c r="J28" s="1"/>
      <c r="K28" s="49"/>
      <c r="L28" s="17"/>
      <c r="M28" s="17"/>
      <c r="N28" s="17"/>
      <c r="O28" s="8"/>
      <c r="P28" s="16"/>
      <c r="Q28" s="17"/>
      <c r="R28" s="8"/>
      <c r="S28" s="79"/>
    </row>
    <row r="29" spans="1:19" s="2" customFormat="1" ht="19.75" customHeight="1" x14ac:dyDescent="0.2">
      <c r="D29" s="16"/>
      <c r="E29" s="20"/>
      <c r="F29" s="36"/>
      <c r="G29" s="35"/>
      <c r="H29" s="21"/>
      <c r="I29" s="17"/>
      <c r="J29" s="1"/>
      <c r="K29" s="49"/>
      <c r="L29" s="17"/>
      <c r="M29" s="17"/>
      <c r="N29" s="17"/>
      <c r="O29" s="8"/>
      <c r="P29" s="16"/>
      <c r="Q29" s="17"/>
      <c r="R29" s="8"/>
      <c r="S29" s="79"/>
    </row>
    <row r="30" spans="1:19" s="2" customFormat="1" ht="19.75" customHeight="1" x14ac:dyDescent="0.2">
      <c r="D30" s="16"/>
      <c r="E30" s="16"/>
      <c r="F30" s="16"/>
      <c r="G30" s="56"/>
      <c r="H30" s="21"/>
      <c r="I30" s="17"/>
      <c r="J30" s="1"/>
      <c r="K30" s="49"/>
      <c r="L30" s="17"/>
      <c r="M30" s="17"/>
      <c r="N30" s="17"/>
      <c r="O30" s="8"/>
      <c r="P30" s="16"/>
      <c r="Q30" s="17"/>
      <c r="R30" s="8"/>
      <c r="S30" s="79"/>
    </row>
    <row r="31" spans="1:19" s="2" customFormat="1" ht="19.75" customHeight="1" x14ac:dyDescent="0.2">
      <c r="D31" s="16"/>
      <c r="E31" s="16"/>
      <c r="F31" s="16"/>
      <c r="G31" s="100"/>
      <c r="H31" s="57"/>
      <c r="I31" s="17"/>
      <c r="J31" s="22"/>
      <c r="K31" s="49"/>
      <c r="L31" s="18"/>
      <c r="M31" s="17"/>
      <c r="N31" s="17"/>
      <c r="O31" s="8"/>
      <c r="P31" s="16"/>
      <c r="Q31" s="17"/>
      <c r="R31" s="8"/>
      <c r="S31" s="79"/>
    </row>
    <row r="32" spans="1:19" s="2" customFormat="1" ht="19.75" customHeight="1" x14ac:dyDescent="0.2">
      <c r="D32" s="16"/>
      <c r="E32" s="106" t="s">
        <v>87</v>
      </c>
      <c r="F32" s="107"/>
      <c r="G32" s="107"/>
      <c r="H32" s="108"/>
      <c r="I32" s="17"/>
      <c r="J32" s="22"/>
      <c r="K32" s="49"/>
      <c r="L32" s="18"/>
      <c r="M32" s="17"/>
      <c r="N32" s="17"/>
      <c r="O32" s="8"/>
      <c r="P32" s="16"/>
      <c r="Q32" s="17"/>
      <c r="R32" s="8"/>
      <c r="S32" s="79"/>
    </row>
    <row r="33" spans="1:19" s="2" customFormat="1" ht="19.75" customHeight="1" x14ac:dyDescent="0.2">
      <c r="A33" s="17" t="s">
        <v>125</v>
      </c>
      <c r="B33" s="17"/>
      <c r="C33" s="17">
        <v>11</v>
      </c>
      <c r="D33" s="99">
        <f>+D24+1</f>
        <v>14</v>
      </c>
      <c r="E33" s="120" t="s">
        <v>93</v>
      </c>
      <c r="F33" s="120" t="s">
        <v>93</v>
      </c>
      <c r="G33" s="21" t="s">
        <v>92</v>
      </c>
      <c r="H33" s="121">
        <v>1</v>
      </c>
      <c r="I33" s="122">
        <v>625000</v>
      </c>
      <c r="J33" s="123">
        <f>H33*I33</f>
        <v>625000</v>
      </c>
      <c r="K33" s="90"/>
      <c r="L33" s="21" t="s">
        <v>94</v>
      </c>
      <c r="M33" s="132" t="s">
        <v>117</v>
      </c>
      <c r="N33" s="134" t="s">
        <v>129</v>
      </c>
      <c r="O33" s="8">
        <v>45280</v>
      </c>
      <c r="P33" s="16"/>
      <c r="Q33" s="62">
        <v>44943</v>
      </c>
      <c r="R33" s="8"/>
      <c r="S33" s="79"/>
    </row>
    <row r="34" spans="1:19" s="2" customFormat="1" ht="19.75" customHeight="1" x14ac:dyDescent="0.2">
      <c r="A34" s="17" t="s">
        <v>125</v>
      </c>
      <c r="B34" s="17"/>
      <c r="C34" s="17">
        <v>11</v>
      </c>
      <c r="D34" s="99">
        <f t="shared" ref="D34:D44" si="2">+D33+1</f>
        <v>15</v>
      </c>
      <c r="E34" s="120" t="s">
        <v>93</v>
      </c>
      <c r="F34" s="120" t="s">
        <v>93</v>
      </c>
      <c r="G34" s="88" t="s">
        <v>109</v>
      </c>
      <c r="H34" s="124"/>
      <c r="I34" s="125"/>
      <c r="J34" s="126"/>
      <c r="K34" s="90"/>
      <c r="L34" s="88" t="s">
        <v>95</v>
      </c>
      <c r="M34" s="132" t="s">
        <v>117</v>
      </c>
      <c r="N34" s="134" t="s">
        <v>129</v>
      </c>
      <c r="O34" s="8">
        <v>45280</v>
      </c>
      <c r="P34" s="16"/>
      <c r="Q34" s="62">
        <v>44943</v>
      </c>
      <c r="R34" s="8"/>
      <c r="S34" s="79"/>
    </row>
    <row r="35" spans="1:19" s="2" customFormat="1" ht="19.75" customHeight="1" x14ac:dyDescent="0.2">
      <c r="A35" s="17" t="s">
        <v>125</v>
      </c>
      <c r="B35" s="17"/>
      <c r="C35" s="17">
        <v>11</v>
      </c>
      <c r="D35" s="99">
        <f t="shared" si="2"/>
        <v>16</v>
      </c>
      <c r="E35" s="120" t="s">
        <v>93</v>
      </c>
      <c r="F35" s="120" t="s">
        <v>93</v>
      </c>
      <c r="G35" s="88" t="s">
        <v>103</v>
      </c>
      <c r="H35" s="124"/>
      <c r="I35" s="125"/>
      <c r="J35" s="126"/>
      <c r="K35" s="90"/>
      <c r="L35" s="88" t="s">
        <v>96</v>
      </c>
      <c r="M35" s="132" t="s">
        <v>117</v>
      </c>
      <c r="N35" s="134" t="s">
        <v>129</v>
      </c>
      <c r="O35" s="8">
        <v>45280</v>
      </c>
      <c r="P35" s="16"/>
      <c r="Q35" s="62">
        <v>44943</v>
      </c>
      <c r="R35" s="8"/>
      <c r="S35" s="79"/>
    </row>
    <row r="36" spans="1:19" s="2" customFormat="1" ht="19.75" customHeight="1" x14ac:dyDescent="0.2">
      <c r="A36" s="17" t="s">
        <v>125</v>
      </c>
      <c r="B36" s="17"/>
      <c r="C36" s="17">
        <v>11</v>
      </c>
      <c r="D36" s="99">
        <f t="shared" si="2"/>
        <v>17</v>
      </c>
      <c r="E36" s="120" t="s">
        <v>93</v>
      </c>
      <c r="F36" s="120" t="s">
        <v>93</v>
      </c>
      <c r="G36" s="33" t="s">
        <v>104</v>
      </c>
      <c r="H36" s="121"/>
      <c r="I36" s="127"/>
      <c r="J36" s="126"/>
      <c r="K36" s="1"/>
      <c r="L36" s="102" t="s">
        <v>97</v>
      </c>
      <c r="M36" s="132" t="s">
        <v>117</v>
      </c>
      <c r="N36" s="134" t="s">
        <v>129</v>
      </c>
      <c r="O36" s="8">
        <v>45280</v>
      </c>
      <c r="P36" s="16"/>
      <c r="Q36" s="62">
        <v>44943</v>
      </c>
      <c r="R36" s="8"/>
      <c r="S36" s="79"/>
    </row>
    <row r="37" spans="1:19" s="2" customFormat="1" ht="19.75" customHeight="1" x14ac:dyDescent="0.2">
      <c r="A37" s="17" t="s">
        <v>125</v>
      </c>
      <c r="B37" s="17"/>
      <c r="C37" s="17">
        <v>11</v>
      </c>
      <c r="D37" s="99">
        <f t="shared" si="2"/>
        <v>18</v>
      </c>
      <c r="E37" s="120" t="s">
        <v>93</v>
      </c>
      <c r="F37" s="120" t="s">
        <v>93</v>
      </c>
      <c r="G37" s="18" t="s">
        <v>110</v>
      </c>
      <c r="H37" s="121"/>
      <c r="I37" s="122"/>
      <c r="J37" s="126"/>
      <c r="K37" s="90"/>
      <c r="L37" s="21" t="s">
        <v>98</v>
      </c>
      <c r="M37" s="132" t="s">
        <v>117</v>
      </c>
      <c r="N37" s="134" t="s">
        <v>129</v>
      </c>
      <c r="O37" s="8">
        <v>45280</v>
      </c>
      <c r="P37" s="16"/>
      <c r="Q37" s="62">
        <v>44943</v>
      </c>
      <c r="R37" s="8"/>
      <c r="S37" s="79"/>
    </row>
    <row r="38" spans="1:19" s="2" customFormat="1" ht="19.75" customHeight="1" x14ac:dyDescent="0.2">
      <c r="A38" s="17" t="s">
        <v>125</v>
      </c>
      <c r="B38" s="17"/>
      <c r="C38" s="17">
        <v>11</v>
      </c>
      <c r="D38" s="99">
        <f t="shared" si="2"/>
        <v>19</v>
      </c>
      <c r="E38" s="120" t="s">
        <v>93</v>
      </c>
      <c r="F38" s="120" t="s">
        <v>93</v>
      </c>
      <c r="G38" s="18" t="s">
        <v>116</v>
      </c>
      <c r="H38" s="128"/>
      <c r="I38" s="121"/>
      <c r="J38" s="129"/>
      <c r="K38" s="112"/>
      <c r="L38" s="18" t="s">
        <v>115</v>
      </c>
      <c r="M38" s="132" t="s">
        <v>117</v>
      </c>
      <c r="N38" s="134" t="s">
        <v>129</v>
      </c>
      <c r="O38" s="8">
        <v>45280</v>
      </c>
      <c r="P38" s="16"/>
      <c r="Q38" s="62">
        <v>44943</v>
      </c>
      <c r="R38" s="8"/>
      <c r="S38" s="79"/>
    </row>
    <row r="39" spans="1:19" s="2" customFormat="1" ht="19.75" customHeight="1" x14ac:dyDescent="0.2">
      <c r="A39" s="17" t="s">
        <v>125</v>
      </c>
      <c r="B39" s="17"/>
      <c r="C39" s="17">
        <v>11</v>
      </c>
      <c r="D39" s="99">
        <f t="shared" si="2"/>
        <v>20</v>
      </c>
      <c r="E39" s="120" t="s">
        <v>93</v>
      </c>
      <c r="F39" s="120" t="s">
        <v>93</v>
      </c>
      <c r="G39" s="18" t="s">
        <v>111</v>
      </c>
      <c r="H39" s="128"/>
      <c r="I39" s="121"/>
      <c r="J39" s="129"/>
      <c r="K39" s="112"/>
      <c r="L39" s="18" t="s">
        <v>99</v>
      </c>
      <c r="M39" s="132" t="s">
        <v>117</v>
      </c>
      <c r="N39" s="134" t="s">
        <v>129</v>
      </c>
      <c r="O39" s="8">
        <v>45280</v>
      </c>
      <c r="P39" s="16"/>
      <c r="Q39" s="62">
        <v>44943</v>
      </c>
      <c r="R39" s="8"/>
      <c r="S39" s="79"/>
    </row>
    <row r="40" spans="1:19" s="2" customFormat="1" ht="19.75" customHeight="1" x14ac:dyDescent="0.2">
      <c r="A40" s="17" t="s">
        <v>125</v>
      </c>
      <c r="B40" s="17"/>
      <c r="C40" s="17">
        <v>11</v>
      </c>
      <c r="D40" s="99">
        <f t="shared" si="2"/>
        <v>21</v>
      </c>
      <c r="E40" s="120" t="s">
        <v>93</v>
      </c>
      <c r="F40" s="120" t="s">
        <v>93</v>
      </c>
      <c r="G40" s="18" t="s">
        <v>100</v>
      </c>
      <c r="H40" s="128"/>
      <c r="I40" s="121"/>
      <c r="J40" s="129"/>
      <c r="K40" s="112"/>
      <c r="L40" s="18" t="s">
        <v>100</v>
      </c>
      <c r="M40" s="132" t="s">
        <v>117</v>
      </c>
      <c r="N40" s="134" t="s">
        <v>129</v>
      </c>
      <c r="O40" s="8">
        <v>45280</v>
      </c>
      <c r="P40" s="16"/>
      <c r="Q40" s="62">
        <v>44943</v>
      </c>
      <c r="R40" s="8"/>
      <c r="S40" s="79"/>
    </row>
    <row r="41" spans="1:19" s="2" customFormat="1" ht="19.75" customHeight="1" x14ac:dyDescent="0.2">
      <c r="A41" s="17" t="s">
        <v>125</v>
      </c>
      <c r="B41" s="17"/>
      <c r="C41" s="17">
        <v>11</v>
      </c>
      <c r="D41" s="99">
        <f t="shared" si="2"/>
        <v>22</v>
      </c>
      <c r="E41" s="120" t="s">
        <v>93</v>
      </c>
      <c r="F41" s="120" t="s">
        <v>93</v>
      </c>
      <c r="G41" s="18" t="s">
        <v>101</v>
      </c>
      <c r="H41" s="128"/>
      <c r="I41" s="121"/>
      <c r="J41" s="129"/>
      <c r="K41" s="112"/>
      <c r="L41" s="18" t="s">
        <v>101</v>
      </c>
      <c r="M41" s="132" t="s">
        <v>117</v>
      </c>
      <c r="N41" s="134" t="s">
        <v>129</v>
      </c>
      <c r="O41" s="8">
        <v>45280</v>
      </c>
      <c r="P41" s="16"/>
      <c r="Q41" s="62">
        <v>44943</v>
      </c>
      <c r="R41" s="8"/>
      <c r="S41" s="79"/>
    </row>
    <row r="42" spans="1:19" s="2" customFormat="1" ht="19.75" customHeight="1" x14ac:dyDescent="0.2">
      <c r="A42" s="17" t="s">
        <v>125</v>
      </c>
      <c r="B42" s="17"/>
      <c r="C42" s="17">
        <v>11</v>
      </c>
      <c r="D42" s="99">
        <f t="shared" si="2"/>
        <v>23</v>
      </c>
      <c r="E42" s="120" t="s">
        <v>93</v>
      </c>
      <c r="F42" s="120" t="s">
        <v>93</v>
      </c>
      <c r="G42" s="18" t="s">
        <v>102</v>
      </c>
      <c r="H42" s="128"/>
      <c r="I42" s="121"/>
      <c r="J42" s="129"/>
      <c r="K42" s="112"/>
      <c r="L42" s="18" t="s">
        <v>102</v>
      </c>
      <c r="M42" s="132" t="s">
        <v>117</v>
      </c>
      <c r="N42" s="134" t="s">
        <v>129</v>
      </c>
      <c r="O42" s="8">
        <v>45280</v>
      </c>
      <c r="P42" s="16"/>
      <c r="Q42" s="62">
        <v>44943</v>
      </c>
      <c r="R42" s="8"/>
      <c r="S42" s="79"/>
    </row>
    <row r="43" spans="1:19" s="2" customFormat="1" ht="19.75" customHeight="1" x14ac:dyDescent="0.2">
      <c r="A43" s="17" t="s">
        <v>27</v>
      </c>
      <c r="B43" s="17"/>
      <c r="C43" s="17">
        <v>11</v>
      </c>
      <c r="D43" s="99">
        <f>+D42+1</f>
        <v>24</v>
      </c>
      <c r="E43" s="87" t="s">
        <v>119</v>
      </c>
      <c r="F43" s="87" t="s">
        <v>22</v>
      </c>
      <c r="G43" s="88" t="s">
        <v>83</v>
      </c>
      <c r="H43" s="103">
        <v>1</v>
      </c>
      <c r="I43" s="104">
        <v>1314</v>
      </c>
      <c r="J43" s="15">
        <f>H43*I43</f>
        <v>1314</v>
      </c>
      <c r="K43" s="90"/>
      <c r="L43" s="88" t="s">
        <v>84</v>
      </c>
      <c r="M43" s="17"/>
      <c r="N43" s="134" t="s">
        <v>129</v>
      </c>
      <c r="O43" s="8">
        <v>45280</v>
      </c>
      <c r="P43" s="16"/>
      <c r="Q43" s="62"/>
      <c r="R43" s="62">
        <v>44943</v>
      </c>
      <c r="S43" s="79"/>
    </row>
    <row r="44" spans="1:19" s="2" customFormat="1" ht="19.75" customHeight="1" x14ac:dyDescent="0.2">
      <c r="A44" s="17" t="s">
        <v>107</v>
      </c>
      <c r="B44" s="17"/>
      <c r="C44" s="17">
        <v>11</v>
      </c>
      <c r="D44" s="99">
        <f t="shared" si="2"/>
        <v>25</v>
      </c>
      <c r="E44" s="117" t="s">
        <v>120</v>
      </c>
      <c r="F44" s="87" t="s">
        <v>22</v>
      </c>
      <c r="G44" s="88" t="s">
        <v>89</v>
      </c>
      <c r="H44" s="87">
        <v>1</v>
      </c>
      <c r="I44" s="104">
        <v>59267</v>
      </c>
      <c r="J44" s="68">
        <f>H44*I44</f>
        <v>59267</v>
      </c>
      <c r="K44" s="90"/>
      <c r="L44" s="88" t="s">
        <v>88</v>
      </c>
      <c r="M44" s="17"/>
      <c r="N44" s="134" t="s">
        <v>129</v>
      </c>
      <c r="O44" s="8">
        <v>45280</v>
      </c>
      <c r="P44" s="16"/>
      <c r="Q44" s="62"/>
      <c r="R44" s="62">
        <v>44943</v>
      </c>
      <c r="S44" s="79"/>
    </row>
    <row r="45" spans="1:19" s="2" customFormat="1" ht="19.75" customHeight="1" x14ac:dyDescent="0.2">
      <c r="A45" s="17" t="s">
        <v>27</v>
      </c>
      <c r="B45" s="17"/>
      <c r="C45" s="17">
        <v>11</v>
      </c>
      <c r="D45" s="99">
        <f>+D44+1</f>
        <v>26</v>
      </c>
      <c r="E45" s="91" t="s">
        <v>108</v>
      </c>
      <c r="F45" s="91" t="s">
        <v>22</v>
      </c>
      <c r="G45" s="13" t="s">
        <v>26</v>
      </c>
      <c r="H45" s="22">
        <v>1</v>
      </c>
      <c r="I45" s="22">
        <v>1989</v>
      </c>
      <c r="J45" s="22">
        <f>H45*I45</f>
        <v>1989</v>
      </c>
      <c r="K45" s="40"/>
      <c r="L45" s="27" t="s">
        <v>23</v>
      </c>
      <c r="M45" s="17"/>
      <c r="N45" s="134" t="s">
        <v>129</v>
      </c>
      <c r="O45" s="8">
        <v>45280</v>
      </c>
      <c r="P45" s="16"/>
      <c r="Q45" s="62"/>
      <c r="R45" s="62">
        <v>44943</v>
      </c>
      <c r="S45" s="79"/>
    </row>
    <row r="46" spans="1:19" s="2" customFormat="1" ht="19.75" customHeight="1" x14ac:dyDescent="0.2">
      <c r="A46" s="17" t="s">
        <v>126</v>
      </c>
      <c r="B46" s="17"/>
      <c r="C46" s="17">
        <v>11</v>
      </c>
      <c r="D46" s="99">
        <f>+D45+1</f>
        <v>27</v>
      </c>
      <c r="E46" s="91" t="s">
        <v>22</v>
      </c>
      <c r="F46" s="91" t="s">
        <v>22</v>
      </c>
      <c r="G46" s="13" t="s">
        <v>85</v>
      </c>
      <c r="H46" s="22">
        <v>1</v>
      </c>
      <c r="I46" s="118">
        <v>2990</v>
      </c>
      <c r="J46" s="22">
        <f>H46*I46</f>
        <v>2990</v>
      </c>
      <c r="K46" s="98"/>
      <c r="L46" s="88" t="s">
        <v>86</v>
      </c>
      <c r="M46" s="17"/>
      <c r="N46" s="134" t="s">
        <v>129</v>
      </c>
      <c r="O46" s="8">
        <v>45280</v>
      </c>
      <c r="P46" s="16"/>
      <c r="Q46" s="62"/>
      <c r="R46" s="62">
        <v>44943</v>
      </c>
      <c r="S46" s="79"/>
    </row>
    <row r="47" spans="1:19" s="2" customFormat="1" ht="19.75" customHeight="1" x14ac:dyDescent="0.2">
      <c r="D47" s="16"/>
      <c r="E47" s="87"/>
      <c r="F47" s="87"/>
      <c r="G47" s="88"/>
      <c r="H47" s="87"/>
      <c r="I47" s="104"/>
      <c r="J47" s="68"/>
      <c r="K47" s="93"/>
      <c r="L47" s="88"/>
      <c r="M47" s="17"/>
      <c r="N47" s="17"/>
      <c r="O47" s="8"/>
      <c r="P47" s="16"/>
      <c r="Q47" s="17"/>
      <c r="R47" s="8"/>
      <c r="S47" s="79"/>
    </row>
    <row r="48" spans="1:19" s="2" customFormat="1" ht="19.75" customHeight="1" x14ac:dyDescent="0.2">
      <c r="D48" s="105"/>
      <c r="E48" s="16"/>
      <c r="F48" s="16"/>
      <c r="G48" s="29">
        <f>SUM(J33:J47)</f>
        <v>690560</v>
      </c>
      <c r="H48" s="17"/>
      <c r="I48" s="15"/>
      <c r="J48" s="15"/>
      <c r="K48" s="1"/>
      <c r="L48" s="18"/>
      <c r="M48" s="17"/>
      <c r="N48" s="17"/>
      <c r="O48" s="8"/>
      <c r="P48" s="16"/>
      <c r="Q48" s="17"/>
      <c r="R48" s="8"/>
      <c r="S48" s="79"/>
    </row>
    <row r="49" spans="1:19" s="2" customFormat="1" ht="19.75" customHeight="1" x14ac:dyDescent="0.2">
      <c r="D49" s="16"/>
      <c r="E49" s="16"/>
      <c r="F49" s="16"/>
      <c r="G49" s="100"/>
      <c r="H49" s="57"/>
      <c r="I49" s="17"/>
      <c r="J49" s="22"/>
      <c r="K49" s="49"/>
      <c r="L49" s="18"/>
      <c r="M49" s="17"/>
      <c r="N49" s="17"/>
      <c r="O49" s="8"/>
      <c r="P49" s="16"/>
      <c r="Q49" s="17"/>
      <c r="R49" s="8"/>
      <c r="S49" s="79"/>
    </row>
    <row r="50" spans="1:19" s="2" customFormat="1" ht="19.75" customHeight="1" x14ac:dyDescent="0.2">
      <c r="D50" s="16"/>
      <c r="E50" s="16"/>
      <c r="F50" s="16"/>
      <c r="G50" s="100"/>
      <c r="H50" s="57"/>
      <c r="I50" s="17"/>
      <c r="J50" s="22"/>
      <c r="K50" s="49"/>
      <c r="L50" s="18"/>
      <c r="M50" s="17"/>
      <c r="N50" s="17"/>
      <c r="O50" s="8"/>
      <c r="P50" s="16"/>
      <c r="Q50" s="17"/>
      <c r="R50" s="8"/>
      <c r="S50" s="79"/>
    </row>
    <row r="51" spans="1:19" s="2" customFormat="1" ht="19.75" customHeight="1" x14ac:dyDescent="0.2">
      <c r="D51" s="16"/>
      <c r="E51" s="16"/>
      <c r="F51" s="16"/>
      <c r="G51" s="100"/>
      <c r="H51" s="57"/>
      <c r="I51" s="17"/>
      <c r="J51" s="22"/>
      <c r="K51" s="49"/>
      <c r="L51" s="18"/>
      <c r="M51" s="17"/>
      <c r="N51" s="17"/>
      <c r="O51" s="8"/>
      <c r="P51" s="16"/>
      <c r="Q51" s="17"/>
      <c r="R51" s="8"/>
      <c r="S51" s="79"/>
    </row>
    <row r="52" spans="1:19" s="2" customFormat="1" ht="19.75" customHeight="1" x14ac:dyDescent="0.2">
      <c r="D52" s="16"/>
      <c r="E52" s="101" t="s">
        <v>90</v>
      </c>
      <c r="F52" s="110"/>
      <c r="G52" s="111"/>
      <c r="H52" s="57"/>
      <c r="I52" s="17"/>
      <c r="J52" s="22"/>
      <c r="K52" s="49"/>
      <c r="L52" s="18"/>
      <c r="M52" s="17"/>
      <c r="N52" s="17"/>
      <c r="O52" s="8"/>
      <c r="P52" s="16"/>
      <c r="Q52" s="17"/>
      <c r="R52" s="8"/>
      <c r="S52" s="79"/>
    </row>
    <row r="53" spans="1:19" s="2" customFormat="1" ht="19.75" customHeight="1" x14ac:dyDescent="0.2">
      <c r="A53" s="17" t="s">
        <v>113</v>
      </c>
      <c r="B53" s="17"/>
      <c r="C53" s="17">
        <v>13</v>
      </c>
      <c r="D53" s="109">
        <f>+D46+1</f>
        <v>28</v>
      </c>
      <c r="E53" s="16" t="s">
        <v>47</v>
      </c>
      <c r="F53" s="16" t="s">
        <v>48</v>
      </c>
      <c r="G53" s="53" t="s">
        <v>49</v>
      </c>
      <c r="H53" s="17">
        <v>1</v>
      </c>
      <c r="I53" s="135">
        <v>29920</v>
      </c>
      <c r="J53" s="38">
        <f t="shared" ref="J53:J55" si="3">H53*I53</f>
        <v>29920</v>
      </c>
      <c r="K53" s="1"/>
      <c r="L53" s="21" t="s">
        <v>50</v>
      </c>
      <c r="M53" s="17"/>
      <c r="N53" s="134" t="s">
        <v>129</v>
      </c>
      <c r="O53" s="8">
        <v>45280</v>
      </c>
      <c r="P53" s="16"/>
      <c r="Q53" s="62">
        <v>44943</v>
      </c>
      <c r="R53" s="8" t="s">
        <v>131</v>
      </c>
      <c r="S53" s="79"/>
    </row>
    <row r="54" spans="1:19" s="2" customFormat="1" ht="19.75" customHeight="1" x14ac:dyDescent="0.2">
      <c r="A54" s="17" t="s">
        <v>75</v>
      </c>
      <c r="B54" s="17"/>
      <c r="C54" s="17">
        <v>13</v>
      </c>
      <c r="D54" s="109">
        <f>+D53+1</f>
        <v>29</v>
      </c>
      <c r="E54" s="16" t="s">
        <v>47</v>
      </c>
      <c r="F54" s="16" t="s">
        <v>48</v>
      </c>
      <c r="G54" s="53" t="s">
        <v>121</v>
      </c>
      <c r="H54" s="17">
        <v>1</v>
      </c>
      <c r="I54" s="135">
        <v>88800</v>
      </c>
      <c r="J54" s="38">
        <f t="shared" si="3"/>
        <v>88800</v>
      </c>
      <c r="K54" s="1"/>
      <c r="L54" s="21" t="s">
        <v>122</v>
      </c>
      <c r="M54" s="17"/>
      <c r="N54" s="134" t="s">
        <v>129</v>
      </c>
      <c r="O54" s="8">
        <v>45280</v>
      </c>
      <c r="P54" s="16"/>
      <c r="Q54" s="62">
        <v>44943</v>
      </c>
      <c r="R54" s="8" t="s">
        <v>131</v>
      </c>
      <c r="S54" s="79"/>
    </row>
    <row r="55" spans="1:19" s="2" customFormat="1" ht="19.75" customHeight="1" x14ac:dyDescent="0.2">
      <c r="A55" s="17" t="s">
        <v>75</v>
      </c>
      <c r="B55" s="115"/>
      <c r="C55" s="17">
        <v>13</v>
      </c>
      <c r="D55" s="109">
        <f>+D54+1</f>
        <v>30</v>
      </c>
      <c r="E55" s="16" t="s">
        <v>47</v>
      </c>
      <c r="F55" s="16" t="s">
        <v>48</v>
      </c>
      <c r="G55" s="53" t="s">
        <v>112</v>
      </c>
      <c r="H55" s="17">
        <v>1</v>
      </c>
      <c r="I55" s="135">
        <v>136400</v>
      </c>
      <c r="J55" s="38">
        <f t="shared" si="3"/>
        <v>136400</v>
      </c>
      <c r="K55" s="1"/>
      <c r="L55" s="21" t="s">
        <v>91</v>
      </c>
      <c r="M55" s="17"/>
      <c r="N55" s="134" t="s">
        <v>129</v>
      </c>
      <c r="O55" s="8">
        <v>45280</v>
      </c>
      <c r="P55" s="16"/>
      <c r="Q55" s="62">
        <v>44943</v>
      </c>
      <c r="R55" s="8" t="s">
        <v>131</v>
      </c>
      <c r="S55" s="79"/>
    </row>
    <row r="56" spans="1:19" s="2" customFormat="1" ht="19.75" customHeight="1" x14ac:dyDescent="0.2">
      <c r="D56" s="16"/>
      <c r="E56" s="16"/>
      <c r="F56" s="16"/>
      <c r="G56" s="100"/>
      <c r="H56" s="57"/>
      <c r="I56" s="17"/>
      <c r="J56" s="22"/>
      <c r="K56" s="49"/>
      <c r="L56" s="18"/>
      <c r="M56" s="17"/>
      <c r="N56" s="17"/>
      <c r="O56" s="8"/>
      <c r="P56" s="16"/>
      <c r="Q56" s="17"/>
      <c r="R56" s="8"/>
      <c r="S56" s="79"/>
    </row>
    <row r="57" spans="1:19" s="2" customFormat="1" ht="19.75" customHeight="1" x14ac:dyDescent="0.2">
      <c r="D57" s="16"/>
      <c r="E57" s="16"/>
      <c r="F57" s="16"/>
      <c r="G57" s="100"/>
      <c r="H57" s="57"/>
      <c r="I57" s="17"/>
      <c r="J57" s="22"/>
      <c r="K57" s="49"/>
      <c r="L57" s="18"/>
      <c r="M57" s="17"/>
      <c r="N57" s="17"/>
      <c r="O57" s="8"/>
      <c r="P57" s="16"/>
      <c r="Q57" s="17"/>
      <c r="R57" s="8"/>
      <c r="S57" s="79"/>
    </row>
    <row r="58" spans="1:19" s="2" customFormat="1" ht="19.75" customHeight="1" x14ac:dyDescent="0.2">
      <c r="D58" s="16"/>
      <c r="E58" s="16"/>
      <c r="F58" s="16"/>
      <c r="G58" s="29">
        <f>SUM(J53:J55)</f>
        <v>255120</v>
      </c>
      <c r="H58" s="57"/>
      <c r="I58" s="17"/>
      <c r="J58" s="22"/>
      <c r="K58" s="49"/>
      <c r="L58" s="18"/>
      <c r="M58" s="17"/>
      <c r="N58" s="17"/>
      <c r="O58" s="8"/>
      <c r="P58" s="16"/>
      <c r="Q58" s="17"/>
      <c r="R58" s="8"/>
      <c r="S58" s="79"/>
    </row>
    <row r="59" spans="1:19" s="2" customFormat="1" ht="19.75" customHeight="1" x14ac:dyDescent="0.2">
      <c r="D59" s="16"/>
      <c r="E59" s="16"/>
      <c r="F59" s="16"/>
      <c r="G59" s="100"/>
      <c r="H59" s="57"/>
      <c r="I59" s="17"/>
      <c r="J59" s="22"/>
      <c r="K59" s="49"/>
      <c r="L59" s="18"/>
      <c r="M59" s="17"/>
      <c r="N59" s="17"/>
      <c r="O59" s="8"/>
      <c r="P59" s="16"/>
      <c r="Q59" s="17"/>
      <c r="R59" s="8"/>
      <c r="S59" s="79"/>
    </row>
    <row r="60" spans="1:19" s="2" customFormat="1" ht="19.75" customHeight="1" x14ac:dyDescent="0.2">
      <c r="D60" s="16"/>
      <c r="E60" s="16"/>
      <c r="F60" s="16"/>
      <c r="G60" s="100"/>
      <c r="H60" s="57"/>
      <c r="I60" s="17"/>
      <c r="J60" s="22"/>
      <c r="K60" s="49"/>
      <c r="L60" s="18"/>
      <c r="M60" s="17"/>
      <c r="N60" s="17"/>
      <c r="O60" s="8"/>
      <c r="P60" s="16"/>
      <c r="Q60" s="17"/>
      <c r="R60" s="8"/>
      <c r="S60" s="79"/>
    </row>
    <row r="61" spans="1:19" s="2" customFormat="1" ht="19.75" customHeight="1" x14ac:dyDescent="0.2">
      <c r="A61" s="17"/>
      <c r="B61" s="115">
        <v>8</v>
      </c>
      <c r="C61" s="114" t="s">
        <v>106</v>
      </c>
      <c r="D61" s="16"/>
      <c r="E61" s="16"/>
      <c r="F61" s="16"/>
      <c r="G61" s="53"/>
      <c r="H61" s="57"/>
      <c r="I61" s="31"/>
      <c r="J61" s="22"/>
      <c r="K61" s="49"/>
      <c r="L61" s="18"/>
      <c r="M61" s="78"/>
      <c r="N61" s="17"/>
      <c r="O61" s="8"/>
      <c r="P61" s="16"/>
      <c r="Q61" s="62"/>
      <c r="R61" s="8"/>
      <c r="S61" s="79"/>
    </row>
    <row r="62" spans="1:19" s="2" customFormat="1" ht="19.75" customHeight="1" x14ac:dyDescent="0.2">
      <c r="D62" s="16"/>
      <c r="E62" s="16"/>
      <c r="F62" s="16"/>
      <c r="G62" s="53"/>
      <c r="H62" s="21"/>
      <c r="I62" s="31"/>
      <c r="J62" s="63"/>
      <c r="K62" s="1"/>
      <c r="L62" s="21"/>
      <c r="M62" s="17"/>
      <c r="N62" s="17"/>
      <c r="O62" s="8"/>
      <c r="P62" s="16"/>
      <c r="Q62" s="17"/>
      <c r="R62" s="8"/>
      <c r="S62" s="79"/>
    </row>
    <row r="63" spans="1:19" s="2" customFormat="1" ht="19.75" customHeight="1" x14ac:dyDescent="0.2">
      <c r="D63" s="16"/>
      <c r="E63" s="16"/>
      <c r="F63" s="16"/>
      <c r="G63" s="17"/>
      <c r="H63" s="21"/>
      <c r="I63" s="17"/>
      <c r="J63" s="1"/>
      <c r="K63" s="49"/>
      <c r="L63" s="17"/>
      <c r="M63" s="17"/>
      <c r="N63" s="17"/>
      <c r="O63" s="8"/>
      <c r="P63" s="16"/>
      <c r="Q63" s="17"/>
      <c r="R63" s="8"/>
      <c r="S63" s="79"/>
    </row>
    <row r="64" spans="1:19" s="2" customFormat="1" ht="19.75" customHeight="1" x14ac:dyDescent="0.2">
      <c r="D64" s="16"/>
      <c r="E64" s="16"/>
      <c r="F64" s="16"/>
      <c r="G64" s="17"/>
      <c r="H64" s="21"/>
      <c r="I64" s="17"/>
      <c r="J64" s="1"/>
      <c r="K64" s="49"/>
      <c r="L64" s="17"/>
      <c r="M64" s="17"/>
      <c r="N64" s="17"/>
      <c r="O64" s="8"/>
      <c r="P64" s="16"/>
      <c r="Q64" s="17"/>
      <c r="R64" s="8"/>
      <c r="S64" s="79"/>
    </row>
    <row r="65" spans="4:19" s="2" customFormat="1" ht="19.75" customHeight="1" x14ac:dyDescent="0.2">
      <c r="D65" s="16"/>
      <c r="E65" s="16"/>
      <c r="F65" s="16"/>
      <c r="G65" s="17"/>
      <c r="H65" s="21"/>
      <c r="I65" s="17"/>
      <c r="J65" s="1"/>
      <c r="K65" s="49"/>
      <c r="L65" s="17"/>
      <c r="M65" s="17"/>
      <c r="N65" s="17"/>
      <c r="O65" s="8"/>
      <c r="P65" s="16"/>
      <c r="Q65" s="17"/>
      <c r="R65" s="8"/>
      <c r="S65" s="79"/>
    </row>
    <row r="66" spans="4:19" s="2" customFormat="1" ht="19.75" customHeight="1" x14ac:dyDescent="0.2">
      <c r="D66" s="16"/>
      <c r="E66" s="30"/>
      <c r="F66" s="30"/>
      <c r="G66" s="39" t="s">
        <v>24</v>
      </c>
      <c r="H66" s="59"/>
      <c r="I66" s="41">
        <v>70000</v>
      </c>
      <c r="J66" s="47">
        <f>H66*I66</f>
        <v>0</v>
      </c>
      <c r="K66" s="49"/>
      <c r="L66" s="17"/>
      <c r="M66" s="17"/>
      <c r="N66" s="17"/>
      <c r="O66" s="8"/>
      <c r="P66" s="16"/>
      <c r="Q66" s="17"/>
      <c r="R66" s="8"/>
      <c r="S66" s="79"/>
    </row>
    <row r="67" spans="4:19" s="2" customFormat="1" ht="19.75" customHeight="1" x14ac:dyDescent="0.2">
      <c r="D67" s="16"/>
      <c r="E67" s="16"/>
      <c r="F67" s="16"/>
      <c r="G67" s="18" t="s">
        <v>25</v>
      </c>
      <c r="H67" s="21"/>
      <c r="I67" s="17"/>
      <c r="J67" s="1"/>
      <c r="K67" s="49"/>
      <c r="L67" s="17"/>
      <c r="M67" s="17"/>
      <c r="N67" s="17"/>
      <c r="O67" s="8"/>
      <c r="P67" s="16"/>
      <c r="Q67" s="17"/>
      <c r="R67" s="8"/>
      <c r="S67" s="79"/>
    </row>
    <row r="68" spans="4:19" s="2" customFormat="1" ht="19.75" customHeight="1" x14ac:dyDescent="0.2">
      <c r="D68" s="16"/>
      <c r="E68" s="16"/>
      <c r="F68" s="16"/>
      <c r="G68" s="17"/>
      <c r="H68" s="21"/>
      <c r="I68" s="17"/>
      <c r="J68" s="1"/>
      <c r="K68" s="49"/>
      <c r="L68" s="17"/>
      <c r="M68" s="17"/>
      <c r="N68" s="17"/>
      <c r="O68" s="8"/>
      <c r="P68" s="16"/>
      <c r="Q68" s="17"/>
      <c r="R68" s="8"/>
      <c r="S68" s="79"/>
    </row>
    <row r="69" spans="4:19" s="2" customFormat="1" ht="19.75" customHeight="1" x14ac:dyDescent="0.2">
      <c r="D69" s="16"/>
      <c r="E69" s="16"/>
      <c r="F69" s="16"/>
      <c r="G69" s="17"/>
      <c r="H69" s="21"/>
      <c r="I69" s="17"/>
      <c r="J69" s="1"/>
      <c r="K69" s="49"/>
      <c r="L69" s="17"/>
      <c r="M69" s="17"/>
      <c r="N69" s="17"/>
      <c r="O69" s="8"/>
      <c r="P69" s="16"/>
      <c r="Q69" s="17"/>
      <c r="R69" s="8"/>
      <c r="S69" s="79"/>
    </row>
    <row r="70" spans="4:19" s="2" customFormat="1" ht="19.75" customHeight="1" x14ac:dyDescent="0.2">
      <c r="D70" s="16"/>
      <c r="E70" s="16"/>
      <c r="F70" s="16"/>
      <c r="G70" s="17"/>
      <c r="H70" s="21"/>
      <c r="I70" s="17"/>
      <c r="J70" s="1"/>
      <c r="K70" s="49"/>
      <c r="L70" s="17"/>
      <c r="M70" s="17"/>
      <c r="N70" s="17"/>
      <c r="O70" s="8"/>
      <c r="P70" s="16"/>
      <c r="Q70" s="17"/>
      <c r="R70" s="8"/>
      <c r="S70" s="79"/>
    </row>
    <row r="71" spans="4:19" s="2" customFormat="1" ht="19.75" customHeight="1" x14ac:dyDescent="0.2">
      <c r="D71" s="16"/>
      <c r="E71" s="16"/>
      <c r="F71" s="16"/>
      <c r="G71" s="17"/>
      <c r="H71" s="21"/>
      <c r="I71" s="17"/>
      <c r="J71" s="1"/>
      <c r="K71" s="49"/>
      <c r="L71" s="17"/>
      <c r="M71" s="17"/>
      <c r="N71" s="17"/>
      <c r="O71" s="8"/>
      <c r="P71" s="16"/>
      <c r="Q71" s="17"/>
      <c r="R71" s="8"/>
      <c r="S71" s="79"/>
    </row>
    <row r="72" spans="4:19" s="2" customFormat="1" ht="19.75" customHeight="1" x14ac:dyDescent="0.2">
      <c r="D72" s="16"/>
      <c r="E72" s="16"/>
      <c r="F72" s="16"/>
      <c r="G72" s="17"/>
      <c r="H72" s="21"/>
      <c r="I72" s="17"/>
      <c r="J72" s="1"/>
      <c r="K72" s="49"/>
      <c r="L72" s="17"/>
      <c r="M72" s="17"/>
      <c r="N72" s="17"/>
      <c r="O72" s="8"/>
      <c r="P72" s="16"/>
      <c r="Q72" s="17"/>
      <c r="R72" s="8"/>
      <c r="S72" s="79"/>
    </row>
    <row r="73" spans="4:19" s="2" customFormat="1" ht="19.75" customHeight="1" x14ac:dyDescent="0.2">
      <c r="D73" s="16"/>
      <c r="E73" s="16"/>
      <c r="F73" s="16"/>
      <c r="G73" s="17"/>
      <c r="H73" s="21"/>
      <c r="I73" s="17"/>
      <c r="J73" s="1"/>
      <c r="K73" s="49"/>
      <c r="L73" s="17"/>
      <c r="M73" s="17"/>
      <c r="N73" s="17"/>
      <c r="O73" s="8"/>
      <c r="P73" s="16"/>
      <c r="Q73" s="17"/>
      <c r="R73" s="8"/>
      <c r="S73" s="79"/>
    </row>
    <row r="74" spans="4:19" s="2" customFormat="1" ht="19.75" customHeight="1" x14ac:dyDescent="0.2">
      <c r="D74" s="16"/>
      <c r="E74" s="16"/>
      <c r="F74" s="16"/>
      <c r="G74" s="17"/>
      <c r="H74" s="21"/>
      <c r="I74" s="17"/>
      <c r="J74" s="1"/>
      <c r="K74" s="49"/>
      <c r="L74" s="17"/>
      <c r="M74" s="17"/>
      <c r="N74" s="17"/>
      <c r="O74" s="8"/>
      <c r="P74" s="16"/>
      <c r="Q74" s="17"/>
      <c r="R74" s="8"/>
      <c r="S74" s="79"/>
    </row>
    <row r="75" spans="4:19" s="2" customFormat="1" ht="19.75" customHeight="1" x14ac:dyDescent="0.2">
      <c r="D75" s="16"/>
      <c r="E75" s="16"/>
      <c r="F75" s="16"/>
      <c r="G75" s="17"/>
      <c r="H75" s="21"/>
      <c r="I75" s="17"/>
      <c r="J75" s="1"/>
      <c r="K75" s="49"/>
      <c r="L75" s="17"/>
      <c r="M75" s="17"/>
      <c r="N75" s="17"/>
      <c r="O75" s="8"/>
      <c r="P75" s="16"/>
      <c r="Q75" s="17"/>
      <c r="R75" s="8"/>
      <c r="S75" s="79"/>
    </row>
    <row r="76" spans="4:19" s="2" customFormat="1" ht="19.75" customHeight="1" x14ac:dyDescent="0.2">
      <c r="D76" s="16"/>
      <c r="E76" s="16"/>
      <c r="F76" s="16"/>
      <c r="G76" s="17"/>
      <c r="H76" s="21"/>
      <c r="I76" s="17"/>
      <c r="J76" s="1"/>
      <c r="K76" s="49"/>
      <c r="L76" s="17"/>
      <c r="M76" s="17"/>
      <c r="N76" s="17"/>
      <c r="O76" s="8"/>
      <c r="P76" s="16"/>
      <c r="Q76" s="17"/>
      <c r="R76" s="8"/>
      <c r="S76" s="79"/>
    </row>
    <row r="77" spans="4:19" s="2" customFormat="1" ht="19.75" customHeight="1" x14ac:dyDescent="0.2">
      <c r="D77" s="16"/>
      <c r="E77" s="16"/>
      <c r="F77" s="16"/>
      <c r="G77" s="17"/>
      <c r="H77" s="21"/>
      <c r="I77" s="17"/>
      <c r="J77" s="1"/>
      <c r="K77" s="49"/>
      <c r="L77" s="17"/>
      <c r="M77" s="17"/>
      <c r="N77" s="17"/>
      <c r="O77" s="8"/>
      <c r="P77" s="16"/>
      <c r="Q77" s="17"/>
      <c r="R77" s="8"/>
      <c r="S77" s="79"/>
    </row>
    <row r="78" spans="4:19" s="2" customFormat="1" ht="19.75" customHeight="1" x14ac:dyDescent="0.2">
      <c r="D78" s="16"/>
      <c r="E78" s="16"/>
      <c r="F78" s="16"/>
      <c r="G78" s="17"/>
      <c r="H78" s="21"/>
      <c r="I78" s="17"/>
      <c r="J78" s="1"/>
      <c r="K78" s="49"/>
      <c r="L78" s="17"/>
      <c r="M78" s="17"/>
      <c r="N78" s="17"/>
      <c r="O78" s="8"/>
      <c r="P78" s="16"/>
      <c r="Q78" s="17"/>
      <c r="R78" s="8"/>
      <c r="S78" s="79"/>
    </row>
    <row r="79" spans="4:19" s="2" customFormat="1" ht="19.75" customHeight="1" x14ac:dyDescent="0.2">
      <c r="D79" s="16"/>
      <c r="E79" s="16"/>
      <c r="F79" s="16"/>
      <c r="G79" s="17"/>
      <c r="H79" s="21"/>
      <c r="I79" s="17"/>
      <c r="J79" s="1"/>
      <c r="K79" s="49"/>
      <c r="L79" s="17"/>
      <c r="M79" s="17"/>
      <c r="N79" s="17"/>
      <c r="O79" s="8"/>
      <c r="P79" s="16"/>
      <c r="Q79" s="17"/>
      <c r="R79" s="8"/>
      <c r="S79" s="79"/>
    </row>
    <row r="80" spans="4:19" s="2" customFormat="1" ht="19.75" customHeight="1" x14ac:dyDescent="0.2">
      <c r="D80" s="16"/>
      <c r="E80" s="16"/>
      <c r="F80" s="16"/>
      <c r="G80" s="17"/>
      <c r="H80" s="21"/>
      <c r="I80" s="17"/>
      <c r="J80" s="1"/>
      <c r="K80" s="49"/>
      <c r="L80" s="17"/>
      <c r="M80" s="17"/>
      <c r="N80" s="17"/>
      <c r="O80" s="8"/>
      <c r="P80" s="16"/>
      <c r="Q80" s="17"/>
      <c r="R80" s="8"/>
      <c r="S80" s="79"/>
    </row>
    <row r="81" spans="4:19" s="2" customFormat="1" ht="19.75" customHeight="1" x14ac:dyDescent="0.2">
      <c r="D81" s="16"/>
      <c r="E81" s="16"/>
      <c r="F81" s="16"/>
      <c r="G81" s="17"/>
      <c r="H81" s="21"/>
      <c r="I81" s="17"/>
      <c r="J81" s="1"/>
      <c r="K81" s="49"/>
      <c r="L81" s="17"/>
      <c r="M81" s="17"/>
      <c r="N81" s="17"/>
      <c r="O81" s="8"/>
      <c r="P81" s="16"/>
      <c r="Q81" s="17"/>
      <c r="R81" s="8"/>
      <c r="S81" s="79"/>
    </row>
    <row r="82" spans="4:19" s="2" customFormat="1" ht="19.75" customHeight="1" x14ac:dyDescent="0.2">
      <c r="D82" s="16"/>
      <c r="E82" s="16"/>
      <c r="F82" s="16"/>
      <c r="G82" s="17"/>
      <c r="H82" s="21"/>
      <c r="I82" s="17"/>
      <c r="J82" s="1"/>
      <c r="K82" s="49"/>
      <c r="L82" s="17"/>
      <c r="M82" s="17"/>
      <c r="N82" s="17"/>
      <c r="O82" s="8"/>
      <c r="P82" s="16"/>
      <c r="Q82" s="17"/>
      <c r="R82" s="8"/>
      <c r="S82" s="79"/>
    </row>
    <row r="83" spans="4:19" s="2" customFormat="1" ht="19.75" customHeight="1" x14ac:dyDescent="0.2">
      <c r="D83" s="16"/>
      <c r="E83" s="16"/>
      <c r="F83" s="16"/>
      <c r="G83" s="17"/>
      <c r="H83" s="21"/>
      <c r="I83" s="17"/>
      <c r="J83" s="1"/>
      <c r="K83" s="49"/>
      <c r="L83" s="17"/>
      <c r="M83" s="17"/>
      <c r="N83" s="17"/>
      <c r="O83" s="8"/>
      <c r="P83" s="16"/>
      <c r="Q83" s="17"/>
      <c r="R83" s="8"/>
      <c r="S83" s="79"/>
    </row>
    <row r="84" spans="4:19" s="2" customFormat="1" ht="19.75" customHeight="1" x14ac:dyDescent="0.2">
      <c r="D84" s="16"/>
      <c r="E84" s="16"/>
      <c r="F84" s="16"/>
      <c r="G84" s="17"/>
      <c r="H84" s="21"/>
      <c r="I84" s="17"/>
      <c r="J84" s="1"/>
      <c r="K84" s="49"/>
      <c r="L84" s="17"/>
      <c r="M84" s="17"/>
      <c r="N84" s="17"/>
      <c r="O84" s="8"/>
      <c r="P84" s="16"/>
      <c r="Q84" s="17"/>
      <c r="R84" s="8"/>
      <c r="S84" s="79"/>
    </row>
    <row r="85" spans="4:19" s="2" customFormat="1" ht="19.75" customHeight="1" x14ac:dyDescent="0.2">
      <c r="D85" s="16"/>
      <c r="E85" s="16"/>
      <c r="F85" s="16"/>
      <c r="G85" s="17"/>
      <c r="H85" s="21"/>
      <c r="I85" s="17"/>
      <c r="J85" s="1"/>
      <c r="K85" s="49"/>
      <c r="L85" s="17"/>
      <c r="M85" s="17"/>
      <c r="N85" s="17"/>
      <c r="O85" s="8"/>
      <c r="P85" s="16"/>
      <c r="Q85" s="17"/>
      <c r="R85" s="8"/>
      <c r="S85" s="79"/>
    </row>
    <row r="86" spans="4:19" s="2" customFormat="1" ht="19.75" customHeight="1" x14ac:dyDescent="0.2">
      <c r="D86" s="16"/>
      <c r="E86" s="16"/>
      <c r="F86" s="16"/>
      <c r="G86" s="17"/>
      <c r="H86" s="21"/>
      <c r="I86" s="17"/>
      <c r="J86" s="1"/>
      <c r="K86" s="49"/>
      <c r="L86" s="17"/>
      <c r="M86" s="17"/>
      <c r="N86" s="17"/>
      <c r="O86" s="8"/>
      <c r="P86" s="16"/>
      <c r="Q86" s="17"/>
      <c r="R86" s="8"/>
      <c r="S86" s="79"/>
    </row>
    <row r="87" spans="4:19" s="2" customFormat="1" ht="19.75" customHeight="1" x14ac:dyDescent="0.2">
      <c r="D87" s="16"/>
      <c r="E87" s="16"/>
      <c r="F87" s="16"/>
      <c r="G87" s="17"/>
      <c r="H87" s="21"/>
      <c r="I87" s="17"/>
      <c r="J87" s="1"/>
      <c r="K87" s="49"/>
      <c r="L87" s="17"/>
      <c r="M87" s="17"/>
      <c r="N87" s="17"/>
      <c r="O87" s="8"/>
      <c r="P87" s="16"/>
      <c r="Q87" s="17"/>
      <c r="R87" s="8"/>
      <c r="S87" s="79"/>
    </row>
    <row r="88" spans="4:19" s="2" customFormat="1" ht="19.75" customHeight="1" x14ac:dyDescent="0.2">
      <c r="D88" s="16"/>
      <c r="E88" s="16"/>
      <c r="F88" s="16"/>
      <c r="G88" s="17"/>
      <c r="H88" s="21"/>
      <c r="I88" s="17"/>
      <c r="J88" s="1"/>
      <c r="K88" s="49"/>
      <c r="L88" s="17"/>
      <c r="M88" s="17"/>
      <c r="N88" s="17"/>
      <c r="O88" s="8"/>
      <c r="P88" s="16"/>
      <c r="Q88" s="17"/>
      <c r="R88" s="8"/>
      <c r="S88" s="79"/>
    </row>
    <row r="89" spans="4:19" s="2" customFormat="1" ht="19.75" customHeight="1" x14ac:dyDescent="0.2">
      <c r="D89" s="16"/>
      <c r="E89" s="16"/>
      <c r="F89" s="16"/>
      <c r="G89" s="17"/>
      <c r="H89" s="21"/>
      <c r="I89" s="17"/>
      <c r="J89" s="1"/>
      <c r="K89" s="49"/>
      <c r="L89" s="17"/>
      <c r="M89" s="17"/>
      <c r="N89" s="17"/>
      <c r="O89" s="8"/>
      <c r="P89" s="16"/>
      <c r="Q89" s="17"/>
      <c r="R89" s="8"/>
      <c r="S89" s="79"/>
    </row>
    <row r="90" spans="4:19" s="2" customFormat="1" ht="19.75" customHeight="1" x14ac:dyDescent="0.2">
      <c r="D90" s="16"/>
      <c r="E90" s="16"/>
      <c r="F90" s="16"/>
      <c r="G90" s="17"/>
      <c r="H90" s="21"/>
      <c r="I90" s="17"/>
      <c r="J90" s="1"/>
      <c r="K90" s="49"/>
      <c r="L90" s="17"/>
      <c r="M90" s="17"/>
      <c r="N90" s="17"/>
      <c r="O90" s="8"/>
      <c r="P90" s="16"/>
      <c r="Q90" s="17"/>
      <c r="R90" s="8"/>
      <c r="S90" s="79"/>
    </row>
    <row r="91" spans="4:19" s="2" customFormat="1" ht="19.75" customHeight="1" x14ac:dyDescent="0.2">
      <c r="D91" s="16"/>
      <c r="E91" s="16"/>
      <c r="F91" s="16"/>
      <c r="G91" s="17"/>
      <c r="H91" s="21"/>
      <c r="I91" s="17"/>
      <c r="J91" s="1"/>
      <c r="K91" s="49"/>
      <c r="L91" s="17"/>
      <c r="M91" s="17"/>
      <c r="N91" s="17"/>
      <c r="O91" s="8"/>
      <c r="P91" s="16"/>
      <c r="Q91" s="17"/>
      <c r="R91" s="8"/>
      <c r="S91" s="79"/>
    </row>
    <row r="92" spans="4:19" s="2" customFormat="1" ht="19.75" customHeight="1" x14ac:dyDescent="0.2">
      <c r="D92" s="16"/>
      <c r="E92" s="16"/>
      <c r="F92" s="16"/>
      <c r="G92" s="17"/>
      <c r="H92" s="21"/>
      <c r="I92" s="17"/>
      <c r="J92" s="1"/>
      <c r="K92" s="49"/>
      <c r="L92" s="17"/>
      <c r="M92" s="17"/>
      <c r="N92" s="17"/>
      <c r="O92" s="8"/>
      <c r="P92" s="16"/>
      <c r="Q92" s="17"/>
      <c r="R92" s="8"/>
      <c r="S92" s="79"/>
    </row>
    <row r="93" spans="4:19" s="2" customFormat="1" ht="19.75" customHeight="1" x14ac:dyDescent="0.2">
      <c r="D93" s="16"/>
      <c r="E93" s="16"/>
      <c r="F93" s="16"/>
      <c r="G93" s="17"/>
      <c r="H93" s="21"/>
      <c r="I93" s="17"/>
      <c r="J93" s="1"/>
      <c r="K93" s="49"/>
      <c r="L93" s="17"/>
      <c r="M93" s="17"/>
      <c r="N93" s="17"/>
      <c r="O93" s="8"/>
      <c r="P93" s="16"/>
      <c r="Q93" s="17"/>
      <c r="R93" s="8"/>
      <c r="S93" s="79"/>
    </row>
    <row r="94" spans="4:19" s="2" customFormat="1" ht="19.75" customHeight="1" x14ac:dyDescent="0.2">
      <c r="D94" s="16"/>
      <c r="E94" s="16"/>
      <c r="F94" s="16"/>
      <c r="G94" s="17"/>
      <c r="H94" s="21"/>
      <c r="I94" s="17"/>
      <c r="J94" s="1"/>
      <c r="K94" s="49"/>
      <c r="L94" s="17"/>
      <c r="M94" s="17"/>
      <c r="N94" s="17"/>
      <c r="O94" s="8"/>
      <c r="P94" s="16"/>
      <c r="Q94" s="17"/>
      <c r="R94" s="8"/>
      <c r="S94" s="79"/>
    </row>
    <row r="95" spans="4:19" s="2" customFormat="1" ht="19.75" customHeight="1" x14ac:dyDescent="0.2">
      <c r="D95" s="16"/>
      <c r="E95" s="16"/>
      <c r="F95" s="16"/>
      <c r="G95" s="17"/>
      <c r="H95" s="21"/>
      <c r="I95" s="17"/>
      <c r="J95" s="1"/>
      <c r="K95" s="49"/>
      <c r="L95" s="17"/>
      <c r="M95" s="17"/>
      <c r="N95" s="17"/>
      <c r="O95" s="8"/>
      <c r="P95" s="16"/>
      <c r="Q95" s="17"/>
      <c r="R95" s="8"/>
      <c r="S95" s="79"/>
    </row>
    <row r="96" spans="4:19" s="2" customFormat="1" ht="19.75" customHeight="1" x14ac:dyDescent="0.2">
      <c r="D96" s="16"/>
      <c r="E96" s="16"/>
      <c r="F96" s="16"/>
      <c r="G96" s="17"/>
      <c r="H96" s="21"/>
      <c r="I96" s="17"/>
      <c r="J96" s="1"/>
      <c r="K96" s="49"/>
      <c r="L96" s="17"/>
      <c r="M96" s="17"/>
      <c r="N96" s="17"/>
      <c r="O96" s="8"/>
      <c r="P96" s="16"/>
      <c r="Q96" s="17"/>
      <c r="R96" s="8"/>
      <c r="S96" s="79"/>
    </row>
    <row r="97" spans="4:19" s="2" customFormat="1" ht="19.75" customHeight="1" x14ac:dyDescent="0.2">
      <c r="D97" s="16"/>
      <c r="E97" s="16"/>
      <c r="F97" s="16"/>
      <c r="G97" s="17"/>
      <c r="H97" s="21"/>
      <c r="I97" s="17"/>
      <c r="J97" s="1"/>
      <c r="K97" s="49"/>
      <c r="L97" s="17"/>
      <c r="M97" s="17"/>
      <c r="N97" s="17"/>
      <c r="O97" s="8"/>
      <c r="P97" s="16"/>
      <c r="Q97" s="17"/>
      <c r="R97" s="8"/>
      <c r="S97" s="79"/>
    </row>
    <row r="98" spans="4:19" s="2" customFormat="1" ht="19.75" customHeight="1" x14ac:dyDescent="0.2">
      <c r="D98" s="16"/>
      <c r="E98" s="16"/>
      <c r="F98" s="16"/>
      <c r="G98" s="17"/>
      <c r="H98" s="21"/>
      <c r="I98" s="17"/>
      <c r="J98" s="1"/>
      <c r="K98" s="49"/>
      <c r="L98" s="17"/>
      <c r="M98" s="17"/>
      <c r="N98" s="17"/>
      <c r="O98" s="8"/>
      <c r="P98" s="16"/>
      <c r="Q98" s="17"/>
      <c r="R98" s="8"/>
      <c r="S98" s="79"/>
    </row>
    <row r="99" spans="4:19" s="2" customFormat="1" ht="19.75" customHeight="1" x14ac:dyDescent="0.2">
      <c r="D99" s="16"/>
      <c r="E99" s="16"/>
      <c r="F99" s="16"/>
      <c r="G99" s="17"/>
      <c r="H99" s="21"/>
      <c r="I99" s="17"/>
      <c r="J99" s="1"/>
      <c r="K99" s="49"/>
      <c r="L99" s="17"/>
      <c r="M99" s="17"/>
      <c r="N99" s="17"/>
      <c r="O99" s="8"/>
      <c r="P99" s="16"/>
      <c r="Q99" s="17"/>
      <c r="R99" s="8"/>
      <c r="S99" s="79"/>
    </row>
    <row r="100" spans="4:19" s="2" customFormat="1" ht="19.75" customHeight="1" x14ac:dyDescent="0.2">
      <c r="D100" s="16"/>
      <c r="E100" s="16"/>
      <c r="F100" s="16"/>
      <c r="G100" s="17"/>
      <c r="H100" s="21"/>
      <c r="I100" s="17"/>
      <c r="J100" s="1"/>
      <c r="K100" s="49"/>
      <c r="L100" s="17"/>
      <c r="M100" s="17"/>
      <c r="N100" s="17"/>
      <c r="O100" s="8"/>
      <c r="P100" s="16"/>
      <c r="Q100" s="17"/>
      <c r="R100" s="8"/>
      <c r="S100" s="79"/>
    </row>
    <row r="101" spans="4:19" s="2" customFormat="1" ht="19.75" customHeight="1" x14ac:dyDescent="0.2">
      <c r="D101" s="16"/>
      <c r="E101" s="16"/>
      <c r="F101" s="16"/>
      <c r="G101" s="17"/>
      <c r="H101" s="21"/>
      <c r="I101" s="17"/>
      <c r="J101" s="1"/>
      <c r="K101" s="49"/>
      <c r="L101" s="17"/>
      <c r="M101" s="17"/>
      <c r="N101" s="17"/>
      <c r="O101" s="8"/>
      <c r="P101" s="16"/>
      <c r="Q101" s="17"/>
      <c r="R101" s="8"/>
      <c r="S101" s="79"/>
    </row>
    <row r="102" spans="4:19" s="2" customFormat="1" ht="19.75" customHeight="1" x14ac:dyDescent="0.2">
      <c r="D102" s="16"/>
      <c r="E102" s="16"/>
      <c r="F102" s="16"/>
      <c r="G102" s="17"/>
      <c r="H102" s="21"/>
      <c r="I102" s="17"/>
      <c r="J102" s="1"/>
      <c r="K102" s="49"/>
      <c r="L102" s="17"/>
      <c r="M102" s="17"/>
      <c r="N102" s="17"/>
      <c r="O102" s="8"/>
      <c r="P102" s="16"/>
      <c r="Q102" s="17"/>
      <c r="R102" s="8"/>
      <c r="S102" s="79"/>
    </row>
    <row r="103" spans="4:19" s="2" customFormat="1" ht="19.75" customHeight="1" x14ac:dyDescent="0.2">
      <c r="D103" s="16"/>
      <c r="E103" s="16"/>
      <c r="F103" s="16"/>
      <c r="G103" s="17"/>
      <c r="H103" s="21"/>
      <c r="I103" s="17"/>
      <c r="J103" s="1"/>
      <c r="K103" s="49"/>
      <c r="L103" s="17"/>
      <c r="M103" s="17"/>
      <c r="N103" s="17"/>
      <c r="O103" s="8"/>
      <c r="P103" s="16"/>
      <c r="Q103" s="17"/>
      <c r="R103" s="8"/>
      <c r="S103" s="79"/>
    </row>
    <row r="104" spans="4:19" s="2" customFormat="1" ht="19.75" customHeight="1" x14ac:dyDescent="0.2">
      <c r="D104" s="16"/>
      <c r="E104" s="16"/>
      <c r="F104" s="16"/>
      <c r="G104" s="17"/>
      <c r="H104" s="21"/>
      <c r="I104" s="17"/>
      <c r="J104" s="1"/>
      <c r="K104" s="49"/>
      <c r="L104" s="17"/>
      <c r="M104" s="17"/>
      <c r="N104" s="17"/>
      <c r="O104" s="8"/>
      <c r="P104" s="16"/>
      <c r="Q104" s="17"/>
      <c r="R104" s="8"/>
      <c r="S104" s="79"/>
    </row>
    <row r="105" spans="4:19" s="2" customFormat="1" ht="19.75" customHeight="1" x14ac:dyDescent="0.2">
      <c r="D105" s="16"/>
      <c r="E105" s="16"/>
      <c r="F105" s="16"/>
      <c r="G105" s="17"/>
      <c r="H105" s="21"/>
      <c r="I105" s="17"/>
      <c r="J105" s="1"/>
      <c r="K105" s="49"/>
      <c r="L105" s="17"/>
      <c r="M105" s="17"/>
      <c r="N105" s="17"/>
      <c r="O105" s="8"/>
      <c r="P105" s="16"/>
      <c r="Q105" s="17"/>
      <c r="R105" s="8"/>
      <c r="S105" s="79"/>
    </row>
    <row r="106" spans="4:19" s="2" customFormat="1" ht="19.75" customHeight="1" x14ac:dyDescent="0.2">
      <c r="D106" s="16"/>
      <c r="E106" s="16"/>
      <c r="F106" s="16"/>
      <c r="G106" s="17"/>
      <c r="H106" s="21"/>
      <c r="I106" s="17"/>
      <c r="J106" s="1"/>
      <c r="K106" s="49"/>
      <c r="L106" s="17"/>
      <c r="M106" s="17"/>
      <c r="N106" s="17"/>
      <c r="O106" s="8"/>
      <c r="P106" s="16"/>
      <c r="Q106" s="17"/>
      <c r="R106" s="8"/>
      <c r="S106" s="79"/>
    </row>
    <row r="107" spans="4:19" s="2" customFormat="1" ht="19.75" customHeight="1" x14ac:dyDescent="0.2">
      <c r="D107" s="16"/>
      <c r="E107" s="16"/>
      <c r="F107" s="16"/>
      <c r="G107" s="17"/>
      <c r="H107" s="21"/>
      <c r="I107" s="17"/>
      <c r="J107" s="1"/>
      <c r="K107" s="49"/>
      <c r="L107" s="17"/>
      <c r="M107" s="17"/>
      <c r="N107" s="17"/>
      <c r="O107" s="8"/>
      <c r="P107" s="16"/>
      <c r="Q107" s="17"/>
      <c r="R107" s="8"/>
      <c r="S107" s="79"/>
    </row>
    <row r="108" spans="4:19" s="2" customFormat="1" ht="19.75" customHeight="1" x14ac:dyDescent="0.2">
      <c r="D108" s="16"/>
      <c r="E108" s="16"/>
      <c r="F108" s="16"/>
      <c r="G108" s="17"/>
      <c r="H108" s="21"/>
      <c r="I108" s="17"/>
      <c r="J108" s="1"/>
      <c r="K108" s="49"/>
      <c r="L108" s="17"/>
      <c r="M108" s="17"/>
      <c r="N108" s="17"/>
      <c r="O108" s="8"/>
      <c r="P108" s="16"/>
      <c r="Q108" s="17"/>
      <c r="R108" s="8"/>
      <c r="S108" s="79"/>
    </row>
    <row r="109" spans="4:19" s="2" customFormat="1" ht="19.75" customHeight="1" x14ac:dyDescent="0.2">
      <c r="D109" s="16"/>
      <c r="E109" s="16"/>
      <c r="F109" s="16"/>
      <c r="G109" s="17"/>
      <c r="H109" s="21"/>
      <c r="I109" s="17"/>
      <c r="J109" s="1"/>
      <c r="K109" s="49"/>
      <c r="L109" s="17"/>
      <c r="M109" s="17"/>
      <c r="N109" s="17"/>
      <c r="O109" s="8"/>
      <c r="P109" s="16"/>
      <c r="Q109" s="17"/>
      <c r="R109" s="8"/>
      <c r="S109" s="79"/>
    </row>
    <row r="110" spans="4:19" s="2" customFormat="1" ht="19.75" customHeight="1" x14ac:dyDescent="0.2">
      <c r="D110" s="16"/>
      <c r="E110" s="16"/>
      <c r="F110" s="16"/>
      <c r="G110" s="17"/>
      <c r="H110" s="21"/>
      <c r="I110" s="17"/>
      <c r="J110" s="1"/>
      <c r="K110" s="49"/>
      <c r="L110" s="17"/>
      <c r="M110" s="17"/>
      <c r="N110" s="17"/>
      <c r="O110" s="8"/>
      <c r="P110" s="16"/>
      <c r="Q110" s="17"/>
      <c r="R110" s="8"/>
      <c r="S110" s="79"/>
    </row>
    <row r="111" spans="4:19" s="2" customFormat="1" ht="19.75" customHeight="1" x14ac:dyDescent="0.2">
      <c r="D111" s="16"/>
      <c r="E111" s="16"/>
      <c r="F111" s="16"/>
      <c r="G111" s="17"/>
      <c r="H111" s="21"/>
      <c r="I111" s="17"/>
      <c r="J111" s="1"/>
      <c r="K111" s="49"/>
      <c r="L111" s="17"/>
      <c r="M111" s="17"/>
      <c r="N111" s="17"/>
      <c r="O111" s="8"/>
      <c r="P111" s="16"/>
      <c r="Q111" s="17"/>
      <c r="R111" s="8"/>
      <c r="S111" s="79"/>
    </row>
    <row r="112" spans="4:19" s="2" customFormat="1" ht="19.75" customHeight="1" x14ac:dyDescent="0.2">
      <c r="D112" s="16"/>
      <c r="E112" s="16"/>
      <c r="F112" s="16"/>
      <c r="G112" s="17"/>
      <c r="H112" s="21"/>
      <c r="I112" s="17"/>
      <c r="J112" s="1"/>
      <c r="K112" s="49"/>
      <c r="L112" s="17"/>
      <c r="M112" s="17"/>
      <c r="N112" s="17"/>
      <c r="O112" s="8"/>
      <c r="P112" s="16"/>
      <c r="Q112" s="17"/>
      <c r="R112" s="8"/>
      <c r="S112" s="79"/>
    </row>
    <row r="113" spans="4:19" s="2" customFormat="1" ht="19.75" customHeight="1" x14ac:dyDescent="0.2">
      <c r="D113" s="16"/>
      <c r="E113" s="16"/>
      <c r="F113" s="16"/>
      <c r="G113" s="17"/>
      <c r="H113" s="21"/>
      <c r="I113" s="17"/>
      <c r="J113" s="1"/>
      <c r="K113" s="49"/>
      <c r="L113" s="17"/>
      <c r="M113" s="17"/>
      <c r="N113" s="17"/>
      <c r="O113" s="8"/>
      <c r="P113" s="16"/>
      <c r="Q113" s="17"/>
      <c r="R113" s="8"/>
      <c r="S113" s="79"/>
    </row>
    <row r="114" spans="4:19" s="2" customFormat="1" ht="19.75" customHeight="1" x14ac:dyDescent="0.2">
      <c r="D114" s="16"/>
      <c r="E114" s="16"/>
      <c r="F114" s="16"/>
      <c r="G114" s="17"/>
      <c r="H114" s="21"/>
      <c r="I114" s="17"/>
      <c r="J114" s="1"/>
      <c r="K114" s="49"/>
      <c r="L114" s="17"/>
      <c r="M114" s="17"/>
      <c r="N114" s="17"/>
      <c r="O114" s="8"/>
      <c r="P114" s="16"/>
      <c r="Q114" s="17"/>
      <c r="R114" s="8"/>
      <c r="S114" s="79"/>
    </row>
    <row r="115" spans="4:19" s="2" customFormat="1" ht="19.75" customHeight="1" x14ac:dyDescent="0.2">
      <c r="D115" s="16"/>
      <c r="E115" s="16"/>
      <c r="F115" s="16"/>
      <c r="G115" s="17"/>
      <c r="H115" s="21"/>
      <c r="I115" s="17"/>
      <c r="J115" s="1"/>
      <c r="K115" s="49"/>
      <c r="L115" s="17"/>
      <c r="M115" s="17"/>
      <c r="N115" s="17"/>
      <c r="O115" s="8"/>
      <c r="P115" s="16"/>
      <c r="Q115" s="17"/>
      <c r="R115" s="8"/>
      <c r="S115" s="79"/>
    </row>
    <row r="116" spans="4:19" s="2" customFormat="1" ht="19.75" customHeight="1" x14ac:dyDescent="0.2">
      <c r="D116" s="16"/>
      <c r="E116" s="16"/>
      <c r="F116" s="16"/>
      <c r="G116" s="17"/>
      <c r="H116" s="21"/>
      <c r="I116" s="17"/>
      <c r="J116" s="1"/>
      <c r="K116" s="49"/>
      <c r="L116" s="17"/>
      <c r="M116" s="17"/>
      <c r="N116" s="17"/>
      <c r="O116" s="8"/>
      <c r="P116" s="16"/>
      <c r="Q116" s="17"/>
      <c r="R116" s="8"/>
      <c r="S116" s="79"/>
    </row>
    <row r="117" spans="4:19" s="2" customFormat="1" ht="19.75" customHeight="1" x14ac:dyDescent="0.2">
      <c r="D117" s="16"/>
      <c r="E117" s="16"/>
      <c r="F117" s="16"/>
      <c r="G117" s="17"/>
      <c r="H117" s="21"/>
      <c r="I117" s="17"/>
      <c r="J117" s="1"/>
      <c r="K117" s="49"/>
      <c r="L117" s="17"/>
      <c r="M117" s="17"/>
      <c r="N117" s="17"/>
      <c r="O117" s="8"/>
      <c r="P117" s="16"/>
      <c r="Q117" s="17"/>
      <c r="R117" s="8"/>
      <c r="S117" s="79"/>
    </row>
    <row r="118" spans="4:19" s="2" customFormat="1" ht="19.75" customHeight="1" x14ac:dyDescent="0.2">
      <c r="D118" s="16"/>
      <c r="E118" s="16"/>
      <c r="F118" s="16"/>
      <c r="G118" s="17"/>
      <c r="H118" s="21"/>
      <c r="I118" s="17"/>
      <c r="J118" s="1"/>
      <c r="K118" s="49"/>
      <c r="L118" s="17"/>
      <c r="M118" s="17"/>
      <c r="N118" s="17"/>
      <c r="O118" s="8"/>
      <c r="P118" s="16"/>
      <c r="Q118" s="17"/>
      <c r="R118" s="8"/>
      <c r="S118" s="79"/>
    </row>
    <row r="119" spans="4:19" s="2" customFormat="1" ht="19.75" customHeight="1" x14ac:dyDescent="0.2">
      <c r="D119" s="16"/>
      <c r="E119" s="16"/>
      <c r="F119" s="16"/>
      <c r="G119" s="17"/>
      <c r="H119" s="21"/>
      <c r="I119" s="17"/>
      <c r="J119" s="1"/>
      <c r="K119" s="49"/>
      <c r="L119" s="17"/>
      <c r="M119" s="17"/>
      <c r="N119" s="17"/>
      <c r="O119" s="8"/>
      <c r="P119" s="16"/>
      <c r="Q119" s="17"/>
      <c r="R119" s="8"/>
      <c r="S119" s="79"/>
    </row>
    <row r="120" spans="4:19" s="2" customFormat="1" ht="19.75" customHeight="1" x14ac:dyDescent="0.2">
      <c r="D120" s="16"/>
      <c r="E120" s="16"/>
      <c r="F120" s="16"/>
      <c r="G120" s="17"/>
      <c r="H120" s="21"/>
      <c r="I120" s="17"/>
      <c r="J120" s="1"/>
      <c r="K120" s="49"/>
      <c r="L120" s="17"/>
      <c r="M120" s="17"/>
      <c r="N120" s="17"/>
      <c r="O120" s="8"/>
      <c r="P120" s="16"/>
      <c r="Q120" s="17"/>
      <c r="R120" s="8"/>
      <c r="S120" s="79"/>
    </row>
    <row r="121" spans="4:19" s="2" customFormat="1" ht="19.75" customHeight="1" x14ac:dyDescent="0.2">
      <c r="D121" s="16"/>
      <c r="E121" s="16"/>
      <c r="F121" s="16"/>
      <c r="G121" s="17"/>
      <c r="H121" s="21"/>
      <c r="I121" s="17"/>
      <c r="J121" s="1"/>
      <c r="K121" s="49"/>
      <c r="L121" s="17"/>
      <c r="M121" s="17"/>
      <c r="N121" s="17"/>
      <c r="O121" s="8"/>
      <c r="P121" s="16"/>
      <c r="Q121" s="17"/>
      <c r="R121" s="8"/>
      <c r="S121" s="79"/>
    </row>
    <row r="122" spans="4:19" s="2" customFormat="1" ht="19.75" customHeight="1" x14ac:dyDescent="0.2">
      <c r="D122" s="16"/>
      <c r="E122" s="16"/>
      <c r="F122" s="16"/>
      <c r="G122" s="17"/>
      <c r="H122" s="21"/>
      <c r="I122" s="17"/>
      <c r="J122" s="1"/>
      <c r="K122" s="49"/>
      <c r="L122" s="17"/>
      <c r="M122" s="17"/>
      <c r="N122" s="17"/>
      <c r="O122" s="8"/>
      <c r="P122" s="16"/>
      <c r="Q122" s="17"/>
      <c r="R122" s="8"/>
      <c r="S122" s="79"/>
    </row>
    <row r="123" spans="4:19" s="2" customFormat="1" ht="19.75" customHeight="1" x14ac:dyDescent="0.2">
      <c r="D123" s="16"/>
      <c r="E123" s="16"/>
      <c r="F123" s="16"/>
      <c r="G123" s="17"/>
      <c r="H123" s="21"/>
      <c r="I123" s="17"/>
      <c r="J123" s="1"/>
      <c r="K123" s="49"/>
      <c r="L123" s="17"/>
      <c r="M123" s="17"/>
      <c r="N123" s="17"/>
      <c r="O123" s="8"/>
      <c r="P123" s="16"/>
      <c r="Q123" s="17"/>
      <c r="R123" s="8"/>
      <c r="S123" s="79"/>
    </row>
    <row r="124" spans="4:19" s="2" customFormat="1" ht="19.75" customHeight="1" x14ac:dyDescent="0.2">
      <c r="D124" s="16"/>
      <c r="E124" s="16"/>
      <c r="F124" s="16"/>
      <c r="G124" s="17"/>
      <c r="H124" s="21"/>
      <c r="I124" s="17"/>
      <c r="J124" s="1"/>
      <c r="K124" s="49"/>
      <c r="L124" s="17"/>
      <c r="M124" s="17"/>
      <c r="N124" s="17"/>
      <c r="O124" s="8"/>
      <c r="P124" s="16"/>
      <c r="Q124" s="17"/>
      <c r="R124" s="8"/>
      <c r="S124" s="79"/>
    </row>
    <row r="125" spans="4:19" s="2" customFormat="1" ht="19.75" customHeight="1" x14ac:dyDescent="0.2">
      <c r="D125" s="16"/>
      <c r="E125" s="16"/>
      <c r="F125" s="16"/>
      <c r="G125" s="17"/>
      <c r="H125" s="21"/>
      <c r="I125" s="17"/>
      <c r="J125" s="1"/>
      <c r="K125" s="49"/>
      <c r="L125" s="17"/>
      <c r="M125" s="17"/>
      <c r="N125" s="17"/>
      <c r="O125" s="8"/>
      <c r="P125" s="16"/>
      <c r="Q125" s="17"/>
      <c r="R125" s="8"/>
      <c r="S125" s="79"/>
    </row>
    <row r="126" spans="4:19" s="2" customFormat="1" ht="19.75" customHeight="1" x14ac:dyDescent="0.2">
      <c r="D126" s="16"/>
      <c r="E126" s="16"/>
      <c r="F126" s="16"/>
      <c r="G126" s="17"/>
      <c r="H126" s="21"/>
      <c r="I126" s="17"/>
      <c r="J126" s="1"/>
      <c r="K126" s="49"/>
      <c r="L126" s="17"/>
      <c r="M126" s="17"/>
      <c r="N126" s="17"/>
      <c r="O126" s="8"/>
      <c r="P126" s="16"/>
      <c r="Q126" s="17"/>
      <c r="R126" s="8"/>
      <c r="S126" s="79"/>
    </row>
    <row r="127" spans="4:19" s="2" customFormat="1" ht="19.75" customHeight="1" x14ac:dyDescent="0.2">
      <c r="D127" s="16"/>
      <c r="E127" s="19"/>
      <c r="F127" s="19"/>
      <c r="G127" s="18"/>
      <c r="H127" s="58"/>
      <c r="I127" s="17"/>
      <c r="J127" s="22"/>
      <c r="K127" s="49"/>
      <c r="L127" s="28"/>
      <c r="M127" s="17"/>
      <c r="N127" s="18"/>
      <c r="O127" s="8"/>
      <c r="P127" s="16"/>
      <c r="Q127" s="17"/>
      <c r="R127" s="8"/>
      <c r="S127" s="79"/>
    </row>
    <row r="128" spans="4:19" s="2" customFormat="1" ht="19.75" customHeight="1" x14ac:dyDescent="0.2">
      <c r="D128" s="16"/>
      <c r="E128" s="16"/>
      <c r="F128" s="19"/>
      <c r="G128" s="18"/>
      <c r="H128" s="58"/>
      <c r="I128" s="17"/>
      <c r="J128" s="22"/>
      <c r="K128" s="49"/>
      <c r="L128" s="28"/>
      <c r="M128" s="17"/>
      <c r="N128" s="18"/>
      <c r="O128" s="8"/>
      <c r="P128" s="16"/>
      <c r="Q128" s="17"/>
      <c r="R128" s="8"/>
      <c r="S128" s="79"/>
    </row>
    <row r="129" spans="4:19" s="2" customFormat="1" ht="19.75" customHeight="1" x14ac:dyDescent="0.2">
      <c r="D129" s="16"/>
      <c r="E129" s="16"/>
      <c r="F129" s="19"/>
      <c r="G129" s="18"/>
      <c r="H129" s="58"/>
      <c r="I129" s="17"/>
      <c r="J129" s="22"/>
      <c r="K129" s="49"/>
      <c r="L129" s="28"/>
      <c r="M129" s="17"/>
      <c r="N129" s="18"/>
      <c r="O129" s="8"/>
      <c r="P129" s="16"/>
      <c r="Q129" s="17"/>
      <c r="R129" s="8"/>
      <c r="S129" s="79"/>
    </row>
    <row r="130" spans="4:19" s="2" customFormat="1" ht="19.75" customHeight="1" x14ac:dyDescent="0.2">
      <c r="D130" s="16"/>
      <c r="E130" s="16"/>
      <c r="F130" s="19"/>
      <c r="G130" s="18"/>
      <c r="H130" s="58"/>
      <c r="I130" s="17"/>
      <c r="J130" s="22"/>
      <c r="K130" s="49"/>
      <c r="L130" s="28"/>
      <c r="M130" s="17"/>
      <c r="N130" s="18"/>
      <c r="O130" s="8"/>
      <c r="P130" s="16"/>
      <c r="Q130" s="17"/>
      <c r="R130" s="8"/>
      <c r="S130" s="79"/>
    </row>
    <row r="131" spans="4:19" s="2" customFormat="1" ht="19.75" customHeight="1" x14ac:dyDescent="0.2">
      <c r="D131" s="16"/>
      <c r="E131" s="16"/>
      <c r="F131" s="19"/>
      <c r="G131" s="18"/>
      <c r="H131" s="58"/>
      <c r="I131" s="17"/>
      <c r="J131" s="22"/>
      <c r="K131" s="49"/>
      <c r="L131" s="28"/>
      <c r="M131" s="17"/>
      <c r="N131" s="18"/>
      <c r="O131" s="8"/>
      <c r="P131" s="16"/>
      <c r="Q131" s="17"/>
      <c r="R131" s="8"/>
      <c r="S131" s="79"/>
    </row>
    <row r="132" spans="4:19" s="2" customFormat="1" ht="19.75" customHeight="1" x14ac:dyDescent="0.2">
      <c r="D132" s="16"/>
      <c r="E132" s="16"/>
      <c r="F132" s="19"/>
      <c r="G132" s="18"/>
      <c r="H132" s="58"/>
      <c r="I132" s="17"/>
      <c r="J132" s="22"/>
      <c r="K132" s="49"/>
      <c r="L132" s="28"/>
      <c r="M132" s="17"/>
      <c r="N132" s="18"/>
      <c r="O132" s="8"/>
      <c r="P132" s="16"/>
      <c r="Q132" s="17"/>
      <c r="R132" s="8"/>
      <c r="S132" s="79"/>
    </row>
    <row r="133" spans="4:19" s="2" customFormat="1" ht="19.399999999999999" customHeight="1" x14ac:dyDescent="0.2">
      <c r="D133" s="16"/>
      <c r="E133" s="19"/>
      <c r="F133" s="19"/>
      <c r="G133" s="18"/>
      <c r="H133" s="58"/>
      <c r="I133" s="17"/>
      <c r="J133" s="22"/>
      <c r="K133" s="49"/>
      <c r="L133" s="28"/>
      <c r="M133" s="17"/>
      <c r="N133" s="18"/>
      <c r="O133" s="8"/>
      <c r="P133" s="16"/>
      <c r="Q133" s="17"/>
      <c r="R133" s="8"/>
      <c r="S133" s="79"/>
    </row>
    <row r="134" spans="4:19" s="2" customFormat="1" ht="19.399999999999999" customHeight="1" x14ac:dyDescent="0.2">
      <c r="D134" s="16"/>
      <c r="E134" s="19"/>
      <c r="F134" s="19"/>
      <c r="G134" s="34"/>
      <c r="H134" s="58"/>
      <c r="I134" s="17"/>
      <c r="J134" s="22"/>
      <c r="K134" s="49"/>
      <c r="L134" s="28"/>
      <c r="M134" s="17"/>
      <c r="N134" s="18"/>
      <c r="O134" s="8"/>
      <c r="P134" s="16"/>
      <c r="Q134" s="17"/>
      <c r="R134" s="8"/>
      <c r="S134" s="79"/>
    </row>
    <row r="135" spans="4:19" s="2" customFormat="1" ht="19.399999999999999" customHeight="1" x14ac:dyDescent="0.2">
      <c r="D135" s="16"/>
      <c r="E135" s="19"/>
      <c r="F135" s="19"/>
      <c r="G135" s="26"/>
      <c r="H135" s="58"/>
      <c r="I135" s="17"/>
      <c r="J135" s="22"/>
      <c r="K135" s="49"/>
      <c r="L135" s="28"/>
      <c r="M135" s="17"/>
      <c r="N135" s="18"/>
      <c r="O135" s="8"/>
      <c r="P135" s="16"/>
      <c r="Q135" s="17"/>
      <c r="R135" s="8"/>
      <c r="S135" s="79"/>
    </row>
    <row r="136" spans="4:19" s="2" customFormat="1" ht="19.75" customHeight="1" x14ac:dyDescent="0.2">
      <c r="D136" s="16"/>
      <c r="E136" s="19"/>
      <c r="F136" s="19"/>
      <c r="G136" s="26"/>
      <c r="H136" s="58"/>
      <c r="I136" s="17"/>
      <c r="J136" s="22"/>
      <c r="K136" s="49"/>
      <c r="L136" s="28"/>
      <c r="M136" s="17"/>
      <c r="N136" s="18"/>
      <c r="O136" s="8"/>
      <c r="P136" s="16"/>
      <c r="Q136" s="17"/>
      <c r="R136" s="8"/>
      <c r="S136" s="79"/>
    </row>
    <row r="137" spans="4:19" s="2" customFormat="1" ht="19.75" customHeight="1" x14ac:dyDescent="0.2">
      <c r="D137" s="16"/>
      <c r="E137" s="19"/>
      <c r="F137" s="19"/>
      <c r="G137" s="26"/>
      <c r="H137" s="58"/>
      <c r="I137" s="17"/>
      <c r="J137" s="22"/>
      <c r="K137" s="49"/>
      <c r="L137" s="28"/>
      <c r="M137" s="17"/>
      <c r="N137" s="18"/>
      <c r="O137" s="8"/>
      <c r="P137" s="16"/>
      <c r="Q137" s="17"/>
      <c r="R137" s="8"/>
      <c r="S137" s="79"/>
    </row>
    <row r="138" spans="4:19" s="2" customFormat="1" ht="19.75" customHeight="1" x14ac:dyDescent="0.2">
      <c r="D138" s="16"/>
      <c r="E138" s="19"/>
      <c r="F138" s="19"/>
      <c r="G138" s="26"/>
      <c r="H138" s="58"/>
      <c r="I138" s="17"/>
      <c r="J138" s="22"/>
      <c r="K138" s="49"/>
      <c r="L138" s="28"/>
      <c r="M138" s="17"/>
      <c r="N138" s="18"/>
      <c r="O138" s="8"/>
      <c r="P138" s="16"/>
      <c r="Q138" s="17"/>
      <c r="R138" s="8"/>
      <c r="S138" s="79"/>
    </row>
    <row r="139" spans="4:19" s="2" customFormat="1" ht="19.75" customHeight="1" x14ac:dyDescent="0.2">
      <c r="D139" s="16"/>
      <c r="E139" s="19"/>
      <c r="F139" s="19"/>
      <c r="G139" s="26"/>
      <c r="H139" s="58"/>
      <c r="I139" s="17"/>
      <c r="J139" s="22"/>
      <c r="K139" s="49"/>
      <c r="L139" s="28"/>
      <c r="M139" s="17"/>
      <c r="N139" s="18"/>
      <c r="O139" s="8"/>
      <c r="P139" s="16"/>
      <c r="Q139" s="17"/>
      <c r="R139" s="8"/>
      <c r="S139" s="79"/>
    </row>
    <row r="140" spans="4:19" s="2" customFormat="1" ht="19.75" customHeight="1" x14ac:dyDescent="0.2">
      <c r="D140" s="16"/>
      <c r="E140" s="19"/>
      <c r="F140" s="19"/>
      <c r="G140" s="26"/>
      <c r="H140" s="58"/>
      <c r="I140" s="17"/>
      <c r="J140" s="22"/>
      <c r="K140" s="49"/>
      <c r="L140" s="28"/>
      <c r="M140" s="17"/>
      <c r="N140" s="18"/>
      <c r="O140" s="8"/>
      <c r="P140" s="16"/>
      <c r="Q140" s="17"/>
      <c r="R140" s="8"/>
      <c r="S140" s="79"/>
    </row>
    <row r="141" spans="4:19" s="2" customFormat="1" ht="19.75" customHeight="1" x14ac:dyDescent="0.2">
      <c r="D141" s="16"/>
      <c r="E141" s="16"/>
      <c r="F141" s="16"/>
      <c r="G141" s="18"/>
      <c r="H141" s="21"/>
      <c r="I141" s="22"/>
      <c r="J141" s="42"/>
      <c r="K141" s="51"/>
      <c r="L141" s="43"/>
      <c r="M141" s="17"/>
      <c r="N141" s="18"/>
      <c r="O141" s="8"/>
      <c r="P141" s="16"/>
      <c r="Q141" s="17"/>
      <c r="R141" s="8"/>
      <c r="S141" s="79"/>
    </row>
    <row r="142" spans="4:19" s="2" customFormat="1" ht="19.75" customHeight="1" x14ac:dyDescent="0.2">
      <c r="D142" s="16"/>
      <c r="E142" s="16"/>
      <c r="F142" s="16"/>
      <c r="G142" s="18"/>
      <c r="H142" s="21"/>
      <c r="I142" s="22"/>
      <c r="J142" s="44"/>
      <c r="K142" s="50"/>
      <c r="L142" s="43"/>
      <c r="M142" s="17"/>
      <c r="N142" s="18"/>
      <c r="O142" s="8"/>
      <c r="P142" s="16"/>
      <c r="Q142" s="17"/>
      <c r="R142" s="8"/>
      <c r="S142" s="79"/>
    </row>
    <row r="143" spans="4:19" s="2" customFormat="1" ht="19.75" customHeight="1" x14ac:dyDescent="0.2">
      <c r="D143" s="16"/>
      <c r="E143" s="19"/>
      <c r="F143" s="19"/>
      <c r="G143" s="45"/>
      <c r="H143" s="58"/>
      <c r="I143" s="17"/>
      <c r="J143" s="22"/>
      <c r="K143" s="49"/>
      <c r="L143" s="28"/>
      <c r="M143" s="17"/>
      <c r="N143" s="18"/>
      <c r="O143" s="8"/>
      <c r="P143" s="16"/>
      <c r="Q143" s="17"/>
      <c r="R143" s="8"/>
      <c r="S143" s="79"/>
    </row>
    <row r="144" spans="4:19" s="2" customFormat="1" ht="19.75" customHeight="1" x14ac:dyDescent="0.2">
      <c r="D144" s="16"/>
      <c r="E144" s="19"/>
      <c r="F144" s="19"/>
      <c r="G144" s="26"/>
      <c r="H144" s="58"/>
      <c r="I144" s="17"/>
      <c r="J144" s="22"/>
      <c r="K144" s="49"/>
      <c r="L144" s="28"/>
      <c r="M144" s="17"/>
      <c r="N144" s="18"/>
      <c r="O144" s="8"/>
      <c r="P144" s="16"/>
      <c r="Q144" s="17"/>
      <c r="R144" s="8"/>
      <c r="S144" s="79"/>
    </row>
    <row r="145" spans="4:19" s="2" customFormat="1" ht="19.75" customHeight="1" x14ac:dyDescent="0.2">
      <c r="D145" s="16"/>
      <c r="E145" s="19"/>
      <c r="F145" s="19"/>
      <c r="G145" s="26"/>
      <c r="H145" s="58"/>
      <c r="I145" s="17"/>
      <c r="J145" s="22"/>
      <c r="K145" s="49"/>
      <c r="L145" s="28"/>
      <c r="M145" s="17"/>
      <c r="N145" s="18"/>
      <c r="O145" s="8"/>
      <c r="P145" s="16"/>
      <c r="Q145" s="17"/>
      <c r="R145" s="8"/>
      <c r="S145" s="79"/>
    </row>
    <row r="146" spans="4:19" s="2" customFormat="1" ht="19.75" customHeight="1" x14ac:dyDescent="0.2">
      <c r="D146" s="16"/>
      <c r="E146" s="19"/>
      <c r="F146" s="19"/>
      <c r="G146" s="26"/>
      <c r="H146" s="58"/>
      <c r="I146" s="17"/>
      <c r="J146" s="22"/>
      <c r="K146" s="49"/>
      <c r="L146" s="28"/>
      <c r="M146" s="17"/>
      <c r="N146" s="18"/>
      <c r="O146" s="8"/>
      <c r="P146" s="16"/>
      <c r="Q146" s="17"/>
      <c r="R146" s="8"/>
      <c r="S146" s="79"/>
    </row>
    <row r="147" spans="4:19" s="2" customFormat="1" ht="19.75" customHeight="1" x14ac:dyDescent="0.2">
      <c r="D147" s="16"/>
      <c r="E147" s="19"/>
      <c r="F147" s="19"/>
      <c r="G147" s="26"/>
      <c r="H147" s="58"/>
      <c r="I147" s="17"/>
      <c r="J147" s="22"/>
      <c r="K147" s="49"/>
      <c r="L147" s="28"/>
      <c r="M147" s="17"/>
      <c r="N147" s="18"/>
      <c r="O147" s="8"/>
      <c r="P147" s="16"/>
      <c r="Q147" s="17"/>
      <c r="R147" s="8"/>
      <c r="S147" s="79"/>
    </row>
    <row r="148" spans="4:19" s="2" customFormat="1" ht="19.75" customHeight="1" x14ac:dyDescent="0.2">
      <c r="D148" s="16"/>
      <c r="E148" s="19"/>
      <c r="F148" s="19"/>
      <c r="G148" s="26"/>
      <c r="H148" s="58"/>
      <c r="I148" s="17"/>
      <c r="J148" s="22"/>
      <c r="K148" s="49"/>
      <c r="L148" s="28"/>
      <c r="M148" s="17"/>
      <c r="N148" s="18"/>
      <c r="O148" s="8"/>
      <c r="P148" s="16"/>
      <c r="Q148" s="17"/>
      <c r="R148" s="8"/>
      <c r="S148" s="79"/>
    </row>
    <row r="149" spans="4:19" s="2" customFormat="1" ht="19.75" customHeight="1" x14ac:dyDescent="0.2">
      <c r="D149" s="16"/>
      <c r="E149" s="19"/>
      <c r="F149" s="19"/>
      <c r="G149" s="26"/>
      <c r="H149" s="58"/>
      <c r="I149" s="17"/>
      <c r="J149" s="22"/>
      <c r="K149" s="49"/>
      <c r="L149" s="28"/>
      <c r="M149" s="17"/>
      <c r="N149" s="18"/>
      <c r="O149" s="8"/>
      <c r="P149" s="16"/>
      <c r="Q149" s="17"/>
      <c r="R149" s="8"/>
      <c r="S149" s="79"/>
    </row>
    <row r="150" spans="4:19" s="2" customFormat="1" ht="19.75" customHeight="1" x14ac:dyDescent="0.2">
      <c r="D150" s="16"/>
      <c r="E150" s="19"/>
      <c r="F150" s="19"/>
      <c r="G150" s="26"/>
      <c r="H150" s="58"/>
      <c r="I150" s="17"/>
      <c r="J150" s="22"/>
      <c r="K150" s="49"/>
      <c r="L150" s="28"/>
      <c r="M150" s="17"/>
      <c r="N150" s="18"/>
      <c r="O150" s="8"/>
      <c r="P150" s="16"/>
      <c r="Q150" s="17"/>
      <c r="R150" s="8"/>
      <c r="S150" s="79"/>
    </row>
    <row r="151" spans="4:19" s="2" customFormat="1" ht="19.75" customHeight="1" x14ac:dyDescent="0.2">
      <c r="D151" s="16"/>
      <c r="E151" s="19"/>
      <c r="F151" s="19"/>
      <c r="G151" s="26"/>
      <c r="H151" s="58"/>
      <c r="I151" s="17"/>
      <c r="J151" s="22"/>
      <c r="K151" s="49"/>
      <c r="L151" s="28"/>
      <c r="M151" s="17"/>
      <c r="N151" s="18"/>
      <c r="O151" s="8"/>
      <c r="P151" s="16"/>
      <c r="Q151" s="17"/>
      <c r="R151" s="8"/>
      <c r="S151" s="79"/>
    </row>
    <row r="152" spans="4:19" s="2" customFormat="1" ht="19.75" customHeight="1" x14ac:dyDescent="0.2">
      <c r="D152" s="16"/>
      <c r="E152" s="19"/>
      <c r="F152" s="19"/>
      <c r="G152" s="26"/>
      <c r="H152" s="58"/>
      <c r="I152" s="17"/>
      <c r="J152" s="22"/>
      <c r="K152" s="49"/>
      <c r="L152" s="28"/>
      <c r="M152" s="17"/>
      <c r="N152" s="18"/>
      <c r="O152" s="8"/>
      <c r="P152" s="16"/>
      <c r="Q152" s="17"/>
      <c r="R152" s="8"/>
      <c r="S152" s="79"/>
    </row>
    <row r="153" spans="4:19" s="2" customFormat="1" ht="19.75" customHeight="1" x14ac:dyDescent="0.2">
      <c r="D153" s="16"/>
      <c r="E153" s="19"/>
      <c r="F153" s="19"/>
      <c r="G153" s="26"/>
      <c r="H153" s="58"/>
      <c r="I153" s="17"/>
      <c r="J153" s="22"/>
      <c r="K153" s="49"/>
      <c r="L153" s="28"/>
      <c r="M153" s="17"/>
      <c r="N153" s="18"/>
      <c r="O153" s="8"/>
      <c r="P153" s="16"/>
      <c r="Q153" s="17"/>
      <c r="R153" s="8"/>
      <c r="S153" s="79"/>
    </row>
    <row r="154" spans="4:19" s="2" customFormat="1" ht="19.75" customHeight="1" x14ac:dyDescent="0.2">
      <c r="D154" s="16"/>
      <c r="E154" s="19"/>
      <c r="F154" s="19"/>
      <c r="G154" s="26"/>
      <c r="H154" s="58"/>
      <c r="I154" s="17"/>
      <c r="J154" s="22"/>
      <c r="K154" s="49"/>
      <c r="L154" s="28"/>
      <c r="M154" s="17"/>
      <c r="N154" s="18"/>
      <c r="O154" s="8"/>
      <c r="P154" s="16"/>
      <c r="Q154" s="17"/>
      <c r="R154" s="8"/>
      <c r="S154" s="79"/>
    </row>
    <row r="155" spans="4:19" s="2" customFormat="1" ht="19.75" customHeight="1" x14ac:dyDescent="0.2">
      <c r="D155" s="16"/>
      <c r="E155" s="19"/>
      <c r="F155" s="19"/>
      <c r="G155" s="26"/>
      <c r="H155" s="58"/>
      <c r="I155" s="17"/>
      <c r="J155" s="22"/>
      <c r="K155" s="49"/>
      <c r="L155" s="28"/>
      <c r="M155" s="17"/>
      <c r="N155" s="18"/>
      <c r="O155" s="8"/>
      <c r="P155" s="16"/>
      <c r="Q155" s="17"/>
      <c r="R155" s="8"/>
      <c r="S155" s="79"/>
    </row>
    <row r="156" spans="4:19" s="2" customFormat="1" ht="19.75" customHeight="1" x14ac:dyDescent="0.2">
      <c r="D156" s="16"/>
      <c r="E156" s="19"/>
      <c r="F156" s="19"/>
      <c r="G156" s="26"/>
      <c r="H156" s="58"/>
      <c r="I156" s="17"/>
      <c r="J156" s="22"/>
      <c r="K156" s="49"/>
      <c r="L156" s="28"/>
      <c r="M156" s="17"/>
      <c r="N156" s="18"/>
      <c r="O156" s="8"/>
      <c r="P156" s="16"/>
      <c r="Q156" s="17"/>
      <c r="R156" s="8"/>
      <c r="S156" s="79"/>
    </row>
    <row r="157" spans="4:19" s="2" customFormat="1" ht="19.75" customHeight="1" x14ac:dyDescent="0.2">
      <c r="D157" s="16"/>
      <c r="E157" s="19"/>
      <c r="F157" s="19"/>
      <c r="G157" s="26"/>
      <c r="H157" s="58"/>
      <c r="I157" s="17"/>
      <c r="J157" s="22"/>
      <c r="K157" s="49"/>
      <c r="L157" s="28"/>
      <c r="M157" s="17"/>
      <c r="N157" s="18"/>
      <c r="O157" s="8"/>
      <c r="P157" s="16"/>
      <c r="Q157" s="17"/>
      <c r="R157" s="8"/>
      <c r="S157" s="79"/>
    </row>
    <row r="158" spans="4:19" s="2" customFormat="1" ht="19.75" customHeight="1" x14ac:dyDescent="0.2">
      <c r="D158" s="16"/>
      <c r="E158" s="19"/>
      <c r="F158" s="19"/>
      <c r="G158" s="26"/>
      <c r="H158" s="58"/>
      <c r="I158" s="17"/>
      <c r="J158" s="22"/>
      <c r="K158" s="49"/>
      <c r="L158" s="28"/>
      <c r="M158" s="17"/>
      <c r="N158" s="18"/>
      <c r="O158" s="8"/>
      <c r="P158" s="16"/>
      <c r="Q158" s="17"/>
      <c r="R158" s="8"/>
      <c r="S158" s="79"/>
    </row>
    <row r="159" spans="4:19" s="2" customFormat="1" ht="19.75" customHeight="1" x14ac:dyDescent="0.2">
      <c r="D159" s="16"/>
      <c r="E159" s="19"/>
      <c r="F159" s="19"/>
      <c r="G159" s="26"/>
      <c r="H159" s="58"/>
      <c r="I159" s="17"/>
      <c r="J159" s="22"/>
      <c r="K159" s="49"/>
      <c r="L159" s="28"/>
      <c r="M159" s="17"/>
      <c r="N159" s="18"/>
      <c r="O159" s="8"/>
      <c r="P159" s="16"/>
      <c r="Q159" s="17"/>
      <c r="R159" s="8"/>
      <c r="S159" s="79"/>
    </row>
    <row r="160" spans="4:19" s="2" customFormat="1" ht="19.75" customHeight="1" x14ac:dyDescent="0.2">
      <c r="D160" s="16"/>
      <c r="E160" s="19"/>
      <c r="F160" s="19"/>
      <c r="G160" s="26"/>
      <c r="H160" s="58"/>
      <c r="I160" s="17"/>
      <c r="J160" s="22"/>
      <c r="K160" s="49"/>
      <c r="L160" s="28"/>
      <c r="M160" s="17"/>
      <c r="N160" s="18"/>
      <c r="O160" s="8"/>
      <c r="P160" s="16"/>
      <c r="Q160" s="17"/>
      <c r="R160" s="8"/>
      <c r="S160" s="79"/>
    </row>
    <row r="161" spans="4:19" s="2" customFormat="1" ht="19.75" customHeight="1" x14ac:dyDescent="0.2">
      <c r="D161" s="16"/>
      <c r="E161" s="19"/>
      <c r="F161" s="19"/>
      <c r="G161" s="26"/>
      <c r="H161" s="58"/>
      <c r="I161" s="17"/>
      <c r="J161" s="22"/>
      <c r="K161" s="49"/>
      <c r="L161" s="28"/>
      <c r="M161" s="17"/>
      <c r="N161" s="18"/>
      <c r="O161" s="8"/>
      <c r="P161" s="16"/>
      <c r="Q161" s="17"/>
      <c r="R161" s="8"/>
      <c r="S161" s="79"/>
    </row>
    <row r="162" spans="4:19" s="2" customFormat="1" ht="19.75" customHeight="1" x14ac:dyDescent="0.2">
      <c r="D162" s="16"/>
      <c r="E162" s="19"/>
      <c r="F162" s="19"/>
      <c r="G162" s="26"/>
      <c r="H162" s="58"/>
      <c r="I162" s="17"/>
      <c r="J162" s="22"/>
      <c r="K162" s="49"/>
      <c r="L162" s="28"/>
      <c r="M162" s="17"/>
      <c r="N162" s="18"/>
      <c r="O162" s="8"/>
      <c r="P162" s="16"/>
      <c r="Q162" s="17"/>
      <c r="R162" s="8"/>
      <c r="S162" s="79"/>
    </row>
    <row r="163" spans="4:19" s="2" customFormat="1" ht="19.75" customHeight="1" x14ac:dyDescent="0.2">
      <c r="D163" s="16"/>
      <c r="E163" s="19"/>
      <c r="F163" s="19"/>
      <c r="G163" s="26"/>
      <c r="H163" s="58"/>
      <c r="I163" s="17"/>
      <c r="J163" s="22"/>
      <c r="K163" s="49"/>
      <c r="L163" s="28"/>
      <c r="M163" s="17"/>
      <c r="N163" s="18"/>
      <c r="O163" s="8"/>
      <c r="P163" s="16"/>
      <c r="Q163" s="17"/>
      <c r="R163" s="8"/>
      <c r="S163" s="79"/>
    </row>
    <row r="164" spans="4:19" s="2" customFormat="1" ht="19.75" customHeight="1" x14ac:dyDescent="0.2">
      <c r="D164" s="16"/>
      <c r="E164" s="19"/>
      <c r="F164" s="19"/>
      <c r="G164" s="26"/>
      <c r="H164" s="58"/>
      <c r="I164" s="17"/>
      <c r="J164" s="22"/>
      <c r="K164" s="49"/>
      <c r="L164" s="46"/>
      <c r="M164" s="17"/>
      <c r="N164" s="18"/>
      <c r="O164" s="8"/>
      <c r="P164" s="16"/>
      <c r="Q164" s="17"/>
      <c r="R164" s="8"/>
      <c r="S164" s="79"/>
    </row>
    <row r="165" spans="4:19" s="2" customFormat="1" ht="19.75" customHeight="1" x14ac:dyDescent="0.2">
      <c r="D165" s="16"/>
      <c r="E165" s="19"/>
      <c r="F165" s="19"/>
      <c r="G165" s="26"/>
      <c r="H165" s="58"/>
      <c r="I165" s="17"/>
      <c r="J165" s="22"/>
      <c r="K165" s="49"/>
      <c r="L165" s="28"/>
      <c r="M165" s="17"/>
      <c r="N165" s="18"/>
      <c r="O165" s="8"/>
      <c r="P165" s="16"/>
      <c r="Q165" s="17"/>
      <c r="R165" s="8"/>
      <c r="S165" s="79"/>
    </row>
    <row r="166" spans="4:19" s="2" customFormat="1" ht="19.75" customHeight="1" x14ac:dyDescent="0.2">
      <c r="D166" s="16"/>
      <c r="E166" s="19"/>
      <c r="F166" s="19"/>
      <c r="G166" s="26"/>
      <c r="H166" s="58"/>
      <c r="I166" s="17"/>
      <c r="J166" s="22"/>
      <c r="K166" s="49"/>
      <c r="L166" s="28"/>
      <c r="M166" s="17"/>
      <c r="N166" s="18"/>
      <c r="O166" s="8"/>
      <c r="P166" s="16"/>
      <c r="Q166" s="17"/>
      <c r="R166" s="8"/>
      <c r="S166" s="79"/>
    </row>
    <row r="167" spans="4:19" s="2" customFormat="1" ht="19.75" customHeight="1" x14ac:dyDescent="0.2">
      <c r="D167" s="16"/>
      <c r="E167" s="19"/>
      <c r="F167" s="19"/>
      <c r="G167" s="26"/>
      <c r="H167" s="58"/>
      <c r="I167" s="17"/>
      <c r="J167" s="22"/>
      <c r="K167" s="49"/>
      <c r="L167" s="28"/>
      <c r="M167" s="17"/>
      <c r="N167" s="18"/>
      <c r="O167" s="8"/>
      <c r="P167" s="16"/>
      <c r="Q167" s="17"/>
      <c r="R167" s="8"/>
      <c r="S167" s="79"/>
    </row>
    <row r="168" spans="4:19" s="2" customFormat="1" ht="19.75" customHeight="1" x14ac:dyDescent="0.2">
      <c r="D168" s="16"/>
      <c r="E168" s="19"/>
      <c r="F168" s="19"/>
      <c r="G168" s="26"/>
      <c r="H168" s="58"/>
      <c r="I168" s="17"/>
      <c r="J168" s="22"/>
      <c r="K168" s="49"/>
      <c r="L168" s="28"/>
      <c r="M168" s="17"/>
      <c r="N168" s="18"/>
      <c r="O168" s="8"/>
      <c r="P168" s="16"/>
      <c r="Q168" s="17"/>
      <c r="R168" s="8"/>
      <c r="S168" s="79"/>
    </row>
    <row r="169" spans="4:19" s="2" customFormat="1" ht="19.75" customHeight="1" x14ac:dyDescent="0.2">
      <c r="D169" s="16"/>
      <c r="E169" s="19"/>
      <c r="F169" s="19"/>
      <c r="G169" s="26"/>
      <c r="H169" s="58"/>
      <c r="I169" s="17"/>
      <c r="J169" s="22"/>
      <c r="K169" s="49"/>
      <c r="L169" s="28"/>
      <c r="M169" s="17"/>
      <c r="N169" s="18"/>
      <c r="O169" s="8"/>
      <c r="P169" s="16"/>
      <c r="Q169" s="17"/>
      <c r="R169" s="8"/>
      <c r="S169" s="79"/>
    </row>
    <row r="170" spans="4:19" s="2" customFormat="1" ht="19.75" customHeight="1" x14ac:dyDescent="0.2">
      <c r="D170" s="16"/>
      <c r="E170" s="19"/>
      <c r="F170" s="19"/>
      <c r="G170" s="26"/>
      <c r="H170" s="58"/>
      <c r="I170" s="17"/>
      <c r="J170" s="22"/>
      <c r="K170" s="49"/>
      <c r="L170" s="28"/>
      <c r="M170" s="17"/>
      <c r="N170" s="18"/>
      <c r="O170" s="8"/>
      <c r="P170" s="16"/>
      <c r="Q170" s="17"/>
      <c r="R170" s="8"/>
      <c r="S170" s="79"/>
    </row>
    <row r="171" spans="4:19" s="2" customFormat="1" ht="19.75" customHeight="1" x14ac:dyDescent="0.2">
      <c r="D171" s="16"/>
      <c r="E171" s="19"/>
      <c r="F171" s="19"/>
      <c r="G171" s="26"/>
      <c r="H171" s="58"/>
      <c r="I171" s="17"/>
      <c r="J171" s="22"/>
      <c r="K171" s="49"/>
      <c r="L171" s="46"/>
      <c r="M171" s="17"/>
      <c r="N171" s="18"/>
      <c r="O171" s="8"/>
      <c r="P171" s="16"/>
      <c r="Q171" s="17"/>
      <c r="R171" s="8"/>
      <c r="S171" s="79"/>
    </row>
    <row r="172" spans="4:19" s="2" customFormat="1" ht="19.75" customHeight="1" x14ac:dyDescent="0.2">
      <c r="D172" s="16"/>
      <c r="E172" s="16"/>
      <c r="F172" s="16"/>
      <c r="G172" s="26"/>
      <c r="H172" s="58"/>
      <c r="I172" s="17"/>
      <c r="J172" s="22"/>
      <c r="K172" s="49"/>
      <c r="L172" s="28"/>
      <c r="M172" s="17"/>
      <c r="N172" s="18"/>
      <c r="O172" s="8"/>
      <c r="P172" s="16"/>
      <c r="Q172" s="17"/>
      <c r="R172" s="8"/>
      <c r="S172" s="79"/>
    </row>
    <row r="173" spans="4:19" s="2" customFormat="1" ht="19.75" customHeight="1" x14ac:dyDescent="0.2">
      <c r="D173" s="16"/>
      <c r="E173" s="19"/>
      <c r="F173" s="19"/>
      <c r="G173" s="26"/>
      <c r="H173" s="58"/>
      <c r="I173" s="17"/>
      <c r="J173" s="22"/>
      <c r="K173" s="49"/>
      <c r="L173" s="28"/>
      <c r="M173" s="17"/>
      <c r="N173" s="18"/>
      <c r="O173" s="8"/>
      <c r="P173" s="16"/>
      <c r="Q173" s="17"/>
      <c r="R173" s="8"/>
      <c r="S173" s="79"/>
    </row>
    <row r="174" spans="4:19" s="2" customFormat="1" ht="19.75" customHeight="1" x14ac:dyDescent="0.2">
      <c r="D174" s="16"/>
      <c r="E174" s="19"/>
      <c r="F174" s="19"/>
      <c r="G174" s="26"/>
      <c r="H174" s="58"/>
      <c r="I174" s="17"/>
      <c r="J174" s="22"/>
      <c r="K174" s="49"/>
      <c r="L174" s="28"/>
      <c r="M174" s="17"/>
      <c r="N174" s="18"/>
      <c r="O174" s="8"/>
      <c r="P174" s="16"/>
      <c r="Q174" s="17"/>
      <c r="R174" s="8"/>
      <c r="S174" s="79"/>
    </row>
    <row r="175" spans="4:19" s="2" customFormat="1" ht="19.75" customHeight="1" x14ac:dyDescent="0.2">
      <c r="D175" s="16"/>
      <c r="E175" s="16"/>
      <c r="F175" s="16"/>
      <c r="G175" s="26"/>
      <c r="H175" s="58"/>
      <c r="I175" s="17"/>
      <c r="J175" s="22"/>
      <c r="K175" s="49"/>
      <c r="L175" s="28"/>
      <c r="M175" s="17"/>
      <c r="N175" s="18"/>
      <c r="O175" s="8"/>
      <c r="P175" s="16"/>
      <c r="Q175" s="17"/>
      <c r="R175" s="8"/>
      <c r="S175" s="79"/>
    </row>
    <row r="176" spans="4:19" s="2" customFormat="1" ht="19.399999999999999" customHeight="1" x14ac:dyDescent="0.2">
      <c r="D176" s="16"/>
      <c r="E176" s="19"/>
      <c r="F176" s="19"/>
      <c r="G176" s="26"/>
      <c r="H176" s="58"/>
      <c r="I176" s="17"/>
      <c r="J176" s="22"/>
      <c r="K176" s="49"/>
      <c r="L176" s="28"/>
      <c r="M176" s="17"/>
      <c r="N176" s="18"/>
      <c r="O176" s="8"/>
      <c r="P176" s="16"/>
      <c r="Q176" s="17"/>
      <c r="R176" s="8"/>
      <c r="S176" s="79"/>
    </row>
    <row r="177" spans="1:19" s="2" customFormat="1" ht="19.75" customHeight="1" x14ac:dyDescent="0.2">
      <c r="D177" s="16"/>
      <c r="E177" s="16"/>
      <c r="F177" s="16"/>
      <c r="G177" s="12"/>
      <c r="H177" s="57"/>
      <c r="I177" s="17"/>
      <c r="J177" s="22"/>
      <c r="K177" s="49"/>
      <c r="L177" s="13"/>
      <c r="M177" s="17"/>
      <c r="N177" s="17"/>
      <c r="O177" s="8"/>
      <c r="P177" s="16"/>
      <c r="Q177" s="17"/>
      <c r="R177" s="8"/>
      <c r="S177" s="79"/>
    </row>
    <row r="178" spans="1:19" s="2" customFormat="1" ht="19.75" customHeight="1" x14ac:dyDescent="0.2">
      <c r="D178" s="16"/>
      <c r="E178" s="16"/>
      <c r="F178" s="16"/>
      <c r="G178" s="14">
        <f>SUM(J127:J177)</f>
        <v>0</v>
      </c>
      <c r="H178" s="57"/>
      <c r="I178" s="17"/>
      <c r="J178" s="22"/>
      <c r="K178" s="49"/>
      <c r="L178" s="18"/>
      <c r="M178" s="17"/>
      <c r="N178" s="17"/>
      <c r="O178" s="8"/>
      <c r="P178" s="16"/>
      <c r="Q178" s="17"/>
      <c r="R178" s="8"/>
      <c r="S178" s="79"/>
    </row>
    <row r="179" spans="1:19" s="2" customFormat="1" ht="19.75" customHeight="1" x14ac:dyDescent="0.2">
      <c r="D179" s="16"/>
      <c r="E179" s="16"/>
      <c r="F179" s="16"/>
      <c r="G179" s="18"/>
      <c r="H179" s="57"/>
      <c r="I179" s="17"/>
      <c r="J179" s="22"/>
      <c r="K179" s="49"/>
      <c r="L179" s="18"/>
      <c r="M179" s="17"/>
      <c r="N179" s="17"/>
      <c r="O179" s="8"/>
      <c r="P179" s="16"/>
      <c r="Q179" s="17"/>
      <c r="R179" s="8"/>
      <c r="S179" s="79"/>
    </row>
    <row r="180" spans="1:19" s="2" customFormat="1" ht="19.75" customHeight="1" x14ac:dyDescent="0.2">
      <c r="D180" s="16"/>
      <c r="E180" s="16"/>
      <c r="F180" s="16"/>
      <c r="G180" s="18"/>
      <c r="H180" s="57"/>
      <c r="I180" s="17"/>
      <c r="J180" s="22"/>
      <c r="K180" s="49"/>
      <c r="L180" s="18"/>
      <c r="M180" s="18"/>
      <c r="N180" s="17"/>
      <c r="O180" s="8"/>
      <c r="P180" s="16"/>
      <c r="Q180" s="17"/>
      <c r="R180" s="8"/>
      <c r="S180" s="79"/>
    </row>
    <row r="181" spans="1:19" x14ac:dyDescent="0.2">
      <c r="A181" s="2"/>
      <c r="B181" s="2"/>
      <c r="C181" s="2"/>
      <c r="D181" s="16"/>
      <c r="E181" s="16"/>
      <c r="F181" s="16"/>
      <c r="G181" s="18"/>
      <c r="H181" s="57"/>
      <c r="I181" s="17"/>
      <c r="J181" s="22"/>
      <c r="K181" s="49"/>
      <c r="L181" s="18"/>
      <c r="M181" s="17"/>
      <c r="N181" s="17"/>
      <c r="O181" s="8"/>
      <c r="P181" s="16"/>
      <c r="Q181" s="17"/>
      <c r="R181" s="8"/>
      <c r="S181" s="79"/>
    </row>
    <row r="182" spans="1:19" s="48" customFormat="1" x14ac:dyDescent="0.2">
      <c r="A182"/>
      <c r="B182"/>
      <c r="C182"/>
      <c r="D182" s="2"/>
      <c r="E182"/>
      <c r="F182"/>
      <c r="G182"/>
      <c r="H182"/>
      <c r="I182" s="2"/>
      <c r="J182" s="86"/>
      <c r="L182"/>
      <c r="M182"/>
      <c r="N182" s="2"/>
      <c r="O182" s="9"/>
      <c r="P182"/>
      <c r="Q182" s="6"/>
      <c r="R182" s="10"/>
      <c r="S182" s="11"/>
    </row>
  </sheetData>
  <mergeCells count="8">
    <mergeCell ref="D6:F6"/>
    <mergeCell ref="D2:F2"/>
    <mergeCell ref="I2:K2"/>
    <mergeCell ref="D3:F3"/>
    <mergeCell ref="J3:M4"/>
    <mergeCell ref="D4:F4"/>
    <mergeCell ref="D5:F5"/>
    <mergeCell ref="I4:I5"/>
  </mergeCells>
  <phoneticPr fontId="14"/>
  <pageMargins left="0" right="0" top="0" bottom="0" header="0" footer="0"/>
  <pageSetup paperSize="8" scale="65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7" workbookViewId="0">
      <selection activeCell="I28" sqref="I28"/>
    </sheetView>
  </sheetViews>
  <sheetFormatPr defaultRowHeight="13" x14ac:dyDescent="0.2"/>
  <sheetData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M20" sqref="M20"/>
    </sheetView>
  </sheetViews>
  <sheetFormatPr defaultRowHeight="13" x14ac:dyDescent="0.2"/>
  <sheetData/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ED990B-30BC-4F86-9BD5-38F4ECB58E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SETB0164-A01　ecoPEN300用　1218</vt:lpstr>
      <vt:lpstr>Sheet2</vt:lpstr>
      <vt:lpstr>Sheet3</vt:lpstr>
      <vt:lpstr>'SETB0164-A01　ecoPEN300用　1218'!Print_Area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松丸Ｍ</cp:lastModifiedBy>
  <cp:lastPrinted>2018-12-14T00:20:12Z</cp:lastPrinted>
  <dcterms:created xsi:type="dcterms:W3CDTF">2011-12-13T06:48:43Z</dcterms:created>
  <dcterms:modified xsi:type="dcterms:W3CDTF">2024-02-16T01:32:33Z</dcterms:modified>
</cp:coreProperties>
</file>