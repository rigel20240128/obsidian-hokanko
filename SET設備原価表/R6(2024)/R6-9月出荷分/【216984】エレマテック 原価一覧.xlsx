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47CEEE7-D1F5-4E54-85C4-B30E7A08C1D4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<sst xmlns="http://schemas.openxmlformats.org/spreadsheetml/2006/main" count="50" uniqueCount="41">
  <si>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</si>
  <si>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</si>
  <si>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</si>
  <si>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</si>
  <si>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</si>
  <si>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</si>
  <si>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</si>
  <si>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</si>
  <si>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</si>
  <si>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</si>
  <si>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</si>
  <si>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</si>
  <si>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</si>
  <si>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</si>
  <si>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</si>
  <si>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</si>
  <si>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</si>
  <si>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</si>
  <si>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</si>
  <si>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</si>
  <si>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</si>
  <si>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</si>
  <si>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</si>
  <si>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</si>
  <si>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</si>
  <si>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</si>
  <si>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</si>
  <si>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</si>
  <si>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</si>
  <si>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</si>
  <si>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</si>
  <si>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</si>
  <si>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</si>
  <si>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</si>
  <si>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</si>
  <si>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</si>
  <si>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ZK2A10J5NL2A-06-B</t>
    <phoneticPr fontId="2"/>
  </si>
  <si>
    <t>NSSK32</t>
    <phoneticPr fontId="2"/>
  </si>
  <si>
    <t>2/10使用（残り6個）</t>
    <rPh sb="4" eb="6">
      <t>シヨウ</t>
    </rPh>
    <rPh sb="7" eb="8">
      <t>ノコ</t>
    </rPh>
    <rPh sb="10" eb="11">
      <t>コ</t>
    </rPh>
    <phoneticPr fontId="2"/>
  </si>
  <si>
    <t>Web発注済み</t>
    <phoneticPr fontId="2"/>
  </si>
  <si>
    <t>前回の在庫にて対応</t>
    <rPh sb="0" eb="2">
      <t>ゼンカイ</t>
    </rPh>
    <rPh sb="3" eb="5">
      <t>ザイコ</t>
    </rPh>
    <rPh sb="7" eb="9">
      <t>タイオウ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</si>
</sst>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="85" zoomScaleNormal="85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36" t="s">
        <v>11</v>
      </c>
      <c r="C2" s="36"/>
      <c r="D2" s="36"/>
      <c r="E2" s="2" t="s">
        <v>23</v>
      </c>
      <c r="G2" s="37" t="s">
        <v>15</v>
      </c>
      <c r="H2" s="38"/>
      <c r="I2" s="39"/>
      <c r="J2" s="3">
        <f>SUM(H:H)</f>
        <v>56760</v>
      </c>
    </row>
    <row r="3" spans="2:17" ht="20.100000000000001" customHeight="1" x14ac:dyDescent="0.15">
      <c r="B3" s="36" t="s">
        <v>10</v>
      </c>
      <c r="C3" s="36"/>
      <c r="D3" s="36"/>
      <c r="E3" s="7" t="s">
        <v>22</v>
      </c>
    </row>
    <row r="4" spans="2:17" ht="20.100000000000001" customHeight="1" x14ac:dyDescent="0.15">
      <c r="B4" s="36" t="s">
        <v>12</v>
      </c>
      <c r="C4" s="36"/>
      <c r="D4" s="36"/>
      <c r="E4" s="7">
        <v>216984</v>
      </c>
      <c r="J4" s="8"/>
    </row>
    <row r="5" spans="2:17" ht="20.100000000000001" customHeight="1" x14ac:dyDescent="0.15">
      <c r="B5" s="36" t="s">
        <v>13</v>
      </c>
      <c r="C5" s="36"/>
      <c r="D5" s="36"/>
      <c r="E5" s="9">
        <v>45547</v>
      </c>
      <c r="J5" s="8"/>
    </row>
    <row r="6" spans="2:17" ht="20.100000000000001" customHeight="1" x14ac:dyDescent="0.15">
      <c r="B6" s="36" t="s">
        <v>14</v>
      </c>
      <c r="C6" s="36"/>
      <c r="D6" s="36"/>
      <c r="E6" s="9">
        <v>45549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34" t="s">
        <v>34</v>
      </c>
      <c r="F10" s="19">
        <v>2</v>
      </c>
      <c r="G10" s="31">
        <v>8500</v>
      </c>
      <c r="H10" s="32">
        <f>F10*G10</f>
        <v>17000</v>
      </c>
      <c r="I10" s="15"/>
      <c r="J10" s="15"/>
      <c r="K10" s="35"/>
      <c r="L10" s="14"/>
      <c r="M10" s="16">
        <v>45510</v>
      </c>
      <c r="N10" s="13"/>
      <c r="O10" s="27">
        <v>45538</v>
      </c>
      <c r="P10" s="16">
        <v>45538</v>
      </c>
      <c r="Q10" s="17">
        <v>45538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1" t="s">
        <v>35</v>
      </c>
      <c r="F11" s="19">
        <v>2</v>
      </c>
      <c r="G11" s="29">
        <v>5500</v>
      </c>
      <c r="H11" s="32">
        <f t="shared" ref="H11:H14" si="0">F11*G11</f>
        <v>11000</v>
      </c>
      <c r="I11" s="20"/>
      <c r="J11" s="20"/>
      <c r="K11" s="35"/>
      <c r="L11" s="14"/>
      <c r="M11" s="16">
        <v>45510</v>
      </c>
      <c r="N11" s="13"/>
      <c r="O11" s="27">
        <v>45538</v>
      </c>
      <c r="P11" s="16">
        <v>45538</v>
      </c>
      <c r="Q11" s="17">
        <v>45538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36</v>
      </c>
      <c r="F12" s="19">
        <v>2</v>
      </c>
      <c r="G12" s="29">
        <v>9780</v>
      </c>
      <c r="H12" s="32">
        <f t="shared" si="0"/>
        <v>19560</v>
      </c>
      <c r="I12" s="20"/>
      <c r="J12" s="22" t="s">
        <v>24</v>
      </c>
      <c r="K12" s="35"/>
      <c r="L12" s="14"/>
      <c r="M12" s="16">
        <v>45510</v>
      </c>
      <c r="N12" s="13"/>
      <c r="O12" s="27">
        <v>45538</v>
      </c>
      <c r="P12" s="16"/>
      <c r="Q12" s="17">
        <v>45537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10</v>
      </c>
      <c r="G13" s="31">
        <v>140</v>
      </c>
      <c r="H13" s="32">
        <f t="shared" si="0"/>
        <v>1400</v>
      </c>
      <c r="I13" s="18"/>
      <c r="J13" s="22" t="s">
        <v>38</v>
      </c>
      <c r="K13" s="35" t="s">
        <v>40</v>
      </c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34" t="s">
        <v>37</v>
      </c>
      <c r="F14" s="19">
        <v>2</v>
      </c>
      <c r="G14" s="31">
        <v>150</v>
      </c>
      <c r="H14" s="32">
        <f t="shared" si="0"/>
        <v>300</v>
      </c>
      <c r="I14" s="25"/>
      <c r="J14" s="24" t="s">
        <v>25</v>
      </c>
      <c r="K14" s="14" t="s">
        <v>39</v>
      </c>
      <c r="L14" s="14"/>
      <c r="M14" s="16">
        <v>45509</v>
      </c>
      <c r="N14" s="13"/>
      <c r="O14" s="14"/>
      <c r="P14" s="16">
        <v>45511</v>
      </c>
      <c r="Q14" s="17"/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4" t="s">
        <v>29</v>
      </c>
      <c r="F15" s="19">
        <v>0.5</v>
      </c>
      <c r="G15" s="31">
        <v>5000</v>
      </c>
      <c r="H15" s="32">
        <f t="shared" ref="H15:H16" si="1">F15*G15</f>
        <v>2500</v>
      </c>
      <c r="I15" s="25"/>
      <c r="J15" s="2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28</v>
      </c>
      <c r="F16" s="19">
        <v>1</v>
      </c>
      <c r="G16" s="31">
        <v>5000</v>
      </c>
      <c r="H16" s="32">
        <f t="shared" si="1"/>
        <v>5000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33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2024-09-03T04:47:22Z</dcterms:modified>
</cp:coreProperties>
</file>