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C07384A1-66D1-483E-BB3E-A45F80851B86}" xr6:coauthVersionLast="47" xr6:coauthVersionMax="47" xr10:uidLastSave="{00000000-0000-0000-0000-000000000000}"/>
  <bookViews>
    <workbookView xWindow="-120" yWindow="-120" windowWidth="29040" windowHeight="15840" xr2:uid="{8BB87D5E-A9B8-4A3F-9997-B4B972EF253B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Sheet1!$B$8:$O$14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12" i="1"/>
  <c r="H13" i="1"/>
  <c r="H14" i="1"/>
  <c r="H15" i="1"/>
  <c r="H16" i="1"/>
  <c r="J2" i="1" l="1"/>
</calcChain>
</file>

<file path=xl/sharedStrings.xml><?xml version="1.0" encoding="utf-8"?>
<sst xmlns="http://schemas.openxmlformats.org/spreadsheetml/2006/main" count="63" uniqueCount="43">
  <si>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</si>
  <si>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</si>
  <si>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</si>
  <si>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</si>
  <si>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</si>
  <si>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</si>
  <si>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</si>
  <si>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</si>
  <si>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</si>
  <si>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</si>
  <si>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</si>
  <si>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</si>
  <si>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</si>
  <si>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</si>
  <si>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</si>
  <si>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</si>
  <si>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</si>
  <si>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</si>
  <si>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</si>
  <si>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</si>
  <si>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</si>
  <si>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</si>
  <si>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設計費</t>
    <rPh sb="0" eb="2">
      <t>セッケイ</t>
    </rPh>
    <rPh sb="2" eb="3">
      <t>ヒ</t>
    </rPh>
    <phoneticPr fontId="1"/>
  </si>
  <si>
    <t>組立費</t>
    <rPh sb="0" eb="2">
      <t>クミタテ</t>
    </rPh>
    <rPh sb="2" eb="3">
      <t>ヒ</t>
    </rPh>
    <phoneticPr fontId="1"/>
  </si>
  <si>
    <t>SET</t>
    <phoneticPr fontId="1"/>
  </si>
  <si>
    <t>MISUMI</t>
    <phoneticPr fontId="1"/>
  </si>
  <si>
    <t>MISUMI</t>
    <phoneticPr fontId="1"/>
  </si>
  <si>
    <t>WEB発注済</t>
    <rPh sb="3" eb="6">
      <t>ハッチュウスミ</t>
    </rPh>
    <phoneticPr fontId="1"/>
  </si>
  <si>
    <t>アポロ精工</t>
    <rPh sb="3" eb="5">
      <t>セイコウ</t>
    </rPh>
    <phoneticPr fontId="1"/>
  </si>
  <si>
    <t>斉藤（タイ）</t>
    <rPh sb="0" eb="2">
      <t>サイトウ</t>
    </rPh>
    <phoneticPr fontId="1"/>
  </si>
  <si>
    <t>■SETA0228-Y01-1(ﾂｰﾙﾌﾟﾚｰﾄ)</t>
    <phoneticPr fontId="1"/>
  </si>
  <si>
    <t>該当項目なし</t>
    <rPh sb="0" eb="2">
      <t>ガイトウ</t>
    </rPh>
    <rPh sb="2" eb="4">
      <t>コウモク</t>
    </rPh>
    <phoneticPr fontId="1"/>
  </si>
  <si>
    <t>ZSG50-CU</t>
  </si>
  <si>
    <t>MVBLK-AMW-3X8-UCW22</t>
  </si>
  <si>
    <t>MVBLK-AMW-3X8-UPTFL</t>
  </si>
  <si>
    <t>■SETA0228-Y02-1(ｽﾃｰｼﾞﾌﾟﾚｰﾄ)</t>
  </si>
  <si>
    <t>NEDUL-PT-JS-9-1.5</t>
  </si>
  <si>
    <t>DB-9SP</t>
  </si>
  <si>
    <t>Dｻﾌﾞﾊｰﾈｽ(ﾏﾙ)</t>
  </si>
  <si>
    <t>ｺﾈｸﾀ</t>
  </si>
  <si>
    <t>Zｽﾃｰｼﾞ ZSG</t>
  </si>
  <si>
    <t>SETDSUB-N-ML-PP-37</t>
    <phoneticPr fontId="1"/>
  </si>
  <si>
    <t>発注ｷｬﾝｾﾙ</t>
    <rPh sb="0" eb="2">
      <t>ハッチュウ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</si>
</sst>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9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trike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1" xfId="0" applyBorder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56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8" fontId="7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38" fontId="8" fillId="0" borderId="1" xfId="0" applyNumberFormat="1" applyFont="1" applyBorder="1">
      <alignment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F46E-B438-4D05-B82A-9A06F4E4FA83}">
  <dimension ref="B2:Q16"/>
  <sheetViews>
    <sheetView tabSelected="1" zoomScale="85" zoomScaleNormal="85" workbookViewId="0">
      <pane xSplit="10" ySplit="8" topLeftCell="K9" activePane="bottomRight" state="frozen"/>
      <selection pane="topRight" activeCell="K1" sqref="K1"/>
      <selection pane="bottomLeft" activeCell="A9" sqref="A9"/>
      <selection pane="bottomRight" activeCell="Q15" sqref="Q15"/>
    </sheetView>
  </sheetViews>
  <sheetFormatPr defaultRowHeight="13.5" x14ac:dyDescent="0.15"/>
  <cols>
    <col min="1" max="1" width="2.625" customWidth="1"/>
    <col min="2" max="2" width="22" style="3" customWidth="1"/>
    <col min="3" max="4" width="20.625" customWidth="1"/>
    <col min="5" max="5" width="40.625" customWidth="1"/>
    <col min="6" max="6" width="6.25" style="3" customWidth="1"/>
    <col min="7" max="8" width="9.875" bestFit="1" customWidth="1"/>
    <col min="9" max="9" width="13.5" style="8" bestFit="1" customWidth="1"/>
    <col min="10" max="10" width="29.5" customWidth="1"/>
    <col min="11" max="11" width="11.375" customWidth="1"/>
    <col min="12" max="12" width="20.625" style="3" customWidth="1"/>
    <col min="13" max="13" width="13.75" style="11" customWidth="1"/>
    <col min="14" max="14" width="6.375" customWidth="1"/>
    <col min="15" max="15" width="13.25" style="8" customWidth="1"/>
    <col min="16" max="16" width="14.5" style="13" customWidth="1"/>
    <col min="17" max="17" width="15.625" style="14" customWidth="1"/>
  </cols>
  <sheetData>
    <row r="2" spans="2:17" ht="20.100000000000001" customHeight="1" x14ac:dyDescent="0.15">
      <c r="B2" s="32" t="s">
        <v>11</v>
      </c>
      <c r="C2" s="32"/>
      <c r="D2" s="32"/>
      <c r="E2" s="9" t="s">
        <v>28</v>
      </c>
      <c r="G2" s="33" t="s">
        <v>15</v>
      </c>
      <c r="H2" s="34"/>
      <c r="I2" s="35"/>
      <c r="J2" s="7">
        <f>SUM(H:H)</f>
        <v>76792</v>
      </c>
    </row>
    <row r="3" spans="2:17" ht="20.100000000000001" customHeight="1" x14ac:dyDescent="0.15">
      <c r="B3" s="32" t="s">
        <v>10</v>
      </c>
      <c r="C3" s="32"/>
      <c r="D3" s="32"/>
      <c r="E3" s="5" t="s">
        <v>29</v>
      </c>
    </row>
    <row r="4" spans="2:17" ht="20.100000000000001" customHeight="1" x14ac:dyDescent="0.15">
      <c r="B4" s="32" t="s">
        <v>12</v>
      </c>
      <c r="C4" s="32"/>
      <c r="D4" s="32"/>
      <c r="E4" s="5">
        <v>217333</v>
      </c>
    </row>
    <row r="5" spans="2:17" ht="20.100000000000001" customHeight="1" x14ac:dyDescent="0.15">
      <c r="B5" s="32" t="s">
        <v>13</v>
      </c>
      <c r="C5" s="32"/>
      <c r="D5" s="32"/>
      <c r="E5" s="6">
        <v>45548</v>
      </c>
    </row>
    <row r="6" spans="2:17" ht="20.100000000000001" customHeight="1" x14ac:dyDescent="0.15">
      <c r="B6" s="32" t="s">
        <v>14</v>
      </c>
      <c r="C6" s="32"/>
      <c r="D6" s="32"/>
      <c r="E6" s="6">
        <v>45553</v>
      </c>
    </row>
    <row r="8" spans="2:17" s="3" customFormat="1" ht="19.7" customHeight="1" x14ac:dyDescent="0.15">
      <c r="B8" s="4" t="s">
        <v>4</v>
      </c>
      <c r="C8" s="4" t="s">
        <v>9</v>
      </c>
      <c r="D8" s="4" t="s">
        <v>5</v>
      </c>
      <c r="E8" s="1" t="s">
        <v>8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3</v>
      </c>
      <c r="K8" s="1" t="s">
        <v>17</v>
      </c>
      <c r="L8" s="1" t="s">
        <v>16</v>
      </c>
      <c r="M8" s="12" t="s">
        <v>6</v>
      </c>
      <c r="N8" s="4" t="s">
        <v>19</v>
      </c>
      <c r="O8" s="1" t="s">
        <v>7</v>
      </c>
      <c r="P8" s="12" t="s">
        <v>20</v>
      </c>
      <c r="Q8" s="15" t="s">
        <v>21</v>
      </c>
    </row>
    <row r="9" spans="2:17" s="3" customFormat="1" ht="19.7" customHeight="1" x14ac:dyDescent="0.15">
      <c r="B9" s="28">
        <v>12</v>
      </c>
      <c r="C9" s="4" t="s">
        <v>25</v>
      </c>
      <c r="D9" s="4" t="s">
        <v>25</v>
      </c>
      <c r="E9" s="10" t="s">
        <v>36</v>
      </c>
      <c r="F9" s="1">
        <v>1</v>
      </c>
      <c r="G9" s="10">
        <v>2650</v>
      </c>
      <c r="H9" s="17">
        <f t="shared" ref="H9:H16" si="0">F9*G9</f>
        <v>2650</v>
      </c>
      <c r="I9" s="1"/>
      <c r="J9" s="10" t="s">
        <v>38</v>
      </c>
      <c r="K9" s="21"/>
      <c r="L9" s="1" t="s">
        <v>27</v>
      </c>
      <c r="M9" s="12"/>
      <c r="N9" s="4"/>
      <c r="O9" s="18"/>
      <c r="P9" s="12"/>
      <c r="Q9" s="15">
        <v>45538</v>
      </c>
    </row>
    <row r="10" spans="2:17" s="3" customFormat="1" ht="19.7" customHeight="1" x14ac:dyDescent="0.15">
      <c r="B10" s="28"/>
      <c r="C10" s="4" t="s">
        <v>25</v>
      </c>
      <c r="D10" s="4" t="s">
        <v>25</v>
      </c>
      <c r="E10" s="25" t="s">
        <v>37</v>
      </c>
      <c r="F10" s="26">
        <v>0</v>
      </c>
      <c r="G10" s="25">
        <v>168</v>
      </c>
      <c r="H10" s="27">
        <f t="shared" ref="H10:H11" si="1">F10*G10</f>
        <v>0</v>
      </c>
      <c r="I10" s="26"/>
      <c r="J10" s="25" t="s">
        <v>39</v>
      </c>
      <c r="K10" s="21"/>
      <c r="L10" s="24" t="s">
        <v>42</v>
      </c>
      <c r="M10" s="12"/>
      <c r="N10" s="4"/>
      <c r="O10" s="18"/>
      <c r="P10" s="12"/>
      <c r="Q10" s="15"/>
    </row>
    <row r="11" spans="2:17" s="3" customFormat="1" ht="19.7" customHeight="1" x14ac:dyDescent="0.15">
      <c r="B11" s="28"/>
      <c r="C11" s="4" t="s">
        <v>25</v>
      </c>
      <c r="D11" s="4" t="s">
        <v>25</v>
      </c>
      <c r="E11" s="10" t="s">
        <v>41</v>
      </c>
      <c r="F11" s="1">
        <v>1</v>
      </c>
      <c r="G11" s="10">
        <v>1234</v>
      </c>
      <c r="H11" s="17">
        <f t="shared" si="1"/>
        <v>1234</v>
      </c>
      <c r="I11" s="1"/>
      <c r="J11" s="10" t="s">
        <v>39</v>
      </c>
      <c r="K11" s="21"/>
      <c r="L11" s="1" t="s">
        <v>27</v>
      </c>
      <c r="M11" s="12"/>
      <c r="N11" s="4"/>
      <c r="O11" s="18"/>
      <c r="P11" s="12"/>
      <c r="Q11" s="15">
        <v>45538</v>
      </c>
    </row>
    <row r="12" spans="2:17" s="3" customFormat="1" ht="19.7" customHeight="1" x14ac:dyDescent="0.15">
      <c r="B12" s="29">
        <v>13</v>
      </c>
      <c r="C12" s="4" t="s">
        <v>26</v>
      </c>
      <c r="D12" s="4" t="s">
        <v>26</v>
      </c>
      <c r="E12" s="10" t="s">
        <v>34</v>
      </c>
      <c r="F12" s="1">
        <v>1</v>
      </c>
      <c r="G12" s="10">
        <v>6613</v>
      </c>
      <c r="H12" s="17">
        <f t="shared" si="0"/>
        <v>6613</v>
      </c>
      <c r="I12" s="1"/>
      <c r="J12" s="10" t="s">
        <v>30</v>
      </c>
      <c r="K12" s="21"/>
      <c r="L12" s="1" t="s">
        <v>27</v>
      </c>
      <c r="M12" s="12"/>
      <c r="N12" s="4"/>
      <c r="O12" s="18"/>
      <c r="P12" s="12"/>
      <c r="Q12" s="15">
        <v>45547</v>
      </c>
    </row>
    <row r="13" spans="2:17" s="3" customFormat="1" ht="19.7" customHeight="1" x14ac:dyDescent="0.15">
      <c r="B13" s="29"/>
      <c r="C13" s="4" t="s">
        <v>26</v>
      </c>
      <c r="D13" s="4" t="s">
        <v>26</v>
      </c>
      <c r="E13" s="10" t="s">
        <v>33</v>
      </c>
      <c r="F13" s="1">
        <v>1</v>
      </c>
      <c r="G13" s="10">
        <v>5645</v>
      </c>
      <c r="H13" s="17">
        <f t="shared" si="0"/>
        <v>5645</v>
      </c>
      <c r="I13" s="1"/>
      <c r="J13" s="10" t="s">
        <v>35</v>
      </c>
      <c r="K13" s="21"/>
      <c r="L13" s="1" t="s">
        <v>27</v>
      </c>
      <c r="M13" s="12"/>
      <c r="N13" s="4"/>
      <c r="O13" s="18"/>
      <c r="P13" s="12"/>
      <c r="Q13" s="15">
        <v>45547</v>
      </c>
    </row>
    <row r="14" spans="2:17" s="3" customFormat="1" ht="19.7" customHeight="1" x14ac:dyDescent="0.15">
      <c r="B14" s="29"/>
      <c r="C14" s="4" t="s">
        <v>26</v>
      </c>
      <c r="D14" s="4" t="s">
        <v>26</v>
      </c>
      <c r="E14" s="10" t="s">
        <v>32</v>
      </c>
      <c r="F14" s="1">
        <v>1</v>
      </c>
      <c r="G14" s="10">
        <v>25650</v>
      </c>
      <c r="H14" s="17">
        <f t="shared" si="0"/>
        <v>25650</v>
      </c>
      <c r="I14" s="1"/>
      <c r="J14" s="10" t="s">
        <v>40</v>
      </c>
      <c r="K14" s="21"/>
      <c r="L14" s="1" t="s">
        <v>27</v>
      </c>
      <c r="M14" s="12"/>
      <c r="N14" s="4"/>
      <c r="O14" s="18"/>
      <c r="P14" s="12"/>
      <c r="Q14" s="15">
        <v>45547</v>
      </c>
    </row>
    <row r="15" spans="2:17" s="3" customFormat="1" ht="19.7" customHeight="1" x14ac:dyDescent="0.15">
      <c r="B15" s="30" t="s">
        <v>31</v>
      </c>
      <c r="C15" s="4" t="s">
        <v>24</v>
      </c>
      <c r="D15" s="4" t="s">
        <v>24</v>
      </c>
      <c r="E15" s="23" t="s">
        <v>22</v>
      </c>
      <c r="F15" s="19">
        <v>5</v>
      </c>
      <c r="G15" s="20">
        <v>5000</v>
      </c>
      <c r="H15" s="17">
        <f t="shared" si="0"/>
        <v>25000</v>
      </c>
      <c r="I15" s="2"/>
      <c r="J15" s="23" t="s">
        <v>22</v>
      </c>
      <c r="K15" s="21"/>
      <c r="L15" s="22"/>
      <c r="M15" s="12"/>
      <c r="N15" s="4"/>
      <c r="O15" s="18"/>
      <c r="P15" s="12"/>
      <c r="Q15" s="15"/>
    </row>
    <row r="16" spans="2:17" s="3" customFormat="1" ht="19.7" customHeight="1" x14ac:dyDescent="0.15">
      <c r="B16" s="31"/>
      <c r="C16" s="4" t="s">
        <v>24</v>
      </c>
      <c r="D16" s="4" t="s">
        <v>24</v>
      </c>
      <c r="E16" s="23" t="s">
        <v>23</v>
      </c>
      <c r="F16" s="1">
        <v>2</v>
      </c>
      <c r="G16" s="16">
        <v>5000</v>
      </c>
      <c r="H16" s="17">
        <f t="shared" si="0"/>
        <v>10000</v>
      </c>
      <c r="I16" s="2"/>
      <c r="J16" s="23" t="s">
        <v>23</v>
      </c>
      <c r="K16" s="1"/>
      <c r="L16" s="1"/>
      <c r="M16" s="12"/>
      <c r="N16" s="4"/>
      <c r="O16" s="1"/>
      <c r="P16" s="12"/>
      <c r="Q16" s="15"/>
    </row>
  </sheetData>
  <autoFilter ref="B8:O14" xr:uid="{5445119D-ED0C-46E2-9EF8-E1C0F6663E51}"/>
  <mergeCells count="9">
    <mergeCell ref="B9:B11"/>
    <mergeCell ref="B12:B14"/>
    <mergeCell ref="B15:B16"/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20D8-C2AF-4F99-BE7A-37361DF21D07}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15BA-4A34-416C-A11B-69381202487B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2012-01-12T04:44:33Z</cp:lastPrinted>
  <dcterms:created xsi:type="dcterms:W3CDTF">2011-12-13T06:48:43Z</dcterms:created>
  <dcterms:modified xsi:type="dcterms:W3CDTF">2024-09-12T05:28:38Z</dcterms:modified>
</cp:coreProperties>
</file>