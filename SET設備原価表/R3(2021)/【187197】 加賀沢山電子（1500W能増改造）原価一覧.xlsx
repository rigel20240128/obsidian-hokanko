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B6F6BDA2-9A6C-48CC-89E3-14C571733C31}" xr6:coauthVersionLast="46" xr6:coauthVersionMax="46" xr10:uidLastSave="{00000000-0000-0000-0000-000000000000}"/>
  <bookViews>
    <workbookView xWindow="-120" yWindow="-120" windowWidth="29040" windowHeight="15840" activeTab="3" xr2:uid="{00000000-000D-0000-FFFF-FFFF00000000}"/>
  </bookViews>
  <sheets>
    <sheet name="原価表" sheetId="1" r:id="rId1"/>
    <sheet name="LINE-A" sheetId="5" r:id="rId2"/>
    <sheet name="LINE-B" sheetId="6" r:id="rId3"/>
    <sheet name="ﾈｼﾞ締め" sheetId="7" r:id="rId4"/>
    <sheet name="ﾌｧﾝﾈｼﾞ締め" sheetId="8" r:id="rId5"/>
    <sheet name="SMC資料" sheetId="9" r:id="rId6"/>
    <sheet name="KEYENCE" sheetId="10" r:id="rId7"/>
  </sheets>
  <definedNames>
    <definedName name="_xlnm._FilterDatabase" localSheetId="0" hidden="1">原価表!$B$9:$O$25</definedName>
  </definedNames>
  <calcPr calcId="181029"/>
  <fileRecoveryPr autoRecover="0"/>
</workbook>
</file>

<file path=xl/calcChain.xml><?xml version="1.0" encoding="utf-8"?>
<calcChain xmlns="http://schemas.openxmlformats.org/spreadsheetml/2006/main">
  <c r="H10" i="7" l="1"/>
  <c r="J2" i="7" s="1"/>
  <c r="H245" i="5"/>
  <c r="H312" i="6" l="1"/>
  <c r="H119" i="1" l="1"/>
  <c r="H311" i="6" l="1"/>
  <c r="H294" i="6" l="1"/>
  <c r="H293" i="6" l="1"/>
  <c r="H240" i="5"/>
  <c r="H239" i="5" l="1"/>
  <c r="H238" i="5"/>
  <c r="H292" i="6" l="1"/>
  <c r="H232" i="5" l="1"/>
  <c r="H113" i="1" l="1"/>
  <c r="H112" i="1"/>
  <c r="F82" i="8" l="1"/>
  <c r="H191" i="5"/>
  <c r="H111" i="1"/>
  <c r="H110" i="1"/>
  <c r="H109" i="1"/>
  <c r="H106" i="1"/>
  <c r="H107" i="1"/>
  <c r="H105" i="1"/>
  <c r="H101" i="1"/>
  <c r="H102" i="1"/>
  <c r="H103" i="1"/>
  <c r="H100" i="1"/>
  <c r="H226" i="6"/>
  <c r="H225" i="6"/>
  <c r="H198" i="6"/>
  <c r="H98" i="1"/>
  <c r="H139" i="5"/>
  <c r="H138" i="5"/>
  <c r="H197" i="6"/>
  <c r="H97" i="1"/>
  <c r="H96" i="1"/>
  <c r="H26" i="1"/>
  <c r="H94" i="1"/>
  <c r="H93" i="1"/>
  <c r="H92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1" i="1"/>
  <c r="H70" i="1"/>
  <c r="H69" i="1"/>
  <c r="H102" i="5"/>
  <c r="H101" i="5"/>
  <c r="H64" i="8"/>
  <c r="H100" i="5"/>
  <c r="H99" i="5"/>
  <c r="H98" i="5"/>
  <c r="H97" i="5"/>
  <c r="H109" i="6"/>
  <c r="H110" i="6"/>
  <c r="H111" i="6"/>
  <c r="H112" i="6"/>
  <c r="H113" i="6"/>
  <c r="H96" i="5"/>
  <c r="H114" i="6"/>
  <c r="H115" i="6"/>
  <c r="H116" i="6"/>
  <c r="H117" i="6"/>
  <c r="H106" i="6"/>
  <c r="H107" i="6"/>
  <c r="H108" i="6"/>
  <c r="H105" i="6"/>
  <c r="H95" i="5"/>
  <c r="H22" i="1"/>
  <c r="H21" i="1"/>
  <c r="H63" i="8"/>
  <c r="H62" i="8"/>
  <c r="J2" i="8" s="1"/>
  <c r="H27" i="1" s="1"/>
  <c r="H89" i="6"/>
  <c r="H81" i="6"/>
  <c r="H80" i="6"/>
  <c r="H79" i="6"/>
  <c r="H23" i="5"/>
  <c r="H24" i="5"/>
  <c r="H22" i="5"/>
  <c r="G56" i="9"/>
  <c r="G55" i="9"/>
  <c r="G54" i="9"/>
  <c r="G53" i="9"/>
  <c r="G52" i="9"/>
  <c r="G51" i="9"/>
  <c r="G50" i="9"/>
  <c r="G49" i="9"/>
  <c r="G48" i="9"/>
  <c r="G47" i="9"/>
  <c r="N44" i="9"/>
  <c r="G44" i="9"/>
  <c r="N43" i="9"/>
  <c r="G43" i="9"/>
  <c r="N42" i="9"/>
  <c r="G42" i="9"/>
  <c r="G41" i="9"/>
  <c r="G40" i="9"/>
  <c r="G39" i="9"/>
  <c r="G38" i="9"/>
  <c r="G37" i="9"/>
  <c r="G36" i="9"/>
  <c r="G35" i="9"/>
  <c r="N31" i="9"/>
  <c r="G31" i="9"/>
  <c r="N30" i="9"/>
  <c r="G30" i="9"/>
  <c r="N29" i="9"/>
  <c r="G29" i="9"/>
  <c r="N27" i="9"/>
  <c r="N26" i="9"/>
  <c r="G26" i="9"/>
  <c r="N25" i="9"/>
  <c r="G25" i="9"/>
  <c r="N24" i="9"/>
  <c r="G24" i="9"/>
  <c r="N23" i="9"/>
  <c r="G23" i="9"/>
  <c r="N22" i="9"/>
  <c r="G22" i="9"/>
  <c r="N21" i="9"/>
  <c r="G21" i="9"/>
  <c r="G19" i="9"/>
  <c r="G18" i="9"/>
  <c r="G17" i="9"/>
  <c r="N14" i="9"/>
  <c r="N13" i="9"/>
  <c r="G13" i="9"/>
  <c r="N12" i="9"/>
  <c r="G12" i="9"/>
  <c r="N11" i="9"/>
  <c r="G11" i="9"/>
  <c r="G10" i="9"/>
  <c r="N9" i="9"/>
  <c r="G9" i="9"/>
  <c r="N8" i="9"/>
  <c r="G8" i="9"/>
  <c r="N7" i="9"/>
  <c r="G5" i="9"/>
  <c r="G4" i="9"/>
  <c r="G3" i="9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11" i="5"/>
  <c r="H12" i="5"/>
  <c r="H13" i="5"/>
  <c r="H14" i="5"/>
  <c r="H15" i="5"/>
  <c r="H16" i="5"/>
  <c r="H17" i="5"/>
  <c r="H18" i="5"/>
  <c r="H19" i="5"/>
  <c r="H20" i="5"/>
  <c r="H21" i="5"/>
  <c r="H10" i="5"/>
  <c r="G13" i="1"/>
  <c r="G12" i="1"/>
  <c r="G10" i="1"/>
  <c r="H21" i="6"/>
  <c r="J19" i="1"/>
  <c r="G11" i="1"/>
  <c r="J2" i="6" l="1"/>
  <c r="H25" i="1" s="1"/>
  <c r="J2" i="5"/>
  <c r="H24" i="1" s="1"/>
  <c r="J2" i="1" l="1"/>
</calcChain>
</file>

<file path=xl/sharedStrings.xml><?xml version="1.0" encoding="utf-8"?>
<sst xmlns="http://schemas.openxmlformats.org/spreadsheetml/2006/main" count="3188" uniqueCount="983">
  <si>
    <t>数量</t>
  </si>
  <si>
    <t>単価</t>
  </si>
  <si>
    <t>金額</t>
  </si>
  <si>
    <t>詳細</t>
    <rPh sb="0" eb="2">
      <t>ショウサイ</t>
    </rPh>
    <phoneticPr fontId="2"/>
  </si>
  <si>
    <t>見積り分類</t>
    <rPh sb="0" eb="2">
      <t>ミツモ</t>
    </rPh>
    <rPh sb="3" eb="5">
      <t>ブンルイ</t>
    </rPh>
    <phoneticPr fontId="1"/>
  </si>
  <si>
    <t>仕入先</t>
    <rPh sb="0" eb="2">
      <t>シイレ</t>
    </rPh>
    <rPh sb="2" eb="3">
      <t>サキ</t>
    </rPh>
    <phoneticPr fontId="1"/>
  </si>
  <si>
    <t>発注日</t>
    <rPh sb="0" eb="2">
      <t>ハッチュウ</t>
    </rPh>
    <rPh sb="2" eb="3">
      <t>ヒ</t>
    </rPh>
    <phoneticPr fontId="1"/>
  </si>
  <si>
    <t>納期</t>
    <rPh sb="0" eb="2">
      <t>ノウ</t>
    </rPh>
    <phoneticPr fontId="1"/>
  </si>
  <si>
    <t>品名 / 型式</t>
    <rPh sb="0" eb="2">
      <t>ヒンメイ</t>
    </rPh>
    <rPh sb="5" eb="7">
      <t>カタシキ</t>
    </rPh>
    <phoneticPr fontId="2"/>
  </si>
  <si>
    <t>メーカー</t>
    <phoneticPr fontId="1"/>
  </si>
  <si>
    <t>担当営業</t>
    <rPh sb="0" eb="2">
      <t>タントウ</t>
    </rPh>
    <rPh sb="2" eb="4">
      <t>エイギョウ</t>
    </rPh>
    <phoneticPr fontId="1"/>
  </si>
  <si>
    <t>お客先名</t>
    <rPh sb="1" eb="3">
      <t>キャクサキ</t>
    </rPh>
    <rPh sb="3" eb="4">
      <t>メイ</t>
    </rPh>
    <phoneticPr fontId="1"/>
  </si>
  <si>
    <t>受注番号</t>
    <rPh sb="0" eb="2">
      <t>ジュチュウ</t>
    </rPh>
    <rPh sb="2" eb="4">
      <t>バンゴウ</t>
    </rPh>
    <phoneticPr fontId="1"/>
  </si>
  <si>
    <t>希望納期</t>
    <rPh sb="0" eb="2">
      <t>キボウ</t>
    </rPh>
    <rPh sb="2" eb="4">
      <t>ノウ</t>
    </rPh>
    <phoneticPr fontId="1"/>
  </si>
  <si>
    <t>最終納品</t>
    <rPh sb="0" eb="2">
      <t>サイシュウ</t>
    </rPh>
    <rPh sb="2" eb="4">
      <t>ノウヒン</t>
    </rPh>
    <phoneticPr fontId="1"/>
  </si>
  <si>
    <t>合計金額</t>
    <rPh sb="0" eb="2">
      <t>ゴウケイ</t>
    </rPh>
    <rPh sb="2" eb="4">
      <t>キンガク</t>
    </rPh>
    <phoneticPr fontId="1"/>
  </si>
  <si>
    <t>技術分類</t>
    <rPh sb="0" eb="2">
      <t>ギジュツ</t>
    </rPh>
    <rPh sb="2" eb="4">
      <t>ブンルイ</t>
    </rPh>
    <phoneticPr fontId="1"/>
  </si>
  <si>
    <t>備考</t>
    <rPh sb="0" eb="2">
      <t>ビコウ</t>
    </rPh>
    <phoneticPr fontId="1"/>
  </si>
  <si>
    <t>分類合計</t>
    <rPh sb="0" eb="2">
      <t>ブンルイ</t>
    </rPh>
    <rPh sb="2" eb="4">
      <t>ゴウケイ</t>
    </rPh>
    <phoneticPr fontId="1"/>
  </si>
  <si>
    <t>発注</t>
    <rPh sb="0" eb="2">
      <t>ハッチュウ</t>
    </rPh>
    <phoneticPr fontId="1"/>
  </si>
  <si>
    <t>入荷予定日</t>
    <rPh sb="0" eb="2">
      <t>ニュウカ</t>
    </rPh>
    <rPh sb="2" eb="4">
      <t>ヨテイ</t>
    </rPh>
    <rPh sb="4" eb="5">
      <t>ヒ</t>
    </rPh>
    <phoneticPr fontId="1"/>
  </si>
  <si>
    <t>入荷日</t>
    <rPh sb="0" eb="2">
      <t>ニュウカ</t>
    </rPh>
    <rPh sb="2" eb="3">
      <t>ビ</t>
    </rPh>
    <phoneticPr fontId="1"/>
  </si>
  <si>
    <t>田中</t>
    <rPh sb="0" eb="2">
      <t>タナカ</t>
    </rPh>
    <phoneticPr fontId="1"/>
  </si>
  <si>
    <t>JANOME</t>
    <phoneticPr fontId="1"/>
  </si>
  <si>
    <t>加賀沢山電子（中国・蘇州）</t>
    <rPh sb="0" eb="6">
      <t>カガタクサンデンシ</t>
    </rPh>
    <rPh sb="7" eb="9">
      <t>チュウゴク</t>
    </rPh>
    <rPh sb="10" eb="12">
      <t>ソシュウ</t>
    </rPh>
    <phoneticPr fontId="1"/>
  </si>
  <si>
    <t>HAJCHP8</t>
  </si>
  <si>
    <t>HBLFSN8-C-SET</t>
  </si>
  <si>
    <t>HBLUS8-SET</t>
  </si>
  <si>
    <t>HCBR8</t>
  </si>
  <si>
    <t>HFCB8-4040-B</t>
  </si>
  <si>
    <t>HFS8-4040-340</t>
  </si>
  <si>
    <t>HFS8-4040-374</t>
  </si>
  <si>
    <t>HFS8-4040-570</t>
  </si>
  <si>
    <t>HFS8-4040-580</t>
  </si>
  <si>
    <t>HFS8-4040-650</t>
  </si>
  <si>
    <t>HFS8-4040-720</t>
  </si>
  <si>
    <t>SHBLBS8</t>
  </si>
  <si>
    <t>TP70-1A1</t>
  </si>
  <si>
    <t>MISUMI</t>
    <phoneticPr fontId="1"/>
  </si>
  <si>
    <t>ｱｼﾞｬｽﾀﾊﾟｯﾄﾞ</t>
  </si>
  <si>
    <t>ｱﾙﾐﾌﾞﾗｹｯﾄｻﾞｲ</t>
  </si>
  <si>
    <t>ｶﾊﾞｰﾄﾘﾂｹｶﾝﾚﾝﾌﾞﾋﾝ</t>
  </si>
  <si>
    <t>ﾌﾚｰﾑｷｬｯﾌﾟ (HFC)</t>
  </si>
  <si>
    <t>ｱﾙﾐﾌﾚｰﾑｻﾞｲ</t>
  </si>
  <si>
    <t>OMRON ｽｲｯﾁ TP70</t>
  </si>
  <si>
    <t>KNCLSS10-25-20</t>
  </si>
  <si>
    <t>KSE-150</t>
  </si>
  <si>
    <t>■SETA0033-00-B(元圧ﾌﾟﾚｰﾄ)</t>
  </si>
  <si>
    <t>MVSHM-3N01200029071-JPA2AYL41111AA</t>
  </si>
  <si>
    <t>SLPSQAH4-L10.0</t>
  </si>
  <si>
    <t>TAISHO</t>
    <phoneticPr fontId="1"/>
  </si>
  <si>
    <t>LR4-302LJBA-RYG</t>
  </si>
  <si>
    <t>LAN-SWHPOE44</t>
  </si>
  <si>
    <t>TS32GSDC300S</t>
  </si>
  <si>
    <t>SHNTAP8-5</t>
  </si>
  <si>
    <t>A8111</t>
  </si>
  <si>
    <t>SLPSQAH5-L10.0</t>
  </si>
  <si>
    <t>ｼｸﾞﾅﾙﾀﾜｰｾｷｿｳｼﾝｺﾞｳﾄｳLRｼﾘｰｽﾞ</t>
  </si>
  <si>
    <t>ﾀｯﾌﾟ ｺ-ﾄﾞﾘｰﾙ ｽｲﾝｸﾞﾌﾟﾗｸﾞ</t>
  </si>
  <si>
    <t>POEｽｲｯﾁﾝｸﾞHUB(4+4POE)</t>
  </si>
  <si>
    <t>ｱﾝｼﾝｸｯｼｮﾝLｼﾞｶﾞﾀ90CM ｺﾞｸﾎﾞｿ</t>
  </si>
  <si>
    <t>ｲﾁｷﾞﾒﾋﾟﾝ(SLPSQA_)</t>
  </si>
  <si>
    <t>ﾏｲｸﾛSDｶｰﾄﾞ</t>
  </si>
  <si>
    <t>ｱﾄｲﾚﾅｯﾄ ｲﾀﾊﾞﾈﾂｷ(HNTAP)</t>
  </si>
  <si>
    <t>JR3404N-AJ</t>
    <phoneticPr fontId="1"/>
  </si>
  <si>
    <t>見積№HQ20-0373-1   Rev.01　ﾀｲｼｮｰ直送</t>
    <rPh sb="0" eb="2">
      <t>ミツモリ</t>
    </rPh>
    <phoneticPr fontId="1"/>
  </si>
  <si>
    <t>JR3403N-AJ</t>
    <phoneticPr fontId="1"/>
  </si>
  <si>
    <t>見積№HQ20-0373-2   Rev.01　ﾀｲｼｮｰ直送</t>
    <rPh sb="0" eb="2">
      <t>ミツモリ</t>
    </rPh>
    <phoneticPr fontId="1"/>
  </si>
  <si>
    <t>JE3303N-AJ</t>
    <phoneticPr fontId="1"/>
  </si>
  <si>
    <t>見積№HQ20-0373-3   Rev.01　ﾀｲｼｮｰ直送</t>
    <rPh sb="0" eb="2">
      <t>ミツモリ</t>
    </rPh>
    <phoneticPr fontId="1"/>
  </si>
  <si>
    <t>見積№HQ20-0373-4   Rev.01　ﾀｲｼｮｰ直送</t>
    <rPh sb="0" eb="2">
      <t>ミツモリ</t>
    </rPh>
    <phoneticPr fontId="1"/>
  </si>
  <si>
    <t>HFS8-4040-620</t>
  </si>
  <si>
    <t>MVSHM-3N01552021026-JPA2BPPNU111AB</t>
  </si>
  <si>
    <t>■SETA0033-00-A(ﾍﾞｰｽﾌﾟﾚｰﾄ)</t>
  </si>
  <si>
    <t>GT-71A</t>
    <phoneticPr fontId="1"/>
  </si>
  <si>
    <t>GT-H10(5M)</t>
    <phoneticPr fontId="1"/>
  </si>
  <si>
    <t>OP-76875</t>
    <phoneticPr fontId="1"/>
  </si>
  <si>
    <t>■SETA0033-00-C（ﾊﾞﾈﾙ）</t>
  </si>
  <si>
    <t>LINE-A</t>
    <phoneticPr fontId="1"/>
  </si>
  <si>
    <t>LINE-B</t>
    <phoneticPr fontId="1"/>
  </si>
  <si>
    <t>ﾈｼﾞ締め</t>
    <rPh sb="3" eb="4">
      <t>シ</t>
    </rPh>
    <phoneticPr fontId="1"/>
  </si>
  <si>
    <t>ﾌｧﾝﾈｼﾞ締め</t>
    <rPh sb="6" eb="7">
      <t>シ</t>
    </rPh>
    <phoneticPr fontId="1"/>
  </si>
  <si>
    <t>兵神装備</t>
    <rPh sb="0" eb="2">
      <t>ヘイシン</t>
    </rPh>
    <rPh sb="2" eb="4">
      <t>ソウビ</t>
    </rPh>
    <phoneticPr fontId="1"/>
  </si>
  <si>
    <t>HFS8-4040-947</t>
  </si>
  <si>
    <t>RSAUW-K-1836-P11-180501-0002</t>
  </si>
  <si>
    <t>ｷﾝｿﾞｸｶﾗｰ (KNCLSS)</t>
  </si>
  <si>
    <t>RSAUｱﾅｱﾘ</t>
  </si>
  <si>
    <t>ﾎﾞｯｸｽﾖｳｹｰﾌﾞﾙｸﾗﾝﾌﾟ(ｼｮｳｽﾍﾟｰｽ)</t>
  </si>
  <si>
    <t>%SPCT-MPS009-000-B2206-0</t>
  </si>
  <si>
    <t>CMB1515-FV-GL-MRA-1720</t>
  </si>
  <si>
    <t>CMB1515-FV-GL-MRA-1980</t>
  </si>
  <si>
    <t>CMB1515-FV-GR-MLA-400</t>
  </si>
  <si>
    <t>CMB1515-FV-GR-MLA-430</t>
  </si>
  <si>
    <t>CMB1515-LF-GL-CU-WZ-U-450</t>
  </si>
  <si>
    <t>CMB1515-LF-GR-CD-WZ-U-450</t>
  </si>
  <si>
    <t>CMB1515-PB-KH-SA</t>
  </si>
  <si>
    <t>CMB1515-PS-SL</t>
  </si>
  <si>
    <t>CMB1515-ST-SL</t>
  </si>
  <si>
    <t>CMB1515-ST-SR</t>
  </si>
  <si>
    <t>MISUMI</t>
    <phoneticPr fontId="7"/>
  </si>
  <si>
    <t>CUﾄｸﾁｭｳ</t>
  </si>
  <si>
    <t>ﾌﾘｰﾌﾛｰｺﾝﾍﾞﾔ</t>
  </si>
  <si>
    <t>ﾘﾌﾀ</t>
  </si>
  <si>
    <t>ﾊﾟﾚｯﾄﾍﾞｰｽ</t>
  </si>
  <si>
    <t>ｲﾁｷﾞﾒﾓｼﾞｭｰﾙ</t>
  </si>
  <si>
    <t>ｽﾄｯﾊﾟﾓｼﾞｭｰﾙ</t>
  </si>
  <si>
    <t>CMB1515-SW-N-PS-D</t>
    <phoneticPr fontId="7"/>
  </si>
  <si>
    <t>【ﾐｽﾐ】ｾﾝｻﾓｼﾞｭｰﾙ  ( - )</t>
    <phoneticPr fontId="7"/>
  </si>
  <si>
    <t>別シート参照</t>
    <rPh sb="0" eb="1">
      <t>ベツ</t>
    </rPh>
    <rPh sb="4" eb="6">
      <t>サンショウ</t>
    </rPh>
    <phoneticPr fontId="1"/>
  </si>
  <si>
    <t>営業にて発注済</t>
    <rPh sb="0" eb="2">
      <t>エイギョウ</t>
    </rPh>
    <rPh sb="4" eb="6">
      <t>ハッチュウ</t>
    </rPh>
    <rPh sb="6" eb="7">
      <t>スミ</t>
    </rPh>
    <phoneticPr fontId="1"/>
  </si>
  <si>
    <t>@ALNA-PARTS-266020-M2007-7037-R1</t>
  </si>
  <si>
    <t>@ALNA-ASS-266020-M2007-7037-R1</t>
  </si>
  <si>
    <t>@ALNA-DELV-266020-M2007-7037-R1</t>
  </si>
  <si>
    <t>@ALNA-PARTS-266020-M2007-7038-R1</t>
  </si>
  <si>
    <t>@ALNA-ASS-266020-M2007-7038-R1</t>
  </si>
  <si>
    <t>@ALNA-DELV-266020-M2007-7038-R1</t>
  </si>
  <si>
    <t>@ALNA-PARTS-266020-M2007-7039</t>
  </si>
  <si>
    <t>@ALNA-ASS-266020-M2007-7039</t>
  </si>
  <si>
    <t>@ALNA-DELV-266020-M2007-7039</t>
  </si>
  <si>
    <t>@ALNA-PARTS-266020-M2007-7040</t>
  </si>
  <si>
    <t>@ALNA-ASS-266020-M2007-7040</t>
  </si>
  <si>
    <t>@ALNA-DELV-266020-M2007-7040</t>
  </si>
  <si>
    <t>部材費</t>
    <rPh sb="0" eb="2">
      <t>ブザイ</t>
    </rPh>
    <rPh sb="2" eb="3">
      <t>ヒ</t>
    </rPh>
    <phoneticPr fontId="6"/>
  </si>
  <si>
    <t>組立費</t>
    <rPh sb="0" eb="2">
      <t>クミタテ</t>
    </rPh>
    <rPh sb="2" eb="3">
      <t>ヒ</t>
    </rPh>
    <phoneticPr fontId="6"/>
  </si>
  <si>
    <t>送料</t>
    <rPh sb="0" eb="2">
      <t>ソウリョウ</t>
    </rPh>
    <phoneticPr fontId="6"/>
  </si>
  <si>
    <t>MISUMI</t>
    <phoneticPr fontId="6"/>
  </si>
  <si>
    <t>CDJ2M16-100Z-M9NL-A</t>
    <phoneticPr fontId="8"/>
  </si>
  <si>
    <t>MGPM16-40Z-M9NV</t>
  </si>
  <si>
    <t>CY1L6H-150B-F7NVS</t>
  </si>
  <si>
    <t>SS5Y3-10SEA-10U-C4</t>
    <phoneticPr fontId="8"/>
  </si>
  <si>
    <t>　SY3200-5UE1</t>
    <phoneticPr fontId="8"/>
  </si>
  <si>
    <t xml:space="preserve">    SY3100-5UE1</t>
    <phoneticPr fontId="8"/>
  </si>
  <si>
    <t xml:space="preserve">    SY30M-26-1A</t>
    <phoneticPr fontId="8"/>
  </si>
  <si>
    <t xml:space="preserve">   EX9-AC030EN-PSRJ</t>
    <phoneticPr fontId="8"/>
  </si>
  <si>
    <t xml:space="preserve">    EX9-AC030EN-PSRJ</t>
    <phoneticPr fontId="8"/>
  </si>
  <si>
    <t>SY5300-5ZE1-B-W4-02</t>
    <phoneticPr fontId="8"/>
  </si>
  <si>
    <t>D-M9NL</t>
    <phoneticPr fontId="8"/>
  </si>
  <si>
    <t>MKB12-10LZ-M9NVL</t>
    <phoneticPr fontId="8"/>
  </si>
  <si>
    <t>MKB12-10RZ-M9NVL</t>
    <phoneticPr fontId="8"/>
  </si>
  <si>
    <t>MXQ12C-100ZG-M9NL</t>
  </si>
  <si>
    <t>ZK2A12J5ALA-06</t>
    <phoneticPr fontId="8"/>
  </si>
  <si>
    <t>SS5Y3-20-05</t>
    <phoneticPr fontId="8"/>
  </si>
  <si>
    <t xml:space="preserve">  SY3120-5LZ-C4</t>
    <phoneticPr fontId="8"/>
  </si>
  <si>
    <t xml:space="preserve">  SY3000-26-9A</t>
    <phoneticPr fontId="8"/>
  </si>
  <si>
    <t>AW30-02E1-B</t>
    <phoneticPr fontId="8"/>
  </si>
  <si>
    <t>Y300T-A</t>
    <phoneticPr fontId="8"/>
  </si>
  <si>
    <t>AW20-02E1-B</t>
    <phoneticPr fontId="8"/>
  </si>
  <si>
    <t>Y200T-A</t>
    <phoneticPr fontId="8"/>
  </si>
  <si>
    <t>SMC</t>
    <phoneticPr fontId="1"/>
  </si>
  <si>
    <t>制御機材</t>
    <rPh sb="0" eb="4">
      <t>セイギョキザイ</t>
    </rPh>
    <phoneticPr fontId="1"/>
  </si>
  <si>
    <r>
      <t xml:space="preserve">   EX500-AP050</t>
    </r>
    <r>
      <rPr>
        <sz val="11"/>
        <color indexed="8"/>
        <rFont val="ＭＳ Ｐゴシック"/>
        <family val="3"/>
        <charset val="128"/>
      </rPr>
      <t>-S</t>
    </r>
    <phoneticPr fontId="8"/>
  </si>
  <si>
    <r>
      <t xml:space="preserve">    EX500-AP050</t>
    </r>
    <r>
      <rPr>
        <sz val="11"/>
        <color indexed="8"/>
        <rFont val="ＭＳ Ｐゴシック"/>
        <family val="3"/>
        <charset val="128"/>
      </rPr>
      <t>-S</t>
    </r>
    <phoneticPr fontId="8"/>
  </si>
  <si>
    <t>型式</t>
    <rPh sb="0" eb="2">
      <t>カタシキ</t>
    </rPh>
    <phoneticPr fontId="11"/>
  </si>
  <si>
    <t>数量</t>
    <rPh sb="0" eb="2">
      <t>スウリョウ</t>
    </rPh>
    <phoneticPr fontId="11"/>
  </si>
  <si>
    <t>備考</t>
    <rPh sb="0" eb="2">
      <t>ビコウ</t>
    </rPh>
    <phoneticPr fontId="11"/>
  </si>
  <si>
    <t>価格</t>
    <rPh sb="0" eb="2">
      <t>カカク</t>
    </rPh>
    <phoneticPr fontId="11"/>
  </si>
  <si>
    <t>金額</t>
    <rPh sb="0" eb="2">
      <t>キンガク</t>
    </rPh>
    <phoneticPr fontId="11"/>
  </si>
  <si>
    <t>LINE-A1</t>
    <phoneticPr fontId="11"/>
  </si>
  <si>
    <t>CDJ2M16-100Z-M9NL-A</t>
    <phoneticPr fontId="11"/>
  </si>
  <si>
    <t>LINE-B1</t>
    <phoneticPr fontId="11"/>
  </si>
  <si>
    <t>RSDQA32-M9B(2芯)</t>
    <rPh sb="13" eb="14">
      <t>シン</t>
    </rPh>
    <phoneticPr fontId="11"/>
  </si>
  <si>
    <t>本体は購入不要（オートスイッチを3芯に変更）</t>
    <rPh sb="0" eb="2">
      <t>ホンタイ</t>
    </rPh>
    <rPh sb="3" eb="5">
      <t>コウニュウ</t>
    </rPh>
    <rPh sb="5" eb="7">
      <t>フヨウ</t>
    </rPh>
    <rPh sb="17" eb="18">
      <t>シン</t>
    </rPh>
    <rPh sb="19" eb="21">
      <t>ヘンコウ</t>
    </rPh>
    <phoneticPr fontId="11"/>
  </si>
  <si>
    <t>RSDQA20-M9B(2芯)</t>
    <phoneticPr fontId="11"/>
  </si>
  <si>
    <t>MGPA20-M9B(2芯)</t>
    <phoneticPr fontId="11"/>
  </si>
  <si>
    <t>STL-BO-12-125-T3H3-D</t>
    <phoneticPr fontId="11"/>
  </si>
  <si>
    <t>ｶﾞｲﾄﾞ付ｼﾘﾝﾀﾞｰ(低速) CKD</t>
    <phoneticPr fontId="11"/>
  </si>
  <si>
    <t>MDB1B50-M9B(2芯)</t>
    <phoneticPr fontId="11"/>
  </si>
  <si>
    <t>LCR-16-50-T3H3-D-A5</t>
  </si>
  <si>
    <t>ﾘﾆｱｶﾞｲﾄﾞ付ｼﾘﾝﾀﾞｰ  CKD</t>
  </si>
  <si>
    <t>SS5Y3-10SEA-10U-C4</t>
    <phoneticPr fontId="11"/>
  </si>
  <si>
    <t>　SY3200-5UE1</t>
    <phoneticPr fontId="11"/>
  </si>
  <si>
    <t xml:space="preserve">    SY30M-26-1A</t>
    <phoneticPr fontId="11"/>
  </si>
  <si>
    <t xml:space="preserve">    SY3100-5UE1</t>
    <phoneticPr fontId="11"/>
  </si>
  <si>
    <r>
      <t xml:space="preserve">   EX500-AP050</t>
    </r>
    <r>
      <rPr>
        <sz val="11"/>
        <color indexed="10"/>
        <rFont val="ＭＳ Ｐゴシック"/>
        <family val="3"/>
        <charset val="128"/>
      </rPr>
      <t>-S</t>
    </r>
    <phoneticPr fontId="11"/>
  </si>
  <si>
    <t>末尾-S付（ストレート）</t>
    <phoneticPr fontId="11"/>
  </si>
  <si>
    <t>末尾-S付（ストレート）</t>
    <rPh sb="0" eb="2">
      <t>マツビ</t>
    </rPh>
    <rPh sb="4" eb="5">
      <t>ツキ</t>
    </rPh>
    <phoneticPr fontId="11"/>
  </si>
  <si>
    <t xml:space="preserve">   EX9-AC030EN-PSRJ</t>
    <phoneticPr fontId="11"/>
  </si>
  <si>
    <t>D-M9NL</t>
    <phoneticPr fontId="11"/>
  </si>
  <si>
    <t>SY5300-5ZE1-B-W4-02</t>
    <phoneticPr fontId="11"/>
  </si>
  <si>
    <t>LINE-A2</t>
    <phoneticPr fontId="11"/>
  </si>
  <si>
    <t>CDJ2M16-100Z-M9NL-A</t>
  </si>
  <si>
    <t>LINE-B2</t>
    <phoneticPr fontId="11"/>
  </si>
  <si>
    <t>RSDQA20-M9B(2芯)</t>
  </si>
  <si>
    <t>CDM2YF25-150Z-M9NWVL</t>
    <phoneticPr fontId="11"/>
  </si>
  <si>
    <t>本体は購入不要</t>
    <rPh sb="0" eb="2">
      <t>ホンタイ</t>
    </rPh>
    <rPh sb="3" eb="5">
      <t>コウニュウ</t>
    </rPh>
    <rPh sb="5" eb="7">
      <t>フヨウ</t>
    </rPh>
    <phoneticPr fontId="11"/>
  </si>
  <si>
    <r>
      <t xml:space="preserve">    EX500-AP050</t>
    </r>
    <r>
      <rPr>
        <sz val="11"/>
        <color indexed="10"/>
        <rFont val="ＭＳ Ｐゴシック"/>
        <family val="3"/>
        <charset val="128"/>
      </rPr>
      <t>-S</t>
    </r>
    <phoneticPr fontId="11"/>
  </si>
  <si>
    <t>末尾-S付（ストレート）</t>
  </si>
  <si>
    <t xml:space="preserve">    EX9-AC030EN-PSRJ</t>
    <phoneticPr fontId="11"/>
  </si>
  <si>
    <t>元圧</t>
    <rPh sb="0" eb="1">
      <t>モト</t>
    </rPh>
    <rPh sb="1" eb="2">
      <t>アツ</t>
    </rPh>
    <phoneticPr fontId="11"/>
  </si>
  <si>
    <t>AW30-02E1-B</t>
    <phoneticPr fontId="11"/>
  </si>
  <si>
    <t>VHS30-02-B</t>
    <phoneticPr fontId="11"/>
  </si>
  <si>
    <t>Y300T-A</t>
    <phoneticPr fontId="11"/>
  </si>
  <si>
    <t>N-1</t>
    <phoneticPr fontId="11"/>
  </si>
  <si>
    <t>MKB12-10LZ-M9NVL</t>
    <phoneticPr fontId="11"/>
  </si>
  <si>
    <t>電磁弁3個</t>
    <rPh sb="0" eb="3">
      <t>デンジベン</t>
    </rPh>
    <rPh sb="4" eb="5">
      <t>コ</t>
    </rPh>
    <phoneticPr fontId="11"/>
  </si>
  <si>
    <t>FN-1</t>
    <phoneticPr fontId="11"/>
  </si>
  <si>
    <t>MKB12-10RZ-M9NVL</t>
    <phoneticPr fontId="11"/>
  </si>
  <si>
    <t>ZK2A12J5ALA-06</t>
    <phoneticPr fontId="11"/>
  </si>
  <si>
    <t>SS5Y3-20-05</t>
    <phoneticPr fontId="11"/>
  </si>
  <si>
    <t xml:space="preserve">  SY3120-5LZ-C4</t>
    <phoneticPr fontId="11"/>
  </si>
  <si>
    <t xml:space="preserve">  SY3000-26-9A</t>
    <phoneticPr fontId="11"/>
  </si>
  <si>
    <t>AW20-02E1-B</t>
    <phoneticPr fontId="11"/>
  </si>
  <si>
    <t>VHS20-02-B</t>
    <phoneticPr fontId="11"/>
  </si>
  <si>
    <t>Y200T-A</t>
    <phoneticPr fontId="11"/>
  </si>
  <si>
    <t>N-2</t>
    <phoneticPr fontId="11"/>
  </si>
  <si>
    <t>MKB12-10LZ-M9NVL</t>
  </si>
  <si>
    <t>VHS20-02A</t>
    <phoneticPr fontId="8"/>
  </si>
  <si>
    <t>VHS30-02A</t>
    <phoneticPr fontId="8"/>
  </si>
  <si>
    <t>MVSHM-3N00800026033-JPA2B2S5T111AA</t>
  </si>
  <si>
    <t>NKOSC4-16-12</t>
  </si>
  <si>
    <t>SLSBWF7-20</t>
  </si>
  <si>
    <t>WGHNE-50-20-15</t>
  </si>
  <si>
    <t>MVBLK-AMW-2C9-ZBKRA</t>
  </si>
  <si>
    <t>■SETA0033-21-A(ｼﾞｸﾞﾍﾞｰｽ）</t>
  </si>
  <si>
    <t>MVBLK-AMW-2C9-ZDK64</t>
  </si>
  <si>
    <t>■SETA0033-21-B（ﾜｰｸｼﾞｸﾞ）</t>
  </si>
  <si>
    <t>MVSHM-3N02002006030-2C9-Z7NWL</t>
  </si>
  <si>
    <t>■SETA0033-21-C(ﾐﾗｰﾌﾟﾚｰﾄ)</t>
  </si>
  <si>
    <t>■SETA0033-21-E(ﾍﾞｱﾌﾟﾚｰﾄ)</t>
  </si>
  <si>
    <t>■SETA0033-21-F(ﾍﾞｱﾌﾟﾚｰﾄ)</t>
    <phoneticPr fontId="7"/>
  </si>
  <si>
    <t>MVSHM-3N01552004015-2C9-Z4NLP</t>
  </si>
  <si>
    <t>MVSHM-3N01552002004-2C9-ZMA56</t>
  </si>
  <si>
    <t>FWSJD-D12-V0-T3</t>
  </si>
  <si>
    <t>SZ08F-20-028-19</t>
  </si>
  <si>
    <t>FWSJD-D16-V0-T3</t>
  </si>
  <si>
    <t>SMC ﾐﾘﾜﾝﾀｯﾁﾂｷﾞﾃKQ2</t>
  </si>
  <si>
    <t>ｹｰﾌﾞﾙｷｬﾘｱ (MHSCF)</t>
  </si>
  <si>
    <t>ｼｮｳｹｲﾛｰﾚｯﾄﾉﾌﾞ NKOSC</t>
  </si>
  <si>
    <t>ｽﾃﾝﾚｽｼﾁｭｳ SLSBG</t>
  </si>
  <si>
    <t>ﾛｯｶｸｼﾁｭｳ SLSBWF</t>
  </si>
  <si>
    <t>ﾜｰｸｶﾞｲﾄﾞ WGH</t>
  </si>
  <si>
    <t>ﾌﾘｰｼﾞｭｼﾜｯｼｬ</t>
  </si>
  <si>
    <t>SZ08F ｹｰﾌﾞﾙｷｬﾘｱ</t>
  </si>
  <si>
    <t>HFS8-4040-1000</t>
  </si>
  <si>
    <t>HFS8-4040-2060</t>
  </si>
  <si>
    <t>HFS8-4040-2260</t>
  </si>
  <si>
    <t>HFS8-4040-276.0</t>
  </si>
  <si>
    <t>HFS8-4040-350</t>
  </si>
  <si>
    <t>HFS8-4040-640.0</t>
  </si>
  <si>
    <t>HFS8-4040-647</t>
  </si>
  <si>
    <t>NBLTS8-SET</t>
  </si>
  <si>
    <t>ﾌﾞﾗｹｯﾄ(NBLTS8)</t>
  </si>
  <si>
    <t>HFS8-4040-579.0</t>
  </si>
  <si>
    <t>HFS8-4040-719.0</t>
  </si>
  <si>
    <t>SCSTNM20-150</t>
  </si>
  <si>
    <t>SSTHWR20</t>
  </si>
  <si>
    <t>WSJF16-6-5</t>
  </si>
  <si>
    <t>WSJP16-6-5</t>
  </si>
  <si>
    <t>MVBLK-AMW-2CA-86PBA</t>
  </si>
  <si>
    <t>■SETA0016-42-A(ｺﾝﾍﾞｱﾍﾞｰｽ)</t>
  </si>
  <si>
    <t>■SETA0016-42-B(ｺﾝﾍﾞｱﾍﾞｰｽ)</t>
    <phoneticPr fontId="7"/>
  </si>
  <si>
    <t>■SETA0016-42-C(ｺﾝﾍﾞｱﾍﾞｰｽ)</t>
    <phoneticPr fontId="7"/>
  </si>
  <si>
    <t>■SETA0016-42-D(ｺﾝﾍﾞｱﾌﾞﾗｹｯﾄ)</t>
  </si>
  <si>
    <t>■SETA0016-42-E(ｺﾝﾍﾞｱﾌﾞﾗｹｯﾄ)</t>
    <phoneticPr fontId="7"/>
  </si>
  <si>
    <t>MVBLK-AMW-2CA-Y75LG</t>
  </si>
  <si>
    <t>MVBLK-AMW-2CA-YBNGJ</t>
  </si>
  <si>
    <t>MVSHM-3N02050007013-2CA-YJEDJ</t>
  </si>
  <si>
    <t>MVSHM-3N02050007013-2CA-YDZXB</t>
  </si>
  <si>
    <t>MVBLK-AMW-2CA-Y9AWW</t>
  </si>
  <si>
    <t>■SETA0016-43-A(ｾﾝｻｰﾌﾟﾚｰﾄ)</t>
  </si>
  <si>
    <t>■SETA0016-43-B(ｾﾝｻｰﾌﾟﾚｰﾄ)</t>
    <phoneticPr fontId="7"/>
  </si>
  <si>
    <t>■SETA0016-43-C(ﾐﾗｰﾌﾟﾚｰﾄ)</t>
  </si>
  <si>
    <t>■SETA0016-43-D(ﾐﾗｰﾌﾟﾚｰﾄ)</t>
    <phoneticPr fontId="7"/>
  </si>
  <si>
    <t>■SETA0016-43-E(ｾﾝｻｰﾌﾟﾚｰﾄ)</t>
    <phoneticPr fontId="7"/>
  </si>
  <si>
    <t>MVBLK-AMW-2CA-8GB6X</t>
  </si>
  <si>
    <t>MVSHM-3N03002019020-2CA-8X3RJ</t>
  </si>
  <si>
    <t>MVSHM-3N03002019030-2CA-8ME76</t>
  </si>
  <si>
    <t>MVSHM-3N01502002003-2CA-YMELD</t>
  </si>
  <si>
    <t>SLSBWRK6-25</t>
  </si>
  <si>
    <t>SLSBWRK6-40</t>
  </si>
  <si>
    <t>SLSBWRK8-100</t>
  </si>
  <si>
    <t>ﾛｯｶｸｼﾁｭｳ SLSBWRK</t>
  </si>
  <si>
    <t>ｼﾞｭｼﾜｯｼｬ</t>
  </si>
  <si>
    <t>ｼｬﾌﾄﾎﾙﾀﾞ SSTHWR</t>
  </si>
  <si>
    <t>ｽﾀﾝﾄﾞ  SCSTNM</t>
  </si>
  <si>
    <t>HFS8-4040-260.0</t>
  </si>
  <si>
    <t>HFS8-4040-424.0</t>
  </si>
  <si>
    <t>HFS8-4040-450.0</t>
  </si>
  <si>
    <t>MVSHM-3N02002003004-2CA-YEZZL</t>
  </si>
  <si>
    <t>■SETA0016-44-C(ｾﾝｻｰﾌﾞﾗｹｯﾄ)</t>
  </si>
  <si>
    <t>■SETA0016-44-B(ｻｲﾄﾞｶﾊﾞｰ)</t>
  </si>
  <si>
    <t>■SETA0016-44-A(ﾌﾛﾝﾄｶﾊﾞｰ)</t>
  </si>
  <si>
    <t>MVSHM-3N00800029042-2CA-8P6AJ</t>
  </si>
  <si>
    <t>MVSHM-3N00800029052-2CA-YDKM5</t>
  </si>
  <si>
    <t>MVSHM-3N02002018056-2CA-YBRK9</t>
  </si>
  <si>
    <t>■SETA0016-41-A(ﾓｰﾀｰﾊﾟﾈﾙ)</t>
  </si>
  <si>
    <t>■SETA0016-41-B(ﾓｰﾀｰﾊﾟﾈﾙ)</t>
    <phoneticPr fontId="7"/>
  </si>
  <si>
    <t>MVSHM-3N02002018070-2CA-86ZXB</t>
  </si>
  <si>
    <t>PCFP-MV3G8-R</t>
  </si>
  <si>
    <t>A22E-M-01B</t>
  </si>
  <si>
    <t>A22Z-3360</t>
  </si>
  <si>
    <t>A22Z-EG10</t>
  </si>
  <si>
    <t>A22Z-3466-1</t>
  </si>
  <si>
    <t>SWITCH OPTION</t>
  </si>
  <si>
    <t>PUSH-BUTTON SWITCH</t>
  </si>
  <si>
    <t>ﾏｼﾝﾋﾞｼﾞｮﾝﾓﾆﾀ</t>
  </si>
  <si>
    <t>MVSHM-3N01000027053-2CA-YKGWB</t>
  </si>
  <si>
    <t>■SETA0016-54-A(ﾊﾟﾈﾙ)</t>
  </si>
  <si>
    <t>■SETA0016-54-B(ﾊﾟﾈﾙ)</t>
    <phoneticPr fontId="7"/>
  </si>
  <si>
    <t>■SETA0016-54-C(ﾊﾟﾈﾙ)</t>
    <phoneticPr fontId="7"/>
  </si>
  <si>
    <t>■SETA0016-54-D(ﾊﾟﾈﾙ)</t>
    <phoneticPr fontId="7"/>
  </si>
  <si>
    <t>■SETA0016-54-E(ﾊﾟﾈﾙ)</t>
    <phoneticPr fontId="7"/>
  </si>
  <si>
    <t>■SETA0016-54-F(ﾊﾟﾈﾙ)</t>
    <phoneticPr fontId="7"/>
  </si>
  <si>
    <t>■SETA0016-54-G(ﾊﾟﾈﾙ)</t>
    <phoneticPr fontId="7"/>
  </si>
  <si>
    <t>MVSHM-3N01000027065-2CA-YMGZL</t>
  </si>
  <si>
    <t>MVSHM-3N01000027078-2CA-8WPM3</t>
  </si>
  <si>
    <t>MVSHM-3N01000027081-2CA-YZGJD</t>
  </si>
  <si>
    <t>MVSHM-3N01000027069-2CA-83NGD</t>
  </si>
  <si>
    <t>MVSHM-3N01000027065-2CA-8EWKK</t>
  </si>
  <si>
    <t>MVSHM-3N01502004007-2CA-YZ9XJ</t>
  </si>
  <si>
    <t>NKE</t>
    <phoneticPr fontId="6"/>
  </si>
  <si>
    <t>三共商事</t>
    <rPh sb="0" eb="4">
      <t>サンキョウショウジ</t>
    </rPh>
    <phoneticPr fontId="6"/>
  </si>
  <si>
    <t>CSB20C-S2-320-50-30W-2-SC（特）</t>
    <rPh sb="26" eb="27">
      <t>トク</t>
    </rPh>
    <phoneticPr fontId="6"/>
  </si>
  <si>
    <t>CSB20C-S2-450-50-30W-2-SC（特）</t>
    <rPh sb="26" eb="27">
      <t>トク</t>
    </rPh>
    <phoneticPr fontId="6"/>
  </si>
  <si>
    <t>CSB20C-S2-700-50-30W-2-SC（特）</t>
    <rPh sb="26" eb="27">
      <t>トク</t>
    </rPh>
    <phoneticPr fontId="6"/>
  </si>
  <si>
    <t>特殊ｺﾝﾍﾞｱ</t>
    <rPh sb="0" eb="2">
      <t>トクシュ</t>
    </rPh>
    <phoneticPr fontId="6"/>
  </si>
  <si>
    <t>MVSHM-3N02000045047-2CA-Y6XR3</t>
  </si>
  <si>
    <t>■SETA0016-70-A(ﾚｷﾞｭﾚｰﾀｰﾌﾟﾚｰﾄ)</t>
  </si>
  <si>
    <t>■SETA0015-01-A(ｺﾝﾍﾞｱﾍﾞｰｽ)</t>
  </si>
  <si>
    <t>TAISHO</t>
    <phoneticPr fontId="6"/>
  </si>
  <si>
    <t>■SETA0015-12-C(ｶｯﾌﾟﾌﾟﾚｰﾄ)</t>
  </si>
  <si>
    <t>MVSHM-3N01200025036-2CB-WJBXB</t>
  </si>
  <si>
    <t>■SETA0015-13-A(ﾀﾝｸﾌﾟﾚｰﾄ)</t>
  </si>
  <si>
    <t>■SETA0015-13-B(ﾀﾝｸﾌﾟﾚｰﾄ)</t>
  </si>
  <si>
    <t>■SETA0015-01-B（ﾍﾞｱﾌﾟﾚｰﾄ）</t>
  </si>
  <si>
    <t>■SETA0015-01-C（ﾍﾞｱﾌﾟﾚｰﾄ）</t>
    <phoneticPr fontId="6"/>
  </si>
  <si>
    <t>■SETA0015-01-D（ﾍﾞｱﾌﾟﾚｰﾄ）</t>
    <phoneticPr fontId="6"/>
  </si>
  <si>
    <t>MVSHM-3N02002005050-2CB-WRJN4</t>
  </si>
  <si>
    <t>MVSHM-3N02002009050-2CB-6N8NB</t>
  </si>
  <si>
    <t>MVSHM-3N02052010011-2CB-654RJ</t>
  </si>
  <si>
    <t>■SETA0015-12-B(ｶｯﾌﾟﾌﾟﾚｰﾄ)</t>
    <phoneticPr fontId="6"/>
  </si>
  <si>
    <t>■SETA0015-12-A(ｼﾘﾝﾀﾞﾌﾟﾚｰﾄ)</t>
  </si>
  <si>
    <t>■SETA0015-12-D(ｶｯﾌﾟﾌﾟﾚｰﾄ)</t>
    <phoneticPr fontId="6"/>
  </si>
  <si>
    <t>■SETA0015-12-E(ｶｯﾌﾟﾌﾟﾚｰﾄ)</t>
    <phoneticPr fontId="6"/>
  </si>
  <si>
    <t>MVSHM-3N01000004004-2CB-6748B</t>
  </si>
  <si>
    <t>MVSHM-3N02052011012-2CB-68J7Z</t>
  </si>
  <si>
    <t>■SETA0015-31-A(ｺﾝﾍﾞｱﾍﾞｰｽ)</t>
    <phoneticPr fontId="6"/>
  </si>
  <si>
    <t>■SETA0015-31-B(ｺﾝﾍﾞｱﾍﾞｰｽ)</t>
    <phoneticPr fontId="6"/>
  </si>
  <si>
    <t>■SETA0015-32-A(ｼｬｯﾀｰ)</t>
  </si>
  <si>
    <t>■SETA0015-32-B(ｼﾘﾝﾀﾞﾌﾟﾚｰﾄ)</t>
    <phoneticPr fontId="6"/>
  </si>
  <si>
    <t>■SETA0015-32-C(ｼﾑ)</t>
  </si>
  <si>
    <t>MVBLK-AMW-2CB-634MK</t>
  </si>
  <si>
    <t>MVSHM-3N03000005006-2CB-WA3G7</t>
  </si>
  <si>
    <t>■SETA0015-45-A（ﾌﾞﾗｯｸﾗｲﾄｽﾃｰ）</t>
    <phoneticPr fontId="6"/>
  </si>
  <si>
    <t>■SETA0015-45-B（CCDﾌﾞﾗｹｯﾄ)</t>
  </si>
  <si>
    <t>MVSHM-3N02002010036-2CB-6Y45P</t>
  </si>
  <si>
    <t>MVSHM-3N02050008011-2CB-W8J58</t>
  </si>
  <si>
    <t>■SETA0015-45-C(ﾒｲﾝﾊﾟﾈﾙ)</t>
  </si>
  <si>
    <t>■SETA0015-45-D(ｲﾝﾊﾞｰﾀｰﾊﾟﾈﾙ)</t>
  </si>
  <si>
    <t>■SETA0015-45-E(ｲﾝﾊﾞｰﾀｰﾊﾟﾈﾙ)</t>
    <phoneticPr fontId="6"/>
  </si>
  <si>
    <t>MVSHM-3N02002038039-2CB-6DK7B</t>
  </si>
  <si>
    <t>■SETA0016-21-A(ｺﾝﾍﾞｱﾍﾞｰｽ)</t>
  </si>
  <si>
    <t>■SETA0016-21-B(ﾍﾞｱﾌﾟﾚｰﾄ)</t>
    <phoneticPr fontId="7"/>
  </si>
  <si>
    <t>MVSHM-3N03002014034-2CD-LWZJA</t>
  </si>
  <si>
    <t>MVBLK-AMW-2CH-DRJZP</t>
  </si>
  <si>
    <t>SLSBWRK6-50</t>
  </si>
  <si>
    <t>■SETA0015-47-A(ﾊﾟﾈﾙ)</t>
  </si>
  <si>
    <t>■SETA0015-47-B(ﾊﾟﾈﾙ)</t>
    <phoneticPr fontId="6"/>
  </si>
  <si>
    <t>■SETA0015-47-C(ﾊﾟﾈﾙ)</t>
    <phoneticPr fontId="6"/>
  </si>
  <si>
    <t>■SETA0015-47-D(ﾊﾟﾈﾙ)</t>
    <phoneticPr fontId="6"/>
  </si>
  <si>
    <t>■SETA0015-47-E(ﾊﾟﾈﾙ)</t>
    <phoneticPr fontId="6"/>
  </si>
  <si>
    <t>■SETA0015-47-F(ﾊﾟﾈﾙ)</t>
    <phoneticPr fontId="6"/>
  </si>
  <si>
    <t>■SETA0015-47-G(ﾊﾟﾈﾙ)</t>
    <phoneticPr fontId="6"/>
  </si>
  <si>
    <t>■SETA0015-47-H(ﾊﾟﾈﾙ)</t>
    <phoneticPr fontId="6"/>
  </si>
  <si>
    <t>■SETA0015-47-I(ﾊﾟﾈﾙ)</t>
    <phoneticPr fontId="6"/>
  </si>
  <si>
    <t>■SETA0015-47-J(ﾊﾟﾈﾙ)</t>
    <phoneticPr fontId="6"/>
  </si>
  <si>
    <t>■SETA0015-47-K(ﾊﾟﾈﾙ)</t>
    <phoneticPr fontId="6"/>
  </si>
  <si>
    <t>■SETA0015-47-L(ﾊﾟﾈﾙ)</t>
    <phoneticPr fontId="6"/>
  </si>
  <si>
    <t>■SETA0015-47-M(ﾊﾟﾈﾙ)</t>
    <phoneticPr fontId="6"/>
  </si>
  <si>
    <t>■SETA0015-47-N(ﾊﾟﾈﾙ)</t>
    <phoneticPr fontId="6"/>
  </si>
  <si>
    <t>■SETA0015-47-O(ﾊﾟﾈﾙ)</t>
    <phoneticPr fontId="6"/>
  </si>
  <si>
    <t>MVSHM-3N01000032068-2CH-3L7ZJ</t>
  </si>
  <si>
    <t>MVSHM-3N01000032096-2CH-DNXB9</t>
  </si>
  <si>
    <t>MVSHM-3N01000032041-2CH-3ZWB6</t>
  </si>
  <si>
    <t>MVSHM-3N01000039099-2CH-3667A</t>
  </si>
  <si>
    <t>MVSHM-3N01002052099-2CH-DB8A6</t>
  </si>
  <si>
    <t>MVSHM-3N00800017099-2CH-3J6KK</t>
  </si>
  <si>
    <t>MVSHM-3N01000039098-2CH-3E5NB</t>
  </si>
  <si>
    <t>MVSHM-3N01000039098-2CH-3WYJN</t>
  </si>
  <si>
    <t>MVSHM-3N01002069094-2CH-37XGL</t>
  </si>
  <si>
    <t>MVSHM-3N01000039099-2CH-DGE87</t>
  </si>
  <si>
    <t>MVSHM-3N01002065091-2CH-D99JR</t>
  </si>
  <si>
    <t>MVSHM-3N01000039076-2CH-3RJ8P</t>
  </si>
  <si>
    <t>MVSHM-3N01000069076-2CH-DMPAP</t>
  </si>
  <si>
    <t>MVSHM-3N01000076099-2CH-D8ZJ7</t>
  </si>
  <si>
    <t>MVSHM-3N01200025036-2CH-3ZWY8</t>
  </si>
  <si>
    <t>MVSHM-3N01200025044-2CH-3YWKZ</t>
  </si>
  <si>
    <t>■SETA0015-13-B(ﾀﾝｸﾌﾟﾚｰﾄ)</t>
    <phoneticPr fontId="6"/>
  </si>
  <si>
    <t>EE-SPX613 1M</t>
  </si>
  <si>
    <t>GFBL8-4080-290</t>
  </si>
  <si>
    <t>HFS8-4040-297.0</t>
  </si>
  <si>
    <t>HFS8-4040-780.0</t>
  </si>
  <si>
    <t>HFS8-4040-930.0</t>
  </si>
  <si>
    <t>MVSHM-3N01200025044-2CB-WLBY7</t>
  </si>
  <si>
    <t>MVSHM-3N01000006010-2CB-WEBXM</t>
  </si>
  <si>
    <t>MVSHM-3N02052019021-2CB-WY4ZM</t>
  </si>
  <si>
    <t>MVSHM-3N02002002009-2CB-W949D</t>
  </si>
  <si>
    <t>MVSHM-3N02002039046-2CB-WBA37</t>
  </si>
  <si>
    <t>MVSHM-3N02002039046-2CB-654K9</t>
  </si>
  <si>
    <t>OMRON ﾌｫﾄ ﾏｲｸﾛｾﾝｻ EE-SPX</t>
  </si>
  <si>
    <t>ﾎｷｮｳﾖｳﾌﾚｰﾑﾌﾞﾗｹｯﾄ(HFBL)</t>
  </si>
  <si>
    <t>MXQ12C-100ZG3-M9NVL</t>
  </si>
  <si>
    <t>KHNA90F-24</t>
  </si>
  <si>
    <t>KV-C32XTD</t>
  </si>
  <si>
    <t>PCX-AC-1</t>
  </si>
  <si>
    <t>PCX-COM36</t>
  </si>
  <si>
    <t>G2R-1-SN DC24</t>
  </si>
  <si>
    <t>P2RF-05-E</t>
  </si>
  <si>
    <t>NV30-FA 2P 15A 30MA</t>
  </si>
  <si>
    <t>CP30-BA 2P 1-M 10A</t>
  </si>
  <si>
    <t>CP30-BA 2P 1-M 5A</t>
  </si>
  <si>
    <t>ENF-SNT-6D</t>
  </si>
  <si>
    <t>LY2N-D2 DC24</t>
  </si>
  <si>
    <t>PTF08A-E</t>
  </si>
  <si>
    <t>ﾛｳﾃﾞﾝｼｬﾀﾞﾝｷ</t>
  </si>
  <si>
    <t>ｻｰｷｯﾄﾌﾟﾛﾃｸﾀ CP30-BA</t>
  </si>
  <si>
    <t>KH_ﾃﾞﾝｹﾞﾝ</t>
  </si>
  <si>
    <t>ﾉｲｽﾞﾌｨﾙﾀ</t>
  </si>
  <si>
    <t>ｲﾝﾀｰﾌｪｲｽﾀﾝｼﾀﾞｲ ﾎﾞｳﾀﾝｼｼｷ</t>
  </si>
  <si>
    <t>PCXｼﾘｰｽﾞﾀﾝｼﾀﾞｲ</t>
  </si>
  <si>
    <t>RELAY</t>
  </si>
  <si>
    <t>RELAY SOCKET</t>
  </si>
  <si>
    <t>NV30-FA 2P 15A 30MA</t>
    <phoneticPr fontId="7"/>
  </si>
  <si>
    <t>CP30-BA 1P 1-M 5A</t>
  </si>
  <si>
    <t>SD-T12BC DC24V</t>
  </si>
  <si>
    <t>KHNA240F-24</t>
  </si>
  <si>
    <t>G3RZ-201SLN DC24</t>
  </si>
  <si>
    <t>G6D-F4B DC24</t>
  </si>
  <si>
    <t>RSAU-PS-600-300-300-K-WB2008170024</t>
  </si>
  <si>
    <t>ﾃﾞﾝｼﾞｶｲﾍｲｷ MS-T</t>
  </si>
  <si>
    <t>ﾃﾞﾝｹﾞﾝ ｽｲｯﾁﾝｸﾞﾃﾞﾝｹﾞﾝ</t>
  </si>
  <si>
    <t>ｽﾁｰﾙ_ﾎﾞｯｸｽ_RSAU-PS</t>
  </si>
  <si>
    <t>RSAU-PS-500-300-300-K-WB2008170003</t>
  </si>
  <si>
    <t>SMC ｴｱｽﾗｲﾄﾞﾃｰﾌﾞﾙ MXQC</t>
  </si>
  <si>
    <t>NWTC6A2-UTP-S-GY-3</t>
  </si>
  <si>
    <t>NWTC6A2-UTP-S-GY-5</t>
  </si>
  <si>
    <t>KC-VMH5</t>
  </si>
  <si>
    <t>MVSHM-3N01002069099-2CH-D4EGP</t>
    <phoneticPr fontId="6"/>
  </si>
  <si>
    <t>DH-HD14SS20BK</t>
  </si>
  <si>
    <t>LAN ｱｯｾﾝﾌﾞﾙ ｹ-ﾌﾞﾙ</t>
  </si>
  <si>
    <t>AVDｱｸｾｻﾘ</t>
  </si>
  <si>
    <t>ｺﾞｸﾎﾞｿﾃﾞｨｽﾌﾟﾚｲｹｰﾌﾞﾙ</t>
  </si>
  <si>
    <t>ﾘｷｯﾄﾞｼｽﾃﾑ</t>
    <phoneticPr fontId="1"/>
  </si>
  <si>
    <t>ﾀﾝｸ</t>
    <phoneticPr fontId="1"/>
  </si>
  <si>
    <t>新工</t>
    <rPh sb="0" eb="2">
      <t>シンコウ</t>
    </rPh>
    <phoneticPr fontId="1"/>
  </si>
  <si>
    <t>落とし蓋</t>
    <rPh sb="0" eb="1">
      <t>オ</t>
    </rPh>
    <rPh sb="3" eb="4">
      <t>フタ</t>
    </rPh>
    <phoneticPr fontId="1"/>
  </si>
  <si>
    <t>ｷﾝｿﾞｸｶﾗｰ</t>
  </si>
  <si>
    <t>KNCLSS10-25-20</t>
    <phoneticPr fontId="7"/>
  </si>
  <si>
    <t>KNCLSS20-25-20</t>
    <phoneticPr fontId="7"/>
  </si>
  <si>
    <t>AFPNA8-P8.70-L10-B15.0-E0.5</t>
    <phoneticPr fontId="7"/>
  </si>
  <si>
    <t>SSLBNR8</t>
    <phoneticPr fontId="7"/>
  </si>
  <si>
    <t>CC030KHBLF</t>
    <phoneticPr fontId="7"/>
  </si>
  <si>
    <t>ｵﾘｴﾝﾀﾙﾓｰﾀｰ</t>
    <phoneticPr fontId="7"/>
  </si>
  <si>
    <t>BMUD60-C2</t>
    <phoneticPr fontId="7"/>
  </si>
  <si>
    <t>CAI90C</t>
    <phoneticPr fontId="7"/>
  </si>
  <si>
    <t>住友重機械</t>
    <rPh sb="0" eb="2">
      <t>スミトモ</t>
    </rPh>
    <rPh sb="2" eb="3">
      <t>ジュウ</t>
    </rPh>
    <rPh sb="3" eb="5">
      <t>キカイ</t>
    </rPh>
    <phoneticPr fontId="7"/>
  </si>
  <si>
    <t>SHNTAP5-5</t>
  </si>
  <si>
    <t>FADAS-SUD-T3-A60-B40-L40-X20-H25-G25-N5-Y10-V20-S25-NA5</t>
  </si>
  <si>
    <t>FAﾒｶ_ﾊﾞﾝｷﾝ_ﾌﾞﾗｹｯﾄ(FADAS)</t>
  </si>
  <si>
    <t>Amazon</t>
    <phoneticPr fontId="7"/>
  </si>
  <si>
    <t>BL1060</t>
    <phoneticPr fontId="7"/>
  </si>
  <si>
    <t xml:space="preserve">ヤザワ ブラックライト10W(60Hｚ) </t>
    <phoneticPr fontId="7"/>
  </si>
  <si>
    <t>LD21-100E2</t>
  </si>
  <si>
    <t>単相複巻トランス LD21シリーズ</t>
    <phoneticPr fontId="7"/>
  </si>
  <si>
    <t>Panasonic</t>
    <phoneticPr fontId="1"/>
  </si>
  <si>
    <t>ライト</t>
    <phoneticPr fontId="1"/>
  </si>
  <si>
    <t>HG-C1200</t>
  </si>
  <si>
    <t>CMOSﾀｲﾌﾟ ﾏｲｸﾛﾚｰｻﾞ測距ｾﾝｻ</t>
    <phoneticPr fontId="1"/>
  </si>
  <si>
    <t>ANPV0202ADP</t>
    <phoneticPr fontId="1"/>
  </si>
  <si>
    <t>ｲﾒｰｼﾞﾁｪｯｶ PV200</t>
    <phoneticPr fontId="1"/>
  </si>
  <si>
    <t>ANPVC2260</t>
    <phoneticPr fontId="1"/>
  </si>
  <si>
    <t>2Mｶﾒﾗ</t>
    <phoneticPr fontId="1"/>
  </si>
  <si>
    <t>ANPVC8105R</t>
    <phoneticPr fontId="1"/>
  </si>
  <si>
    <t>ｶﾒﾗｹｰﾌﾞﾙ</t>
    <phoneticPr fontId="1"/>
  </si>
  <si>
    <t>ANPVP03</t>
    <phoneticPr fontId="1"/>
  </si>
  <si>
    <t>ｷｰﾊﾟｯﾄ</t>
    <phoneticPr fontId="1"/>
  </si>
  <si>
    <t>MVSHM-3N02002004046-2CZ-3WP5Z</t>
  </si>
  <si>
    <t>■SETA0016-33-B(LEDﾊﾟﾈﾙ)</t>
  </si>
  <si>
    <t>MVSHM-3N01000071073-2CZ-3PWEG</t>
  </si>
  <si>
    <t>■SETA0016-33-A(ｶﾊﾞｰ)</t>
  </si>
  <si>
    <t>LEAB1</t>
  </si>
  <si>
    <t>HFS8-4040-659</t>
  </si>
  <si>
    <t>MVSHM-3N01050039091-2CZ-3YZ4Y</t>
  </si>
  <si>
    <t>■SETA0015-47-G(ﾊﾟﾈﾙ)</t>
  </si>
  <si>
    <t>MVSHM-3N01002069091-2CZ-XBWY6</t>
  </si>
  <si>
    <t>FTCLSS-V8.5-D12.5-H20-T5-L25</t>
  </si>
  <si>
    <t>MPSCS2040-38-16-S</t>
  </si>
  <si>
    <t>SLSBWRK8-60</t>
  </si>
  <si>
    <t>LEDｼｮｳﾒｲｽﾀﾝﾀﾞｰﾄﾞ ﾌﾞﾗｹｯﾄ(LEAB)</t>
  </si>
  <si>
    <t>ﾌﾘｰｶﾗｰ    FTCLSS</t>
  </si>
  <si>
    <t>PCX-AC-1</t>
    <phoneticPr fontId="1"/>
  </si>
  <si>
    <t>PCX-COM36</t>
    <phoneticPr fontId="1"/>
  </si>
  <si>
    <t>変換端子台</t>
    <rPh sb="0" eb="2">
      <t>ヘンカン</t>
    </rPh>
    <rPh sb="2" eb="5">
      <t>タンシダイ</t>
    </rPh>
    <phoneticPr fontId="1"/>
  </si>
  <si>
    <t>コモン端子台</t>
    <rPh sb="3" eb="6">
      <t>タンシダイ</t>
    </rPh>
    <phoneticPr fontId="1"/>
  </si>
  <si>
    <t>東陽技研</t>
    <rPh sb="0" eb="4">
      <t>トウヨウギケン</t>
    </rPh>
    <phoneticPr fontId="6"/>
  </si>
  <si>
    <t>東陽技研</t>
    <rPh sb="0" eb="4">
      <t>トウヨウギケン</t>
    </rPh>
    <phoneticPr fontId="7"/>
  </si>
  <si>
    <t>NV30-FA 2P 30A 100-200V 30MA</t>
  </si>
  <si>
    <t>ｾｲｷﾞｮﾊﾞﾝﾖｳｼｬﾀﾞﾝｷ(FAｼﾘｰｽﾞ)</t>
  </si>
  <si>
    <t>三菱電機</t>
    <rPh sb="0" eb="2">
      <t>ミツビシ</t>
    </rPh>
    <rPh sb="2" eb="4">
      <t>デンキ</t>
    </rPh>
    <phoneticPr fontId="7"/>
  </si>
  <si>
    <t>MVSHM-3N01000032068-2D2-Z3YKN</t>
  </si>
  <si>
    <t>MVSHM-3N01000032096-2D2-ZBY7J</t>
  </si>
  <si>
    <t>MVSHM-3N01000027065-2D2-6LK98</t>
  </si>
  <si>
    <t>MVSHM-3N01000027078-2D2-6E4A9</t>
  </si>
  <si>
    <t>MVSHM-3N01000027081-2D2-6RR9L</t>
  </si>
  <si>
    <t>MVSHM-3N01000027069-2D2-ZN5WB</t>
  </si>
  <si>
    <t>MVBLK-AMW-2D6-RDAGB</t>
  </si>
  <si>
    <t>■SETA0016-21-D(ﾍﾞｱﾌﾟﾚｰﾄ)</t>
  </si>
  <si>
    <t>■SETA0016-21-C(ﾍﾞｱﾌﾟﾚｰﾄ)</t>
  </si>
  <si>
    <t>MVSHM-3N03002014034-2D6-KP6GJ</t>
  </si>
  <si>
    <t>MVSHM-3N03002014034-2D6-KN3LE</t>
  </si>
  <si>
    <t>SLSBG8-50-M5-N4</t>
  </si>
  <si>
    <t>CSHSM-ST-M4-6</t>
  </si>
  <si>
    <t>KQ2L06-02NS</t>
  </si>
  <si>
    <t>AS1211F-M5E-04A</t>
  </si>
  <si>
    <t>SETGS12-30.0-SC10-M5-N5</t>
  </si>
  <si>
    <t>KQ2L04-06A</t>
  </si>
  <si>
    <t>KQ2U04-99A</t>
  </si>
  <si>
    <t>FASTENING</t>
  </si>
  <si>
    <t>SMC ﾜﾝﾀｯﾁﾂｷﾞﾃ KQ2Lｼﾘｰｽﾞ</t>
  </si>
  <si>
    <t>SMC AS ｼﾘｰｽﾞ</t>
  </si>
  <si>
    <t>ｴﾝｹｲｼﾁｭｳ - SETGS</t>
  </si>
  <si>
    <t>SMC ﾜﾝﾀｯﾁﾂｷﾞﾃ KQ2Uｼﾘｰｽﾞ</t>
  </si>
  <si>
    <t>MVSHM-3N02000017018-JPA2B246A111AB</t>
  </si>
  <si>
    <t>WGHNE-50-22-15</t>
  </si>
  <si>
    <t>MVBLK-AMW-JPA2B2A5T111AB</t>
  </si>
  <si>
    <t>ﾒｳﾞｨｰ_ｶｸﾓﾉ</t>
  </si>
  <si>
    <t>ﾒｳﾞｨｰ_ﾊﾞﾝｷﾝ</t>
  </si>
  <si>
    <t>LINE-A1</t>
    <phoneticPr fontId="14"/>
  </si>
  <si>
    <t>KV-7500</t>
    <phoneticPr fontId="14"/>
  </si>
  <si>
    <t>LINE-B1</t>
    <phoneticPr fontId="14"/>
  </si>
  <si>
    <t>N-1</t>
    <phoneticPr fontId="14"/>
  </si>
  <si>
    <t>F-1</t>
    <phoneticPr fontId="14"/>
  </si>
  <si>
    <t>VT5-W07</t>
    <phoneticPr fontId="14"/>
  </si>
  <si>
    <t>SR-752</t>
    <phoneticPr fontId="14"/>
  </si>
  <si>
    <t>OP-87360</t>
    <phoneticPr fontId="14"/>
  </si>
  <si>
    <t>SR-75L4</t>
    <phoneticPr fontId="14"/>
  </si>
  <si>
    <t>LV-S62</t>
    <phoneticPr fontId="14"/>
  </si>
  <si>
    <t>LV-N10</t>
    <phoneticPr fontId="14"/>
  </si>
  <si>
    <t>OP-84350</t>
    <phoneticPr fontId="14"/>
  </si>
  <si>
    <t>PR-FB30P3</t>
  </si>
  <si>
    <t>PR-M51N1</t>
  </si>
  <si>
    <t>FU-40S</t>
    <phoneticPr fontId="14"/>
  </si>
  <si>
    <t>FS-N40</t>
    <phoneticPr fontId="14"/>
  </si>
  <si>
    <t>NU-EP1</t>
    <phoneticPr fontId="14"/>
  </si>
  <si>
    <t>NU-EN8N</t>
    <phoneticPr fontId="14"/>
  </si>
  <si>
    <t>LINE-A2</t>
    <phoneticPr fontId="14"/>
  </si>
  <si>
    <t>LINE-B2</t>
    <phoneticPr fontId="14"/>
  </si>
  <si>
    <t>N-2</t>
    <phoneticPr fontId="14"/>
  </si>
  <si>
    <t>LINE-A3</t>
    <phoneticPr fontId="14"/>
  </si>
  <si>
    <t>FU-35TZ</t>
  </si>
  <si>
    <t>FS-N40</t>
  </si>
  <si>
    <t>FU-77V+F-4</t>
  </si>
  <si>
    <t>LV-NH62</t>
  </si>
  <si>
    <t>NU-EP1</t>
  </si>
  <si>
    <t>OP-26751</t>
  </si>
  <si>
    <t>PR-MB30N1</t>
  </si>
  <si>
    <t>KEYENCE</t>
    <phoneticPr fontId="1"/>
  </si>
  <si>
    <t>KV-C32XTD</t>
    <phoneticPr fontId="1"/>
  </si>
  <si>
    <t>VT5-W07</t>
    <phoneticPr fontId="1"/>
  </si>
  <si>
    <t>出精値引</t>
    <rPh sb="0" eb="4">
      <t>シュッセイネビ</t>
    </rPh>
    <phoneticPr fontId="1"/>
  </si>
  <si>
    <t>FU-40S</t>
    <phoneticPr fontId="1"/>
  </si>
  <si>
    <t>FU-35TZ</t>
    <phoneticPr fontId="1"/>
  </si>
  <si>
    <t>FU-77V(5000)</t>
    <phoneticPr fontId="1"/>
  </si>
  <si>
    <t>F-4</t>
    <phoneticPr fontId="1"/>
  </si>
  <si>
    <t>FS-N40</t>
    <phoneticPr fontId="1"/>
  </si>
  <si>
    <t>LV-S62</t>
    <phoneticPr fontId="1"/>
  </si>
  <si>
    <t>LV-NH62</t>
    <phoneticPr fontId="1"/>
  </si>
  <si>
    <t>LV-10</t>
    <phoneticPr fontId="1"/>
  </si>
  <si>
    <t>OP-84350</t>
    <phoneticPr fontId="1"/>
  </si>
  <si>
    <t>PRM51N3</t>
    <phoneticPr fontId="1"/>
  </si>
  <si>
    <t>PR-FB30P3</t>
    <phoneticPr fontId="1"/>
  </si>
  <si>
    <t>PRMB30N3</t>
    <phoneticPr fontId="1"/>
  </si>
  <si>
    <t>NU-EP1</t>
    <phoneticPr fontId="1"/>
  </si>
  <si>
    <t>NU-EN8N</t>
    <phoneticPr fontId="1"/>
  </si>
  <si>
    <t>OP-26751</t>
    <phoneticPr fontId="1"/>
  </si>
  <si>
    <t>SR-752</t>
    <phoneticPr fontId="1"/>
  </si>
  <si>
    <t>SR-H7W</t>
    <phoneticPr fontId="1"/>
  </si>
  <si>
    <t>OP87360</t>
    <phoneticPr fontId="1"/>
  </si>
  <si>
    <t>VSO</t>
    <phoneticPr fontId="7"/>
  </si>
  <si>
    <t>VS-LDA10</t>
    <phoneticPr fontId="7"/>
  </si>
  <si>
    <t>VS-LDA6.5</t>
    <phoneticPr fontId="7"/>
  </si>
  <si>
    <t>ﾚﾝｽﾞ</t>
    <phoneticPr fontId="7"/>
  </si>
  <si>
    <t>UJDST4-B</t>
  </si>
  <si>
    <t>KQ2L06-02AS-X12</t>
  </si>
  <si>
    <t>KQ2H06-02AS-X12</t>
  </si>
  <si>
    <t>KV-7500</t>
    <phoneticPr fontId="1"/>
  </si>
  <si>
    <t>AS2201F-N01-04A</t>
  </si>
  <si>
    <t>SMC ｽﾋﾟｰﾄﾞｺﾝﾄﾛｰﾗ ASｼﾘｰｽﾞ</t>
  </si>
  <si>
    <t>SMC ｽﾋﾟｰﾄﾞｺﾝﾄﾛｰﾗ</t>
  </si>
  <si>
    <t>SMC KQ ｼﾘｰｽﾞ</t>
  </si>
  <si>
    <t>ﾜﾝﾀｯﾁﾂｷﾞﾃ(UJDST)</t>
  </si>
  <si>
    <t>AP-C31</t>
    <phoneticPr fontId="1"/>
  </si>
  <si>
    <t>負圧計</t>
    <rPh sb="0" eb="2">
      <t>フアツ</t>
    </rPh>
    <rPh sb="2" eb="3">
      <t>ケイ</t>
    </rPh>
    <phoneticPr fontId="1"/>
  </si>
  <si>
    <t>AP-B01</t>
    <phoneticPr fontId="1"/>
  </si>
  <si>
    <t>ﾌﾞﾗｹｯﾄ</t>
    <phoneticPr fontId="1"/>
  </si>
  <si>
    <t>ZK2A12J5ALA-06</t>
  </si>
  <si>
    <t>SMC</t>
    <phoneticPr fontId="7"/>
  </si>
  <si>
    <t>ZSG40-C</t>
  </si>
  <si>
    <t>MVBLK-AMW-2D8-6NBGN</t>
  </si>
  <si>
    <t>■SETA0016-11-A(ﾂｰﾙﾌﾟﾚｰﾄ)</t>
  </si>
  <si>
    <t>■SETA0016-12-A(ﾂｰﾙﾌﾟﾚｰﾄ)</t>
  </si>
  <si>
    <t>■SETA0016-13-A(ﾂｰﾙﾌﾟﾚｰﾄ)</t>
  </si>
  <si>
    <t>■SETA0016-53-E（SWﾊﾞﾈﾙ）</t>
  </si>
  <si>
    <t>MVBLK-AMW-2D8-8AGWZ</t>
  </si>
  <si>
    <t>MVSHM-3N02002009019-2D8-6B33K</t>
  </si>
  <si>
    <t>MVSHM-6N00500005005-2D8-6G4WA</t>
  </si>
  <si>
    <t>MVSHM-3N02052008023-2D8-8D3W3</t>
  </si>
  <si>
    <t>■SETA0016-00-B(ｶｯﾌﾟﾌﾟﾚｰﾄ)</t>
  </si>
  <si>
    <t>■SETA0016-00-A(ｶｯﾌﾟﾌﾟﾚｰﾄ)</t>
    <phoneticPr fontId="7"/>
  </si>
  <si>
    <t>NCLSS3-5-10.0</t>
  </si>
  <si>
    <t>MVSHM-3N01000011011-2D8-6M5DA</t>
  </si>
  <si>
    <t>■SETA0016-13-C(ｶｯﾌﾟﾌﾟﾚｰﾄ)</t>
  </si>
  <si>
    <t>■SETA0016-13-B(ｶｯﾌﾟﾌﾟﾚｰﾄ)</t>
    <phoneticPr fontId="7"/>
  </si>
  <si>
    <t>MVSHM-3N01000011011-2D8-83M93</t>
  </si>
  <si>
    <t>制御機材</t>
    <rPh sb="0" eb="2">
      <t>セイギョ</t>
    </rPh>
    <rPh sb="2" eb="4">
      <t>キザイ</t>
    </rPh>
    <phoneticPr fontId="7"/>
  </si>
  <si>
    <t>SY3200-5UE1</t>
    <phoneticPr fontId="7"/>
  </si>
  <si>
    <t>HFS8-4040-689</t>
  </si>
  <si>
    <t>SHL-82828</t>
  </si>
  <si>
    <t>YCLPTS33</t>
  </si>
  <si>
    <t>SKTGK6-2</t>
  </si>
  <si>
    <t>TN-8A</t>
  </si>
  <si>
    <t>SKTGLK6-2</t>
  </si>
  <si>
    <t>SKTGLK6-1</t>
  </si>
  <si>
    <t>制御機材</t>
    <rPh sb="0" eb="4">
      <t>セイギョキザイ</t>
    </rPh>
    <phoneticPr fontId="7"/>
  </si>
  <si>
    <t>LZ1A3-870C-W</t>
  </si>
  <si>
    <t>LZ13-555B-W</t>
  </si>
  <si>
    <t>G7SA-5A1B DC24</t>
  </si>
  <si>
    <t>P7SA-14F-ND DC24</t>
  </si>
  <si>
    <t>G3DZ-F4B DC24</t>
  </si>
  <si>
    <t>SHSPMN10-25</t>
  </si>
  <si>
    <t>WSSS20-5-3</t>
  </si>
  <si>
    <t>ｼｬﾌﾄﾎﾙﾀﾞ(SHSPMN)</t>
  </si>
  <si>
    <t>ｷﾝｿﾞｸﾜｯｼｬ SUS (WSSS)</t>
  </si>
  <si>
    <t>LEDｼｮｳﾒｲ ｽﾄﾚｰﾄ ACﾀｲﾌﾟ</t>
  </si>
  <si>
    <t>ﾈｼﾞｺﾐｼｷﾂｷﾞﾃ45ﾒｽｵｽｴﾙﾎﾞ</t>
  </si>
  <si>
    <t>ﾂｷﾞﾃ YCLPTS</t>
  </si>
  <si>
    <t>ｽﾃﾝﾚｽｶﾝﾂｷﾞﾃ (SKTGK)</t>
  </si>
  <si>
    <t>ｽﾃﾝﾚｽｶﾝﾂｷﾞﾃ (SKTGLK)</t>
  </si>
  <si>
    <t>ｾｲﾄﾞｳ ｵｳﾄﾞｳﾊﾞﾙﾌﾞ TN</t>
  </si>
  <si>
    <t>LEDｼｮｳﾒｲ ｽﾄﾚｰﾄ ｺｳｼｮｳﾄﾞ</t>
  </si>
  <si>
    <t>PSWT8-30-5</t>
  </si>
  <si>
    <t>KQ2H23-M5A</t>
  </si>
  <si>
    <t>LRLB3-10</t>
  </si>
  <si>
    <t>SSCSW8-8</t>
  </si>
  <si>
    <t>MVBLK-AMW-2D8-6AMDN</t>
  </si>
  <si>
    <t>LEDS350-W</t>
  </si>
  <si>
    <t>HFS8-4040-80.0</t>
  </si>
  <si>
    <t>SLSBWF7-60.0</t>
  </si>
  <si>
    <t>SLSBWF7-57.0</t>
  </si>
  <si>
    <t>SLSBWF7-20.0</t>
  </si>
  <si>
    <t>ﾊﾟｲﾌﾟ PSWT</t>
  </si>
  <si>
    <t>SMC ﾜﾝﾀｯﾁﾂｷﾞﾃ KQ2Hｼﾘｰｽﾞ</t>
  </si>
  <si>
    <t>ﾁｮｳｼﾞｬｸﾛｰﾚｯﾄﾂｷﾎﾞﾙﾄ LRLB</t>
  </si>
  <si>
    <t>ｾｯﾄｶﾗｰ(SSCSW)</t>
  </si>
  <si>
    <t>Zｽﾃｰｼﾞ ZSG</t>
  </si>
  <si>
    <t>ﾊﾟﾅｿﾆｯｸ ﾚｰｻﾞｰｾﾝｻ</t>
  </si>
  <si>
    <t>LEDｼｮｳﾒｲ ｽﾀﾝﾀﾞｰﾄﾞﾀｲﾌﾟ(LEDS)</t>
  </si>
  <si>
    <t>ｷﾝｿﾞｸｶﾗｰ NCLSS</t>
  </si>
  <si>
    <t>キャンセル</t>
    <phoneticPr fontId="7"/>
  </si>
  <si>
    <t>G7SA-5A1B DC24</t>
    <phoneticPr fontId="7"/>
  </si>
  <si>
    <t>SLON7-15.0-M4</t>
  </si>
  <si>
    <t>WGHNE-30-22-12</t>
  </si>
  <si>
    <t>■SETA0016-55-A(100V)</t>
  </si>
  <si>
    <t>MVBLK-AMW-2D9-6K8ZD</t>
  </si>
  <si>
    <t>KNCLSS6-10-10</t>
  </si>
  <si>
    <t>LPXSB5-P7.90-B7.0-G6-L0-T10.0-HC8.5-NNC</t>
  </si>
  <si>
    <t>ﾛｯｶｸｼﾁｭｳ (SLON)</t>
  </si>
  <si>
    <t>ｲﾁｷﾞﾒﾋﾟﾝ (LPXS_)</t>
  </si>
  <si>
    <t>US301210-PL03B</t>
    <phoneticPr fontId="1"/>
  </si>
  <si>
    <t>ACｱﾀﾞﾌﾟﾀｰ  ( - )</t>
  </si>
  <si>
    <t>MVBLK-AMW-2DA-YW47B</t>
  </si>
  <si>
    <t>SLON7-17.0-M4</t>
  </si>
  <si>
    <t>MVSHM-3N02000046050-2DA-6LDRP</t>
  </si>
  <si>
    <t>MVSHM-3N02002025046-2DA-Y3BML</t>
  </si>
  <si>
    <t>MVSHM-3N02002025039-2DA-YZJMW</t>
  </si>
  <si>
    <t>■SETA0015-42-A(ﾊﾌﾞﾌﾟﾚｰﾄ)</t>
  </si>
  <si>
    <t>■SETA0015-42-B(ﾊﾌﾞﾌﾟﾚｰﾄ)</t>
    <phoneticPr fontId="6"/>
  </si>
  <si>
    <t>■SETA0016-53-F（ｺﾝﾄﾛｰﾗｰﾊﾟﾈﾙ）</t>
  </si>
  <si>
    <t>%SPCT-MCV002-000-B0623-0-GL420</t>
  </si>
  <si>
    <t>ジョイントﾌﾞﾗｹｯﾄ</t>
    <phoneticPr fontId="1"/>
  </si>
  <si>
    <t>LAN-SWHPOE44</t>
    <phoneticPr fontId="6"/>
  </si>
  <si>
    <t>NW080-RJ45-C6A-WH</t>
  </si>
  <si>
    <t>MVSHM-3N01002069091-2DE-KL55A</t>
  </si>
  <si>
    <t>HFS8-4040-300.0</t>
  </si>
  <si>
    <t>ﾓｼﾞｭｶﾌﾟﾗ(NW080)</t>
  </si>
  <si>
    <t>HFS8-4040-380</t>
    <phoneticPr fontId="6"/>
  </si>
  <si>
    <t>MPSCS1520-34-18-S</t>
  </si>
  <si>
    <r>
      <t xml:space="preserve">FU-C1 </t>
    </r>
    <r>
      <rPr>
        <b/>
        <sz val="11"/>
        <color indexed="10"/>
        <rFont val="ＭＳ Ｐゴシック"/>
        <family val="3"/>
        <charset val="128"/>
      </rPr>
      <t>→ FU-C2</t>
    </r>
    <phoneticPr fontId="1"/>
  </si>
  <si>
    <t>Ｒ-7</t>
    <phoneticPr fontId="1"/>
  </si>
  <si>
    <t>KSRM60-240</t>
  </si>
  <si>
    <t>RBID5</t>
  </si>
  <si>
    <t>MPSCS2040-38-26-S</t>
  </si>
  <si>
    <t>ｶﾝｲｽﾗｲﾄﾞﾚｰﾙ(KSRM)</t>
  </si>
  <si>
    <t>ﾛｯﾄﾞｴﾝﾄﾞ RBID</t>
  </si>
  <si>
    <t>MVSHM-3N02052003012-2DE-KAPJ6</t>
  </si>
  <si>
    <t>MVSHM-3N02052006009-2DE-KDMGG</t>
  </si>
  <si>
    <t>MVSHM-3N02058003005-2DE-K9YX7</t>
  </si>
  <si>
    <t>SLSBWF7-85</t>
  </si>
  <si>
    <t>MVSHM-3N01500003003-2DE-ZNYRX</t>
  </si>
  <si>
    <t>SLSBWF7-82</t>
  </si>
  <si>
    <t>■SETA0016-12-D(ｸｲｯﾁｬｰﾌﾟﾚｰﾄ)</t>
  </si>
  <si>
    <t>■SETA0016-12-B(ｸｲｯﾁｬｰﾌﾟﾚｰﾄ)</t>
    <phoneticPr fontId="7"/>
  </si>
  <si>
    <t>■SETA0016-12-C(ｸｲｯﾁｬｰﾌﾟﾚｰﾄ)</t>
    <phoneticPr fontId="7"/>
  </si>
  <si>
    <t>MVBLK-AMW-2DE-Z7YB6</t>
  </si>
  <si>
    <t>■SETA0016-12-E(ｸｲｯﾁｬｰﾌﾟﾚｰﾄ)</t>
    <phoneticPr fontId="7"/>
  </si>
  <si>
    <t>MVSHM-3N01550004007-2DE-Z8686</t>
  </si>
  <si>
    <t>MVSHM-3N02050003007-2DE-KB3R5</t>
  </si>
  <si>
    <t>■SETA0015-32-D(ｼｬｯﾀｰｱﾝｸﾞﾙ)</t>
  </si>
  <si>
    <t>■SETA0015-31-C(ｾﾝｻｰﾌﾞﾗｹｯﾄ)</t>
  </si>
  <si>
    <t>■SETA0015-31-D(ｼﾘﾝﾀﾞﾌﾞﾗｹｯﾄ)</t>
  </si>
  <si>
    <t>KQ2H08-02AS</t>
  </si>
  <si>
    <t>KQ2H06-02AS</t>
  </si>
  <si>
    <t>SLON7-17-M4</t>
  </si>
  <si>
    <t>ARP20-01BE2-3</t>
  </si>
  <si>
    <t>ﾚｷﾞｭﾚｰﾀｰ</t>
    <phoneticPr fontId="7"/>
  </si>
  <si>
    <t>MSHRT3</t>
  </si>
  <si>
    <t>KQ2L04-01NS</t>
  </si>
  <si>
    <t>MVSHM-3N02002002008-2DG-6MBEY</t>
  </si>
  <si>
    <t>MVBLK-AMW-2DG-6Y8MX</t>
  </si>
  <si>
    <t>ｼｭﾄﾞｳｷﾘｶｴﾍﾞﾝ(MSHRT)</t>
  </si>
  <si>
    <t>MVSHM-3N02000005006-2DG-Z5JXR</t>
  </si>
  <si>
    <t>HBLFSD8-SET</t>
  </si>
  <si>
    <t>HFC8-8080-B</t>
  </si>
  <si>
    <t>HFSB8-8080-547.0</t>
  </si>
  <si>
    <t>HFSB8-8080-840.0</t>
  </si>
  <si>
    <t>HFSB8-8080-1000.0</t>
  </si>
  <si>
    <t>■SETA0016-51-A(連結ﾌﾟﾚｰﾄ)</t>
  </si>
  <si>
    <t>■SETA0016-51-B(連結ﾌﾟﾚｰﾄ)</t>
    <phoneticPr fontId="7"/>
  </si>
  <si>
    <t>MVSHM-3N03000007018-2DG-68YA5</t>
  </si>
  <si>
    <t>MVSHM-3N03000007027-2DG-Z3YK4</t>
  </si>
  <si>
    <t>HFSB8-8080-250.0</t>
    <phoneticPr fontId="7"/>
  </si>
  <si>
    <t>HFSB8-8080-1200.0</t>
  </si>
  <si>
    <t>HFSB8-8080-150</t>
  </si>
  <si>
    <t>HFSB8-8080-840</t>
  </si>
  <si>
    <t>MVSHM-3N03002014034-2DH-9AZDD</t>
  </si>
  <si>
    <t>MVSHM-3N03002014034-2DH-9NRYB</t>
  </si>
  <si>
    <t>MVBLK-AMW-2DH-9435D</t>
  </si>
  <si>
    <t>RB8-3SET</t>
  </si>
  <si>
    <t>A22E-M-01B</t>
    <phoneticPr fontId="7"/>
  </si>
  <si>
    <t>KKD-12</t>
  </si>
  <si>
    <t>KSDSET19</t>
  </si>
  <si>
    <t>MAXHD101</t>
  </si>
  <si>
    <t>MVSHM-3N02002005008-2DM-6DLDG</t>
  </si>
  <si>
    <t>BSUCC312P3A05BK</t>
  </si>
  <si>
    <t>ｷｮｳﾘｮｸﾘｮｳﾒﾝﾃｰﾌﾟ</t>
  </si>
  <si>
    <t>ﾄﾞﾘﾙ</t>
  </si>
  <si>
    <t>ｴｱｰｺｳｸﾞ</t>
  </si>
  <si>
    <t>ｹﾝｻｸｹﾝﾏﾖｳﾋﾝ</t>
  </si>
  <si>
    <t>USBｹｰﾌﾞﾙ</t>
  </si>
  <si>
    <t>AS2201F-N01-04SA</t>
    <phoneticPr fontId="7"/>
  </si>
  <si>
    <t>AS1002F-04A</t>
    <phoneticPr fontId="7"/>
  </si>
  <si>
    <t>PR-FB30N3</t>
    <phoneticPr fontId="1"/>
  </si>
  <si>
    <t>MVSHM-3N03002035070-2D1-8LMZG</t>
  </si>
  <si>
    <t>MVSHM-3N03002035082-2D1-8B7JE</t>
  </si>
  <si>
    <t>■SETA0016-90-A(ﾍｲｼﾝﾌﾟﾚｰﾄ)</t>
    <phoneticPr fontId="7"/>
  </si>
  <si>
    <t>■SETA0016-90-B(ﾍｲｼﾝﾌﾟﾚｰﾄ)</t>
  </si>
  <si>
    <t>MVSHM-3N02000005012-2DN-PRN8J</t>
  </si>
  <si>
    <t>WSSSH20-5-5</t>
  </si>
  <si>
    <t>ｷﾝｿﾞｸﾜｯｼｬ (WSSSH)</t>
  </si>
  <si>
    <t>■SETA0016-15-A(QRﾌﾟﾚｰﾄ)</t>
  </si>
  <si>
    <t>LPXSB6-P7.90-B7.0-G6-L0-T10.0-HC8.5-NNC</t>
  </si>
  <si>
    <t>ｲﾁｷﾞﾒﾋﾟﾝ</t>
  </si>
  <si>
    <t>MVSHM-3N02052020021-2DR-6LADL</t>
  </si>
  <si>
    <t>SLSBG7-20.0-M4-N4</t>
  </si>
  <si>
    <t>SLSBWRK7-20</t>
  </si>
  <si>
    <t>SLSBWRK7-35</t>
  </si>
  <si>
    <t>CC05BL2R</t>
  </si>
  <si>
    <t>ｵﾘｴﾝﾀﾙﾓｰﾀｰ</t>
  </si>
  <si>
    <t>HG-C1200</t>
    <phoneticPr fontId="7"/>
  </si>
  <si>
    <t>MVSHM-3N02042003006-2DY-8XLXA</t>
  </si>
  <si>
    <t>MVSHM-3N02042003004-2DY-85RDL</t>
  </si>
  <si>
    <t>MVSHM-3N02042004010-2DY-E6MZ7</t>
  </si>
  <si>
    <t>SSCSPDJ16-12</t>
  </si>
  <si>
    <t>ｾｯﾄｶﾗ-(SSCSPDJ)</t>
  </si>
  <si>
    <t>SMC ZP ｼﾘｰｽﾞ</t>
  </si>
  <si>
    <t>HFS8-4040-370.0</t>
  </si>
  <si>
    <t>MVSHM-3N01000069099-2DY-ELYDY</t>
  </si>
  <si>
    <t>WSSSH20-4-3</t>
  </si>
  <si>
    <t>MRS232-09F-09F-5</t>
  </si>
  <si>
    <t>AZC11013H</t>
  </si>
  <si>
    <t>RS232C ｹｰﾌﾞﾙ</t>
  </si>
  <si>
    <t>OTHER SENSORS</t>
  </si>
  <si>
    <t>MVSHM-3N02002003009-2DZ-KG6A7</t>
  </si>
  <si>
    <t>SR-700</t>
    <phoneticPr fontId="1"/>
  </si>
  <si>
    <t>N-L20</t>
    <phoneticPr fontId="1"/>
  </si>
  <si>
    <t>COM2</t>
    <phoneticPr fontId="1"/>
  </si>
  <si>
    <t>MVSHM-3N05000045050-2E4-LREBW</t>
  </si>
  <si>
    <t>ﾊﾝﾄﾞﾊﾞﾙﾌﾞ HV</t>
  </si>
  <si>
    <t>HV6-01</t>
  </si>
  <si>
    <t>MVSHM-3N02002005013-2E4-L6KR7</t>
  </si>
  <si>
    <t>MVSHM-3N00800005005-2E4-NPYDW</t>
  </si>
  <si>
    <t>FS-N41N</t>
    <phoneticPr fontId="1"/>
  </si>
  <si>
    <t>FS-N42N</t>
    <phoneticPr fontId="1"/>
  </si>
  <si>
    <t>NWTC6A2-UTP-S-GY-3</t>
    <phoneticPr fontId="6"/>
  </si>
  <si>
    <t>MVSHM-3N02052005010-2E5-ERBRJ</t>
  </si>
  <si>
    <t>KNCLSS5-20-25</t>
  </si>
  <si>
    <t>MVBLK-AMW-2E5-L9D8X</t>
  </si>
  <si>
    <t>NWTC6A2-UTP-S-GY-1</t>
  </si>
  <si>
    <t>MVBLK-AMW-2E5-E8Y9Z</t>
    <phoneticPr fontId="7"/>
  </si>
  <si>
    <t>KQ2P-04</t>
  </si>
  <si>
    <t>KQ2U08-00A</t>
  </si>
  <si>
    <t>KQ2R06-08A</t>
  </si>
  <si>
    <t>SMC ﾂｷﾞﾃﾌﾞﾋﾝ KQｼﾘｰｽﾞ</t>
  </si>
  <si>
    <t>遠藤製作所</t>
    <rPh sb="0" eb="2">
      <t>エンドウ</t>
    </rPh>
    <rPh sb="2" eb="5">
      <t>セイサクジョ</t>
    </rPh>
    <phoneticPr fontId="1"/>
  </si>
  <si>
    <t>SHZA-A01-作業D</t>
    <rPh sb="9" eb="11">
      <t>サギョウ</t>
    </rPh>
    <phoneticPr fontId="1"/>
  </si>
  <si>
    <t>シリンジ残検用アダプタ（SH）</t>
  </si>
  <si>
    <t>SHZA-SF01-作業E</t>
  </si>
  <si>
    <t>シリンジ残検用シャフト(SH)</t>
  </si>
  <si>
    <t>SHZA-P10-55</t>
  </si>
  <si>
    <t>先端パッド(10cc-55cc)</t>
  </si>
  <si>
    <t>キーエンス</t>
  </si>
  <si>
    <t>FU-53TZ(5000)</t>
  </si>
  <si>
    <t>ファイバーユニット</t>
  </si>
  <si>
    <t>ファイバーセンサーアンプ</t>
  </si>
  <si>
    <t>ミスミ</t>
  </si>
  <si>
    <t>NPB9</t>
  </si>
  <si>
    <t>Oリング</t>
  </si>
  <si>
    <t>WSSS10-4-1</t>
  </si>
  <si>
    <t>ワッシャー</t>
  </si>
  <si>
    <t>MNCNP4-M5</t>
  </si>
  <si>
    <t>ミニチュアワンタッチ継手</t>
    <rPh sb="10" eb="11">
      <t>ツギ</t>
    </rPh>
    <rPh sb="11" eb="12">
      <t>テ</t>
    </rPh>
    <phoneticPr fontId="1"/>
  </si>
  <si>
    <t>VTUB2.0-BK-10</t>
  </si>
  <si>
    <t>汎用チューブ　軟質PVC黒</t>
    <rPh sb="0" eb="2">
      <t>ハンヨウ</t>
    </rPh>
    <rPh sb="7" eb="9">
      <t>ナンシツ</t>
    </rPh>
    <rPh sb="12" eb="13">
      <t>クロ</t>
    </rPh>
    <phoneticPr fontId="1"/>
  </si>
  <si>
    <t>在庫</t>
    <rPh sb="0" eb="2">
      <t>ザイコ</t>
    </rPh>
    <phoneticPr fontId="1"/>
  </si>
  <si>
    <t>VTUB1.0-BK-10</t>
  </si>
  <si>
    <t>MITHT-25.0-10P-B</t>
  </si>
  <si>
    <t>熱収縮チューブ（低温度収縮）</t>
  </si>
  <si>
    <t>SET</t>
  </si>
  <si>
    <t>SV5120B</t>
  </si>
  <si>
    <t>クイックコネクタ</t>
  </si>
  <si>
    <t>SV5120BHC</t>
  </si>
  <si>
    <t>Φ4クランプ</t>
  </si>
  <si>
    <t>SP40152</t>
  </si>
  <si>
    <t>30/55ccシリンジアダプタ追加工品</t>
  </si>
  <si>
    <t>追加工費1,350円+SH52B _342円 吉澤M在庫</t>
    <rPh sb="21" eb="22">
      <t>エン</t>
    </rPh>
    <phoneticPr fontId="1"/>
  </si>
  <si>
    <t>谷田部部長</t>
    <rPh sb="0" eb="5">
      <t>ヤタベブチョウ</t>
    </rPh>
    <phoneticPr fontId="7"/>
  </si>
  <si>
    <t>EFSTB6-3030-2000</t>
  </si>
  <si>
    <t>EFSTB6-3030-1800</t>
  </si>
  <si>
    <t>EFSTB6-3030-2200</t>
  </si>
  <si>
    <t>HFCB6-3030-B</t>
  </si>
  <si>
    <t>SHBLBSL6</t>
  </si>
  <si>
    <t>PD-4</t>
  </si>
  <si>
    <t>HFCN6PACK</t>
  </si>
  <si>
    <t>HNTRSN6-4</t>
  </si>
  <si>
    <t>ｱﾙﾐﾌﾚｰﾑｻﾞｲ(EFS6)</t>
  </si>
  <si>
    <t>ﾌﾞﾗｲﾝﾄﾞﾌﾞﾗｹｯﾄ HBLBSL</t>
  </si>
  <si>
    <t>ｽﾃﾝﾚｽ(SUS304) ﾊﾟｯﾄﾞｱｲ</t>
  </si>
  <si>
    <t>ｹｰﾌﾞﾙｸﾗﾝﾌﾟ ﾋｼｶﾞﾀﾀｲﾌﾟ(HFCN)</t>
  </si>
  <si>
    <t>ｱﾙﾐﾌﾚｰﾑﾖｳﾅｯﾄ</t>
  </si>
  <si>
    <t>AS2311F-02-08A</t>
  </si>
  <si>
    <t xml:space="preserve">ﾂｷﾞﾃ </t>
    <phoneticPr fontId="6"/>
  </si>
  <si>
    <t>MVSHM-3N02050005013-JPA25G7CB111AA</t>
  </si>
  <si>
    <t>MVSHM-3N03002003003-JPA25GYD1111AA</t>
  </si>
  <si>
    <t>MVSHM-3N02050002004-JPA25GP0K111AA</t>
  </si>
  <si>
    <t>JTDA-SUD-A27-B12-T2-X6-Y6-M4-L15-MA4</t>
  </si>
  <si>
    <t>ASFCS-A27-B14-T0.3-D4.5-E6-C6-P15</t>
  </si>
  <si>
    <t>R03J-JSP-F-2-4</t>
  </si>
  <si>
    <t>IESH-MB205-R</t>
  </si>
  <si>
    <t>IEｽｲｯﾁHUB</t>
  </si>
  <si>
    <t>R03ｺﾈｸﾀﾊｰﾈｽ</t>
  </si>
  <si>
    <t>ｲﾀ_ﾌﾞﾗｹｯﾄ/ﾄﾘﾂｹｲﾀ-JTDA-</t>
  </si>
  <si>
    <t>ｼﾑ  ASFCS</t>
  </si>
  <si>
    <t>EFSTB6-3030-2000</t>
    <phoneticPr fontId="6"/>
  </si>
  <si>
    <t>CMB1515-SW-N-PS-D</t>
  </si>
  <si>
    <t>HFS8-4040-600.0</t>
  </si>
  <si>
    <t>NW080-RJ45-S-C6R</t>
  </si>
  <si>
    <t>NWTC6A2-UTP-S-GY-2</t>
  </si>
  <si>
    <t>ｾﾝｻﾓｼﾞｭｰﾙ</t>
  </si>
  <si>
    <t>ZP3-T08BGN-A5</t>
    <phoneticPr fontId="7"/>
  </si>
  <si>
    <t>ZP3-06UMGN</t>
  </si>
  <si>
    <t>HFCB6-3030-B</t>
    <phoneticPr fontId="6"/>
  </si>
  <si>
    <t>206044-1</t>
  </si>
  <si>
    <t>ﾀｲｺｴﾚｸﾄﾛﾆｸｽ</t>
    <phoneticPr fontId="6"/>
  </si>
  <si>
    <t>KPG-12</t>
  </si>
  <si>
    <t>EFSTB6-3030-1300</t>
  </si>
  <si>
    <t>206043-1</t>
  </si>
  <si>
    <t>66104-8</t>
  </si>
  <si>
    <t>66103-4</t>
  </si>
  <si>
    <t>206070-8</t>
  </si>
  <si>
    <t>ｱﾙﾐﾃｰﾌﾟ</t>
  </si>
  <si>
    <t>CPCｺﾈｸﾀ･ｼﾘｰｽﾞ1</t>
  </si>
  <si>
    <t>ｷﾊﾞﾝﾖｳﾀｰﾐﾅﾙ</t>
  </si>
  <si>
    <t>ｷﾊﾞﾝﾖｳｶｸｶﾞﾀｺﾈｸﾀ</t>
  </si>
  <si>
    <t>ｹｰﾌﾞﾙｸﾗﾝﾌﾟ</t>
  </si>
  <si>
    <t>発注願います。</t>
    <rPh sb="0" eb="3">
      <t>ハッチュウネガ</t>
    </rPh>
    <phoneticPr fontId="6"/>
  </si>
  <si>
    <t>MVBLK-AMW-2E5-E8Y9Z</t>
  </si>
  <si>
    <t>SCB6-60</t>
  </si>
  <si>
    <t>MVSHM-3N03050007012-2EJ-MWYAR</t>
  </si>
  <si>
    <t>ﾈｼﾞ CB SCB BCB SBCB GUTB</t>
  </si>
  <si>
    <t>NCLSS3-5-26</t>
  </si>
  <si>
    <t>NCLSS3-5-10</t>
  </si>
  <si>
    <t>NCLSS3-5-15</t>
  </si>
  <si>
    <t>MVSHM-3N03002005012-2EJ-MNY9G</t>
  </si>
  <si>
    <t>HFS8-4040-160.0</t>
  </si>
  <si>
    <t>ｱﾙﾐﾌﾚｰﾑｻﾞｲ(EFS6)</t>
    <phoneticPr fontId="7"/>
  </si>
  <si>
    <t>ACBTA6H-572-330-5-F275.0-G308.0-N6</t>
  </si>
  <si>
    <t>ACTA4H-413-322-5-F391.0-G300.0-N6</t>
  </si>
  <si>
    <t>ACTA6H-614-413-5-F296.0-G391.0-N6</t>
  </si>
  <si>
    <t>ACBTA6H-572-400-5-F275-G378-N6</t>
  </si>
  <si>
    <t>ACTA4H-438-413-5-F416.0-G391.0-N6</t>
  </si>
  <si>
    <t>ACTA4H-463-322-5-F441.0-G300.0-N6</t>
  </si>
  <si>
    <t>ACTA6H-614-463-5-F296.0-G441.0-N6</t>
  </si>
  <si>
    <t>ACBTA6H-572-260-5-F275.0-G238.0-N6</t>
  </si>
  <si>
    <t>ACTA4H-463-438-5-F441.0-G416.0-N6</t>
  </si>
  <si>
    <t>ｱｸﾘﾙ      (ACBTA)   ｱﾅｶｺｳﾂｷ</t>
  </si>
  <si>
    <t>ｱｸﾘﾙ      (ACTA)    ｱﾅｶｺｳﾂｷ</t>
  </si>
  <si>
    <t>ACTA6H-572-400-5-F275.0-G378.0-N6</t>
  </si>
  <si>
    <t>ACTA6H-572-330-5-F275.0-G308.0-N6</t>
  </si>
  <si>
    <t>MVSHM-3N02052003017-2EK-ZXPMM</t>
  </si>
  <si>
    <t>C-30-BW-16-1-EP-UL</t>
  </si>
  <si>
    <t>MVSHM-3N01000076099-2EK-ZPE4X</t>
  </si>
  <si>
    <t>SKTGK6-1</t>
  </si>
  <si>
    <t>MVSHM-3N01000039076-2EK-ZPE6X</t>
  </si>
  <si>
    <t>CSHHA-SUS-M5-60</t>
  </si>
  <si>
    <t>ｺﾞﾑｱｼ ｸﾞﾛﾒｯﾄ C-30-BW</t>
  </si>
  <si>
    <t>ﾛｯｶｸｱﾅﾂｷﾎﾞﾙﾄ(ｷｬｯﾌﾟｽｸﾘｭｰ) ｱﾝｽｺｾ</t>
  </si>
  <si>
    <t>FS-N40</t>
    <phoneticPr fontId="1"/>
  </si>
  <si>
    <t>FU-38L</t>
    <phoneticPr fontId="1"/>
  </si>
  <si>
    <t>MVSHM-3N00800004012-2EM-BLZW6</t>
  </si>
  <si>
    <t>MVSHM-3N01000039099-2EM-R5LD5</t>
  </si>
  <si>
    <t>MVSHM-3N01000039099-2EM-RL4WL</t>
  </si>
  <si>
    <t>PSWT8-65-5</t>
  </si>
  <si>
    <t>ﾊﾟｲﾌﾟ PSWT</t>
    <phoneticPr fontId="7"/>
  </si>
  <si>
    <t>ACBTA6H-569-258-5-F273.5-G236.0-N6</t>
  </si>
  <si>
    <t>ACTA6H-569-399-5-F273.5-G377.0-N6</t>
  </si>
  <si>
    <t>ACTA6H-569-328-5-F273.5-G306.0-N6</t>
  </si>
  <si>
    <t>WRH-300BK3</t>
  </si>
  <si>
    <t>ELC ｱｸｾｽﾎﾟｲﾝﾄ</t>
  </si>
  <si>
    <t>Web発注済</t>
    <rPh sb="0" eb="6">
      <t>ウェＢハッチュウスミ</t>
    </rPh>
    <phoneticPr fontId="6"/>
  </si>
  <si>
    <t>MVSHM-3N02052003014-2ER-DNWJB</t>
  </si>
  <si>
    <t>MVSHM-3N02052003014-2ER-P8KJ5</t>
  </si>
  <si>
    <t>MVSHM-3N02052003017-2ES-Z7E5A</t>
  </si>
  <si>
    <t>MVSHM-3N02002002007-2ES-Z4GE4</t>
  </si>
  <si>
    <t>HCBR8</t>
    <phoneticPr fontId="6"/>
  </si>
  <si>
    <t>ｶﾊﾞｰﾄﾘﾂｹｶﾝﾚﾝﾌﾞﾋﾝ</t>
    <phoneticPr fontId="6"/>
  </si>
  <si>
    <t>MVSHM-3N03050011012-2ES-ZW386</t>
  </si>
  <si>
    <t>URWL25-5-5</t>
  </si>
  <si>
    <t>URWM25-5-5</t>
  </si>
  <si>
    <t>URWL25-8-5</t>
  </si>
  <si>
    <t>URWM25-8-5</t>
  </si>
  <si>
    <t>CBSTS8-10</t>
  </si>
  <si>
    <t>CBSTS6-10</t>
  </si>
  <si>
    <t>ｳﾚﾀﾝﾜｯｼｬ      URW</t>
  </si>
  <si>
    <t>ｺﾞｸﾃｲﾄｳﾎﾞﾙﾄ -SUS-CBSTS</t>
  </si>
  <si>
    <t>RBZU-D25-V6-H5-G10-L9</t>
  </si>
  <si>
    <t>RBZN-D25-V6-H5-G10-L9</t>
  </si>
  <si>
    <t>RBZU-D25-V9-H5-G14-L9</t>
  </si>
  <si>
    <t>RBZN-D25-V9-H5-G14-L9</t>
  </si>
  <si>
    <t>ｺﾞﾑｻﾞｸﾞﾘ RBZU</t>
  </si>
  <si>
    <t>ｺﾞﾑ ｻﾞｸﾞﾘ   RBZN</t>
  </si>
  <si>
    <t>EX-23</t>
  </si>
  <si>
    <t>HNTAJ8-4</t>
  </si>
  <si>
    <t>ﾋﾞｰﾑｾﾝｻ EX</t>
  </si>
  <si>
    <t>ｱﾄｲﾚﾐｼﾞｶﾒﾅｯﾄ(HNTAJ)</t>
  </si>
  <si>
    <t>MVSHM-3N01040008016-2EZ-6PKDD</t>
    <phoneticPr fontId="7"/>
  </si>
  <si>
    <t>MVSHM-3N02000017018-2F1-GPMXR</t>
  </si>
  <si>
    <t>MVSHM-3N02000018020-2F1-GLP36</t>
  </si>
  <si>
    <t>TAISHO</t>
    <phoneticPr fontId="1"/>
  </si>
  <si>
    <t>設備一式</t>
    <rPh sb="0" eb="2">
      <t>セツビ</t>
    </rPh>
    <rPh sb="2" eb="4">
      <t>イッシキ</t>
    </rPh>
    <phoneticPr fontId="1"/>
  </si>
  <si>
    <t>発注願います。</t>
    <rPh sb="0" eb="3">
      <t>ハッチュウネガ</t>
    </rPh>
    <phoneticPr fontId="1"/>
  </si>
  <si>
    <t>ワークガイド　ストレートタイプ</t>
    <phoneticPr fontId="7"/>
  </si>
  <si>
    <t>EE-SPX613 1M</t>
    <phoneticPr fontId="6"/>
  </si>
  <si>
    <t>OMRON ﾌｫﾄ ﾏｲｸﾛｾﾝｻ EE-SPX</t>
    <phoneticPr fontId="6"/>
  </si>
  <si>
    <t>SLSBWRK7-30</t>
  </si>
  <si>
    <t>■SETA0017-21-M2(ﾌﾟﾛｰﾌﾞﾍﾞｰｽ)</t>
  </si>
  <si>
    <t>■SETA0017-21-C3（ｼﾞｸﾞﾍﾞｰｽ-2）</t>
  </si>
  <si>
    <t>MISUMI</t>
    <phoneticPr fontId="7"/>
  </si>
  <si>
    <t>TAISHO</t>
    <phoneticPr fontId="7"/>
  </si>
  <si>
    <t>■SETA0016-55-D(27PL)</t>
  </si>
  <si>
    <t>FWSJD-D16-V0-T3.0</t>
  </si>
  <si>
    <t>1式分</t>
    <rPh sb="1" eb="3">
      <t>シキブン</t>
    </rPh>
    <phoneticPr fontId="7"/>
  </si>
  <si>
    <t>MVBLK-AMW-2MM-SCYT2</t>
  </si>
  <si>
    <t>MVBLK-AMW-2MM-G1XJG</t>
  </si>
  <si>
    <t>SETN10-42-SC20-M5</t>
  </si>
  <si>
    <t>NPT048-J</t>
  </si>
  <si>
    <t>NPT048-B</t>
  </si>
  <si>
    <t>NRT048W</t>
  </si>
  <si>
    <t>ｴﾝｹｲｼﾁｭｳ - SETN</t>
  </si>
  <si>
    <t>ｺﾝﾀｸﾄﾌﾟﾛｰﾌﾞ NPT048</t>
  </si>
  <si>
    <t>ﾘｾﾌﾟﾀｸﾙ NRT048W</t>
  </si>
  <si>
    <t>WEB発注済</t>
    <rPh sb="3" eb="6">
      <t>ハッチュウスミ</t>
    </rPh>
    <phoneticPr fontId="7"/>
  </si>
  <si>
    <t>SLSBWF7-28</t>
    <phoneticPr fontId="7"/>
  </si>
  <si>
    <t>ﾛｯｶｸｼﾁｭｳ SLSBWF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</si>
</sst>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 ;[Red]\-0\ "/>
    <numFmt numFmtId="181" formatCode="#,##0_ "/>
  </numFmts>
  <fonts count="24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4"/>
      <color indexed="8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sz val="11"/>
      <color rgb="FFFF0000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</font>
    <font>
      <strike/>
      <sz val="11"/>
      <color rgb="FFFF0000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1"/>
      <color theme="1"/>
      <name val="游ゴシック"/>
      <family val="3"/>
      <charset val="128"/>
    </font>
    <font>
      <strike/>
      <sz val="11"/>
      <color theme="1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13" fillId="0" borderId="0"/>
    <xf numFmtId="0" fontId="13" fillId="0" borderId="0"/>
  </cellStyleXfs>
  <cellXfs count="234">
    <xf numFmtId="0" fontId="0" fillId="0" borderId="0" xfId="0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176" fontId="4" fillId="0" borderId="1" xfId="0" applyNumberFormat="1" applyFont="1" applyBorder="1">
      <alignment vertical="center"/>
    </xf>
    <xf numFmtId="0" fontId="0" fillId="0" borderId="0" xfId="0" applyAlignment="1">
      <alignment horizontal="right" vertical="center"/>
    </xf>
    <xf numFmtId="179" fontId="0" fillId="0" borderId="0" xfId="0" applyNumberFormat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9" fontId="0" fillId="0" borderId="0" xfId="0" applyNumberFormat="1">
      <alignment vertical="center"/>
    </xf>
    <xf numFmtId="178" fontId="0" fillId="0" borderId="1" xfId="0" applyNumberFormat="1" applyFill="1" applyBorder="1" applyAlignment="1">
      <alignment horizontal="center" vertical="center"/>
    </xf>
    <xf numFmtId="38" fontId="0" fillId="0" borderId="0" xfId="0" applyNumberFormat="1">
      <alignment vertical="center"/>
    </xf>
    <xf numFmtId="0" fontId="5" fillId="0" borderId="0" xfId="0" applyFont="1" applyFill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56" fontId="0" fillId="0" borderId="1" xfId="0" applyNumberFormat="1" applyFont="1" applyFill="1" applyBorder="1" applyAlignment="1">
      <alignment horizontal="center" vertical="center"/>
    </xf>
    <xf numFmtId="179" fontId="0" fillId="0" borderId="1" xfId="0" applyNumberFormat="1" applyFont="1" applyFill="1" applyBorder="1" applyAlignment="1">
      <alignment horizontal="center" vertical="center"/>
    </xf>
    <xf numFmtId="3" fontId="0" fillId="0" borderId="0" xfId="0" applyNumberForma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2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right" vertical="center"/>
    </xf>
    <xf numFmtId="0" fontId="0" fillId="0" borderId="0" xfId="0" applyFont="1">
      <alignment vertical="center"/>
    </xf>
    <xf numFmtId="0" fontId="0" fillId="0" borderId="1" xfId="0" applyFill="1" applyBorder="1" applyAlignment="1">
      <alignment horizontal="right" vertical="center"/>
    </xf>
    <xf numFmtId="0" fontId="0" fillId="0" borderId="1" xfId="0" applyFont="1" applyBorder="1">
      <alignment vertical="center"/>
    </xf>
    <xf numFmtId="178" fontId="0" fillId="0" borderId="3" xfId="0" applyNumberFormat="1" applyFont="1" applyFill="1" applyBorder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178" fontId="0" fillId="0" borderId="1" xfId="0" applyNumberFormat="1" applyBorder="1" applyAlignment="1">
      <alignment horizontal="center" vertical="center"/>
    </xf>
    <xf numFmtId="179" fontId="0" fillId="0" borderId="1" xfId="0" applyNumberFormat="1" applyBorder="1" applyAlignment="1">
      <alignment horizontal="center" vertical="center"/>
    </xf>
    <xf numFmtId="3" fontId="0" fillId="0" borderId="2" xfId="0" applyNumberFormat="1" applyFill="1" applyBorder="1" applyAlignment="1">
      <alignment horizontal="center" vertical="center"/>
    </xf>
    <xf numFmtId="178" fontId="0" fillId="0" borderId="3" xfId="0" applyNumberForma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center" vertical="center"/>
    </xf>
    <xf numFmtId="176" fontId="0" fillId="0" borderId="1" xfId="0" applyNumberFormat="1" applyFill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6" fontId="0" fillId="0" borderId="0" xfId="0" applyNumberFormat="1" applyAlignment="1">
      <alignment horizontal="right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179" fontId="0" fillId="0" borderId="1" xfId="0" applyNumberFormat="1" applyBorder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77" fontId="4" fillId="0" borderId="0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56" fontId="0" fillId="0" borderId="1" xfId="0" applyNumberFormat="1" applyFill="1" applyBorder="1" applyAlignment="1">
      <alignment horizontal="center" vertical="center"/>
    </xf>
    <xf numFmtId="179" fontId="0" fillId="0" borderId="1" xfId="0" applyNumberFormat="1" applyFont="1" applyFill="1" applyBorder="1">
      <alignment vertical="center"/>
    </xf>
    <xf numFmtId="0" fontId="17" fillId="0" borderId="1" xfId="0" applyFont="1" applyFill="1" applyBorder="1" applyAlignment="1">
      <alignment horizontal="center" vertical="center"/>
    </xf>
    <xf numFmtId="0" fontId="17" fillId="0" borderId="1" xfId="0" applyFont="1" applyBorder="1">
      <alignment vertical="center"/>
    </xf>
    <xf numFmtId="0" fontId="0" fillId="0" borderId="1" xfId="0" applyBorder="1" applyAlignment="1"/>
    <xf numFmtId="0" fontId="0" fillId="0" borderId="1" xfId="0" applyFont="1" applyBorder="1" applyAlignment="1">
      <alignment horizontal="right" vertical="center"/>
    </xf>
    <xf numFmtId="0" fontId="0" fillId="0" borderId="1" xfId="0" applyFont="1" applyBorder="1" applyAlignment="1">
      <alignment horizontal="center" vertical="center"/>
    </xf>
    <xf numFmtId="179" fontId="0" fillId="0" borderId="1" xfId="0" applyNumberFormat="1" applyFont="1" applyBorder="1" applyAlignment="1">
      <alignment horizontal="center" vertical="center"/>
    </xf>
    <xf numFmtId="179" fontId="0" fillId="0" borderId="1" xfId="0" applyNumberFormat="1" applyFont="1" applyBorder="1">
      <alignment vertical="center"/>
    </xf>
    <xf numFmtId="178" fontId="0" fillId="0" borderId="1" xfId="0" applyNumberFormat="1" applyFont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178" fontId="17" fillId="0" borderId="1" xfId="0" applyNumberFormat="1" applyFont="1" applyBorder="1" applyAlignment="1">
      <alignment horizontal="center" vertical="center"/>
    </xf>
    <xf numFmtId="0" fontId="17" fillId="0" borderId="0" xfId="0" applyFont="1">
      <alignment vertical="center"/>
    </xf>
    <xf numFmtId="0" fontId="0" fillId="0" borderId="1" xfId="0" applyFill="1" applyBorder="1">
      <alignment vertical="center"/>
    </xf>
    <xf numFmtId="0" fontId="0" fillId="0" borderId="1" xfId="0" applyFont="1" applyFill="1" applyBorder="1" applyAlignment="1">
      <alignment horizontal="right" vertical="center"/>
    </xf>
    <xf numFmtId="0" fontId="0" fillId="0" borderId="1" xfId="0" applyFont="1" applyFill="1" applyBorder="1">
      <alignment vertical="center"/>
    </xf>
    <xf numFmtId="0" fontId="17" fillId="0" borderId="1" xfId="0" applyFont="1" applyFill="1" applyBorder="1">
      <alignment vertical="center"/>
    </xf>
    <xf numFmtId="176" fontId="0" fillId="0" borderId="1" xfId="0" applyNumberFormat="1" applyFill="1" applyBorder="1">
      <alignment vertical="center"/>
    </xf>
    <xf numFmtId="176" fontId="0" fillId="0" borderId="1" xfId="0" applyNumberFormat="1" applyFont="1" applyBorder="1" applyAlignment="1">
      <alignment horizontal="right" vertical="center"/>
    </xf>
    <xf numFmtId="181" fontId="0" fillId="0" borderId="1" xfId="0" applyNumberFormat="1" applyBorder="1">
      <alignment vertical="center"/>
    </xf>
    <xf numFmtId="38" fontId="16" fillId="0" borderId="1" xfId="1" applyFont="1" applyBorder="1">
      <alignment vertical="center"/>
    </xf>
    <xf numFmtId="181" fontId="0" fillId="0" borderId="1" xfId="0" applyNumberFormat="1" applyBorder="1" applyAlignment="1">
      <alignment horizontal="right" vertical="center"/>
    </xf>
    <xf numFmtId="0" fontId="0" fillId="0" borderId="2" xfId="0" applyBorder="1" applyAlignment="1">
      <alignment horizontal="center" vertical="center"/>
    </xf>
    <xf numFmtId="181" fontId="0" fillId="0" borderId="1" xfId="0" applyNumberFormat="1" applyBorder="1" applyAlignment="1">
      <alignment horizontal="center" vertical="center"/>
    </xf>
    <xf numFmtId="0" fontId="0" fillId="0" borderId="2" xfId="0" applyBorder="1">
      <alignment vertical="center"/>
    </xf>
    <xf numFmtId="181" fontId="0" fillId="3" borderId="1" xfId="0" applyNumberFormat="1" applyFill="1" applyBorder="1">
      <alignment vertical="center"/>
    </xf>
    <xf numFmtId="0" fontId="0" fillId="3" borderId="0" xfId="0" applyFill="1">
      <alignment vertical="center"/>
    </xf>
    <xf numFmtId="0" fontId="0" fillId="3" borderId="2" xfId="0" applyFill="1" applyBorder="1">
      <alignment vertical="center"/>
    </xf>
    <xf numFmtId="38" fontId="16" fillId="0" borderId="1" xfId="1" applyFont="1" applyBorder="1">
      <alignment vertical="center"/>
    </xf>
    <xf numFmtId="0" fontId="17" fillId="0" borderId="2" xfId="0" applyFont="1" applyBorder="1">
      <alignment vertical="center"/>
    </xf>
    <xf numFmtId="181" fontId="0" fillId="0" borderId="4" xfId="0" applyNumberFormat="1" applyBorder="1">
      <alignment vertical="center"/>
    </xf>
    <xf numFmtId="181" fontId="0" fillId="0" borderId="0" xfId="0" applyNumberFormat="1">
      <alignment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/>
    <xf numFmtId="0" fontId="0" fillId="0" borderId="1" xfId="0" applyBorder="1" applyAlignment="1">
      <alignment horizontal="center" vertical="center"/>
    </xf>
    <xf numFmtId="0" fontId="0" fillId="0" borderId="0" xfId="0" applyFill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79" fontId="0" fillId="0" borderId="1" xfId="0" applyNumberForma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56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left" vertical="center"/>
    </xf>
    <xf numFmtId="0" fontId="18" fillId="0" borderId="1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Font="1" applyFill="1" applyBorder="1">
      <alignment vertical="center"/>
    </xf>
    <xf numFmtId="3" fontId="0" fillId="4" borderId="1" xfId="0" applyNumberForma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left" vertical="center"/>
    </xf>
    <xf numFmtId="176" fontId="0" fillId="4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ont="1" applyFill="1" applyBorder="1">
      <alignment vertical="center"/>
    </xf>
    <xf numFmtId="0" fontId="0" fillId="0" borderId="6" xfId="0" applyBorder="1" applyAlignment="1">
      <alignment horizontal="right" vertical="center"/>
    </xf>
    <xf numFmtId="3" fontId="0" fillId="0" borderId="3" xfId="0" applyNumberForma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left" vertical="center"/>
    </xf>
    <xf numFmtId="176" fontId="0" fillId="0" borderId="3" xfId="0" applyNumberFormat="1" applyBorder="1" applyAlignment="1">
      <alignment horizontal="right" vertical="center"/>
    </xf>
    <xf numFmtId="176" fontId="0" fillId="0" borderId="3" xfId="0" applyNumberFormat="1" applyFill="1" applyBorder="1" applyAlignment="1">
      <alignment horizontal="right" vertical="center"/>
    </xf>
    <xf numFmtId="0" fontId="0" fillId="0" borderId="5" xfId="0" applyBorder="1">
      <alignment vertical="center"/>
    </xf>
    <xf numFmtId="3" fontId="0" fillId="4" borderId="7" xfId="0" applyNumberFormat="1" applyFill="1" applyBorder="1" applyAlignment="1">
      <alignment horizontal="center" vertical="center"/>
    </xf>
    <xf numFmtId="3" fontId="0" fillId="4" borderId="8" xfId="0" applyNumberFormat="1" applyFill="1" applyBorder="1" applyAlignment="1">
      <alignment horizontal="center" vertical="center"/>
    </xf>
    <xf numFmtId="0" fontId="0" fillId="4" borderId="8" xfId="0" applyFont="1" applyFill="1" applyBorder="1" applyAlignment="1">
      <alignment horizontal="left" vertical="center"/>
    </xf>
    <xf numFmtId="176" fontId="0" fillId="4" borderId="8" xfId="0" applyNumberFormat="1" applyFill="1" applyBorder="1" applyAlignment="1">
      <alignment horizontal="right" vertical="center"/>
    </xf>
    <xf numFmtId="176" fontId="0" fillId="4" borderId="9" xfId="0" applyNumberFormat="1" applyFill="1" applyBorder="1" applyAlignment="1">
      <alignment horizontal="right" vertical="center"/>
    </xf>
    <xf numFmtId="3" fontId="0" fillId="4" borderId="10" xfId="0" applyNumberFormat="1" applyFill="1" applyBorder="1" applyAlignment="1">
      <alignment horizontal="center" vertical="center"/>
    </xf>
    <xf numFmtId="176" fontId="0" fillId="4" borderId="11" xfId="0" applyNumberFormat="1" applyFill="1" applyBorder="1" applyAlignment="1">
      <alignment horizontal="right" vertical="center"/>
    </xf>
    <xf numFmtId="0" fontId="0" fillId="4" borderId="10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3" xfId="0" applyFill="1" applyBorder="1">
      <alignment vertical="center"/>
    </xf>
    <xf numFmtId="0" fontId="0" fillId="4" borderId="14" xfId="0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81" fontId="0" fillId="0" borderId="1" xfId="0" applyNumberFormat="1" applyFill="1" applyBorder="1">
      <alignment vertical="center"/>
    </xf>
    <xf numFmtId="38" fontId="16" fillId="0" borderId="1" xfId="1" applyFont="1" applyFill="1" applyBorder="1">
      <alignment vertical="center"/>
    </xf>
    <xf numFmtId="38" fontId="0" fillId="0" borderId="1" xfId="0" applyNumberFormat="1" applyFill="1" applyBorder="1">
      <alignment vertical="center"/>
    </xf>
    <xf numFmtId="181" fontId="0" fillId="0" borderId="1" xfId="0" applyNumberForma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0" fontId="19" fillId="0" borderId="1" xfId="0" applyFont="1" applyFill="1" applyBorder="1">
      <alignment vertical="center"/>
    </xf>
    <xf numFmtId="0" fontId="19" fillId="0" borderId="1" xfId="0" applyFont="1" applyFill="1" applyBorder="1" applyAlignment="1">
      <alignment horizontal="right" vertical="center"/>
    </xf>
    <xf numFmtId="179" fontId="17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4" borderId="8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4" borderId="13" xfId="0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right" vertical="center"/>
    </xf>
    <xf numFmtId="0" fontId="0" fillId="0" borderId="0" xfId="0" applyFont="1" applyFill="1">
      <alignment vertical="center"/>
    </xf>
    <xf numFmtId="0" fontId="0" fillId="0" borderId="3" xfId="0" applyFont="1" applyFill="1" applyBorder="1" applyAlignment="1">
      <alignment horizontal="right" vertical="center"/>
    </xf>
    <xf numFmtId="176" fontId="0" fillId="0" borderId="3" xfId="0" applyNumberFormat="1" applyFont="1" applyFill="1" applyBorder="1" applyAlignment="1">
      <alignment horizontal="right" vertical="center"/>
    </xf>
    <xf numFmtId="0" fontId="0" fillId="0" borderId="3" xfId="0" applyFont="1" applyFill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" fillId="0" borderId="1" xfId="0" applyFont="1" applyFill="1" applyBorder="1" applyAlignment="1">
      <alignment horizontal="right" vertical="center"/>
    </xf>
    <xf numFmtId="0" fontId="0" fillId="0" borderId="3" xfId="0" applyFill="1" applyBorder="1" applyAlignment="1">
      <alignment horizontal="center" vertical="center"/>
    </xf>
    <xf numFmtId="0" fontId="0" fillId="0" borderId="3" xfId="0" applyFill="1" applyBorder="1">
      <alignment vertical="center"/>
    </xf>
    <xf numFmtId="0" fontId="17" fillId="0" borderId="3" xfId="0" applyFont="1" applyFill="1" applyBorder="1" applyAlignment="1">
      <alignment horizontal="right" vertical="center"/>
    </xf>
    <xf numFmtId="0" fontId="17" fillId="0" borderId="3" xfId="0" applyFont="1" applyFill="1" applyBorder="1" applyAlignment="1">
      <alignment horizontal="center" vertical="center"/>
    </xf>
    <xf numFmtId="56" fontId="0" fillId="0" borderId="3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Fill="1" applyBorder="1" applyAlignment="1">
      <alignment horizontal="right" vertical="center"/>
    </xf>
    <xf numFmtId="179" fontId="0" fillId="0" borderId="3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179" fontId="0" fillId="0" borderId="3" xfId="0" applyNumberFormat="1" applyFill="1" applyBorder="1" applyAlignment="1">
      <alignment horizontal="center" vertical="center"/>
    </xf>
    <xf numFmtId="0" fontId="0" fillId="0" borderId="3" xfId="0" applyFont="1" applyBorder="1">
      <alignment vertical="center"/>
    </xf>
    <xf numFmtId="179" fontId="0" fillId="0" borderId="3" xfId="0" applyNumberFormat="1" applyFont="1" applyBorder="1">
      <alignment vertical="center"/>
    </xf>
    <xf numFmtId="178" fontId="0" fillId="0" borderId="3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right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179" fontId="0" fillId="0" borderId="5" xfId="0" applyNumberFormat="1" applyFont="1" applyBorder="1" applyAlignment="1">
      <alignment horizontal="center" vertical="center"/>
    </xf>
    <xf numFmtId="0" fontId="0" fillId="0" borderId="5" xfId="0" applyFont="1" applyBorder="1">
      <alignment vertical="center"/>
    </xf>
    <xf numFmtId="179" fontId="0" fillId="0" borderId="5" xfId="0" applyNumberFormat="1" applyBorder="1">
      <alignment vertical="center"/>
    </xf>
    <xf numFmtId="178" fontId="0" fillId="0" borderId="5" xfId="0" applyNumberFormat="1" applyBorder="1" applyAlignment="1">
      <alignment horizontal="center" vertical="center"/>
    </xf>
    <xf numFmtId="38" fontId="0" fillId="0" borderId="1" xfId="0" applyNumberFormat="1" applyFill="1" applyBorder="1" applyAlignment="1">
      <alignment horizontal="right" vertical="center"/>
    </xf>
    <xf numFmtId="0" fontId="0" fillId="0" borderId="2" xfId="0" applyFill="1" applyBorder="1" applyAlignment="1">
      <alignment horizontal="center" vertical="center"/>
    </xf>
    <xf numFmtId="0" fontId="13" fillId="0" borderId="1" xfId="3" applyFill="1" applyBorder="1" applyAlignment="1">
      <alignment horizontal="center"/>
    </xf>
    <xf numFmtId="0" fontId="13" fillId="0" borderId="0" xfId="3" applyFill="1"/>
    <xf numFmtId="0" fontId="16" fillId="0" borderId="1" xfId="3" applyFont="1" applyFill="1" applyBorder="1" applyAlignment="1">
      <alignment horizontal="left"/>
    </xf>
    <xf numFmtId="49" fontId="18" fillId="0" borderId="1" xfId="0" applyNumberFormat="1" applyFont="1" applyFill="1" applyBorder="1">
      <alignment vertical="center"/>
    </xf>
    <xf numFmtId="49" fontId="21" fillId="0" borderId="1" xfId="0" applyNumberFormat="1" applyFont="1" applyFill="1" applyBorder="1" applyAlignment="1">
      <alignment horizontal="left" vertical="center"/>
    </xf>
    <xf numFmtId="0" fontId="21" fillId="0" borderId="1" xfId="0" applyFont="1" applyFill="1" applyBorder="1" applyAlignment="1">
      <alignment horizontal="center" vertical="center"/>
    </xf>
    <xf numFmtId="38" fontId="21" fillId="0" borderId="1" xfId="0" applyNumberFormat="1" applyFont="1" applyFill="1" applyBorder="1" applyAlignment="1">
      <alignment horizontal="right" vertical="center"/>
    </xf>
    <xf numFmtId="0" fontId="21" fillId="0" borderId="2" xfId="0" applyFont="1" applyFill="1" applyBorder="1" applyAlignment="1">
      <alignment horizontal="center" vertical="center"/>
    </xf>
    <xf numFmtId="0" fontId="21" fillId="0" borderId="1" xfId="0" applyFont="1" applyFill="1" applyBorder="1">
      <alignment vertical="center"/>
    </xf>
    <xf numFmtId="0" fontId="21" fillId="0" borderId="1" xfId="3" applyFont="1" applyFill="1" applyBorder="1" applyAlignment="1">
      <alignment horizontal="left" vertical="center"/>
    </xf>
    <xf numFmtId="3" fontId="21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vertical="center"/>
    </xf>
    <xf numFmtId="0" fontId="22" fillId="0" borderId="0" xfId="0" applyFont="1" applyFill="1">
      <alignment vertical="center"/>
    </xf>
    <xf numFmtId="49" fontId="21" fillId="0" borderId="3" xfId="0" applyNumberFormat="1" applyFont="1" applyFill="1" applyBorder="1" applyAlignment="1">
      <alignment horizontal="left" vertical="center"/>
    </xf>
    <xf numFmtId="0" fontId="21" fillId="0" borderId="3" xfId="0" applyFont="1" applyFill="1" applyBorder="1" applyAlignment="1">
      <alignment horizontal="center" vertical="center"/>
    </xf>
    <xf numFmtId="38" fontId="21" fillId="0" borderId="3" xfId="0" applyNumberFormat="1" applyFont="1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6" xfId="0" applyFill="1" applyBorder="1">
      <alignment vertical="center"/>
    </xf>
    <xf numFmtId="0" fontId="16" fillId="0" borderId="1" xfId="3" applyFont="1" applyFill="1" applyBorder="1"/>
    <xf numFmtId="0" fontId="13" fillId="0" borderId="1" xfId="3" applyFill="1" applyBorder="1"/>
    <xf numFmtId="0" fontId="23" fillId="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0" borderId="1" xfId="0" applyFont="1" applyFill="1" applyBorder="1">
      <alignment vertical="center"/>
    </xf>
    <xf numFmtId="0" fontId="20" fillId="0" borderId="1" xfId="0" applyFont="1" applyFill="1" applyBorder="1" applyAlignment="1">
      <alignment horizontal="right" vertical="center"/>
    </xf>
    <xf numFmtId="56" fontId="20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5" borderId="1" xfId="0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0" fillId="5" borderId="3" xfId="0" applyFont="1" applyFill="1" applyBorder="1" applyAlignment="1">
      <alignment horizontal="center" vertical="center"/>
    </xf>
    <xf numFmtId="0" fontId="0" fillId="5" borderId="15" xfId="0" applyFont="1" applyFill="1" applyBorder="1" applyAlignment="1">
      <alignment horizontal="center" vertical="center"/>
    </xf>
    <xf numFmtId="0" fontId="0" fillId="5" borderId="5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</cellXfs>
  <cellStyles count="4">
    <cellStyle name="桁区切り" xfId="1" builtinId="6"/>
    <cellStyle name="標準" xfId="0" builtinId="0"/>
    <cellStyle name="標準 2" xfId="2" xr:uid="{00000000-0005-0000-0000-000002000000}"/>
    <cellStyle name="標準_発注管理表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20"/>
  <sheetViews>
    <sheetView topLeftCell="A7" zoomScale="70" zoomScaleNormal="70" workbookViewId="0">
      <selection activeCell="E20" sqref="E20"/>
    </sheetView>
  </sheetViews>
  <sheetFormatPr defaultRowHeight="13.5" x14ac:dyDescent="0.15"/>
  <cols>
    <col min="1" max="1" width="2.625" customWidth="1"/>
    <col min="2" max="2" width="15.5" style="4" bestFit="1" customWidth="1"/>
    <col min="3" max="3" width="14.375" style="4" bestFit="1" customWidth="1"/>
    <col min="4" max="4" width="13.125" style="4" bestFit="1" customWidth="1"/>
    <col min="5" max="5" width="76.875" style="25" bestFit="1" customWidth="1"/>
    <col min="6" max="6" width="6.25" style="146" customWidth="1"/>
    <col min="7" max="8" width="12.75" style="37" customWidth="1"/>
    <col min="9" max="9" width="5.75" style="8" customWidth="1"/>
    <col min="10" max="10" width="26.75" customWidth="1"/>
    <col min="11" max="11" width="37.25" bestFit="1" customWidth="1"/>
    <col min="12" max="12" width="11" style="4" customWidth="1"/>
    <col min="13" max="13" width="13.75" style="9" customWidth="1"/>
    <col min="14" max="14" width="6.375" customWidth="1"/>
    <col min="15" max="15" width="15.875" style="4" customWidth="1"/>
    <col min="16" max="16" width="15.875" style="11" customWidth="1"/>
    <col min="17" max="17" width="15.625" style="29" customWidth="1"/>
  </cols>
  <sheetData>
    <row r="2" spans="2:17" ht="20.100000000000001" customHeight="1" x14ac:dyDescent="0.15">
      <c r="B2" s="223" t="s">
        <v>11</v>
      </c>
      <c r="C2" s="223"/>
      <c r="D2" s="223"/>
      <c r="E2" s="42" t="s">
        <v>24</v>
      </c>
      <c r="G2" s="224" t="s">
        <v>15</v>
      </c>
      <c r="H2" s="225"/>
      <c r="I2" s="226"/>
      <c r="J2" s="7">
        <f>SUM(H10:H187)</f>
        <v>82663690.00999999</v>
      </c>
      <c r="K2" s="5"/>
      <c r="L2" s="6"/>
    </row>
    <row r="3" spans="2:17" ht="20.100000000000001" customHeight="1" x14ac:dyDescent="0.15">
      <c r="B3" s="223" t="s">
        <v>10</v>
      </c>
      <c r="C3" s="223"/>
      <c r="D3" s="223"/>
      <c r="E3" s="43" t="s">
        <v>22</v>
      </c>
      <c r="G3"/>
      <c r="H3" s="4"/>
      <c r="I3" s="9"/>
      <c r="K3" s="4"/>
      <c r="L3" s="11"/>
      <c r="M3" s="29"/>
      <c r="O3"/>
      <c r="P3"/>
      <c r="Q3"/>
    </row>
    <row r="4" spans="2:17" ht="20.100000000000001" customHeight="1" x14ac:dyDescent="0.15">
      <c r="B4" s="223" t="s">
        <v>12</v>
      </c>
      <c r="C4" s="223"/>
      <c r="D4" s="223"/>
      <c r="E4" s="43">
        <v>179145</v>
      </c>
      <c r="G4" s="20"/>
      <c r="H4" s="4"/>
      <c r="I4" s="9"/>
      <c r="K4" s="4"/>
      <c r="L4" s="11"/>
      <c r="M4" s="29"/>
      <c r="O4"/>
      <c r="P4"/>
      <c r="Q4"/>
    </row>
    <row r="5" spans="2:17" ht="20.100000000000001" customHeight="1" x14ac:dyDescent="0.15">
      <c r="B5" s="223" t="s">
        <v>13</v>
      </c>
      <c r="C5" s="223"/>
      <c r="D5" s="223"/>
      <c r="E5" s="44"/>
      <c r="G5" s="20"/>
      <c r="H5" s="4"/>
      <c r="I5" s="9"/>
      <c r="K5" s="4"/>
      <c r="L5" s="11"/>
      <c r="M5" s="29"/>
      <c r="O5"/>
      <c r="P5"/>
      <c r="Q5"/>
    </row>
    <row r="6" spans="2:17" ht="20.100000000000001" customHeight="1" x14ac:dyDescent="0.15">
      <c r="B6" s="223" t="s">
        <v>14</v>
      </c>
      <c r="C6" s="223"/>
      <c r="D6" s="223"/>
      <c r="E6" s="44"/>
      <c r="G6" s="20"/>
      <c r="H6" s="4"/>
      <c r="I6" s="9"/>
      <c r="K6" s="4"/>
      <c r="L6" s="11"/>
      <c r="M6" s="29"/>
      <c r="O6"/>
      <c r="P6"/>
      <c r="Q6"/>
    </row>
    <row r="7" spans="2:17" ht="20.100000000000001" customHeight="1" x14ac:dyDescent="0.15">
      <c r="B7" s="14"/>
      <c r="C7" s="14"/>
      <c r="D7" s="14"/>
      <c r="E7" s="45"/>
      <c r="J7" s="13"/>
      <c r="K7" s="20"/>
      <c r="L7" s="15"/>
    </row>
    <row r="9" spans="2:17" s="2" customFormat="1" ht="19.5" customHeight="1" x14ac:dyDescent="0.15">
      <c r="B9" s="3" t="s">
        <v>4</v>
      </c>
      <c r="C9" s="3" t="s">
        <v>9</v>
      </c>
      <c r="D9" s="3" t="s">
        <v>5</v>
      </c>
      <c r="E9" s="38" t="s">
        <v>8</v>
      </c>
      <c r="F9" s="132" t="s">
        <v>0</v>
      </c>
      <c r="G9" s="34" t="s">
        <v>1</v>
      </c>
      <c r="H9" s="34" t="s">
        <v>2</v>
      </c>
      <c r="I9" s="132" t="s">
        <v>18</v>
      </c>
      <c r="J9" s="132" t="s">
        <v>3</v>
      </c>
      <c r="K9" s="132" t="s">
        <v>17</v>
      </c>
      <c r="L9" s="132" t="s">
        <v>16</v>
      </c>
      <c r="M9" s="10" t="s">
        <v>6</v>
      </c>
      <c r="N9" s="3" t="s">
        <v>19</v>
      </c>
      <c r="O9" s="132" t="s">
        <v>7</v>
      </c>
      <c r="P9" s="10" t="s">
        <v>20</v>
      </c>
      <c r="Q9" s="12" t="s">
        <v>21</v>
      </c>
    </row>
    <row r="10" spans="2:17" s="2" customFormat="1" ht="19.5" customHeight="1" x14ac:dyDescent="0.15">
      <c r="B10" s="32"/>
      <c r="C10" s="3" t="s">
        <v>23</v>
      </c>
      <c r="D10" s="3" t="s">
        <v>23</v>
      </c>
      <c r="E10" s="39" t="s">
        <v>64</v>
      </c>
      <c r="F10" s="148">
        <v>2</v>
      </c>
      <c r="G10" s="35">
        <f>H10/F10</f>
        <v>875000</v>
      </c>
      <c r="H10" s="35">
        <v>1750000</v>
      </c>
      <c r="I10" s="1"/>
      <c r="J10" s="46"/>
      <c r="K10" s="38" t="s">
        <v>65</v>
      </c>
      <c r="L10" s="1"/>
      <c r="M10" s="10"/>
      <c r="N10" s="3"/>
      <c r="O10" s="47"/>
      <c r="P10" s="10"/>
      <c r="Q10" s="33"/>
    </row>
    <row r="11" spans="2:17" s="2" customFormat="1" ht="19.5" customHeight="1" x14ac:dyDescent="0.15">
      <c r="B11" s="32"/>
      <c r="C11" s="3" t="s">
        <v>23</v>
      </c>
      <c r="D11" s="3" t="s">
        <v>23</v>
      </c>
      <c r="E11" s="39" t="s">
        <v>66</v>
      </c>
      <c r="F11" s="148">
        <v>3</v>
      </c>
      <c r="G11" s="35">
        <f>H11/F11</f>
        <v>763333.33333333337</v>
      </c>
      <c r="H11" s="35">
        <v>2290000</v>
      </c>
      <c r="I11" s="1"/>
      <c r="J11" s="46"/>
      <c r="K11" s="38" t="s">
        <v>67</v>
      </c>
      <c r="L11" s="1"/>
      <c r="M11" s="10"/>
      <c r="N11" s="10"/>
      <c r="O11" s="10"/>
      <c r="P11" s="10"/>
      <c r="Q11" s="33"/>
    </row>
    <row r="12" spans="2:17" s="2" customFormat="1" ht="19.5" customHeight="1" x14ac:dyDescent="0.15">
      <c r="B12" s="32"/>
      <c r="C12" s="3" t="s">
        <v>23</v>
      </c>
      <c r="D12" s="3" t="s">
        <v>23</v>
      </c>
      <c r="E12" s="39" t="s">
        <v>66</v>
      </c>
      <c r="F12" s="148">
        <v>3</v>
      </c>
      <c r="G12" s="35">
        <f>H12/F12</f>
        <v>1433333.3333333333</v>
      </c>
      <c r="H12" s="35">
        <v>4300000</v>
      </c>
      <c r="I12" s="1"/>
      <c r="J12" s="46"/>
      <c r="K12" s="38" t="s">
        <v>69</v>
      </c>
      <c r="L12" s="1"/>
      <c r="M12" s="10"/>
      <c r="N12" s="10"/>
      <c r="O12" s="10"/>
      <c r="P12" s="10"/>
      <c r="Q12" s="33"/>
    </row>
    <row r="13" spans="2:17" s="21" customFormat="1" ht="19.5" customHeight="1" x14ac:dyDescent="0.15">
      <c r="B13" s="23"/>
      <c r="C13" s="3" t="s">
        <v>23</v>
      </c>
      <c r="D13" s="3" t="s">
        <v>23</v>
      </c>
      <c r="E13" s="39" t="s">
        <v>68</v>
      </c>
      <c r="F13" s="148">
        <v>1</v>
      </c>
      <c r="G13" s="35">
        <f>H13/F13</f>
        <v>1275000</v>
      </c>
      <c r="H13" s="35">
        <v>1275000</v>
      </c>
      <c r="I13" s="24"/>
      <c r="J13" s="46"/>
      <c r="K13" s="38" t="s">
        <v>70</v>
      </c>
      <c r="L13" s="16"/>
      <c r="M13" s="19"/>
      <c r="N13" s="19"/>
      <c r="O13" s="19"/>
      <c r="P13" s="10"/>
      <c r="Q13" s="28"/>
    </row>
    <row r="14" spans="2:17" s="21" customFormat="1" ht="19.5" customHeight="1" x14ac:dyDescent="0.15">
      <c r="B14" s="23"/>
      <c r="C14" s="3" t="s">
        <v>23</v>
      </c>
      <c r="D14" s="3" t="s">
        <v>23</v>
      </c>
      <c r="E14" s="39" t="s">
        <v>785</v>
      </c>
      <c r="F14" s="147">
        <v>1</v>
      </c>
      <c r="G14" s="35">
        <v>2000</v>
      </c>
      <c r="H14" s="35">
        <v>2000</v>
      </c>
      <c r="I14" s="26"/>
      <c r="J14" s="49"/>
      <c r="K14" s="38"/>
      <c r="L14" s="16"/>
      <c r="M14" s="19">
        <v>44103</v>
      </c>
      <c r="N14" s="19"/>
      <c r="O14" s="19"/>
      <c r="P14" s="10"/>
      <c r="Q14" s="28"/>
    </row>
    <row r="15" spans="2:17" s="21" customFormat="1" ht="19.5" customHeight="1" x14ac:dyDescent="0.15">
      <c r="B15" s="23"/>
      <c r="C15" s="3"/>
      <c r="D15" s="3"/>
      <c r="E15" s="39"/>
      <c r="F15" s="148"/>
      <c r="G15" s="36"/>
      <c r="H15" s="35"/>
      <c r="I15" s="24"/>
      <c r="J15" s="46"/>
      <c r="K15" s="38"/>
      <c r="L15" s="16"/>
      <c r="M15" s="19"/>
      <c r="N15" s="19"/>
      <c r="O15" s="19"/>
      <c r="P15" s="10"/>
      <c r="Q15" s="28"/>
    </row>
    <row r="16" spans="2:17" s="21" customFormat="1" ht="19.5" customHeight="1" x14ac:dyDescent="0.15">
      <c r="B16" s="23"/>
      <c r="C16" s="3" t="s">
        <v>82</v>
      </c>
      <c r="D16" s="3"/>
      <c r="E16" s="39"/>
      <c r="F16" s="148"/>
      <c r="G16" s="36"/>
      <c r="H16" s="35">
        <v>7200000</v>
      </c>
      <c r="I16" s="24"/>
      <c r="J16" s="46"/>
      <c r="K16" s="38" t="s">
        <v>109</v>
      </c>
      <c r="L16" s="16"/>
      <c r="M16" s="19"/>
      <c r="N16" s="19"/>
      <c r="O16" s="19"/>
      <c r="P16" s="10"/>
      <c r="Q16" s="28"/>
    </row>
    <row r="17" spans="2:17" s="21" customFormat="1" ht="19.5" customHeight="1" x14ac:dyDescent="0.15">
      <c r="B17" s="23"/>
      <c r="C17" s="3" t="s">
        <v>82</v>
      </c>
      <c r="D17" s="3"/>
      <c r="E17" s="39"/>
      <c r="F17" s="148"/>
      <c r="G17" s="36"/>
      <c r="H17" s="35">
        <v>7200000</v>
      </c>
      <c r="I17" s="24"/>
      <c r="J17" s="46"/>
      <c r="K17" s="38" t="s">
        <v>109</v>
      </c>
      <c r="L17" s="16"/>
      <c r="M17" s="19"/>
      <c r="N17" s="19"/>
      <c r="O17" s="19"/>
      <c r="P17" s="10"/>
      <c r="Q17" s="28"/>
    </row>
    <row r="18" spans="2:17" s="21" customFormat="1" ht="19.5" customHeight="1" x14ac:dyDescent="0.15">
      <c r="B18" s="23"/>
      <c r="C18" s="3" t="s">
        <v>82</v>
      </c>
      <c r="D18" s="3"/>
      <c r="E18" s="39"/>
      <c r="F18" s="148"/>
      <c r="G18" s="36"/>
      <c r="H18" s="35">
        <v>1950000</v>
      </c>
      <c r="I18" s="24"/>
      <c r="J18" s="46"/>
      <c r="K18" s="38" t="s">
        <v>109</v>
      </c>
      <c r="L18" s="16"/>
      <c r="M18" s="19"/>
      <c r="N18" s="19"/>
      <c r="O18" s="19"/>
      <c r="P18" s="10"/>
      <c r="Q18" s="28"/>
    </row>
    <row r="19" spans="2:17" s="21" customFormat="1" ht="19.5" customHeight="1" x14ac:dyDescent="0.15">
      <c r="B19" s="23"/>
      <c r="C19" s="3" t="s">
        <v>82</v>
      </c>
      <c r="D19" s="3"/>
      <c r="E19" s="39"/>
      <c r="F19" s="148"/>
      <c r="G19" s="36"/>
      <c r="H19" s="35">
        <v>204000</v>
      </c>
      <c r="I19" s="24"/>
      <c r="J19" s="66">
        <f>SUM(H16:H19)</f>
        <v>16554000</v>
      </c>
      <c r="K19" s="38" t="s">
        <v>109</v>
      </c>
      <c r="L19" s="16"/>
      <c r="M19" s="19"/>
      <c r="N19" s="19"/>
      <c r="O19" s="19"/>
      <c r="P19" s="10"/>
      <c r="Q19" s="28"/>
    </row>
    <row r="20" spans="2:17" s="21" customFormat="1" ht="19.5" customHeight="1" x14ac:dyDescent="0.15">
      <c r="B20" s="23"/>
      <c r="C20" s="3"/>
      <c r="D20" s="3"/>
      <c r="E20" s="39"/>
      <c r="F20" s="148"/>
      <c r="G20" s="36"/>
      <c r="H20" s="35"/>
      <c r="I20" s="24"/>
      <c r="J20" s="66"/>
      <c r="K20" s="38"/>
      <c r="L20" s="16"/>
      <c r="M20" s="19"/>
      <c r="N20" s="19"/>
      <c r="O20" s="19"/>
      <c r="P20" s="10"/>
      <c r="Q20" s="28"/>
    </row>
    <row r="21" spans="2:17" s="21" customFormat="1" ht="19.5" customHeight="1" x14ac:dyDescent="0.15">
      <c r="B21" s="23"/>
      <c r="C21" s="3" t="s">
        <v>442</v>
      </c>
      <c r="D21" s="3" t="s">
        <v>442</v>
      </c>
      <c r="E21" s="39" t="s">
        <v>443</v>
      </c>
      <c r="F21" s="148">
        <v>4</v>
      </c>
      <c r="G21" s="36">
        <v>154000</v>
      </c>
      <c r="H21" s="35">
        <f>F21*G21</f>
        <v>616000</v>
      </c>
      <c r="I21" s="24"/>
      <c r="J21" s="66"/>
      <c r="K21" s="38"/>
      <c r="L21" s="16"/>
      <c r="M21" s="19"/>
      <c r="N21" s="19"/>
      <c r="O21" s="19"/>
      <c r="P21" s="10"/>
      <c r="Q21" s="28"/>
    </row>
    <row r="22" spans="2:17" s="21" customFormat="1" ht="19.5" customHeight="1" x14ac:dyDescent="0.15">
      <c r="B22" s="23"/>
      <c r="C22" s="3" t="s">
        <v>444</v>
      </c>
      <c r="D22" s="3" t="s">
        <v>444</v>
      </c>
      <c r="E22" s="39" t="s">
        <v>445</v>
      </c>
      <c r="F22" s="148">
        <v>4</v>
      </c>
      <c r="G22" s="36">
        <v>12500</v>
      </c>
      <c r="H22" s="35">
        <f>F22*G22</f>
        <v>50000</v>
      </c>
      <c r="I22" s="24"/>
      <c r="J22" s="66"/>
      <c r="K22" s="38"/>
      <c r="L22" s="16"/>
      <c r="M22" s="19"/>
      <c r="N22" s="19"/>
      <c r="O22" s="19"/>
      <c r="P22" s="10"/>
      <c r="Q22" s="28"/>
    </row>
    <row r="23" spans="2:17" s="21" customFormat="1" ht="19.5" customHeight="1" thickBot="1" x14ac:dyDescent="0.2">
      <c r="B23" s="23"/>
      <c r="C23" s="114"/>
      <c r="D23" s="114"/>
      <c r="E23" s="115"/>
      <c r="F23" s="149"/>
      <c r="G23" s="116"/>
      <c r="H23" s="117"/>
      <c r="I23" s="24"/>
      <c r="J23" s="46"/>
      <c r="K23" s="49"/>
      <c r="L23" s="16"/>
      <c r="M23" s="19"/>
      <c r="N23" s="19"/>
      <c r="O23" s="19"/>
      <c r="P23" s="10"/>
      <c r="Q23" s="28"/>
    </row>
    <row r="24" spans="2:17" s="25" customFormat="1" ht="19.5" customHeight="1" x14ac:dyDescent="0.15">
      <c r="B24" s="23"/>
      <c r="C24" s="119" t="s">
        <v>78</v>
      </c>
      <c r="D24" s="120"/>
      <c r="E24" s="121"/>
      <c r="F24" s="150"/>
      <c r="G24" s="122"/>
      <c r="H24" s="123">
        <f>'LINE-A'!J2</f>
        <v>5693356</v>
      </c>
      <c r="I24" s="113"/>
      <c r="J24" s="46"/>
      <c r="K24" s="38" t="s">
        <v>108</v>
      </c>
      <c r="L24" s="17"/>
      <c r="M24" s="19"/>
      <c r="N24" s="48"/>
      <c r="O24" s="19"/>
      <c r="P24" s="10"/>
      <c r="Q24" s="28"/>
    </row>
    <row r="25" spans="2:17" s="25" customFormat="1" ht="19.5" customHeight="1" x14ac:dyDescent="0.15">
      <c r="B25" s="23"/>
      <c r="C25" s="124" t="s">
        <v>79</v>
      </c>
      <c r="D25" s="108"/>
      <c r="E25" s="109"/>
      <c r="F25" s="151"/>
      <c r="G25" s="110"/>
      <c r="H25" s="125">
        <f>'LINE-B'!J2</f>
        <v>7955862.0100000007</v>
      </c>
      <c r="I25" s="113"/>
      <c r="J25" s="46"/>
      <c r="K25" s="38" t="s">
        <v>108</v>
      </c>
      <c r="L25" s="17"/>
      <c r="M25" s="19"/>
      <c r="N25" s="48"/>
      <c r="O25" s="19"/>
      <c r="P25" s="18"/>
      <c r="Q25" s="28"/>
    </row>
    <row r="26" spans="2:17" ht="19.5" customHeight="1" x14ac:dyDescent="0.15">
      <c r="B26" s="70"/>
      <c r="C26" s="126" t="s">
        <v>80</v>
      </c>
      <c r="D26" s="111"/>
      <c r="E26" s="112"/>
      <c r="F26" s="151"/>
      <c r="G26" s="110"/>
      <c r="H26" s="125">
        <f>ﾈｼﾞ締め!J2</f>
        <v>112361</v>
      </c>
      <c r="I26" s="113"/>
      <c r="J26" s="40"/>
      <c r="K26" s="38" t="s">
        <v>108</v>
      </c>
      <c r="L26" s="22"/>
      <c r="M26" s="31"/>
      <c r="N26" s="40"/>
      <c r="O26" s="22"/>
      <c r="P26" s="41"/>
      <c r="Q26" s="30"/>
    </row>
    <row r="27" spans="2:17" ht="20.100000000000001" customHeight="1" thickBot="1" x14ac:dyDescent="0.2">
      <c r="B27" s="70"/>
      <c r="C27" s="127" t="s">
        <v>81</v>
      </c>
      <c r="D27" s="128"/>
      <c r="E27" s="129"/>
      <c r="F27" s="152"/>
      <c r="G27" s="129"/>
      <c r="H27" s="130">
        <f>ﾌｧﾝﾈｼﾞ締め!J2</f>
        <v>422541</v>
      </c>
      <c r="I27" s="113"/>
      <c r="J27" s="40"/>
      <c r="K27" s="38" t="s">
        <v>108</v>
      </c>
      <c r="L27" s="22"/>
      <c r="M27" s="31"/>
      <c r="N27" s="40"/>
      <c r="O27" s="22"/>
      <c r="P27" s="41"/>
      <c r="Q27" s="30"/>
    </row>
    <row r="28" spans="2:17" ht="20.100000000000001" customHeight="1" x14ac:dyDescent="0.15">
      <c r="B28" s="22"/>
      <c r="C28" s="101"/>
      <c r="D28" s="101"/>
      <c r="E28" s="118"/>
      <c r="F28" s="153"/>
      <c r="G28" s="118"/>
      <c r="H28" s="118"/>
      <c r="I28" s="24"/>
      <c r="J28" s="40"/>
      <c r="K28" s="38"/>
      <c r="L28" s="22"/>
      <c r="M28" s="31"/>
      <c r="N28" s="40"/>
      <c r="O28" s="22"/>
      <c r="P28" s="41"/>
      <c r="Q28" s="30"/>
    </row>
    <row r="29" spans="2:17" ht="19.5" customHeight="1" x14ac:dyDescent="0.15">
      <c r="B29" s="22"/>
      <c r="C29" s="22" t="s">
        <v>148</v>
      </c>
      <c r="D29" s="22" t="s">
        <v>149</v>
      </c>
      <c r="E29" s="40" t="s">
        <v>126</v>
      </c>
      <c r="F29" s="148">
        <v>4</v>
      </c>
      <c r="G29" s="67">
        <v>6880</v>
      </c>
      <c r="H29" s="67">
        <f t="shared" ref="H29:H92" si="0">G29*F29</f>
        <v>27520</v>
      </c>
      <c r="I29" s="24"/>
      <c r="J29" s="40"/>
      <c r="K29" s="40"/>
      <c r="L29" s="22"/>
      <c r="M29" s="31">
        <v>44046</v>
      </c>
      <c r="N29" s="40"/>
      <c r="O29" s="22"/>
      <c r="P29" s="41"/>
      <c r="Q29" s="30"/>
    </row>
    <row r="30" spans="2:17" ht="19.5" customHeight="1" x14ac:dyDescent="0.15">
      <c r="B30" s="22"/>
      <c r="C30" s="22" t="s">
        <v>148</v>
      </c>
      <c r="D30" s="22" t="s">
        <v>149</v>
      </c>
      <c r="E30" s="40" t="s">
        <v>127</v>
      </c>
      <c r="F30" s="148">
        <v>2</v>
      </c>
      <c r="G30" s="67">
        <v>14770</v>
      </c>
      <c r="H30" s="67">
        <f t="shared" si="0"/>
        <v>29540</v>
      </c>
      <c r="I30" s="24"/>
      <c r="J30" s="40"/>
      <c r="K30" s="40"/>
      <c r="L30" s="22"/>
      <c r="M30" s="31">
        <v>44046</v>
      </c>
      <c r="N30" s="40"/>
      <c r="O30" s="22"/>
      <c r="P30" s="41"/>
      <c r="Q30" s="30"/>
    </row>
    <row r="31" spans="2:17" ht="19.5" customHeight="1" x14ac:dyDescent="0.15">
      <c r="B31" s="22"/>
      <c r="C31" s="22" t="s">
        <v>148</v>
      </c>
      <c r="D31" s="22" t="s">
        <v>149</v>
      </c>
      <c r="E31" s="40" t="s">
        <v>128</v>
      </c>
      <c r="F31" s="148">
        <v>2</v>
      </c>
      <c r="G31" s="67">
        <v>32300</v>
      </c>
      <c r="H31" s="67">
        <f t="shared" si="0"/>
        <v>64600</v>
      </c>
      <c r="I31" s="24"/>
      <c r="J31" s="40"/>
      <c r="K31" s="40"/>
      <c r="L31" s="22"/>
      <c r="M31" s="31">
        <v>44046</v>
      </c>
      <c r="N31" s="40"/>
      <c r="O31" s="22"/>
      <c r="P31" s="41"/>
      <c r="Q31" s="30"/>
    </row>
    <row r="32" spans="2:17" ht="19.5" customHeight="1" x14ac:dyDescent="0.15">
      <c r="B32" s="22"/>
      <c r="C32" s="22" t="s">
        <v>148</v>
      </c>
      <c r="D32" s="22" t="s">
        <v>149</v>
      </c>
      <c r="E32" s="40" t="s">
        <v>129</v>
      </c>
      <c r="F32" s="148">
        <v>1</v>
      </c>
      <c r="G32" s="67">
        <v>43630</v>
      </c>
      <c r="H32" s="67">
        <f t="shared" si="0"/>
        <v>43630</v>
      </c>
      <c r="I32" s="24"/>
      <c r="J32" s="40"/>
      <c r="K32" s="40"/>
      <c r="L32" s="22"/>
      <c r="M32" s="31">
        <v>44046</v>
      </c>
      <c r="N32" s="40"/>
      <c r="O32" s="22"/>
      <c r="P32" s="41"/>
      <c r="Q32" s="30"/>
    </row>
    <row r="33" spans="2:17" ht="19.5" customHeight="1" x14ac:dyDescent="0.15">
      <c r="B33" s="22"/>
      <c r="C33" s="22" t="s">
        <v>148</v>
      </c>
      <c r="D33" s="22" t="s">
        <v>149</v>
      </c>
      <c r="E33" s="40" t="s">
        <v>130</v>
      </c>
      <c r="F33" s="148">
        <v>5</v>
      </c>
      <c r="G33" s="67">
        <v>6970</v>
      </c>
      <c r="H33" s="67">
        <f t="shared" si="0"/>
        <v>34850</v>
      </c>
      <c r="I33" s="24"/>
      <c r="J33" s="40"/>
      <c r="K33" s="40"/>
      <c r="L33" s="22"/>
      <c r="M33" s="31">
        <v>44046</v>
      </c>
      <c r="N33" s="40"/>
      <c r="O33" s="22"/>
      <c r="P33" s="41"/>
      <c r="Q33" s="30"/>
    </row>
    <row r="34" spans="2:17" ht="19.5" customHeight="1" x14ac:dyDescent="0.15">
      <c r="B34" s="22"/>
      <c r="C34" s="22" t="s">
        <v>148</v>
      </c>
      <c r="D34" s="22" t="s">
        <v>149</v>
      </c>
      <c r="E34" s="40" t="s">
        <v>131</v>
      </c>
      <c r="F34" s="148">
        <v>1</v>
      </c>
      <c r="G34" s="67">
        <v>4530</v>
      </c>
      <c r="H34" s="67">
        <f t="shared" si="0"/>
        <v>4530</v>
      </c>
      <c r="I34" s="24"/>
      <c r="J34" s="40"/>
      <c r="K34" s="40"/>
      <c r="L34" s="22"/>
      <c r="M34" s="31">
        <v>44046</v>
      </c>
      <c r="N34" s="40"/>
      <c r="O34" s="22"/>
      <c r="P34" s="41"/>
      <c r="Q34" s="30"/>
    </row>
    <row r="35" spans="2:17" ht="19.5" customHeight="1" x14ac:dyDescent="0.15">
      <c r="B35" s="22"/>
      <c r="C35" s="22" t="s">
        <v>148</v>
      </c>
      <c r="D35" s="22" t="s">
        <v>149</v>
      </c>
      <c r="E35" s="40" t="s">
        <v>132</v>
      </c>
      <c r="F35" s="148">
        <v>4</v>
      </c>
      <c r="G35" s="67">
        <v>420</v>
      </c>
      <c r="H35" s="67">
        <f t="shared" si="0"/>
        <v>1680</v>
      </c>
      <c r="I35" s="24"/>
      <c r="J35" s="40"/>
      <c r="K35" s="40"/>
      <c r="L35" s="22"/>
      <c r="M35" s="31">
        <v>44046</v>
      </c>
      <c r="N35" s="40"/>
      <c r="O35" s="22"/>
      <c r="P35" s="41"/>
      <c r="Q35" s="30"/>
    </row>
    <row r="36" spans="2:17" ht="19.5" customHeight="1" x14ac:dyDescent="0.15">
      <c r="B36" s="22"/>
      <c r="C36" s="22" t="s">
        <v>148</v>
      </c>
      <c r="D36" s="22" t="s">
        <v>149</v>
      </c>
      <c r="E36" s="27" t="s">
        <v>150</v>
      </c>
      <c r="F36" s="148">
        <v>1</v>
      </c>
      <c r="G36" s="67">
        <v>1560</v>
      </c>
      <c r="H36" s="67">
        <f t="shared" si="0"/>
        <v>1560</v>
      </c>
      <c r="I36" s="24"/>
      <c r="J36" s="40"/>
      <c r="K36" s="40"/>
      <c r="L36" s="22"/>
      <c r="M36" s="31">
        <v>44046</v>
      </c>
      <c r="N36" s="40"/>
      <c r="O36" s="22"/>
      <c r="P36" s="41"/>
      <c r="Q36" s="30"/>
    </row>
    <row r="37" spans="2:17" ht="19.5" customHeight="1" x14ac:dyDescent="0.15">
      <c r="B37" s="22"/>
      <c r="C37" s="22" t="s">
        <v>148</v>
      </c>
      <c r="D37" s="22" t="s">
        <v>149</v>
      </c>
      <c r="E37" s="27" t="s">
        <v>133</v>
      </c>
      <c r="F37" s="148">
        <v>1</v>
      </c>
      <c r="G37" s="67">
        <v>5460</v>
      </c>
      <c r="H37" s="67">
        <f t="shared" si="0"/>
        <v>5460</v>
      </c>
      <c r="I37" s="24"/>
      <c r="J37" s="40"/>
      <c r="K37" s="40"/>
      <c r="L37" s="22"/>
      <c r="M37" s="31">
        <v>44046</v>
      </c>
      <c r="N37" s="40"/>
      <c r="O37" s="22"/>
      <c r="P37" s="41"/>
      <c r="Q37" s="30"/>
    </row>
    <row r="38" spans="2:17" ht="19.5" customHeight="1" x14ac:dyDescent="0.15">
      <c r="B38" s="22"/>
      <c r="C38" s="22" t="s">
        <v>148</v>
      </c>
      <c r="D38" s="22" t="s">
        <v>149</v>
      </c>
      <c r="E38" s="27" t="s">
        <v>129</v>
      </c>
      <c r="F38" s="148">
        <v>1</v>
      </c>
      <c r="G38" s="67">
        <v>43630</v>
      </c>
      <c r="H38" s="67">
        <f t="shared" si="0"/>
        <v>43630</v>
      </c>
      <c r="I38" s="24"/>
      <c r="J38" s="40"/>
      <c r="K38" s="40"/>
      <c r="L38" s="22"/>
      <c r="M38" s="31">
        <v>44046</v>
      </c>
      <c r="N38" s="40"/>
      <c r="O38" s="22"/>
      <c r="P38" s="41"/>
      <c r="Q38" s="30"/>
    </row>
    <row r="39" spans="2:17" ht="19.5" customHeight="1" x14ac:dyDescent="0.15">
      <c r="B39" s="22"/>
      <c r="C39" s="22" t="s">
        <v>148</v>
      </c>
      <c r="D39" s="22" t="s">
        <v>149</v>
      </c>
      <c r="E39" s="27" t="s">
        <v>130</v>
      </c>
      <c r="F39" s="148">
        <v>4</v>
      </c>
      <c r="G39" s="67">
        <v>6970</v>
      </c>
      <c r="H39" s="67">
        <f t="shared" si="0"/>
        <v>27880</v>
      </c>
      <c r="I39" s="24"/>
      <c r="J39" s="40"/>
      <c r="K39" s="40"/>
      <c r="L39" s="22"/>
      <c r="M39" s="31">
        <v>44046</v>
      </c>
      <c r="N39" s="40"/>
      <c r="O39" s="22"/>
      <c r="P39" s="41"/>
      <c r="Q39" s="30"/>
    </row>
    <row r="40" spans="2:17" ht="19.5" customHeight="1" x14ac:dyDescent="0.15">
      <c r="B40" s="22"/>
      <c r="C40" s="22" t="s">
        <v>148</v>
      </c>
      <c r="D40" s="22" t="s">
        <v>149</v>
      </c>
      <c r="E40" s="27" t="s">
        <v>131</v>
      </c>
      <c r="F40" s="148">
        <v>1</v>
      </c>
      <c r="G40" s="67">
        <v>4530</v>
      </c>
      <c r="H40" s="67">
        <f t="shared" si="0"/>
        <v>4530</v>
      </c>
      <c r="I40" s="24"/>
      <c r="J40" s="40"/>
      <c r="K40" s="40"/>
      <c r="L40" s="22"/>
      <c r="M40" s="31">
        <v>44046</v>
      </c>
      <c r="N40" s="40"/>
      <c r="O40" s="22"/>
      <c r="P40" s="41"/>
      <c r="Q40" s="30"/>
    </row>
    <row r="41" spans="2:17" ht="19.5" customHeight="1" x14ac:dyDescent="0.15">
      <c r="B41" s="22"/>
      <c r="C41" s="22" t="s">
        <v>148</v>
      </c>
      <c r="D41" s="22" t="s">
        <v>149</v>
      </c>
      <c r="E41" s="27" t="s">
        <v>132</v>
      </c>
      <c r="F41" s="148">
        <v>5</v>
      </c>
      <c r="G41" s="67">
        <v>420</v>
      </c>
      <c r="H41" s="67">
        <f t="shared" si="0"/>
        <v>2100</v>
      </c>
      <c r="I41" s="24"/>
      <c r="J41" s="40"/>
      <c r="K41" s="40"/>
      <c r="L41" s="22"/>
      <c r="M41" s="31">
        <v>44046</v>
      </c>
      <c r="N41" s="40"/>
      <c r="O41" s="22"/>
      <c r="P41" s="41"/>
      <c r="Q41" s="30"/>
    </row>
    <row r="42" spans="2:17" ht="19.5" customHeight="1" x14ac:dyDescent="0.15">
      <c r="B42" s="22"/>
      <c r="C42" s="22" t="s">
        <v>148</v>
      </c>
      <c r="D42" s="22" t="s">
        <v>149</v>
      </c>
      <c r="E42" s="27" t="s">
        <v>151</v>
      </c>
      <c r="F42" s="148">
        <v>1</v>
      </c>
      <c r="G42" s="67">
        <v>1560</v>
      </c>
      <c r="H42" s="67">
        <f t="shared" si="0"/>
        <v>1560</v>
      </c>
      <c r="I42" s="24"/>
      <c r="J42" s="40"/>
      <c r="K42" s="40"/>
      <c r="L42" s="22"/>
      <c r="M42" s="31">
        <v>44046</v>
      </c>
      <c r="N42" s="40"/>
      <c r="O42" s="22"/>
      <c r="P42" s="41"/>
      <c r="Q42" s="30"/>
    </row>
    <row r="43" spans="2:17" ht="19.5" customHeight="1" x14ac:dyDescent="0.15">
      <c r="B43" s="22"/>
      <c r="C43" s="22" t="s">
        <v>148</v>
      </c>
      <c r="D43" s="22" t="s">
        <v>149</v>
      </c>
      <c r="E43" s="27" t="s">
        <v>134</v>
      </c>
      <c r="F43" s="148">
        <v>1</v>
      </c>
      <c r="G43" s="67">
        <v>5460</v>
      </c>
      <c r="H43" s="67">
        <f t="shared" si="0"/>
        <v>5460</v>
      </c>
      <c r="I43" s="24"/>
      <c r="J43" s="40"/>
      <c r="K43" s="40"/>
      <c r="L43" s="22"/>
      <c r="M43" s="31">
        <v>44046</v>
      </c>
      <c r="N43" s="40"/>
      <c r="O43" s="22"/>
      <c r="P43" s="41"/>
      <c r="Q43" s="30"/>
    </row>
    <row r="44" spans="2:17" ht="19.5" customHeight="1" x14ac:dyDescent="0.15">
      <c r="B44" s="22"/>
      <c r="C44" s="22" t="s">
        <v>148</v>
      </c>
      <c r="D44" s="22" t="s">
        <v>149</v>
      </c>
      <c r="E44" s="27" t="s">
        <v>129</v>
      </c>
      <c r="F44" s="148">
        <v>1</v>
      </c>
      <c r="G44" s="67">
        <v>43630</v>
      </c>
      <c r="H44" s="68">
        <f t="shared" si="0"/>
        <v>43630</v>
      </c>
      <c r="I44" s="24"/>
      <c r="J44" s="40"/>
      <c r="K44" s="40"/>
      <c r="L44" s="22"/>
      <c r="M44" s="31">
        <v>44046</v>
      </c>
      <c r="N44" s="40"/>
      <c r="O44" s="22"/>
      <c r="P44" s="41"/>
      <c r="Q44" s="30"/>
    </row>
    <row r="45" spans="2:17" ht="19.5" customHeight="1" x14ac:dyDescent="0.15">
      <c r="B45" s="22"/>
      <c r="C45" s="22" t="s">
        <v>148</v>
      </c>
      <c r="D45" s="22" t="s">
        <v>149</v>
      </c>
      <c r="E45" s="27" t="s">
        <v>130</v>
      </c>
      <c r="F45" s="148">
        <v>9</v>
      </c>
      <c r="G45" s="67">
        <v>6970</v>
      </c>
      <c r="H45" s="68">
        <f t="shared" si="0"/>
        <v>62730</v>
      </c>
      <c r="I45" s="24"/>
      <c r="J45" s="40"/>
      <c r="K45" s="40"/>
      <c r="L45" s="22"/>
      <c r="M45" s="31">
        <v>44046</v>
      </c>
      <c r="N45" s="40"/>
      <c r="O45" s="22"/>
      <c r="P45" s="41"/>
      <c r="Q45" s="30"/>
    </row>
    <row r="46" spans="2:17" ht="19.5" customHeight="1" x14ac:dyDescent="0.15">
      <c r="B46" s="22"/>
      <c r="C46" s="22" t="s">
        <v>148</v>
      </c>
      <c r="D46" s="22" t="s">
        <v>149</v>
      </c>
      <c r="E46" s="27" t="s">
        <v>132</v>
      </c>
      <c r="F46" s="148">
        <v>1</v>
      </c>
      <c r="G46" s="67">
        <v>420</v>
      </c>
      <c r="H46" s="68">
        <f t="shared" si="0"/>
        <v>420</v>
      </c>
      <c r="I46" s="24"/>
      <c r="J46" s="40"/>
      <c r="K46" s="40"/>
      <c r="L46" s="22"/>
      <c r="M46" s="31">
        <v>44046</v>
      </c>
      <c r="N46" s="40"/>
      <c r="O46" s="22"/>
      <c r="P46" s="41"/>
      <c r="Q46" s="30"/>
    </row>
    <row r="47" spans="2:17" ht="19.5" customHeight="1" x14ac:dyDescent="0.15">
      <c r="B47" s="22"/>
      <c r="C47" s="22" t="s">
        <v>148</v>
      </c>
      <c r="D47" s="22" t="s">
        <v>149</v>
      </c>
      <c r="E47" s="27" t="s">
        <v>150</v>
      </c>
      <c r="F47" s="148">
        <v>1</v>
      </c>
      <c r="G47" s="67">
        <v>1560</v>
      </c>
      <c r="H47" s="68">
        <f t="shared" si="0"/>
        <v>1560</v>
      </c>
      <c r="I47" s="24"/>
      <c r="J47" s="40"/>
      <c r="K47" s="40"/>
      <c r="L47" s="22"/>
      <c r="M47" s="31">
        <v>44046</v>
      </c>
      <c r="N47" s="40"/>
      <c r="O47" s="22"/>
      <c r="P47" s="41"/>
      <c r="Q47" s="30"/>
    </row>
    <row r="48" spans="2:17" ht="19.5" customHeight="1" x14ac:dyDescent="0.15">
      <c r="B48" s="22"/>
      <c r="C48" s="22" t="s">
        <v>148</v>
      </c>
      <c r="D48" s="22" t="s">
        <v>149</v>
      </c>
      <c r="E48" s="27" t="s">
        <v>133</v>
      </c>
      <c r="F48" s="148">
        <v>1</v>
      </c>
      <c r="G48" s="67">
        <v>5460</v>
      </c>
      <c r="H48" s="68">
        <f t="shared" si="0"/>
        <v>5460</v>
      </c>
      <c r="I48" s="24"/>
      <c r="J48" s="40"/>
      <c r="K48" s="40"/>
      <c r="L48" s="22"/>
      <c r="M48" s="31">
        <v>44046</v>
      </c>
      <c r="N48" s="40"/>
      <c r="O48" s="22"/>
      <c r="P48" s="41"/>
      <c r="Q48" s="30"/>
    </row>
    <row r="49" spans="2:17" ht="19.5" customHeight="1" x14ac:dyDescent="0.15">
      <c r="B49" s="22"/>
      <c r="C49" s="22" t="s">
        <v>148</v>
      </c>
      <c r="D49" s="22" t="s">
        <v>149</v>
      </c>
      <c r="E49" s="27" t="s">
        <v>129</v>
      </c>
      <c r="F49" s="148">
        <v>1</v>
      </c>
      <c r="G49" s="67">
        <v>43630</v>
      </c>
      <c r="H49" s="68">
        <f t="shared" si="0"/>
        <v>43630</v>
      </c>
      <c r="I49" s="24"/>
      <c r="J49" s="40"/>
      <c r="K49" s="40"/>
      <c r="L49" s="22"/>
      <c r="M49" s="31">
        <v>44046</v>
      </c>
      <c r="N49" s="40"/>
      <c r="O49" s="22"/>
      <c r="P49" s="41"/>
      <c r="Q49" s="30"/>
    </row>
    <row r="50" spans="2:17" ht="19.5" customHeight="1" x14ac:dyDescent="0.15">
      <c r="B50" s="22"/>
      <c r="C50" s="22" t="s">
        <v>148</v>
      </c>
      <c r="D50" s="22" t="s">
        <v>149</v>
      </c>
      <c r="E50" s="27" t="s">
        <v>130</v>
      </c>
      <c r="F50" s="148">
        <v>8</v>
      </c>
      <c r="G50" s="67">
        <v>6970</v>
      </c>
      <c r="H50" s="68">
        <f t="shared" si="0"/>
        <v>55760</v>
      </c>
      <c r="I50" s="24"/>
      <c r="J50" s="40"/>
      <c r="K50" s="40"/>
      <c r="L50" s="22"/>
      <c r="M50" s="31">
        <v>44046</v>
      </c>
      <c r="N50" s="40"/>
      <c r="O50" s="22"/>
      <c r="P50" s="41"/>
      <c r="Q50" s="30"/>
    </row>
    <row r="51" spans="2:17" ht="19.5" customHeight="1" x14ac:dyDescent="0.15">
      <c r="B51" s="22"/>
      <c r="C51" s="22" t="s">
        <v>148</v>
      </c>
      <c r="D51" s="22" t="s">
        <v>149</v>
      </c>
      <c r="E51" s="27" t="s">
        <v>132</v>
      </c>
      <c r="F51" s="148">
        <v>2</v>
      </c>
      <c r="G51" s="67">
        <v>420</v>
      </c>
      <c r="H51" s="68">
        <f t="shared" si="0"/>
        <v>840</v>
      </c>
      <c r="I51" s="24"/>
      <c r="J51" s="40"/>
      <c r="K51" s="40"/>
      <c r="L51" s="22"/>
      <c r="M51" s="31">
        <v>44046</v>
      </c>
      <c r="N51" s="40"/>
      <c r="O51" s="22"/>
      <c r="P51" s="41"/>
      <c r="Q51" s="30"/>
    </row>
    <row r="52" spans="2:17" ht="19.5" customHeight="1" x14ac:dyDescent="0.15">
      <c r="B52" s="22"/>
      <c r="C52" s="22" t="s">
        <v>148</v>
      </c>
      <c r="D52" s="22" t="s">
        <v>149</v>
      </c>
      <c r="E52" s="27" t="s">
        <v>151</v>
      </c>
      <c r="F52" s="148">
        <v>1</v>
      </c>
      <c r="G52" s="67">
        <v>1560</v>
      </c>
      <c r="H52" s="68">
        <f t="shared" si="0"/>
        <v>1560</v>
      </c>
      <c r="I52" s="24"/>
      <c r="J52" s="40"/>
      <c r="K52" s="40"/>
      <c r="L52" s="22"/>
      <c r="M52" s="31">
        <v>44046</v>
      </c>
      <c r="N52" s="40"/>
      <c r="O52" s="22"/>
      <c r="P52" s="41"/>
      <c r="Q52" s="30"/>
    </row>
    <row r="53" spans="2:17" ht="19.5" customHeight="1" x14ac:dyDescent="0.15">
      <c r="B53" s="22"/>
      <c r="C53" s="22" t="s">
        <v>148</v>
      </c>
      <c r="D53" s="22" t="s">
        <v>149</v>
      </c>
      <c r="E53" s="27" t="s">
        <v>134</v>
      </c>
      <c r="F53" s="148">
        <v>1</v>
      </c>
      <c r="G53" s="67">
        <v>5460</v>
      </c>
      <c r="H53" s="68">
        <f t="shared" si="0"/>
        <v>5460</v>
      </c>
      <c r="I53" s="24"/>
      <c r="J53" s="40"/>
      <c r="K53" s="40"/>
      <c r="L53" s="22"/>
      <c r="M53" s="31">
        <v>44046</v>
      </c>
      <c r="N53" s="40"/>
      <c r="O53" s="22"/>
      <c r="P53" s="41"/>
      <c r="Q53" s="30"/>
    </row>
    <row r="54" spans="2:17" ht="19.5" customHeight="1" x14ac:dyDescent="0.15">
      <c r="B54" s="22"/>
      <c r="C54" s="22" t="s">
        <v>148</v>
      </c>
      <c r="D54" s="22" t="s">
        <v>149</v>
      </c>
      <c r="E54" s="40" t="s">
        <v>135</v>
      </c>
      <c r="F54" s="148">
        <v>2</v>
      </c>
      <c r="G54" s="67">
        <v>13990</v>
      </c>
      <c r="H54" s="68">
        <f t="shared" si="0"/>
        <v>27980</v>
      </c>
      <c r="I54" s="24"/>
      <c r="J54" s="40"/>
      <c r="K54" s="40"/>
      <c r="L54" s="22"/>
      <c r="M54" s="31">
        <v>44046</v>
      </c>
      <c r="N54" s="40"/>
      <c r="O54" s="22"/>
      <c r="P54" s="41"/>
      <c r="Q54" s="30"/>
    </row>
    <row r="55" spans="2:17" ht="19.5" customHeight="1" x14ac:dyDescent="0.15">
      <c r="B55" s="22"/>
      <c r="C55" s="22" t="s">
        <v>148</v>
      </c>
      <c r="D55" s="22" t="s">
        <v>149</v>
      </c>
      <c r="E55" s="40" t="s">
        <v>136</v>
      </c>
      <c r="F55" s="148">
        <v>34</v>
      </c>
      <c r="G55" s="67">
        <v>1980</v>
      </c>
      <c r="H55" s="68">
        <f t="shared" si="0"/>
        <v>67320</v>
      </c>
      <c r="I55" s="24"/>
      <c r="J55" s="40"/>
      <c r="K55" s="40"/>
      <c r="L55" s="22"/>
      <c r="M55" s="31">
        <v>44046</v>
      </c>
      <c r="N55" s="40"/>
      <c r="O55" s="22"/>
      <c r="P55" s="41"/>
      <c r="Q55" s="30"/>
    </row>
    <row r="56" spans="2:17" ht="19.5" customHeight="1" x14ac:dyDescent="0.15">
      <c r="B56" s="22"/>
      <c r="C56" s="22" t="s">
        <v>148</v>
      </c>
      <c r="D56" s="22" t="s">
        <v>149</v>
      </c>
      <c r="E56" s="40" t="s">
        <v>137</v>
      </c>
      <c r="F56" s="148">
        <v>6</v>
      </c>
      <c r="G56" s="69">
        <v>11210</v>
      </c>
      <c r="H56" s="69">
        <f t="shared" si="0"/>
        <v>67260</v>
      </c>
      <c r="I56" s="24"/>
      <c r="J56" s="40"/>
      <c r="K56" s="40"/>
      <c r="L56" s="22"/>
      <c r="M56" s="31">
        <v>44046</v>
      </c>
      <c r="N56" s="40"/>
      <c r="O56" s="22"/>
      <c r="P56" s="41"/>
      <c r="Q56" s="30"/>
    </row>
    <row r="57" spans="2:17" ht="19.5" customHeight="1" x14ac:dyDescent="0.15">
      <c r="B57" s="22"/>
      <c r="C57" s="22" t="s">
        <v>148</v>
      </c>
      <c r="D57" s="22" t="s">
        <v>149</v>
      </c>
      <c r="E57" s="40" t="s">
        <v>138</v>
      </c>
      <c r="F57" s="148">
        <v>6</v>
      </c>
      <c r="G57" s="69">
        <v>11210</v>
      </c>
      <c r="H57" s="69">
        <f t="shared" si="0"/>
        <v>67260</v>
      </c>
      <c r="I57" s="24"/>
      <c r="J57" s="40"/>
      <c r="K57" s="40"/>
      <c r="L57" s="22"/>
      <c r="M57" s="31">
        <v>44046</v>
      </c>
      <c r="N57" s="40"/>
      <c r="O57" s="22"/>
      <c r="P57" s="41"/>
      <c r="Q57" s="30"/>
    </row>
    <row r="58" spans="2:17" ht="19.5" customHeight="1" x14ac:dyDescent="0.15">
      <c r="B58" s="22"/>
      <c r="C58" s="22" t="s">
        <v>148</v>
      </c>
      <c r="D58" s="22" t="s">
        <v>149</v>
      </c>
      <c r="E58" s="40" t="s">
        <v>139</v>
      </c>
      <c r="F58" s="148">
        <v>2</v>
      </c>
      <c r="G58" s="67">
        <v>39990</v>
      </c>
      <c r="H58" s="69">
        <f t="shared" si="0"/>
        <v>79980</v>
      </c>
      <c r="I58" s="24"/>
      <c r="J58" s="40"/>
      <c r="K58" s="40"/>
      <c r="L58" s="22"/>
      <c r="M58" s="31">
        <v>44046</v>
      </c>
      <c r="N58" s="40"/>
      <c r="O58" s="22"/>
      <c r="P58" s="41"/>
      <c r="Q58" s="30"/>
    </row>
    <row r="59" spans="2:17" ht="19.5" customHeight="1" x14ac:dyDescent="0.15">
      <c r="B59" s="22"/>
      <c r="C59" s="22" t="s">
        <v>148</v>
      </c>
      <c r="D59" s="22" t="s">
        <v>149</v>
      </c>
      <c r="E59" s="40" t="s">
        <v>140</v>
      </c>
      <c r="F59" s="148">
        <v>2</v>
      </c>
      <c r="G59" s="67">
        <v>16960</v>
      </c>
      <c r="H59" s="69">
        <f t="shared" si="0"/>
        <v>33920</v>
      </c>
      <c r="I59" s="24"/>
      <c r="J59" s="40"/>
      <c r="K59" s="40"/>
      <c r="L59" s="22"/>
      <c r="M59" s="31">
        <v>44046</v>
      </c>
      <c r="N59" s="40"/>
      <c r="O59" s="22"/>
      <c r="P59" s="41"/>
      <c r="Q59" s="30"/>
    </row>
    <row r="60" spans="2:17" ht="19.5" customHeight="1" x14ac:dyDescent="0.15">
      <c r="B60" s="22"/>
      <c r="C60" s="22" t="s">
        <v>148</v>
      </c>
      <c r="D60" s="22" t="s">
        <v>149</v>
      </c>
      <c r="E60" s="40" t="s">
        <v>141</v>
      </c>
      <c r="F60" s="148">
        <v>2</v>
      </c>
      <c r="G60" s="67">
        <v>3070</v>
      </c>
      <c r="H60" s="69">
        <f t="shared" si="0"/>
        <v>6140</v>
      </c>
      <c r="I60" s="24"/>
      <c r="J60" s="40"/>
      <c r="K60" s="40"/>
      <c r="L60" s="22"/>
      <c r="M60" s="31">
        <v>44046</v>
      </c>
      <c r="N60" s="40"/>
      <c r="O60" s="22"/>
      <c r="P60" s="41"/>
      <c r="Q60" s="30"/>
    </row>
    <row r="61" spans="2:17" ht="19.5" customHeight="1" x14ac:dyDescent="0.15">
      <c r="B61" s="22"/>
      <c r="C61" s="22" t="s">
        <v>148</v>
      </c>
      <c r="D61" s="22" t="s">
        <v>149</v>
      </c>
      <c r="E61" s="40" t="s">
        <v>142</v>
      </c>
      <c r="F61" s="148">
        <v>8</v>
      </c>
      <c r="G61" s="67">
        <v>4680</v>
      </c>
      <c r="H61" s="69">
        <f t="shared" si="0"/>
        <v>37440</v>
      </c>
      <c r="I61" s="24"/>
      <c r="J61" s="40"/>
      <c r="K61" s="40"/>
      <c r="L61" s="22"/>
      <c r="M61" s="31">
        <v>44046</v>
      </c>
      <c r="N61" s="40"/>
      <c r="O61" s="22"/>
      <c r="P61" s="41"/>
      <c r="Q61" s="30"/>
    </row>
    <row r="62" spans="2:17" ht="19.5" customHeight="1" x14ac:dyDescent="0.15">
      <c r="B62" s="22"/>
      <c r="C62" s="22" t="s">
        <v>148</v>
      </c>
      <c r="D62" s="22" t="s">
        <v>149</v>
      </c>
      <c r="E62" s="40" t="s">
        <v>143</v>
      </c>
      <c r="F62" s="148">
        <v>2</v>
      </c>
      <c r="G62" s="67">
        <v>210</v>
      </c>
      <c r="H62" s="69">
        <f t="shared" si="0"/>
        <v>420</v>
      </c>
      <c r="I62" s="24"/>
      <c r="J62" s="40"/>
      <c r="K62" s="40"/>
      <c r="L62" s="22"/>
      <c r="M62" s="31">
        <v>44046</v>
      </c>
      <c r="N62" s="40"/>
      <c r="O62" s="22"/>
      <c r="P62" s="41"/>
      <c r="Q62" s="30"/>
    </row>
    <row r="63" spans="2:17" ht="19.5" customHeight="1" x14ac:dyDescent="0.15">
      <c r="B63" s="22"/>
      <c r="C63" s="22" t="s">
        <v>148</v>
      </c>
      <c r="D63" s="22" t="s">
        <v>149</v>
      </c>
      <c r="E63" s="40" t="s">
        <v>144</v>
      </c>
      <c r="F63" s="148">
        <v>2</v>
      </c>
      <c r="G63" s="67">
        <v>9570</v>
      </c>
      <c r="H63" s="67">
        <f t="shared" si="0"/>
        <v>19140</v>
      </c>
      <c r="I63" s="24"/>
      <c r="J63" s="40"/>
      <c r="K63" s="40"/>
      <c r="L63" s="22"/>
      <c r="M63" s="31">
        <v>44046</v>
      </c>
      <c r="N63" s="40"/>
      <c r="O63" s="22"/>
      <c r="P63" s="41"/>
      <c r="Q63" s="30"/>
    </row>
    <row r="64" spans="2:17" ht="19.5" customHeight="1" x14ac:dyDescent="0.15">
      <c r="B64" s="22"/>
      <c r="C64" s="22" t="s">
        <v>148</v>
      </c>
      <c r="D64" s="22" t="s">
        <v>149</v>
      </c>
      <c r="E64" s="40" t="s">
        <v>207</v>
      </c>
      <c r="F64" s="148">
        <v>2</v>
      </c>
      <c r="G64" s="67">
        <v>2660</v>
      </c>
      <c r="H64" s="67">
        <f t="shared" si="0"/>
        <v>5320</v>
      </c>
      <c r="I64" s="24"/>
      <c r="J64" s="40"/>
      <c r="K64" s="40"/>
      <c r="L64" s="22"/>
      <c r="M64" s="31">
        <v>44046</v>
      </c>
      <c r="N64" s="40"/>
      <c r="O64" s="22"/>
      <c r="P64" s="41"/>
      <c r="Q64" s="30"/>
    </row>
    <row r="65" spans="2:17" ht="19.5" customHeight="1" x14ac:dyDescent="0.15">
      <c r="B65" s="22"/>
      <c r="C65" s="22" t="s">
        <v>148</v>
      </c>
      <c r="D65" s="22" t="s">
        <v>149</v>
      </c>
      <c r="E65" s="40" t="s">
        <v>145</v>
      </c>
      <c r="F65" s="148">
        <v>2</v>
      </c>
      <c r="G65" s="67">
        <v>470</v>
      </c>
      <c r="H65" s="67">
        <f t="shared" si="0"/>
        <v>940</v>
      </c>
      <c r="I65" s="24"/>
      <c r="J65" s="40"/>
      <c r="K65" s="40"/>
      <c r="L65" s="22"/>
      <c r="M65" s="31">
        <v>44046</v>
      </c>
      <c r="N65" s="40"/>
      <c r="O65" s="22"/>
      <c r="P65" s="41"/>
      <c r="Q65" s="30"/>
    </row>
    <row r="66" spans="2:17" ht="19.5" customHeight="1" x14ac:dyDescent="0.15">
      <c r="B66" s="22"/>
      <c r="C66" s="22" t="s">
        <v>148</v>
      </c>
      <c r="D66" s="22" t="s">
        <v>149</v>
      </c>
      <c r="E66" s="40" t="s">
        <v>146</v>
      </c>
      <c r="F66" s="148">
        <v>3</v>
      </c>
      <c r="G66" s="67">
        <v>8430</v>
      </c>
      <c r="H66" s="69">
        <f t="shared" si="0"/>
        <v>25290</v>
      </c>
      <c r="I66" s="24"/>
      <c r="J66" s="40"/>
      <c r="K66" s="40"/>
      <c r="L66" s="22"/>
      <c r="M66" s="31">
        <v>44046</v>
      </c>
      <c r="N66" s="40"/>
      <c r="O66" s="22"/>
      <c r="P66" s="41"/>
      <c r="Q66" s="30"/>
    </row>
    <row r="67" spans="2:17" ht="19.5" customHeight="1" x14ac:dyDescent="0.15">
      <c r="B67" s="22"/>
      <c r="C67" s="22" t="s">
        <v>148</v>
      </c>
      <c r="D67" s="22" t="s">
        <v>149</v>
      </c>
      <c r="E67" s="40" t="s">
        <v>206</v>
      </c>
      <c r="F67" s="148">
        <v>3</v>
      </c>
      <c r="G67" s="67">
        <v>2660</v>
      </c>
      <c r="H67" s="69">
        <f t="shared" si="0"/>
        <v>7980</v>
      </c>
      <c r="I67" s="24"/>
      <c r="J67" s="40"/>
      <c r="K67" s="40"/>
      <c r="L67" s="22"/>
      <c r="M67" s="31">
        <v>44046</v>
      </c>
      <c r="N67" s="40"/>
      <c r="O67" s="22"/>
      <c r="P67" s="41"/>
      <c r="Q67" s="30"/>
    </row>
    <row r="68" spans="2:17" ht="19.5" customHeight="1" x14ac:dyDescent="0.15">
      <c r="B68" s="22"/>
      <c r="C68" s="22" t="s">
        <v>148</v>
      </c>
      <c r="D68" s="22" t="s">
        <v>149</v>
      </c>
      <c r="E68" s="40" t="s">
        <v>147</v>
      </c>
      <c r="F68" s="148">
        <v>3</v>
      </c>
      <c r="G68" s="67">
        <v>420</v>
      </c>
      <c r="H68" s="69">
        <f t="shared" si="0"/>
        <v>1260</v>
      </c>
      <c r="I68" s="24"/>
      <c r="J68" s="40"/>
      <c r="K68" s="40"/>
      <c r="L68" s="22"/>
      <c r="M68" s="31">
        <v>44046</v>
      </c>
      <c r="N68" s="40"/>
      <c r="O68" s="22"/>
      <c r="P68" s="41"/>
      <c r="Q68" s="30"/>
    </row>
    <row r="69" spans="2:17" ht="19.5" customHeight="1" x14ac:dyDescent="0.15">
      <c r="B69" s="133"/>
      <c r="C69" s="132" t="s">
        <v>556</v>
      </c>
      <c r="D69" s="132" t="s">
        <v>556</v>
      </c>
      <c r="E69" s="63" t="s">
        <v>585</v>
      </c>
      <c r="F69" s="147">
        <v>10</v>
      </c>
      <c r="G69" s="135">
        <v>178000</v>
      </c>
      <c r="H69" s="136">
        <f t="shared" si="0"/>
        <v>1780000</v>
      </c>
      <c r="I69" s="26"/>
      <c r="J69" s="61"/>
      <c r="K69" s="61"/>
      <c r="L69" s="132"/>
      <c r="M69" s="10">
        <v>44075</v>
      </c>
      <c r="N69" s="40"/>
      <c r="O69" s="133"/>
      <c r="P69" s="41"/>
      <c r="Q69" s="30"/>
    </row>
    <row r="70" spans="2:17" ht="19.5" customHeight="1" x14ac:dyDescent="0.15">
      <c r="B70" s="133"/>
      <c r="C70" s="132" t="s">
        <v>556</v>
      </c>
      <c r="D70" s="132" t="s">
        <v>556</v>
      </c>
      <c r="E70" s="63" t="s">
        <v>557</v>
      </c>
      <c r="F70" s="147">
        <v>10</v>
      </c>
      <c r="G70" s="135">
        <v>59000</v>
      </c>
      <c r="H70" s="136">
        <f t="shared" si="0"/>
        <v>590000</v>
      </c>
      <c r="I70" s="26"/>
      <c r="J70" s="61"/>
      <c r="K70" s="61"/>
      <c r="L70" s="132"/>
      <c r="M70" s="10">
        <v>44075</v>
      </c>
      <c r="N70" s="40"/>
      <c r="O70" s="133"/>
      <c r="P70" s="41"/>
      <c r="Q70" s="30"/>
    </row>
    <row r="71" spans="2:17" ht="19.5" customHeight="1" x14ac:dyDescent="0.15">
      <c r="B71" s="133"/>
      <c r="C71" s="132" t="s">
        <v>556</v>
      </c>
      <c r="D71" s="132" t="s">
        <v>556</v>
      </c>
      <c r="E71" s="63" t="s">
        <v>558</v>
      </c>
      <c r="F71" s="147">
        <v>12</v>
      </c>
      <c r="G71" s="135">
        <v>198000</v>
      </c>
      <c r="H71" s="136">
        <f t="shared" si="0"/>
        <v>2376000</v>
      </c>
      <c r="I71" s="26"/>
      <c r="J71" s="61"/>
      <c r="K71" s="61"/>
      <c r="L71" s="132"/>
      <c r="M71" s="10">
        <v>44075</v>
      </c>
      <c r="N71" s="40"/>
      <c r="O71" s="133"/>
      <c r="P71" s="41"/>
      <c r="Q71" s="30"/>
    </row>
    <row r="72" spans="2:17" ht="19.5" customHeight="1" x14ac:dyDescent="0.15">
      <c r="B72" s="133"/>
      <c r="C72" s="132" t="s">
        <v>556</v>
      </c>
      <c r="D72" s="132" t="s">
        <v>556</v>
      </c>
      <c r="E72" s="63" t="s">
        <v>559</v>
      </c>
      <c r="F72" s="147"/>
      <c r="G72" s="135"/>
      <c r="H72" s="136">
        <v>-2246000</v>
      </c>
      <c r="I72" s="26"/>
      <c r="J72" s="137"/>
      <c r="K72" s="61"/>
      <c r="L72" s="132"/>
      <c r="M72" s="10">
        <v>44075</v>
      </c>
      <c r="N72" s="40"/>
      <c r="O72" s="133"/>
      <c r="P72" s="41"/>
      <c r="Q72" s="30"/>
    </row>
    <row r="73" spans="2:17" ht="19.5" customHeight="1" x14ac:dyDescent="0.15">
      <c r="B73" s="133"/>
      <c r="C73" s="132" t="s">
        <v>556</v>
      </c>
      <c r="D73" s="132" t="s">
        <v>556</v>
      </c>
      <c r="E73" s="63" t="s">
        <v>560</v>
      </c>
      <c r="F73" s="147">
        <v>10</v>
      </c>
      <c r="G73" s="135">
        <v>12300</v>
      </c>
      <c r="H73" s="136">
        <f t="shared" si="0"/>
        <v>123000</v>
      </c>
      <c r="I73" s="26"/>
      <c r="J73" s="61"/>
      <c r="K73" s="61"/>
      <c r="L73" s="132"/>
      <c r="M73" s="10">
        <v>44075</v>
      </c>
      <c r="N73" s="40"/>
      <c r="O73" s="133"/>
      <c r="P73" s="41"/>
      <c r="Q73" s="30"/>
    </row>
    <row r="74" spans="2:17" ht="19.5" customHeight="1" x14ac:dyDescent="0.15">
      <c r="B74" s="133"/>
      <c r="C74" s="132" t="s">
        <v>556</v>
      </c>
      <c r="D74" s="132" t="s">
        <v>556</v>
      </c>
      <c r="E74" s="63" t="s">
        <v>561</v>
      </c>
      <c r="F74" s="147">
        <v>10</v>
      </c>
      <c r="G74" s="135">
        <v>4800</v>
      </c>
      <c r="H74" s="136">
        <f t="shared" si="0"/>
        <v>48000</v>
      </c>
      <c r="I74" s="26"/>
      <c r="J74" s="61"/>
      <c r="K74" s="61"/>
      <c r="L74" s="132"/>
      <c r="M74" s="10">
        <v>44075</v>
      </c>
      <c r="N74" s="40"/>
      <c r="O74" s="133"/>
      <c r="P74" s="41"/>
      <c r="Q74" s="30"/>
    </row>
    <row r="75" spans="2:17" ht="19.5" customHeight="1" x14ac:dyDescent="0.15">
      <c r="B75" s="133"/>
      <c r="C75" s="132" t="s">
        <v>556</v>
      </c>
      <c r="D75" s="132" t="s">
        <v>556</v>
      </c>
      <c r="E75" s="61" t="s">
        <v>562</v>
      </c>
      <c r="F75" s="147">
        <v>1</v>
      </c>
      <c r="G75" s="135">
        <v>7100</v>
      </c>
      <c r="H75" s="136">
        <f t="shared" si="0"/>
        <v>7100</v>
      </c>
      <c r="I75" s="26"/>
      <c r="J75" s="61"/>
      <c r="K75" s="61"/>
      <c r="L75" s="132"/>
      <c r="M75" s="10">
        <v>44075</v>
      </c>
      <c r="N75" s="40"/>
      <c r="O75" s="133"/>
      <c r="P75" s="41"/>
      <c r="Q75" s="30"/>
    </row>
    <row r="76" spans="2:17" ht="19.5" customHeight="1" x14ac:dyDescent="0.15">
      <c r="B76" s="133"/>
      <c r="C76" s="132" t="s">
        <v>556</v>
      </c>
      <c r="D76" s="132" t="s">
        <v>556</v>
      </c>
      <c r="E76" s="61" t="s">
        <v>563</v>
      </c>
      <c r="F76" s="147">
        <v>1</v>
      </c>
      <c r="G76" s="135">
        <v>3800</v>
      </c>
      <c r="H76" s="136">
        <f t="shared" si="0"/>
        <v>3800</v>
      </c>
      <c r="I76" s="26"/>
      <c r="J76" s="61"/>
      <c r="K76" s="61"/>
      <c r="L76" s="132"/>
      <c r="M76" s="10">
        <v>44075</v>
      </c>
      <c r="N76" s="40"/>
      <c r="O76" s="133"/>
      <c r="P76" s="41"/>
      <c r="Q76" s="30"/>
    </row>
    <row r="77" spans="2:17" ht="19.5" customHeight="1" x14ac:dyDescent="0.15">
      <c r="B77" s="133"/>
      <c r="C77" s="132" t="s">
        <v>556</v>
      </c>
      <c r="D77" s="132" t="s">
        <v>556</v>
      </c>
      <c r="E77" s="61" t="s">
        <v>564</v>
      </c>
      <c r="F77" s="147">
        <v>21</v>
      </c>
      <c r="G77" s="138">
        <v>12300</v>
      </c>
      <c r="H77" s="136">
        <f t="shared" si="0"/>
        <v>258300</v>
      </c>
      <c r="I77" s="26"/>
      <c r="J77" s="61"/>
      <c r="K77" s="61"/>
      <c r="L77" s="132"/>
      <c r="M77" s="10">
        <v>44075</v>
      </c>
      <c r="N77" s="40"/>
      <c r="O77" s="133"/>
      <c r="P77" s="41"/>
      <c r="Q77" s="30"/>
    </row>
    <row r="78" spans="2:17" ht="19.5" customHeight="1" x14ac:dyDescent="0.15">
      <c r="B78" s="133"/>
      <c r="C78" s="132" t="s">
        <v>556</v>
      </c>
      <c r="D78" s="132" t="s">
        <v>556</v>
      </c>
      <c r="E78" s="61" t="s">
        <v>565</v>
      </c>
      <c r="F78" s="147">
        <v>15</v>
      </c>
      <c r="G78" s="138">
        <v>17200</v>
      </c>
      <c r="H78" s="136">
        <f t="shared" si="0"/>
        <v>258000</v>
      </c>
      <c r="I78" s="26"/>
      <c r="J78" s="61"/>
      <c r="K78" s="61"/>
      <c r="L78" s="132"/>
      <c r="M78" s="10">
        <v>44075</v>
      </c>
      <c r="N78" s="40"/>
      <c r="O78" s="133"/>
      <c r="P78" s="41"/>
      <c r="Q78" s="30"/>
    </row>
    <row r="79" spans="2:17" ht="19.5" customHeight="1" x14ac:dyDescent="0.15">
      <c r="B79" s="133"/>
      <c r="C79" s="132" t="s">
        <v>556</v>
      </c>
      <c r="D79" s="132" t="s">
        <v>556</v>
      </c>
      <c r="E79" s="61" t="s">
        <v>566</v>
      </c>
      <c r="F79" s="147">
        <v>3</v>
      </c>
      <c r="G79" s="135">
        <v>13500</v>
      </c>
      <c r="H79" s="136">
        <f t="shared" si="0"/>
        <v>40500</v>
      </c>
      <c r="I79" s="26"/>
      <c r="J79" s="61"/>
      <c r="K79" s="61"/>
      <c r="L79" s="132"/>
      <c r="M79" s="10">
        <v>44075</v>
      </c>
      <c r="N79" s="40"/>
      <c r="O79" s="133"/>
      <c r="P79" s="41"/>
      <c r="Q79" s="30"/>
    </row>
    <row r="80" spans="2:17" ht="19.5" customHeight="1" x14ac:dyDescent="0.15">
      <c r="B80" s="133"/>
      <c r="C80" s="132" t="s">
        <v>556</v>
      </c>
      <c r="D80" s="132" t="s">
        <v>556</v>
      </c>
      <c r="E80" s="61" t="s">
        <v>567</v>
      </c>
      <c r="F80" s="147">
        <v>18</v>
      </c>
      <c r="G80" s="135">
        <v>19000</v>
      </c>
      <c r="H80" s="136">
        <f t="shared" si="0"/>
        <v>342000</v>
      </c>
      <c r="I80" s="26"/>
      <c r="J80" s="61"/>
      <c r="K80" s="61"/>
      <c r="L80" s="132"/>
      <c r="M80" s="10">
        <v>44075</v>
      </c>
      <c r="N80" s="40"/>
      <c r="O80" s="133"/>
      <c r="P80" s="41"/>
      <c r="Q80" s="30"/>
    </row>
    <row r="81" spans="2:17" ht="19.5" customHeight="1" x14ac:dyDescent="0.15">
      <c r="B81" s="133"/>
      <c r="C81" s="132" t="s">
        <v>556</v>
      </c>
      <c r="D81" s="132" t="s">
        <v>556</v>
      </c>
      <c r="E81" s="61" t="s">
        <v>568</v>
      </c>
      <c r="F81" s="147">
        <v>15</v>
      </c>
      <c r="G81" s="135">
        <v>450</v>
      </c>
      <c r="H81" s="136">
        <f t="shared" si="0"/>
        <v>6750</v>
      </c>
      <c r="I81" s="26"/>
      <c r="J81" s="61"/>
      <c r="K81" s="61"/>
      <c r="L81" s="132"/>
      <c r="M81" s="10">
        <v>44075</v>
      </c>
      <c r="N81" s="40"/>
      <c r="O81" s="133"/>
      <c r="P81" s="41"/>
      <c r="Q81" s="30"/>
    </row>
    <row r="82" spans="2:17" ht="19.5" customHeight="1" x14ac:dyDescent="0.15">
      <c r="B82" s="133"/>
      <c r="C82" s="132" t="s">
        <v>556</v>
      </c>
      <c r="D82" s="132" t="s">
        <v>556</v>
      </c>
      <c r="E82" s="61" t="s">
        <v>569</v>
      </c>
      <c r="F82" s="147">
        <v>2</v>
      </c>
      <c r="G82" s="135">
        <v>8800</v>
      </c>
      <c r="H82" s="136">
        <f t="shared" si="0"/>
        <v>17600</v>
      </c>
      <c r="I82" s="26"/>
      <c r="J82" s="61"/>
      <c r="K82" s="61"/>
      <c r="L82" s="132"/>
      <c r="M82" s="10">
        <v>44075</v>
      </c>
      <c r="N82" s="40"/>
      <c r="O82" s="133"/>
      <c r="P82" s="41"/>
      <c r="Q82" s="30"/>
    </row>
    <row r="83" spans="2:17" ht="19.5" customHeight="1" x14ac:dyDescent="0.15">
      <c r="B83" s="133"/>
      <c r="C83" s="132" t="s">
        <v>556</v>
      </c>
      <c r="D83" s="132" t="s">
        <v>556</v>
      </c>
      <c r="E83" s="61" t="s">
        <v>570</v>
      </c>
      <c r="F83" s="147">
        <v>6</v>
      </c>
      <c r="G83" s="135">
        <v>7800</v>
      </c>
      <c r="H83" s="136">
        <f t="shared" si="0"/>
        <v>46800</v>
      </c>
      <c r="I83" s="26"/>
      <c r="J83" s="61"/>
      <c r="K83" s="61"/>
      <c r="L83" s="132"/>
      <c r="M83" s="10">
        <v>44075</v>
      </c>
      <c r="N83" s="40"/>
      <c r="O83" s="133"/>
      <c r="P83" s="41"/>
      <c r="Q83" s="30"/>
    </row>
    <row r="84" spans="2:17" ht="19.5" customHeight="1" x14ac:dyDescent="0.15">
      <c r="B84" s="133"/>
      <c r="C84" s="132" t="s">
        <v>556</v>
      </c>
      <c r="D84" s="132" t="s">
        <v>556</v>
      </c>
      <c r="E84" s="61" t="s">
        <v>571</v>
      </c>
      <c r="F84" s="147">
        <v>1</v>
      </c>
      <c r="G84" s="135">
        <v>7800</v>
      </c>
      <c r="H84" s="136">
        <f t="shared" si="0"/>
        <v>7800</v>
      </c>
      <c r="I84" s="26"/>
      <c r="J84" s="61"/>
      <c r="K84" s="61"/>
      <c r="L84" s="132"/>
      <c r="M84" s="10">
        <v>44075</v>
      </c>
      <c r="N84" s="40"/>
      <c r="O84" s="133"/>
      <c r="P84" s="41"/>
      <c r="Q84" s="30"/>
    </row>
    <row r="85" spans="2:17" ht="19.5" customHeight="1" x14ac:dyDescent="0.15">
      <c r="B85" s="133"/>
      <c r="C85" s="132" t="s">
        <v>556</v>
      </c>
      <c r="D85" s="132" t="s">
        <v>556</v>
      </c>
      <c r="E85" s="61" t="s">
        <v>572</v>
      </c>
      <c r="F85" s="147">
        <v>17</v>
      </c>
      <c r="G85" s="135">
        <v>16500</v>
      </c>
      <c r="H85" s="136">
        <f t="shared" si="0"/>
        <v>280500</v>
      </c>
      <c r="I85" s="26"/>
      <c r="J85" s="61"/>
      <c r="K85" s="61"/>
      <c r="L85" s="132"/>
      <c r="M85" s="10">
        <v>44075</v>
      </c>
      <c r="N85" s="40"/>
      <c r="O85" s="133"/>
      <c r="P85" s="41"/>
      <c r="Q85" s="30"/>
    </row>
    <row r="86" spans="2:17" ht="19.5" customHeight="1" x14ac:dyDescent="0.15">
      <c r="B86" s="133"/>
      <c r="C86" s="132" t="s">
        <v>556</v>
      </c>
      <c r="D86" s="132" t="s">
        <v>556</v>
      </c>
      <c r="E86" s="61" t="s">
        <v>573</v>
      </c>
      <c r="F86" s="147">
        <v>23</v>
      </c>
      <c r="G86" s="135">
        <v>6800</v>
      </c>
      <c r="H86" s="136">
        <f t="shared" si="0"/>
        <v>156400</v>
      </c>
      <c r="I86" s="26"/>
      <c r="J86" s="61"/>
      <c r="K86" s="61"/>
      <c r="L86" s="132"/>
      <c r="M86" s="10">
        <v>44075</v>
      </c>
      <c r="N86" s="40"/>
      <c r="O86" s="133"/>
      <c r="P86" s="41"/>
      <c r="Q86" s="30"/>
    </row>
    <row r="87" spans="2:17" ht="19.5" customHeight="1" x14ac:dyDescent="0.15">
      <c r="B87" s="133"/>
      <c r="C87" s="132" t="s">
        <v>556</v>
      </c>
      <c r="D87" s="132" t="s">
        <v>556</v>
      </c>
      <c r="E87" s="61" t="s">
        <v>574</v>
      </c>
      <c r="F87" s="147">
        <v>17</v>
      </c>
      <c r="G87" s="135">
        <v>300</v>
      </c>
      <c r="H87" s="136">
        <f t="shared" si="0"/>
        <v>5100</v>
      </c>
      <c r="I87" s="26"/>
      <c r="J87" s="61"/>
      <c r="K87" s="61"/>
      <c r="L87" s="132"/>
      <c r="M87" s="10">
        <v>44075</v>
      </c>
      <c r="N87" s="40"/>
      <c r="O87" s="133"/>
      <c r="P87" s="41"/>
      <c r="Q87" s="30"/>
    </row>
    <row r="88" spans="2:17" ht="19.5" customHeight="1" x14ac:dyDescent="0.15">
      <c r="B88" s="133"/>
      <c r="C88" s="132" t="s">
        <v>556</v>
      </c>
      <c r="D88" s="132" t="s">
        <v>556</v>
      </c>
      <c r="E88" s="63" t="s">
        <v>575</v>
      </c>
      <c r="F88" s="147">
        <v>9</v>
      </c>
      <c r="G88" s="135">
        <v>239000</v>
      </c>
      <c r="H88" s="136">
        <f t="shared" si="0"/>
        <v>2151000</v>
      </c>
      <c r="I88" s="26"/>
      <c r="J88" s="61"/>
      <c r="K88" s="61"/>
      <c r="L88" s="132"/>
      <c r="M88" s="10">
        <v>44075</v>
      </c>
      <c r="N88" s="40"/>
      <c r="O88" s="133"/>
      <c r="P88" s="41"/>
      <c r="Q88" s="30"/>
    </row>
    <row r="89" spans="2:17" ht="19.5" customHeight="1" x14ac:dyDescent="0.15">
      <c r="B89" s="133"/>
      <c r="C89" s="132" t="s">
        <v>556</v>
      </c>
      <c r="D89" s="132" t="s">
        <v>556</v>
      </c>
      <c r="E89" s="61" t="s">
        <v>576</v>
      </c>
      <c r="F89" s="147">
        <v>1</v>
      </c>
      <c r="G89" s="135">
        <v>0</v>
      </c>
      <c r="H89" s="136">
        <f t="shared" si="0"/>
        <v>0</v>
      </c>
      <c r="I89" s="26"/>
      <c r="J89" s="61"/>
      <c r="K89" s="61"/>
      <c r="L89" s="132"/>
      <c r="M89" s="10">
        <v>44075</v>
      </c>
      <c r="N89" s="40"/>
      <c r="O89" s="133"/>
      <c r="P89" s="41"/>
      <c r="Q89" s="30"/>
    </row>
    <row r="90" spans="2:17" ht="19.5" customHeight="1" x14ac:dyDescent="0.15">
      <c r="B90" s="133"/>
      <c r="C90" s="132" t="s">
        <v>556</v>
      </c>
      <c r="D90" s="132" t="s">
        <v>556</v>
      </c>
      <c r="E90" s="61" t="s">
        <v>577</v>
      </c>
      <c r="F90" s="147">
        <v>9</v>
      </c>
      <c r="G90" s="135">
        <v>14000</v>
      </c>
      <c r="H90" s="136">
        <f t="shared" si="0"/>
        <v>126000</v>
      </c>
      <c r="I90" s="26"/>
      <c r="J90" s="61"/>
      <c r="K90" s="61"/>
      <c r="L90" s="132"/>
      <c r="M90" s="10">
        <v>44075</v>
      </c>
      <c r="N90" s="40"/>
      <c r="O90" s="133"/>
      <c r="P90" s="41"/>
      <c r="Q90" s="30"/>
    </row>
    <row r="91" spans="2:17" ht="19.5" customHeight="1" x14ac:dyDescent="0.15">
      <c r="B91" s="133"/>
      <c r="C91" s="132" t="s">
        <v>556</v>
      </c>
      <c r="D91" s="132" t="s">
        <v>556</v>
      </c>
      <c r="E91" s="61" t="s">
        <v>559</v>
      </c>
      <c r="F91" s="147"/>
      <c r="G91" s="138"/>
      <c r="H91" s="136">
        <v>-753750</v>
      </c>
      <c r="I91" s="26"/>
      <c r="J91" s="61"/>
      <c r="K91" s="61"/>
      <c r="L91" s="132"/>
      <c r="M91" s="10">
        <v>44075</v>
      </c>
      <c r="N91" s="40"/>
      <c r="O91" s="133"/>
      <c r="P91" s="41"/>
      <c r="Q91" s="30"/>
    </row>
    <row r="92" spans="2:17" ht="19.5" customHeight="1" x14ac:dyDescent="0.15">
      <c r="B92" s="133"/>
      <c r="C92" s="132" t="s">
        <v>556</v>
      </c>
      <c r="D92" s="132" t="s">
        <v>556</v>
      </c>
      <c r="E92" s="61" t="s">
        <v>74</v>
      </c>
      <c r="F92" s="147">
        <v>4</v>
      </c>
      <c r="G92" s="138">
        <v>27900</v>
      </c>
      <c r="H92" s="136">
        <f t="shared" si="0"/>
        <v>111600</v>
      </c>
      <c r="I92" s="26"/>
      <c r="J92" s="61"/>
      <c r="K92" s="61"/>
      <c r="L92" s="132"/>
      <c r="M92" s="10">
        <v>44075</v>
      </c>
      <c r="N92" s="40"/>
      <c r="O92" s="133"/>
      <c r="P92" s="41"/>
      <c r="Q92" s="30"/>
    </row>
    <row r="93" spans="2:17" ht="19.5" customHeight="1" x14ac:dyDescent="0.15">
      <c r="B93" s="133"/>
      <c r="C93" s="132" t="s">
        <v>556</v>
      </c>
      <c r="D93" s="132" t="s">
        <v>556</v>
      </c>
      <c r="E93" s="61" t="s">
        <v>75</v>
      </c>
      <c r="F93" s="147">
        <v>4</v>
      </c>
      <c r="G93" s="135">
        <v>42300</v>
      </c>
      <c r="H93" s="136">
        <f>G93*F93</f>
        <v>169200</v>
      </c>
      <c r="I93" s="26"/>
      <c r="J93" s="61"/>
      <c r="K93" s="61"/>
      <c r="L93" s="132"/>
      <c r="M93" s="10">
        <v>44075</v>
      </c>
      <c r="N93" s="40"/>
      <c r="O93" s="133"/>
      <c r="P93" s="41"/>
      <c r="Q93" s="30"/>
    </row>
    <row r="94" spans="2:17" ht="19.5" customHeight="1" x14ac:dyDescent="0.15">
      <c r="B94" s="133"/>
      <c r="C94" s="132" t="s">
        <v>556</v>
      </c>
      <c r="D94" s="132" t="s">
        <v>556</v>
      </c>
      <c r="E94" s="61" t="s">
        <v>76</v>
      </c>
      <c r="F94" s="147">
        <v>4</v>
      </c>
      <c r="G94" s="135">
        <v>2800</v>
      </c>
      <c r="H94" s="136">
        <f>G94*F94</f>
        <v>11200</v>
      </c>
      <c r="I94" s="26"/>
      <c r="J94" s="61"/>
      <c r="K94" s="61"/>
      <c r="L94" s="132"/>
      <c r="M94" s="10">
        <v>44075</v>
      </c>
      <c r="N94" s="40"/>
      <c r="O94" s="133"/>
      <c r="P94" s="41"/>
      <c r="Q94" s="30"/>
    </row>
    <row r="95" spans="2:17" ht="19.5" customHeight="1" x14ac:dyDescent="0.15">
      <c r="B95" s="133"/>
      <c r="C95" s="132" t="s">
        <v>556</v>
      </c>
      <c r="D95" s="132" t="s">
        <v>556</v>
      </c>
      <c r="E95" s="61" t="s">
        <v>559</v>
      </c>
      <c r="F95" s="147"/>
      <c r="G95" s="138"/>
      <c r="H95" s="136">
        <v>-20000</v>
      </c>
      <c r="I95" s="26"/>
      <c r="J95" s="61"/>
      <c r="K95" s="61"/>
      <c r="L95" s="132"/>
      <c r="M95" s="10">
        <v>44075</v>
      </c>
      <c r="N95" s="40"/>
      <c r="O95" s="133"/>
      <c r="P95" s="41"/>
      <c r="Q95" s="30"/>
    </row>
    <row r="96" spans="2:17" ht="19.5" customHeight="1" x14ac:dyDescent="0.15">
      <c r="B96" s="133"/>
      <c r="C96" s="132" t="s">
        <v>556</v>
      </c>
      <c r="D96" s="132" t="s">
        <v>556</v>
      </c>
      <c r="E96" s="61" t="s">
        <v>591</v>
      </c>
      <c r="F96" s="147">
        <v>4</v>
      </c>
      <c r="G96" s="65">
        <v>14000</v>
      </c>
      <c r="H96" s="61">
        <f>F96*G96</f>
        <v>56000</v>
      </c>
      <c r="I96" s="26"/>
      <c r="J96" s="61" t="s">
        <v>592</v>
      </c>
      <c r="K96" s="132"/>
      <c r="L96" s="49"/>
      <c r="M96" s="10">
        <v>44077</v>
      </c>
      <c r="N96" s="40"/>
      <c r="O96" s="133"/>
      <c r="P96" s="41"/>
      <c r="Q96" s="30"/>
    </row>
    <row r="97" spans="2:17" ht="19.5" customHeight="1" x14ac:dyDescent="0.15">
      <c r="B97" s="133"/>
      <c r="C97" s="132" t="s">
        <v>556</v>
      </c>
      <c r="D97" s="132" t="s">
        <v>556</v>
      </c>
      <c r="E97" s="61" t="s">
        <v>593</v>
      </c>
      <c r="F97" s="147">
        <v>4</v>
      </c>
      <c r="G97" s="65">
        <v>360</v>
      </c>
      <c r="H97" s="61">
        <f>F97*G97</f>
        <v>1440</v>
      </c>
      <c r="I97" s="26"/>
      <c r="J97" s="61" t="s">
        <v>594</v>
      </c>
      <c r="K97" s="132"/>
      <c r="L97" s="49"/>
      <c r="M97" s="10">
        <v>44077</v>
      </c>
      <c r="N97" s="40"/>
      <c r="O97" s="133"/>
      <c r="P97" s="41"/>
      <c r="Q97" s="30"/>
    </row>
    <row r="98" spans="2:17" ht="19.5" customHeight="1" x14ac:dyDescent="0.15">
      <c r="B98" s="133"/>
      <c r="C98" s="132" t="s">
        <v>556</v>
      </c>
      <c r="D98" s="132" t="s">
        <v>556</v>
      </c>
      <c r="E98" s="61" t="s">
        <v>687</v>
      </c>
      <c r="F98" s="147">
        <v>1</v>
      </c>
      <c r="G98" s="135">
        <v>0</v>
      </c>
      <c r="H98" s="61">
        <f>F98*G98</f>
        <v>0</v>
      </c>
      <c r="I98" s="26"/>
      <c r="J98" s="61" t="s">
        <v>679</v>
      </c>
      <c r="K98" s="61"/>
      <c r="L98" s="132"/>
      <c r="M98" s="10">
        <v>44078</v>
      </c>
      <c r="N98" s="40"/>
      <c r="O98" s="133"/>
      <c r="P98" s="41"/>
      <c r="Q98" s="30"/>
    </row>
    <row r="99" spans="2:17" ht="19.5" customHeight="1" x14ac:dyDescent="0.15">
      <c r="B99" s="133"/>
      <c r="C99" s="132" t="s">
        <v>556</v>
      </c>
      <c r="D99" s="132" t="s">
        <v>556</v>
      </c>
      <c r="E99" s="61" t="s">
        <v>688</v>
      </c>
      <c r="F99" s="147">
        <v>15</v>
      </c>
      <c r="G99" s="135">
        <v>1350</v>
      </c>
      <c r="H99" s="136">
        <v>20250</v>
      </c>
      <c r="I99" s="26"/>
      <c r="J99" s="61"/>
      <c r="K99" s="64"/>
      <c r="L99" s="132"/>
      <c r="M99" s="10">
        <v>44082</v>
      </c>
      <c r="N99" s="40"/>
      <c r="O99" s="133"/>
      <c r="P99" s="41"/>
      <c r="Q99" s="30"/>
    </row>
    <row r="100" spans="2:17" ht="19.5" customHeight="1" x14ac:dyDescent="0.15">
      <c r="B100" s="133"/>
      <c r="C100" s="132" t="s">
        <v>556</v>
      </c>
      <c r="D100" s="132" t="s">
        <v>556</v>
      </c>
      <c r="E100" s="61" t="s">
        <v>751</v>
      </c>
      <c r="F100" s="147">
        <v>6</v>
      </c>
      <c r="G100" s="135">
        <v>12800</v>
      </c>
      <c r="H100" s="136">
        <f>F100*G100</f>
        <v>76800</v>
      </c>
      <c r="I100" s="26"/>
      <c r="J100" s="61"/>
      <c r="K100" s="64"/>
      <c r="L100" s="132"/>
      <c r="M100" s="10">
        <v>44089</v>
      </c>
      <c r="N100" s="40"/>
      <c r="O100" s="133"/>
      <c r="P100" s="41"/>
      <c r="Q100" s="30"/>
    </row>
    <row r="101" spans="2:17" ht="19.5" customHeight="1" x14ac:dyDescent="0.15">
      <c r="B101" s="133"/>
      <c r="C101" s="132" t="s">
        <v>556</v>
      </c>
      <c r="D101" s="132" t="s">
        <v>556</v>
      </c>
      <c r="E101" s="61" t="s">
        <v>565</v>
      </c>
      <c r="F101" s="147">
        <v>1</v>
      </c>
      <c r="G101" s="135">
        <v>24900</v>
      </c>
      <c r="H101" s="136">
        <f>F101*G101</f>
        <v>24900</v>
      </c>
      <c r="I101" s="26"/>
      <c r="J101" s="61"/>
      <c r="K101" s="64"/>
      <c r="L101" s="132"/>
      <c r="M101" s="10">
        <v>44089</v>
      </c>
      <c r="N101" s="40"/>
      <c r="O101" s="133"/>
      <c r="P101" s="41"/>
      <c r="Q101" s="30"/>
    </row>
    <row r="102" spans="2:17" ht="19.5" customHeight="1" x14ac:dyDescent="0.15">
      <c r="B102" s="133"/>
      <c r="C102" s="132" t="s">
        <v>556</v>
      </c>
      <c r="D102" s="132" t="s">
        <v>556</v>
      </c>
      <c r="E102" s="61" t="s">
        <v>567</v>
      </c>
      <c r="F102" s="147">
        <v>1</v>
      </c>
      <c r="G102" s="135">
        <v>27900</v>
      </c>
      <c r="H102" s="136">
        <f>F102*G102</f>
        <v>27900</v>
      </c>
      <c r="I102" s="26"/>
      <c r="J102" s="61"/>
      <c r="K102" s="64"/>
      <c r="L102" s="132"/>
      <c r="M102" s="10">
        <v>44089</v>
      </c>
      <c r="N102" s="40"/>
      <c r="O102" s="133"/>
      <c r="P102" s="41"/>
      <c r="Q102" s="30"/>
    </row>
    <row r="103" spans="2:17" ht="19.5" customHeight="1" x14ac:dyDescent="0.15">
      <c r="B103" s="133"/>
      <c r="C103" s="132" t="s">
        <v>556</v>
      </c>
      <c r="D103" s="132" t="s">
        <v>556</v>
      </c>
      <c r="E103" s="61" t="s">
        <v>688</v>
      </c>
      <c r="F103" s="147">
        <v>1</v>
      </c>
      <c r="G103" s="135">
        <v>1500</v>
      </c>
      <c r="H103" s="136">
        <f>F103*G103</f>
        <v>1500</v>
      </c>
      <c r="I103" s="26"/>
      <c r="J103" s="61"/>
      <c r="K103" s="64"/>
      <c r="L103" s="132"/>
      <c r="M103" s="10">
        <v>44089</v>
      </c>
      <c r="N103" s="40"/>
      <c r="O103" s="133"/>
      <c r="P103" s="41"/>
      <c r="Q103" s="30"/>
    </row>
    <row r="104" spans="2:17" ht="19.5" customHeight="1" x14ac:dyDescent="0.15">
      <c r="B104" s="163"/>
      <c r="C104" s="132" t="s">
        <v>556</v>
      </c>
      <c r="D104" s="132" t="s">
        <v>556</v>
      </c>
      <c r="E104" s="61" t="s">
        <v>559</v>
      </c>
      <c r="F104" s="147"/>
      <c r="G104" s="138"/>
      <c r="H104" s="136">
        <v>-59100</v>
      </c>
      <c r="I104" s="26"/>
      <c r="J104" s="61"/>
      <c r="K104" s="61"/>
      <c r="L104" s="132"/>
      <c r="M104" s="10">
        <v>44089</v>
      </c>
      <c r="N104" s="40"/>
      <c r="O104" s="163"/>
      <c r="P104" s="41"/>
      <c r="Q104" s="30"/>
    </row>
    <row r="105" spans="2:17" ht="19.5" customHeight="1" x14ac:dyDescent="0.15">
      <c r="B105" s="163"/>
      <c r="C105" s="132" t="s">
        <v>556</v>
      </c>
      <c r="D105" s="132" t="s">
        <v>556</v>
      </c>
      <c r="E105" s="61" t="s">
        <v>783</v>
      </c>
      <c r="F105" s="147">
        <v>1</v>
      </c>
      <c r="G105" s="135">
        <v>260000</v>
      </c>
      <c r="H105" s="138">
        <f>F105*G105</f>
        <v>260000</v>
      </c>
      <c r="I105" s="26"/>
      <c r="J105" s="61"/>
      <c r="K105" s="61"/>
      <c r="L105" s="132"/>
      <c r="M105" s="10">
        <v>44102</v>
      </c>
      <c r="N105" s="40"/>
      <c r="O105" s="163"/>
      <c r="P105" s="41"/>
      <c r="Q105" s="30"/>
    </row>
    <row r="106" spans="2:17" ht="19.5" customHeight="1" x14ac:dyDescent="0.15">
      <c r="B106" s="163"/>
      <c r="C106" s="132" t="s">
        <v>556</v>
      </c>
      <c r="D106" s="132" t="s">
        <v>556</v>
      </c>
      <c r="E106" s="61" t="s">
        <v>784</v>
      </c>
      <c r="F106" s="147">
        <v>1</v>
      </c>
      <c r="G106" s="135">
        <v>40000</v>
      </c>
      <c r="H106" s="138">
        <f>F106*G106</f>
        <v>40000</v>
      </c>
      <c r="I106" s="26"/>
      <c r="J106" s="61"/>
      <c r="K106" s="61"/>
      <c r="L106" s="132"/>
      <c r="M106" s="10">
        <v>44102</v>
      </c>
      <c r="N106" s="40"/>
      <c r="O106" s="163"/>
      <c r="P106" s="41"/>
      <c r="Q106" s="30"/>
    </row>
    <row r="107" spans="2:17" ht="19.5" customHeight="1" x14ac:dyDescent="0.15">
      <c r="B107" s="173"/>
      <c r="C107" s="132" t="s">
        <v>556</v>
      </c>
      <c r="D107" s="132" t="s">
        <v>556</v>
      </c>
      <c r="E107" s="63" t="s">
        <v>576</v>
      </c>
      <c r="F107" s="147">
        <v>1</v>
      </c>
      <c r="G107" s="135">
        <v>0</v>
      </c>
      <c r="H107" s="138">
        <f>F107*G107</f>
        <v>0</v>
      </c>
      <c r="I107" s="26"/>
      <c r="J107" s="61"/>
      <c r="K107" s="61"/>
      <c r="L107" s="132"/>
      <c r="M107" s="10">
        <v>44102</v>
      </c>
      <c r="N107" s="40"/>
      <c r="O107" s="173"/>
      <c r="P107" s="41"/>
      <c r="Q107" s="30"/>
    </row>
    <row r="108" spans="2:17" ht="19.5" customHeight="1" x14ac:dyDescent="0.15">
      <c r="B108" s="173"/>
      <c r="C108" s="132" t="s">
        <v>556</v>
      </c>
      <c r="D108" s="132" t="s">
        <v>556</v>
      </c>
      <c r="E108" s="61" t="s">
        <v>559</v>
      </c>
      <c r="F108" s="147"/>
      <c r="G108" s="138"/>
      <c r="H108" s="136">
        <v>-50000</v>
      </c>
      <c r="I108" s="26"/>
      <c r="J108" s="61"/>
      <c r="K108" s="61"/>
      <c r="L108" s="132"/>
      <c r="M108" s="10"/>
      <c r="N108" s="40"/>
      <c r="O108" s="173"/>
      <c r="P108" s="41"/>
      <c r="Q108" s="30"/>
    </row>
    <row r="109" spans="2:17" ht="19.5" customHeight="1" x14ac:dyDescent="0.15">
      <c r="B109" s="173"/>
      <c r="C109" s="132" t="s">
        <v>556</v>
      </c>
      <c r="D109" s="132" t="s">
        <v>556</v>
      </c>
      <c r="E109" s="61" t="s">
        <v>568</v>
      </c>
      <c r="F109" s="147">
        <v>1</v>
      </c>
      <c r="G109" s="135">
        <v>450</v>
      </c>
      <c r="H109" s="138">
        <f>F109*G109</f>
        <v>450</v>
      </c>
      <c r="I109" s="26"/>
      <c r="J109" s="61"/>
      <c r="K109" s="61"/>
      <c r="L109" s="132"/>
      <c r="M109" s="10">
        <v>44102</v>
      </c>
      <c r="N109" s="40"/>
      <c r="O109" s="173"/>
      <c r="P109" s="41"/>
      <c r="Q109" s="30"/>
    </row>
    <row r="110" spans="2:17" s="89" customFormat="1" ht="19.5" customHeight="1" x14ac:dyDescent="0.15">
      <c r="B110" s="132"/>
      <c r="C110" s="132" t="s">
        <v>556</v>
      </c>
      <c r="D110" s="132" t="s">
        <v>556</v>
      </c>
      <c r="E110" s="61" t="s">
        <v>791</v>
      </c>
      <c r="F110" s="147">
        <v>2</v>
      </c>
      <c r="G110" s="135">
        <v>13000</v>
      </c>
      <c r="H110" s="138">
        <f>F110*G110</f>
        <v>26000</v>
      </c>
      <c r="I110" s="26"/>
      <c r="J110" s="61"/>
      <c r="K110" s="61"/>
      <c r="L110" s="132"/>
      <c r="M110" s="10">
        <v>44103</v>
      </c>
      <c r="N110" s="61"/>
      <c r="O110" s="132"/>
      <c r="P110" s="95"/>
      <c r="Q110" s="12"/>
    </row>
    <row r="111" spans="2:17" s="89" customFormat="1" ht="19.5" customHeight="1" x14ac:dyDescent="0.15">
      <c r="B111" s="132"/>
      <c r="C111" s="132" t="s">
        <v>556</v>
      </c>
      <c r="D111" s="132" t="s">
        <v>556</v>
      </c>
      <c r="E111" s="61" t="s">
        <v>792</v>
      </c>
      <c r="F111" s="147">
        <v>2</v>
      </c>
      <c r="G111" s="135">
        <v>13000</v>
      </c>
      <c r="H111" s="138">
        <f>F111*G111</f>
        <v>26000</v>
      </c>
      <c r="I111" s="26"/>
      <c r="J111" s="61"/>
      <c r="K111" s="61"/>
      <c r="L111" s="132"/>
      <c r="M111" s="10">
        <v>44103</v>
      </c>
      <c r="N111" s="61"/>
      <c r="O111" s="132"/>
      <c r="P111" s="95"/>
      <c r="Q111" s="12"/>
    </row>
    <row r="112" spans="2:17" s="89" customFormat="1" ht="19.5" customHeight="1" x14ac:dyDescent="0.15">
      <c r="B112" s="132"/>
      <c r="C112" s="132" t="s">
        <v>556</v>
      </c>
      <c r="D112" s="132" t="s">
        <v>556</v>
      </c>
      <c r="E112" s="61" t="s">
        <v>916</v>
      </c>
      <c r="F112" s="147">
        <v>1</v>
      </c>
      <c r="G112" s="135">
        <v>12300</v>
      </c>
      <c r="H112" s="138">
        <f>F112*G112</f>
        <v>12300</v>
      </c>
      <c r="I112" s="26"/>
      <c r="J112" s="61"/>
      <c r="K112" s="61"/>
      <c r="L112" s="132"/>
      <c r="M112" s="10">
        <v>44119</v>
      </c>
      <c r="N112" s="61"/>
      <c r="O112" s="132"/>
      <c r="P112" s="95"/>
      <c r="Q112" s="12"/>
    </row>
    <row r="113" spans="2:17" s="89" customFormat="1" ht="19.5" customHeight="1" x14ac:dyDescent="0.15">
      <c r="B113" s="132"/>
      <c r="C113" s="132" t="s">
        <v>556</v>
      </c>
      <c r="D113" s="132" t="s">
        <v>556</v>
      </c>
      <c r="E113" s="61" t="s">
        <v>917</v>
      </c>
      <c r="F113" s="147">
        <v>1</v>
      </c>
      <c r="G113" s="135">
        <v>14000</v>
      </c>
      <c r="H113" s="138">
        <f>F113*G113</f>
        <v>14000</v>
      </c>
      <c r="I113" s="26"/>
      <c r="J113" s="61"/>
      <c r="K113" s="61"/>
      <c r="L113" s="132"/>
      <c r="M113" s="10">
        <v>44119</v>
      </c>
      <c r="N113" s="61"/>
      <c r="O113" s="132"/>
      <c r="P113" s="95"/>
      <c r="Q113" s="12"/>
    </row>
    <row r="114" spans="2:17" s="89" customFormat="1" ht="19.5" customHeight="1" x14ac:dyDescent="0.15">
      <c r="B114" s="132"/>
      <c r="C114" s="132" t="s">
        <v>556</v>
      </c>
      <c r="D114" s="132" t="s">
        <v>556</v>
      </c>
      <c r="E114" s="63" t="s">
        <v>560</v>
      </c>
      <c r="F114" s="147">
        <v>1</v>
      </c>
      <c r="G114" s="135"/>
      <c r="H114" s="138"/>
      <c r="I114" s="26"/>
      <c r="J114" s="61"/>
      <c r="K114" s="61"/>
      <c r="L114" s="132"/>
      <c r="M114" s="10">
        <v>44123</v>
      </c>
      <c r="N114" s="61"/>
      <c r="O114" s="132"/>
      <c r="P114" s="95"/>
      <c r="Q114" s="12"/>
    </row>
    <row r="115" spans="2:17" s="89" customFormat="1" ht="19.5" customHeight="1" x14ac:dyDescent="0.15">
      <c r="B115" s="132"/>
      <c r="C115" s="132" t="s">
        <v>556</v>
      </c>
      <c r="D115" s="132" t="s">
        <v>556</v>
      </c>
      <c r="E115" s="61" t="s">
        <v>564</v>
      </c>
      <c r="F115" s="147">
        <v>1</v>
      </c>
      <c r="G115" s="135"/>
      <c r="H115" s="138"/>
      <c r="I115" s="26"/>
      <c r="J115" s="61"/>
      <c r="K115" s="61"/>
      <c r="L115" s="132"/>
      <c r="M115" s="10">
        <v>44123</v>
      </c>
      <c r="N115" s="61"/>
      <c r="O115" s="132"/>
      <c r="P115" s="95"/>
      <c r="Q115" s="12"/>
    </row>
    <row r="116" spans="2:17" s="89" customFormat="1" ht="19.5" customHeight="1" x14ac:dyDescent="0.15">
      <c r="B116" s="132"/>
      <c r="C116" s="132" t="s">
        <v>556</v>
      </c>
      <c r="D116" s="132" t="s">
        <v>556</v>
      </c>
      <c r="E116" s="63" t="s">
        <v>560</v>
      </c>
      <c r="F116" s="147">
        <v>1</v>
      </c>
      <c r="G116" s="135"/>
      <c r="H116" s="138"/>
      <c r="I116" s="26"/>
      <c r="J116" s="61"/>
      <c r="K116" s="61"/>
      <c r="L116" s="132"/>
      <c r="M116" s="10">
        <v>44124</v>
      </c>
      <c r="N116" s="61"/>
      <c r="O116" s="132"/>
      <c r="P116" s="95"/>
      <c r="Q116" s="12"/>
    </row>
    <row r="117" spans="2:17" s="89" customFormat="1" ht="19.5" customHeight="1" x14ac:dyDescent="0.15">
      <c r="B117" s="132"/>
      <c r="C117" s="132" t="s">
        <v>556</v>
      </c>
      <c r="D117" s="132" t="s">
        <v>556</v>
      </c>
      <c r="E117" s="61" t="s">
        <v>564</v>
      </c>
      <c r="F117" s="147">
        <v>1</v>
      </c>
      <c r="G117" s="135"/>
      <c r="H117" s="138"/>
      <c r="I117" s="26"/>
      <c r="J117" s="61"/>
      <c r="K117" s="61"/>
      <c r="L117" s="132"/>
      <c r="M117" s="10">
        <v>44124</v>
      </c>
      <c r="N117" s="61"/>
      <c r="O117" s="132"/>
      <c r="P117" s="95"/>
      <c r="Q117" s="12"/>
    </row>
    <row r="118" spans="2:17" s="89" customFormat="1" ht="19.5" customHeight="1" x14ac:dyDescent="0.15">
      <c r="B118" s="132"/>
      <c r="C118" s="132"/>
      <c r="D118" s="132"/>
      <c r="E118" s="61"/>
      <c r="F118" s="147"/>
      <c r="G118" s="135"/>
      <c r="H118" s="138"/>
      <c r="I118" s="26"/>
      <c r="J118" s="61"/>
      <c r="K118" s="61"/>
      <c r="L118" s="132"/>
      <c r="M118" s="10"/>
      <c r="N118" s="61"/>
      <c r="O118" s="132"/>
      <c r="P118" s="95"/>
      <c r="Q118" s="12"/>
    </row>
    <row r="119" spans="2:17" s="89" customFormat="1" ht="19.5" customHeight="1" x14ac:dyDescent="0.15">
      <c r="B119" s="132"/>
      <c r="C119" s="132" t="s">
        <v>957</v>
      </c>
      <c r="D119" s="132" t="s">
        <v>957</v>
      </c>
      <c r="E119" s="61" t="s">
        <v>958</v>
      </c>
      <c r="F119" s="147">
        <v>1</v>
      </c>
      <c r="G119" s="135">
        <v>34300000</v>
      </c>
      <c r="H119" s="138">
        <f>F119*G119</f>
        <v>34300000</v>
      </c>
      <c r="I119" s="26"/>
      <c r="J119" s="61"/>
      <c r="K119" s="61" t="s">
        <v>959</v>
      </c>
      <c r="L119" s="132"/>
      <c r="M119" s="10">
        <v>44131</v>
      </c>
      <c r="N119" s="61"/>
      <c r="O119" s="132"/>
      <c r="P119" s="95"/>
      <c r="Q119" s="12"/>
    </row>
    <row r="120" spans="2:17" ht="19.5" customHeight="1" x14ac:dyDescent="0.15">
      <c r="B120" s="22"/>
      <c r="C120" s="22"/>
      <c r="D120" s="22"/>
      <c r="E120" s="27"/>
      <c r="F120" s="148"/>
      <c r="G120" s="36"/>
      <c r="H120" s="36"/>
      <c r="I120" s="24"/>
      <c r="J120" s="40"/>
      <c r="K120" s="40"/>
      <c r="L120" s="22"/>
      <c r="M120" s="31"/>
      <c r="N120" s="40"/>
      <c r="O120" s="22"/>
      <c r="P120" s="41"/>
      <c r="Q120" s="30"/>
    </row>
  </sheetData>
  <autoFilter ref="B9:O25" xr:uid="{00000000-0009-0000-0000-000000000000}"/>
  <mergeCells count="6">
    <mergeCell ref="B6:D6"/>
    <mergeCell ref="G2:I2"/>
    <mergeCell ref="B2:D2"/>
    <mergeCell ref="B3:D3"/>
    <mergeCell ref="B4:D4"/>
    <mergeCell ref="B5:D5"/>
  </mergeCells>
  <phoneticPr fontId="1"/>
  <pageMargins left="0.2" right="0.2" top="0.36" bottom="0.41" header="0.3" footer="0.3"/>
  <pageSetup paperSize="9" scale="7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Q1048559"/>
  <sheetViews>
    <sheetView topLeftCell="A223" zoomScale="62" zoomScaleNormal="62" workbookViewId="0">
      <selection activeCell="A245" sqref="A245:XFD245"/>
    </sheetView>
  </sheetViews>
  <sheetFormatPr defaultRowHeight="13.5" x14ac:dyDescent="0.15"/>
  <cols>
    <col min="1" max="1" width="2.625" customWidth="1"/>
    <col min="2" max="2" width="15.5" style="4" bestFit="1" customWidth="1"/>
    <col min="3" max="3" width="14.375" style="4" bestFit="1" customWidth="1"/>
    <col min="4" max="4" width="13.125" style="4" bestFit="1" customWidth="1"/>
    <col min="5" max="5" width="76.875" style="25" bestFit="1" customWidth="1"/>
    <col min="6" max="6" width="6.25" style="8" customWidth="1"/>
    <col min="7" max="8" width="12.75" style="37" customWidth="1"/>
    <col min="9" max="9" width="5.75" style="8" customWidth="1"/>
    <col min="10" max="10" width="31.875" bestFit="1" customWidth="1"/>
    <col min="11" max="11" width="37.25" bestFit="1" customWidth="1"/>
    <col min="12" max="12" width="11" style="4" customWidth="1"/>
    <col min="13" max="13" width="13.75" style="9" customWidth="1"/>
    <col min="14" max="14" width="6.375" customWidth="1"/>
    <col min="15" max="15" width="15.875" style="4" customWidth="1"/>
    <col min="16" max="16" width="15.875" style="11" customWidth="1"/>
    <col min="17" max="17" width="15.625" style="29" customWidth="1"/>
  </cols>
  <sheetData>
    <row r="2" spans="2:17" ht="20.100000000000001" customHeight="1" x14ac:dyDescent="0.15">
      <c r="B2" s="223" t="s">
        <v>11</v>
      </c>
      <c r="C2" s="223"/>
      <c r="D2" s="223"/>
      <c r="E2" s="42" t="s">
        <v>24</v>
      </c>
      <c r="G2" s="224" t="s">
        <v>15</v>
      </c>
      <c r="H2" s="225"/>
      <c r="I2" s="226"/>
      <c r="J2" s="7">
        <f>SUM(H:H)</f>
        <v>5693356</v>
      </c>
      <c r="K2" s="5"/>
      <c r="L2" s="6"/>
    </row>
    <row r="3" spans="2:17" ht="20.100000000000001" customHeight="1" x14ac:dyDescent="0.15">
      <c r="B3" s="223" t="s">
        <v>10</v>
      </c>
      <c r="C3" s="223"/>
      <c r="D3" s="223"/>
      <c r="E3" s="43" t="s">
        <v>22</v>
      </c>
    </row>
    <row r="4" spans="2:17" ht="20.100000000000001" customHeight="1" x14ac:dyDescent="0.15">
      <c r="B4" s="223" t="s">
        <v>12</v>
      </c>
      <c r="C4" s="223"/>
      <c r="D4" s="223"/>
      <c r="E4" s="43">
        <v>179145</v>
      </c>
      <c r="J4" s="13"/>
      <c r="K4" s="20"/>
    </row>
    <row r="5" spans="2:17" ht="20.100000000000001" customHeight="1" x14ac:dyDescent="0.15">
      <c r="B5" s="223" t="s">
        <v>13</v>
      </c>
      <c r="C5" s="223"/>
      <c r="D5" s="223"/>
      <c r="E5" s="44"/>
      <c r="J5" s="13"/>
      <c r="K5" s="20"/>
    </row>
    <row r="6" spans="2:17" ht="20.100000000000001" customHeight="1" x14ac:dyDescent="0.15">
      <c r="B6" s="223" t="s">
        <v>14</v>
      </c>
      <c r="C6" s="223"/>
      <c r="D6" s="223"/>
      <c r="E6" s="44"/>
      <c r="J6" s="13"/>
      <c r="K6" s="20"/>
    </row>
    <row r="7" spans="2:17" ht="20.100000000000001" customHeight="1" x14ac:dyDescent="0.15">
      <c r="B7" s="14"/>
      <c r="C7" s="14"/>
      <c r="D7" s="14"/>
      <c r="E7" s="45"/>
      <c r="J7" s="13"/>
      <c r="K7" s="20"/>
      <c r="L7" s="15"/>
    </row>
    <row r="9" spans="2:17" s="2" customFormat="1" ht="19.5" customHeight="1" x14ac:dyDescent="0.15">
      <c r="B9" s="3" t="s">
        <v>4</v>
      </c>
      <c r="C9" s="3" t="s">
        <v>9</v>
      </c>
      <c r="D9" s="3" t="s">
        <v>5</v>
      </c>
      <c r="E9" s="38" t="s">
        <v>8</v>
      </c>
      <c r="F9" s="26" t="s">
        <v>0</v>
      </c>
      <c r="G9" s="34" t="s">
        <v>1</v>
      </c>
      <c r="H9" s="34" t="s">
        <v>2</v>
      </c>
      <c r="I9" s="1" t="s">
        <v>18</v>
      </c>
      <c r="J9" s="1" t="s">
        <v>3</v>
      </c>
      <c r="K9" s="1" t="s">
        <v>17</v>
      </c>
      <c r="L9" s="1" t="s">
        <v>16</v>
      </c>
      <c r="M9" s="10" t="s">
        <v>6</v>
      </c>
      <c r="N9" s="3" t="s">
        <v>19</v>
      </c>
      <c r="O9" s="1" t="s">
        <v>7</v>
      </c>
      <c r="P9" s="10" t="s">
        <v>20</v>
      </c>
      <c r="Q9" s="12" t="s">
        <v>21</v>
      </c>
    </row>
    <row r="10" spans="2:17" s="2" customFormat="1" ht="19.5" customHeight="1" x14ac:dyDescent="0.15">
      <c r="B10" s="32"/>
      <c r="C10" s="3" t="s">
        <v>125</v>
      </c>
      <c r="D10" s="3" t="s">
        <v>125</v>
      </c>
      <c r="E10" s="40" t="s">
        <v>110</v>
      </c>
      <c r="F10" s="40">
        <v>1</v>
      </c>
      <c r="G10" s="35">
        <v>132550</v>
      </c>
      <c r="H10" s="35">
        <f>F10*G10</f>
        <v>132550</v>
      </c>
      <c r="I10" s="1"/>
      <c r="J10" s="53" t="s">
        <v>122</v>
      </c>
      <c r="K10" s="49"/>
      <c r="L10" s="1"/>
      <c r="M10" s="10">
        <v>44041</v>
      </c>
      <c r="N10" s="3"/>
      <c r="O10" s="47"/>
      <c r="P10" s="10">
        <v>44060</v>
      </c>
      <c r="Q10" s="33"/>
    </row>
    <row r="11" spans="2:17" s="2" customFormat="1" ht="19.5" customHeight="1" x14ac:dyDescent="0.15">
      <c r="B11" s="32"/>
      <c r="C11" s="3" t="s">
        <v>125</v>
      </c>
      <c r="D11" s="3" t="s">
        <v>125</v>
      </c>
      <c r="E11" s="40" t="s">
        <v>111</v>
      </c>
      <c r="F11" s="40">
        <v>15</v>
      </c>
      <c r="G11" s="35">
        <v>3400</v>
      </c>
      <c r="H11" s="35">
        <f t="shared" ref="H11:H21" si="0">F11*G11</f>
        <v>51000</v>
      </c>
      <c r="I11" s="1"/>
      <c r="J11" s="53" t="s">
        <v>123</v>
      </c>
      <c r="K11" s="49"/>
      <c r="L11" s="1"/>
      <c r="M11" s="10">
        <v>44041</v>
      </c>
      <c r="N11" s="10"/>
      <c r="O11" s="10"/>
      <c r="P11" s="10">
        <v>44060</v>
      </c>
      <c r="Q11" s="33"/>
    </row>
    <row r="12" spans="2:17" s="2" customFormat="1" ht="19.5" customHeight="1" x14ac:dyDescent="0.15">
      <c r="B12" s="32"/>
      <c r="C12" s="3" t="s">
        <v>125</v>
      </c>
      <c r="D12" s="3" t="s">
        <v>125</v>
      </c>
      <c r="E12" s="40" t="s">
        <v>112</v>
      </c>
      <c r="F12" s="40">
        <v>1</v>
      </c>
      <c r="G12" s="35">
        <v>38000</v>
      </c>
      <c r="H12" s="35">
        <f t="shared" si="0"/>
        <v>38000</v>
      </c>
      <c r="I12" s="1"/>
      <c r="J12" s="53" t="s">
        <v>124</v>
      </c>
      <c r="K12" s="49"/>
      <c r="L12" s="1"/>
      <c r="M12" s="10">
        <v>44041</v>
      </c>
      <c r="N12" s="10"/>
      <c r="O12" s="10"/>
      <c r="P12" s="10">
        <v>44060</v>
      </c>
      <c r="Q12" s="33"/>
    </row>
    <row r="13" spans="2:17" s="21" customFormat="1" ht="19.5" customHeight="1" x14ac:dyDescent="0.15">
      <c r="B13" s="23"/>
      <c r="C13" s="3" t="s">
        <v>125</v>
      </c>
      <c r="D13" s="3" t="s">
        <v>125</v>
      </c>
      <c r="E13" s="40" t="s">
        <v>113</v>
      </c>
      <c r="F13" s="40">
        <v>1</v>
      </c>
      <c r="G13" s="36">
        <v>103256</v>
      </c>
      <c r="H13" s="35">
        <f t="shared" si="0"/>
        <v>103256</v>
      </c>
      <c r="I13" s="24"/>
      <c r="J13" s="53" t="s">
        <v>122</v>
      </c>
      <c r="K13" s="49"/>
      <c r="L13" s="16"/>
      <c r="M13" s="10">
        <v>44041</v>
      </c>
      <c r="N13" s="19"/>
      <c r="O13" s="19"/>
      <c r="P13" s="10">
        <v>44060</v>
      </c>
      <c r="Q13" s="28"/>
    </row>
    <row r="14" spans="2:17" s="21" customFormat="1" ht="19.5" customHeight="1" x14ac:dyDescent="0.15">
      <c r="B14" s="23"/>
      <c r="C14" s="3" t="s">
        <v>125</v>
      </c>
      <c r="D14" s="3" t="s">
        <v>125</v>
      </c>
      <c r="E14" s="40" t="s">
        <v>114</v>
      </c>
      <c r="F14" s="40">
        <v>13</v>
      </c>
      <c r="G14" s="36">
        <v>3400</v>
      </c>
      <c r="H14" s="35">
        <f t="shared" si="0"/>
        <v>44200</v>
      </c>
      <c r="I14" s="24"/>
      <c r="J14" s="53" t="s">
        <v>123</v>
      </c>
      <c r="K14" s="49"/>
      <c r="L14" s="16"/>
      <c r="M14" s="10">
        <v>44041</v>
      </c>
      <c r="N14" s="19"/>
      <c r="O14" s="19"/>
      <c r="P14" s="10">
        <v>44060</v>
      </c>
      <c r="Q14" s="28"/>
    </row>
    <row r="15" spans="2:17" s="25" customFormat="1" ht="19.5" customHeight="1" x14ac:dyDescent="0.15">
      <c r="B15" s="23"/>
      <c r="C15" s="3" t="s">
        <v>125</v>
      </c>
      <c r="D15" s="3" t="s">
        <v>125</v>
      </c>
      <c r="E15" s="40" t="s">
        <v>115</v>
      </c>
      <c r="F15" s="40">
        <v>1</v>
      </c>
      <c r="G15" s="36">
        <v>0</v>
      </c>
      <c r="H15" s="35">
        <f t="shared" si="0"/>
        <v>0</v>
      </c>
      <c r="I15" s="24"/>
      <c r="J15" s="53" t="s">
        <v>124</v>
      </c>
      <c r="K15" s="49"/>
      <c r="L15" s="38"/>
      <c r="M15" s="10">
        <v>44041</v>
      </c>
      <c r="N15" s="48"/>
      <c r="O15" s="19"/>
      <c r="P15" s="10">
        <v>44060</v>
      </c>
      <c r="Q15" s="28"/>
    </row>
    <row r="16" spans="2:17" s="25" customFormat="1" ht="19.5" customHeight="1" x14ac:dyDescent="0.15">
      <c r="B16" s="23"/>
      <c r="C16" s="3" t="s">
        <v>125</v>
      </c>
      <c r="D16" s="3" t="s">
        <v>125</v>
      </c>
      <c r="E16" s="40" t="s">
        <v>116</v>
      </c>
      <c r="F16" s="40">
        <v>1</v>
      </c>
      <c r="G16" s="36">
        <v>462145</v>
      </c>
      <c r="H16" s="35">
        <f t="shared" si="0"/>
        <v>462145</v>
      </c>
      <c r="I16" s="24"/>
      <c r="J16" s="53" t="s">
        <v>122</v>
      </c>
      <c r="K16" s="49"/>
      <c r="L16" s="38"/>
      <c r="M16" s="10">
        <v>44041</v>
      </c>
      <c r="N16" s="48"/>
      <c r="O16" s="19"/>
      <c r="P16" s="10">
        <v>44060</v>
      </c>
      <c r="Q16" s="28"/>
    </row>
    <row r="17" spans="2:17" ht="19.5" customHeight="1" x14ac:dyDescent="0.15">
      <c r="B17" s="22"/>
      <c r="C17" s="3" t="s">
        <v>125</v>
      </c>
      <c r="D17" s="3" t="s">
        <v>125</v>
      </c>
      <c r="E17" s="40" t="s">
        <v>117</v>
      </c>
      <c r="F17" s="40">
        <v>28</v>
      </c>
      <c r="G17" s="36">
        <v>3400</v>
      </c>
      <c r="H17" s="35">
        <f t="shared" si="0"/>
        <v>95200</v>
      </c>
      <c r="I17" s="24"/>
      <c r="J17" s="53" t="s">
        <v>123</v>
      </c>
      <c r="K17" s="40"/>
      <c r="L17" s="22"/>
      <c r="M17" s="10">
        <v>44041</v>
      </c>
      <c r="N17" s="40"/>
      <c r="O17" s="22"/>
      <c r="P17" s="10">
        <v>44060</v>
      </c>
      <c r="Q17" s="30"/>
    </row>
    <row r="18" spans="2:17" ht="20.100000000000001" customHeight="1" x14ac:dyDescent="0.15">
      <c r="B18" s="22"/>
      <c r="C18" s="3" t="s">
        <v>125</v>
      </c>
      <c r="D18" s="3" t="s">
        <v>125</v>
      </c>
      <c r="E18" s="40" t="s">
        <v>118</v>
      </c>
      <c r="F18" s="40">
        <v>1</v>
      </c>
      <c r="G18" s="40">
        <v>0</v>
      </c>
      <c r="H18" s="35">
        <f t="shared" si="0"/>
        <v>0</v>
      </c>
      <c r="I18" s="24"/>
      <c r="J18" s="53" t="s">
        <v>124</v>
      </c>
      <c r="K18" s="38"/>
      <c r="L18" s="22"/>
      <c r="M18" s="10">
        <v>44041</v>
      </c>
      <c r="N18" s="40"/>
      <c r="O18" s="22"/>
      <c r="P18" s="10">
        <v>44060</v>
      </c>
      <c r="Q18" s="30"/>
    </row>
    <row r="19" spans="2:17" ht="20.100000000000001" customHeight="1" x14ac:dyDescent="0.15">
      <c r="B19" s="22"/>
      <c r="C19" s="3" t="s">
        <v>125</v>
      </c>
      <c r="D19" s="3" t="s">
        <v>125</v>
      </c>
      <c r="E19" s="40" t="s">
        <v>119</v>
      </c>
      <c r="F19" s="40">
        <v>1</v>
      </c>
      <c r="G19" s="40">
        <v>464275</v>
      </c>
      <c r="H19" s="35">
        <f t="shared" si="0"/>
        <v>464275</v>
      </c>
      <c r="I19" s="24"/>
      <c r="J19" s="53" t="s">
        <v>122</v>
      </c>
      <c r="K19" s="38"/>
      <c r="L19" s="22"/>
      <c r="M19" s="10">
        <v>44041</v>
      </c>
      <c r="N19" s="40"/>
      <c r="O19" s="22"/>
      <c r="P19" s="10">
        <v>44060</v>
      </c>
      <c r="Q19" s="30"/>
    </row>
    <row r="20" spans="2:17" ht="20.100000000000001" customHeight="1" x14ac:dyDescent="0.15">
      <c r="B20" s="22"/>
      <c r="C20" s="3" t="s">
        <v>125</v>
      </c>
      <c r="D20" s="3" t="s">
        <v>125</v>
      </c>
      <c r="E20" s="40" t="s">
        <v>120</v>
      </c>
      <c r="F20" s="40">
        <v>29</v>
      </c>
      <c r="G20" s="40">
        <v>3400</v>
      </c>
      <c r="H20" s="35">
        <f t="shared" si="0"/>
        <v>98600</v>
      </c>
      <c r="I20" s="24"/>
      <c r="J20" s="53" t="s">
        <v>123</v>
      </c>
      <c r="K20" s="38"/>
      <c r="L20" s="22"/>
      <c r="M20" s="10">
        <v>44041</v>
      </c>
      <c r="N20" s="40"/>
      <c r="O20" s="22"/>
      <c r="P20" s="10">
        <v>44060</v>
      </c>
      <c r="Q20" s="30"/>
    </row>
    <row r="21" spans="2:17" ht="20.100000000000001" customHeight="1" x14ac:dyDescent="0.15">
      <c r="B21" s="22"/>
      <c r="C21" s="3" t="s">
        <v>125</v>
      </c>
      <c r="D21" s="3" t="s">
        <v>125</v>
      </c>
      <c r="E21" s="40" t="s">
        <v>121</v>
      </c>
      <c r="F21" s="40">
        <v>1</v>
      </c>
      <c r="G21" s="40">
        <v>0</v>
      </c>
      <c r="H21" s="35">
        <f t="shared" si="0"/>
        <v>0</v>
      </c>
      <c r="I21" s="24"/>
      <c r="J21" s="53" t="s">
        <v>124</v>
      </c>
      <c r="K21" s="38"/>
      <c r="L21" s="22"/>
      <c r="M21" s="10">
        <v>44041</v>
      </c>
      <c r="N21" s="40"/>
      <c r="O21" s="22"/>
      <c r="P21" s="10">
        <v>44060</v>
      </c>
      <c r="Q21" s="30"/>
    </row>
    <row r="22" spans="2:17" ht="20.100000000000001" customHeight="1" x14ac:dyDescent="0.15">
      <c r="B22" s="22"/>
      <c r="C22" s="22" t="s">
        <v>310</v>
      </c>
      <c r="D22" s="22" t="s">
        <v>311</v>
      </c>
      <c r="E22" s="40" t="s">
        <v>312</v>
      </c>
      <c r="F22" s="40">
        <v>2</v>
      </c>
      <c r="G22" s="40">
        <v>287500</v>
      </c>
      <c r="H22" s="40">
        <f>F22*G22</f>
        <v>575000</v>
      </c>
      <c r="I22" s="24"/>
      <c r="J22" s="40" t="s">
        <v>315</v>
      </c>
      <c r="K22" s="49"/>
      <c r="L22" s="22"/>
      <c r="M22" s="31">
        <v>44048</v>
      </c>
      <c r="N22" s="40"/>
      <c r="O22" s="22"/>
      <c r="P22" s="41"/>
      <c r="Q22" s="30"/>
    </row>
    <row r="23" spans="2:17" ht="20.100000000000001" customHeight="1" x14ac:dyDescent="0.15">
      <c r="B23" s="22"/>
      <c r="C23" s="82" t="s">
        <v>310</v>
      </c>
      <c r="D23" s="82" t="s">
        <v>311</v>
      </c>
      <c r="E23" s="40" t="s">
        <v>313</v>
      </c>
      <c r="F23" s="40">
        <v>4</v>
      </c>
      <c r="G23" s="40">
        <v>304000</v>
      </c>
      <c r="H23" s="40">
        <f>F23*G23</f>
        <v>1216000</v>
      </c>
      <c r="I23" s="24"/>
      <c r="J23" s="40" t="s">
        <v>315</v>
      </c>
      <c r="K23" s="49"/>
      <c r="L23" s="22"/>
      <c r="M23" s="31">
        <v>44048</v>
      </c>
      <c r="N23" s="40"/>
      <c r="O23" s="22"/>
      <c r="P23" s="41"/>
      <c r="Q23" s="30"/>
    </row>
    <row r="24" spans="2:17" ht="19.5" customHeight="1" x14ac:dyDescent="0.15">
      <c r="B24" s="22"/>
      <c r="C24" s="82" t="s">
        <v>310</v>
      </c>
      <c r="D24" s="82" t="s">
        <v>311</v>
      </c>
      <c r="E24" s="40" t="s">
        <v>314</v>
      </c>
      <c r="F24" s="40">
        <v>1</v>
      </c>
      <c r="G24" s="40">
        <v>297800</v>
      </c>
      <c r="H24" s="40">
        <f>F24*G24</f>
        <v>297800</v>
      </c>
      <c r="I24" s="24"/>
      <c r="J24" s="40" t="s">
        <v>315</v>
      </c>
      <c r="K24" s="49"/>
      <c r="L24" s="22"/>
      <c r="M24" s="31">
        <v>44048</v>
      </c>
      <c r="N24" s="40"/>
      <c r="O24" s="22"/>
      <c r="P24" s="41"/>
      <c r="Q24" s="30"/>
    </row>
    <row r="25" spans="2:17" ht="20.100000000000001" customHeight="1" x14ac:dyDescent="0.15">
      <c r="B25" s="22"/>
      <c r="C25" s="22" t="s">
        <v>319</v>
      </c>
      <c r="D25" s="84" t="s">
        <v>319</v>
      </c>
      <c r="E25" s="40" t="s">
        <v>318</v>
      </c>
      <c r="F25" s="40">
        <v>2</v>
      </c>
      <c r="G25" s="40"/>
      <c r="H25" s="40"/>
      <c r="I25" s="24"/>
      <c r="J25" s="40" t="s">
        <v>318</v>
      </c>
      <c r="K25" s="38"/>
      <c r="L25" s="22"/>
      <c r="M25" s="31"/>
      <c r="N25" s="40"/>
      <c r="O25" s="22"/>
      <c r="P25" s="41"/>
      <c r="Q25" s="30"/>
    </row>
    <row r="26" spans="2:17" ht="20.100000000000001" customHeight="1" x14ac:dyDescent="0.15">
      <c r="B26" s="22"/>
      <c r="C26" s="3" t="s">
        <v>125</v>
      </c>
      <c r="D26" s="3" t="s">
        <v>125</v>
      </c>
      <c r="E26" s="40" t="s">
        <v>396</v>
      </c>
      <c r="F26" s="40">
        <v>2</v>
      </c>
      <c r="G26" s="40">
        <v>1670</v>
      </c>
      <c r="H26" s="40">
        <v>3340</v>
      </c>
      <c r="I26" s="24"/>
      <c r="J26" s="40" t="s">
        <v>324</v>
      </c>
      <c r="K26" s="38"/>
      <c r="L26" s="22"/>
      <c r="M26" s="31">
        <v>44054</v>
      </c>
      <c r="N26" s="40"/>
      <c r="O26" s="22"/>
      <c r="P26" s="41"/>
      <c r="Q26" s="30"/>
    </row>
    <row r="27" spans="2:17" ht="20.100000000000001" customHeight="1" x14ac:dyDescent="0.15">
      <c r="B27" s="22"/>
      <c r="C27" s="3" t="s">
        <v>125</v>
      </c>
      <c r="D27" s="3" t="s">
        <v>125</v>
      </c>
      <c r="E27" s="40" t="s">
        <v>327</v>
      </c>
      <c r="F27" s="40">
        <v>1</v>
      </c>
      <c r="G27" s="40">
        <v>2610</v>
      </c>
      <c r="H27" s="40">
        <v>2610</v>
      </c>
      <c r="I27" s="24"/>
      <c r="J27" s="40" t="s">
        <v>325</v>
      </c>
      <c r="K27" s="38"/>
      <c r="L27" s="22"/>
      <c r="M27" s="31">
        <v>44054</v>
      </c>
      <c r="N27" s="40"/>
      <c r="O27" s="22"/>
      <c r="P27" s="41"/>
      <c r="Q27" s="30"/>
    </row>
    <row r="28" spans="2:17" ht="20.100000000000001" customHeight="1" x14ac:dyDescent="0.15">
      <c r="B28" s="22"/>
      <c r="C28" s="3" t="s">
        <v>125</v>
      </c>
      <c r="D28" s="3" t="s">
        <v>125</v>
      </c>
      <c r="E28" s="40" t="s">
        <v>328</v>
      </c>
      <c r="F28" s="40">
        <v>1</v>
      </c>
      <c r="G28" s="40">
        <v>3060</v>
      </c>
      <c r="H28" s="40">
        <v>3060</v>
      </c>
      <c r="I28" s="24"/>
      <c r="J28" s="40" t="s">
        <v>326</v>
      </c>
      <c r="K28" s="38"/>
      <c r="L28" s="22"/>
      <c r="M28" s="31">
        <v>44054</v>
      </c>
      <c r="N28" s="40"/>
      <c r="O28" s="22"/>
      <c r="P28" s="41"/>
      <c r="Q28" s="30"/>
    </row>
    <row r="29" spans="2:17" ht="20.100000000000001" customHeight="1" x14ac:dyDescent="0.15">
      <c r="B29" s="22"/>
      <c r="C29" s="3" t="s">
        <v>125</v>
      </c>
      <c r="D29" s="3" t="s">
        <v>125</v>
      </c>
      <c r="E29" s="40" t="s">
        <v>395</v>
      </c>
      <c r="F29" s="40">
        <v>2</v>
      </c>
      <c r="G29" s="40">
        <v>2650</v>
      </c>
      <c r="H29" s="40">
        <v>5300</v>
      </c>
      <c r="I29" s="24"/>
      <c r="J29" s="40" t="s">
        <v>331</v>
      </c>
      <c r="K29" s="38"/>
      <c r="L29" s="22"/>
      <c r="M29" s="31">
        <v>44054</v>
      </c>
      <c r="N29" s="40"/>
      <c r="O29" s="22"/>
      <c r="P29" s="41"/>
      <c r="Q29" s="30"/>
    </row>
    <row r="30" spans="2:17" ht="20.100000000000001" customHeight="1" x14ac:dyDescent="0.15">
      <c r="B30" s="22"/>
      <c r="C30" s="3" t="s">
        <v>125</v>
      </c>
      <c r="D30" s="3" t="s">
        <v>125</v>
      </c>
      <c r="E30" s="40" t="s">
        <v>329</v>
      </c>
      <c r="F30" s="40">
        <v>1</v>
      </c>
      <c r="G30" s="40">
        <v>2320</v>
      </c>
      <c r="H30" s="40">
        <v>2320</v>
      </c>
      <c r="I30" s="24"/>
      <c r="J30" s="40" t="s">
        <v>330</v>
      </c>
      <c r="K30" s="38"/>
      <c r="L30" s="22"/>
      <c r="M30" s="31">
        <v>44054</v>
      </c>
      <c r="N30" s="40"/>
      <c r="O30" s="22"/>
      <c r="P30" s="41"/>
      <c r="Q30" s="30"/>
    </row>
    <row r="31" spans="2:17" ht="20.100000000000001" customHeight="1" x14ac:dyDescent="0.15">
      <c r="B31" s="22"/>
      <c r="C31" s="3" t="s">
        <v>125</v>
      </c>
      <c r="D31" s="3" t="s">
        <v>125</v>
      </c>
      <c r="E31" s="40" t="s">
        <v>394</v>
      </c>
      <c r="F31" s="40">
        <v>2</v>
      </c>
      <c r="G31" s="40">
        <v>1660</v>
      </c>
      <c r="H31" s="40">
        <v>3320</v>
      </c>
      <c r="I31" s="24"/>
      <c r="J31" s="40" t="s">
        <v>320</v>
      </c>
      <c r="K31" s="38"/>
      <c r="L31" s="22"/>
      <c r="M31" s="31">
        <v>44054</v>
      </c>
      <c r="N31" s="40"/>
      <c r="O31" s="22"/>
      <c r="P31" s="41"/>
      <c r="Q31" s="30"/>
    </row>
    <row r="32" spans="2:17" ht="20.100000000000001" customHeight="1" x14ac:dyDescent="0.15">
      <c r="B32" s="22"/>
      <c r="C32" s="3" t="s">
        <v>125</v>
      </c>
      <c r="D32" s="3" t="s">
        <v>125</v>
      </c>
      <c r="E32" s="40" t="s">
        <v>334</v>
      </c>
      <c r="F32" s="40">
        <v>2</v>
      </c>
      <c r="G32" s="40">
        <v>1290</v>
      </c>
      <c r="H32" s="40">
        <v>2580</v>
      </c>
      <c r="I32" s="24"/>
      <c r="J32" s="40" t="s">
        <v>332</v>
      </c>
      <c r="K32" s="38"/>
      <c r="L32" s="22"/>
      <c r="M32" s="31">
        <v>44054</v>
      </c>
      <c r="N32" s="40"/>
      <c r="O32" s="22"/>
      <c r="P32" s="41"/>
      <c r="Q32" s="30"/>
    </row>
    <row r="33" spans="2:17" ht="20.100000000000001" customHeight="1" x14ac:dyDescent="0.15">
      <c r="B33" s="22"/>
      <c r="C33" s="3" t="s">
        <v>125</v>
      </c>
      <c r="D33" s="3" t="s">
        <v>125</v>
      </c>
      <c r="E33" s="40" t="s">
        <v>335</v>
      </c>
      <c r="F33" s="40">
        <v>1</v>
      </c>
      <c r="G33" s="40">
        <v>2390</v>
      </c>
      <c r="H33" s="40">
        <v>2390</v>
      </c>
      <c r="I33" s="24"/>
      <c r="J33" s="40" t="s">
        <v>333</v>
      </c>
      <c r="K33" s="38"/>
      <c r="L33" s="22"/>
      <c r="M33" s="31">
        <v>44054</v>
      </c>
      <c r="N33" s="40"/>
      <c r="O33" s="22"/>
      <c r="P33" s="41"/>
      <c r="Q33" s="30"/>
    </row>
    <row r="34" spans="2:17" ht="20.100000000000001" customHeight="1" x14ac:dyDescent="0.15">
      <c r="B34" s="22"/>
      <c r="C34" s="3" t="s">
        <v>125</v>
      </c>
      <c r="D34" s="3" t="s">
        <v>125</v>
      </c>
      <c r="E34" s="40" t="s">
        <v>321</v>
      </c>
      <c r="F34" s="40">
        <v>2</v>
      </c>
      <c r="G34" s="40">
        <v>2700</v>
      </c>
      <c r="H34" s="40">
        <v>5400</v>
      </c>
      <c r="I34" s="24"/>
      <c r="J34" s="40" t="s">
        <v>322</v>
      </c>
      <c r="K34" s="38"/>
      <c r="L34" s="22"/>
      <c r="M34" s="31">
        <v>44054</v>
      </c>
      <c r="N34" s="40"/>
      <c r="O34" s="22"/>
      <c r="P34" s="41"/>
      <c r="Q34" s="30"/>
    </row>
    <row r="35" spans="2:17" ht="20.100000000000001" customHeight="1" x14ac:dyDescent="0.15">
      <c r="B35" s="22"/>
      <c r="C35" s="3" t="s">
        <v>125</v>
      </c>
      <c r="D35" s="3" t="s">
        <v>125</v>
      </c>
      <c r="E35" s="40" t="s">
        <v>393</v>
      </c>
      <c r="F35" s="40">
        <v>2</v>
      </c>
      <c r="G35" s="40">
        <v>2900</v>
      </c>
      <c r="H35" s="40">
        <v>5800</v>
      </c>
      <c r="I35" s="24"/>
      <c r="J35" s="40" t="s">
        <v>323</v>
      </c>
      <c r="K35" s="38"/>
      <c r="L35" s="22"/>
      <c r="M35" s="31">
        <v>44054</v>
      </c>
      <c r="N35" s="40"/>
      <c r="O35" s="22"/>
      <c r="P35" s="41"/>
      <c r="Q35" s="30"/>
    </row>
    <row r="36" spans="2:17" ht="20.100000000000001" customHeight="1" x14ac:dyDescent="0.15">
      <c r="B36" s="22"/>
      <c r="C36" s="84" t="s">
        <v>319</v>
      </c>
      <c r="D36" s="84" t="s">
        <v>319</v>
      </c>
      <c r="E36" s="40" t="s">
        <v>336</v>
      </c>
      <c r="F36" s="40">
        <v>1</v>
      </c>
      <c r="G36" s="40"/>
      <c r="H36" s="40"/>
      <c r="I36" s="24"/>
      <c r="J36" s="40" t="s">
        <v>336</v>
      </c>
      <c r="K36" s="38"/>
      <c r="L36" s="22"/>
      <c r="M36" s="31"/>
      <c r="N36" s="40"/>
      <c r="O36" s="22"/>
      <c r="P36" s="41"/>
      <c r="Q36" s="30"/>
    </row>
    <row r="37" spans="2:17" ht="20.100000000000001" customHeight="1" x14ac:dyDescent="0.15">
      <c r="B37" s="22"/>
      <c r="C37" s="84" t="s">
        <v>319</v>
      </c>
      <c r="D37" s="84" t="s">
        <v>319</v>
      </c>
      <c r="E37" s="40" t="s">
        <v>337</v>
      </c>
      <c r="F37" s="24">
        <v>1</v>
      </c>
      <c r="G37" s="36"/>
      <c r="H37" s="36"/>
      <c r="I37" s="24"/>
      <c r="J37" s="40" t="s">
        <v>337</v>
      </c>
      <c r="K37" s="38"/>
      <c r="L37" s="22"/>
      <c r="M37" s="31"/>
      <c r="N37" s="40"/>
      <c r="O37" s="22"/>
      <c r="P37" s="41"/>
      <c r="Q37" s="30"/>
    </row>
    <row r="38" spans="2:17" ht="20.100000000000001" customHeight="1" x14ac:dyDescent="0.15">
      <c r="B38" s="22"/>
      <c r="C38" s="84" t="s">
        <v>319</v>
      </c>
      <c r="D38" s="84" t="s">
        <v>319</v>
      </c>
      <c r="E38" s="40" t="s">
        <v>338</v>
      </c>
      <c r="F38" s="40">
        <v>4</v>
      </c>
      <c r="G38" s="40"/>
      <c r="H38" s="40"/>
      <c r="I38" s="24"/>
      <c r="J38" s="40" t="s">
        <v>338</v>
      </c>
      <c r="K38" s="38"/>
      <c r="L38" s="22"/>
      <c r="M38" s="31"/>
      <c r="N38" s="40"/>
      <c r="O38" s="22"/>
      <c r="P38" s="41"/>
      <c r="Q38" s="30"/>
    </row>
    <row r="39" spans="2:17" ht="20.100000000000001" customHeight="1" x14ac:dyDescent="0.15">
      <c r="B39" s="22"/>
      <c r="C39" s="3" t="s">
        <v>125</v>
      </c>
      <c r="D39" s="3" t="s">
        <v>125</v>
      </c>
      <c r="E39" s="40" t="s">
        <v>341</v>
      </c>
      <c r="F39" s="40">
        <v>4</v>
      </c>
      <c r="G39" s="40">
        <v>5205</v>
      </c>
      <c r="H39" s="40">
        <v>20820</v>
      </c>
      <c r="I39" s="24"/>
      <c r="J39" s="40" t="s">
        <v>339</v>
      </c>
      <c r="K39" s="38"/>
      <c r="L39" s="22"/>
      <c r="M39" s="31">
        <v>44054</v>
      </c>
      <c r="N39" s="40"/>
      <c r="O39" s="22"/>
      <c r="P39" s="41"/>
      <c r="Q39" s="30"/>
    </row>
    <row r="40" spans="2:17" ht="20.100000000000001" customHeight="1" x14ac:dyDescent="0.15">
      <c r="B40" s="22"/>
      <c r="C40" s="3" t="s">
        <v>125</v>
      </c>
      <c r="D40" s="3" t="s">
        <v>125</v>
      </c>
      <c r="E40" s="40" t="s">
        <v>342</v>
      </c>
      <c r="F40" s="40">
        <v>4</v>
      </c>
      <c r="G40" s="40">
        <v>1570</v>
      </c>
      <c r="H40" s="40">
        <v>6280</v>
      </c>
      <c r="I40" s="24"/>
      <c r="J40" s="40" t="s">
        <v>340</v>
      </c>
      <c r="K40" s="38"/>
      <c r="L40" s="22"/>
      <c r="M40" s="31">
        <v>44054</v>
      </c>
      <c r="N40" s="40"/>
      <c r="O40" s="22"/>
      <c r="P40" s="41"/>
      <c r="Q40" s="30"/>
    </row>
    <row r="41" spans="2:17" ht="20.100000000000001" customHeight="1" x14ac:dyDescent="0.15">
      <c r="B41" s="22"/>
      <c r="C41" s="3" t="s">
        <v>125</v>
      </c>
      <c r="D41" s="3" t="s">
        <v>125</v>
      </c>
      <c r="E41" s="40" t="s">
        <v>345</v>
      </c>
      <c r="F41" s="40">
        <v>4</v>
      </c>
      <c r="G41" s="40">
        <v>2250</v>
      </c>
      <c r="H41" s="40">
        <v>9000</v>
      </c>
      <c r="I41" s="24"/>
      <c r="J41" s="40" t="s">
        <v>343</v>
      </c>
      <c r="K41" s="38"/>
      <c r="L41" s="22"/>
      <c r="M41" s="31">
        <v>44054</v>
      </c>
      <c r="N41" s="40"/>
      <c r="O41" s="22"/>
      <c r="P41" s="41"/>
      <c r="Q41" s="30"/>
    </row>
    <row r="42" spans="2:17" ht="20.100000000000001" customHeight="1" x14ac:dyDescent="0.15">
      <c r="B42" s="22"/>
      <c r="C42" s="3" t="s">
        <v>125</v>
      </c>
      <c r="D42" s="3" t="s">
        <v>125</v>
      </c>
      <c r="E42" s="40" t="s">
        <v>346</v>
      </c>
      <c r="F42" s="40">
        <v>2</v>
      </c>
      <c r="G42" s="40">
        <v>1760</v>
      </c>
      <c r="H42" s="40">
        <v>3520</v>
      </c>
      <c r="I42" s="24"/>
      <c r="J42" s="40" t="s">
        <v>344</v>
      </c>
      <c r="K42" s="38"/>
      <c r="L42" s="22"/>
      <c r="M42" s="31">
        <v>44054</v>
      </c>
      <c r="N42" s="40"/>
      <c r="O42" s="22"/>
      <c r="P42" s="41"/>
      <c r="Q42" s="30"/>
    </row>
    <row r="43" spans="2:17" ht="20.100000000000001" customHeight="1" x14ac:dyDescent="0.15">
      <c r="B43" s="22"/>
      <c r="C43" s="3" t="s">
        <v>125</v>
      </c>
      <c r="D43" s="3" t="s">
        <v>125</v>
      </c>
      <c r="E43" s="40" t="s">
        <v>398</v>
      </c>
      <c r="F43" s="40">
        <v>1</v>
      </c>
      <c r="G43" s="40">
        <v>5980</v>
      </c>
      <c r="H43" s="40">
        <v>5980</v>
      </c>
      <c r="I43" s="24"/>
      <c r="J43" s="40" t="s">
        <v>347</v>
      </c>
      <c r="K43" s="38"/>
      <c r="L43" s="22"/>
      <c r="M43" s="31">
        <v>44054</v>
      </c>
      <c r="N43" s="40"/>
      <c r="O43" s="22"/>
      <c r="P43" s="41"/>
      <c r="Q43" s="30"/>
    </row>
    <row r="44" spans="2:17" ht="20.100000000000001" customHeight="1" x14ac:dyDescent="0.15">
      <c r="B44" s="22"/>
      <c r="C44" s="3" t="s">
        <v>125</v>
      </c>
      <c r="D44" s="3" t="s">
        <v>125</v>
      </c>
      <c r="E44" s="40" t="s">
        <v>397</v>
      </c>
      <c r="F44" s="40">
        <v>1</v>
      </c>
      <c r="G44" s="40">
        <v>6960</v>
      </c>
      <c r="H44" s="40">
        <v>6960</v>
      </c>
      <c r="I44" s="24"/>
      <c r="J44" s="40" t="s">
        <v>348</v>
      </c>
      <c r="K44" s="38"/>
      <c r="L44" s="22"/>
      <c r="M44" s="31">
        <v>44054</v>
      </c>
      <c r="N44" s="40"/>
      <c r="O44" s="22"/>
      <c r="P44" s="41"/>
      <c r="Q44" s="30"/>
    </row>
    <row r="45" spans="2:17" ht="20.100000000000001" customHeight="1" x14ac:dyDescent="0.15">
      <c r="B45" s="22"/>
      <c r="C45" s="3" t="s">
        <v>125</v>
      </c>
      <c r="D45" s="3" t="s">
        <v>125</v>
      </c>
      <c r="E45" s="40" t="s">
        <v>350</v>
      </c>
      <c r="F45" s="40">
        <v>1</v>
      </c>
      <c r="G45" s="40">
        <v>6020</v>
      </c>
      <c r="H45" s="40">
        <v>6020</v>
      </c>
      <c r="I45" s="24"/>
      <c r="J45" s="40" t="s">
        <v>349</v>
      </c>
      <c r="K45" s="38"/>
      <c r="L45" s="22"/>
      <c r="M45" s="31">
        <v>44054</v>
      </c>
      <c r="N45" s="40"/>
      <c r="O45" s="22"/>
      <c r="P45" s="41"/>
      <c r="Q45" s="30"/>
    </row>
    <row r="46" spans="2:17" ht="20.100000000000001" customHeight="1" x14ac:dyDescent="0.15">
      <c r="B46" s="22"/>
      <c r="C46" s="16" t="s">
        <v>125</v>
      </c>
      <c r="D46" s="16" t="s">
        <v>125</v>
      </c>
      <c r="E46" s="40" t="s">
        <v>371</v>
      </c>
      <c r="F46" s="40">
        <v>2</v>
      </c>
      <c r="G46" s="40">
        <v>4440</v>
      </c>
      <c r="H46" s="40">
        <v>8880</v>
      </c>
      <c r="I46" s="24"/>
      <c r="J46" s="40" t="s">
        <v>356</v>
      </c>
      <c r="K46" s="38"/>
      <c r="L46" s="22"/>
      <c r="M46" s="31">
        <v>44054</v>
      </c>
      <c r="N46" s="40"/>
      <c r="O46" s="22"/>
      <c r="P46" s="41"/>
      <c r="Q46" s="30"/>
    </row>
    <row r="47" spans="2:17" ht="20.100000000000001" customHeight="1" x14ac:dyDescent="0.15">
      <c r="B47" s="22"/>
      <c r="C47" s="16" t="s">
        <v>125</v>
      </c>
      <c r="D47" s="16" t="s">
        <v>125</v>
      </c>
      <c r="E47" s="40" t="s">
        <v>372</v>
      </c>
      <c r="F47" s="40">
        <v>1</v>
      </c>
      <c r="G47" s="40">
        <v>5230</v>
      </c>
      <c r="H47" s="40">
        <v>5230</v>
      </c>
      <c r="I47" s="24"/>
      <c r="J47" s="40" t="s">
        <v>357</v>
      </c>
      <c r="K47" s="38"/>
      <c r="L47" s="22"/>
      <c r="M47" s="31">
        <v>44054</v>
      </c>
      <c r="N47" s="40"/>
      <c r="O47" s="22"/>
      <c r="P47" s="41"/>
      <c r="Q47" s="30"/>
    </row>
    <row r="48" spans="2:17" ht="20.100000000000001" customHeight="1" x14ac:dyDescent="0.15">
      <c r="B48" s="22"/>
      <c r="C48" s="16" t="s">
        <v>125</v>
      </c>
      <c r="D48" s="16" t="s">
        <v>125</v>
      </c>
      <c r="E48" s="40" t="s">
        <v>373</v>
      </c>
      <c r="F48" s="40">
        <v>1</v>
      </c>
      <c r="G48" s="40">
        <v>2930</v>
      </c>
      <c r="H48" s="40">
        <v>2930</v>
      </c>
      <c r="I48" s="24"/>
      <c r="J48" s="40" t="s">
        <v>358</v>
      </c>
      <c r="K48" s="38"/>
      <c r="L48" s="22"/>
      <c r="M48" s="31">
        <v>44054</v>
      </c>
      <c r="N48" s="40"/>
      <c r="O48" s="22"/>
      <c r="P48" s="41"/>
      <c r="Q48" s="30"/>
    </row>
    <row r="49" spans="2:17" ht="20.100000000000001" customHeight="1" x14ac:dyDescent="0.15">
      <c r="B49" s="22"/>
      <c r="C49" s="16" t="s">
        <v>125</v>
      </c>
      <c r="D49" s="16" t="s">
        <v>125</v>
      </c>
      <c r="E49" s="40" t="s">
        <v>374</v>
      </c>
      <c r="F49" s="40">
        <v>1</v>
      </c>
      <c r="G49" s="40">
        <v>5550</v>
      </c>
      <c r="H49" s="40">
        <v>5550</v>
      </c>
      <c r="I49" s="24"/>
      <c r="J49" s="40" t="s">
        <v>359</v>
      </c>
      <c r="K49" s="38"/>
      <c r="L49" s="22"/>
      <c r="M49" s="31">
        <v>44054</v>
      </c>
      <c r="N49" s="40"/>
      <c r="O49" s="22"/>
      <c r="P49" s="41"/>
      <c r="Q49" s="30"/>
    </row>
    <row r="50" spans="2:17" ht="20.100000000000001" customHeight="1" x14ac:dyDescent="0.15">
      <c r="B50" s="22"/>
      <c r="C50" s="16" t="s">
        <v>125</v>
      </c>
      <c r="D50" s="16" t="s">
        <v>125</v>
      </c>
      <c r="E50" s="40" t="s">
        <v>375</v>
      </c>
      <c r="F50" s="40">
        <v>1</v>
      </c>
      <c r="G50" s="40">
        <v>7140</v>
      </c>
      <c r="H50" s="40">
        <v>7140</v>
      </c>
      <c r="I50" s="24"/>
      <c r="J50" s="40" t="s">
        <v>360</v>
      </c>
      <c r="K50" s="38"/>
      <c r="L50" s="22"/>
      <c r="M50" s="31">
        <v>44054</v>
      </c>
      <c r="N50" s="40"/>
      <c r="O50" s="22"/>
      <c r="P50" s="41"/>
      <c r="Q50" s="30"/>
    </row>
    <row r="51" spans="2:17" ht="20.100000000000001" customHeight="1" x14ac:dyDescent="0.15">
      <c r="B51" s="22"/>
      <c r="C51" s="16" t="s">
        <v>125</v>
      </c>
      <c r="D51" s="16" t="s">
        <v>125</v>
      </c>
      <c r="E51" s="40" t="s">
        <v>376</v>
      </c>
      <c r="F51" s="40">
        <v>1</v>
      </c>
      <c r="G51" s="40">
        <v>3340</v>
      </c>
      <c r="H51" s="40">
        <v>3340</v>
      </c>
      <c r="I51" s="24"/>
      <c r="J51" s="40" t="s">
        <v>361</v>
      </c>
      <c r="K51" s="38"/>
      <c r="L51" s="22"/>
      <c r="M51" s="31">
        <v>44054</v>
      </c>
      <c r="N51" s="40"/>
      <c r="O51" s="22"/>
      <c r="P51" s="41"/>
      <c r="Q51" s="30"/>
    </row>
    <row r="52" spans="2:17" ht="20.100000000000001" customHeight="1" x14ac:dyDescent="0.15">
      <c r="B52" s="22"/>
      <c r="C52" s="16" t="s">
        <v>125</v>
      </c>
      <c r="D52" s="16" t="s">
        <v>125</v>
      </c>
      <c r="E52" s="40" t="s">
        <v>377</v>
      </c>
      <c r="F52" s="40">
        <v>1</v>
      </c>
      <c r="G52" s="40">
        <v>5610</v>
      </c>
      <c r="H52" s="40">
        <v>5610</v>
      </c>
      <c r="I52" s="24"/>
      <c r="J52" s="40" t="s">
        <v>362</v>
      </c>
      <c r="K52" s="38"/>
      <c r="L52" s="22"/>
      <c r="M52" s="31">
        <v>44054</v>
      </c>
      <c r="N52" s="40"/>
      <c r="O52" s="22"/>
      <c r="P52" s="41"/>
      <c r="Q52" s="30"/>
    </row>
    <row r="53" spans="2:17" ht="20.100000000000001" customHeight="1" x14ac:dyDescent="0.15">
      <c r="B53" s="22"/>
      <c r="C53" s="16" t="s">
        <v>125</v>
      </c>
      <c r="D53" s="16" t="s">
        <v>125</v>
      </c>
      <c r="E53" s="40" t="s">
        <v>381</v>
      </c>
      <c r="F53" s="40">
        <v>1</v>
      </c>
      <c r="G53" s="40">
        <v>7690</v>
      </c>
      <c r="H53" s="40">
        <v>7690</v>
      </c>
      <c r="I53" s="24"/>
      <c r="J53" s="40" t="s">
        <v>363</v>
      </c>
      <c r="K53" s="38"/>
      <c r="L53" s="22"/>
      <c r="M53" s="31">
        <v>44054</v>
      </c>
      <c r="N53" s="40"/>
      <c r="O53" s="22"/>
      <c r="P53" s="41"/>
      <c r="Q53" s="30"/>
    </row>
    <row r="54" spans="2:17" ht="20.100000000000001" customHeight="1" x14ac:dyDescent="0.15">
      <c r="B54" s="22"/>
      <c r="C54" s="16" t="s">
        <v>125</v>
      </c>
      <c r="D54" s="16" t="s">
        <v>125</v>
      </c>
      <c r="E54" s="40" t="s">
        <v>378</v>
      </c>
      <c r="F54" s="40">
        <v>1</v>
      </c>
      <c r="G54" s="40">
        <v>5640</v>
      </c>
      <c r="H54" s="40">
        <v>5640</v>
      </c>
      <c r="I54" s="24"/>
      <c r="J54" s="40" t="s">
        <v>364</v>
      </c>
      <c r="K54" s="38"/>
      <c r="L54" s="22"/>
      <c r="M54" s="31">
        <v>44054</v>
      </c>
      <c r="N54" s="40"/>
      <c r="O54" s="22"/>
      <c r="P54" s="41"/>
      <c r="Q54" s="30"/>
    </row>
    <row r="55" spans="2:17" ht="20.100000000000001" customHeight="1" x14ac:dyDescent="0.15">
      <c r="B55" s="22"/>
      <c r="C55" s="16" t="s">
        <v>125</v>
      </c>
      <c r="D55" s="16" t="s">
        <v>125</v>
      </c>
      <c r="E55" s="40" t="s">
        <v>379</v>
      </c>
      <c r="F55" s="40">
        <v>1</v>
      </c>
      <c r="G55" s="40">
        <v>8640</v>
      </c>
      <c r="H55" s="40">
        <v>8640</v>
      </c>
      <c r="I55" s="24"/>
      <c r="J55" s="40" t="s">
        <v>365</v>
      </c>
      <c r="K55" s="38"/>
      <c r="L55" s="22"/>
      <c r="M55" s="31">
        <v>44054</v>
      </c>
      <c r="N55" s="40"/>
      <c r="O55" s="22"/>
      <c r="P55" s="41"/>
      <c r="Q55" s="30"/>
    </row>
    <row r="56" spans="2:17" ht="20.100000000000001" customHeight="1" x14ac:dyDescent="0.15">
      <c r="B56" s="22"/>
      <c r="C56" s="16" t="s">
        <v>125</v>
      </c>
      <c r="D56" s="16" t="s">
        <v>125</v>
      </c>
      <c r="E56" s="40" t="s">
        <v>380</v>
      </c>
      <c r="F56" s="40">
        <v>1</v>
      </c>
      <c r="G56" s="40">
        <v>5550</v>
      </c>
      <c r="H56" s="40">
        <v>5550</v>
      </c>
      <c r="I56" s="24"/>
      <c r="J56" s="40" t="s">
        <v>366</v>
      </c>
      <c r="K56" s="38"/>
      <c r="L56" s="22"/>
      <c r="M56" s="31">
        <v>44054</v>
      </c>
      <c r="N56" s="40"/>
      <c r="O56" s="22"/>
      <c r="P56" s="41"/>
      <c r="Q56" s="30"/>
    </row>
    <row r="57" spans="2:17" ht="20.100000000000001" customHeight="1" x14ac:dyDescent="0.15">
      <c r="B57" s="22"/>
      <c r="C57" s="16" t="s">
        <v>125</v>
      </c>
      <c r="D57" s="16" t="s">
        <v>125</v>
      </c>
      <c r="E57" s="40" t="s">
        <v>437</v>
      </c>
      <c r="F57" s="40">
        <v>1</v>
      </c>
      <c r="G57" s="40">
        <v>8940</v>
      </c>
      <c r="H57" s="40">
        <v>8940</v>
      </c>
      <c r="I57" s="24"/>
      <c r="J57" s="40" t="s">
        <v>367</v>
      </c>
      <c r="K57" s="38"/>
      <c r="L57" s="22"/>
      <c r="M57" s="31">
        <v>44054</v>
      </c>
      <c r="N57" s="40"/>
      <c r="O57" s="22"/>
      <c r="P57" s="41"/>
      <c r="Q57" s="30"/>
    </row>
    <row r="58" spans="2:17" ht="20.100000000000001" customHeight="1" x14ac:dyDescent="0.15">
      <c r="B58" s="22"/>
      <c r="C58" s="16" t="s">
        <v>125</v>
      </c>
      <c r="D58" s="16" t="s">
        <v>125</v>
      </c>
      <c r="E58" s="40" t="s">
        <v>382</v>
      </c>
      <c r="F58" s="40">
        <v>2</v>
      </c>
      <c r="G58" s="40">
        <v>4120</v>
      </c>
      <c r="H58" s="40">
        <v>8240</v>
      </c>
      <c r="I58" s="24"/>
      <c r="J58" s="40" t="s">
        <v>368</v>
      </c>
      <c r="K58" s="38"/>
      <c r="L58" s="22"/>
      <c r="M58" s="31">
        <v>44054</v>
      </c>
      <c r="N58" s="40"/>
      <c r="O58" s="22"/>
      <c r="P58" s="41"/>
      <c r="Q58" s="30"/>
    </row>
    <row r="59" spans="2:17" ht="20.100000000000001" customHeight="1" x14ac:dyDescent="0.15">
      <c r="B59" s="22"/>
      <c r="C59" s="16" t="s">
        <v>125</v>
      </c>
      <c r="D59" s="16" t="s">
        <v>125</v>
      </c>
      <c r="E59" s="40" t="s">
        <v>383</v>
      </c>
      <c r="F59" s="40">
        <v>2</v>
      </c>
      <c r="G59" s="40">
        <v>5850</v>
      </c>
      <c r="H59" s="40">
        <v>11700</v>
      </c>
      <c r="I59" s="24"/>
      <c r="J59" s="40" t="s">
        <v>369</v>
      </c>
      <c r="K59" s="38"/>
      <c r="L59" s="22"/>
      <c r="M59" s="31">
        <v>44054</v>
      </c>
      <c r="N59" s="40"/>
      <c r="O59" s="22"/>
      <c r="P59" s="41"/>
      <c r="Q59" s="30"/>
    </row>
    <row r="60" spans="2:17" ht="20.100000000000001" customHeight="1" x14ac:dyDescent="0.15">
      <c r="B60" s="22"/>
      <c r="C60" s="16" t="s">
        <v>125</v>
      </c>
      <c r="D60" s="16" t="s">
        <v>125</v>
      </c>
      <c r="E60" s="40" t="s">
        <v>384</v>
      </c>
      <c r="F60" s="40">
        <v>2</v>
      </c>
      <c r="G60" s="40">
        <v>8770</v>
      </c>
      <c r="H60" s="40">
        <v>17540</v>
      </c>
      <c r="I60" s="52"/>
      <c r="J60" s="40" t="s">
        <v>370</v>
      </c>
      <c r="K60" s="38"/>
      <c r="L60" s="22"/>
      <c r="M60" s="31">
        <v>44054</v>
      </c>
      <c r="N60" s="40"/>
      <c r="O60" s="22"/>
      <c r="P60" s="41"/>
      <c r="Q60" s="30"/>
    </row>
    <row r="61" spans="2:17" ht="20.100000000000001" customHeight="1" x14ac:dyDescent="0.15">
      <c r="B61" s="22"/>
      <c r="C61" s="16" t="s">
        <v>125</v>
      </c>
      <c r="D61" s="16" t="s">
        <v>125</v>
      </c>
      <c r="E61" s="40" t="s">
        <v>385</v>
      </c>
      <c r="F61" s="40">
        <v>2</v>
      </c>
      <c r="G61" s="40">
        <v>2700</v>
      </c>
      <c r="H61" s="40">
        <v>5400</v>
      </c>
      <c r="I61" s="24"/>
      <c r="J61" s="51" t="s">
        <v>322</v>
      </c>
      <c r="K61" s="38"/>
      <c r="L61" s="22"/>
      <c r="M61" s="31">
        <v>44054</v>
      </c>
      <c r="N61" s="40"/>
      <c r="O61" s="22"/>
      <c r="P61" s="41"/>
      <c r="Q61" s="30"/>
    </row>
    <row r="62" spans="2:17" ht="20.100000000000001" customHeight="1" x14ac:dyDescent="0.15">
      <c r="B62" s="22"/>
      <c r="C62" s="16" t="s">
        <v>125</v>
      </c>
      <c r="D62" s="16" t="s">
        <v>125</v>
      </c>
      <c r="E62" s="40" t="s">
        <v>386</v>
      </c>
      <c r="F62" s="40">
        <v>2</v>
      </c>
      <c r="G62" s="40">
        <v>2900</v>
      </c>
      <c r="H62" s="40">
        <v>5800</v>
      </c>
      <c r="I62" s="24"/>
      <c r="J62" s="51" t="s">
        <v>387</v>
      </c>
      <c r="K62" s="38"/>
      <c r="L62" s="22"/>
      <c r="M62" s="31">
        <v>44054</v>
      </c>
      <c r="N62" s="40"/>
      <c r="O62" s="22"/>
      <c r="P62" s="41"/>
      <c r="Q62" s="30"/>
    </row>
    <row r="63" spans="2:17" ht="20.100000000000001" customHeight="1" x14ac:dyDescent="0.15">
      <c r="B63" s="22"/>
      <c r="C63" s="16" t="s">
        <v>125</v>
      </c>
      <c r="D63" s="16" t="s">
        <v>125</v>
      </c>
      <c r="E63" s="40" t="s">
        <v>388</v>
      </c>
      <c r="F63" s="40">
        <v>4</v>
      </c>
      <c r="G63" s="40">
        <v>7435</v>
      </c>
      <c r="H63" s="40">
        <v>29740</v>
      </c>
      <c r="I63" s="24"/>
      <c r="J63" s="40" t="s">
        <v>399</v>
      </c>
      <c r="K63" s="38"/>
      <c r="L63" s="22"/>
      <c r="M63" s="31">
        <v>44054</v>
      </c>
      <c r="N63" s="40"/>
      <c r="O63" s="22"/>
      <c r="P63" s="41"/>
      <c r="Q63" s="30"/>
    </row>
    <row r="64" spans="2:17" ht="20.100000000000001" customHeight="1" x14ac:dyDescent="0.15">
      <c r="B64" s="22"/>
      <c r="C64" s="16" t="s">
        <v>125</v>
      </c>
      <c r="D64" s="16" t="s">
        <v>125</v>
      </c>
      <c r="E64" s="40" t="s">
        <v>389</v>
      </c>
      <c r="F64" s="40">
        <v>4</v>
      </c>
      <c r="G64" s="40">
        <v>3800</v>
      </c>
      <c r="H64" s="40">
        <v>15200</v>
      </c>
      <c r="I64" s="24"/>
      <c r="J64" s="40" t="s">
        <v>400</v>
      </c>
      <c r="K64" s="38"/>
      <c r="L64" s="22"/>
      <c r="M64" s="31">
        <v>44054</v>
      </c>
      <c r="N64" s="40"/>
      <c r="O64" s="22"/>
      <c r="P64" s="41"/>
      <c r="Q64" s="30"/>
    </row>
    <row r="65" spans="2:17" ht="20.100000000000001" customHeight="1" x14ac:dyDescent="0.15">
      <c r="B65" s="22"/>
      <c r="C65" s="16" t="s">
        <v>125</v>
      </c>
      <c r="D65" s="16" t="s">
        <v>125</v>
      </c>
      <c r="E65" s="40" t="s">
        <v>26</v>
      </c>
      <c r="F65" s="40">
        <v>30</v>
      </c>
      <c r="G65" s="40">
        <v>225</v>
      </c>
      <c r="H65" s="40">
        <v>6750</v>
      </c>
      <c r="I65" s="24"/>
      <c r="J65" s="40" t="s">
        <v>40</v>
      </c>
      <c r="K65" s="38"/>
      <c r="L65" s="22"/>
      <c r="M65" s="31">
        <v>44054</v>
      </c>
      <c r="N65" s="40"/>
      <c r="O65" s="22"/>
      <c r="P65" s="41"/>
      <c r="Q65" s="30"/>
    </row>
    <row r="66" spans="2:17" ht="20.100000000000001" customHeight="1" x14ac:dyDescent="0.15">
      <c r="B66" s="22"/>
      <c r="C66" s="16" t="s">
        <v>125</v>
      </c>
      <c r="D66" s="16" t="s">
        <v>125</v>
      </c>
      <c r="E66" s="40" t="s">
        <v>29</v>
      </c>
      <c r="F66" s="40">
        <v>4</v>
      </c>
      <c r="G66" s="40">
        <v>240</v>
      </c>
      <c r="H66" s="40">
        <v>960</v>
      </c>
      <c r="I66" s="24"/>
      <c r="J66" s="40" t="s">
        <v>42</v>
      </c>
      <c r="K66" s="38"/>
      <c r="L66" s="22"/>
      <c r="M66" s="31">
        <v>44054</v>
      </c>
      <c r="N66" s="40"/>
      <c r="O66" s="22"/>
      <c r="P66" s="41"/>
      <c r="Q66" s="30"/>
    </row>
    <row r="67" spans="2:17" ht="20.100000000000001" customHeight="1" x14ac:dyDescent="0.15">
      <c r="B67" s="22"/>
      <c r="C67" s="16" t="s">
        <v>125</v>
      </c>
      <c r="D67" s="16" t="s">
        <v>125</v>
      </c>
      <c r="E67" s="40" t="s">
        <v>275</v>
      </c>
      <c r="F67" s="40">
        <v>2</v>
      </c>
      <c r="G67" s="40">
        <v>450</v>
      </c>
      <c r="H67" s="40">
        <v>900</v>
      </c>
      <c r="I67" s="24"/>
      <c r="J67" s="40" t="s">
        <v>43</v>
      </c>
      <c r="K67" s="38"/>
      <c r="L67" s="22"/>
      <c r="M67" s="31">
        <v>44054</v>
      </c>
      <c r="N67" s="40"/>
      <c r="O67" s="22"/>
      <c r="P67" s="41"/>
      <c r="Q67" s="30"/>
    </row>
    <row r="68" spans="2:17" ht="20.100000000000001" customHeight="1" x14ac:dyDescent="0.15">
      <c r="B68" s="22"/>
      <c r="C68" s="16" t="s">
        <v>125</v>
      </c>
      <c r="D68" s="16" t="s">
        <v>125</v>
      </c>
      <c r="E68" s="40" t="s">
        <v>390</v>
      </c>
      <c r="F68" s="40">
        <v>4</v>
      </c>
      <c r="G68" s="40">
        <v>450</v>
      </c>
      <c r="H68" s="40">
        <v>1800</v>
      </c>
      <c r="I68" s="24"/>
      <c r="J68" s="40" t="s">
        <v>43</v>
      </c>
      <c r="K68" s="38"/>
      <c r="L68" s="22"/>
      <c r="M68" s="31">
        <v>44054</v>
      </c>
      <c r="N68" s="40"/>
      <c r="O68" s="22"/>
      <c r="P68" s="41"/>
      <c r="Q68" s="30"/>
    </row>
    <row r="69" spans="2:17" ht="20.100000000000001" customHeight="1" x14ac:dyDescent="0.15">
      <c r="B69" s="22"/>
      <c r="C69" s="16" t="s">
        <v>125</v>
      </c>
      <c r="D69" s="16" t="s">
        <v>125</v>
      </c>
      <c r="E69" s="40" t="s">
        <v>391</v>
      </c>
      <c r="F69" s="40">
        <v>1</v>
      </c>
      <c r="G69" s="40">
        <v>1170</v>
      </c>
      <c r="H69" s="40">
        <v>1170</v>
      </c>
      <c r="I69" s="24"/>
      <c r="J69" s="40" t="s">
        <v>43</v>
      </c>
      <c r="K69" s="38"/>
      <c r="L69" s="22"/>
      <c r="M69" s="31">
        <v>44054</v>
      </c>
      <c r="N69" s="40"/>
      <c r="O69" s="22"/>
      <c r="P69" s="41"/>
      <c r="Q69" s="30"/>
    </row>
    <row r="70" spans="2:17" ht="20.100000000000001" customHeight="1" x14ac:dyDescent="0.15">
      <c r="B70" s="22"/>
      <c r="C70" s="16" t="s">
        <v>125</v>
      </c>
      <c r="D70" s="16" t="s">
        <v>125</v>
      </c>
      <c r="E70" s="40" t="s">
        <v>392</v>
      </c>
      <c r="F70" s="40">
        <v>1</v>
      </c>
      <c r="G70" s="40">
        <v>1400</v>
      </c>
      <c r="H70" s="40">
        <v>1400</v>
      </c>
      <c r="I70" s="24"/>
      <c r="J70" s="40" t="s">
        <v>43</v>
      </c>
      <c r="K70" s="38"/>
      <c r="L70" s="22"/>
      <c r="M70" s="31">
        <v>44054</v>
      </c>
      <c r="N70" s="40"/>
      <c r="O70" s="22"/>
      <c r="P70" s="41"/>
      <c r="Q70" s="30"/>
    </row>
    <row r="71" spans="2:17" ht="20.100000000000001" customHeight="1" x14ac:dyDescent="0.15">
      <c r="B71" s="22"/>
      <c r="C71" s="16" t="s">
        <v>125</v>
      </c>
      <c r="D71" s="16" t="s">
        <v>125</v>
      </c>
      <c r="E71" s="61" t="s">
        <v>408</v>
      </c>
      <c r="F71" s="61">
        <v>1</v>
      </c>
      <c r="G71" s="61">
        <v>7494</v>
      </c>
      <c r="H71" s="61">
        <v>7494</v>
      </c>
      <c r="I71" s="26"/>
      <c r="J71" s="61" t="s">
        <v>414</v>
      </c>
      <c r="K71" s="38"/>
      <c r="L71" s="92"/>
      <c r="M71" s="10">
        <v>44060</v>
      </c>
      <c r="N71" s="40"/>
      <c r="O71" s="22"/>
      <c r="P71" s="41"/>
      <c r="Q71" s="30"/>
    </row>
    <row r="72" spans="2:17" ht="20.100000000000001" customHeight="1" x14ac:dyDescent="0.15">
      <c r="B72" s="22"/>
      <c r="C72" s="16" t="s">
        <v>125</v>
      </c>
      <c r="D72" s="16" t="s">
        <v>125</v>
      </c>
      <c r="E72" s="61" t="s">
        <v>409</v>
      </c>
      <c r="F72" s="61">
        <v>4</v>
      </c>
      <c r="G72" s="61">
        <v>4018</v>
      </c>
      <c r="H72" s="61">
        <v>16072</v>
      </c>
      <c r="I72" s="26"/>
      <c r="J72" s="61" t="s">
        <v>415</v>
      </c>
      <c r="K72" s="38"/>
      <c r="L72" s="92"/>
      <c r="M72" s="10">
        <v>44060</v>
      </c>
      <c r="N72" s="40"/>
      <c r="O72" s="22"/>
      <c r="P72" s="41"/>
      <c r="Q72" s="30"/>
    </row>
    <row r="73" spans="2:17" ht="20.100000000000001" customHeight="1" x14ac:dyDescent="0.15">
      <c r="B73" s="22"/>
      <c r="C73" s="16" t="s">
        <v>125</v>
      </c>
      <c r="D73" s="16" t="s">
        <v>125</v>
      </c>
      <c r="E73" s="61" t="s">
        <v>410</v>
      </c>
      <c r="F73" s="61">
        <v>2</v>
      </c>
      <c r="G73" s="61">
        <v>2989</v>
      </c>
      <c r="H73" s="61">
        <v>5978</v>
      </c>
      <c r="I73" s="26"/>
      <c r="J73" s="61" t="s">
        <v>415</v>
      </c>
      <c r="K73" s="38"/>
      <c r="L73" s="92"/>
      <c r="M73" s="10">
        <v>44060</v>
      </c>
      <c r="N73" s="40"/>
      <c r="O73" s="22"/>
      <c r="P73" s="41"/>
      <c r="Q73" s="30"/>
    </row>
    <row r="74" spans="2:17" ht="20.100000000000001" customHeight="1" x14ac:dyDescent="0.15">
      <c r="B74" s="22"/>
      <c r="C74" s="16" t="s">
        <v>125</v>
      </c>
      <c r="D74" s="16" t="s">
        <v>125</v>
      </c>
      <c r="E74" s="61" t="s">
        <v>423</v>
      </c>
      <c r="F74" s="61">
        <v>4</v>
      </c>
      <c r="G74" s="61">
        <v>2340</v>
      </c>
      <c r="H74" s="61">
        <v>9360</v>
      </c>
      <c r="I74" s="26"/>
      <c r="J74" s="61" t="s">
        <v>415</v>
      </c>
      <c r="K74" s="38"/>
      <c r="L74" s="92"/>
      <c r="M74" s="10">
        <v>44060</v>
      </c>
      <c r="N74" s="40"/>
      <c r="O74" s="22"/>
      <c r="P74" s="41"/>
      <c r="Q74" s="30"/>
    </row>
    <row r="75" spans="2:17" ht="20.100000000000001" customHeight="1" x14ac:dyDescent="0.15">
      <c r="B75" s="22"/>
      <c r="C75" s="16" t="s">
        <v>125</v>
      </c>
      <c r="D75" s="16" t="s">
        <v>125</v>
      </c>
      <c r="E75" s="61" t="s">
        <v>424</v>
      </c>
      <c r="F75" s="61">
        <v>2</v>
      </c>
      <c r="G75" s="61">
        <v>2454</v>
      </c>
      <c r="H75" s="61">
        <v>4908</v>
      </c>
      <c r="I75" s="26"/>
      <c r="J75" s="61" t="s">
        <v>429</v>
      </c>
      <c r="K75" s="38"/>
      <c r="L75" s="92"/>
      <c r="M75" s="10">
        <v>44060</v>
      </c>
      <c r="N75" s="40"/>
      <c r="O75" s="22"/>
      <c r="P75" s="41"/>
      <c r="Q75" s="30"/>
    </row>
    <row r="76" spans="2:17" ht="20.100000000000001" customHeight="1" x14ac:dyDescent="0.15">
      <c r="B76" s="22"/>
      <c r="C76" s="16" t="s">
        <v>125</v>
      </c>
      <c r="D76" s="16" t="s">
        <v>125</v>
      </c>
      <c r="E76" s="61" t="s">
        <v>402</v>
      </c>
      <c r="F76" s="61">
        <v>4</v>
      </c>
      <c r="G76" s="61">
        <v>6503</v>
      </c>
      <c r="H76" s="61">
        <v>26012</v>
      </c>
      <c r="I76" s="26"/>
      <c r="J76" s="61" t="s">
        <v>416</v>
      </c>
      <c r="K76" s="38"/>
      <c r="L76" s="92"/>
      <c r="M76" s="10">
        <v>44060</v>
      </c>
      <c r="N76" s="40"/>
      <c r="O76" s="22"/>
      <c r="P76" s="41"/>
      <c r="Q76" s="30"/>
    </row>
    <row r="77" spans="2:17" ht="20.100000000000001" customHeight="1" x14ac:dyDescent="0.15">
      <c r="B77" s="22"/>
      <c r="C77" s="16" t="s">
        <v>125</v>
      </c>
      <c r="D77" s="16" t="s">
        <v>125</v>
      </c>
      <c r="E77" s="61" t="s">
        <v>425</v>
      </c>
      <c r="F77" s="61">
        <v>2</v>
      </c>
      <c r="G77" s="61">
        <v>16405</v>
      </c>
      <c r="H77" s="61">
        <v>32810</v>
      </c>
      <c r="I77" s="26"/>
      <c r="J77" s="61" t="s">
        <v>430</v>
      </c>
      <c r="K77" s="38"/>
      <c r="L77" s="92"/>
      <c r="M77" s="10">
        <v>44060</v>
      </c>
      <c r="N77" s="40"/>
      <c r="O77" s="22"/>
      <c r="P77" s="41"/>
      <c r="Q77" s="30"/>
    </row>
    <row r="78" spans="2:17" ht="20.100000000000001" customHeight="1" x14ac:dyDescent="0.15">
      <c r="B78" s="22"/>
      <c r="C78" s="16" t="s">
        <v>125</v>
      </c>
      <c r="D78" s="16" t="s">
        <v>125</v>
      </c>
      <c r="E78" s="61" t="s">
        <v>411</v>
      </c>
      <c r="F78" s="61">
        <v>2</v>
      </c>
      <c r="G78" s="61">
        <v>2319</v>
      </c>
      <c r="H78" s="61">
        <v>4638</v>
      </c>
      <c r="I78" s="26"/>
      <c r="J78" s="61" t="s">
        <v>417</v>
      </c>
      <c r="K78" s="38"/>
      <c r="L78" s="92"/>
      <c r="M78" s="10">
        <v>44060</v>
      </c>
      <c r="N78" s="40"/>
      <c r="O78" s="22"/>
      <c r="P78" s="41"/>
      <c r="Q78" s="30"/>
    </row>
    <row r="79" spans="2:17" s="25" customFormat="1" ht="20.100000000000001" customHeight="1" x14ac:dyDescent="0.15">
      <c r="B79" s="53"/>
      <c r="C79" s="16" t="s">
        <v>125</v>
      </c>
      <c r="D79" s="16" t="s">
        <v>125</v>
      </c>
      <c r="E79" s="61" t="s">
        <v>404</v>
      </c>
      <c r="F79" s="61">
        <v>4</v>
      </c>
      <c r="G79" s="61">
        <v>4718</v>
      </c>
      <c r="H79" s="61">
        <v>18872</v>
      </c>
      <c r="I79" s="62"/>
      <c r="J79" s="61" t="s">
        <v>418</v>
      </c>
      <c r="K79" s="38"/>
      <c r="L79" s="38"/>
      <c r="M79" s="10">
        <v>44060</v>
      </c>
      <c r="N79" s="27"/>
      <c r="O79" s="53"/>
      <c r="P79" s="55"/>
      <c r="Q79" s="56"/>
    </row>
    <row r="80" spans="2:17" s="25" customFormat="1" ht="20.100000000000001" customHeight="1" x14ac:dyDescent="0.15">
      <c r="B80" s="53"/>
      <c r="C80" s="16" t="s">
        <v>125</v>
      </c>
      <c r="D80" s="16" t="s">
        <v>125</v>
      </c>
      <c r="E80" s="61" t="s">
        <v>405</v>
      </c>
      <c r="F80" s="61">
        <v>4</v>
      </c>
      <c r="G80" s="61">
        <v>2989</v>
      </c>
      <c r="H80" s="61">
        <v>11956</v>
      </c>
      <c r="I80" s="62"/>
      <c r="J80" s="61" t="s">
        <v>419</v>
      </c>
      <c r="K80" s="38"/>
      <c r="L80" s="38"/>
      <c r="M80" s="10">
        <v>44060</v>
      </c>
      <c r="N80" s="27"/>
      <c r="O80" s="53"/>
      <c r="P80" s="55"/>
      <c r="Q80" s="56"/>
    </row>
    <row r="81" spans="2:17" s="25" customFormat="1" ht="20.100000000000001" customHeight="1" x14ac:dyDescent="0.15">
      <c r="B81" s="53"/>
      <c r="C81" s="16" t="s">
        <v>125</v>
      </c>
      <c r="D81" s="16" t="s">
        <v>125</v>
      </c>
      <c r="E81" s="61" t="s">
        <v>406</v>
      </c>
      <c r="F81" s="61">
        <v>2</v>
      </c>
      <c r="G81" s="61">
        <v>458</v>
      </c>
      <c r="H81" s="61">
        <v>916</v>
      </c>
      <c r="I81" s="62"/>
      <c r="J81" s="61" t="s">
        <v>420</v>
      </c>
      <c r="K81" s="38"/>
      <c r="L81" s="38"/>
      <c r="M81" s="10">
        <v>44060</v>
      </c>
      <c r="N81" s="27"/>
      <c r="O81" s="53"/>
      <c r="P81" s="55"/>
      <c r="Q81" s="56"/>
    </row>
    <row r="82" spans="2:17" s="25" customFormat="1" ht="20.100000000000001" customHeight="1" x14ac:dyDescent="0.15">
      <c r="B82" s="53"/>
      <c r="C82" s="16" t="s">
        <v>125</v>
      </c>
      <c r="D82" s="16" t="s">
        <v>125</v>
      </c>
      <c r="E82" s="61" t="s">
        <v>407</v>
      </c>
      <c r="F82" s="61">
        <v>4</v>
      </c>
      <c r="G82" s="61">
        <v>428</v>
      </c>
      <c r="H82" s="61">
        <v>1712</v>
      </c>
      <c r="I82" s="62"/>
      <c r="J82" s="61" t="s">
        <v>421</v>
      </c>
      <c r="K82" s="38"/>
      <c r="L82" s="38"/>
      <c r="M82" s="10">
        <v>44060</v>
      </c>
      <c r="N82" s="27"/>
      <c r="O82" s="53"/>
      <c r="P82" s="55"/>
      <c r="Q82" s="56"/>
    </row>
    <row r="83" spans="2:17" s="25" customFormat="1" ht="20.100000000000001" customHeight="1" x14ac:dyDescent="0.15">
      <c r="B83" s="53"/>
      <c r="C83" s="16" t="s">
        <v>125</v>
      </c>
      <c r="D83" s="16" t="s">
        <v>125</v>
      </c>
      <c r="E83" s="61" t="s">
        <v>412</v>
      </c>
      <c r="F83" s="61">
        <v>2</v>
      </c>
      <c r="G83" s="61">
        <v>1689</v>
      </c>
      <c r="H83" s="61">
        <v>3378</v>
      </c>
      <c r="I83" s="62"/>
      <c r="J83" s="61" t="s">
        <v>420</v>
      </c>
      <c r="K83" s="38"/>
      <c r="L83" s="38"/>
      <c r="M83" s="10">
        <v>44060</v>
      </c>
      <c r="N83" s="27"/>
      <c r="O83" s="53"/>
      <c r="P83" s="55"/>
      <c r="Q83" s="56"/>
    </row>
    <row r="84" spans="2:17" ht="20.100000000000001" customHeight="1" x14ac:dyDescent="0.15">
      <c r="B84" s="22"/>
      <c r="C84" s="16" t="s">
        <v>125</v>
      </c>
      <c r="D84" s="16" t="s">
        <v>125</v>
      </c>
      <c r="E84" s="61" t="s">
        <v>413</v>
      </c>
      <c r="F84" s="61">
        <v>2</v>
      </c>
      <c r="G84" s="61">
        <v>508</v>
      </c>
      <c r="H84" s="61">
        <v>1016</v>
      </c>
      <c r="I84" s="26"/>
      <c r="J84" s="61" t="s">
        <v>421</v>
      </c>
      <c r="K84" s="38"/>
      <c r="L84" s="38"/>
      <c r="M84" s="10">
        <v>44060</v>
      </c>
      <c r="N84" s="27"/>
      <c r="O84" s="53"/>
      <c r="P84" s="41"/>
      <c r="Q84" s="30"/>
    </row>
    <row r="85" spans="2:17" ht="20.100000000000001" customHeight="1" x14ac:dyDescent="0.15">
      <c r="B85" s="22"/>
      <c r="C85" s="16" t="s">
        <v>125</v>
      </c>
      <c r="D85" s="16" t="s">
        <v>125</v>
      </c>
      <c r="E85" s="61" t="s">
        <v>426</v>
      </c>
      <c r="F85" s="61">
        <v>2</v>
      </c>
      <c r="G85" s="61">
        <v>1389</v>
      </c>
      <c r="H85" s="61">
        <v>2778</v>
      </c>
      <c r="I85" s="26"/>
      <c r="J85" s="61" t="s">
        <v>420</v>
      </c>
      <c r="K85" s="38"/>
      <c r="L85" s="38"/>
      <c r="M85" s="10">
        <v>44060</v>
      </c>
      <c r="N85" s="27"/>
      <c r="O85" s="53"/>
      <c r="P85" s="41"/>
      <c r="Q85" s="30"/>
    </row>
    <row r="86" spans="2:17" ht="20.100000000000001" customHeight="1" x14ac:dyDescent="0.15">
      <c r="B86" s="22"/>
      <c r="C86" s="16" t="s">
        <v>125</v>
      </c>
      <c r="D86" s="16" t="s">
        <v>125</v>
      </c>
      <c r="E86" s="61" t="s">
        <v>427</v>
      </c>
      <c r="F86" s="61">
        <v>2</v>
      </c>
      <c r="G86" s="61">
        <v>2989</v>
      </c>
      <c r="H86" s="61">
        <v>5978</v>
      </c>
      <c r="I86" s="26"/>
      <c r="J86" s="61" t="s">
        <v>420</v>
      </c>
      <c r="K86" s="38"/>
      <c r="L86" s="38"/>
      <c r="M86" s="10">
        <v>44060</v>
      </c>
      <c r="N86" s="27"/>
      <c r="O86" s="53"/>
      <c r="P86" s="41"/>
      <c r="Q86" s="30"/>
    </row>
    <row r="87" spans="2:17" ht="20.100000000000001" customHeight="1" x14ac:dyDescent="0.15">
      <c r="B87" s="22"/>
      <c r="C87" s="16" t="s">
        <v>125</v>
      </c>
      <c r="D87" s="16" t="s">
        <v>125</v>
      </c>
      <c r="E87" s="61" t="s">
        <v>428</v>
      </c>
      <c r="F87" s="61">
        <v>4</v>
      </c>
      <c r="G87" s="61">
        <v>19280</v>
      </c>
      <c r="H87" s="61">
        <v>77120</v>
      </c>
      <c r="I87" s="26"/>
      <c r="J87" s="61" t="s">
        <v>431</v>
      </c>
      <c r="K87" s="38"/>
      <c r="L87" s="38"/>
      <c r="M87" s="10">
        <v>44060</v>
      </c>
      <c r="N87" s="27"/>
      <c r="O87" s="53"/>
      <c r="P87" s="41"/>
      <c r="Q87" s="30"/>
    </row>
    <row r="88" spans="2:17" ht="20.100000000000001" customHeight="1" x14ac:dyDescent="0.15">
      <c r="B88" s="22"/>
      <c r="C88" s="16" t="s">
        <v>125</v>
      </c>
      <c r="D88" s="16" t="s">
        <v>125</v>
      </c>
      <c r="E88" s="61" t="s">
        <v>46</v>
      </c>
      <c r="F88" s="61">
        <v>8</v>
      </c>
      <c r="G88" s="61">
        <v>2224</v>
      </c>
      <c r="H88" s="61">
        <v>17792</v>
      </c>
      <c r="I88" s="26"/>
      <c r="J88" s="61" t="s">
        <v>87</v>
      </c>
      <c r="K88" s="38"/>
      <c r="L88" s="38"/>
      <c r="M88" s="10">
        <v>44060</v>
      </c>
      <c r="N88" s="27"/>
      <c r="O88" s="53"/>
      <c r="P88" s="41"/>
      <c r="Q88" s="30"/>
    </row>
    <row r="89" spans="2:17" ht="20.100000000000001" customHeight="1" x14ac:dyDescent="0.15">
      <c r="B89" s="90"/>
      <c r="C89" s="92" t="s">
        <v>99</v>
      </c>
      <c r="D89" s="92" t="s">
        <v>99</v>
      </c>
      <c r="E89" s="61" t="s">
        <v>680</v>
      </c>
      <c r="F89" s="61">
        <v>4</v>
      </c>
      <c r="G89" s="61">
        <v>15781</v>
      </c>
      <c r="H89" s="61">
        <v>63124</v>
      </c>
      <c r="I89" s="26"/>
      <c r="J89" s="61" t="s">
        <v>59</v>
      </c>
      <c r="K89" s="38"/>
      <c r="L89" s="38"/>
      <c r="M89" s="10">
        <v>44060</v>
      </c>
      <c r="N89" s="40"/>
      <c r="O89" s="40"/>
      <c r="P89" s="41"/>
      <c r="Q89" s="30"/>
    </row>
    <row r="90" spans="2:17" ht="20.100000000000001" customHeight="1" x14ac:dyDescent="0.15">
      <c r="B90" s="90"/>
      <c r="C90" s="92" t="s">
        <v>99</v>
      </c>
      <c r="D90" s="92" t="s">
        <v>99</v>
      </c>
      <c r="E90" s="61" t="s">
        <v>793</v>
      </c>
      <c r="F90" s="61">
        <v>10</v>
      </c>
      <c r="G90" s="61">
        <v>920</v>
      </c>
      <c r="H90" s="61">
        <v>9200</v>
      </c>
      <c r="I90" s="26"/>
      <c r="J90" s="61" t="s">
        <v>439</v>
      </c>
      <c r="K90" s="38"/>
      <c r="L90" s="38"/>
      <c r="M90" s="10">
        <v>44060</v>
      </c>
      <c r="N90" s="40"/>
      <c r="O90" s="40"/>
      <c r="P90" s="41"/>
      <c r="Q90" s="30"/>
    </row>
    <row r="91" spans="2:17" ht="20.100000000000001" customHeight="1" x14ac:dyDescent="0.15">
      <c r="B91" s="90"/>
      <c r="C91" s="92" t="s">
        <v>99</v>
      </c>
      <c r="D91" s="92" t="s">
        <v>99</v>
      </c>
      <c r="E91" s="61" t="s">
        <v>435</v>
      </c>
      <c r="F91" s="61">
        <v>5</v>
      </c>
      <c r="G91" s="61">
        <v>1139</v>
      </c>
      <c r="H91" s="61">
        <v>5695</v>
      </c>
      <c r="I91" s="26"/>
      <c r="J91" s="61" t="s">
        <v>439</v>
      </c>
      <c r="K91" s="38"/>
      <c r="L91" s="38"/>
      <c r="M91" s="10">
        <v>44060</v>
      </c>
      <c r="N91" s="40"/>
      <c r="O91" s="40"/>
      <c r="P91" s="41"/>
      <c r="Q91" s="30"/>
    </row>
    <row r="92" spans="2:17" ht="20.100000000000001" customHeight="1" x14ac:dyDescent="0.15">
      <c r="B92" s="90"/>
      <c r="C92" s="92" t="s">
        <v>99</v>
      </c>
      <c r="D92" s="92" t="s">
        <v>99</v>
      </c>
      <c r="E92" s="61" t="s">
        <v>438</v>
      </c>
      <c r="F92" s="61">
        <v>2</v>
      </c>
      <c r="G92" s="61">
        <v>3830</v>
      </c>
      <c r="H92" s="61">
        <v>7660</v>
      </c>
      <c r="I92" s="26"/>
      <c r="J92" s="61" t="s">
        <v>440</v>
      </c>
      <c r="K92" s="38"/>
      <c r="L92" s="38"/>
      <c r="M92" s="10">
        <v>44060</v>
      </c>
      <c r="N92" s="40"/>
      <c r="O92" s="40"/>
      <c r="P92" s="41"/>
      <c r="Q92" s="30"/>
    </row>
    <row r="93" spans="2:17" ht="20.100000000000001" customHeight="1" x14ac:dyDescent="0.15">
      <c r="B93" s="22"/>
      <c r="C93" s="92" t="s">
        <v>99</v>
      </c>
      <c r="D93" s="92" t="s">
        <v>99</v>
      </c>
      <c r="E93" s="61" t="s">
        <v>436</v>
      </c>
      <c r="F93" s="61">
        <v>2</v>
      </c>
      <c r="G93" s="61">
        <v>1870</v>
      </c>
      <c r="H93" s="61">
        <v>3740</v>
      </c>
      <c r="I93" s="26"/>
      <c r="J93" s="61" t="s">
        <v>441</v>
      </c>
      <c r="K93" s="38"/>
      <c r="L93" s="38"/>
      <c r="M93" s="10">
        <v>44060</v>
      </c>
      <c r="N93" s="27"/>
      <c r="O93" s="53"/>
      <c r="P93" s="41"/>
      <c r="Q93" s="30"/>
    </row>
    <row r="94" spans="2:17" ht="20.100000000000001" customHeight="1" x14ac:dyDescent="0.15">
      <c r="B94" s="90"/>
      <c r="C94" s="92" t="s">
        <v>99</v>
      </c>
      <c r="D94" s="92" t="s">
        <v>99</v>
      </c>
      <c r="E94" s="61" t="s">
        <v>288</v>
      </c>
      <c r="F94" s="61">
        <v>2</v>
      </c>
      <c r="G94" s="61">
        <v>53025</v>
      </c>
      <c r="H94" s="61">
        <v>106050</v>
      </c>
      <c r="I94" s="26"/>
      <c r="J94" s="61" t="s">
        <v>295</v>
      </c>
      <c r="K94" s="38"/>
      <c r="L94" s="38"/>
      <c r="M94" s="10">
        <v>44060</v>
      </c>
      <c r="N94" s="27"/>
      <c r="O94" s="53"/>
      <c r="P94" s="41"/>
      <c r="Q94" s="30"/>
    </row>
    <row r="95" spans="2:17" s="89" customFormat="1" ht="20.100000000000001" customHeight="1" x14ac:dyDescent="0.15">
      <c r="B95" s="94"/>
      <c r="C95" s="94" t="s">
        <v>99</v>
      </c>
      <c r="D95" s="94" t="s">
        <v>99</v>
      </c>
      <c r="E95" s="61" t="s">
        <v>45</v>
      </c>
      <c r="F95" s="61">
        <v>8</v>
      </c>
      <c r="G95" s="61">
        <v>600</v>
      </c>
      <c r="H95" s="61">
        <f t="shared" ref="H95:H100" si="1">F95*G95</f>
        <v>4800</v>
      </c>
      <c r="I95" s="26"/>
      <c r="J95" s="89" t="s">
        <v>446</v>
      </c>
      <c r="K95" s="38"/>
      <c r="L95" s="38"/>
      <c r="M95" s="10">
        <v>44062</v>
      </c>
      <c r="N95" s="63"/>
      <c r="O95" s="38"/>
      <c r="P95" s="95"/>
      <c r="Q95" s="12"/>
    </row>
    <row r="96" spans="2:17" ht="20.100000000000001" customHeight="1" x14ac:dyDescent="0.15">
      <c r="B96" s="96"/>
      <c r="C96" s="99" t="s">
        <v>99</v>
      </c>
      <c r="D96" s="99" t="s">
        <v>99</v>
      </c>
      <c r="E96" s="89" t="s">
        <v>462</v>
      </c>
      <c r="F96" s="61">
        <v>2</v>
      </c>
      <c r="G96" s="61">
        <v>7657</v>
      </c>
      <c r="H96" s="61">
        <f t="shared" si="1"/>
        <v>15314</v>
      </c>
      <c r="I96" s="26"/>
      <c r="J96" s="61" t="s">
        <v>463</v>
      </c>
      <c r="K96" s="38"/>
      <c r="L96" s="61"/>
      <c r="M96" s="47">
        <v>44063</v>
      </c>
      <c r="N96" s="40"/>
      <c r="O96" s="40"/>
      <c r="P96" s="41"/>
      <c r="Q96" s="30"/>
    </row>
    <row r="97" spans="2:17" ht="19.5" customHeight="1" x14ac:dyDescent="0.15">
      <c r="B97" s="97"/>
      <c r="C97" s="99" t="s">
        <v>464</v>
      </c>
      <c r="D97" s="99" t="s">
        <v>465</v>
      </c>
      <c r="E97" s="103" t="s">
        <v>468</v>
      </c>
      <c r="F97" s="61">
        <v>1</v>
      </c>
      <c r="G97" s="65">
        <v>140000</v>
      </c>
      <c r="H97" s="65">
        <f t="shared" si="1"/>
        <v>140000</v>
      </c>
      <c r="I97" s="65"/>
      <c r="J97" s="61" t="s">
        <v>469</v>
      </c>
      <c r="K97" s="49"/>
      <c r="L97" s="61"/>
      <c r="M97" s="47">
        <v>44063</v>
      </c>
      <c r="N97" s="40"/>
      <c r="O97" s="100"/>
      <c r="P97" s="31"/>
      <c r="Q97" s="30"/>
    </row>
    <row r="98" spans="2:17" ht="19.5" customHeight="1" x14ac:dyDescent="0.15">
      <c r="B98" s="97"/>
      <c r="C98" s="99" t="s">
        <v>464</v>
      </c>
      <c r="D98" s="99" t="s">
        <v>465</v>
      </c>
      <c r="E98" s="104" t="s">
        <v>470</v>
      </c>
      <c r="F98" s="61">
        <v>1</v>
      </c>
      <c r="G98" s="65">
        <v>135000</v>
      </c>
      <c r="H98" s="65">
        <f t="shared" si="1"/>
        <v>135000</v>
      </c>
      <c r="I98" s="65"/>
      <c r="J98" s="61" t="s">
        <v>471</v>
      </c>
      <c r="K98" s="49"/>
      <c r="L98" s="61"/>
      <c r="M98" s="47">
        <v>44063</v>
      </c>
      <c r="N98" s="40"/>
      <c r="O98" s="100"/>
      <c r="P98" s="31"/>
      <c r="Q98" s="30"/>
    </row>
    <row r="99" spans="2:17" ht="19.5" customHeight="1" x14ac:dyDescent="0.15">
      <c r="B99" s="97"/>
      <c r="C99" s="99" t="s">
        <v>464</v>
      </c>
      <c r="D99" s="99" t="s">
        <v>465</v>
      </c>
      <c r="E99" s="104" t="s">
        <v>472</v>
      </c>
      <c r="F99" s="61">
        <v>1</v>
      </c>
      <c r="G99" s="65">
        <v>16100</v>
      </c>
      <c r="H99" s="65">
        <f t="shared" si="1"/>
        <v>16100</v>
      </c>
      <c r="I99" s="65"/>
      <c r="J99" s="61" t="s">
        <v>473</v>
      </c>
      <c r="K99" s="49"/>
      <c r="L99" s="61"/>
      <c r="M99" s="47">
        <v>44063</v>
      </c>
      <c r="N99" s="40"/>
      <c r="O99" s="100"/>
      <c r="P99" s="31"/>
      <c r="Q99" s="30"/>
    </row>
    <row r="100" spans="2:17" ht="19.5" customHeight="1" x14ac:dyDescent="0.15">
      <c r="B100" s="97"/>
      <c r="C100" s="99" t="s">
        <v>464</v>
      </c>
      <c r="D100" s="99" t="s">
        <v>465</v>
      </c>
      <c r="E100" s="104" t="s">
        <v>474</v>
      </c>
      <c r="F100" s="61">
        <v>1</v>
      </c>
      <c r="G100" s="65">
        <v>12500</v>
      </c>
      <c r="H100" s="65">
        <f t="shared" si="1"/>
        <v>12500</v>
      </c>
      <c r="I100" s="65"/>
      <c r="J100" s="61" t="s">
        <v>475</v>
      </c>
      <c r="K100" s="49"/>
      <c r="L100" s="61"/>
      <c r="M100" s="47">
        <v>44063</v>
      </c>
      <c r="N100" s="40"/>
      <c r="O100" s="100"/>
      <c r="P100" s="31"/>
      <c r="Q100" s="30"/>
    </row>
    <row r="101" spans="2:17" ht="20.100000000000001" customHeight="1" x14ac:dyDescent="0.15">
      <c r="B101" s="22"/>
      <c r="C101" s="106" t="s">
        <v>99</v>
      </c>
      <c r="D101" s="106" t="s">
        <v>99</v>
      </c>
      <c r="E101" s="61" t="s">
        <v>482</v>
      </c>
      <c r="F101" s="61">
        <v>1</v>
      </c>
      <c r="G101" s="61">
        <v>5550</v>
      </c>
      <c r="H101" s="65">
        <f>F101*G101</f>
        <v>5550</v>
      </c>
      <c r="I101" s="26"/>
      <c r="J101" s="61" t="s">
        <v>483</v>
      </c>
      <c r="K101" s="38"/>
      <c r="L101" s="61"/>
      <c r="M101" s="47">
        <v>44068</v>
      </c>
      <c r="N101" s="40"/>
      <c r="O101" s="40"/>
      <c r="P101" s="41"/>
      <c r="Q101" s="30"/>
    </row>
    <row r="102" spans="2:17" ht="20.100000000000001" customHeight="1" x14ac:dyDescent="0.15">
      <c r="B102" s="22"/>
      <c r="C102" s="106" t="s">
        <v>99</v>
      </c>
      <c r="D102" s="106" t="s">
        <v>99</v>
      </c>
      <c r="E102" s="61" t="s">
        <v>484</v>
      </c>
      <c r="F102" s="61">
        <v>1</v>
      </c>
      <c r="G102" s="61">
        <v>8210</v>
      </c>
      <c r="H102" s="65">
        <f>F102*G102</f>
        <v>8210</v>
      </c>
      <c r="I102" s="26"/>
      <c r="J102" s="61" t="s">
        <v>363</v>
      </c>
      <c r="K102" s="38"/>
      <c r="L102" s="61"/>
      <c r="M102" s="47">
        <v>44068</v>
      </c>
      <c r="N102" s="40"/>
      <c r="O102" s="40"/>
      <c r="P102" s="41"/>
      <c r="Q102" s="30"/>
    </row>
    <row r="103" spans="2:17" ht="20.100000000000001" customHeight="1" x14ac:dyDescent="0.15">
      <c r="B103" s="22"/>
      <c r="C103" s="132" t="s">
        <v>99</v>
      </c>
      <c r="D103" s="132" t="s">
        <v>99</v>
      </c>
      <c r="E103" s="61" t="s">
        <v>496</v>
      </c>
      <c r="F103" s="61">
        <v>1</v>
      </c>
      <c r="G103" s="61">
        <v>5989</v>
      </c>
      <c r="H103" s="61">
        <v>5989</v>
      </c>
      <c r="I103" s="26"/>
      <c r="J103" s="61" t="s">
        <v>497</v>
      </c>
      <c r="K103" s="38"/>
      <c r="L103" s="61"/>
      <c r="M103" s="47">
        <v>44070</v>
      </c>
      <c r="N103" s="40"/>
      <c r="O103" s="40"/>
      <c r="P103" s="41"/>
      <c r="Q103" s="30"/>
    </row>
    <row r="104" spans="2:17" ht="20.100000000000001" customHeight="1" x14ac:dyDescent="0.15">
      <c r="B104" s="22"/>
      <c r="C104" s="132" t="s">
        <v>99</v>
      </c>
      <c r="D104" s="132" t="s">
        <v>99</v>
      </c>
      <c r="E104" s="61" t="s">
        <v>409</v>
      </c>
      <c r="F104" s="61">
        <v>4</v>
      </c>
      <c r="G104" s="61">
        <v>4018</v>
      </c>
      <c r="H104" s="61">
        <v>16072</v>
      </c>
      <c r="I104" s="26"/>
      <c r="J104" s="61" t="s">
        <v>415</v>
      </c>
      <c r="K104" s="38"/>
      <c r="L104" s="61"/>
      <c r="M104" s="47">
        <v>44070</v>
      </c>
      <c r="N104" s="40"/>
      <c r="O104" s="40"/>
      <c r="P104" s="41"/>
      <c r="Q104" s="30"/>
    </row>
    <row r="105" spans="2:17" ht="20.100000000000001" customHeight="1" x14ac:dyDescent="0.15">
      <c r="B105" s="22"/>
      <c r="C105" s="132" t="s">
        <v>99</v>
      </c>
      <c r="D105" s="132" t="s">
        <v>99</v>
      </c>
      <c r="E105" s="61" t="s">
        <v>410</v>
      </c>
      <c r="F105" s="61">
        <v>2</v>
      </c>
      <c r="G105" s="61">
        <v>2989</v>
      </c>
      <c r="H105" s="61">
        <v>5978</v>
      </c>
      <c r="I105" s="26"/>
      <c r="J105" s="61" t="s">
        <v>415</v>
      </c>
      <c r="K105" s="38"/>
      <c r="L105" s="61"/>
      <c r="M105" s="47">
        <v>44070</v>
      </c>
      <c r="N105" s="40"/>
      <c r="O105" s="40"/>
      <c r="P105" s="41"/>
      <c r="Q105" s="30"/>
    </row>
    <row r="106" spans="2:17" ht="20.100000000000001" customHeight="1" x14ac:dyDescent="0.15">
      <c r="B106" s="22"/>
      <c r="C106" s="132" t="s">
        <v>99</v>
      </c>
      <c r="D106" s="132" t="s">
        <v>99</v>
      </c>
      <c r="E106" s="61" t="s">
        <v>423</v>
      </c>
      <c r="F106" s="61">
        <v>4</v>
      </c>
      <c r="G106" s="61">
        <v>2340</v>
      </c>
      <c r="H106" s="61">
        <v>9360</v>
      </c>
      <c r="I106" s="26"/>
      <c r="J106" s="61" t="s">
        <v>415</v>
      </c>
      <c r="K106" s="38"/>
      <c r="L106" s="61"/>
      <c r="M106" s="47">
        <v>44070</v>
      </c>
      <c r="N106" s="40"/>
      <c r="O106" s="40"/>
      <c r="P106" s="41"/>
      <c r="Q106" s="30"/>
    </row>
    <row r="107" spans="2:17" ht="20.100000000000001" customHeight="1" x14ac:dyDescent="0.15">
      <c r="B107" s="22"/>
      <c r="C107" s="132" t="s">
        <v>99</v>
      </c>
      <c r="D107" s="132" t="s">
        <v>99</v>
      </c>
      <c r="E107" s="61" t="s">
        <v>424</v>
      </c>
      <c r="F107" s="61">
        <v>2</v>
      </c>
      <c r="G107" s="61">
        <v>2454</v>
      </c>
      <c r="H107" s="61">
        <v>4908</v>
      </c>
      <c r="I107" s="26"/>
      <c r="J107" s="61" t="s">
        <v>429</v>
      </c>
      <c r="K107" s="38"/>
      <c r="L107" s="61"/>
      <c r="M107" s="47">
        <v>44070</v>
      </c>
      <c r="N107" s="40"/>
      <c r="O107" s="40"/>
      <c r="P107" s="41"/>
      <c r="Q107" s="30"/>
    </row>
    <row r="108" spans="2:17" ht="20.100000000000001" customHeight="1" x14ac:dyDescent="0.15">
      <c r="B108" s="22"/>
      <c r="C108" s="132" t="s">
        <v>99</v>
      </c>
      <c r="D108" s="132" t="s">
        <v>99</v>
      </c>
      <c r="E108" s="61" t="s">
        <v>402</v>
      </c>
      <c r="F108" s="61">
        <v>4</v>
      </c>
      <c r="G108" s="61">
        <v>6503</v>
      </c>
      <c r="H108" s="61">
        <v>26012</v>
      </c>
      <c r="I108" s="26"/>
      <c r="J108" s="61" t="s">
        <v>416</v>
      </c>
      <c r="K108" s="38"/>
      <c r="L108" s="61"/>
      <c r="M108" s="47">
        <v>44070</v>
      </c>
      <c r="N108" s="40"/>
      <c r="O108" s="40"/>
      <c r="P108" s="41"/>
      <c r="Q108" s="30"/>
    </row>
    <row r="109" spans="2:17" ht="20.100000000000001" customHeight="1" x14ac:dyDescent="0.15">
      <c r="B109" s="22"/>
      <c r="C109" s="132" t="s">
        <v>99</v>
      </c>
      <c r="D109" s="132" t="s">
        <v>99</v>
      </c>
      <c r="E109" s="61" t="s">
        <v>425</v>
      </c>
      <c r="F109" s="61">
        <v>2</v>
      </c>
      <c r="G109" s="61">
        <v>16405</v>
      </c>
      <c r="H109" s="61">
        <v>32810</v>
      </c>
      <c r="I109" s="26"/>
      <c r="J109" s="61" t="s">
        <v>430</v>
      </c>
      <c r="K109" s="38"/>
      <c r="L109" s="61"/>
      <c r="M109" s="47">
        <v>44070</v>
      </c>
      <c r="N109" s="40"/>
      <c r="O109" s="40"/>
      <c r="P109" s="41"/>
      <c r="Q109" s="30"/>
    </row>
    <row r="110" spans="2:17" ht="20.100000000000001" customHeight="1" x14ac:dyDescent="0.15">
      <c r="B110" s="22"/>
      <c r="C110" s="132" t="s">
        <v>99</v>
      </c>
      <c r="D110" s="132" t="s">
        <v>99</v>
      </c>
      <c r="E110" s="61" t="s">
        <v>411</v>
      </c>
      <c r="F110" s="61">
        <v>2</v>
      </c>
      <c r="G110" s="61">
        <v>2319</v>
      </c>
      <c r="H110" s="61">
        <v>4638</v>
      </c>
      <c r="I110" s="26"/>
      <c r="J110" s="61" t="s">
        <v>417</v>
      </c>
      <c r="K110" s="38"/>
      <c r="L110" s="61"/>
      <c r="M110" s="47">
        <v>44070</v>
      </c>
      <c r="N110" s="40"/>
      <c r="O110" s="40"/>
      <c r="P110" s="41"/>
      <c r="Q110" s="30"/>
    </row>
    <row r="111" spans="2:17" ht="20.100000000000001" customHeight="1" x14ac:dyDescent="0.15">
      <c r="B111" s="22"/>
      <c r="C111" s="132" t="s">
        <v>99</v>
      </c>
      <c r="D111" s="132" t="s">
        <v>99</v>
      </c>
      <c r="E111" s="61" t="s">
        <v>406</v>
      </c>
      <c r="F111" s="61">
        <v>2</v>
      </c>
      <c r="G111" s="61">
        <v>458</v>
      </c>
      <c r="H111" s="61">
        <v>916</v>
      </c>
      <c r="I111" s="26"/>
      <c r="J111" s="61" t="s">
        <v>420</v>
      </c>
      <c r="K111" s="38"/>
      <c r="L111" s="61"/>
      <c r="M111" s="47">
        <v>44070</v>
      </c>
      <c r="N111" s="40"/>
      <c r="O111" s="40"/>
      <c r="P111" s="41"/>
      <c r="Q111" s="30"/>
    </row>
    <row r="112" spans="2:17" ht="20.100000000000001" customHeight="1" x14ac:dyDescent="0.15">
      <c r="B112" s="22"/>
      <c r="C112" s="132" t="s">
        <v>99</v>
      </c>
      <c r="D112" s="132" t="s">
        <v>99</v>
      </c>
      <c r="E112" s="61" t="s">
        <v>407</v>
      </c>
      <c r="F112" s="61">
        <v>4</v>
      </c>
      <c r="G112" s="61">
        <v>428</v>
      </c>
      <c r="H112" s="61">
        <v>1712</v>
      </c>
      <c r="I112" s="26"/>
      <c r="J112" s="61" t="s">
        <v>421</v>
      </c>
      <c r="K112" s="38"/>
      <c r="L112" s="61"/>
      <c r="M112" s="47">
        <v>44070</v>
      </c>
      <c r="N112" s="40"/>
      <c r="O112" s="40"/>
      <c r="P112" s="41"/>
      <c r="Q112" s="30"/>
    </row>
    <row r="113" spans="2:17" ht="20.100000000000001" customHeight="1" x14ac:dyDescent="0.15">
      <c r="B113" s="22"/>
      <c r="C113" s="132" t="s">
        <v>99</v>
      </c>
      <c r="D113" s="132" t="s">
        <v>99</v>
      </c>
      <c r="E113" s="61" t="s">
        <v>412</v>
      </c>
      <c r="F113" s="61">
        <v>2</v>
      </c>
      <c r="G113" s="61">
        <v>1689</v>
      </c>
      <c r="H113" s="61">
        <v>3378</v>
      </c>
      <c r="I113" s="26"/>
      <c r="J113" s="61" t="s">
        <v>420</v>
      </c>
      <c r="K113" s="38"/>
      <c r="L113" s="61"/>
      <c r="M113" s="47">
        <v>44070</v>
      </c>
      <c r="N113" s="40"/>
      <c r="O113" s="40"/>
      <c r="P113" s="41"/>
      <c r="Q113" s="30"/>
    </row>
    <row r="114" spans="2:17" ht="20.100000000000001" customHeight="1" x14ac:dyDescent="0.15">
      <c r="B114" s="22"/>
      <c r="C114" s="132" t="s">
        <v>99</v>
      </c>
      <c r="D114" s="132" t="s">
        <v>99</v>
      </c>
      <c r="E114" s="61" t="s">
        <v>413</v>
      </c>
      <c r="F114" s="61">
        <v>2</v>
      </c>
      <c r="G114" s="61">
        <v>508</v>
      </c>
      <c r="H114" s="61">
        <v>1016</v>
      </c>
      <c r="I114" s="26"/>
      <c r="J114" s="61" t="s">
        <v>421</v>
      </c>
      <c r="K114" s="38"/>
      <c r="L114" s="61"/>
      <c r="M114" s="47">
        <v>44070</v>
      </c>
      <c r="N114" s="40"/>
      <c r="O114" s="40"/>
      <c r="P114" s="41"/>
      <c r="Q114" s="30"/>
    </row>
    <row r="115" spans="2:17" ht="20.100000000000001" customHeight="1" x14ac:dyDescent="0.15">
      <c r="B115" s="22"/>
      <c r="C115" s="132" t="s">
        <v>99</v>
      </c>
      <c r="D115" s="132" t="s">
        <v>99</v>
      </c>
      <c r="E115" s="61" t="s">
        <v>426</v>
      </c>
      <c r="F115" s="61">
        <v>2</v>
      </c>
      <c r="G115" s="61">
        <v>1389</v>
      </c>
      <c r="H115" s="61">
        <v>2778</v>
      </c>
      <c r="I115" s="26"/>
      <c r="J115" s="61" t="s">
        <v>420</v>
      </c>
      <c r="K115" s="38"/>
      <c r="L115" s="61"/>
      <c r="M115" s="47">
        <v>44070</v>
      </c>
      <c r="N115" s="40"/>
      <c r="O115" s="40"/>
      <c r="P115" s="41"/>
      <c r="Q115" s="30"/>
    </row>
    <row r="116" spans="2:17" ht="20.100000000000001" customHeight="1" x14ac:dyDescent="0.15">
      <c r="B116" s="22"/>
      <c r="C116" s="132" t="s">
        <v>99</v>
      </c>
      <c r="D116" s="132" t="s">
        <v>99</v>
      </c>
      <c r="E116" s="61" t="s">
        <v>427</v>
      </c>
      <c r="F116" s="61">
        <v>2</v>
      </c>
      <c r="G116" s="61">
        <v>2989</v>
      </c>
      <c r="H116" s="61">
        <v>5978</v>
      </c>
      <c r="I116" s="26"/>
      <c r="J116" s="61" t="s">
        <v>420</v>
      </c>
      <c r="K116" s="38"/>
      <c r="L116" s="61"/>
      <c r="M116" s="47">
        <v>44070</v>
      </c>
      <c r="N116" s="40"/>
      <c r="O116" s="40"/>
      <c r="P116" s="41"/>
      <c r="Q116" s="30"/>
    </row>
    <row r="117" spans="2:17" ht="20.100000000000001" customHeight="1" x14ac:dyDescent="0.15">
      <c r="B117" s="105"/>
      <c r="C117" s="132" t="s">
        <v>99</v>
      </c>
      <c r="D117" s="132" t="s">
        <v>99</v>
      </c>
      <c r="E117" s="61" t="s">
        <v>499</v>
      </c>
      <c r="F117" s="61">
        <v>2</v>
      </c>
      <c r="G117" s="61">
        <v>4650</v>
      </c>
      <c r="H117" s="61">
        <v>9300</v>
      </c>
      <c r="I117" s="26"/>
      <c r="J117" s="61" t="s">
        <v>356</v>
      </c>
      <c r="K117" s="38"/>
      <c r="L117" s="61"/>
      <c r="M117" s="47">
        <v>44070</v>
      </c>
      <c r="N117" s="40"/>
      <c r="O117" s="40"/>
      <c r="P117" s="41"/>
      <c r="Q117" s="30"/>
    </row>
    <row r="118" spans="2:17" ht="20.100000000000001" customHeight="1" x14ac:dyDescent="0.15">
      <c r="B118" s="105"/>
      <c r="C118" s="132" t="s">
        <v>99</v>
      </c>
      <c r="D118" s="132" t="s">
        <v>99</v>
      </c>
      <c r="E118" s="61" t="s">
        <v>500</v>
      </c>
      <c r="F118" s="61">
        <v>1</v>
      </c>
      <c r="G118" s="61">
        <v>5460</v>
      </c>
      <c r="H118" s="61">
        <v>5460</v>
      </c>
      <c r="I118" s="26"/>
      <c r="J118" s="61" t="s">
        <v>357</v>
      </c>
      <c r="K118" s="38"/>
      <c r="L118" s="61"/>
      <c r="M118" s="47">
        <v>44070</v>
      </c>
      <c r="N118" s="40"/>
      <c r="O118" s="40"/>
      <c r="P118" s="41"/>
      <c r="Q118" s="30"/>
    </row>
    <row r="119" spans="2:17" ht="20.100000000000001" customHeight="1" x14ac:dyDescent="0.15">
      <c r="B119" s="22"/>
      <c r="C119" s="132" t="s">
        <v>494</v>
      </c>
      <c r="D119" s="132"/>
      <c r="E119" s="87" t="s">
        <v>490</v>
      </c>
      <c r="F119" s="61">
        <v>4</v>
      </c>
      <c r="G119" s="61"/>
      <c r="H119" s="61"/>
      <c r="I119" s="26"/>
      <c r="J119" s="87" t="s">
        <v>492</v>
      </c>
      <c r="K119" s="49"/>
      <c r="L119" s="61"/>
      <c r="M119" s="47">
        <v>44070</v>
      </c>
      <c r="N119" s="40"/>
      <c r="O119" s="40"/>
      <c r="P119" s="41"/>
      <c r="Q119" s="30"/>
    </row>
    <row r="120" spans="2:17" ht="20.100000000000001" customHeight="1" x14ac:dyDescent="0.15">
      <c r="B120" s="22"/>
      <c r="C120" s="132" t="s">
        <v>494</v>
      </c>
      <c r="D120" s="132"/>
      <c r="E120" s="87" t="s">
        <v>491</v>
      </c>
      <c r="F120" s="61">
        <v>4</v>
      </c>
      <c r="G120" s="61"/>
      <c r="H120" s="61"/>
      <c r="I120" s="26"/>
      <c r="J120" s="87" t="s">
        <v>493</v>
      </c>
      <c r="K120" s="49"/>
      <c r="L120" s="61"/>
      <c r="M120" s="47">
        <v>44070</v>
      </c>
      <c r="N120" s="40"/>
      <c r="O120" s="40"/>
      <c r="P120" s="41"/>
      <c r="Q120" s="30"/>
    </row>
    <row r="121" spans="2:17" ht="20.100000000000001" customHeight="1" x14ac:dyDescent="0.15">
      <c r="B121" s="22"/>
      <c r="C121" s="132" t="s">
        <v>578</v>
      </c>
      <c r="D121" s="132"/>
      <c r="E121" s="61" t="s">
        <v>579</v>
      </c>
      <c r="F121" s="61">
        <v>1</v>
      </c>
      <c r="G121" s="61"/>
      <c r="H121" s="61"/>
      <c r="I121" s="26"/>
      <c r="J121" s="61" t="s">
        <v>581</v>
      </c>
      <c r="K121" s="38"/>
      <c r="L121" s="61"/>
      <c r="M121" s="47">
        <v>44075</v>
      </c>
      <c r="N121" s="40"/>
      <c r="O121" s="40"/>
      <c r="P121" s="41"/>
      <c r="Q121" s="30"/>
    </row>
    <row r="122" spans="2:17" ht="20.100000000000001" customHeight="1" x14ac:dyDescent="0.15">
      <c r="B122" s="22"/>
      <c r="C122" s="132" t="s">
        <v>578</v>
      </c>
      <c r="D122" s="132"/>
      <c r="E122" s="61" t="s">
        <v>580</v>
      </c>
      <c r="F122" s="61">
        <v>1</v>
      </c>
      <c r="G122" s="61"/>
      <c r="H122" s="61"/>
      <c r="I122" s="26"/>
      <c r="J122" s="61" t="s">
        <v>581</v>
      </c>
      <c r="K122" s="38"/>
      <c r="L122" s="132"/>
      <c r="M122" s="47">
        <v>44075</v>
      </c>
      <c r="N122" s="40"/>
      <c r="O122" s="22"/>
      <c r="P122" s="41"/>
      <c r="Q122" s="30"/>
    </row>
    <row r="123" spans="2:17" ht="20.100000000000001" customHeight="1" x14ac:dyDescent="0.15">
      <c r="B123" s="22"/>
      <c r="C123" s="132" t="s">
        <v>99</v>
      </c>
      <c r="D123" s="132" t="s">
        <v>99</v>
      </c>
      <c r="E123" s="61" t="s">
        <v>626</v>
      </c>
      <c r="F123" s="61">
        <v>2</v>
      </c>
      <c r="G123" s="61">
        <v>1889</v>
      </c>
      <c r="H123" s="61">
        <v>3778</v>
      </c>
      <c r="I123" s="26"/>
      <c r="J123" s="61" t="s">
        <v>420</v>
      </c>
      <c r="K123" s="38"/>
      <c r="L123" s="132"/>
      <c r="M123" s="10">
        <v>44077</v>
      </c>
      <c r="N123" s="40"/>
      <c r="O123" s="22"/>
      <c r="P123" s="41"/>
      <c r="Q123" s="30"/>
    </row>
    <row r="124" spans="2:17" ht="20.100000000000001" customHeight="1" x14ac:dyDescent="0.15">
      <c r="B124" s="22"/>
      <c r="C124" s="132" t="s">
        <v>99</v>
      </c>
      <c r="D124" s="132" t="s">
        <v>99</v>
      </c>
      <c r="E124" s="61" t="s">
        <v>627</v>
      </c>
      <c r="F124" s="61">
        <v>2</v>
      </c>
      <c r="G124" s="61">
        <v>1689</v>
      </c>
      <c r="H124" s="61">
        <v>3378</v>
      </c>
      <c r="I124" s="26"/>
      <c r="J124" s="61" t="s">
        <v>421</v>
      </c>
      <c r="K124" s="38"/>
      <c r="L124" s="132"/>
      <c r="M124" s="10">
        <v>44077</v>
      </c>
      <c r="N124" s="40"/>
      <c r="O124" s="22"/>
      <c r="P124" s="41"/>
      <c r="Q124" s="30"/>
    </row>
    <row r="125" spans="2:17" ht="20.100000000000001" customHeight="1" x14ac:dyDescent="0.15">
      <c r="B125" s="22"/>
      <c r="C125" s="132" t="s">
        <v>99</v>
      </c>
      <c r="D125" s="132" t="s">
        <v>99</v>
      </c>
      <c r="E125" s="61" t="s">
        <v>628</v>
      </c>
      <c r="F125" s="61">
        <v>2</v>
      </c>
      <c r="G125" s="61">
        <v>5989</v>
      </c>
      <c r="H125" s="61">
        <v>11978</v>
      </c>
      <c r="I125" s="26"/>
      <c r="J125" s="61" t="s">
        <v>420</v>
      </c>
      <c r="K125" s="38"/>
      <c r="L125" s="132"/>
      <c r="M125" s="10">
        <v>44077</v>
      </c>
      <c r="N125" s="40"/>
      <c r="O125" s="22"/>
      <c r="P125" s="41"/>
      <c r="Q125" s="30"/>
    </row>
    <row r="126" spans="2:17" ht="19.5" customHeight="1" x14ac:dyDescent="0.15">
      <c r="B126" s="22"/>
      <c r="C126" s="132" t="s">
        <v>99</v>
      </c>
      <c r="D126" s="132" t="s">
        <v>99</v>
      </c>
      <c r="E126" s="61" t="s">
        <v>629</v>
      </c>
      <c r="F126" s="61">
        <v>2</v>
      </c>
      <c r="G126" s="61">
        <v>3030</v>
      </c>
      <c r="H126" s="61">
        <v>6060</v>
      </c>
      <c r="I126" s="26"/>
      <c r="J126" s="61" t="s">
        <v>631</v>
      </c>
      <c r="K126" s="38"/>
      <c r="L126" s="132"/>
      <c r="M126" s="10">
        <v>44077</v>
      </c>
      <c r="N126" s="40"/>
      <c r="O126" s="22"/>
      <c r="P126" s="41"/>
      <c r="Q126" s="30"/>
    </row>
    <row r="127" spans="2:17" ht="19.5" customHeight="1" x14ac:dyDescent="0.15">
      <c r="B127" s="139"/>
      <c r="C127" s="132" t="s">
        <v>99</v>
      </c>
      <c r="D127" s="132" t="s">
        <v>99</v>
      </c>
      <c r="E127" s="61" t="s">
        <v>630</v>
      </c>
      <c r="F127" s="61">
        <v>2</v>
      </c>
      <c r="G127" s="61">
        <v>240</v>
      </c>
      <c r="H127" s="61">
        <v>480</v>
      </c>
      <c r="I127" s="65"/>
      <c r="J127" s="61" t="s">
        <v>632</v>
      </c>
      <c r="K127" s="38"/>
      <c r="L127" s="61"/>
      <c r="M127" s="10">
        <v>44077</v>
      </c>
      <c r="N127" s="40"/>
      <c r="O127" s="100"/>
      <c r="P127" s="31"/>
      <c r="Q127" s="30"/>
    </row>
    <row r="128" spans="2:17" ht="19.5" customHeight="1" x14ac:dyDescent="0.15">
      <c r="B128" s="139"/>
      <c r="C128" s="132" t="s">
        <v>99</v>
      </c>
      <c r="D128" s="132" t="s">
        <v>99</v>
      </c>
      <c r="E128" s="61" t="s">
        <v>616</v>
      </c>
      <c r="F128" s="61">
        <v>2</v>
      </c>
      <c r="G128" s="61">
        <v>1040</v>
      </c>
      <c r="H128" s="61">
        <v>2080</v>
      </c>
      <c r="I128" s="65"/>
      <c r="J128" s="61" t="s">
        <v>43</v>
      </c>
      <c r="K128" s="38"/>
      <c r="L128" s="61"/>
      <c r="M128" s="10">
        <v>44077</v>
      </c>
      <c r="N128" s="40"/>
      <c r="O128" s="100"/>
      <c r="P128" s="31"/>
      <c r="Q128" s="30"/>
    </row>
    <row r="129" spans="2:17" ht="19.5" customHeight="1" x14ac:dyDescent="0.15">
      <c r="B129" s="139"/>
      <c r="C129" s="132" t="s">
        <v>99</v>
      </c>
      <c r="D129" s="132" t="s">
        <v>99</v>
      </c>
      <c r="E129" s="61" t="s">
        <v>624</v>
      </c>
      <c r="F129" s="61">
        <v>2</v>
      </c>
      <c r="G129" s="61">
        <v>13650</v>
      </c>
      <c r="H129" s="61">
        <v>27300</v>
      </c>
      <c r="I129" s="65"/>
      <c r="J129" s="61" t="s">
        <v>633</v>
      </c>
      <c r="K129" s="38"/>
      <c r="L129" s="61"/>
      <c r="M129" s="10">
        <v>44077</v>
      </c>
      <c r="N129" s="40"/>
      <c r="O129" s="100"/>
      <c r="P129" s="31"/>
      <c r="Q129" s="30"/>
    </row>
    <row r="130" spans="2:17" ht="19.5" customHeight="1" x14ac:dyDescent="0.15">
      <c r="B130" s="140"/>
      <c r="C130" s="132" t="s">
        <v>99</v>
      </c>
      <c r="D130" s="132" t="s">
        <v>99</v>
      </c>
      <c r="E130" s="61" t="s">
        <v>617</v>
      </c>
      <c r="F130" s="61">
        <v>4</v>
      </c>
      <c r="G130" s="61"/>
      <c r="H130" s="61"/>
      <c r="I130" s="65"/>
      <c r="J130" s="61" t="s">
        <v>634</v>
      </c>
      <c r="K130" s="38"/>
      <c r="L130" s="61"/>
      <c r="M130" s="10">
        <v>44077</v>
      </c>
      <c r="N130" s="40"/>
      <c r="O130" s="100"/>
      <c r="P130" s="31"/>
      <c r="Q130" s="30"/>
    </row>
    <row r="131" spans="2:17" ht="19.5" customHeight="1" x14ac:dyDescent="0.15">
      <c r="B131" s="139"/>
      <c r="C131" s="132" t="s">
        <v>99</v>
      </c>
      <c r="D131" s="132" t="s">
        <v>99</v>
      </c>
      <c r="E131" s="61" t="s">
        <v>618</v>
      </c>
      <c r="F131" s="61">
        <v>4</v>
      </c>
      <c r="G131" s="61">
        <v>1650</v>
      </c>
      <c r="H131" s="61">
        <v>6600</v>
      </c>
      <c r="I131" s="65"/>
      <c r="J131" s="61" t="s">
        <v>635</v>
      </c>
      <c r="K131" s="38"/>
      <c r="L131" s="61"/>
      <c r="M131" s="10">
        <v>44077</v>
      </c>
      <c r="N131" s="40"/>
      <c r="O131" s="100"/>
      <c r="P131" s="31"/>
      <c r="Q131" s="30"/>
    </row>
    <row r="132" spans="2:17" ht="19.5" customHeight="1" x14ac:dyDescent="0.15">
      <c r="B132" s="139"/>
      <c r="C132" s="132" t="s">
        <v>99</v>
      </c>
      <c r="D132" s="132" t="s">
        <v>99</v>
      </c>
      <c r="E132" s="61" t="s">
        <v>619</v>
      </c>
      <c r="F132" s="61">
        <v>6</v>
      </c>
      <c r="G132" s="61">
        <v>970</v>
      </c>
      <c r="H132" s="61">
        <v>5820</v>
      </c>
      <c r="I132" s="26"/>
      <c r="J132" s="61" t="s">
        <v>636</v>
      </c>
      <c r="K132" s="38"/>
      <c r="L132" s="61"/>
      <c r="M132" s="10">
        <v>44077</v>
      </c>
      <c r="N132" s="40"/>
      <c r="O132" s="40"/>
      <c r="P132" s="41"/>
      <c r="Q132" s="30"/>
    </row>
    <row r="133" spans="2:17" ht="19.5" customHeight="1" x14ac:dyDescent="0.15">
      <c r="B133" s="140"/>
      <c r="C133" s="132" t="s">
        <v>99</v>
      </c>
      <c r="D133" s="132" t="s">
        <v>99</v>
      </c>
      <c r="E133" s="61" t="s">
        <v>621</v>
      </c>
      <c r="F133" s="61">
        <v>4</v>
      </c>
      <c r="G133" s="61">
        <v>1770</v>
      </c>
      <c r="H133" s="61">
        <v>7080</v>
      </c>
      <c r="I133" s="26"/>
      <c r="J133" s="61" t="s">
        <v>637</v>
      </c>
      <c r="K133" s="38"/>
      <c r="L133" s="61"/>
      <c r="M133" s="10">
        <v>44077</v>
      </c>
      <c r="N133" s="40"/>
      <c r="O133" s="40"/>
      <c r="P133" s="41"/>
      <c r="Q133" s="30"/>
    </row>
    <row r="134" spans="2:17" ht="19.5" customHeight="1" x14ac:dyDescent="0.15">
      <c r="B134" s="140"/>
      <c r="C134" s="132" t="s">
        <v>99</v>
      </c>
      <c r="D134" s="132" t="s">
        <v>99</v>
      </c>
      <c r="E134" s="61" t="s">
        <v>620</v>
      </c>
      <c r="F134" s="61">
        <v>2</v>
      </c>
      <c r="G134" s="61">
        <v>2135</v>
      </c>
      <c r="H134" s="61">
        <v>4270</v>
      </c>
      <c r="I134" s="26"/>
      <c r="J134" s="61" t="s">
        <v>638</v>
      </c>
      <c r="K134" s="38"/>
      <c r="L134" s="61"/>
      <c r="M134" s="10">
        <v>44077</v>
      </c>
      <c r="N134" s="40"/>
      <c r="O134" s="40"/>
      <c r="P134" s="41"/>
      <c r="Q134" s="30"/>
    </row>
    <row r="135" spans="2:17" ht="19.5" customHeight="1" x14ac:dyDescent="0.15">
      <c r="B135" s="140"/>
      <c r="C135" s="132" t="s">
        <v>99</v>
      </c>
      <c r="D135" s="132" t="s">
        <v>99</v>
      </c>
      <c r="E135" s="61" t="s">
        <v>622</v>
      </c>
      <c r="F135" s="61">
        <v>2</v>
      </c>
      <c r="G135" s="61">
        <v>1650</v>
      </c>
      <c r="H135" s="61">
        <v>3300</v>
      </c>
      <c r="I135" s="26"/>
      <c r="J135" s="61" t="s">
        <v>637</v>
      </c>
      <c r="K135" s="38"/>
      <c r="L135" s="61"/>
      <c r="M135" s="10">
        <v>44077</v>
      </c>
      <c r="N135" s="40"/>
      <c r="O135" s="40"/>
      <c r="P135" s="41"/>
      <c r="Q135" s="30"/>
    </row>
    <row r="136" spans="2:17" ht="19.5" customHeight="1" x14ac:dyDescent="0.15">
      <c r="B136" s="140"/>
      <c r="C136" s="132" t="s">
        <v>99</v>
      </c>
      <c r="D136" s="132" t="s">
        <v>99</v>
      </c>
      <c r="E136" s="61" t="s">
        <v>625</v>
      </c>
      <c r="F136" s="61">
        <v>2</v>
      </c>
      <c r="G136" s="61">
        <v>11000</v>
      </c>
      <c r="H136" s="61">
        <v>22000</v>
      </c>
      <c r="I136" s="26"/>
      <c r="J136" s="61" t="s">
        <v>639</v>
      </c>
      <c r="K136" s="38"/>
      <c r="L136" s="61"/>
      <c r="M136" s="10">
        <v>44077</v>
      </c>
      <c r="N136" s="40"/>
      <c r="O136" s="40"/>
      <c r="P136" s="41"/>
      <c r="Q136" s="30"/>
    </row>
    <row r="137" spans="2:17" ht="19.5" customHeight="1" x14ac:dyDescent="0.15">
      <c r="B137" s="140"/>
      <c r="C137" s="132" t="s">
        <v>99</v>
      </c>
      <c r="D137" s="132" t="s">
        <v>99</v>
      </c>
      <c r="E137" s="61" t="s">
        <v>53</v>
      </c>
      <c r="F137" s="61">
        <v>5</v>
      </c>
      <c r="G137" s="61">
        <v>1654</v>
      </c>
      <c r="H137" s="61">
        <v>8270</v>
      </c>
      <c r="I137" s="26"/>
      <c r="J137" s="61" t="s">
        <v>62</v>
      </c>
      <c r="K137" s="38"/>
      <c r="L137" s="61"/>
      <c r="M137" s="10">
        <v>44077</v>
      </c>
      <c r="N137" s="40"/>
      <c r="O137" s="40"/>
      <c r="P137" s="41"/>
      <c r="Q137" s="30"/>
    </row>
    <row r="138" spans="2:17" ht="19.5" customHeight="1" x14ac:dyDescent="0.15">
      <c r="B138" s="139"/>
      <c r="C138" s="132" t="s">
        <v>99</v>
      </c>
      <c r="D138" s="132" t="s">
        <v>99</v>
      </c>
      <c r="E138" s="61" t="s">
        <v>673</v>
      </c>
      <c r="F138" s="61">
        <v>1</v>
      </c>
      <c r="G138" s="61">
        <v>4040</v>
      </c>
      <c r="H138" s="65">
        <f>F138*G138</f>
        <v>4040</v>
      </c>
      <c r="I138" s="26"/>
      <c r="J138" s="61" t="s">
        <v>675</v>
      </c>
      <c r="K138" s="38"/>
      <c r="L138" s="61"/>
      <c r="M138" s="47">
        <v>44078</v>
      </c>
      <c r="N138" s="40"/>
      <c r="O138" s="40"/>
      <c r="P138" s="41"/>
      <c r="Q138" s="30"/>
    </row>
    <row r="139" spans="2:17" ht="19.5" customHeight="1" x14ac:dyDescent="0.15">
      <c r="B139" s="139"/>
      <c r="C139" s="132" t="s">
        <v>99</v>
      </c>
      <c r="D139" s="132" t="s">
        <v>99</v>
      </c>
      <c r="E139" s="61" t="s">
        <v>674</v>
      </c>
      <c r="F139" s="61">
        <v>1</v>
      </c>
      <c r="G139" s="61">
        <v>3680</v>
      </c>
      <c r="H139" s="65">
        <f>F139*G139</f>
        <v>3680</v>
      </c>
      <c r="I139" s="26"/>
      <c r="J139" s="61" t="s">
        <v>676</v>
      </c>
      <c r="K139" s="38"/>
      <c r="L139" s="61"/>
      <c r="M139" s="47">
        <v>44078</v>
      </c>
      <c r="N139" s="40"/>
      <c r="O139" s="40"/>
      <c r="P139" s="41"/>
      <c r="Q139" s="30"/>
    </row>
    <row r="140" spans="2:17" ht="19.5" customHeight="1" x14ac:dyDescent="0.15">
      <c r="B140" s="139"/>
      <c r="C140" s="132" t="s">
        <v>99</v>
      </c>
      <c r="D140" s="132" t="s">
        <v>99</v>
      </c>
      <c r="E140" s="61" t="s">
        <v>681</v>
      </c>
      <c r="F140" s="61">
        <v>2</v>
      </c>
      <c r="G140" s="61">
        <v>738</v>
      </c>
      <c r="H140" s="61">
        <v>1476</v>
      </c>
      <c r="I140" s="26"/>
      <c r="J140" s="61" t="s">
        <v>684</v>
      </c>
      <c r="K140" s="38"/>
      <c r="L140" s="61"/>
      <c r="M140" s="47">
        <v>44082</v>
      </c>
      <c r="N140" s="40"/>
      <c r="O140" s="40"/>
      <c r="P140" s="41"/>
      <c r="Q140" s="30"/>
    </row>
    <row r="141" spans="2:17" ht="19.5" customHeight="1" x14ac:dyDescent="0.15">
      <c r="B141" s="139"/>
      <c r="C141" s="132" t="s">
        <v>99</v>
      </c>
      <c r="D141" s="132" t="s">
        <v>99</v>
      </c>
      <c r="E141" s="61" t="s">
        <v>682</v>
      </c>
      <c r="F141" s="61">
        <v>1</v>
      </c>
      <c r="G141" s="61">
        <v>8570</v>
      </c>
      <c r="H141" s="61">
        <v>8570</v>
      </c>
      <c r="I141" s="26"/>
      <c r="J141" s="61" t="s">
        <v>526</v>
      </c>
      <c r="K141" s="38"/>
      <c r="L141" s="61"/>
      <c r="M141" s="47">
        <v>44082</v>
      </c>
      <c r="N141" s="40"/>
      <c r="O141" s="40"/>
      <c r="P141" s="41"/>
      <c r="Q141" s="30"/>
    </row>
    <row r="142" spans="2:17" ht="19.5" customHeight="1" x14ac:dyDescent="0.15">
      <c r="B142" s="139"/>
      <c r="C142" s="132" t="s">
        <v>99</v>
      </c>
      <c r="D142" s="132" t="s">
        <v>99</v>
      </c>
      <c r="E142" s="61" t="s">
        <v>52</v>
      </c>
      <c r="F142" s="61">
        <v>2</v>
      </c>
      <c r="G142" s="61">
        <v>15781</v>
      </c>
      <c r="H142" s="61">
        <v>31562</v>
      </c>
      <c r="I142" s="26"/>
      <c r="J142" s="61" t="s">
        <v>59</v>
      </c>
      <c r="K142" s="38"/>
      <c r="L142" s="61"/>
      <c r="M142" s="47">
        <v>44082</v>
      </c>
      <c r="N142" s="40"/>
      <c r="O142" s="40"/>
      <c r="P142" s="41"/>
      <c r="Q142" s="30"/>
    </row>
    <row r="143" spans="2:17" ht="19.5" customHeight="1" x14ac:dyDescent="0.15">
      <c r="B143" s="139"/>
      <c r="C143" s="132" t="s">
        <v>99</v>
      </c>
      <c r="D143" s="132" t="s">
        <v>99</v>
      </c>
      <c r="E143" s="61" t="s">
        <v>683</v>
      </c>
      <c r="F143" s="61">
        <v>1</v>
      </c>
      <c r="G143" s="61">
        <v>450</v>
      </c>
      <c r="H143" s="61">
        <v>450</v>
      </c>
      <c r="I143" s="26"/>
      <c r="J143" s="61" t="s">
        <v>43</v>
      </c>
      <c r="K143" s="38"/>
      <c r="L143" s="61"/>
      <c r="M143" s="47">
        <v>44082</v>
      </c>
      <c r="N143" s="40"/>
      <c r="O143" s="40"/>
      <c r="P143" s="41"/>
      <c r="Q143" s="30"/>
    </row>
    <row r="144" spans="2:17" ht="19.5" customHeight="1" x14ac:dyDescent="0.15">
      <c r="B144" s="154"/>
      <c r="C144" s="132" t="s">
        <v>99</v>
      </c>
      <c r="D144" s="132" t="s">
        <v>99</v>
      </c>
      <c r="E144" s="61" t="s">
        <v>685</v>
      </c>
      <c r="F144" s="61">
        <v>1</v>
      </c>
      <c r="G144" s="61">
        <v>570</v>
      </c>
      <c r="H144" s="61">
        <v>570</v>
      </c>
      <c r="I144" s="26"/>
      <c r="J144" s="61" t="s">
        <v>43</v>
      </c>
      <c r="K144" s="38"/>
      <c r="L144" s="61"/>
      <c r="M144" s="47">
        <v>44082</v>
      </c>
      <c r="N144" s="40"/>
      <c r="O144" s="40"/>
      <c r="P144" s="41"/>
      <c r="Q144" s="30"/>
    </row>
    <row r="145" spans="2:17" ht="19.5" customHeight="1" x14ac:dyDescent="0.15">
      <c r="B145" s="139"/>
      <c r="C145" s="132" t="s">
        <v>99</v>
      </c>
      <c r="D145" s="132" t="s">
        <v>99</v>
      </c>
      <c r="E145" s="61" t="s">
        <v>689</v>
      </c>
      <c r="F145" s="61">
        <v>8</v>
      </c>
      <c r="G145" s="61">
        <v>1997</v>
      </c>
      <c r="H145" s="61">
        <v>15976</v>
      </c>
      <c r="I145" s="26"/>
      <c r="J145" s="61" t="s">
        <v>692</v>
      </c>
      <c r="K145" s="38"/>
      <c r="L145" s="61"/>
      <c r="M145" s="47">
        <v>44082</v>
      </c>
      <c r="N145" s="40"/>
      <c r="O145" s="40"/>
      <c r="P145" s="41"/>
      <c r="Q145" s="30"/>
    </row>
    <row r="146" spans="2:17" ht="19.5" customHeight="1" x14ac:dyDescent="0.15">
      <c r="B146" s="139"/>
      <c r="C146" s="132" t="s">
        <v>99</v>
      </c>
      <c r="D146" s="132" t="s">
        <v>99</v>
      </c>
      <c r="E146" s="61" t="s">
        <v>690</v>
      </c>
      <c r="F146" s="61">
        <v>4</v>
      </c>
      <c r="G146" s="61">
        <v>670</v>
      </c>
      <c r="H146" s="61">
        <v>2680</v>
      </c>
      <c r="I146" s="26"/>
      <c r="J146" s="61" t="s">
        <v>693</v>
      </c>
      <c r="K146" s="38"/>
      <c r="L146" s="61"/>
      <c r="M146" s="47">
        <v>44082</v>
      </c>
      <c r="N146" s="40"/>
      <c r="O146" s="40"/>
      <c r="P146" s="41"/>
      <c r="Q146" s="30"/>
    </row>
    <row r="147" spans="2:17" ht="19.5" customHeight="1" x14ac:dyDescent="0.15">
      <c r="B147" s="139"/>
      <c r="C147" s="132" t="s">
        <v>99</v>
      </c>
      <c r="D147" s="132" t="s">
        <v>99</v>
      </c>
      <c r="E147" s="61" t="s">
        <v>244</v>
      </c>
      <c r="F147" s="61">
        <v>8</v>
      </c>
      <c r="G147" s="61">
        <v>2280</v>
      </c>
      <c r="H147" s="61">
        <v>18240</v>
      </c>
      <c r="I147" s="26"/>
      <c r="J147" s="61" t="s">
        <v>274</v>
      </c>
      <c r="K147" s="38"/>
      <c r="L147" s="61"/>
      <c r="M147" s="47">
        <v>44082</v>
      </c>
      <c r="N147" s="40"/>
      <c r="O147" s="40"/>
      <c r="P147" s="41"/>
      <c r="Q147" s="30"/>
    </row>
    <row r="148" spans="2:17" ht="19.5" customHeight="1" x14ac:dyDescent="0.15">
      <c r="B148" s="139"/>
      <c r="C148" s="132" t="s">
        <v>99</v>
      </c>
      <c r="D148" s="132" t="s">
        <v>99</v>
      </c>
      <c r="E148" s="61" t="s">
        <v>245</v>
      </c>
      <c r="F148" s="61">
        <v>8</v>
      </c>
      <c r="G148" s="61">
        <v>4530</v>
      </c>
      <c r="H148" s="61">
        <v>36240</v>
      </c>
      <c r="I148" s="26"/>
      <c r="J148" s="61" t="s">
        <v>273</v>
      </c>
      <c r="K148" s="38"/>
      <c r="L148" s="61"/>
      <c r="M148" s="47">
        <v>44082</v>
      </c>
      <c r="N148" s="40"/>
      <c r="O148" s="40"/>
      <c r="P148" s="41"/>
      <c r="Q148" s="30"/>
    </row>
    <row r="149" spans="2:17" ht="19.5" customHeight="1" x14ac:dyDescent="0.15">
      <c r="B149" s="139"/>
      <c r="C149" s="132" t="s">
        <v>99</v>
      </c>
      <c r="D149" s="132" t="s">
        <v>99</v>
      </c>
      <c r="E149" s="61" t="s">
        <v>691</v>
      </c>
      <c r="F149" s="61">
        <v>2</v>
      </c>
      <c r="G149" s="61">
        <v>8920</v>
      </c>
      <c r="H149" s="61">
        <v>17840</v>
      </c>
      <c r="I149" s="26"/>
      <c r="J149" s="61" t="s">
        <v>226</v>
      </c>
      <c r="K149" s="38"/>
      <c r="L149" s="61"/>
      <c r="M149" s="47">
        <v>44082</v>
      </c>
      <c r="N149" s="40"/>
      <c r="O149" s="40"/>
      <c r="P149" s="41"/>
      <c r="Q149" s="30"/>
    </row>
    <row r="150" spans="2:17" ht="19.5" customHeight="1" x14ac:dyDescent="0.15">
      <c r="B150" s="139"/>
      <c r="C150" s="132" t="s">
        <v>99</v>
      </c>
      <c r="D150" s="132" t="s">
        <v>99</v>
      </c>
      <c r="E150" s="40" t="s">
        <v>694</v>
      </c>
      <c r="F150" s="40">
        <v>8</v>
      </c>
      <c r="G150" s="40">
        <v>1630</v>
      </c>
      <c r="H150" s="40">
        <v>13040</v>
      </c>
      <c r="I150" s="26"/>
      <c r="J150" s="61" t="s">
        <v>708</v>
      </c>
      <c r="K150" s="38"/>
      <c r="L150" s="61"/>
      <c r="M150" s="47">
        <v>44082</v>
      </c>
      <c r="N150" s="40"/>
      <c r="O150" s="40"/>
      <c r="P150" s="41"/>
      <c r="Q150" s="30"/>
    </row>
    <row r="151" spans="2:17" ht="19.5" customHeight="1" x14ac:dyDescent="0.15">
      <c r="B151" s="139"/>
      <c r="C151" s="132" t="s">
        <v>99</v>
      </c>
      <c r="D151" s="132" t="s">
        <v>99</v>
      </c>
      <c r="E151" s="40" t="s">
        <v>695</v>
      </c>
      <c r="F151" s="40">
        <v>2</v>
      </c>
      <c r="G151" s="40">
        <v>1940</v>
      </c>
      <c r="H151" s="40">
        <v>3880</v>
      </c>
      <c r="I151" s="26"/>
      <c r="J151" s="61" t="s">
        <v>709</v>
      </c>
      <c r="K151" s="38"/>
      <c r="L151" s="61"/>
      <c r="M151" s="47">
        <v>44082</v>
      </c>
      <c r="N151" s="40"/>
      <c r="O151" s="40"/>
      <c r="P151" s="41"/>
      <c r="Q151" s="30"/>
    </row>
    <row r="152" spans="2:17" ht="19.5" customHeight="1" x14ac:dyDescent="0.15">
      <c r="B152" s="139"/>
      <c r="C152" s="132" t="s">
        <v>99</v>
      </c>
      <c r="D152" s="132" t="s">
        <v>99</v>
      </c>
      <c r="E152" s="40" t="s">
        <v>696</v>
      </c>
      <c r="F152" s="40">
        <v>4</v>
      </c>
      <c r="G152" s="40">
        <v>1530</v>
      </c>
      <c r="H152" s="40">
        <v>6120</v>
      </c>
      <c r="I152" s="26"/>
      <c r="J152" s="61" t="s">
        <v>707</v>
      </c>
      <c r="K152" s="38"/>
      <c r="L152" s="61"/>
      <c r="M152" s="47">
        <v>44082</v>
      </c>
      <c r="N152" s="40"/>
      <c r="O152" s="40"/>
      <c r="P152" s="41"/>
      <c r="Q152" s="30"/>
    </row>
    <row r="153" spans="2:17" s="89" customFormat="1" ht="19.5" customHeight="1" x14ac:dyDescent="0.15">
      <c r="B153" s="132"/>
      <c r="C153" s="132" t="s">
        <v>99</v>
      </c>
      <c r="D153" s="132" t="s">
        <v>99</v>
      </c>
      <c r="E153" s="61" t="s">
        <v>721</v>
      </c>
      <c r="F153" s="61">
        <v>24</v>
      </c>
      <c r="G153" s="61">
        <v>489</v>
      </c>
      <c r="H153" s="61">
        <v>11736</v>
      </c>
      <c r="I153" s="26"/>
      <c r="J153" s="61" t="s">
        <v>40</v>
      </c>
      <c r="K153" s="38"/>
      <c r="L153" s="61"/>
      <c r="M153" s="47">
        <v>44084</v>
      </c>
      <c r="N153" s="61"/>
      <c r="O153" s="61"/>
      <c r="P153" s="95"/>
      <c r="Q153" s="12"/>
    </row>
    <row r="154" spans="2:17" s="89" customFormat="1" ht="19.5" customHeight="1" x14ac:dyDescent="0.15">
      <c r="B154" s="132"/>
      <c r="C154" s="132" t="s">
        <v>99</v>
      </c>
      <c r="D154" s="132" t="s">
        <v>99</v>
      </c>
      <c r="E154" s="61" t="s">
        <v>722</v>
      </c>
      <c r="F154" s="61">
        <v>2</v>
      </c>
      <c r="G154" s="61">
        <v>320</v>
      </c>
      <c r="H154" s="61">
        <v>640</v>
      </c>
      <c r="I154" s="26"/>
      <c r="J154" s="61" t="s">
        <v>42</v>
      </c>
      <c r="K154" s="38"/>
      <c r="L154" s="61"/>
      <c r="M154" s="47">
        <v>44084</v>
      </c>
      <c r="N154" s="61"/>
      <c r="O154" s="61"/>
      <c r="P154" s="95"/>
      <c r="Q154" s="12"/>
    </row>
    <row r="155" spans="2:17" s="89" customFormat="1" ht="19.5" customHeight="1" x14ac:dyDescent="0.15">
      <c r="B155" s="132"/>
      <c r="C155" s="132" t="s">
        <v>99</v>
      </c>
      <c r="D155" s="132" t="s">
        <v>99</v>
      </c>
      <c r="E155" s="61" t="s">
        <v>731</v>
      </c>
      <c r="F155" s="61">
        <v>2</v>
      </c>
      <c r="G155" s="61">
        <v>7050</v>
      </c>
      <c r="H155" s="61">
        <v>14100</v>
      </c>
      <c r="I155" s="26"/>
      <c r="J155" s="61" t="s">
        <v>43</v>
      </c>
      <c r="K155" s="38"/>
      <c r="L155" s="61"/>
      <c r="M155" s="47">
        <v>44084</v>
      </c>
      <c r="N155" s="61"/>
      <c r="O155" s="61"/>
      <c r="P155" s="95"/>
      <c r="Q155" s="12"/>
    </row>
    <row r="156" spans="2:17" s="89" customFormat="1" ht="19.5" customHeight="1" x14ac:dyDescent="0.15">
      <c r="B156" s="132"/>
      <c r="C156" s="132" t="s">
        <v>99</v>
      </c>
      <c r="D156" s="132" t="s">
        <v>99</v>
      </c>
      <c r="E156" s="61" t="s">
        <v>732</v>
      </c>
      <c r="F156" s="61">
        <v>4</v>
      </c>
      <c r="G156" s="61">
        <v>1760</v>
      </c>
      <c r="H156" s="61">
        <v>7040</v>
      </c>
      <c r="I156" s="26"/>
      <c r="J156" s="61" t="s">
        <v>43</v>
      </c>
      <c r="K156" s="38"/>
      <c r="L156" s="61"/>
      <c r="M156" s="47">
        <v>44084</v>
      </c>
      <c r="N156" s="61"/>
      <c r="O156" s="61"/>
      <c r="P156" s="95"/>
      <c r="Q156" s="12"/>
    </row>
    <row r="157" spans="2:17" s="89" customFormat="1" ht="19.5" customHeight="1" x14ac:dyDescent="0.15">
      <c r="B157" s="132"/>
      <c r="C157" s="132" t="s">
        <v>99</v>
      </c>
      <c r="D157" s="132" t="s">
        <v>99</v>
      </c>
      <c r="E157" s="61" t="s">
        <v>733</v>
      </c>
      <c r="F157" s="61">
        <v>3</v>
      </c>
      <c r="G157" s="61">
        <v>4930</v>
      </c>
      <c r="H157" s="61">
        <v>14790</v>
      </c>
      <c r="I157" s="26"/>
      <c r="J157" s="61" t="s">
        <v>43</v>
      </c>
      <c r="K157" s="38"/>
      <c r="L157" s="132"/>
      <c r="M157" s="47">
        <v>44084</v>
      </c>
      <c r="N157" s="61"/>
      <c r="O157" s="132"/>
      <c r="P157" s="95"/>
      <c r="Q157" s="12"/>
    </row>
    <row r="158" spans="2:17" ht="19.5" customHeight="1" x14ac:dyDescent="0.15">
      <c r="B158" s="162"/>
      <c r="C158" s="38" t="s">
        <v>99</v>
      </c>
      <c r="D158" s="38" t="s">
        <v>99</v>
      </c>
      <c r="E158" s="61" t="s">
        <v>55</v>
      </c>
      <c r="F158" s="61">
        <v>4</v>
      </c>
      <c r="G158" s="61">
        <v>1889</v>
      </c>
      <c r="H158" s="61">
        <v>7556</v>
      </c>
      <c r="I158" s="26"/>
      <c r="J158" s="61" t="s">
        <v>58</v>
      </c>
      <c r="K158" s="38"/>
      <c r="L158" s="61"/>
      <c r="M158" s="19">
        <v>44089</v>
      </c>
      <c r="N158" s="40"/>
      <c r="O158" s="40"/>
      <c r="P158" s="41"/>
      <c r="Q158" s="30"/>
    </row>
    <row r="159" spans="2:17" ht="19.5" customHeight="1" x14ac:dyDescent="0.15">
      <c r="B159" s="162"/>
      <c r="C159" s="38" t="s">
        <v>99</v>
      </c>
      <c r="D159" s="38" t="s">
        <v>99</v>
      </c>
      <c r="E159" s="61" t="s">
        <v>289</v>
      </c>
      <c r="F159" s="61">
        <v>1</v>
      </c>
      <c r="G159" s="61">
        <v>3789</v>
      </c>
      <c r="H159" s="61">
        <v>3789</v>
      </c>
      <c r="I159" s="26"/>
      <c r="J159" s="61" t="s">
        <v>294</v>
      </c>
      <c r="K159" s="38"/>
      <c r="L159" s="132"/>
      <c r="M159" s="19">
        <v>44089</v>
      </c>
      <c r="N159" s="40"/>
      <c r="O159" s="40"/>
      <c r="P159" s="41"/>
      <c r="Q159" s="30"/>
    </row>
    <row r="160" spans="2:17" ht="19.5" customHeight="1" x14ac:dyDescent="0.15">
      <c r="B160" s="162"/>
      <c r="C160" s="38" t="s">
        <v>99</v>
      </c>
      <c r="D160" s="38" t="s">
        <v>99</v>
      </c>
      <c r="E160" s="61" t="s">
        <v>291</v>
      </c>
      <c r="F160" s="61">
        <v>1</v>
      </c>
      <c r="G160" s="61">
        <v>969</v>
      </c>
      <c r="H160" s="61">
        <v>969</v>
      </c>
      <c r="I160" s="26"/>
      <c r="J160" s="61" t="s">
        <v>293</v>
      </c>
      <c r="K160" s="38"/>
      <c r="L160" s="61"/>
      <c r="M160" s="19">
        <v>44089</v>
      </c>
      <c r="N160" s="40"/>
      <c r="O160" s="40"/>
      <c r="P160" s="41"/>
      <c r="Q160" s="30"/>
    </row>
    <row r="161" spans="2:17" ht="19.5" customHeight="1" x14ac:dyDescent="0.15">
      <c r="B161" s="162"/>
      <c r="C161" s="38" t="s">
        <v>99</v>
      </c>
      <c r="D161" s="38" t="s">
        <v>99</v>
      </c>
      <c r="E161" s="61" t="s">
        <v>292</v>
      </c>
      <c r="F161" s="61">
        <v>2</v>
      </c>
      <c r="G161" s="61">
        <v>298</v>
      </c>
      <c r="H161" s="61">
        <v>596</v>
      </c>
      <c r="I161" s="26"/>
      <c r="J161" s="61" t="s">
        <v>293</v>
      </c>
      <c r="K161" s="38"/>
      <c r="L161" s="61"/>
      <c r="M161" s="19">
        <v>44089</v>
      </c>
      <c r="N161" s="40"/>
      <c r="O161" s="40"/>
      <c r="P161" s="41"/>
      <c r="Q161" s="30"/>
    </row>
    <row r="162" spans="2:17" ht="19.5" customHeight="1" x14ac:dyDescent="0.15">
      <c r="B162" s="162"/>
      <c r="C162" s="38" t="s">
        <v>99</v>
      </c>
      <c r="D162" s="38" t="s">
        <v>99</v>
      </c>
      <c r="E162" s="61" t="s">
        <v>37</v>
      </c>
      <c r="F162" s="61">
        <v>1</v>
      </c>
      <c r="G162" s="61"/>
      <c r="H162" s="61">
        <v>8179</v>
      </c>
      <c r="I162" s="26"/>
      <c r="J162" s="61" t="s">
        <v>44</v>
      </c>
      <c r="K162" s="38"/>
      <c r="L162" s="61"/>
      <c r="M162" s="47">
        <v>44092</v>
      </c>
      <c r="N162" s="40"/>
      <c r="O162" s="40"/>
      <c r="P162" s="41"/>
      <c r="Q162" s="30"/>
    </row>
    <row r="163" spans="2:17" ht="19.5" customHeight="1" x14ac:dyDescent="0.15">
      <c r="B163" s="162"/>
      <c r="C163" s="38" t="s">
        <v>99</v>
      </c>
      <c r="D163" s="38" t="s">
        <v>99</v>
      </c>
      <c r="E163" s="61" t="s">
        <v>762</v>
      </c>
      <c r="F163" s="61">
        <v>2</v>
      </c>
      <c r="G163" s="61"/>
      <c r="H163" s="61">
        <v>5380</v>
      </c>
      <c r="I163" s="26"/>
      <c r="J163" s="61" t="s">
        <v>331</v>
      </c>
      <c r="K163" s="38"/>
      <c r="L163" s="61"/>
      <c r="M163" s="47">
        <v>44092</v>
      </c>
      <c r="N163" s="40"/>
      <c r="O163" s="40"/>
      <c r="P163" s="41"/>
      <c r="Q163" s="30"/>
    </row>
    <row r="164" spans="2:17" ht="19.5" customHeight="1" x14ac:dyDescent="0.15">
      <c r="B164" s="162"/>
      <c r="C164" s="38" t="s">
        <v>99</v>
      </c>
      <c r="D164" s="38" t="s">
        <v>99</v>
      </c>
      <c r="E164" s="61" t="s">
        <v>763</v>
      </c>
      <c r="F164" s="61">
        <v>8</v>
      </c>
      <c r="G164" s="61"/>
      <c r="H164" s="61">
        <v>5168</v>
      </c>
      <c r="I164" s="26"/>
      <c r="J164" s="61" t="s">
        <v>228</v>
      </c>
      <c r="K164" s="38"/>
      <c r="L164" s="61"/>
      <c r="M164" s="47">
        <v>44092</v>
      </c>
      <c r="N164" s="40"/>
      <c r="O164" s="40"/>
      <c r="P164" s="41"/>
      <c r="Q164" s="30"/>
    </row>
    <row r="165" spans="2:17" s="89" customFormat="1" ht="19.5" customHeight="1" x14ac:dyDescent="0.15">
      <c r="B165" s="132"/>
      <c r="C165" s="38" t="s">
        <v>99</v>
      </c>
      <c r="D165" s="38" t="s">
        <v>99</v>
      </c>
      <c r="E165" s="166" t="s">
        <v>772</v>
      </c>
      <c r="F165" s="166">
        <v>16</v>
      </c>
      <c r="G165" s="166">
        <v>2700</v>
      </c>
      <c r="H165" s="166">
        <v>43200</v>
      </c>
      <c r="I165" s="171"/>
      <c r="J165" s="89" t="s">
        <v>773</v>
      </c>
      <c r="K165" s="38"/>
      <c r="L165" s="61"/>
      <c r="M165" s="47">
        <v>44098</v>
      </c>
      <c r="N165" s="61"/>
      <c r="O165" s="61"/>
      <c r="P165" s="95"/>
      <c r="Q165" s="12"/>
    </row>
    <row r="166" spans="2:17" s="89" customFormat="1" ht="19.5" customHeight="1" x14ac:dyDescent="0.15">
      <c r="B166" s="132"/>
      <c r="C166" s="38" t="s">
        <v>99</v>
      </c>
      <c r="D166" s="38" t="s">
        <v>99</v>
      </c>
      <c r="E166" s="61" t="s">
        <v>775</v>
      </c>
      <c r="F166" s="61">
        <v>3</v>
      </c>
      <c r="G166" s="61">
        <v>550</v>
      </c>
      <c r="H166" s="61">
        <v>1650</v>
      </c>
      <c r="I166" s="26"/>
      <c r="J166" s="61" t="s">
        <v>43</v>
      </c>
      <c r="K166" s="38"/>
      <c r="L166" s="61"/>
      <c r="M166" s="47">
        <v>44098</v>
      </c>
      <c r="N166" s="61"/>
      <c r="O166" s="61"/>
      <c r="P166" s="95"/>
      <c r="Q166" s="12"/>
    </row>
    <row r="167" spans="2:17" s="89" customFormat="1" ht="19.5" customHeight="1" x14ac:dyDescent="0.15">
      <c r="B167" s="132"/>
      <c r="C167" s="38" t="s">
        <v>99</v>
      </c>
      <c r="D167" s="38" t="s">
        <v>99</v>
      </c>
      <c r="E167" s="61" t="s">
        <v>29</v>
      </c>
      <c r="F167" s="61">
        <v>3</v>
      </c>
      <c r="G167" s="61">
        <v>240</v>
      </c>
      <c r="H167" s="61">
        <v>720</v>
      </c>
      <c r="I167" s="26"/>
      <c r="J167" s="61" t="s">
        <v>42</v>
      </c>
      <c r="K167" s="38"/>
      <c r="L167" s="61"/>
      <c r="M167" s="47">
        <v>44098</v>
      </c>
      <c r="N167" s="61"/>
      <c r="O167" s="61"/>
      <c r="P167" s="95"/>
      <c r="Q167" s="12"/>
    </row>
    <row r="168" spans="2:17" s="89" customFormat="1" ht="19.5" customHeight="1" x14ac:dyDescent="0.15">
      <c r="B168" s="132"/>
      <c r="C168" s="38" t="s">
        <v>99</v>
      </c>
      <c r="D168" s="38" t="s">
        <v>99</v>
      </c>
      <c r="E168" s="61" t="s">
        <v>776</v>
      </c>
      <c r="F168" s="61">
        <v>1</v>
      </c>
      <c r="G168" s="61">
        <v>8800</v>
      </c>
      <c r="H168" s="61">
        <v>8800</v>
      </c>
      <c r="I168" s="26"/>
      <c r="J168" s="61" t="s">
        <v>526</v>
      </c>
      <c r="K168" s="38"/>
      <c r="L168" s="61"/>
      <c r="M168" s="47">
        <v>44098</v>
      </c>
      <c r="N168" s="61"/>
      <c r="O168" s="61"/>
      <c r="P168" s="95"/>
      <c r="Q168" s="12"/>
    </row>
    <row r="169" spans="2:17" ht="19.5" customHeight="1" x14ac:dyDescent="0.15">
      <c r="B169" s="170"/>
      <c r="C169" s="38" t="s">
        <v>99</v>
      </c>
      <c r="D169" s="38" t="s">
        <v>99</v>
      </c>
      <c r="E169" s="61" t="s">
        <v>778</v>
      </c>
      <c r="F169" s="61">
        <v>3</v>
      </c>
      <c r="G169" s="61">
        <v>713</v>
      </c>
      <c r="H169" s="61">
        <v>2139</v>
      </c>
      <c r="I169" s="65"/>
      <c r="J169" s="61" t="s">
        <v>780</v>
      </c>
      <c r="K169" s="38"/>
      <c r="L169" s="61"/>
      <c r="M169" s="10">
        <v>44099</v>
      </c>
      <c r="N169" s="61"/>
      <c r="O169" s="100"/>
      <c r="P169" s="31"/>
      <c r="Q169" s="30"/>
    </row>
    <row r="170" spans="2:17" ht="19.5" customHeight="1" x14ac:dyDescent="0.15">
      <c r="B170" s="170"/>
      <c r="C170" s="38" t="s">
        <v>99</v>
      </c>
      <c r="D170" s="38" t="s">
        <v>99</v>
      </c>
      <c r="E170" s="61" t="s">
        <v>779</v>
      </c>
      <c r="F170" s="61">
        <v>1</v>
      </c>
      <c r="G170" s="61">
        <v>980</v>
      </c>
      <c r="H170" s="61">
        <v>980</v>
      </c>
      <c r="I170" s="65"/>
      <c r="J170" s="61" t="s">
        <v>781</v>
      </c>
      <c r="K170" s="38"/>
      <c r="L170" s="61"/>
      <c r="M170" s="10">
        <v>44099</v>
      </c>
      <c r="N170" s="61"/>
      <c r="O170" s="100"/>
      <c r="P170" s="31"/>
      <c r="Q170" s="30"/>
    </row>
    <row r="171" spans="2:17" ht="19.5" customHeight="1" x14ac:dyDescent="0.15">
      <c r="B171" s="170"/>
      <c r="C171" s="38" t="s">
        <v>99</v>
      </c>
      <c r="D171" s="38" t="s">
        <v>99</v>
      </c>
      <c r="E171" s="61" t="s">
        <v>782</v>
      </c>
      <c r="F171" s="61">
        <v>1</v>
      </c>
      <c r="G171" s="61">
        <v>1660</v>
      </c>
      <c r="H171" s="61">
        <v>1600</v>
      </c>
      <c r="I171" s="26"/>
      <c r="J171" s="61" t="s">
        <v>526</v>
      </c>
      <c r="K171" s="38"/>
      <c r="L171" s="61"/>
      <c r="M171" s="10">
        <v>44099</v>
      </c>
      <c r="N171" s="40"/>
      <c r="O171" s="40"/>
      <c r="P171" s="41"/>
      <c r="Q171" s="30"/>
    </row>
    <row r="172" spans="2:17" ht="19.5" customHeight="1" x14ac:dyDescent="0.15">
      <c r="B172" s="170"/>
      <c r="C172" s="38" t="s">
        <v>99</v>
      </c>
      <c r="D172" s="38" t="s">
        <v>99</v>
      </c>
      <c r="E172" s="61" t="s">
        <v>721</v>
      </c>
      <c r="F172" s="61">
        <v>24</v>
      </c>
      <c r="G172" s="61">
        <v>489</v>
      </c>
      <c r="H172" s="61">
        <v>11736</v>
      </c>
      <c r="I172" s="26"/>
      <c r="J172" s="61" t="s">
        <v>40</v>
      </c>
      <c r="K172" s="38"/>
      <c r="L172" s="61"/>
      <c r="M172" s="10">
        <v>44103</v>
      </c>
      <c r="N172" s="40"/>
      <c r="O172" s="40"/>
      <c r="P172" s="41"/>
      <c r="Q172" s="30"/>
    </row>
    <row r="173" spans="2:17" ht="19.5" customHeight="1" x14ac:dyDescent="0.15">
      <c r="B173" s="170"/>
      <c r="C173" s="38" t="s">
        <v>99</v>
      </c>
      <c r="D173" s="38" t="s">
        <v>99</v>
      </c>
      <c r="E173" s="61" t="s">
        <v>722</v>
      </c>
      <c r="F173" s="61">
        <v>2</v>
      </c>
      <c r="G173" s="61">
        <v>320</v>
      </c>
      <c r="H173" s="61">
        <v>640</v>
      </c>
      <c r="I173" s="26"/>
      <c r="J173" s="61" t="s">
        <v>42</v>
      </c>
      <c r="K173" s="38"/>
      <c r="L173" s="61"/>
      <c r="M173" s="10">
        <v>44103</v>
      </c>
      <c r="N173" s="40"/>
      <c r="O173" s="40"/>
      <c r="P173" s="41"/>
      <c r="Q173" s="30"/>
    </row>
    <row r="174" spans="2:17" ht="19.5" customHeight="1" x14ac:dyDescent="0.15">
      <c r="B174" s="170"/>
      <c r="C174" s="38" t="s">
        <v>99</v>
      </c>
      <c r="D174" s="38" t="s">
        <v>99</v>
      </c>
      <c r="E174" s="61" t="s">
        <v>731</v>
      </c>
      <c r="F174" s="61">
        <v>2</v>
      </c>
      <c r="G174" s="61">
        <v>7050</v>
      </c>
      <c r="H174" s="61">
        <v>14100</v>
      </c>
      <c r="I174" s="26"/>
      <c r="J174" s="61" t="s">
        <v>43</v>
      </c>
      <c r="K174" s="38"/>
      <c r="L174" s="61"/>
      <c r="M174" s="10">
        <v>44103</v>
      </c>
      <c r="N174" s="40"/>
      <c r="O174" s="40"/>
      <c r="P174" s="41"/>
      <c r="Q174" s="30"/>
    </row>
    <row r="175" spans="2:17" ht="19.5" customHeight="1" x14ac:dyDescent="0.15">
      <c r="B175" s="170"/>
      <c r="C175" s="38" t="s">
        <v>99</v>
      </c>
      <c r="D175" s="38" t="s">
        <v>99</v>
      </c>
      <c r="E175" s="61" t="s">
        <v>732</v>
      </c>
      <c r="F175" s="61">
        <v>4</v>
      </c>
      <c r="G175" s="61">
        <v>1760</v>
      </c>
      <c r="H175" s="61">
        <v>7040</v>
      </c>
      <c r="I175" s="26"/>
      <c r="J175" s="61" t="s">
        <v>43</v>
      </c>
      <c r="K175" s="38"/>
      <c r="L175" s="61"/>
      <c r="M175" s="10">
        <v>44103</v>
      </c>
      <c r="N175" s="40"/>
      <c r="O175" s="40"/>
      <c r="P175" s="41"/>
      <c r="Q175" s="30"/>
    </row>
    <row r="176" spans="2:17" ht="19.5" customHeight="1" x14ac:dyDescent="0.15">
      <c r="B176" s="170"/>
      <c r="C176" s="38" t="s">
        <v>99</v>
      </c>
      <c r="D176" s="38" t="s">
        <v>99</v>
      </c>
      <c r="E176" s="61" t="s">
        <v>733</v>
      </c>
      <c r="F176" s="61">
        <v>3</v>
      </c>
      <c r="G176" s="61">
        <v>4930</v>
      </c>
      <c r="H176" s="61">
        <v>14790</v>
      </c>
      <c r="I176" s="26"/>
      <c r="J176" s="61" t="s">
        <v>43</v>
      </c>
      <c r="K176" s="38"/>
      <c r="L176" s="61"/>
      <c r="M176" s="10">
        <v>44103</v>
      </c>
      <c r="N176" s="40"/>
      <c r="O176" s="40"/>
      <c r="P176" s="41"/>
      <c r="Q176" s="30"/>
    </row>
    <row r="177" spans="2:17" ht="19.5" customHeight="1" x14ac:dyDescent="0.15">
      <c r="B177" s="170"/>
      <c r="C177" s="38" t="s">
        <v>99</v>
      </c>
      <c r="D177" s="38" t="s">
        <v>99</v>
      </c>
      <c r="E177" s="61" t="s">
        <v>786</v>
      </c>
      <c r="F177" s="61">
        <v>1</v>
      </c>
      <c r="G177" s="61">
        <v>12510</v>
      </c>
      <c r="H177" s="61">
        <v>12510</v>
      </c>
      <c r="I177" s="26"/>
      <c r="J177" s="61" t="s">
        <v>526</v>
      </c>
      <c r="K177" s="38"/>
      <c r="L177" s="61"/>
      <c r="M177" s="10">
        <v>44103</v>
      </c>
      <c r="N177" s="40"/>
      <c r="O177" s="40"/>
      <c r="P177" s="41"/>
      <c r="Q177" s="30"/>
    </row>
    <row r="178" spans="2:17" s="89" customFormat="1" ht="19.5" customHeight="1" x14ac:dyDescent="0.15">
      <c r="B178" s="132"/>
      <c r="C178" s="174" t="s">
        <v>99</v>
      </c>
      <c r="D178" s="174" t="s">
        <v>99</v>
      </c>
      <c r="E178" s="166" t="s">
        <v>794</v>
      </c>
      <c r="F178" s="166">
        <v>1</v>
      </c>
      <c r="G178" s="166">
        <v>2050</v>
      </c>
      <c r="H178" s="166">
        <v>2050</v>
      </c>
      <c r="I178" s="171"/>
      <c r="J178" s="89" t="s">
        <v>526</v>
      </c>
      <c r="K178" s="174"/>
      <c r="L178" s="166"/>
      <c r="M178" s="169">
        <v>44104</v>
      </c>
      <c r="N178" s="61"/>
      <c r="O178" s="61"/>
      <c r="P178" s="95"/>
      <c r="Q178" s="12"/>
    </row>
    <row r="179" spans="2:17" ht="19.5" customHeight="1" x14ac:dyDescent="0.15">
      <c r="B179" s="170"/>
      <c r="C179" s="38" t="s">
        <v>99</v>
      </c>
      <c r="D179" s="38" t="s">
        <v>99</v>
      </c>
      <c r="E179" s="61" t="s">
        <v>799</v>
      </c>
      <c r="F179" s="61">
        <v>20</v>
      </c>
      <c r="G179" s="61">
        <v>81</v>
      </c>
      <c r="H179" s="61">
        <v>1620</v>
      </c>
      <c r="I179" s="26"/>
      <c r="J179" s="61" t="s">
        <v>802</v>
      </c>
      <c r="K179" s="38"/>
      <c r="L179" s="61"/>
      <c r="M179" s="47">
        <v>44105</v>
      </c>
      <c r="N179" s="40"/>
      <c r="O179" s="40"/>
      <c r="P179" s="41"/>
      <c r="Q179" s="30"/>
    </row>
    <row r="180" spans="2:17" ht="19.5" customHeight="1" x14ac:dyDescent="0.15">
      <c r="B180" s="170"/>
      <c r="C180" s="38" t="s">
        <v>99</v>
      </c>
      <c r="D180" s="38" t="s">
        <v>99</v>
      </c>
      <c r="E180" s="61" t="s">
        <v>800</v>
      </c>
      <c r="F180" s="61">
        <v>10</v>
      </c>
      <c r="G180" s="61">
        <v>488</v>
      </c>
      <c r="H180" s="61">
        <v>4880</v>
      </c>
      <c r="I180" s="26"/>
      <c r="J180" s="61" t="s">
        <v>225</v>
      </c>
      <c r="K180" s="38"/>
      <c r="L180" s="61"/>
      <c r="M180" s="47">
        <v>44105</v>
      </c>
      <c r="N180" s="40"/>
      <c r="O180" s="40"/>
      <c r="P180" s="41"/>
      <c r="Q180" s="30"/>
    </row>
    <row r="181" spans="2:17" ht="19.5" customHeight="1" x14ac:dyDescent="0.15">
      <c r="B181" s="170"/>
      <c r="C181" s="38" t="s">
        <v>99</v>
      </c>
      <c r="D181" s="38" t="s">
        <v>99</v>
      </c>
      <c r="E181" s="61" t="s">
        <v>801</v>
      </c>
      <c r="F181" s="61">
        <v>2</v>
      </c>
      <c r="G181" s="61">
        <v>258</v>
      </c>
      <c r="H181" s="61">
        <v>516</v>
      </c>
      <c r="I181" s="26"/>
      <c r="J181" s="61" t="s">
        <v>225</v>
      </c>
      <c r="K181" s="38"/>
      <c r="L181" s="61"/>
      <c r="M181" s="47">
        <v>44105</v>
      </c>
      <c r="N181" s="40"/>
      <c r="O181" s="40"/>
      <c r="P181" s="41"/>
      <c r="Q181" s="30"/>
    </row>
    <row r="182" spans="2:17" ht="19.5" customHeight="1" x14ac:dyDescent="0.15">
      <c r="B182" s="170"/>
      <c r="C182" s="38" t="s">
        <v>99</v>
      </c>
      <c r="D182" s="38" t="s">
        <v>99</v>
      </c>
      <c r="E182" s="61" t="s">
        <v>799</v>
      </c>
      <c r="F182" s="61">
        <v>10</v>
      </c>
      <c r="G182" s="61">
        <v>81</v>
      </c>
      <c r="H182" s="61">
        <v>810</v>
      </c>
      <c r="I182" s="26"/>
      <c r="J182" s="61" t="s">
        <v>802</v>
      </c>
      <c r="K182" s="38"/>
      <c r="L182" s="61"/>
      <c r="M182" s="47">
        <v>44110</v>
      </c>
      <c r="N182" s="40"/>
      <c r="O182" s="40"/>
      <c r="P182" s="41"/>
      <c r="Q182" s="30"/>
    </row>
    <row r="183" spans="2:17" ht="19.5" customHeight="1" x14ac:dyDescent="0.15">
      <c r="B183" s="170"/>
      <c r="C183" s="38" t="s">
        <v>99</v>
      </c>
      <c r="D183" s="38" t="s">
        <v>99</v>
      </c>
      <c r="E183" s="61" t="s">
        <v>862</v>
      </c>
      <c r="F183" s="61">
        <v>5</v>
      </c>
      <c r="G183" s="61">
        <v>2400</v>
      </c>
      <c r="H183" s="61">
        <v>12000</v>
      </c>
      <c r="I183" s="26"/>
      <c r="J183" s="61" t="s">
        <v>844</v>
      </c>
      <c r="K183" s="38"/>
      <c r="L183" s="61"/>
      <c r="M183" s="47">
        <v>44110</v>
      </c>
      <c r="N183" s="40"/>
      <c r="O183" s="40"/>
      <c r="P183" s="41"/>
      <c r="Q183" s="30"/>
    </row>
    <row r="184" spans="2:17" ht="19.5" customHeight="1" x14ac:dyDescent="0.15">
      <c r="B184" s="170"/>
      <c r="C184" s="38" t="s">
        <v>99</v>
      </c>
      <c r="D184" s="38" t="s">
        <v>99</v>
      </c>
      <c r="E184" s="61" t="s">
        <v>837</v>
      </c>
      <c r="F184" s="61">
        <v>1</v>
      </c>
      <c r="G184" s="61">
        <v>2160</v>
      </c>
      <c r="H184" s="61">
        <v>2160</v>
      </c>
      <c r="I184" s="26"/>
      <c r="J184" s="61" t="s">
        <v>844</v>
      </c>
      <c r="K184" s="38"/>
      <c r="L184" s="61"/>
      <c r="M184" s="47">
        <v>44110</v>
      </c>
      <c r="N184" s="40"/>
      <c r="O184" s="40"/>
      <c r="P184" s="41"/>
      <c r="Q184" s="30"/>
    </row>
    <row r="185" spans="2:17" ht="19.5" customHeight="1" x14ac:dyDescent="0.15">
      <c r="B185" s="170"/>
      <c r="C185" s="38" t="s">
        <v>99</v>
      </c>
      <c r="D185" s="38" t="s">
        <v>99</v>
      </c>
      <c r="E185" s="61" t="s">
        <v>838</v>
      </c>
      <c r="F185" s="61">
        <v>1</v>
      </c>
      <c r="G185" s="61">
        <v>2640</v>
      </c>
      <c r="H185" s="61">
        <v>2640</v>
      </c>
      <c r="I185" s="26"/>
      <c r="J185" s="61" t="s">
        <v>844</v>
      </c>
      <c r="K185" s="38"/>
      <c r="L185" s="61"/>
      <c r="M185" s="47">
        <v>44110</v>
      </c>
      <c r="N185" s="40"/>
      <c r="O185" s="40"/>
      <c r="P185" s="41"/>
      <c r="Q185" s="30"/>
    </row>
    <row r="186" spans="2:17" ht="19.5" customHeight="1" x14ac:dyDescent="0.15">
      <c r="B186" s="170"/>
      <c r="C186" s="38" t="s">
        <v>99</v>
      </c>
      <c r="D186" s="38" t="s">
        <v>99</v>
      </c>
      <c r="E186" s="61" t="s">
        <v>870</v>
      </c>
      <c r="F186" s="61">
        <v>2</v>
      </c>
      <c r="G186" s="61">
        <v>230</v>
      </c>
      <c r="H186" s="61">
        <v>460</v>
      </c>
      <c r="I186" s="26"/>
      <c r="J186" s="61" t="s">
        <v>42</v>
      </c>
      <c r="K186" s="38"/>
      <c r="L186" s="61"/>
      <c r="M186" s="47">
        <v>44110</v>
      </c>
      <c r="N186" s="40"/>
      <c r="O186" s="40"/>
      <c r="P186" s="41"/>
      <c r="Q186" s="30"/>
    </row>
    <row r="187" spans="2:17" ht="19.5" customHeight="1" x14ac:dyDescent="0.15">
      <c r="B187" s="170"/>
      <c r="C187" s="38" t="s">
        <v>99</v>
      </c>
      <c r="D187" s="38" t="s">
        <v>99</v>
      </c>
      <c r="E187" s="61" t="s">
        <v>840</v>
      </c>
      <c r="F187" s="61">
        <v>6</v>
      </c>
      <c r="G187" s="61">
        <v>646</v>
      </c>
      <c r="H187" s="61">
        <v>3876</v>
      </c>
      <c r="I187" s="26"/>
      <c r="J187" s="61" t="s">
        <v>845</v>
      </c>
      <c r="K187" s="38"/>
      <c r="L187" s="61"/>
      <c r="M187" s="47">
        <v>44110</v>
      </c>
      <c r="N187" s="40"/>
      <c r="O187" s="40"/>
      <c r="P187" s="41"/>
      <c r="Q187" s="30"/>
    </row>
    <row r="188" spans="2:17" ht="19.5" customHeight="1" x14ac:dyDescent="0.15">
      <c r="B188" s="170"/>
      <c r="C188" s="38" t="s">
        <v>99</v>
      </c>
      <c r="D188" s="38" t="s">
        <v>99</v>
      </c>
      <c r="E188" s="61" t="s">
        <v>841</v>
      </c>
      <c r="F188" s="61">
        <v>10</v>
      </c>
      <c r="G188" s="61">
        <v>259</v>
      </c>
      <c r="H188" s="61">
        <v>2590</v>
      </c>
      <c r="I188" s="26"/>
      <c r="J188" s="61" t="s">
        <v>846</v>
      </c>
      <c r="K188" s="38"/>
      <c r="L188" s="61"/>
      <c r="M188" s="47">
        <v>44110</v>
      </c>
      <c r="N188" s="40"/>
      <c r="O188" s="40"/>
      <c r="P188" s="41"/>
      <c r="Q188" s="30"/>
    </row>
    <row r="189" spans="2:17" ht="19.5" customHeight="1" x14ac:dyDescent="0.15">
      <c r="B189" s="170"/>
      <c r="C189" s="38" t="s">
        <v>99</v>
      </c>
      <c r="D189" s="38" t="s">
        <v>99</v>
      </c>
      <c r="E189" s="61" t="s">
        <v>842</v>
      </c>
      <c r="F189" s="61">
        <v>1</v>
      </c>
      <c r="G189" s="61">
        <v>2300</v>
      </c>
      <c r="H189" s="61">
        <v>2300</v>
      </c>
      <c r="I189" s="26"/>
      <c r="J189" s="61" t="s">
        <v>847</v>
      </c>
      <c r="K189" s="38"/>
      <c r="L189" s="61"/>
      <c r="M189" s="47">
        <v>44110</v>
      </c>
      <c r="N189" s="40"/>
      <c r="O189" s="40"/>
      <c r="P189" s="41"/>
      <c r="Q189" s="30"/>
    </row>
    <row r="190" spans="2:17" ht="19.5" customHeight="1" x14ac:dyDescent="0.15">
      <c r="B190" s="170"/>
      <c r="C190" s="38" t="s">
        <v>99</v>
      </c>
      <c r="D190" s="38" t="s">
        <v>99</v>
      </c>
      <c r="E190" s="61" t="s">
        <v>843</v>
      </c>
      <c r="F190" s="61">
        <v>4</v>
      </c>
      <c r="G190" s="61">
        <v>53</v>
      </c>
      <c r="H190" s="61">
        <v>212</v>
      </c>
      <c r="I190" s="26"/>
      <c r="J190" s="61" t="s">
        <v>848</v>
      </c>
      <c r="K190" s="38"/>
      <c r="L190" s="61"/>
      <c r="M190" s="47">
        <v>44110</v>
      </c>
      <c r="N190" s="40"/>
      <c r="O190" s="40"/>
      <c r="P190" s="41"/>
      <c r="Q190" s="30"/>
    </row>
    <row r="191" spans="2:17" ht="19.5" customHeight="1" x14ac:dyDescent="0.15">
      <c r="B191" s="170"/>
      <c r="C191" s="38" t="s">
        <v>99</v>
      </c>
      <c r="D191" s="38" t="s">
        <v>99</v>
      </c>
      <c r="E191" s="203" t="s">
        <v>849</v>
      </c>
      <c r="F191" s="166">
        <v>2</v>
      </c>
      <c r="G191" s="166">
        <v>1827</v>
      </c>
      <c r="H191" s="166">
        <f>F191*G191</f>
        <v>3654</v>
      </c>
      <c r="I191" s="26"/>
      <c r="J191" s="61" t="s">
        <v>850</v>
      </c>
      <c r="K191" s="38"/>
      <c r="L191" s="61"/>
      <c r="M191" s="47">
        <v>44111</v>
      </c>
      <c r="N191" s="40"/>
      <c r="O191" s="40"/>
      <c r="P191" s="41"/>
      <c r="Q191" s="30"/>
    </row>
    <row r="192" spans="2:17" s="89" customFormat="1" ht="19.5" customHeight="1" x14ac:dyDescent="0.15">
      <c r="B192" s="132"/>
      <c r="C192" s="38" t="s">
        <v>99</v>
      </c>
      <c r="D192" s="38" t="s">
        <v>99</v>
      </c>
      <c r="E192" s="61" t="s">
        <v>435</v>
      </c>
      <c r="F192" s="61">
        <v>5</v>
      </c>
      <c r="G192" s="61">
        <v>1139</v>
      </c>
      <c r="H192" s="61">
        <v>5695</v>
      </c>
      <c r="I192" s="26"/>
      <c r="J192" s="61" t="s">
        <v>439</v>
      </c>
      <c r="K192" s="38"/>
      <c r="L192" s="61"/>
      <c r="M192" s="47">
        <v>44113</v>
      </c>
      <c r="N192" s="61"/>
      <c r="O192" s="61"/>
      <c r="P192" s="95"/>
      <c r="Q192" s="12"/>
    </row>
    <row r="193" spans="2:17" s="89" customFormat="1" ht="19.5" customHeight="1" x14ac:dyDescent="0.15">
      <c r="B193" s="132"/>
      <c r="C193" s="38" t="s">
        <v>99</v>
      </c>
      <c r="D193" s="38" t="s">
        <v>99</v>
      </c>
      <c r="E193" s="61" t="s">
        <v>793</v>
      </c>
      <c r="F193" s="61">
        <v>8</v>
      </c>
      <c r="G193" s="61">
        <v>920</v>
      </c>
      <c r="H193" s="61">
        <v>7360</v>
      </c>
      <c r="I193" s="26"/>
      <c r="J193" s="61" t="s">
        <v>439</v>
      </c>
      <c r="K193" s="38"/>
      <c r="L193" s="61"/>
      <c r="M193" s="47">
        <v>44113</v>
      </c>
      <c r="N193" s="61"/>
      <c r="O193" s="61"/>
      <c r="P193" s="95"/>
      <c r="Q193" s="12"/>
    </row>
    <row r="194" spans="2:17" s="89" customFormat="1" ht="19.5" customHeight="1" x14ac:dyDescent="0.15">
      <c r="B194" s="132"/>
      <c r="C194" s="38" t="s">
        <v>99</v>
      </c>
      <c r="D194" s="38" t="s">
        <v>99</v>
      </c>
      <c r="E194" s="61" t="s">
        <v>857</v>
      </c>
      <c r="F194" s="61">
        <v>3</v>
      </c>
      <c r="G194" s="61">
        <v>6980</v>
      </c>
      <c r="H194" s="61">
        <v>20940</v>
      </c>
      <c r="I194" s="26"/>
      <c r="J194" s="61" t="s">
        <v>858</v>
      </c>
      <c r="K194" s="38"/>
      <c r="L194" s="61"/>
      <c r="M194" s="47">
        <v>44113</v>
      </c>
      <c r="N194" s="61"/>
      <c r="O194" s="61"/>
      <c r="P194" s="95"/>
      <c r="Q194" s="12"/>
    </row>
    <row r="195" spans="2:17" ht="19.5" customHeight="1" x14ac:dyDescent="0.15">
      <c r="B195" s="170"/>
      <c r="C195" s="38" t="s">
        <v>99</v>
      </c>
      <c r="D195" s="38" t="s">
        <v>99</v>
      </c>
      <c r="E195" s="61" t="s">
        <v>856</v>
      </c>
      <c r="F195" s="61">
        <v>2</v>
      </c>
      <c r="G195" s="61">
        <v>3880</v>
      </c>
      <c r="H195" s="61">
        <v>7760</v>
      </c>
      <c r="I195" s="26"/>
      <c r="J195" s="61" t="s">
        <v>859</v>
      </c>
      <c r="K195" s="38"/>
      <c r="L195" s="61"/>
      <c r="M195" s="47">
        <v>44113</v>
      </c>
      <c r="N195" s="40"/>
      <c r="O195" s="40"/>
      <c r="P195" s="41"/>
      <c r="Q195" s="30"/>
    </row>
    <row r="196" spans="2:17" s="89" customFormat="1" ht="19.5" customHeight="1" x14ac:dyDescent="0.15">
      <c r="B196" s="132"/>
      <c r="C196" s="38" t="s">
        <v>99</v>
      </c>
      <c r="D196" s="38" t="s">
        <v>99</v>
      </c>
      <c r="E196" s="61" t="s">
        <v>851</v>
      </c>
      <c r="F196" s="61">
        <v>2</v>
      </c>
      <c r="G196" s="61">
        <v>1384</v>
      </c>
      <c r="H196" s="61">
        <v>2768</v>
      </c>
      <c r="I196" s="26"/>
      <c r="J196" s="61" t="s">
        <v>526</v>
      </c>
      <c r="K196" s="38"/>
      <c r="L196" s="61"/>
      <c r="M196" s="47">
        <v>44113</v>
      </c>
      <c r="N196" s="61"/>
      <c r="O196" s="61"/>
      <c r="P196" s="95"/>
      <c r="Q196" s="12"/>
    </row>
    <row r="197" spans="2:17" s="89" customFormat="1" ht="19.5" customHeight="1" x14ac:dyDescent="0.15">
      <c r="B197" s="132"/>
      <c r="C197" s="38" t="s">
        <v>99</v>
      </c>
      <c r="D197" s="38" t="s">
        <v>99</v>
      </c>
      <c r="E197" s="61" t="s">
        <v>852</v>
      </c>
      <c r="F197" s="61">
        <v>2</v>
      </c>
      <c r="G197" s="61">
        <v>1344</v>
      </c>
      <c r="H197" s="61">
        <v>2688</v>
      </c>
      <c r="I197" s="26"/>
      <c r="J197" s="61" t="s">
        <v>526</v>
      </c>
      <c r="K197" s="38"/>
      <c r="L197" s="132"/>
      <c r="M197" s="47">
        <v>44113</v>
      </c>
      <c r="N197" s="61"/>
      <c r="O197" s="132"/>
      <c r="P197" s="95"/>
      <c r="Q197" s="12"/>
    </row>
    <row r="198" spans="2:17" ht="19.5" customHeight="1" x14ac:dyDescent="0.15">
      <c r="B198" s="170"/>
      <c r="C198" s="38" t="s">
        <v>99</v>
      </c>
      <c r="D198" s="38" t="s">
        <v>99</v>
      </c>
      <c r="E198" s="61" t="s">
        <v>853</v>
      </c>
      <c r="F198" s="61">
        <v>2</v>
      </c>
      <c r="G198" s="61">
        <v>1184</v>
      </c>
      <c r="H198" s="61">
        <v>2368</v>
      </c>
      <c r="I198" s="26"/>
      <c r="J198" s="61" t="s">
        <v>526</v>
      </c>
      <c r="K198" s="38"/>
      <c r="L198" s="61"/>
      <c r="M198" s="47">
        <v>44113</v>
      </c>
      <c r="N198" s="40"/>
      <c r="O198" s="40"/>
      <c r="P198" s="41"/>
      <c r="Q198" s="30"/>
    </row>
    <row r="199" spans="2:17" ht="19.5" customHeight="1" x14ac:dyDescent="0.15">
      <c r="B199" s="170"/>
      <c r="C199" s="38" t="s">
        <v>99</v>
      </c>
      <c r="D199" s="38" t="s">
        <v>99</v>
      </c>
      <c r="E199" s="61" t="s">
        <v>854</v>
      </c>
      <c r="F199" s="61">
        <v>2</v>
      </c>
      <c r="G199" s="61">
        <v>893</v>
      </c>
      <c r="H199" s="61">
        <v>1786</v>
      </c>
      <c r="I199" s="26"/>
      <c r="J199" s="61" t="s">
        <v>860</v>
      </c>
      <c r="K199" s="38"/>
      <c r="L199" s="132"/>
      <c r="M199" s="47">
        <v>44113</v>
      </c>
      <c r="N199" s="40"/>
      <c r="O199" s="40"/>
      <c r="P199" s="41"/>
      <c r="Q199" s="30"/>
    </row>
    <row r="200" spans="2:17" ht="19.5" customHeight="1" x14ac:dyDescent="0.15">
      <c r="B200" s="170"/>
      <c r="C200" s="38" t="s">
        <v>99</v>
      </c>
      <c r="D200" s="38" t="s">
        <v>99</v>
      </c>
      <c r="E200" s="61" t="s">
        <v>855</v>
      </c>
      <c r="F200" s="61">
        <v>2</v>
      </c>
      <c r="G200" s="61">
        <v>750</v>
      </c>
      <c r="H200" s="61">
        <v>1500</v>
      </c>
      <c r="I200" s="26"/>
      <c r="J200" s="61" t="s">
        <v>861</v>
      </c>
      <c r="K200" s="38"/>
      <c r="L200" s="61"/>
      <c r="M200" s="47">
        <v>44113</v>
      </c>
      <c r="N200" s="40"/>
      <c r="O200" s="40"/>
      <c r="P200" s="41"/>
      <c r="Q200" s="30"/>
    </row>
    <row r="201" spans="2:17" ht="19.5" customHeight="1" x14ac:dyDescent="0.15">
      <c r="B201" s="170"/>
      <c r="C201" s="176" t="s">
        <v>872</v>
      </c>
      <c r="D201" s="176"/>
      <c r="E201" s="214" t="s">
        <v>871</v>
      </c>
      <c r="F201" s="214">
        <v>2</v>
      </c>
      <c r="G201" s="214"/>
      <c r="H201" s="214"/>
      <c r="I201" s="215"/>
      <c r="J201" s="214"/>
      <c r="K201" s="176" t="s">
        <v>884</v>
      </c>
      <c r="L201" s="214"/>
      <c r="M201" s="216">
        <v>44117</v>
      </c>
      <c r="N201" s="40"/>
      <c r="O201" s="40"/>
      <c r="P201" s="41"/>
      <c r="Q201" s="30"/>
    </row>
    <row r="202" spans="2:17" ht="19.5" customHeight="1" x14ac:dyDescent="0.15">
      <c r="B202" s="170"/>
      <c r="C202" s="38" t="s">
        <v>99</v>
      </c>
      <c r="D202" s="38" t="s">
        <v>99</v>
      </c>
      <c r="E202" s="61" t="s">
        <v>873</v>
      </c>
      <c r="F202" s="61">
        <v>1</v>
      </c>
      <c r="G202" s="61">
        <v>434</v>
      </c>
      <c r="H202" s="61">
        <v>434</v>
      </c>
      <c r="I202" s="26"/>
      <c r="J202" s="61" t="s">
        <v>879</v>
      </c>
      <c r="K202" s="38"/>
      <c r="L202" s="61"/>
      <c r="M202" s="47">
        <v>44117</v>
      </c>
      <c r="N202" s="208"/>
      <c r="O202" s="40"/>
      <c r="P202" s="41"/>
      <c r="Q202" s="30"/>
    </row>
    <row r="203" spans="2:17" ht="19.5" customHeight="1" x14ac:dyDescent="0.15">
      <c r="B203" s="170"/>
      <c r="C203" s="38" t="s">
        <v>99</v>
      </c>
      <c r="D203" s="38" t="s">
        <v>99</v>
      </c>
      <c r="E203" s="61" t="s">
        <v>836</v>
      </c>
      <c r="F203" s="61">
        <v>1</v>
      </c>
      <c r="G203" s="61">
        <v>2400</v>
      </c>
      <c r="H203" s="61">
        <v>2400</v>
      </c>
      <c r="I203" s="26"/>
      <c r="J203" s="61" t="s">
        <v>844</v>
      </c>
      <c r="K203" s="38"/>
      <c r="L203" s="61"/>
      <c r="M203" s="47">
        <v>44117</v>
      </c>
      <c r="N203" s="208"/>
      <c r="O203" s="40"/>
      <c r="P203" s="41"/>
      <c r="Q203" s="30"/>
    </row>
    <row r="204" spans="2:17" s="89" customFormat="1" ht="19.5" customHeight="1" x14ac:dyDescent="0.15">
      <c r="B204" s="132"/>
      <c r="C204" s="38" t="s">
        <v>99</v>
      </c>
      <c r="D204" s="38" t="s">
        <v>99</v>
      </c>
      <c r="E204" s="61" t="s">
        <v>874</v>
      </c>
      <c r="F204" s="61">
        <v>2</v>
      </c>
      <c r="G204" s="61">
        <v>1560</v>
      </c>
      <c r="H204" s="61">
        <v>3120</v>
      </c>
      <c r="I204" s="26"/>
      <c r="J204" s="61" t="s">
        <v>844</v>
      </c>
      <c r="K204" s="38"/>
      <c r="L204" s="61"/>
      <c r="M204" s="47">
        <v>44117</v>
      </c>
      <c r="N204" s="209"/>
      <c r="O204" s="61"/>
      <c r="P204" s="95"/>
      <c r="Q204" s="12"/>
    </row>
    <row r="205" spans="2:17" s="89" customFormat="1" ht="19.5" customHeight="1" x14ac:dyDescent="0.15">
      <c r="B205" s="132"/>
      <c r="C205" s="38" t="s">
        <v>99</v>
      </c>
      <c r="D205" s="38" t="s">
        <v>99</v>
      </c>
      <c r="E205" s="61" t="s">
        <v>839</v>
      </c>
      <c r="F205" s="61">
        <v>2</v>
      </c>
      <c r="G205" s="61">
        <v>230</v>
      </c>
      <c r="H205" s="61">
        <v>460</v>
      </c>
      <c r="I205" s="26"/>
      <c r="J205" s="61" t="s">
        <v>42</v>
      </c>
      <c r="K205" s="38"/>
      <c r="L205" s="61"/>
      <c r="M205" s="47">
        <v>44117</v>
      </c>
      <c r="N205" s="209"/>
      <c r="O205" s="61"/>
      <c r="P205" s="95"/>
      <c r="Q205" s="12"/>
    </row>
    <row r="206" spans="2:17" s="89" customFormat="1" ht="19.5" customHeight="1" x14ac:dyDescent="0.15">
      <c r="B206" s="132"/>
      <c r="C206" s="38" t="s">
        <v>99</v>
      </c>
      <c r="D206" s="38" t="s">
        <v>99</v>
      </c>
      <c r="E206" s="61" t="s">
        <v>875</v>
      </c>
      <c r="F206" s="61">
        <v>1</v>
      </c>
      <c r="G206" s="61">
        <v>1096</v>
      </c>
      <c r="H206" s="61">
        <v>1096</v>
      </c>
      <c r="I206" s="26"/>
      <c r="J206" s="61" t="s">
        <v>880</v>
      </c>
      <c r="K206" s="38"/>
      <c r="L206" s="61"/>
      <c r="M206" s="47">
        <v>44117</v>
      </c>
      <c r="N206" s="209"/>
      <c r="O206" s="61"/>
      <c r="P206" s="95"/>
      <c r="Q206" s="12"/>
    </row>
    <row r="207" spans="2:17" s="89" customFormat="1" ht="19.5" customHeight="1" x14ac:dyDescent="0.15">
      <c r="B207" s="132"/>
      <c r="C207" s="38" t="s">
        <v>99</v>
      </c>
      <c r="D207" s="38" t="s">
        <v>99</v>
      </c>
      <c r="E207" s="61" t="s">
        <v>876</v>
      </c>
      <c r="F207" s="61">
        <v>10</v>
      </c>
      <c r="G207" s="61">
        <v>210</v>
      </c>
      <c r="H207" s="61">
        <v>2100</v>
      </c>
      <c r="I207" s="26"/>
      <c r="J207" s="61" t="s">
        <v>881</v>
      </c>
      <c r="K207" s="38"/>
      <c r="L207" s="61"/>
      <c r="M207" s="47">
        <v>44117</v>
      </c>
      <c r="N207" s="209"/>
      <c r="O207" s="61"/>
      <c r="P207" s="95"/>
      <c r="Q207" s="12"/>
    </row>
    <row r="208" spans="2:17" ht="19.5" customHeight="1" x14ac:dyDescent="0.15">
      <c r="B208" s="207"/>
      <c r="C208" s="38" t="s">
        <v>99</v>
      </c>
      <c r="D208" s="38" t="s">
        <v>99</v>
      </c>
      <c r="E208" s="61" t="s">
        <v>877</v>
      </c>
      <c r="F208" s="61">
        <v>20</v>
      </c>
      <c r="G208" s="61">
        <v>175</v>
      </c>
      <c r="H208" s="61">
        <v>3500</v>
      </c>
      <c r="I208" s="26"/>
      <c r="J208" s="61" t="s">
        <v>882</v>
      </c>
      <c r="K208" s="38"/>
      <c r="L208" s="132"/>
      <c r="M208" s="47">
        <v>44117</v>
      </c>
      <c r="N208" s="40"/>
      <c r="O208" s="207"/>
      <c r="P208" s="41"/>
      <c r="Q208" s="30"/>
    </row>
    <row r="209" spans="2:17" ht="19.5" customHeight="1" x14ac:dyDescent="0.15">
      <c r="B209" s="207"/>
      <c r="C209" s="38" t="s">
        <v>99</v>
      </c>
      <c r="D209" s="38" t="s">
        <v>99</v>
      </c>
      <c r="E209" s="61" t="s">
        <v>878</v>
      </c>
      <c r="F209" s="61">
        <v>3</v>
      </c>
      <c r="G209" s="61">
        <v>1263</v>
      </c>
      <c r="H209" s="61">
        <v>3789</v>
      </c>
      <c r="I209" s="26"/>
      <c r="J209" s="61" t="s">
        <v>883</v>
      </c>
      <c r="K209" s="38"/>
      <c r="L209" s="132"/>
      <c r="M209" s="47">
        <v>44117</v>
      </c>
      <c r="N209" s="40"/>
      <c r="O209" s="207"/>
      <c r="P209" s="41"/>
      <c r="Q209" s="30"/>
    </row>
    <row r="210" spans="2:17" ht="19.5" customHeight="1" x14ac:dyDescent="0.15">
      <c r="B210" s="207"/>
      <c r="C210" s="38" t="s">
        <v>99</v>
      </c>
      <c r="D210" s="38" t="s">
        <v>99</v>
      </c>
      <c r="E210" s="61" t="s">
        <v>892</v>
      </c>
      <c r="F210" s="61">
        <v>1</v>
      </c>
      <c r="G210" s="61">
        <v>2330</v>
      </c>
      <c r="H210" s="61">
        <v>2330</v>
      </c>
      <c r="I210" s="26"/>
      <c r="J210" s="61" t="s">
        <v>526</v>
      </c>
      <c r="K210" s="38"/>
      <c r="L210" s="132"/>
      <c r="M210" s="47">
        <v>44117</v>
      </c>
      <c r="N210" s="40"/>
      <c r="O210" s="207"/>
      <c r="P210" s="41"/>
      <c r="Q210" s="30"/>
    </row>
    <row r="211" spans="2:17" ht="19.5" customHeight="1" x14ac:dyDescent="0.15">
      <c r="B211" s="207"/>
      <c r="C211" s="38" t="s">
        <v>99</v>
      </c>
      <c r="D211" s="38" t="s">
        <v>99</v>
      </c>
      <c r="E211" s="61" t="s">
        <v>891</v>
      </c>
      <c r="F211" s="61">
        <v>8</v>
      </c>
      <c r="G211" s="61">
        <v>280</v>
      </c>
      <c r="H211" s="61">
        <v>2240</v>
      </c>
      <c r="I211" s="26"/>
      <c r="J211" s="61" t="s">
        <v>657</v>
      </c>
      <c r="K211" s="38"/>
      <c r="L211" s="132"/>
      <c r="M211" s="47">
        <v>44117</v>
      </c>
      <c r="N211" s="40"/>
      <c r="O211" s="207"/>
      <c r="P211" s="41"/>
      <c r="Q211" s="30"/>
    </row>
    <row r="212" spans="2:17" ht="19.5" customHeight="1" x14ac:dyDescent="0.15">
      <c r="B212" s="207"/>
      <c r="C212" s="38" t="s">
        <v>99</v>
      </c>
      <c r="D212" s="38" t="s">
        <v>99</v>
      </c>
      <c r="E212" s="61" t="s">
        <v>890</v>
      </c>
      <c r="F212" s="61">
        <v>8</v>
      </c>
      <c r="G212" s="61">
        <v>280</v>
      </c>
      <c r="H212" s="61">
        <v>2240</v>
      </c>
      <c r="I212" s="26"/>
      <c r="J212" s="61" t="s">
        <v>657</v>
      </c>
      <c r="K212" s="38"/>
      <c r="L212" s="132"/>
      <c r="M212" s="47">
        <v>44117</v>
      </c>
      <c r="N212" s="40"/>
      <c r="O212" s="207"/>
      <c r="P212" s="41"/>
      <c r="Q212" s="30"/>
    </row>
    <row r="213" spans="2:17" ht="19.5" customHeight="1" x14ac:dyDescent="0.15">
      <c r="B213" s="207"/>
      <c r="C213" s="38" t="s">
        <v>99</v>
      </c>
      <c r="D213" s="38" t="s">
        <v>99</v>
      </c>
      <c r="E213" s="61" t="s">
        <v>889</v>
      </c>
      <c r="F213" s="61">
        <v>4</v>
      </c>
      <c r="G213" s="61">
        <v>410</v>
      </c>
      <c r="H213" s="61">
        <v>1640</v>
      </c>
      <c r="I213" s="26"/>
      <c r="J213" s="61" t="s">
        <v>657</v>
      </c>
      <c r="K213" s="38"/>
      <c r="L213" s="132"/>
      <c r="M213" s="47">
        <v>44117</v>
      </c>
      <c r="N213" s="40"/>
      <c r="O213" s="207"/>
      <c r="P213" s="41"/>
      <c r="Q213" s="30"/>
    </row>
    <row r="214" spans="2:17" ht="19.5" customHeight="1" x14ac:dyDescent="0.15">
      <c r="B214" s="207"/>
      <c r="C214" s="38" t="s">
        <v>99</v>
      </c>
      <c r="D214" s="38" t="s">
        <v>99</v>
      </c>
      <c r="E214" s="61" t="s">
        <v>895</v>
      </c>
      <c r="F214" s="61">
        <v>1</v>
      </c>
      <c r="G214" s="61">
        <v>7360</v>
      </c>
      <c r="H214" s="61">
        <v>7360</v>
      </c>
      <c r="I214" s="26"/>
      <c r="J214" s="61" t="s">
        <v>904</v>
      </c>
      <c r="K214" s="38"/>
      <c r="L214" s="132"/>
      <c r="M214" s="10">
        <v>44117</v>
      </c>
      <c r="N214" s="40"/>
      <c r="O214" s="207"/>
      <c r="P214" s="41"/>
      <c r="Q214" s="30"/>
    </row>
    <row r="215" spans="2:17" ht="19.5" customHeight="1" x14ac:dyDescent="0.15">
      <c r="B215" s="207"/>
      <c r="C215" s="38" t="s">
        <v>99</v>
      </c>
      <c r="D215" s="38" t="s">
        <v>99</v>
      </c>
      <c r="E215" s="61" t="s">
        <v>896</v>
      </c>
      <c r="F215" s="61">
        <v>1</v>
      </c>
      <c r="G215" s="61">
        <v>6390</v>
      </c>
      <c r="H215" s="61">
        <v>6390</v>
      </c>
      <c r="I215" s="26"/>
      <c r="J215" s="61" t="s">
        <v>905</v>
      </c>
      <c r="K215" s="38"/>
      <c r="L215" s="132"/>
      <c r="M215" s="10">
        <v>44117</v>
      </c>
      <c r="N215" s="40"/>
      <c r="O215" s="207"/>
      <c r="P215" s="41"/>
      <c r="Q215" s="30"/>
    </row>
    <row r="216" spans="2:17" ht="19.5" customHeight="1" x14ac:dyDescent="0.15">
      <c r="B216" s="207"/>
      <c r="C216" s="38" t="s">
        <v>99</v>
      </c>
      <c r="D216" s="38" t="s">
        <v>99</v>
      </c>
      <c r="E216" s="61" t="s">
        <v>897</v>
      </c>
      <c r="F216" s="61">
        <v>1</v>
      </c>
      <c r="G216" s="61">
        <v>12950</v>
      </c>
      <c r="H216" s="61">
        <v>12950</v>
      </c>
      <c r="I216" s="26"/>
      <c r="J216" s="61" t="s">
        <v>905</v>
      </c>
      <c r="K216" s="38"/>
      <c r="L216" s="132"/>
      <c r="M216" s="10">
        <v>44117</v>
      </c>
      <c r="N216" s="40"/>
      <c r="O216" s="207"/>
      <c r="P216" s="41"/>
      <c r="Q216" s="30"/>
    </row>
    <row r="217" spans="2:17" ht="19.5" customHeight="1" x14ac:dyDescent="0.15">
      <c r="B217" s="207"/>
      <c r="C217" s="38" t="s">
        <v>99</v>
      </c>
      <c r="D217" s="38" t="s">
        <v>99</v>
      </c>
      <c r="E217" s="61" t="s">
        <v>898</v>
      </c>
      <c r="F217" s="61">
        <v>2</v>
      </c>
      <c r="G217" s="61">
        <v>7023</v>
      </c>
      <c r="H217" s="61">
        <v>14046</v>
      </c>
      <c r="I217" s="26"/>
      <c r="J217" s="61" t="s">
        <v>904</v>
      </c>
      <c r="K217" s="38"/>
      <c r="L217" s="132"/>
      <c r="M217" s="10">
        <v>44117</v>
      </c>
      <c r="N217" s="40"/>
      <c r="O217" s="207"/>
      <c r="P217" s="41"/>
      <c r="Q217" s="30"/>
    </row>
    <row r="218" spans="2:17" ht="19.5" customHeight="1" x14ac:dyDescent="0.15">
      <c r="B218" s="207"/>
      <c r="C218" s="38" t="s">
        <v>99</v>
      </c>
      <c r="D218" s="38" t="s">
        <v>99</v>
      </c>
      <c r="E218" s="61" t="s">
        <v>899</v>
      </c>
      <c r="F218" s="61">
        <v>2</v>
      </c>
      <c r="G218" s="61">
        <v>8238</v>
      </c>
      <c r="H218" s="61">
        <v>16476</v>
      </c>
      <c r="I218" s="26"/>
      <c r="J218" s="61" t="s">
        <v>905</v>
      </c>
      <c r="K218" s="38"/>
      <c r="L218" s="132"/>
      <c r="M218" s="10">
        <v>44117</v>
      </c>
      <c r="N218" s="40"/>
      <c r="O218" s="207"/>
      <c r="P218" s="41"/>
      <c r="Q218" s="30"/>
    </row>
    <row r="219" spans="2:17" ht="19.5" customHeight="1" x14ac:dyDescent="0.15">
      <c r="B219" s="207"/>
      <c r="C219" s="38" t="s">
        <v>99</v>
      </c>
      <c r="D219" s="38" t="s">
        <v>99</v>
      </c>
      <c r="E219" s="61" t="s">
        <v>900</v>
      </c>
      <c r="F219" s="61">
        <v>2</v>
      </c>
      <c r="G219" s="61">
        <v>6091</v>
      </c>
      <c r="H219" s="61">
        <v>12182</v>
      </c>
      <c r="I219" s="26"/>
      <c r="J219" s="61" t="s">
        <v>905</v>
      </c>
      <c r="K219" s="38"/>
      <c r="L219" s="132"/>
      <c r="M219" s="10">
        <v>44117</v>
      </c>
      <c r="N219" s="40"/>
      <c r="O219" s="207"/>
      <c r="P219" s="41"/>
      <c r="Q219" s="30"/>
    </row>
    <row r="220" spans="2:17" ht="19.5" customHeight="1" x14ac:dyDescent="0.15">
      <c r="B220" s="207"/>
      <c r="C220" s="38" t="s">
        <v>99</v>
      </c>
      <c r="D220" s="38" t="s">
        <v>99</v>
      </c>
      <c r="E220" s="61" t="s">
        <v>901</v>
      </c>
      <c r="F220" s="61">
        <v>2</v>
      </c>
      <c r="G220" s="61">
        <v>12334</v>
      </c>
      <c r="H220" s="61">
        <v>24668</v>
      </c>
      <c r="I220" s="26"/>
      <c r="J220" s="61" t="s">
        <v>905</v>
      </c>
      <c r="K220" s="38"/>
      <c r="L220" s="132"/>
      <c r="M220" s="10">
        <v>44117</v>
      </c>
      <c r="N220" s="40"/>
      <c r="O220" s="207"/>
      <c r="P220" s="41"/>
      <c r="Q220" s="30"/>
    </row>
    <row r="221" spans="2:17" ht="19.5" customHeight="1" x14ac:dyDescent="0.15">
      <c r="B221" s="207"/>
      <c r="C221" s="38" t="s">
        <v>99</v>
      </c>
      <c r="D221" s="38" t="s">
        <v>99</v>
      </c>
      <c r="E221" s="61" t="s">
        <v>902</v>
      </c>
      <c r="F221" s="61">
        <v>4</v>
      </c>
      <c r="G221" s="61">
        <v>4981</v>
      </c>
      <c r="H221" s="61">
        <v>19924</v>
      </c>
      <c r="I221" s="26"/>
      <c r="J221" s="61" t="s">
        <v>904</v>
      </c>
      <c r="K221" s="38"/>
      <c r="L221" s="132"/>
      <c r="M221" s="10">
        <v>44117</v>
      </c>
      <c r="N221" s="40"/>
      <c r="O221" s="207"/>
      <c r="P221" s="41"/>
      <c r="Q221" s="30"/>
    </row>
    <row r="222" spans="2:17" ht="19.5" customHeight="1" x14ac:dyDescent="0.15">
      <c r="B222" s="207"/>
      <c r="C222" s="38" t="s">
        <v>99</v>
      </c>
      <c r="D222" s="38" t="s">
        <v>99</v>
      </c>
      <c r="E222" s="61" t="s">
        <v>903</v>
      </c>
      <c r="F222" s="61">
        <v>4</v>
      </c>
      <c r="G222" s="61">
        <v>8238</v>
      </c>
      <c r="H222" s="61">
        <v>32952</v>
      </c>
      <c r="I222" s="26"/>
      <c r="J222" s="61" t="s">
        <v>905</v>
      </c>
      <c r="K222" s="38"/>
      <c r="L222" s="132"/>
      <c r="M222" s="10">
        <v>44117</v>
      </c>
      <c r="N222" s="40"/>
      <c r="O222" s="207"/>
      <c r="P222" s="41"/>
      <c r="Q222" s="30"/>
    </row>
    <row r="223" spans="2:17" s="89" customFormat="1" ht="19.5" customHeight="1" x14ac:dyDescent="0.15">
      <c r="B223" s="132"/>
      <c r="C223" s="38" t="s">
        <v>99</v>
      </c>
      <c r="D223" s="38" t="s">
        <v>99</v>
      </c>
      <c r="E223" s="61" t="s">
        <v>906</v>
      </c>
      <c r="F223" s="61">
        <v>2</v>
      </c>
      <c r="G223" s="61">
        <v>7023</v>
      </c>
      <c r="H223" s="61">
        <v>14046</v>
      </c>
      <c r="I223" s="26"/>
      <c r="J223" s="61" t="s">
        <v>905</v>
      </c>
      <c r="K223" s="38"/>
      <c r="L223" s="132"/>
      <c r="M223" s="10">
        <v>44118</v>
      </c>
      <c r="N223" s="61"/>
      <c r="O223" s="132"/>
      <c r="P223" s="95"/>
      <c r="Q223" s="12"/>
    </row>
    <row r="224" spans="2:17" s="89" customFormat="1" ht="19.5" customHeight="1" x14ac:dyDescent="0.15">
      <c r="B224" s="132"/>
      <c r="C224" s="38" t="s">
        <v>99</v>
      </c>
      <c r="D224" s="38" t="s">
        <v>99</v>
      </c>
      <c r="E224" s="61" t="s">
        <v>907</v>
      </c>
      <c r="F224" s="61">
        <v>1</v>
      </c>
      <c r="G224" s="61">
        <v>7360</v>
      </c>
      <c r="H224" s="61">
        <v>7360</v>
      </c>
      <c r="I224" s="26"/>
      <c r="J224" s="61" t="s">
        <v>905</v>
      </c>
      <c r="K224" s="38"/>
      <c r="L224" s="132"/>
      <c r="M224" s="10">
        <v>44118</v>
      </c>
      <c r="N224" s="61"/>
      <c r="O224" s="132"/>
      <c r="P224" s="95"/>
      <c r="Q224" s="12"/>
    </row>
    <row r="225" spans="2:17" ht="19.5" customHeight="1" x14ac:dyDescent="0.15">
      <c r="B225" s="213"/>
      <c r="C225" s="38" t="s">
        <v>99</v>
      </c>
      <c r="D225" s="38" t="s">
        <v>99</v>
      </c>
      <c r="E225" s="61" t="s">
        <v>908</v>
      </c>
      <c r="F225" s="61">
        <v>1</v>
      </c>
      <c r="G225" s="61">
        <v>2080</v>
      </c>
      <c r="H225" s="61">
        <v>2080</v>
      </c>
      <c r="I225" s="26"/>
      <c r="J225" s="61" t="s">
        <v>526</v>
      </c>
      <c r="K225" s="38"/>
      <c r="L225" s="132"/>
      <c r="M225" s="10">
        <v>44119</v>
      </c>
      <c r="N225" s="40"/>
      <c r="O225" s="213"/>
      <c r="P225" s="41"/>
      <c r="Q225" s="30"/>
    </row>
    <row r="226" spans="2:17" ht="19.5" customHeight="1" x14ac:dyDescent="0.15">
      <c r="B226" s="213"/>
      <c r="C226" s="38" t="s">
        <v>99</v>
      </c>
      <c r="D226" s="38" t="s">
        <v>99</v>
      </c>
      <c r="E226" s="61" t="s">
        <v>909</v>
      </c>
      <c r="F226" s="61">
        <v>4</v>
      </c>
      <c r="G226" s="61">
        <v>167</v>
      </c>
      <c r="H226" s="61">
        <v>668</v>
      </c>
      <c r="I226" s="26"/>
      <c r="J226" s="61" t="s">
        <v>914</v>
      </c>
      <c r="K226" s="38"/>
      <c r="L226" s="132"/>
      <c r="M226" s="10">
        <v>44119</v>
      </c>
      <c r="N226" s="40"/>
      <c r="O226" s="213"/>
      <c r="P226" s="41"/>
      <c r="Q226" s="30"/>
    </row>
    <row r="227" spans="2:17" ht="19.5" customHeight="1" x14ac:dyDescent="0.15">
      <c r="B227" s="213"/>
      <c r="C227" s="38" t="s">
        <v>99</v>
      </c>
      <c r="D227" s="38" t="s">
        <v>99</v>
      </c>
      <c r="E227" s="61" t="s">
        <v>910</v>
      </c>
      <c r="F227" s="61">
        <v>2</v>
      </c>
      <c r="G227" s="61">
        <v>7830</v>
      </c>
      <c r="H227" s="61">
        <v>15660</v>
      </c>
      <c r="I227" s="26"/>
      <c r="J227" s="61" t="s">
        <v>526</v>
      </c>
      <c r="K227" s="38"/>
      <c r="L227" s="132"/>
      <c r="M227" s="10">
        <v>44119</v>
      </c>
      <c r="N227" s="40"/>
      <c r="O227" s="213"/>
      <c r="P227" s="41"/>
      <c r="Q227" s="30"/>
    </row>
    <row r="228" spans="2:17" ht="19.5" customHeight="1" x14ac:dyDescent="0.15">
      <c r="B228" s="213"/>
      <c r="C228" s="38" t="s">
        <v>99</v>
      </c>
      <c r="D228" s="38" t="s">
        <v>99</v>
      </c>
      <c r="E228" s="61" t="s">
        <v>622</v>
      </c>
      <c r="F228" s="61">
        <v>10</v>
      </c>
      <c r="G228" s="61">
        <v>1221</v>
      </c>
      <c r="H228" s="61">
        <v>12210</v>
      </c>
      <c r="I228" s="26"/>
      <c r="J228" s="61" t="s">
        <v>637</v>
      </c>
      <c r="K228" s="38"/>
      <c r="L228" s="132"/>
      <c r="M228" s="10">
        <v>44119</v>
      </c>
      <c r="N228" s="40"/>
      <c r="O228" s="213"/>
      <c r="P228" s="41"/>
      <c r="Q228" s="30"/>
    </row>
    <row r="229" spans="2:17" ht="19.5" customHeight="1" x14ac:dyDescent="0.15">
      <c r="B229" s="213"/>
      <c r="C229" s="38" t="s">
        <v>99</v>
      </c>
      <c r="D229" s="38" t="s">
        <v>99</v>
      </c>
      <c r="E229" s="61" t="s">
        <v>911</v>
      </c>
      <c r="F229" s="61">
        <v>10</v>
      </c>
      <c r="G229" s="61">
        <v>709</v>
      </c>
      <c r="H229" s="61">
        <v>7090</v>
      </c>
      <c r="I229" s="26"/>
      <c r="J229" s="61" t="s">
        <v>636</v>
      </c>
      <c r="K229" s="38"/>
      <c r="L229" s="132"/>
      <c r="M229" s="10">
        <v>44119</v>
      </c>
      <c r="N229" s="40"/>
      <c r="O229" s="213"/>
      <c r="P229" s="41"/>
      <c r="Q229" s="30"/>
    </row>
    <row r="230" spans="2:17" ht="19.5" customHeight="1" x14ac:dyDescent="0.15">
      <c r="B230" s="213"/>
      <c r="C230" s="38" t="s">
        <v>99</v>
      </c>
      <c r="D230" s="38" t="s">
        <v>99</v>
      </c>
      <c r="E230" s="61" t="s">
        <v>912</v>
      </c>
      <c r="F230" s="61">
        <v>1</v>
      </c>
      <c r="G230" s="61">
        <v>4630</v>
      </c>
      <c r="H230" s="61">
        <v>4630</v>
      </c>
      <c r="I230" s="26"/>
      <c r="J230" s="61" t="s">
        <v>526</v>
      </c>
      <c r="K230" s="38"/>
      <c r="L230" s="132"/>
      <c r="M230" s="10">
        <v>44119</v>
      </c>
      <c r="N230" s="40"/>
      <c r="O230" s="213"/>
      <c r="P230" s="41"/>
      <c r="Q230" s="30"/>
    </row>
    <row r="231" spans="2:17" ht="19.5" customHeight="1" x14ac:dyDescent="0.15">
      <c r="B231" s="213"/>
      <c r="C231" s="38" t="s">
        <v>99</v>
      </c>
      <c r="D231" s="38" t="s">
        <v>99</v>
      </c>
      <c r="E231" s="61" t="s">
        <v>913</v>
      </c>
      <c r="F231" s="61">
        <v>20</v>
      </c>
      <c r="G231" s="61">
        <v>105</v>
      </c>
      <c r="H231" s="61">
        <v>2100</v>
      </c>
      <c r="I231" s="26"/>
      <c r="J231" s="61" t="s">
        <v>915</v>
      </c>
      <c r="K231" s="38"/>
      <c r="L231" s="132"/>
      <c r="M231" s="10">
        <v>44119</v>
      </c>
      <c r="N231" s="40"/>
      <c r="O231" s="213"/>
      <c r="P231" s="41"/>
      <c r="Q231" s="30"/>
    </row>
    <row r="232" spans="2:17" ht="19.5" customHeight="1" x14ac:dyDescent="0.15">
      <c r="B232" s="213"/>
      <c r="C232" s="38" t="s">
        <v>99</v>
      </c>
      <c r="D232" s="38" t="s">
        <v>99</v>
      </c>
      <c r="E232" s="63" t="s">
        <v>919</v>
      </c>
      <c r="F232" s="26">
        <v>1</v>
      </c>
      <c r="G232" s="35">
        <v>5540</v>
      </c>
      <c r="H232" s="35">
        <f>F232*G232</f>
        <v>5540</v>
      </c>
      <c r="I232" s="26"/>
      <c r="J232" s="61" t="s">
        <v>526</v>
      </c>
      <c r="K232" s="38"/>
      <c r="L232" s="132"/>
      <c r="M232" s="10">
        <v>44120</v>
      </c>
      <c r="N232" s="40"/>
      <c r="O232" s="213"/>
      <c r="P232" s="41"/>
      <c r="Q232" s="30"/>
    </row>
    <row r="233" spans="2:17" ht="19.5" customHeight="1" x14ac:dyDescent="0.15">
      <c r="B233" s="213"/>
      <c r="C233" s="38" t="s">
        <v>99</v>
      </c>
      <c r="D233" s="38" t="s">
        <v>99</v>
      </c>
      <c r="E233" s="63" t="s">
        <v>920</v>
      </c>
      <c r="F233" s="26">
        <v>1</v>
      </c>
      <c r="G233" s="35">
        <v>5540</v>
      </c>
      <c r="H233" s="35">
        <v>5540</v>
      </c>
      <c r="I233" s="26"/>
      <c r="J233" s="61" t="s">
        <v>526</v>
      </c>
      <c r="K233" s="38"/>
      <c r="L233" s="132"/>
      <c r="M233" s="10">
        <v>44120</v>
      </c>
      <c r="N233" s="40"/>
      <c r="O233" s="213"/>
      <c r="P233" s="41"/>
      <c r="Q233" s="30"/>
    </row>
    <row r="234" spans="2:17" ht="19.5" customHeight="1" x14ac:dyDescent="0.15">
      <c r="B234" s="217"/>
      <c r="C234" s="38" t="s">
        <v>99</v>
      </c>
      <c r="D234" s="38" t="s">
        <v>99</v>
      </c>
      <c r="E234" s="61" t="s">
        <v>923</v>
      </c>
      <c r="F234" s="61">
        <v>4</v>
      </c>
      <c r="G234" s="61">
        <v>4981</v>
      </c>
      <c r="H234" s="61">
        <v>19924</v>
      </c>
      <c r="I234" s="26"/>
      <c r="J234" s="61" t="s">
        <v>904</v>
      </c>
      <c r="K234" s="61"/>
      <c r="L234" s="132"/>
      <c r="M234" s="10">
        <v>44123</v>
      </c>
      <c r="N234" s="40"/>
      <c r="O234" s="217"/>
      <c r="P234" s="41"/>
      <c r="Q234" s="30"/>
    </row>
    <row r="235" spans="2:17" ht="19.5" customHeight="1" x14ac:dyDescent="0.15">
      <c r="B235" s="217"/>
      <c r="C235" s="38" t="s">
        <v>99</v>
      </c>
      <c r="D235" s="38" t="s">
        <v>99</v>
      </c>
      <c r="E235" s="61" t="s">
        <v>924</v>
      </c>
      <c r="F235" s="61">
        <v>2</v>
      </c>
      <c r="G235" s="61">
        <v>7023</v>
      </c>
      <c r="H235" s="61">
        <v>14046</v>
      </c>
      <c r="I235" s="26"/>
      <c r="J235" s="61" t="s">
        <v>905</v>
      </c>
      <c r="K235" s="61"/>
      <c r="L235" s="132"/>
      <c r="M235" s="10">
        <v>44123</v>
      </c>
      <c r="N235" s="40"/>
      <c r="O235" s="217"/>
      <c r="P235" s="41"/>
      <c r="Q235" s="30"/>
    </row>
    <row r="236" spans="2:17" ht="19.5" customHeight="1" x14ac:dyDescent="0.15">
      <c r="B236" s="217"/>
      <c r="C236" s="38" t="s">
        <v>99</v>
      </c>
      <c r="D236" s="38" t="s">
        <v>99</v>
      </c>
      <c r="E236" s="61" t="s">
        <v>925</v>
      </c>
      <c r="F236" s="61">
        <v>1</v>
      </c>
      <c r="G236" s="61">
        <v>7360</v>
      </c>
      <c r="H236" s="61">
        <v>7360</v>
      </c>
      <c r="I236" s="26"/>
      <c r="J236" s="61" t="s">
        <v>905</v>
      </c>
      <c r="K236" s="61"/>
      <c r="L236" s="132"/>
      <c r="M236" s="10">
        <v>44123</v>
      </c>
      <c r="N236" s="40"/>
      <c r="O236" s="217"/>
      <c r="P236" s="41"/>
      <c r="Q236" s="30"/>
    </row>
    <row r="237" spans="2:17" ht="19.5" customHeight="1" x14ac:dyDescent="0.15">
      <c r="B237" s="217"/>
      <c r="C237" s="38" t="s">
        <v>99</v>
      </c>
      <c r="D237" s="38" t="s">
        <v>99</v>
      </c>
      <c r="E237" s="61" t="s">
        <v>926</v>
      </c>
      <c r="F237" s="61">
        <v>3</v>
      </c>
      <c r="G237" s="61">
        <v>2789</v>
      </c>
      <c r="H237" s="61">
        <v>8367</v>
      </c>
      <c r="I237" s="26"/>
      <c r="J237" s="61" t="s">
        <v>927</v>
      </c>
      <c r="K237" s="61"/>
      <c r="L237" s="132"/>
      <c r="M237" s="10">
        <v>44123</v>
      </c>
      <c r="N237" s="40"/>
      <c r="O237" s="217"/>
      <c r="P237" s="41"/>
      <c r="Q237" s="30"/>
    </row>
    <row r="238" spans="2:17" ht="19.5" customHeight="1" x14ac:dyDescent="0.15">
      <c r="B238" s="217"/>
      <c r="C238" s="38" t="s">
        <v>99</v>
      </c>
      <c r="D238" s="38" t="s">
        <v>99</v>
      </c>
      <c r="E238" s="63" t="s">
        <v>930</v>
      </c>
      <c r="F238" s="26">
        <v>7</v>
      </c>
      <c r="G238" s="35">
        <v>1730</v>
      </c>
      <c r="H238" s="35">
        <f>F238*G238</f>
        <v>12110</v>
      </c>
      <c r="I238" s="26"/>
      <c r="J238" s="61" t="s">
        <v>526</v>
      </c>
      <c r="K238" s="61"/>
      <c r="L238" s="132"/>
      <c r="M238" s="10">
        <v>44123</v>
      </c>
      <c r="N238" s="40"/>
      <c r="O238" s="217"/>
      <c r="P238" s="41"/>
      <c r="Q238" s="30"/>
    </row>
    <row r="239" spans="2:17" ht="19.5" customHeight="1" x14ac:dyDescent="0.15">
      <c r="B239" s="217"/>
      <c r="C239" s="38" t="s">
        <v>99</v>
      </c>
      <c r="D239" s="38" t="s">
        <v>99</v>
      </c>
      <c r="E239" s="63" t="s">
        <v>929</v>
      </c>
      <c r="F239" s="26">
        <v>2</v>
      </c>
      <c r="G239" s="35">
        <v>1760</v>
      </c>
      <c r="H239" s="35">
        <f>F239*G239</f>
        <v>3520</v>
      </c>
      <c r="I239" s="26"/>
      <c r="J239" s="61" t="s">
        <v>526</v>
      </c>
      <c r="K239" s="61"/>
      <c r="L239" s="132"/>
      <c r="M239" s="10">
        <v>44123</v>
      </c>
      <c r="N239" s="40"/>
      <c r="O239" s="217"/>
      <c r="P239" s="41"/>
      <c r="Q239" s="30"/>
    </row>
    <row r="240" spans="2:17" s="89" customFormat="1" ht="19.5" customHeight="1" x14ac:dyDescent="0.15">
      <c r="B240" s="132"/>
      <c r="C240" s="38" t="s">
        <v>99</v>
      </c>
      <c r="D240" s="38" t="s">
        <v>99</v>
      </c>
      <c r="E240" s="63" t="s">
        <v>931</v>
      </c>
      <c r="F240" s="26">
        <v>2</v>
      </c>
      <c r="G240" s="35">
        <v>1780</v>
      </c>
      <c r="H240" s="35">
        <f>F240*G240</f>
        <v>3560</v>
      </c>
      <c r="I240" s="26"/>
      <c r="J240" s="61" t="s">
        <v>526</v>
      </c>
      <c r="K240" s="61"/>
      <c r="L240" s="132"/>
      <c r="M240" s="10">
        <v>44124</v>
      </c>
      <c r="N240" s="61"/>
      <c r="O240" s="132"/>
      <c r="P240" s="95"/>
      <c r="Q240" s="12"/>
    </row>
    <row r="241" spans="2:17" s="89" customFormat="1" ht="19.5" customHeight="1" x14ac:dyDescent="0.15">
      <c r="B241" s="132"/>
      <c r="C241" s="38" t="s">
        <v>99</v>
      </c>
      <c r="D241" s="38" t="s">
        <v>99</v>
      </c>
      <c r="E241" s="63" t="s">
        <v>933</v>
      </c>
      <c r="F241" s="26">
        <v>30</v>
      </c>
      <c r="G241" s="35">
        <v>93</v>
      </c>
      <c r="H241" s="35">
        <v>2790</v>
      </c>
      <c r="I241" s="26"/>
      <c r="J241" s="61" t="s">
        <v>934</v>
      </c>
      <c r="K241" s="61"/>
      <c r="L241" s="132"/>
      <c r="M241" s="10">
        <v>44124</v>
      </c>
      <c r="N241" s="61"/>
      <c r="O241" s="132"/>
      <c r="P241" s="95"/>
      <c r="Q241" s="12"/>
    </row>
    <row r="242" spans="2:17" s="89" customFormat="1" ht="19.5" customHeight="1" x14ac:dyDescent="0.15">
      <c r="B242" s="132"/>
      <c r="C242" s="38" t="s">
        <v>99</v>
      </c>
      <c r="D242" s="38" t="s">
        <v>99</v>
      </c>
      <c r="E242" s="61" t="s">
        <v>956</v>
      </c>
      <c r="F242" s="61">
        <v>1</v>
      </c>
      <c r="G242" s="61">
        <v>2760</v>
      </c>
      <c r="H242" s="61">
        <v>2760</v>
      </c>
      <c r="I242" s="26"/>
      <c r="J242" s="61" t="s">
        <v>526</v>
      </c>
      <c r="K242" s="61"/>
      <c r="L242" s="132"/>
      <c r="M242" s="10">
        <v>44131</v>
      </c>
      <c r="N242" s="61"/>
      <c r="O242" s="132"/>
      <c r="P242" s="95"/>
      <c r="Q242" s="12"/>
    </row>
    <row r="243" spans="2:17" s="89" customFormat="1" ht="19.5" customHeight="1" x14ac:dyDescent="0.15">
      <c r="B243" s="132"/>
      <c r="C243" s="38" t="s">
        <v>99</v>
      </c>
      <c r="D243" s="38" t="s">
        <v>99</v>
      </c>
      <c r="E243" s="61" t="s">
        <v>955</v>
      </c>
      <c r="F243" s="61">
        <v>1</v>
      </c>
      <c r="G243" s="61">
        <v>2650</v>
      </c>
      <c r="H243" s="61">
        <v>2650</v>
      </c>
      <c r="I243" s="26"/>
      <c r="J243" s="61" t="s">
        <v>526</v>
      </c>
      <c r="K243" s="61"/>
      <c r="L243" s="132"/>
      <c r="M243" s="10">
        <v>44131</v>
      </c>
      <c r="N243" s="61"/>
      <c r="O243" s="132"/>
      <c r="P243" s="95"/>
      <c r="Q243" s="12"/>
    </row>
    <row r="244" spans="2:17" s="89" customFormat="1" ht="19.5" customHeight="1" x14ac:dyDescent="0.15">
      <c r="B244" s="132"/>
      <c r="C244" s="38" t="s">
        <v>99</v>
      </c>
      <c r="D244" s="38" t="s">
        <v>99</v>
      </c>
      <c r="E244" s="61" t="s">
        <v>855</v>
      </c>
      <c r="F244" s="61">
        <v>4</v>
      </c>
      <c r="G244" s="61">
        <v>750</v>
      </c>
      <c r="H244" s="61">
        <v>3000</v>
      </c>
      <c r="I244" s="26"/>
      <c r="J244" s="61" t="s">
        <v>861</v>
      </c>
      <c r="K244" s="61"/>
      <c r="L244" s="132"/>
      <c r="M244" s="10">
        <v>44131</v>
      </c>
      <c r="N244" s="61"/>
      <c r="O244" s="132"/>
      <c r="P244" s="95"/>
      <c r="Q244" s="12"/>
    </row>
    <row r="245" spans="2:17" s="89" customFormat="1" ht="19.5" customHeight="1" x14ac:dyDescent="0.15">
      <c r="B245" s="132"/>
      <c r="C245" s="38" t="s">
        <v>99</v>
      </c>
      <c r="D245" s="38" t="s">
        <v>99</v>
      </c>
      <c r="E245" s="63" t="s">
        <v>961</v>
      </c>
      <c r="F245" s="26">
        <v>3</v>
      </c>
      <c r="G245" s="35">
        <v>7435</v>
      </c>
      <c r="H245" s="35">
        <f>F245*G245</f>
        <v>22305</v>
      </c>
      <c r="I245" s="26"/>
      <c r="J245" s="61" t="s">
        <v>962</v>
      </c>
      <c r="K245" s="61" t="s">
        <v>928</v>
      </c>
      <c r="L245" s="132"/>
      <c r="M245" s="10">
        <v>44132</v>
      </c>
      <c r="N245" s="61"/>
      <c r="O245" s="132"/>
      <c r="P245" s="95"/>
      <c r="Q245" s="12"/>
    </row>
    <row r="65506" spans="10:10" x14ac:dyDescent="0.15">
      <c r="J65506" s="40"/>
    </row>
    <row r="1048559" spans="10:10" x14ac:dyDescent="0.15">
      <c r="J1048559" s="61"/>
    </row>
  </sheetData>
  <mergeCells count="6">
    <mergeCell ref="B6:D6"/>
    <mergeCell ref="B2:D2"/>
    <mergeCell ref="G2:I2"/>
    <mergeCell ref="B3:D3"/>
    <mergeCell ref="B4:D4"/>
    <mergeCell ref="B5:D5"/>
  </mergeCells>
  <phoneticPr fontId="6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Q313"/>
  <sheetViews>
    <sheetView topLeftCell="A297" zoomScale="70" zoomScaleNormal="70" workbookViewId="0">
      <selection activeCell="D326" sqref="D326"/>
    </sheetView>
  </sheetViews>
  <sheetFormatPr defaultRowHeight="13.5" x14ac:dyDescent="0.15"/>
  <cols>
    <col min="1" max="1" width="2.625" customWidth="1"/>
    <col min="2" max="2" width="15.5" style="4" bestFit="1" customWidth="1"/>
    <col min="3" max="3" width="14.375" style="4" bestFit="1" customWidth="1"/>
    <col min="4" max="4" width="13.125" style="4" bestFit="1" customWidth="1"/>
    <col min="5" max="5" width="76.875" style="25" bestFit="1" customWidth="1"/>
    <col min="6" max="6" width="6.25" style="8" customWidth="1"/>
    <col min="7" max="8" width="12.75" style="37" customWidth="1"/>
    <col min="9" max="9" width="5.75" style="8" customWidth="1"/>
    <col min="10" max="10" width="32.625" bestFit="1" customWidth="1"/>
    <col min="11" max="11" width="37.25" bestFit="1" customWidth="1"/>
    <col min="12" max="12" width="11" style="4" customWidth="1"/>
    <col min="13" max="13" width="13.75" style="9" customWidth="1"/>
    <col min="14" max="14" width="6.375" customWidth="1"/>
    <col min="15" max="15" width="15.875" style="4" customWidth="1"/>
    <col min="16" max="16" width="15.875" style="11" customWidth="1"/>
    <col min="17" max="17" width="15.625" style="29" customWidth="1"/>
  </cols>
  <sheetData>
    <row r="2" spans="2:17" ht="20.100000000000001" customHeight="1" x14ac:dyDescent="0.15">
      <c r="B2" s="223" t="s">
        <v>11</v>
      </c>
      <c r="C2" s="223"/>
      <c r="D2" s="223"/>
      <c r="E2" s="42" t="s">
        <v>24</v>
      </c>
      <c r="G2" s="224" t="s">
        <v>15</v>
      </c>
      <c r="H2" s="225"/>
      <c r="I2" s="226"/>
      <c r="J2" s="7">
        <f>SUM(H:H)</f>
        <v>7955862.0100000007</v>
      </c>
      <c r="K2" s="5"/>
      <c r="L2" s="6"/>
    </row>
    <row r="3" spans="2:17" ht="20.100000000000001" customHeight="1" x14ac:dyDescent="0.15">
      <c r="B3" s="223" t="s">
        <v>10</v>
      </c>
      <c r="C3" s="223"/>
      <c r="D3" s="223"/>
      <c r="E3" s="43" t="s">
        <v>22</v>
      </c>
    </row>
    <row r="4" spans="2:17" ht="20.100000000000001" customHeight="1" x14ac:dyDescent="0.15">
      <c r="B4" s="223" t="s">
        <v>12</v>
      </c>
      <c r="C4" s="223"/>
      <c r="D4" s="223"/>
      <c r="E4" s="43">
        <v>179145</v>
      </c>
      <c r="J4" s="13"/>
      <c r="K4" s="20"/>
    </row>
    <row r="5" spans="2:17" ht="20.100000000000001" customHeight="1" x14ac:dyDescent="0.15">
      <c r="B5" s="223" t="s">
        <v>13</v>
      </c>
      <c r="C5" s="223"/>
      <c r="D5" s="223"/>
      <c r="E5" s="44"/>
      <c r="J5" s="13"/>
      <c r="K5" s="20"/>
    </row>
    <row r="6" spans="2:17" ht="20.100000000000001" customHeight="1" x14ac:dyDescent="0.15">
      <c r="B6" s="223" t="s">
        <v>14</v>
      </c>
      <c r="C6" s="223"/>
      <c r="D6" s="223"/>
      <c r="E6" s="44"/>
      <c r="J6" s="13"/>
      <c r="K6" s="20"/>
    </row>
    <row r="7" spans="2:17" ht="20.100000000000001" customHeight="1" x14ac:dyDescent="0.15">
      <c r="B7" s="14"/>
      <c r="C7" s="14"/>
      <c r="D7" s="14"/>
      <c r="E7" s="45"/>
      <c r="J7" s="13"/>
      <c r="K7" s="20"/>
      <c r="L7" s="15"/>
    </row>
    <row r="9" spans="2:17" s="2" customFormat="1" ht="19.5" customHeight="1" x14ac:dyDescent="0.15">
      <c r="B9" s="3" t="s">
        <v>4</v>
      </c>
      <c r="C9" s="3" t="s">
        <v>9</v>
      </c>
      <c r="D9" s="3" t="s">
        <v>5</v>
      </c>
      <c r="E9" s="38" t="s">
        <v>8</v>
      </c>
      <c r="F9" s="26" t="s">
        <v>0</v>
      </c>
      <c r="G9" s="34" t="s">
        <v>1</v>
      </c>
      <c r="H9" s="34" t="s">
        <v>2</v>
      </c>
      <c r="I9" s="1" t="s">
        <v>18</v>
      </c>
      <c r="J9" s="1" t="s">
        <v>3</v>
      </c>
      <c r="K9" s="1" t="s">
        <v>17</v>
      </c>
      <c r="L9" s="1" t="s">
        <v>16</v>
      </c>
      <c r="M9" s="10" t="s">
        <v>6</v>
      </c>
      <c r="N9" s="3" t="s">
        <v>19</v>
      </c>
      <c r="O9" s="1" t="s">
        <v>7</v>
      </c>
      <c r="P9" s="10" t="s">
        <v>20</v>
      </c>
      <c r="Q9" s="12" t="s">
        <v>21</v>
      </c>
    </row>
    <row r="10" spans="2:17" s="2" customFormat="1" ht="19.5" customHeight="1" x14ac:dyDescent="0.15">
      <c r="B10" s="32"/>
      <c r="C10" s="3" t="s">
        <v>99</v>
      </c>
      <c r="D10" s="3" t="s">
        <v>99</v>
      </c>
      <c r="E10" s="40" t="s">
        <v>88</v>
      </c>
      <c r="F10" s="40">
        <v>6</v>
      </c>
      <c r="G10" s="40"/>
      <c r="H10" s="40"/>
      <c r="I10" s="1"/>
      <c r="J10" s="40" t="s">
        <v>100</v>
      </c>
      <c r="K10" s="38"/>
      <c r="L10" s="1"/>
      <c r="M10" s="10">
        <v>44039</v>
      </c>
      <c r="N10" s="3"/>
      <c r="O10" s="47"/>
      <c r="P10" s="10"/>
      <c r="Q10" s="33"/>
    </row>
    <row r="11" spans="2:17" s="2" customFormat="1" ht="19.5" customHeight="1" x14ac:dyDescent="0.15">
      <c r="B11" s="32"/>
      <c r="C11" s="3" t="s">
        <v>99</v>
      </c>
      <c r="D11" s="3" t="s">
        <v>99</v>
      </c>
      <c r="E11" s="40" t="s">
        <v>89</v>
      </c>
      <c r="F11" s="40">
        <v>1</v>
      </c>
      <c r="G11" s="40">
        <v>298000</v>
      </c>
      <c r="H11" s="40">
        <v>298000</v>
      </c>
      <c r="I11" s="1"/>
      <c r="J11" s="40" t="s">
        <v>101</v>
      </c>
      <c r="K11" s="38"/>
      <c r="L11" s="1"/>
      <c r="M11" s="10">
        <v>44039</v>
      </c>
      <c r="N11" s="10"/>
      <c r="O11" s="10"/>
      <c r="P11" s="10"/>
      <c r="Q11" s="33"/>
    </row>
    <row r="12" spans="2:17" s="2" customFormat="1" ht="19.5" customHeight="1" x14ac:dyDescent="0.15">
      <c r="B12" s="32"/>
      <c r="C12" s="3" t="s">
        <v>99</v>
      </c>
      <c r="D12" s="3" t="s">
        <v>99</v>
      </c>
      <c r="E12" s="40" t="s">
        <v>90</v>
      </c>
      <c r="F12" s="40">
        <v>1</v>
      </c>
      <c r="G12" s="40">
        <v>298000</v>
      </c>
      <c r="H12" s="40">
        <v>298000</v>
      </c>
      <c r="I12" s="1"/>
      <c r="J12" s="40" t="s">
        <v>101</v>
      </c>
      <c r="K12" s="38"/>
      <c r="L12" s="1"/>
      <c r="M12" s="10">
        <v>44039</v>
      </c>
      <c r="N12" s="10"/>
      <c r="O12" s="10"/>
      <c r="P12" s="10"/>
      <c r="Q12" s="33"/>
    </row>
    <row r="13" spans="2:17" s="21" customFormat="1" ht="19.5" customHeight="1" x14ac:dyDescent="0.15">
      <c r="B13" s="23"/>
      <c r="C13" s="3" t="s">
        <v>99</v>
      </c>
      <c r="D13" s="3" t="s">
        <v>99</v>
      </c>
      <c r="E13" s="40" t="s">
        <v>91</v>
      </c>
      <c r="F13" s="40">
        <v>8</v>
      </c>
      <c r="G13" s="40">
        <v>231000</v>
      </c>
      <c r="H13" s="40">
        <v>1848000</v>
      </c>
      <c r="I13" s="24"/>
      <c r="J13" s="40" t="s">
        <v>101</v>
      </c>
      <c r="K13" s="38"/>
      <c r="L13" s="16"/>
      <c r="M13" s="10">
        <v>44039</v>
      </c>
      <c r="N13" s="19"/>
      <c r="O13" s="19"/>
      <c r="P13" s="10"/>
      <c r="Q13" s="28"/>
    </row>
    <row r="14" spans="2:17" s="21" customFormat="1" ht="19.5" customHeight="1" x14ac:dyDescent="0.15">
      <c r="B14" s="23"/>
      <c r="C14" s="3" t="s">
        <v>99</v>
      </c>
      <c r="D14" s="3" t="s">
        <v>99</v>
      </c>
      <c r="E14" s="40" t="s">
        <v>92</v>
      </c>
      <c r="F14" s="40">
        <v>1</v>
      </c>
      <c r="G14" s="40">
        <v>231000</v>
      </c>
      <c r="H14" s="40">
        <v>231000</v>
      </c>
      <c r="I14" s="24"/>
      <c r="J14" s="40" t="s">
        <v>101</v>
      </c>
      <c r="K14" s="38"/>
      <c r="L14" s="16"/>
      <c r="M14" s="10">
        <v>44039</v>
      </c>
      <c r="N14" s="19"/>
      <c r="O14" s="19"/>
      <c r="P14" s="10"/>
      <c r="Q14" s="28"/>
    </row>
    <row r="15" spans="2:17" s="25" customFormat="1" ht="19.5" customHeight="1" x14ac:dyDescent="0.15">
      <c r="B15" s="23"/>
      <c r="C15" s="3" t="s">
        <v>99</v>
      </c>
      <c r="D15" s="3" t="s">
        <v>99</v>
      </c>
      <c r="E15" s="40" t="s">
        <v>93</v>
      </c>
      <c r="F15" s="40">
        <v>1</v>
      </c>
      <c r="G15" s="40">
        <v>465500</v>
      </c>
      <c r="H15" s="40">
        <v>465500</v>
      </c>
      <c r="I15" s="24"/>
      <c r="J15" s="40" t="s">
        <v>102</v>
      </c>
      <c r="K15" s="38"/>
      <c r="L15" s="38"/>
      <c r="M15" s="10">
        <v>44039</v>
      </c>
      <c r="N15" s="48"/>
      <c r="O15" s="19"/>
      <c r="P15" s="10"/>
      <c r="Q15" s="28"/>
    </row>
    <row r="16" spans="2:17" s="25" customFormat="1" ht="19.5" customHeight="1" x14ac:dyDescent="0.15">
      <c r="B16" s="23"/>
      <c r="C16" s="3" t="s">
        <v>99</v>
      </c>
      <c r="D16" s="3" t="s">
        <v>99</v>
      </c>
      <c r="E16" s="40" t="s">
        <v>94</v>
      </c>
      <c r="F16" s="40">
        <v>1</v>
      </c>
      <c r="G16" s="40">
        <v>465500</v>
      </c>
      <c r="H16" s="40">
        <v>465500</v>
      </c>
      <c r="I16" s="24"/>
      <c r="J16" s="40" t="s">
        <v>102</v>
      </c>
      <c r="K16" s="38"/>
      <c r="L16" s="38"/>
      <c r="M16" s="10">
        <v>44039</v>
      </c>
      <c r="N16" s="48"/>
      <c r="O16" s="19"/>
      <c r="P16" s="18"/>
      <c r="Q16" s="28"/>
    </row>
    <row r="17" spans="2:17" ht="19.5" customHeight="1" x14ac:dyDescent="0.15">
      <c r="B17" s="22"/>
      <c r="C17" s="3" t="s">
        <v>99</v>
      </c>
      <c r="D17" s="3" t="s">
        <v>99</v>
      </c>
      <c r="E17" s="40" t="s">
        <v>95</v>
      </c>
      <c r="F17" s="40">
        <v>7</v>
      </c>
      <c r="G17" s="40">
        <v>10680</v>
      </c>
      <c r="H17" s="40">
        <v>74760</v>
      </c>
      <c r="I17" s="24"/>
      <c r="J17" s="40" t="s">
        <v>103</v>
      </c>
      <c r="K17" s="38"/>
      <c r="L17" s="22"/>
      <c r="M17" s="10">
        <v>44039</v>
      </c>
      <c r="N17" s="40"/>
      <c r="O17" s="22"/>
      <c r="P17" s="41"/>
      <c r="Q17" s="30"/>
    </row>
    <row r="18" spans="2:17" ht="20.100000000000001" customHeight="1" x14ac:dyDescent="0.15">
      <c r="B18" s="22"/>
      <c r="C18" s="3" t="s">
        <v>99</v>
      </c>
      <c r="D18" s="3" t="s">
        <v>99</v>
      </c>
      <c r="E18" s="40" t="s">
        <v>96</v>
      </c>
      <c r="F18" s="40">
        <v>4</v>
      </c>
      <c r="G18" s="40">
        <v>79800</v>
      </c>
      <c r="H18" s="40">
        <v>319200</v>
      </c>
      <c r="I18" s="24"/>
      <c r="J18" s="40" t="s">
        <v>104</v>
      </c>
      <c r="K18" s="38"/>
      <c r="L18" s="22"/>
      <c r="M18" s="10">
        <v>44039</v>
      </c>
      <c r="N18" s="40"/>
      <c r="O18" s="22"/>
      <c r="P18" s="41"/>
      <c r="Q18" s="30"/>
    </row>
    <row r="19" spans="2:17" ht="20.100000000000001" customHeight="1" x14ac:dyDescent="0.15">
      <c r="B19" s="22"/>
      <c r="C19" s="3" t="s">
        <v>99</v>
      </c>
      <c r="D19" s="3" t="s">
        <v>99</v>
      </c>
      <c r="E19" s="40" t="s">
        <v>97</v>
      </c>
      <c r="F19" s="40">
        <v>3</v>
      </c>
      <c r="G19" s="40">
        <v>25000</v>
      </c>
      <c r="H19" s="40">
        <v>75000</v>
      </c>
      <c r="I19" s="24"/>
      <c r="J19" s="40" t="s">
        <v>105</v>
      </c>
      <c r="K19" s="38"/>
      <c r="L19" s="22"/>
      <c r="M19" s="10">
        <v>44039</v>
      </c>
      <c r="N19" s="40"/>
      <c r="O19" s="22"/>
      <c r="P19" s="41"/>
      <c r="Q19" s="30"/>
    </row>
    <row r="20" spans="2:17" ht="20.100000000000001" customHeight="1" x14ac:dyDescent="0.15">
      <c r="B20" s="22"/>
      <c r="C20" s="3" t="s">
        <v>99</v>
      </c>
      <c r="D20" s="3" t="s">
        <v>99</v>
      </c>
      <c r="E20" s="40" t="s">
        <v>98</v>
      </c>
      <c r="F20" s="40">
        <v>2</v>
      </c>
      <c r="G20" s="40">
        <v>25000</v>
      </c>
      <c r="H20" s="40">
        <v>50000</v>
      </c>
      <c r="I20" s="24"/>
      <c r="J20" s="40" t="s">
        <v>105</v>
      </c>
      <c r="K20" s="38"/>
      <c r="L20" s="22"/>
      <c r="M20" s="10">
        <v>44039</v>
      </c>
      <c r="N20" s="40"/>
      <c r="O20" s="22"/>
      <c r="P20" s="41"/>
      <c r="Q20" s="30"/>
    </row>
    <row r="21" spans="2:17" ht="20.100000000000001" customHeight="1" x14ac:dyDescent="0.15">
      <c r="B21" s="22"/>
      <c r="C21" s="3" t="s">
        <v>99</v>
      </c>
      <c r="D21" s="3" t="s">
        <v>99</v>
      </c>
      <c r="E21" s="40" t="s">
        <v>106</v>
      </c>
      <c r="F21" s="40">
        <v>25</v>
      </c>
      <c r="G21" s="40">
        <v>10780</v>
      </c>
      <c r="H21" s="40">
        <f>F21*G21</f>
        <v>269500</v>
      </c>
      <c r="I21" s="24"/>
      <c r="J21" s="40" t="s">
        <v>107</v>
      </c>
      <c r="K21" s="38"/>
      <c r="L21" s="22"/>
      <c r="M21" s="10">
        <v>44039</v>
      </c>
      <c r="N21" s="40"/>
      <c r="O21" s="22"/>
      <c r="P21" s="41"/>
      <c r="Q21" s="30"/>
    </row>
    <row r="22" spans="2:17" s="25" customFormat="1" ht="20.100000000000001" customHeight="1" x14ac:dyDescent="0.15">
      <c r="B22" s="53"/>
      <c r="C22" s="16" t="s">
        <v>99</v>
      </c>
      <c r="D22" s="16" t="s">
        <v>99</v>
      </c>
      <c r="E22" s="27" t="s">
        <v>97</v>
      </c>
      <c r="F22" s="27">
        <v>2</v>
      </c>
      <c r="G22" s="27">
        <v>25000</v>
      </c>
      <c r="H22" s="27">
        <v>50000</v>
      </c>
      <c r="I22" s="52"/>
      <c r="J22" s="27" t="s">
        <v>105</v>
      </c>
      <c r="K22" s="38"/>
      <c r="L22" s="53"/>
      <c r="M22" s="54">
        <v>44046</v>
      </c>
      <c r="N22" s="27"/>
      <c r="O22" s="53"/>
      <c r="P22" s="55"/>
      <c r="Q22" s="56"/>
    </row>
    <row r="23" spans="2:17" ht="20.100000000000001" customHeight="1" x14ac:dyDescent="0.15">
      <c r="B23" s="22"/>
      <c r="C23" s="16" t="s">
        <v>99</v>
      </c>
      <c r="D23" s="16" t="s">
        <v>99</v>
      </c>
      <c r="E23" s="40" t="s">
        <v>26</v>
      </c>
      <c r="F23" s="40">
        <v>152</v>
      </c>
      <c r="G23" s="40">
        <v>221</v>
      </c>
      <c r="H23" s="40">
        <v>33592</v>
      </c>
      <c r="I23" s="24"/>
      <c r="J23" s="40" t="s">
        <v>40</v>
      </c>
      <c r="K23" s="38"/>
      <c r="L23" s="22"/>
      <c r="M23" s="31">
        <v>44047</v>
      </c>
      <c r="N23" s="40"/>
      <c r="O23" s="22"/>
      <c r="P23" s="41"/>
      <c r="Q23" s="30"/>
    </row>
    <row r="24" spans="2:17" ht="20.100000000000001" customHeight="1" x14ac:dyDescent="0.15">
      <c r="B24" s="22"/>
      <c r="C24" s="16" t="s">
        <v>99</v>
      </c>
      <c r="D24" s="16" t="s">
        <v>99</v>
      </c>
      <c r="E24" s="40" t="s">
        <v>29</v>
      </c>
      <c r="F24" s="40">
        <v>12</v>
      </c>
      <c r="G24" s="40">
        <v>240</v>
      </c>
      <c r="H24" s="40">
        <v>2880</v>
      </c>
      <c r="I24" s="24"/>
      <c r="J24" s="40" t="s">
        <v>42</v>
      </c>
      <c r="K24" s="38"/>
      <c r="L24" s="22"/>
      <c r="M24" s="31">
        <v>44047</v>
      </c>
      <c r="N24" s="40"/>
      <c r="O24" s="22"/>
      <c r="P24" s="41"/>
      <c r="Q24" s="30"/>
    </row>
    <row r="25" spans="2:17" ht="20.100000000000001" customHeight="1" x14ac:dyDescent="0.15">
      <c r="B25" s="22"/>
      <c r="C25" s="16" t="s">
        <v>99</v>
      </c>
      <c r="D25" s="16" t="s">
        <v>99</v>
      </c>
      <c r="E25" s="40" t="s">
        <v>233</v>
      </c>
      <c r="F25" s="40">
        <v>4</v>
      </c>
      <c r="G25" s="40">
        <v>1510</v>
      </c>
      <c r="H25" s="40">
        <v>6040</v>
      </c>
      <c r="I25" s="24"/>
      <c r="J25" s="40" t="s">
        <v>43</v>
      </c>
      <c r="K25" s="38"/>
      <c r="L25" s="22"/>
      <c r="M25" s="31">
        <v>44047</v>
      </c>
      <c r="N25" s="40"/>
      <c r="O25" s="22"/>
      <c r="P25" s="41"/>
      <c r="Q25" s="30"/>
    </row>
    <row r="26" spans="2:17" ht="20.100000000000001" customHeight="1" x14ac:dyDescent="0.15">
      <c r="B26" s="22"/>
      <c r="C26" s="16" t="s">
        <v>99</v>
      </c>
      <c r="D26" s="16" t="s">
        <v>99</v>
      </c>
      <c r="E26" s="40" t="s">
        <v>234</v>
      </c>
      <c r="F26" s="40">
        <v>4</v>
      </c>
      <c r="G26" s="40">
        <v>3110</v>
      </c>
      <c r="H26" s="40">
        <v>12440</v>
      </c>
      <c r="I26" s="24"/>
      <c r="J26" s="40" t="s">
        <v>43</v>
      </c>
      <c r="K26" s="38"/>
      <c r="L26" s="22"/>
      <c r="M26" s="31">
        <v>44047</v>
      </c>
      <c r="N26" s="40"/>
      <c r="O26" s="22"/>
      <c r="P26" s="41"/>
      <c r="Q26" s="30"/>
    </row>
    <row r="27" spans="2:17" ht="20.100000000000001" customHeight="1" x14ac:dyDescent="0.15">
      <c r="B27" s="22"/>
      <c r="C27" s="16" t="s">
        <v>99</v>
      </c>
      <c r="D27" s="16" t="s">
        <v>99</v>
      </c>
      <c r="E27" s="40" t="s">
        <v>235</v>
      </c>
      <c r="F27" s="40">
        <v>4</v>
      </c>
      <c r="G27" s="40">
        <v>3410</v>
      </c>
      <c r="H27" s="40">
        <v>13640</v>
      </c>
      <c r="I27" s="24"/>
      <c r="J27" s="40" t="s">
        <v>43</v>
      </c>
      <c r="K27" s="38"/>
      <c r="L27" s="22"/>
      <c r="M27" s="31">
        <v>44047</v>
      </c>
      <c r="N27" s="40"/>
      <c r="O27" s="22"/>
      <c r="P27" s="41"/>
      <c r="Q27" s="30"/>
    </row>
    <row r="28" spans="2:17" ht="20.100000000000001" customHeight="1" x14ac:dyDescent="0.15">
      <c r="B28" s="22"/>
      <c r="C28" s="16" t="s">
        <v>99</v>
      </c>
      <c r="D28" s="16" t="s">
        <v>99</v>
      </c>
      <c r="E28" s="40" t="s">
        <v>236</v>
      </c>
      <c r="F28" s="40">
        <v>8</v>
      </c>
      <c r="G28" s="40">
        <v>450</v>
      </c>
      <c r="H28" s="40">
        <v>3600</v>
      </c>
      <c r="I28" s="24"/>
      <c r="J28" s="40" t="s">
        <v>43</v>
      </c>
      <c r="K28" s="38"/>
      <c r="L28" s="22"/>
      <c r="M28" s="31">
        <v>44047</v>
      </c>
      <c r="N28" s="40"/>
      <c r="O28" s="22"/>
      <c r="P28" s="41"/>
      <c r="Q28" s="30"/>
    </row>
    <row r="29" spans="2:17" ht="20.100000000000001" customHeight="1" x14ac:dyDescent="0.15">
      <c r="B29" s="22"/>
      <c r="C29" s="16" t="s">
        <v>99</v>
      </c>
      <c r="D29" s="16" t="s">
        <v>99</v>
      </c>
      <c r="E29" s="40" t="s">
        <v>237</v>
      </c>
      <c r="F29" s="40">
        <v>4</v>
      </c>
      <c r="G29" s="40">
        <v>520</v>
      </c>
      <c r="H29" s="40">
        <v>2080</v>
      </c>
      <c r="I29" s="24"/>
      <c r="J29" s="40" t="s">
        <v>43</v>
      </c>
      <c r="K29" s="38"/>
      <c r="L29" s="22"/>
      <c r="M29" s="31">
        <v>44047</v>
      </c>
      <c r="N29" s="40"/>
      <c r="O29" s="22"/>
      <c r="P29" s="41"/>
      <c r="Q29" s="30"/>
    </row>
    <row r="30" spans="2:17" ht="20.100000000000001" customHeight="1" x14ac:dyDescent="0.15">
      <c r="B30" s="22"/>
      <c r="C30" s="16" t="s">
        <v>99</v>
      </c>
      <c r="D30" s="16" t="s">
        <v>99</v>
      </c>
      <c r="E30" s="40" t="s">
        <v>238</v>
      </c>
      <c r="F30" s="40">
        <v>16</v>
      </c>
      <c r="G30" s="40">
        <v>910</v>
      </c>
      <c r="H30" s="40">
        <v>14560</v>
      </c>
      <c r="I30" s="24"/>
      <c r="J30" s="40" t="s">
        <v>43</v>
      </c>
      <c r="K30" s="38"/>
      <c r="L30" s="22"/>
      <c r="M30" s="31">
        <v>44047</v>
      </c>
      <c r="N30" s="40"/>
      <c r="O30" s="22"/>
      <c r="P30" s="41"/>
      <c r="Q30" s="30"/>
    </row>
    <row r="31" spans="2:17" ht="20.100000000000001" customHeight="1" x14ac:dyDescent="0.15">
      <c r="B31" s="22"/>
      <c r="C31" s="16" t="s">
        <v>99</v>
      </c>
      <c r="D31" s="16" t="s">
        <v>99</v>
      </c>
      <c r="E31" s="40" t="s">
        <v>239</v>
      </c>
      <c r="F31" s="40">
        <v>12</v>
      </c>
      <c r="G31" s="40">
        <v>920</v>
      </c>
      <c r="H31" s="40">
        <v>11040</v>
      </c>
      <c r="I31" s="24"/>
      <c r="J31" s="40" t="s">
        <v>43</v>
      </c>
      <c r="K31" s="38"/>
      <c r="L31" s="22"/>
      <c r="M31" s="31">
        <v>44047</v>
      </c>
      <c r="N31" s="40"/>
      <c r="O31" s="22"/>
      <c r="P31" s="41"/>
      <c r="Q31" s="30"/>
    </row>
    <row r="32" spans="2:17" ht="20.100000000000001" customHeight="1" x14ac:dyDescent="0.15">
      <c r="B32" s="22"/>
      <c r="C32" s="16" t="s">
        <v>99</v>
      </c>
      <c r="D32" s="16" t="s">
        <v>99</v>
      </c>
      <c r="E32" s="40" t="s">
        <v>240</v>
      </c>
      <c r="F32" s="40">
        <v>33</v>
      </c>
      <c r="G32" s="40">
        <v>232</v>
      </c>
      <c r="H32" s="40">
        <v>7656</v>
      </c>
      <c r="I32" s="24"/>
      <c r="J32" s="40" t="s">
        <v>241</v>
      </c>
      <c r="K32" s="38"/>
      <c r="L32" s="22"/>
      <c r="M32" s="31">
        <v>44047</v>
      </c>
      <c r="N32" s="40"/>
      <c r="O32" s="22"/>
      <c r="P32" s="41"/>
      <c r="Q32" s="30"/>
    </row>
    <row r="33" spans="2:17" ht="20.100000000000001" customHeight="1" x14ac:dyDescent="0.15">
      <c r="B33" s="22"/>
      <c r="C33" s="16" t="s">
        <v>99</v>
      </c>
      <c r="D33" s="16" t="s">
        <v>99</v>
      </c>
      <c r="E33" s="40" t="s">
        <v>26</v>
      </c>
      <c r="F33" s="40">
        <v>10</v>
      </c>
      <c r="G33" s="40">
        <v>225</v>
      </c>
      <c r="H33" s="40">
        <v>2250</v>
      </c>
      <c r="I33" s="24"/>
      <c r="J33" s="40" t="s">
        <v>40</v>
      </c>
      <c r="K33" s="38"/>
      <c r="L33" s="22"/>
      <c r="M33" s="31">
        <v>44047</v>
      </c>
      <c r="N33" s="40"/>
      <c r="O33" s="22"/>
      <c r="P33" s="41"/>
      <c r="Q33" s="30"/>
    </row>
    <row r="34" spans="2:17" ht="20.100000000000001" customHeight="1" x14ac:dyDescent="0.15">
      <c r="B34" s="22"/>
      <c r="C34" s="16" t="s">
        <v>99</v>
      </c>
      <c r="D34" s="16" t="s">
        <v>99</v>
      </c>
      <c r="E34" s="40" t="s">
        <v>242</v>
      </c>
      <c r="F34" s="40">
        <v>2</v>
      </c>
      <c r="G34" s="40">
        <v>870</v>
      </c>
      <c r="H34" s="40">
        <v>1740</v>
      </c>
      <c r="I34" s="24"/>
      <c r="J34" s="40" t="s">
        <v>43</v>
      </c>
      <c r="K34" s="38"/>
      <c r="L34" s="22"/>
      <c r="M34" s="31">
        <v>44047</v>
      </c>
      <c r="N34" s="40"/>
      <c r="O34" s="22"/>
      <c r="P34" s="41"/>
      <c r="Q34" s="30"/>
    </row>
    <row r="35" spans="2:17" ht="20.100000000000001" customHeight="1" x14ac:dyDescent="0.15">
      <c r="B35" s="22"/>
      <c r="C35" s="16" t="s">
        <v>99</v>
      </c>
      <c r="D35" s="16" t="s">
        <v>99</v>
      </c>
      <c r="E35" s="40" t="s">
        <v>243</v>
      </c>
      <c r="F35" s="40">
        <v>2</v>
      </c>
      <c r="G35" s="40">
        <v>1080</v>
      </c>
      <c r="H35" s="40">
        <v>2160</v>
      </c>
      <c r="I35" s="24"/>
      <c r="J35" s="40" t="s">
        <v>43</v>
      </c>
      <c r="K35" s="38"/>
      <c r="L35" s="22"/>
      <c r="M35" s="31">
        <v>44047</v>
      </c>
      <c r="N35" s="40"/>
      <c r="O35" s="22"/>
      <c r="P35" s="41"/>
      <c r="Q35" s="30"/>
    </row>
    <row r="36" spans="2:17" ht="20.100000000000001" customHeight="1" x14ac:dyDescent="0.15">
      <c r="B36" s="22"/>
      <c r="C36" s="16" t="s">
        <v>99</v>
      </c>
      <c r="D36" s="16" t="s">
        <v>99</v>
      </c>
      <c r="E36" s="40" t="s">
        <v>54</v>
      </c>
      <c r="F36" s="40">
        <v>100</v>
      </c>
      <c r="G36" s="40">
        <v>71</v>
      </c>
      <c r="H36" s="40">
        <v>7100</v>
      </c>
      <c r="I36" s="24"/>
      <c r="J36" s="40" t="s">
        <v>63</v>
      </c>
      <c r="K36" s="38"/>
      <c r="L36" s="22"/>
      <c r="M36" s="31">
        <v>44047</v>
      </c>
      <c r="N36" s="40"/>
      <c r="O36" s="22"/>
      <c r="P36" s="41"/>
      <c r="Q36" s="30"/>
    </row>
    <row r="37" spans="2:17" ht="20.100000000000001" customHeight="1" x14ac:dyDescent="0.15">
      <c r="B37" s="22"/>
      <c r="C37" s="16" t="s">
        <v>99</v>
      </c>
      <c r="D37" s="16" t="s">
        <v>99</v>
      </c>
      <c r="E37" s="40" t="s">
        <v>244</v>
      </c>
      <c r="F37" s="40">
        <v>20</v>
      </c>
      <c r="G37" s="40">
        <v>1869</v>
      </c>
      <c r="H37" s="40">
        <v>37380</v>
      </c>
      <c r="I37" s="24"/>
      <c r="J37" s="40" t="s">
        <v>274</v>
      </c>
      <c r="K37" s="38"/>
      <c r="L37" s="22"/>
      <c r="M37" s="31">
        <v>44047</v>
      </c>
      <c r="N37" s="40"/>
      <c r="O37" s="22"/>
      <c r="P37" s="41"/>
      <c r="Q37" s="30"/>
    </row>
    <row r="38" spans="2:17" ht="20.100000000000001" customHeight="1" x14ac:dyDescent="0.15">
      <c r="B38" s="22"/>
      <c r="C38" s="16" t="s">
        <v>99</v>
      </c>
      <c r="D38" s="16" t="s">
        <v>99</v>
      </c>
      <c r="E38" s="40" t="s">
        <v>245</v>
      </c>
      <c r="F38" s="40">
        <v>20</v>
      </c>
      <c r="G38" s="40">
        <v>4303</v>
      </c>
      <c r="H38" s="40">
        <v>86060</v>
      </c>
      <c r="I38" s="24"/>
      <c r="J38" s="40" t="s">
        <v>273</v>
      </c>
      <c r="K38" s="38"/>
      <c r="L38" s="22"/>
      <c r="M38" s="31">
        <v>44047</v>
      </c>
      <c r="N38" s="40"/>
      <c r="O38" s="22"/>
      <c r="P38" s="41"/>
      <c r="Q38" s="30"/>
    </row>
    <row r="39" spans="2:17" ht="20.100000000000001" customHeight="1" x14ac:dyDescent="0.15">
      <c r="B39" s="22"/>
      <c r="C39" s="16" t="s">
        <v>99</v>
      </c>
      <c r="D39" s="16" t="s">
        <v>99</v>
      </c>
      <c r="E39" s="40" t="s">
        <v>246</v>
      </c>
      <c r="F39" s="40">
        <v>6</v>
      </c>
      <c r="G39" s="40">
        <v>600</v>
      </c>
      <c r="H39" s="40">
        <v>3600</v>
      </c>
      <c r="I39" s="24"/>
      <c r="J39" s="40" t="s">
        <v>272</v>
      </c>
      <c r="K39" s="38"/>
      <c r="L39" s="22"/>
      <c r="M39" s="31">
        <v>44047</v>
      </c>
      <c r="N39" s="40"/>
      <c r="O39" s="22"/>
      <c r="P39" s="41"/>
      <c r="Q39" s="30"/>
    </row>
    <row r="40" spans="2:17" ht="20.100000000000001" customHeight="1" x14ac:dyDescent="0.15">
      <c r="B40" s="22"/>
      <c r="C40" s="16" t="s">
        <v>99</v>
      </c>
      <c r="D40" s="16" t="s">
        <v>99</v>
      </c>
      <c r="E40" s="40" t="s">
        <v>247</v>
      </c>
      <c r="F40" s="40">
        <v>6</v>
      </c>
      <c r="G40" s="40">
        <v>960</v>
      </c>
      <c r="H40" s="40">
        <v>5760</v>
      </c>
      <c r="I40" s="24"/>
      <c r="J40" s="40" t="s">
        <v>272</v>
      </c>
      <c r="K40" s="38"/>
      <c r="L40" s="22"/>
      <c r="M40" s="31">
        <v>44047</v>
      </c>
      <c r="N40" s="40"/>
      <c r="O40" s="22"/>
      <c r="P40" s="41"/>
      <c r="Q40" s="30"/>
    </row>
    <row r="41" spans="2:17" ht="20.100000000000001" customHeight="1" x14ac:dyDescent="0.15">
      <c r="B41" s="22"/>
      <c r="C41" s="16" t="s">
        <v>99</v>
      </c>
      <c r="D41" s="16" t="s">
        <v>99</v>
      </c>
      <c r="E41" s="40" t="s">
        <v>248</v>
      </c>
      <c r="F41" s="40">
        <v>1</v>
      </c>
      <c r="G41" s="40">
        <v>31455</v>
      </c>
      <c r="H41" s="40">
        <v>31455</v>
      </c>
      <c r="I41" s="24"/>
      <c r="J41" s="40" t="s">
        <v>249</v>
      </c>
      <c r="K41" s="38"/>
      <c r="L41" s="22"/>
      <c r="M41" s="31">
        <v>44047</v>
      </c>
      <c r="N41" s="40"/>
      <c r="O41" s="22"/>
      <c r="P41" s="41"/>
      <c r="Q41" s="30"/>
    </row>
    <row r="42" spans="2:17" ht="20.100000000000001" customHeight="1" x14ac:dyDescent="0.15">
      <c r="B42" s="22"/>
      <c r="C42" s="16" t="s">
        <v>99</v>
      </c>
      <c r="D42" s="16" t="s">
        <v>99</v>
      </c>
      <c r="E42" s="40" t="s">
        <v>254</v>
      </c>
      <c r="F42" s="40">
        <v>1</v>
      </c>
      <c r="G42" s="40">
        <v>16186</v>
      </c>
      <c r="H42" s="40">
        <v>16186</v>
      </c>
      <c r="I42" s="24"/>
      <c r="J42" s="40" t="s">
        <v>250</v>
      </c>
      <c r="K42" s="38"/>
      <c r="L42" s="22"/>
      <c r="M42" s="31">
        <v>44047</v>
      </c>
      <c r="N42" s="40"/>
      <c r="O42" s="22"/>
      <c r="P42" s="41"/>
      <c r="Q42" s="30"/>
    </row>
    <row r="43" spans="2:17" ht="20.100000000000001" customHeight="1" x14ac:dyDescent="0.15">
      <c r="B43" s="22"/>
      <c r="C43" s="16" t="s">
        <v>99</v>
      </c>
      <c r="D43" s="16" t="s">
        <v>99</v>
      </c>
      <c r="E43" s="40" t="s">
        <v>255</v>
      </c>
      <c r="F43" s="40">
        <v>3</v>
      </c>
      <c r="G43" s="40">
        <v>12579</v>
      </c>
      <c r="H43" s="40">
        <v>37737</v>
      </c>
      <c r="I43" s="24"/>
      <c r="J43" s="40" t="s">
        <v>251</v>
      </c>
      <c r="K43" s="38"/>
      <c r="L43" s="22"/>
      <c r="M43" s="31">
        <v>44047</v>
      </c>
      <c r="N43" s="40"/>
      <c r="O43" s="22"/>
      <c r="P43" s="41"/>
      <c r="Q43" s="30"/>
    </row>
    <row r="44" spans="2:17" ht="20.100000000000001" customHeight="1" x14ac:dyDescent="0.15">
      <c r="B44" s="22"/>
      <c r="C44" s="16" t="s">
        <v>99</v>
      </c>
      <c r="D44" s="16" t="s">
        <v>99</v>
      </c>
      <c r="E44" s="40" t="s">
        <v>256</v>
      </c>
      <c r="F44" s="40">
        <v>9</v>
      </c>
      <c r="G44" s="40">
        <v>1720</v>
      </c>
      <c r="H44" s="40">
        <v>15480</v>
      </c>
      <c r="I44" s="24"/>
      <c r="J44" s="40" t="s">
        <v>252</v>
      </c>
      <c r="K44" s="38"/>
      <c r="L44" s="22"/>
      <c r="M44" s="31">
        <v>44047</v>
      </c>
      <c r="N44" s="40"/>
      <c r="O44" s="22"/>
      <c r="P44" s="41"/>
      <c r="Q44" s="30"/>
    </row>
    <row r="45" spans="2:17" ht="20.100000000000001" customHeight="1" x14ac:dyDescent="0.15">
      <c r="B45" s="22"/>
      <c r="C45" s="16" t="s">
        <v>99</v>
      </c>
      <c r="D45" s="16" t="s">
        <v>99</v>
      </c>
      <c r="E45" s="40" t="s">
        <v>257</v>
      </c>
      <c r="F45" s="40">
        <v>9</v>
      </c>
      <c r="G45" s="40">
        <v>1730</v>
      </c>
      <c r="H45" s="40">
        <v>15570</v>
      </c>
      <c r="I45" s="24"/>
      <c r="J45" s="40" t="s">
        <v>253</v>
      </c>
      <c r="K45" s="38"/>
      <c r="L45" s="22"/>
      <c r="M45" s="31">
        <v>44047</v>
      </c>
      <c r="N45" s="40"/>
      <c r="O45" s="22"/>
      <c r="P45" s="41"/>
      <c r="Q45" s="30"/>
    </row>
    <row r="46" spans="2:17" ht="20.100000000000001" customHeight="1" x14ac:dyDescent="0.15">
      <c r="B46" s="22"/>
      <c r="C46" s="16" t="s">
        <v>99</v>
      </c>
      <c r="D46" s="16" t="s">
        <v>99</v>
      </c>
      <c r="E46" s="40" t="s">
        <v>258</v>
      </c>
      <c r="F46" s="40">
        <v>1</v>
      </c>
      <c r="G46" s="40">
        <v>8272</v>
      </c>
      <c r="H46" s="40">
        <v>8272</v>
      </c>
      <c r="I46" s="24"/>
      <c r="J46" s="40" t="s">
        <v>259</v>
      </c>
      <c r="K46" s="38"/>
      <c r="L46" s="22"/>
      <c r="M46" s="31">
        <v>44047</v>
      </c>
      <c r="N46" s="40"/>
      <c r="O46" s="22"/>
      <c r="P46" s="41"/>
      <c r="Q46" s="30"/>
    </row>
    <row r="47" spans="2:17" ht="20.100000000000001" customHeight="1" x14ac:dyDescent="0.15">
      <c r="B47" s="22"/>
      <c r="C47" s="16" t="s">
        <v>99</v>
      </c>
      <c r="D47" s="16" t="s">
        <v>99</v>
      </c>
      <c r="E47" s="40" t="s">
        <v>264</v>
      </c>
      <c r="F47" s="40">
        <v>1</v>
      </c>
      <c r="G47" s="40">
        <v>6796</v>
      </c>
      <c r="H47" s="40">
        <v>6796</v>
      </c>
      <c r="I47" s="24"/>
      <c r="J47" s="40" t="s">
        <v>260</v>
      </c>
      <c r="K47" s="38"/>
      <c r="L47" s="22"/>
      <c r="M47" s="31">
        <v>44047</v>
      </c>
      <c r="N47" s="40"/>
      <c r="O47" s="22"/>
      <c r="P47" s="41"/>
      <c r="Q47" s="30"/>
    </row>
    <row r="48" spans="2:17" ht="20.100000000000001" customHeight="1" x14ac:dyDescent="0.15">
      <c r="B48" s="22"/>
      <c r="C48" s="16" t="s">
        <v>99</v>
      </c>
      <c r="D48" s="16" t="s">
        <v>99</v>
      </c>
      <c r="E48" s="40" t="s">
        <v>266</v>
      </c>
      <c r="F48" s="40">
        <v>1</v>
      </c>
      <c r="G48" s="40">
        <v>3980</v>
      </c>
      <c r="H48" s="40">
        <v>3980</v>
      </c>
      <c r="I48" s="24"/>
      <c r="J48" s="40" t="s">
        <v>261</v>
      </c>
      <c r="K48" s="38"/>
      <c r="L48" s="22"/>
      <c r="M48" s="31">
        <v>44047</v>
      </c>
      <c r="N48" s="40"/>
      <c r="O48" s="22"/>
      <c r="P48" s="41"/>
      <c r="Q48" s="30"/>
    </row>
    <row r="49" spans="2:17" ht="20.100000000000001" customHeight="1" x14ac:dyDescent="0.15">
      <c r="B49" s="22"/>
      <c r="C49" s="16" t="s">
        <v>99</v>
      </c>
      <c r="D49" s="16" t="s">
        <v>99</v>
      </c>
      <c r="E49" s="40" t="s">
        <v>265</v>
      </c>
      <c r="F49" s="40">
        <v>1</v>
      </c>
      <c r="G49" s="40">
        <v>3170</v>
      </c>
      <c r="H49" s="40">
        <v>3170</v>
      </c>
      <c r="I49" s="24"/>
      <c r="J49" s="40" t="s">
        <v>262</v>
      </c>
      <c r="K49" s="38"/>
      <c r="L49" s="22"/>
      <c r="M49" s="31">
        <v>44047</v>
      </c>
      <c r="N49" s="40"/>
      <c r="O49" s="22"/>
      <c r="P49" s="41"/>
      <c r="Q49" s="30"/>
    </row>
    <row r="50" spans="2:17" ht="20.100000000000001" customHeight="1" x14ac:dyDescent="0.15">
      <c r="B50" s="22"/>
      <c r="C50" s="16" t="s">
        <v>99</v>
      </c>
      <c r="D50" s="16" t="s">
        <v>99</v>
      </c>
      <c r="E50" s="40" t="s">
        <v>267</v>
      </c>
      <c r="F50" s="40">
        <v>2</v>
      </c>
      <c r="G50" s="40">
        <v>1420</v>
      </c>
      <c r="H50" s="40">
        <v>2840</v>
      </c>
      <c r="I50" s="24"/>
      <c r="J50" s="40" t="s">
        <v>263</v>
      </c>
      <c r="K50" s="38"/>
      <c r="L50" s="22"/>
      <c r="M50" s="31">
        <v>44047</v>
      </c>
      <c r="N50" s="40"/>
      <c r="O50" s="22"/>
      <c r="P50" s="41"/>
      <c r="Q50" s="30"/>
    </row>
    <row r="51" spans="2:17" ht="20.100000000000001" customHeight="1" x14ac:dyDescent="0.15">
      <c r="B51" s="22"/>
      <c r="C51" s="16" t="s">
        <v>99</v>
      </c>
      <c r="D51" s="16" t="s">
        <v>99</v>
      </c>
      <c r="E51" s="40" t="s">
        <v>268</v>
      </c>
      <c r="F51" s="40">
        <v>8</v>
      </c>
      <c r="G51" s="40">
        <v>361</v>
      </c>
      <c r="H51" s="40">
        <v>2888</v>
      </c>
      <c r="I51" s="24"/>
      <c r="J51" s="40" t="s">
        <v>271</v>
      </c>
      <c r="K51" s="38"/>
      <c r="L51" s="22"/>
      <c r="M51" s="31">
        <v>44047</v>
      </c>
      <c r="N51" s="40"/>
      <c r="O51" s="22"/>
      <c r="P51" s="41"/>
      <c r="Q51" s="30"/>
    </row>
    <row r="52" spans="2:17" ht="20.100000000000001" customHeight="1" x14ac:dyDescent="0.15">
      <c r="B52" s="22"/>
      <c r="C52" s="16" t="s">
        <v>99</v>
      </c>
      <c r="D52" s="16" t="s">
        <v>99</v>
      </c>
      <c r="E52" s="40" t="s">
        <v>269</v>
      </c>
      <c r="F52" s="40">
        <v>8</v>
      </c>
      <c r="G52" s="40">
        <v>361</v>
      </c>
      <c r="H52" s="40">
        <v>2888</v>
      </c>
      <c r="I52" s="24"/>
      <c r="J52" s="40" t="s">
        <v>271</v>
      </c>
      <c r="K52" s="38"/>
      <c r="L52" s="22"/>
      <c r="M52" s="31">
        <v>44047</v>
      </c>
      <c r="N52" s="40"/>
      <c r="O52" s="22"/>
      <c r="P52" s="41"/>
      <c r="Q52" s="30"/>
    </row>
    <row r="53" spans="2:17" ht="20.100000000000001" customHeight="1" x14ac:dyDescent="0.15">
      <c r="B53" s="22"/>
      <c r="C53" s="16" t="s">
        <v>99</v>
      </c>
      <c r="D53" s="16" t="s">
        <v>99</v>
      </c>
      <c r="E53" s="40" t="s">
        <v>270</v>
      </c>
      <c r="F53" s="40">
        <v>8</v>
      </c>
      <c r="G53" s="40">
        <v>423</v>
      </c>
      <c r="H53" s="40">
        <v>3384</v>
      </c>
      <c r="I53" s="24"/>
      <c r="J53" s="40" t="s">
        <v>271</v>
      </c>
      <c r="K53" s="38"/>
      <c r="L53" s="22"/>
      <c r="M53" s="31">
        <v>44047</v>
      </c>
      <c r="N53" s="40"/>
      <c r="O53" s="22"/>
      <c r="P53" s="41"/>
      <c r="Q53" s="30"/>
    </row>
    <row r="54" spans="2:17" ht="20.100000000000001" customHeight="1" x14ac:dyDescent="0.15">
      <c r="B54" s="22"/>
      <c r="C54" s="16" t="s">
        <v>99</v>
      </c>
      <c r="D54" s="16" t="s">
        <v>99</v>
      </c>
      <c r="E54" s="40" t="s">
        <v>26</v>
      </c>
      <c r="F54" s="40">
        <v>16</v>
      </c>
      <c r="G54" s="40">
        <v>225</v>
      </c>
      <c r="H54" s="40">
        <v>3600</v>
      </c>
      <c r="I54" s="24"/>
      <c r="J54" s="40" t="s">
        <v>40</v>
      </c>
      <c r="K54" s="38"/>
      <c r="L54" s="22"/>
      <c r="M54" s="31">
        <v>44047</v>
      </c>
      <c r="N54" s="40"/>
      <c r="O54" s="22"/>
      <c r="P54" s="41"/>
      <c r="Q54" s="30"/>
    </row>
    <row r="55" spans="2:17" ht="20.100000000000001" customHeight="1" x14ac:dyDescent="0.15">
      <c r="B55" s="22"/>
      <c r="C55" s="16" t="s">
        <v>99</v>
      </c>
      <c r="D55" s="16" t="s">
        <v>99</v>
      </c>
      <c r="E55" s="40" t="s">
        <v>29</v>
      </c>
      <c r="F55" s="40">
        <v>4</v>
      </c>
      <c r="G55" s="40">
        <v>240</v>
      </c>
      <c r="H55" s="40">
        <v>960</v>
      </c>
      <c r="I55" s="24"/>
      <c r="J55" s="40" t="s">
        <v>42</v>
      </c>
      <c r="K55" s="38"/>
      <c r="L55" s="22"/>
      <c r="M55" s="31">
        <v>44047</v>
      </c>
      <c r="N55" s="40"/>
      <c r="O55" s="22"/>
      <c r="P55" s="41"/>
      <c r="Q55" s="30"/>
    </row>
    <row r="56" spans="2:17" ht="20.100000000000001" customHeight="1" x14ac:dyDescent="0.15">
      <c r="B56" s="22"/>
      <c r="C56" s="16" t="s">
        <v>99</v>
      </c>
      <c r="D56" s="16" t="s">
        <v>99</v>
      </c>
      <c r="E56" s="40" t="s">
        <v>275</v>
      </c>
      <c r="F56" s="40">
        <v>4</v>
      </c>
      <c r="G56" s="40">
        <v>450</v>
      </c>
      <c r="H56" s="40">
        <v>1800</v>
      </c>
      <c r="I56" s="24"/>
      <c r="J56" s="40" t="s">
        <v>43</v>
      </c>
      <c r="K56" s="38"/>
      <c r="L56" s="22"/>
      <c r="M56" s="31">
        <v>44047</v>
      </c>
      <c r="N56" s="40"/>
      <c r="O56" s="22"/>
      <c r="P56" s="41"/>
      <c r="Q56" s="30"/>
    </row>
    <row r="57" spans="2:17" ht="20.100000000000001" customHeight="1" x14ac:dyDescent="0.15">
      <c r="B57" s="22"/>
      <c r="C57" s="16" t="s">
        <v>99</v>
      </c>
      <c r="D57" s="16" t="s">
        <v>99</v>
      </c>
      <c r="E57" s="40" t="s">
        <v>276</v>
      </c>
      <c r="F57" s="40">
        <v>2</v>
      </c>
      <c r="G57" s="40">
        <v>640</v>
      </c>
      <c r="H57" s="40">
        <v>1280</v>
      </c>
      <c r="I57" s="24"/>
      <c r="J57" s="40" t="s">
        <v>43</v>
      </c>
      <c r="K57" s="38"/>
      <c r="L57" s="22"/>
      <c r="M57" s="31">
        <v>44047</v>
      </c>
      <c r="N57" s="40"/>
      <c r="O57" s="22"/>
      <c r="P57" s="41"/>
      <c r="Q57" s="30"/>
    </row>
    <row r="58" spans="2:17" ht="20.100000000000001" customHeight="1" x14ac:dyDescent="0.15">
      <c r="B58" s="22"/>
      <c r="C58" s="16" t="s">
        <v>99</v>
      </c>
      <c r="D58" s="16" t="s">
        <v>99</v>
      </c>
      <c r="E58" s="40" t="s">
        <v>277</v>
      </c>
      <c r="F58" s="40">
        <v>4</v>
      </c>
      <c r="G58" s="40">
        <v>670</v>
      </c>
      <c r="H58" s="40">
        <v>2680</v>
      </c>
      <c r="I58" s="24"/>
      <c r="J58" s="40" t="s">
        <v>43</v>
      </c>
      <c r="K58" s="38"/>
      <c r="L58" s="22"/>
      <c r="M58" s="31">
        <v>44047</v>
      </c>
      <c r="N58" s="40"/>
      <c r="O58" s="22"/>
      <c r="P58" s="41"/>
      <c r="Q58" s="30"/>
    </row>
    <row r="59" spans="2:17" ht="20.100000000000001" customHeight="1" x14ac:dyDescent="0.15">
      <c r="B59" s="22"/>
      <c r="C59" s="16" t="s">
        <v>99</v>
      </c>
      <c r="D59" s="16" t="s">
        <v>99</v>
      </c>
      <c r="E59" s="40" t="s">
        <v>240</v>
      </c>
      <c r="F59" s="40">
        <v>8</v>
      </c>
      <c r="G59" s="40">
        <v>232</v>
      </c>
      <c r="H59" s="40">
        <v>1856</v>
      </c>
      <c r="I59" s="24"/>
      <c r="J59" s="40" t="s">
        <v>241</v>
      </c>
      <c r="K59" s="38"/>
      <c r="L59" s="22"/>
      <c r="M59" s="31">
        <v>44047</v>
      </c>
      <c r="N59" s="40"/>
      <c r="O59" s="22"/>
      <c r="P59" s="41"/>
      <c r="Q59" s="30"/>
    </row>
    <row r="60" spans="2:17" ht="20.100000000000001" customHeight="1" x14ac:dyDescent="0.15">
      <c r="B60" s="22"/>
      <c r="C60" s="16" t="s">
        <v>99</v>
      </c>
      <c r="D60" s="16" t="s">
        <v>99</v>
      </c>
      <c r="E60" s="40" t="s">
        <v>282</v>
      </c>
      <c r="F60" s="40">
        <v>2</v>
      </c>
      <c r="G60" s="40">
        <v>2480</v>
      </c>
      <c r="H60" s="40">
        <v>4960</v>
      </c>
      <c r="I60" s="52"/>
      <c r="J60" s="27" t="s">
        <v>281</v>
      </c>
      <c r="K60" s="38"/>
      <c r="L60" s="22"/>
      <c r="M60" s="31">
        <v>44047</v>
      </c>
      <c r="N60" s="40"/>
      <c r="O60" s="22"/>
      <c r="P60" s="41"/>
      <c r="Q60" s="30"/>
    </row>
    <row r="61" spans="2:17" ht="20.100000000000001" customHeight="1" x14ac:dyDescent="0.15">
      <c r="B61" s="22"/>
      <c r="C61" s="16" t="s">
        <v>99</v>
      </c>
      <c r="D61" s="16" t="s">
        <v>99</v>
      </c>
      <c r="E61" s="40" t="s">
        <v>283</v>
      </c>
      <c r="F61" s="40">
        <v>2</v>
      </c>
      <c r="G61" s="40">
        <v>2710</v>
      </c>
      <c r="H61" s="40">
        <v>5420</v>
      </c>
      <c r="I61" s="52"/>
      <c r="J61" s="27" t="s">
        <v>280</v>
      </c>
      <c r="K61" s="38"/>
      <c r="L61" s="22"/>
      <c r="M61" s="31">
        <v>44047</v>
      </c>
      <c r="N61" s="40"/>
      <c r="O61" s="22"/>
      <c r="P61" s="41"/>
      <c r="Q61" s="30"/>
    </row>
    <row r="62" spans="2:17" ht="20.100000000000001" customHeight="1" x14ac:dyDescent="0.15">
      <c r="B62" s="22"/>
      <c r="C62" s="16" t="s">
        <v>99</v>
      </c>
      <c r="D62" s="16" t="s">
        <v>99</v>
      </c>
      <c r="E62" s="40" t="s">
        <v>278</v>
      </c>
      <c r="F62" s="40">
        <v>4</v>
      </c>
      <c r="G62" s="40">
        <v>1430</v>
      </c>
      <c r="H62" s="40">
        <v>5720</v>
      </c>
      <c r="I62" s="24"/>
      <c r="J62" s="51" t="s">
        <v>279</v>
      </c>
      <c r="K62" s="38"/>
      <c r="L62" s="22"/>
      <c r="M62" s="31">
        <v>44047</v>
      </c>
      <c r="N62" s="40"/>
      <c r="O62" s="22"/>
      <c r="P62" s="41"/>
      <c r="Q62" s="30"/>
    </row>
    <row r="63" spans="2:17" ht="20.100000000000001" customHeight="1" x14ac:dyDescent="0.15">
      <c r="B63" s="22"/>
      <c r="C63" s="16" t="s">
        <v>99</v>
      </c>
      <c r="D63" s="16" t="s">
        <v>99</v>
      </c>
      <c r="E63" s="40" t="s">
        <v>284</v>
      </c>
      <c r="F63" s="40">
        <v>1</v>
      </c>
      <c r="G63" s="40">
        <v>6370</v>
      </c>
      <c r="H63" s="40">
        <v>6370</v>
      </c>
      <c r="I63" s="24"/>
      <c r="J63" s="51" t="s">
        <v>285</v>
      </c>
      <c r="K63" s="38"/>
      <c r="L63" s="22"/>
      <c r="M63" s="31">
        <v>44047</v>
      </c>
      <c r="N63" s="40"/>
      <c r="O63" s="22"/>
      <c r="P63" s="41"/>
      <c r="Q63" s="30"/>
    </row>
    <row r="64" spans="2:17" ht="20.100000000000001" customHeight="1" x14ac:dyDescent="0.15">
      <c r="B64" s="22"/>
      <c r="C64" s="16" t="s">
        <v>99</v>
      </c>
      <c r="D64" s="16" t="s">
        <v>99</v>
      </c>
      <c r="E64" s="40" t="s">
        <v>287</v>
      </c>
      <c r="F64" s="40">
        <v>1</v>
      </c>
      <c r="G64" s="40">
        <v>7320</v>
      </c>
      <c r="H64" s="40">
        <v>7320</v>
      </c>
      <c r="I64" s="24"/>
      <c r="J64" s="51" t="s">
        <v>286</v>
      </c>
      <c r="K64" s="38"/>
      <c r="L64" s="22"/>
      <c r="M64" s="31">
        <v>44047</v>
      </c>
      <c r="N64" s="40"/>
      <c r="O64" s="22"/>
      <c r="P64" s="41"/>
      <c r="Q64" s="30"/>
    </row>
    <row r="65" spans="2:17" ht="20.100000000000001" customHeight="1" x14ac:dyDescent="0.15">
      <c r="B65" s="22"/>
      <c r="C65" s="16" t="s">
        <v>99</v>
      </c>
      <c r="D65" s="16" t="s">
        <v>99</v>
      </c>
      <c r="E65" s="40" t="s">
        <v>51</v>
      </c>
      <c r="F65" s="40">
        <v>1</v>
      </c>
      <c r="G65" s="40">
        <v>12534</v>
      </c>
      <c r="H65" s="40">
        <v>12534</v>
      </c>
      <c r="I65" s="24"/>
      <c r="J65" s="40" t="s">
        <v>57</v>
      </c>
      <c r="K65" s="38"/>
      <c r="L65" s="22"/>
      <c r="M65" s="31">
        <v>44047</v>
      </c>
      <c r="N65" s="40"/>
      <c r="O65" s="22"/>
      <c r="P65" s="41"/>
      <c r="Q65" s="30"/>
    </row>
    <row r="66" spans="2:17" ht="20.100000000000001" customHeight="1" x14ac:dyDescent="0.15">
      <c r="B66" s="22"/>
      <c r="C66" s="16" t="s">
        <v>99</v>
      </c>
      <c r="D66" s="16" t="s">
        <v>99</v>
      </c>
      <c r="E66" s="40" t="s">
        <v>288</v>
      </c>
      <c r="F66" s="40">
        <v>1</v>
      </c>
      <c r="G66" s="40">
        <v>53025</v>
      </c>
      <c r="H66" s="40">
        <v>53025</v>
      </c>
      <c r="I66" s="24"/>
      <c r="J66" s="40" t="s">
        <v>295</v>
      </c>
      <c r="K66" s="38"/>
      <c r="L66" s="22"/>
      <c r="M66" s="31">
        <v>44047</v>
      </c>
      <c r="N66" s="40"/>
      <c r="O66" s="22"/>
      <c r="P66" s="41"/>
      <c r="Q66" s="30"/>
    </row>
    <row r="67" spans="2:17" ht="20.100000000000001" customHeight="1" x14ac:dyDescent="0.15">
      <c r="B67" s="22"/>
      <c r="C67" s="16" t="s">
        <v>99</v>
      </c>
      <c r="D67" s="16" t="s">
        <v>99</v>
      </c>
      <c r="E67" s="40" t="s">
        <v>738</v>
      </c>
      <c r="F67" s="40">
        <v>3</v>
      </c>
      <c r="G67" s="40">
        <v>3789</v>
      </c>
      <c r="H67" s="40">
        <v>11367</v>
      </c>
      <c r="I67" s="24"/>
      <c r="J67" s="40" t="s">
        <v>294</v>
      </c>
      <c r="K67" s="38"/>
      <c r="L67" s="22"/>
      <c r="M67" s="31">
        <v>44047</v>
      </c>
      <c r="N67" s="40"/>
      <c r="O67" s="22"/>
      <c r="P67" s="41"/>
      <c r="Q67" s="30"/>
    </row>
    <row r="68" spans="2:17" ht="20.100000000000001" customHeight="1" x14ac:dyDescent="0.15">
      <c r="B68" s="22"/>
      <c r="C68" s="16" t="s">
        <v>99</v>
      </c>
      <c r="D68" s="16" t="s">
        <v>99</v>
      </c>
      <c r="E68" s="40" t="s">
        <v>290</v>
      </c>
      <c r="F68" s="40">
        <v>7</v>
      </c>
      <c r="G68" s="40">
        <v>74</v>
      </c>
      <c r="H68" s="40">
        <v>518</v>
      </c>
      <c r="I68" s="24"/>
      <c r="J68" s="40" t="s">
        <v>293</v>
      </c>
      <c r="K68" s="38"/>
      <c r="L68" s="22"/>
      <c r="M68" s="31">
        <v>44047</v>
      </c>
      <c r="N68" s="40"/>
      <c r="O68" s="22"/>
      <c r="P68" s="41"/>
      <c r="Q68" s="30"/>
    </row>
    <row r="69" spans="2:17" ht="20.100000000000001" customHeight="1" x14ac:dyDescent="0.15">
      <c r="B69" s="22"/>
      <c r="C69" s="16" t="s">
        <v>99</v>
      </c>
      <c r="D69" s="16" t="s">
        <v>99</v>
      </c>
      <c r="E69" s="40" t="s">
        <v>291</v>
      </c>
      <c r="F69" s="40">
        <v>3</v>
      </c>
      <c r="G69" s="40">
        <v>969</v>
      </c>
      <c r="H69" s="40">
        <v>2907</v>
      </c>
      <c r="I69" s="24"/>
      <c r="J69" s="40" t="s">
        <v>293</v>
      </c>
      <c r="K69" s="38"/>
      <c r="L69" s="22"/>
      <c r="M69" s="31">
        <v>44047</v>
      </c>
      <c r="N69" s="40"/>
      <c r="O69" s="22"/>
      <c r="P69" s="41"/>
      <c r="Q69" s="30"/>
    </row>
    <row r="70" spans="2:17" ht="20.100000000000001" customHeight="1" x14ac:dyDescent="0.15">
      <c r="B70" s="22"/>
      <c r="C70" s="16" t="s">
        <v>99</v>
      </c>
      <c r="D70" s="16" t="s">
        <v>99</v>
      </c>
      <c r="E70" s="40" t="s">
        <v>292</v>
      </c>
      <c r="F70" s="40">
        <v>3</v>
      </c>
      <c r="G70" s="40">
        <v>298</v>
      </c>
      <c r="H70" s="40">
        <v>894</v>
      </c>
      <c r="I70" s="24"/>
      <c r="J70" s="40" t="s">
        <v>293</v>
      </c>
      <c r="K70" s="38"/>
      <c r="L70" s="22"/>
      <c r="M70" s="31">
        <v>44047</v>
      </c>
      <c r="N70" s="40"/>
      <c r="O70" s="22"/>
      <c r="P70" s="41"/>
      <c r="Q70" s="30"/>
    </row>
    <row r="71" spans="2:17" ht="20.100000000000001" customHeight="1" x14ac:dyDescent="0.15">
      <c r="B71" s="81"/>
      <c r="C71" s="16" t="s">
        <v>99</v>
      </c>
      <c r="D71" s="16" t="s">
        <v>99</v>
      </c>
      <c r="E71" s="40" t="s">
        <v>296</v>
      </c>
      <c r="F71" s="40">
        <v>1</v>
      </c>
      <c r="G71" s="40">
        <v>3820</v>
      </c>
      <c r="H71" s="40">
        <v>3820</v>
      </c>
      <c r="I71" s="24"/>
      <c r="J71" s="51" t="s">
        <v>297</v>
      </c>
      <c r="K71" s="38"/>
      <c r="L71" s="83"/>
      <c r="M71" s="31">
        <v>44047</v>
      </c>
      <c r="N71" s="40"/>
      <c r="O71" s="81"/>
      <c r="P71" s="41"/>
      <c r="Q71" s="30"/>
    </row>
    <row r="72" spans="2:17" ht="20.100000000000001" customHeight="1" x14ac:dyDescent="0.15">
      <c r="B72" s="81"/>
      <c r="C72" s="16" t="s">
        <v>99</v>
      </c>
      <c r="D72" s="16" t="s">
        <v>99</v>
      </c>
      <c r="E72" s="40" t="s">
        <v>304</v>
      </c>
      <c r="F72" s="40">
        <v>1</v>
      </c>
      <c r="G72" s="40">
        <v>4590</v>
      </c>
      <c r="H72" s="40">
        <v>4590</v>
      </c>
      <c r="I72" s="24"/>
      <c r="J72" s="51" t="s">
        <v>298</v>
      </c>
      <c r="K72" s="38"/>
      <c r="L72" s="83"/>
      <c r="M72" s="31">
        <v>44047</v>
      </c>
      <c r="N72" s="40"/>
      <c r="O72" s="81"/>
      <c r="P72" s="41"/>
      <c r="Q72" s="30"/>
    </row>
    <row r="73" spans="2:17" ht="20.100000000000001" customHeight="1" x14ac:dyDescent="0.15">
      <c r="B73" s="81"/>
      <c r="C73" s="16" t="s">
        <v>99</v>
      </c>
      <c r="D73" s="16" t="s">
        <v>99</v>
      </c>
      <c r="E73" s="40" t="s">
        <v>305</v>
      </c>
      <c r="F73" s="40">
        <v>1</v>
      </c>
      <c r="G73" s="40">
        <v>4340</v>
      </c>
      <c r="H73" s="40">
        <v>4340</v>
      </c>
      <c r="I73" s="24"/>
      <c r="J73" s="51" t="s">
        <v>299</v>
      </c>
      <c r="K73" s="38"/>
      <c r="L73" s="83"/>
      <c r="M73" s="31">
        <v>44047</v>
      </c>
      <c r="N73" s="40"/>
      <c r="O73" s="81"/>
      <c r="P73" s="41"/>
      <c r="Q73" s="30"/>
    </row>
    <row r="74" spans="2:17" ht="20.100000000000001" customHeight="1" x14ac:dyDescent="0.15">
      <c r="B74" s="81"/>
      <c r="C74" s="16" t="s">
        <v>99</v>
      </c>
      <c r="D74" s="16" t="s">
        <v>99</v>
      </c>
      <c r="E74" s="40" t="s">
        <v>306</v>
      </c>
      <c r="F74" s="40">
        <v>1</v>
      </c>
      <c r="G74" s="40">
        <v>4390</v>
      </c>
      <c r="H74" s="40">
        <v>4390</v>
      </c>
      <c r="I74" s="24"/>
      <c r="J74" s="51" t="s">
        <v>300</v>
      </c>
      <c r="K74" s="38"/>
      <c r="L74" s="83"/>
      <c r="M74" s="31">
        <v>44047</v>
      </c>
      <c r="N74" s="40"/>
      <c r="O74" s="81"/>
      <c r="P74" s="41"/>
      <c r="Q74" s="30"/>
    </row>
    <row r="75" spans="2:17" ht="19.5" customHeight="1" x14ac:dyDescent="0.15">
      <c r="B75" s="81"/>
      <c r="C75" s="16" t="s">
        <v>99</v>
      </c>
      <c r="D75" s="16" t="s">
        <v>99</v>
      </c>
      <c r="E75" s="40" t="s">
        <v>307</v>
      </c>
      <c r="F75" s="40">
        <v>1</v>
      </c>
      <c r="G75" s="40">
        <v>4060</v>
      </c>
      <c r="H75" s="40">
        <v>4060</v>
      </c>
      <c r="I75" s="24"/>
      <c r="J75" s="51" t="s">
        <v>301</v>
      </c>
      <c r="K75" s="38"/>
      <c r="L75" s="83"/>
      <c r="M75" s="31">
        <v>44047</v>
      </c>
      <c r="N75" s="40"/>
      <c r="O75" s="81"/>
      <c r="P75" s="41"/>
      <c r="Q75" s="30"/>
    </row>
    <row r="76" spans="2:17" ht="20.100000000000001" customHeight="1" x14ac:dyDescent="0.15">
      <c r="B76" s="81"/>
      <c r="C76" s="16" t="s">
        <v>99</v>
      </c>
      <c r="D76" s="16" t="s">
        <v>99</v>
      </c>
      <c r="E76" s="40" t="s">
        <v>308</v>
      </c>
      <c r="F76" s="40">
        <v>1</v>
      </c>
      <c r="G76" s="40">
        <v>3660</v>
      </c>
      <c r="H76" s="40">
        <v>3660</v>
      </c>
      <c r="I76" s="24"/>
      <c r="J76" s="51" t="s">
        <v>302</v>
      </c>
      <c r="K76" s="38"/>
      <c r="L76" s="83"/>
      <c r="M76" s="31">
        <v>44047</v>
      </c>
      <c r="N76" s="40"/>
      <c r="O76" s="81"/>
      <c r="P76" s="41"/>
      <c r="Q76" s="30"/>
    </row>
    <row r="77" spans="2:17" ht="20.100000000000001" customHeight="1" x14ac:dyDescent="0.15">
      <c r="B77" s="22"/>
      <c r="C77" s="16" t="s">
        <v>99</v>
      </c>
      <c r="D77" s="16" t="s">
        <v>99</v>
      </c>
      <c r="E77" s="40" t="s">
        <v>309</v>
      </c>
      <c r="F77" s="40">
        <v>1</v>
      </c>
      <c r="G77" s="40">
        <v>1900</v>
      </c>
      <c r="H77" s="40">
        <v>1900</v>
      </c>
      <c r="I77" s="24"/>
      <c r="J77" s="51" t="s">
        <v>303</v>
      </c>
      <c r="K77" s="38"/>
      <c r="L77" s="83"/>
      <c r="M77" s="31">
        <v>44047</v>
      </c>
      <c r="N77" s="40"/>
      <c r="O77" s="22"/>
      <c r="P77" s="41"/>
      <c r="Q77" s="30"/>
    </row>
    <row r="78" spans="2:17" ht="20.100000000000001" customHeight="1" x14ac:dyDescent="0.15">
      <c r="B78" s="22"/>
      <c r="C78" s="16" t="s">
        <v>99</v>
      </c>
      <c r="D78" s="16" t="s">
        <v>99</v>
      </c>
      <c r="E78" s="51" t="s">
        <v>316</v>
      </c>
      <c r="F78" s="24">
        <v>1</v>
      </c>
      <c r="G78" s="40">
        <v>6190</v>
      </c>
      <c r="H78" s="40">
        <v>6190</v>
      </c>
      <c r="I78" s="24"/>
      <c r="J78" s="51" t="s">
        <v>317</v>
      </c>
      <c r="K78" s="38"/>
      <c r="L78" s="22"/>
      <c r="M78" s="31">
        <v>44048</v>
      </c>
      <c r="N78" s="40"/>
      <c r="O78" s="22"/>
      <c r="P78" s="41"/>
      <c r="Q78" s="30"/>
    </row>
    <row r="79" spans="2:17" ht="20.100000000000001" customHeight="1" x14ac:dyDescent="0.15">
      <c r="B79" s="22"/>
      <c r="C79" s="16" t="s">
        <v>99</v>
      </c>
      <c r="D79" s="16" t="s">
        <v>99</v>
      </c>
      <c r="E79" s="87" t="s">
        <v>354</v>
      </c>
      <c r="F79" s="26">
        <v>4</v>
      </c>
      <c r="G79" s="61">
        <v>12743</v>
      </c>
      <c r="H79" s="61">
        <f>F79*G79</f>
        <v>50972</v>
      </c>
      <c r="I79" s="26"/>
      <c r="J79" s="87" t="s">
        <v>351</v>
      </c>
      <c r="K79" s="38"/>
      <c r="L79" s="22"/>
      <c r="M79" s="31">
        <v>44054</v>
      </c>
      <c r="N79" s="40"/>
      <c r="O79" s="22"/>
      <c r="P79" s="41"/>
      <c r="Q79" s="30"/>
    </row>
    <row r="80" spans="2:17" ht="20.100000000000001" customHeight="1" x14ac:dyDescent="0.15">
      <c r="B80" s="22"/>
      <c r="C80" s="16" t="s">
        <v>99</v>
      </c>
      <c r="D80" s="16" t="s">
        <v>99</v>
      </c>
      <c r="E80" s="87" t="s">
        <v>353</v>
      </c>
      <c r="F80" s="26">
        <v>4</v>
      </c>
      <c r="G80" s="63">
        <v>3550</v>
      </c>
      <c r="H80" s="61">
        <f>F80*G80</f>
        <v>14200</v>
      </c>
      <c r="I80" s="26"/>
      <c r="J80" s="87" t="s">
        <v>352</v>
      </c>
      <c r="K80" s="38"/>
      <c r="L80" s="22"/>
      <c r="M80" s="31">
        <v>44054</v>
      </c>
      <c r="N80" s="40"/>
      <c r="O80" s="22"/>
      <c r="P80" s="41"/>
      <c r="Q80" s="30"/>
    </row>
    <row r="81" spans="2:17" ht="20.100000000000001" customHeight="1" x14ac:dyDescent="0.15">
      <c r="B81" s="85"/>
      <c r="C81" s="16" t="s">
        <v>99</v>
      </c>
      <c r="D81" s="16" t="s">
        <v>99</v>
      </c>
      <c r="E81" s="87" t="s">
        <v>355</v>
      </c>
      <c r="F81" s="26">
        <v>4</v>
      </c>
      <c r="G81" s="63">
        <v>470</v>
      </c>
      <c r="H81" s="61">
        <f>F81*G81</f>
        <v>1880</v>
      </c>
      <c r="I81" s="26"/>
      <c r="J81" t="s">
        <v>271</v>
      </c>
      <c r="K81" s="38"/>
      <c r="L81" s="85"/>
      <c r="M81" s="31">
        <v>44054</v>
      </c>
      <c r="N81" s="40"/>
      <c r="O81" s="85"/>
      <c r="P81" s="41"/>
      <c r="Q81" s="30"/>
    </row>
    <row r="82" spans="2:17" ht="20.100000000000001" customHeight="1" x14ac:dyDescent="0.15">
      <c r="B82" s="86"/>
      <c r="C82" s="38" t="s">
        <v>99</v>
      </c>
      <c r="D82" s="38" t="s">
        <v>99</v>
      </c>
      <c r="E82" s="63" t="s">
        <v>401</v>
      </c>
      <c r="F82" s="63">
        <v>1</v>
      </c>
      <c r="G82" s="63">
        <v>60734</v>
      </c>
      <c r="H82" s="63">
        <v>60734</v>
      </c>
      <c r="I82" s="62"/>
      <c r="J82" s="63" t="s">
        <v>433</v>
      </c>
      <c r="K82" s="38"/>
      <c r="L82" s="38"/>
      <c r="M82" s="19">
        <v>44060</v>
      </c>
      <c r="N82" s="40"/>
      <c r="O82" s="86"/>
      <c r="P82" s="41"/>
      <c r="Q82" s="30"/>
    </row>
    <row r="83" spans="2:17" ht="20.100000000000001" customHeight="1" x14ac:dyDescent="0.15">
      <c r="B83" s="22"/>
      <c r="C83" s="38" t="s">
        <v>99</v>
      </c>
      <c r="D83" s="38" t="s">
        <v>99</v>
      </c>
      <c r="E83" s="63" t="s">
        <v>408</v>
      </c>
      <c r="F83" s="63">
        <v>1</v>
      </c>
      <c r="G83" s="63">
        <v>7494</v>
      </c>
      <c r="H83" s="63">
        <v>7494</v>
      </c>
      <c r="I83" s="62"/>
      <c r="J83" s="63" t="s">
        <v>414</v>
      </c>
      <c r="K83" s="38"/>
      <c r="L83" s="38"/>
      <c r="M83" s="19">
        <v>44060</v>
      </c>
      <c r="N83" s="40"/>
      <c r="O83" s="22"/>
      <c r="P83" s="41"/>
      <c r="Q83" s="30"/>
    </row>
    <row r="84" spans="2:17" ht="20.100000000000001" customHeight="1" x14ac:dyDescent="0.15">
      <c r="B84" s="22"/>
      <c r="C84" s="38" t="s">
        <v>99</v>
      </c>
      <c r="D84" s="38" t="s">
        <v>99</v>
      </c>
      <c r="E84" s="63" t="s">
        <v>409</v>
      </c>
      <c r="F84" s="63">
        <v>5</v>
      </c>
      <c r="G84" s="63">
        <v>3747</v>
      </c>
      <c r="H84" s="63">
        <v>18735</v>
      </c>
      <c r="I84" s="62"/>
      <c r="J84" s="63" t="s">
        <v>415</v>
      </c>
      <c r="K84" s="38"/>
      <c r="L84" s="38"/>
      <c r="M84" s="19">
        <v>44060</v>
      </c>
      <c r="N84" s="40"/>
      <c r="O84" s="22"/>
      <c r="P84" s="41"/>
      <c r="Q84" s="30"/>
    </row>
    <row r="85" spans="2:17" s="25" customFormat="1" ht="20.100000000000001" customHeight="1" x14ac:dyDescent="0.15">
      <c r="B85" s="53"/>
      <c r="C85" s="38" t="s">
        <v>99</v>
      </c>
      <c r="D85" s="38" t="s">
        <v>99</v>
      </c>
      <c r="E85" s="63" t="s">
        <v>410</v>
      </c>
      <c r="F85" s="63">
        <v>9</v>
      </c>
      <c r="G85" s="63">
        <v>2989</v>
      </c>
      <c r="H85" s="63">
        <v>26901</v>
      </c>
      <c r="I85" s="62"/>
      <c r="J85" s="63" t="s">
        <v>415</v>
      </c>
      <c r="K85" s="38"/>
      <c r="L85" s="38"/>
      <c r="M85" s="19">
        <v>44060</v>
      </c>
      <c r="N85" s="27"/>
      <c r="O85" s="53"/>
      <c r="P85" s="55"/>
      <c r="Q85" s="56"/>
    </row>
    <row r="86" spans="2:17" s="25" customFormat="1" ht="20.100000000000001" customHeight="1" x14ac:dyDescent="0.15">
      <c r="B86" s="53"/>
      <c r="C86" s="38" t="s">
        <v>99</v>
      </c>
      <c r="D86" s="38" t="s">
        <v>99</v>
      </c>
      <c r="E86" s="63" t="s">
        <v>424</v>
      </c>
      <c r="F86" s="63">
        <v>5</v>
      </c>
      <c r="G86" s="63">
        <v>2454</v>
      </c>
      <c r="H86" s="63">
        <v>12270</v>
      </c>
      <c r="I86" s="62"/>
      <c r="J86" s="63" t="s">
        <v>429</v>
      </c>
      <c r="K86" s="38"/>
      <c r="L86" s="38"/>
      <c r="M86" s="19">
        <v>44060</v>
      </c>
      <c r="N86" s="27"/>
      <c r="O86" s="53"/>
      <c r="P86" s="55"/>
      <c r="Q86" s="56"/>
    </row>
    <row r="87" spans="2:17" s="25" customFormat="1" ht="20.100000000000001" customHeight="1" x14ac:dyDescent="0.15">
      <c r="B87" s="53"/>
      <c r="C87" s="38" t="s">
        <v>99</v>
      </c>
      <c r="D87" s="38" t="s">
        <v>99</v>
      </c>
      <c r="E87" s="63" t="s">
        <v>402</v>
      </c>
      <c r="F87" s="63">
        <v>5</v>
      </c>
      <c r="G87" s="63">
        <v>6503</v>
      </c>
      <c r="H87" s="63">
        <v>32515</v>
      </c>
      <c r="I87" s="62"/>
      <c r="J87" s="63" t="s">
        <v>416</v>
      </c>
      <c r="K87" s="38"/>
      <c r="L87" s="38"/>
      <c r="M87" s="19">
        <v>44060</v>
      </c>
      <c r="N87" s="27"/>
      <c r="O87" s="53"/>
      <c r="P87" s="55"/>
      <c r="Q87" s="56"/>
    </row>
    <row r="88" spans="2:17" s="25" customFormat="1" ht="20.100000000000001" customHeight="1" x14ac:dyDescent="0.15">
      <c r="B88" s="53"/>
      <c r="C88" s="38" t="s">
        <v>99</v>
      </c>
      <c r="D88" s="38" t="s">
        <v>99</v>
      </c>
      <c r="E88" s="63" t="s">
        <v>411</v>
      </c>
      <c r="F88" s="63">
        <v>5</v>
      </c>
      <c r="G88" s="63">
        <v>1739</v>
      </c>
      <c r="H88" s="63">
        <v>8695</v>
      </c>
      <c r="I88" s="62"/>
      <c r="J88" s="63" t="s">
        <v>417</v>
      </c>
      <c r="K88" s="38"/>
      <c r="L88" s="38"/>
      <c r="M88" s="19">
        <v>44060</v>
      </c>
      <c r="N88" s="27"/>
      <c r="O88" s="53"/>
      <c r="P88" s="55"/>
      <c r="Q88" s="56"/>
    </row>
    <row r="89" spans="2:17" s="25" customFormat="1" ht="20.100000000000001" customHeight="1" x14ac:dyDescent="0.15">
      <c r="B89" s="53"/>
      <c r="C89" s="38" t="s">
        <v>99</v>
      </c>
      <c r="D89" s="38" t="s">
        <v>99</v>
      </c>
      <c r="E89" s="142" t="s">
        <v>404</v>
      </c>
      <c r="F89" s="142">
        <v>0</v>
      </c>
      <c r="G89" s="142">
        <v>4103</v>
      </c>
      <c r="H89" s="142">
        <f>F89*G89</f>
        <v>0</v>
      </c>
      <c r="I89" s="143"/>
      <c r="J89" s="142" t="s">
        <v>418</v>
      </c>
      <c r="K89" s="141" t="s">
        <v>658</v>
      </c>
      <c r="L89" s="38"/>
      <c r="M89" s="144">
        <v>44077</v>
      </c>
      <c r="N89" s="27"/>
      <c r="O89" s="53"/>
      <c r="P89" s="55"/>
      <c r="Q89" s="56"/>
    </row>
    <row r="90" spans="2:17" ht="20.100000000000001" customHeight="1" x14ac:dyDescent="0.15">
      <c r="B90" s="22"/>
      <c r="C90" s="38" t="s">
        <v>99</v>
      </c>
      <c r="D90" s="38" t="s">
        <v>99</v>
      </c>
      <c r="E90" s="63" t="s">
        <v>405</v>
      </c>
      <c r="F90" s="63">
        <v>10</v>
      </c>
      <c r="G90" s="63">
        <v>2989</v>
      </c>
      <c r="H90" s="63">
        <v>29890</v>
      </c>
      <c r="I90" s="62"/>
      <c r="J90" s="63" t="s">
        <v>419</v>
      </c>
      <c r="K90" s="38"/>
      <c r="L90" s="38"/>
      <c r="M90" s="19">
        <v>44060</v>
      </c>
      <c r="N90" s="27"/>
      <c r="O90" s="53"/>
      <c r="P90" s="41"/>
      <c r="Q90" s="30"/>
    </row>
    <row r="91" spans="2:17" ht="20.100000000000001" customHeight="1" x14ac:dyDescent="0.15">
      <c r="B91" s="22"/>
      <c r="C91" s="38" t="s">
        <v>99</v>
      </c>
      <c r="D91" s="38" t="s">
        <v>99</v>
      </c>
      <c r="E91" s="63" t="s">
        <v>406</v>
      </c>
      <c r="F91" s="63">
        <v>4</v>
      </c>
      <c r="G91" s="63">
        <v>458</v>
      </c>
      <c r="H91" s="63">
        <v>1832</v>
      </c>
      <c r="I91" s="62"/>
      <c r="J91" s="63" t="s">
        <v>420</v>
      </c>
      <c r="K91" s="38"/>
      <c r="L91" s="38"/>
      <c r="M91" s="19">
        <v>44060</v>
      </c>
      <c r="N91" s="27"/>
      <c r="O91" s="53"/>
      <c r="P91" s="41"/>
      <c r="Q91" s="30"/>
    </row>
    <row r="92" spans="2:17" ht="20.100000000000001" customHeight="1" x14ac:dyDescent="0.15">
      <c r="B92" s="22"/>
      <c r="C92" s="38" t="s">
        <v>99</v>
      </c>
      <c r="D92" s="38" t="s">
        <v>99</v>
      </c>
      <c r="E92" s="63" t="s">
        <v>407</v>
      </c>
      <c r="F92" s="63">
        <v>5</v>
      </c>
      <c r="G92" s="63">
        <v>428</v>
      </c>
      <c r="H92" s="63">
        <v>2140</v>
      </c>
      <c r="I92" s="62"/>
      <c r="J92" s="63" t="s">
        <v>421</v>
      </c>
      <c r="K92" s="38"/>
      <c r="L92" s="38"/>
      <c r="M92" s="19">
        <v>44060</v>
      </c>
      <c r="N92" s="27"/>
      <c r="O92" s="53"/>
      <c r="P92" s="41"/>
      <c r="Q92" s="30"/>
    </row>
    <row r="93" spans="2:17" ht="20.100000000000001" customHeight="1" x14ac:dyDescent="0.15">
      <c r="B93" s="22"/>
      <c r="C93" s="38" t="s">
        <v>99</v>
      </c>
      <c r="D93" s="38" t="s">
        <v>99</v>
      </c>
      <c r="E93" s="63" t="s">
        <v>412</v>
      </c>
      <c r="F93" s="63">
        <v>1</v>
      </c>
      <c r="G93" s="63">
        <v>1689</v>
      </c>
      <c r="H93" s="63">
        <v>1689</v>
      </c>
      <c r="I93" s="62"/>
      <c r="J93" s="63" t="s">
        <v>420</v>
      </c>
      <c r="K93" s="38"/>
      <c r="L93" s="38"/>
      <c r="M93" s="19">
        <v>44060</v>
      </c>
      <c r="N93" s="27"/>
      <c r="O93" s="53"/>
      <c r="P93" s="41"/>
      <c r="Q93" s="30"/>
    </row>
    <row r="94" spans="2:17" ht="20.100000000000001" customHeight="1" x14ac:dyDescent="0.15">
      <c r="B94" s="22"/>
      <c r="C94" s="38" t="s">
        <v>99</v>
      </c>
      <c r="D94" s="38" t="s">
        <v>99</v>
      </c>
      <c r="E94" s="63" t="s">
        <v>413</v>
      </c>
      <c r="F94" s="63">
        <v>1</v>
      </c>
      <c r="G94" s="63">
        <v>508</v>
      </c>
      <c r="H94" s="63">
        <v>508</v>
      </c>
      <c r="I94" s="62"/>
      <c r="J94" s="63" t="s">
        <v>421</v>
      </c>
      <c r="K94" s="38"/>
      <c r="L94" s="38"/>
      <c r="M94" s="19">
        <v>44060</v>
      </c>
      <c r="N94" s="27"/>
      <c r="O94" s="53"/>
      <c r="P94" s="41"/>
      <c r="Q94" s="30"/>
    </row>
    <row r="95" spans="2:17" ht="20.100000000000001" customHeight="1" x14ac:dyDescent="0.15">
      <c r="B95" s="22"/>
      <c r="C95" s="38" t="s">
        <v>99</v>
      </c>
      <c r="D95" s="38" t="s">
        <v>99</v>
      </c>
      <c r="E95" s="63" t="s">
        <v>426</v>
      </c>
      <c r="F95" s="63">
        <v>1</v>
      </c>
      <c r="G95" s="63">
        <v>1389</v>
      </c>
      <c r="H95" s="63">
        <v>1389</v>
      </c>
      <c r="I95" s="62"/>
      <c r="J95" s="63" t="s">
        <v>420</v>
      </c>
      <c r="K95" s="38"/>
      <c r="L95" s="38"/>
      <c r="M95" s="19">
        <v>44060</v>
      </c>
      <c r="N95" s="27"/>
      <c r="O95" s="53"/>
      <c r="P95" s="41"/>
      <c r="Q95" s="30"/>
    </row>
    <row r="96" spans="2:17" ht="20.100000000000001" customHeight="1" x14ac:dyDescent="0.15">
      <c r="B96" s="22"/>
      <c r="C96" s="38" t="s">
        <v>99</v>
      </c>
      <c r="D96" s="38" t="s">
        <v>99</v>
      </c>
      <c r="E96" s="63" t="s">
        <v>427</v>
      </c>
      <c r="F96" s="63">
        <v>4</v>
      </c>
      <c r="G96" s="63">
        <v>2989</v>
      </c>
      <c r="H96" s="63">
        <v>11956</v>
      </c>
      <c r="I96" s="62"/>
      <c r="J96" s="63" t="s">
        <v>420</v>
      </c>
      <c r="K96" s="38"/>
      <c r="L96" s="38"/>
      <c r="M96" s="19">
        <v>44060</v>
      </c>
      <c r="N96" s="27"/>
      <c r="O96" s="53"/>
      <c r="P96" s="41"/>
      <c r="Q96" s="30"/>
    </row>
    <row r="97" spans="2:17" ht="20.100000000000001" customHeight="1" x14ac:dyDescent="0.15">
      <c r="B97" s="22"/>
      <c r="C97" s="38" t="s">
        <v>99</v>
      </c>
      <c r="D97" s="38" t="s">
        <v>99</v>
      </c>
      <c r="E97" s="63" t="s">
        <v>428</v>
      </c>
      <c r="F97" s="63">
        <v>5</v>
      </c>
      <c r="G97" s="63">
        <v>19280</v>
      </c>
      <c r="H97" s="63">
        <v>96400</v>
      </c>
      <c r="I97" s="62"/>
      <c r="J97" s="63" t="s">
        <v>431</v>
      </c>
      <c r="K97" s="38"/>
      <c r="L97" s="38"/>
      <c r="M97" s="19">
        <v>44060</v>
      </c>
      <c r="N97" s="27"/>
      <c r="O97" s="53"/>
      <c r="P97" s="41"/>
      <c r="Q97" s="30"/>
    </row>
    <row r="98" spans="2:17" ht="20.100000000000001" customHeight="1" x14ac:dyDescent="0.15">
      <c r="B98" s="22"/>
      <c r="C98" s="38" t="s">
        <v>99</v>
      </c>
      <c r="D98" s="38" t="s">
        <v>99</v>
      </c>
      <c r="E98" s="63" t="s">
        <v>432</v>
      </c>
      <c r="F98" s="63">
        <v>1</v>
      </c>
      <c r="G98" s="63">
        <v>18270</v>
      </c>
      <c r="H98" s="63">
        <v>18270</v>
      </c>
      <c r="I98" s="62"/>
      <c r="J98" s="63" t="s">
        <v>431</v>
      </c>
      <c r="K98" s="38"/>
      <c r="L98" s="38"/>
      <c r="M98" s="19">
        <v>44060</v>
      </c>
      <c r="N98" s="27"/>
      <c r="O98" s="53"/>
      <c r="P98" s="41"/>
      <c r="Q98" s="30"/>
    </row>
    <row r="99" spans="2:17" ht="20.100000000000001" customHeight="1" x14ac:dyDescent="0.15">
      <c r="B99" s="22"/>
      <c r="C99" s="38" t="s">
        <v>99</v>
      </c>
      <c r="D99" s="38" t="s">
        <v>99</v>
      </c>
      <c r="E99" s="63" t="s">
        <v>46</v>
      </c>
      <c r="F99" s="63">
        <v>10</v>
      </c>
      <c r="G99" s="63">
        <v>2224</v>
      </c>
      <c r="H99" s="63">
        <v>22240</v>
      </c>
      <c r="I99" s="62"/>
      <c r="J99" s="63" t="s">
        <v>87</v>
      </c>
      <c r="K99" s="38"/>
      <c r="L99" s="63"/>
      <c r="M99" s="19">
        <v>44060</v>
      </c>
      <c r="N99" s="40"/>
      <c r="O99" s="40"/>
      <c r="P99" s="41"/>
      <c r="Q99" s="30"/>
    </row>
    <row r="100" spans="2:17" ht="20.100000000000001" customHeight="1" x14ac:dyDescent="0.15">
      <c r="B100" s="22"/>
      <c r="C100" s="38" t="s">
        <v>99</v>
      </c>
      <c r="D100" s="38" t="s">
        <v>99</v>
      </c>
      <c r="E100" s="63" t="s">
        <v>52</v>
      </c>
      <c r="F100" s="63">
        <v>4</v>
      </c>
      <c r="G100" s="63">
        <v>15781</v>
      </c>
      <c r="H100" s="63">
        <v>63124</v>
      </c>
      <c r="I100" s="62"/>
      <c r="J100" s="63" t="s">
        <v>59</v>
      </c>
      <c r="K100" s="38"/>
      <c r="L100" s="63"/>
      <c r="M100" s="19">
        <v>44060</v>
      </c>
      <c r="N100" s="40"/>
      <c r="O100" s="40"/>
      <c r="P100" s="41"/>
      <c r="Q100" s="30"/>
    </row>
    <row r="101" spans="2:17" ht="20.100000000000001" customHeight="1" x14ac:dyDescent="0.15">
      <c r="B101" s="22"/>
      <c r="C101" s="38" t="s">
        <v>99</v>
      </c>
      <c r="D101" s="38" t="s">
        <v>99</v>
      </c>
      <c r="E101" s="63" t="s">
        <v>434</v>
      </c>
      <c r="F101" s="63">
        <v>20</v>
      </c>
      <c r="G101" s="63">
        <v>920</v>
      </c>
      <c r="H101" s="63">
        <v>18400</v>
      </c>
      <c r="I101" s="62"/>
      <c r="J101" s="63" t="s">
        <v>439</v>
      </c>
      <c r="K101" s="38"/>
      <c r="L101" s="63"/>
      <c r="M101" s="19">
        <v>44060</v>
      </c>
      <c r="N101" s="40"/>
      <c r="O101" s="40"/>
      <c r="P101" s="41"/>
      <c r="Q101" s="30"/>
    </row>
    <row r="102" spans="2:17" ht="20.100000000000001" customHeight="1" x14ac:dyDescent="0.15">
      <c r="B102" s="22"/>
      <c r="C102" s="38" t="s">
        <v>99</v>
      </c>
      <c r="D102" s="38" t="s">
        <v>99</v>
      </c>
      <c r="E102" s="63" t="s">
        <v>435</v>
      </c>
      <c r="F102" s="63">
        <v>5</v>
      </c>
      <c r="G102" s="63">
        <v>1139</v>
      </c>
      <c r="H102" s="63">
        <v>5695</v>
      </c>
      <c r="I102" s="62"/>
      <c r="J102" s="63" t="s">
        <v>439</v>
      </c>
      <c r="K102" s="38"/>
      <c r="L102" s="63"/>
      <c r="M102" s="19">
        <v>44060</v>
      </c>
      <c r="N102" s="40"/>
      <c r="O102" s="40"/>
      <c r="P102" s="41"/>
      <c r="Q102" s="30"/>
    </row>
    <row r="103" spans="2:17" ht="20.100000000000001" customHeight="1" x14ac:dyDescent="0.15">
      <c r="B103" s="22"/>
      <c r="C103" s="38" t="s">
        <v>99</v>
      </c>
      <c r="D103" s="38" t="s">
        <v>99</v>
      </c>
      <c r="E103" s="63" t="s">
        <v>436</v>
      </c>
      <c r="F103" s="63">
        <v>1</v>
      </c>
      <c r="G103" s="63">
        <v>1870</v>
      </c>
      <c r="H103" s="63">
        <v>1870</v>
      </c>
      <c r="I103" s="62"/>
      <c r="J103" s="63" t="s">
        <v>441</v>
      </c>
      <c r="K103" s="38"/>
      <c r="L103" s="63"/>
      <c r="M103" s="19">
        <v>44060</v>
      </c>
      <c r="N103" s="40"/>
      <c r="O103" s="40"/>
      <c r="P103" s="41"/>
      <c r="Q103" s="30"/>
    </row>
    <row r="104" spans="2:17" ht="20.100000000000001" customHeight="1" x14ac:dyDescent="0.15">
      <c r="B104" s="22"/>
      <c r="C104" s="38" t="s">
        <v>99</v>
      </c>
      <c r="D104" s="38" t="s">
        <v>99</v>
      </c>
      <c r="E104" s="63" t="s">
        <v>288</v>
      </c>
      <c r="F104" s="63">
        <v>1</v>
      </c>
      <c r="G104" s="63">
        <v>53025</v>
      </c>
      <c r="H104" s="63">
        <v>53025</v>
      </c>
      <c r="I104" s="62"/>
      <c r="J104" s="63" t="s">
        <v>295</v>
      </c>
      <c r="K104" s="38"/>
      <c r="L104" s="63"/>
      <c r="M104" s="19">
        <v>44060</v>
      </c>
      <c r="N104" s="40"/>
      <c r="O104" s="40"/>
      <c r="P104" s="41"/>
      <c r="Q104" s="30"/>
    </row>
    <row r="105" spans="2:17" ht="20.100000000000001" customHeight="1" x14ac:dyDescent="0.15">
      <c r="B105" s="91"/>
      <c r="C105" s="94" t="s">
        <v>99</v>
      </c>
      <c r="D105" s="94" t="s">
        <v>99</v>
      </c>
      <c r="E105" s="61" t="s">
        <v>447</v>
      </c>
      <c r="F105" s="61">
        <v>12</v>
      </c>
      <c r="G105" s="61">
        <v>540</v>
      </c>
      <c r="H105" s="61">
        <f t="shared" ref="H105:H117" si="0">F105*G105</f>
        <v>6480</v>
      </c>
      <c r="I105" s="26"/>
      <c r="J105" s="61"/>
      <c r="K105" s="38"/>
      <c r="L105" s="38"/>
      <c r="M105" s="10">
        <v>44062</v>
      </c>
      <c r="N105" s="27"/>
      <c r="O105" s="53"/>
      <c r="P105" s="41"/>
      <c r="Q105" s="30"/>
    </row>
    <row r="106" spans="2:17" ht="20.100000000000001" customHeight="1" x14ac:dyDescent="0.15">
      <c r="B106" s="91"/>
      <c r="C106" s="94" t="s">
        <v>99</v>
      </c>
      <c r="D106" s="94" t="s">
        <v>99</v>
      </c>
      <c r="E106" s="61" t="s">
        <v>448</v>
      </c>
      <c r="F106" s="61">
        <v>4</v>
      </c>
      <c r="G106" s="61">
        <v>600</v>
      </c>
      <c r="H106" s="61">
        <f t="shared" si="0"/>
        <v>2400</v>
      </c>
      <c r="I106" s="26"/>
      <c r="J106" s="61"/>
      <c r="K106" s="38"/>
      <c r="L106" s="38"/>
      <c r="M106" s="10">
        <v>44062</v>
      </c>
      <c r="N106" s="27"/>
      <c r="O106" s="53"/>
      <c r="P106" s="41"/>
      <c r="Q106" s="30"/>
    </row>
    <row r="107" spans="2:17" ht="20.100000000000001" customHeight="1" x14ac:dyDescent="0.15">
      <c r="B107" s="22"/>
      <c r="C107" s="94" t="s">
        <v>99</v>
      </c>
      <c r="D107" s="94" t="s">
        <v>99</v>
      </c>
      <c r="E107" s="61" t="s">
        <v>449</v>
      </c>
      <c r="F107" s="61">
        <v>4</v>
      </c>
      <c r="G107" s="61">
        <v>980</v>
      </c>
      <c r="H107" s="61">
        <f t="shared" si="0"/>
        <v>3920</v>
      </c>
      <c r="I107" s="26"/>
      <c r="J107" s="61"/>
      <c r="K107" s="38"/>
      <c r="L107" s="38"/>
      <c r="M107" s="10">
        <v>44062</v>
      </c>
      <c r="N107" s="40"/>
      <c r="O107" s="40"/>
      <c r="P107" s="41"/>
      <c r="Q107" s="30"/>
    </row>
    <row r="108" spans="2:17" ht="20.100000000000001" customHeight="1" x14ac:dyDescent="0.15">
      <c r="B108" s="91"/>
      <c r="C108" s="94" t="s">
        <v>99</v>
      </c>
      <c r="D108" s="94" t="s">
        <v>99</v>
      </c>
      <c r="E108" s="61" t="s">
        <v>450</v>
      </c>
      <c r="F108" s="61">
        <v>4</v>
      </c>
      <c r="G108" s="61">
        <v>90</v>
      </c>
      <c r="H108" s="61">
        <f t="shared" si="0"/>
        <v>360</v>
      </c>
      <c r="I108" s="26"/>
      <c r="J108" s="61"/>
      <c r="K108" s="38"/>
      <c r="L108" s="38"/>
      <c r="M108" s="10">
        <v>44062</v>
      </c>
      <c r="N108" s="40"/>
      <c r="O108" s="40"/>
      <c r="P108" s="41"/>
      <c r="Q108" s="30"/>
    </row>
    <row r="109" spans="2:17" ht="19.5" customHeight="1" x14ac:dyDescent="0.15">
      <c r="B109" s="97"/>
      <c r="C109" s="99" t="s">
        <v>464</v>
      </c>
      <c r="D109" s="99" t="s">
        <v>465</v>
      </c>
      <c r="E109" s="103" t="s">
        <v>468</v>
      </c>
      <c r="F109" s="61">
        <v>2</v>
      </c>
      <c r="G109" s="65">
        <v>140000</v>
      </c>
      <c r="H109" s="65">
        <f t="shared" si="0"/>
        <v>280000</v>
      </c>
      <c r="I109" s="65"/>
      <c r="J109" s="61" t="s">
        <v>469</v>
      </c>
      <c r="K109" s="49"/>
      <c r="L109" s="61"/>
      <c r="M109" s="47">
        <v>44063</v>
      </c>
      <c r="N109" s="40"/>
      <c r="O109" s="100"/>
      <c r="P109" s="31"/>
      <c r="Q109" s="30"/>
    </row>
    <row r="110" spans="2:17" ht="19.5" customHeight="1" x14ac:dyDescent="0.15">
      <c r="B110" s="97"/>
      <c r="C110" s="99" t="s">
        <v>464</v>
      </c>
      <c r="D110" s="99" t="s">
        <v>465</v>
      </c>
      <c r="E110" s="104" t="s">
        <v>470</v>
      </c>
      <c r="F110" s="61">
        <v>2</v>
      </c>
      <c r="G110" s="65">
        <v>135000</v>
      </c>
      <c r="H110" s="65">
        <f t="shared" si="0"/>
        <v>270000</v>
      </c>
      <c r="I110" s="65"/>
      <c r="J110" s="61" t="s">
        <v>471</v>
      </c>
      <c r="K110" s="49"/>
      <c r="L110" s="61"/>
      <c r="M110" s="47">
        <v>44063</v>
      </c>
      <c r="N110" s="40"/>
      <c r="O110" s="100"/>
      <c r="P110" s="31"/>
      <c r="Q110" s="30"/>
    </row>
    <row r="111" spans="2:17" ht="19.5" customHeight="1" x14ac:dyDescent="0.15">
      <c r="B111" s="97"/>
      <c r="C111" s="99" t="s">
        <v>464</v>
      </c>
      <c r="D111" s="99" t="s">
        <v>465</v>
      </c>
      <c r="E111" s="104" t="s">
        <v>472</v>
      </c>
      <c r="F111" s="61">
        <v>2</v>
      </c>
      <c r="G111" s="65">
        <v>16100</v>
      </c>
      <c r="H111" s="65">
        <f t="shared" si="0"/>
        <v>32200</v>
      </c>
      <c r="I111" s="65"/>
      <c r="J111" s="61" t="s">
        <v>473</v>
      </c>
      <c r="K111" s="49"/>
      <c r="L111" s="61"/>
      <c r="M111" s="47">
        <v>44063</v>
      </c>
      <c r="N111" s="40"/>
      <c r="O111" s="100"/>
      <c r="P111" s="31"/>
      <c r="Q111" s="30"/>
    </row>
    <row r="112" spans="2:17" ht="19.5" customHeight="1" x14ac:dyDescent="0.15">
      <c r="B112" s="97"/>
      <c r="C112" s="99" t="s">
        <v>464</v>
      </c>
      <c r="D112" s="99" t="s">
        <v>465</v>
      </c>
      <c r="E112" s="104" t="s">
        <v>474</v>
      </c>
      <c r="F112" s="61">
        <v>2</v>
      </c>
      <c r="G112" s="65">
        <v>12500</v>
      </c>
      <c r="H112" s="65">
        <f t="shared" si="0"/>
        <v>25000</v>
      </c>
      <c r="I112" s="65"/>
      <c r="J112" s="61" t="s">
        <v>475</v>
      </c>
      <c r="K112" s="49"/>
      <c r="L112" s="61"/>
      <c r="M112" s="47">
        <v>44063</v>
      </c>
      <c r="N112" s="40"/>
      <c r="O112" s="100"/>
      <c r="P112" s="31"/>
      <c r="Q112" s="30"/>
    </row>
    <row r="113" spans="2:17" ht="18.75" customHeight="1" x14ac:dyDescent="0.15">
      <c r="B113" s="97"/>
      <c r="C113" s="99" t="s">
        <v>464</v>
      </c>
      <c r="D113" s="99" t="s">
        <v>465</v>
      </c>
      <c r="E113" s="61" t="s">
        <v>768</v>
      </c>
      <c r="F113" s="61">
        <v>1</v>
      </c>
      <c r="G113" s="61">
        <v>23750</v>
      </c>
      <c r="H113" s="35">
        <f t="shared" si="0"/>
        <v>23750</v>
      </c>
      <c r="I113" s="26"/>
      <c r="J113" s="61" t="s">
        <v>467</v>
      </c>
      <c r="K113" s="49"/>
      <c r="L113" s="61"/>
      <c r="M113" s="47">
        <v>44063</v>
      </c>
      <c r="N113" s="40"/>
      <c r="O113" s="31"/>
      <c r="P113" s="31"/>
      <c r="Q113" s="30"/>
    </row>
    <row r="114" spans="2:17" ht="20.100000000000001" customHeight="1" x14ac:dyDescent="0.15">
      <c r="B114" s="93"/>
      <c r="C114" s="99" t="s">
        <v>452</v>
      </c>
      <c r="D114" s="99"/>
      <c r="E114" s="103" t="s">
        <v>453</v>
      </c>
      <c r="F114" s="61">
        <v>2</v>
      </c>
      <c r="G114" s="61"/>
      <c r="H114" s="61">
        <f t="shared" si="0"/>
        <v>0</v>
      </c>
      <c r="I114" s="26"/>
      <c r="J114" s="61"/>
      <c r="K114" s="49"/>
      <c r="L114" s="61"/>
      <c r="M114" s="47">
        <v>44063</v>
      </c>
      <c r="N114" s="40"/>
      <c r="O114" s="40"/>
      <c r="P114" s="41"/>
      <c r="Q114" s="30"/>
    </row>
    <row r="115" spans="2:17" ht="20.100000000000001" customHeight="1" x14ac:dyDescent="0.15">
      <c r="B115" s="22"/>
      <c r="C115" s="99" t="s">
        <v>452</v>
      </c>
      <c r="D115" s="99"/>
      <c r="E115" s="61" t="s">
        <v>451</v>
      </c>
      <c r="F115" s="61">
        <v>2</v>
      </c>
      <c r="G115" s="61"/>
      <c r="H115" s="61">
        <f t="shared" si="0"/>
        <v>0</v>
      </c>
      <c r="I115" s="26"/>
      <c r="J115" s="61"/>
      <c r="K115" s="49"/>
      <c r="L115" s="61"/>
      <c r="M115" s="47">
        <v>44063</v>
      </c>
      <c r="N115" s="40"/>
      <c r="O115" s="40"/>
      <c r="P115" s="41"/>
      <c r="Q115" s="30"/>
    </row>
    <row r="116" spans="2:17" ht="20.100000000000001" customHeight="1" x14ac:dyDescent="0.15">
      <c r="B116" s="22"/>
      <c r="C116" s="99" t="s">
        <v>455</v>
      </c>
      <c r="D116" s="99"/>
      <c r="E116" s="61" t="s">
        <v>454</v>
      </c>
      <c r="F116" s="61">
        <v>11</v>
      </c>
      <c r="G116" s="61"/>
      <c r="H116" s="61">
        <f t="shared" si="0"/>
        <v>0</v>
      </c>
      <c r="I116" s="26"/>
      <c r="J116" s="61"/>
      <c r="K116" s="49"/>
      <c r="L116" s="61"/>
      <c r="M116" s="47">
        <v>44063</v>
      </c>
      <c r="N116" s="40"/>
      <c r="O116" s="40"/>
      <c r="P116" s="41"/>
      <c r="Q116" s="30"/>
    </row>
    <row r="117" spans="2:17" ht="20.100000000000001" customHeight="1" x14ac:dyDescent="0.15">
      <c r="B117" s="96"/>
      <c r="C117" s="99" t="s">
        <v>459</v>
      </c>
      <c r="D117" s="99" t="s">
        <v>459</v>
      </c>
      <c r="E117" s="61" t="s">
        <v>460</v>
      </c>
      <c r="F117" s="61">
        <v>8</v>
      </c>
      <c r="G117" s="61">
        <v>4344</v>
      </c>
      <c r="H117" s="61">
        <f t="shared" si="0"/>
        <v>34752</v>
      </c>
      <c r="I117" s="26"/>
      <c r="J117" s="61" t="s">
        <v>461</v>
      </c>
      <c r="K117" s="49"/>
      <c r="L117" s="61"/>
      <c r="M117" s="47">
        <v>44063</v>
      </c>
      <c r="N117" s="40"/>
      <c r="O117" s="40"/>
      <c r="P117" s="41"/>
      <c r="Q117" s="30"/>
    </row>
    <row r="118" spans="2:17" ht="20.100000000000001" customHeight="1" x14ac:dyDescent="0.15">
      <c r="B118" s="22"/>
      <c r="C118" s="99" t="s">
        <v>99</v>
      </c>
      <c r="D118" s="99" t="s">
        <v>99</v>
      </c>
      <c r="E118" s="61" t="s">
        <v>457</v>
      </c>
      <c r="F118" s="61">
        <v>16</v>
      </c>
      <c r="G118" s="61">
        <v>1299</v>
      </c>
      <c r="H118" s="61">
        <v>20784</v>
      </c>
      <c r="I118" s="26"/>
      <c r="J118" s="61" t="s">
        <v>458</v>
      </c>
      <c r="K118" s="38"/>
      <c r="L118" s="61"/>
      <c r="M118" s="47">
        <v>44063</v>
      </c>
      <c r="N118" s="40"/>
      <c r="O118" s="40"/>
      <c r="P118" s="41"/>
      <c r="Q118" s="30"/>
    </row>
    <row r="119" spans="2:17" ht="20.100000000000001" customHeight="1" x14ac:dyDescent="0.15">
      <c r="B119" s="93"/>
      <c r="C119" s="99" t="s">
        <v>99</v>
      </c>
      <c r="D119" s="99" t="s">
        <v>99</v>
      </c>
      <c r="E119" s="61" t="s">
        <v>456</v>
      </c>
      <c r="F119" s="61">
        <v>50</v>
      </c>
      <c r="G119" s="61">
        <v>64</v>
      </c>
      <c r="H119" s="61">
        <v>3200</v>
      </c>
      <c r="I119" s="26"/>
      <c r="J119" s="61" t="s">
        <v>63</v>
      </c>
      <c r="K119" s="38"/>
      <c r="L119" s="61"/>
      <c r="M119" s="47">
        <v>44063</v>
      </c>
      <c r="N119" s="40"/>
      <c r="O119" s="40"/>
      <c r="P119" s="41"/>
      <c r="Q119" s="30"/>
    </row>
    <row r="120" spans="2:17" ht="20.100000000000001" customHeight="1" x14ac:dyDescent="0.15">
      <c r="B120" s="96"/>
      <c r="C120" s="99" t="s">
        <v>99</v>
      </c>
      <c r="D120" s="99" t="s">
        <v>99</v>
      </c>
      <c r="E120" s="61" t="s">
        <v>54</v>
      </c>
      <c r="F120" s="61">
        <v>50</v>
      </c>
      <c r="G120" s="61">
        <v>71</v>
      </c>
      <c r="H120" s="61">
        <v>3550</v>
      </c>
      <c r="I120" s="26"/>
      <c r="J120" s="61" t="s">
        <v>63</v>
      </c>
      <c r="K120" s="38"/>
      <c r="L120" s="61"/>
      <c r="M120" s="47">
        <v>44063</v>
      </c>
      <c r="N120" s="40"/>
      <c r="O120" s="40"/>
      <c r="P120" s="41"/>
      <c r="Q120" s="30"/>
    </row>
    <row r="121" spans="2:17" ht="20.100000000000001" customHeight="1" x14ac:dyDescent="0.15">
      <c r="B121" s="22"/>
      <c r="C121" s="106" t="s">
        <v>99</v>
      </c>
      <c r="D121" s="106" t="s">
        <v>99</v>
      </c>
      <c r="E121" s="61" t="s">
        <v>478</v>
      </c>
      <c r="F121" s="61">
        <v>1</v>
      </c>
      <c r="G121" s="61">
        <v>6450</v>
      </c>
      <c r="H121" s="61">
        <v>6450</v>
      </c>
      <c r="I121" s="26"/>
      <c r="J121" s="61" t="s">
        <v>479</v>
      </c>
      <c r="K121" s="38"/>
      <c r="L121" s="61"/>
      <c r="M121" s="47">
        <v>44068</v>
      </c>
      <c r="N121" s="40"/>
      <c r="O121" s="40"/>
      <c r="P121" s="41"/>
      <c r="Q121" s="30"/>
    </row>
    <row r="122" spans="2:17" ht="20.100000000000001" customHeight="1" x14ac:dyDescent="0.15">
      <c r="B122" s="22"/>
      <c r="C122" s="106" t="s">
        <v>99</v>
      </c>
      <c r="D122" s="106" t="s">
        <v>99</v>
      </c>
      <c r="E122" s="61" t="s">
        <v>476</v>
      </c>
      <c r="F122" s="61">
        <v>1</v>
      </c>
      <c r="G122" s="61">
        <v>2340</v>
      </c>
      <c r="H122" s="61">
        <v>2340</v>
      </c>
      <c r="I122" s="26"/>
      <c r="J122" s="61" t="s">
        <v>477</v>
      </c>
      <c r="K122" s="38"/>
      <c r="L122" s="61"/>
      <c r="M122" s="47">
        <v>44068</v>
      </c>
      <c r="N122" s="40"/>
      <c r="O122" s="40"/>
      <c r="P122" s="41"/>
      <c r="Q122" s="30"/>
    </row>
    <row r="123" spans="2:17" ht="20.100000000000001" customHeight="1" x14ac:dyDescent="0.15">
      <c r="B123" s="22"/>
      <c r="C123" s="106" t="s">
        <v>99</v>
      </c>
      <c r="D123" s="106" t="s">
        <v>99</v>
      </c>
      <c r="E123" s="61" t="s">
        <v>480</v>
      </c>
      <c r="F123" s="61">
        <v>1</v>
      </c>
      <c r="G123" s="61">
        <v>1950</v>
      </c>
      <c r="H123" s="61">
        <v>1950</v>
      </c>
      <c r="I123" s="26"/>
      <c r="J123" s="61" t="s">
        <v>488</v>
      </c>
      <c r="K123" s="38"/>
      <c r="L123" s="61"/>
      <c r="M123" s="47">
        <v>44068</v>
      </c>
      <c r="N123" s="40"/>
      <c r="O123" s="40"/>
      <c r="P123" s="41"/>
      <c r="Q123" s="30"/>
    </row>
    <row r="124" spans="2:17" ht="20.100000000000001" customHeight="1" x14ac:dyDescent="0.15">
      <c r="B124" s="22"/>
      <c r="C124" s="106" t="s">
        <v>99</v>
      </c>
      <c r="D124" s="106" t="s">
        <v>99</v>
      </c>
      <c r="E124" s="61" t="s">
        <v>481</v>
      </c>
      <c r="F124" s="61">
        <v>1</v>
      </c>
      <c r="G124" s="61">
        <v>990</v>
      </c>
      <c r="H124" s="61">
        <v>990</v>
      </c>
      <c r="I124" s="26"/>
      <c r="J124" s="61" t="s">
        <v>43</v>
      </c>
      <c r="K124" s="38"/>
      <c r="L124" s="61"/>
      <c r="M124" s="47">
        <v>44068</v>
      </c>
      <c r="N124" s="40"/>
      <c r="O124" s="40"/>
      <c r="P124" s="41"/>
      <c r="Q124" s="30"/>
    </row>
    <row r="125" spans="2:17" ht="20.100000000000001" customHeight="1" x14ac:dyDescent="0.15">
      <c r="B125" s="22"/>
      <c r="C125" s="106" t="s">
        <v>99</v>
      </c>
      <c r="D125" s="106" t="s">
        <v>99</v>
      </c>
      <c r="E125" s="61" t="s">
        <v>485</v>
      </c>
      <c r="F125" s="61">
        <v>12</v>
      </c>
      <c r="G125" s="61">
        <v>1235</v>
      </c>
      <c r="H125" s="61">
        <v>14820</v>
      </c>
      <c r="I125" s="26"/>
      <c r="J125" s="61" t="s">
        <v>489</v>
      </c>
      <c r="K125" s="38"/>
      <c r="L125" s="61"/>
      <c r="M125" s="47">
        <v>44068</v>
      </c>
      <c r="N125" s="40"/>
      <c r="O125" s="40"/>
      <c r="P125" s="41"/>
      <c r="Q125" s="30"/>
    </row>
    <row r="126" spans="2:17" ht="20.100000000000001" customHeight="1" x14ac:dyDescent="0.15">
      <c r="B126" s="22"/>
      <c r="C126" s="106" t="s">
        <v>99</v>
      </c>
      <c r="D126" s="106" t="s">
        <v>99</v>
      </c>
      <c r="E126" s="61" t="s">
        <v>29</v>
      </c>
      <c r="F126" s="61">
        <v>1</v>
      </c>
      <c r="G126" s="61">
        <v>240</v>
      </c>
      <c r="H126" s="61">
        <v>240</v>
      </c>
      <c r="I126" s="26"/>
      <c r="J126" s="61" t="s">
        <v>42</v>
      </c>
      <c r="K126" s="38"/>
      <c r="L126" s="61"/>
      <c r="M126" s="47">
        <v>44068</v>
      </c>
      <c r="N126" s="40"/>
      <c r="O126" s="40"/>
      <c r="P126" s="41"/>
      <c r="Q126" s="30"/>
    </row>
    <row r="127" spans="2:17" ht="20.100000000000001" customHeight="1" x14ac:dyDescent="0.15">
      <c r="B127" s="22"/>
      <c r="C127" s="106" t="s">
        <v>99</v>
      </c>
      <c r="D127" s="106" t="s">
        <v>99</v>
      </c>
      <c r="E127" s="61" t="s">
        <v>486</v>
      </c>
      <c r="F127" s="61">
        <v>4</v>
      </c>
      <c r="G127" s="61">
        <v>6320</v>
      </c>
      <c r="H127" s="61">
        <v>25280</v>
      </c>
      <c r="I127" s="26"/>
      <c r="J127" s="61" t="s">
        <v>226</v>
      </c>
      <c r="K127" s="38"/>
      <c r="L127" s="61"/>
      <c r="M127" s="47">
        <v>44068</v>
      </c>
      <c r="N127" s="40"/>
      <c r="O127" s="40"/>
      <c r="P127" s="41"/>
      <c r="Q127" s="30"/>
    </row>
    <row r="128" spans="2:17" ht="20.100000000000001" customHeight="1" x14ac:dyDescent="0.15">
      <c r="B128" s="22"/>
      <c r="C128" s="106" t="s">
        <v>99</v>
      </c>
      <c r="D128" s="106" t="s">
        <v>99</v>
      </c>
      <c r="E128" s="61" t="s">
        <v>355</v>
      </c>
      <c r="F128" s="61">
        <v>4</v>
      </c>
      <c r="G128" s="61">
        <v>470</v>
      </c>
      <c r="H128" s="61">
        <v>1880</v>
      </c>
      <c r="I128" s="26"/>
      <c r="J128" s="61" t="s">
        <v>271</v>
      </c>
      <c r="K128" s="38"/>
      <c r="L128" s="61"/>
      <c r="M128" s="47">
        <v>44068</v>
      </c>
      <c r="N128" s="40"/>
      <c r="O128" s="40"/>
      <c r="P128" s="41"/>
      <c r="Q128" s="30"/>
    </row>
    <row r="129" spans="2:17" ht="20.100000000000001" customHeight="1" x14ac:dyDescent="0.15">
      <c r="B129" s="22"/>
      <c r="C129" s="106" t="s">
        <v>99</v>
      </c>
      <c r="D129" s="106" t="s">
        <v>99</v>
      </c>
      <c r="E129" s="61" t="s">
        <v>487</v>
      </c>
      <c r="F129" s="61">
        <v>16</v>
      </c>
      <c r="G129" s="61">
        <v>385</v>
      </c>
      <c r="H129" s="61">
        <v>6160</v>
      </c>
      <c r="I129" s="26"/>
      <c r="J129" s="61" t="s">
        <v>271</v>
      </c>
      <c r="K129" s="38"/>
      <c r="L129" s="61"/>
      <c r="M129" s="47">
        <v>44068</v>
      </c>
      <c r="N129" s="40"/>
      <c r="O129" s="40"/>
      <c r="P129" s="41"/>
      <c r="Q129" s="30"/>
    </row>
    <row r="130" spans="2:17" ht="20.100000000000001" customHeight="1" x14ac:dyDescent="0.15">
      <c r="B130" s="105"/>
      <c r="C130" s="132" t="s">
        <v>99</v>
      </c>
      <c r="D130" s="132" t="s">
        <v>99</v>
      </c>
      <c r="E130" s="61" t="s">
        <v>496</v>
      </c>
      <c r="F130" s="61">
        <v>1</v>
      </c>
      <c r="G130" s="61">
        <v>5989</v>
      </c>
      <c r="H130" s="61">
        <v>5989</v>
      </c>
      <c r="I130" s="26"/>
      <c r="J130" s="61" t="s">
        <v>497</v>
      </c>
      <c r="K130" s="38"/>
      <c r="L130" s="61"/>
      <c r="M130" s="47">
        <v>44070</v>
      </c>
      <c r="N130" s="40"/>
      <c r="O130" s="40"/>
      <c r="P130" s="41"/>
      <c r="Q130" s="30"/>
    </row>
    <row r="131" spans="2:17" ht="20.100000000000001" customHeight="1" x14ac:dyDescent="0.15">
      <c r="B131" s="105"/>
      <c r="C131" s="132" t="s">
        <v>99</v>
      </c>
      <c r="D131" s="132" t="s">
        <v>99</v>
      </c>
      <c r="E131" s="61" t="s">
        <v>409</v>
      </c>
      <c r="F131" s="61">
        <v>5</v>
      </c>
      <c r="G131" s="61">
        <v>3747</v>
      </c>
      <c r="H131" s="61">
        <v>18735</v>
      </c>
      <c r="I131" s="26"/>
      <c r="J131" s="61" t="s">
        <v>415</v>
      </c>
      <c r="K131" s="38"/>
      <c r="L131" s="61"/>
      <c r="M131" s="47">
        <v>44070</v>
      </c>
      <c r="N131" s="40"/>
      <c r="O131" s="40"/>
      <c r="P131" s="41"/>
      <c r="Q131" s="30"/>
    </row>
    <row r="132" spans="2:17" ht="20.100000000000001" customHeight="1" x14ac:dyDescent="0.15">
      <c r="B132" s="105"/>
      <c r="C132" s="132" t="s">
        <v>99</v>
      </c>
      <c r="D132" s="132" t="s">
        <v>99</v>
      </c>
      <c r="E132" s="61" t="s">
        <v>410</v>
      </c>
      <c r="F132" s="61">
        <v>9</v>
      </c>
      <c r="G132" s="61">
        <v>2989</v>
      </c>
      <c r="H132" s="61">
        <v>26901</v>
      </c>
      <c r="I132" s="26"/>
      <c r="J132" s="61" t="s">
        <v>415</v>
      </c>
      <c r="K132" s="38"/>
      <c r="L132" s="61"/>
      <c r="M132" s="47">
        <v>44070</v>
      </c>
      <c r="N132" s="40"/>
      <c r="O132" s="40"/>
      <c r="P132" s="41"/>
      <c r="Q132" s="30"/>
    </row>
    <row r="133" spans="2:17" ht="20.100000000000001" customHeight="1" x14ac:dyDescent="0.15">
      <c r="B133" s="105"/>
      <c r="C133" s="132" t="s">
        <v>99</v>
      </c>
      <c r="D133" s="132" t="s">
        <v>99</v>
      </c>
      <c r="E133" s="61" t="s">
        <v>402</v>
      </c>
      <c r="F133" s="61">
        <v>5</v>
      </c>
      <c r="G133" s="61">
        <v>6503</v>
      </c>
      <c r="H133" s="61">
        <v>32515</v>
      </c>
      <c r="I133" s="26"/>
      <c r="J133" s="61" t="s">
        <v>416</v>
      </c>
      <c r="K133" s="38"/>
      <c r="L133" s="61"/>
      <c r="M133" s="47">
        <v>44070</v>
      </c>
      <c r="N133" s="40"/>
      <c r="O133" s="40"/>
      <c r="P133" s="41"/>
      <c r="Q133" s="30"/>
    </row>
    <row r="134" spans="2:17" ht="20.100000000000001" customHeight="1" x14ac:dyDescent="0.15">
      <c r="B134" s="105"/>
      <c r="C134" s="132" t="s">
        <v>99</v>
      </c>
      <c r="D134" s="132" t="s">
        <v>99</v>
      </c>
      <c r="E134" s="61" t="s">
        <v>411</v>
      </c>
      <c r="F134" s="61">
        <v>5</v>
      </c>
      <c r="G134" s="61">
        <v>1739</v>
      </c>
      <c r="H134" s="61">
        <v>8695</v>
      </c>
      <c r="I134" s="26"/>
      <c r="J134" s="61" t="s">
        <v>417</v>
      </c>
      <c r="K134" s="38"/>
      <c r="L134" s="61"/>
      <c r="M134" s="47">
        <v>44070</v>
      </c>
      <c r="N134" s="40"/>
      <c r="O134" s="40"/>
      <c r="P134" s="41"/>
      <c r="Q134" s="30"/>
    </row>
    <row r="135" spans="2:17" ht="20.100000000000001" customHeight="1" x14ac:dyDescent="0.15">
      <c r="B135" s="105"/>
      <c r="C135" s="132" t="s">
        <v>99</v>
      </c>
      <c r="D135" s="132" t="s">
        <v>99</v>
      </c>
      <c r="E135" s="61" t="s">
        <v>406</v>
      </c>
      <c r="F135" s="61">
        <v>4</v>
      </c>
      <c r="G135" s="61">
        <v>458</v>
      </c>
      <c r="H135" s="61">
        <v>1832</v>
      </c>
      <c r="I135" s="26"/>
      <c r="J135" s="61" t="s">
        <v>420</v>
      </c>
      <c r="K135" s="38"/>
      <c r="L135" s="132"/>
      <c r="M135" s="47">
        <v>44070</v>
      </c>
      <c r="N135" s="40"/>
      <c r="O135" s="105"/>
      <c r="P135" s="41"/>
      <c r="Q135" s="30"/>
    </row>
    <row r="136" spans="2:17" ht="20.100000000000001" customHeight="1" x14ac:dyDescent="0.15">
      <c r="B136" s="105"/>
      <c r="C136" s="132" t="s">
        <v>99</v>
      </c>
      <c r="D136" s="132" t="s">
        <v>99</v>
      </c>
      <c r="E136" s="61" t="s">
        <v>407</v>
      </c>
      <c r="F136" s="61">
        <v>5</v>
      </c>
      <c r="G136" s="61">
        <v>428</v>
      </c>
      <c r="H136" s="61">
        <v>2140</v>
      </c>
      <c r="I136" s="26"/>
      <c r="J136" s="61" t="s">
        <v>421</v>
      </c>
      <c r="K136" s="38"/>
      <c r="L136" s="132"/>
      <c r="M136" s="47">
        <v>44070</v>
      </c>
      <c r="N136" s="40"/>
      <c r="O136" s="105"/>
      <c r="P136" s="41"/>
      <c r="Q136" s="30"/>
    </row>
    <row r="137" spans="2:17" ht="20.100000000000001" customHeight="1" x14ac:dyDescent="0.15">
      <c r="B137" s="105"/>
      <c r="C137" s="132" t="s">
        <v>99</v>
      </c>
      <c r="D137" s="132" t="s">
        <v>99</v>
      </c>
      <c r="E137" s="61" t="s">
        <v>412</v>
      </c>
      <c r="F137" s="61">
        <v>1</v>
      </c>
      <c r="G137" s="61">
        <v>1689</v>
      </c>
      <c r="H137" s="61">
        <v>1689</v>
      </c>
      <c r="I137" s="26"/>
      <c r="J137" s="61" t="s">
        <v>420</v>
      </c>
      <c r="K137" s="38"/>
      <c r="L137" s="132"/>
      <c r="M137" s="47">
        <v>44070</v>
      </c>
      <c r="N137" s="40"/>
      <c r="O137" s="105"/>
      <c r="P137" s="41"/>
      <c r="Q137" s="30"/>
    </row>
    <row r="138" spans="2:17" ht="20.100000000000001" customHeight="1" x14ac:dyDescent="0.15">
      <c r="B138" s="105"/>
      <c r="C138" s="132" t="s">
        <v>99</v>
      </c>
      <c r="D138" s="132" t="s">
        <v>99</v>
      </c>
      <c r="E138" s="61" t="s">
        <v>413</v>
      </c>
      <c r="F138" s="61">
        <v>1</v>
      </c>
      <c r="G138" s="61">
        <v>508</v>
      </c>
      <c r="H138" s="61">
        <v>508</v>
      </c>
      <c r="I138" s="26"/>
      <c r="J138" s="61" t="s">
        <v>421</v>
      </c>
      <c r="K138" s="38"/>
      <c r="L138" s="132"/>
      <c r="M138" s="47">
        <v>44070</v>
      </c>
      <c r="N138" s="40"/>
      <c r="O138" s="105"/>
      <c r="P138" s="41"/>
      <c r="Q138" s="30"/>
    </row>
    <row r="139" spans="2:17" ht="20.100000000000001" customHeight="1" x14ac:dyDescent="0.15">
      <c r="B139" s="105"/>
      <c r="C139" s="132" t="s">
        <v>99</v>
      </c>
      <c r="D139" s="132" t="s">
        <v>99</v>
      </c>
      <c r="E139" s="61" t="s">
        <v>426</v>
      </c>
      <c r="F139" s="61">
        <v>1</v>
      </c>
      <c r="G139" s="61">
        <v>1389</v>
      </c>
      <c r="H139" s="61">
        <v>1389</v>
      </c>
      <c r="I139" s="26"/>
      <c r="J139" s="61" t="s">
        <v>420</v>
      </c>
      <c r="K139" s="38"/>
      <c r="L139" s="132"/>
      <c r="M139" s="47">
        <v>44070</v>
      </c>
      <c r="N139" s="40"/>
      <c r="O139" s="105"/>
      <c r="P139" s="41"/>
      <c r="Q139" s="30"/>
    </row>
    <row r="140" spans="2:17" ht="19.5" customHeight="1" x14ac:dyDescent="0.15">
      <c r="B140" s="105"/>
      <c r="C140" s="132" t="s">
        <v>99</v>
      </c>
      <c r="D140" s="132" t="s">
        <v>99</v>
      </c>
      <c r="E140" s="61" t="s">
        <v>427</v>
      </c>
      <c r="F140" s="61">
        <v>4</v>
      </c>
      <c r="G140" s="61">
        <v>2989</v>
      </c>
      <c r="H140" s="61">
        <v>11956</v>
      </c>
      <c r="I140" s="26"/>
      <c r="J140" s="61" t="s">
        <v>420</v>
      </c>
      <c r="K140" s="38"/>
      <c r="L140" s="132"/>
      <c r="M140" s="47">
        <v>44070</v>
      </c>
      <c r="N140" s="40"/>
      <c r="O140" s="105"/>
      <c r="P140" s="41"/>
      <c r="Q140" s="30"/>
    </row>
    <row r="141" spans="2:17" ht="19.5" customHeight="1" x14ac:dyDescent="0.15">
      <c r="B141" s="105"/>
      <c r="C141" s="132" t="s">
        <v>99</v>
      </c>
      <c r="D141" s="132" t="s">
        <v>99</v>
      </c>
      <c r="E141" s="61" t="s">
        <v>501</v>
      </c>
      <c r="F141" s="61">
        <v>1</v>
      </c>
      <c r="G141" s="61">
        <v>4820</v>
      </c>
      <c r="H141" s="61">
        <v>4820</v>
      </c>
      <c r="I141" s="26"/>
      <c r="J141" s="87" t="s">
        <v>298</v>
      </c>
      <c r="K141" s="38"/>
      <c r="L141" s="132"/>
      <c r="M141" s="47">
        <v>44070</v>
      </c>
      <c r="N141" s="40"/>
      <c r="O141" s="105"/>
      <c r="P141" s="41"/>
      <c r="Q141" s="30"/>
    </row>
    <row r="142" spans="2:17" ht="19.5" customHeight="1" x14ac:dyDescent="0.15">
      <c r="B142" s="105"/>
      <c r="C142" s="132" t="s">
        <v>99</v>
      </c>
      <c r="D142" s="132" t="s">
        <v>99</v>
      </c>
      <c r="E142" s="61" t="s">
        <v>502</v>
      </c>
      <c r="F142" s="61">
        <v>1</v>
      </c>
      <c r="G142" s="61">
        <v>4570</v>
      </c>
      <c r="H142" s="61">
        <v>4570</v>
      </c>
      <c r="I142" s="26"/>
      <c r="J142" s="87" t="s">
        <v>299</v>
      </c>
      <c r="K142" s="38"/>
      <c r="L142" s="132"/>
      <c r="M142" s="47">
        <v>44070</v>
      </c>
      <c r="N142" s="40"/>
      <c r="O142" s="105"/>
      <c r="P142" s="41"/>
      <c r="Q142" s="30"/>
    </row>
    <row r="143" spans="2:17" ht="19.5" customHeight="1" x14ac:dyDescent="0.15">
      <c r="B143" s="105"/>
      <c r="C143" s="132" t="s">
        <v>99</v>
      </c>
      <c r="D143" s="132" t="s">
        <v>99</v>
      </c>
      <c r="E143" s="61" t="s">
        <v>503</v>
      </c>
      <c r="F143" s="61">
        <v>1</v>
      </c>
      <c r="G143" s="61">
        <v>4620</v>
      </c>
      <c r="H143" s="61">
        <v>4620</v>
      </c>
      <c r="I143" s="26"/>
      <c r="J143" s="87" t="s">
        <v>300</v>
      </c>
      <c r="K143" s="38"/>
      <c r="L143" s="132"/>
      <c r="M143" s="47">
        <v>44070</v>
      </c>
      <c r="N143" s="40"/>
      <c r="O143" s="105"/>
      <c r="P143" s="41"/>
      <c r="Q143" s="30"/>
    </row>
    <row r="144" spans="2:17" ht="19.5" customHeight="1" x14ac:dyDescent="0.15">
      <c r="B144" s="105"/>
      <c r="C144" s="132" t="s">
        <v>99</v>
      </c>
      <c r="D144" s="132" t="s">
        <v>99</v>
      </c>
      <c r="E144" s="61" t="s">
        <v>504</v>
      </c>
      <c r="F144" s="61">
        <v>1</v>
      </c>
      <c r="G144" s="61">
        <v>4290</v>
      </c>
      <c r="H144" s="61">
        <v>4290</v>
      </c>
      <c r="I144" s="26"/>
      <c r="J144" s="87" t="s">
        <v>301</v>
      </c>
      <c r="K144" s="38"/>
      <c r="L144" s="132"/>
      <c r="M144" s="47">
        <v>44070</v>
      </c>
      <c r="N144" s="40"/>
      <c r="O144" s="105"/>
      <c r="P144" s="41"/>
      <c r="Q144" s="30"/>
    </row>
    <row r="145" spans="2:17" ht="20.100000000000001" customHeight="1" x14ac:dyDescent="0.15">
      <c r="B145" s="105"/>
      <c r="C145" s="132" t="s">
        <v>495</v>
      </c>
      <c r="D145" s="132"/>
      <c r="E145" s="87" t="s">
        <v>490</v>
      </c>
      <c r="F145" s="61">
        <v>10</v>
      </c>
      <c r="G145" s="61"/>
      <c r="H145" s="61"/>
      <c r="I145" s="26"/>
      <c r="J145" s="87" t="s">
        <v>492</v>
      </c>
      <c r="K145" s="49"/>
      <c r="L145" s="61"/>
      <c r="M145" s="47">
        <v>44070</v>
      </c>
      <c r="N145" s="40"/>
      <c r="O145" s="40"/>
      <c r="P145" s="41"/>
      <c r="Q145" s="30"/>
    </row>
    <row r="146" spans="2:17" ht="20.100000000000001" customHeight="1" x14ac:dyDescent="0.15">
      <c r="B146" s="105"/>
      <c r="C146" s="132" t="s">
        <v>495</v>
      </c>
      <c r="D146" s="132"/>
      <c r="E146" s="87" t="s">
        <v>491</v>
      </c>
      <c r="F146" s="61">
        <v>10</v>
      </c>
      <c r="G146" s="61"/>
      <c r="H146" s="61"/>
      <c r="I146" s="26"/>
      <c r="J146" s="87" t="s">
        <v>493</v>
      </c>
      <c r="K146" s="49"/>
      <c r="L146" s="61"/>
      <c r="M146" s="47">
        <v>44070</v>
      </c>
      <c r="N146" s="40"/>
      <c r="O146" s="40"/>
      <c r="P146" s="41"/>
      <c r="Q146" s="30"/>
    </row>
    <row r="147" spans="2:17" ht="20.100000000000001" customHeight="1" x14ac:dyDescent="0.15">
      <c r="B147" s="105"/>
      <c r="C147" s="132" t="s">
        <v>498</v>
      </c>
      <c r="D147" s="132"/>
      <c r="E147" s="61" t="s">
        <v>424</v>
      </c>
      <c r="F147" s="61">
        <v>5</v>
      </c>
      <c r="G147" s="61"/>
      <c r="H147" s="61"/>
      <c r="I147" s="26"/>
      <c r="J147" s="61" t="s">
        <v>429</v>
      </c>
      <c r="K147" s="49"/>
      <c r="L147" s="61"/>
      <c r="M147" s="47">
        <v>44070</v>
      </c>
      <c r="N147" s="40"/>
      <c r="O147" s="40"/>
      <c r="P147" s="41"/>
      <c r="Q147" s="30"/>
    </row>
    <row r="148" spans="2:17" ht="20.100000000000001" customHeight="1" x14ac:dyDescent="0.15">
      <c r="B148" s="131"/>
      <c r="C148" s="132" t="s">
        <v>99</v>
      </c>
      <c r="D148" s="132" t="s">
        <v>99</v>
      </c>
      <c r="E148" s="61" t="s">
        <v>508</v>
      </c>
      <c r="F148" s="61">
        <v>1</v>
      </c>
      <c r="G148" s="61">
        <v>3510</v>
      </c>
      <c r="H148" s="61">
        <v>3510</v>
      </c>
      <c r="I148" s="26"/>
      <c r="J148" s="61" t="s">
        <v>352</v>
      </c>
      <c r="K148" s="49"/>
      <c r="L148" s="61"/>
      <c r="M148" s="47">
        <v>44074</v>
      </c>
      <c r="N148" s="61"/>
      <c r="O148" s="40"/>
      <c r="P148" s="41"/>
      <c r="Q148" s="30"/>
    </row>
    <row r="149" spans="2:17" ht="20.100000000000001" customHeight="1" x14ac:dyDescent="0.15">
      <c r="B149" s="131"/>
      <c r="C149" s="132" t="s">
        <v>99</v>
      </c>
      <c r="D149" s="132" t="s">
        <v>99</v>
      </c>
      <c r="E149" s="61" t="s">
        <v>509</v>
      </c>
      <c r="F149" s="61">
        <v>5</v>
      </c>
      <c r="G149" s="61">
        <v>3020</v>
      </c>
      <c r="H149" s="61">
        <v>15100</v>
      </c>
      <c r="I149" s="26"/>
      <c r="J149" s="61" t="s">
        <v>507</v>
      </c>
      <c r="K149" s="49"/>
      <c r="L149" s="61"/>
      <c r="M149" s="47">
        <v>44074</v>
      </c>
      <c r="N149" s="61"/>
      <c r="O149" s="40"/>
      <c r="P149" s="41"/>
      <c r="Q149" s="30"/>
    </row>
    <row r="150" spans="2:17" ht="20.100000000000001" customHeight="1" x14ac:dyDescent="0.15">
      <c r="B150" s="131"/>
      <c r="C150" s="132" t="s">
        <v>99</v>
      </c>
      <c r="D150" s="132" t="s">
        <v>99</v>
      </c>
      <c r="E150" s="61" t="s">
        <v>505</v>
      </c>
      <c r="F150" s="61">
        <v>4</v>
      </c>
      <c r="G150" s="61">
        <v>4416</v>
      </c>
      <c r="H150" s="61">
        <v>17664</v>
      </c>
      <c r="I150" s="26"/>
      <c r="J150" s="61" t="s">
        <v>506</v>
      </c>
      <c r="K150" s="49"/>
      <c r="L150" s="61"/>
      <c r="M150" s="47">
        <v>44074</v>
      </c>
      <c r="N150" s="61"/>
      <c r="O150" s="40"/>
      <c r="P150" s="41"/>
      <c r="Q150" s="30"/>
    </row>
    <row r="151" spans="2:17" ht="20.100000000000001" customHeight="1" x14ac:dyDescent="0.15">
      <c r="B151" s="131"/>
      <c r="C151" s="132" t="s">
        <v>99</v>
      </c>
      <c r="D151" s="132" t="s">
        <v>99</v>
      </c>
      <c r="E151" s="61" t="s">
        <v>510</v>
      </c>
      <c r="F151" s="61">
        <v>16</v>
      </c>
      <c r="G151" s="61">
        <v>644</v>
      </c>
      <c r="H151" s="61">
        <v>10304</v>
      </c>
      <c r="I151" s="26"/>
      <c r="J151" s="89" t="s">
        <v>228</v>
      </c>
      <c r="K151" s="49"/>
      <c r="L151" s="61"/>
      <c r="M151" s="47">
        <v>44074</v>
      </c>
      <c r="N151" s="61"/>
      <c r="O151" s="40"/>
      <c r="P151" s="41"/>
      <c r="Q151" s="30"/>
    </row>
    <row r="152" spans="2:17" s="89" customFormat="1" ht="20.100000000000001" customHeight="1" x14ac:dyDescent="0.15">
      <c r="B152" s="132"/>
      <c r="C152" s="132" t="s">
        <v>578</v>
      </c>
      <c r="D152" s="132"/>
      <c r="E152" s="61" t="s">
        <v>579</v>
      </c>
      <c r="F152" s="61">
        <v>2</v>
      </c>
      <c r="G152" s="61"/>
      <c r="H152" s="61"/>
      <c r="I152" s="26"/>
      <c r="J152" s="61" t="s">
        <v>581</v>
      </c>
      <c r="K152" s="38"/>
      <c r="L152" s="61"/>
      <c r="M152" s="47">
        <v>44075</v>
      </c>
      <c r="N152" s="61"/>
      <c r="O152" s="61"/>
      <c r="P152" s="95"/>
      <c r="Q152" s="12"/>
    </row>
    <row r="153" spans="2:17" s="89" customFormat="1" ht="20.100000000000001" customHeight="1" x14ac:dyDescent="0.15">
      <c r="B153" s="132"/>
      <c r="C153" s="132" t="s">
        <v>578</v>
      </c>
      <c r="D153" s="132"/>
      <c r="E153" s="61" t="s">
        <v>580</v>
      </c>
      <c r="F153" s="61">
        <v>2</v>
      </c>
      <c r="G153" s="61"/>
      <c r="H153" s="61"/>
      <c r="I153" s="26"/>
      <c r="J153" s="61" t="s">
        <v>581</v>
      </c>
      <c r="K153" s="38"/>
      <c r="L153" s="132"/>
      <c r="M153" s="47">
        <v>44075</v>
      </c>
      <c r="N153" s="61"/>
      <c r="O153" s="132"/>
      <c r="P153" s="95"/>
      <c r="Q153" s="12"/>
    </row>
    <row r="154" spans="2:17" s="89" customFormat="1" ht="20.100000000000001" customHeight="1" x14ac:dyDescent="0.15">
      <c r="B154" s="132"/>
      <c r="C154" s="132" t="s">
        <v>99</v>
      </c>
      <c r="D154" s="132" t="s">
        <v>99</v>
      </c>
      <c r="E154" s="61" t="s">
        <v>749</v>
      </c>
      <c r="F154" s="61">
        <v>10</v>
      </c>
      <c r="G154" s="61">
        <v>1008</v>
      </c>
      <c r="H154" s="61">
        <v>10080</v>
      </c>
      <c r="I154" s="26"/>
      <c r="J154" s="61" t="s">
        <v>587</v>
      </c>
      <c r="K154" s="38"/>
      <c r="L154" s="132"/>
      <c r="M154" s="47">
        <v>44075</v>
      </c>
      <c r="N154" s="61"/>
      <c r="O154" s="132"/>
      <c r="P154" s="95"/>
      <c r="Q154" s="12"/>
    </row>
    <row r="155" spans="2:17" s="89" customFormat="1" ht="20.100000000000001" customHeight="1" x14ac:dyDescent="0.15">
      <c r="B155" s="132"/>
      <c r="C155" s="132" t="s">
        <v>99</v>
      </c>
      <c r="D155" s="132" t="s">
        <v>99</v>
      </c>
      <c r="E155" s="61" t="s">
        <v>586</v>
      </c>
      <c r="F155" s="61">
        <v>10</v>
      </c>
      <c r="G155" s="61">
        <v>985</v>
      </c>
      <c r="H155" s="61">
        <v>9850</v>
      </c>
      <c r="I155" s="26"/>
      <c r="J155" s="61" t="s">
        <v>587</v>
      </c>
      <c r="K155" s="38"/>
      <c r="L155" s="132"/>
      <c r="M155" s="47">
        <v>44075</v>
      </c>
      <c r="N155" s="61"/>
      <c r="O155" s="132"/>
      <c r="P155" s="95"/>
      <c r="Q155" s="12"/>
    </row>
    <row r="156" spans="2:17" s="89" customFormat="1" ht="20.100000000000001" customHeight="1" x14ac:dyDescent="0.15">
      <c r="B156" s="132"/>
      <c r="C156" s="132" t="s">
        <v>99</v>
      </c>
      <c r="D156" s="132" t="s">
        <v>99</v>
      </c>
      <c r="E156" s="61" t="s">
        <v>750</v>
      </c>
      <c r="F156" s="61">
        <v>40</v>
      </c>
      <c r="G156" s="61">
        <v>1470</v>
      </c>
      <c r="H156" s="61">
        <v>58800</v>
      </c>
      <c r="I156" s="26"/>
      <c r="J156" s="61" t="s">
        <v>588</v>
      </c>
      <c r="K156" s="38"/>
      <c r="L156" s="132"/>
      <c r="M156" s="47">
        <v>44075</v>
      </c>
      <c r="N156" s="61"/>
      <c r="O156" s="132"/>
      <c r="P156" s="95"/>
      <c r="Q156" s="12"/>
    </row>
    <row r="157" spans="2:17" s="89" customFormat="1" ht="20.100000000000001" customHeight="1" x14ac:dyDescent="0.15">
      <c r="B157" s="132"/>
      <c r="C157" s="132" t="s">
        <v>99</v>
      </c>
      <c r="D157" s="132" t="s">
        <v>99</v>
      </c>
      <c r="E157" s="61" t="s">
        <v>583</v>
      </c>
      <c r="F157" s="61">
        <v>4</v>
      </c>
      <c r="G157" s="61">
        <v>391</v>
      </c>
      <c r="H157" s="61">
        <v>1564</v>
      </c>
      <c r="I157" s="26"/>
      <c r="J157" s="61" t="s">
        <v>589</v>
      </c>
      <c r="K157" s="38"/>
      <c r="L157" s="132"/>
      <c r="M157" s="47">
        <v>44075</v>
      </c>
      <c r="N157" s="61"/>
      <c r="O157" s="132"/>
      <c r="P157" s="95"/>
      <c r="Q157" s="12"/>
    </row>
    <row r="158" spans="2:17" s="89" customFormat="1" ht="19.5" customHeight="1" x14ac:dyDescent="0.15">
      <c r="B158" s="132"/>
      <c r="C158" s="132" t="s">
        <v>99</v>
      </c>
      <c r="D158" s="132" t="s">
        <v>99</v>
      </c>
      <c r="E158" s="61" t="s">
        <v>584</v>
      </c>
      <c r="F158" s="61">
        <v>2</v>
      </c>
      <c r="G158" s="61">
        <v>200</v>
      </c>
      <c r="H158" s="61">
        <v>400</v>
      </c>
      <c r="I158" s="26"/>
      <c r="J158" s="61" t="s">
        <v>589</v>
      </c>
      <c r="K158" s="38"/>
      <c r="L158" s="132"/>
      <c r="M158" s="47">
        <v>44075</v>
      </c>
      <c r="N158" s="61"/>
      <c r="O158" s="132"/>
      <c r="P158" s="95"/>
      <c r="Q158" s="12"/>
    </row>
    <row r="159" spans="2:17" s="89" customFormat="1" ht="19.5" customHeight="1" x14ac:dyDescent="0.15">
      <c r="B159" s="132"/>
      <c r="C159" s="132" t="s">
        <v>99</v>
      </c>
      <c r="D159" s="132" t="s">
        <v>99</v>
      </c>
      <c r="E159" s="61" t="s">
        <v>582</v>
      </c>
      <c r="F159" s="61">
        <v>40</v>
      </c>
      <c r="G159" s="61">
        <v>250</v>
      </c>
      <c r="H159" s="61">
        <v>10000</v>
      </c>
      <c r="I159" s="26"/>
      <c r="J159" s="61" t="s">
        <v>590</v>
      </c>
      <c r="K159" s="38"/>
      <c r="L159" s="132"/>
      <c r="M159" s="47">
        <v>44075</v>
      </c>
      <c r="N159" s="61"/>
      <c r="O159" s="132"/>
      <c r="P159" s="95"/>
      <c r="Q159" s="12"/>
    </row>
    <row r="160" spans="2:17" ht="20.100000000000001" customHeight="1" x14ac:dyDescent="0.15">
      <c r="B160" s="134"/>
      <c r="C160" s="132" t="s">
        <v>596</v>
      </c>
      <c r="D160" s="132" t="s">
        <v>614</v>
      </c>
      <c r="E160" s="61" t="s">
        <v>595</v>
      </c>
      <c r="F160" s="61">
        <v>1</v>
      </c>
      <c r="G160" s="65"/>
      <c r="H160" s="65"/>
      <c r="I160" s="26"/>
      <c r="J160" s="61"/>
      <c r="K160" s="49"/>
      <c r="L160" s="132"/>
      <c r="M160" s="47">
        <v>44077</v>
      </c>
      <c r="N160" s="40"/>
      <c r="O160" s="134"/>
      <c r="P160" s="41"/>
      <c r="Q160" s="30"/>
    </row>
    <row r="161" spans="2:17" ht="20.100000000000001" customHeight="1" x14ac:dyDescent="0.15">
      <c r="B161" s="140"/>
      <c r="C161" s="132" t="s">
        <v>596</v>
      </c>
      <c r="D161" s="132" t="s">
        <v>614</v>
      </c>
      <c r="E161" s="61" t="s">
        <v>615</v>
      </c>
      <c r="F161" s="61">
        <v>1</v>
      </c>
      <c r="G161" s="65"/>
      <c r="H161" s="65"/>
      <c r="I161" s="26"/>
      <c r="J161" s="61"/>
      <c r="K161" s="49"/>
      <c r="L161" s="132"/>
      <c r="M161" s="47">
        <v>44077</v>
      </c>
      <c r="N161" s="40"/>
      <c r="O161" s="140"/>
      <c r="P161" s="41"/>
      <c r="Q161" s="30"/>
    </row>
    <row r="162" spans="2:17" s="89" customFormat="1" ht="19.5" customHeight="1" x14ac:dyDescent="0.15">
      <c r="B162" s="132"/>
      <c r="C162" s="132" t="s">
        <v>99</v>
      </c>
      <c r="D162" s="132" t="s">
        <v>99</v>
      </c>
      <c r="E162" s="61" t="s">
        <v>640</v>
      </c>
      <c r="F162" s="61">
        <v>4</v>
      </c>
      <c r="G162" s="61">
        <v>1570</v>
      </c>
      <c r="H162" s="61">
        <v>6280</v>
      </c>
      <c r="I162" s="26"/>
      <c r="J162" s="61" t="s">
        <v>650</v>
      </c>
      <c r="K162" s="38"/>
      <c r="L162" s="132"/>
      <c r="M162" s="47">
        <v>44077</v>
      </c>
      <c r="N162" s="61"/>
      <c r="O162" s="132"/>
      <c r="P162" s="95"/>
      <c r="Q162" s="12"/>
    </row>
    <row r="163" spans="2:17" s="89" customFormat="1" ht="19.5" customHeight="1" x14ac:dyDescent="0.15">
      <c r="B163" s="132"/>
      <c r="C163" s="132" t="s">
        <v>99</v>
      </c>
      <c r="D163" s="132" t="s">
        <v>99</v>
      </c>
      <c r="E163" s="61" t="s">
        <v>641</v>
      </c>
      <c r="F163" s="61">
        <v>10</v>
      </c>
      <c r="G163" s="61">
        <v>230</v>
      </c>
      <c r="H163" s="61">
        <v>2300</v>
      </c>
      <c r="I163" s="26"/>
      <c r="J163" s="61" t="s">
        <v>651</v>
      </c>
      <c r="K163" s="38"/>
      <c r="L163" s="132"/>
      <c r="M163" s="47">
        <v>44077</v>
      </c>
      <c r="N163" s="61"/>
      <c r="O163" s="132"/>
      <c r="P163" s="95"/>
      <c r="Q163" s="12"/>
    </row>
    <row r="164" spans="2:17" s="89" customFormat="1" ht="19.5" customHeight="1" x14ac:dyDescent="0.15">
      <c r="B164" s="132"/>
      <c r="C164" s="132" t="s">
        <v>99</v>
      </c>
      <c r="D164" s="132" t="s">
        <v>99</v>
      </c>
      <c r="E164" s="61" t="s">
        <v>642</v>
      </c>
      <c r="F164" s="61">
        <v>8</v>
      </c>
      <c r="G164" s="61">
        <v>440</v>
      </c>
      <c r="H164" s="61">
        <v>3520</v>
      </c>
      <c r="I164" s="26"/>
      <c r="J164" s="61" t="s">
        <v>652</v>
      </c>
      <c r="K164" s="38"/>
      <c r="L164" s="132"/>
      <c r="M164" s="47">
        <v>44077</v>
      </c>
      <c r="N164" s="61"/>
      <c r="O164" s="132"/>
      <c r="P164" s="95"/>
      <c r="Q164" s="12"/>
    </row>
    <row r="165" spans="2:17" s="89" customFormat="1" ht="20.100000000000001" customHeight="1" x14ac:dyDescent="0.15">
      <c r="B165" s="132"/>
      <c r="C165" s="132" t="s">
        <v>99</v>
      </c>
      <c r="D165" s="132" t="s">
        <v>99</v>
      </c>
      <c r="E165" s="61" t="s">
        <v>643</v>
      </c>
      <c r="F165" s="61">
        <v>4</v>
      </c>
      <c r="G165" s="61">
        <v>980</v>
      </c>
      <c r="H165" s="61">
        <v>3920</v>
      </c>
      <c r="I165" s="26"/>
      <c r="J165" s="61" t="s">
        <v>653</v>
      </c>
      <c r="K165" s="38"/>
      <c r="L165" s="61"/>
      <c r="M165" s="47">
        <v>44077</v>
      </c>
      <c r="N165" s="61"/>
      <c r="O165" s="61"/>
      <c r="P165" s="95"/>
      <c r="Q165" s="12"/>
    </row>
    <row r="166" spans="2:17" s="89" customFormat="1" ht="20.100000000000001" customHeight="1" x14ac:dyDescent="0.15">
      <c r="B166" s="132"/>
      <c r="C166" s="132" t="s">
        <v>99</v>
      </c>
      <c r="D166" s="132" t="s">
        <v>99</v>
      </c>
      <c r="E166" s="61" t="s">
        <v>597</v>
      </c>
      <c r="F166" s="61">
        <v>1</v>
      </c>
      <c r="G166" s="61">
        <v>21420</v>
      </c>
      <c r="H166" s="61">
        <v>21420</v>
      </c>
      <c r="I166" s="26"/>
      <c r="J166" s="61" t="s">
        <v>654</v>
      </c>
      <c r="K166" s="38"/>
      <c r="L166" s="61"/>
      <c r="M166" s="47">
        <v>44077</v>
      </c>
      <c r="N166" s="61"/>
      <c r="O166" s="61"/>
      <c r="P166" s="95"/>
      <c r="Q166" s="12"/>
    </row>
    <row r="167" spans="2:17" s="89" customFormat="1" ht="19.5" customHeight="1" x14ac:dyDescent="0.15">
      <c r="B167" s="132"/>
      <c r="C167" s="132" t="s">
        <v>99</v>
      </c>
      <c r="D167" s="132" t="s">
        <v>99</v>
      </c>
      <c r="E167" s="61" t="s">
        <v>598</v>
      </c>
      <c r="F167" s="61">
        <v>1</v>
      </c>
      <c r="G167" s="61">
        <v>5722</v>
      </c>
      <c r="H167" s="61">
        <v>5722</v>
      </c>
      <c r="I167" s="26"/>
      <c r="J167" s="103" t="s">
        <v>599</v>
      </c>
      <c r="K167" s="38"/>
      <c r="L167" s="61"/>
      <c r="M167" s="47">
        <v>44077</v>
      </c>
      <c r="N167" s="61"/>
      <c r="O167" s="61"/>
      <c r="P167" s="95"/>
      <c r="Q167" s="12"/>
    </row>
    <row r="168" spans="2:17" ht="19.5" customHeight="1" x14ac:dyDescent="0.15">
      <c r="B168" s="131"/>
      <c r="C168" s="132" t="s">
        <v>99</v>
      </c>
      <c r="D168" s="132" t="s">
        <v>99</v>
      </c>
      <c r="E168" s="61" t="s">
        <v>514</v>
      </c>
      <c r="F168" s="61">
        <v>2</v>
      </c>
      <c r="G168" s="61">
        <v>1210</v>
      </c>
      <c r="H168" s="61">
        <v>2420</v>
      </c>
      <c r="I168" s="26"/>
      <c r="J168" s="61" t="s">
        <v>520</v>
      </c>
      <c r="K168" s="38"/>
      <c r="L168" s="132"/>
      <c r="M168" s="47">
        <v>44077</v>
      </c>
      <c r="N168" s="40"/>
      <c r="O168" s="131"/>
      <c r="P168" s="41"/>
      <c r="Q168" s="30"/>
    </row>
    <row r="169" spans="2:17" ht="20.100000000000001" customHeight="1" x14ac:dyDescent="0.15">
      <c r="B169" s="134"/>
      <c r="C169" s="132" t="s">
        <v>99</v>
      </c>
      <c r="D169" s="132" t="s">
        <v>99</v>
      </c>
      <c r="E169" s="61" t="s">
        <v>466</v>
      </c>
      <c r="F169" s="61">
        <v>1</v>
      </c>
      <c r="G169" s="61">
        <v>28899</v>
      </c>
      <c r="H169" s="61">
        <v>28899</v>
      </c>
      <c r="I169" s="26"/>
      <c r="J169" s="61" t="s">
        <v>655</v>
      </c>
      <c r="K169" s="38"/>
      <c r="L169" s="61"/>
      <c r="M169" s="47">
        <v>44077</v>
      </c>
      <c r="N169" s="40"/>
      <c r="O169" s="40"/>
      <c r="P169" s="41"/>
      <c r="Q169" s="30"/>
    </row>
    <row r="170" spans="2:17" ht="20.100000000000001" customHeight="1" x14ac:dyDescent="0.15">
      <c r="B170" s="134"/>
      <c r="C170" s="132" t="s">
        <v>99</v>
      </c>
      <c r="D170" s="132" t="s">
        <v>99</v>
      </c>
      <c r="E170" s="61" t="s">
        <v>644</v>
      </c>
      <c r="F170" s="61">
        <v>1</v>
      </c>
      <c r="G170" s="61">
        <v>8059</v>
      </c>
      <c r="H170" s="61">
        <v>8059</v>
      </c>
      <c r="I170" s="26"/>
      <c r="J170" s="39" t="s">
        <v>600</v>
      </c>
      <c r="K170" s="38"/>
      <c r="L170" s="61"/>
      <c r="M170" s="47">
        <v>44077</v>
      </c>
      <c r="N170" s="61"/>
      <c r="O170" s="40"/>
      <c r="P170" s="41"/>
      <c r="Q170" s="30"/>
    </row>
    <row r="171" spans="2:17" ht="20.100000000000001" customHeight="1" x14ac:dyDescent="0.15">
      <c r="B171" s="134"/>
      <c r="C171" s="132" t="s">
        <v>99</v>
      </c>
      <c r="D171" s="132" t="s">
        <v>99</v>
      </c>
      <c r="E171" s="61" t="s">
        <v>645</v>
      </c>
      <c r="F171" s="61">
        <v>1</v>
      </c>
      <c r="G171" s="61">
        <v>7200</v>
      </c>
      <c r="H171" s="61">
        <v>7200</v>
      </c>
      <c r="I171" s="26"/>
      <c r="J171" s="61" t="s">
        <v>656</v>
      </c>
      <c r="K171" s="38"/>
      <c r="L171" s="61"/>
      <c r="M171" s="47">
        <v>44077</v>
      </c>
      <c r="N171" s="61"/>
      <c r="O171" s="40"/>
      <c r="P171" s="41"/>
      <c r="Q171" s="30"/>
    </row>
    <row r="172" spans="2:17" ht="20.100000000000001" customHeight="1" x14ac:dyDescent="0.15">
      <c r="B172" s="134"/>
      <c r="C172" s="132" t="s">
        <v>99</v>
      </c>
      <c r="D172" s="132" t="s">
        <v>99</v>
      </c>
      <c r="E172" s="61" t="s">
        <v>646</v>
      </c>
      <c r="F172" s="61">
        <v>1</v>
      </c>
      <c r="G172" s="61">
        <v>450</v>
      </c>
      <c r="H172" s="61">
        <v>450</v>
      </c>
      <c r="I172" s="26"/>
      <c r="J172" s="61" t="s">
        <v>43</v>
      </c>
      <c r="K172" s="38"/>
      <c r="L172" s="61"/>
      <c r="M172" s="47">
        <v>44077</v>
      </c>
      <c r="N172" s="61"/>
      <c r="O172" s="40"/>
      <c r="P172" s="41"/>
      <c r="Q172" s="30"/>
    </row>
    <row r="173" spans="2:17" ht="20.100000000000001" customHeight="1" x14ac:dyDescent="0.15">
      <c r="B173" s="134"/>
      <c r="C173" s="132" t="s">
        <v>99</v>
      </c>
      <c r="D173" s="132" t="s">
        <v>99</v>
      </c>
      <c r="E173" s="61" t="s">
        <v>511</v>
      </c>
      <c r="F173" s="61">
        <v>12</v>
      </c>
      <c r="G173" s="61">
        <v>70</v>
      </c>
      <c r="H173" s="61">
        <v>840</v>
      </c>
      <c r="I173" s="26"/>
      <c r="J173" s="61" t="s">
        <v>517</v>
      </c>
      <c r="K173" s="38"/>
      <c r="L173" s="61"/>
      <c r="M173" s="47">
        <v>44077</v>
      </c>
      <c r="N173" s="61"/>
      <c r="O173" s="40"/>
      <c r="P173" s="41"/>
      <c r="Q173" s="30"/>
    </row>
    <row r="174" spans="2:17" s="89" customFormat="1" ht="20.100000000000001" customHeight="1" x14ac:dyDescent="0.15">
      <c r="B174" s="132"/>
      <c r="C174" s="132" t="s">
        <v>99</v>
      </c>
      <c r="D174" s="132" t="s">
        <v>99</v>
      </c>
      <c r="E174" s="61" t="s">
        <v>603</v>
      </c>
      <c r="F174" s="61">
        <v>2</v>
      </c>
      <c r="G174" s="61">
        <v>6624</v>
      </c>
      <c r="H174" s="61">
        <v>13248</v>
      </c>
      <c r="I174" s="26"/>
      <c r="J174" s="39" t="s">
        <v>601</v>
      </c>
      <c r="K174" s="38"/>
      <c r="L174" s="61"/>
      <c r="M174" s="47">
        <v>44077</v>
      </c>
      <c r="N174" s="61"/>
      <c r="O174" s="61"/>
      <c r="P174" s="95"/>
      <c r="Q174" s="12"/>
    </row>
    <row r="175" spans="2:17" s="89" customFormat="1" ht="20.100000000000001" customHeight="1" x14ac:dyDescent="0.15">
      <c r="B175" s="132"/>
      <c r="C175" s="132" t="s">
        <v>99</v>
      </c>
      <c r="D175" s="132" t="s">
        <v>99</v>
      </c>
      <c r="E175" s="61" t="s">
        <v>604</v>
      </c>
      <c r="F175" s="61">
        <v>4</v>
      </c>
      <c r="G175" s="61">
        <v>2000</v>
      </c>
      <c r="H175" s="61">
        <v>8000</v>
      </c>
      <c r="I175" s="26"/>
      <c r="J175" s="39" t="s">
        <v>602</v>
      </c>
      <c r="K175" s="38"/>
      <c r="L175" s="132"/>
      <c r="M175" s="47">
        <v>44077</v>
      </c>
      <c r="N175" s="61"/>
      <c r="O175" s="132"/>
      <c r="P175" s="95"/>
      <c r="Q175" s="12"/>
    </row>
    <row r="176" spans="2:17" s="89" customFormat="1" ht="20.100000000000001" customHeight="1" x14ac:dyDescent="0.15">
      <c r="B176" s="132"/>
      <c r="C176" s="132" t="s">
        <v>99</v>
      </c>
      <c r="D176" s="132" t="s">
        <v>99</v>
      </c>
      <c r="E176" s="61" t="s">
        <v>513</v>
      </c>
      <c r="F176" s="61">
        <v>2</v>
      </c>
      <c r="G176" s="61">
        <v>747</v>
      </c>
      <c r="H176" s="61">
        <v>1494</v>
      </c>
      <c r="I176" s="26"/>
      <c r="J176" s="61" t="s">
        <v>519</v>
      </c>
      <c r="K176" s="38"/>
      <c r="L176" s="132"/>
      <c r="M176" s="47">
        <v>44077</v>
      </c>
      <c r="N176" s="61"/>
      <c r="O176" s="132"/>
      <c r="P176" s="95"/>
      <c r="Q176" s="12"/>
    </row>
    <row r="177" spans="2:17" s="89" customFormat="1" ht="20.100000000000001" customHeight="1" x14ac:dyDescent="0.15">
      <c r="B177" s="132"/>
      <c r="C177" s="132" t="s">
        <v>99</v>
      </c>
      <c r="D177" s="132" t="s">
        <v>99</v>
      </c>
      <c r="E177" s="61" t="s">
        <v>605</v>
      </c>
      <c r="F177" s="61">
        <v>1</v>
      </c>
      <c r="G177" s="61">
        <v>1770</v>
      </c>
      <c r="H177" s="61">
        <v>1770</v>
      </c>
      <c r="I177" s="26"/>
      <c r="J177" s="39" t="s">
        <v>608</v>
      </c>
      <c r="K177" s="38"/>
      <c r="L177" s="132"/>
      <c r="M177" s="47">
        <v>44077</v>
      </c>
      <c r="N177" s="61"/>
      <c r="O177" s="132"/>
      <c r="P177" s="95"/>
      <c r="Q177" s="12"/>
    </row>
    <row r="178" spans="2:17" s="89" customFormat="1" ht="20.100000000000001" customHeight="1" x14ac:dyDescent="0.15">
      <c r="B178" s="132"/>
      <c r="C178" s="132" t="s">
        <v>99</v>
      </c>
      <c r="D178" s="132" t="s">
        <v>99</v>
      </c>
      <c r="E178" s="61" t="s">
        <v>606</v>
      </c>
      <c r="F178" s="61">
        <v>1</v>
      </c>
      <c r="G178" s="61">
        <v>2340</v>
      </c>
      <c r="H178" s="61">
        <v>2340</v>
      </c>
      <c r="I178" s="26"/>
      <c r="J178" s="39" t="s">
        <v>607</v>
      </c>
      <c r="K178" s="38"/>
      <c r="L178" s="132"/>
      <c r="M178" s="47">
        <v>44077</v>
      </c>
      <c r="N178" s="61"/>
      <c r="O178" s="132"/>
      <c r="P178" s="95"/>
      <c r="Q178" s="12"/>
    </row>
    <row r="179" spans="2:17" s="89" customFormat="1" ht="20.100000000000001" customHeight="1" x14ac:dyDescent="0.15">
      <c r="B179" s="132"/>
      <c r="C179" s="132" t="s">
        <v>99</v>
      </c>
      <c r="D179" s="132" t="s">
        <v>99</v>
      </c>
      <c r="E179" s="61" t="s">
        <v>609</v>
      </c>
      <c r="F179" s="61">
        <v>4</v>
      </c>
      <c r="G179" s="61">
        <v>280</v>
      </c>
      <c r="H179" s="61">
        <v>1120</v>
      </c>
      <c r="I179" s="26"/>
      <c r="J179" s="61" t="s">
        <v>657</v>
      </c>
      <c r="K179" s="38"/>
      <c r="L179" s="132"/>
      <c r="M179" s="47">
        <v>44077</v>
      </c>
      <c r="N179" s="61"/>
      <c r="O179" s="132"/>
      <c r="P179" s="95"/>
      <c r="Q179" s="12"/>
    </row>
    <row r="180" spans="2:17" s="89" customFormat="1" ht="20.100000000000001" customHeight="1" x14ac:dyDescent="0.15">
      <c r="B180" s="132"/>
      <c r="C180" s="132" t="s">
        <v>99</v>
      </c>
      <c r="D180" s="132" t="s">
        <v>99</v>
      </c>
      <c r="E180" s="61" t="s">
        <v>613</v>
      </c>
      <c r="F180" s="61">
        <v>2</v>
      </c>
      <c r="G180" s="61">
        <v>1450</v>
      </c>
      <c r="H180" s="61">
        <v>2900</v>
      </c>
      <c r="I180" s="26"/>
      <c r="J180" s="87" t="s">
        <v>612</v>
      </c>
      <c r="K180" s="38"/>
      <c r="L180" s="132"/>
      <c r="M180" s="47">
        <v>44077</v>
      </c>
      <c r="N180" s="61"/>
      <c r="O180" s="132"/>
      <c r="P180" s="95"/>
      <c r="Q180" s="12"/>
    </row>
    <row r="181" spans="2:17" s="89" customFormat="1" ht="19.5" customHeight="1" x14ac:dyDescent="0.15">
      <c r="B181" s="132"/>
      <c r="C181" s="132" t="s">
        <v>99</v>
      </c>
      <c r="D181" s="132" t="s">
        <v>99</v>
      </c>
      <c r="E181" s="61" t="s">
        <v>610</v>
      </c>
      <c r="F181" s="61">
        <v>2</v>
      </c>
      <c r="G181" s="61">
        <v>1610</v>
      </c>
      <c r="H181" s="61">
        <v>3220</v>
      </c>
      <c r="I181" s="26"/>
      <c r="J181" s="87" t="s">
        <v>611</v>
      </c>
      <c r="K181" s="38"/>
      <c r="L181" s="132"/>
      <c r="M181" s="47">
        <v>44077</v>
      </c>
      <c r="N181" s="61"/>
      <c r="O181" s="132"/>
      <c r="P181" s="95"/>
      <c r="Q181" s="12"/>
    </row>
    <row r="182" spans="2:17" s="89" customFormat="1" ht="19.5" customHeight="1" x14ac:dyDescent="0.15">
      <c r="B182" s="132"/>
      <c r="C182" s="132" t="s">
        <v>99</v>
      </c>
      <c r="D182" s="132" t="s">
        <v>99</v>
      </c>
      <c r="E182" s="61" t="s">
        <v>647</v>
      </c>
      <c r="F182" s="61">
        <v>4</v>
      </c>
      <c r="G182" s="61">
        <v>720</v>
      </c>
      <c r="H182" s="61">
        <v>2880</v>
      </c>
      <c r="I182" s="26"/>
      <c r="J182" s="61" t="s">
        <v>229</v>
      </c>
      <c r="K182" s="38"/>
      <c r="L182" s="132"/>
      <c r="M182" s="47">
        <v>44077</v>
      </c>
      <c r="N182" s="61"/>
      <c r="O182" s="132"/>
      <c r="P182" s="95"/>
      <c r="Q182" s="12"/>
    </row>
    <row r="183" spans="2:17" s="89" customFormat="1" ht="19.5" customHeight="1" x14ac:dyDescent="0.15">
      <c r="B183" s="132"/>
      <c r="C183" s="132" t="s">
        <v>99</v>
      </c>
      <c r="D183" s="132" t="s">
        <v>99</v>
      </c>
      <c r="E183" s="61" t="s">
        <v>648</v>
      </c>
      <c r="F183" s="61">
        <v>4</v>
      </c>
      <c r="G183" s="61">
        <v>720</v>
      </c>
      <c r="H183" s="61">
        <v>2880</v>
      </c>
      <c r="I183" s="26"/>
      <c r="J183" s="61" t="s">
        <v>229</v>
      </c>
      <c r="K183" s="38"/>
      <c r="L183" s="132"/>
      <c r="M183" s="47">
        <v>44077</v>
      </c>
      <c r="N183" s="61"/>
      <c r="O183" s="132"/>
      <c r="P183" s="95"/>
      <c r="Q183" s="12"/>
    </row>
    <row r="184" spans="2:17" s="89" customFormat="1" ht="19.5" customHeight="1" x14ac:dyDescent="0.15">
      <c r="B184" s="132"/>
      <c r="C184" s="132" t="s">
        <v>99</v>
      </c>
      <c r="D184" s="132" t="s">
        <v>99</v>
      </c>
      <c r="E184" s="61" t="s">
        <v>649</v>
      </c>
      <c r="F184" s="61">
        <v>2</v>
      </c>
      <c r="G184" s="61">
        <v>710</v>
      </c>
      <c r="H184" s="61">
        <v>1420</v>
      </c>
      <c r="I184" s="26"/>
      <c r="J184" s="61" t="s">
        <v>229</v>
      </c>
      <c r="K184" s="38"/>
      <c r="L184" s="132"/>
      <c r="M184" s="47">
        <v>44077</v>
      </c>
      <c r="N184" s="61"/>
      <c r="O184" s="132"/>
      <c r="P184" s="95"/>
      <c r="Q184" s="12"/>
    </row>
    <row r="185" spans="2:17" s="89" customFormat="1" ht="20.100000000000001" customHeight="1" x14ac:dyDescent="0.15">
      <c r="B185" s="132"/>
      <c r="C185" s="132" t="s">
        <v>99</v>
      </c>
      <c r="D185" s="132" t="s">
        <v>99</v>
      </c>
      <c r="E185" s="61" t="s">
        <v>402</v>
      </c>
      <c r="F185" s="61">
        <v>1</v>
      </c>
      <c r="G185" s="61">
        <v>6503</v>
      </c>
      <c r="H185" s="61">
        <v>6503</v>
      </c>
      <c r="I185" s="26"/>
      <c r="J185" s="61" t="s">
        <v>416</v>
      </c>
      <c r="K185" s="38"/>
      <c r="L185" s="132"/>
      <c r="M185" s="47">
        <v>44077</v>
      </c>
      <c r="N185" s="61"/>
      <c r="O185" s="132"/>
      <c r="P185" s="95"/>
      <c r="Q185" s="12"/>
    </row>
    <row r="186" spans="2:17" s="89" customFormat="1" ht="20.100000000000001" customHeight="1" x14ac:dyDescent="0.15">
      <c r="B186" s="132"/>
      <c r="C186" s="132" t="s">
        <v>99</v>
      </c>
      <c r="D186" s="132" t="s">
        <v>99</v>
      </c>
      <c r="E186" s="61" t="s">
        <v>659</v>
      </c>
      <c r="F186" s="61">
        <v>1</v>
      </c>
      <c r="G186" s="61">
        <v>1889</v>
      </c>
      <c r="H186" s="61">
        <v>1889</v>
      </c>
      <c r="I186" s="26"/>
      <c r="J186" s="61" t="s">
        <v>420</v>
      </c>
      <c r="K186" s="38"/>
      <c r="L186" s="132"/>
      <c r="M186" s="47">
        <v>44077</v>
      </c>
      <c r="N186" s="61"/>
      <c r="O186" s="132"/>
      <c r="P186" s="95"/>
      <c r="Q186" s="12"/>
    </row>
    <row r="187" spans="2:17" s="89" customFormat="1" ht="19.5" customHeight="1" x14ac:dyDescent="0.15">
      <c r="B187" s="132"/>
      <c r="C187" s="132" t="s">
        <v>99</v>
      </c>
      <c r="D187" s="132" t="s">
        <v>99</v>
      </c>
      <c r="E187" s="61" t="s">
        <v>627</v>
      </c>
      <c r="F187" s="61">
        <v>1</v>
      </c>
      <c r="G187" s="61">
        <v>1689</v>
      </c>
      <c r="H187" s="61">
        <v>1689</v>
      </c>
      <c r="I187" s="26"/>
      <c r="J187" s="61" t="s">
        <v>421</v>
      </c>
      <c r="K187" s="38"/>
      <c r="L187" s="132"/>
      <c r="M187" s="47">
        <v>44077</v>
      </c>
      <c r="N187" s="61"/>
      <c r="O187" s="132"/>
      <c r="P187" s="95"/>
      <c r="Q187" s="12"/>
    </row>
    <row r="188" spans="2:17" s="89" customFormat="1" ht="19.5" customHeight="1" x14ac:dyDescent="0.15">
      <c r="B188" s="132"/>
      <c r="C188" s="132" t="s">
        <v>99</v>
      </c>
      <c r="D188" s="132" t="s">
        <v>99</v>
      </c>
      <c r="E188" s="61" t="s">
        <v>660</v>
      </c>
      <c r="F188" s="61">
        <v>8</v>
      </c>
      <c r="G188" s="61">
        <v>616</v>
      </c>
      <c r="H188" s="61">
        <v>4928</v>
      </c>
      <c r="I188" s="26"/>
      <c r="J188" s="61" t="s">
        <v>666</v>
      </c>
      <c r="K188" s="38"/>
      <c r="L188" s="132"/>
      <c r="M188" s="47">
        <v>44077</v>
      </c>
      <c r="N188" s="61"/>
      <c r="O188" s="132"/>
      <c r="P188" s="95"/>
      <c r="Q188" s="12"/>
    </row>
    <row r="189" spans="2:17" s="89" customFormat="1" ht="19.5" customHeight="1" x14ac:dyDescent="0.15">
      <c r="B189" s="132"/>
      <c r="C189" s="132" t="s">
        <v>99</v>
      </c>
      <c r="D189" s="132" t="s">
        <v>99</v>
      </c>
      <c r="E189" s="61" t="s">
        <v>224</v>
      </c>
      <c r="F189" s="61">
        <v>8</v>
      </c>
      <c r="G189" s="61">
        <v>600</v>
      </c>
      <c r="H189" s="61">
        <v>4800</v>
      </c>
      <c r="I189" s="26"/>
      <c r="J189" s="61" t="s">
        <v>231</v>
      </c>
      <c r="K189" s="38"/>
      <c r="L189" s="132"/>
      <c r="M189" s="47">
        <v>44077</v>
      </c>
      <c r="N189" s="61"/>
      <c r="O189" s="132"/>
      <c r="P189" s="95"/>
      <c r="Q189" s="12"/>
    </row>
    <row r="190" spans="2:17" s="89" customFormat="1" ht="19.5" customHeight="1" x14ac:dyDescent="0.15">
      <c r="B190" s="132"/>
      <c r="C190" s="132" t="s">
        <v>99</v>
      </c>
      <c r="D190" s="132" t="s">
        <v>99</v>
      </c>
      <c r="E190" s="61" t="s">
        <v>661</v>
      </c>
      <c r="F190" s="61">
        <v>4</v>
      </c>
      <c r="G190" s="61">
        <v>1730</v>
      </c>
      <c r="H190" s="61">
        <v>6920</v>
      </c>
      <c r="I190" s="26"/>
      <c r="J190" s="61" t="s">
        <v>230</v>
      </c>
      <c r="K190" s="38"/>
      <c r="L190" s="132"/>
      <c r="M190" s="47">
        <v>44077</v>
      </c>
      <c r="N190" s="61"/>
      <c r="O190" s="132"/>
      <c r="P190" s="95"/>
      <c r="Q190" s="12"/>
    </row>
    <row r="191" spans="2:17" s="89" customFormat="1" ht="19.5" customHeight="1" x14ac:dyDescent="0.15">
      <c r="B191" s="132"/>
      <c r="C191" s="132" t="s">
        <v>99</v>
      </c>
      <c r="D191" s="132" t="s">
        <v>99</v>
      </c>
      <c r="E191" s="61" t="s">
        <v>664</v>
      </c>
      <c r="F191" s="61">
        <v>4</v>
      </c>
      <c r="G191" s="61">
        <v>290</v>
      </c>
      <c r="H191" s="61">
        <v>1160</v>
      </c>
      <c r="I191" s="26"/>
      <c r="J191" s="61" t="s">
        <v>85</v>
      </c>
      <c r="K191" s="38"/>
      <c r="L191" s="132"/>
      <c r="M191" s="47">
        <v>44077</v>
      </c>
      <c r="N191" s="61"/>
      <c r="O191" s="132"/>
      <c r="P191" s="95"/>
      <c r="Q191" s="12"/>
    </row>
    <row r="192" spans="2:17" s="89" customFormat="1" ht="19.5" customHeight="1" x14ac:dyDescent="0.15">
      <c r="B192" s="132"/>
      <c r="C192" s="132" t="s">
        <v>99</v>
      </c>
      <c r="D192" s="132" t="s">
        <v>99</v>
      </c>
      <c r="E192" s="61" t="s">
        <v>665</v>
      </c>
      <c r="F192" s="61">
        <v>4</v>
      </c>
      <c r="G192" s="61">
        <v>2730</v>
      </c>
      <c r="H192" s="61">
        <v>10920</v>
      </c>
      <c r="I192" s="26"/>
      <c r="J192" s="61" t="s">
        <v>667</v>
      </c>
      <c r="K192" s="38"/>
      <c r="L192" s="61"/>
      <c r="M192" s="47">
        <v>44077</v>
      </c>
      <c r="N192" s="61"/>
      <c r="O192" s="61"/>
      <c r="P192" s="95"/>
      <c r="Q192" s="12"/>
    </row>
    <row r="193" spans="2:17" s="89" customFormat="1" ht="19.5" customHeight="1" x14ac:dyDescent="0.15">
      <c r="B193" s="132"/>
      <c r="C193" s="132" t="s">
        <v>99</v>
      </c>
      <c r="D193" s="132" t="s">
        <v>99</v>
      </c>
      <c r="E193" s="61" t="s">
        <v>663</v>
      </c>
      <c r="F193" s="61">
        <v>2</v>
      </c>
      <c r="G193" s="61">
        <v>14543</v>
      </c>
      <c r="H193" s="61">
        <v>29086</v>
      </c>
      <c r="I193" s="26"/>
      <c r="J193" s="61" t="s">
        <v>662</v>
      </c>
      <c r="K193" s="38"/>
      <c r="L193" s="132"/>
      <c r="M193" s="47">
        <v>44077</v>
      </c>
      <c r="N193" s="61"/>
      <c r="O193" s="132"/>
      <c r="P193" s="95"/>
      <c r="Q193" s="12"/>
    </row>
    <row r="194" spans="2:17" ht="19.5" customHeight="1" x14ac:dyDescent="0.15">
      <c r="B194" s="132"/>
      <c r="C194" s="132" t="s">
        <v>99</v>
      </c>
      <c r="D194" s="132" t="s">
        <v>99</v>
      </c>
      <c r="E194" s="61" t="s">
        <v>668</v>
      </c>
      <c r="F194" s="26">
        <v>5</v>
      </c>
      <c r="G194" s="35">
        <v>1389</v>
      </c>
      <c r="H194" s="35">
        <v>6945</v>
      </c>
      <c r="I194" s="26"/>
      <c r="J194" s="61" t="s">
        <v>669</v>
      </c>
      <c r="K194" s="38"/>
      <c r="L194" s="132"/>
      <c r="M194" s="47">
        <v>44077</v>
      </c>
      <c r="N194" s="40"/>
      <c r="O194" s="134"/>
      <c r="P194" s="41"/>
      <c r="Q194" s="30"/>
    </row>
    <row r="195" spans="2:17" ht="19.5" customHeight="1" x14ac:dyDescent="0.15">
      <c r="B195" s="132"/>
      <c r="C195" s="132" t="s">
        <v>99</v>
      </c>
      <c r="D195" s="132" t="s">
        <v>99</v>
      </c>
      <c r="E195" s="61" t="s">
        <v>670</v>
      </c>
      <c r="F195" s="61">
        <v>2</v>
      </c>
      <c r="G195" s="61">
        <v>14474</v>
      </c>
      <c r="H195" s="61">
        <v>28948</v>
      </c>
      <c r="I195" s="26"/>
      <c r="J195" s="61" t="s">
        <v>662</v>
      </c>
      <c r="K195" s="38"/>
      <c r="L195" s="132"/>
      <c r="M195" s="47">
        <v>44078</v>
      </c>
      <c r="N195" s="40"/>
      <c r="O195" s="145"/>
      <c r="P195" s="41"/>
      <c r="Q195" s="30"/>
    </row>
    <row r="196" spans="2:17" ht="19.5" customHeight="1" x14ac:dyDescent="0.15">
      <c r="B196" s="132"/>
      <c r="C196" s="132" t="s">
        <v>99</v>
      </c>
      <c r="D196" s="132" t="s">
        <v>99</v>
      </c>
      <c r="E196" s="61" t="s">
        <v>671</v>
      </c>
      <c r="F196" s="61">
        <v>6</v>
      </c>
      <c r="G196" s="61">
        <v>616</v>
      </c>
      <c r="H196" s="61">
        <v>3696</v>
      </c>
      <c r="I196" s="35"/>
      <c r="J196" s="61" t="s">
        <v>666</v>
      </c>
      <c r="K196" s="38"/>
      <c r="L196" s="38"/>
      <c r="M196" s="47">
        <v>44078</v>
      </c>
      <c r="N196" s="40"/>
      <c r="O196" s="145"/>
      <c r="P196" s="41"/>
      <c r="Q196" s="30"/>
    </row>
    <row r="197" spans="2:17" ht="19.5" customHeight="1" x14ac:dyDescent="0.15">
      <c r="B197" s="132"/>
      <c r="C197" s="38" t="s">
        <v>99</v>
      </c>
      <c r="D197" s="38" t="s">
        <v>99</v>
      </c>
      <c r="E197" s="63" t="s">
        <v>672</v>
      </c>
      <c r="F197" s="62">
        <v>1</v>
      </c>
      <c r="G197" s="155">
        <v>5850</v>
      </c>
      <c r="H197" s="155">
        <f>F197*G197</f>
        <v>5850</v>
      </c>
      <c r="I197" s="62"/>
      <c r="J197" s="63" t="s">
        <v>677</v>
      </c>
      <c r="K197" s="38"/>
      <c r="L197" s="38"/>
      <c r="M197" s="18">
        <v>44078</v>
      </c>
      <c r="N197" s="40"/>
      <c r="O197" s="145"/>
      <c r="P197" s="41"/>
      <c r="Q197" s="30"/>
    </row>
    <row r="198" spans="2:17" ht="19.5" customHeight="1" x14ac:dyDescent="0.15">
      <c r="B198" s="132"/>
      <c r="C198" s="38" t="s">
        <v>99</v>
      </c>
      <c r="D198" s="38" t="s">
        <v>99</v>
      </c>
      <c r="E198" s="156" t="s">
        <v>678</v>
      </c>
      <c r="F198" s="157">
        <v>1</v>
      </c>
      <c r="G198" s="158">
        <v>6000</v>
      </c>
      <c r="H198" s="158">
        <f>F198*G198</f>
        <v>6000</v>
      </c>
      <c r="I198" s="157"/>
      <c r="J198" s="159"/>
      <c r="K198" s="38"/>
      <c r="L198" s="38"/>
      <c r="M198" s="19">
        <v>44078</v>
      </c>
      <c r="N198" s="40"/>
      <c r="O198" s="145"/>
      <c r="P198" s="41"/>
      <c r="Q198" s="30"/>
    </row>
    <row r="199" spans="2:17" ht="19.5" customHeight="1" x14ac:dyDescent="0.15">
      <c r="B199" s="132"/>
      <c r="C199" s="38" t="s">
        <v>99</v>
      </c>
      <c r="D199" s="38" t="s">
        <v>99</v>
      </c>
      <c r="E199" s="61" t="s">
        <v>686</v>
      </c>
      <c r="F199" s="61">
        <v>4</v>
      </c>
      <c r="G199" s="61">
        <v>6000</v>
      </c>
      <c r="H199" s="61">
        <v>24000</v>
      </c>
      <c r="I199" s="61"/>
      <c r="J199" s="61" t="s">
        <v>226</v>
      </c>
      <c r="K199" s="132"/>
      <c r="L199" s="132"/>
      <c r="M199" s="10">
        <v>44082</v>
      </c>
      <c r="N199" s="40"/>
      <c r="O199" s="145"/>
      <c r="P199" s="41"/>
      <c r="Q199" s="30"/>
    </row>
    <row r="200" spans="2:17" ht="19.5" customHeight="1" x14ac:dyDescent="0.15">
      <c r="B200" s="132"/>
      <c r="C200" s="38" t="s">
        <v>99</v>
      </c>
      <c r="D200" s="38" t="s">
        <v>99</v>
      </c>
      <c r="E200" s="61" t="s">
        <v>209</v>
      </c>
      <c r="F200" s="61">
        <v>4</v>
      </c>
      <c r="G200" s="61">
        <v>490</v>
      </c>
      <c r="H200" s="61">
        <v>1960</v>
      </c>
      <c r="I200" s="61"/>
      <c r="J200" s="61" t="s">
        <v>227</v>
      </c>
      <c r="K200" s="132"/>
      <c r="L200" s="132"/>
      <c r="M200" s="10">
        <v>44082</v>
      </c>
      <c r="N200" s="40"/>
      <c r="O200" s="145"/>
      <c r="P200" s="41"/>
      <c r="Q200" s="30"/>
    </row>
    <row r="201" spans="2:17" ht="19.5" customHeight="1" x14ac:dyDescent="0.15">
      <c r="B201" s="132"/>
      <c r="C201" s="38" t="s">
        <v>99</v>
      </c>
      <c r="D201" s="38" t="s">
        <v>99</v>
      </c>
      <c r="E201" s="40" t="s">
        <v>697</v>
      </c>
      <c r="F201" s="40">
        <v>2</v>
      </c>
      <c r="G201" s="40">
        <v>720</v>
      </c>
      <c r="H201" s="40">
        <v>1440</v>
      </c>
      <c r="I201" s="26"/>
      <c r="J201" s="89" t="s">
        <v>229</v>
      </c>
      <c r="K201" s="132"/>
      <c r="L201" s="132"/>
      <c r="M201" s="10">
        <v>44082</v>
      </c>
      <c r="N201" s="40"/>
      <c r="O201" s="145"/>
      <c r="P201" s="41"/>
      <c r="Q201" s="30"/>
    </row>
    <row r="202" spans="2:17" ht="19.5" customHeight="1" x14ac:dyDescent="0.15">
      <c r="B202" s="132"/>
      <c r="C202" s="38" t="s">
        <v>99</v>
      </c>
      <c r="D202" s="38" t="s">
        <v>99</v>
      </c>
      <c r="E202" s="40" t="s">
        <v>699</v>
      </c>
      <c r="F202" s="40">
        <v>2</v>
      </c>
      <c r="G202" s="40">
        <v>720</v>
      </c>
      <c r="H202" s="40">
        <v>1440</v>
      </c>
      <c r="I202" s="26"/>
      <c r="J202" s="61" t="s">
        <v>229</v>
      </c>
      <c r="K202" s="132"/>
      <c r="L202" s="132"/>
      <c r="M202" s="10">
        <v>44082</v>
      </c>
      <c r="N202" s="40"/>
      <c r="O202" s="145"/>
      <c r="P202" s="41"/>
      <c r="Q202" s="30"/>
    </row>
    <row r="203" spans="2:17" ht="19.5" customHeight="1" x14ac:dyDescent="0.15">
      <c r="B203" s="132"/>
      <c r="C203" s="38" t="s">
        <v>99</v>
      </c>
      <c r="D203" s="38" t="s">
        <v>99</v>
      </c>
      <c r="E203" s="40" t="s">
        <v>703</v>
      </c>
      <c r="F203" s="40">
        <v>1</v>
      </c>
      <c r="G203" s="40">
        <v>11745</v>
      </c>
      <c r="H203" s="40">
        <v>11745</v>
      </c>
      <c r="I203" s="26"/>
      <c r="J203" s="61" t="s">
        <v>701</v>
      </c>
      <c r="K203" s="132"/>
      <c r="L203" s="132"/>
      <c r="M203" s="10">
        <v>44082</v>
      </c>
      <c r="N203" s="40"/>
      <c r="O203" s="145"/>
      <c r="P203" s="41"/>
      <c r="Q203" s="30"/>
    </row>
    <row r="204" spans="2:17" ht="19.5" customHeight="1" x14ac:dyDescent="0.15">
      <c r="B204" s="132"/>
      <c r="C204" s="38" t="s">
        <v>99</v>
      </c>
      <c r="D204" s="38" t="s">
        <v>99</v>
      </c>
      <c r="E204" s="40" t="s">
        <v>705</v>
      </c>
      <c r="F204" s="40">
        <v>1</v>
      </c>
      <c r="G204" s="40">
        <v>1750</v>
      </c>
      <c r="H204" s="40">
        <v>1750</v>
      </c>
      <c r="I204" s="26"/>
      <c r="J204" s="61" t="s">
        <v>702</v>
      </c>
      <c r="K204" s="132"/>
      <c r="L204" s="132"/>
      <c r="M204" s="10">
        <v>44082</v>
      </c>
      <c r="N204" s="40"/>
      <c r="O204" s="145"/>
      <c r="P204" s="41"/>
      <c r="Q204" s="30"/>
    </row>
    <row r="205" spans="2:17" ht="19.5" customHeight="1" x14ac:dyDescent="0.15">
      <c r="B205" s="132"/>
      <c r="C205" s="38" t="s">
        <v>99</v>
      </c>
      <c r="D205" s="38" t="s">
        <v>99</v>
      </c>
      <c r="E205" s="40" t="s">
        <v>698</v>
      </c>
      <c r="F205" s="40">
        <v>1</v>
      </c>
      <c r="G205" s="40">
        <v>1430</v>
      </c>
      <c r="H205" s="40">
        <v>1430</v>
      </c>
      <c r="I205" s="26"/>
      <c r="J205" s="61" t="s">
        <v>700</v>
      </c>
      <c r="K205" s="132"/>
      <c r="L205" s="132"/>
      <c r="M205" s="10">
        <v>44082</v>
      </c>
      <c r="N205" s="40"/>
      <c r="O205" s="145"/>
      <c r="P205" s="41"/>
      <c r="Q205" s="30"/>
    </row>
    <row r="206" spans="2:17" ht="19.5" customHeight="1" x14ac:dyDescent="0.15">
      <c r="B206" s="132"/>
      <c r="C206" s="38" t="s">
        <v>99</v>
      </c>
      <c r="D206" s="38" t="s">
        <v>99</v>
      </c>
      <c r="E206" s="40" t="s">
        <v>706</v>
      </c>
      <c r="F206" s="40">
        <v>1</v>
      </c>
      <c r="G206" s="40">
        <v>1630</v>
      </c>
      <c r="H206" s="40">
        <v>1630</v>
      </c>
      <c r="I206" s="26"/>
      <c r="J206" s="61" t="s">
        <v>704</v>
      </c>
      <c r="K206" s="132"/>
      <c r="L206" s="132"/>
      <c r="M206" s="10">
        <v>44082</v>
      </c>
      <c r="N206" s="40"/>
      <c r="O206" s="145"/>
      <c r="P206" s="41"/>
      <c r="Q206" s="30"/>
    </row>
    <row r="207" spans="2:17" ht="19.5" customHeight="1" x14ac:dyDescent="0.15">
      <c r="B207" s="132"/>
      <c r="C207" s="38" t="s">
        <v>99</v>
      </c>
      <c r="D207" s="38" t="s">
        <v>99</v>
      </c>
      <c r="E207" s="61" t="s">
        <v>710</v>
      </c>
      <c r="F207" s="61">
        <v>2</v>
      </c>
      <c r="G207" s="61">
        <v>224</v>
      </c>
      <c r="H207" s="61">
        <v>448</v>
      </c>
      <c r="I207" s="26"/>
      <c r="J207" s="61" t="s">
        <v>225</v>
      </c>
      <c r="K207" s="132"/>
      <c r="L207" s="132"/>
      <c r="M207" s="47">
        <v>44083</v>
      </c>
      <c r="N207" s="40"/>
      <c r="O207" s="160"/>
      <c r="P207" s="41"/>
      <c r="Q207" s="30"/>
    </row>
    <row r="208" spans="2:17" ht="19.5" customHeight="1" x14ac:dyDescent="0.15">
      <c r="B208" s="132"/>
      <c r="C208" s="38" t="s">
        <v>99</v>
      </c>
      <c r="D208" s="38" t="s">
        <v>99</v>
      </c>
      <c r="E208" s="61" t="s">
        <v>711</v>
      </c>
      <c r="F208" s="61">
        <v>2</v>
      </c>
      <c r="G208" s="61">
        <v>198</v>
      </c>
      <c r="H208" s="61">
        <v>396</v>
      </c>
      <c r="I208" s="35"/>
      <c r="J208" s="61" t="s">
        <v>225</v>
      </c>
      <c r="K208" s="132"/>
      <c r="L208" s="38"/>
      <c r="M208" s="47">
        <v>44083</v>
      </c>
      <c r="N208" s="40"/>
      <c r="O208" s="160"/>
      <c r="P208" s="41"/>
      <c r="Q208" s="30"/>
    </row>
    <row r="209" spans="2:17" ht="19.5" customHeight="1" x14ac:dyDescent="0.15">
      <c r="B209" s="132"/>
      <c r="C209" s="38" t="s">
        <v>99</v>
      </c>
      <c r="D209" s="38" t="s">
        <v>99</v>
      </c>
      <c r="E209" s="61" t="s">
        <v>712</v>
      </c>
      <c r="F209" s="61">
        <v>2</v>
      </c>
      <c r="G209" s="61">
        <v>800</v>
      </c>
      <c r="H209" s="61">
        <v>1600</v>
      </c>
      <c r="I209" s="62"/>
      <c r="J209" s="61" t="s">
        <v>666</v>
      </c>
      <c r="K209" s="132"/>
      <c r="L209" s="38"/>
      <c r="M209" s="47">
        <v>44083</v>
      </c>
      <c r="N209" s="40"/>
      <c r="O209" s="160"/>
      <c r="P209" s="41"/>
      <c r="Q209" s="30"/>
    </row>
    <row r="210" spans="2:17" ht="19.5" customHeight="1" x14ac:dyDescent="0.15">
      <c r="B210" s="132"/>
      <c r="C210" s="38" t="s">
        <v>596</v>
      </c>
      <c r="D210" s="38" t="s">
        <v>614</v>
      </c>
      <c r="E210" s="63" t="s">
        <v>713</v>
      </c>
      <c r="F210" s="62">
        <v>1</v>
      </c>
      <c r="G210" s="155">
        <v>9440</v>
      </c>
      <c r="H210" s="155">
        <v>9440</v>
      </c>
      <c r="I210" s="62"/>
      <c r="J210" s="63" t="s">
        <v>714</v>
      </c>
      <c r="K210" s="38"/>
      <c r="L210" s="38"/>
      <c r="M210" s="19">
        <v>44084</v>
      </c>
      <c r="N210" s="40"/>
      <c r="O210" s="160"/>
      <c r="P210" s="41"/>
      <c r="Q210" s="30"/>
    </row>
    <row r="211" spans="2:17" ht="19.5" customHeight="1" x14ac:dyDescent="0.15">
      <c r="B211" s="132"/>
      <c r="C211" s="38" t="s">
        <v>99</v>
      </c>
      <c r="D211" s="38" t="s">
        <v>99</v>
      </c>
      <c r="E211" s="61" t="s">
        <v>715</v>
      </c>
      <c r="F211" s="61">
        <v>1</v>
      </c>
      <c r="G211" s="61">
        <v>2830</v>
      </c>
      <c r="H211" s="61">
        <v>2830</v>
      </c>
      <c r="I211" s="61"/>
      <c r="J211" s="61" t="s">
        <v>719</v>
      </c>
      <c r="K211" s="132"/>
      <c r="L211" s="132"/>
      <c r="M211" s="19">
        <v>44084</v>
      </c>
      <c r="N211" s="40"/>
      <c r="O211" s="160"/>
      <c r="P211" s="41"/>
      <c r="Q211" s="30"/>
    </row>
    <row r="212" spans="2:17" ht="19.5" customHeight="1" x14ac:dyDescent="0.15">
      <c r="B212" s="132"/>
      <c r="C212" s="38" t="s">
        <v>99</v>
      </c>
      <c r="D212" s="38" t="s">
        <v>99</v>
      </c>
      <c r="E212" s="61" t="s">
        <v>716</v>
      </c>
      <c r="F212" s="61">
        <v>1</v>
      </c>
      <c r="G212" s="61">
        <v>237</v>
      </c>
      <c r="H212" s="61">
        <v>237</v>
      </c>
      <c r="I212" s="61"/>
      <c r="J212" s="61" t="s">
        <v>518</v>
      </c>
      <c r="K212" s="132"/>
      <c r="L212" s="132"/>
      <c r="M212" s="19">
        <v>44084</v>
      </c>
      <c r="N212" s="40"/>
      <c r="O212" s="160"/>
      <c r="P212" s="41"/>
      <c r="Q212" s="30"/>
    </row>
    <row r="213" spans="2:17" ht="19.5" customHeight="1" x14ac:dyDescent="0.15">
      <c r="B213" s="132"/>
      <c r="C213" s="38" t="s">
        <v>99</v>
      </c>
      <c r="D213" s="38" t="s">
        <v>99</v>
      </c>
      <c r="E213" s="61" t="s">
        <v>717</v>
      </c>
      <c r="F213" s="61">
        <v>1</v>
      </c>
      <c r="G213" s="61">
        <v>1630</v>
      </c>
      <c r="H213" s="61">
        <v>1630</v>
      </c>
      <c r="I213" s="26"/>
      <c r="J213" s="61" t="s">
        <v>526</v>
      </c>
      <c r="K213" s="132"/>
      <c r="L213" s="132"/>
      <c r="M213" s="19">
        <v>44084</v>
      </c>
      <c r="N213" s="40"/>
      <c r="O213" s="160"/>
      <c r="P213" s="41"/>
      <c r="Q213" s="30"/>
    </row>
    <row r="214" spans="2:17" ht="19.5" customHeight="1" x14ac:dyDescent="0.15">
      <c r="B214" s="132"/>
      <c r="C214" s="38" t="s">
        <v>99</v>
      </c>
      <c r="D214" s="38" t="s">
        <v>99</v>
      </c>
      <c r="E214" s="61" t="s">
        <v>718</v>
      </c>
      <c r="F214" s="61">
        <v>1</v>
      </c>
      <c r="G214" s="61">
        <v>11678</v>
      </c>
      <c r="H214" s="61">
        <v>11678</v>
      </c>
      <c r="I214" s="26"/>
      <c r="J214" s="61" t="s">
        <v>525</v>
      </c>
      <c r="K214" s="132"/>
      <c r="L214" s="132"/>
      <c r="M214" s="19">
        <v>44084</v>
      </c>
      <c r="N214" s="40"/>
      <c r="O214" s="160"/>
      <c r="P214" s="41"/>
      <c r="Q214" s="30"/>
    </row>
    <row r="215" spans="2:17" ht="19.5" customHeight="1" x14ac:dyDescent="0.15">
      <c r="B215" s="132"/>
      <c r="C215" s="38" t="s">
        <v>99</v>
      </c>
      <c r="D215" s="38" t="s">
        <v>99</v>
      </c>
      <c r="E215" s="61" t="s">
        <v>466</v>
      </c>
      <c r="F215" s="61">
        <v>2</v>
      </c>
      <c r="G215" s="61">
        <v>28899</v>
      </c>
      <c r="H215" s="61">
        <v>57798</v>
      </c>
      <c r="I215" s="26"/>
      <c r="J215" s="61" t="s">
        <v>655</v>
      </c>
      <c r="K215" s="132"/>
      <c r="L215" s="132"/>
      <c r="M215" s="19">
        <v>44084</v>
      </c>
      <c r="N215" s="40"/>
      <c r="O215" s="160"/>
      <c r="P215" s="41"/>
      <c r="Q215" s="30"/>
    </row>
    <row r="216" spans="2:17" ht="19.5" customHeight="1" x14ac:dyDescent="0.15">
      <c r="B216" s="132"/>
      <c r="C216" s="38" t="s">
        <v>99</v>
      </c>
      <c r="D216" s="38" t="s">
        <v>99</v>
      </c>
      <c r="E216" s="61" t="s">
        <v>481</v>
      </c>
      <c r="F216" s="61">
        <v>1</v>
      </c>
      <c r="G216" s="61">
        <v>990</v>
      </c>
      <c r="H216" s="61">
        <v>990</v>
      </c>
      <c r="I216" s="26"/>
      <c r="J216" s="61" t="s">
        <v>43</v>
      </c>
      <c r="K216" s="132"/>
      <c r="L216" s="132"/>
      <c r="M216" s="19">
        <v>44084</v>
      </c>
      <c r="N216" s="40"/>
      <c r="O216" s="160"/>
      <c r="P216" s="41"/>
      <c r="Q216" s="30"/>
    </row>
    <row r="217" spans="2:17" ht="19.5" customHeight="1" x14ac:dyDescent="0.15">
      <c r="B217" s="132"/>
      <c r="C217" s="38" t="s">
        <v>99</v>
      </c>
      <c r="D217" s="38" t="s">
        <v>99</v>
      </c>
      <c r="E217" s="61" t="s">
        <v>29</v>
      </c>
      <c r="F217" s="61">
        <v>1</v>
      </c>
      <c r="G217" s="61">
        <v>240</v>
      </c>
      <c r="H217" s="61">
        <v>240</v>
      </c>
      <c r="I217" s="61"/>
      <c r="J217" s="61" t="s">
        <v>42</v>
      </c>
      <c r="K217" s="132"/>
      <c r="L217" s="132"/>
      <c r="M217" s="19">
        <v>44084</v>
      </c>
      <c r="N217" s="40"/>
      <c r="O217" s="161"/>
      <c r="P217" s="41"/>
      <c r="Q217" s="30"/>
    </row>
    <row r="218" spans="2:17" ht="19.5" customHeight="1" x14ac:dyDescent="0.15">
      <c r="B218" s="132"/>
      <c r="C218" s="38" t="s">
        <v>99</v>
      </c>
      <c r="D218" s="38" t="s">
        <v>99</v>
      </c>
      <c r="E218" s="61" t="s">
        <v>720</v>
      </c>
      <c r="F218" s="61">
        <v>1</v>
      </c>
      <c r="G218" s="61">
        <v>1570</v>
      </c>
      <c r="H218" s="61">
        <v>1570</v>
      </c>
      <c r="I218" s="61"/>
      <c r="J218" s="61" t="s">
        <v>526</v>
      </c>
      <c r="K218" s="132"/>
      <c r="L218" s="132"/>
      <c r="M218" s="19">
        <v>44084</v>
      </c>
      <c r="N218" s="40"/>
      <c r="O218" s="161"/>
      <c r="P218" s="41"/>
      <c r="Q218" s="30"/>
    </row>
    <row r="219" spans="2:17" ht="19.5" customHeight="1" x14ac:dyDescent="0.15">
      <c r="B219" s="132"/>
      <c r="C219" s="38" t="s">
        <v>99</v>
      </c>
      <c r="D219" s="38" t="s">
        <v>99</v>
      </c>
      <c r="E219" s="61" t="s">
        <v>721</v>
      </c>
      <c r="F219" s="61">
        <v>60</v>
      </c>
      <c r="G219" s="61">
        <v>489</v>
      </c>
      <c r="H219" s="61">
        <v>29340</v>
      </c>
      <c r="I219" s="26"/>
      <c r="J219" s="61" t="s">
        <v>40</v>
      </c>
      <c r="K219" s="132"/>
      <c r="L219" s="132"/>
      <c r="M219" s="19">
        <v>44084</v>
      </c>
      <c r="N219" s="40"/>
      <c r="O219" s="161"/>
      <c r="P219" s="41"/>
      <c r="Q219" s="30"/>
    </row>
    <row r="220" spans="2:17" ht="19.5" customHeight="1" x14ac:dyDescent="0.15">
      <c r="B220" s="132"/>
      <c r="C220" s="38" t="s">
        <v>99</v>
      </c>
      <c r="D220" s="38" t="s">
        <v>99</v>
      </c>
      <c r="E220" s="61" t="s">
        <v>722</v>
      </c>
      <c r="F220" s="61">
        <v>4</v>
      </c>
      <c r="G220" s="61">
        <v>320</v>
      </c>
      <c r="H220" s="61">
        <v>1280</v>
      </c>
      <c r="I220" s="26"/>
      <c r="J220" s="61" t="s">
        <v>42</v>
      </c>
      <c r="K220" s="132"/>
      <c r="L220" s="132"/>
      <c r="M220" s="19">
        <v>44084</v>
      </c>
      <c r="N220" s="40"/>
      <c r="O220" s="161"/>
      <c r="P220" s="41"/>
      <c r="Q220" s="30"/>
    </row>
    <row r="221" spans="2:17" ht="19.5" customHeight="1" x14ac:dyDescent="0.15">
      <c r="B221" s="132"/>
      <c r="C221" s="38" t="s">
        <v>99</v>
      </c>
      <c r="D221" s="38" t="s">
        <v>99</v>
      </c>
      <c r="E221" s="61" t="s">
        <v>730</v>
      </c>
      <c r="F221" s="61">
        <v>8</v>
      </c>
      <c r="G221" s="61">
        <v>1760</v>
      </c>
      <c r="H221" s="61">
        <v>14080</v>
      </c>
      <c r="I221" s="26"/>
      <c r="J221" s="61" t="s">
        <v>43</v>
      </c>
      <c r="K221" s="132"/>
      <c r="L221" s="132"/>
      <c r="M221" s="19">
        <v>44084</v>
      </c>
      <c r="N221" s="40"/>
      <c r="O221" s="161"/>
      <c r="P221" s="41"/>
      <c r="Q221" s="30"/>
    </row>
    <row r="222" spans="2:17" ht="19.5" customHeight="1" x14ac:dyDescent="0.15">
      <c r="B222" s="132"/>
      <c r="C222" s="38" t="s">
        <v>99</v>
      </c>
      <c r="D222" s="38" t="s">
        <v>99</v>
      </c>
      <c r="E222" s="61" t="s">
        <v>723</v>
      </c>
      <c r="F222" s="61">
        <v>2</v>
      </c>
      <c r="G222" s="61">
        <v>3210</v>
      </c>
      <c r="H222" s="61">
        <v>6420</v>
      </c>
      <c r="I222" s="26"/>
      <c r="J222" s="61" t="s">
        <v>43</v>
      </c>
      <c r="K222" s="132"/>
      <c r="L222" s="132"/>
      <c r="M222" s="19">
        <v>44084</v>
      </c>
      <c r="N222" s="40"/>
      <c r="O222" s="161"/>
      <c r="P222" s="41"/>
      <c r="Q222" s="30"/>
    </row>
    <row r="223" spans="2:17" ht="19.5" customHeight="1" x14ac:dyDescent="0.15">
      <c r="B223" s="132"/>
      <c r="C223" s="38" t="s">
        <v>99</v>
      </c>
      <c r="D223" s="38" t="s">
        <v>99</v>
      </c>
      <c r="E223" s="61" t="s">
        <v>724</v>
      </c>
      <c r="F223" s="61">
        <v>5</v>
      </c>
      <c r="G223" s="61">
        <v>4930</v>
      </c>
      <c r="H223" s="61">
        <v>24650</v>
      </c>
      <c r="I223" s="26"/>
      <c r="J223" s="61" t="s">
        <v>43</v>
      </c>
      <c r="K223" s="132"/>
      <c r="L223" s="132"/>
      <c r="M223" s="19">
        <v>44084</v>
      </c>
      <c r="N223" s="40"/>
      <c r="O223" s="161"/>
      <c r="P223" s="41"/>
      <c r="Q223" s="30"/>
    </row>
    <row r="224" spans="2:17" ht="19.5" customHeight="1" x14ac:dyDescent="0.15">
      <c r="B224" s="132"/>
      <c r="C224" s="38" t="s">
        <v>99</v>
      </c>
      <c r="D224" s="38" t="s">
        <v>99</v>
      </c>
      <c r="E224" s="61" t="s">
        <v>725</v>
      </c>
      <c r="F224" s="61">
        <v>2</v>
      </c>
      <c r="G224" s="61">
        <v>5880</v>
      </c>
      <c r="H224" s="61">
        <v>11760</v>
      </c>
      <c r="I224" s="26"/>
      <c r="J224" s="61" t="s">
        <v>43</v>
      </c>
      <c r="K224" s="132"/>
      <c r="L224" s="132"/>
      <c r="M224" s="19">
        <v>44084</v>
      </c>
      <c r="N224" s="40"/>
      <c r="O224" s="161"/>
      <c r="P224" s="41"/>
      <c r="Q224" s="30"/>
    </row>
    <row r="225" spans="2:17" ht="19.5" customHeight="1" x14ac:dyDescent="0.15">
      <c r="B225" s="132"/>
      <c r="C225" s="38" t="s">
        <v>99</v>
      </c>
      <c r="D225" s="38" t="s">
        <v>99</v>
      </c>
      <c r="E225" s="61" t="s">
        <v>729</v>
      </c>
      <c r="F225" s="61">
        <v>7</v>
      </c>
      <c r="G225" s="61">
        <v>2170</v>
      </c>
      <c r="H225" s="61">
        <f>F225*G225</f>
        <v>15190</v>
      </c>
      <c r="I225" s="26"/>
      <c r="J225" s="61" t="s">
        <v>726</v>
      </c>
      <c r="K225" s="132"/>
      <c r="L225" s="132"/>
      <c r="M225" s="19">
        <v>44084</v>
      </c>
      <c r="N225" s="40"/>
      <c r="O225" s="161"/>
      <c r="P225" s="41"/>
      <c r="Q225" s="30"/>
    </row>
    <row r="226" spans="2:17" ht="19.5" customHeight="1" x14ac:dyDescent="0.15">
      <c r="B226" s="132"/>
      <c r="C226" s="38" t="s">
        <v>99</v>
      </c>
      <c r="D226" s="38" t="s">
        <v>99</v>
      </c>
      <c r="E226" s="61" t="s">
        <v>728</v>
      </c>
      <c r="F226" s="61">
        <v>1</v>
      </c>
      <c r="G226" s="61">
        <v>2500</v>
      </c>
      <c r="H226" s="61">
        <f>F226*G226</f>
        <v>2500</v>
      </c>
      <c r="I226" s="35"/>
      <c r="J226" s="61" t="s">
        <v>727</v>
      </c>
      <c r="K226" s="132"/>
      <c r="L226" s="132"/>
      <c r="M226" s="19">
        <v>44084</v>
      </c>
      <c r="N226" s="61"/>
      <c r="O226" s="132"/>
      <c r="P226" s="41"/>
      <c r="Q226" s="30"/>
    </row>
    <row r="227" spans="2:17" s="89" customFormat="1" ht="19.5" customHeight="1" x14ac:dyDescent="0.15">
      <c r="B227" s="132"/>
      <c r="C227" s="38" t="s">
        <v>99</v>
      </c>
      <c r="D227" s="38" t="s">
        <v>99</v>
      </c>
      <c r="E227" s="61" t="s">
        <v>734</v>
      </c>
      <c r="F227" s="61">
        <v>2</v>
      </c>
      <c r="G227" s="61">
        <v>3430</v>
      </c>
      <c r="H227" s="61">
        <v>6860</v>
      </c>
      <c r="I227" s="62"/>
      <c r="J227" s="61" t="s">
        <v>352</v>
      </c>
      <c r="K227" s="132"/>
      <c r="L227" s="38"/>
      <c r="M227" s="47">
        <v>44085</v>
      </c>
      <c r="N227" s="61"/>
      <c r="O227" s="132"/>
      <c r="P227" s="95"/>
      <c r="Q227" s="12"/>
    </row>
    <row r="228" spans="2:17" s="89" customFormat="1" ht="19.5" customHeight="1" x14ac:dyDescent="0.15">
      <c r="B228" s="132"/>
      <c r="C228" s="38" t="s">
        <v>99</v>
      </c>
      <c r="D228" s="38" t="s">
        <v>99</v>
      </c>
      <c r="E228" s="61" t="s">
        <v>735</v>
      </c>
      <c r="F228" s="61">
        <v>2</v>
      </c>
      <c r="G228" s="61">
        <v>3430</v>
      </c>
      <c r="H228" s="61">
        <v>6860</v>
      </c>
      <c r="I228" s="164"/>
      <c r="J228" s="61" t="s">
        <v>507</v>
      </c>
      <c r="K228" s="132"/>
      <c r="L228" s="49"/>
      <c r="M228" s="47">
        <v>44085</v>
      </c>
      <c r="N228" s="61"/>
      <c r="O228" s="132"/>
      <c r="P228" s="95"/>
      <c r="Q228" s="12"/>
    </row>
    <row r="229" spans="2:17" s="89" customFormat="1" ht="19.5" customHeight="1" x14ac:dyDescent="0.15">
      <c r="B229" s="132"/>
      <c r="C229" s="38" t="s">
        <v>99</v>
      </c>
      <c r="D229" s="38" t="s">
        <v>99</v>
      </c>
      <c r="E229" s="61" t="s">
        <v>736</v>
      </c>
      <c r="F229" s="61">
        <v>4</v>
      </c>
      <c r="G229" s="61">
        <v>4806</v>
      </c>
      <c r="H229" s="61">
        <v>19224</v>
      </c>
      <c r="I229" s="61"/>
      <c r="J229" s="61" t="s">
        <v>506</v>
      </c>
      <c r="K229" s="132"/>
      <c r="L229" s="132"/>
      <c r="M229" s="47">
        <v>44085</v>
      </c>
      <c r="N229" s="61"/>
      <c r="O229" s="132"/>
      <c r="P229" s="95"/>
      <c r="Q229" s="12"/>
    </row>
    <row r="230" spans="2:17" s="89" customFormat="1" ht="19.5" customHeight="1" x14ac:dyDescent="0.15">
      <c r="B230" s="132"/>
      <c r="C230" s="38" t="s">
        <v>99</v>
      </c>
      <c r="D230" s="38" t="s">
        <v>99</v>
      </c>
      <c r="E230" s="61" t="s">
        <v>686</v>
      </c>
      <c r="F230" s="61">
        <v>4</v>
      </c>
      <c r="G230" s="61">
        <v>6000</v>
      </c>
      <c r="H230" s="61">
        <v>24000</v>
      </c>
      <c r="I230" s="61"/>
      <c r="J230" s="61" t="s">
        <v>226</v>
      </c>
      <c r="K230" s="132"/>
      <c r="L230" s="132"/>
      <c r="M230" s="47">
        <v>44085</v>
      </c>
      <c r="N230" s="61"/>
      <c r="O230" s="132"/>
      <c r="P230" s="95"/>
      <c r="Q230" s="12"/>
    </row>
    <row r="231" spans="2:17" ht="19.5" customHeight="1" x14ac:dyDescent="0.15">
      <c r="B231" s="132"/>
      <c r="C231" s="38" t="s">
        <v>99</v>
      </c>
      <c r="D231" s="38" t="s">
        <v>99</v>
      </c>
      <c r="E231" s="61" t="s">
        <v>55</v>
      </c>
      <c r="F231" s="61">
        <v>5</v>
      </c>
      <c r="G231" s="61">
        <v>1889</v>
      </c>
      <c r="H231" s="61">
        <v>9445</v>
      </c>
      <c r="I231" s="26"/>
      <c r="J231" s="61" t="s">
        <v>58</v>
      </c>
      <c r="K231" s="132"/>
      <c r="L231" s="132"/>
      <c r="M231" s="19">
        <v>44089</v>
      </c>
      <c r="N231" s="61"/>
      <c r="O231" s="132"/>
      <c r="P231" s="41"/>
      <c r="Q231" s="30"/>
    </row>
    <row r="232" spans="2:17" ht="19.5" customHeight="1" x14ac:dyDescent="0.15">
      <c r="B232" s="132"/>
      <c r="C232" s="38" t="s">
        <v>99</v>
      </c>
      <c r="D232" s="38" t="s">
        <v>99</v>
      </c>
      <c r="E232" s="61" t="s">
        <v>739</v>
      </c>
      <c r="F232" s="61">
        <v>2</v>
      </c>
      <c r="G232" s="61">
        <v>425</v>
      </c>
      <c r="H232" s="61">
        <v>850</v>
      </c>
      <c r="I232" s="26"/>
      <c r="J232" s="61" t="s">
        <v>744</v>
      </c>
      <c r="K232" s="132"/>
      <c r="L232" s="132"/>
      <c r="M232" s="19">
        <v>44089</v>
      </c>
      <c r="N232" s="61"/>
      <c r="O232" s="132"/>
      <c r="P232" s="41"/>
      <c r="Q232" s="30"/>
    </row>
    <row r="233" spans="2:17" s="89" customFormat="1" ht="19.5" customHeight="1" x14ac:dyDescent="0.15">
      <c r="B233" s="132"/>
      <c r="C233" s="38" t="s">
        <v>99</v>
      </c>
      <c r="D233" s="38" t="s">
        <v>99</v>
      </c>
      <c r="E233" s="61" t="s">
        <v>740</v>
      </c>
      <c r="F233" s="61">
        <v>1</v>
      </c>
      <c r="G233" s="61">
        <v>16407</v>
      </c>
      <c r="H233" s="61">
        <v>16407</v>
      </c>
      <c r="I233" s="26"/>
      <c r="J233" s="61" t="s">
        <v>745</v>
      </c>
      <c r="K233" s="132"/>
      <c r="L233" s="132"/>
      <c r="M233" s="19">
        <v>44089</v>
      </c>
      <c r="N233" s="61"/>
      <c r="O233" s="132"/>
      <c r="P233" s="95"/>
      <c r="Q233" s="12"/>
    </row>
    <row r="234" spans="2:17" s="89" customFormat="1" ht="19.5" customHeight="1" x14ac:dyDescent="0.15">
      <c r="B234" s="132"/>
      <c r="C234" s="38" t="s">
        <v>99</v>
      </c>
      <c r="D234" s="38" t="s">
        <v>99</v>
      </c>
      <c r="E234" s="61" t="s">
        <v>741</v>
      </c>
      <c r="F234" s="61">
        <v>1</v>
      </c>
      <c r="G234" s="61">
        <v>20700</v>
      </c>
      <c r="H234" s="61">
        <v>20700</v>
      </c>
      <c r="I234" s="26"/>
      <c r="J234" s="61" t="s">
        <v>746</v>
      </c>
      <c r="K234" s="132"/>
      <c r="L234" s="132"/>
      <c r="M234" s="19">
        <v>44089</v>
      </c>
      <c r="N234" s="61"/>
      <c r="O234" s="132"/>
      <c r="P234" s="95"/>
      <c r="Q234" s="12"/>
    </row>
    <row r="235" spans="2:17" s="89" customFormat="1" ht="19.5" customHeight="1" x14ac:dyDescent="0.15">
      <c r="B235" s="132"/>
      <c r="C235" s="38" t="s">
        <v>99</v>
      </c>
      <c r="D235" s="38" t="s">
        <v>99</v>
      </c>
      <c r="E235" s="61" t="s">
        <v>737</v>
      </c>
      <c r="F235" s="61">
        <v>1</v>
      </c>
      <c r="G235" s="61">
        <v>8036</v>
      </c>
      <c r="H235" s="61">
        <v>8036</v>
      </c>
      <c r="I235" s="26"/>
      <c r="J235" s="61" t="s">
        <v>747</v>
      </c>
      <c r="K235" s="132"/>
      <c r="L235" s="132"/>
      <c r="M235" s="19">
        <v>44089</v>
      </c>
      <c r="N235" s="61"/>
      <c r="O235" s="132"/>
      <c r="P235" s="95"/>
      <c r="Q235" s="12"/>
    </row>
    <row r="236" spans="2:17" s="89" customFormat="1" ht="19.5" customHeight="1" x14ac:dyDescent="0.15">
      <c r="B236" s="132"/>
      <c r="C236" s="38" t="s">
        <v>99</v>
      </c>
      <c r="D236" s="38" t="s">
        <v>99</v>
      </c>
      <c r="E236" s="61" t="s">
        <v>742</v>
      </c>
      <c r="F236" s="61">
        <v>4</v>
      </c>
      <c r="G236" s="61">
        <v>1550</v>
      </c>
      <c r="H236" s="61">
        <v>6200</v>
      </c>
      <c r="I236" s="61"/>
      <c r="J236" s="61" t="s">
        <v>526</v>
      </c>
      <c r="K236" s="132"/>
      <c r="L236" s="132"/>
      <c r="M236" s="19">
        <v>44089</v>
      </c>
      <c r="N236" s="61"/>
      <c r="O236" s="132"/>
      <c r="P236" s="95"/>
      <c r="Q236" s="12"/>
    </row>
    <row r="237" spans="2:17" s="89" customFormat="1" ht="19.5" customHeight="1" x14ac:dyDescent="0.15">
      <c r="B237" s="132"/>
      <c r="C237" s="38" t="s">
        <v>99</v>
      </c>
      <c r="D237" s="38" t="s">
        <v>99</v>
      </c>
      <c r="E237" s="103">
        <v>437</v>
      </c>
      <c r="F237" s="61">
        <v>2</v>
      </c>
      <c r="G237" s="61">
        <v>527</v>
      </c>
      <c r="H237" s="61">
        <v>1054</v>
      </c>
      <c r="I237" s="61"/>
      <c r="J237" s="61" t="s">
        <v>60</v>
      </c>
      <c r="K237" s="132"/>
      <c r="L237" s="132"/>
      <c r="M237" s="19">
        <v>44089</v>
      </c>
      <c r="N237" s="61"/>
      <c r="O237" s="132"/>
      <c r="P237" s="95"/>
      <c r="Q237" s="12"/>
    </row>
    <row r="238" spans="2:17" s="89" customFormat="1" ht="19.5" customHeight="1" x14ac:dyDescent="0.15">
      <c r="B238" s="132"/>
      <c r="C238" s="38" t="s">
        <v>99</v>
      </c>
      <c r="D238" s="38" t="s">
        <v>99</v>
      </c>
      <c r="E238" s="61" t="s">
        <v>289</v>
      </c>
      <c r="F238" s="61">
        <v>2</v>
      </c>
      <c r="G238" s="61">
        <v>3789</v>
      </c>
      <c r="H238" s="61">
        <v>7578</v>
      </c>
      <c r="I238" s="26"/>
      <c r="J238" s="61" t="s">
        <v>294</v>
      </c>
      <c r="K238" s="132"/>
      <c r="L238" s="132"/>
      <c r="M238" s="19">
        <v>44089</v>
      </c>
      <c r="N238" s="61"/>
      <c r="O238" s="132"/>
      <c r="P238" s="95"/>
      <c r="Q238" s="12"/>
    </row>
    <row r="239" spans="2:17" s="89" customFormat="1" ht="19.5" customHeight="1" x14ac:dyDescent="0.15">
      <c r="B239" s="132"/>
      <c r="C239" s="38" t="s">
        <v>99</v>
      </c>
      <c r="D239" s="38" t="s">
        <v>99</v>
      </c>
      <c r="E239" s="61" t="s">
        <v>291</v>
      </c>
      <c r="F239" s="61">
        <v>2</v>
      </c>
      <c r="G239" s="61">
        <v>969</v>
      </c>
      <c r="H239" s="61">
        <v>1938</v>
      </c>
      <c r="I239" s="26"/>
      <c r="J239" s="61" t="s">
        <v>293</v>
      </c>
      <c r="K239" s="132"/>
      <c r="L239" s="132"/>
      <c r="M239" s="19">
        <v>44089</v>
      </c>
      <c r="N239" s="61"/>
      <c r="O239" s="132"/>
      <c r="P239" s="95"/>
      <c r="Q239" s="12"/>
    </row>
    <row r="240" spans="2:17" s="89" customFormat="1" ht="19.5" customHeight="1" x14ac:dyDescent="0.15">
      <c r="B240" s="132"/>
      <c r="C240" s="38" t="s">
        <v>99</v>
      </c>
      <c r="D240" s="38" t="s">
        <v>99</v>
      </c>
      <c r="E240" s="61" t="s">
        <v>292</v>
      </c>
      <c r="F240" s="61">
        <v>2</v>
      </c>
      <c r="G240" s="61">
        <v>298</v>
      </c>
      <c r="H240" s="61">
        <v>596</v>
      </c>
      <c r="I240" s="26"/>
      <c r="J240" s="61" t="s">
        <v>293</v>
      </c>
      <c r="K240" s="132"/>
      <c r="L240" s="132"/>
      <c r="M240" s="19">
        <v>44089</v>
      </c>
      <c r="N240" s="61"/>
      <c r="O240" s="132"/>
      <c r="P240" s="95"/>
      <c r="Q240" s="12"/>
    </row>
    <row r="241" spans="2:17" s="89" customFormat="1" ht="19.5" customHeight="1" x14ac:dyDescent="0.15">
      <c r="B241" s="132"/>
      <c r="C241" s="38" t="s">
        <v>99</v>
      </c>
      <c r="D241" s="38" t="s">
        <v>99</v>
      </c>
      <c r="E241" s="61" t="s">
        <v>743</v>
      </c>
      <c r="F241" s="61">
        <v>1</v>
      </c>
      <c r="G241" s="61">
        <v>3224</v>
      </c>
      <c r="H241" s="61">
        <v>3224</v>
      </c>
      <c r="I241" s="26"/>
      <c r="J241" s="61" t="s">
        <v>748</v>
      </c>
      <c r="K241" s="132"/>
      <c r="L241" s="132"/>
      <c r="M241" s="19">
        <v>44089</v>
      </c>
      <c r="N241" s="61"/>
      <c r="O241" s="132"/>
      <c r="P241" s="95"/>
      <c r="Q241" s="12"/>
    </row>
    <row r="242" spans="2:17" s="89" customFormat="1" ht="20.100000000000001" customHeight="1" x14ac:dyDescent="0.15">
      <c r="B242" s="132"/>
      <c r="C242" s="132" t="s">
        <v>99</v>
      </c>
      <c r="D242" s="132" t="s">
        <v>99</v>
      </c>
      <c r="E242" s="61" t="s">
        <v>750</v>
      </c>
      <c r="F242" s="61">
        <v>10</v>
      </c>
      <c r="G242" s="61">
        <v>1470</v>
      </c>
      <c r="H242" s="61">
        <v>14700</v>
      </c>
      <c r="I242" s="26"/>
      <c r="J242" s="61" t="s">
        <v>588</v>
      </c>
      <c r="K242" s="132"/>
      <c r="L242" s="132"/>
      <c r="M242" s="19">
        <v>44089</v>
      </c>
      <c r="N242" s="61"/>
      <c r="O242" s="132"/>
      <c r="P242" s="95"/>
      <c r="Q242" s="12"/>
    </row>
    <row r="243" spans="2:17" s="89" customFormat="1" ht="19.5" customHeight="1" x14ac:dyDescent="0.15">
      <c r="B243" s="132"/>
      <c r="C243" s="132" t="s">
        <v>99</v>
      </c>
      <c r="D243" s="132" t="s">
        <v>99</v>
      </c>
      <c r="E243" s="61" t="s">
        <v>752</v>
      </c>
      <c r="F243" s="61">
        <v>1</v>
      </c>
      <c r="G243" s="61">
        <v>9570</v>
      </c>
      <c r="H243" s="61">
        <v>9570</v>
      </c>
      <c r="I243" s="26"/>
      <c r="J243" s="61" t="s">
        <v>754</v>
      </c>
      <c r="K243" s="132"/>
      <c r="L243" s="132"/>
      <c r="M243" s="19">
        <v>44090</v>
      </c>
      <c r="N243" s="61"/>
      <c r="O243" s="132"/>
      <c r="P243" s="95"/>
      <c r="Q243" s="12"/>
    </row>
    <row r="244" spans="2:17" s="89" customFormat="1" ht="19.5" customHeight="1" x14ac:dyDescent="0.15">
      <c r="B244" s="132"/>
      <c r="C244" s="132" t="s">
        <v>99</v>
      </c>
      <c r="D244" s="132" t="s">
        <v>99</v>
      </c>
      <c r="E244" s="61" t="s">
        <v>753</v>
      </c>
      <c r="F244" s="61">
        <v>1</v>
      </c>
      <c r="G244" s="61">
        <v>10960</v>
      </c>
      <c r="H244" s="61">
        <v>10960</v>
      </c>
      <c r="I244" s="26"/>
      <c r="J244" s="61" t="s">
        <v>755</v>
      </c>
      <c r="K244" s="132"/>
      <c r="L244" s="132"/>
      <c r="M244" s="19">
        <v>44090</v>
      </c>
      <c r="N244" s="61"/>
      <c r="O244" s="132"/>
      <c r="P244" s="95"/>
      <c r="Q244" s="12"/>
    </row>
    <row r="245" spans="2:17" s="89" customFormat="1" ht="19.5" customHeight="1" x14ac:dyDescent="0.15">
      <c r="B245" s="132"/>
      <c r="C245" s="132" t="s">
        <v>99</v>
      </c>
      <c r="D245" s="132" t="s">
        <v>99</v>
      </c>
      <c r="E245" s="61" t="s">
        <v>756</v>
      </c>
      <c r="F245" s="61">
        <v>4</v>
      </c>
      <c r="G245" s="61">
        <v>1570</v>
      </c>
      <c r="H245" s="61">
        <v>6280</v>
      </c>
      <c r="I245" s="35"/>
      <c r="J245" s="61" t="s">
        <v>759</v>
      </c>
      <c r="K245" s="132"/>
      <c r="L245" s="132"/>
      <c r="M245" s="19">
        <v>44090</v>
      </c>
      <c r="N245" s="61"/>
      <c r="O245" s="132"/>
      <c r="P245" s="95"/>
      <c r="Q245" s="12"/>
    </row>
    <row r="246" spans="2:17" s="89" customFormat="1" ht="19.5" customHeight="1" x14ac:dyDescent="0.15">
      <c r="B246" s="132"/>
      <c r="C246" s="132" t="s">
        <v>99</v>
      </c>
      <c r="D246" s="132" t="s">
        <v>99</v>
      </c>
      <c r="E246" s="61" t="s">
        <v>757</v>
      </c>
      <c r="F246" s="61">
        <v>8</v>
      </c>
      <c r="G246" s="61">
        <v>360</v>
      </c>
      <c r="H246" s="61">
        <v>2880</v>
      </c>
      <c r="I246" s="62"/>
      <c r="J246" s="61" t="s">
        <v>758</v>
      </c>
      <c r="K246" s="132"/>
      <c r="L246" s="132"/>
      <c r="M246" s="19">
        <v>44090</v>
      </c>
      <c r="N246" s="61"/>
      <c r="O246" s="132"/>
      <c r="P246" s="95"/>
      <c r="Q246" s="12"/>
    </row>
    <row r="247" spans="2:17" s="89" customFormat="1" ht="19.5" customHeight="1" x14ac:dyDescent="0.15">
      <c r="B247" s="132"/>
      <c r="C247" s="165" t="s">
        <v>99</v>
      </c>
      <c r="D247" s="165" t="s">
        <v>99</v>
      </c>
      <c r="E247" s="166" t="s">
        <v>760</v>
      </c>
      <c r="F247" s="166">
        <v>4</v>
      </c>
      <c r="G247" s="166">
        <v>3090</v>
      </c>
      <c r="H247" s="166">
        <v>12360</v>
      </c>
      <c r="I247" s="167"/>
      <c r="J247" s="89" t="s">
        <v>761</v>
      </c>
      <c r="K247" s="165"/>
      <c r="L247" s="168"/>
      <c r="M247" s="169">
        <v>44091</v>
      </c>
      <c r="N247" s="61"/>
      <c r="O247" s="132"/>
      <c r="P247" s="95"/>
      <c r="Q247" s="12"/>
    </row>
    <row r="248" spans="2:17" s="89" customFormat="1" ht="19.5" customHeight="1" x14ac:dyDescent="0.15">
      <c r="B248" s="132"/>
      <c r="C248" s="132" t="s">
        <v>99</v>
      </c>
      <c r="D248" s="132" t="s">
        <v>99</v>
      </c>
      <c r="E248" s="40" t="s">
        <v>37</v>
      </c>
      <c r="F248" s="40">
        <v>3</v>
      </c>
      <c r="G248" s="40">
        <v>8179</v>
      </c>
      <c r="H248" s="40">
        <v>24537</v>
      </c>
      <c r="I248" s="61"/>
      <c r="J248" s="61" t="s">
        <v>44</v>
      </c>
      <c r="K248" s="132"/>
      <c r="L248" s="132"/>
      <c r="M248" s="47">
        <v>44092</v>
      </c>
      <c r="N248" s="61"/>
      <c r="O248" s="132"/>
      <c r="P248" s="95"/>
      <c r="Q248" s="12"/>
    </row>
    <row r="249" spans="2:17" s="89" customFormat="1" ht="19.5" customHeight="1" x14ac:dyDescent="0.15">
      <c r="B249" s="132"/>
      <c r="C249" s="132" t="s">
        <v>99</v>
      </c>
      <c r="D249" s="132" t="s">
        <v>99</v>
      </c>
      <c r="E249" s="40" t="s">
        <v>764</v>
      </c>
      <c r="F249" s="40">
        <v>8</v>
      </c>
      <c r="G249" s="40">
        <v>369</v>
      </c>
      <c r="H249" s="40">
        <v>2952</v>
      </c>
      <c r="I249" s="61"/>
      <c r="J249" s="61" t="s">
        <v>271</v>
      </c>
      <c r="K249" s="132"/>
      <c r="L249" s="132"/>
      <c r="M249" s="47">
        <v>44092</v>
      </c>
      <c r="N249" s="61"/>
      <c r="O249" s="132"/>
      <c r="P249" s="95"/>
      <c r="Q249" s="12"/>
    </row>
    <row r="250" spans="2:17" s="89" customFormat="1" ht="19.5" customHeight="1" x14ac:dyDescent="0.15">
      <c r="B250" s="132"/>
      <c r="C250" s="132" t="s">
        <v>99</v>
      </c>
      <c r="D250" s="132" t="s">
        <v>99</v>
      </c>
      <c r="E250" s="40" t="s">
        <v>765</v>
      </c>
      <c r="F250" s="40">
        <v>8</v>
      </c>
      <c r="G250" s="40">
        <v>369</v>
      </c>
      <c r="H250" s="40">
        <v>2952</v>
      </c>
      <c r="I250" s="26"/>
      <c r="J250" s="61" t="s">
        <v>271</v>
      </c>
      <c r="K250" s="132"/>
      <c r="L250" s="132"/>
      <c r="M250" s="47">
        <v>44092</v>
      </c>
      <c r="N250" s="61"/>
      <c r="O250" s="132"/>
      <c r="P250" s="95"/>
      <c r="Q250" s="12"/>
    </row>
    <row r="251" spans="2:17" s="89" customFormat="1" ht="19.5" customHeight="1" x14ac:dyDescent="0.15">
      <c r="B251" s="132"/>
      <c r="C251" s="132" t="s">
        <v>99</v>
      </c>
      <c r="D251" s="132" t="s">
        <v>99</v>
      </c>
      <c r="E251" s="40" t="s">
        <v>766</v>
      </c>
      <c r="F251" s="40">
        <v>2</v>
      </c>
      <c r="G251" s="40">
        <v>14501</v>
      </c>
      <c r="H251" s="40">
        <v>29002</v>
      </c>
      <c r="I251" s="26"/>
      <c r="J251" s="61" t="s">
        <v>767</v>
      </c>
      <c r="K251" s="132"/>
      <c r="L251" s="132"/>
      <c r="M251" s="47">
        <v>44092</v>
      </c>
      <c r="N251" s="61"/>
      <c r="O251" s="132"/>
      <c r="P251" s="95"/>
      <c r="Q251" s="12"/>
    </row>
    <row r="252" spans="2:17" s="89" customFormat="1" ht="19.5" customHeight="1" x14ac:dyDescent="0.15">
      <c r="B252" s="132"/>
      <c r="C252" s="132" t="s">
        <v>99</v>
      </c>
      <c r="D252" s="165" t="s">
        <v>99</v>
      </c>
      <c r="E252" s="166" t="s">
        <v>868</v>
      </c>
      <c r="F252" s="166">
        <v>8</v>
      </c>
      <c r="G252" s="166">
        <v>1445</v>
      </c>
      <c r="H252" s="166">
        <v>11560</v>
      </c>
      <c r="I252" s="171"/>
      <c r="J252" s="89" t="s">
        <v>774</v>
      </c>
      <c r="K252" s="165"/>
      <c r="L252" s="165"/>
      <c r="M252" s="172">
        <v>44098</v>
      </c>
      <c r="N252" s="61"/>
      <c r="O252" s="132"/>
      <c r="P252" s="95"/>
      <c r="Q252" s="12"/>
    </row>
    <row r="253" spans="2:17" s="89" customFormat="1" ht="19.5" customHeight="1" x14ac:dyDescent="0.15">
      <c r="B253" s="132"/>
      <c r="C253" s="132" t="s">
        <v>99</v>
      </c>
      <c r="D253" s="165" t="s">
        <v>99</v>
      </c>
      <c r="E253" s="61" t="s">
        <v>516</v>
      </c>
      <c r="F253" s="61">
        <v>4</v>
      </c>
      <c r="G253" s="61">
        <v>438</v>
      </c>
      <c r="H253" s="61">
        <v>1752</v>
      </c>
      <c r="I253" s="26"/>
      <c r="J253" s="61" t="s">
        <v>521</v>
      </c>
      <c r="K253" s="132"/>
      <c r="L253" s="132"/>
      <c r="M253" s="19">
        <v>44098</v>
      </c>
      <c r="N253" s="61"/>
      <c r="O253" s="132"/>
      <c r="P253" s="95"/>
      <c r="Q253" s="12"/>
    </row>
    <row r="254" spans="2:17" s="89" customFormat="1" ht="19.5" customHeight="1" x14ac:dyDescent="0.15">
      <c r="B254" s="132"/>
      <c r="C254" s="132" t="s">
        <v>99</v>
      </c>
      <c r="D254" s="165" t="s">
        <v>99</v>
      </c>
      <c r="E254" s="61" t="s">
        <v>515</v>
      </c>
      <c r="F254" s="61">
        <v>2</v>
      </c>
      <c r="G254" s="61">
        <v>298</v>
      </c>
      <c r="H254" s="61">
        <v>596</v>
      </c>
      <c r="I254" s="26"/>
      <c r="J254" s="61" t="s">
        <v>225</v>
      </c>
      <c r="K254" s="132"/>
      <c r="L254" s="132"/>
      <c r="M254" s="19">
        <v>44098</v>
      </c>
      <c r="N254" s="61"/>
      <c r="O254" s="132"/>
      <c r="P254" s="95"/>
      <c r="Q254" s="12"/>
    </row>
    <row r="255" spans="2:17" ht="19.5" customHeight="1" x14ac:dyDescent="0.15">
      <c r="B255" s="132"/>
      <c r="C255" s="132" t="s">
        <v>99</v>
      </c>
      <c r="D255" s="165" t="s">
        <v>99</v>
      </c>
      <c r="E255" s="61" t="s">
        <v>788</v>
      </c>
      <c r="F255" s="61">
        <v>1</v>
      </c>
      <c r="G255" s="61">
        <v>764</v>
      </c>
      <c r="H255" s="61">
        <v>764</v>
      </c>
      <c r="I255" s="26"/>
      <c r="J255" s="61" t="s">
        <v>787</v>
      </c>
      <c r="K255" s="132"/>
      <c r="L255" s="132"/>
      <c r="M255" s="19">
        <v>44103</v>
      </c>
      <c r="N255" s="40"/>
      <c r="O255" s="170"/>
      <c r="P255" s="41"/>
      <c r="Q255" s="30"/>
    </row>
    <row r="256" spans="2:17" ht="19.5" customHeight="1" x14ac:dyDescent="0.15">
      <c r="B256" s="132"/>
      <c r="C256" s="132" t="s">
        <v>99</v>
      </c>
      <c r="D256" s="165" t="s">
        <v>99</v>
      </c>
      <c r="E256" s="61" t="s">
        <v>789</v>
      </c>
      <c r="F256" s="61">
        <v>1</v>
      </c>
      <c r="G256" s="61">
        <v>2080</v>
      </c>
      <c r="H256" s="61">
        <v>2080</v>
      </c>
      <c r="I256" s="26"/>
      <c r="J256" s="61" t="s">
        <v>526</v>
      </c>
      <c r="K256" s="132"/>
      <c r="L256" s="132"/>
      <c r="M256" s="19">
        <v>44103</v>
      </c>
      <c r="N256" s="40"/>
      <c r="O256" s="170"/>
      <c r="P256" s="41"/>
      <c r="Q256" s="30"/>
    </row>
    <row r="257" spans="2:17" ht="19.5" customHeight="1" x14ac:dyDescent="0.15">
      <c r="B257" s="132"/>
      <c r="C257" s="132" t="s">
        <v>99</v>
      </c>
      <c r="D257" s="165" t="s">
        <v>99</v>
      </c>
      <c r="E257" s="61" t="s">
        <v>790</v>
      </c>
      <c r="F257" s="61">
        <v>4</v>
      </c>
      <c r="G257" s="61">
        <v>1440</v>
      </c>
      <c r="H257" s="61">
        <v>5760</v>
      </c>
      <c r="I257" s="26"/>
      <c r="J257" s="61" t="s">
        <v>526</v>
      </c>
      <c r="K257" s="132"/>
      <c r="L257" s="132"/>
      <c r="M257" s="19">
        <v>44103</v>
      </c>
      <c r="N257" s="40"/>
      <c r="O257" s="170"/>
      <c r="P257" s="41"/>
      <c r="Q257" s="30"/>
    </row>
    <row r="258" spans="2:17" s="89" customFormat="1" ht="19.5" customHeight="1" x14ac:dyDescent="0.15">
      <c r="B258" s="132"/>
      <c r="C258" s="132" t="s">
        <v>99</v>
      </c>
      <c r="D258" s="165" t="s">
        <v>99</v>
      </c>
      <c r="E258" s="61" t="s">
        <v>795</v>
      </c>
      <c r="F258" s="61">
        <v>8</v>
      </c>
      <c r="G258" s="61">
        <v>520</v>
      </c>
      <c r="H258" s="61">
        <v>4160</v>
      </c>
      <c r="I258" s="26"/>
      <c r="J258" s="89" t="s">
        <v>85</v>
      </c>
      <c r="K258" s="132"/>
      <c r="L258" s="132"/>
      <c r="M258" s="19">
        <v>44103</v>
      </c>
      <c r="N258" s="61"/>
      <c r="O258" s="132"/>
      <c r="P258" s="95"/>
      <c r="Q258" s="12"/>
    </row>
    <row r="259" spans="2:17" s="89" customFormat="1" ht="19.5" customHeight="1" x14ac:dyDescent="0.15">
      <c r="B259" s="132"/>
      <c r="C259" s="132" t="s">
        <v>99</v>
      </c>
      <c r="D259" s="165" t="s">
        <v>99</v>
      </c>
      <c r="E259" s="61" t="s">
        <v>798</v>
      </c>
      <c r="F259" s="61">
        <v>3</v>
      </c>
      <c r="G259" s="61">
        <v>13679</v>
      </c>
      <c r="H259" s="61">
        <v>41037</v>
      </c>
      <c r="I259" s="35"/>
      <c r="J259" s="61" t="s">
        <v>662</v>
      </c>
      <c r="K259" s="132"/>
      <c r="L259" s="132"/>
      <c r="M259" s="19">
        <v>44103</v>
      </c>
      <c r="N259" s="61"/>
      <c r="O259" s="132"/>
      <c r="P259" s="95"/>
      <c r="Q259" s="12"/>
    </row>
    <row r="260" spans="2:17" s="89" customFormat="1" ht="19.5" customHeight="1" x14ac:dyDescent="0.15">
      <c r="B260" s="3">
        <v>38</v>
      </c>
      <c r="C260" s="3" t="s">
        <v>803</v>
      </c>
      <c r="D260" s="3" t="s">
        <v>803</v>
      </c>
      <c r="E260" s="103" t="s">
        <v>804</v>
      </c>
      <c r="F260" s="38">
        <v>1</v>
      </c>
      <c r="G260" s="189">
        <v>16900</v>
      </c>
      <c r="H260" s="189">
        <v>16900</v>
      </c>
      <c r="I260" s="190"/>
      <c r="J260" s="103" t="s">
        <v>805</v>
      </c>
      <c r="K260" s="103"/>
      <c r="L260" s="132" t="s">
        <v>835</v>
      </c>
      <c r="M260" s="10">
        <v>44084</v>
      </c>
      <c r="N260" s="3"/>
      <c r="O260" s="132"/>
      <c r="P260" s="10"/>
      <c r="Q260" s="12">
        <v>44105</v>
      </c>
    </row>
    <row r="261" spans="2:17" s="89" customFormat="1" ht="19.5" customHeight="1" x14ac:dyDescent="0.15">
      <c r="B261" s="191">
        <v>38</v>
      </c>
      <c r="C261" s="16" t="s">
        <v>803</v>
      </c>
      <c r="D261" s="16" t="s">
        <v>803</v>
      </c>
      <c r="E261" s="210" t="s">
        <v>806</v>
      </c>
      <c r="F261" s="132">
        <v>1</v>
      </c>
      <c r="G261" s="211">
        <v>9200</v>
      </c>
      <c r="H261" s="211">
        <v>9200</v>
      </c>
      <c r="I261" s="212"/>
      <c r="J261" s="211" t="s">
        <v>807</v>
      </c>
      <c r="K261" s="103"/>
      <c r="L261" s="132" t="s">
        <v>835</v>
      </c>
      <c r="M261" s="10">
        <v>44084</v>
      </c>
      <c r="N261" s="3"/>
      <c r="O261" s="47"/>
      <c r="P261" s="10"/>
      <c r="Q261" s="12">
        <v>44105</v>
      </c>
    </row>
    <row r="262" spans="2:17" s="89" customFormat="1" ht="19.5" customHeight="1" x14ac:dyDescent="0.15">
      <c r="B262" s="3">
        <v>38</v>
      </c>
      <c r="C262" s="3" t="s">
        <v>803</v>
      </c>
      <c r="D262" s="3" t="s">
        <v>803</v>
      </c>
      <c r="E262" s="193" t="s">
        <v>808</v>
      </c>
      <c r="F262" s="132">
        <v>1</v>
      </c>
      <c r="G262" s="189">
        <v>3000</v>
      </c>
      <c r="H262" s="189">
        <v>3000</v>
      </c>
      <c r="I262" s="132"/>
      <c r="J262" s="61" t="s">
        <v>809</v>
      </c>
      <c r="K262" s="103"/>
      <c r="L262" s="132" t="s">
        <v>835</v>
      </c>
      <c r="M262" s="10">
        <v>44084</v>
      </c>
      <c r="N262" s="3"/>
      <c r="O262" s="47"/>
      <c r="P262" s="10"/>
      <c r="Q262" s="12">
        <v>44105</v>
      </c>
    </row>
    <row r="263" spans="2:17" s="89" customFormat="1" ht="19.5" customHeight="1" x14ac:dyDescent="0.15">
      <c r="B263" s="3">
        <v>38</v>
      </c>
      <c r="C263" s="3" t="s">
        <v>810</v>
      </c>
      <c r="D263" s="3" t="s">
        <v>810</v>
      </c>
      <c r="E263" s="194" t="s">
        <v>811</v>
      </c>
      <c r="F263" s="132">
        <v>1</v>
      </c>
      <c r="G263" s="189">
        <v>12900</v>
      </c>
      <c r="H263" s="189">
        <v>12900</v>
      </c>
      <c r="I263" s="132"/>
      <c r="J263" s="61" t="s">
        <v>812</v>
      </c>
      <c r="K263" s="103"/>
      <c r="L263" s="132" t="s">
        <v>835</v>
      </c>
      <c r="M263" s="10">
        <v>44084</v>
      </c>
      <c r="N263" s="3"/>
      <c r="O263" s="47"/>
      <c r="P263" s="10"/>
      <c r="Q263" s="12">
        <v>44088</v>
      </c>
    </row>
    <row r="264" spans="2:17" ht="19.5" customHeight="1" x14ac:dyDescent="0.15">
      <c r="B264" s="3">
        <v>38</v>
      </c>
      <c r="C264" s="3" t="s">
        <v>810</v>
      </c>
      <c r="D264" s="3" t="s">
        <v>810</v>
      </c>
      <c r="E264" s="61" t="s">
        <v>550</v>
      </c>
      <c r="F264" s="132">
        <v>1</v>
      </c>
      <c r="G264" s="189">
        <v>12800</v>
      </c>
      <c r="H264" s="192">
        <v>12800</v>
      </c>
      <c r="I264" s="190"/>
      <c r="J264" s="61" t="s">
        <v>813</v>
      </c>
      <c r="K264" s="103"/>
      <c r="L264" s="132" t="s">
        <v>835</v>
      </c>
      <c r="M264" s="10">
        <v>44084</v>
      </c>
      <c r="N264" s="3"/>
      <c r="O264" s="47"/>
      <c r="P264" s="10"/>
      <c r="Q264" s="12">
        <v>44088</v>
      </c>
    </row>
    <row r="265" spans="2:17" ht="19.5" customHeight="1" x14ac:dyDescent="0.15">
      <c r="B265" s="3">
        <v>38</v>
      </c>
      <c r="C265" s="3" t="s">
        <v>814</v>
      </c>
      <c r="D265" s="3" t="s">
        <v>814</v>
      </c>
      <c r="E265" s="61" t="s">
        <v>815</v>
      </c>
      <c r="F265" s="132">
        <v>1</v>
      </c>
      <c r="G265" s="189">
        <v>66</v>
      </c>
      <c r="H265" s="189">
        <v>66</v>
      </c>
      <c r="I265" s="190"/>
      <c r="J265" s="61" t="s">
        <v>816</v>
      </c>
      <c r="K265" s="103"/>
      <c r="L265" s="132" t="s">
        <v>835</v>
      </c>
      <c r="M265" s="10">
        <v>44085</v>
      </c>
      <c r="N265" s="3"/>
      <c r="O265" s="47"/>
      <c r="P265" s="10"/>
      <c r="Q265" s="12">
        <v>44088</v>
      </c>
    </row>
    <row r="266" spans="2:17" s="89" customFormat="1" ht="19.5" customHeight="1" x14ac:dyDescent="0.15">
      <c r="B266" s="191">
        <v>38</v>
      </c>
      <c r="C266" s="16" t="s">
        <v>814</v>
      </c>
      <c r="D266" s="16" t="s">
        <v>814</v>
      </c>
      <c r="E266" s="195" t="s">
        <v>817</v>
      </c>
      <c r="F266" s="196">
        <v>1</v>
      </c>
      <c r="G266" s="197">
        <v>200</v>
      </c>
      <c r="H266" s="189">
        <v>200</v>
      </c>
      <c r="I266" s="198"/>
      <c r="J266" s="199" t="s">
        <v>818</v>
      </c>
      <c r="K266" s="132"/>
      <c r="L266" s="132" t="s">
        <v>835</v>
      </c>
      <c r="M266" s="10">
        <v>44085</v>
      </c>
      <c r="N266" s="3"/>
      <c r="O266" s="47"/>
      <c r="P266" s="10"/>
      <c r="Q266" s="12">
        <v>44088</v>
      </c>
    </row>
    <row r="267" spans="2:17" s="89" customFormat="1" ht="19.5" customHeight="1" x14ac:dyDescent="0.15">
      <c r="B267" s="3">
        <v>38</v>
      </c>
      <c r="C267" s="16" t="s">
        <v>814</v>
      </c>
      <c r="D267" s="16" t="s">
        <v>814</v>
      </c>
      <c r="E267" s="195" t="s">
        <v>819</v>
      </c>
      <c r="F267" s="196">
        <v>1</v>
      </c>
      <c r="G267" s="197">
        <v>190</v>
      </c>
      <c r="H267" s="192">
        <v>190</v>
      </c>
      <c r="I267" s="198"/>
      <c r="J267" s="199" t="s">
        <v>820</v>
      </c>
      <c r="K267" s="132"/>
      <c r="L267" s="132" t="s">
        <v>835</v>
      </c>
      <c r="M267" s="10">
        <v>44085</v>
      </c>
      <c r="N267" s="3"/>
      <c r="O267" s="47"/>
      <c r="P267" s="10"/>
      <c r="Q267" s="12">
        <v>44088</v>
      </c>
    </row>
    <row r="268" spans="2:17" s="89" customFormat="1" ht="19.5" customHeight="1" x14ac:dyDescent="0.15">
      <c r="B268" s="3">
        <v>38</v>
      </c>
      <c r="C268" s="3" t="s">
        <v>814</v>
      </c>
      <c r="D268" s="3" t="s">
        <v>814</v>
      </c>
      <c r="E268" s="195" t="s">
        <v>821</v>
      </c>
      <c r="F268" s="196">
        <v>0.1</v>
      </c>
      <c r="G268" s="197">
        <v>570</v>
      </c>
      <c r="H268" s="189">
        <v>57</v>
      </c>
      <c r="I268" s="198"/>
      <c r="J268" s="199" t="s">
        <v>822</v>
      </c>
      <c r="K268" s="132" t="s">
        <v>823</v>
      </c>
      <c r="L268" s="132" t="s">
        <v>835</v>
      </c>
      <c r="M268" s="10"/>
      <c r="N268" s="3"/>
      <c r="O268" s="47"/>
      <c r="P268" s="10"/>
      <c r="Q268" s="12"/>
    </row>
    <row r="269" spans="2:17" s="89" customFormat="1" ht="19.5" customHeight="1" x14ac:dyDescent="0.15">
      <c r="B269" s="3">
        <v>38</v>
      </c>
      <c r="C269" s="16" t="s">
        <v>814</v>
      </c>
      <c r="D269" s="16" t="s">
        <v>814</v>
      </c>
      <c r="E269" s="195" t="s">
        <v>824</v>
      </c>
      <c r="F269" s="196">
        <v>0.01</v>
      </c>
      <c r="G269" s="197">
        <v>536</v>
      </c>
      <c r="H269" s="189">
        <v>5.36</v>
      </c>
      <c r="I269" s="198"/>
      <c r="J269" s="199" t="s">
        <v>822</v>
      </c>
      <c r="K269" s="132" t="s">
        <v>823</v>
      </c>
      <c r="L269" s="132" t="s">
        <v>835</v>
      </c>
      <c r="M269" s="10"/>
      <c r="N269" s="3"/>
      <c r="O269" s="47"/>
      <c r="P269" s="10"/>
      <c r="Q269" s="12"/>
    </row>
    <row r="270" spans="2:17" s="89" customFormat="1" ht="19.5" customHeight="1" x14ac:dyDescent="0.15">
      <c r="B270" s="3">
        <v>38</v>
      </c>
      <c r="C270" s="16" t="s">
        <v>814</v>
      </c>
      <c r="D270" s="16" t="s">
        <v>814</v>
      </c>
      <c r="E270" s="195" t="s">
        <v>825</v>
      </c>
      <c r="F270" s="196">
        <v>0.01</v>
      </c>
      <c r="G270" s="197">
        <v>3465</v>
      </c>
      <c r="H270" s="192">
        <v>34.65</v>
      </c>
      <c r="I270" s="198"/>
      <c r="J270" s="200" t="s">
        <v>826</v>
      </c>
      <c r="K270" s="132" t="s">
        <v>823</v>
      </c>
      <c r="L270" s="132" t="s">
        <v>835</v>
      </c>
      <c r="M270" s="10"/>
      <c r="N270" s="3"/>
      <c r="O270" s="47"/>
      <c r="P270" s="10"/>
      <c r="Q270" s="12"/>
    </row>
    <row r="271" spans="2:17" s="89" customFormat="1" ht="19.5" customHeight="1" x14ac:dyDescent="0.15">
      <c r="B271" s="191">
        <v>38</v>
      </c>
      <c r="C271" s="201" t="s">
        <v>827</v>
      </c>
      <c r="D271" s="201" t="s">
        <v>827</v>
      </c>
      <c r="E271" s="195" t="s">
        <v>828</v>
      </c>
      <c r="F271" s="196">
        <v>1</v>
      </c>
      <c r="G271" s="197">
        <v>110</v>
      </c>
      <c r="H271" s="189">
        <v>110</v>
      </c>
      <c r="I271" s="198"/>
      <c r="J271" s="202" t="s">
        <v>829</v>
      </c>
      <c r="K271" s="132"/>
      <c r="L271" s="132" t="s">
        <v>835</v>
      </c>
      <c r="M271" s="10"/>
      <c r="N271" s="3"/>
      <c r="O271" s="47"/>
      <c r="P271" s="10"/>
      <c r="Q271" s="12"/>
    </row>
    <row r="272" spans="2:17" s="89" customFormat="1" ht="19.5" customHeight="1" x14ac:dyDescent="0.15">
      <c r="B272" s="3">
        <v>38</v>
      </c>
      <c r="C272" s="201" t="s">
        <v>827</v>
      </c>
      <c r="D272" s="201" t="s">
        <v>827</v>
      </c>
      <c r="E272" s="195" t="s">
        <v>830</v>
      </c>
      <c r="F272" s="196">
        <v>1</v>
      </c>
      <c r="G272" s="197">
        <v>44</v>
      </c>
      <c r="H272" s="189">
        <v>44</v>
      </c>
      <c r="I272" s="198"/>
      <c r="J272" s="202" t="s">
        <v>831</v>
      </c>
      <c r="K272" s="132"/>
      <c r="L272" s="132" t="s">
        <v>835</v>
      </c>
      <c r="M272" s="10"/>
      <c r="N272" s="3"/>
      <c r="O272" s="47"/>
      <c r="P272" s="10"/>
      <c r="Q272" s="12"/>
    </row>
    <row r="273" spans="2:17" s="89" customFormat="1" ht="19.5" customHeight="1" x14ac:dyDescent="0.15">
      <c r="B273" s="3">
        <v>38</v>
      </c>
      <c r="C273" s="201" t="s">
        <v>827</v>
      </c>
      <c r="D273" s="201" t="s">
        <v>827</v>
      </c>
      <c r="E273" s="204" t="s">
        <v>832</v>
      </c>
      <c r="F273" s="205">
        <v>1</v>
      </c>
      <c r="G273" s="206">
        <v>1692</v>
      </c>
      <c r="H273" s="192">
        <v>1692</v>
      </c>
      <c r="I273" s="198"/>
      <c r="J273" s="199" t="s">
        <v>833</v>
      </c>
      <c r="K273" s="132" t="s">
        <v>834</v>
      </c>
      <c r="L273" s="132" t="s">
        <v>835</v>
      </c>
      <c r="M273" s="10"/>
      <c r="N273" s="3"/>
      <c r="O273" s="47"/>
      <c r="P273" s="10"/>
      <c r="Q273" s="12"/>
    </row>
    <row r="274" spans="2:17" s="89" customFormat="1" ht="19.5" customHeight="1" x14ac:dyDescent="0.15">
      <c r="B274" s="132"/>
      <c r="C274" s="132" t="s">
        <v>99</v>
      </c>
      <c r="D274" s="165" t="s">
        <v>99</v>
      </c>
      <c r="E274" s="61" t="s">
        <v>660</v>
      </c>
      <c r="F274" s="61">
        <v>20</v>
      </c>
      <c r="G274" s="61">
        <v>520</v>
      </c>
      <c r="H274" s="61">
        <v>10400</v>
      </c>
      <c r="I274" s="26"/>
      <c r="J274" s="61" t="s">
        <v>666</v>
      </c>
      <c r="K274" s="132"/>
      <c r="L274" s="132"/>
      <c r="M274" s="19">
        <v>44116</v>
      </c>
      <c r="N274" s="61"/>
      <c r="O274" s="132"/>
      <c r="P274" s="95"/>
      <c r="Q274" s="12"/>
    </row>
    <row r="275" spans="2:17" s="89" customFormat="1" ht="20.100000000000001" customHeight="1" x14ac:dyDescent="0.15">
      <c r="B275" s="132"/>
      <c r="C275" s="132" t="s">
        <v>99</v>
      </c>
      <c r="D275" s="165" t="s">
        <v>99</v>
      </c>
      <c r="E275" s="61" t="s">
        <v>661</v>
      </c>
      <c r="F275" s="61">
        <v>4</v>
      </c>
      <c r="G275" s="61">
        <v>1730</v>
      </c>
      <c r="H275" s="61">
        <v>6920</v>
      </c>
      <c r="I275" s="26"/>
      <c r="J275" s="61" t="s">
        <v>230</v>
      </c>
      <c r="K275" s="132"/>
      <c r="L275" s="132"/>
      <c r="M275" s="19">
        <v>44116</v>
      </c>
      <c r="N275" s="61"/>
      <c r="O275" s="132"/>
      <c r="P275" s="95"/>
      <c r="Q275" s="12"/>
    </row>
    <row r="276" spans="2:17" s="89" customFormat="1" ht="19.5" customHeight="1" x14ac:dyDescent="0.15">
      <c r="B276" s="132"/>
      <c r="C276" s="132" t="s">
        <v>99</v>
      </c>
      <c r="D276" s="165" t="s">
        <v>99</v>
      </c>
      <c r="E276" s="61" t="s">
        <v>671</v>
      </c>
      <c r="F276" s="61">
        <v>20</v>
      </c>
      <c r="G276" s="61">
        <v>520</v>
      </c>
      <c r="H276" s="61">
        <v>10400</v>
      </c>
      <c r="I276" s="26"/>
      <c r="J276" s="61" t="s">
        <v>666</v>
      </c>
      <c r="K276" s="132"/>
      <c r="L276" s="132"/>
      <c r="M276" s="19">
        <v>44116</v>
      </c>
      <c r="N276" s="61"/>
      <c r="O276" s="132"/>
      <c r="P276" s="95"/>
      <c r="Q276" s="12"/>
    </row>
    <row r="277" spans="2:17" s="89" customFormat="1" ht="19.5" customHeight="1" x14ac:dyDescent="0.15">
      <c r="B277" s="132"/>
      <c r="C277" s="132" t="s">
        <v>99</v>
      </c>
      <c r="D277" s="165" t="s">
        <v>99</v>
      </c>
      <c r="E277" s="61" t="s">
        <v>869</v>
      </c>
      <c r="F277" s="61">
        <v>8</v>
      </c>
      <c r="G277" s="61">
        <v>383</v>
      </c>
      <c r="H277" s="61">
        <v>3064</v>
      </c>
      <c r="I277" s="26"/>
      <c r="J277" s="61" t="s">
        <v>774</v>
      </c>
      <c r="K277" s="132"/>
      <c r="L277" s="132"/>
      <c r="M277" s="19">
        <v>44116</v>
      </c>
      <c r="N277" s="61"/>
      <c r="O277" s="132"/>
      <c r="P277" s="95"/>
      <c r="Q277" s="12"/>
    </row>
    <row r="278" spans="2:17" s="89" customFormat="1" ht="19.5" customHeight="1" x14ac:dyDescent="0.15">
      <c r="B278" s="132"/>
      <c r="C278" s="132" t="s">
        <v>99</v>
      </c>
      <c r="D278" s="165" t="s">
        <v>99</v>
      </c>
      <c r="E278" s="61" t="s">
        <v>863</v>
      </c>
      <c r="F278" s="61">
        <v>2</v>
      </c>
      <c r="G278" s="61">
        <v>10780</v>
      </c>
      <c r="H278" s="61">
        <v>21560</v>
      </c>
      <c r="I278" s="35"/>
      <c r="J278" s="61" t="s">
        <v>867</v>
      </c>
      <c r="K278" s="132"/>
      <c r="L278" s="132"/>
      <c r="M278" s="19">
        <v>44116</v>
      </c>
      <c r="N278" s="61"/>
      <c r="O278" s="132"/>
      <c r="P278" s="95"/>
      <c r="Q278" s="12"/>
    </row>
    <row r="279" spans="2:17" s="89" customFormat="1" ht="19.5" customHeight="1" x14ac:dyDescent="0.15">
      <c r="B279" s="132"/>
      <c r="C279" s="132" t="s">
        <v>99</v>
      </c>
      <c r="D279" s="165" t="s">
        <v>99</v>
      </c>
      <c r="E279" s="61" t="s">
        <v>864</v>
      </c>
      <c r="F279" s="61">
        <v>2</v>
      </c>
      <c r="G279" s="61">
        <v>900</v>
      </c>
      <c r="H279" s="61">
        <v>1800</v>
      </c>
      <c r="I279" s="62"/>
      <c r="J279" s="61" t="s">
        <v>43</v>
      </c>
      <c r="K279" s="132"/>
      <c r="L279" s="132"/>
      <c r="M279" s="19">
        <v>44116</v>
      </c>
      <c r="N279" s="61"/>
      <c r="O279" s="132"/>
      <c r="P279" s="95"/>
      <c r="Q279" s="12"/>
    </row>
    <row r="280" spans="2:17" s="89" customFormat="1" ht="19.5" customHeight="1" x14ac:dyDescent="0.15">
      <c r="B280" s="132"/>
      <c r="C280" s="132" t="s">
        <v>99</v>
      </c>
      <c r="D280" s="165" t="s">
        <v>99</v>
      </c>
      <c r="E280" s="61" t="s">
        <v>29</v>
      </c>
      <c r="F280" s="61">
        <v>4</v>
      </c>
      <c r="G280" s="61">
        <v>240</v>
      </c>
      <c r="H280" s="61">
        <v>960</v>
      </c>
      <c r="I280" s="167"/>
      <c r="J280" s="61" t="s">
        <v>42</v>
      </c>
      <c r="K280" s="165"/>
      <c r="L280" s="168"/>
      <c r="M280" s="19">
        <v>44116</v>
      </c>
      <c r="N280" s="61"/>
      <c r="O280" s="132"/>
      <c r="P280" s="95"/>
      <c r="Q280" s="12"/>
    </row>
    <row r="281" spans="2:17" s="89" customFormat="1" ht="19.5" customHeight="1" x14ac:dyDescent="0.15">
      <c r="B281" s="132"/>
      <c r="C281" s="132" t="s">
        <v>99</v>
      </c>
      <c r="D281" s="165" t="s">
        <v>99</v>
      </c>
      <c r="E281" s="61" t="s">
        <v>836</v>
      </c>
      <c r="F281" s="61">
        <v>3</v>
      </c>
      <c r="G281" s="61">
        <v>2400</v>
      </c>
      <c r="H281" s="61">
        <v>7200</v>
      </c>
      <c r="I281" s="61"/>
      <c r="J281" s="61" t="s">
        <v>844</v>
      </c>
      <c r="K281" s="132"/>
      <c r="L281" s="132"/>
      <c r="M281" s="19">
        <v>44116</v>
      </c>
      <c r="N281" s="61"/>
      <c r="O281" s="132"/>
      <c r="P281" s="95"/>
      <c r="Q281" s="12"/>
    </row>
    <row r="282" spans="2:17" s="89" customFormat="1" ht="19.5" customHeight="1" x14ac:dyDescent="0.15">
      <c r="B282" s="132"/>
      <c r="C282" s="132" t="s">
        <v>99</v>
      </c>
      <c r="D282" s="165" t="s">
        <v>99</v>
      </c>
      <c r="E282" s="61" t="s">
        <v>839</v>
      </c>
      <c r="F282" s="61">
        <v>2</v>
      </c>
      <c r="G282" s="61">
        <v>230</v>
      </c>
      <c r="H282" s="61">
        <v>460</v>
      </c>
      <c r="I282" s="61"/>
      <c r="J282" s="61" t="s">
        <v>42</v>
      </c>
      <c r="K282" s="132"/>
      <c r="L282" s="132"/>
      <c r="M282" s="19">
        <v>44116</v>
      </c>
      <c r="N282" s="61"/>
      <c r="O282" s="132"/>
      <c r="P282" s="95"/>
      <c r="Q282" s="12"/>
    </row>
    <row r="283" spans="2:17" s="89" customFormat="1" ht="19.5" customHeight="1" x14ac:dyDescent="0.15">
      <c r="B283" s="132"/>
      <c r="C283" s="132" t="s">
        <v>99</v>
      </c>
      <c r="D283" s="165" t="s">
        <v>99</v>
      </c>
      <c r="E283" s="61" t="s">
        <v>797</v>
      </c>
      <c r="F283" s="61">
        <v>3</v>
      </c>
      <c r="G283" s="61">
        <v>598</v>
      </c>
      <c r="H283" s="61">
        <v>1794</v>
      </c>
      <c r="I283" s="26"/>
      <c r="J283" s="61" t="s">
        <v>439</v>
      </c>
      <c r="K283" s="132"/>
      <c r="L283" s="132"/>
      <c r="M283" s="19">
        <v>44116</v>
      </c>
      <c r="N283" s="61"/>
      <c r="O283" s="132"/>
      <c r="P283" s="95"/>
      <c r="Q283" s="12"/>
    </row>
    <row r="284" spans="2:17" s="89" customFormat="1" ht="19.5" customHeight="1" x14ac:dyDescent="0.15">
      <c r="B284" s="132"/>
      <c r="C284" s="132" t="s">
        <v>99</v>
      </c>
      <c r="D284" s="165" t="s">
        <v>99</v>
      </c>
      <c r="E284" s="61" t="s">
        <v>865</v>
      </c>
      <c r="F284" s="61">
        <v>3</v>
      </c>
      <c r="G284" s="61">
        <v>703</v>
      </c>
      <c r="H284" s="61">
        <v>2109</v>
      </c>
      <c r="I284" s="26"/>
      <c r="J284" s="61" t="s">
        <v>684</v>
      </c>
      <c r="K284" s="132"/>
      <c r="L284" s="132"/>
      <c r="M284" s="19">
        <v>44116</v>
      </c>
      <c r="N284" s="61"/>
      <c r="O284" s="132"/>
      <c r="P284" s="95"/>
      <c r="Q284" s="12"/>
    </row>
    <row r="285" spans="2:17" s="89" customFormat="1" ht="19.5" customHeight="1" x14ac:dyDescent="0.15">
      <c r="B285" s="132"/>
      <c r="C285" s="132" t="s">
        <v>99</v>
      </c>
      <c r="D285" s="165" t="s">
        <v>99</v>
      </c>
      <c r="E285" s="61" t="s">
        <v>866</v>
      </c>
      <c r="F285" s="61">
        <v>2</v>
      </c>
      <c r="G285" s="61">
        <v>725</v>
      </c>
      <c r="H285" s="61">
        <v>1450</v>
      </c>
      <c r="I285" s="26"/>
      <c r="J285" s="61" t="s">
        <v>439</v>
      </c>
      <c r="K285" s="132"/>
      <c r="L285" s="132"/>
      <c r="M285" s="19">
        <v>44116</v>
      </c>
      <c r="N285" s="61"/>
      <c r="O285" s="132"/>
      <c r="P285" s="95"/>
      <c r="Q285" s="12"/>
    </row>
    <row r="286" spans="2:17" s="89" customFormat="1" ht="19.5" customHeight="1" x14ac:dyDescent="0.15">
      <c r="B286" s="132"/>
      <c r="C286" s="132" t="s">
        <v>99</v>
      </c>
      <c r="D286" s="132" t="s">
        <v>99</v>
      </c>
      <c r="E286" s="61" t="s">
        <v>885</v>
      </c>
      <c r="F286" s="61">
        <v>7</v>
      </c>
      <c r="G286" s="61">
        <v>12868</v>
      </c>
      <c r="H286" s="61">
        <v>90076</v>
      </c>
      <c r="I286" s="26"/>
      <c r="J286" s="61" t="s">
        <v>525</v>
      </c>
      <c r="K286" s="132"/>
      <c r="L286" s="132"/>
      <c r="M286" s="19">
        <v>44117</v>
      </c>
      <c r="N286" s="61"/>
      <c r="O286" s="132"/>
      <c r="P286" s="95"/>
      <c r="Q286" s="12"/>
    </row>
    <row r="287" spans="2:17" s="89" customFormat="1" ht="19.5" customHeight="1" x14ac:dyDescent="0.15">
      <c r="B287" s="132"/>
      <c r="C287" s="132" t="s">
        <v>99</v>
      </c>
      <c r="D287" s="132" t="s">
        <v>99</v>
      </c>
      <c r="E287" s="61" t="s">
        <v>95</v>
      </c>
      <c r="F287" s="61">
        <v>13</v>
      </c>
      <c r="G287" s="61">
        <v>10680</v>
      </c>
      <c r="H287" s="61">
        <v>138840</v>
      </c>
      <c r="I287" s="26"/>
      <c r="J287" s="61" t="s">
        <v>103</v>
      </c>
      <c r="K287" s="132"/>
      <c r="L287" s="132"/>
      <c r="M287" s="19">
        <v>44117</v>
      </c>
      <c r="N287" s="61"/>
      <c r="O287" s="132"/>
      <c r="P287" s="95"/>
      <c r="Q287" s="12"/>
    </row>
    <row r="288" spans="2:17" s="89" customFormat="1" ht="19.5" customHeight="1" x14ac:dyDescent="0.15">
      <c r="B288" s="132"/>
      <c r="C288" s="132" t="s">
        <v>99</v>
      </c>
      <c r="D288" s="132" t="s">
        <v>99</v>
      </c>
      <c r="E288" s="61" t="s">
        <v>887</v>
      </c>
      <c r="F288" s="61">
        <v>2</v>
      </c>
      <c r="G288" s="61">
        <v>2470</v>
      </c>
      <c r="H288" s="61">
        <v>4940</v>
      </c>
      <c r="I288" s="26"/>
      <c r="J288" s="61" t="s">
        <v>526</v>
      </c>
      <c r="K288" s="132"/>
      <c r="L288" s="132"/>
      <c r="M288" s="19">
        <v>44117</v>
      </c>
      <c r="N288" s="61"/>
      <c r="O288" s="132"/>
      <c r="P288" s="95"/>
      <c r="Q288" s="12"/>
    </row>
    <row r="289" spans="2:17" s="89" customFormat="1" ht="19.5" customHeight="1" x14ac:dyDescent="0.15">
      <c r="B289" s="132"/>
      <c r="C289" s="132" t="s">
        <v>99</v>
      </c>
      <c r="D289" s="132" t="s">
        <v>99</v>
      </c>
      <c r="E289" s="61" t="s">
        <v>886</v>
      </c>
      <c r="F289" s="61">
        <v>12</v>
      </c>
      <c r="G289" s="61">
        <v>65</v>
      </c>
      <c r="H289" s="61">
        <v>780</v>
      </c>
      <c r="I289" s="26"/>
      <c r="J289" s="61" t="s">
        <v>888</v>
      </c>
      <c r="K289" s="132"/>
      <c r="L289" s="132"/>
      <c r="M289" s="19">
        <v>44117</v>
      </c>
      <c r="N289" s="61"/>
      <c r="O289" s="132"/>
      <c r="P289" s="95"/>
      <c r="Q289" s="12"/>
    </row>
    <row r="290" spans="2:17" s="89" customFormat="1" ht="19.5" customHeight="1" x14ac:dyDescent="0.15">
      <c r="B290" s="132"/>
      <c r="C290" s="132" t="s">
        <v>99</v>
      </c>
      <c r="D290" s="132" t="s">
        <v>99</v>
      </c>
      <c r="E290" s="61" t="s">
        <v>893</v>
      </c>
      <c r="F290" s="61">
        <v>1</v>
      </c>
      <c r="G290" s="61">
        <v>450</v>
      </c>
      <c r="H290" s="61"/>
      <c r="I290" s="26"/>
      <c r="J290" s="61" t="s">
        <v>894</v>
      </c>
      <c r="K290" s="132"/>
      <c r="L290" s="132"/>
      <c r="M290" s="19">
        <v>44117</v>
      </c>
      <c r="N290" s="61"/>
      <c r="O290" s="132"/>
      <c r="P290" s="95"/>
      <c r="Q290" s="12"/>
    </row>
    <row r="291" spans="2:17" s="89" customFormat="1" ht="19.5" customHeight="1" x14ac:dyDescent="0.15">
      <c r="B291" s="132"/>
      <c r="C291" s="132" t="s">
        <v>99</v>
      </c>
      <c r="D291" s="132" t="s">
        <v>99</v>
      </c>
      <c r="E291" s="61" t="s">
        <v>918</v>
      </c>
      <c r="F291" s="61">
        <v>2</v>
      </c>
      <c r="G291" s="61">
        <v>1330</v>
      </c>
      <c r="H291" s="61">
        <v>2660</v>
      </c>
      <c r="I291" s="26"/>
      <c r="J291" s="61" t="s">
        <v>526</v>
      </c>
      <c r="K291" s="132"/>
      <c r="L291" s="132"/>
      <c r="M291" s="19">
        <v>44120</v>
      </c>
      <c r="N291" s="61"/>
      <c r="O291" s="132"/>
      <c r="P291" s="95"/>
      <c r="Q291" s="12"/>
    </row>
    <row r="292" spans="2:17" s="89" customFormat="1" ht="19.5" customHeight="1" x14ac:dyDescent="0.15">
      <c r="B292" s="132"/>
      <c r="C292" s="132" t="s">
        <v>99</v>
      </c>
      <c r="D292" s="132" t="s">
        <v>99</v>
      </c>
      <c r="E292" s="61" t="s">
        <v>921</v>
      </c>
      <c r="F292" s="61">
        <v>4</v>
      </c>
      <c r="G292" s="61">
        <v>1570</v>
      </c>
      <c r="H292" s="61">
        <f>F292*G292</f>
        <v>6280</v>
      </c>
      <c r="I292" s="26"/>
      <c r="J292" s="61" t="s">
        <v>922</v>
      </c>
      <c r="K292" s="132"/>
      <c r="L292" s="132"/>
      <c r="M292" s="19">
        <v>44120</v>
      </c>
      <c r="N292" s="61"/>
      <c r="O292" s="132"/>
      <c r="P292" s="95"/>
      <c r="Q292" s="12"/>
    </row>
    <row r="293" spans="2:17" s="89" customFormat="1" ht="19.5" customHeight="1" x14ac:dyDescent="0.15">
      <c r="B293" s="132"/>
      <c r="C293" s="38" t="s">
        <v>99</v>
      </c>
      <c r="D293" s="38" t="s">
        <v>99</v>
      </c>
      <c r="E293" s="63" t="s">
        <v>932</v>
      </c>
      <c r="F293" s="26">
        <v>1</v>
      </c>
      <c r="G293" s="35">
        <v>1670</v>
      </c>
      <c r="H293" s="35">
        <f>F293*G293</f>
        <v>1670</v>
      </c>
      <c r="I293" s="26"/>
      <c r="J293" s="61" t="s">
        <v>526</v>
      </c>
      <c r="K293" s="61"/>
      <c r="L293" s="132"/>
      <c r="M293" s="10">
        <v>44124</v>
      </c>
      <c r="N293" s="61"/>
      <c r="O293" s="132"/>
      <c r="P293" s="95"/>
      <c r="Q293" s="12"/>
    </row>
    <row r="294" spans="2:17" s="89" customFormat="1" ht="19.5" customHeight="1" x14ac:dyDescent="0.15">
      <c r="B294" s="132"/>
      <c r="C294" s="38" t="s">
        <v>99</v>
      </c>
      <c r="D294" s="38" t="s">
        <v>99</v>
      </c>
      <c r="E294" s="61" t="s">
        <v>935</v>
      </c>
      <c r="F294" s="61">
        <v>2</v>
      </c>
      <c r="G294" s="61">
        <v>2660</v>
      </c>
      <c r="H294" s="35">
        <f>F294*G294</f>
        <v>5320</v>
      </c>
      <c r="I294" s="26"/>
      <c r="J294" s="61" t="s">
        <v>526</v>
      </c>
      <c r="K294" s="61"/>
      <c r="L294" s="132"/>
      <c r="M294" s="10">
        <v>44124</v>
      </c>
      <c r="N294" s="61"/>
      <c r="O294" s="132"/>
      <c r="P294" s="95"/>
      <c r="Q294" s="12"/>
    </row>
    <row r="295" spans="2:17" s="89" customFormat="1" ht="19.5" customHeight="1" x14ac:dyDescent="0.15">
      <c r="B295" s="132"/>
      <c r="C295" s="38" t="s">
        <v>99</v>
      </c>
      <c r="D295" s="38" t="s">
        <v>99</v>
      </c>
      <c r="E295" s="61" t="s">
        <v>936</v>
      </c>
      <c r="F295" s="61">
        <v>4</v>
      </c>
      <c r="G295" s="61">
        <v>188</v>
      </c>
      <c r="H295" s="61">
        <v>752</v>
      </c>
      <c r="I295" s="26"/>
      <c r="J295" s="61" t="s">
        <v>942</v>
      </c>
      <c r="K295" s="61"/>
      <c r="L295" s="132"/>
      <c r="M295" s="19">
        <v>44126</v>
      </c>
      <c r="N295" s="61"/>
      <c r="O295" s="132"/>
      <c r="P295" s="95"/>
      <c r="Q295" s="12"/>
    </row>
    <row r="296" spans="2:17" s="89" customFormat="1" ht="19.5" customHeight="1" x14ac:dyDescent="0.15">
      <c r="B296" s="132"/>
      <c r="C296" s="38" t="s">
        <v>99</v>
      </c>
      <c r="D296" s="38" t="s">
        <v>99</v>
      </c>
      <c r="E296" s="61" t="s">
        <v>937</v>
      </c>
      <c r="F296" s="61">
        <v>4</v>
      </c>
      <c r="G296" s="61">
        <v>188</v>
      </c>
      <c r="H296" s="61">
        <v>752</v>
      </c>
      <c r="I296" s="26"/>
      <c r="J296" s="61" t="s">
        <v>942</v>
      </c>
      <c r="K296" s="61"/>
      <c r="L296" s="132"/>
      <c r="M296" s="19">
        <v>44126</v>
      </c>
      <c r="N296" s="61"/>
      <c r="O296" s="132"/>
      <c r="P296" s="95"/>
      <c r="Q296" s="12"/>
    </row>
    <row r="297" spans="2:17" s="89" customFormat="1" ht="19.5" customHeight="1" x14ac:dyDescent="0.15">
      <c r="B297" s="132"/>
      <c r="C297" s="38" t="s">
        <v>99</v>
      </c>
      <c r="D297" s="38" t="s">
        <v>99</v>
      </c>
      <c r="E297" s="61" t="s">
        <v>938</v>
      </c>
      <c r="F297" s="61">
        <v>7</v>
      </c>
      <c r="G297" s="61">
        <v>188</v>
      </c>
      <c r="H297" s="61">
        <v>1316</v>
      </c>
      <c r="I297" s="35"/>
      <c r="J297" s="61" t="s">
        <v>942</v>
      </c>
      <c r="K297" s="61"/>
      <c r="L297" s="132"/>
      <c r="M297" s="19">
        <v>44126</v>
      </c>
      <c r="N297" s="61"/>
      <c r="O297" s="132"/>
      <c r="P297" s="95"/>
      <c r="Q297" s="12"/>
    </row>
    <row r="298" spans="2:17" s="89" customFormat="1" ht="19.5" customHeight="1" x14ac:dyDescent="0.15">
      <c r="B298" s="132"/>
      <c r="C298" s="38" t="s">
        <v>99</v>
      </c>
      <c r="D298" s="38" t="s">
        <v>99</v>
      </c>
      <c r="E298" s="61" t="s">
        <v>939</v>
      </c>
      <c r="F298" s="61">
        <v>7</v>
      </c>
      <c r="G298" s="61">
        <v>188</v>
      </c>
      <c r="H298" s="61">
        <v>1316</v>
      </c>
      <c r="I298" s="62"/>
      <c r="J298" s="61" t="s">
        <v>942</v>
      </c>
      <c r="K298" s="61"/>
      <c r="L298" s="132"/>
      <c r="M298" s="19">
        <v>44126</v>
      </c>
      <c r="N298" s="61"/>
      <c r="O298" s="132"/>
      <c r="P298" s="95"/>
      <c r="Q298" s="12"/>
    </row>
    <row r="299" spans="2:17" s="89" customFormat="1" ht="19.5" customHeight="1" x14ac:dyDescent="0.15">
      <c r="B299" s="132"/>
      <c r="C299" s="38" t="s">
        <v>99</v>
      </c>
      <c r="D299" s="38" t="s">
        <v>99</v>
      </c>
      <c r="E299" s="61" t="s">
        <v>940</v>
      </c>
      <c r="F299" s="61">
        <v>7</v>
      </c>
      <c r="G299" s="61">
        <v>220</v>
      </c>
      <c r="H299" s="61">
        <v>1540</v>
      </c>
      <c r="I299" s="167"/>
      <c r="J299" s="61" t="s">
        <v>943</v>
      </c>
      <c r="K299" s="61"/>
      <c r="L299" s="168"/>
      <c r="M299" s="19">
        <v>44126</v>
      </c>
      <c r="N299" s="61"/>
      <c r="O299" s="132"/>
      <c r="P299" s="95"/>
      <c r="Q299" s="12"/>
    </row>
    <row r="300" spans="2:17" s="89" customFormat="1" ht="19.5" customHeight="1" x14ac:dyDescent="0.15">
      <c r="B300" s="132"/>
      <c r="C300" s="38" t="s">
        <v>99</v>
      </c>
      <c r="D300" s="38" t="s">
        <v>99</v>
      </c>
      <c r="E300" s="61" t="s">
        <v>941</v>
      </c>
      <c r="F300" s="61">
        <v>4</v>
      </c>
      <c r="G300" s="61">
        <v>250</v>
      </c>
      <c r="H300" s="61">
        <v>1000</v>
      </c>
      <c r="I300" s="61"/>
      <c r="J300" s="61" t="s">
        <v>943</v>
      </c>
      <c r="K300" s="61"/>
      <c r="L300" s="132"/>
      <c r="M300" s="19">
        <v>44126</v>
      </c>
      <c r="N300" s="61"/>
      <c r="O300" s="132"/>
      <c r="P300" s="95"/>
      <c r="Q300" s="12"/>
    </row>
    <row r="301" spans="2:17" s="89" customFormat="1" ht="19.5" customHeight="1" x14ac:dyDescent="0.15">
      <c r="B301" s="132"/>
      <c r="C301" s="38" t="s">
        <v>99</v>
      </c>
      <c r="D301" s="38" t="s">
        <v>99</v>
      </c>
      <c r="E301" s="61" t="s">
        <v>760</v>
      </c>
      <c r="F301" s="61">
        <v>16</v>
      </c>
      <c r="G301" s="61">
        <v>3090</v>
      </c>
      <c r="H301" s="61">
        <v>49440</v>
      </c>
      <c r="I301" s="61"/>
      <c r="J301" s="61" t="s">
        <v>667</v>
      </c>
      <c r="K301" s="61"/>
      <c r="L301" s="132"/>
      <c r="M301" s="19">
        <v>44126</v>
      </c>
      <c r="N301" s="61"/>
      <c r="O301" s="132"/>
      <c r="P301" s="95"/>
      <c r="Q301" s="12"/>
    </row>
    <row r="302" spans="2:17" s="89" customFormat="1" ht="19.5" customHeight="1" x14ac:dyDescent="0.15">
      <c r="B302" s="132"/>
      <c r="C302" s="38" t="s">
        <v>99</v>
      </c>
      <c r="D302" s="38" t="s">
        <v>99</v>
      </c>
      <c r="E302" s="61" t="s">
        <v>224</v>
      </c>
      <c r="F302" s="61">
        <v>32</v>
      </c>
      <c r="G302" s="61">
        <v>570</v>
      </c>
      <c r="H302" s="61">
        <v>18240</v>
      </c>
      <c r="I302" s="26"/>
      <c r="J302" s="61" t="s">
        <v>231</v>
      </c>
      <c r="K302" s="61"/>
      <c r="L302" s="132"/>
      <c r="M302" s="19">
        <v>44126</v>
      </c>
      <c r="N302" s="61"/>
      <c r="O302" s="132"/>
      <c r="P302" s="95"/>
      <c r="Q302" s="12"/>
    </row>
    <row r="303" spans="2:17" s="89" customFormat="1" ht="19.5" customHeight="1" x14ac:dyDescent="0.15">
      <c r="B303" s="132"/>
      <c r="C303" s="38" t="s">
        <v>99</v>
      </c>
      <c r="D303" s="38" t="s">
        <v>99</v>
      </c>
      <c r="E303" s="61" t="s">
        <v>664</v>
      </c>
      <c r="F303" s="61">
        <v>16</v>
      </c>
      <c r="G303" s="61">
        <v>261</v>
      </c>
      <c r="H303" s="61">
        <v>4176</v>
      </c>
      <c r="I303" s="26"/>
      <c r="J303" s="61" t="s">
        <v>85</v>
      </c>
      <c r="K303" s="61"/>
      <c r="L303" s="132"/>
      <c r="M303" s="19">
        <v>44126</v>
      </c>
      <c r="N303" s="61"/>
      <c r="O303" s="132"/>
      <c r="P303" s="95"/>
      <c r="Q303" s="12"/>
    </row>
    <row r="304" spans="2:17" s="89" customFormat="1" ht="19.5" customHeight="1" x14ac:dyDescent="0.15">
      <c r="B304" s="132"/>
      <c r="C304" s="38" t="s">
        <v>99</v>
      </c>
      <c r="D304" s="38" t="s">
        <v>99</v>
      </c>
      <c r="E304" s="61" t="s">
        <v>944</v>
      </c>
      <c r="F304" s="61">
        <v>10</v>
      </c>
      <c r="G304" s="61">
        <v>1921</v>
      </c>
      <c r="H304" s="61">
        <v>19210</v>
      </c>
      <c r="I304" s="26"/>
      <c r="J304" s="61" t="s">
        <v>948</v>
      </c>
      <c r="K304" s="61"/>
      <c r="L304" s="132"/>
      <c r="M304" s="19">
        <v>44126</v>
      </c>
      <c r="N304" s="61"/>
      <c r="O304" s="132"/>
      <c r="P304" s="95"/>
      <c r="Q304" s="12"/>
    </row>
    <row r="305" spans="2:17" s="89" customFormat="1" ht="19.5" customHeight="1" x14ac:dyDescent="0.15">
      <c r="B305" s="132"/>
      <c r="C305" s="38" t="s">
        <v>99</v>
      </c>
      <c r="D305" s="38" t="s">
        <v>99</v>
      </c>
      <c r="E305" s="61" t="s">
        <v>945</v>
      </c>
      <c r="F305" s="61">
        <v>10</v>
      </c>
      <c r="G305" s="61">
        <v>651</v>
      </c>
      <c r="H305" s="61">
        <v>6510</v>
      </c>
      <c r="I305" s="26"/>
      <c r="J305" s="61" t="s">
        <v>949</v>
      </c>
      <c r="K305" s="61"/>
      <c r="L305" s="132"/>
      <c r="M305" s="19">
        <v>44126</v>
      </c>
      <c r="N305" s="61"/>
      <c r="O305" s="132"/>
      <c r="P305" s="95"/>
      <c r="Q305" s="12"/>
    </row>
    <row r="306" spans="2:17" s="89" customFormat="1" ht="19.5" customHeight="1" x14ac:dyDescent="0.15">
      <c r="B306" s="132"/>
      <c r="C306" s="38" t="s">
        <v>99</v>
      </c>
      <c r="D306" s="38" t="s">
        <v>99</v>
      </c>
      <c r="E306" s="61" t="s">
        <v>946</v>
      </c>
      <c r="F306" s="61">
        <v>10</v>
      </c>
      <c r="G306" s="61">
        <v>1921</v>
      </c>
      <c r="H306" s="61">
        <v>19210</v>
      </c>
      <c r="I306" s="26"/>
      <c r="J306" s="61" t="s">
        <v>948</v>
      </c>
      <c r="K306" s="61"/>
      <c r="L306" s="132"/>
      <c r="M306" s="19">
        <v>44126</v>
      </c>
      <c r="N306" s="61"/>
      <c r="O306" s="132"/>
      <c r="P306" s="95"/>
      <c r="Q306" s="12"/>
    </row>
    <row r="307" spans="2:17" s="89" customFormat="1" ht="19.5" customHeight="1" x14ac:dyDescent="0.15">
      <c r="B307" s="132"/>
      <c r="C307" s="38" t="s">
        <v>99</v>
      </c>
      <c r="D307" s="38" t="s">
        <v>99</v>
      </c>
      <c r="E307" s="61" t="s">
        <v>947</v>
      </c>
      <c r="F307" s="61">
        <v>10</v>
      </c>
      <c r="G307" s="61">
        <v>651</v>
      </c>
      <c r="H307" s="61">
        <v>6510</v>
      </c>
      <c r="I307" s="26"/>
      <c r="J307" s="61" t="s">
        <v>949</v>
      </c>
      <c r="K307" s="61"/>
      <c r="L307" s="132"/>
      <c r="M307" s="19">
        <v>44126</v>
      </c>
      <c r="N307" s="61"/>
      <c r="O307" s="132"/>
      <c r="P307" s="95"/>
      <c r="Q307" s="12"/>
    </row>
    <row r="308" spans="2:17" s="89" customFormat="1" ht="19.5" customHeight="1" x14ac:dyDescent="0.15">
      <c r="B308" s="132"/>
      <c r="C308" s="38" t="s">
        <v>99</v>
      </c>
      <c r="D308" s="38" t="s">
        <v>99</v>
      </c>
      <c r="E308" s="61" t="s">
        <v>950</v>
      </c>
      <c r="F308" s="61">
        <v>3</v>
      </c>
      <c r="G308" s="61">
        <v>7350</v>
      </c>
      <c r="H308" s="61">
        <v>22050</v>
      </c>
      <c r="I308" s="26"/>
      <c r="J308" s="61" t="s">
        <v>952</v>
      </c>
      <c r="K308" s="61"/>
      <c r="L308" s="132"/>
      <c r="M308" s="19">
        <v>44130</v>
      </c>
      <c r="N308" s="61"/>
      <c r="O308" s="132"/>
      <c r="P308" s="95"/>
      <c r="Q308" s="12"/>
    </row>
    <row r="309" spans="2:17" s="89" customFormat="1" ht="19.5" customHeight="1" x14ac:dyDescent="0.15">
      <c r="B309" s="132"/>
      <c r="C309" s="38" t="s">
        <v>99</v>
      </c>
      <c r="D309" s="38" t="s">
        <v>99</v>
      </c>
      <c r="E309" s="61" t="s">
        <v>951</v>
      </c>
      <c r="F309" s="61">
        <v>10</v>
      </c>
      <c r="G309" s="61">
        <v>52</v>
      </c>
      <c r="H309" s="61">
        <v>520</v>
      </c>
      <c r="I309" s="26"/>
      <c r="J309" s="61" t="s">
        <v>953</v>
      </c>
      <c r="K309" s="61"/>
      <c r="L309" s="132"/>
      <c r="M309" s="19">
        <v>44130</v>
      </c>
      <c r="N309" s="61"/>
      <c r="O309" s="132"/>
      <c r="P309" s="95"/>
      <c r="Q309" s="12"/>
    </row>
    <row r="310" spans="2:17" s="89" customFormat="1" ht="19.5" customHeight="1" x14ac:dyDescent="0.15">
      <c r="B310" s="132"/>
      <c r="C310" s="38" t="s">
        <v>99</v>
      </c>
      <c r="D310" s="38" t="s">
        <v>99</v>
      </c>
      <c r="E310" s="61" t="s">
        <v>940</v>
      </c>
      <c r="F310" s="61">
        <v>2</v>
      </c>
      <c r="G310" s="61">
        <v>320</v>
      </c>
      <c r="H310" s="61">
        <v>640</v>
      </c>
      <c r="I310" s="26"/>
      <c r="J310" s="61" t="s">
        <v>943</v>
      </c>
      <c r="K310" s="61"/>
      <c r="L310" s="132"/>
      <c r="M310" s="19">
        <v>44130</v>
      </c>
      <c r="N310" s="61"/>
      <c r="O310" s="132"/>
      <c r="P310" s="95"/>
      <c r="Q310" s="12"/>
    </row>
    <row r="311" spans="2:17" s="89" customFormat="1" ht="19.5" customHeight="1" x14ac:dyDescent="0.15">
      <c r="B311" s="132"/>
      <c r="C311" s="38" t="s">
        <v>99</v>
      </c>
      <c r="D311" s="38" t="s">
        <v>99</v>
      </c>
      <c r="E311" s="61" t="s">
        <v>954</v>
      </c>
      <c r="F311" s="61">
        <v>3</v>
      </c>
      <c r="G311" s="61">
        <v>4320</v>
      </c>
      <c r="H311" s="61">
        <f>F311*G311</f>
        <v>12960</v>
      </c>
      <c r="I311" s="26"/>
      <c r="J311" s="61" t="s">
        <v>526</v>
      </c>
      <c r="K311" s="61"/>
      <c r="L311" s="132"/>
      <c r="M311" s="19">
        <v>44130</v>
      </c>
      <c r="N311" s="61"/>
      <c r="O311" s="132"/>
      <c r="P311" s="95"/>
      <c r="Q311" s="12"/>
    </row>
    <row r="312" spans="2:17" s="89" customFormat="1" ht="19.5" customHeight="1" x14ac:dyDescent="0.15">
      <c r="B312" s="132"/>
      <c r="C312" s="38" t="s">
        <v>99</v>
      </c>
      <c r="D312" s="38" t="s">
        <v>99</v>
      </c>
      <c r="E312" s="61" t="s">
        <v>661</v>
      </c>
      <c r="F312" s="61">
        <v>2</v>
      </c>
      <c r="G312" s="61">
        <v>1880</v>
      </c>
      <c r="H312" s="61">
        <f>F312*G312</f>
        <v>3760</v>
      </c>
      <c r="I312" s="26"/>
      <c r="J312" s="61" t="s">
        <v>960</v>
      </c>
      <c r="K312" s="61"/>
      <c r="L312" s="132"/>
      <c r="M312" s="19">
        <v>44131</v>
      </c>
      <c r="N312" s="61"/>
      <c r="O312" s="132"/>
      <c r="P312" s="95"/>
      <c r="Q312" s="12"/>
    </row>
    <row r="313" spans="2:17" s="89" customFormat="1" ht="19.5" customHeight="1" x14ac:dyDescent="0.15">
      <c r="B313" s="132"/>
      <c r="C313" s="38"/>
      <c r="D313" s="38"/>
      <c r="E313" s="40"/>
      <c r="F313" s="61"/>
      <c r="G313" s="61"/>
      <c r="H313" s="61"/>
      <c r="I313" s="26"/>
      <c r="J313" s="61"/>
      <c r="K313" s="132"/>
      <c r="L313" s="132"/>
      <c r="M313" s="10"/>
      <c r="N313" s="61"/>
      <c r="O313" s="132"/>
      <c r="P313" s="95"/>
      <c r="Q313" s="12"/>
    </row>
  </sheetData>
  <mergeCells count="6">
    <mergeCell ref="B6:D6"/>
    <mergeCell ref="B2:D2"/>
    <mergeCell ref="G2:I2"/>
    <mergeCell ref="B3:D3"/>
    <mergeCell ref="B4:D4"/>
    <mergeCell ref="B5:D5"/>
  </mergeCells>
  <phoneticPr fontId="7"/>
  <pageMargins left="0.7" right="0.7" top="0.75" bottom="0.75" header="0.3" footer="0.3"/>
  <pageSetup paperSize="9"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Q30"/>
  <sheetViews>
    <sheetView tabSelected="1" zoomScale="70" zoomScaleNormal="70" workbookViewId="0">
      <selection activeCell="M26" sqref="M26"/>
    </sheetView>
  </sheetViews>
  <sheetFormatPr defaultRowHeight="13.5" x14ac:dyDescent="0.15"/>
  <cols>
    <col min="1" max="1" width="2.625" customWidth="1"/>
    <col min="2" max="2" width="15.5" style="4" bestFit="1" customWidth="1"/>
    <col min="3" max="3" width="14.375" style="4" bestFit="1" customWidth="1"/>
    <col min="4" max="4" width="13.125" style="4" bestFit="1" customWidth="1"/>
    <col min="5" max="5" width="76.875" style="25" bestFit="1" customWidth="1"/>
    <col min="6" max="6" width="6.25" style="8" customWidth="1"/>
    <col min="7" max="8" width="12.75" style="37" customWidth="1"/>
    <col min="9" max="9" width="5.75" style="8" customWidth="1"/>
    <col min="10" max="10" width="26.75" customWidth="1"/>
    <col min="11" max="11" width="37.25" bestFit="1" customWidth="1"/>
    <col min="12" max="12" width="11" style="4" customWidth="1"/>
    <col min="13" max="13" width="13.75" style="9" customWidth="1"/>
    <col min="14" max="14" width="6.375" customWidth="1"/>
    <col min="15" max="15" width="15.875" style="4" customWidth="1"/>
    <col min="16" max="16" width="15.875" style="11" customWidth="1"/>
    <col min="17" max="17" width="15.625" style="29" customWidth="1"/>
  </cols>
  <sheetData>
    <row r="2" spans="2:17" ht="20.100000000000001" customHeight="1" x14ac:dyDescent="0.15">
      <c r="B2" s="223" t="s">
        <v>11</v>
      </c>
      <c r="C2" s="223"/>
      <c r="D2" s="223"/>
      <c r="E2" s="42" t="s">
        <v>24</v>
      </c>
      <c r="G2" s="224" t="s">
        <v>15</v>
      </c>
      <c r="H2" s="225"/>
      <c r="I2" s="226"/>
      <c r="J2" s="7">
        <f>SUM(H:H)</f>
        <v>112361</v>
      </c>
      <c r="K2" s="5"/>
      <c r="L2" s="6"/>
    </row>
    <row r="3" spans="2:17" ht="20.100000000000001" customHeight="1" x14ac:dyDescent="0.15">
      <c r="B3" s="223" t="s">
        <v>10</v>
      </c>
      <c r="C3" s="223"/>
      <c r="D3" s="223"/>
      <c r="E3" s="43" t="s">
        <v>22</v>
      </c>
    </row>
    <row r="4" spans="2:17" ht="20.100000000000001" customHeight="1" x14ac:dyDescent="0.15">
      <c r="B4" s="223" t="s">
        <v>12</v>
      </c>
      <c r="C4" s="223"/>
      <c r="D4" s="223"/>
      <c r="E4" s="43">
        <v>187197</v>
      </c>
      <c r="J4" s="13"/>
      <c r="K4" s="20"/>
    </row>
    <row r="5" spans="2:17" ht="20.100000000000001" customHeight="1" x14ac:dyDescent="0.15">
      <c r="B5" s="223" t="s">
        <v>13</v>
      </c>
      <c r="C5" s="223"/>
      <c r="D5" s="223"/>
      <c r="E5" s="44"/>
      <c r="J5" s="13"/>
      <c r="K5" s="20"/>
    </row>
    <row r="6" spans="2:17" ht="20.100000000000001" customHeight="1" x14ac:dyDescent="0.15">
      <c r="B6" s="223" t="s">
        <v>14</v>
      </c>
      <c r="C6" s="223"/>
      <c r="D6" s="223"/>
      <c r="E6" s="44"/>
      <c r="J6" s="13"/>
      <c r="K6" s="20"/>
    </row>
    <row r="7" spans="2:17" ht="20.100000000000001" customHeight="1" x14ac:dyDescent="0.15">
      <c r="B7" s="14"/>
      <c r="C7" s="14"/>
      <c r="D7" s="14"/>
      <c r="E7" s="45"/>
      <c r="J7" s="13"/>
      <c r="K7" s="20"/>
      <c r="L7" s="15"/>
    </row>
    <row r="9" spans="2:17" s="2" customFormat="1" ht="19.5" customHeight="1" x14ac:dyDescent="0.15">
      <c r="B9" s="3" t="s">
        <v>4</v>
      </c>
      <c r="C9" s="3" t="s">
        <v>9</v>
      </c>
      <c r="D9" s="3" t="s">
        <v>5</v>
      </c>
      <c r="E9" s="38" t="s">
        <v>8</v>
      </c>
      <c r="F9" s="26" t="s">
        <v>0</v>
      </c>
      <c r="G9" s="34" t="s">
        <v>1</v>
      </c>
      <c r="H9" s="34" t="s">
        <v>2</v>
      </c>
      <c r="I9" s="1" t="s">
        <v>18</v>
      </c>
      <c r="J9" s="1" t="s">
        <v>3</v>
      </c>
      <c r="K9" s="1" t="s">
        <v>17</v>
      </c>
      <c r="L9" s="1" t="s">
        <v>16</v>
      </c>
      <c r="M9" s="10" t="s">
        <v>6</v>
      </c>
      <c r="N9" s="3" t="s">
        <v>19</v>
      </c>
      <c r="O9" s="1" t="s">
        <v>7</v>
      </c>
      <c r="P9" s="10" t="s">
        <v>20</v>
      </c>
      <c r="Q9" s="12" t="s">
        <v>21</v>
      </c>
    </row>
    <row r="10" spans="2:17" ht="20.100000000000001" customHeight="1" x14ac:dyDescent="0.15">
      <c r="B10" s="22"/>
      <c r="C10" s="132" t="s">
        <v>967</v>
      </c>
      <c r="D10" s="132" t="s">
        <v>967</v>
      </c>
      <c r="E10" s="40" t="s">
        <v>964</v>
      </c>
      <c r="F10" s="40">
        <v>2</v>
      </c>
      <c r="G10" s="40">
        <v>16500</v>
      </c>
      <c r="H10" s="40">
        <f>F10*G10</f>
        <v>33000</v>
      </c>
      <c r="I10" s="26"/>
      <c r="J10" s="40" t="s">
        <v>964</v>
      </c>
      <c r="K10" s="49"/>
      <c r="L10" s="22"/>
      <c r="M10" s="10">
        <v>44341</v>
      </c>
      <c r="N10" s="40"/>
      <c r="O10" s="22"/>
      <c r="P10" s="41"/>
      <c r="Q10" s="30"/>
    </row>
    <row r="11" spans="2:17" ht="20.100000000000001" customHeight="1" x14ac:dyDescent="0.15">
      <c r="B11" s="22"/>
      <c r="C11" s="132" t="s">
        <v>966</v>
      </c>
      <c r="D11" s="132" t="s">
        <v>966</v>
      </c>
      <c r="E11" s="40" t="s">
        <v>971</v>
      </c>
      <c r="F11" s="40">
        <v>2</v>
      </c>
      <c r="G11" s="40">
        <v>11640</v>
      </c>
      <c r="H11" s="40">
        <v>23280</v>
      </c>
      <c r="I11" s="26"/>
      <c r="J11" s="40" t="s">
        <v>965</v>
      </c>
      <c r="K11" s="38" t="s">
        <v>980</v>
      </c>
      <c r="L11" s="22"/>
      <c r="M11" s="10">
        <v>44337</v>
      </c>
      <c r="N11" s="40"/>
      <c r="O11" s="22"/>
      <c r="P11" s="41"/>
      <c r="Q11" s="30"/>
    </row>
    <row r="12" spans="2:17" ht="20.100000000000001" customHeight="1" x14ac:dyDescent="0.15">
      <c r="B12" s="227" t="s">
        <v>970</v>
      </c>
      <c r="C12" s="219" t="s">
        <v>966</v>
      </c>
      <c r="D12" s="219" t="s">
        <v>966</v>
      </c>
      <c r="E12" s="220" t="s">
        <v>972</v>
      </c>
      <c r="F12" s="220">
        <v>1</v>
      </c>
      <c r="G12" s="220">
        <v>16451</v>
      </c>
      <c r="H12" s="220">
        <v>16451</v>
      </c>
      <c r="I12" s="221"/>
      <c r="J12" s="220" t="s">
        <v>968</v>
      </c>
      <c r="K12" s="38" t="s">
        <v>980</v>
      </c>
      <c r="L12" s="22"/>
      <c r="M12" s="10">
        <v>44337</v>
      </c>
      <c r="N12" s="40"/>
      <c r="O12" s="22"/>
      <c r="P12" s="41"/>
      <c r="Q12" s="30"/>
    </row>
    <row r="13" spans="2:17" ht="20.100000000000001" customHeight="1" x14ac:dyDescent="0.15">
      <c r="B13" s="228"/>
      <c r="C13" s="219" t="s">
        <v>966</v>
      </c>
      <c r="D13" s="219" t="s">
        <v>966</v>
      </c>
      <c r="E13" s="220" t="s">
        <v>969</v>
      </c>
      <c r="F13" s="220">
        <v>4</v>
      </c>
      <c r="G13" s="220">
        <v>600</v>
      </c>
      <c r="H13" s="220">
        <v>2400</v>
      </c>
      <c r="I13" s="221"/>
      <c r="J13" s="220" t="s">
        <v>231</v>
      </c>
      <c r="K13" s="38" t="s">
        <v>980</v>
      </c>
      <c r="L13" s="22"/>
      <c r="M13" s="10">
        <v>44337</v>
      </c>
      <c r="N13" s="40"/>
      <c r="O13" s="22"/>
      <c r="P13" s="41"/>
      <c r="Q13" s="30"/>
    </row>
    <row r="14" spans="2:17" ht="20.100000000000001" customHeight="1" x14ac:dyDescent="0.15">
      <c r="B14" s="228"/>
      <c r="C14" s="219" t="s">
        <v>966</v>
      </c>
      <c r="D14" s="219" t="s">
        <v>966</v>
      </c>
      <c r="E14" s="220" t="s">
        <v>661</v>
      </c>
      <c r="F14" s="220">
        <v>3</v>
      </c>
      <c r="G14" s="220">
        <v>1730</v>
      </c>
      <c r="H14" s="220">
        <v>5190</v>
      </c>
      <c r="I14" s="221"/>
      <c r="J14" s="220" t="s">
        <v>230</v>
      </c>
      <c r="K14" s="38" t="s">
        <v>980</v>
      </c>
      <c r="L14" s="22"/>
      <c r="M14" s="10">
        <v>44337</v>
      </c>
      <c r="N14" s="40"/>
      <c r="O14" s="22"/>
      <c r="P14" s="41"/>
      <c r="Q14" s="30"/>
    </row>
    <row r="15" spans="2:17" ht="20.100000000000001" customHeight="1" x14ac:dyDescent="0.15">
      <c r="B15" s="228"/>
      <c r="C15" s="219" t="s">
        <v>966</v>
      </c>
      <c r="D15" s="219" t="s">
        <v>966</v>
      </c>
      <c r="E15" s="220" t="s">
        <v>660</v>
      </c>
      <c r="F15" s="220">
        <v>2</v>
      </c>
      <c r="G15" s="220">
        <v>800</v>
      </c>
      <c r="H15" s="220">
        <v>1600</v>
      </c>
      <c r="I15" s="221"/>
      <c r="J15" s="220" t="s">
        <v>666</v>
      </c>
      <c r="K15" s="38" t="s">
        <v>980</v>
      </c>
      <c r="L15" s="22"/>
      <c r="M15" s="10">
        <v>44337</v>
      </c>
      <c r="N15" s="40"/>
      <c r="O15" s="22"/>
      <c r="P15" s="41"/>
      <c r="Q15" s="30"/>
    </row>
    <row r="16" spans="2:17" ht="20.100000000000001" customHeight="1" x14ac:dyDescent="0.15">
      <c r="B16" s="229"/>
      <c r="C16" s="219" t="s">
        <v>966</v>
      </c>
      <c r="D16" s="219" t="s">
        <v>966</v>
      </c>
      <c r="E16" s="220" t="s">
        <v>671</v>
      </c>
      <c r="F16" s="220">
        <v>2</v>
      </c>
      <c r="G16" s="220">
        <v>800</v>
      </c>
      <c r="H16" s="220">
        <v>1600</v>
      </c>
      <c r="I16" s="221"/>
      <c r="J16" s="220" t="s">
        <v>666</v>
      </c>
      <c r="K16" s="38" t="s">
        <v>980</v>
      </c>
      <c r="L16" s="22"/>
      <c r="M16" s="10">
        <v>44337</v>
      </c>
      <c r="N16" s="40"/>
      <c r="O16" s="22"/>
      <c r="P16" s="41"/>
      <c r="Q16" s="30"/>
    </row>
    <row r="17" spans="2:17" ht="20.100000000000001" customHeight="1" x14ac:dyDescent="0.15">
      <c r="B17" s="22"/>
      <c r="C17" s="1" t="s">
        <v>966</v>
      </c>
      <c r="D17" s="132" t="s">
        <v>966</v>
      </c>
      <c r="E17" s="40" t="s">
        <v>973</v>
      </c>
      <c r="F17" s="40">
        <v>8</v>
      </c>
      <c r="G17" s="40">
        <v>723</v>
      </c>
      <c r="H17" s="40">
        <v>5784</v>
      </c>
      <c r="I17" s="26"/>
      <c r="J17" s="40" t="s">
        <v>977</v>
      </c>
      <c r="K17" s="38" t="s">
        <v>980</v>
      </c>
      <c r="L17" s="22"/>
      <c r="M17" s="10">
        <v>44337</v>
      </c>
      <c r="N17" s="40"/>
      <c r="O17" s="22"/>
      <c r="P17" s="41"/>
      <c r="Q17" s="30"/>
    </row>
    <row r="18" spans="2:17" ht="20.100000000000001" customHeight="1" x14ac:dyDescent="0.15">
      <c r="B18" s="218"/>
      <c r="C18" s="132" t="s">
        <v>966</v>
      </c>
      <c r="D18" s="132" t="s">
        <v>966</v>
      </c>
      <c r="E18" s="40" t="s">
        <v>963</v>
      </c>
      <c r="F18" s="40">
        <v>12</v>
      </c>
      <c r="G18" s="40">
        <v>360</v>
      </c>
      <c r="H18" s="40">
        <v>4320</v>
      </c>
      <c r="I18" s="26"/>
      <c r="J18" s="40" t="s">
        <v>271</v>
      </c>
      <c r="K18" s="38" t="s">
        <v>980</v>
      </c>
      <c r="L18" s="218"/>
      <c r="M18" s="10">
        <v>44337</v>
      </c>
      <c r="N18" s="40"/>
      <c r="O18" s="218"/>
      <c r="P18" s="41"/>
      <c r="Q18" s="30"/>
    </row>
    <row r="19" spans="2:17" ht="20.100000000000001" customHeight="1" x14ac:dyDescent="0.15">
      <c r="B19" s="218"/>
      <c r="C19" s="132" t="s">
        <v>966</v>
      </c>
      <c r="D19" s="132" t="s">
        <v>966</v>
      </c>
      <c r="E19" s="40" t="s">
        <v>765</v>
      </c>
      <c r="F19" s="40">
        <v>8</v>
      </c>
      <c r="G19" s="40">
        <v>369</v>
      </c>
      <c r="H19" s="40">
        <v>2952</v>
      </c>
      <c r="I19" s="26"/>
      <c r="J19" s="40" t="s">
        <v>271</v>
      </c>
      <c r="K19" s="38" t="s">
        <v>980</v>
      </c>
      <c r="L19" s="218"/>
      <c r="M19" s="10">
        <v>44337</v>
      </c>
      <c r="N19" s="40"/>
      <c r="O19" s="218"/>
      <c r="P19" s="41"/>
      <c r="Q19" s="30"/>
    </row>
    <row r="20" spans="2:17" ht="20.100000000000001" customHeight="1" x14ac:dyDescent="0.15">
      <c r="B20" s="22"/>
      <c r="C20" s="132" t="s">
        <v>966</v>
      </c>
      <c r="D20" s="132" t="s">
        <v>966</v>
      </c>
      <c r="E20" s="40" t="s">
        <v>974</v>
      </c>
      <c r="F20" s="40">
        <v>1</v>
      </c>
      <c r="G20" s="40">
        <v>2500</v>
      </c>
      <c r="H20" s="40">
        <v>2500</v>
      </c>
      <c r="I20" s="26"/>
      <c r="J20" s="40" t="s">
        <v>978</v>
      </c>
      <c r="K20" s="38" t="s">
        <v>980</v>
      </c>
      <c r="L20" s="22"/>
      <c r="M20" s="10">
        <v>44337</v>
      </c>
      <c r="N20" s="40"/>
      <c r="O20" s="22"/>
      <c r="P20" s="41"/>
      <c r="Q20" s="30"/>
    </row>
    <row r="21" spans="2:17" ht="20.100000000000001" customHeight="1" x14ac:dyDescent="0.15">
      <c r="B21" s="22"/>
      <c r="C21" s="132" t="s">
        <v>966</v>
      </c>
      <c r="D21" s="132" t="s">
        <v>966</v>
      </c>
      <c r="E21" s="40" t="s">
        <v>975</v>
      </c>
      <c r="F21" s="40">
        <v>1</v>
      </c>
      <c r="G21" s="40">
        <v>2500</v>
      </c>
      <c r="H21" s="40">
        <v>2500</v>
      </c>
      <c r="I21" s="26"/>
      <c r="J21" s="40" t="s">
        <v>978</v>
      </c>
      <c r="K21" s="38" t="s">
        <v>980</v>
      </c>
      <c r="L21" s="22"/>
      <c r="M21" s="10">
        <v>44337</v>
      </c>
      <c r="N21" s="40"/>
      <c r="O21" s="22"/>
      <c r="P21" s="41"/>
      <c r="Q21" s="30"/>
    </row>
    <row r="22" spans="2:17" ht="20.100000000000001" customHeight="1" x14ac:dyDescent="0.15">
      <c r="B22" s="22"/>
      <c r="C22" s="132" t="s">
        <v>966</v>
      </c>
      <c r="D22" s="132" t="s">
        <v>966</v>
      </c>
      <c r="E22" s="40" t="s">
        <v>976</v>
      </c>
      <c r="F22" s="40">
        <v>1</v>
      </c>
      <c r="G22" s="40">
        <v>4400</v>
      </c>
      <c r="H22" s="40">
        <v>4400</v>
      </c>
      <c r="I22" s="26"/>
      <c r="J22" s="40" t="s">
        <v>979</v>
      </c>
      <c r="K22" s="38" t="s">
        <v>980</v>
      </c>
      <c r="L22" s="22"/>
      <c r="M22" s="10">
        <v>44337</v>
      </c>
      <c r="N22" s="40"/>
      <c r="O22" s="22"/>
      <c r="P22" s="41"/>
      <c r="Q22" s="30"/>
    </row>
    <row r="23" spans="2:17" ht="20.100000000000001" customHeight="1" x14ac:dyDescent="0.15">
      <c r="B23" s="22"/>
      <c r="C23" s="1"/>
      <c r="D23" s="1"/>
      <c r="E23" s="40"/>
      <c r="F23" s="40"/>
      <c r="G23" s="40"/>
      <c r="H23" s="40"/>
      <c r="I23" s="26"/>
      <c r="J23" s="40"/>
      <c r="K23" s="38"/>
      <c r="L23" s="22"/>
      <c r="M23" s="10"/>
      <c r="N23" s="40"/>
      <c r="O23" s="22"/>
      <c r="P23" s="41"/>
      <c r="Q23" s="30"/>
    </row>
    <row r="24" spans="2:17" ht="20.100000000000001" customHeight="1" x14ac:dyDescent="0.15">
      <c r="B24" s="222"/>
      <c r="C24" s="132" t="s">
        <v>99</v>
      </c>
      <c r="D24" s="132" t="s">
        <v>99</v>
      </c>
      <c r="E24" s="40" t="s">
        <v>981</v>
      </c>
      <c r="F24" s="40">
        <v>12</v>
      </c>
      <c r="G24" s="40">
        <v>532</v>
      </c>
      <c r="H24" s="40">
        <v>6384</v>
      </c>
      <c r="I24" s="26"/>
      <c r="J24" s="40" t="s">
        <v>982</v>
      </c>
      <c r="K24" s="38" t="s">
        <v>980</v>
      </c>
      <c r="L24" s="222"/>
      <c r="M24" s="10">
        <v>44341</v>
      </c>
      <c r="N24" s="40"/>
      <c r="O24" s="222"/>
      <c r="P24" s="41"/>
      <c r="Q24" s="30"/>
    </row>
    <row r="25" spans="2:17" ht="20.100000000000001" customHeight="1" x14ac:dyDescent="0.15">
      <c r="B25" s="22"/>
      <c r="C25" s="1"/>
      <c r="D25" s="1"/>
      <c r="E25" s="40"/>
      <c r="F25" s="40"/>
      <c r="G25" s="40"/>
      <c r="H25" s="40"/>
      <c r="I25" s="26"/>
      <c r="J25" s="40"/>
      <c r="K25" s="38"/>
      <c r="L25" s="22"/>
      <c r="M25" s="10"/>
      <c r="N25" s="40"/>
      <c r="O25" s="22"/>
      <c r="P25" s="41"/>
      <c r="Q25" s="30"/>
    </row>
    <row r="26" spans="2:17" ht="20.100000000000001" customHeight="1" x14ac:dyDescent="0.15">
      <c r="B26" s="22"/>
      <c r="C26" s="1"/>
      <c r="D26" s="1"/>
      <c r="E26" s="40"/>
      <c r="F26" s="40"/>
      <c r="G26" s="40"/>
      <c r="H26" s="40"/>
      <c r="I26" s="26"/>
      <c r="J26" s="40"/>
      <c r="K26" s="38"/>
      <c r="L26" s="22"/>
      <c r="M26" s="10"/>
      <c r="N26" s="40"/>
      <c r="O26" s="22"/>
      <c r="P26" s="41"/>
      <c r="Q26" s="30"/>
    </row>
    <row r="27" spans="2:17" ht="20.100000000000001" customHeight="1" x14ac:dyDescent="0.15">
      <c r="B27" s="22"/>
      <c r="C27" s="1"/>
      <c r="D27" s="1"/>
      <c r="E27" s="40"/>
      <c r="F27" s="40"/>
      <c r="G27" s="40"/>
      <c r="H27" s="40"/>
      <c r="I27" s="26"/>
      <c r="J27" s="40"/>
      <c r="K27" s="38"/>
      <c r="L27" s="22"/>
      <c r="M27" s="10"/>
      <c r="N27" s="40"/>
      <c r="O27" s="22"/>
      <c r="P27" s="41"/>
      <c r="Q27" s="30"/>
    </row>
    <row r="28" spans="2:17" ht="20.100000000000001" customHeight="1" x14ac:dyDescent="0.15">
      <c r="B28" s="22"/>
      <c r="C28" s="1"/>
      <c r="D28" s="1"/>
      <c r="E28" s="40"/>
      <c r="F28" s="40"/>
      <c r="G28" s="40"/>
      <c r="H28" s="40"/>
      <c r="I28" s="26"/>
      <c r="J28" s="40"/>
      <c r="K28" s="38"/>
      <c r="L28" s="22"/>
      <c r="M28" s="10"/>
      <c r="N28" s="40"/>
      <c r="O28" s="22"/>
      <c r="P28" s="41"/>
      <c r="Q28" s="30"/>
    </row>
    <row r="29" spans="2:17" ht="20.100000000000001" customHeight="1" x14ac:dyDescent="0.15">
      <c r="B29" s="22"/>
      <c r="C29" s="1"/>
      <c r="D29" s="1"/>
      <c r="E29" s="40"/>
      <c r="F29" s="40"/>
      <c r="G29" s="40"/>
      <c r="H29" s="40"/>
      <c r="I29" s="26"/>
      <c r="J29" s="40"/>
      <c r="K29" s="38"/>
      <c r="L29" s="22"/>
      <c r="M29" s="10"/>
      <c r="N29" s="40"/>
      <c r="O29" s="22"/>
      <c r="P29" s="41"/>
      <c r="Q29" s="30"/>
    </row>
    <row r="30" spans="2:17" ht="20.100000000000001" customHeight="1" x14ac:dyDescent="0.15">
      <c r="B30" s="22"/>
      <c r="C30" s="1"/>
      <c r="D30" s="1"/>
      <c r="E30" s="40"/>
      <c r="F30" s="40"/>
      <c r="G30" s="40"/>
      <c r="H30" s="40"/>
      <c r="I30" s="26"/>
      <c r="J30" s="40"/>
      <c r="K30" s="38"/>
      <c r="L30" s="22"/>
      <c r="M30" s="10"/>
      <c r="N30" s="40"/>
      <c r="O30" s="22"/>
      <c r="P30" s="41"/>
      <c r="Q30" s="30"/>
    </row>
  </sheetData>
  <mergeCells count="7">
    <mergeCell ref="B12:B16"/>
    <mergeCell ref="B6:D6"/>
    <mergeCell ref="B2:D2"/>
    <mergeCell ref="G2:I2"/>
    <mergeCell ref="B3:D3"/>
    <mergeCell ref="B4:D4"/>
    <mergeCell ref="B5:D5"/>
  </mergeCells>
  <phoneticPr fontId="7"/>
  <pageMargins left="0.7" right="0.7" top="0.75" bottom="0.75" header="0.3" footer="0.3"/>
  <pageSetup paperSize="9"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Q82"/>
  <sheetViews>
    <sheetView zoomScale="70" zoomScaleNormal="70" workbookViewId="0">
      <selection activeCell="A118" sqref="A83:XFD118"/>
    </sheetView>
  </sheetViews>
  <sheetFormatPr defaultRowHeight="13.5" x14ac:dyDescent="0.15"/>
  <cols>
    <col min="1" max="1" width="2.625" customWidth="1"/>
    <col min="2" max="2" width="15.5" style="4" bestFit="1" customWidth="1"/>
    <col min="3" max="3" width="14.375" style="4" bestFit="1" customWidth="1"/>
    <col min="4" max="4" width="13.125" style="4" bestFit="1" customWidth="1"/>
    <col min="5" max="5" width="76.875" style="25" bestFit="1" customWidth="1"/>
    <col min="6" max="6" width="6.25" style="8" customWidth="1"/>
    <col min="7" max="8" width="12.75" style="37" customWidth="1"/>
    <col min="9" max="9" width="5.75" style="8" customWidth="1"/>
    <col min="10" max="10" width="26.75" customWidth="1"/>
    <col min="11" max="11" width="37.25" bestFit="1" customWidth="1"/>
    <col min="12" max="12" width="11" style="4" customWidth="1"/>
    <col min="13" max="13" width="13.75" style="9" customWidth="1"/>
    <col min="14" max="14" width="6.375" customWidth="1"/>
    <col min="15" max="15" width="15.875" style="4" customWidth="1"/>
    <col min="16" max="16" width="15.875" style="11" customWidth="1"/>
    <col min="17" max="17" width="15.625" style="29" customWidth="1"/>
  </cols>
  <sheetData>
    <row r="2" spans="2:17" ht="20.100000000000001" customHeight="1" x14ac:dyDescent="0.15">
      <c r="B2" s="223" t="s">
        <v>11</v>
      </c>
      <c r="C2" s="223"/>
      <c r="D2" s="223"/>
      <c r="E2" s="42" t="s">
        <v>24</v>
      </c>
      <c r="G2" s="224" t="s">
        <v>15</v>
      </c>
      <c r="H2" s="225"/>
      <c r="I2" s="226"/>
      <c r="J2" s="7">
        <f>SUM(H:H)</f>
        <v>422541</v>
      </c>
      <c r="K2" s="5"/>
      <c r="L2" s="6"/>
    </row>
    <row r="3" spans="2:17" ht="20.100000000000001" customHeight="1" x14ac:dyDescent="0.15">
      <c r="B3" s="223" t="s">
        <v>10</v>
      </c>
      <c r="C3" s="223"/>
      <c r="D3" s="223"/>
      <c r="E3" s="43" t="s">
        <v>22</v>
      </c>
    </row>
    <row r="4" spans="2:17" ht="20.100000000000001" customHeight="1" x14ac:dyDescent="0.15">
      <c r="B4" s="223" t="s">
        <v>12</v>
      </c>
      <c r="C4" s="223"/>
      <c r="D4" s="223"/>
      <c r="E4" s="43">
        <v>179145</v>
      </c>
      <c r="J4" s="13"/>
      <c r="K4" s="20"/>
    </row>
    <row r="5" spans="2:17" ht="20.100000000000001" customHeight="1" x14ac:dyDescent="0.15">
      <c r="B5" s="223" t="s">
        <v>13</v>
      </c>
      <c r="C5" s="223"/>
      <c r="D5" s="223"/>
      <c r="E5" s="44"/>
      <c r="J5" s="13"/>
      <c r="K5" s="20"/>
    </row>
    <row r="6" spans="2:17" ht="20.100000000000001" customHeight="1" x14ac:dyDescent="0.15">
      <c r="B6" s="223" t="s">
        <v>14</v>
      </c>
      <c r="C6" s="223"/>
      <c r="D6" s="223"/>
      <c r="E6" s="44"/>
      <c r="J6" s="13"/>
      <c r="K6" s="20"/>
    </row>
    <row r="7" spans="2:17" ht="20.100000000000001" customHeight="1" x14ac:dyDescent="0.15">
      <c r="B7" s="14"/>
      <c r="C7" s="14"/>
      <c r="D7" s="14"/>
      <c r="E7" s="45"/>
      <c r="J7" s="13"/>
      <c r="K7" s="20"/>
      <c r="L7" s="15"/>
    </row>
    <row r="9" spans="2:17" s="2" customFormat="1" ht="19.5" customHeight="1" x14ac:dyDescent="0.15">
      <c r="B9" s="3" t="s">
        <v>4</v>
      </c>
      <c r="C9" s="3" t="s">
        <v>9</v>
      </c>
      <c r="D9" s="3" t="s">
        <v>5</v>
      </c>
      <c r="E9" s="38" t="s">
        <v>8</v>
      </c>
      <c r="F9" s="26" t="s">
        <v>0</v>
      </c>
      <c r="G9" s="34" t="s">
        <v>1</v>
      </c>
      <c r="H9" s="34" t="s">
        <v>2</v>
      </c>
      <c r="I9" s="1" t="s">
        <v>18</v>
      </c>
      <c r="J9" s="1" t="s">
        <v>3</v>
      </c>
      <c r="K9" s="1" t="s">
        <v>17</v>
      </c>
      <c r="L9" s="1" t="s">
        <v>16</v>
      </c>
      <c r="M9" s="10" t="s">
        <v>6</v>
      </c>
      <c r="N9" s="3" t="s">
        <v>19</v>
      </c>
      <c r="O9" s="1" t="s">
        <v>7</v>
      </c>
      <c r="P9" s="10" t="s">
        <v>20</v>
      </c>
      <c r="Q9" s="12" t="s">
        <v>21</v>
      </c>
    </row>
    <row r="10" spans="2:17" ht="20.100000000000001" customHeight="1" x14ac:dyDescent="0.15">
      <c r="B10" s="22"/>
      <c r="C10" s="1" t="s">
        <v>38</v>
      </c>
      <c r="D10" s="1" t="s">
        <v>38</v>
      </c>
      <c r="E10" s="40" t="s">
        <v>25</v>
      </c>
      <c r="F10" s="40">
        <v>4</v>
      </c>
      <c r="G10" s="40">
        <v>3625</v>
      </c>
      <c r="H10" s="40">
        <v>14500</v>
      </c>
      <c r="I10" s="26"/>
      <c r="J10" s="40" t="s">
        <v>39</v>
      </c>
      <c r="K10" s="38"/>
      <c r="L10" s="22"/>
      <c r="M10" s="31">
        <v>44039</v>
      </c>
      <c r="N10" s="40"/>
      <c r="O10" s="22"/>
      <c r="P10" s="41"/>
      <c r="Q10" s="30"/>
    </row>
    <row r="11" spans="2:17" ht="20.100000000000001" customHeight="1" x14ac:dyDescent="0.15">
      <c r="B11" s="22"/>
      <c r="C11" s="1" t="s">
        <v>38</v>
      </c>
      <c r="D11" s="1" t="s">
        <v>38</v>
      </c>
      <c r="E11" s="40" t="s">
        <v>26</v>
      </c>
      <c r="F11" s="40">
        <v>125</v>
      </c>
      <c r="G11" s="40">
        <v>221</v>
      </c>
      <c r="H11" s="40">
        <v>27625</v>
      </c>
      <c r="I11" s="26"/>
      <c r="J11" s="40" t="s">
        <v>40</v>
      </c>
      <c r="K11" s="38"/>
      <c r="L11" s="22"/>
      <c r="M11" s="31">
        <v>44039</v>
      </c>
      <c r="N11" s="40"/>
      <c r="O11" s="22"/>
      <c r="P11" s="41"/>
      <c r="Q11" s="30"/>
    </row>
    <row r="12" spans="2:17" ht="20.100000000000001" customHeight="1" x14ac:dyDescent="0.15">
      <c r="B12" s="22"/>
      <c r="C12" s="1" t="s">
        <v>38</v>
      </c>
      <c r="D12" s="1" t="s">
        <v>38</v>
      </c>
      <c r="E12" s="40" t="s">
        <v>27</v>
      </c>
      <c r="F12" s="40">
        <v>8</v>
      </c>
      <c r="G12" s="40">
        <v>558</v>
      </c>
      <c r="H12" s="40">
        <v>4464</v>
      </c>
      <c r="I12" s="26"/>
      <c r="J12" s="40" t="s">
        <v>40</v>
      </c>
      <c r="K12" s="38"/>
      <c r="L12" s="22"/>
      <c r="M12" s="31">
        <v>44039</v>
      </c>
      <c r="N12" s="40"/>
      <c r="O12" s="22"/>
      <c r="P12" s="41"/>
      <c r="Q12" s="30"/>
    </row>
    <row r="13" spans="2:17" ht="20.100000000000001" customHeight="1" x14ac:dyDescent="0.15">
      <c r="B13" s="22"/>
      <c r="C13" s="1" t="s">
        <v>38</v>
      </c>
      <c r="D13" s="1" t="s">
        <v>38</v>
      </c>
      <c r="E13" s="40" t="s">
        <v>28</v>
      </c>
      <c r="F13" s="40">
        <v>4</v>
      </c>
      <c r="G13" s="40">
        <v>97</v>
      </c>
      <c r="H13" s="40">
        <v>388</v>
      </c>
      <c r="I13" s="26"/>
      <c r="J13" s="40" t="s">
        <v>41</v>
      </c>
      <c r="K13" s="38"/>
      <c r="L13" s="22"/>
      <c r="M13" s="31">
        <v>44039</v>
      </c>
      <c r="N13" s="40"/>
      <c r="O13" s="22"/>
      <c r="P13" s="41"/>
      <c r="Q13" s="30"/>
    </row>
    <row r="14" spans="2:17" ht="20.100000000000001" customHeight="1" x14ac:dyDescent="0.15">
      <c r="B14" s="22"/>
      <c r="C14" s="1" t="s">
        <v>38</v>
      </c>
      <c r="D14" s="1" t="s">
        <v>38</v>
      </c>
      <c r="E14" s="40" t="s">
        <v>29</v>
      </c>
      <c r="F14" s="40">
        <v>4</v>
      </c>
      <c r="G14" s="40">
        <v>240</v>
      </c>
      <c r="H14" s="40">
        <v>960</v>
      </c>
      <c r="I14" s="26"/>
      <c r="J14" s="40" t="s">
        <v>42</v>
      </c>
      <c r="K14" s="38"/>
      <c r="L14" s="22"/>
      <c r="M14" s="31">
        <v>44039</v>
      </c>
      <c r="N14" s="40"/>
      <c r="O14" s="22"/>
      <c r="P14" s="41"/>
      <c r="Q14" s="30"/>
    </row>
    <row r="15" spans="2:17" ht="20.100000000000001" customHeight="1" x14ac:dyDescent="0.15">
      <c r="B15" s="22"/>
      <c r="C15" s="1" t="s">
        <v>38</v>
      </c>
      <c r="D15" s="1" t="s">
        <v>38</v>
      </c>
      <c r="E15" s="40" t="s">
        <v>30</v>
      </c>
      <c r="F15" s="40">
        <v>6</v>
      </c>
      <c r="G15" s="40">
        <v>510</v>
      </c>
      <c r="H15" s="40">
        <v>3060</v>
      </c>
      <c r="I15" s="26"/>
      <c r="J15" s="40" t="s">
        <v>43</v>
      </c>
      <c r="K15" s="38"/>
      <c r="L15" s="40"/>
      <c r="M15" s="31">
        <v>44039</v>
      </c>
      <c r="N15" s="40"/>
      <c r="O15" s="22"/>
      <c r="P15" s="41"/>
      <c r="Q15" s="30"/>
    </row>
    <row r="16" spans="2:17" ht="20.100000000000001" customHeight="1" x14ac:dyDescent="0.15">
      <c r="B16" s="22"/>
      <c r="C16" s="1" t="s">
        <v>38</v>
      </c>
      <c r="D16" s="1" t="s">
        <v>38</v>
      </c>
      <c r="E16" s="40" t="s">
        <v>31</v>
      </c>
      <c r="F16" s="40">
        <v>2</v>
      </c>
      <c r="G16" s="40">
        <v>560</v>
      </c>
      <c r="H16" s="40">
        <v>1120</v>
      </c>
      <c r="I16" s="26"/>
      <c r="J16" s="40" t="s">
        <v>43</v>
      </c>
      <c r="K16" s="38"/>
      <c r="L16" s="40"/>
      <c r="M16" s="31">
        <v>44039</v>
      </c>
      <c r="N16" s="40"/>
      <c r="O16" s="22"/>
      <c r="P16" s="41"/>
      <c r="Q16" s="30"/>
    </row>
    <row r="17" spans="2:17" ht="20.100000000000001" customHeight="1" x14ac:dyDescent="0.15">
      <c r="B17" s="22"/>
      <c r="C17" s="1" t="s">
        <v>38</v>
      </c>
      <c r="D17" s="1" t="s">
        <v>38</v>
      </c>
      <c r="E17" s="40" t="s">
        <v>32</v>
      </c>
      <c r="F17" s="40">
        <v>2</v>
      </c>
      <c r="G17" s="40">
        <v>860</v>
      </c>
      <c r="H17" s="40">
        <v>1720</v>
      </c>
      <c r="I17" s="26"/>
      <c r="J17" s="40" t="s">
        <v>43</v>
      </c>
      <c r="K17" s="38"/>
      <c r="L17" s="40"/>
      <c r="M17" s="31">
        <v>44039</v>
      </c>
      <c r="N17" s="40"/>
      <c r="O17" s="22"/>
      <c r="P17" s="41"/>
      <c r="Q17" s="30"/>
    </row>
    <row r="18" spans="2:17" ht="20.100000000000001" customHeight="1" x14ac:dyDescent="0.15">
      <c r="B18" s="22"/>
      <c r="C18" s="1" t="s">
        <v>38</v>
      </c>
      <c r="D18" s="1" t="s">
        <v>38</v>
      </c>
      <c r="E18" s="40" t="s">
        <v>33</v>
      </c>
      <c r="F18" s="40">
        <v>3</v>
      </c>
      <c r="G18" s="40">
        <v>870</v>
      </c>
      <c r="H18" s="40">
        <v>2610</v>
      </c>
      <c r="I18" s="26"/>
      <c r="J18" s="40" t="s">
        <v>43</v>
      </c>
      <c r="K18" s="38"/>
      <c r="L18" s="40"/>
      <c r="M18" s="31">
        <v>44039</v>
      </c>
      <c r="N18" s="40"/>
      <c r="O18" s="22"/>
      <c r="P18" s="41"/>
      <c r="Q18" s="30"/>
    </row>
    <row r="19" spans="2:17" ht="20.100000000000001" customHeight="1" x14ac:dyDescent="0.15">
      <c r="B19" s="22"/>
      <c r="C19" s="1" t="s">
        <v>38</v>
      </c>
      <c r="D19" s="1" t="s">
        <v>38</v>
      </c>
      <c r="E19" s="40" t="s">
        <v>71</v>
      </c>
      <c r="F19" s="40">
        <v>4</v>
      </c>
      <c r="G19" s="40">
        <v>930</v>
      </c>
      <c r="H19" s="40">
        <v>3720</v>
      </c>
      <c r="I19" s="26"/>
      <c r="J19" s="40" t="s">
        <v>43</v>
      </c>
      <c r="K19" s="38"/>
      <c r="L19" s="40"/>
      <c r="M19" s="31">
        <v>44039</v>
      </c>
      <c r="N19" s="40"/>
      <c r="O19" s="22"/>
      <c r="P19" s="41"/>
      <c r="Q19" s="30"/>
    </row>
    <row r="20" spans="2:17" ht="20.100000000000001" customHeight="1" x14ac:dyDescent="0.15">
      <c r="B20" s="22"/>
      <c r="C20" s="1" t="s">
        <v>38</v>
      </c>
      <c r="D20" s="1" t="s">
        <v>38</v>
      </c>
      <c r="E20" s="40" t="s">
        <v>34</v>
      </c>
      <c r="F20" s="40">
        <v>4</v>
      </c>
      <c r="G20" s="40">
        <v>980</v>
      </c>
      <c r="H20" s="40">
        <v>3920</v>
      </c>
      <c r="I20" s="26"/>
      <c r="J20" s="40" t="s">
        <v>43</v>
      </c>
      <c r="K20" s="38"/>
      <c r="L20" s="40"/>
      <c r="M20" s="31">
        <v>44039</v>
      </c>
      <c r="N20" s="40"/>
      <c r="O20" s="22"/>
      <c r="P20" s="41"/>
      <c r="Q20" s="30"/>
    </row>
    <row r="21" spans="2:17" ht="20.100000000000001" customHeight="1" x14ac:dyDescent="0.15">
      <c r="B21" s="22"/>
      <c r="C21" s="1" t="s">
        <v>38</v>
      </c>
      <c r="D21" s="1" t="s">
        <v>38</v>
      </c>
      <c r="E21" s="40" t="s">
        <v>35</v>
      </c>
      <c r="F21" s="40">
        <v>19</v>
      </c>
      <c r="G21" s="40">
        <v>1020</v>
      </c>
      <c r="H21" s="40">
        <v>19380</v>
      </c>
      <c r="I21" s="26"/>
      <c r="J21" s="40" t="s">
        <v>43</v>
      </c>
      <c r="K21" s="38"/>
      <c r="L21" s="40"/>
      <c r="M21" s="31">
        <v>44039</v>
      </c>
      <c r="N21" s="40"/>
      <c r="O21" s="22"/>
      <c r="P21" s="41"/>
      <c r="Q21" s="30"/>
    </row>
    <row r="22" spans="2:17" ht="20.100000000000001" customHeight="1" x14ac:dyDescent="0.15">
      <c r="B22" s="22"/>
      <c r="C22" s="1" t="s">
        <v>38</v>
      </c>
      <c r="D22" s="1" t="s">
        <v>38</v>
      </c>
      <c r="E22" s="40" t="s">
        <v>83</v>
      </c>
      <c r="F22" s="40">
        <v>2</v>
      </c>
      <c r="G22" s="40">
        <v>1420</v>
      </c>
      <c r="H22" s="40">
        <v>2840</v>
      </c>
      <c r="I22" s="26"/>
      <c r="J22" s="40" t="s">
        <v>43</v>
      </c>
      <c r="K22" s="38"/>
      <c r="L22" s="40"/>
      <c r="M22" s="31">
        <v>44039</v>
      </c>
      <c r="N22" s="40"/>
      <c r="O22" s="22"/>
      <c r="P22" s="41"/>
      <c r="Q22" s="30"/>
    </row>
    <row r="23" spans="2:17" ht="20.100000000000001" customHeight="1" x14ac:dyDescent="0.15">
      <c r="B23" s="22"/>
      <c r="C23" s="1" t="s">
        <v>38</v>
      </c>
      <c r="D23" s="1" t="s">
        <v>38</v>
      </c>
      <c r="E23" s="40" t="s">
        <v>36</v>
      </c>
      <c r="F23" s="40">
        <v>6</v>
      </c>
      <c r="G23" s="40">
        <v>429</v>
      </c>
      <c r="H23" s="40">
        <v>2574</v>
      </c>
      <c r="I23" s="26"/>
      <c r="J23" s="40" t="s">
        <v>40</v>
      </c>
      <c r="K23" s="38"/>
      <c r="L23" s="22"/>
      <c r="M23" s="31">
        <v>44039</v>
      </c>
      <c r="N23" s="40"/>
      <c r="O23" s="22"/>
      <c r="P23" s="41"/>
      <c r="Q23" s="30"/>
    </row>
    <row r="24" spans="2:17" ht="20.100000000000001" customHeight="1" x14ac:dyDescent="0.15">
      <c r="B24" s="22"/>
      <c r="C24" s="1" t="s">
        <v>38</v>
      </c>
      <c r="D24" s="1" t="s">
        <v>38</v>
      </c>
      <c r="E24" s="40" t="s">
        <v>37</v>
      </c>
      <c r="F24" s="40">
        <v>1</v>
      </c>
      <c r="G24" s="40">
        <v>8179</v>
      </c>
      <c r="H24" s="40">
        <v>8179</v>
      </c>
      <c r="I24" s="26"/>
      <c r="J24" s="40" t="s">
        <v>44</v>
      </c>
      <c r="K24" s="38"/>
      <c r="L24" s="22"/>
      <c r="M24" s="31">
        <v>44039</v>
      </c>
      <c r="N24" s="40"/>
      <c r="O24" s="22"/>
      <c r="P24" s="41"/>
      <c r="Q24" s="30"/>
    </row>
    <row r="25" spans="2:17" ht="20.100000000000001" customHeight="1" x14ac:dyDescent="0.15">
      <c r="B25" s="22"/>
      <c r="C25" s="1" t="s">
        <v>38</v>
      </c>
      <c r="D25" s="1" t="s">
        <v>38</v>
      </c>
      <c r="E25" s="40" t="s">
        <v>45</v>
      </c>
      <c r="F25" s="40">
        <v>1</v>
      </c>
      <c r="G25" s="40">
        <v>600</v>
      </c>
      <c r="H25" s="40">
        <v>600</v>
      </c>
      <c r="I25" s="26"/>
      <c r="J25" s="40" t="s">
        <v>85</v>
      </c>
      <c r="K25" s="38"/>
      <c r="L25" s="22"/>
      <c r="M25" s="31">
        <v>44039</v>
      </c>
      <c r="N25" s="40"/>
      <c r="O25" s="22"/>
      <c r="P25" s="41"/>
      <c r="Q25" s="30"/>
    </row>
    <row r="26" spans="2:17" ht="20.100000000000001" customHeight="1" x14ac:dyDescent="0.15">
      <c r="B26" s="22"/>
      <c r="C26" s="1" t="s">
        <v>38</v>
      </c>
      <c r="D26" s="1" t="s">
        <v>38</v>
      </c>
      <c r="E26" s="40" t="s">
        <v>53</v>
      </c>
      <c r="F26" s="40">
        <v>1</v>
      </c>
      <c r="G26" s="40">
        <v>2464</v>
      </c>
      <c r="H26" s="40">
        <v>2464</v>
      </c>
      <c r="I26" s="26"/>
      <c r="J26" s="40" t="s">
        <v>62</v>
      </c>
      <c r="K26" s="38"/>
      <c r="L26" s="22"/>
      <c r="M26" s="31">
        <v>44039</v>
      </c>
      <c r="N26" s="40"/>
      <c r="O26" s="22"/>
      <c r="P26" s="41"/>
      <c r="Q26" s="30"/>
    </row>
    <row r="27" spans="2:17" ht="20.100000000000001" customHeight="1" x14ac:dyDescent="0.15">
      <c r="B27" s="22"/>
      <c r="C27" s="1" t="s">
        <v>38</v>
      </c>
      <c r="D27" s="1" t="s">
        <v>38</v>
      </c>
      <c r="E27" s="40" t="s">
        <v>55</v>
      </c>
      <c r="F27" s="40">
        <v>1</v>
      </c>
      <c r="G27" s="40">
        <v>1889</v>
      </c>
      <c r="H27" s="40">
        <v>1889</v>
      </c>
      <c r="I27" s="26"/>
      <c r="J27" s="40" t="s">
        <v>58</v>
      </c>
      <c r="K27" s="38"/>
      <c r="L27" s="40"/>
      <c r="M27" s="31">
        <v>44039</v>
      </c>
      <c r="N27" s="40"/>
      <c r="O27" s="40"/>
      <c r="P27" s="41"/>
      <c r="Q27" s="30"/>
    </row>
    <row r="28" spans="2:17" ht="20.100000000000001" customHeight="1" x14ac:dyDescent="0.15">
      <c r="B28" s="22"/>
      <c r="C28" s="1" t="s">
        <v>38</v>
      </c>
      <c r="D28" s="1" t="s">
        <v>38</v>
      </c>
      <c r="E28" s="40" t="s">
        <v>52</v>
      </c>
      <c r="F28" s="40">
        <v>1</v>
      </c>
      <c r="G28" s="40">
        <v>17787</v>
      </c>
      <c r="H28" s="40">
        <v>17787</v>
      </c>
      <c r="I28" s="26"/>
      <c r="J28" s="40" t="s">
        <v>59</v>
      </c>
      <c r="K28" s="38"/>
      <c r="L28" s="40"/>
      <c r="M28" s="31">
        <v>44039</v>
      </c>
      <c r="N28" s="40"/>
      <c r="O28" s="40"/>
      <c r="P28" s="41"/>
      <c r="Q28" s="30"/>
    </row>
    <row r="29" spans="2:17" ht="20.100000000000001" customHeight="1" x14ac:dyDescent="0.15">
      <c r="B29" s="22"/>
      <c r="C29" s="1" t="s">
        <v>38</v>
      </c>
      <c r="D29" s="1" t="s">
        <v>38</v>
      </c>
      <c r="E29" s="40" t="s">
        <v>51</v>
      </c>
      <c r="F29" s="40">
        <v>1</v>
      </c>
      <c r="G29" s="40">
        <v>12534</v>
      </c>
      <c r="H29" s="40">
        <v>12534</v>
      </c>
      <c r="I29" s="26"/>
      <c r="J29" s="40" t="s">
        <v>57</v>
      </c>
      <c r="K29" s="38"/>
      <c r="L29" s="40"/>
      <c r="M29" s="31">
        <v>44039</v>
      </c>
      <c r="N29" s="40"/>
      <c r="O29" s="40"/>
      <c r="P29" s="41"/>
      <c r="Q29" s="30"/>
    </row>
    <row r="30" spans="2:17" ht="20.100000000000001" customHeight="1" x14ac:dyDescent="0.15">
      <c r="B30" s="22"/>
      <c r="C30" s="1" t="s">
        <v>38</v>
      </c>
      <c r="D30" s="1" t="s">
        <v>38</v>
      </c>
      <c r="E30" s="40" t="s">
        <v>49</v>
      </c>
      <c r="F30" s="40">
        <v>1</v>
      </c>
      <c r="G30" s="40">
        <v>1050</v>
      </c>
      <c r="H30" s="40">
        <v>1050</v>
      </c>
      <c r="I30" s="26"/>
      <c r="J30" s="40" t="s">
        <v>61</v>
      </c>
      <c r="K30" s="38"/>
      <c r="L30" s="40"/>
      <c r="M30" s="31">
        <v>44039</v>
      </c>
      <c r="N30" s="40"/>
      <c r="O30" s="40"/>
      <c r="P30" s="41"/>
      <c r="Q30" s="30"/>
    </row>
    <row r="31" spans="2:17" ht="20.100000000000001" customHeight="1" x14ac:dyDescent="0.15">
      <c r="B31" s="22"/>
      <c r="C31" s="1" t="s">
        <v>38</v>
      </c>
      <c r="D31" s="1" t="s">
        <v>38</v>
      </c>
      <c r="E31" s="40" t="s">
        <v>56</v>
      </c>
      <c r="F31" s="40">
        <v>1</v>
      </c>
      <c r="G31" s="40">
        <v>1130</v>
      </c>
      <c r="H31" s="40">
        <v>1130</v>
      </c>
      <c r="I31" s="26"/>
      <c r="J31" s="40" t="s">
        <v>61</v>
      </c>
      <c r="K31" s="38"/>
      <c r="L31" s="40"/>
      <c r="M31" s="31">
        <v>44039</v>
      </c>
      <c r="N31" s="40"/>
      <c r="O31" s="40"/>
      <c r="P31" s="41"/>
      <c r="Q31" s="30"/>
    </row>
    <row r="32" spans="2:17" ht="20.100000000000001" customHeight="1" x14ac:dyDescent="0.15">
      <c r="B32" s="22"/>
      <c r="C32" s="1" t="s">
        <v>38</v>
      </c>
      <c r="D32" s="1" t="s">
        <v>38</v>
      </c>
      <c r="E32" s="40" t="s">
        <v>84</v>
      </c>
      <c r="F32" s="40">
        <v>1</v>
      </c>
      <c r="G32" s="40">
        <v>19280</v>
      </c>
      <c r="H32" s="40">
        <v>19280</v>
      </c>
      <c r="I32" s="62"/>
      <c r="J32" s="40" t="s">
        <v>86</v>
      </c>
      <c r="K32" s="38"/>
      <c r="L32" s="22"/>
      <c r="M32" s="31">
        <v>44039</v>
      </c>
      <c r="N32" s="40"/>
      <c r="O32" s="22"/>
      <c r="P32" s="41"/>
      <c r="Q32" s="30"/>
    </row>
    <row r="33" spans="2:17" ht="20.100000000000001" customHeight="1" x14ac:dyDescent="0.15">
      <c r="B33" s="22"/>
      <c r="C33" s="1" t="s">
        <v>38</v>
      </c>
      <c r="D33" s="1" t="s">
        <v>38</v>
      </c>
      <c r="E33" s="40" t="s">
        <v>46</v>
      </c>
      <c r="F33" s="40">
        <v>2</v>
      </c>
      <c r="G33" s="40">
        <v>2224</v>
      </c>
      <c r="H33" s="40">
        <v>4448</v>
      </c>
      <c r="I33" s="62"/>
      <c r="J33" s="40" t="s">
        <v>87</v>
      </c>
      <c r="K33" s="38"/>
      <c r="L33" s="22"/>
      <c r="M33" s="31">
        <v>44039</v>
      </c>
      <c r="N33" s="40"/>
      <c r="O33" s="22"/>
      <c r="P33" s="41"/>
      <c r="Q33" s="30"/>
    </row>
    <row r="34" spans="2:17" s="25" customFormat="1" ht="20.100000000000001" customHeight="1" x14ac:dyDescent="0.15">
      <c r="B34" s="53"/>
      <c r="C34" s="1" t="s">
        <v>50</v>
      </c>
      <c r="D34" s="1" t="s">
        <v>50</v>
      </c>
      <c r="E34" s="63" t="s">
        <v>73</v>
      </c>
      <c r="F34" s="40">
        <v>1</v>
      </c>
      <c r="G34" s="40">
        <v>2970</v>
      </c>
      <c r="H34" s="40">
        <v>2970</v>
      </c>
      <c r="I34" s="62"/>
      <c r="J34" s="63" t="s">
        <v>73</v>
      </c>
      <c r="K34" s="49"/>
      <c r="L34" s="53"/>
      <c r="M34" s="31"/>
      <c r="N34" s="27"/>
      <c r="O34" s="53"/>
      <c r="P34" s="55"/>
      <c r="Q34" s="56"/>
    </row>
    <row r="35" spans="2:17" s="25" customFormat="1" ht="20.100000000000001" customHeight="1" x14ac:dyDescent="0.15">
      <c r="B35" s="53"/>
      <c r="C35" s="1" t="s">
        <v>38</v>
      </c>
      <c r="D35" s="1" t="s">
        <v>38</v>
      </c>
      <c r="E35" s="40" t="s">
        <v>72</v>
      </c>
      <c r="F35" s="40">
        <v>1</v>
      </c>
      <c r="G35" s="40">
        <v>2970</v>
      </c>
      <c r="H35" s="40">
        <v>2970</v>
      </c>
      <c r="I35" s="62"/>
      <c r="J35" s="63" t="s">
        <v>47</v>
      </c>
      <c r="K35" s="38"/>
      <c r="L35" s="53"/>
      <c r="M35" s="31">
        <v>44039</v>
      </c>
      <c r="N35" s="27"/>
      <c r="O35" s="53"/>
      <c r="P35" s="55"/>
      <c r="Q35" s="56"/>
    </row>
    <row r="36" spans="2:17" s="25" customFormat="1" ht="20.100000000000001" customHeight="1" x14ac:dyDescent="0.15">
      <c r="B36" s="53"/>
      <c r="C36" s="1" t="s">
        <v>38</v>
      </c>
      <c r="D36" s="1" t="s">
        <v>38</v>
      </c>
      <c r="E36" s="40" t="s">
        <v>48</v>
      </c>
      <c r="F36" s="40">
        <v>1</v>
      </c>
      <c r="G36" s="40">
        <v>4740</v>
      </c>
      <c r="H36" s="40">
        <v>4740</v>
      </c>
      <c r="I36" s="62"/>
      <c r="J36" s="63" t="s">
        <v>77</v>
      </c>
      <c r="K36" s="38"/>
      <c r="L36" s="53"/>
      <c r="M36" s="31">
        <v>44039</v>
      </c>
      <c r="N36" s="27"/>
      <c r="O36" s="53"/>
      <c r="P36" s="55"/>
      <c r="Q36" s="56"/>
    </row>
    <row r="37" spans="2:17" ht="20.100000000000001" customHeight="1" x14ac:dyDescent="0.15">
      <c r="B37" s="22"/>
      <c r="C37" s="1" t="s">
        <v>38</v>
      </c>
      <c r="D37" s="1" t="s">
        <v>38</v>
      </c>
      <c r="E37" s="40" t="s">
        <v>212</v>
      </c>
      <c r="F37" s="40">
        <v>1</v>
      </c>
      <c r="G37" s="40">
        <v>20945</v>
      </c>
      <c r="H37" s="40">
        <v>20945</v>
      </c>
      <c r="I37" s="24"/>
      <c r="J37" s="39" t="s">
        <v>213</v>
      </c>
      <c r="K37" s="38"/>
      <c r="L37" s="22"/>
      <c r="M37" s="31">
        <v>44047</v>
      </c>
      <c r="N37" s="40"/>
      <c r="O37" s="22"/>
      <c r="P37" s="41"/>
      <c r="Q37" s="30"/>
    </row>
    <row r="38" spans="2:17" ht="20.100000000000001" customHeight="1" x14ac:dyDescent="0.15">
      <c r="B38" s="22"/>
      <c r="C38" s="1" t="s">
        <v>38</v>
      </c>
      <c r="D38" s="1" t="s">
        <v>38</v>
      </c>
      <c r="E38" s="40" t="s">
        <v>214</v>
      </c>
      <c r="F38" s="40">
        <v>1</v>
      </c>
      <c r="G38" s="40">
        <v>18833</v>
      </c>
      <c r="H38" s="40">
        <v>18833</v>
      </c>
      <c r="I38" s="24"/>
      <c r="J38" s="39" t="s">
        <v>215</v>
      </c>
      <c r="K38" s="38"/>
      <c r="L38" s="22"/>
      <c r="M38" s="31">
        <v>44047</v>
      </c>
      <c r="N38" s="40"/>
      <c r="O38" s="22"/>
      <c r="P38" s="41"/>
      <c r="Q38" s="30"/>
    </row>
    <row r="39" spans="2:17" ht="20.100000000000001" customHeight="1" x14ac:dyDescent="0.15">
      <c r="B39" s="22"/>
      <c r="C39" s="1" t="s">
        <v>38</v>
      </c>
      <c r="D39" s="1" t="s">
        <v>38</v>
      </c>
      <c r="E39" s="40" t="s">
        <v>216</v>
      </c>
      <c r="F39" s="40">
        <v>1</v>
      </c>
      <c r="G39" s="40">
        <v>2260</v>
      </c>
      <c r="H39" s="40">
        <v>2260</v>
      </c>
      <c r="I39" s="24"/>
      <c r="J39" s="51" t="s">
        <v>217</v>
      </c>
      <c r="K39" s="38"/>
      <c r="L39" s="22"/>
      <c r="M39" s="31">
        <v>44047</v>
      </c>
      <c r="N39" s="40"/>
      <c r="O39" s="22"/>
      <c r="P39" s="41"/>
      <c r="Q39" s="30"/>
    </row>
    <row r="40" spans="2:17" ht="20.100000000000001" customHeight="1" x14ac:dyDescent="0.15">
      <c r="B40" s="22"/>
      <c r="C40" s="1" t="s">
        <v>38</v>
      </c>
      <c r="D40" s="1" t="s">
        <v>38</v>
      </c>
      <c r="E40" s="40" t="s">
        <v>221</v>
      </c>
      <c r="F40" s="40">
        <v>1</v>
      </c>
      <c r="G40" s="40">
        <v>1710</v>
      </c>
      <c r="H40" s="40">
        <v>1710</v>
      </c>
      <c r="I40" s="24"/>
      <c r="J40" s="51" t="s">
        <v>218</v>
      </c>
      <c r="K40" s="38"/>
      <c r="L40" s="22"/>
      <c r="M40" s="31">
        <v>44047</v>
      </c>
      <c r="N40" s="40"/>
      <c r="O40" s="22"/>
      <c r="P40" s="41"/>
      <c r="Q40" s="30"/>
    </row>
    <row r="41" spans="2:17" ht="20.100000000000001" customHeight="1" x14ac:dyDescent="0.15">
      <c r="B41" s="22"/>
      <c r="C41" s="1" t="s">
        <v>38</v>
      </c>
      <c r="D41" s="1" t="s">
        <v>38</v>
      </c>
      <c r="E41" s="40" t="s">
        <v>220</v>
      </c>
      <c r="F41" s="40">
        <v>1</v>
      </c>
      <c r="G41" s="40">
        <v>1960</v>
      </c>
      <c r="H41" s="40">
        <v>1960</v>
      </c>
      <c r="I41" s="24"/>
      <c r="J41" s="51" t="s">
        <v>219</v>
      </c>
      <c r="K41" s="38"/>
      <c r="L41" s="22"/>
      <c r="M41" s="31">
        <v>44047</v>
      </c>
      <c r="N41" s="40"/>
      <c r="O41" s="22"/>
      <c r="P41" s="41"/>
      <c r="Q41" s="30"/>
    </row>
    <row r="42" spans="2:17" ht="20.100000000000001" customHeight="1" x14ac:dyDescent="0.15">
      <c r="B42" s="22"/>
      <c r="C42" s="1" t="s">
        <v>38</v>
      </c>
      <c r="D42" s="1" t="s">
        <v>38</v>
      </c>
      <c r="E42" s="40" t="s">
        <v>222</v>
      </c>
      <c r="F42" s="40">
        <v>8</v>
      </c>
      <c r="G42" s="40">
        <v>600</v>
      </c>
      <c r="H42" s="40">
        <v>4800</v>
      </c>
      <c r="I42" s="24"/>
      <c r="J42" s="40" t="s">
        <v>231</v>
      </c>
      <c r="K42" s="38"/>
      <c r="L42" s="22"/>
      <c r="M42" s="31">
        <v>44047</v>
      </c>
      <c r="N42" s="40"/>
      <c r="O42" s="22"/>
      <c r="P42" s="41"/>
      <c r="Q42" s="30"/>
    </row>
    <row r="43" spans="2:17" ht="20.100000000000001" customHeight="1" x14ac:dyDescent="0.15">
      <c r="B43" s="22"/>
      <c r="C43" s="1" t="s">
        <v>38</v>
      </c>
      <c r="D43" s="1" t="s">
        <v>38</v>
      </c>
      <c r="E43" s="40" t="s">
        <v>209</v>
      </c>
      <c r="F43" s="40">
        <v>4</v>
      </c>
      <c r="G43" s="40">
        <v>490</v>
      </c>
      <c r="H43" s="40">
        <v>1960</v>
      </c>
      <c r="I43" s="24"/>
      <c r="J43" s="40" t="s">
        <v>227</v>
      </c>
      <c r="K43" s="38"/>
      <c r="L43" s="22"/>
      <c r="M43" s="31">
        <v>44047</v>
      </c>
      <c r="N43" s="40"/>
      <c r="O43" s="22"/>
      <c r="P43" s="41"/>
      <c r="Q43" s="30"/>
    </row>
    <row r="44" spans="2:17" ht="20.100000000000001" customHeight="1" x14ac:dyDescent="0.15">
      <c r="B44" s="22"/>
      <c r="C44" s="1" t="s">
        <v>38</v>
      </c>
      <c r="D44" s="1" t="s">
        <v>38</v>
      </c>
      <c r="E44" s="40" t="s">
        <v>49</v>
      </c>
      <c r="F44" s="40">
        <v>1</v>
      </c>
      <c r="G44" s="40">
        <v>1050</v>
      </c>
      <c r="H44" s="40">
        <v>1050</v>
      </c>
      <c r="I44" s="24"/>
      <c r="J44" s="40" t="s">
        <v>61</v>
      </c>
      <c r="K44" s="38"/>
      <c r="L44" s="22"/>
      <c r="M44" s="31">
        <v>44047</v>
      </c>
      <c r="N44" s="40"/>
      <c r="O44" s="22"/>
      <c r="P44" s="41"/>
      <c r="Q44" s="30"/>
    </row>
    <row r="45" spans="2:17" ht="20.100000000000001" customHeight="1" x14ac:dyDescent="0.15">
      <c r="B45" s="22"/>
      <c r="C45" s="1" t="s">
        <v>38</v>
      </c>
      <c r="D45" s="1" t="s">
        <v>38</v>
      </c>
      <c r="E45" s="40" t="s">
        <v>56</v>
      </c>
      <c r="F45" s="40">
        <v>1</v>
      </c>
      <c r="G45" s="40">
        <v>1130</v>
      </c>
      <c r="H45" s="40">
        <v>1130</v>
      </c>
      <c r="I45" s="24"/>
      <c r="J45" s="40" t="s">
        <v>61</v>
      </c>
      <c r="K45" s="38"/>
      <c r="L45" s="22"/>
      <c r="M45" s="31">
        <v>44047</v>
      </c>
      <c r="N45" s="40"/>
      <c r="O45" s="22"/>
      <c r="P45" s="41"/>
      <c r="Q45" s="30"/>
    </row>
    <row r="46" spans="2:17" ht="20.100000000000001" customHeight="1" x14ac:dyDescent="0.15">
      <c r="B46" s="22"/>
      <c r="C46" s="1" t="s">
        <v>38</v>
      </c>
      <c r="D46" s="1" t="s">
        <v>38</v>
      </c>
      <c r="E46" s="40" t="s">
        <v>210</v>
      </c>
      <c r="F46" s="40">
        <v>4</v>
      </c>
      <c r="G46" s="40">
        <v>710</v>
      </c>
      <c r="H46" s="40">
        <v>2840</v>
      </c>
      <c r="I46" s="24"/>
      <c r="J46" s="40" t="s">
        <v>229</v>
      </c>
      <c r="K46" s="38"/>
      <c r="L46" s="22"/>
      <c r="M46" s="31">
        <v>44047</v>
      </c>
      <c r="N46" s="40"/>
      <c r="O46" s="22"/>
      <c r="P46" s="41"/>
      <c r="Q46" s="30"/>
    </row>
    <row r="47" spans="2:17" ht="20.100000000000001" customHeight="1" x14ac:dyDescent="0.15">
      <c r="B47" s="22"/>
      <c r="C47" s="1" t="s">
        <v>38</v>
      </c>
      <c r="D47" s="1" t="s">
        <v>38</v>
      </c>
      <c r="E47" s="40" t="s">
        <v>223</v>
      </c>
      <c r="F47" s="40">
        <v>1</v>
      </c>
      <c r="G47" s="40">
        <v>2910</v>
      </c>
      <c r="H47" s="40">
        <v>2910</v>
      </c>
      <c r="I47" s="24"/>
      <c r="J47" s="40" t="s">
        <v>232</v>
      </c>
      <c r="K47" s="38"/>
      <c r="L47" s="22"/>
      <c r="M47" s="31">
        <v>44047</v>
      </c>
      <c r="N47" s="40"/>
      <c r="O47" s="22"/>
      <c r="P47" s="41"/>
      <c r="Q47" s="30"/>
    </row>
    <row r="48" spans="2:17" ht="20.100000000000001" customHeight="1" x14ac:dyDescent="0.15">
      <c r="B48" s="22"/>
      <c r="C48" s="1" t="s">
        <v>38</v>
      </c>
      <c r="D48" s="1" t="s">
        <v>38</v>
      </c>
      <c r="E48" s="40" t="s">
        <v>211</v>
      </c>
      <c r="F48" s="40">
        <v>2</v>
      </c>
      <c r="G48" s="40">
        <v>1850</v>
      </c>
      <c r="H48" s="40">
        <v>3700</v>
      </c>
      <c r="I48" s="24"/>
      <c r="J48" s="40" t="s">
        <v>230</v>
      </c>
      <c r="K48" s="38"/>
      <c r="L48" s="22"/>
      <c r="M48" s="31">
        <v>44047</v>
      </c>
      <c r="N48" s="40"/>
      <c r="O48" s="22"/>
      <c r="P48" s="41"/>
      <c r="Q48" s="30"/>
    </row>
    <row r="49" spans="2:17" ht="20.100000000000001" customHeight="1" x14ac:dyDescent="0.15">
      <c r="B49" s="88"/>
      <c r="C49" s="92" t="s">
        <v>38</v>
      </c>
      <c r="D49" s="92" t="s">
        <v>38</v>
      </c>
      <c r="E49" s="61" t="s">
        <v>422</v>
      </c>
      <c r="F49" s="61">
        <v>1</v>
      </c>
      <c r="G49" s="61">
        <v>7494</v>
      </c>
      <c r="H49" s="61">
        <v>7494</v>
      </c>
      <c r="I49" s="62"/>
      <c r="J49" s="61" t="s">
        <v>414</v>
      </c>
      <c r="K49" s="38"/>
      <c r="L49" s="38"/>
      <c r="M49" s="19">
        <v>44060</v>
      </c>
      <c r="N49" s="27"/>
      <c r="O49" s="53"/>
      <c r="P49" s="41"/>
      <c r="Q49" s="30"/>
    </row>
    <row r="50" spans="2:17" ht="20.100000000000001" customHeight="1" x14ac:dyDescent="0.15">
      <c r="B50" s="88"/>
      <c r="C50" s="92" t="s">
        <v>38</v>
      </c>
      <c r="D50" s="92" t="s">
        <v>38</v>
      </c>
      <c r="E50" s="61" t="s">
        <v>409</v>
      </c>
      <c r="F50" s="61">
        <v>1</v>
      </c>
      <c r="G50" s="61">
        <v>4621</v>
      </c>
      <c r="H50" s="61">
        <v>4621</v>
      </c>
      <c r="I50" s="62"/>
      <c r="J50" s="61" t="s">
        <v>415</v>
      </c>
      <c r="K50" s="38"/>
      <c r="L50" s="38"/>
      <c r="M50" s="19">
        <v>44060</v>
      </c>
      <c r="N50" s="27"/>
      <c r="O50" s="53"/>
      <c r="P50" s="41"/>
      <c r="Q50" s="30"/>
    </row>
    <row r="51" spans="2:17" ht="20.100000000000001" customHeight="1" x14ac:dyDescent="0.15">
      <c r="B51" s="88"/>
      <c r="C51" s="92" t="s">
        <v>38</v>
      </c>
      <c r="D51" s="92" t="s">
        <v>38</v>
      </c>
      <c r="E51" s="61" t="s">
        <v>410</v>
      </c>
      <c r="F51" s="61">
        <v>1</v>
      </c>
      <c r="G51" s="61">
        <v>2989</v>
      </c>
      <c r="H51" s="61">
        <v>2989</v>
      </c>
      <c r="I51" s="62"/>
      <c r="J51" s="61" t="s">
        <v>415</v>
      </c>
      <c r="K51" s="38"/>
      <c r="L51" s="38"/>
      <c r="M51" s="19">
        <v>44060</v>
      </c>
      <c r="N51" s="27"/>
      <c r="O51" s="53"/>
      <c r="P51" s="41"/>
      <c r="Q51" s="30"/>
    </row>
    <row r="52" spans="2:17" ht="19.5" customHeight="1" x14ac:dyDescent="0.15">
      <c r="B52" s="88"/>
      <c r="C52" s="92" t="s">
        <v>38</v>
      </c>
      <c r="D52" s="92" t="s">
        <v>38</v>
      </c>
      <c r="E52" s="61" t="s">
        <v>402</v>
      </c>
      <c r="F52" s="61">
        <v>2</v>
      </c>
      <c r="G52" s="61">
        <v>6503</v>
      </c>
      <c r="H52" s="61">
        <v>13006</v>
      </c>
      <c r="I52" s="62"/>
      <c r="J52" s="61" t="s">
        <v>416</v>
      </c>
      <c r="K52" s="38"/>
      <c r="L52" s="38"/>
      <c r="M52" s="19">
        <v>44060</v>
      </c>
      <c r="N52" s="27"/>
      <c r="O52" s="53"/>
      <c r="P52" s="41"/>
      <c r="Q52" s="30"/>
    </row>
    <row r="53" spans="2:17" ht="19.5" customHeight="1" x14ac:dyDescent="0.15">
      <c r="B53" s="88"/>
      <c r="C53" s="92" t="s">
        <v>38</v>
      </c>
      <c r="D53" s="92" t="s">
        <v>38</v>
      </c>
      <c r="E53" s="61" t="s">
        <v>411</v>
      </c>
      <c r="F53" s="61">
        <v>1</v>
      </c>
      <c r="G53" s="61">
        <v>2319</v>
      </c>
      <c r="H53" s="61">
        <v>2319</v>
      </c>
      <c r="I53" s="62"/>
      <c r="J53" s="61" t="s">
        <v>417</v>
      </c>
      <c r="K53" s="38"/>
      <c r="L53" s="92"/>
      <c r="M53" s="19">
        <v>44060</v>
      </c>
      <c r="N53" s="40"/>
      <c r="O53" s="88"/>
      <c r="P53" s="41"/>
      <c r="Q53" s="30"/>
    </row>
    <row r="54" spans="2:17" ht="19.5" customHeight="1" x14ac:dyDescent="0.15">
      <c r="B54" s="88"/>
      <c r="C54" s="92" t="s">
        <v>38</v>
      </c>
      <c r="D54" s="92" t="s">
        <v>38</v>
      </c>
      <c r="E54" s="61" t="s">
        <v>404</v>
      </c>
      <c r="F54" s="61">
        <v>2</v>
      </c>
      <c r="G54" s="61">
        <v>4718</v>
      </c>
      <c r="H54" s="61">
        <v>9436</v>
      </c>
      <c r="I54" s="62"/>
      <c r="J54" s="61" t="s">
        <v>418</v>
      </c>
      <c r="K54" s="38"/>
      <c r="L54" s="92"/>
      <c r="M54" s="19">
        <v>44060</v>
      </c>
      <c r="N54" s="40"/>
      <c r="O54" s="88"/>
      <c r="P54" s="41"/>
      <c r="Q54" s="30"/>
    </row>
    <row r="55" spans="2:17" ht="19.5" customHeight="1" x14ac:dyDescent="0.15">
      <c r="B55" s="88"/>
      <c r="C55" s="92" t="s">
        <v>38</v>
      </c>
      <c r="D55" s="92" t="s">
        <v>38</v>
      </c>
      <c r="E55" s="61" t="s">
        <v>405</v>
      </c>
      <c r="F55" s="61">
        <v>2</v>
      </c>
      <c r="G55" s="61">
        <v>2989</v>
      </c>
      <c r="H55" s="61">
        <v>5978</v>
      </c>
      <c r="I55" s="62"/>
      <c r="J55" s="61" t="s">
        <v>419</v>
      </c>
      <c r="K55" s="38"/>
      <c r="L55" s="92"/>
      <c r="M55" s="19">
        <v>44060</v>
      </c>
      <c r="N55" s="40"/>
      <c r="O55" s="88"/>
      <c r="P55" s="41"/>
      <c r="Q55" s="30"/>
    </row>
    <row r="56" spans="2:17" ht="19.5" customHeight="1" x14ac:dyDescent="0.15">
      <c r="B56" s="88"/>
      <c r="C56" s="92" t="s">
        <v>38</v>
      </c>
      <c r="D56" s="92" t="s">
        <v>38</v>
      </c>
      <c r="E56" s="61" t="s">
        <v>406</v>
      </c>
      <c r="F56" s="61">
        <v>2</v>
      </c>
      <c r="G56" s="61">
        <v>458</v>
      </c>
      <c r="H56" s="61">
        <v>916</v>
      </c>
      <c r="I56" s="62"/>
      <c r="J56" s="61" t="s">
        <v>420</v>
      </c>
      <c r="K56" s="38"/>
      <c r="L56" s="92"/>
      <c r="M56" s="19">
        <v>44060</v>
      </c>
      <c r="N56" s="40"/>
      <c r="O56" s="88"/>
      <c r="P56" s="41"/>
      <c r="Q56" s="30"/>
    </row>
    <row r="57" spans="2:17" ht="19.5" customHeight="1" x14ac:dyDescent="0.15">
      <c r="B57" s="88"/>
      <c r="C57" s="92" t="s">
        <v>38</v>
      </c>
      <c r="D57" s="92" t="s">
        <v>38</v>
      </c>
      <c r="E57" s="61" t="s">
        <v>407</v>
      </c>
      <c r="F57" s="61">
        <v>2</v>
      </c>
      <c r="G57" s="61">
        <v>428</v>
      </c>
      <c r="H57" s="61">
        <v>856</v>
      </c>
      <c r="I57" s="62"/>
      <c r="J57" s="61" t="s">
        <v>421</v>
      </c>
      <c r="K57" s="38"/>
      <c r="L57" s="92"/>
      <c r="M57" s="19">
        <v>44060</v>
      </c>
      <c r="N57" s="40"/>
      <c r="O57" s="88"/>
      <c r="P57" s="41"/>
      <c r="Q57" s="30"/>
    </row>
    <row r="58" spans="2:17" ht="19.5" customHeight="1" x14ac:dyDescent="0.15">
      <c r="B58" s="88"/>
      <c r="C58" s="92" t="s">
        <v>38</v>
      </c>
      <c r="D58" s="92" t="s">
        <v>38</v>
      </c>
      <c r="E58" s="61" t="s">
        <v>412</v>
      </c>
      <c r="F58" s="61">
        <v>1</v>
      </c>
      <c r="G58" s="61">
        <v>1689</v>
      </c>
      <c r="H58" s="61">
        <v>1689</v>
      </c>
      <c r="I58" s="62"/>
      <c r="J58" s="61" t="s">
        <v>420</v>
      </c>
      <c r="K58" s="38"/>
      <c r="L58" s="92"/>
      <c r="M58" s="19">
        <v>44060</v>
      </c>
      <c r="N58" s="40"/>
      <c r="O58" s="88"/>
      <c r="P58" s="41"/>
      <c r="Q58" s="30"/>
    </row>
    <row r="59" spans="2:17" ht="19.5" customHeight="1" x14ac:dyDescent="0.15">
      <c r="B59" s="88"/>
      <c r="C59" s="92" t="s">
        <v>38</v>
      </c>
      <c r="D59" s="92" t="s">
        <v>38</v>
      </c>
      <c r="E59" s="61" t="s">
        <v>413</v>
      </c>
      <c r="F59" s="61">
        <v>1</v>
      </c>
      <c r="G59" s="61">
        <v>508</v>
      </c>
      <c r="H59" s="61">
        <v>508</v>
      </c>
      <c r="I59" s="62"/>
      <c r="J59" s="61" t="s">
        <v>421</v>
      </c>
      <c r="K59" s="38"/>
      <c r="L59" s="92"/>
      <c r="M59" s="19">
        <v>44060</v>
      </c>
      <c r="N59" s="40"/>
      <c r="O59" s="88"/>
      <c r="P59" s="41"/>
      <c r="Q59" s="30"/>
    </row>
    <row r="60" spans="2:17" ht="19.5" customHeight="1" x14ac:dyDescent="0.15">
      <c r="B60" s="88"/>
      <c r="C60" s="92" t="s">
        <v>38</v>
      </c>
      <c r="D60" s="92" t="s">
        <v>38</v>
      </c>
      <c r="E60" s="61" t="s">
        <v>84</v>
      </c>
      <c r="F60" s="61">
        <v>1</v>
      </c>
      <c r="G60" s="61">
        <v>19280</v>
      </c>
      <c r="H60" s="61">
        <v>19280</v>
      </c>
      <c r="I60" s="62"/>
      <c r="J60" s="61" t="s">
        <v>86</v>
      </c>
      <c r="K60" s="38"/>
      <c r="L60" s="92"/>
      <c r="M60" s="19">
        <v>44060</v>
      </c>
      <c r="N60" s="40"/>
      <c r="O60" s="88"/>
      <c r="P60" s="41"/>
      <c r="Q60" s="30"/>
    </row>
    <row r="61" spans="2:17" ht="19.5" customHeight="1" x14ac:dyDescent="0.15">
      <c r="B61" s="88"/>
      <c r="C61" s="92" t="s">
        <v>38</v>
      </c>
      <c r="D61" s="92" t="s">
        <v>38</v>
      </c>
      <c r="E61" s="61" t="s">
        <v>46</v>
      </c>
      <c r="F61" s="61">
        <v>2</v>
      </c>
      <c r="G61" s="61">
        <v>2224</v>
      </c>
      <c r="H61" s="61">
        <v>4448</v>
      </c>
      <c r="I61" s="62"/>
      <c r="J61" s="61" t="s">
        <v>87</v>
      </c>
      <c r="K61" s="38"/>
      <c r="L61" s="92"/>
      <c r="M61" s="19">
        <v>44060</v>
      </c>
      <c r="N61" s="40"/>
      <c r="O61" s="88"/>
      <c r="P61" s="41"/>
      <c r="Q61" s="30"/>
    </row>
    <row r="62" spans="2:17" ht="20.100000000000001" customHeight="1" x14ac:dyDescent="0.15">
      <c r="B62" s="90"/>
      <c r="C62" s="92" t="s">
        <v>38</v>
      </c>
      <c r="D62" s="92" t="s">
        <v>38</v>
      </c>
      <c r="E62" s="61" t="s">
        <v>434</v>
      </c>
      <c r="F62" s="62">
        <v>4</v>
      </c>
      <c r="G62" s="61">
        <v>920</v>
      </c>
      <c r="H62" s="63">
        <f>F62*G62</f>
        <v>3680</v>
      </c>
      <c r="I62" s="62"/>
      <c r="J62" s="61" t="s">
        <v>439</v>
      </c>
      <c r="K62" s="38"/>
      <c r="L62" s="92"/>
      <c r="M62" s="19">
        <v>44060</v>
      </c>
      <c r="N62" s="40"/>
      <c r="O62" s="90"/>
      <c r="P62" s="41"/>
      <c r="Q62" s="30"/>
    </row>
    <row r="63" spans="2:17" ht="20.100000000000001" customHeight="1" x14ac:dyDescent="0.15">
      <c r="B63" s="90"/>
      <c r="C63" s="92" t="s">
        <v>38</v>
      </c>
      <c r="D63" s="92" t="s">
        <v>38</v>
      </c>
      <c r="E63" s="61" t="s">
        <v>435</v>
      </c>
      <c r="F63" s="62">
        <v>1</v>
      </c>
      <c r="G63" s="61">
        <v>1139</v>
      </c>
      <c r="H63" s="63">
        <f>F63*G63</f>
        <v>1139</v>
      </c>
      <c r="I63" s="62"/>
      <c r="J63" s="61" t="s">
        <v>439</v>
      </c>
      <c r="K63" s="38"/>
      <c r="L63" s="92"/>
      <c r="M63" s="19">
        <v>44060</v>
      </c>
      <c r="N63" s="40"/>
      <c r="O63" s="90"/>
      <c r="P63" s="41"/>
      <c r="Q63" s="30"/>
    </row>
    <row r="64" spans="2:17" ht="20.100000000000001" customHeight="1" x14ac:dyDescent="0.15">
      <c r="B64" s="98"/>
      <c r="C64" s="102" t="s">
        <v>38</v>
      </c>
      <c r="D64" s="102" t="s">
        <v>38</v>
      </c>
      <c r="E64" s="61" t="s">
        <v>447</v>
      </c>
      <c r="F64" s="61">
        <v>4</v>
      </c>
      <c r="G64" s="63">
        <v>600</v>
      </c>
      <c r="H64" s="107">
        <f>F64*G64</f>
        <v>2400</v>
      </c>
      <c r="I64" s="62"/>
      <c r="J64" s="89" t="s">
        <v>446</v>
      </c>
      <c r="K64" s="38"/>
      <c r="L64" s="102"/>
      <c r="M64" s="10">
        <v>44067</v>
      </c>
      <c r="N64" s="40"/>
      <c r="O64" s="98"/>
      <c r="P64" s="41"/>
      <c r="Q64" s="30"/>
    </row>
    <row r="65" spans="2:17" ht="20.100000000000001" customHeight="1" x14ac:dyDescent="0.15">
      <c r="B65" s="131"/>
      <c r="C65" s="132" t="s">
        <v>38</v>
      </c>
      <c r="D65" s="132" t="s">
        <v>38</v>
      </c>
      <c r="E65" s="61" t="s">
        <v>511</v>
      </c>
      <c r="F65" s="61">
        <v>2</v>
      </c>
      <c r="G65" s="61">
        <v>70</v>
      </c>
      <c r="H65" s="61">
        <v>140</v>
      </c>
      <c r="I65" s="26"/>
      <c r="J65" s="61" t="s">
        <v>517</v>
      </c>
      <c r="K65" s="38"/>
      <c r="L65" s="132"/>
      <c r="M65" s="10">
        <v>44074</v>
      </c>
      <c r="N65" s="40"/>
      <c r="O65" s="22"/>
      <c r="P65" s="41"/>
      <c r="Q65" s="30"/>
    </row>
    <row r="66" spans="2:17" ht="20.100000000000001" customHeight="1" x14ac:dyDescent="0.15">
      <c r="B66" s="131"/>
      <c r="C66" s="132" t="s">
        <v>38</v>
      </c>
      <c r="D66" s="132" t="s">
        <v>38</v>
      </c>
      <c r="E66" s="61" t="s">
        <v>523</v>
      </c>
      <c r="F66" s="61">
        <v>1</v>
      </c>
      <c r="G66" s="61">
        <v>1850</v>
      </c>
      <c r="H66" s="61">
        <v>1850</v>
      </c>
      <c r="I66" s="26"/>
      <c r="J66" s="61" t="s">
        <v>230</v>
      </c>
      <c r="K66" s="38"/>
      <c r="L66" s="132"/>
      <c r="M66" s="10">
        <v>44074</v>
      </c>
      <c r="N66" s="40"/>
      <c r="O66" s="22"/>
      <c r="P66" s="41"/>
      <c r="Q66" s="30"/>
    </row>
    <row r="67" spans="2:17" ht="20.100000000000001" customHeight="1" x14ac:dyDescent="0.15">
      <c r="B67" s="131"/>
      <c r="C67" s="132" t="s">
        <v>38</v>
      </c>
      <c r="D67" s="132" t="s">
        <v>38</v>
      </c>
      <c r="E67" s="61" t="s">
        <v>210</v>
      </c>
      <c r="F67" s="61">
        <v>2</v>
      </c>
      <c r="G67" s="61">
        <v>710</v>
      </c>
      <c r="H67" s="61">
        <v>1420</v>
      </c>
      <c r="I67" s="26"/>
      <c r="J67" s="61" t="s">
        <v>229</v>
      </c>
      <c r="K67" s="38"/>
      <c r="L67" s="132"/>
      <c r="M67" s="10">
        <v>44074</v>
      </c>
      <c r="N67" s="40"/>
      <c r="O67" s="22"/>
      <c r="P67" s="41"/>
      <c r="Q67" s="30"/>
    </row>
    <row r="68" spans="2:17" ht="20.100000000000001" customHeight="1" x14ac:dyDescent="0.15">
      <c r="B68" s="131"/>
      <c r="C68" s="132" t="s">
        <v>38</v>
      </c>
      <c r="D68" s="132" t="s">
        <v>38</v>
      </c>
      <c r="E68" s="61" t="s">
        <v>524</v>
      </c>
      <c r="F68" s="61">
        <v>1</v>
      </c>
      <c r="G68" s="61">
        <v>13808</v>
      </c>
      <c r="H68" s="61">
        <v>13808</v>
      </c>
      <c r="I68" s="26"/>
      <c r="J68" s="61" t="s">
        <v>525</v>
      </c>
      <c r="K68" s="38"/>
      <c r="L68" s="132"/>
      <c r="M68" s="10">
        <v>44074</v>
      </c>
      <c r="N68" s="40"/>
      <c r="O68" s="22"/>
      <c r="P68" s="41"/>
      <c r="Q68" s="30"/>
    </row>
    <row r="69" spans="2:17" s="60" customFormat="1" ht="18.75" customHeight="1" x14ac:dyDescent="0.15">
      <c r="B69" s="131"/>
      <c r="C69" s="132" t="s">
        <v>38</v>
      </c>
      <c r="D69" s="132" t="s">
        <v>38</v>
      </c>
      <c r="E69" s="61" t="s">
        <v>522</v>
      </c>
      <c r="F69" s="61">
        <v>1</v>
      </c>
      <c r="G69" s="61">
        <v>2290</v>
      </c>
      <c r="H69" s="61">
        <v>2290</v>
      </c>
      <c r="I69" s="26"/>
      <c r="J69" s="61" t="s">
        <v>526</v>
      </c>
      <c r="K69" s="38"/>
      <c r="L69" s="49"/>
      <c r="M69" s="10">
        <v>44074</v>
      </c>
      <c r="N69" s="50"/>
      <c r="O69" s="46"/>
      <c r="P69" s="31"/>
      <c r="Q69" s="59"/>
    </row>
    <row r="70" spans="2:17" s="60" customFormat="1" ht="18.75" customHeight="1" x14ac:dyDescent="0.15">
      <c r="B70" s="131"/>
      <c r="C70" s="132" t="s">
        <v>38</v>
      </c>
      <c r="D70" s="132" t="s">
        <v>38</v>
      </c>
      <c r="E70" s="61" t="s">
        <v>208</v>
      </c>
      <c r="F70" s="61">
        <v>2</v>
      </c>
      <c r="G70" s="61">
        <v>2150</v>
      </c>
      <c r="H70" s="61">
        <v>4300</v>
      </c>
      <c r="I70" s="26"/>
      <c r="J70" s="61" t="s">
        <v>526</v>
      </c>
      <c r="K70" s="38"/>
      <c r="L70" s="49"/>
      <c r="M70" s="10">
        <v>44074</v>
      </c>
      <c r="N70" s="50"/>
      <c r="O70" s="46"/>
      <c r="P70" s="31"/>
      <c r="Q70" s="59"/>
    </row>
    <row r="71" spans="2:17" s="60" customFormat="1" ht="18.75" customHeight="1" x14ac:dyDescent="0.15">
      <c r="B71" s="131"/>
      <c r="C71" s="132" t="s">
        <v>38</v>
      </c>
      <c r="D71" s="132" t="s">
        <v>38</v>
      </c>
      <c r="E71" s="61" t="s">
        <v>512</v>
      </c>
      <c r="F71" s="61">
        <v>2</v>
      </c>
      <c r="G71" s="61">
        <v>316</v>
      </c>
      <c r="H71" s="61">
        <v>632</v>
      </c>
      <c r="I71" s="26"/>
      <c r="J71" s="61" t="s">
        <v>518</v>
      </c>
      <c r="K71" s="38"/>
      <c r="L71" s="49"/>
      <c r="M71" s="10">
        <v>44074</v>
      </c>
      <c r="N71" s="50"/>
      <c r="O71" s="46"/>
      <c r="P71" s="31"/>
      <c r="Q71" s="59"/>
    </row>
    <row r="72" spans="2:17" s="89" customFormat="1" ht="20.100000000000001" customHeight="1" x14ac:dyDescent="0.15">
      <c r="B72" s="132"/>
      <c r="C72" s="132" t="s">
        <v>596</v>
      </c>
      <c r="D72" s="132" t="s">
        <v>623</v>
      </c>
      <c r="E72" s="61" t="s">
        <v>595</v>
      </c>
      <c r="F72" s="61">
        <v>1</v>
      </c>
      <c r="G72" s="65"/>
      <c r="H72" s="65"/>
      <c r="I72" s="26"/>
      <c r="J72" s="61"/>
      <c r="K72" s="49"/>
      <c r="L72" s="132"/>
      <c r="M72" s="10">
        <v>44077</v>
      </c>
      <c r="N72" s="61"/>
      <c r="O72" s="132"/>
      <c r="P72" s="95"/>
      <c r="Q72" s="12"/>
    </row>
    <row r="73" spans="2:17" s="89" customFormat="1" ht="20.100000000000001" customHeight="1" x14ac:dyDescent="0.15">
      <c r="B73" s="132"/>
      <c r="C73" s="132" t="s">
        <v>38</v>
      </c>
      <c r="D73" s="132" t="s">
        <v>38</v>
      </c>
      <c r="E73" s="61" t="s">
        <v>466</v>
      </c>
      <c r="F73" s="61">
        <v>1</v>
      </c>
      <c r="G73" s="61">
        <v>28899</v>
      </c>
      <c r="H73" s="61">
        <v>28899</v>
      </c>
      <c r="I73" s="26"/>
      <c r="J73" s="61" t="s">
        <v>655</v>
      </c>
      <c r="K73" s="38"/>
      <c r="L73" s="132"/>
      <c r="M73" s="10">
        <v>44098</v>
      </c>
      <c r="N73" s="61"/>
      <c r="O73" s="132"/>
      <c r="P73" s="95"/>
      <c r="Q73" s="12"/>
    </row>
    <row r="74" spans="2:17" ht="20.100000000000001" customHeight="1" x14ac:dyDescent="0.15">
      <c r="B74" s="131"/>
      <c r="C74" s="132" t="s">
        <v>38</v>
      </c>
      <c r="D74" s="132" t="s">
        <v>38</v>
      </c>
      <c r="E74" s="61" t="s">
        <v>770</v>
      </c>
      <c r="F74" s="61">
        <v>1</v>
      </c>
      <c r="G74" s="61">
        <v>4360</v>
      </c>
      <c r="H74" s="61">
        <v>4360</v>
      </c>
      <c r="I74" s="26"/>
      <c r="J74" s="61" t="s">
        <v>526</v>
      </c>
      <c r="K74" s="38"/>
      <c r="L74" s="132"/>
      <c r="M74" s="10">
        <v>44098</v>
      </c>
      <c r="N74" s="40"/>
      <c r="O74" s="22"/>
      <c r="P74" s="41"/>
      <c r="Q74" s="30"/>
    </row>
    <row r="75" spans="2:17" ht="20.100000000000001" customHeight="1" x14ac:dyDescent="0.15">
      <c r="B75" s="22"/>
      <c r="C75" s="132" t="s">
        <v>38</v>
      </c>
      <c r="D75" s="132" t="s">
        <v>38</v>
      </c>
      <c r="E75" s="61" t="s">
        <v>769</v>
      </c>
      <c r="F75" s="61">
        <v>1</v>
      </c>
      <c r="G75" s="61">
        <v>4360</v>
      </c>
      <c r="H75" s="61">
        <v>4360</v>
      </c>
      <c r="I75" s="26"/>
      <c r="J75" s="61" t="s">
        <v>526</v>
      </c>
      <c r="K75" s="38"/>
      <c r="L75" s="132"/>
      <c r="M75" s="10">
        <v>44098</v>
      </c>
      <c r="N75" s="40"/>
      <c r="O75" s="22"/>
      <c r="P75" s="41"/>
      <c r="Q75" s="30"/>
    </row>
    <row r="76" spans="2:17" ht="20.100000000000001" customHeight="1" x14ac:dyDescent="0.15">
      <c r="B76" s="22"/>
      <c r="C76" s="132" t="s">
        <v>38</v>
      </c>
      <c r="D76" s="132" t="s">
        <v>38</v>
      </c>
      <c r="E76" s="61" t="s">
        <v>771</v>
      </c>
      <c r="F76" s="61">
        <v>1</v>
      </c>
      <c r="G76" s="61">
        <v>4860</v>
      </c>
      <c r="H76" s="61">
        <v>4860</v>
      </c>
      <c r="I76" s="26"/>
      <c r="J76" s="61" t="s">
        <v>526</v>
      </c>
      <c r="K76" s="38"/>
      <c r="L76" s="132"/>
      <c r="M76" s="10">
        <v>44098</v>
      </c>
      <c r="N76" s="40"/>
      <c r="O76" s="22"/>
      <c r="P76" s="41"/>
      <c r="Q76" s="30"/>
    </row>
    <row r="77" spans="2:17" s="25" customFormat="1" ht="20.100000000000001" customHeight="1" x14ac:dyDescent="0.15">
      <c r="B77" s="177"/>
      <c r="C77" s="165" t="s">
        <v>38</v>
      </c>
      <c r="D77" s="165" t="s">
        <v>38</v>
      </c>
      <c r="E77" s="166" t="s">
        <v>777</v>
      </c>
      <c r="F77" s="166">
        <v>12</v>
      </c>
      <c r="G77" s="166">
        <v>252</v>
      </c>
      <c r="H77" s="166">
        <v>3024</v>
      </c>
      <c r="I77" s="157"/>
      <c r="J77" s="89" t="s">
        <v>758</v>
      </c>
      <c r="K77" s="174"/>
      <c r="L77" s="174"/>
      <c r="M77" s="178">
        <v>44098</v>
      </c>
      <c r="N77" s="179"/>
      <c r="O77" s="177"/>
      <c r="P77" s="180"/>
      <c r="Q77" s="181"/>
    </row>
    <row r="78" spans="2:17" s="61" customFormat="1" ht="20.100000000000001" customHeight="1" x14ac:dyDescent="0.15">
      <c r="B78" s="132"/>
      <c r="C78" s="132" t="s">
        <v>38</v>
      </c>
      <c r="D78" s="132" t="s">
        <v>38</v>
      </c>
      <c r="E78" s="61" t="s">
        <v>796</v>
      </c>
      <c r="F78" s="61">
        <v>1</v>
      </c>
      <c r="G78" s="61">
        <v>22434</v>
      </c>
      <c r="H78" s="61">
        <v>22434</v>
      </c>
      <c r="I78" s="26"/>
      <c r="J78" s="61" t="s">
        <v>525</v>
      </c>
      <c r="K78" s="38"/>
      <c r="L78" s="38"/>
      <c r="M78" s="19">
        <v>44104</v>
      </c>
      <c r="N78" s="63"/>
      <c r="O78" s="38"/>
      <c r="P78" s="95"/>
      <c r="Q78" s="12"/>
    </row>
    <row r="79" spans="2:17" s="61" customFormat="1" ht="20.100000000000001" customHeight="1" x14ac:dyDescent="0.15">
      <c r="B79" s="132"/>
      <c r="C79" s="132" t="s">
        <v>38</v>
      </c>
      <c r="D79" s="132" t="s">
        <v>38</v>
      </c>
      <c r="E79" s="61" t="s">
        <v>434</v>
      </c>
      <c r="F79" s="61">
        <v>10</v>
      </c>
      <c r="G79" s="61">
        <v>920</v>
      </c>
      <c r="H79" s="61">
        <v>9200</v>
      </c>
      <c r="I79" s="26"/>
      <c r="J79" s="61" t="s">
        <v>439</v>
      </c>
      <c r="K79" s="38"/>
      <c r="L79" s="38"/>
      <c r="M79" s="19">
        <v>44104</v>
      </c>
      <c r="N79" s="63"/>
      <c r="O79" s="38"/>
      <c r="P79" s="95"/>
      <c r="Q79" s="12"/>
    </row>
    <row r="80" spans="2:17" s="61" customFormat="1" ht="20.100000000000001" customHeight="1" x14ac:dyDescent="0.15">
      <c r="B80" s="132"/>
      <c r="C80" s="132" t="s">
        <v>38</v>
      </c>
      <c r="D80" s="132" t="s">
        <v>38</v>
      </c>
      <c r="E80" s="61" t="s">
        <v>797</v>
      </c>
      <c r="F80" s="61">
        <v>2</v>
      </c>
      <c r="G80" s="61">
        <v>598</v>
      </c>
      <c r="H80" s="61">
        <v>1196</v>
      </c>
      <c r="I80" s="26"/>
      <c r="J80" s="61" t="s">
        <v>439</v>
      </c>
      <c r="K80" s="38"/>
      <c r="L80" s="38"/>
      <c r="M80" s="19">
        <v>44104</v>
      </c>
      <c r="N80" s="63"/>
      <c r="O80" s="38"/>
      <c r="P80" s="95"/>
      <c r="Q80" s="12"/>
    </row>
    <row r="81" spans="2:17" s="61" customFormat="1" ht="20.100000000000001" customHeight="1" x14ac:dyDescent="0.15">
      <c r="B81" s="132"/>
      <c r="C81" s="132" t="s">
        <v>38</v>
      </c>
      <c r="D81" s="132" t="s">
        <v>38</v>
      </c>
      <c r="E81" s="61" t="s">
        <v>628</v>
      </c>
      <c r="F81" s="61">
        <v>1</v>
      </c>
      <c r="G81" s="61">
        <v>5989</v>
      </c>
      <c r="H81" s="61">
        <v>5989</v>
      </c>
      <c r="I81" s="26"/>
      <c r="J81" s="61" t="s">
        <v>420</v>
      </c>
      <c r="K81" s="38"/>
      <c r="L81" s="38"/>
      <c r="M81" s="19">
        <v>44104</v>
      </c>
      <c r="N81" s="63"/>
      <c r="O81" s="38"/>
      <c r="P81" s="95"/>
      <c r="Q81" s="12"/>
    </row>
    <row r="82" spans="2:17" ht="20.100000000000001" customHeight="1" x14ac:dyDescent="0.15">
      <c r="B82" s="175"/>
      <c r="C82" s="175"/>
      <c r="D82" s="175"/>
      <c r="E82" s="118"/>
      <c r="F82" s="118">
        <f>SUM(F10:F81)</f>
        <v>303</v>
      </c>
      <c r="G82" s="118"/>
      <c r="H82" s="118"/>
      <c r="I82" s="182"/>
      <c r="J82" s="118"/>
      <c r="K82" s="183"/>
      <c r="L82" s="184"/>
      <c r="M82" s="185"/>
      <c r="N82" s="186"/>
      <c r="O82" s="184"/>
      <c r="P82" s="187"/>
      <c r="Q82" s="188"/>
    </row>
  </sheetData>
  <mergeCells count="6">
    <mergeCell ref="B6:D6"/>
    <mergeCell ref="B2:D2"/>
    <mergeCell ref="G2:I2"/>
    <mergeCell ref="B3:D3"/>
    <mergeCell ref="B4:D4"/>
    <mergeCell ref="B5:D5"/>
  </mergeCells>
  <phoneticPr fontId="7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56"/>
  <sheetViews>
    <sheetView topLeftCell="D1" zoomScaleNormal="100" workbookViewId="0">
      <selection activeCell="H21" sqref="H21"/>
    </sheetView>
  </sheetViews>
  <sheetFormatPr defaultRowHeight="13.5" x14ac:dyDescent="0.15"/>
  <cols>
    <col min="1" max="1" width="2.875" customWidth="1"/>
    <col min="3" max="3" width="33.25" customWidth="1"/>
    <col min="4" max="4" width="5.25" style="4" bestFit="1" customWidth="1"/>
    <col min="5" max="5" width="45.375" bestFit="1" customWidth="1"/>
    <col min="6" max="7" width="14.125" style="79" customWidth="1"/>
    <col min="10" max="10" width="33" customWidth="1"/>
    <col min="11" max="11" width="5.25" style="4" bestFit="1" customWidth="1"/>
    <col min="12" max="12" width="45.375" bestFit="1" customWidth="1"/>
    <col min="13" max="13" width="14.125" style="79" customWidth="1"/>
  </cols>
  <sheetData>
    <row r="2" spans="2:14" s="4" customFormat="1" x14ac:dyDescent="0.15">
      <c r="B2" s="22"/>
      <c r="C2" s="22" t="s">
        <v>152</v>
      </c>
      <c r="D2" s="22" t="s">
        <v>153</v>
      </c>
      <c r="E2" s="70" t="s">
        <v>154</v>
      </c>
      <c r="F2" s="71" t="s">
        <v>155</v>
      </c>
      <c r="G2" s="71" t="s">
        <v>156</v>
      </c>
      <c r="I2" s="22"/>
      <c r="J2" s="22" t="s">
        <v>152</v>
      </c>
      <c r="K2" s="22" t="s">
        <v>153</v>
      </c>
      <c r="L2" s="22" t="s">
        <v>154</v>
      </c>
      <c r="M2" s="71" t="s">
        <v>155</v>
      </c>
      <c r="N2" s="22" t="s">
        <v>156</v>
      </c>
    </row>
    <row r="3" spans="2:14" x14ac:dyDescent="0.15">
      <c r="B3" s="230" t="s">
        <v>157</v>
      </c>
      <c r="C3" s="40" t="s">
        <v>158</v>
      </c>
      <c r="D3" s="22">
        <v>2</v>
      </c>
      <c r="E3" s="72"/>
      <c r="F3" s="67">
        <v>6880</v>
      </c>
      <c r="G3" s="67">
        <f>F3*D3</f>
        <v>13760</v>
      </c>
      <c r="I3" s="230" t="s">
        <v>159</v>
      </c>
      <c r="J3" s="57" t="s">
        <v>160</v>
      </c>
      <c r="K3" s="58">
        <v>4</v>
      </c>
      <c r="L3" s="57" t="s">
        <v>161</v>
      </c>
      <c r="M3" s="73"/>
      <c r="N3" s="22"/>
    </row>
    <row r="4" spans="2:14" x14ac:dyDescent="0.15">
      <c r="B4" s="230"/>
      <c r="C4" s="40" t="s">
        <v>127</v>
      </c>
      <c r="D4" s="22">
        <v>1</v>
      </c>
      <c r="E4" s="72"/>
      <c r="F4" s="67">
        <v>14770</v>
      </c>
      <c r="G4" s="67">
        <f>F4*D4</f>
        <v>14770</v>
      </c>
      <c r="I4" s="230"/>
      <c r="J4" s="74" t="s">
        <v>162</v>
      </c>
      <c r="K4" s="58">
        <v>2</v>
      </c>
      <c r="L4" s="57" t="s">
        <v>161</v>
      </c>
      <c r="M4" s="73"/>
      <c r="N4" s="40"/>
    </row>
    <row r="5" spans="2:14" x14ac:dyDescent="0.15">
      <c r="B5" s="230"/>
      <c r="C5" s="40" t="s">
        <v>128</v>
      </c>
      <c r="D5" s="22">
        <v>1</v>
      </c>
      <c r="E5" s="72"/>
      <c r="F5" s="67">
        <v>32300</v>
      </c>
      <c r="G5" s="67">
        <f>F5*D5</f>
        <v>32300</v>
      </c>
      <c r="I5" s="230"/>
      <c r="J5" s="57" t="s">
        <v>163</v>
      </c>
      <c r="K5" s="58">
        <v>2</v>
      </c>
      <c r="L5" s="57" t="s">
        <v>161</v>
      </c>
      <c r="M5" s="73"/>
      <c r="N5" s="40"/>
    </row>
    <row r="6" spans="2:14" x14ac:dyDescent="0.15">
      <c r="B6" s="230"/>
      <c r="C6" s="57" t="s">
        <v>164</v>
      </c>
      <c r="D6" s="58">
        <v>1</v>
      </c>
      <c r="E6" s="75" t="s">
        <v>165</v>
      </c>
      <c r="F6" s="73"/>
      <c r="G6" s="73"/>
      <c r="I6" s="230"/>
      <c r="J6" s="57" t="s">
        <v>166</v>
      </c>
      <c r="K6" s="58">
        <v>1</v>
      </c>
      <c r="L6" s="57" t="s">
        <v>161</v>
      </c>
      <c r="M6" s="73"/>
      <c r="N6" s="40"/>
    </row>
    <row r="7" spans="2:14" x14ac:dyDescent="0.15">
      <c r="B7" s="230"/>
      <c r="C7" s="57" t="s">
        <v>167</v>
      </c>
      <c r="D7" s="58">
        <v>1</v>
      </c>
      <c r="E7" s="75" t="s">
        <v>168</v>
      </c>
      <c r="F7" s="73"/>
      <c r="G7" s="73"/>
      <c r="I7" s="230"/>
      <c r="J7" s="40" t="s">
        <v>169</v>
      </c>
      <c r="K7" s="22">
        <v>1</v>
      </c>
      <c r="L7" s="40"/>
      <c r="M7" s="67">
        <v>43630</v>
      </c>
      <c r="N7" s="76">
        <f>M7*K7</f>
        <v>43630</v>
      </c>
    </row>
    <row r="8" spans="2:14" x14ac:dyDescent="0.15">
      <c r="B8" s="230"/>
      <c r="C8" s="40" t="s">
        <v>169</v>
      </c>
      <c r="D8" s="22">
        <v>1</v>
      </c>
      <c r="E8" s="72"/>
      <c r="F8" s="67">
        <v>43630</v>
      </c>
      <c r="G8" s="67">
        <f t="shared" ref="G8:G13" si="0">F8*D8</f>
        <v>43630</v>
      </c>
      <c r="I8" s="230"/>
      <c r="J8" s="40" t="s">
        <v>170</v>
      </c>
      <c r="K8" s="22">
        <v>9</v>
      </c>
      <c r="L8" s="40"/>
      <c r="M8" s="67">
        <v>6970</v>
      </c>
      <c r="N8" s="76">
        <f>M8*K8</f>
        <v>62730</v>
      </c>
    </row>
    <row r="9" spans="2:14" x14ac:dyDescent="0.15">
      <c r="B9" s="230"/>
      <c r="C9" s="40" t="s">
        <v>170</v>
      </c>
      <c r="D9" s="22">
        <v>5</v>
      </c>
      <c r="E9" s="72"/>
      <c r="F9" s="67">
        <v>6970</v>
      </c>
      <c r="G9" s="67">
        <f t="shared" si="0"/>
        <v>34850</v>
      </c>
      <c r="I9" s="230"/>
      <c r="J9" s="40" t="s">
        <v>171</v>
      </c>
      <c r="K9" s="22">
        <v>1</v>
      </c>
      <c r="L9" s="40"/>
      <c r="M9" s="67">
        <v>420</v>
      </c>
      <c r="N9" s="76">
        <f>M9*K9</f>
        <v>420</v>
      </c>
    </row>
    <row r="10" spans="2:14" x14ac:dyDescent="0.15">
      <c r="B10" s="230"/>
      <c r="C10" s="40" t="s">
        <v>172</v>
      </c>
      <c r="D10" s="22">
        <v>1</v>
      </c>
      <c r="E10" s="72"/>
      <c r="F10" s="67">
        <v>4530</v>
      </c>
      <c r="G10" s="67">
        <f t="shared" si="0"/>
        <v>4530</v>
      </c>
      <c r="I10" s="230"/>
      <c r="J10" s="40" t="s">
        <v>401</v>
      </c>
      <c r="K10" s="22">
        <v>1</v>
      </c>
      <c r="L10" s="40"/>
      <c r="M10" s="67"/>
      <c r="N10" s="40"/>
    </row>
    <row r="11" spans="2:14" x14ac:dyDescent="0.15">
      <c r="B11" s="230"/>
      <c r="C11" s="40" t="s">
        <v>171</v>
      </c>
      <c r="D11" s="22">
        <v>4</v>
      </c>
      <c r="E11" s="72"/>
      <c r="F11" s="67">
        <v>420</v>
      </c>
      <c r="G11" s="67">
        <f t="shared" si="0"/>
        <v>1680</v>
      </c>
      <c r="I11" s="230"/>
      <c r="J11" s="40" t="s">
        <v>173</v>
      </c>
      <c r="K11" s="22">
        <v>1</v>
      </c>
      <c r="L11" s="50" t="s">
        <v>174</v>
      </c>
      <c r="M11" s="67">
        <v>1560</v>
      </c>
      <c r="N11" s="76">
        <f>M11*K11</f>
        <v>1560</v>
      </c>
    </row>
    <row r="12" spans="2:14" x14ac:dyDescent="0.15">
      <c r="B12" s="230"/>
      <c r="C12" s="40" t="s">
        <v>173</v>
      </c>
      <c r="D12" s="22">
        <v>1</v>
      </c>
      <c r="E12" s="77" t="s">
        <v>175</v>
      </c>
      <c r="F12" s="67">
        <v>1560</v>
      </c>
      <c r="G12" s="67">
        <f t="shared" si="0"/>
        <v>1560</v>
      </c>
      <c r="I12" s="230"/>
      <c r="J12" s="40" t="s">
        <v>176</v>
      </c>
      <c r="K12" s="22">
        <v>1</v>
      </c>
      <c r="L12" s="40"/>
      <c r="M12" s="67">
        <v>5460</v>
      </c>
      <c r="N12" s="76">
        <f>M12*K12</f>
        <v>5460</v>
      </c>
    </row>
    <row r="13" spans="2:14" x14ac:dyDescent="0.15">
      <c r="B13" s="230"/>
      <c r="C13" s="40" t="s">
        <v>176</v>
      </c>
      <c r="D13" s="22">
        <v>1</v>
      </c>
      <c r="E13" s="72"/>
      <c r="F13" s="67">
        <v>5460</v>
      </c>
      <c r="G13" s="67">
        <f t="shared" si="0"/>
        <v>5460</v>
      </c>
      <c r="I13" s="230"/>
      <c r="J13" s="40" t="s">
        <v>177</v>
      </c>
      <c r="K13" s="22">
        <v>18</v>
      </c>
      <c r="L13" s="40"/>
      <c r="M13" s="67">
        <v>1980</v>
      </c>
      <c r="N13" s="76">
        <f>M13*K13</f>
        <v>35640</v>
      </c>
    </row>
    <row r="14" spans="2:14" x14ac:dyDescent="0.15">
      <c r="B14" s="230"/>
      <c r="C14" s="40"/>
      <c r="D14" s="22"/>
      <c r="E14" s="72"/>
      <c r="F14" s="67"/>
      <c r="G14" s="67"/>
      <c r="I14" s="230"/>
      <c r="J14" s="40" t="s">
        <v>178</v>
      </c>
      <c r="K14" s="22">
        <v>1</v>
      </c>
      <c r="L14" s="40"/>
      <c r="M14" s="67">
        <v>13990</v>
      </c>
      <c r="N14" s="76">
        <f>M14*K14</f>
        <v>13990</v>
      </c>
    </row>
    <row r="15" spans="2:14" x14ac:dyDescent="0.15">
      <c r="F15" s="78"/>
    </row>
    <row r="16" spans="2:14" s="4" customFormat="1" x14ac:dyDescent="0.15">
      <c r="B16" s="80"/>
      <c r="C16" s="22" t="s">
        <v>152</v>
      </c>
      <c r="D16" s="22" t="s">
        <v>153</v>
      </c>
      <c r="E16" s="70"/>
      <c r="F16" s="71" t="s">
        <v>155</v>
      </c>
      <c r="G16" s="71" t="s">
        <v>156</v>
      </c>
      <c r="I16" s="80"/>
      <c r="J16" s="22" t="s">
        <v>152</v>
      </c>
      <c r="K16" s="22" t="s">
        <v>153</v>
      </c>
      <c r="L16" s="22" t="s">
        <v>154</v>
      </c>
      <c r="M16" s="71" t="s">
        <v>155</v>
      </c>
      <c r="N16" s="22" t="s">
        <v>156</v>
      </c>
    </row>
    <row r="17" spans="2:14" x14ac:dyDescent="0.15">
      <c r="B17" s="231" t="s">
        <v>179</v>
      </c>
      <c r="C17" s="40" t="s">
        <v>180</v>
      </c>
      <c r="D17" s="22">
        <v>2</v>
      </c>
      <c r="E17" s="72"/>
      <c r="F17" s="67">
        <v>6880</v>
      </c>
      <c r="G17" s="67">
        <f>F17*D17</f>
        <v>13760</v>
      </c>
      <c r="I17" s="231" t="s">
        <v>181</v>
      </c>
      <c r="J17" s="57" t="s">
        <v>160</v>
      </c>
      <c r="K17" s="58">
        <v>3</v>
      </c>
      <c r="L17" s="57" t="s">
        <v>161</v>
      </c>
      <c r="M17" s="73"/>
      <c r="N17" s="22"/>
    </row>
    <row r="18" spans="2:14" x14ac:dyDescent="0.15">
      <c r="B18" s="232"/>
      <c r="C18" s="40" t="s">
        <v>127</v>
      </c>
      <c r="D18" s="22">
        <v>1</v>
      </c>
      <c r="E18" s="72"/>
      <c r="F18" s="67">
        <v>14770</v>
      </c>
      <c r="G18" s="67">
        <f>F18*D18</f>
        <v>14770</v>
      </c>
      <c r="I18" s="232"/>
      <c r="J18" s="57" t="s">
        <v>182</v>
      </c>
      <c r="K18" s="58">
        <v>2</v>
      </c>
      <c r="L18" s="57" t="s">
        <v>161</v>
      </c>
      <c r="M18" s="73"/>
      <c r="N18" s="40"/>
    </row>
    <row r="19" spans="2:14" x14ac:dyDescent="0.15">
      <c r="B19" s="232"/>
      <c r="C19" s="40" t="s">
        <v>128</v>
      </c>
      <c r="D19" s="22">
        <v>1</v>
      </c>
      <c r="E19" s="72"/>
      <c r="F19" s="67">
        <v>32300</v>
      </c>
      <c r="G19" s="67">
        <f>F19*D19</f>
        <v>32300</v>
      </c>
      <c r="I19" s="232"/>
      <c r="J19" s="57" t="s">
        <v>163</v>
      </c>
      <c r="K19" s="58">
        <v>2</v>
      </c>
      <c r="L19" s="57" t="s">
        <v>161</v>
      </c>
      <c r="M19" s="73"/>
      <c r="N19" s="40"/>
    </row>
    <row r="20" spans="2:14" x14ac:dyDescent="0.15">
      <c r="B20" s="232"/>
      <c r="C20" s="57" t="s">
        <v>183</v>
      </c>
      <c r="D20" s="58">
        <v>1</v>
      </c>
      <c r="E20" s="75" t="s">
        <v>184</v>
      </c>
      <c r="F20" s="73"/>
      <c r="G20" s="73"/>
      <c r="I20" s="232"/>
      <c r="J20" s="57" t="s">
        <v>166</v>
      </c>
      <c r="K20" s="58">
        <v>1</v>
      </c>
      <c r="L20" s="57" t="s">
        <v>161</v>
      </c>
      <c r="M20" s="73"/>
      <c r="N20" s="40"/>
    </row>
    <row r="21" spans="2:14" x14ac:dyDescent="0.15">
      <c r="B21" s="232"/>
      <c r="C21" s="40" t="s">
        <v>169</v>
      </c>
      <c r="D21" s="22">
        <v>1</v>
      </c>
      <c r="E21" s="72"/>
      <c r="F21" s="67">
        <v>43630</v>
      </c>
      <c r="G21" s="67">
        <f t="shared" ref="G21:G26" si="1">F21*D21</f>
        <v>43630</v>
      </c>
      <c r="I21" s="232"/>
      <c r="J21" s="40" t="s">
        <v>169</v>
      </c>
      <c r="K21" s="22">
        <v>1</v>
      </c>
      <c r="L21" s="40"/>
      <c r="M21" s="67">
        <v>43630</v>
      </c>
      <c r="N21" s="76">
        <f>M21*K21</f>
        <v>43630</v>
      </c>
    </row>
    <row r="22" spans="2:14" x14ac:dyDescent="0.15">
      <c r="B22" s="232"/>
      <c r="C22" s="40" t="s">
        <v>170</v>
      </c>
      <c r="D22" s="22">
        <v>4</v>
      </c>
      <c r="E22" s="72"/>
      <c r="F22" s="67">
        <v>6970</v>
      </c>
      <c r="G22" s="67">
        <f t="shared" si="1"/>
        <v>27880</v>
      </c>
      <c r="I22" s="232"/>
      <c r="J22" s="40" t="s">
        <v>170</v>
      </c>
      <c r="K22" s="22">
        <v>8</v>
      </c>
      <c r="L22" s="40"/>
      <c r="M22" s="67">
        <v>6970</v>
      </c>
      <c r="N22" s="76">
        <f t="shared" ref="N22:N27" si="2">M22*K22</f>
        <v>55760</v>
      </c>
    </row>
    <row r="23" spans="2:14" x14ac:dyDescent="0.15">
      <c r="B23" s="232"/>
      <c r="C23" s="40" t="s">
        <v>172</v>
      </c>
      <c r="D23" s="22">
        <v>1</v>
      </c>
      <c r="E23" s="72"/>
      <c r="F23" s="67">
        <v>4530</v>
      </c>
      <c r="G23" s="67">
        <f t="shared" si="1"/>
        <v>4530</v>
      </c>
      <c r="I23" s="232"/>
      <c r="J23" s="40" t="s">
        <v>171</v>
      </c>
      <c r="K23" s="22">
        <v>2</v>
      </c>
      <c r="L23" s="40"/>
      <c r="M23" s="67">
        <v>420</v>
      </c>
      <c r="N23" s="76">
        <f t="shared" si="2"/>
        <v>840</v>
      </c>
    </row>
    <row r="24" spans="2:14" x14ac:dyDescent="0.15">
      <c r="B24" s="232"/>
      <c r="C24" s="40" t="s">
        <v>171</v>
      </c>
      <c r="D24" s="22">
        <v>5</v>
      </c>
      <c r="E24" s="72"/>
      <c r="F24" s="67">
        <v>420</v>
      </c>
      <c r="G24" s="67">
        <f t="shared" si="1"/>
        <v>2100</v>
      </c>
      <c r="I24" s="232"/>
      <c r="J24" s="40" t="s">
        <v>185</v>
      </c>
      <c r="K24" s="22">
        <v>1</v>
      </c>
      <c r="L24" s="50" t="s">
        <v>174</v>
      </c>
      <c r="M24" s="67">
        <v>1560</v>
      </c>
      <c r="N24" s="76">
        <f t="shared" si="2"/>
        <v>1560</v>
      </c>
    </row>
    <row r="25" spans="2:14" x14ac:dyDescent="0.15">
      <c r="B25" s="232"/>
      <c r="C25" s="40" t="s">
        <v>185</v>
      </c>
      <c r="D25" s="22">
        <v>1</v>
      </c>
      <c r="E25" s="77" t="s">
        <v>186</v>
      </c>
      <c r="F25" s="67">
        <v>1560</v>
      </c>
      <c r="G25" s="67">
        <f t="shared" si="1"/>
        <v>1560</v>
      </c>
      <c r="I25" s="232"/>
      <c r="J25" s="40" t="s">
        <v>187</v>
      </c>
      <c r="K25" s="22">
        <v>1</v>
      </c>
      <c r="L25" s="40"/>
      <c r="M25" s="67">
        <v>5460</v>
      </c>
      <c r="N25" s="76">
        <f t="shared" si="2"/>
        <v>5460</v>
      </c>
    </row>
    <row r="26" spans="2:14" x14ac:dyDescent="0.15">
      <c r="B26" s="232"/>
      <c r="C26" s="40" t="s">
        <v>187</v>
      </c>
      <c r="D26" s="22">
        <v>1</v>
      </c>
      <c r="E26" s="72"/>
      <c r="F26" s="67">
        <v>5460</v>
      </c>
      <c r="G26" s="67">
        <f t="shared" si="1"/>
        <v>5460</v>
      </c>
      <c r="I26" s="232"/>
      <c r="J26" s="40" t="s">
        <v>177</v>
      </c>
      <c r="K26" s="22">
        <v>16</v>
      </c>
      <c r="L26" s="40"/>
      <c r="M26" s="67">
        <v>1980</v>
      </c>
      <c r="N26" s="76">
        <f t="shared" si="2"/>
        <v>31680</v>
      </c>
    </row>
    <row r="27" spans="2:14" x14ac:dyDescent="0.15">
      <c r="B27" s="232"/>
      <c r="C27" s="40"/>
      <c r="D27" s="22"/>
      <c r="E27" s="72"/>
      <c r="F27" s="67"/>
      <c r="G27" s="67"/>
      <c r="I27" s="232"/>
      <c r="J27" s="40" t="s">
        <v>178</v>
      </c>
      <c r="K27" s="22">
        <v>1</v>
      </c>
      <c r="L27" s="40"/>
      <c r="M27" s="67">
        <v>13990</v>
      </c>
      <c r="N27" s="76">
        <f t="shared" si="2"/>
        <v>13990</v>
      </c>
    </row>
    <row r="28" spans="2:14" x14ac:dyDescent="0.15">
      <c r="B28" s="233"/>
      <c r="C28" s="40"/>
      <c r="D28" s="22"/>
      <c r="E28" s="72"/>
      <c r="F28" s="67"/>
      <c r="G28" s="67"/>
      <c r="I28" s="233"/>
      <c r="J28" s="40"/>
      <c r="K28" s="22"/>
      <c r="L28" s="40"/>
      <c r="M28" s="67"/>
      <c r="N28" s="76"/>
    </row>
    <row r="29" spans="2:14" x14ac:dyDescent="0.15">
      <c r="B29" s="230" t="s">
        <v>188</v>
      </c>
      <c r="C29" s="40" t="s">
        <v>189</v>
      </c>
      <c r="D29" s="22">
        <v>1</v>
      </c>
      <c r="E29" s="72"/>
      <c r="F29" s="67">
        <v>9570</v>
      </c>
      <c r="G29" s="67">
        <f>F29*D29</f>
        <v>9570</v>
      </c>
      <c r="I29" s="230" t="s">
        <v>188</v>
      </c>
      <c r="J29" s="40" t="s">
        <v>189</v>
      </c>
      <c r="K29" s="22">
        <v>1</v>
      </c>
      <c r="L29" s="40"/>
      <c r="M29" s="67">
        <v>9570</v>
      </c>
      <c r="N29" s="76">
        <f>M29*K29</f>
        <v>9570</v>
      </c>
    </row>
    <row r="30" spans="2:14" x14ac:dyDescent="0.15">
      <c r="B30" s="230"/>
      <c r="C30" s="40" t="s">
        <v>190</v>
      </c>
      <c r="D30" s="22">
        <v>1</v>
      </c>
      <c r="E30" s="72"/>
      <c r="F30" s="67">
        <v>2660</v>
      </c>
      <c r="G30" s="67">
        <f>F30*D30</f>
        <v>2660</v>
      </c>
      <c r="I30" s="230"/>
      <c r="J30" s="40" t="s">
        <v>190</v>
      </c>
      <c r="K30" s="22">
        <v>1</v>
      </c>
      <c r="L30" s="40"/>
      <c r="M30" s="67">
        <v>2660</v>
      </c>
      <c r="N30" s="76">
        <f>M30*K30</f>
        <v>2660</v>
      </c>
    </row>
    <row r="31" spans="2:14" x14ac:dyDescent="0.15">
      <c r="B31" s="230"/>
      <c r="C31" s="40" t="s">
        <v>191</v>
      </c>
      <c r="D31" s="22">
        <v>1</v>
      </c>
      <c r="E31" s="72"/>
      <c r="F31" s="67">
        <v>470</v>
      </c>
      <c r="G31" s="67">
        <f>F31*D31</f>
        <v>470</v>
      </c>
      <c r="I31" s="230"/>
      <c r="J31" s="40" t="s">
        <v>191</v>
      </c>
      <c r="K31" s="22">
        <v>1</v>
      </c>
      <c r="L31" s="40"/>
      <c r="M31" s="67">
        <v>470</v>
      </c>
      <c r="N31" s="76">
        <f>M31*K31</f>
        <v>470</v>
      </c>
    </row>
    <row r="34" spans="2:14" x14ac:dyDescent="0.15">
      <c r="B34" s="80"/>
      <c r="C34" s="22" t="s">
        <v>152</v>
      </c>
      <c r="D34" s="22" t="s">
        <v>153</v>
      </c>
      <c r="E34" s="22"/>
      <c r="F34" s="71" t="s">
        <v>155</v>
      </c>
      <c r="G34" s="71" t="s">
        <v>156</v>
      </c>
      <c r="I34" s="80"/>
      <c r="J34" s="22" t="s">
        <v>152</v>
      </c>
      <c r="K34" s="22" t="s">
        <v>153</v>
      </c>
      <c r="L34" s="22"/>
      <c r="M34" s="71" t="s">
        <v>155</v>
      </c>
      <c r="N34" s="22" t="s">
        <v>156</v>
      </c>
    </row>
    <row r="35" spans="2:14" x14ac:dyDescent="0.15">
      <c r="B35" s="231" t="s">
        <v>192</v>
      </c>
      <c r="C35" s="40" t="s">
        <v>193</v>
      </c>
      <c r="D35" s="22">
        <v>3</v>
      </c>
      <c r="E35" s="231" t="s">
        <v>194</v>
      </c>
      <c r="F35" s="69">
        <v>11210</v>
      </c>
      <c r="G35" s="69">
        <f>F35*D35</f>
        <v>33630</v>
      </c>
      <c r="I35" s="231" t="s">
        <v>195</v>
      </c>
      <c r="J35" s="40"/>
      <c r="K35" s="22"/>
      <c r="L35" s="40"/>
      <c r="M35" s="67"/>
      <c r="N35" s="40"/>
    </row>
    <row r="36" spans="2:14" x14ac:dyDescent="0.15">
      <c r="B36" s="232"/>
      <c r="C36" s="40" t="s">
        <v>196</v>
      </c>
      <c r="D36" s="22">
        <v>3</v>
      </c>
      <c r="E36" s="233"/>
      <c r="F36" s="69">
        <v>11210</v>
      </c>
      <c r="G36" s="69">
        <f t="shared" ref="G36:G44" si="3">F36*D36</f>
        <v>33630</v>
      </c>
      <c r="I36" s="232"/>
      <c r="J36" s="40"/>
      <c r="K36" s="22"/>
      <c r="L36" s="40"/>
      <c r="M36" s="67"/>
      <c r="N36" s="40"/>
    </row>
    <row r="37" spans="2:14" x14ac:dyDescent="0.15">
      <c r="B37" s="232"/>
      <c r="C37" s="40" t="s">
        <v>139</v>
      </c>
      <c r="D37" s="22">
        <v>1</v>
      </c>
      <c r="E37" s="40"/>
      <c r="F37" s="67">
        <v>39990</v>
      </c>
      <c r="G37" s="69">
        <f t="shared" si="3"/>
        <v>39990</v>
      </c>
      <c r="I37" s="232"/>
      <c r="J37" s="40"/>
      <c r="K37" s="22"/>
      <c r="L37" s="40"/>
      <c r="M37" s="67"/>
      <c r="N37" s="40"/>
    </row>
    <row r="38" spans="2:14" x14ac:dyDescent="0.15">
      <c r="B38" s="232"/>
      <c r="C38" t="s">
        <v>197</v>
      </c>
      <c r="D38" s="22">
        <v>1</v>
      </c>
      <c r="E38" s="40"/>
      <c r="F38" s="67">
        <v>16960</v>
      </c>
      <c r="G38" s="69">
        <f t="shared" si="3"/>
        <v>16960</v>
      </c>
      <c r="I38" s="232"/>
      <c r="J38" s="40"/>
      <c r="K38" s="22"/>
      <c r="L38" s="40"/>
      <c r="M38" s="67"/>
      <c r="N38" s="40"/>
    </row>
    <row r="39" spans="2:14" x14ac:dyDescent="0.15">
      <c r="B39" s="232"/>
      <c r="C39" s="40" t="s">
        <v>198</v>
      </c>
      <c r="D39" s="22">
        <v>1</v>
      </c>
      <c r="E39" s="40"/>
      <c r="F39" s="67">
        <v>3070</v>
      </c>
      <c r="G39" s="69">
        <f t="shared" si="3"/>
        <v>3070</v>
      </c>
      <c r="I39" s="232"/>
      <c r="J39" s="40"/>
      <c r="K39" s="22"/>
      <c r="L39" s="40"/>
      <c r="M39" s="67"/>
      <c r="N39" s="40"/>
    </row>
    <row r="40" spans="2:14" x14ac:dyDescent="0.15">
      <c r="B40" s="232"/>
      <c r="C40" s="40" t="s">
        <v>199</v>
      </c>
      <c r="D40" s="22">
        <v>4</v>
      </c>
      <c r="E40" s="40"/>
      <c r="F40" s="67">
        <v>4680</v>
      </c>
      <c r="G40" s="69">
        <f t="shared" si="3"/>
        <v>18720</v>
      </c>
      <c r="I40" s="232"/>
      <c r="J40" s="40"/>
      <c r="K40" s="22"/>
      <c r="L40" s="40"/>
      <c r="M40" s="67"/>
      <c r="N40" s="40"/>
    </row>
    <row r="41" spans="2:14" x14ac:dyDescent="0.15">
      <c r="B41" s="232"/>
      <c r="C41" s="40" t="s">
        <v>200</v>
      </c>
      <c r="D41" s="22">
        <v>1</v>
      </c>
      <c r="E41" s="40"/>
      <c r="F41" s="67">
        <v>210</v>
      </c>
      <c r="G41" s="69">
        <f t="shared" si="3"/>
        <v>210</v>
      </c>
      <c r="I41" s="232"/>
      <c r="J41" s="40"/>
      <c r="K41" s="22"/>
      <c r="L41" s="40"/>
      <c r="M41" s="67"/>
      <c r="N41" s="40"/>
    </row>
    <row r="42" spans="2:14" x14ac:dyDescent="0.15">
      <c r="B42" s="230" t="s">
        <v>188</v>
      </c>
      <c r="C42" s="40" t="s">
        <v>201</v>
      </c>
      <c r="D42" s="22">
        <v>1</v>
      </c>
      <c r="E42" s="40"/>
      <c r="F42" s="67">
        <v>8430</v>
      </c>
      <c r="G42" s="69">
        <f t="shared" si="3"/>
        <v>8430</v>
      </c>
      <c r="I42" s="230" t="s">
        <v>188</v>
      </c>
      <c r="J42" s="40" t="s">
        <v>201</v>
      </c>
      <c r="K42" s="22">
        <v>1</v>
      </c>
      <c r="L42" s="40"/>
      <c r="M42" s="67">
        <v>8430</v>
      </c>
      <c r="N42" s="76">
        <f>M42*K42</f>
        <v>8430</v>
      </c>
    </row>
    <row r="43" spans="2:14" x14ac:dyDescent="0.15">
      <c r="B43" s="230"/>
      <c r="C43" s="40" t="s">
        <v>202</v>
      </c>
      <c r="D43" s="22">
        <v>1</v>
      </c>
      <c r="E43" s="40"/>
      <c r="F43" s="67">
        <v>2660</v>
      </c>
      <c r="G43" s="69">
        <f t="shared" si="3"/>
        <v>2660</v>
      </c>
      <c r="I43" s="230"/>
      <c r="J43" s="40" t="s">
        <v>202</v>
      </c>
      <c r="K43" s="22">
        <v>1</v>
      </c>
      <c r="L43" s="40"/>
      <c r="M43" s="67">
        <v>2660</v>
      </c>
      <c r="N43" s="76">
        <f>M43*K43</f>
        <v>2660</v>
      </c>
    </row>
    <row r="44" spans="2:14" x14ac:dyDescent="0.15">
      <c r="B44" s="230"/>
      <c r="C44" s="40" t="s">
        <v>203</v>
      </c>
      <c r="D44" s="22">
        <v>1</v>
      </c>
      <c r="E44" s="40"/>
      <c r="F44" s="67">
        <v>420</v>
      </c>
      <c r="G44" s="69">
        <f t="shared" si="3"/>
        <v>420</v>
      </c>
      <c r="I44" s="230"/>
      <c r="J44" s="40" t="s">
        <v>203</v>
      </c>
      <c r="K44" s="22">
        <v>1</v>
      </c>
      <c r="L44" s="40"/>
      <c r="M44" s="67">
        <v>420</v>
      </c>
      <c r="N44" s="76">
        <f>M44*K44</f>
        <v>420</v>
      </c>
    </row>
    <row r="46" spans="2:14" x14ac:dyDescent="0.15">
      <c r="B46" s="80"/>
      <c r="C46" s="22" t="s">
        <v>152</v>
      </c>
      <c r="D46" s="22" t="s">
        <v>153</v>
      </c>
      <c r="E46" s="22"/>
      <c r="F46" s="71" t="s">
        <v>155</v>
      </c>
      <c r="G46" s="71" t="s">
        <v>156</v>
      </c>
    </row>
    <row r="47" spans="2:14" x14ac:dyDescent="0.15">
      <c r="B47" s="231" t="s">
        <v>204</v>
      </c>
      <c r="C47" s="40" t="s">
        <v>205</v>
      </c>
      <c r="D47" s="22">
        <v>3</v>
      </c>
      <c r="E47" s="231" t="s">
        <v>194</v>
      </c>
      <c r="F47" s="69">
        <v>11210</v>
      </c>
      <c r="G47" s="69">
        <f>F47*D47</f>
        <v>33630</v>
      </c>
    </row>
    <row r="48" spans="2:14" x14ac:dyDescent="0.15">
      <c r="B48" s="232"/>
      <c r="C48" s="40" t="s">
        <v>196</v>
      </c>
      <c r="D48" s="22">
        <v>3</v>
      </c>
      <c r="E48" s="233"/>
      <c r="F48" s="69">
        <v>11210</v>
      </c>
      <c r="G48" s="69">
        <f t="shared" ref="G48:G56" si="4">F48*D48</f>
        <v>33630</v>
      </c>
    </row>
    <row r="49" spans="2:7" x14ac:dyDescent="0.15">
      <c r="B49" s="232"/>
      <c r="C49" s="40" t="s">
        <v>139</v>
      </c>
      <c r="D49" s="22">
        <v>1</v>
      </c>
      <c r="E49" s="40"/>
      <c r="F49" s="67">
        <v>39990</v>
      </c>
      <c r="G49" s="69">
        <f t="shared" si="4"/>
        <v>39990</v>
      </c>
    </row>
    <row r="50" spans="2:7" x14ac:dyDescent="0.15">
      <c r="B50" s="232"/>
      <c r="C50" t="s">
        <v>197</v>
      </c>
      <c r="D50" s="22">
        <v>1</v>
      </c>
      <c r="E50" s="40"/>
      <c r="F50" s="67">
        <v>16960</v>
      </c>
      <c r="G50" s="69">
        <f t="shared" si="4"/>
        <v>16960</v>
      </c>
    </row>
    <row r="51" spans="2:7" x14ac:dyDescent="0.15">
      <c r="B51" s="232"/>
      <c r="C51" s="40" t="s">
        <v>198</v>
      </c>
      <c r="D51" s="22">
        <v>1</v>
      </c>
      <c r="E51" s="40"/>
      <c r="F51" s="67">
        <v>3070</v>
      </c>
      <c r="G51" s="69">
        <f t="shared" si="4"/>
        <v>3070</v>
      </c>
    </row>
    <row r="52" spans="2:7" x14ac:dyDescent="0.15">
      <c r="B52" s="232"/>
      <c r="C52" s="40" t="s">
        <v>199</v>
      </c>
      <c r="D52" s="22">
        <v>4</v>
      </c>
      <c r="E52" s="40"/>
      <c r="F52" s="67">
        <v>4680</v>
      </c>
      <c r="G52" s="69">
        <f t="shared" si="4"/>
        <v>18720</v>
      </c>
    </row>
    <row r="53" spans="2:7" x14ac:dyDescent="0.15">
      <c r="B53" s="232"/>
      <c r="C53" s="40" t="s">
        <v>200</v>
      </c>
      <c r="D53" s="22">
        <v>1</v>
      </c>
      <c r="E53" s="40"/>
      <c r="F53" s="67">
        <v>210</v>
      </c>
      <c r="G53" s="69">
        <f t="shared" si="4"/>
        <v>210</v>
      </c>
    </row>
    <row r="54" spans="2:7" x14ac:dyDescent="0.15">
      <c r="B54" s="230" t="s">
        <v>188</v>
      </c>
      <c r="C54" s="40" t="s">
        <v>201</v>
      </c>
      <c r="D54" s="22">
        <v>1</v>
      </c>
      <c r="E54" s="40"/>
      <c r="F54" s="67">
        <v>8430</v>
      </c>
      <c r="G54" s="69">
        <f t="shared" si="4"/>
        <v>8430</v>
      </c>
    </row>
    <row r="55" spans="2:7" x14ac:dyDescent="0.15">
      <c r="B55" s="230"/>
      <c r="C55" s="40" t="s">
        <v>202</v>
      </c>
      <c r="D55" s="22">
        <v>1</v>
      </c>
      <c r="E55" s="40"/>
      <c r="F55" s="67">
        <v>2660</v>
      </c>
      <c r="G55" s="69">
        <f t="shared" si="4"/>
        <v>2660</v>
      </c>
    </row>
    <row r="56" spans="2:7" x14ac:dyDescent="0.15">
      <c r="B56" s="230"/>
      <c r="C56" s="40" t="s">
        <v>203</v>
      </c>
      <c r="D56" s="22">
        <v>1</v>
      </c>
      <c r="E56" s="40"/>
      <c r="F56" s="67">
        <v>420</v>
      </c>
      <c r="G56" s="69">
        <f t="shared" si="4"/>
        <v>420</v>
      </c>
    </row>
  </sheetData>
  <mergeCells count="14">
    <mergeCell ref="B54:B56"/>
    <mergeCell ref="B35:B41"/>
    <mergeCell ref="E35:E36"/>
    <mergeCell ref="I35:I41"/>
    <mergeCell ref="B42:B44"/>
    <mergeCell ref="I42:I44"/>
    <mergeCell ref="B47:B53"/>
    <mergeCell ref="E47:E48"/>
    <mergeCell ref="B3:B14"/>
    <mergeCell ref="I3:I14"/>
    <mergeCell ref="B17:B28"/>
    <mergeCell ref="I17:I28"/>
    <mergeCell ref="B29:B31"/>
    <mergeCell ref="I29:I31"/>
  </mergeCells>
  <phoneticPr fontId="1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3:P45"/>
  <sheetViews>
    <sheetView zoomScale="85" zoomScaleNormal="85" workbookViewId="0"/>
  </sheetViews>
  <sheetFormatPr defaultRowHeight="13.5" x14ac:dyDescent="0.15"/>
  <cols>
    <col min="2" max="2" width="8.75" bestFit="1" customWidth="1"/>
    <col min="3" max="3" width="12.75" bestFit="1" customWidth="1"/>
    <col min="6" max="6" width="8.75" bestFit="1" customWidth="1"/>
    <col min="7" max="7" width="12.75" bestFit="1" customWidth="1"/>
    <col min="10" max="10" width="8.75" bestFit="1" customWidth="1"/>
    <col min="11" max="11" width="12.75" bestFit="1" customWidth="1"/>
    <col min="15" max="15" width="12.125" bestFit="1" customWidth="1"/>
  </cols>
  <sheetData>
    <row r="3" spans="2:16" x14ac:dyDescent="0.15">
      <c r="B3" s="230" t="s">
        <v>527</v>
      </c>
      <c r="C3" s="40" t="s">
        <v>528</v>
      </c>
      <c r="D3" s="40">
        <v>1</v>
      </c>
      <c r="F3" s="230" t="s">
        <v>529</v>
      </c>
      <c r="G3" s="40" t="s">
        <v>528</v>
      </c>
      <c r="H3" s="40">
        <v>3</v>
      </c>
      <c r="J3" s="230" t="s">
        <v>530</v>
      </c>
      <c r="K3" s="40" t="s">
        <v>528</v>
      </c>
      <c r="L3" s="40">
        <v>1</v>
      </c>
      <c r="N3" s="230" t="s">
        <v>531</v>
      </c>
      <c r="O3" s="40" t="s">
        <v>528</v>
      </c>
      <c r="P3" s="40">
        <v>1</v>
      </c>
    </row>
    <row r="4" spans="2:16" x14ac:dyDescent="0.15">
      <c r="B4" s="230"/>
      <c r="C4" s="40" t="s">
        <v>403</v>
      </c>
      <c r="D4" s="40">
        <v>1</v>
      </c>
      <c r="F4" s="230"/>
      <c r="G4" s="40" t="s">
        <v>403</v>
      </c>
      <c r="H4" s="40">
        <v>3</v>
      </c>
      <c r="J4" s="230"/>
      <c r="K4" s="40" t="s">
        <v>403</v>
      </c>
      <c r="L4" s="40">
        <v>1</v>
      </c>
      <c r="N4" s="230"/>
      <c r="O4" s="40" t="s">
        <v>403</v>
      </c>
      <c r="P4" s="40">
        <v>1</v>
      </c>
    </row>
    <row r="5" spans="2:16" x14ac:dyDescent="0.15">
      <c r="B5" s="230"/>
      <c r="C5" s="40" t="s">
        <v>532</v>
      </c>
      <c r="D5" s="40">
        <v>2</v>
      </c>
      <c r="F5" s="230"/>
      <c r="G5" s="40" t="s">
        <v>532</v>
      </c>
      <c r="H5" s="40">
        <v>3</v>
      </c>
      <c r="J5" s="230"/>
      <c r="K5" s="40" t="s">
        <v>532</v>
      </c>
      <c r="L5" s="40">
        <v>1</v>
      </c>
      <c r="N5" s="230"/>
      <c r="O5" s="40" t="s">
        <v>532</v>
      </c>
      <c r="P5" s="40">
        <v>1</v>
      </c>
    </row>
    <row r="6" spans="2:16" x14ac:dyDescent="0.15">
      <c r="B6" s="230"/>
      <c r="C6" s="40" t="s">
        <v>533</v>
      </c>
      <c r="D6" s="40">
        <v>1</v>
      </c>
      <c r="F6" s="230"/>
      <c r="G6" s="40" t="s">
        <v>533</v>
      </c>
      <c r="H6" s="40">
        <v>2</v>
      </c>
      <c r="J6" s="230"/>
      <c r="K6" s="40" t="s">
        <v>533</v>
      </c>
      <c r="L6" s="40">
        <v>1</v>
      </c>
      <c r="N6" s="230"/>
      <c r="O6" s="40" t="s">
        <v>533</v>
      </c>
      <c r="P6" s="40">
        <v>1</v>
      </c>
    </row>
    <row r="7" spans="2:16" x14ac:dyDescent="0.15">
      <c r="B7" s="230"/>
      <c r="C7" s="40" t="s">
        <v>534</v>
      </c>
      <c r="D7" s="40">
        <v>1</v>
      </c>
      <c r="F7" s="230"/>
      <c r="G7" s="40" t="s">
        <v>534</v>
      </c>
      <c r="H7" s="40">
        <v>2</v>
      </c>
      <c r="J7" s="230"/>
      <c r="K7" s="40" t="s">
        <v>534</v>
      </c>
      <c r="L7" s="40">
        <v>1</v>
      </c>
      <c r="N7" s="230"/>
      <c r="O7" s="40" t="s">
        <v>534</v>
      </c>
      <c r="P7" s="40">
        <v>1</v>
      </c>
    </row>
    <row r="8" spans="2:16" x14ac:dyDescent="0.15">
      <c r="B8" s="230"/>
      <c r="C8" s="40" t="s">
        <v>535</v>
      </c>
      <c r="D8" s="40">
        <v>1</v>
      </c>
      <c r="F8" s="230"/>
      <c r="G8" s="40" t="s">
        <v>535</v>
      </c>
      <c r="H8" s="40">
        <v>2</v>
      </c>
      <c r="J8" s="230"/>
      <c r="K8" s="40" t="s">
        <v>536</v>
      </c>
      <c r="L8" s="40">
        <v>4</v>
      </c>
      <c r="N8" s="230"/>
      <c r="O8" s="40" t="s">
        <v>536</v>
      </c>
      <c r="P8" s="40">
        <v>3</v>
      </c>
    </row>
    <row r="9" spans="2:16" x14ac:dyDescent="0.15">
      <c r="B9" s="230"/>
      <c r="C9" s="40"/>
      <c r="D9" s="40"/>
      <c r="F9" s="230"/>
      <c r="G9" s="40" t="s">
        <v>536</v>
      </c>
      <c r="H9" s="40">
        <v>2</v>
      </c>
      <c r="J9" s="230"/>
      <c r="K9" s="40" t="s">
        <v>537</v>
      </c>
      <c r="L9" s="40">
        <v>4</v>
      </c>
      <c r="N9" s="230"/>
      <c r="O9" s="40" t="s">
        <v>537</v>
      </c>
      <c r="P9" s="40">
        <v>3</v>
      </c>
    </row>
    <row r="10" spans="2:16" x14ac:dyDescent="0.15">
      <c r="B10" s="230"/>
      <c r="C10" s="40"/>
      <c r="D10" s="40"/>
      <c r="F10" s="230"/>
      <c r="G10" s="40" t="s">
        <v>537</v>
      </c>
      <c r="H10" s="40">
        <v>2</v>
      </c>
      <c r="J10" s="230"/>
      <c r="K10" s="40" t="s">
        <v>538</v>
      </c>
      <c r="L10" s="40">
        <v>4</v>
      </c>
      <c r="N10" s="230"/>
      <c r="O10" s="40" t="s">
        <v>538</v>
      </c>
      <c r="P10" s="40">
        <v>3</v>
      </c>
    </row>
    <row r="11" spans="2:16" x14ac:dyDescent="0.15">
      <c r="B11" s="230"/>
      <c r="C11" s="40"/>
      <c r="D11" s="40"/>
      <c r="F11" s="230"/>
      <c r="G11" s="40" t="s">
        <v>538</v>
      </c>
      <c r="H11" s="40">
        <v>2</v>
      </c>
      <c r="J11" s="230"/>
      <c r="K11" s="40" t="s">
        <v>539</v>
      </c>
      <c r="L11" s="40">
        <v>2</v>
      </c>
      <c r="N11" s="230"/>
      <c r="O11" s="40" t="s">
        <v>539</v>
      </c>
      <c r="P11" s="40">
        <v>2</v>
      </c>
    </row>
    <row r="12" spans="2:16" x14ac:dyDescent="0.15">
      <c r="B12" s="230"/>
      <c r="C12" s="40"/>
      <c r="D12" s="40"/>
      <c r="F12" s="230"/>
      <c r="G12" s="40" t="s">
        <v>540</v>
      </c>
      <c r="H12" s="40">
        <v>1</v>
      </c>
      <c r="J12" s="230"/>
      <c r="K12" s="40" t="s">
        <v>74</v>
      </c>
      <c r="L12" s="40">
        <v>1</v>
      </c>
      <c r="N12" s="230"/>
      <c r="O12" s="40" t="s">
        <v>74</v>
      </c>
      <c r="P12" s="40">
        <v>1</v>
      </c>
    </row>
    <row r="13" spans="2:16" x14ac:dyDescent="0.15">
      <c r="B13" s="230"/>
      <c r="C13" s="40"/>
      <c r="D13" s="40"/>
      <c r="F13" s="230"/>
      <c r="G13" s="40" t="s">
        <v>74</v>
      </c>
      <c r="H13" s="40">
        <v>1</v>
      </c>
      <c r="J13" s="230"/>
      <c r="K13" s="40" t="s">
        <v>75</v>
      </c>
      <c r="L13" s="40">
        <v>1</v>
      </c>
      <c r="N13" s="230"/>
      <c r="O13" s="40" t="s">
        <v>75</v>
      </c>
      <c r="P13" s="40">
        <v>1</v>
      </c>
    </row>
    <row r="14" spans="2:16" x14ac:dyDescent="0.15">
      <c r="B14" s="230"/>
      <c r="C14" s="40"/>
      <c r="D14" s="40"/>
      <c r="F14" s="230"/>
      <c r="G14" s="40" t="s">
        <v>75</v>
      </c>
      <c r="H14" s="40">
        <v>1</v>
      </c>
      <c r="J14" s="230"/>
      <c r="K14" s="40" t="s">
        <v>76</v>
      </c>
      <c r="L14" s="40">
        <v>1</v>
      </c>
      <c r="N14" s="230"/>
      <c r="O14" s="40" t="s">
        <v>76</v>
      </c>
      <c r="P14" s="40">
        <v>1</v>
      </c>
    </row>
    <row r="15" spans="2:16" x14ac:dyDescent="0.15">
      <c r="B15" s="230"/>
      <c r="C15" s="40"/>
      <c r="D15" s="40"/>
      <c r="F15" s="230"/>
      <c r="G15" s="40" t="s">
        <v>76</v>
      </c>
      <c r="H15" s="40">
        <v>1</v>
      </c>
      <c r="J15" s="230"/>
      <c r="K15" s="40"/>
      <c r="L15" s="40"/>
      <c r="N15" s="230"/>
      <c r="O15" s="40"/>
      <c r="P15" s="40"/>
    </row>
    <row r="16" spans="2:16" x14ac:dyDescent="0.15">
      <c r="B16" s="230"/>
      <c r="C16" s="40" t="s">
        <v>541</v>
      </c>
      <c r="D16" s="40">
        <v>4</v>
      </c>
      <c r="F16" s="230"/>
      <c r="G16" s="40" t="s">
        <v>541</v>
      </c>
      <c r="H16" s="40">
        <v>1</v>
      </c>
      <c r="J16" s="230"/>
      <c r="K16" s="40"/>
      <c r="L16" s="40"/>
      <c r="N16" s="230"/>
      <c r="O16" s="40"/>
      <c r="P16" s="40"/>
    </row>
    <row r="17" spans="2:16" x14ac:dyDescent="0.15">
      <c r="B17" s="230"/>
      <c r="C17" s="40" t="s">
        <v>542</v>
      </c>
      <c r="D17" s="40">
        <v>4</v>
      </c>
      <c r="F17" s="230"/>
      <c r="G17" s="40" t="s">
        <v>542</v>
      </c>
      <c r="H17" s="40">
        <v>1</v>
      </c>
      <c r="J17" s="230"/>
      <c r="K17" s="40"/>
      <c r="L17" s="40"/>
      <c r="N17" s="230"/>
      <c r="O17" s="40"/>
      <c r="P17" s="40"/>
    </row>
    <row r="18" spans="2:16" x14ac:dyDescent="0.15">
      <c r="B18" s="230"/>
      <c r="C18" s="40" t="s">
        <v>543</v>
      </c>
      <c r="D18" s="40">
        <v>2</v>
      </c>
      <c r="F18" s="230"/>
      <c r="G18" s="40" t="s">
        <v>543</v>
      </c>
      <c r="H18" s="40">
        <v>4</v>
      </c>
      <c r="J18" s="230"/>
      <c r="K18" s="40" t="s">
        <v>543</v>
      </c>
      <c r="L18" s="40">
        <v>1</v>
      </c>
      <c r="N18" s="230"/>
      <c r="O18" s="40" t="s">
        <v>543</v>
      </c>
      <c r="P18" s="40">
        <v>1</v>
      </c>
    </row>
    <row r="19" spans="2:16" x14ac:dyDescent="0.15">
      <c r="B19" s="230"/>
      <c r="C19" s="40" t="s">
        <v>544</v>
      </c>
      <c r="D19" s="40">
        <v>3</v>
      </c>
      <c r="F19" s="230"/>
      <c r="G19" s="40" t="s">
        <v>544</v>
      </c>
      <c r="H19" s="40">
        <v>6</v>
      </c>
      <c r="J19" s="230"/>
      <c r="K19" s="40" t="s">
        <v>544</v>
      </c>
      <c r="L19" s="40">
        <v>2</v>
      </c>
      <c r="N19" s="230"/>
      <c r="O19" s="40" t="s">
        <v>544</v>
      </c>
      <c r="P19" s="40">
        <v>1</v>
      </c>
    </row>
    <row r="21" spans="2:16" x14ac:dyDescent="0.15">
      <c r="B21" s="230" t="s">
        <v>545</v>
      </c>
      <c r="C21" s="40" t="s">
        <v>528</v>
      </c>
      <c r="D21" s="40">
        <v>1</v>
      </c>
      <c r="F21" s="230" t="s">
        <v>546</v>
      </c>
      <c r="G21" s="40" t="s">
        <v>528</v>
      </c>
      <c r="H21" s="40">
        <v>2</v>
      </c>
      <c r="J21" s="230" t="s">
        <v>547</v>
      </c>
      <c r="K21" s="40" t="s">
        <v>528</v>
      </c>
      <c r="L21" s="40">
        <v>1</v>
      </c>
    </row>
    <row r="22" spans="2:16" x14ac:dyDescent="0.15">
      <c r="B22" s="230"/>
      <c r="C22" s="40" t="s">
        <v>403</v>
      </c>
      <c r="D22" s="40">
        <v>1</v>
      </c>
      <c r="F22" s="230"/>
      <c r="G22" s="40" t="s">
        <v>403</v>
      </c>
      <c r="H22" s="40">
        <v>2</v>
      </c>
      <c r="J22" s="230"/>
      <c r="K22" s="40" t="s">
        <v>403</v>
      </c>
      <c r="L22" s="40">
        <v>1</v>
      </c>
    </row>
    <row r="23" spans="2:16" x14ac:dyDescent="0.15">
      <c r="B23" s="230"/>
      <c r="C23" s="40" t="s">
        <v>532</v>
      </c>
      <c r="D23" s="40">
        <v>2</v>
      </c>
      <c r="F23" s="230"/>
      <c r="G23" s="40" t="s">
        <v>532</v>
      </c>
      <c r="H23" s="40">
        <v>2</v>
      </c>
      <c r="J23" s="230"/>
      <c r="K23" s="40" t="s">
        <v>532</v>
      </c>
      <c r="L23" s="40">
        <v>1</v>
      </c>
    </row>
    <row r="24" spans="2:16" x14ac:dyDescent="0.15">
      <c r="B24" s="230"/>
      <c r="C24" s="40" t="s">
        <v>533</v>
      </c>
      <c r="D24" s="40">
        <v>1</v>
      </c>
      <c r="F24" s="230"/>
      <c r="G24" s="40" t="s">
        <v>533</v>
      </c>
      <c r="H24" s="40">
        <v>2</v>
      </c>
      <c r="J24" s="230"/>
      <c r="K24" s="40" t="s">
        <v>533</v>
      </c>
      <c r="L24" s="40">
        <v>1</v>
      </c>
    </row>
    <row r="25" spans="2:16" x14ac:dyDescent="0.15">
      <c r="B25" s="230"/>
      <c r="C25" s="40" t="s">
        <v>534</v>
      </c>
      <c r="D25" s="40">
        <v>1</v>
      </c>
      <c r="F25" s="230"/>
      <c r="G25" s="40" t="s">
        <v>534</v>
      </c>
      <c r="H25" s="40">
        <v>2</v>
      </c>
      <c r="J25" s="230"/>
      <c r="K25" s="40" t="s">
        <v>534</v>
      </c>
      <c r="L25" s="40">
        <v>1</v>
      </c>
    </row>
    <row r="26" spans="2:16" x14ac:dyDescent="0.15">
      <c r="B26" s="230"/>
      <c r="C26" s="40" t="s">
        <v>535</v>
      </c>
      <c r="D26" s="40">
        <v>1</v>
      </c>
      <c r="F26" s="230"/>
      <c r="G26" s="40" t="s">
        <v>535</v>
      </c>
      <c r="H26" s="40">
        <v>2</v>
      </c>
      <c r="J26" s="230"/>
      <c r="K26" s="40" t="s">
        <v>536</v>
      </c>
      <c r="L26" s="40">
        <v>4</v>
      </c>
    </row>
    <row r="27" spans="2:16" x14ac:dyDescent="0.15">
      <c r="B27" s="230"/>
      <c r="C27" s="40"/>
      <c r="D27" s="40"/>
      <c r="F27" s="230"/>
      <c r="G27" s="40" t="s">
        <v>536</v>
      </c>
      <c r="H27" s="40">
        <v>2</v>
      </c>
      <c r="J27" s="230"/>
      <c r="K27" s="40" t="s">
        <v>537</v>
      </c>
      <c r="L27" s="40">
        <v>4</v>
      </c>
    </row>
    <row r="28" spans="2:16" x14ac:dyDescent="0.15">
      <c r="B28" s="230"/>
      <c r="C28" s="40"/>
      <c r="D28" s="40"/>
      <c r="F28" s="230"/>
      <c r="G28" s="40" t="s">
        <v>537</v>
      </c>
      <c r="H28" s="40">
        <v>2</v>
      </c>
      <c r="J28" s="230"/>
      <c r="K28" s="40" t="s">
        <v>538</v>
      </c>
      <c r="L28" s="40">
        <v>4</v>
      </c>
    </row>
    <row r="29" spans="2:16" x14ac:dyDescent="0.15">
      <c r="B29" s="230"/>
      <c r="C29" s="40"/>
      <c r="D29" s="40"/>
      <c r="F29" s="230"/>
      <c r="G29" s="40" t="s">
        <v>538</v>
      </c>
      <c r="H29" s="40">
        <v>2</v>
      </c>
      <c r="J29" s="230"/>
      <c r="K29" s="40" t="s">
        <v>539</v>
      </c>
      <c r="L29" s="40">
        <v>2</v>
      </c>
    </row>
    <row r="30" spans="2:16" x14ac:dyDescent="0.15">
      <c r="B30" s="230"/>
      <c r="C30" s="40"/>
      <c r="D30" s="40"/>
      <c r="F30" s="230"/>
      <c r="G30" s="40" t="s">
        <v>540</v>
      </c>
      <c r="H30" s="40">
        <v>1</v>
      </c>
      <c r="J30" s="230"/>
      <c r="K30" s="40" t="s">
        <v>74</v>
      </c>
      <c r="L30" s="40">
        <v>1</v>
      </c>
    </row>
    <row r="31" spans="2:16" x14ac:dyDescent="0.15">
      <c r="B31" s="230"/>
      <c r="C31" s="40" t="s">
        <v>541</v>
      </c>
      <c r="D31" s="40">
        <v>4</v>
      </c>
      <c r="F31" s="230"/>
      <c r="G31" s="40" t="s">
        <v>541</v>
      </c>
      <c r="H31" s="40">
        <v>1</v>
      </c>
      <c r="J31" s="230"/>
      <c r="K31" s="40" t="s">
        <v>75</v>
      </c>
      <c r="L31" s="40">
        <v>1</v>
      </c>
    </row>
    <row r="32" spans="2:16" x14ac:dyDescent="0.15">
      <c r="B32" s="230"/>
      <c r="C32" s="40" t="s">
        <v>542</v>
      </c>
      <c r="D32" s="40">
        <v>4</v>
      </c>
      <c r="F32" s="230"/>
      <c r="G32" s="40" t="s">
        <v>542</v>
      </c>
      <c r="H32" s="40">
        <v>1</v>
      </c>
      <c r="J32" s="230"/>
      <c r="K32" s="40" t="s">
        <v>76</v>
      </c>
      <c r="L32" s="40">
        <v>1</v>
      </c>
    </row>
    <row r="33" spans="2:12" x14ac:dyDescent="0.15">
      <c r="B33" s="230"/>
      <c r="C33" s="40" t="s">
        <v>543</v>
      </c>
      <c r="D33" s="40">
        <v>2</v>
      </c>
      <c r="F33" s="230"/>
      <c r="G33" s="40" t="s">
        <v>543</v>
      </c>
      <c r="H33" s="40">
        <v>4</v>
      </c>
      <c r="J33" s="230"/>
      <c r="K33" s="40" t="s">
        <v>543</v>
      </c>
      <c r="L33" s="40">
        <v>1</v>
      </c>
    </row>
    <row r="34" spans="2:12" x14ac:dyDescent="0.15">
      <c r="B34" s="230"/>
      <c r="C34" s="40" t="s">
        <v>544</v>
      </c>
      <c r="D34" s="40">
        <v>3</v>
      </c>
      <c r="F34" s="230"/>
      <c r="G34" s="40" t="s">
        <v>544</v>
      </c>
      <c r="H34" s="40">
        <v>6</v>
      </c>
      <c r="J34" s="230"/>
      <c r="K34" s="40" t="s">
        <v>544</v>
      </c>
      <c r="L34" s="40">
        <v>2</v>
      </c>
    </row>
    <row r="36" spans="2:12" x14ac:dyDescent="0.15">
      <c r="B36" s="230" t="s">
        <v>548</v>
      </c>
      <c r="C36" s="40" t="s">
        <v>549</v>
      </c>
      <c r="D36" s="40">
        <v>5</v>
      </c>
    </row>
    <row r="37" spans="2:12" x14ac:dyDescent="0.15">
      <c r="B37" s="230"/>
      <c r="C37" s="40" t="s">
        <v>550</v>
      </c>
      <c r="D37" s="40">
        <v>5</v>
      </c>
    </row>
    <row r="38" spans="2:12" x14ac:dyDescent="0.15">
      <c r="B38" s="230"/>
      <c r="C38" s="40" t="s">
        <v>551</v>
      </c>
      <c r="D38" s="40">
        <v>1</v>
      </c>
    </row>
    <row r="39" spans="2:12" x14ac:dyDescent="0.15">
      <c r="B39" s="230"/>
      <c r="C39" s="40" t="s">
        <v>552</v>
      </c>
      <c r="D39" s="40">
        <v>3</v>
      </c>
    </row>
    <row r="40" spans="2:12" x14ac:dyDescent="0.15">
      <c r="B40" s="230"/>
      <c r="C40" s="40" t="s">
        <v>537</v>
      </c>
      <c r="D40" s="40">
        <v>3</v>
      </c>
    </row>
    <row r="41" spans="2:12" x14ac:dyDescent="0.15">
      <c r="B41" s="230"/>
      <c r="C41" s="40" t="s">
        <v>553</v>
      </c>
      <c r="D41" s="40">
        <v>2</v>
      </c>
    </row>
    <row r="42" spans="2:12" x14ac:dyDescent="0.15">
      <c r="B42" s="230"/>
      <c r="C42" s="40" t="s">
        <v>554</v>
      </c>
      <c r="D42" s="40">
        <v>2</v>
      </c>
    </row>
    <row r="43" spans="2:12" x14ac:dyDescent="0.15">
      <c r="B43" s="230"/>
      <c r="C43" s="40" t="s">
        <v>549</v>
      </c>
      <c r="D43" s="40">
        <v>5</v>
      </c>
    </row>
    <row r="44" spans="2:12" x14ac:dyDescent="0.15">
      <c r="B44" s="230"/>
      <c r="C44" s="40" t="s">
        <v>550</v>
      </c>
      <c r="D44" s="40">
        <v>6</v>
      </c>
    </row>
    <row r="45" spans="2:12" x14ac:dyDescent="0.15">
      <c r="B45" s="230"/>
      <c r="C45" s="40" t="s">
        <v>555</v>
      </c>
      <c r="D45" s="40">
        <v>1</v>
      </c>
    </row>
  </sheetData>
  <mergeCells count="8">
    <mergeCell ref="B36:B45"/>
    <mergeCell ref="B3:B19"/>
    <mergeCell ref="F3:F19"/>
    <mergeCell ref="J3:J19"/>
    <mergeCell ref="N3:N19"/>
    <mergeCell ref="B21:B34"/>
    <mergeCell ref="F21:F34"/>
    <mergeCell ref="J21:J34"/>
  </mergeCells>
  <phoneticPr fontId="12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7</vt:i4>
      </vt:variant>
    </vt:vector>
  </HeadingPairs>
  <TitlesOfParts>
    <vt:vector size="7" baseType="lpstr">
      <vt:lpstr>原価表</vt:lpstr>
      <vt:lpstr>LINE-A</vt:lpstr>
      <vt:lpstr>LINE-B</vt:lpstr>
      <vt:lpstr>ﾈｼﾞ締め</vt:lpstr>
      <vt:lpstr>ﾌｧﾝﾈｼﾞ締め</vt:lpstr>
      <vt:lpstr>SMC資料</vt:lpstr>
      <vt:lpstr>KEYENCE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SATOH</dc:creator>
  <cp:lastModifiedBy>佐藤マネジャー</cp:lastModifiedBy>
  <cp:lastPrinted>2018-02-20T13:59:27Z</cp:lastPrinted>
  <dcterms:created xsi:type="dcterms:W3CDTF">2011-12-13T06:48:43Z</dcterms:created>
  <dcterms:modified xsi:type="dcterms:W3CDTF">2021-05-25T02:38:28Z</dcterms:modified>
</cp:coreProperties>
</file>