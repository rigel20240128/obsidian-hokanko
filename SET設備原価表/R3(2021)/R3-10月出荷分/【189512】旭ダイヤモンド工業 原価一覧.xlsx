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D95EC39B-8526-41E8-8D97-276C1356C5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1" l="1"/>
  <c r="H27" i="1"/>
  <c r="H28" i="1"/>
  <c r="H30" i="1"/>
  <c r="H31" i="1"/>
  <c r="H32" i="1"/>
  <c r="H33" i="1"/>
  <c r="H34" i="1"/>
  <c r="H35" i="1"/>
  <c r="H9" i="1"/>
  <c r="H10" i="1" l="1"/>
  <c r="H11" i="1"/>
  <c r="H12" i="1"/>
  <c r="H13" i="1"/>
  <c r="H14" i="1"/>
  <c r="H15" i="1"/>
  <c r="H16" i="1"/>
  <c r="H17" i="1"/>
  <c r="H18" i="1"/>
  <c r="H20" i="1" l="1"/>
  <c r="H19" i="1"/>
  <c r="H21" i="1"/>
  <c r="H22" i="1"/>
  <c r="H23" i="1"/>
  <c r="H36" i="1" l="1"/>
  <c r="H25" i="1" l="1"/>
  <c r="H26" i="1"/>
  <c r="H24" i="1"/>
  <c r="J2" i="1" l="1"/>
</calcChain>
</file>

<file path=xl/sharedStrings.xml><?xml version="1.0" encoding="utf-8"?>
<sst xmlns="http://schemas.openxmlformats.org/spreadsheetml/2006/main" count="131" uniqueCount="69">
  <si>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</si>
  <si>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</si>
  <si>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</si>
  <si>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</si>
  <si>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</si>
  <si>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</si>
  <si>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</si>
  <si>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</si>
  <si>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</si>
  <si>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</si>
  <si>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</si>
  <si>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</si>
  <si>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</si>
  <si>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</si>
  <si>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</si>
  <si>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</si>
  <si>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</si>
  <si>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</si>
  <si>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</si>
  <si>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</si>
  <si>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</si>
  <si>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</si>
  <si>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旭ダイヤモンド工業</t>
    <rPh sb="0" eb="1">
      <t>アサヒ</t>
    </rPh>
    <rPh sb="7" eb="9">
      <t>コウギョウ</t>
    </rPh>
    <phoneticPr fontId="1"/>
  </si>
  <si>
    <t>増渕</t>
    <rPh sb="0" eb="2">
      <t>マスブチ</t>
    </rPh>
    <phoneticPr fontId="1"/>
  </si>
  <si>
    <t>SETD0063-Y01</t>
    <phoneticPr fontId="1"/>
  </si>
  <si>
    <t>SETD0063-Y02</t>
  </si>
  <si>
    <t>SETD0063-Y03</t>
  </si>
  <si>
    <t>タイショー</t>
    <phoneticPr fontId="1"/>
  </si>
  <si>
    <t>回転モータ取付ベース</t>
    <phoneticPr fontId="1"/>
  </si>
  <si>
    <t>回転モータ取付Lブラケット</t>
    <phoneticPr fontId="1"/>
  </si>
  <si>
    <t>回転モータ軸受け</t>
    <phoneticPr fontId="1"/>
  </si>
  <si>
    <t>吸着パッド回転モータ取付ユニット</t>
    <phoneticPr fontId="1"/>
  </si>
  <si>
    <t>MVSHM-3N01500001002-2S1-YXYCP</t>
    <phoneticPr fontId="1"/>
  </si>
  <si>
    <t>メビィー加工品(軸受補強板金)</t>
    <phoneticPr fontId="1"/>
  </si>
  <si>
    <t>ミスミ</t>
    <phoneticPr fontId="1"/>
  </si>
  <si>
    <t>CBSTSR3-10</t>
    <phoneticPr fontId="1"/>
  </si>
  <si>
    <t>超極低頭ボルト 六角穴タイプ</t>
    <phoneticPr fontId="1"/>
  </si>
  <si>
    <t>KBBS3-6</t>
    <phoneticPr fontId="1"/>
  </si>
  <si>
    <t>小径頭ボルト</t>
    <phoneticPr fontId="1"/>
  </si>
  <si>
    <t>SSHC-SUS-M3-6</t>
    <phoneticPr fontId="1"/>
  </si>
  <si>
    <t>六角穴付止めねじ くぼみ先(SUNCO)</t>
    <phoneticPr fontId="1"/>
  </si>
  <si>
    <t>SUNCO</t>
    <phoneticPr fontId="1"/>
  </si>
  <si>
    <t>MVSHM-3N02050002012-2S1-EDZXZ</t>
    <phoneticPr fontId="1"/>
  </si>
  <si>
    <t>メビィー加工品(吸着パッドﾞ取付板金)</t>
    <phoneticPr fontId="1"/>
  </si>
  <si>
    <t>MVSHM-3N02052010016-2S1-X7RC6</t>
    <phoneticPr fontId="1"/>
  </si>
  <si>
    <t>メビィー加工品(モータコントローラユニット取付板金)</t>
    <phoneticPr fontId="1"/>
  </si>
  <si>
    <t>MRB-110</t>
    <phoneticPr fontId="1"/>
  </si>
  <si>
    <t>DINレール</t>
    <phoneticPr fontId="1"/>
  </si>
  <si>
    <t>ESP20-100-24</t>
    <phoneticPr fontId="1"/>
  </si>
  <si>
    <t>DCスイッチング電源（24V 100W)</t>
    <phoneticPr fontId="1"/>
  </si>
  <si>
    <t>オリエンタルモータ</t>
    <phoneticPr fontId="1"/>
  </si>
  <si>
    <t>オリムベクスタ</t>
    <phoneticPr fontId="1"/>
  </si>
  <si>
    <t>AZM24AK-PS7.2</t>
    <phoneticPr fontId="1"/>
  </si>
  <si>
    <t>ギヤードモータ(オリムベクスタ)</t>
    <phoneticPr fontId="1"/>
  </si>
  <si>
    <t>CC030VZ2R2</t>
    <phoneticPr fontId="1"/>
  </si>
  <si>
    <t>モーターケーブル（オリエンタルモータ）3ｍ</t>
    <phoneticPr fontId="1"/>
  </si>
  <si>
    <t>AZD-K</t>
    <phoneticPr fontId="1"/>
  </si>
  <si>
    <t>コントローラ（オリエンタルモータ）</t>
    <phoneticPr fontId="1"/>
  </si>
  <si>
    <t>見積No562335-1を添付します。</t>
    <rPh sb="13" eb="15">
      <t>テンプ</t>
    </rPh>
    <phoneticPr fontId="1"/>
  </si>
  <si>
    <t>見積りNo：21DO-0315</t>
    <rPh sb="0" eb="2">
      <t>ミツモリ</t>
    </rPh>
    <phoneticPr fontId="1"/>
  </si>
  <si>
    <t>189512(SAITO-TETSU)で発注済</t>
    <rPh sb="20" eb="22">
      <t>ハッチュウ</t>
    </rPh>
    <rPh sb="22" eb="23">
      <t>スミ</t>
    </rPh>
    <phoneticPr fontId="1"/>
  </si>
  <si>
    <t>RS</t>
    <phoneticPr fontId="1"/>
  </si>
  <si>
    <t>707-8255</t>
    <phoneticPr fontId="1"/>
  </si>
  <si>
    <t>炭素皮膜抵抗器(2.2KΩ)(RS PRO)</t>
    <rPh sb="0" eb="7">
      <t>タンソヒマクテイコウキ</t>
    </rPh>
    <phoneticPr fontId="1"/>
  </si>
  <si>
    <t>ミスミ</t>
    <phoneticPr fontId="1"/>
  </si>
  <si>
    <t>FTCSU-D12-H16-V8.0-T1.5-L3.3</t>
    <phoneticPr fontId="1"/>
  </si>
  <si>
    <t>金属ワッシャ ツバ付</t>
    <rPh sb="0" eb="2">
      <t>キンゾク</t>
    </rPh>
    <rPh sb="9" eb="10">
      <t>ツ</t>
    </rPh>
    <phoneticPr fontId="1"/>
  </si>
  <si>
    <t>WSSS16-8-1.5</t>
    <phoneticPr fontId="1"/>
  </si>
  <si>
    <t>金属ワッシャ</t>
    <rPh sb="0" eb="2">
      <t>キンゾク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</si>
</sst>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0_);[Red]\(0\)"/>
  </numFmts>
  <fonts count="10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24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Fill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right" vertical="center"/>
    </xf>
    <xf numFmtId="3" fontId="0" fillId="0" borderId="1" xfId="0" applyNumberFormat="1" applyFont="1" applyFill="1" applyBorder="1" applyAlignment="1">
      <alignment horizontal="center" vertical="center"/>
    </xf>
    <xf numFmtId="38" fontId="0" fillId="0" borderId="1" xfId="0" applyNumberFormat="1" applyFont="1" applyFill="1" applyBorder="1" applyAlignment="1">
      <alignment vertical="center"/>
    </xf>
    <xf numFmtId="49" fontId="7" fillId="0" borderId="1" xfId="0" applyNumberFormat="1" applyFont="1" applyFill="1" applyBorder="1" applyAlignment="1">
      <alignment vertical="center"/>
    </xf>
    <xf numFmtId="56" fontId="0" fillId="0" borderId="1" xfId="0" applyNumberForma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>
      <alignment vertical="center"/>
    </xf>
    <xf numFmtId="3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180" fontId="0" fillId="0" borderId="1" xfId="0" applyNumberFormat="1" applyFont="1" applyFill="1" applyBorder="1" applyAlignment="1">
      <alignment horizontal="right" vertical="center"/>
    </xf>
    <xf numFmtId="180" fontId="8" fillId="0" borderId="1" xfId="0" applyNumberFormat="1" applyFont="1" applyFill="1" applyBorder="1" applyAlignment="1">
      <alignment horizontal="right" vertical="center"/>
    </xf>
    <xf numFmtId="38" fontId="8" fillId="3" borderId="1" xfId="0" applyNumberFormat="1" applyFont="1" applyFill="1" applyBorder="1" applyAlignment="1">
      <alignment horizontal="right" vertical="center"/>
    </xf>
    <xf numFmtId="0" fontId="8" fillId="3" borderId="5" xfId="0" applyFont="1" applyFill="1" applyBorder="1" applyAlignment="1">
      <alignment horizontal="left" vertical="center"/>
    </xf>
    <xf numFmtId="38" fontId="5" fillId="3" borderId="1" xfId="0" applyNumberFormat="1" applyFont="1" applyFill="1" applyBorder="1">
      <alignment vertical="center"/>
    </xf>
    <xf numFmtId="0" fontId="8" fillId="3" borderId="1" xfId="0" applyFont="1" applyFill="1" applyBorder="1">
      <alignment vertical="center"/>
    </xf>
    <xf numFmtId="181" fontId="5" fillId="3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/>
    </xf>
    <xf numFmtId="180" fontId="8" fillId="3" borderId="1" xfId="0" applyNumberFormat="1" applyFont="1" applyFill="1" applyBorder="1" applyAlignment="1">
      <alignment horizontal="right" vertical="center"/>
    </xf>
    <xf numFmtId="38" fontId="0" fillId="3" borderId="1" xfId="0" applyNumberFormat="1" applyFill="1" applyBorder="1" applyAlignment="1">
      <alignment horizontal="right" vertical="center"/>
    </xf>
    <xf numFmtId="38" fontId="0" fillId="3" borderId="1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3" fontId="0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43"/>
  <sheetViews>
    <sheetView tabSelected="1" zoomScale="85" zoomScaleNormal="85" workbookViewId="0">
      <pane xSplit="10" ySplit="8" topLeftCell="K9" activePane="bottomRight" state="frozen"/>
      <selection pane="topRight" activeCell="K1" sqref="K1"/>
      <selection pane="bottomLeft" activeCell="A9" sqref="A9"/>
      <selection pane="bottomRight" activeCell="E7" sqref="E7"/>
    </sheetView>
  </sheetViews>
  <sheetFormatPr defaultRowHeight="13.5" x14ac:dyDescent="0.15"/>
  <cols>
    <col min="1" max="1" width="2.625" customWidth="1"/>
    <col min="2" max="2" width="5.625" style="5" customWidth="1"/>
    <col min="3" max="4" width="20.625" customWidth="1"/>
    <col min="5" max="5" width="55.625" customWidth="1"/>
    <col min="6" max="6" width="6.25" customWidth="1"/>
    <col min="7" max="8" width="9.875" bestFit="1" customWidth="1"/>
    <col min="9" max="9" width="5.75" style="10" customWidth="1"/>
    <col min="10" max="10" width="40.625" customWidth="1"/>
    <col min="11" max="11" width="35.625" style="31" customWidth="1"/>
    <col min="12" max="12" width="30.625" style="5" customWidth="1"/>
    <col min="13" max="13" width="13.75" style="13" customWidth="1"/>
    <col min="14" max="14" width="6.375" customWidth="1"/>
    <col min="15" max="15" width="18.375" style="10" customWidth="1"/>
    <col min="16" max="16" width="19.125" style="17" customWidth="1"/>
    <col min="17" max="17" width="15.625" style="18" customWidth="1"/>
  </cols>
  <sheetData>
    <row r="2" spans="2:17" ht="20.100000000000001" customHeight="1" x14ac:dyDescent="0.15">
      <c r="B2" s="59" t="s">
        <v>11</v>
      </c>
      <c r="C2" s="59"/>
      <c r="D2" s="59"/>
      <c r="E2" s="11" t="s">
        <v>22</v>
      </c>
      <c r="G2" s="60" t="s">
        <v>15</v>
      </c>
      <c r="H2" s="61"/>
      <c r="I2" s="62"/>
      <c r="J2" s="9">
        <f>SUM(H:H)</f>
        <v>130849</v>
      </c>
      <c r="K2" s="30"/>
      <c r="L2" s="6"/>
    </row>
    <row r="3" spans="2:17" ht="20.100000000000001" customHeight="1" x14ac:dyDescent="0.15">
      <c r="B3" s="59" t="s">
        <v>10</v>
      </c>
      <c r="C3" s="59"/>
      <c r="D3" s="59"/>
      <c r="E3" s="7" t="s">
        <v>23</v>
      </c>
    </row>
    <row r="4" spans="2:17" ht="20.100000000000001" customHeight="1" x14ac:dyDescent="0.15">
      <c r="B4" s="59" t="s">
        <v>12</v>
      </c>
      <c r="C4" s="59"/>
      <c r="D4" s="59"/>
      <c r="E4" s="7">
        <v>189512</v>
      </c>
    </row>
    <row r="5" spans="2:17" ht="20.100000000000001" customHeight="1" x14ac:dyDescent="0.15">
      <c r="B5" s="59" t="s">
        <v>13</v>
      </c>
      <c r="C5" s="59"/>
      <c r="D5" s="59"/>
      <c r="E5" s="8">
        <v>44466</v>
      </c>
    </row>
    <row r="6" spans="2:17" ht="20.100000000000001" customHeight="1" x14ac:dyDescent="0.15">
      <c r="B6" s="59" t="s">
        <v>14</v>
      </c>
      <c r="C6" s="59"/>
      <c r="D6" s="59"/>
      <c r="E6" s="8">
        <v>44496</v>
      </c>
    </row>
    <row r="8" spans="2:17" s="3" customFormat="1" ht="19.7" customHeight="1" x14ac:dyDescent="0.15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14" t="s">
        <v>6</v>
      </c>
      <c r="N8" s="4" t="s">
        <v>19</v>
      </c>
      <c r="O8" s="1" t="s">
        <v>7</v>
      </c>
      <c r="P8" s="14" t="s">
        <v>20</v>
      </c>
      <c r="Q8" s="19" t="s">
        <v>21</v>
      </c>
    </row>
    <row r="9" spans="2:17" s="3" customFormat="1" ht="19.7" customHeight="1" x14ac:dyDescent="0.15">
      <c r="B9" s="4">
        <v>2</v>
      </c>
      <c r="C9" s="21" t="s">
        <v>34</v>
      </c>
      <c r="D9" s="21" t="s">
        <v>34</v>
      </c>
      <c r="E9" s="40" t="s">
        <v>32</v>
      </c>
      <c r="F9" s="41">
        <v>1</v>
      </c>
      <c r="G9" s="37">
        <v>1550</v>
      </c>
      <c r="H9" s="22">
        <f t="shared" ref="H9:H18" si="0">F9*G9</f>
        <v>1550</v>
      </c>
      <c r="I9" s="39"/>
      <c r="J9" s="38" t="s">
        <v>33</v>
      </c>
      <c r="K9" s="1"/>
      <c r="L9" s="1" t="s">
        <v>31</v>
      </c>
      <c r="M9" s="14">
        <v>44448</v>
      </c>
      <c r="N9" s="4"/>
      <c r="O9" s="1"/>
      <c r="P9" s="14">
        <v>44467</v>
      </c>
      <c r="Q9" s="19">
        <v>44467</v>
      </c>
    </row>
    <row r="10" spans="2:17" s="3" customFormat="1" ht="19.7" customHeight="1" x14ac:dyDescent="0.15">
      <c r="B10" s="4">
        <v>2</v>
      </c>
      <c r="C10" s="21" t="s">
        <v>34</v>
      </c>
      <c r="D10" s="21" t="s">
        <v>34</v>
      </c>
      <c r="E10" s="27" t="s">
        <v>35</v>
      </c>
      <c r="F10" s="36">
        <v>15</v>
      </c>
      <c r="G10" s="20">
        <v>270</v>
      </c>
      <c r="H10" s="22">
        <f t="shared" si="0"/>
        <v>4050</v>
      </c>
      <c r="I10" s="26"/>
      <c r="J10" s="25" t="s">
        <v>36</v>
      </c>
      <c r="K10" s="32"/>
      <c r="L10" s="1" t="s">
        <v>31</v>
      </c>
      <c r="M10" s="14">
        <v>44448</v>
      </c>
      <c r="N10" s="4"/>
      <c r="O10" s="1"/>
      <c r="P10" s="14">
        <v>44467</v>
      </c>
      <c r="Q10" s="19">
        <v>44467</v>
      </c>
    </row>
    <row r="11" spans="2:17" s="3" customFormat="1" ht="19.7" customHeight="1" x14ac:dyDescent="0.15">
      <c r="B11" s="4">
        <v>2</v>
      </c>
      <c r="C11" s="21" t="s">
        <v>34</v>
      </c>
      <c r="D11" s="21" t="s">
        <v>34</v>
      </c>
      <c r="E11" s="27" t="s">
        <v>37</v>
      </c>
      <c r="F11" s="36">
        <v>10</v>
      </c>
      <c r="G11" s="20">
        <v>230</v>
      </c>
      <c r="H11" s="22">
        <f t="shared" si="0"/>
        <v>2300</v>
      </c>
      <c r="I11" s="26"/>
      <c r="J11" s="25" t="s">
        <v>38</v>
      </c>
      <c r="K11" s="32"/>
      <c r="L11" s="1" t="s">
        <v>31</v>
      </c>
      <c r="M11" s="14">
        <v>44448</v>
      </c>
      <c r="N11" s="4"/>
      <c r="O11" s="1"/>
      <c r="P11" s="14">
        <v>44467</v>
      </c>
      <c r="Q11" s="19">
        <v>44467</v>
      </c>
    </row>
    <row r="12" spans="2:17" s="3" customFormat="1" ht="19.7" customHeight="1" x14ac:dyDescent="0.15">
      <c r="B12" s="4">
        <v>2</v>
      </c>
      <c r="C12" s="21" t="s">
        <v>41</v>
      </c>
      <c r="D12" s="21" t="s">
        <v>34</v>
      </c>
      <c r="E12" s="27" t="s">
        <v>39</v>
      </c>
      <c r="F12" s="36">
        <v>5</v>
      </c>
      <c r="G12" s="20">
        <v>51</v>
      </c>
      <c r="H12" s="22">
        <f t="shared" si="0"/>
        <v>255</v>
      </c>
      <c r="I12" s="26"/>
      <c r="J12" s="25" t="s">
        <v>40</v>
      </c>
      <c r="K12" s="32"/>
      <c r="L12" s="1" t="s">
        <v>31</v>
      </c>
      <c r="M12" s="14">
        <v>44448</v>
      </c>
      <c r="N12" s="4"/>
      <c r="O12" s="1"/>
      <c r="P12" s="14">
        <v>44467</v>
      </c>
      <c r="Q12" s="19">
        <v>44467</v>
      </c>
    </row>
    <row r="13" spans="2:17" s="3" customFormat="1" ht="19.7" customHeight="1" x14ac:dyDescent="0.15">
      <c r="B13" s="4">
        <v>2</v>
      </c>
      <c r="C13" s="21" t="s">
        <v>34</v>
      </c>
      <c r="D13" s="21" t="s">
        <v>34</v>
      </c>
      <c r="E13" s="27" t="s">
        <v>42</v>
      </c>
      <c r="F13" s="36">
        <v>1</v>
      </c>
      <c r="G13" s="20">
        <v>2370</v>
      </c>
      <c r="H13" s="22">
        <f t="shared" si="0"/>
        <v>2370</v>
      </c>
      <c r="I13" s="26"/>
      <c r="J13" s="25" t="s">
        <v>43</v>
      </c>
      <c r="K13" s="32"/>
      <c r="L13" s="1" t="s">
        <v>31</v>
      </c>
      <c r="M13" s="14">
        <v>44448</v>
      </c>
      <c r="N13" s="4"/>
      <c r="O13" s="1"/>
      <c r="P13" s="14">
        <v>44467</v>
      </c>
      <c r="Q13" s="19">
        <v>44467</v>
      </c>
    </row>
    <row r="14" spans="2:17" s="3" customFormat="1" ht="19.7" customHeight="1" x14ac:dyDescent="0.15">
      <c r="B14" s="4">
        <v>1</v>
      </c>
      <c r="C14" s="21" t="s">
        <v>34</v>
      </c>
      <c r="D14" s="21" t="s">
        <v>34</v>
      </c>
      <c r="E14" s="27" t="s">
        <v>44</v>
      </c>
      <c r="F14" s="36">
        <v>2</v>
      </c>
      <c r="G14" s="20">
        <v>2580</v>
      </c>
      <c r="H14" s="22">
        <f t="shared" si="0"/>
        <v>5160</v>
      </c>
      <c r="I14" s="26"/>
      <c r="J14" s="25" t="s">
        <v>45</v>
      </c>
      <c r="K14" s="32"/>
      <c r="L14" s="1" t="s">
        <v>31</v>
      </c>
      <c r="M14" s="14">
        <v>44448</v>
      </c>
      <c r="N14" s="4"/>
      <c r="O14" s="1"/>
      <c r="P14" s="14">
        <v>44467</v>
      </c>
      <c r="Q14" s="19">
        <v>44467</v>
      </c>
    </row>
    <row r="15" spans="2:17" s="3" customFormat="1" ht="19.7" customHeight="1" x14ac:dyDescent="0.15">
      <c r="B15" s="4">
        <v>1</v>
      </c>
      <c r="C15" s="21" t="s">
        <v>34</v>
      </c>
      <c r="D15" s="21" t="s">
        <v>34</v>
      </c>
      <c r="E15" s="27" t="s">
        <v>46</v>
      </c>
      <c r="F15" s="36">
        <v>2</v>
      </c>
      <c r="G15" s="20">
        <v>977</v>
      </c>
      <c r="H15" s="22">
        <f t="shared" si="0"/>
        <v>1954</v>
      </c>
      <c r="I15" s="26"/>
      <c r="J15" s="25" t="s">
        <v>47</v>
      </c>
      <c r="K15" s="32"/>
      <c r="L15" s="1" t="s">
        <v>31</v>
      </c>
      <c r="M15" s="14">
        <v>44448</v>
      </c>
      <c r="N15" s="4"/>
      <c r="O15" s="1"/>
      <c r="P15" s="14">
        <v>44467</v>
      </c>
      <c r="Q15" s="19">
        <v>44467</v>
      </c>
    </row>
    <row r="16" spans="2:17" s="3" customFormat="1" ht="19.7" customHeight="1" x14ac:dyDescent="0.15">
      <c r="B16" s="4">
        <v>1</v>
      </c>
      <c r="C16" s="21" t="s">
        <v>34</v>
      </c>
      <c r="D16" s="21" t="s">
        <v>34</v>
      </c>
      <c r="E16" s="27" t="s">
        <v>48</v>
      </c>
      <c r="F16" s="36">
        <v>1</v>
      </c>
      <c r="G16" s="20">
        <v>5300</v>
      </c>
      <c r="H16" s="22">
        <f t="shared" si="0"/>
        <v>5300</v>
      </c>
      <c r="I16" s="26"/>
      <c r="J16" s="25" t="s">
        <v>49</v>
      </c>
      <c r="K16" s="32"/>
      <c r="L16" s="1" t="s">
        <v>31</v>
      </c>
      <c r="M16" s="14">
        <v>44448</v>
      </c>
      <c r="N16" s="4"/>
      <c r="O16" s="1"/>
      <c r="P16" s="14">
        <v>44467</v>
      </c>
      <c r="Q16" s="19">
        <v>44467</v>
      </c>
    </row>
    <row r="17" spans="2:17" s="3" customFormat="1" ht="19.7" customHeight="1" x14ac:dyDescent="0.15">
      <c r="B17" s="4"/>
      <c r="C17" s="21"/>
      <c r="D17" s="21"/>
      <c r="E17" s="27"/>
      <c r="F17" s="36"/>
      <c r="G17" s="20"/>
      <c r="H17" s="22">
        <f t="shared" si="0"/>
        <v>0</v>
      </c>
      <c r="I17" s="26"/>
      <c r="J17" s="25"/>
      <c r="K17" s="32"/>
      <c r="L17" s="29"/>
      <c r="M17" s="14"/>
      <c r="N17" s="4"/>
      <c r="O17" s="1"/>
      <c r="P17" s="14"/>
      <c r="Q17" s="19"/>
    </row>
    <row r="18" spans="2:17" s="3" customFormat="1" ht="19.7" customHeight="1" x14ac:dyDescent="0.15">
      <c r="B18" s="4"/>
      <c r="C18" s="21"/>
      <c r="D18" s="21"/>
      <c r="E18" s="27"/>
      <c r="F18" s="36"/>
      <c r="G18" s="20"/>
      <c r="H18" s="22">
        <f t="shared" si="0"/>
        <v>0</v>
      </c>
      <c r="I18" s="26"/>
      <c r="J18" s="25"/>
      <c r="K18" s="32"/>
      <c r="L18" s="29"/>
      <c r="M18" s="14"/>
      <c r="N18" s="4"/>
      <c r="O18" s="1"/>
      <c r="P18" s="14"/>
      <c r="Q18" s="19"/>
    </row>
    <row r="19" spans="2:17" s="3" customFormat="1" ht="19.7" customHeight="1" x14ac:dyDescent="0.15">
      <c r="B19" s="4">
        <v>1</v>
      </c>
      <c r="C19" s="21" t="s">
        <v>50</v>
      </c>
      <c r="D19" s="21" t="s">
        <v>51</v>
      </c>
      <c r="E19" s="27" t="s">
        <v>52</v>
      </c>
      <c r="F19" s="36">
        <v>1</v>
      </c>
      <c r="G19" s="20">
        <v>40000</v>
      </c>
      <c r="H19" s="22">
        <f t="shared" ref="H19:H23" si="1">F19*G19</f>
        <v>40000</v>
      </c>
      <c r="I19" s="26"/>
      <c r="J19" s="25" t="s">
        <v>53</v>
      </c>
      <c r="K19" s="33" t="s">
        <v>58</v>
      </c>
      <c r="L19" s="1" t="s">
        <v>31</v>
      </c>
      <c r="M19" s="14">
        <v>44449</v>
      </c>
      <c r="N19" s="4"/>
      <c r="O19" s="24">
        <v>44466</v>
      </c>
      <c r="P19" s="24">
        <v>44466</v>
      </c>
      <c r="Q19" s="19">
        <v>44466</v>
      </c>
    </row>
    <row r="20" spans="2:17" s="3" customFormat="1" ht="19.7" customHeight="1" x14ac:dyDescent="0.15">
      <c r="B20" s="4">
        <v>1</v>
      </c>
      <c r="C20" s="21" t="s">
        <v>50</v>
      </c>
      <c r="D20" s="21" t="s">
        <v>51</v>
      </c>
      <c r="E20" s="27" t="s">
        <v>54</v>
      </c>
      <c r="F20" s="36">
        <v>1</v>
      </c>
      <c r="G20" s="20">
        <v>7120</v>
      </c>
      <c r="H20" s="22">
        <f t="shared" ref="H20" si="2">F20*G20</f>
        <v>7120</v>
      </c>
      <c r="I20" s="26"/>
      <c r="J20" s="25" t="s">
        <v>55</v>
      </c>
      <c r="K20" s="33" t="s">
        <v>58</v>
      </c>
      <c r="L20" s="1" t="s">
        <v>31</v>
      </c>
      <c r="M20" s="14">
        <v>44449</v>
      </c>
      <c r="N20" s="4"/>
      <c r="O20" s="24">
        <v>44466</v>
      </c>
      <c r="P20" s="24">
        <v>44466</v>
      </c>
      <c r="Q20" s="19">
        <v>44466</v>
      </c>
    </row>
    <row r="21" spans="2:17" s="3" customFormat="1" ht="19.7" customHeight="1" x14ac:dyDescent="0.15">
      <c r="B21" s="4">
        <v>1</v>
      </c>
      <c r="C21" s="21" t="s">
        <v>50</v>
      </c>
      <c r="D21" s="21" t="s">
        <v>51</v>
      </c>
      <c r="E21" s="23" t="s">
        <v>56</v>
      </c>
      <c r="F21" s="35">
        <v>1</v>
      </c>
      <c r="G21" s="20">
        <v>27200</v>
      </c>
      <c r="H21" s="22">
        <f t="shared" si="1"/>
        <v>27200</v>
      </c>
      <c r="I21" s="2"/>
      <c r="J21" s="12" t="s">
        <v>57</v>
      </c>
      <c r="K21" s="33" t="s">
        <v>58</v>
      </c>
      <c r="L21" s="1" t="s">
        <v>31</v>
      </c>
      <c r="M21" s="14">
        <v>44449</v>
      </c>
      <c r="N21" s="4"/>
      <c r="O21" s="24">
        <v>44466</v>
      </c>
      <c r="P21" s="24">
        <v>44466</v>
      </c>
      <c r="Q21" s="19">
        <v>44466</v>
      </c>
    </row>
    <row r="22" spans="2:17" s="3" customFormat="1" ht="19.7" customHeight="1" x14ac:dyDescent="0.15">
      <c r="B22" s="4"/>
      <c r="C22" s="21"/>
      <c r="D22" s="21"/>
      <c r="E22" s="27"/>
      <c r="F22" s="36"/>
      <c r="G22" s="20"/>
      <c r="H22" s="22">
        <f t="shared" si="1"/>
        <v>0</v>
      </c>
      <c r="I22" s="26"/>
      <c r="J22" s="25"/>
      <c r="K22" s="25"/>
      <c r="L22" s="1"/>
      <c r="M22" s="14"/>
      <c r="N22" s="4"/>
      <c r="O22" s="24"/>
      <c r="P22" s="24"/>
      <c r="Q22" s="19"/>
    </row>
    <row r="23" spans="2:17" s="3" customFormat="1" ht="19.7" customHeight="1" x14ac:dyDescent="0.15">
      <c r="B23" s="4"/>
      <c r="C23" s="21"/>
      <c r="D23" s="21"/>
      <c r="E23" s="27"/>
      <c r="F23" s="36"/>
      <c r="G23" s="20"/>
      <c r="H23" s="22">
        <f t="shared" si="1"/>
        <v>0</v>
      </c>
      <c r="I23" s="26"/>
      <c r="J23" s="25"/>
      <c r="K23" s="25"/>
      <c r="L23" s="1"/>
      <c r="M23" s="14"/>
      <c r="N23" s="4"/>
      <c r="O23" s="24"/>
      <c r="P23" s="24"/>
      <c r="Q23" s="19"/>
    </row>
    <row r="24" spans="2:17" s="34" customFormat="1" ht="19.7" customHeight="1" x14ac:dyDescent="0.15">
      <c r="B24" s="45">
        <v>2</v>
      </c>
      <c r="C24" s="46" t="s">
        <v>27</v>
      </c>
      <c r="D24" s="46" t="s">
        <v>27</v>
      </c>
      <c r="E24" s="40" t="s">
        <v>24</v>
      </c>
      <c r="F24" s="47">
        <v>1</v>
      </c>
      <c r="G24" s="48">
        <v>12500</v>
      </c>
      <c r="H24" s="49">
        <f>F24*G24</f>
        <v>12500</v>
      </c>
      <c r="I24" s="50"/>
      <c r="J24" s="51" t="s">
        <v>28</v>
      </c>
      <c r="K24" s="51" t="s">
        <v>59</v>
      </c>
      <c r="L24" s="52" t="s">
        <v>31</v>
      </c>
      <c r="M24" s="53">
        <v>44452</v>
      </c>
      <c r="N24" s="45"/>
      <c r="O24" s="54"/>
      <c r="P24" s="54">
        <v>44463</v>
      </c>
      <c r="Q24" s="55">
        <v>44463</v>
      </c>
    </row>
    <row r="25" spans="2:17" s="34" customFormat="1" ht="19.7" customHeight="1" x14ac:dyDescent="0.15">
      <c r="B25" s="45">
        <v>2</v>
      </c>
      <c r="C25" s="46" t="s">
        <v>27</v>
      </c>
      <c r="D25" s="46" t="s">
        <v>27</v>
      </c>
      <c r="E25" s="40" t="s">
        <v>25</v>
      </c>
      <c r="F25" s="47">
        <v>1</v>
      </c>
      <c r="G25" s="48">
        <v>8800</v>
      </c>
      <c r="H25" s="49">
        <f>F25*G25</f>
        <v>8800</v>
      </c>
      <c r="I25" s="50"/>
      <c r="J25" s="51" t="s">
        <v>29</v>
      </c>
      <c r="K25" s="51" t="s">
        <v>59</v>
      </c>
      <c r="L25" s="52" t="s">
        <v>31</v>
      </c>
      <c r="M25" s="53">
        <v>44452</v>
      </c>
      <c r="N25" s="45"/>
      <c r="O25" s="54"/>
      <c r="P25" s="54">
        <v>44463</v>
      </c>
      <c r="Q25" s="55">
        <v>44463</v>
      </c>
    </row>
    <row r="26" spans="2:17" s="34" customFormat="1" ht="19.7" customHeight="1" x14ac:dyDescent="0.15">
      <c r="B26" s="45">
        <v>2</v>
      </c>
      <c r="C26" s="46" t="s">
        <v>27</v>
      </c>
      <c r="D26" s="46" t="s">
        <v>27</v>
      </c>
      <c r="E26" s="40" t="s">
        <v>26</v>
      </c>
      <c r="F26" s="47">
        <v>1</v>
      </c>
      <c r="G26" s="48">
        <v>8500</v>
      </c>
      <c r="H26" s="49">
        <f>F26*G26</f>
        <v>8500</v>
      </c>
      <c r="I26" s="50"/>
      <c r="J26" s="51" t="s">
        <v>30</v>
      </c>
      <c r="K26" s="51" t="s">
        <v>59</v>
      </c>
      <c r="L26" s="52" t="s">
        <v>31</v>
      </c>
      <c r="M26" s="53">
        <v>44452</v>
      </c>
      <c r="N26" s="45"/>
      <c r="O26" s="54"/>
      <c r="P26" s="53">
        <v>44463</v>
      </c>
      <c r="Q26" s="55">
        <v>44463</v>
      </c>
    </row>
    <row r="27" spans="2:17" s="34" customFormat="1" ht="19.7" customHeight="1" x14ac:dyDescent="0.15">
      <c r="B27" s="4"/>
      <c r="C27" s="28"/>
      <c r="D27" s="28"/>
      <c r="E27" s="27"/>
      <c r="F27" s="36"/>
      <c r="G27" s="20"/>
      <c r="H27" s="22">
        <f t="shared" ref="H27:H35" si="3">F27*G27</f>
        <v>0</v>
      </c>
      <c r="I27" s="26"/>
      <c r="J27" s="25"/>
      <c r="K27" s="25"/>
      <c r="L27" s="29"/>
      <c r="M27" s="14"/>
      <c r="N27" s="4"/>
      <c r="O27" s="24"/>
      <c r="P27" s="14"/>
      <c r="Q27" s="19"/>
    </row>
    <row r="28" spans="2:17" s="34" customFormat="1" ht="19.7" customHeight="1" x14ac:dyDescent="0.15">
      <c r="B28" s="4"/>
      <c r="C28" s="28"/>
      <c r="D28" s="28"/>
      <c r="E28" s="27"/>
      <c r="F28" s="36"/>
      <c r="G28" s="20"/>
      <c r="H28" s="22">
        <f t="shared" si="3"/>
        <v>0</v>
      </c>
      <c r="I28" s="26"/>
      <c r="J28" s="25"/>
      <c r="K28" s="25"/>
      <c r="L28" s="29"/>
      <c r="M28" s="14"/>
      <c r="N28" s="4"/>
      <c r="O28" s="24"/>
      <c r="P28" s="14"/>
      <c r="Q28" s="19"/>
    </row>
    <row r="29" spans="2:17" s="34" customFormat="1" ht="19.7" customHeight="1" x14ac:dyDescent="0.15">
      <c r="B29" s="45">
        <v>2</v>
      </c>
      <c r="C29" s="56" t="s">
        <v>34</v>
      </c>
      <c r="D29" s="56" t="s">
        <v>34</v>
      </c>
      <c r="E29" s="40" t="s">
        <v>32</v>
      </c>
      <c r="F29" s="41">
        <v>1</v>
      </c>
      <c r="G29" s="37">
        <v>1550</v>
      </c>
      <c r="H29" s="49">
        <f t="shared" si="3"/>
        <v>1550</v>
      </c>
      <c r="I29" s="39"/>
      <c r="J29" s="38" t="s">
        <v>33</v>
      </c>
      <c r="K29" s="57" t="s">
        <v>60</v>
      </c>
      <c r="L29" s="52" t="s">
        <v>31</v>
      </c>
      <c r="M29" s="53">
        <v>44482</v>
      </c>
      <c r="N29" s="45"/>
      <c r="O29" s="54"/>
      <c r="P29" s="53">
        <v>44487</v>
      </c>
      <c r="Q29" s="55">
        <v>44487</v>
      </c>
    </row>
    <row r="30" spans="2:17" s="34" customFormat="1" ht="19.7" customHeight="1" x14ac:dyDescent="0.15">
      <c r="B30" s="45">
        <v>1</v>
      </c>
      <c r="C30" s="56" t="s">
        <v>61</v>
      </c>
      <c r="D30" s="56" t="s">
        <v>34</v>
      </c>
      <c r="E30" s="40" t="s">
        <v>62</v>
      </c>
      <c r="F30" s="47">
        <v>10</v>
      </c>
      <c r="G30" s="48">
        <v>77</v>
      </c>
      <c r="H30" s="49">
        <f t="shared" si="3"/>
        <v>770</v>
      </c>
      <c r="I30" s="50"/>
      <c r="J30" s="51" t="s">
        <v>63</v>
      </c>
      <c r="K30" s="57" t="s">
        <v>60</v>
      </c>
      <c r="L30" s="52" t="s">
        <v>31</v>
      </c>
      <c r="M30" s="53">
        <v>44482</v>
      </c>
      <c r="N30" s="45"/>
      <c r="O30" s="54"/>
      <c r="P30" s="53">
        <v>44487</v>
      </c>
      <c r="Q30" s="55">
        <v>44487</v>
      </c>
    </row>
    <row r="31" spans="2:17" s="34" customFormat="1" ht="19.7" customHeight="1" x14ac:dyDescent="0.15">
      <c r="B31" s="4"/>
      <c r="C31" s="28"/>
      <c r="D31" s="28"/>
      <c r="E31" s="27"/>
      <c r="F31" s="36"/>
      <c r="G31" s="20"/>
      <c r="H31" s="22">
        <f t="shared" si="3"/>
        <v>0</v>
      </c>
      <c r="I31" s="26"/>
      <c r="J31" s="25"/>
      <c r="K31" s="25"/>
      <c r="L31" s="29"/>
      <c r="M31" s="14"/>
      <c r="N31" s="4"/>
      <c r="O31" s="24"/>
      <c r="P31" s="14"/>
      <c r="Q31" s="19"/>
    </row>
    <row r="32" spans="2:17" s="3" customFormat="1" ht="19.7" customHeight="1" x14ac:dyDescent="0.15">
      <c r="B32" s="4"/>
      <c r="C32" s="28"/>
      <c r="D32" s="28"/>
      <c r="E32" s="27"/>
      <c r="F32" s="36"/>
      <c r="G32" s="20"/>
      <c r="H32" s="22">
        <f t="shared" si="3"/>
        <v>0</v>
      </c>
      <c r="I32" s="26"/>
      <c r="J32" s="25"/>
      <c r="K32" s="25"/>
      <c r="L32" s="29"/>
      <c r="M32" s="14"/>
      <c r="N32" s="4"/>
      <c r="O32" s="24"/>
      <c r="P32" s="14"/>
      <c r="Q32" s="19"/>
    </row>
    <row r="33" spans="2:17" s="34" customFormat="1" ht="19.7" customHeight="1" x14ac:dyDescent="0.15">
      <c r="B33" s="45">
        <v>2</v>
      </c>
      <c r="C33" s="46" t="s">
        <v>64</v>
      </c>
      <c r="D33" s="46" t="s">
        <v>64</v>
      </c>
      <c r="E33" s="40" t="s">
        <v>65</v>
      </c>
      <c r="F33" s="47">
        <v>1</v>
      </c>
      <c r="G33" s="48">
        <v>1190</v>
      </c>
      <c r="H33" s="49">
        <f t="shared" si="3"/>
        <v>1190</v>
      </c>
      <c r="I33" s="50"/>
      <c r="J33" s="51" t="s">
        <v>66</v>
      </c>
      <c r="K33" s="57" t="s">
        <v>60</v>
      </c>
      <c r="L33" s="52" t="s">
        <v>31</v>
      </c>
      <c r="M33" s="53">
        <v>44487</v>
      </c>
      <c r="N33" s="45"/>
      <c r="O33" s="54"/>
      <c r="P33" s="53">
        <v>44490</v>
      </c>
      <c r="Q33" s="55">
        <v>44490</v>
      </c>
    </row>
    <row r="34" spans="2:17" s="34" customFormat="1" ht="19.7" customHeight="1" x14ac:dyDescent="0.15">
      <c r="B34" s="45">
        <v>2</v>
      </c>
      <c r="C34" s="46" t="s">
        <v>64</v>
      </c>
      <c r="D34" s="46" t="s">
        <v>64</v>
      </c>
      <c r="E34" s="40" t="s">
        <v>67</v>
      </c>
      <c r="F34" s="47">
        <v>1</v>
      </c>
      <c r="G34" s="48">
        <v>280</v>
      </c>
      <c r="H34" s="49">
        <f t="shared" si="3"/>
        <v>280</v>
      </c>
      <c r="I34" s="50"/>
      <c r="J34" s="51" t="s">
        <v>68</v>
      </c>
      <c r="K34" s="57" t="s">
        <v>60</v>
      </c>
      <c r="L34" s="52" t="s">
        <v>31</v>
      </c>
      <c r="M34" s="53">
        <v>44487</v>
      </c>
      <c r="N34" s="45"/>
      <c r="O34" s="54"/>
      <c r="P34" s="53">
        <v>44490</v>
      </c>
      <c r="Q34" s="55">
        <v>44490</v>
      </c>
    </row>
    <row r="35" spans="2:17" s="34" customFormat="1" ht="19.7" customHeight="1" x14ac:dyDescent="0.15">
      <c r="B35" s="45"/>
      <c r="C35" s="46"/>
      <c r="D35" s="46"/>
      <c r="E35" s="40"/>
      <c r="F35" s="47"/>
      <c r="G35" s="48"/>
      <c r="H35" s="49">
        <f t="shared" si="3"/>
        <v>0</v>
      </c>
      <c r="I35" s="50"/>
      <c r="J35" s="51"/>
      <c r="K35" s="51"/>
      <c r="L35" s="58"/>
      <c r="M35" s="53"/>
      <c r="N35" s="45"/>
      <c r="O35" s="54"/>
      <c r="P35" s="53"/>
      <c r="Q35" s="55"/>
    </row>
    <row r="36" spans="2:17" s="3" customFormat="1" ht="19.7" customHeight="1" x14ac:dyDescent="0.15">
      <c r="B36" s="4"/>
      <c r="C36" s="28"/>
      <c r="D36" s="28"/>
      <c r="E36" s="27"/>
      <c r="F36" s="36"/>
      <c r="G36" s="20"/>
      <c r="H36" s="22">
        <f t="shared" ref="H36" si="4">F36*G36</f>
        <v>0</v>
      </c>
      <c r="I36" s="26"/>
      <c r="J36" s="25"/>
      <c r="K36" s="25"/>
      <c r="L36" s="29"/>
      <c r="M36" s="14"/>
      <c r="N36" s="4"/>
      <c r="O36" s="24"/>
      <c r="P36" s="14"/>
      <c r="Q36" s="19"/>
    </row>
    <row r="40" spans="2:17" x14ac:dyDescent="0.15">
      <c r="M40" s="15"/>
    </row>
    <row r="41" spans="2:17" x14ac:dyDescent="0.15">
      <c r="M41" s="16"/>
    </row>
    <row r="42" spans="2:17" x14ac:dyDescent="0.15">
      <c r="M42" s="15"/>
    </row>
    <row r="43" spans="2:17" x14ac:dyDescent="0.15">
      <c r="M43" s="16"/>
    </row>
  </sheetData>
  <autoFilter ref="B8:O36" xr:uid="{00000000-0009-0000-0000-000000000000}"/>
  <sortState xmlns:xlrd2="http://schemas.microsoft.com/office/spreadsheetml/2017/richdata2" ref="C48:L50">
    <sortCondition ref="E48:E50"/>
  </sortState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6"/>
  <sheetViews>
    <sheetView workbookViewId="0">
      <selection activeCell="B2" sqref="B2:E6"/>
    </sheetView>
  </sheetViews>
  <sheetFormatPr defaultRowHeight="13.5" x14ac:dyDescent="0.15"/>
  <cols>
    <col min="5" max="5" width="41.375" customWidth="1"/>
  </cols>
  <sheetData>
    <row r="2" spans="2:5" ht="28.5" x14ac:dyDescent="0.15">
      <c r="B2" s="63" t="s">
        <v>11</v>
      </c>
      <c r="C2" s="63"/>
      <c r="D2" s="63"/>
      <c r="E2" s="42" t="s">
        <v>22</v>
      </c>
    </row>
    <row r="3" spans="2:5" ht="28.5" x14ac:dyDescent="0.15">
      <c r="B3" s="63" t="s">
        <v>10</v>
      </c>
      <c r="C3" s="63"/>
      <c r="D3" s="63"/>
      <c r="E3" s="43" t="s">
        <v>23</v>
      </c>
    </row>
    <row r="4" spans="2:5" ht="28.5" x14ac:dyDescent="0.15">
      <c r="B4" s="63" t="s">
        <v>12</v>
      </c>
      <c r="C4" s="63"/>
      <c r="D4" s="63"/>
      <c r="E4" s="43">
        <v>189512</v>
      </c>
    </row>
    <row r="5" spans="2:5" ht="28.5" x14ac:dyDescent="0.15">
      <c r="B5" s="63" t="s">
        <v>13</v>
      </c>
      <c r="C5" s="63"/>
      <c r="D5" s="63"/>
      <c r="E5" s="44">
        <v>44466</v>
      </c>
    </row>
    <row r="6" spans="2:5" ht="28.5" x14ac:dyDescent="0.15">
      <c r="B6" s="63" t="s">
        <v>14</v>
      </c>
      <c r="C6" s="63"/>
      <c r="D6" s="63"/>
      <c r="E6" s="44"/>
    </row>
  </sheetData>
  <mergeCells count="5">
    <mergeCell ref="B2:D2"/>
    <mergeCell ref="B3:D3"/>
    <mergeCell ref="B4:D4"/>
    <mergeCell ref="B5:D5"/>
    <mergeCell ref="B6:D6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斉藤鉄也</cp:lastModifiedBy>
  <cp:lastPrinted>2021-09-10T09:03:13Z</cp:lastPrinted>
  <dcterms:created xsi:type="dcterms:W3CDTF">2011-12-13T06:48:43Z</dcterms:created>
  <dcterms:modified xsi:type="dcterms:W3CDTF">2021-10-29T05:26:51Z</dcterms:modified>
</cp:coreProperties>
</file>