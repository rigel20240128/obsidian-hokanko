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sv-ap\DATA\製品管理部(機材)出荷管理課・資材調達課\機材・資材調達課(ﾛﾎﾞｯﾄ部品手配)\"/>
    </mc:Choice>
  </mc:AlternateContent>
  <xr:revisionPtr revIDLastSave="0" documentId="13_ncr:1_{4EFEC44E-4CD9-4502-AC58-83C1CD02EAD6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Sheet1!$B$8:$O$35</definedName>
  </definedNames>
  <calcPr calcId="181029"/>
</workbook>
</file>

<file path=xl/calcChain.xml><?xml version="1.0" encoding="utf-8"?>
<calcChain xmlns="http://schemas.openxmlformats.org/spreadsheetml/2006/main">
  <c r="H34" i="1" l="1"/>
  <c r="H31" i="1"/>
  <c r="H32" i="1"/>
  <c r="H33" i="1"/>
  <c r="H12" i="1"/>
  <c r="H13" i="1"/>
  <c r="H14" i="1"/>
  <c r="H15" i="1"/>
  <c r="H16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5" i="1"/>
  <c r="H17" i="1" l="1"/>
  <c r="H9" i="1"/>
  <c r="J2" i="1" l="1"/>
</calcChain>
</file>

<file path=xl/sharedStrings.xml><?xml version="1.0" encoding="utf-8"?>
<sst xmlns="http://schemas.openxmlformats.org/spreadsheetml/2006/main" count="125" uniqueCount="64">
  <si>
    <t>数量</t>
  </si>
  <si>
    <t>単価</t>
  </si>
  <si>
    <t>金額</t>
  </si>
  <si>
    <t>詳細</t>
    <rPh sb="0" eb="2">
      <t>ショウサイ</t>
    </rPh>
    <phoneticPr fontId="2"/>
  </si>
  <si>
    <t>見積り分類</t>
    <rPh sb="0" eb="2">
      <t>ミツモ</t>
    </rPh>
    <rPh sb="3" eb="5">
      <t>ブンルイ</t>
    </rPh>
    <phoneticPr fontId="1"/>
  </si>
  <si>
    <t>仕入先</t>
    <rPh sb="0" eb="2">
      <t>シイレ</t>
    </rPh>
    <rPh sb="2" eb="3">
      <t>サキ</t>
    </rPh>
    <phoneticPr fontId="1"/>
  </si>
  <si>
    <t>発注日</t>
    <rPh sb="0" eb="2">
      <t>ハッチュウ</t>
    </rPh>
    <rPh sb="2" eb="3">
      <t>ヒ</t>
    </rPh>
    <phoneticPr fontId="1"/>
  </si>
  <si>
    <t>納期</t>
    <rPh sb="0" eb="2">
      <t>ノウ</t>
    </rPh>
    <phoneticPr fontId="1"/>
  </si>
  <si>
    <t>品名 / 型式</t>
    <rPh sb="0" eb="2">
      <t>ヒンメイ</t>
    </rPh>
    <rPh sb="5" eb="7">
      <t>カタシキ</t>
    </rPh>
    <phoneticPr fontId="2"/>
  </si>
  <si>
    <t>メーカー</t>
    <phoneticPr fontId="1"/>
  </si>
  <si>
    <t>担当営業</t>
    <rPh sb="0" eb="2">
      <t>タントウ</t>
    </rPh>
    <rPh sb="2" eb="4">
      <t>エイギョウ</t>
    </rPh>
    <phoneticPr fontId="1"/>
  </si>
  <si>
    <t>お客先名</t>
    <rPh sb="1" eb="3">
      <t>キャクサキ</t>
    </rPh>
    <rPh sb="3" eb="4">
      <t>メイ</t>
    </rPh>
    <phoneticPr fontId="1"/>
  </si>
  <si>
    <t>受注番号</t>
    <rPh sb="0" eb="2">
      <t>ジュチュウ</t>
    </rPh>
    <rPh sb="2" eb="4">
      <t>バンゴウ</t>
    </rPh>
    <phoneticPr fontId="1"/>
  </si>
  <si>
    <t>希望納期</t>
    <rPh sb="0" eb="2">
      <t>キボウ</t>
    </rPh>
    <rPh sb="2" eb="4">
      <t>ノウ</t>
    </rPh>
    <phoneticPr fontId="1"/>
  </si>
  <si>
    <t>最終納品</t>
    <rPh sb="0" eb="2">
      <t>サイシュウ</t>
    </rPh>
    <rPh sb="2" eb="4">
      <t>ノウヒン</t>
    </rPh>
    <phoneticPr fontId="1"/>
  </si>
  <si>
    <t>合計金額</t>
    <rPh sb="0" eb="2">
      <t>ゴウケイ</t>
    </rPh>
    <rPh sb="2" eb="4">
      <t>キンガク</t>
    </rPh>
    <phoneticPr fontId="1"/>
  </si>
  <si>
    <t>技術分類</t>
    <rPh sb="0" eb="2">
      <t>ギジュツ</t>
    </rPh>
    <rPh sb="2" eb="4">
      <t>ブンルイ</t>
    </rPh>
    <phoneticPr fontId="1"/>
  </si>
  <si>
    <t>備考</t>
    <rPh sb="0" eb="2">
      <t>ビコウ</t>
    </rPh>
    <phoneticPr fontId="1"/>
  </si>
  <si>
    <t>分類合計</t>
    <rPh sb="0" eb="2">
      <t>ブンルイ</t>
    </rPh>
    <rPh sb="2" eb="4">
      <t>ゴウケイ</t>
    </rPh>
    <phoneticPr fontId="1"/>
  </si>
  <si>
    <t>発注</t>
    <rPh sb="0" eb="2">
      <t>ハッチュウ</t>
    </rPh>
    <phoneticPr fontId="1"/>
  </si>
  <si>
    <t>入荷予定日</t>
    <rPh sb="0" eb="2">
      <t>ニュウカ</t>
    </rPh>
    <rPh sb="2" eb="4">
      <t>ヨテイ</t>
    </rPh>
    <rPh sb="4" eb="5">
      <t>ヒ</t>
    </rPh>
    <phoneticPr fontId="1"/>
  </si>
  <si>
    <t>入荷日</t>
    <rPh sb="0" eb="2">
      <t>ニュウカ</t>
    </rPh>
    <rPh sb="2" eb="3">
      <t>ビ</t>
    </rPh>
    <phoneticPr fontId="1"/>
  </si>
  <si>
    <t>蛇の目</t>
    <rPh sb="0" eb="1">
      <t>ジャ</t>
    </rPh>
    <rPh sb="2" eb="3">
      <t>メ</t>
    </rPh>
    <phoneticPr fontId="1"/>
  </si>
  <si>
    <t>I/O-S（ｵﾌﾟｼｮﾝ）増設</t>
    <rPh sb="13" eb="15">
      <t>ゾウセツ</t>
    </rPh>
    <phoneticPr fontId="1"/>
  </si>
  <si>
    <t>蛇の目</t>
  </si>
  <si>
    <t>荷造り運賃</t>
  </si>
  <si>
    <t>PCソフト（JR3000用）</t>
    <rPh sb="12" eb="13">
      <t>ヨウ</t>
    </rPh>
    <phoneticPr fontId="1"/>
  </si>
  <si>
    <t>ロボット本体</t>
    <rPh sb="4" eb="6">
      <t>ホンタイ</t>
    </rPh>
    <phoneticPr fontId="1"/>
  </si>
  <si>
    <t>卓上型ロボットJR3000シリーズ(3軸）</t>
    <phoneticPr fontId="1"/>
  </si>
  <si>
    <t>COM2増設（ｵﾌﾟｼｮﾝ）増設</t>
    <rPh sb="4" eb="6">
      <t>ゾウセツ</t>
    </rPh>
    <rPh sb="14" eb="16">
      <t>ゾウセツ</t>
    </rPh>
    <phoneticPr fontId="1"/>
  </si>
  <si>
    <t>片持ち、NPN、I/O用電源内部電源仕様、スイッチ：ロボット実装仕様、</t>
    <rPh sb="14" eb="16">
      <t>ナイブ</t>
    </rPh>
    <phoneticPr fontId="1"/>
  </si>
  <si>
    <t>JR C-Point2 Ver8（塗布仕様）</t>
    <rPh sb="17" eb="19">
      <t>トフ</t>
    </rPh>
    <rPh sb="19" eb="21">
      <t>シヨウ</t>
    </rPh>
    <phoneticPr fontId="1"/>
  </si>
  <si>
    <t>村田製作所</t>
    <rPh sb="0" eb="2">
      <t>ムラタ</t>
    </rPh>
    <rPh sb="2" eb="5">
      <t>セイサクジョ</t>
    </rPh>
    <phoneticPr fontId="1"/>
  </si>
  <si>
    <t>南</t>
    <rPh sb="0" eb="1">
      <t>ミナミ</t>
    </rPh>
    <phoneticPr fontId="1"/>
  </si>
  <si>
    <t>1,4</t>
    <phoneticPr fontId="1"/>
  </si>
  <si>
    <t>簡易スイッチボックス</t>
    <rPh sb="0" eb="2">
      <t>カンイ</t>
    </rPh>
    <phoneticPr fontId="1"/>
  </si>
  <si>
    <t>100V電源仕様（アウトレット有）</t>
    <rPh sb="4" eb="6">
      <t>デンゲン</t>
    </rPh>
    <rPh sb="6" eb="8">
      <t>シヨウ</t>
    </rPh>
    <rPh sb="15" eb="16">
      <t>アリ</t>
    </rPh>
    <phoneticPr fontId="1"/>
  </si>
  <si>
    <t>パナソニック</t>
    <phoneticPr fontId="1"/>
  </si>
  <si>
    <t>画像認識カメラシステム</t>
    <rPh sb="0" eb="2">
      <t>ガゾウ</t>
    </rPh>
    <rPh sb="2" eb="4">
      <t>ニンシキ</t>
    </rPh>
    <phoneticPr fontId="1"/>
  </si>
  <si>
    <t>2Mカラーカメラ(ﾊﾟﾅｿﾆｯｸ)</t>
    <phoneticPr fontId="1"/>
  </si>
  <si>
    <t>ANPVC2260</t>
    <phoneticPr fontId="1"/>
  </si>
  <si>
    <t>メガピクセルカメラ用レンズ(F=50)(ﾊﾟﾅｿﾆｯｸ)</t>
    <phoneticPr fontId="1"/>
  </si>
  <si>
    <t>ANPVL502</t>
    <phoneticPr fontId="1"/>
  </si>
  <si>
    <t>ANPV0202ADP</t>
    <phoneticPr fontId="1"/>
  </si>
  <si>
    <t>ｲﾒｰｼﾞﾁｪｯｶPV200(ﾊﾟﾅｿﾆｯｸ)</t>
    <phoneticPr fontId="1"/>
  </si>
  <si>
    <t>ANPVC8105R</t>
    <phoneticPr fontId="1"/>
  </si>
  <si>
    <t>カメラケーブル 5m（ﾊﾟﾅｿﾆｯｸ）</t>
    <phoneticPr fontId="1"/>
  </si>
  <si>
    <t>中間リング(VSﾃｸﾉﾛｼﾞｰ)</t>
    <phoneticPr fontId="1"/>
  </si>
  <si>
    <t>SV-EXR-5set</t>
    <phoneticPr fontId="1"/>
  </si>
  <si>
    <t>VSテクノロジー</t>
    <phoneticPr fontId="1"/>
  </si>
  <si>
    <t>送料</t>
    <rPh sb="0" eb="2">
      <t>ソウリョウ</t>
    </rPh>
    <phoneticPr fontId="1"/>
  </si>
  <si>
    <t>RGBリング照明(ｼﾏﾃｯｸ)</t>
    <phoneticPr fontId="1"/>
  </si>
  <si>
    <t>MD-65RGB-0.3M+5M</t>
    <phoneticPr fontId="1"/>
  </si>
  <si>
    <t>シマテック</t>
    <phoneticPr fontId="1"/>
  </si>
  <si>
    <t>3ﾁｬﾝﾈﾙ照明ｺﾝﾄﾛｰﾗ(ｼﾏﾃｯｸ)</t>
    <phoneticPr fontId="1"/>
  </si>
  <si>
    <t>S3CH(50W)R120</t>
    <phoneticPr fontId="1"/>
  </si>
  <si>
    <t>ライト</t>
    <phoneticPr fontId="1"/>
  </si>
  <si>
    <t>1/14・中山製作所直送</t>
    <rPh sb="5" eb="7">
      <t>ナカヤマ</t>
    </rPh>
    <rPh sb="7" eb="9">
      <t>セイサク</t>
    </rPh>
    <rPh sb="9" eb="10">
      <t>ジョ</t>
    </rPh>
    <rPh sb="10" eb="12">
      <t>チョクソウ</t>
    </rPh>
    <phoneticPr fontId="1"/>
  </si>
  <si>
    <r>
      <t>JR3403（簡易スイッチボックス仕様）→</t>
    </r>
    <r>
      <rPr>
        <sz val="11"/>
        <color rgb="FFFF0000"/>
        <rFont val="ＭＳ Ｐゴシック"/>
        <family val="3"/>
        <charset val="128"/>
        <scheme val="minor"/>
      </rPr>
      <t>外部ｽｲｯﾁ仕様で発注</t>
    </r>
    <rPh sb="7" eb="9">
      <t>カンイ</t>
    </rPh>
    <rPh sb="17" eb="19">
      <t>シヨウ</t>
    </rPh>
    <rPh sb="21" eb="23">
      <t>ガイブ</t>
    </rPh>
    <rPh sb="27" eb="29">
      <t>シヨウ</t>
    </rPh>
    <rPh sb="30" eb="32">
      <t>ハッチュウ</t>
    </rPh>
    <phoneticPr fontId="1"/>
  </si>
  <si>
    <t>1/12・中山製作所直送</t>
    <rPh sb="5" eb="7">
      <t>ナカヤマ</t>
    </rPh>
    <rPh sb="7" eb="9">
      <t>セイサク</t>
    </rPh>
    <rPh sb="9" eb="10">
      <t>ジョ</t>
    </rPh>
    <rPh sb="10" eb="12">
      <t>チョクソウ</t>
    </rPh>
    <phoneticPr fontId="1"/>
  </si>
  <si>
    <t>ANPVP03</t>
    <phoneticPr fontId="1"/>
  </si>
  <si>
    <t>キーパット</t>
    <phoneticPr fontId="1"/>
  </si>
  <si>
    <t>2/10・大阪営業所着</t>
    <rPh sb="5" eb="7">
      <t>オオサカ</t>
    </rPh>
    <rPh sb="7" eb="11">
      <t>エイギョウショチャク</t>
    </rPh>
    <phoneticPr fontId="1"/>
  </si>
  <si>
    <t>←山中精工所直送でも構いません。</t>
    <rPh sb="1" eb="3">
      <t>ヤマナカ</t>
    </rPh>
    <rPh sb="3" eb="5">
      <t>セイコウ</t>
    </rPh>
    <rPh sb="5" eb="6">
      <t>ジョ</t>
    </rPh>
    <rPh sb="6" eb="8">
      <t>チョクソウ</t>
    </rPh>
    <rPh sb="10" eb="11">
      <t>カマ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</si>
</sst>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  <numFmt numFmtId="180" formatCode="0_);[Red]\(0\)"/>
  </numFmts>
  <fonts count="9" x14ac:knownFonts="1"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4"/>
      <color indexed="8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rgb="FFFF0000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</font>
    <font>
      <sz val="11"/>
      <name val="ＭＳ Ｐ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5" fillId="0" borderId="0">
      <alignment vertical="center"/>
    </xf>
  </cellStyleXfs>
  <cellXfs count="83">
    <xf numFmtId="0" fontId="0" fillId="0" borderId="0" xfId="0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3" fontId="0" fillId="0" borderId="1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77" fontId="4" fillId="0" borderId="1" xfId="0" applyNumberFormat="1" applyFont="1" applyBorder="1" applyAlignment="1">
      <alignment horizontal="center" vertical="center"/>
    </xf>
    <xf numFmtId="176" fontId="3" fillId="0" borderId="1" xfId="0" applyNumberFormat="1" applyFont="1" applyBorder="1">
      <alignment vertical="center"/>
    </xf>
    <xf numFmtId="0" fontId="0" fillId="0" borderId="0" xfId="0" applyAlignment="1">
      <alignment horizontal="right" vertical="center"/>
    </xf>
    <xf numFmtId="0" fontId="4" fillId="0" borderId="1" xfId="0" applyFont="1" applyBorder="1" applyAlignment="1">
      <alignment horizontal="center" vertical="center" shrinkToFit="1"/>
    </xf>
    <xf numFmtId="0" fontId="0" fillId="0" borderId="1" xfId="0" applyFill="1" applyBorder="1" applyAlignment="1">
      <alignment vertical="center"/>
    </xf>
    <xf numFmtId="179" fontId="0" fillId="0" borderId="0" xfId="0" applyNumberFormat="1" applyAlignment="1">
      <alignment horizontal="center" vertical="center"/>
    </xf>
    <xf numFmtId="179" fontId="0" fillId="0" borderId="1" xfId="0" applyNumberFormat="1" applyFill="1" applyBorder="1" applyAlignment="1">
      <alignment horizontal="center" vertical="center"/>
    </xf>
    <xf numFmtId="179" fontId="0" fillId="0" borderId="0" xfId="0" applyNumberFormat="1" applyFill="1" applyBorder="1" applyAlignment="1">
      <alignment horizontal="center" vertical="center"/>
    </xf>
    <xf numFmtId="179" fontId="0" fillId="0" borderId="0" xfId="0" applyNumberFormat="1" applyBorder="1" applyAlignment="1">
      <alignment horizontal="center" vertical="center"/>
    </xf>
    <xf numFmtId="179" fontId="0" fillId="0" borderId="0" xfId="0" applyNumberFormat="1">
      <alignment vertical="center"/>
    </xf>
    <xf numFmtId="178" fontId="0" fillId="0" borderId="0" xfId="0" applyNumberFormat="1">
      <alignment vertical="center"/>
    </xf>
    <xf numFmtId="178" fontId="0" fillId="0" borderId="1" xfId="0" applyNumberFormat="1" applyFill="1" applyBorder="1" applyAlignment="1">
      <alignment horizontal="center" vertical="center"/>
    </xf>
    <xf numFmtId="38" fontId="0" fillId="0" borderId="1" xfId="0" applyNumberFormat="1" applyFill="1" applyBorder="1" applyAlignment="1">
      <alignment horizontal="right" vertical="center"/>
    </xf>
    <xf numFmtId="3" fontId="0" fillId="0" borderId="1" xfId="0" applyNumberFormat="1" applyFont="1" applyFill="1" applyBorder="1" applyAlignment="1">
      <alignment horizontal="center" vertical="center"/>
    </xf>
    <xf numFmtId="38" fontId="0" fillId="0" borderId="1" xfId="0" applyNumberFormat="1" applyFont="1" applyFill="1" applyBorder="1" applyAlignment="1">
      <alignment vertical="center"/>
    </xf>
    <xf numFmtId="49" fontId="7" fillId="0" borderId="1" xfId="0" applyNumberFormat="1" applyFont="1" applyFill="1" applyBorder="1" applyAlignment="1">
      <alignment vertical="center"/>
    </xf>
    <xf numFmtId="56" fontId="0" fillId="0" borderId="1" xfId="0" applyNumberForma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left" vertical="center"/>
    </xf>
    <xf numFmtId="0" fontId="8" fillId="0" borderId="2" xfId="0" applyFont="1" applyFill="1" applyBorder="1" applyAlignment="1">
      <alignment horizontal="center" vertical="center"/>
    </xf>
    <xf numFmtId="0" fontId="8" fillId="0" borderId="1" xfId="0" applyFont="1" applyFill="1" applyBorder="1">
      <alignment vertical="center"/>
    </xf>
    <xf numFmtId="180" fontId="0" fillId="0" borderId="1" xfId="0" applyNumberFormat="1" applyFont="1" applyFill="1" applyBorder="1" applyAlignment="1">
      <alignment horizontal="right" vertical="center"/>
    </xf>
    <xf numFmtId="0" fontId="8" fillId="0" borderId="3" xfId="0" applyFont="1" applyFill="1" applyBorder="1" applyAlignment="1">
      <alignment horizontal="left" vertical="center"/>
    </xf>
    <xf numFmtId="0" fontId="8" fillId="0" borderId="4" xfId="0" applyFont="1" applyFill="1" applyBorder="1" applyAlignment="1">
      <alignment horizontal="left" vertical="center"/>
    </xf>
    <xf numFmtId="0" fontId="8" fillId="0" borderId="5" xfId="0" applyFont="1" applyFill="1" applyBorder="1" applyAlignment="1">
      <alignment horizontal="left" vertical="center"/>
    </xf>
    <xf numFmtId="179" fontId="0" fillId="0" borderId="3" xfId="0" applyNumberFormat="1" applyFill="1" applyBorder="1" applyAlignment="1">
      <alignment horizontal="center" vertical="center"/>
    </xf>
    <xf numFmtId="3" fontId="8" fillId="0" borderId="1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right" vertical="center"/>
    </xf>
    <xf numFmtId="0" fontId="8" fillId="0" borderId="1" xfId="0" applyFont="1" applyFill="1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6" fillId="0" borderId="1" xfId="0" applyFont="1" applyFill="1" applyBorder="1" applyAlignment="1">
      <alignment horizontal="left" vertical="center"/>
    </xf>
    <xf numFmtId="179" fontId="6" fillId="0" borderId="1" xfId="0" applyNumberFormat="1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0" borderId="8" xfId="0" applyBorder="1" applyAlignment="1">
      <alignment horizontal="center" vertical="center"/>
    </xf>
    <xf numFmtId="56" fontId="0" fillId="0" borderId="5" xfId="0" applyNumberFormat="1" applyBorder="1" applyAlignment="1">
      <alignment horizontal="center" vertical="center"/>
    </xf>
    <xf numFmtId="3" fontId="8" fillId="3" borderId="1" xfId="0" applyNumberFormat="1" applyFont="1" applyFill="1" applyBorder="1" applyAlignment="1">
      <alignment horizontal="center" vertical="center"/>
    </xf>
    <xf numFmtId="0" fontId="8" fillId="3" borderId="1" xfId="0" applyFont="1" applyFill="1" applyBorder="1">
      <alignment vertical="center"/>
    </xf>
    <xf numFmtId="0" fontId="8" fillId="3" borderId="1" xfId="0" applyFont="1" applyFill="1" applyBorder="1" applyAlignment="1">
      <alignment horizontal="right" vertical="center"/>
    </xf>
    <xf numFmtId="38" fontId="0" fillId="3" borderId="1" xfId="0" applyNumberFormat="1" applyFill="1" applyBorder="1" applyAlignment="1">
      <alignment horizontal="right" vertical="center"/>
    </xf>
    <xf numFmtId="38" fontId="0" fillId="3" borderId="1" xfId="0" applyNumberFormat="1" applyFont="1" applyFill="1" applyBorder="1" applyAlignment="1">
      <alignment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center" vertical="center"/>
    </xf>
    <xf numFmtId="179" fontId="0" fillId="3" borderId="1" xfId="0" applyNumberFormat="1" applyFill="1" applyBorder="1" applyAlignment="1">
      <alignment horizontal="center" vertical="center"/>
    </xf>
    <xf numFmtId="3" fontId="0" fillId="3" borderId="1" xfId="0" applyNumberFormat="1" applyFill="1" applyBorder="1" applyAlignment="1">
      <alignment horizontal="center" vertical="center"/>
    </xf>
    <xf numFmtId="56" fontId="0" fillId="3" borderId="1" xfId="0" applyNumberFormat="1" applyFill="1" applyBorder="1" applyAlignment="1">
      <alignment horizontal="center" vertical="center"/>
    </xf>
    <xf numFmtId="178" fontId="0" fillId="3" borderId="1" xfId="0" applyNumberForma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56" fontId="0" fillId="0" borderId="3" xfId="0" applyNumberForma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79" fontId="0" fillId="0" borderId="3" xfId="0" applyNumberFormat="1" applyFill="1" applyBorder="1" applyAlignment="1">
      <alignment horizontal="center" vertical="center"/>
    </xf>
    <xf numFmtId="178" fontId="0" fillId="0" borderId="3" xfId="0" applyNumberFormat="1" applyFill="1" applyBorder="1" applyAlignment="1">
      <alignment horizontal="center" vertical="center"/>
    </xf>
    <xf numFmtId="0" fontId="0" fillId="0" borderId="3" xfId="0" applyFill="1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3" xfId="0" applyFill="1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3" xfId="0" applyFill="1" applyBorder="1" applyAlignment="1">
      <alignment horizontal="center" vertical="center"/>
    </xf>
    <xf numFmtId="3" fontId="0" fillId="0" borderId="3" xfId="0" applyNumberFormat="1" applyFill="1" applyBorder="1" applyAlignment="1">
      <alignment horizontal="center" vertical="center"/>
    </xf>
    <xf numFmtId="3" fontId="0" fillId="0" borderId="3" xfId="0" applyNumberFormat="1" applyFont="1" applyFill="1" applyBorder="1" applyAlignment="1">
      <alignment horizontal="center" vertical="center"/>
    </xf>
    <xf numFmtId="180" fontId="0" fillId="0" borderId="3" xfId="0" applyNumberFormat="1" applyFont="1" applyFill="1" applyBorder="1" applyAlignment="1">
      <alignment horizontal="right" vertical="center"/>
    </xf>
    <xf numFmtId="0" fontId="0" fillId="0" borderId="4" xfId="0" applyBorder="1" applyAlignment="1">
      <alignment horizontal="right" vertical="center"/>
    </xf>
    <xf numFmtId="0" fontId="0" fillId="0" borderId="5" xfId="0" applyBorder="1" applyAlignment="1">
      <alignment horizontal="right" vertical="center"/>
    </xf>
    <xf numFmtId="0" fontId="0" fillId="0" borderId="3" xfId="0" applyFont="1" applyFill="1" applyBorder="1" applyAlignment="1">
      <alignment horizontal="right" vertical="center"/>
    </xf>
    <xf numFmtId="0" fontId="0" fillId="0" borderId="4" xfId="0" applyFont="1" applyFill="1" applyBorder="1" applyAlignment="1">
      <alignment horizontal="right" vertical="center"/>
    </xf>
    <xf numFmtId="0" fontId="0" fillId="0" borderId="5" xfId="0" applyFont="1" applyFill="1" applyBorder="1" applyAlignment="1">
      <alignment horizontal="right" vertical="center"/>
    </xf>
    <xf numFmtId="38" fontId="0" fillId="0" borderId="3" xfId="0" applyNumberFormat="1" applyFont="1" applyFill="1" applyBorder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Q42"/>
  <sheetViews>
    <sheetView tabSelected="1" zoomScale="85" zoomScaleNormal="85" workbookViewId="0">
      <pane xSplit="10" ySplit="8" topLeftCell="K9" activePane="bottomRight" state="frozen"/>
      <selection pane="topRight" activeCell="K1" sqref="K1"/>
      <selection pane="bottomLeft" activeCell="A9" sqref="A9"/>
      <selection pane="bottomRight" activeCell="B3" sqref="B3:D3"/>
    </sheetView>
  </sheetViews>
  <sheetFormatPr defaultRowHeight="13.5" x14ac:dyDescent="0.15"/>
  <cols>
    <col min="1" max="1" width="2.625" customWidth="1"/>
    <col min="2" max="2" width="5.625" style="5" customWidth="1"/>
    <col min="3" max="4" width="20.625" customWidth="1"/>
    <col min="5" max="5" width="55.625" customWidth="1"/>
    <col min="6" max="6" width="6.25" customWidth="1"/>
    <col min="7" max="8" width="9.875" bestFit="1" customWidth="1"/>
    <col min="9" max="9" width="5.75" style="10" customWidth="1"/>
    <col min="10" max="10" width="35.625" customWidth="1"/>
    <col min="11" max="11" width="35.625" style="37" customWidth="1"/>
    <col min="12" max="12" width="30.625" style="5" customWidth="1"/>
    <col min="13" max="13" width="13.75" style="13" customWidth="1"/>
    <col min="14" max="14" width="6.375" customWidth="1"/>
    <col min="15" max="15" width="18.375" style="10" customWidth="1"/>
    <col min="16" max="16" width="19.125" style="17" customWidth="1"/>
    <col min="17" max="17" width="15.625" style="18" customWidth="1"/>
  </cols>
  <sheetData>
    <row r="2" spans="2:17" ht="20.100000000000001" customHeight="1" x14ac:dyDescent="0.15">
      <c r="B2" s="79" t="s">
        <v>11</v>
      </c>
      <c r="C2" s="79"/>
      <c r="D2" s="79"/>
      <c r="E2" s="11" t="s">
        <v>32</v>
      </c>
      <c r="G2" s="80" t="s">
        <v>15</v>
      </c>
      <c r="H2" s="81"/>
      <c r="I2" s="82"/>
      <c r="J2" s="9">
        <f>SUM(H:H)</f>
        <v>1247600</v>
      </c>
      <c r="K2" s="36"/>
      <c r="L2" s="6"/>
    </row>
    <row r="3" spans="2:17" ht="20.100000000000001" customHeight="1" x14ac:dyDescent="0.15">
      <c r="B3" s="79" t="s">
        <v>10</v>
      </c>
      <c r="C3" s="79"/>
      <c r="D3" s="79"/>
      <c r="E3" s="7" t="s">
        <v>33</v>
      </c>
    </row>
    <row r="4" spans="2:17" ht="20.100000000000001" customHeight="1" x14ac:dyDescent="0.15">
      <c r="B4" s="79" t="s">
        <v>12</v>
      </c>
      <c r="C4" s="79"/>
      <c r="D4" s="79"/>
      <c r="E4" s="7">
        <v>182558</v>
      </c>
    </row>
    <row r="5" spans="2:17" ht="20.100000000000001" customHeight="1" x14ac:dyDescent="0.15">
      <c r="B5" s="79" t="s">
        <v>13</v>
      </c>
      <c r="C5" s="79"/>
      <c r="D5" s="79"/>
      <c r="E5" s="8">
        <v>44210</v>
      </c>
      <c r="F5" t="s">
        <v>63</v>
      </c>
    </row>
    <row r="6" spans="2:17" ht="20.100000000000001" customHeight="1" x14ac:dyDescent="0.15">
      <c r="B6" s="79" t="s">
        <v>14</v>
      </c>
      <c r="C6" s="79"/>
      <c r="D6" s="79"/>
      <c r="E6" s="8">
        <v>44242</v>
      </c>
    </row>
    <row r="8" spans="2:17" s="3" customFormat="1" ht="19.7" customHeight="1" x14ac:dyDescent="0.15">
      <c r="B8" s="4" t="s">
        <v>4</v>
      </c>
      <c r="C8" s="4" t="s">
        <v>9</v>
      </c>
      <c r="D8" s="4" t="s">
        <v>5</v>
      </c>
      <c r="E8" s="1" t="s">
        <v>8</v>
      </c>
      <c r="F8" s="1" t="s">
        <v>0</v>
      </c>
      <c r="G8" s="1" t="s">
        <v>1</v>
      </c>
      <c r="H8" s="2" t="s">
        <v>2</v>
      </c>
      <c r="I8" s="2" t="s">
        <v>18</v>
      </c>
      <c r="J8" s="1" t="s">
        <v>3</v>
      </c>
      <c r="K8" s="1" t="s">
        <v>17</v>
      </c>
      <c r="L8" s="1" t="s">
        <v>16</v>
      </c>
      <c r="M8" s="14" t="s">
        <v>6</v>
      </c>
      <c r="N8" s="4" t="s">
        <v>19</v>
      </c>
      <c r="O8" s="1" t="s">
        <v>7</v>
      </c>
      <c r="P8" s="14" t="s">
        <v>20</v>
      </c>
      <c r="Q8" s="19" t="s">
        <v>21</v>
      </c>
    </row>
    <row r="9" spans="2:17" s="3" customFormat="1" ht="19.7" customHeight="1" x14ac:dyDescent="0.15">
      <c r="B9" s="70">
        <v>1</v>
      </c>
      <c r="C9" s="71" t="s">
        <v>22</v>
      </c>
      <c r="D9" s="71" t="s">
        <v>22</v>
      </c>
      <c r="E9" s="29" t="s">
        <v>58</v>
      </c>
      <c r="F9" s="72">
        <v>1</v>
      </c>
      <c r="G9" s="75">
        <v>700000</v>
      </c>
      <c r="H9" s="78">
        <f t="shared" ref="H9" si="0">F9*G9</f>
        <v>700000</v>
      </c>
      <c r="I9" s="69"/>
      <c r="J9" s="63" t="s">
        <v>28</v>
      </c>
      <c r="K9" s="66"/>
      <c r="L9" s="69" t="s">
        <v>27</v>
      </c>
      <c r="M9" s="61">
        <v>44179</v>
      </c>
      <c r="N9" s="70"/>
      <c r="O9" s="58" t="s">
        <v>57</v>
      </c>
      <c r="P9" s="61"/>
      <c r="Q9" s="62"/>
    </row>
    <row r="10" spans="2:17" s="3" customFormat="1" ht="19.7" customHeight="1" x14ac:dyDescent="0.15">
      <c r="B10" s="59"/>
      <c r="C10" s="59"/>
      <c r="D10" s="59"/>
      <c r="E10" s="30" t="s">
        <v>30</v>
      </c>
      <c r="F10" s="73"/>
      <c r="G10" s="76"/>
      <c r="H10" s="64"/>
      <c r="I10" s="59"/>
      <c r="J10" s="64"/>
      <c r="K10" s="67"/>
      <c r="L10" s="59"/>
      <c r="M10" s="59"/>
      <c r="N10" s="59"/>
      <c r="O10" s="59"/>
      <c r="P10" s="59"/>
      <c r="Q10" s="59"/>
    </row>
    <row r="11" spans="2:17" s="3" customFormat="1" ht="19.7" customHeight="1" x14ac:dyDescent="0.15">
      <c r="B11" s="60"/>
      <c r="C11" s="60"/>
      <c r="D11" s="60"/>
      <c r="E11" s="31" t="s">
        <v>36</v>
      </c>
      <c r="F11" s="74"/>
      <c r="G11" s="77"/>
      <c r="H11" s="65"/>
      <c r="I11" s="60"/>
      <c r="J11" s="65"/>
      <c r="K11" s="68"/>
      <c r="L11" s="60"/>
      <c r="M11" s="60"/>
      <c r="N11" s="60"/>
      <c r="O11" s="60"/>
      <c r="P11" s="60"/>
      <c r="Q11" s="60"/>
    </row>
    <row r="12" spans="2:17" s="3" customFormat="1" ht="19.7" customHeight="1" x14ac:dyDescent="0.15">
      <c r="B12" s="41">
        <v>4</v>
      </c>
      <c r="C12" s="21" t="s">
        <v>22</v>
      </c>
      <c r="D12" s="21" t="s">
        <v>22</v>
      </c>
      <c r="E12" s="31" t="s">
        <v>35</v>
      </c>
      <c r="F12" s="28">
        <v>1</v>
      </c>
      <c r="G12" s="20">
        <v>25000</v>
      </c>
      <c r="H12" s="22">
        <f t="shared" ref="H12:H16" si="1">F12*G12</f>
        <v>25000</v>
      </c>
      <c r="I12" s="43"/>
      <c r="J12" s="42"/>
      <c r="K12" s="42"/>
      <c r="L12" s="41"/>
      <c r="M12" s="44">
        <v>44179</v>
      </c>
      <c r="N12" s="41"/>
      <c r="O12" s="24" t="s">
        <v>57</v>
      </c>
      <c r="P12" s="41"/>
      <c r="Q12" s="41"/>
    </row>
    <row r="13" spans="2:17" s="3" customFormat="1" ht="19.7" customHeight="1" x14ac:dyDescent="0.15">
      <c r="B13" s="4">
        <v>2</v>
      </c>
      <c r="C13" s="21" t="s">
        <v>22</v>
      </c>
      <c r="D13" s="21" t="s">
        <v>22</v>
      </c>
      <c r="E13" s="27" t="s">
        <v>23</v>
      </c>
      <c r="F13" s="28">
        <v>1</v>
      </c>
      <c r="G13" s="20">
        <v>14000</v>
      </c>
      <c r="H13" s="22">
        <f t="shared" si="1"/>
        <v>14000</v>
      </c>
      <c r="I13" s="2"/>
      <c r="J13" s="12"/>
      <c r="K13" s="38"/>
      <c r="L13" s="1" t="s">
        <v>27</v>
      </c>
      <c r="M13" s="44">
        <v>44179</v>
      </c>
      <c r="N13" s="4"/>
      <c r="O13" s="24" t="s">
        <v>57</v>
      </c>
      <c r="P13" s="14"/>
      <c r="Q13" s="19"/>
    </row>
    <row r="14" spans="2:17" s="3" customFormat="1" ht="19.7" customHeight="1" x14ac:dyDescent="0.15">
      <c r="B14" s="4"/>
      <c r="C14" s="21" t="s">
        <v>22</v>
      </c>
      <c r="D14" s="21" t="s">
        <v>22</v>
      </c>
      <c r="E14" s="27" t="s">
        <v>29</v>
      </c>
      <c r="F14" s="28">
        <v>1</v>
      </c>
      <c r="G14" s="20">
        <v>14000</v>
      </c>
      <c r="H14" s="22">
        <f t="shared" si="1"/>
        <v>14000</v>
      </c>
      <c r="I14" s="2"/>
      <c r="J14" s="12"/>
      <c r="K14" s="38"/>
      <c r="L14" s="1" t="s">
        <v>27</v>
      </c>
      <c r="M14" s="44">
        <v>44179</v>
      </c>
      <c r="N14" s="4"/>
      <c r="O14" s="24" t="s">
        <v>57</v>
      </c>
      <c r="P14" s="14"/>
      <c r="Q14" s="19"/>
    </row>
    <row r="15" spans="2:17" s="3" customFormat="1" ht="19.7" customHeight="1" x14ac:dyDescent="0.15">
      <c r="B15" s="4">
        <v>5</v>
      </c>
      <c r="C15" s="21" t="s">
        <v>22</v>
      </c>
      <c r="D15" s="21" t="s">
        <v>22</v>
      </c>
      <c r="E15" s="27" t="s">
        <v>31</v>
      </c>
      <c r="F15" s="28">
        <v>1</v>
      </c>
      <c r="G15" s="20">
        <v>30000</v>
      </c>
      <c r="H15" s="22">
        <f t="shared" si="1"/>
        <v>30000</v>
      </c>
      <c r="I15" s="26"/>
      <c r="J15" s="25" t="s">
        <v>26</v>
      </c>
      <c r="K15" s="38"/>
      <c r="L15" s="1" t="s">
        <v>27</v>
      </c>
      <c r="M15" s="44">
        <v>44179</v>
      </c>
      <c r="N15" s="4"/>
      <c r="O15" s="24" t="s">
        <v>57</v>
      </c>
      <c r="P15" s="32"/>
      <c r="Q15" s="19"/>
    </row>
    <row r="16" spans="2:17" s="3" customFormat="1" ht="19.7" customHeight="1" x14ac:dyDescent="0.15">
      <c r="B16" s="4" t="s">
        <v>34</v>
      </c>
      <c r="C16" s="21" t="s">
        <v>24</v>
      </c>
      <c r="D16" s="21" t="s">
        <v>24</v>
      </c>
      <c r="E16" s="23" t="s">
        <v>25</v>
      </c>
      <c r="F16" s="28">
        <v>1</v>
      </c>
      <c r="G16" s="20">
        <v>12000</v>
      </c>
      <c r="H16" s="22">
        <f t="shared" si="1"/>
        <v>12000</v>
      </c>
      <c r="I16" s="2"/>
      <c r="J16" s="12"/>
      <c r="K16" s="38"/>
      <c r="L16" s="1" t="s">
        <v>27</v>
      </c>
      <c r="M16" s="44">
        <v>44179</v>
      </c>
      <c r="N16" s="4"/>
      <c r="O16" s="24" t="s">
        <v>57</v>
      </c>
      <c r="P16" s="14"/>
      <c r="Q16" s="19"/>
    </row>
    <row r="17" spans="2:17" s="3" customFormat="1" ht="19.7" customHeight="1" x14ac:dyDescent="0.15">
      <c r="B17" s="4"/>
      <c r="C17" s="21"/>
      <c r="D17" s="21"/>
      <c r="E17" s="23"/>
      <c r="F17" s="28"/>
      <c r="G17" s="20">
        <v>0</v>
      </c>
      <c r="H17" s="22">
        <f t="shared" ref="H17:H35" si="2">F17*G17</f>
        <v>0</v>
      </c>
      <c r="I17" s="2"/>
      <c r="J17" s="12"/>
      <c r="K17" s="38"/>
      <c r="L17" s="1"/>
      <c r="M17" s="14"/>
      <c r="N17" s="4"/>
      <c r="O17" s="24"/>
      <c r="P17" s="14"/>
      <c r="Q17" s="19"/>
    </row>
    <row r="18" spans="2:17" s="3" customFormat="1" ht="19.7" customHeight="1" x14ac:dyDescent="0.15">
      <c r="B18" s="4"/>
      <c r="C18" s="21"/>
      <c r="D18" s="21"/>
      <c r="E18" s="23"/>
      <c r="F18" s="28"/>
      <c r="G18" s="20">
        <v>0</v>
      </c>
      <c r="H18" s="22">
        <f t="shared" si="2"/>
        <v>0</v>
      </c>
      <c r="I18" s="2"/>
      <c r="J18" s="12"/>
      <c r="K18" s="38"/>
      <c r="L18" s="1"/>
      <c r="M18" s="14"/>
      <c r="N18" s="4"/>
      <c r="O18" s="24"/>
      <c r="P18" s="14"/>
      <c r="Q18" s="19"/>
    </row>
    <row r="19" spans="2:17" s="3" customFormat="1" ht="19.7" customHeight="1" x14ac:dyDescent="0.15">
      <c r="B19" s="33">
        <v>5</v>
      </c>
      <c r="C19" s="33" t="s">
        <v>37</v>
      </c>
      <c r="D19" s="33" t="s">
        <v>56</v>
      </c>
      <c r="E19" s="27" t="s">
        <v>40</v>
      </c>
      <c r="F19" s="34">
        <v>1</v>
      </c>
      <c r="G19" s="20">
        <v>135000</v>
      </c>
      <c r="H19" s="22">
        <f t="shared" si="2"/>
        <v>135000</v>
      </c>
      <c r="I19" s="26"/>
      <c r="J19" s="25" t="s">
        <v>39</v>
      </c>
      <c r="K19" s="25"/>
      <c r="L19" s="35" t="s">
        <v>38</v>
      </c>
      <c r="M19" s="14">
        <v>44179</v>
      </c>
      <c r="N19" s="4"/>
      <c r="O19" s="24" t="s">
        <v>57</v>
      </c>
      <c r="P19" s="24" t="s">
        <v>59</v>
      </c>
      <c r="Q19" s="19"/>
    </row>
    <row r="20" spans="2:17" s="3" customFormat="1" ht="19.7" customHeight="1" x14ac:dyDescent="0.15">
      <c r="B20" s="33">
        <v>5</v>
      </c>
      <c r="C20" s="33" t="s">
        <v>37</v>
      </c>
      <c r="D20" s="33" t="s">
        <v>56</v>
      </c>
      <c r="E20" s="27" t="s">
        <v>42</v>
      </c>
      <c r="F20" s="34">
        <v>1</v>
      </c>
      <c r="G20" s="20">
        <v>39780</v>
      </c>
      <c r="H20" s="22">
        <f t="shared" si="2"/>
        <v>39780</v>
      </c>
      <c r="I20" s="26"/>
      <c r="J20" s="25" t="s">
        <v>41</v>
      </c>
      <c r="K20" s="25"/>
      <c r="L20" s="35" t="s">
        <v>38</v>
      </c>
      <c r="M20" s="14">
        <v>44179</v>
      </c>
      <c r="N20" s="4"/>
      <c r="O20" s="24" t="s">
        <v>57</v>
      </c>
      <c r="P20" s="24" t="s">
        <v>59</v>
      </c>
      <c r="Q20" s="19"/>
    </row>
    <row r="21" spans="2:17" s="3" customFormat="1" ht="19.7" customHeight="1" x14ac:dyDescent="0.15">
      <c r="B21" s="33">
        <v>5</v>
      </c>
      <c r="C21" s="33" t="s">
        <v>37</v>
      </c>
      <c r="D21" s="33" t="s">
        <v>56</v>
      </c>
      <c r="E21" s="27" t="s">
        <v>43</v>
      </c>
      <c r="F21" s="34">
        <v>1</v>
      </c>
      <c r="G21" s="20">
        <v>140000</v>
      </c>
      <c r="H21" s="22">
        <f t="shared" si="2"/>
        <v>140000</v>
      </c>
      <c r="I21" s="26"/>
      <c r="J21" s="25" t="s">
        <v>44</v>
      </c>
      <c r="K21" s="25"/>
      <c r="L21" s="35" t="s">
        <v>38</v>
      </c>
      <c r="M21" s="14">
        <v>44179</v>
      </c>
      <c r="N21" s="4"/>
      <c r="O21" s="24" t="s">
        <v>57</v>
      </c>
      <c r="P21" s="24" t="s">
        <v>59</v>
      </c>
      <c r="Q21" s="19"/>
    </row>
    <row r="22" spans="2:17" s="3" customFormat="1" ht="19.7" customHeight="1" x14ac:dyDescent="0.15">
      <c r="B22" s="33">
        <v>5</v>
      </c>
      <c r="C22" s="33" t="s">
        <v>37</v>
      </c>
      <c r="D22" s="33" t="s">
        <v>56</v>
      </c>
      <c r="E22" s="27" t="s">
        <v>45</v>
      </c>
      <c r="F22" s="34">
        <v>1</v>
      </c>
      <c r="G22" s="20">
        <v>16100</v>
      </c>
      <c r="H22" s="22">
        <f t="shared" si="2"/>
        <v>16100</v>
      </c>
      <c r="I22" s="26"/>
      <c r="J22" s="25" t="s">
        <v>46</v>
      </c>
      <c r="K22" s="39"/>
      <c r="L22" s="35" t="s">
        <v>38</v>
      </c>
      <c r="M22" s="14">
        <v>44179</v>
      </c>
      <c r="N22" s="4"/>
      <c r="O22" s="24" t="s">
        <v>57</v>
      </c>
      <c r="P22" s="24" t="s">
        <v>59</v>
      </c>
      <c r="Q22" s="19"/>
    </row>
    <row r="23" spans="2:17" s="3" customFormat="1" ht="19.7" customHeight="1" x14ac:dyDescent="0.15">
      <c r="B23" s="33"/>
      <c r="C23" s="33"/>
      <c r="D23" s="33"/>
      <c r="E23" s="27"/>
      <c r="F23" s="34"/>
      <c r="G23" s="20">
        <v>0</v>
      </c>
      <c r="H23" s="22">
        <f t="shared" si="2"/>
        <v>0</v>
      </c>
      <c r="I23" s="26"/>
      <c r="J23" s="25"/>
      <c r="K23" s="25"/>
      <c r="L23" s="35"/>
      <c r="M23" s="14"/>
      <c r="N23" s="4"/>
      <c r="O23" s="24"/>
      <c r="P23" s="14"/>
      <c r="Q23" s="19"/>
    </row>
    <row r="24" spans="2:17" s="3" customFormat="1" ht="19.7" customHeight="1" x14ac:dyDescent="0.15">
      <c r="B24" s="33"/>
      <c r="C24" s="33"/>
      <c r="D24" s="33"/>
      <c r="E24" s="27"/>
      <c r="F24" s="34"/>
      <c r="G24" s="20">
        <v>0</v>
      </c>
      <c r="H24" s="22">
        <f t="shared" si="2"/>
        <v>0</v>
      </c>
      <c r="I24" s="26"/>
      <c r="J24" s="25"/>
      <c r="K24" s="39"/>
      <c r="L24" s="35"/>
      <c r="M24" s="14"/>
      <c r="N24" s="4"/>
      <c r="O24" s="24"/>
      <c r="P24" s="40"/>
      <c r="Q24" s="19"/>
    </row>
    <row r="25" spans="2:17" s="3" customFormat="1" ht="19.7" customHeight="1" x14ac:dyDescent="0.15">
      <c r="B25" s="33">
        <v>5</v>
      </c>
      <c r="C25" s="33" t="s">
        <v>49</v>
      </c>
      <c r="D25" s="33" t="s">
        <v>49</v>
      </c>
      <c r="E25" s="27" t="s">
        <v>48</v>
      </c>
      <c r="F25" s="34">
        <v>1</v>
      </c>
      <c r="G25" s="20">
        <v>3120</v>
      </c>
      <c r="H25" s="22">
        <f t="shared" si="2"/>
        <v>3120</v>
      </c>
      <c r="I25" s="26"/>
      <c r="J25" s="25" t="s">
        <v>47</v>
      </c>
      <c r="K25" s="25"/>
      <c r="L25" s="35" t="s">
        <v>38</v>
      </c>
      <c r="M25" s="14">
        <v>44179</v>
      </c>
      <c r="N25" s="4"/>
      <c r="O25" s="24" t="s">
        <v>57</v>
      </c>
      <c r="P25" s="24" t="s">
        <v>57</v>
      </c>
      <c r="Q25" s="19"/>
    </row>
    <row r="26" spans="2:17" s="3" customFormat="1" ht="19.7" customHeight="1" x14ac:dyDescent="0.15">
      <c r="B26" s="33">
        <v>5</v>
      </c>
      <c r="C26" s="33" t="s">
        <v>49</v>
      </c>
      <c r="D26" s="33" t="s">
        <v>49</v>
      </c>
      <c r="E26" s="27" t="s">
        <v>50</v>
      </c>
      <c r="F26" s="34">
        <v>1</v>
      </c>
      <c r="G26" s="20">
        <v>700</v>
      </c>
      <c r="H26" s="22">
        <f t="shared" si="2"/>
        <v>700</v>
      </c>
      <c r="I26" s="26"/>
      <c r="J26" s="25"/>
      <c r="K26" s="25"/>
      <c r="L26" s="35" t="s">
        <v>38</v>
      </c>
      <c r="M26" s="14">
        <v>44179</v>
      </c>
      <c r="N26" s="4"/>
      <c r="O26" s="24" t="s">
        <v>57</v>
      </c>
      <c r="P26" s="24" t="s">
        <v>57</v>
      </c>
      <c r="Q26" s="19"/>
    </row>
    <row r="27" spans="2:17" s="3" customFormat="1" ht="19.7" customHeight="1" x14ac:dyDescent="0.15">
      <c r="B27" s="33"/>
      <c r="C27" s="33"/>
      <c r="D27" s="33"/>
      <c r="E27" s="27"/>
      <c r="F27" s="34"/>
      <c r="G27" s="20">
        <v>0</v>
      </c>
      <c r="H27" s="22">
        <f t="shared" si="2"/>
        <v>0</v>
      </c>
      <c r="I27" s="26"/>
      <c r="J27" s="25"/>
      <c r="K27" s="25"/>
      <c r="L27" s="35"/>
      <c r="M27" s="14"/>
      <c r="N27" s="4"/>
      <c r="O27" s="24"/>
      <c r="P27" s="14"/>
      <c r="Q27" s="19"/>
    </row>
    <row r="28" spans="2:17" s="3" customFormat="1" ht="19.7" customHeight="1" x14ac:dyDescent="0.15">
      <c r="B28" s="33"/>
      <c r="C28" s="33"/>
      <c r="D28" s="33"/>
      <c r="E28" s="27"/>
      <c r="F28" s="34"/>
      <c r="G28" s="20">
        <v>0</v>
      </c>
      <c r="H28" s="22">
        <f t="shared" si="2"/>
        <v>0</v>
      </c>
      <c r="I28" s="26"/>
      <c r="J28" s="25"/>
      <c r="K28" s="25"/>
      <c r="L28" s="35"/>
      <c r="M28" s="14"/>
      <c r="N28" s="4"/>
      <c r="O28" s="24"/>
      <c r="P28" s="14"/>
      <c r="Q28" s="19"/>
    </row>
    <row r="29" spans="2:17" s="3" customFormat="1" ht="19.7" customHeight="1" x14ac:dyDescent="0.15">
      <c r="B29" s="33">
        <v>5</v>
      </c>
      <c r="C29" s="33" t="s">
        <v>53</v>
      </c>
      <c r="D29" s="33" t="s">
        <v>53</v>
      </c>
      <c r="E29" s="27" t="s">
        <v>52</v>
      </c>
      <c r="F29" s="34">
        <v>1</v>
      </c>
      <c r="G29" s="20">
        <v>71600</v>
      </c>
      <c r="H29" s="22">
        <f t="shared" si="2"/>
        <v>71600</v>
      </c>
      <c r="I29" s="26"/>
      <c r="J29" s="25" t="s">
        <v>51</v>
      </c>
      <c r="K29" s="25"/>
      <c r="L29" s="35" t="s">
        <v>38</v>
      </c>
      <c r="M29" s="14">
        <v>44179</v>
      </c>
      <c r="N29" s="4"/>
      <c r="O29" s="24" t="s">
        <v>57</v>
      </c>
      <c r="P29" s="24" t="s">
        <v>57</v>
      </c>
      <c r="Q29" s="19"/>
    </row>
    <row r="30" spans="2:17" s="3" customFormat="1" ht="19.7" customHeight="1" x14ac:dyDescent="0.15">
      <c r="B30" s="33">
        <v>5</v>
      </c>
      <c r="C30" s="33" t="s">
        <v>53</v>
      </c>
      <c r="D30" s="33" t="s">
        <v>53</v>
      </c>
      <c r="E30" s="27" t="s">
        <v>55</v>
      </c>
      <c r="F30" s="34">
        <v>1</v>
      </c>
      <c r="G30" s="20">
        <v>32800</v>
      </c>
      <c r="H30" s="22">
        <f t="shared" si="2"/>
        <v>32800</v>
      </c>
      <c r="I30" s="26"/>
      <c r="J30" s="25" t="s">
        <v>54</v>
      </c>
      <c r="K30" s="25"/>
      <c r="L30" s="35" t="s">
        <v>38</v>
      </c>
      <c r="M30" s="14">
        <v>44179</v>
      </c>
      <c r="N30" s="4"/>
      <c r="O30" s="24" t="s">
        <v>57</v>
      </c>
      <c r="P30" s="24" t="s">
        <v>57</v>
      </c>
      <c r="Q30" s="19"/>
    </row>
    <row r="31" spans="2:17" s="3" customFormat="1" ht="19.7" customHeight="1" x14ac:dyDescent="0.15">
      <c r="B31" s="33"/>
      <c r="C31" s="33"/>
      <c r="D31" s="33"/>
      <c r="E31" s="27"/>
      <c r="F31" s="34"/>
      <c r="G31" s="20">
        <v>0</v>
      </c>
      <c r="H31" s="22">
        <f t="shared" si="2"/>
        <v>0</v>
      </c>
      <c r="I31" s="26"/>
      <c r="J31" s="25"/>
      <c r="K31" s="25"/>
      <c r="L31" s="35"/>
      <c r="M31" s="14"/>
      <c r="N31" s="4"/>
      <c r="O31" s="24"/>
      <c r="P31" s="14"/>
      <c r="Q31" s="19"/>
    </row>
    <row r="32" spans="2:17" s="3" customFormat="1" ht="19.7" customHeight="1" x14ac:dyDescent="0.15">
      <c r="B32" s="33"/>
      <c r="C32" s="33"/>
      <c r="D32" s="33"/>
      <c r="E32" s="27"/>
      <c r="F32" s="34"/>
      <c r="G32" s="20">
        <v>0</v>
      </c>
      <c r="H32" s="22">
        <f t="shared" si="2"/>
        <v>0</v>
      </c>
      <c r="I32" s="26"/>
      <c r="J32" s="25"/>
      <c r="K32" s="25"/>
      <c r="L32" s="35"/>
      <c r="M32" s="14"/>
      <c r="N32" s="4"/>
      <c r="O32" s="24"/>
      <c r="P32" s="14"/>
      <c r="Q32" s="19"/>
    </row>
    <row r="33" spans="2:17" s="57" customFormat="1" ht="19.7" customHeight="1" x14ac:dyDescent="0.15">
      <c r="B33" s="45">
        <v>5</v>
      </c>
      <c r="C33" s="45" t="s">
        <v>37</v>
      </c>
      <c r="D33" s="45" t="s">
        <v>56</v>
      </c>
      <c r="E33" s="46" t="s">
        <v>60</v>
      </c>
      <c r="F33" s="47">
        <v>1</v>
      </c>
      <c r="G33" s="48">
        <v>12500</v>
      </c>
      <c r="H33" s="49">
        <f t="shared" si="2"/>
        <v>12500</v>
      </c>
      <c r="I33" s="50"/>
      <c r="J33" s="51" t="s">
        <v>61</v>
      </c>
      <c r="K33" s="51"/>
      <c r="L33" s="52" t="s">
        <v>38</v>
      </c>
      <c r="M33" s="53">
        <v>44235</v>
      </c>
      <c r="N33" s="54"/>
      <c r="O33" s="55"/>
      <c r="P33" s="24" t="s">
        <v>62</v>
      </c>
      <c r="Q33" s="56"/>
    </row>
    <row r="34" spans="2:17" s="57" customFormat="1" ht="19.7" customHeight="1" x14ac:dyDescent="0.15">
      <c r="B34" s="45">
        <v>5</v>
      </c>
      <c r="C34" s="45" t="s">
        <v>37</v>
      </c>
      <c r="D34" s="45" t="s">
        <v>56</v>
      </c>
      <c r="E34" s="46" t="s">
        <v>50</v>
      </c>
      <c r="F34" s="47">
        <v>1</v>
      </c>
      <c r="G34" s="48">
        <v>1000</v>
      </c>
      <c r="H34" s="49">
        <f t="shared" ref="H34" si="3">F34*G34</f>
        <v>1000</v>
      </c>
      <c r="I34" s="50"/>
      <c r="J34" s="51" t="s">
        <v>61</v>
      </c>
      <c r="K34" s="51"/>
      <c r="L34" s="52" t="s">
        <v>38</v>
      </c>
      <c r="M34" s="53">
        <v>44235</v>
      </c>
      <c r="N34" s="54"/>
      <c r="O34" s="55"/>
      <c r="P34" s="53"/>
      <c r="Q34" s="56"/>
    </row>
    <row r="35" spans="2:17" s="3" customFormat="1" ht="19.7" customHeight="1" x14ac:dyDescent="0.15">
      <c r="B35" s="33"/>
      <c r="C35" s="33"/>
      <c r="D35" s="33"/>
      <c r="E35" s="27"/>
      <c r="F35" s="34"/>
      <c r="G35" s="20">
        <v>0</v>
      </c>
      <c r="H35" s="22">
        <f t="shared" si="2"/>
        <v>0</v>
      </c>
      <c r="I35" s="26"/>
      <c r="J35" s="25"/>
      <c r="K35" s="25"/>
      <c r="L35" s="35"/>
      <c r="M35" s="14"/>
      <c r="N35" s="4"/>
      <c r="O35" s="24"/>
      <c r="P35" s="14"/>
      <c r="Q35" s="19"/>
    </row>
    <row r="39" spans="2:17" x14ac:dyDescent="0.15">
      <c r="M39" s="15"/>
    </row>
    <row r="40" spans="2:17" x14ac:dyDescent="0.15">
      <c r="M40" s="16"/>
    </row>
    <row r="41" spans="2:17" x14ac:dyDescent="0.15">
      <c r="M41" s="15"/>
    </row>
    <row r="42" spans="2:17" x14ac:dyDescent="0.15">
      <c r="M42" s="16"/>
    </row>
  </sheetData>
  <autoFilter ref="B8:O35" xr:uid="{00000000-0009-0000-0000-000000000000}"/>
  <mergeCells count="21">
    <mergeCell ref="B6:D6"/>
    <mergeCell ref="G2:I2"/>
    <mergeCell ref="B2:D2"/>
    <mergeCell ref="B3:D3"/>
    <mergeCell ref="B4:D4"/>
    <mergeCell ref="B5:D5"/>
    <mergeCell ref="I9:I11"/>
    <mergeCell ref="L9:L11"/>
    <mergeCell ref="M9:M11"/>
    <mergeCell ref="N9:N11"/>
    <mergeCell ref="B9:B11"/>
    <mergeCell ref="C9:C11"/>
    <mergeCell ref="D9:D11"/>
    <mergeCell ref="F9:F11"/>
    <mergeCell ref="G9:G11"/>
    <mergeCell ref="H9:H11"/>
    <mergeCell ref="O9:O11"/>
    <mergeCell ref="P9:P11"/>
    <mergeCell ref="Q9:Q11"/>
    <mergeCell ref="J9:J11"/>
    <mergeCell ref="K9:K11"/>
  </mergeCells>
  <phoneticPr fontId="1"/>
  <pageMargins left="0.2" right="0.2" top="0.36" bottom="0.41" header="0.3" footer="0.3"/>
  <pageSetup paperSize="9" scale="7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topLeftCell="A7" workbookViewId="0">
      <selection activeCell="D7" sqref="D7:D57"/>
    </sheetView>
  </sheetViews>
  <sheetFormatPr defaultRowHeight="13.5" x14ac:dyDescent="0.15"/>
  <sheetData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SATOH</dc:creator>
  <cp:lastModifiedBy>斉藤鉄也</cp:lastModifiedBy>
  <cp:lastPrinted>2012-01-12T04:44:33Z</cp:lastPrinted>
  <dcterms:created xsi:type="dcterms:W3CDTF">2011-12-13T06:48:43Z</dcterms:created>
  <dcterms:modified xsi:type="dcterms:W3CDTF">2021-02-26T05:09:36Z</dcterms:modified>
</cp:coreProperties>
</file>