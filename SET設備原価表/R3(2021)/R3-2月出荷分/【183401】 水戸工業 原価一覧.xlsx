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75FB983-F3C3-4F6C-A148-03617E1C10F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治具手配数量" sheetId="2" r:id="rId2"/>
    <sheet name="Sheet3" sheetId="3" r:id="rId3"/>
  </sheets>
  <definedNames>
    <definedName name="_xlnm._FilterDatabase" localSheetId="0" hidden="1">原価表!$B$9:$O$26</definedName>
  </definedNames>
  <calcPr calcId="181029"/>
  <fileRecoveryPr autoRecover="0"/>
</workbook>
</file>

<file path=xl/calcChain.xml><?xml version="1.0" encoding="utf-8"?>
<calcChain xmlns="http://schemas.openxmlformats.org/spreadsheetml/2006/main">
  <c r="H20" i="1" l="1"/>
  <c r="H19" i="1"/>
  <c r="H25" i="1"/>
  <c r="H24" i="1"/>
  <c r="H23" i="1"/>
  <c r="H22" i="1"/>
  <c r="H26" i="1"/>
  <c r="J2" i="1" l="1"/>
</calcChain>
</file>

<file path=xl/sharedStrings.xml><?xml version="1.0" encoding="utf-8"?>
<sst xmlns="http://schemas.openxmlformats.org/spreadsheetml/2006/main" count="91" uniqueCount="61">
  <si>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</si>
  <si>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</si>
  <si>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</si>
  <si>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</si>
  <si>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</si>
  <si>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</si>
  <si>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</si>
  <si>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</si>
  <si>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</si>
  <si>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</si>
  <si>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</si>
  <si>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</si>
  <si>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</si>
  <si>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</si>
  <si>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</si>
  <si>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</si>
  <si>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</si>
  <si>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</si>
  <si>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</si>
  <si>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</si>
  <si>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</si>
  <si>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</si>
  <si>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</si>
  <si>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</si>
  <si>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</si>
  <si>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</si>
  <si>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</si>
  <si>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</si>
  <si>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</si>
  <si>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</si>
  <si>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</si>
  <si>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</si>
  <si>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</si>
  <si>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</si>
  <si>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</si>
  <si>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</si>
  <si>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</si>
  <si>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</si>
  <si>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</si>
  <si>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水戸工業（ニコン）</t>
    <rPh sb="0" eb="4">
      <t>ミトコウギョウ</t>
    </rPh>
    <phoneticPr fontId="2"/>
  </si>
  <si>
    <t>山澤</t>
    <rPh sb="0" eb="2">
      <t>ヤマサワ</t>
    </rPh>
    <phoneticPr fontId="2"/>
  </si>
  <si>
    <t>AXA-SV(200角)</t>
    <rPh sb="10" eb="11">
      <t>カク</t>
    </rPh>
    <phoneticPr fontId="2"/>
  </si>
  <si>
    <t>専用PCコントローラー</t>
    <rPh sb="0" eb="2">
      <t>センヨウ</t>
    </rPh>
    <phoneticPr fontId="2"/>
  </si>
  <si>
    <t>モニター</t>
    <phoneticPr fontId="2"/>
  </si>
  <si>
    <t>キーボード＆マウス</t>
    <phoneticPr fontId="2"/>
  </si>
  <si>
    <t>SV91取付治具</t>
    <rPh sb="4" eb="6">
      <t>トリツケ</t>
    </rPh>
    <rPh sb="6" eb="8">
      <t>ジグ</t>
    </rPh>
    <phoneticPr fontId="2"/>
  </si>
  <si>
    <t>PCソフト</t>
    <phoneticPr fontId="2"/>
  </si>
  <si>
    <t>外部スイッチ</t>
    <rPh sb="0" eb="2">
      <t>ガイブ</t>
    </rPh>
    <phoneticPr fontId="2"/>
  </si>
  <si>
    <t>EVERPRECISION TECH</t>
  </si>
  <si>
    <t>AXA-SV(200角)付属品</t>
    <rPh sb="10" eb="11">
      <t>カク</t>
    </rPh>
    <rPh sb="12" eb="15">
      <t>フゾクヒン</t>
    </rPh>
    <phoneticPr fontId="2"/>
  </si>
  <si>
    <t>MISUMI</t>
    <phoneticPr fontId="2"/>
  </si>
  <si>
    <t>DC-37PF-N</t>
    <phoneticPr fontId="2"/>
  </si>
  <si>
    <t>EMID-SUBｺﾈｸﾀ</t>
  </si>
  <si>
    <t>WEB発注済</t>
    <rPh sb="0" eb="6">
      <t>ウェＢハッチュウスミ</t>
    </rPh>
    <phoneticPr fontId="2"/>
  </si>
  <si>
    <t>MDA-37H-UNC</t>
  </si>
  <si>
    <t>DSUBﾌｰﾄﾞ､ｱｸｾｻﾘｰ</t>
  </si>
  <si>
    <t>DE-9PF-N</t>
  </si>
  <si>
    <t>DE-C8-J9-F21R</t>
  </si>
  <si>
    <t>TAISHO</t>
    <phoneticPr fontId="2"/>
  </si>
  <si>
    <t>■183401-Y01(ﾂｰﾙﾌﾟﾚｰﾄ)</t>
    <phoneticPr fontId="2"/>
  </si>
  <si>
    <t>■SS40079(ﾊﾞﾙﾌﾞﾎﾙﾀﾞ)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</si>
</sst>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2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B0F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56" fontId="6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Border="1" applyAlignment="1">
      <alignment horizontal="center" vertical="center"/>
    </xf>
    <xf numFmtId="179" fontId="0" fillId="0" borderId="0" xfId="0" applyNumberFormat="1" applyFont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49" fontId="10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38" fontId="1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3" fontId="1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>
      <alignment vertical="center"/>
    </xf>
    <xf numFmtId="0" fontId="10" fillId="5" borderId="1" xfId="0" applyFont="1" applyFill="1" applyBorder="1" applyAlignment="1">
      <alignment horizontal="right" vertical="center"/>
    </xf>
    <xf numFmtId="0" fontId="0" fillId="5" borderId="1" xfId="0" applyFill="1" applyBorder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79" fontId="0" fillId="5" borderId="1" xfId="0" applyNumberFormat="1" applyFill="1" applyBorder="1" applyAlignment="1">
      <alignment horizontal="center" vertical="center"/>
    </xf>
    <xf numFmtId="56" fontId="6" fillId="5" borderId="1" xfId="0" applyNumberFormat="1" applyFont="1" applyFill="1" applyBorder="1" applyAlignment="1">
      <alignment horizontal="center" vertical="center"/>
    </xf>
    <xf numFmtId="5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3"/>
  <sheetViews>
    <sheetView tabSelected="1" zoomScaleNormal="100" workbookViewId="0">
      <pane xSplit="10" ySplit="9" topLeftCell="L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style="11" customWidth="1"/>
    <col min="2" max="2" width="20.125" style="20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5.75" style="16" customWidth="1"/>
    <col min="10" max="10" width="35.25" style="11" bestFit="1" customWidth="1"/>
    <col min="11" max="11" width="22.375" style="11" bestFit="1" customWidth="1"/>
    <col min="12" max="12" width="11" style="20" customWidth="1"/>
    <col min="13" max="13" width="13.75" style="15" customWidth="1"/>
    <col min="14" max="14" width="6.375" style="11" customWidth="1"/>
    <col min="15" max="15" width="13.25" style="16" customWidth="1"/>
    <col min="16" max="16" width="14.5" style="17" customWidth="1"/>
    <col min="17" max="17" width="15.625" style="18" customWidth="1"/>
    <col min="18" max="16384" width="9" style="11"/>
  </cols>
  <sheetData>
    <row r="2" spans="2:17" ht="20.100000000000001" customHeight="1" x14ac:dyDescent="0.15">
      <c r="B2" s="75" t="s">
        <v>11</v>
      </c>
      <c r="C2" s="75"/>
      <c r="D2" s="75"/>
      <c r="E2" s="10" t="s">
        <v>39</v>
      </c>
      <c r="G2" s="76" t="s">
        <v>15</v>
      </c>
      <c r="H2" s="77"/>
      <c r="I2" s="78"/>
      <c r="J2" s="12">
        <f>SUM(H:H)</f>
        <v>14497</v>
      </c>
      <c r="K2" s="13"/>
      <c r="L2" s="14"/>
    </row>
    <row r="3" spans="2:17" ht="20.100000000000001" customHeight="1" x14ac:dyDescent="0.15">
      <c r="B3" s="75" t="s">
        <v>10</v>
      </c>
      <c r="C3" s="75"/>
      <c r="D3" s="75"/>
      <c r="E3" s="19" t="s">
        <v>40</v>
      </c>
    </row>
    <row r="4" spans="2:17" ht="20.100000000000001" customHeight="1" x14ac:dyDescent="0.15">
      <c r="B4" s="75" t="s">
        <v>12</v>
      </c>
      <c r="C4" s="75"/>
      <c r="D4" s="75"/>
      <c r="E4" s="19">
        <v>183401</v>
      </c>
      <c r="J4" s="21"/>
    </row>
    <row r="5" spans="2:17" ht="20.100000000000001" customHeight="1" x14ac:dyDescent="0.15">
      <c r="B5" s="75" t="s">
        <v>13</v>
      </c>
      <c r="C5" s="75"/>
      <c r="D5" s="75"/>
      <c r="E5" s="22"/>
      <c r="J5" s="21"/>
    </row>
    <row r="6" spans="2:17" ht="20.100000000000001" customHeight="1" x14ac:dyDescent="0.15">
      <c r="B6" s="75" t="s">
        <v>14</v>
      </c>
      <c r="C6" s="75"/>
      <c r="D6" s="75"/>
      <c r="E6" s="22">
        <v>44249</v>
      </c>
      <c r="J6" s="21"/>
    </row>
    <row r="7" spans="2:17" ht="20.100000000000001" customHeight="1" x14ac:dyDescent="0.15">
      <c r="B7" s="23"/>
      <c r="C7" s="23"/>
      <c r="D7" s="23"/>
      <c r="E7" s="24"/>
      <c r="J7" s="21"/>
      <c r="L7" s="25"/>
    </row>
    <row r="9" spans="2:17" s="31" customFormat="1" ht="19.7" customHeight="1" x14ac:dyDescent="0.15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28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7" s="31" customFormat="1" ht="19.7" customHeight="1" x14ac:dyDescent="0.15">
      <c r="B10" s="26">
        <v>13</v>
      </c>
      <c r="C10" s="51" t="s">
        <v>48</v>
      </c>
      <c r="D10" s="51" t="s">
        <v>48</v>
      </c>
      <c r="E10" s="46" t="s">
        <v>41</v>
      </c>
      <c r="F10" s="40">
        <v>1</v>
      </c>
      <c r="G10" s="40"/>
      <c r="H10" s="41"/>
      <c r="I10" s="42"/>
      <c r="J10" s="48"/>
      <c r="K10" s="27"/>
      <c r="L10" s="27"/>
      <c r="M10" s="29"/>
      <c r="N10" s="26"/>
      <c r="O10" s="27"/>
      <c r="P10" s="29"/>
      <c r="Q10" s="30"/>
    </row>
    <row r="11" spans="2:17" s="31" customFormat="1" ht="19.7" customHeight="1" x14ac:dyDescent="0.15">
      <c r="B11" s="26">
        <v>14</v>
      </c>
      <c r="C11" s="51" t="s">
        <v>48</v>
      </c>
      <c r="D11" s="51" t="s">
        <v>48</v>
      </c>
      <c r="E11" s="46" t="s">
        <v>42</v>
      </c>
      <c r="F11" s="40">
        <v>1</v>
      </c>
      <c r="G11" s="40"/>
      <c r="H11" s="41"/>
      <c r="I11" s="42"/>
      <c r="J11" s="48"/>
      <c r="K11" s="27" t="s">
        <v>49</v>
      </c>
      <c r="L11" s="27"/>
      <c r="M11" s="29">
        <v>44203</v>
      </c>
      <c r="N11" s="26"/>
      <c r="O11" s="27"/>
      <c r="P11" s="29"/>
      <c r="Q11" s="30">
        <v>44246</v>
      </c>
    </row>
    <row r="12" spans="2:17" s="31" customFormat="1" ht="19.7" customHeight="1" x14ac:dyDescent="0.15">
      <c r="B12" s="26">
        <v>15</v>
      </c>
      <c r="C12" s="51" t="s">
        <v>48</v>
      </c>
      <c r="D12" s="51" t="s">
        <v>48</v>
      </c>
      <c r="E12" s="46" t="s">
        <v>43</v>
      </c>
      <c r="F12" s="40">
        <v>1</v>
      </c>
      <c r="G12" s="40"/>
      <c r="H12" s="41"/>
      <c r="I12" s="42"/>
      <c r="J12" s="48"/>
      <c r="K12" s="27" t="s">
        <v>49</v>
      </c>
      <c r="L12" s="27"/>
      <c r="M12" s="29">
        <v>44203</v>
      </c>
      <c r="N12" s="26"/>
      <c r="O12" s="27"/>
      <c r="P12" s="29"/>
      <c r="Q12" s="30"/>
    </row>
    <row r="13" spans="2:17" s="31" customFormat="1" ht="19.7" customHeight="1" x14ac:dyDescent="0.15">
      <c r="B13" s="26">
        <v>16</v>
      </c>
      <c r="C13" s="51" t="s">
        <v>48</v>
      </c>
      <c r="D13" s="51" t="s">
        <v>48</v>
      </c>
      <c r="E13" s="46" t="s">
        <v>44</v>
      </c>
      <c r="F13" s="40">
        <v>1</v>
      </c>
      <c r="G13" s="40"/>
      <c r="H13" s="41"/>
      <c r="I13" s="42"/>
      <c r="J13" s="48"/>
      <c r="K13" s="27" t="s">
        <v>49</v>
      </c>
      <c r="L13" s="27"/>
      <c r="M13" s="29">
        <v>44203</v>
      </c>
      <c r="N13" s="26"/>
      <c r="O13" s="27"/>
      <c r="P13" s="29"/>
      <c r="Q13" s="30"/>
    </row>
    <row r="14" spans="2:17" s="31" customFormat="1" ht="19.7" customHeight="1" x14ac:dyDescent="0.15">
      <c r="B14" s="26">
        <v>18</v>
      </c>
      <c r="C14" s="51" t="s">
        <v>48</v>
      </c>
      <c r="D14" s="51" t="s">
        <v>48</v>
      </c>
      <c r="E14" s="50" t="s">
        <v>46</v>
      </c>
      <c r="F14" s="40">
        <v>1</v>
      </c>
      <c r="G14" s="44"/>
      <c r="H14" s="41"/>
      <c r="I14" s="39"/>
      <c r="J14" s="48"/>
      <c r="K14" s="27" t="s">
        <v>49</v>
      </c>
      <c r="L14" s="26"/>
      <c r="M14" s="29">
        <v>44203</v>
      </c>
      <c r="N14" s="26"/>
      <c r="O14" s="32"/>
      <c r="P14" s="32"/>
      <c r="Q14" s="30"/>
    </row>
    <row r="15" spans="2:17" s="31" customFormat="1" ht="19.7" customHeight="1" x14ac:dyDescent="0.15">
      <c r="B15" s="26">
        <v>19</v>
      </c>
      <c r="C15" s="51" t="s">
        <v>48</v>
      </c>
      <c r="D15" s="51" t="s">
        <v>48</v>
      </c>
      <c r="E15" s="50" t="s">
        <v>47</v>
      </c>
      <c r="F15" s="40">
        <v>1</v>
      </c>
      <c r="G15" s="44"/>
      <c r="H15" s="41"/>
      <c r="I15" s="39"/>
      <c r="J15" s="48"/>
      <c r="K15" s="27" t="s">
        <v>49</v>
      </c>
      <c r="L15" s="26"/>
      <c r="M15" s="29">
        <v>44203</v>
      </c>
      <c r="N15" s="26"/>
      <c r="O15" s="32"/>
      <c r="P15" s="32"/>
      <c r="Q15" s="30"/>
    </row>
    <row r="16" spans="2:17" s="31" customFormat="1" ht="19.7" customHeight="1" x14ac:dyDescent="0.15">
      <c r="B16" s="26"/>
      <c r="C16" s="38"/>
      <c r="D16" s="38"/>
      <c r="E16" s="43"/>
      <c r="F16" s="43"/>
      <c r="G16" s="44"/>
      <c r="H16" s="41"/>
      <c r="I16" s="39"/>
      <c r="J16" s="49"/>
      <c r="K16" s="33"/>
      <c r="L16" s="26"/>
      <c r="M16" s="29"/>
      <c r="N16" s="26"/>
      <c r="O16" s="34"/>
      <c r="P16" s="32"/>
      <c r="Q16" s="29"/>
    </row>
    <row r="17" spans="2:17" s="31" customFormat="1" ht="19.7" customHeight="1" x14ac:dyDescent="0.15">
      <c r="B17" s="26">
        <v>17</v>
      </c>
      <c r="C17" s="51"/>
      <c r="D17" s="51"/>
      <c r="E17" s="50" t="s">
        <v>45</v>
      </c>
      <c r="F17" s="40">
        <v>1</v>
      </c>
      <c r="G17" s="44"/>
      <c r="H17" s="41"/>
      <c r="I17" s="39"/>
      <c r="J17" s="48"/>
      <c r="K17" s="27"/>
      <c r="L17" s="27"/>
      <c r="M17" s="29"/>
      <c r="N17" s="26"/>
      <c r="O17" s="27"/>
      <c r="P17" s="29"/>
      <c r="Q17" s="30"/>
    </row>
    <row r="18" spans="2:17" s="31" customFormat="1" ht="19.7" customHeight="1" x14ac:dyDescent="0.15">
      <c r="B18" s="26"/>
      <c r="C18" s="51"/>
      <c r="D18" s="51"/>
      <c r="E18" s="50"/>
      <c r="F18" s="40"/>
      <c r="G18" s="44"/>
      <c r="H18" s="41"/>
      <c r="I18" s="42"/>
      <c r="J18" s="48"/>
      <c r="K18" s="27"/>
      <c r="L18" s="27"/>
      <c r="M18" s="29"/>
      <c r="N18" s="26"/>
      <c r="O18" s="27"/>
      <c r="P18" s="29"/>
      <c r="Q18" s="30"/>
    </row>
    <row r="19" spans="2:17" s="62" customFormat="1" ht="19.7" customHeight="1" x14ac:dyDescent="0.15">
      <c r="B19" s="63">
        <v>16</v>
      </c>
      <c r="C19" s="64" t="s">
        <v>58</v>
      </c>
      <c r="D19" s="64" t="s">
        <v>58</v>
      </c>
      <c r="E19" s="65" t="s">
        <v>59</v>
      </c>
      <c r="F19" s="65">
        <v>1</v>
      </c>
      <c r="G19" s="66">
        <v>6300</v>
      </c>
      <c r="H19" s="67">
        <f t="shared" ref="H19:H20" si="0">F19*G19</f>
        <v>6300</v>
      </c>
      <c r="I19" s="68"/>
      <c r="J19" s="69"/>
      <c r="K19" s="68"/>
      <c r="L19" s="63"/>
      <c r="M19" s="70">
        <v>44215</v>
      </c>
      <c r="N19" s="63"/>
      <c r="O19" s="71"/>
      <c r="P19" s="72"/>
      <c r="Q19" s="70">
        <v>44225</v>
      </c>
    </row>
    <row r="20" spans="2:17" s="62" customFormat="1" ht="19.7" customHeight="1" x14ac:dyDescent="0.15">
      <c r="B20" s="63">
        <v>16</v>
      </c>
      <c r="C20" s="64" t="s">
        <v>58</v>
      </c>
      <c r="D20" s="64" t="s">
        <v>58</v>
      </c>
      <c r="E20" s="65" t="s">
        <v>60</v>
      </c>
      <c r="F20" s="65">
        <v>1</v>
      </c>
      <c r="G20" s="66">
        <v>6200</v>
      </c>
      <c r="H20" s="67">
        <f t="shared" si="0"/>
        <v>6200</v>
      </c>
      <c r="I20" s="68"/>
      <c r="J20" s="69"/>
      <c r="K20" s="68"/>
      <c r="L20" s="73"/>
      <c r="M20" s="70">
        <v>44215</v>
      </c>
      <c r="N20" s="63"/>
      <c r="O20" s="73"/>
      <c r="P20" s="70"/>
      <c r="Q20" s="74">
        <v>44225</v>
      </c>
    </row>
    <row r="21" spans="2:17" s="31" customFormat="1" ht="19.7" customHeight="1" x14ac:dyDescent="0.15">
      <c r="B21" s="26"/>
      <c r="C21" s="51"/>
      <c r="D21" s="51"/>
      <c r="E21" s="50"/>
      <c r="F21" s="40"/>
      <c r="G21" s="44"/>
      <c r="H21" s="41"/>
      <c r="I21" s="42"/>
      <c r="J21" s="48"/>
      <c r="K21" s="27"/>
      <c r="L21" s="27"/>
      <c r="M21" s="29"/>
      <c r="N21" s="26"/>
      <c r="O21" s="27"/>
      <c r="P21" s="29"/>
      <c r="Q21" s="30"/>
    </row>
    <row r="22" spans="2:17" s="52" customFormat="1" ht="19.7" customHeight="1" x14ac:dyDescent="0.15">
      <c r="B22" s="53">
        <v>17</v>
      </c>
      <c r="C22" s="54" t="s">
        <v>50</v>
      </c>
      <c r="D22" s="54" t="s">
        <v>50</v>
      </c>
      <c r="E22" s="55" t="s">
        <v>51</v>
      </c>
      <c r="F22" s="55">
        <v>1</v>
      </c>
      <c r="G22" s="55">
        <v>638</v>
      </c>
      <c r="H22" s="55">
        <f>F22*G22</f>
        <v>638</v>
      </c>
      <c r="I22" s="56"/>
      <c r="J22" s="55" t="s">
        <v>52</v>
      </c>
      <c r="K22" s="57" t="s">
        <v>53</v>
      </c>
      <c r="L22" s="53"/>
      <c r="M22" s="58"/>
      <c r="N22" s="53"/>
      <c r="O22" s="59"/>
      <c r="P22" s="59"/>
      <c r="Q22" s="60">
        <v>44215</v>
      </c>
    </row>
    <row r="23" spans="2:17" s="52" customFormat="1" ht="19.7" customHeight="1" x14ac:dyDescent="0.15">
      <c r="B23" s="53">
        <v>17</v>
      </c>
      <c r="C23" s="54" t="s">
        <v>50</v>
      </c>
      <c r="D23" s="54" t="s">
        <v>50</v>
      </c>
      <c r="E23" s="55" t="s">
        <v>54</v>
      </c>
      <c r="F23" s="55">
        <v>1</v>
      </c>
      <c r="G23" s="55">
        <v>553</v>
      </c>
      <c r="H23" s="55">
        <f t="shared" ref="H23:H25" si="1">F23*G23</f>
        <v>553</v>
      </c>
      <c r="I23" s="56"/>
      <c r="J23" s="55" t="s">
        <v>55</v>
      </c>
      <c r="K23" s="57" t="s">
        <v>53</v>
      </c>
      <c r="L23" s="53"/>
      <c r="M23" s="58"/>
      <c r="N23" s="53"/>
      <c r="O23" s="59"/>
      <c r="P23" s="58"/>
      <c r="Q23" s="60">
        <v>44215</v>
      </c>
    </row>
    <row r="24" spans="2:17" s="52" customFormat="1" ht="19.7" customHeight="1" x14ac:dyDescent="0.15">
      <c r="B24" s="53">
        <v>17</v>
      </c>
      <c r="C24" s="54" t="s">
        <v>50</v>
      </c>
      <c r="D24" s="54" t="s">
        <v>50</v>
      </c>
      <c r="E24" s="55" t="s">
        <v>56</v>
      </c>
      <c r="F24" s="55">
        <v>1</v>
      </c>
      <c r="G24" s="55">
        <v>308</v>
      </c>
      <c r="H24" s="55">
        <f t="shared" si="1"/>
        <v>308</v>
      </c>
      <c r="I24" s="56"/>
      <c r="J24" s="55" t="s">
        <v>52</v>
      </c>
      <c r="K24" s="57" t="s">
        <v>53</v>
      </c>
      <c r="L24" s="53"/>
      <c r="M24" s="58"/>
      <c r="N24" s="53"/>
      <c r="O24" s="61"/>
      <c r="P24" s="59"/>
      <c r="Q24" s="60">
        <v>44215</v>
      </c>
    </row>
    <row r="25" spans="2:17" s="52" customFormat="1" ht="19.7" customHeight="1" x14ac:dyDescent="0.15">
      <c r="B25" s="53">
        <v>17</v>
      </c>
      <c r="C25" s="54" t="s">
        <v>50</v>
      </c>
      <c r="D25" s="54" t="s">
        <v>50</v>
      </c>
      <c r="E25" s="55" t="s">
        <v>57</v>
      </c>
      <c r="F25" s="55">
        <v>1</v>
      </c>
      <c r="G25" s="55">
        <v>498</v>
      </c>
      <c r="H25" s="55">
        <f t="shared" si="1"/>
        <v>498</v>
      </c>
      <c r="I25" s="56"/>
      <c r="J25" s="55" t="s">
        <v>55</v>
      </c>
      <c r="K25" s="57" t="s">
        <v>53</v>
      </c>
      <c r="L25" s="57"/>
      <c r="M25" s="58"/>
      <c r="N25" s="53"/>
      <c r="O25" s="57"/>
      <c r="P25" s="58"/>
      <c r="Q25" s="60">
        <v>44215</v>
      </c>
    </row>
    <row r="26" spans="2:17" s="31" customFormat="1" ht="19.7" customHeight="1" x14ac:dyDescent="0.15">
      <c r="B26" s="35"/>
      <c r="C26" s="38"/>
      <c r="D26" s="38"/>
      <c r="E26" s="45"/>
      <c r="F26" s="46"/>
      <c r="G26" s="47"/>
      <c r="H26" s="41">
        <f t="shared" ref="H26" si="2">F26*G26</f>
        <v>0</v>
      </c>
      <c r="I26" s="42"/>
      <c r="J26" s="48"/>
      <c r="K26" s="33"/>
      <c r="L26" s="26"/>
      <c r="M26" s="29"/>
      <c r="N26" s="26"/>
      <c r="O26" s="32"/>
      <c r="P26" s="29"/>
      <c r="Q26" s="29"/>
    </row>
    <row r="30" spans="2:17" x14ac:dyDescent="0.15">
      <c r="M30" s="36"/>
    </row>
    <row r="31" spans="2:17" x14ac:dyDescent="0.15">
      <c r="M31" s="37"/>
    </row>
    <row r="32" spans="2:17" x14ac:dyDescent="0.15">
      <c r="M32" s="36"/>
    </row>
    <row r="33" spans="13:13" x14ac:dyDescent="0.15">
      <c r="M33" s="37"/>
    </row>
  </sheetData>
  <autoFilter ref="B9:O26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79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80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81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原価表</vt:lpstr>
      <vt:lpstr>治具手配数量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2018-02-26T23:40:55Z</cp:lastPrinted>
  <dcterms:created xsi:type="dcterms:W3CDTF">2011-12-13T06:48:43Z</dcterms:created>
  <dcterms:modified xsi:type="dcterms:W3CDTF">2021-02-19T04:11:01Z</dcterms:modified>
</cp:coreProperties>
</file>