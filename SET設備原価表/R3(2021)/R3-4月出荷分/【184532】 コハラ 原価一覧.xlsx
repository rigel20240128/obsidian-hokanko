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4F2BBB79-6838-4F7B-A5CB-B43AA869F151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原価表" sheetId="1" r:id="rId1"/>
    <sheet name="表紙" sheetId="4" r:id="rId2"/>
    <sheet name="治具手配数量" sheetId="2" r:id="rId3"/>
    <sheet name="Sheet3" sheetId="3" r:id="rId4"/>
  </sheets>
  <definedNames>
    <definedName name="_xlnm._FilterDatabase" localSheetId="0" hidden="1">原価表!$B$9:$O$32</definedName>
  </definedNames>
  <calcPr calcId="181029"/>
  <fileRecoveryPr autoRecover="0"/>
</workbook>
</file>

<file path=xl/calcChain.xml><?xml version="1.0" encoding="utf-8"?>
<calcChain xmlns="http://schemas.openxmlformats.org/spreadsheetml/2006/main">
  <c r="H16" i="1" l="1"/>
  <c r="H12" i="1"/>
  <c r="H13" i="1"/>
  <c r="H14" i="1"/>
  <c r="H11" i="1"/>
  <c r="J2" i="1" l="1"/>
</calcChain>
</file>

<file path=xl/sharedStrings.xml><?xml version="1.0" encoding="utf-8"?>
<sst xmlns="http://schemas.openxmlformats.org/spreadsheetml/2006/main" count="140" uniqueCount="88">
  <si>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</si>
  <si>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</si>
  <si>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</si>
  <si>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</si>
  <si>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</si>
  <si>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</si>
  <si>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</si>
  <si>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</si>
  <si>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</si>
  <si>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</si>
  <si>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</si>
  <si>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</si>
  <si>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</si>
  <si>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</si>
  <si>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</si>
  <si>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</si>
  <si>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</si>
  <si>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</si>
  <si>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</si>
  <si>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</si>
  <si>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</si>
  <si>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</si>
  <si>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型　式</t>
    <rPh sb="0" eb="1">
      <t>ガタ</t>
    </rPh>
    <rPh sb="2" eb="3">
      <t>シキ</t>
    </rPh>
    <phoneticPr fontId="2"/>
  </si>
  <si>
    <t>図　番</t>
    <rPh sb="0" eb="1">
      <t>ズ</t>
    </rPh>
    <rPh sb="2" eb="3">
      <t>バン</t>
    </rPh>
    <phoneticPr fontId="2"/>
  </si>
  <si>
    <t>数 量</t>
    <rPh sb="0" eb="1">
      <t>スウ</t>
    </rPh>
    <rPh sb="2" eb="3">
      <t>リョウ</t>
    </rPh>
    <phoneticPr fontId="2"/>
  </si>
  <si>
    <t>№</t>
    <phoneticPr fontId="2"/>
  </si>
  <si>
    <t>備 考</t>
    <rPh sb="0" eb="1">
      <t>ビ</t>
    </rPh>
    <rPh sb="2" eb="3">
      <t>コウ</t>
    </rPh>
    <phoneticPr fontId="2"/>
  </si>
  <si>
    <t>SS40079</t>
    <phoneticPr fontId="2"/>
  </si>
  <si>
    <t>740,752,780用ﾎﾙﾀﾞ(P=25)</t>
    <rPh sb="11" eb="12">
      <t>ヨウ</t>
    </rPh>
    <phoneticPr fontId="2"/>
  </si>
  <si>
    <t>147826-Y01</t>
    <phoneticPr fontId="2"/>
  </si>
  <si>
    <t>ﾂｰﾙ取付板</t>
    <rPh sb="3" eb="5">
      <t>トリツケ</t>
    </rPh>
    <rPh sb="5" eb="6">
      <t>イタ</t>
    </rPh>
    <phoneticPr fontId="2"/>
  </si>
  <si>
    <t>ﾌﾞｻﾞｰBOX(残検付)</t>
    <rPh sb="9" eb="10">
      <t>ザン</t>
    </rPh>
    <rPh sb="10" eb="11">
      <t>ケン</t>
    </rPh>
    <rPh sb="11" eb="12">
      <t>ツキ</t>
    </rPh>
    <phoneticPr fontId="2"/>
  </si>
  <si>
    <t>TJ0040-02-001A</t>
    <phoneticPr fontId="2"/>
  </si>
  <si>
    <t>冶具加工品</t>
    <rPh sb="0" eb="2">
      <t>ジグ</t>
    </rPh>
    <rPh sb="2" eb="5">
      <t>カコウヒン</t>
    </rPh>
    <phoneticPr fontId="2"/>
  </si>
  <si>
    <t>製作品</t>
    <rPh sb="0" eb="3">
      <t>セイサクヒン</t>
    </rPh>
    <phoneticPr fontId="2"/>
  </si>
  <si>
    <t>★SKG(155591)向け 治具・製作品 数量</t>
    <rPh sb="12" eb="13">
      <t>ム</t>
    </rPh>
    <rPh sb="15" eb="17">
      <t>ジグ</t>
    </rPh>
    <rPh sb="18" eb="21">
      <t>セイサクヒン</t>
    </rPh>
    <rPh sb="22" eb="24">
      <t>スウリョウ</t>
    </rPh>
    <phoneticPr fontId="2"/>
  </si>
  <si>
    <t>作成：2018.02.27</t>
    <rPh sb="0" eb="2">
      <t>サクセイ</t>
    </rPh>
    <phoneticPr fontId="2"/>
  </si>
  <si>
    <t>150688-Z01</t>
    <phoneticPr fontId="2"/>
  </si>
  <si>
    <t>ｱﾝﾌﾟ固定L板金</t>
    <rPh sb="4" eb="6">
      <t>コテイ</t>
    </rPh>
    <rPh sb="7" eb="9">
      <t>バンキン</t>
    </rPh>
    <phoneticPr fontId="2"/>
  </si>
  <si>
    <t>関口</t>
    <rPh sb="0" eb="2">
      <t>セキグチ</t>
    </rPh>
    <phoneticPr fontId="2"/>
  </si>
  <si>
    <t>A寸法</t>
    <rPh sb="1" eb="3">
      <t>スンポウ</t>
    </rPh>
    <phoneticPr fontId="2"/>
  </si>
  <si>
    <t>図面番号</t>
    <rPh sb="0" eb="2">
      <t>ズメン</t>
    </rPh>
    <rPh sb="2" eb="4">
      <t>バンゴウ</t>
    </rPh>
    <phoneticPr fontId="2"/>
  </si>
  <si>
    <t>数量</t>
    <rPh sb="0" eb="2">
      <t>スウリョウ</t>
    </rPh>
    <phoneticPr fontId="2"/>
  </si>
  <si>
    <t>183216-X04(10.0mmﾌﾟﾚｰﾄ）</t>
    <phoneticPr fontId="2"/>
  </si>
  <si>
    <t>183216-X05(22.5mmﾌﾟﾚｰﾄ）</t>
    <phoneticPr fontId="2"/>
  </si>
  <si>
    <t>183216-X06(30.0mmﾌﾟﾚｰﾄ）</t>
    <phoneticPr fontId="2"/>
  </si>
  <si>
    <t>183216-X07(35.0mmﾌﾟﾚｰﾄ）</t>
    <phoneticPr fontId="2"/>
  </si>
  <si>
    <t>SP</t>
    <phoneticPr fontId="2"/>
  </si>
  <si>
    <t>コハラ</t>
    <phoneticPr fontId="2"/>
  </si>
  <si>
    <t>JR3203-SET02</t>
    <phoneticPr fontId="2"/>
  </si>
  <si>
    <t>JR3-TB2</t>
    <phoneticPr fontId="2"/>
  </si>
  <si>
    <t>ﾆｰﾄﾞﾙｱｼﾞｬｽﾀｰ PR2</t>
    <phoneticPr fontId="2"/>
  </si>
  <si>
    <t>SDP520</t>
    <phoneticPr fontId="2"/>
  </si>
  <si>
    <t>SET</t>
    <phoneticPr fontId="2"/>
  </si>
  <si>
    <t>JANOME</t>
    <phoneticPr fontId="2"/>
  </si>
  <si>
    <t>在庫品</t>
    <rPh sb="0" eb="2">
      <t>ザイコ</t>
    </rPh>
    <rPh sb="2" eb="3">
      <t>ヒン</t>
    </rPh>
    <phoneticPr fontId="2"/>
  </si>
  <si>
    <t>ﾆｰﾄﾞﾙｱｼﾞｬｽﾀｰ PR3　送料</t>
    <rPh sb="17" eb="19">
      <t>ソウリョウ</t>
    </rPh>
    <phoneticPr fontId="2"/>
  </si>
  <si>
    <t>在庫品</t>
    <rPh sb="0" eb="3">
      <t>ザイコヒン</t>
    </rPh>
    <phoneticPr fontId="2"/>
  </si>
  <si>
    <t>発注№49450</t>
    <rPh sb="0" eb="3">
      <t>ハッチュウナンバー</t>
    </rPh>
    <phoneticPr fontId="2"/>
  </si>
  <si>
    <t>TAISHO</t>
  </si>
  <si>
    <t>SSH-EX10</t>
  </si>
  <si>
    <t>MISUMI</t>
  </si>
  <si>
    <t>CRKW4-6</t>
  </si>
  <si>
    <t>ｼﾞｭｼﾛｰﾚｯﾄﾂｷﾈｼﾞ-ﾀﾝﾋﾟﾝ ｺﾊﾞｺ-</t>
  </si>
  <si>
    <t>WEB発注済み</t>
    <rPh sb="3" eb="5">
      <t>ハッチュウ</t>
    </rPh>
    <rPh sb="5" eb="6">
      <t>スミ</t>
    </rPh>
    <phoneticPr fontId="2"/>
  </si>
  <si>
    <t>CSHSM-SUS-M4-6</t>
  </si>
  <si>
    <t>FASTENING</t>
  </si>
  <si>
    <t>MVBLK-AMW-2GE-YGJMD</t>
  </si>
  <si>
    <t>SSH-A</t>
  </si>
  <si>
    <t>MVBLK-AMW-2GE-59G47</t>
  </si>
  <si>
    <t>SSH-B</t>
  </si>
  <si>
    <t>MVBLK-AMW-2GE-YKRXP</t>
  </si>
  <si>
    <t>SSH-C</t>
  </si>
  <si>
    <t>MVBLK-AMW-2KB-2ADRZ</t>
  </si>
  <si>
    <t>■SETA0054-Y01(ﾂｰﾙｼﾞｸﾞ)</t>
  </si>
  <si>
    <t>MVBLK-AMW-2KB-PYZM5</t>
  </si>
  <si>
    <t>■SETA0054-X01(ﾍﾞｰｽﾌﾟﾚｰﾄ)</t>
  </si>
  <si>
    <t>MVBLK-MCL-2KB-39JAL</t>
  </si>
  <si>
    <t>■SETA0054-X02(ﾜｰｸｼﾞｸﾞ)</t>
  </si>
  <si>
    <t>SLPSQAH4-L10.0</t>
  </si>
  <si>
    <t>ｲﾁｷﾞﾒﾋﾟﾝ(SLPSQA_)</t>
  </si>
  <si>
    <t>SLPSQAH5-L10.0</t>
  </si>
  <si>
    <t>@ECHN-20061106-00010</t>
  </si>
  <si>
    <t>WEBﾊｰﾈｽ</t>
  </si>
  <si>
    <t>MISUMI</t>
    <phoneticPr fontId="2"/>
  </si>
  <si>
    <t>MVBLK-AMW-2KB-SKZTB</t>
    <phoneticPr fontId="2"/>
  </si>
  <si>
    <t>■SETA0054-X01(ﾍﾞｰｽﾌﾟﾚｰﾄ)</t>
    <phoneticPr fontId="2"/>
  </si>
  <si>
    <t>3/23ﾀｲｼｮｰ➡                 丸山ｻﾝﾍ手渡し</t>
    <rPh sb="27" eb="29">
      <t>マルヤマ</t>
    </rPh>
    <rPh sb="32" eb="34">
      <t>テワタ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</si>
</sst>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;[Red]\-0\ "/>
    <numFmt numFmtId="181" formatCode="0.0_ "/>
  </numFmts>
  <fonts count="13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b/>
      <u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color rgb="FF00B0F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8"/>
      <color theme="1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0" fontId="7" fillId="0" borderId="0" xfId="0" applyFo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49" fontId="8" fillId="4" borderId="1" xfId="0" applyNumberFormat="1" applyFont="1" applyFill="1" applyBorder="1">
      <alignment vertical="center"/>
    </xf>
    <xf numFmtId="0" fontId="4" fillId="0" borderId="1" xfId="0" applyFont="1" applyBorder="1" applyAlignment="1">
      <alignment horizontal="center" vertical="center" shrinkToFit="1"/>
    </xf>
    <xf numFmtId="0" fontId="0" fillId="0" borderId="0" xfId="0" applyFont="1">
      <alignment vertical="center"/>
    </xf>
    <xf numFmtId="176" fontId="5" fillId="0" borderId="1" xfId="0" applyNumberFormat="1" applyFont="1" applyBorder="1">
      <alignment vertical="center"/>
    </xf>
    <xf numFmtId="0" fontId="0" fillId="0" borderId="0" xfId="0" applyFont="1" applyBorder="1">
      <alignment vertical="center"/>
    </xf>
    <xf numFmtId="0" fontId="0" fillId="0" borderId="0" xfId="0" applyFont="1" applyBorder="1" applyAlignment="1">
      <alignment horizontal="center" vertical="center"/>
    </xf>
    <xf numFmtId="179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right" vertical="center"/>
    </xf>
    <xf numFmtId="179" fontId="0" fillId="0" borderId="0" xfId="0" applyNumberFormat="1" applyFont="1">
      <alignment vertical="center"/>
    </xf>
    <xf numFmtId="178" fontId="0" fillId="0" borderId="0" xfId="0" applyNumberFormat="1" applyFont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38" fontId="0" fillId="0" borderId="0" xfId="0" applyNumberFormat="1" applyFont="1">
      <alignment vertical="center"/>
    </xf>
    <xf numFmtId="177" fontId="4" fillId="0" borderId="1" xfId="0" applyNumberFormat="1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77" fontId="4" fillId="0" borderId="0" xfId="0" applyNumberFormat="1" applyFont="1" applyBorder="1" applyAlignment="1">
      <alignment horizontal="center" vertical="center"/>
    </xf>
    <xf numFmtId="180" fontId="0" fillId="0" borderId="0" xfId="0" applyNumberFormat="1" applyFont="1" applyAlignment="1">
      <alignment horizontal="center" vertical="center"/>
    </xf>
    <xf numFmtId="3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179" fontId="0" fillId="0" borderId="1" xfId="0" applyNumberFormat="1" applyFont="1" applyFill="1" applyBorder="1" applyAlignment="1">
      <alignment horizontal="center" vertical="center"/>
    </xf>
    <xf numFmtId="178" fontId="0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56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3" fontId="9" fillId="0" borderId="1" xfId="0" applyNumberFormat="1" applyFont="1" applyFill="1" applyBorder="1" applyAlignment="1">
      <alignment horizontal="center" vertical="center"/>
    </xf>
    <xf numFmtId="3" fontId="10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right" vertical="center"/>
    </xf>
    <xf numFmtId="0" fontId="10" fillId="0" borderId="3" xfId="0" applyFont="1" applyFill="1" applyBorder="1" applyAlignment="1">
      <alignment horizontal="right" vertical="center"/>
    </xf>
    <xf numFmtId="0" fontId="10" fillId="0" borderId="3" xfId="0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left" vertical="center"/>
    </xf>
    <xf numFmtId="0" fontId="10" fillId="0" borderId="1" xfId="0" applyFont="1" applyFill="1" applyBorder="1" applyAlignment="1">
      <alignment vertical="center"/>
    </xf>
    <xf numFmtId="38" fontId="10" fillId="0" borderId="1" xfId="0" applyNumberFormat="1" applyFont="1" applyFill="1" applyBorder="1" applyAlignment="1">
      <alignment horizontal="right" vertical="center"/>
    </xf>
    <xf numFmtId="0" fontId="10" fillId="0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181" fontId="0" fillId="0" borderId="0" xfId="0" applyNumberFormat="1">
      <alignment vertical="center"/>
    </xf>
    <xf numFmtId="18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0" fillId="0" borderId="1" xfId="0" applyFont="1" applyBorder="1" applyAlignment="1">
      <alignment horizontal="right" vertical="center"/>
    </xf>
    <xf numFmtId="179" fontId="0" fillId="0" borderId="1" xfId="0" applyNumberFormat="1" applyFont="1" applyBorder="1" applyAlignment="1">
      <alignment horizontal="center" vertical="center"/>
    </xf>
    <xf numFmtId="179" fontId="0" fillId="0" borderId="1" xfId="0" applyNumberFormat="1" applyFont="1" applyBorder="1">
      <alignment vertical="center"/>
    </xf>
    <xf numFmtId="178" fontId="0" fillId="0" borderId="1" xfId="0" applyNumberFormat="1" applyFont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3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79" fontId="0" fillId="0" borderId="1" xfId="0" applyNumberFormat="1" applyFont="1" applyFill="1" applyBorder="1" applyAlignment="1">
      <alignment horizontal="center" vertical="center"/>
    </xf>
    <xf numFmtId="178" fontId="0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56" fontId="0" fillId="0" borderId="1" xfId="0" applyNumberFormat="1" applyFont="1" applyFill="1" applyBorder="1" applyAlignment="1">
      <alignment horizontal="center" vertical="center"/>
    </xf>
    <xf numFmtId="56" fontId="6" fillId="0" borderId="1" xfId="0" applyNumberFormat="1" applyFont="1" applyFill="1" applyBorder="1" applyAlignment="1">
      <alignment horizontal="center" vertical="center"/>
    </xf>
    <xf numFmtId="3" fontId="10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right" vertical="center"/>
    </xf>
    <xf numFmtId="0" fontId="10" fillId="0" borderId="3" xfId="0" applyFont="1" applyFill="1" applyBorder="1" applyAlignment="1">
      <alignment horizontal="right" vertical="center"/>
    </xf>
    <xf numFmtId="0" fontId="10" fillId="0" borderId="1" xfId="0" applyFont="1" applyBorder="1">
      <alignment vertical="center"/>
    </xf>
    <xf numFmtId="0" fontId="10" fillId="0" borderId="1" xfId="0" applyFont="1" applyFill="1" applyBorder="1" applyAlignment="1">
      <alignment vertical="center"/>
    </xf>
    <xf numFmtId="0" fontId="10" fillId="0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vertical="center"/>
    </xf>
    <xf numFmtId="0" fontId="0" fillId="0" borderId="1" xfId="0" applyBorder="1">
      <alignment vertical="center"/>
    </xf>
    <xf numFmtId="0" fontId="6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49" fontId="0" fillId="0" borderId="1" xfId="0" applyNumberFormat="1" applyBorder="1">
      <alignment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178" fontId="12" fillId="0" borderId="1" xfId="0" applyNumberFormat="1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56"/>
  <sheetViews>
    <sheetView tabSelected="1" zoomScale="85" zoomScaleNormal="85" workbookViewId="0">
      <pane xSplit="10" ySplit="9" topLeftCell="K10" activePane="bottomRight" state="frozen"/>
      <selection pane="topRight" activeCell="K1" sqref="K1"/>
      <selection pane="bottomLeft" activeCell="A9" sqref="A9"/>
      <selection pane="bottomRight" activeCell="P22" sqref="P22"/>
    </sheetView>
  </sheetViews>
  <sheetFormatPr defaultColWidth="9" defaultRowHeight="13.5" x14ac:dyDescent="0.15"/>
  <cols>
    <col min="1" max="1" width="2.625" style="11" customWidth="1"/>
    <col min="2" max="2" width="20.125" style="20" bestFit="1" customWidth="1"/>
    <col min="3" max="3" width="14.375" style="11" bestFit="1" customWidth="1"/>
    <col min="4" max="4" width="13.125" style="11" bestFit="1" customWidth="1"/>
    <col min="5" max="5" width="40.625" style="11" customWidth="1"/>
    <col min="6" max="6" width="6.25" style="11" customWidth="1"/>
    <col min="7" max="8" width="9.875" style="11" bestFit="1" customWidth="1"/>
    <col min="9" max="9" width="5.75" style="16" customWidth="1"/>
    <col min="10" max="10" width="35.25" style="11" bestFit="1" customWidth="1"/>
    <col min="11" max="11" width="22.375" style="11" bestFit="1" customWidth="1"/>
    <col min="12" max="12" width="11" style="20" customWidth="1"/>
    <col min="13" max="13" width="13.75" style="15" customWidth="1"/>
    <col min="14" max="14" width="6.375" style="11" customWidth="1"/>
    <col min="15" max="15" width="13.25" style="16" customWidth="1"/>
    <col min="16" max="16" width="14.5" style="17" customWidth="1"/>
    <col min="17" max="17" width="16.625" style="18" customWidth="1"/>
    <col min="18" max="16384" width="9" style="11"/>
  </cols>
  <sheetData>
    <row r="2" spans="2:17" ht="20.100000000000001" customHeight="1" x14ac:dyDescent="0.15">
      <c r="B2" s="82" t="s">
        <v>11</v>
      </c>
      <c r="C2" s="82"/>
      <c r="D2" s="82"/>
      <c r="E2" s="10" t="s">
        <v>48</v>
      </c>
      <c r="G2" s="83" t="s">
        <v>15</v>
      </c>
      <c r="H2" s="84"/>
      <c r="I2" s="85"/>
      <c r="J2" s="12">
        <f>SUM(H:H)</f>
        <v>448676</v>
      </c>
      <c r="K2" s="13"/>
      <c r="L2" s="14"/>
    </row>
    <row r="3" spans="2:17" ht="20.100000000000001" customHeight="1" x14ac:dyDescent="0.15">
      <c r="B3" s="82" t="s">
        <v>10</v>
      </c>
      <c r="C3" s="82"/>
      <c r="D3" s="82"/>
      <c r="E3" s="19" t="s">
        <v>39</v>
      </c>
    </row>
    <row r="4" spans="2:17" ht="20.100000000000001" customHeight="1" x14ac:dyDescent="0.15">
      <c r="B4" s="82" t="s">
        <v>12</v>
      </c>
      <c r="C4" s="82"/>
      <c r="D4" s="82"/>
      <c r="E4" s="19">
        <v>184532</v>
      </c>
      <c r="J4" s="21"/>
    </row>
    <row r="5" spans="2:17" ht="20.100000000000001" customHeight="1" x14ac:dyDescent="0.15">
      <c r="B5" s="82" t="s">
        <v>13</v>
      </c>
      <c r="C5" s="82"/>
      <c r="D5" s="82"/>
      <c r="E5" s="22">
        <v>44280</v>
      </c>
      <c r="J5" s="21"/>
    </row>
    <row r="6" spans="2:17" ht="20.100000000000001" customHeight="1" x14ac:dyDescent="0.15">
      <c r="B6" s="82" t="s">
        <v>14</v>
      </c>
      <c r="C6" s="82"/>
      <c r="D6" s="82"/>
      <c r="E6" s="22">
        <v>44300</v>
      </c>
      <c r="J6" s="21"/>
    </row>
    <row r="7" spans="2:17" ht="20.100000000000001" customHeight="1" x14ac:dyDescent="0.15">
      <c r="B7" s="23"/>
      <c r="C7" s="23"/>
      <c r="D7" s="23"/>
      <c r="E7" s="24"/>
      <c r="J7" s="21"/>
      <c r="L7" s="25"/>
    </row>
    <row r="9" spans="2:17" s="31" customFormat="1" ht="19.7" customHeight="1" x14ac:dyDescent="0.15">
      <c r="B9" s="26" t="s">
        <v>4</v>
      </c>
      <c r="C9" s="26" t="s">
        <v>9</v>
      </c>
      <c r="D9" s="26" t="s">
        <v>5</v>
      </c>
      <c r="E9" s="27" t="s">
        <v>8</v>
      </c>
      <c r="F9" s="27" t="s">
        <v>0</v>
      </c>
      <c r="G9" s="27" t="s">
        <v>1</v>
      </c>
      <c r="H9" s="28" t="s">
        <v>2</v>
      </c>
      <c r="I9" s="28" t="s">
        <v>18</v>
      </c>
      <c r="J9" s="27" t="s">
        <v>3</v>
      </c>
      <c r="K9" s="27" t="s">
        <v>17</v>
      </c>
      <c r="L9" s="27" t="s">
        <v>16</v>
      </c>
      <c r="M9" s="29" t="s">
        <v>6</v>
      </c>
      <c r="N9" s="26" t="s">
        <v>19</v>
      </c>
      <c r="O9" s="27" t="s">
        <v>7</v>
      </c>
      <c r="P9" s="29" t="s">
        <v>20</v>
      </c>
      <c r="Q9" s="30" t="s">
        <v>21</v>
      </c>
    </row>
    <row r="10" spans="2:17" s="31" customFormat="1" ht="19.7" customHeight="1" x14ac:dyDescent="0.15">
      <c r="B10" s="26">
        <v>11</v>
      </c>
      <c r="C10" s="26" t="s">
        <v>53</v>
      </c>
      <c r="D10" s="26" t="s">
        <v>53</v>
      </c>
      <c r="E10" s="33" t="s">
        <v>52</v>
      </c>
      <c r="F10" s="37">
        <v>1</v>
      </c>
      <c r="G10" s="27"/>
      <c r="H10" s="28"/>
      <c r="I10" s="28"/>
      <c r="J10" s="33" t="s">
        <v>55</v>
      </c>
      <c r="K10" s="27"/>
      <c r="L10" s="27"/>
      <c r="M10" s="29"/>
      <c r="N10" s="26"/>
      <c r="O10" s="27"/>
      <c r="P10" s="29"/>
      <c r="Q10" s="30"/>
    </row>
    <row r="11" spans="2:17" s="31" customFormat="1" ht="19.7" customHeight="1" x14ac:dyDescent="0.15">
      <c r="B11" s="26">
        <v>1</v>
      </c>
      <c r="C11" s="35" t="s">
        <v>54</v>
      </c>
      <c r="D11" s="35" t="s">
        <v>54</v>
      </c>
      <c r="E11" s="41" t="s">
        <v>49</v>
      </c>
      <c r="F11" s="37">
        <v>1</v>
      </c>
      <c r="G11" s="37">
        <v>305000</v>
      </c>
      <c r="H11" s="38">
        <f>F11*G11</f>
        <v>305000</v>
      </c>
      <c r="I11" s="39"/>
      <c r="J11" s="43" t="s">
        <v>57</v>
      </c>
      <c r="K11" s="27"/>
      <c r="L11" s="27"/>
      <c r="M11" s="29"/>
      <c r="N11" s="26"/>
      <c r="O11" s="27"/>
      <c r="P11" s="29"/>
      <c r="Q11" s="30"/>
    </row>
    <row r="12" spans="2:17" s="31" customFormat="1" ht="19.7" customHeight="1" x14ac:dyDescent="0.15">
      <c r="B12" s="26">
        <v>2</v>
      </c>
      <c r="C12" s="35" t="s">
        <v>54</v>
      </c>
      <c r="D12" s="35" t="s">
        <v>54</v>
      </c>
      <c r="E12" s="41" t="s">
        <v>50</v>
      </c>
      <c r="F12" s="37">
        <v>1</v>
      </c>
      <c r="G12" s="37">
        <v>38000</v>
      </c>
      <c r="H12" s="67">
        <f t="shared" ref="H12:H16" si="0">F12*G12</f>
        <v>38000</v>
      </c>
      <c r="I12" s="39"/>
      <c r="J12" s="43" t="s">
        <v>55</v>
      </c>
      <c r="K12" s="27"/>
      <c r="L12" s="27"/>
      <c r="M12" s="29"/>
      <c r="N12" s="26"/>
      <c r="O12" s="27"/>
      <c r="P12" s="29"/>
      <c r="Q12" s="30"/>
    </row>
    <row r="13" spans="2:17" s="31" customFormat="1" ht="19.7" customHeight="1" x14ac:dyDescent="0.15">
      <c r="B13" s="26">
        <v>4</v>
      </c>
      <c r="C13" s="35" t="s">
        <v>54</v>
      </c>
      <c r="D13" s="35" t="s">
        <v>54</v>
      </c>
      <c r="E13" s="41" t="s">
        <v>51</v>
      </c>
      <c r="F13" s="37">
        <v>1</v>
      </c>
      <c r="G13" s="49">
        <v>50000</v>
      </c>
      <c r="H13" s="67">
        <f t="shared" si="0"/>
        <v>50000</v>
      </c>
      <c r="I13" s="36"/>
      <c r="J13" s="43" t="s">
        <v>58</v>
      </c>
      <c r="K13" s="27"/>
      <c r="L13" s="27"/>
      <c r="M13" s="29">
        <v>44243</v>
      </c>
      <c r="N13" s="26"/>
      <c r="O13" s="32">
        <v>44267</v>
      </c>
      <c r="P13" s="29">
        <v>44267</v>
      </c>
      <c r="Q13" s="30">
        <v>44267</v>
      </c>
    </row>
    <row r="14" spans="2:17" s="31" customFormat="1" ht="19.7" customHeight="1" x14ac:dyDescent="0.15">
      <c r="B14" s="26"/>
      <c r="C14" s="35" t="s">
        <v>54</v>
      </c>
      <c r="D14" s="35" t="s">
        <v>54</v>
      </c>
      <c r="E14" s="41" t="s">
        <v>56</v>
      </c>
      <c r="F14" s="49">
        <v>1</v>
      </c>
      <c r="G14" s="49">
        <v>1300</v>
      </c>
      <c r="H14" s="67">
        <f t="shared" si="0"/>
        <v>1300</v>
      </c>
      <c r="I14" s="36"/>
      <c r="J14" s="43"/>
      <c r="K14" s="27"/>
      <c r="L14" s="27"/>
      <c r="M14" s="29">
        <v>44243</v>
      </c>
      <c r="N14" s="26"/>
      <c r="O14" s="32">
        <v>44267</v>
      </c>
      <c r="P14" s="29"/>
      <c r="Q14" s="30"/>
    </row>
    <row r="15" spans="2:17" s="61" customFormat="1" ht="19.7" customHeight="1" x14ac:dyDescent="0.15">
      <c r="B15" s="57"/>
      <c r="C15" s="64"/>
      <c r="D15" s="64"/>
      <c r="E15" s="69"/>
      <c r="F15" s="73"/>
      <c r="G15" s="73"/>
      <c r="H15" s="73"/>
      <c r="I15" s="65"/>
      <c r="J15" s="70"/>
      <c r="K15" s="58"/>
      <c r="L15" s="58"/>
      <c r="M15" s="59"/>
      <c r="N15" s="57"/>
      <c r="O15" s="62"/>
      <c r="P15" s="59"/>
      <c r="Q15" s="60"/>
    </row>
    <row r="16" spans="2:17" s="31" customFormat="1" ht="19.7" customHeight="1" x14ac:dyDescent="0.15">
      <c r="B16" s="57">
        <v>6</v>
      </c>
      <c r="C16" s="64" t="s">
        <v>59</v>
      </c>
      <c r="D16" s="64" t="s">
        <v>59</v>
      </c>
      <c r="E16" s="75" t="s">
        <v>60</v>
      </c>
      <c r="F16" s="66">
        <v>1</v>
      </c>
      <c r="G16" s="66">
        <v>3000</v>
      </c>
      <c r="H16" s="67">
        <f t="shared" si="0"/>
        <v>3000</v>
      </c>
      <c r="I16" s="65"/>
      <c r="J16" s="75" t="s">
        <v>60</v>
      </c>
      <c r="K16" s="74"/>
      <c r="L16" s="58"/>
      <c r="M16" s="59">
        <v>44266</v>
      </c>
      <c r="N16" s="57"/>
      <c r="O16" s="62">
        <v>44285</v>
      </c>
      <c r="P16" s="59">
        <v>44284</v>
      </c>
      <c r="Q16" s="89" t="s">
        <v>87</v>
      </c>
    </row>
    <row r="17" spans="2:17" s="31" customFormat="1" ht="19.7" customHeight="1" x14ac:dyDescent="0.15">
      <c r="B17" s="57">
        <v>6</v>
      </c>
      <c r="C17" s="64" t="s">
        <v>61</v>
      </c>
      <c r="D17" s="64" t="s">
        <v>61</v>
      </c>
      <c r="E17" s="72" t="s">
        <v>62</v>
      </c>
      <c r="F17" s="73">
        <v>1</v>
      </c>
      <c r="G17" s="73">
        <v>70</v>
      </c>
      <c r="H17" s="73">
        <v>70</v>
      </c>
      <c r="I17" s="65"/>
      <c r="J17" s="73" t="s">
        <v>63</v>
      </c>
      <c r="K17" s="58" t="s">
        <v>64</v>
      </c>
      <c r="L17" s="57"/>
      <c r="M17" s="59">
        <v>44265</v>
      </c>
      <c r="N17" s="57"/>
      <c r="O17" s="62"/>
      <c r="P17" s="62"/>
      <c r="Q17" s="60">
        <v>44277</v>
      </c>
    </row>
    <row r="18" spans="2:17" s="31" customFormat="1" ht="19.7" customHeight="1" x14ac:dyDescent="0.15">
      <c r="B18" s="57">
        <v>6</v>
      </c>
      <c r="C18" s="64" t="s">
        <v>61</v>
      </c>
      <c r="D18" s="64" t="s">
        <v>61</v>
      </c>
      <c r="E18" s="72" t="s">
        <v>65</v>
      </c>
      <c r="F18" s="73">
        <v>2</v>
      </c>
      <c r="G18" s="73">
        <v>147</v>
      </c>
      <c r="H18" s="73">
        <v>294</v>
      </c>
      <c r="I18" s="65"/>
      <c r="J18" s="73" t="s">
        <v>66</v>
      </c>
      <c r="K18" s="58" t="s">
        <v>64</v>
      </c>
      <c r="L18" s="57"/>
      <c r="M18" s="59">
        <v>44265</v>
      </c>
      <c r="N18" s="57"/>
      <c r="O18" s="62"/>
      <c r="P18" s="62"/>
      <c r="Q18" s="60">
        <v>44277</v>
      </c>
    </row>
    <row r="19" spans="2:17" s="31" customFormat="1" ht="19.7" customHeight="1" x14ac:dyDescent="0.15">
      <c r="B19" s="57">
        <v>6</v>
      </c>
      <c r="C19" s="64" t="s">
        <v>61</v>
      </c>
      <c r="D19" s="64" t="s">
        <v>61</v>
      </c>
      <c r="E19" s="72" t="s">
        <v>67</v>
      </c>
      <c r="F19" s="73">
        <v>1</v>
      </c>
      <c r="G19" s="73">
        <v>6020</v>
      </c>
      <c r="H19" s="73">
        <v>6020</v>
      </c>
      <c r="I19" s="65"/>
      <c r="J19" s="75" t="s">
        <v>68</v>
      </c>
      <c r="K19" s="58" t="s">
        <v>64</v>
      </c>
      <c r="L19" s="57"/>
      <c r="M19" s="59">
        <v>44265</v>
      </c>
      <c r="N19" s="57"/>
      <c r="O19" s="62"/>
      <c r="P19" s="62"/>
      <c r="Q19" s="60">
        <v>44277</v>
      </c>
    </row>
    <row r="20" spans="2:17" s="31" customFormat="1" ht="19.7" customHeight="1" x14ac:dyDescent="0.15">
      <c r="B20" s="57">
        <v>6</v>
      </c>
      <c r="C20" s="64" t="s">
        <v>61</v>
      </c>
      <c r="D20" s="64" t="s">
        <v>61</v>
      </c>
      <c r="E20" s="72" t="s">
        <v>69</v>
      </c>
      <c r="F20" s="73">
        <v>1</v>
      </c>
      <c r="G20" s="73">
        <v>5419</v>
      </c>
      <c r="H20" s="73">
        <v>5419</v>
      </c>
      <c r="I20" s="65"/>
      <c r="J20" s="75" t="s">
        <v>70</v>
      </c>
      <c r="K20" s="58" t="s">
        <v>64</v>
      </c>
      <c r="L20" s="57"/>
      <c r="M20" s="59">
        <v>44265</v>
      </c>
      <c r="N20" s="57"/>
      <c r="O20" s="63"/>
      <c r="P20" s="62"/>
      <c r="Q20" s="60">
        <v>44277</v>
      </c>
    </row>
    <row r="21" spans="2:17" s="31" customFormat="1" ht="19.7" customHeight="1" x14ac:dyDescent="0.15">
      <c r="B21" s="57">
        <v>6</v>
      </c>
      <c r="C21" s="64" t="s">
        <v>61</v>
      </c>
      <c r="D21" s="64" t="s">
        <v>61</v>
      </c>
      <c r="E21" s="72" t="s">
        <v>71</v>
      </c>
      <c r="F21" s="73">
        <v>1</v>
      </c>
      <c r="G21" s="73">
        <v>5330</v>
      </c>
      <c r="H21" s="73">
        <v>5330</v>
      </c>
      <c r="I21" s="65"/>
      <c r="J21" s="75" t="s">
        <v>72</v>
      </c>
      <c r="K21" s="58" t="s">
        <v>64</v>
      </c>
      <c r="L21" s="58"/>
      <c r="M21" s="59">
        <v>44265</v>
      </c>
      <c r="N21" s="57"/>
      <c r="O21" s="58"/>
      <c r="P21" s="59"/>
      <c r="Q21" s="60">
        <v>44277</v>
      </c>
    </row>
    <row r="22" spans="2:17" s="31" customFormat="1" ht="19.7" customHeight="1" x14ac:dyDescent="0.15">
      <c r="B22" s="57">
        <v>7</v>
      </c>
      <c r="C22" s="64" t="s">
        <v>61</v>
      </c>
      <c r="D22" s="64" t="s">
        <v>61</v>
      </c>
      <c r="E22" s="72" t="s">
        <v>73</v>
      </c>
      <c r="F22" s="73">
        <v>1</v>
      </c>
      <c r="G22" s="73">
        <v>6350</v>
      </c>
      <c r="H22" s="73">
        <v>6350</v>
      </c>
      <c r="I22" s="65"/>
      <c r="J22" s="71" t="s">
        <v>74</v>
      </c>
      <c r="K22" s="58" t="s">
        <v>64</v>
      </c>
      <c r="L22" s="57"/>
      <c r="M22" s="59">
        <v>44265</v>
      </c>
      <c r="N22" s="57"/>
      <c r="O22" s="62"/>
      <c r="P22" s="59"/>
      <c r="Q22" s="60">
        <v>44277</v>
      </c>
    </row>
    <row r="23" spans="2:17" s="31" customFormat="1" ht="19.7" customHeight="1" x14ac:dyDescent="0.15">
      <c r="B23" s="57">
        <v>7</v>
      </c>
      <c r="C23" s="64" t="s">
        <v>61</v>
      </c>
      <c r="D23" s="64" t="s">
        <v>61</v>
      </c>
      <c r="E23" s="68" t="s">
        <v>75</v>
      </c>
      <c r="F23" s="73">
        <v>1</v>
      </c>
      <c r="G23" s="73">
        <v>8373</v>
      </c>
      <c r="H23" s="73">
        <v>8373</v>
      </c>
      <c r="I23" s="65"/>
      <c r="J23" s="71" t="s">
        <v>76</v>
      </c>
      <c r="K23" s="58" t="s">
        <v>64</v>
      </c>
      <c r="L23" s="57"/>
      <c r="M23" s="59">
        <v>44265</v>
      </c>
      <c r="N23" s="57"/>
      <c r="O23" s="63"/>
      <c r="P23" s="62"/>
      <c r="Q23" s="60">
        <v>44277</v>
      </c>
    </row>
    <row r="24" spans="2:17" s="31" customFormat="1" ht="19.7" customHeight="1" x14ac:dyDescent="0.15">
      <c r="B24" s="57">
        <v>7</v>
      </c>
      <c r="C24" s="64" t="s">
        <v>61</v>
      </c>
      <c r="D24" s="64" t="s">
        <v>61</v>
      </c>
      <c r="E24" s="68" t="s">
        <v>77</v>
      </c>
      <c r="F24" s="73">
        <v>1</v>
      </c>
      <c r="G24" s="73">
        <v>6552</v>
      </c>
      <c r="H24" s="73">
        <v>6552</v>
      </c>
      <c r="I24" s="65"/>
      <c r="J24" s="71" t="s">
        <v>78</v>
      </c>
      <c r="K24" s="58" t="s">
        <v>64</v>
      </c>
      <c r="L24" s="58"/>
      <c r="M24" s="59">
        <v>44265</v>
      </c>
      <c r="N24" s="57"/>
      <c r="O24" s="58"/>
      <c r="P24" s="59"/>
      <c r="Q24" s="60">
        <v>44277</v>
      </c>
    </row>
    <row r="25" spans="2:17" s="31" customFormat="1" ht="19.7" customHeight="1" x14ac:dyDescent="0.15">
      <c r="B25" s="57">
        <v>7</v>
      </c>
      <c r="C25" s="64" t="s">
        <v>61</v>
      </c>
      <c r="D25" s="64" t="s">
        <v>61</v>
      </c>
      <c r="E25" s="68" t="s">
        <v>79</v>
      </c>
      <c r="F25" s="73">
        <v>1</v>
      </c>
      <c r="G25" s="73">
        <v>1050</v>
      </c>
      <c r="H25" s="73">
        <v>1050</v>
      </c>
      <c r="I25" s="65"/>
      <c r="J25" s="73" t="s">
        <v>80</v>
      </c>
      <c r="K25" s="58" t="s">
        <v>64</v>
      </c>
      <c r="L25" s="58"/>
      <c r="M25" s="59">
        <v>44265</v>
      </c>
      <c r="N25" s="57"/>
      <c r="O25" s="58"/>
      <c r="P25" s="59"/>
      <c r="Q25" s="60">
        <v>44277</v>
      </c>
    </row>
    <row r="26" spans="2:17" s="31" customFormat="1" ht="19.7" customHeight="1" x14ac:dyDescent="0.15">
      <c r="B26" s="57">
        <v>7</v>
      </c>
      <c r="C26" s="64" t="s">
        <v>61</v>
      </c>
      <c r="D26" s="64" t="s">
        <v>61</v>
      </c>
      <c r="E26" s="68" t="s">
        <v>81</v>
      </c>
      <c r="F26" s="73">
        <v>1</v>
      </c>
      <c r="G26" s="73">
        <v>1130</v>
      </c>
      <c r="H26" s="73">
        <v>1130</v>
      </c>
      <c r="I26" s="65"/>
      <c r="J26" s="73" t="s">
        <v>80</v>
      </c>
      <c r="K26" s="58" t="s">
        <v>64</v>
      </c>
      <c r="L26" s="58"/>
      <c r="M26" s="59">
        <v>44265</v>
      </c>
      <c r="N26" s="57"/>
      <c r="O26" s="58"/>
      <c r="P26" s="59"/>
      <c r="Q26" s="60">
        <v>44277</v>
      </c>
    </row>
    <row r="27" spans="2:17" s="31" customFormat="1" ht="19.7" customHeight="1" x14ac:dyDescent="0.15">
      <c r="B27" s="57">
        <v>5</v>
      </c>
      <c r="C27" s="64" t="s">
        <v>61</v>
      </c>
      <c r="D27" s="64" t="s">
        <v>61</v>
      </c>
      <c r="E27" s="76" t="s">
        <v>82</v>
      </c>
      <c r="F27" s="73">
        <v>1</v>
      </c>
      <c r="G27" s="73">
        <v>2814</v>
      </c>
      <c r="H27" s="73">
        <v>2814</v>
      </c>
      <c r="I27" s="65"/>
      <c r="J27" s="73" t="s">
        <v>83</v>
      </c>
      <c r="K27" s="58" t="s">
        <v>64</v>
      </c>
      <c r="L27" s="58"/>
      <c r="M27" s="59">
        <v>44265</v>
      </c>
      <c r="N27" s="57"/>
      <c r="O27" s="58"/>
      <c r="P27" s="59"/>
      <c r="Q27" s="60">
        <v>44274</v>
      </c>
    </row>
    <row r="28" spans="2:17" s="77" customFormat="1" ht="19.7" customHeight="1" x14ac:dyDescent="0.15">
      <c r="B28" s="78">
        <v>7</v>
      </c>
      <c r="C28" s="79" t="s">
        <v>84</v>
      </c>
      <c r="D28" s="79" t="s">
        <v>84</v>
      </c>
      <c r="E28" s="73" t="s">
        <v>85</v>
      </c>
      <c r="F28" s="73">
        <v>1</v>
      </c>
      <c r="G28" s="73">
        <v>7974</v>
      </c>
      <c r="H28" s="73">
        <v>7974</v>
      </c>
      <c r="I28" s="80"/>
      <c r="J28" s="71" t="s">
        <v>86</v>
      </c>
      <c r="K28" s="47" t="s">
        <v>64</v>
      </c>
      <c r="L28" s="47"/>
      <c r="M28" s="59">
        <v>44265</v>
      </c>
      <c r="N28" s="78"/>
      <c r="O28" s="47"/>
      <c r="P28" s="81"/>
      <c r="Q28" s="60">
        <v>44277</v>
      </c>
    </row>
    <row r="29" spans="2:17" s="31" customFormat="1" ht="19.7" customHeight="1" x14ac:dyDescent="0.15">
      <c r="B29" s="26"/>
      <c r="C29" s="35"/>
      <c r="D29" s="35"/>
      <c r="E29" s="49"/>
      <c r="F29" s="49"/>
      <c r="G29" s="49"/>
      <c r="H29" s="49"/>
      <c r="I29" s="39"/>
      <c r="J29" s="49"/>
      <c r="K29" s="27"/>
      <c r="L29" s="27"/>
      <c r="M29" s="29"/>
      <c r="N29" s="26"/>
      <c r="O29" s="27"/>
      <c r="P29" s="29"/>
      <c r="Q29" s="30"/>
    </row>
    <row r="30" spans="2:17" s="31" customFormat="1" ht="19.7" customHeight="1" x14ac:dyDescent="0.15">
      <c r="B30" s="26"/>
      <c r="C30" s="35"/>
      <c r="D30" s="35"/>
      <c r="E30" s="49"/>
      <c r="F30" s="49"/>
      <c r="G30" s="49"/>
      <c r="H30" s="49"/>
      <c r="I30" s="39"/>
      <c r="J30" s="49"/>
      <c r="K30" s="27"/>
      <c r="L30" s="27"/>
      <c r="M30" s="29"/>
      <c r="N30" s="26"/>
      <c r="O30" s="27"/>
      <c r="P30" s="29"/>
      <c r="Q30" s="30"/>
    </row>
    <row r="31" spans="2:17" s="31" customFormat="1" ht="19.7" customHeight="1" x14ac:dyDescent="0.15">
      <c r="B31" s="26"/>
      <c r="C31" s="35"/>
      <c r="D31" s="35"/>
      <c r="E31" s="49"/>
      <c r="F31" s="49"/>
      <c r="G31" s="49"/>
      <c r="H31" s="49"/>
      <c r="I31" s="39"/>
      <c r="J31" s="49"/>
      <c r="K31" s="27"/>
      <c r="L31" s="27"/>
      <c r="M31" s="29"/>
      <c r="N31" s="26"/>
      <c r="O31" s="27"/>
      <c r="P31" s="29"/>
      <c r="Q31" s="30"/>
    </row>
    <row r="32" spans="2:17" s="31" customFormat="1" ht="19.5" customHeight="1" x14ac:dyDescent="0.15">
      <c r="B32" s="34"/>
      <c r="C32" s="35"/>
      <c r="D32" s="35"/>
      <c r="E32" s="40"/>
      <c r="F32" s="41"/>
      <c r="G32" s="42"/>
      <c r="H32" s="37"/>
      <c r="I32" s="36"/>
      <c r="J32" s="43"/>
      <c r="K32" s="33"/>
      <c r="L32" s="26"/>
      <c r="M32" s="29"/>
      <c r="N32" s="26"/>
      <c r="O32" s="32"/>
      <c r="P32" s="29"/>
      <c r="Q32" s="29"/>
    </row>
    <row r="33" spans="2:17" ht="19.5" customHeight="1" x14ac:dyDescent="0.15">
      <c r="B33" s="50"/>
      <c r="C33" s="35"/>
      <c r="D33" s="35"/>
      <c r="E33" s="49"/>
      <c r="F33" s="49"/>
      <c r="G33" s="49"/>
      <c r="H33" s="49"/>
      <c r="I33" s="52"/>
      <c r="J33" s="49"/>
      <c r="K33" s="27"/>
      <c r="L33" s="50"/>
      <c r="M33" s="53"/>
      <c r="N33" s="51"/>
      <c r="O33" s="52"/>
      <c r="P33" s="54"/>
      <c r="Q33" s="55"/>
    </row>
    <row r="34" spans="2:17" ht="19.5" customHeight="1" x14ac:dyDescent="0.15">
      <c r="B34" s="50"/>
      <c r="C34" s="35"/>
      <c r="D34" s="35"/>
      <c r="E34" s="49"/>
      <c r="F34" s="49"/>
      <c r="G34" s="49"/>
      <c r="H34" s="49"/>
      <c r="I34" s="52"/>
      <c r="J34" s="49"/>
      <c r="K34" s="27"/>
      <c r="L34" s="50"/>
      <c r="M34" s="53"/>
      <c r="N34" s="51"/>
      <c r="O34" s="52"/>
      <c r="P34" s="54"/>
      <c r="Q34" s="55"/>
    </row>
    <row r="35" spans="2:17" ht="19.5" customHeight="1" x14ac:dyDescent="0.15">
      <c r="B35" s="50"/>
      <c r="C35" s="35"/>
      <c r="D35" s="35"/>
      <c r="E35" s="49"/>
      <c r="F35" s="49"/>
      <c r="G35" s="49"/>
      <c r="H35" s="49"/>
      <c r="I35" s="52"/>
      <c r="J35" s="49"/>
      <c r="K35" s="27"/>
      <c r="L35" s="50"/>
      <c r="M35" s="53"/>
      <c r="N35" s="51"/>
      <c r="O35" s="52"/>
      <c r="P35" s="54"/>
      <c r="Q35" s="55"/>
    </row>
    <row r="36" spans="2:17" ht="19.5" customHeight="1" x14ac:dyDescent="0.15">
      <c r="B36" s="50"/>
      <c r="C36" s="35"/>
      <c r="D36" s="35"/>
      <c r="E36" s="49"/>
      <c r="F36" s="49"/>
      <c r="G36" s="49"/>
      <c r="H36" s="49"/>
      <c r="I36" s="52"/>
      <c r="J36" s="49"/>
      <c r="K36" s="27"/>
      <c r="L36" s="50"/>
      <c r="M36" s="29"/>
      <c r="N36" s="51"/>
      <c r="O36" s="52"/>
      <c r="P36" s="54"/>
      <c r="Q36" s="55"/>
    </row>
    <row r="37" spans="2:17" ht="19.5" customHeight="1" x14ac:dyDescent="0.15">
      <c r="B37" s="50"/>
      <c r="C37" s="35"/>
      <c r="D37" s="35"/>
      <c r="E37" s="49"/>
      <c r="F37" s="49"/>
      <c r="G37" s="49"/>
      <c r="H37" s="49"/>
      <c r="I37" s="52"/>
      <c r="J37" s="49"/>
      <c r="K37" s="27"/>
      <c r="L37" s="50"/>
      <c r="M37" s="53"/>
      <c r="N37" s="51"/>
      <c r="O37" s="52"/>
      <c r="P37" s="54"/>
      <c r="Q37" s="55"/>
    </row>
    <row r="38" spans="2:17" ht="19.5" customHeight="1" x14ac:dyDescent="0.15">
      <c r="B38" s="50"/>
      <c r="C38" s="35"/>
      <c r="D38" s="35"/>
      <c r="E38" s="49"/>
      <c r="F38" s="49"/>
      <c r="G38" s="49"/>
      <c r="H38" s="49"/>
      <c r="I38" s="52"/>
      <c r="J38" s="49"/>
      <c r="K38" s="27"/>
      <c r="L38" s="50"/>
      <c r="M38" s="53"/>
      <c r="N38" s="51"/>
      <c r="O38" s="52"/>
      <c r="P38" s="54"/>
      <c r="Q38" s="55"/>
    </row>
    <row r="39" spans="2:17" ht="19.5" customHeight="1" x14ac:dyDescent="0.15">
      <c r="B39" s="50"/>
      <c r="C39" s="35"/>
      <c r="D39" s="35"/>
      <c r="E39" s="49"/>
      <c r="F39" s="49"/>
      <c r="G39" s="49"/>
      <c r="H39" s="49"/>
      <c r="I39" s="52"/>
      <c r="J39" s="49"/>
      <c r="K39" s="27"/>
      <c r="L39" s="50"/>
      <c r="M39" s="53"/>
      <c r="N39" s="51"/>
      <c r="O39" s="52"/>
      <c r="P39" s="54"/>
      <c r="Q39" s="55"/>
    </row>
    <row r="40" spans="2:17" ht="19.5" customHeight="1" x14ac:dyDescent="0.15">
      <c r="B40" s="50"/>
      <c r="C40" s="35"/>
      <c r="D40" s="35"/>
      <c r="E40" s="49"/>
      <c r="F40" s="49"/>
      <c r="G40" s="49"/>
      <c r="H40" s="49"/>
      <c r="I40" s="52"/>
      <c r="J40" s="49"/>
      <c r="K40" s="27"/>
      <c r="L40" s="50"/>
      <c r="M40" s="53"/>
      <c r="N40" s="51"/>
      <c r="O40" s="52"/>
      <c r="P40" s="54"/>
      <c r="Q40" s="55"/>
    </row>
    <row r="41" spans="2:17" ht="19.5" customHeight="1" x14ac:dyDescent="0.15">
      <c r="B41" s="50"/>
      <c r="C41" s="35"/>
      <c r="D41" s="35"/>
      <c r="E41" s="49"/>
      <c r="F41" s="49"/>
      <c r="G41" s="49"/>
      <c r="H41" s="49"/>
      <c r="I41" s="52"/>
      <c r="J41" s="49"/>
      <c r="K41" s="27"/>
      <c r="L41" s="50"/>
      <c r="M41" s="53"/>
      <c r="N41" s="51"/>
      <c r="O41" s="52"/>
      <c r="P41" s="54"/>
      <c r="Q41" s="55"/>
    </row>
    <row r="42" spans="2:17" ht="19.5" customHeight="1" x14ac:dyDescent="0.15">
      <c r="B42" s="50"/>
      <c r="C42" s="51"/>
      <c r="D42" s="51"/>
      <c r="E42" s="51"/>
      <c r="F42" s="51"/>
      <c r="G42" s="51"/>
      <c r="H42" s="51"/>
      <c r="I42" s="52"/>
      <c r="J42" s="51"/>
      <c r="K42" s="51"/>
      <c r="L42" s="50"/>
      <c r="M42" s="53"/>
      <c r="N42" s="51"/>
      <c r="O42" s="52"/>
      <c r="P42" s="54"/>
      <c r="Q42" s="55"/>
    </row>
    <row r="43" spans="2:17" ht="19.5" customHeight="1" x14ac:dyDescent="0.15">
      <c r="B43" s="50"/>
      <c r="C43" s="51"/>
      <c r="D43" s="51"/>
      <c r="E43" s="51"/>
      <c r="F43" s="51"/>
      <c r="G43" s="51"/>
      <c r="H43" s="51"/>
      <c r="I43" s="52"/>
      <c r="J43" s="51"/>
      <c r="K43" s="51"/>
      <c r="L43" s="50"/>
      <c r="M43" s="53"/>
      <c r="N43" s="51"/>
      <c r="O43" s="52"/>
      <c r="P43" s="54"/>
      <c r="Q43" s="55"/>
    </row>
    <row r="56" spans="11:11" x14ac:dyDescent="0.15">
      <c r="K56" s="11" t="s">
        <v>47</v>
      </c>
    </row>
  </sheetData>
  <autoFilter ref="B9:O32" xr:uid="{00000000-0009-0000-0000-000000000000}"/>
  <mergeCells count="6">
    <mergeCell ref="B6:D6"/>
    <mergeCell ref="G2:I2"/>
    <mergeCell ref="B2:D2"/>
    <mergeCell ref="B3:D3"/>
    <mergeCell ref="B4:D4"/>
    <mergeCell ref="B5:D5"/>
  </mergeCells>
  <phoneticPr fontId="2"/>
  <pageMargins left="0.2" right="0.2" top="0.36" bottom="0.41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99708-4C08-405D-897B-51FF551FEDC8}">
  <dimension ref="A1:B5"/>
  <sheetViews>
    <sheetView view="pageLayout" zoomScaleNormal="100" workbookViewId="0">
      <selection activeCell="B10" sqref="B10"/>
    </sheetView>
  </sheetViews>
  <sheetFormatPr defaultRowHeight="13.5" x14ac:dyDescent="0.15"/>
  <cols>
    <col min="1" max="1" width="12.125" bestFit="1" customWidth="1"/>
    <col min="2" max="2" width="19.625" bestFit="1" customWidth="1"/>
  </cols>
  <sheetData>
    <row r="1" spans="1:2" ht="17.25" x14ac:dyDescent="0.15">
      <c r="A1" s="56" t="s">
        <v>11</v>
      </c>
      <c r="B1" s="10" t="s">
        <v>48</v>
      </c>
    </row>
    <row r="2" spans="1:2" ht="17.25" x14ac:dyDescent="0.15">
      <c r="A2" s="56" t="s">
        <v>10</v>
      </c>
      <c r="B2" s="19" t="s">
        <v>39</v>
      </c>
    </row>
    <row r="3" spans="1:2" ht="17.25" x14ac:dyDescent="0.15">
      <c r="A3" s="56" t="s">
        <v>12</v>
      </c>
      <c r="B3" s="19">
        <v>184532</v>
      </c>
    </row>
    <row r="4" spans="1:2" ht="17.25" x14ac:dyDescent="0.15">
      <c r="A4" s="56" t="s">
        <v>13</v>
      </c>
      <c r="B4" s="22"/>
    </row>
    <row r="5" spans="1:2" ht="17.25" x14ac:dyDescent="0.15">
      <c r="A5" s="56" t="s">
        <v>14</v>
      </c>
      <c r="B5" s="22">
        <v>44300</v>
      </c>
    </row>
  </sheetData>
  <phoneticPr fontId="11"/>
  <pageMargins left="0.7" right="0.7" top="0.75" bottom="0.75" header="0.3" footer="0.3"/>
  <pageSetup paperSize="9" scale="25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9"/>
  <sheetViews>
    <sheetView workbookViewId="0">
      <selection activeCell="F17" sqref="F17"/>
    </sheetView>
  </sheetViews>
  <sheetFormatPr defaultRowHeight="13.5" x14ac:dyDescent="0.15"/>
  <cols>
    <col min="1" max="1" width="5.625" customWidth="1"/>
    <col min="2" max="2" width="3.5" bestFit="1" customWidth="1"/>
    <col min="3" max="3" width="17.625" customWidth="1"/>
    <col min="4" max="4" width="25.75" bestFit="1" customWidth="1"/>
    <col min="5" max="5" width="5.875" bestFit="1" customWidth="1"/>
    <col min="6" max="6" width="15.625" customWidth="1"/>
  </cols>
  <sheetData>
    <row r="2" spans="1:6" x14ac:dyDescent="0.15">
      <c r="D2" s="1"/>
      <c r="F2" s="1" t="s">
        <v>36</v>
      </c>
    </row>
    <row r="3" spans="1:6" x14ac:dyDescent="0.15">
      <c r="A3" s="3" t="s">
        <v>35</v>
      </c>
    </row>
    <row r="5" spans="1:6" x14ac:dyDescent="0.15">
      <c r="B5" s="4" t="s">
        <v>25</v>
      </c>
      <c r="C5" s="4" t="s">
        <v>23</v>
      </c>
      <c r="D5" s="4" t="s">
        <v>22</v>
      </c>
      <c r="E5" s="4" t="s">
        <v>24</v>
      </c>
      <c r="F5" s="5" t="s">
        <v>26</v>
      </c>
    </row>
    <row r="6" spans="1:6" ht="20.100000000000001" customHeight="1" x14ac:dyDescent="0.15">
      <c r="B6" s="7">
        <v>1</v>
      </c>
      <c r="C6" s="8" t="s">
        <v>29</v>
      </c>
      <c r="D6" s="8" t="s">
        <v>30</v>
      </c>
      <c r="E6" s="7">
        <v>2</v>
      </c>
      <c r="F6" s="86" t="s">
        <v>33</v>
      </c>
    </row>
    <row r="7" spans="1:6" ht="20.100000000000001" customHeight="1" x14ac:dyDescent="0.15">
      <c r="B7" s="7">
        <v>2</v>
      </c>
      <c r="C7" s="9" t="s">
        <v>27</v>
      </c>
      <c r="D7" s="8" t="s">
        <v>28</v>
      </c>
      <c r="E7" s="7">
        <v>2</v>
      </c>
      <c r="F7" s="87"/>
    </row>
    <row r="8" spans="1:6" ht="20.100000000000001" customHeight="1" x14ac:dyDescent="0.15">
      <c r="B8" s="7">
        <v>3</v>
      </c>
      <c r="C8" s="8" t="s">
        <v>37</v>
      </c>
      <c r="D8" s="8" t="s">
        <v>38</v>
      </c>
      <c r="E8" s="7">
        <v>2</v>
      </c>
      <c r="F8" s="88"/>
    </row>
    <row r="9" spans="1:6" ht="20.100000000000001" customHeight="1" x14ac:dyDescent="0.15">
      <c r="B9" s="2">
        <v>4</v>
      </c>
      <c r="C9" s="6" t="s">
        <v>32</v>
      </c>
      <c r="D9" s="6" t="s">
        <v>31</v>
      </c>
      <c r="E9" s="2">
        <v>2</v>
      </c>
      <c r="F9" s="2" t="s">
        <v>34</v>
      </c>
    </row>
  </sheetData>
  <mergeCells count="1">
    <mergeCell ref="F6:F8"/>
  </mergeCells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6:E10"/>
  <sheetViews>
    <sheetView workbookViewId="0">
      <selection activeCell="C6" sqref="C6:E10"/>
    </sheetView>
  </sheetViews>
  <sheetFormatPr defaultRowHeight="13.5" x14ac:dyDescent="0.15"/>
  <cols>
    <col min="3" max="3" width="9" style="45"/>
    <col min="4" max="4" width="27.375" bestFit="1" customWidth="1"/>
  </cols>
  <sheetData>
    <row r="6" spans="3:5" x14ac:dyDescent="0.15">
      <c r="C6" s="46" t="s">
        <v>40</v>
      </c>
      <c r="D6" s="47" t="s">
        <v>41</v>
      </c>
      <c r="E6" s="47" t="s">
        <v>42</v>
      </c>
    </row>
    <row r="7" spans="3:5" x14ac:dyDescent="0.15">
      <c r="C7" s="46">
        <v>10</v>
      </c>
      <c r="D7" s="44" t="s">
        <v>43</v>
      </c>
      <c r="E7" s="36">
        <v>2</v>
      </c>
    </row>
    <row r="8" spans="3:5" x14ac:dyDescent="0.15">
      <c r="C8" s="46">
        <v>22.5</v>
      </c>
      <c r="D8" s="44" t="s">
        <v>44</v>
      </c>
      <c r="E8" s="48">
        <v>2</v>
      </c>
    </row>
    <row r="9" spans="3:5" x14ac:dyDescent="0.15">
      <c r="C9" s="46">
        <v>30</v>
      </c>
      <c r="D9" s="44" t="s">
        <v>45</v>
      </c>
      <c r="E9" s="48">
        <v>2</v>
      </c>
    </row>
    <row r="10" spans="3:5" x14ac:dyDescent="0.15">
      <c r="C10" s="46">
        <v>35</v>
      </c>
      <c r="D10" s="44" t="s">
        <v>46</v>
      </c>
      <c r="E10" s="48">
        <v>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原価表</vt:lpstr>
      <vt:lpstr>表紙</vt:lpstr>
      <vt:lpstr>治具手配数量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2021-02-16T02:51:38Z</cp:lastPrinted>
  <dcterms:created xsi:type="dcterms:W3CDTF">2011-12-13T06:48:43Z</dcterms:created>
  <dcterms:modified xsi:type="dcterms:W3CDTF">2021-03-23T09:14:32Z</dcterms:modified>
</cp:coreProperties>
</file>