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B4B6EC8-F544-48BE-9FE7-57FE017AA2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治具手配数量" sheetId="2" r:id="rId2"/>
    <sheet name="表紙" sheetId="4" r:id="rId3"/>
    <sheet name="Sheet3" sheetId="3" r:id="rId4"/>
  </sheets>
  <definedNames>
    <definedName name="_xlnm._FilterDatabase" localSheetId="0" hidden="1">原価表!$B$9:$O$32</definedName>
  </definedNames>
  <calcPr calcId="181029"/>
  <fileRecoveryPr autoRecover="0"/>
</workbook>
</file>

<file path=xl/calcChain.xml><?xml version="1.0" encoding="utf-8"?>
<calcChain xmlns="http://schemas.openxmlformats.org/spreadsheetml/2006/main">
  <c r="H21" i="1" l="1"/>
  <c r="H20" i="1"/>
  <c r="H19" i="1"/>
  <c r="J2" i="1" l="1"/>
</calcChain>
</file>

<file path=xl/sharedStrings.xml><?xml version="1.0" encoding="utf-8"?>
<sst xmlns="http://schemas.openxmlformats.org/spreadsheetml/2006/main" count="153" uniqueCount="92">
  <si>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</si>
  <si>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</si>
  <si>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</si>
  <si>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</si>
  <si>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</si>
  <si>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</si>
  <si>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</si>
  <si>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</si>
  <si>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</si>
  <si>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</si>
  <si>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</si>
  <si>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</si>
  <si>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</si>
  <si>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</si>
  <si>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</si>
  <si>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</si>
  <si>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</si>
  <si>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</si>
  <si>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</si>
  <si>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</si>
  <si>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</si>
  <si>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</si>
  <si>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</si>
  <si>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</si>
  <si>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</si>
  <si>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</si>
  <si>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</si>
  <si>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</si>
  <si>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</si>
  <si>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</si>
  <si>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</si>
  <si>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</si>
  <si>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</si>
  <si>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</si>
  <si>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</si>
  <si>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</si>
  <si>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</si>
  <si>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</si>
  <si>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</si>
  <si>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</si>
  <si>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</si>
  <si>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</si>
  <si>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</si>
  <si>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</si>
  <si>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</si>
  <si>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</si>
  <si>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SET</t>
    <phoneticPr fontId="2"/>
  </si>
  <si>
    <t>ｹｼｰﾙ</t>
    <phoneticPr fontId="2"/>
  </si>
  <si>
    <t>専用コントローラー、モニター、キーボード</t>
    <rPh sb="0" eb="2">
      <t>センヨウ</t>
    </rPh>
    <phoneticPr fontId="2"/>
  </si>
  <si>
    <t>PCソフト、外部スイッチ</t>
    <rPh sb="6" eb="8">
      <t>ガイブ</t>
    </rPh>
    <phoneticPr fontId="2"/>
  </si>
  <si>
    <t>MISUMI</t>
    <phoneticPr fontId="2"/>
  </si>
  <si>
    <t>DB-9SP</t>
  </si>
  <si>
    <t>ｺﾈｸﾀ</t>
  </si>
  <si>
    <t>Web発注済</t>
    <rPh sb="3" eb="6">
      <t>ハッチュウスミ</t>
    </rPh>
    <phoneticPr fontId="2"/>
  </si>
  <si>
    <t>DE-C8-J9-B21R</t>
  </si>
  <si>
    <t>DSUBﾌｰﾄﾞ</t>
  </si>
  <si>
    <t>MVBLK-AMW-2GE-YGJMD</t>
  </si>
  <si>
    <t>MVBLK-AMW-2GE-59G47</t>
  </si>
  <si>
    <t>MVBLK-AMW-2GE-YKRXP</t>
  </si>
  <si>
    <t>SSH-EX10</t>
    <phoneticPr fontId="11"/>
  </si>
  <si>
    <t>10ccAdapter</t>
    <phoneticPr fontId="12"/>
  </si>
  <si>
    <t>SSH-EX05</t>
    <phoneticPr fontId="11"/>
  </si>
  <si>
    <t>5ccAdapter</t>
    <phoneticPr fontId="12"/>
  </si>
  <si>
    <t>SSH-EX03</t>
    <phoneticPr fontId="11"/>
  </si>
  <si>
    <t>3ccAdapter</t>
    <phoneticPr fontId="12"/>
  </si>
  <si>
    <t>TAISHO</t>
    <phoneticPr fontId="2"/>
  </si>
  <si>
    <t>DSUBﾊｰﾈｽ</t>
  </si>
  <si>
    <t>MWS-DS37A-HT37</t>
  </si>
  <si>
    <t>ﾈｼﾞﾍﾝｶﾝｼｷﾀﾝｼﾀﾞｲ</t>
  </si>
  <si>
    <t>NEDJL-PS-SB-37-1</t>
  </si>
  <si>
    <t>MVBLK-AMW-2MW-LAD8X</t>
  </si>
  <si>
    <t>■SS40077(SV35用ﾊﾞﾙﾌﾞﾎﾙﾀﾞ）</t>
  </si>
  <si>
    <t>MVBLK-AMW-2MW-NBB9N</t>
  </si>
  <si>
    <t>AXA400-HV</t>
    <phoneticPr fontId="2"/>
  </si>
  <si>
    <t>電源  USタイプへ変更（AXPC-0010US)</t>
    <rPh sb="0" eb="2">
      <t>デンゲン</t>
    </rPh>
    <rPh sb="10" eb="12">
      <t>ヘンコウ</t>
    </rPh>
    <phoneticPr fontId="2"/>
  </si>
  <si>
    <t>MVBLK-AMW-2N4-ALG7C</t>
  </si>
  <si>
    <t>■SETA0054-Y01(ﾊﾞﾙﾌﾞﾎﾙﾀﾞ)</t>
  </si>
  <si>
    <t>SSH-A（Holder_Base)</t>
    <phoneticPr fontId="12"/>
  </si>
  <si>
    <t>SSH-B（Syringe_guide）</t>
    <phoneticPr fontId="12"/>
  </si>
  <si>
    <t>SSH-C（Syringe_Support）</t>
    <phoneticPr fontId="12"/>
  </si>
  <si>
    <t>ｼﾞｭｼﾛｰﾚｯﾄﾂｷﾈｼﾞ-ﾀﾝﾋﾟﾝ ｺﾊﾞｺ-</t>
  </si>
  <si>
    <t>SA-1030</t>
  </si>
  <si>
    <t>DNR274-200</t>
  </si>
  <si>
    <t>CRKB4-6</t>
  </si>
  <si>
    <t>ﾃﾞｨﾝﾚｰﾙ(DNR274)</t>
  </si>
  <si>
    <t>ﾀﾝｼﾀﾞｲ ｵﾌﾟｼｮﾝ</t>
  </si>
  <si>
    <t>日本電計フィリピン</t>
    <rPh sb="0" eb="4">
      <t>ニホンデンケイ</t>
    </rPh>
    <phoneticPr fontId="2"/>
  </si>
  <si>
    <t>ｹｼｰﾙ</t>
  </si>
  <si>
    <t>DB-15SP</t>
    <phoneticPr fontId="2"/>
  </si>
  <si>
    <t>DA-C8-J10-B51R</t>
    <phoneticPr fontId="2"/>
  </si>
  <si>
    <t>ｺﾈｸﾀ</t>
    <phoneticPr fontId="2"/>
  </si>
  <si>
    <t>DSUBﾌｰﾄﾞ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</si>
</sst>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179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178" fontId="0" fillId="5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2"/>
  <sheetViews>
    <sheetView tabSelected="1" zoomScale="85" zoomScaleNormal="85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Q32" sqref="Q32"/>
    </sheetView>
  </sheetViews>
  <sheetFormatPr defaultColWidth="9" defaultRowHeight="13.5" x14ac:dyDescent="0.15"/>
  <cols>
    <col min="1" max="1" width="2.625" style="11" customWidth="1"/>
    <col min="2" max="2" width="20.125" style="20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11" bestFit="1" customWidth="1"/>
    <col min="9" max="9" width="5.75" style="16" customWidth="1"/>
    <col min="10" max="10" width="35.25" style="11" bestFit="1" customWidth="1"/>
    <col min="11" max="11" width="34.625" style="11" bestFit="1" customWidth="1"/>
    <col min="12" max="12" width="16.375" style="20" customWidth="1"/>
    <col min="13" max="13" width="13.75" style="15" customWidth="1"/>
    <col min="14" max="14" width="6.375" style="11" customWidth="1"/>
    <col min="15" max="15" width="13.25" style="16" customWidth="1"/>
    <col min="16" max="16" width="14.5" style="17" customWidth="1"/>
    <col min="17" max="17" width="15.625" style="18" customWidth="1"/>
    <col min="18" max="16384" width="9" style="11"/>
  </cols>
  <sheetData>
    <row r="2" spans="2:17" ht="20.100000000000001" customHeight="1" x14ac:dyDescent="0.15">
      <c r="B2" s="59" t="s">
        <v>11</v>
      </c>
      <c r="C2" s="59"/>
      <c r="D2" s="59"/>
      <c r="E2" s="10" t="s">
        <v>86</v>
      </c>
      <c r="G2" s="60" t="s">
        <v>15</v>
      </c>
      <c r="H2" s="61"/>
      <c r="I2" s="62"/>
      <c r="J2" s="12">
        <f>SUM(H:H)</f>
        <v>56314</v>
      </c>
      <c r="K2" s="13"/>
      <c r="L2" s="14"/>
    </row>
    <row r="3" spans="2:17" ht="20.100000000000001" customHeight="1" x14ac:dyDescent="0.15">
      <c r="B3" s="59" t="s">
        <v>10</v>
      </c>
      <c r="C3" s="59"/>
      <c r="D3" s="59"/>
      <c r="E3" s="19" t="s">
        <v>47</v>
      </c>
    </row>
    <row r="4" spans="2:17" ht="20.100000000000001" customHeight="1" x14ac:dyDescent="0.15">
      <c r="B4" s="59" t="s">
        <v>12</v>
      </c>
      <c r="C4" s="59"/>
      <c r="D4" s="59"/>
      <c r="E4" s="19">
        <v>187641</v>
      </c>
      <c r="J4" s="21"/>
    </row>
    <row r="5" spans="2:17" ht="20.100000000000001" customHeight="1" x14ac:dyDescent="0.15">
      <c r="B5" s="59" t="s">
        <v>13</v>
      </c>
      <c r="C5" s="59"/>
      <c r="D5" s="59"/>
      <c r="E5" s="22"/>
      <c r="J5" s="21"/>
    </row>
    <row r="6" spans="2:17" ht="20.100000000000001" customHeight="1" x14ac:dyDescent="0.15">
      <c r="B6" s="59" t="s">
        <v>14</v>
      </c>
      <c r="C6" s="59"/>
      <c r="D6" s="59"/>
      <c r="E6" s="22">
        <v>44397</v>
      </c>
      <c r="J6" s="21"/>
    </row>
    <row r="7" spans="2:17" ht="20.100000000000001" customHeight="1" x14ac:dyDescent="0.15">
      <c r="B7" s="23"/>
      <c r="C7" s="23"/>
      <c r="D7" s="23"/>
      <c r="E7" s="24"/>
      <c r="J7" s="21"/>
      <c r="L7" s="25"/>
    </row>
    <row r="9" spans="2:17" s="31" customFormat="1" ht="19.7" customHeight="1" x14ac:dyDescent="0.15">
      <c r="B9" s="26" t="s">
        <v>4</v>
      </c>
      <c r="C9" s="26" t="s">
        <v>9</v>
      </c>
      <c r="D9" s="26" t="s">
        <v>5</v>
      </c>
      <c r="E9" s="27" t="s">
        <v>8</v>
      </c>
      <c r="F9" s="27" t="s">
        <v>0</v>
      </c>
      <c r="G9" s="27" t="s">
        <v>1</v>
      </c>
      <c r="H9" s="28" t="s">
        <v>2</v>
      </c>
      <c r="I9" s="28" t="s">
        <v>18</v>
      </c>
      <c r="J9" s="27" t="s">
        <v>3</v>
      </c>
      <c r="K9" s="27" t="s">
        <v>17</v>
      </c>
      <c r="L9" s="27" t="s">
        <v>16</v>
      </c>
      <c r="M9" s="29" t="s">
        <v>6</v>
      </c>
      <c r="N9" s="26" t="s">
        <v>19</v>
      </c>
      <c r="O9" s="27" t="s">
        <v>7</v>
      </c>
      <c r="P9" s="29" t="s">
        <v>20</v>
      </c>
      <c r="Q9" s="30" t="s">
        <v>21</v>
      </c>
    </row>
    <row r="10" spans="2:17" s="31" customFormat="1" ht="19.7" customHeight="1" x14ac:dyDescent="0.15">
      <c r="B10" s="26">
        <v>1</v>
      </c>
      <c r="C10" s="26" t="s">
        <v>46</v>
      </c>
      <c r="D10" s="26" t="s">
        <v>46</v>
      </c>
      <c r="E10" s="32" t="s">
        <v>73</v>
      </c>
      <c r="F10" s="34">
        <v>1</v>
      </c>
      <c r="G10" s="27"/>
      <c r="H10" s="28"/>
      <c r="I10" s="28"/>
      <c r="J10" s="32"/>
      <c r="K10" s="54"/>
      <c r="L10" s="27"/>
      <c r="M10" s="29">
        <v>44354</v>
      </c>
      <c r="N10" s="26"/>
      <c r="O10" s="55">
        <v>44352</v>
      </c>
      <c r="P10" s="29"/>
      <c r="Q10" s="56">
        <v>44382</v>
      </c>
    </row>
    <row r="11" spans="2:17" s="31" customFormat="1" ht="19.7" customHeight="1" x14ac:dyDescent="0.15">
      <c r="B11" s="26">
        <v>2</v>
      </c>
      <c r="C11" s="26" t="s">
        <v>46</v>
      </c>
      <c r="D11" s="26" t="s">
        <v>46</v>
      </c>
      <c r="E11" s="32" t="s">
        <v>48</v>
      </c>
      <c r="F11" s="34"/>
      <c r="G11" s="27"/>
      <c r="H11" s="28"/>
      <c r="I11" s="28"/>
      <c r="J11" s="32"/>
      <c r="K11" s="27"/>
      <c r="L11" s="27"/>
      <c r="M11" s="29">
        <v>44354</v>
      </c>
      <c r="N11" s="26"/>
      <c r="O11" s="55">
        <v>44352</v>
      </c>
      <c r="P11" s="29"/>
      <c r="Q11" s="56">
        <v>44382</v>
      </c>
    </row>
    <row r="12" spans="2:17" s="31" customFormat="1" ht="19.7" customHeight="1" x14ac:dyDescent="0.15">
      <c r="B12" s="26">
        <v>3</v>
      </c>
      <c r="C12" s="26" t="s">
        <v>46</v>
      </c>
      <c r="D12" s="26" t="s">
        <v>46</v>
      </c>
      <c r="E12" s="32" t="s">
        <v>49</v>
      </c>
      <c r="F12" s="34"/>
      <c r="G12" s="27"/>
      <c r="H12" s="28"/>
      <c r="I12" s="28"/>
      <c r="J12" s="32"/>
      <c r="K12" s="27"/>
      <c r="L12" s="27"/>
      <c r="M12" s="29">
        <v>44354</v>
      </c>
      <c r="N12" s="26"/>
      <c r="O12" s="55">
        <v>44352</v>
      </c>
      <c r="P12" s="29"/>
      <c r="Q12" s="56">
        <v>44382</v>
      </c>
    </row>
    <row r="13" spans="2:17" s="31" customFormat="1" ht="19.7" customHeight="1" x14ac:dyDescent="0.15">
      <c r="B13" s="26">
        <v>4</v>
      </c>
      <c r="C13" s="26" t="s">
        <v>46</v>
      </c>
      <c r="D13" s="26" t="s">
        <v>46</v>
      </c>
      <c r="E13" s="32" t="s">
        <v>74</v>
      </c>
      <c r="F13" s="34"/>
      <c r="G13" s="27"/>
      <c r="H13" s="28"/>
      <c r="I13" s="28"/>
      <c r="J13" s="32"/>
      <c r="K13" s="27"/>
      <c r="L13" s="27"/>
      <c r="M13" s="29">
        <v>44354</v>
      </c>
      <c r="N13" s="26"/>
      <c r="O13" s="55">
        <v>44352</v>
      </c>
      <c r="P13" s="29"/>
      <c r="Q13" s="56">
        <v>44382</v>
      </c>
    </row>
    <row r="14" spans="2:17" s="42" customFormat="1" ht="19.7" customHeight="1" x14ac:dyDescent="0.15">
      <c r="B14" s="43">
        <v>7</v>
      </c>
      <c r="C14" s="47" t="s">
        <v>50</v>
      </c>
      <c r="D14" s="47" t="s">
        <v>50</v>
      </c>
      <c r="E14" s="40" t="s">
        <v>75</v>
      </c>
      <c r="F14" s="40">
        <v>1</v>
      </c>
      <c r="G14" s="40">
        <v>9115</v>
      </c>
      <c r="H14" s="40">
        <v>9115</v>
      </c>
      <c r="I14" s="53"/>
      <c r="J14" s="52" t="s">
        <v>76</v>
      </c>
      <c r="K14" s="43" t="s">
        <v>53</v>
      </c>
      <c r="L14" s="38"/>
      <c r="M14" s="45">
        <v>44351</v>
      </c>
      <c r="N14" s="43"/>
      <c r="O14" s="48"/>
      <c r="P14" s="48"/>
      <c r="Q14" s="46">
        <v>44364</v>
      </c>
    </row>
    <row r="15" spans="2:17" s="42" customFormat="1" ht="19.7" customHeight="1" x14ac:dyDescent="0.15">
      <c r="B15" s="43">
        <v>8</v>
      </c>
      <c r="C15" s="47" t="s">
        <v>50</v>
      </c>
      <c r="D15" s="47" t="s">
        <v>50</v>
      </c>
      <c r="E15" s="40" t="s">
        <v>56</v>
      </c>
      <c r="F15" s="40">
        <v>1</v>
      </c>
      <c r="G15" s="40">
        <v>6020</v>
      </c>
      <c r="H15" s="40">
        <v>6020</v>
      </c>
      <c r="I15" s="33"/>
      <c r="J15" s="52" t="s">
        <v>77</v>
      </c>
      <c r="K15" s="43" t="s">
        <v>53</v>
      </c>
      <c r="L15" s="38"/>
      <c r="M15" s="45">
        <v>44351</v>
      </c>
      <c r="N15" s="43"/>
      <c r="O15" s="49"/>
      <c r="P15" s="48"/>
      <c r="Q15" s="46">
        <v>44364</v>
      </c>
    </row>
    <row r="16" spans="2:17" s="42" customFormat="1" ht="19.7" customHeight="1" x14ac:dyDescent="0.15">
      <c r="B16" s="43">
        <v>8</v>
      </c>
      <c r="C16" s="47" t="s">
        <v>50</v>
      </c>
      <c r="D16" s="47" t="s">
        <v>50</v>
      </c>
      <c r="E16" s="40" t="s">
        <v>57</v>
      </c>
      <c r="F16" s="40">
        <v>1</v>
      </c>
      <c r="G16" s="40">
        <v>5419</v>
      </c>
      <c r="H16" s="40">
        <v>5419</v>
      </c>
      <c r="I16" s="33"/>
      <c r="J16" s="52" t="s">
        <v>78</v>
      </c>
      <c r="K16" s="43" t="s">
        <v>53</v>
      </c>
      <c r="L16" s="38"/>
      <c r="M16" s="45">
        <v>44351</v>
      </c>
      <c r="N16" s="43"/>
      <c r="O16" s="49"/>
      <c r="P16" s="48"/>
      <c r="Q16" s="46">
        <v>44364</v>
      </c>
    </row>
    <row r="17" spans="2:17" s="42" customFormat="1" ht="19.7" customHeight="1" x14ac:dyDescent="0.15">
      <c r="B17" s="43">
        <v>8</v>
      </c>
      <c r="C17" s="47" t="s">
        <v>50</v>
      </c>
      <c r="D17" s="47" t="s">
        <v>50</v>
      </c>
      <c r="E17" s="40" t="s">
        <v>58</v>
      </c>
      <c r="F17" s="40">
        <v>1</v>
      </c>
      <c r="G17" s="40">
        <v>5330</v>
      </c>
      <c r="H17" s="40">
        <v>5330</v>
      </c>
      <c r="I17" s="33"/>
      <c r="J17" s="52" t="s">
        <v>79</v>
      </c>
      <c r="K17" s="43" t="s">
        <v>53</v>
      </c>
      <c r="L17" s="38"/>
      <c r="M17" s="45">
        <v>44351</v>
      </c>
      <c r="N17" s="43"/>
      <c r="O17" s="49"/>
      <c r="P17" s="48"/>
      <c r="Q17" s="46">
        <v>44364</v>
      </c>
    </row>
    <row r="18" spans="2:17" s="42" customFormat="1" ht="19.7" customHeight="1" x14ac:dyDescent="0.15">
      <c r="B18" s="43">
        <v>8</v>
      </c>
      <c r="C18" s="47" t="s">
        <v>50</v>
      </c>
      <c r="D18" s="47" t="s">
        <v>50</v>
      </c>
      <c r="E18" s="40" t="s">
        <v>83</v>
      </c>
      <c r="F18" s="40">
        <v>1</v>
      </c>
      <c r="G18" s="40">
        <v>70</v>
      </c>
      <c r="H18" s="40">
        <v>70</v>
      </c>
      <c r="I18" s="33"/>
      <c r="J18" t="s">
        <v>80</v>
      </c>
      <c r="K18" s="43" t="s">
        <v>53</v>
      </c>
      <c r="L18" s="38"/>
      <c r="M18" s="45">
        <v>44351</v>
      </c>
      <c r="N18" s="43"/>
      <c r="O18" s="38"/>
      <c r="P18" s="45"/>
      <c r="Q18" s="46">
        <v>44364</v>
      </c>
    </row>
    <row r="19" spans="2:17" s="42" customFormat="1" ht="19.7" customHeight="1" x14ac:dyDescent="0.15">
      <c r="B19" s="43">
        <v>8</v>
      </c>
      <c r="C19" s="47" t="s">
        <v>65</v>
      </c>
      <c r="D19" s="47" t="s">
        <v>65</v>
      </c>
      <c r="E19" s="51" t="s">
        <v>59</v>
      </c>
      <c r="F19" s="40">
        <v>1</v>
      </c>
      <c r="G19" s="40">
        <v>3000</v>
      </c>
      <c r="H19" s="40">
        <f>F19*G19</f>
        <v>3000</v>
      </c>
      <c r="I19" s="39"/>
      <c r="J19" s="40" t="s">
        <v>60</v>
      </c>
      <c r="K19" s="54"/>
      <c r="L19" s="38"/>
      <c r="M19" s="45">
        <v>44354</v>
      </c>
      <c r="N19" s="43"/>
      <c r="O19" s="38"/>
      <c r="P19" s="45"/>
      <c r="Q19" s="46">
        <v>44358</v>
      </c>
    </row>
    <row r="20" spans="2:17" s="42" customFormat="1" ht="19.7" customHeight="1" x14ac:dyDescent="0.15">
      <c r="B20" s="43">
        <v>8</v>
      </c>
      <c r="C20" s="47" t="s">
        <v>65</v>
      </c>
      <c r="D20" s="47" t="s">
        <v>65</v>
      </c>
      <c r="E20" s="51" t="s">
        <v>61</v>
      </c>
      <c r="F20" s="40">
        <v>1</v>
      </c>
      <c r="G20" s="40">
        <v>3000</v>
      </c>
      <c r="H20" s="40">
        <f t="shared" ref="H20:H21" si="0">F20*G20</f>
        <v>3000</v>
      </c>
      <c r="I20" s="39"/>
      <c r="J20" s="40" t="s">
        <v>62</v>
      </c>
      <c r="K20" s="54"/>
      <c r="L20" s="38"/>
      <c r="M20" s="45">
        <v>44354</v>
      </c>
      <c r="N20" s="43"/>
      <c r="O20" s="38"/>
      <c r="P20" s="45"/>
      <c r="Q20" s="46">
        <v>44358</v>
      </c>
    </row>
    <row r="21" spans="2:17" s="42" customFormat="1" ht="19.7" customHeight="1" x14ac:dyDescent="0.15">
      <c r="B21" s="43">
        <v>8</v>
      </c>
      <c r="C21" s="47" t="s">
        <v>65</v>
      </c>
      <c r="D21" s="47" t="s">
        <v>65</v>
      </c>
      <c r="E21" s="51" t="s">
        <v>63</v>
      </c>
      <c r="F21" s="40">
        <v>1</v>
      </c>
      <c r="G21" s="40">
        <v>3000</v>
      </c>
      <c r="H21" s="40">
        <f t="shared" si="0"/>
        <v>3000</v>
      </c>
      <c r="I21" s="39"/>
      <c r="J21" s="40" t="s">
        <v>64</v>
      </c>
      <c r="K21" s="54"/>
      <c r="L21" s="38"/>
      <c r="M21" s="45">
        <v>44354</v>
      </c>
      <c r="N21" s="43"/>
      <c r="O21" s="38"/>
      <c r="P21" s="45"/>
      <c r="Q21" s="46">
        <v>44358</v>
      </c>
    </row>
    <row r="22" spans="2:17" s="42" customFormat="1" ht="19.7" customHeight="1" x14ac:dyDescent="0.15">
      <c r="B22" s="43">
        <v>10</v>
      </c>
      <c r="C22" s="47" t="s">
        <v>50</v>
      </c>
      <c r="D22" s="47" t="s">
        <v>50</v>
      </c>
      <c r="E22" s="40" t="s">
        <v>70</v>
      </c>
      <c r="F22" s="40">
        <v>1</v>
      </c>
      <c r="G22" s="40">
        <v>5493</v>
      </c>
      <c r="H22" s="40">
        <v>5493</v>
      </c>
      <c r="I22" s="44"/>
      <c r="J22" s="57" t="s">
        <v>71</v>
      </c>
      <c r="K22" s="43" t="s">
        <v>53</v>
      </c>
      <c r="L22" s="38"/>
      <c r="M22" s="45">
        <v>44351</v>
      </c>
      <c r="N22" s="43"/>
      <c r="O22" s="48"/>
      <c r="P22" s="48"/>
      <c r="Q22" s="46">
        <v>44364</v>
      </c>
    </row>
    <row r="23" spans="2:17" s="42" customFormat="1" ht="19.7" customHeight="1" x14ac:dyDescent="0.15">
      <c r="B23" s="43">
        <v>10</v>
      </c>
      <c r="C23" s="47" t="s">
        <v>50</v>
      </c>
      <c r="D23" s="47" t="s">
        <v>50</v>
      </c>
      <c r="E23" s="40" t="s">
        <v>72</v>
      </c>
      <c r="F23" s="40">
        <v>1</v>
      </c>
      <c r="G23" s="40">
        <v>3474</v>
      </c>
      <c r="H23" s="40">
        <v>3474</v>
      </c>
      <c r="I23" s="44"/>
      <c r="J23" s="58"/>
      <c r="K23" s="43" t="s">
        <v>53</v>
      </c>
      <c r="L23" s="38"/>
      <c r="M23" s="45">
        <v>44351</v>
      </c>
      <c r="N23" s="43"/>
      <c r="O23" s="48"/>
      <c r="P23" s="48"/>
      <c r="Q23" s="46">
        <v>44364</v>
      </c>
    </row>
    <row r="24" spans="2:17" s="42" customFormat="1" ht="19.7" customHeight="1" x14ac:dyDescent="0.15">
      <c r="B24" s="43">
        <v>11</v>
      </c>
      <c r="C24" s="47" t="s">
        <v>50</v>
      </c>
      <c r="D24" s="47" t="s">
        <v>50</v>
      </c>
      <c r="E24" s="40" t="s">
        <v>51</v>
      </c>
      <c r="F24" s="40">
        <v>1</v>
      </c>
      <c r="G24" s="40">
        <v>168</v>
      </c>
      <c r="H24" s="40">
        <v>168</v>
      </c>
      <c r="I24" s="44"/>
      <c r="J24" s="40" t="s">
        <v>52</v>
      </c>
      <c r="K24" s="43" t="s">
        <v>53</v>
      </c>
      <c r="L24" s="38"/>
      <c r="M24" s="45">
        <v>44351</v>
      </c>
      <c r="N24" s="43"/>
      <c r="O24" s="38"/>
      <c r="P24" s="45"/>
      <c r="Q24" s="46">
        <v>44364</v>
      </c>
    </row>
    <row r="25" spans="2:17" s="42" customFormat="1" ht="19.7" customHeight="1" x14ac:dyDescent="0.15">
      <c r="B25" s="43">
        <v>11</v>
      </c>
      <c r="C25" s="47" t="s">
        <v>50</v>
      </c>
      <c r="D25" s="47" t="s">
        <v>50</v>
      </c>
      <c r="E25" s="40" t="s">
        <v>54</v>
      </c>
      <c r="F25" s="40">
        <v>1</v>
      </c>
      <c r="G25" s="40">
        <v>388</v>
      </c>
      <c r="H25" s="40">
        <v>388</v>
      </c>
      <c r="I25" s="39"/>
      <c r="J25" s="40" t="s">
        <v>55</v>
      </c>
      <c r="K25" s="43" t="s">
        <v>53</v>
      </c>
      <c r="L25" s="38"/>
      <c r="M25" s="45">
        <v>44351</v>
      </c>
      <c r="N25" s="43"/>
      <c r="O25" s="38"/>
      <c r="P25" s="45"/>
      <c r="Q25" s="46">
        <v>44364</v>
      </c>
    </row>
    <row r="26" spans="2:17" s="42" customFormat="1" ht="19.7" customHeight="1" x14ac:dyDescent="0.15">
      <c r="B26" s="43">
        <v>11</v>
      </c>
      <c r="C26" s="47" t="s">
        <v>50</v>
      </c>
      <c r="D26" s="47" t="s">
        <v>50</v>
      </c>
      <c r="E26" s="40" t="s">
        <v>69</v>
      </c>
      <c r="F26" s="40">
        <v>1</v>
      </c>
      <c r="G26" s="40">
        <v>5848</v>
      </c>
      <c r="H26" s="40">
        <v>5848</v>
      </c>
      <c r="I26" s="53"/>
      <c r="J26" s="40" t="s">
        <v>66</v>
      </c>
      <c r="K26" s="43" t="s">
        <v>53</v>
      </c>
      <c r="L26" s="38"/>
      <c r="M26" s="45">
        <v>44351</v>
      </c>
      <c r="N26" s="43"/>
      <c r="O26" s="48"/>
      <c r="P26" s="48"/>
      <c r="Q26" s="46">
        <v>44364</v>
      </c>
    </row>
    <row r="27" spans="2:17" s="42" customFormat="1" ht="19.7" customHeight="1" x14ac:dyDescent="0.15">
      <c r="B27" s="43">
        <v>11</v>
      </c>
      <c r="C27" s="47" t="s">
        <v>50</v>
      </c>
      <c r="D27" s="47" t="s">
        <v>50</v>
      </c>
      <c r="E27" s="40" t="s">
        <v>67</v>
      </c>
      <c r="F27" s="40">
        <v>1</v>
      </c>
      <c r="G27" s="40">
        <v>4570</v>
      </c>
      <c r="H27" s="40">
        <v>4570</v>
      </c>
      <c r="I27" s="53"/>
      <c r="J27" s="40" t="s">
        <v>68</v>
      </c>
      <c r="K27" s="43" t="s">
        <v>53</v>
      </c>
      <c r="L27" s="38"/>
      <c r="M27" s="45">
        <v>44351</v>
      </c>
      <c r="N27" s="43"/>
      <c r="O27" s="48"/>
      <c r="P27" s="48"/>
      <c r="Q27" s="46">
        <v>44364</v>
      </c>
    </row>
    <row r="28" spans="2:17" s="42" customFormat="1" ht="19.7" customHeight="1" x14ac:dyDescent="0.15">
      <c r="B28" s="43">
        <v>11</v>
      </c>
      <c r="C28" s="47" t="s">
        <v>50</v>
      </c>
      <c r="D28" s="47" t="s">
        <v>50</v>
      </c>
      <c r="E28" s="40" t="s">
        <v>82</v>
      </c>
      <c r="F28" s="40">
        <v>1</v>
      </c>
      <c r="G28" s="40">
        <v>500</v>
      </c>
      <c r="H28" s="40">
        <v>500</v>
      </c>
      <c r="I28" s="39"/>
      <c r="J28" s="40" t="s">
        <v>84</v>
      </c>
      <c r="K28" s="43" t="s">
        <v>53</v>
      </c>
      <c r="L28" s="38"/>
      <c r="M28" s="45">
        <v>44351</v>
      </c>
      <c r="N28" s="43"/>
      <c r="O28" s="38"/>
      <c r="P28" s="45"/>
      <c r="Q28" s="46">
        <v>44364</v>
      </c>
    </row>
    <row r="29" spans="2:17" s="42" customFormat="1" ht="19.7" customHeight="1" x14ac:dyDescent="0.15">
      <c r="B29" s="43">
        <v>11</v>
      </c>
      <c r="C29" s="47" t="s">
        <v>50</v>
      </c>
      <c r="D29" s="47" t="s">
        <v>50</v>
      </c>
      <c r="E29" s="40" t="s">
        <v>81</v>
      </c>
      <c r="F29" s="40">
        <v>3</v>
      </c>
      <c r="G29" s="40">
        <v>61</v>
      </c>
      <c r="H29" s="40">
        <v>183</v>
      </c>
      <c r="I29" s="39"/>
      <c r="J29" s="40" t="s">
        <v>85</v>
      </c>
      <c r="K29" s="43" t="s">
        <v>53</v>
      </c>
      <c r="L29" s="38"/>
      <c r="M29" s="45">
        <v>44351</v>
      </c>
      <c r="N29" s="43"/>
      <c r="O29" s="38"/>
      <c r="P29" s="45"/>
      <c r="Q29" s="46">
        <v>44364</v>
      </c>
    </row>
    <row r="30" spans="2:17" s="42" customFormat="1" ht="19.7" customHeight="1" x14ac:dyDescent="0.15">
      <c r="B30" s="43"/>
      <c r="C30" s="47"/>
      <c r="D30" s="47"/>
      <c r="E30" s="40"/>
      <c r="F30" s="40"/>
      <c r="G30" s="40"/>
      <c r="H30" s="40"/>
      <c r="I30" s="39"/>
      <c r="J30" s="40"/>
      <c r="K30" s="43"/>
      <c r="L30" s="38"/>
      <c r="M30" s="45"/>
      <c r="N30" s="43"/>
      <c r="O30" s="38"/>
      <c r="P30" s="45"/>
      <c r="Q30" s="46"/>
    </row>
    <row r="31" spans="2:17" s="42" customFormat="1" ht="19.7" customHeight="1" x14ac:dyDescent="0.15">
      <c r="B31" s="43">
        <v>11</v>
      </c>
      <c r="C31" s="47" t="s">
        <v>50</v>
      </c>
      <c r="D31" s="47" t="s">
        <v>50</v>
      </c>
      <c r="E31" s="40" t="s">
        <v>88</v>
      </c>
      <c r="F31" s="40">
        <v>1</v>
      </c>
      <c r="G31" s="40">
        <v>188</v>
      </c>
      <c r="H31" s="40">
        <v>188</v>
      </c>
      <c r="I31" s="39"/>
      <c r="J31" s="40" t="s">
        <v>90</v>
      </c>
      <c r="K31" s="43" t="s">
        <v>53</v>
      </c>
      <c r="L31" s="38"/>
      <c r="M31" s="45">
        <v>44382</v>
      </c>
      <c r="N31" s="43"/>
      <c r="O31" s="38"/>
      <c r="P31" s="45"/>
      <c r="Q31" s="46">
        <v>44383</v>
      </c>
    </row>
    <row r="32" spans="2:17" customFormat="1" ht="19.5" customHeight="1" x14ac:dyDescent="0.15">
      <c r="B32" s="38">
        <v>11</v>
      </c>
      <c r="C32" s="47" t="s">
        <v>50</v>
      </c>
      <c r="D32" s="47" t="s">
        <v>50</v>
      </c>
      <c r="E32" s="40" t="s">
        <v>89</v>
      </c>
      <c r="F32" s="40">
        <v>1</v>
      </c>
      <c r="G32" s="40">
        <v>548</v>
      </c>
      <c r="H32" s="40">
        <v>548</v>
      </c>
      <c r="I32" s="44"/>
      <c r="J32" s="40" t="s">
        <v>91</v>
      </c>
      <c r="K32" s="43" t="s">
        <v>53</v>
      </c>
      <c r="L32" s="38"/>
      <c r="M32" s="45">
        <v>44382</v>
      </c>
      <c r="N32" s="40"/>
      <c r="O32" s="44"/>
      <c r="P32" s="50"/>
      <c r="Q32" s="46">
        <v>44383</v>
      </c>
    </row>
  </sheetData>
  <autoFilter ref="B9:O29" xr:uid="{00000000-0009-0000-0000-000000000000}"/>
  <mergeCells count="7">
    <mergeCell ref="J22:J23"/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63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64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65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7E6C-8164-4F52-8047-992D6F23DC29}">
  <dimension ref="A1:B5"/>
  <sheetViews>
    <sheetView view="pageBreakPreview" zoomScaleNormal="100" zoomScaleSheetLayoutView="100" workbookViewId="0">
      <selection activeCell="H9" sqref="H9"/>
    </sheetView>
  </sheetViews>
  <sheetFormatPr defaultRowHeight="13.5" x14ac:dyDescent="0.15"/>
  <cols>
    <col min="1" max="1" width="12.125" bestFit="1" customWidth="1"/>
    <col min="2" max="2" width="26.5" bestFit="1" customWidth="1"/>
  </cols>
  <sheetData>
    <row r="1" spans="1:2" ht="17.25" x14ac:dyDescent="0.15">
      <c r="A1" s="41" t="s">
        <v>11</v>
      </c>
      <c r="B1" s="10" t="s">
        <v>86</v>
      </c>
    </row>
    <row r="2" spans="1:2" ht="17.25" x14ac:dyDescent="0.15">
      <c r="A2" s="41" t="s">
        <v>10</v>
      </c>
      <c r="B2" s="19" t="s">
        <v>87</v>
      </c>
    </row>
    <row r="3" spans="1:2" ht="17.25" x14ac:dyDescent="0.15">
      <c r="A3" s="41" t="s">
        <v>12</v>
      </c>
      <c r="B3" s="19">
        <v>187641</v>
      </c>
    </row>
    <row r="4" spans="1:2" ht="17.25" x14ac:dyDescent="0.15">
      <c r="A4" s="41" t="s">
        <v>13</v>
      </c>
      <c r="B4" s="22"/>
    </row>
    <row r="5" spans="1:2" ht="17.25" x14ac:dyDescent="0.15">
      <c r="A5" s="41" t="s">
        <v>14</v>
      </c>
      <c r="B5" s="22">
        <v>44397</v>
      </c>
    </row>
  </sheetData>
  <phoneticPr fontId="10"/>
  <pageMargins left="0.7" right="0.7" top="0.75" bottom="0.75" header="0.3" footer="0.3"/>
  <pageSetup paperSize="9" scale="23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36"/>
    <col min="4" max="4" width="27.375" bestFit="1" customWidth="1"/>
  </cols>
  <sheetData>
    <row r="6" spans="3:5" x14ac:dyDescent="0.15">
      <c r="C6" s="37" t="s">
        <v>39</v>
      </c>
      <c r="D6" s="38" t="s">
        <v>40</v>
      </c>
      <c r="E6" s="38" t="s">
        <v>41</v>
      </c>
    </row>
    <row r="7" spans="3:5" x14ac:dyDescent="0.15">
      <c r="C7" s="37">
        <v>10</v>
      </c>
      <c r="D7" s="35" t="s">
        <v>42</v>
      </c>
      <c r="E7" s="33">
        <v>2</v>
      </c>
    </row>
    <row r="8" spans="3:5" x14ac:dyDescent="0.15">
      <c r="C8" s="37">
        <v>22.5</v>
      </c>
      <c r="D8" s="35" t="s">
        <v>43</v>
      </c>
      <c r="E8" s="39">
        <v>2</v>
      </c>
    </row>
    <row r="9" spans="3:5" x14ac:dyDescent="0.15">
      <c r="C9" s="37">
        <v>30</v>
      </c>
      <c r="D9" s="35" t="s">
        <v>44</v>
      </c>
      <c r="E9" s="39">
        <v>2</v>
      </c>
    </row>
    <row r="10" spans="3:5" x14ac:dyDescent="0.15">
      <c r="C10" s="37">
        <v>35</v>
      </c>
      <c r="D10" s="35" t="s">
        <v>45</v>
      </c>
      <c r="E10" s="39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治具手配数量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2021-07-06T01:17:02Z</dcterms:modified>
</cp:coreProperties>
</file>