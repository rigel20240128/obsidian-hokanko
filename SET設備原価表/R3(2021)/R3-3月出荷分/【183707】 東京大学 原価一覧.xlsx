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6B7B3FF-4F7C-443C-9EC1-50B33B85E8A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Sheet1" sheetId="2" r:id="rId2"/>
  </sheets>
  <definedNames>
    <definedName name="_xlnm._FilterDatabase" localSheetId="0" hidden="1">原価表!$B$9:$O$14</definedName>
  </definedNames>
  <calcPr calcId="181029"/>
  <fileRecoveryPr autoRecover="0"/>
</workbook>
</file>

<file path=xl/calcChain.xml><?xml version="1.0" encoding="utf-8"?>
<calcChain xmlns="http://schemas.openxmlformats.org/spreadsheetml/2006/main">
  <c r="H18" i="1" l="1"/>
  <c r="H17" i="1"/>
  <c r="H16" i="1"/>
  <c r="H15" i="1"/>
  <c r="H12" i="1"/>
  <c r="H13" i="1"/>
  <c r="H14" i="1"/>
  <c r="H11" i="1"/>
  <c r="J2" i="1" l="1"/>
</calcChain>
</file>

<file path=xl/sharedStrings.xml><?xml version="1.0" encoding="utf-8"?>
<sst xmlns="http://schemas.openxmlformats.org/spreadsheetml/2006/main" count="152" uniqueCount="92">
  <si>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</si>
  <si>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</si>
  <si>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</si>
  <si>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</si>
  <si>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</si>
  <si>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</si>
  <si>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</si>
  <si>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</si>
  <si>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</si>
  <si>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</si>
  <si>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</si>
  <si>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</si>
  <si>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</si>
  <si>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</si>
  <si>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</si>
  <si>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</si>
  <si>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</si>
  <si>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</si>
  <si>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</si>
  <si>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</si>
  <si>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</si>
  <si>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</si>
  <si>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NKE</t>
    <phoneticPr fontId="1"/>
  </si>
  <si>
    <t>CSB20C-S2-800-20-30W-1-SC</t>
    <phoneticPr fontId="1"/>
  </si>
  <si>
    <t>XN4E-TL403Q4MR</t>
    <phoneticPr fontId="5"/>
  </si>
  <si>
    <t>PCFP-MV3G8-R</t>
  </si>
  <si>
    <t>LZ17-223-W</t>
  </si>
  <si>
    <t>JMGPM16-10-M9NV</t>
  </si>
  <si>
    <t>SMC</t>
    <phoneticPr fontId="1"/>
  </si>
  <si>
    <t>EX-L261</t>
    <phoneticPr fontId="1"/>
  </si>
  <si>
    <t>Panasonic</t>
  </si>
  <si>
    <t>Panasonic</t>
    <phoneticPr fontId="1"/>
  </si>
  <si>
    <t>BL10</t>
  </si>
  <si>
    <t>ANPV0202ADP</t>
  </si>
  <si>
    <t>KEYENCE</t>
    <phoneticPr fontId="1"/>
  </si>
  <si>
    <t>AW20K-02E1-B</t>
    <phoneticPr fontId="1"/>
  </si>
  <si>
    <t>SR-1000</t>
    <phoneticPr fontId="1"/>
  </si>
  <si>
    <t>ABN102S</t>
  </si>
  <si>
    <t>VT5-W07</t>
  </si>
  <si>
    <t>LR6-302LJBA-RYG</t>
    <phoneticPr fontId="1"/>
  </si>
  <si>
    <t>WDT-6LR-Z2</t>
    <phoneticPr fontId="1"/>
  </si>
  <si>
    <t>MISUMI</t>
    <phoneticPr fontId="1"/>
  </si>
  <si>
    <t>ﾓﾆﾀ DC24V</t>
    <phoneticPr fontId="6"/>
  </si>
  <si>
    <t>LED照明</t>
    <rPh sb="3" eb="5">
      <t>ショウメイ</t>
    </rPh>
    <phoneticPr fontId="6"/>
  </si>
  <si>
    <t>PV200 DC24V</t>
    <phoneticPr fontId="6"/>
  </si>
  <si>
    <t>ｾﾝｻ</t>
    <phoneticPr fontId="6"/>
  </si>
  <si>
    <t>KV7500？</t>
    <phoneticPr fontId="6"/>
  </si>
  <si>
    <t>元圧ｾﾝｻ</t>
    <rPh sb="0" eb="1">
      <t>モト</t>
    </rPh>
    <rPh sb="1" eb="2">
      <t>アツ</t>
    </rPh>
    <phoneticPr fontId="6"/>
  </si>
  <si>
    <t>ﾊﾟﾄﾗｲﾄ</t>
    <phoneticPr fontId="6"/>
  </si>
  <si>
    <t>通信ﾕﾆｯﾄ ※設定不要</t>
    <rPh sb="0" eb="2">
      <t>ツウシン</t>
    </rPh>
    <rPh sb="8" eb="10">
      <t>セッテイ</t>
    </rPh>
    <rPh sb="10" eb="12">
      <t>フヨウ</t>
    </rPh>
    <phoneticPr fontId="6"/>
  </si>
  <si>
    <t>ｺﾝﾍﾞｱ</t>
    <phoneticPr fontId="6"/>
  </si>
  <si>
    <t xml:space="preserve">ﾌﾞﾗｯｸﾗｲﾄ </t>
    <phoneticPr fontId="6"/>
  </si>
  <si>
    <t>非常停止SW</t>
    <rPh sb="0" eb="4">
      <t>ヒジョウテイシ</t>
    </rPh>
    <phoneticPr fontId="6"/>
  </si>
  <si>
    <t>ｽﾀｰﾄSW</t>
    <phoneticPr fontId="6"/>
  </si>
  <si>
    <t>ｼﾘﾝﾀﾞ</t>
    <phoneticPr fontId="6"/>
  </si>
  <si>
    <t>CPU</t>
    <phoneticPr fontId="6"/>
  </si>
  <si>
    <t>RSAS-500-400-300-K</t>
  </si>
  <si>
    <t>MISUMI</t>
    <phoneticPr fontId="6"/>
  </si>
  <si>
    <t>この制御盤で入りますでしょうか？</t>
    <rPh sb="2" eb="4">
      <t>セイギョ</t>
    </rPh>
    <rPh sb="4" eb="5">
      <t>バン</t>
    </rPh>
    <rPh sb="6" eb="7">
      <t>ハイ</t>
    </rPh>
    <phoneticPr fontId="6"/>
  </si>
  <si>
    <t>制御盤</t>
    <rPh sb="0" eb="3">
      <t>セイギョバン</t>
    </rPh>
    <phoneticPr fontId="6"/>
  </si>
  <si>
    <t>ﾒｰｶｰ</t>
    <phoneticPr fontId="6"/>
  </si>
  <si>
    <t>型式</t>
    <rPh sb="0" eb="2">
      <t>カタシキ</t>
    </rPh>
    <phoneticPr fontId="6"/>
  </si>
  <si>
    <t>数量</t>
    <rPh sb="0" eb="2">
      <t>スウリョウ</t>
    </rPh>
    <phoneticPr fontId="6"/>
  </si>
  <si>
    <t>名称</t>
    <rPh sb="0" eb="2">
      <t>メイショウ</t>
    </rPh>
    <phoneticPr fontId="6"/>
  </si>
  <si>
    <t>備考</t>
    <rPh sb="0" eb="2">
      <t>ビコウ</t>
    </rPh>
    <phoneticPr fontId="6"/>
  </si>
  <si>
    <t>支給/購入</t>
    <rPh sb="0" eb="2">
      <t>シキュウ</t>
    </rPh>
    <rPh sb="3" eb="5">
      <t>コウニュウ</t>
    </rPh>
    <phoneticPr fontId="6"/>
  </si>
  <si>
    <t>支給</t>
    <rPh sb="0" eb="2">
      <t>シキュウ</t>
    </rPh>
    <phoneticPr fontId="6"/>
  </si>
  <si>
    <t>ﾀｯﾁﾊﾟﾈﾙ</t>
    <phoneticPr fontId="6"/>
  </si>
  <si>
    <t>QRｺｰﾄﾞﾘｰﾀﾞｰ PoE電源</t>
    <rPh sb="15" eb="17">
      <t>デンゲン</t>
    </rPh>
    <phoneticPr fontId="6"/>
  </si>
  <si>
    <t>白戸電気様購入</t>
    <rPh sb="0" eb="2">
      <t>シラト</t>
    </rPh>
    <rPh sb="2" eb="4">
      <t>デンキ</t>
    </rPh>
    <rPh sb="4" eb="5">
      <t>サマ</t>
    </rPh>
    <rPh sb="5" eb="7">
      <t>コウニュウ</t>
    </rPh>
    <phoneticPr fontId="6"/>
  </si>
  <si>
    <t xml:space="preserve">LAN-SWHPOE44 </t>
    <phoneticPr fontId="1"/>
  </si>
  <si>
    <t>PoEﾊﾌﾞ</t>
    <phoneticPr fontId="1"/>
  </si>
  <si>
    <t>制御盤内</t>
    <rPh sb="0" eb="2">
      <t>セイギョ</t>
    </rPh>
    <rPh sb="2" eb="4">
      <t>バンナイ</t>
    </rPh>
    <phoneticPr fontId="6"/>
  </si>
  <si>
    <t>-</t>
    <phoneticPr fontId="6"/>
  </si>
  <si>
    <t>〇</t>
    <phoneticPr fontId="6"/>
  </si>
  <si>
    <t>東京大学</t>
    <rPh sb="0" eb="4">
      <t>トウキョウダイガク</t>
    </rPh>
    <phoneticPr fontId="1"/>
  </si>
  <si>
    <t>SET</t>
    <phoneticPr fontId="1"/>
  </si>
  <si>
    <t>AXELIA</t>
    <phoneticPr fontId="1"/>
  </si>
  <si>
    <t>増渕</t>
    <rPh sb="0" eb="2">
      <t>マスブチ</t>
    </rPh>
    <phoneticPr fontId="1"/>
  </si>
  <si>
    <t>AXA-HV 400角</t>
    <rPh sb="10" eb="11">
      <t>カク</t>
    </rPh>
    <phoneticPr fontId="1"/>
  </si>
  <si>
    <t>DC-37PF-N</t>
  </si>
  <si>
    <t>EMID-SUBｺﾈｸﾀ</t>
  </si>
  <si>
    <t>MDA-37H-UNC</t>
  </si>
  <si>
    <t>DSUBﾌｰﾄﾞ､ｱｸｾｻﾘｰ</t>
  </si>
  <si>
    <t>DE-9PF-N</t>
  </si>
  <si>
    <t>DE-C8-J9-F21R</t>
  </si>
  <si>
    <t>SSH-A</t>
    <phoneticPr fontId="1"/>
  </si>
  <si>
    <t>SSH-B</t>
    <phoneticPr fontId="1"/>
  </si>
  <si>
    <t>SSH-C</t>
    <phoneticPr fontId="1"/>
  </si>
  <si>
    <t>SSH-EX10</t>
    <phoneticPr fontId="1"/>
  </si>
  <si>
    <t>TAISHO</t>
    <phoneticPr fontId="1"/>
  </si>
  <si>
    <t>WEB発注済</t>
    <rPh sb="0" eb="6">
      <t>ウェＢハッチュウスミ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</si>
</sst>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38" fontId="0" fillId="0" borderId="0" xfId="0" applyNumberFormat="1">
      <alignment vertical="center"/>
    </xf>
    <xf numFmtId="177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3" fontId="0" fillId="3" borderId="1" xfId="0" applyNumberFormat="1" applyFont="1" applyFill="1" applyBorder="1" applyAlignment="1">
      <alignment horizontal="center" vertical="center"/>
    </xf>
    <xf numFmtId="179" fontId="0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>
      <alignment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56" fontId="8" fillId="3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9" fontId="0" fillId="0" borderId="1" xfId="0" applyNumberFormat="1" applyFont="1" applyBorder="1">
      <alignment vertical="center"/>
    </xf>
    <xf numFmtId="0" fontId="0" fillId="0" borderId="0" xfId="0" applyFon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 applyBorder="1">
      <alignment vertical="center"/>
    </xf>
    <xf numFmtId="178" fontId="0" fillId="0" borderId="0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Border="1">
      <alignment vertical="center"/>
    </xf>
    <xf numFmtId="0" fontId="0" fillId="0" borderId="1" xfId="0" applyFont="1" applyFill="1" applyBorder="1">
      <alignment vertical="center"/>
    </xf>
    <xf numFmtId="176" fontId="0" fillId="0" borderId="1" xfId="0" applyNumberFormat="1" applyFont="1" applyFill="1" applyBorder="1" applyAlignment="1">
      <alignment horizontal="right" vertical="center"/>
    </xf>
    <xf numFmtId="176" fontId="0" fillId="0" borderId="1" xfId="0" applyNumberFormat="1" applyFont="1" applyFill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right" vertical="center"/>
    </xf>
    <xf numFmtId="0" fontId="0" fillId="0" borderId="2" xfId="0" applyFont="1" applyFill="1" applyBorder="1" applyAlignment="1">
      <alignment horizontal="right" vertical="center"/>
    </xf>
    <xf numFmtId="0" fontId="0" fillId="0" borderId="1" xfId="0" applyFill="1" applyBorder="1">
      <alignment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1"/>
  <sheetViews>
    <sheetView tabSelected="1" zoomScale="85" zoomScaleNormal="85" workbookViewId="0">
      <pane xSplit="10" ySplit="9" topLeftCell="M10" activePane="bottomRight" state="frozen"/>
      <selection pane="topRight" activeCell="K1" sqref="K1"/>
      <selection pane="bottomLeft" activeCell="A9" sqref="A9"/>
      <selection pane="bottomRight" activeCell="Q11" sqref="Q11"/>
    </sheetView>
  </sheetViews>
  <sheetFormatPr defaultRowHeight="13.5" x14ac:dyDescent="0.15"/>
  <cols>
    <col min="1" max="1" width="2.625" customWidth="1"/>
    <col min="2" max="2" width="15" style="1" bestFit="1" customWidth="1"/>
    <col min="3" max="3" width="18" bestFit="1" customWidth="1"/>
    <col min="4" max="4" width="13.125" style="1" bestFit="1" customWidth="1"/>
    <col min="5" max="5" width="53.125" bestFit="1" customWidth="1"/>
    <col min="6" max="6" width="6.25" style="6" customWidth="1"/>
    <col min="7" max="8" width="9.875" style="46" bestFit="1" customWidth="1"/>
    <col min="9" max="9" width="5.75" style="6" customWidth="1"/>
    <col min="10" max="10" width="54.25" bestFit="1" customWidth="1"/>
    <col min="11" max="11" width="37.25" style="1" bestFit="1" customWidth="1"/>
    <col min="12" max="12" width="27.125" style="1" customWidth="1"/>
    <col min="13" max="13" width="13.75" style="8" customWidth="1"/>
    <col min="14" max="14" width="6.375" customWidth="1"/>
    <col min="15" max="15" width="13.25" style="6" customWidth="1"/>
    <col min="16" max="16" width="14.5" style="9" customWidth="1"/>
    <col min="17" max="17" width="15.625" style="39" customWidth="1"/>
  </cols>
  <sheetData>
    <row r="2" spans="2:17" ht="20.100000000000001" customHeight="1" x14ac:dyDescent="0.15">
      <c r="B2" s="59" t="s">
        <v>11</v>
      </c>
      <c r="C2" s="59"/>
      <c r="D2" s="59"/>
      <c r="E2" s="7" t="s">
        <v>75</v>
      </c>
      <c r="G2" s="60" t="s">
        <v>15</v>
      </c>
      <c r="H2" s="61"/>
      <c r="I2" s="62"/>
      <c r="J2" s="5">
        <f>SUM(H:H)</f>
        <v>21197</v>
      </c>
      <c r="K2" s="2"/>
      <c r="L2" s="2"/>
    </row>
    <row r="3" spans="2:17" ht="20.100000000000001" customHeight="1" x14ac:dyDescent="0.15">
      <c r="B3" s="59" t="s">
        <v>10</v>
      </c>
      <c r="C3" s="59"/>
      <c r="D3" s="59"/>
      <c r="E3" s="3" t="s">
        <v>78</v>
      </c>
    </row>
    <row r="4" spans="2:17" ht="20.100000000000001" customHeight="1" x14ac:dyDescent="0.15">
      <c r="B4" s="59" t="s">
        <v>12</v>
      </c>
      <c r="C4" s="59"/>
      <c r="D4" s="59"/>
      <c r="E4" s="3">
        <v>183707</v>
      </c>
      <c r="J4" s="10"/>
      <c r="K4" s="38"/>
    </row>
    <row r="5" spans="2:17" ht="20.100000000000001" customHeight="1" x14ac:dyDescent="0.15">
      <c r="B5" s="59" t="s">
        <v>13</v>
      </c>
      <c r="C5" s="59"/>
      <c r="D5" s="59"/>
      <c r="E5" s="4"/>
      <c r="J5" s="10"/>
      <c r="K5" s="38"/>
    </row>
    <row r="6" spans="2:17" ht="20.100000000000001" customHeight="1" x14ac:dyDescent="0.15">
      <c r="B6" s="59" t="s">
        <v>14</v>
      </c>
      <c r="C6" s="59"/>
      <c r="D6" s="59"/>
      <c r="E6" s="4">
        <v>44264</v>
      </c>
      <c r="J6" s="10"/>
      <c r="K6" s="38"/>
    </row>
    <row r="7" spans="2:17" ht="19.5" customHeight="1" x14ac:dyDescent="0.15">
      <c r="B7" s="12"/>
      <c r="C7" s="12"/>
      <c r="D7" s="12"/>
      <c r="E7" s="11"/>
      <c r="J7" s="10"/>
      <c r="K7" s="38"/>
      <c r="L7" s="13"/>
    </row>
    <row r="8" spans="2:17" ht="19.5" customHeight="1" x14ac:dyDescent="0.15"/>
    <row r="9" spans="2:17" s="17" customFormat="1" ht="19.5" customHeight="1" x14ac:dyDescent="0.15">
      <c r="B9" s="23" t="s">
        <v>4</v>
      </c>
      <c r="C9" s="23" t="s">
        <v>9</v>
      </c>
      <c r="D9" s="23" t="s">
        <v>5</v>
      </c>
      <c r="E9" s="14" t="s">
        <v>8</v>
      </c>
      <c r="F9" s="14" t="s">
        <v>0</v>
      </c>
      <c r="G9" s="47" t="s">
        <v>1</v>
      </c>
      <c r="H9" s="47" t="s">
        <v>2</v>
      </c>
      <c r="I9" s="14" t="s">
        <v>18</v>
      </c>
      <c r="J9" s="14" t="s">
        <v>3</v>
      </c>
      <c r="K9" s="14" t="s">
        <v>17</v>
      </c>
      <c r="L9" s="14" t="s">
        <v>16</v>
      </c>
      <c r="M9" s="15" t="s">
        <v>6</v>
      </c>
      <c r="N9" s="23" t="s">
        <v>19</v>
      </c>
      <c r="O9" s="14" t="s">
        <v>7</v>
      </c>
      <c r="P9" s="15" t="s">
        <v>20</v>
      </c>
      <c r="Q9" s="16" t="s">
        <v>21</v>
      </c>
    </row>
    <row r="10" spans="2:17" s="21" customFormat="1" ht="15" customHeight="1" x14ac:dyDescent="0.15">
      <c r="B10" s="18">
        <v>1</v>
      </c>
      <c r="C10" s="23" t="s">
        <v>76</v>
      </c>
      <c r="D10" s="23"/>
      <c r="E10" s="49" t="s">
        <v>79</v>
      </c>
      <c r="F10" s="24">
        <v>1</v>
      </c>
      <c r="G10" s="50"/>
      <c r="H10" s="51"/>
      <c r="I10" s="52"/>
      <c r="J10" s="49" t="s">
        <v>77</v>
      </c>
      <c r="K10" s="53"/>
      <c r="L10" s="14"/>
      <c r="M10" s="15">
        <v>44109</v>
      </c>
      <c r="N10" s="18"/>
      <c r="O10" s="27"/>
      <c r="P10" s="19"/>
      <c r="Q10" s="20">
        <v>44246</v>
      </c>
    </row>
    <row r="11" spans="2:17" s="32" customFormat="1" ht="15" customHeight="1" x14ac:dyDescent="0.15">
      <c r="B11" s="28"/>
      <c r="C11" s="57" t="s">
        <v>41</v>
      </c>
      <c r="D11" s="57" t="s">
        <v>41</v>
      </c>
      <c r="E11" s="24" t="s">
        <v>80</v>
      </c>
      <c r="F11" s="24">
        <v>1</v>
      </c>
      <c r="G11" s="24">
        <v>638</v>
      </c>
      <c r="H11" s="24">
        <f>F11*G11</f>
        <v>638</v>
      </c>
      <c r="I11" s="58"/>
      <c r="J11" s="24" t="s">
        <v>81</v>
      </c>
      <c r="K11" s="14" t="s">
        <v>91</v>
      </c>
      <c r="L11" s="14"/>
      <c r="M11" s="15">
        <v>44109</v>
      </c>
      <c r="N11" s="29"/>
      <c r="O11" s="30"/>
      <c r="P11" s="31"/>
      <c r="Q11" s="40"/>
    </row>
    <row r="12" spans="2:17" s="32" customFormat="1" ht="15" customHeight="1" x14ac:dyDescent="0.15">
      <c r="B12" s="28"/>
      <c r="C12" s="57" t="s">
        <v>41</v>
      </c>
      <c r="D12" s="57" t="s">
        <v>41</v>
      </c>
      <c r="E12" s="24" t="s">
        <v>82</v>
      </c>
      <c r="F12" s="24">
        <v>1</v>
      </c>
      <c r="G12" s="24">
        <v>553</v>
      </c>
      <c r="H12" s="24">
        <f t="shared" ref="H12:H18" si="0">F12*G12</f>
        <v>553</v>
      </c>
      <c r="I12" s="58"/>
      <c r="J12" s="24" t="s">
        <v>83</v>
      </c>
      <c r="K12" s="14" t="s">
        <v>91</v>
      </c>
      <c r="L12" s="14"/>
      <c r="M12" s="15">
        <v>44109</v>
      </c>
      <c r="N12" s="29"/>
      <c r="O12" s="30"/>
      <c r="P12" s="31"/>
      <c r="Q12" s="40"/>
    </row>
    <row r="13" spans="2:17" s="32" customFormat="1" ht="15" customHeight="1" x14ac:dyDescent="0.15">
      <c r="B13" s="28"/>
      <c r="C13" s="57" t="s">
        <v>41</v>
      </c>
      <c r="D13" s="57" t="s">
        <v>41</v>
      </c>
      <c r="E13" s="24" t="s">
        <v>84</v>
      </c>
      <c r="F13" s="24">
        <v>1</v>
      </c>
      <c r="G13" s="24">
        <v>308</v>
      </c>
      <c r="H13" s="24">
        <f t="shared" si="0"/>
        <v>308</v>
      </c>
      <c r="I13" s="58"/>
      <c r="J13" s="24" t="s">
        <v>81</v>
      </c>
      <c r="K13" s="14" t="s">
        <v>91</v>
      </c>
      <c r="L13" s="14"/>
      <c r="M13" s="15">
        <v>44109</v>
      </c>
      <c r="N13" s="29"/>
      <c r="O13" s="30"/>
      <c r="P13" s="31"/>
      <c r="Q13" s="40"/>
    </row>
    <row r="14" spans="2:17" s="32" customFormat="1" ht="15" customHeight="1" x14ac:dyDescent="0.15">
      <c r="B14" s="28"/>
      <c r="C14" s="57" t="s">
        <v>41</v>
      </c>
      <c r="D14" s="57" t="s">
        <v>41</v>
      </c>
      <c r="E14" s="24" t="s">
        <v>85</v>
      </c>
      <c r="F14" s="24">
        <v>1</v>
      </c>
      <c r="G14" s="24">
        <v>498</v>
      </c>
      <c r="H14" s="24">
        <f t="shared" si="0"/>
        <v>498</v>
      </c>
      <c r="I14" s="58"/>
      <c r="J14" s="24" t="s">
        <v>83</v>
      </c>
      <c r="K14" s="14" t="s">
        <v>91</v>
      </c>
      <c r="L14" s="14"/>
      <c r="M14" s="15">
        <v>44109</v>
      </c>
      <c r="N14" s="29"/>
      <c r="O14" s="30"/>
      <c r="P14" s="31"/>
      <c r="Q14" s="40"/>
    </row>
    <row r="15" spans="2:17" s="32" customFormat="1" ht="15" customHeight="1" x14ac:dyDescent="0.15">
      <c r="B15" s="28"/>
      <c r="C15" s="23" t="s">
        <v>90</v>
      </c>
      <c r="D15" s="23" t="s">
        <v>90</v>
      </c>
      <c r="E15" s="56" t="s">
        <v>86</v>
      </c>
      <c r="F15" s="56">
        <v>1</v>
      </c>
      <c r="G15" s="56">
        <v>5600</v>
      </c>
      <c r="H15" s="56">
        <f t="shared" si="0"/>
        <v>5600</v>
      </c>
      <c r="I15" s="55"/>
      <c r="J15" s="56"/>
      <c r="K15" s="53"/>
      <c r="L15" s="14"/>
      <c r="M15" s="15">
        <v>44228</v>
      </c>
      <c r="N15" s="29"/>
      <c r="O15" s="30"/>
      <c r="P15" s="31"/>
      <c r="Q15" s="40">
        <v>44243</v>
      </c>
    </row>
    <row r="16" spans="2:17" s="32" customFormat="1" ht="15" customHeight="1" x14ac:dyDescent="0.15">
      <c r="B16" s="28"/>
      <c r="C16" s="23" t="s">
        <v>90</v>
      </c>
      <c r="D16" s="23" t="s">
        <v>90</v>
      </c>
      <c r="E16" s="56" t="s">
        <v>87</v>
      </c>
      <c r="F16" s="56">
        <v>1</v>
      </c>
      <c r="G16" s="56">
        <v>5300</v>
      </c>
      <c r="H16" s="56">
        <f t="shared" si="0"/>
        <v>5300</v>
      </c>
      <c r="I16" s="55"/>
      <c r="J16" s="56"/>
      <c r="K16" s="53"/>
      <c r="L16" s="14"/>
      <c r="M16" s="15">
        <v>44228</v>
      </c>
      <c r="N16" s="29"/>
      <c r="O16" s="30"/>
      <c r="P16" s="31"/>
      <c r="Q16" s="40">
        <v>44243</v>
      </c>
    </row>
    <row r="17" spans="2:17" s="32" customFormat="1" ht="15" customHeight="1" x14ac:dyDescent="0.15">
      <c r="B17" s="28"/>
      <c r="C17" s="23" t="s">
        <v>90</v>
      </c>
      <c r="D17" s="23" t="s">
        <v>90</v>
      </c>
      <c r="E17" s="56" t="s">
        <v>88</v>
      </c>
      <c r="F17" s="56">
        <v>1</v>
      </c>
      <c r="G17" s="56">
        <v>5300</v>
      </c>
      <c r="H17" s="56">
        <f t="shared" si="0"/>
        <v>5300</v>
      </c>
      <c r="I17" s="55"/>
      <c r="J17" s="56"/>
      <c r="K17" s="53"/>
      <c r="L17" s="14"/>
      <c r="M17" s="15">
        <v>44228</v>
      </c>
      <c r="N17" s="29"/>
      <c r="O17" s="30"/>
      <c r="P17" s="31"/>
      <c r="Q17" s="40">
        <v>44243</v>
      </c>
    </row>
    <row r="18" spans="2:17" s="32" customFormat="1" ht="15" customHeight="1" x14ac:dyDescent="0.15">
      <c r="B18" s="28"/>
      <c r="C18" s="23" t="s">
        <v>90</v>
      </c>
      <c r="D18" s="23" t="s">
        <v>90</v>
      </c>
      <c r="E18" s="56" t="s">
        <v>89</v>
      </c>
      <c r="F18" s="56">
        <v>1</v>
      </c>
      <c r="G18" s="56">
        <v>3000</v>
      </c>
      <c r="H18" s="56">
        <f t="shared" si="0"/>
        <v>3000</v>
      </c>
      <c r="I18" s="55"/>
      <c r="J18" s="56"/>
      <c r="K18" s="53"/>
      <c r="L18" s="14"/>
      <c r="M18" s="15">
        <v>44228</v>
      </c>
      <c r="N18" s="29"/>
      <c r="O18" s="30"/>
      <c r="P18" s="31"/>
      <c r="Q18" s="40">
        <v>44243</v>
      </c>
    </row>
    <row r="19" spans="2:17" s="32" customFormat="1" ht="15" customHeight="1" x14ac:dyDescent="0.15">
      <c r="B19" s="28"/>
      <c r="C19" s="23"/>
      <c r="D19" s="23"/>
      <c r="E19" s="56"/>
      <c r="F19" s="56"/>
      <c r="G19" s="56"/>
      <c r="H19" s="56"/>
      <c r="I19" s="55"/>
      <c r="J19" s="56"/>
      <c r="K19" s="14"/>
      <c r="L19" s="54"/>
      <c r="M19" s="15"/>
      <c r="N19" s="29"/>
      <c r="O19" s="30"/>
      <c r="P19" s="31"/>
      <c r="Q19" s="40"/>
    </row>
    <row r="20" spans="2:17" s="22" customFormat="1" x14ac:dyDescent="0.15">
      <c r="B20" s="2"/>
      <c r="C20" s="41"/>
      <c r="D20" s="2"/>
      <c r="E20" s="41"/>
      <c r="F20" s="42"/>
      <c r="G20" s="48"/>
      <c r="H20" s="48"/>
      <c r="I20" s="42"/>
      <c r="J20" s="41"/>
      <c r="K20" s="2"/>
      <c r="L20" s="2"/>
      <c r="M20" s="43"/>
      <c r="N20" s="41"/>
      <c r="O20" s="42"/>
      <c r="P20" s="44"/>
      <c r="Q20" s="45"/>
    </row>
    <row r="21" spans="2:17" s="22" customFormat="1" x14ac:dyDescent="0.15">
      <c r="B21" s="2"/>
      <c r="C21" s="41"/>
      <c r="D21" s="2"/>
      <c r="E21" s="41"/>
      <c r="F21" s="42"/>
      <c r="G21" s="48"/>
      <c r="H21" s="48"/>
      <c r="I21" s="42"/>
      <c r="J21" s="41"/>
      <c r="K21" s="2"/>
      <c r="L21" s="2"/>
      <c r="M21" s="43"/>
      <c r="N21" s="41"/>
      <c r="O21" s="42"/>
      <c r="P21" s="44"/>
      <c r="Q21" s="45"/>
    </row>
  </sheetData>
  <autoFilter ref="B9:O14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9"/>
  <sheetViews>
    <sheetView workbookViewId="0">
      <selection activeCell="E9" sqref="E9"/>
    </sheetView>
  </sheetViews>
  <sheetFormatPr defaultRowHeight="13.5" x14ac:dyDescent="0.15"/>
  <cols>
    <col min="2" max="2" width="10.125" bestFit="1" customWidth="1"/>
    <col min="3" max="3" width="30.625" bestFit="1" customWidth="1"/>
    <col min="4" max="4" width="5.5" style="1" bestFit="1" customWidth="1"/>
    <col min="5" max="5" width="44.75" customWidth="1"/>
    <col min="6" max="6" width="32.25" bestFit="1" customWidth="1"/>
    <col min="7" max="7" width="30.125" style="1" customWidth="1"/>
    <col min="8" max="8" width="26.75" customWidth="1"/>
  </cols>
  <sheetData>
    <row r="2" spans="2:8" s="1" customFormat="1" x14ac:dyDescent="0.15">
      <c r="B2" s="25" t="s">
        <v>60</v>
      </c>
      <c r="C2" s="25" t="s">
        <v>61</v>
      </c>
      <c r="D2" s="25" t="s">
        <v>62</v>
      </c>
      <c r="E2" s="25" t="s">
        <v>63</v>
      </c>
      <c r="F2" s="25" t="s">
        <v>64</v>
      </c>
      <c r="G2" s="25" t="s">
        <v>65</v>
      </c>
      <c r="H2" s="25" t="s">
        <v>72</v>
      </c>
    </row>
    <row r="3" spans="2:8" x14ac:dyDescent="0.15">
      <c r="B3" s="18" t="s">
        <v>22</v>
      </c>
      <c r="C3" s="26" t="s">
        <v>23</v>
      </c>
      <c r="D3" s="28">
        <v>1</v>
      </c>
      <c r="E3" s="24" t="s">
        <v>50</v>
      </c>
      <c r="F3" s="24"/>
      <c r="G3" s="25" t="s">
        <v>66</v>
      </c>
      <c r="H3" s="25" t="s">
        <v>73</v>
      </c>
    </row>
    <row r="4" spans="2:8" x14ac:dyDescent="0.15">
      <c r="B4" s="18" t="s">
        <v>41</v>
      </c>
      <c r="C4" s="29" t="s">
        <v>32</v>
      </c>
      <c r="D4" s="28">
        <v>3</v>
      </c>
      <c r="E4" s="24" t="s">
        <v>51</v>
      </c>
      <c r="F4" s="24"/>
      <c r="G4" s="25" t="s">
        <v>66</v>
      </c>
      <c r="H4" s="25" t="s">
        <v>73</v>
      </c>
    </row>
    <row r="5" spans="2:8" x14ac:dyDescent="0.15">
      <c r="B5" s="18" t="s">
        <v>41</v>
      </c>
      <c r="C5" s="29" t="s">
        <v>25</v>
      </c>
      <c r="D5" s="28">
        <v>1</v>
      </c>
      <c r="E5" s="24" t="s">
        <v>42</v>
      </c>
      <c r="F5" s="24"/>
      <c r="G5" s="25" t="s">
        <v>66</v>
      </c>
      <c r="H5" s="25" t="s">
        <v>73</v>
      </c>
    </row>
    <row r="6" spans="2:8" x14ac:dyDescent="0.15">
      <c r="B6" s="18" t="s">
        <v>41</v>
      </c>
      <c r="C6" s="29" t="s">
        <v>26</v>
      </c>
      <c r="D6" s="28">
        <v>1</v>
      </c>
      <c r="E6" s="24" t="s">
        <v>43</v>
      </c>
      <c r="F6" s="24"/>
      <c r="G6" s="25" t="s">
        <v>66</v>
      </c>
      <c r="H6" s="25" t="s">
        <v>73</v>
      </c>
    </row>
    <row r="7" spans="2:8" x14ac:dyDescent="0.15">
      <c r="B7" s="18" t="s">
        <v>41</v>
      </c>
      <c r="C7" s="24" t="s">
        <v>39</v>
      </c>
      <c r="D7" s="25">
        <v>1</v>
      </c>
      <c r="E7" s="24" t="s">
        <v>48</v>
      </c>
      <c r="F7" s="24"/>
      <c r="G7" s="25" t="s">
        <v>66</v>
      </c>
      <c r="H7" s="25" t="s">
        <v>73</v>
      </c>
    </row>
    <row r="8" spans="2:8" x14ac:dyDescent="0.15">
      <c r="B8" s="18" t="s">
        <v>41</v>
      </c>
      <c r="C8" s="24" t="s">
        <v>40</v>
      </c>
      <c r="D8" s="25">
        <v>1</v>
      </c>
      <c r="E8" s="24" t="s">
        <v>49</v>
      </c>
      <c r="F8" s="24"/>
      <c r="G8" s="25" t="s">
        <v>66</v>
      </c>
      <c r="H8" s="25" t="s">
        <v>73</v>
      </c>
    </row>
    <row r="9" spans="2:8" x14ac:dyDescent="0.15">
      <c r="B9" s="18" t="s">
        <v>41</v>
      </c>
      <c r="C9" s="24" t="s">
        <v>24</v>
      </c>
      <c r="D9" s="28">
        <v>1</v>
      </c>
      <c r="E9" s="24" t="s">
        <v>52</v>
      </c>
      <c r="F9" s="24"/>
      <c r="G9" s="25" t="s">
        <v>66</v>
      </c>
      <c r="H9" s="25" t="s">
        <v>73</v>
      </c>
    </row>
    <row r="10" spans="2:8" x14ac:dyDescent="0.15">
      <c r="B10" s="18" t="s">
        <v>41</v>
      </c>
      <c r="C10" s="29" t="s">
        <v>37</v>
      </c>
      <c r="D10" s="28">
        <v>1</v>
      </c>
      <c r="E10" s="29" t="s">
        <v>53</v>
      </c>
      <c r="F10" s="24"/>
      <c r="G10" s="25" t="s">
        <v>66</v>
      </c>
      <c r="H10" s="25" t="s">
        <v>73</v>
      </c>
    </row>
    <row r="11" spans="2:8" x14ac:dyDescent="0.15">
      <c r="B11" s="35" t="s">
        <v>28</v>
      </c>
      <c r="C11" s="37" t="s">
        <v>35</v>
      </c>
      <c r="D11" s="36">
        <v>1</v>
      </c>
      <c r="E11" s="24" t="s">
        <v>47</v>
      </c>
      <c r="F11" s="24"/>
      <c r="G11" s="25" t="s">
        <v>66</v>
      </c>
      <c r="H11" s="25" t="s">
        <v>73</v>
      </c>
    </row>
    <row r="12" spans="2:8" x14ac:dyDescent="0.15">
      <c r="B12" s="28" t="s">
        <v>28</v>
      </c>
      <c r="C12" s="29" t="s">
        <v>27</v>
      </c>
      <c r="D12" s="28">
        <v>2</v>
      </c>
      <c r="E12" s="24" t="s">
        <v>54</v>
      </c>
      <c r="F12" s="24"/>
      <c r="G12" s="25" t="s">
        <v>66</v>
      </c>
      <c r="H12" s="25" t="s">
        <v>73</v>
      </c>
    </row>
    <row r="13" spans="2:8" x14ac:dyDescent="0.15">
      <c r="B13" s="28" t="s">
        <v>31</v>
      </c>
      <c r="C13" s="24" t="s">
        <v>29</v>
      </c>
      <c r="D13" s="25">
        <v>2</v>
      </c>
      <c r="E13" s="24" t="s">
        <v>45</v>
      </c>
      <c r="F13" s="24"/>
      <c r="G13" s="25" t="s">
        <v>66</v>
      </c>
      <c r="H13" s="25" t="s">
        <v>73</v>
      </c>
    </row>
    <row r="14" spans="2:8" x14ac:dyDescent="0.15">
      <c r="B14" s="33" t="s">
        <v>30</v>
      </c>
      <c r="C14" s="34" t="s">
        <v>33</v>
      </c>
      <c r="D14" s="25">
        <v>1</v>
      </c>
      <c r="E14" s="24" t="s">
        <v>44</v>
      </c>
      <c r="F14" s="24"/>
      <c r="G14" s="25" t="s">
        <v>66</v>
      </c>
      <c r="H14" s="25" t="s">
        <v>74</v>
      </c>
    </row>
    <row r="15" spans="2:8" x14ac:dyDescent="0.15">
      <c r="B15" s="28" t="s">
        <v>34</v>
      </c>
      <c r="C15" s="24" t="s">
        <v>46</v>
      </c>
      <c r="D15" s="25">
        <v>1</v>
      </c>
      <c r="E15" s="24" t="s">
        <v>55</v>
      </c>
      <c r="F15" s="24"/>
      <c r="G15" s="25" t="s">
        <v>66</v>
      </c>
      <c r="H15" s="25" t="s">
        <v>74</v>
      </c>
    </row>
    <row r="16" spans="2:8" x14ac:dyDescent="0.15">
      <c r="B16" s="28" t="s">
        <v>34</v>
      </c>
      <c r="C16" s="24" t="s">
        <v>38</v>
      </c>
      <c r="D16" s="28">
        <v>1</v>
      </c>
      <c r="E16" s="24" t="s">
        <v>67</v>
      </c>
      <c r="F16" s="24"/>
      <c r="G16" s="25" t="s">
        <v>66</v>
      </c>
      <c r="H16" s="25" t="s">
        <v>73</v>
      </c>
    </row>
    <row r="17" spans="2:8" x14ac:dyDescent="0.15">
      <c r="B17" s="28" t="s">
        <v>34</v>
      </c>
      <c r="C17" s="29" t="s">
        <v>36</v>
      </c>
      <c r="D17" s="28">
        <v>1</v>
      </c>
      <c r="E17" s="24" t="s">
        <v>68</v>
      </c>
      <c r="F17" s="24"/>
      <c r="G17" s="25" t="s">
        <v>66</v>
      </c>
      <c r="H17" s="25" t="s">
        <v>73</v>
      </c>
    </row>
    <row r="18" spans="2:8" s="22" customFormat="1" x14ac:dyDescent="0.15">
      <c r="B18" s="24" t="s">
        <v>57</v>
      </c>
      <c r="C18" s="29" t="s">
        <v>70</v>
      </c>
      <c r="D18" s="28">
        <v>1</v>
      </c>
      <c r="E18" s="29" t="s">
        <v>71</v>
      </c>
      <c r="F18" s="29"/>
      <c r="G18" s="25" t="s">
        <v>66</v>
      </c>
      <c r="H18" s="25" t="s">
        <v>74</v>
      </c>
    </row>
    <row r="19" spans="2:8" x14ac:dyDescent="0.15">
      <c r="B19" s="24" t="s">
        <v>57</v>
      </c>
      <c r="C19" s="24" t="s">
        <v>56</v>
      </c>
      <c r="D19" s="25">
        <v>1</v>
      </c>
      <c r="E19" s="24" t="s">
        <v>59</v>
      </c>
      <c r="F19" s="24" t="s">
        <v>58</v>
      </c>
      <c r="G19" s="25" t="s">
        <v>69</v>
      </c>
      <c r="H19" s="25" t="s">
        <v>73</v>
      </c>
    </row>
  </sheetData>
  <phoneticPr fontId="6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2018-02-20T13:59:27Z</cp:lastPrinted>
  <dcterms:created xsi:type="dcterms:W3CDTF">2011-12-13T06:48:43Z</dcterms:created>
  <dcterms:modified xsi:type="dcterms:W3CDTF">2021-02-19T04:11:42Z</dcterms:modified>
</cp:coreProperties>
</file>