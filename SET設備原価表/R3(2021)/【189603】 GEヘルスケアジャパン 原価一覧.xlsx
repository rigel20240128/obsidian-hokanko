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13A5E2A-E590-47A6-8D6D-B66A42DC2C25}" xr6:coauthVersionLast="47" xr6:coauthVersionMax="47" xr10:uidLastSave="{00000000-0000-0000-0000-000000000000}"/>
  <bookViews>
    <workbookView xWindow="-120" yWindow="-120" windowWidth="38640" windowHeight="16440" activeTab="1" xr2:uid="{00000000-000D-0000-FFFF-FFFF00000000}"/>
  </bookViews>
  <sheets>
    <sheet name="原価表" sheetId="1" r:id="rId1"/>
    <sheet name="カートリッジ改造関連（丸山）" sheetId="6" r:id="rId2"/>
    <sheet name="治具手配数量" sheetId="2" r:id="rId3"/>
    <sheet name="Sheet3" sheetId="3" r:id="rId4"/>
    <sheet name="表紙" sheetId="5" r:id="rId5"/>
  </sheets>
  <definedNames>
    <definedName name="_xlnm._FilterDatabase" localSheetId="0" hidden="1">原価表!$B$9:$O$34</definedName>
    <definedName name="_xlnm.Print_Area" localSheetId="0">原価表!$B$2:$E$6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6" l="1"/>
  <c r="G8" i="6"/>
  <c r="G7" i="6"/>
  <c r="G6" i="6"/>
  <c r="G5" i="6"/>
  <c r="G4" i="6"/>
  <c r="G3" i="6"/>
  <c r="G2" i="6"/>
  <c r="G1" i="6"/>
  <c r="H49" i="1"/>
  <c r="H48" i="1"/>
  <c r="H47" i="1"/>
  <c r="H46" i="1"/>
  <c r="H45" i="1"/>
  <c r="H43" i="1"/>
  <c r="H42" i="1"/>
  <c r="H44" i="1"/>
  <c r="H26" i="1"/>
  <c r="H27" i="1"/>
  <c r="H28" i="1"/>
  <c r="H25" i="1"/>
  <c r="H16" i="1"/>
  <c r="H15" i="1"/>
  <c r="H13" i="1"/>
  <c r="H12" i="1"/>
  <c r="H10" i="1"/>
  <c r="J2" i="1" l="1"/>
</calcChain>
</file>

<file path=xl/sharedStrings.xml><?xml version="1.0" encoding="utf-8"?>
<sst xmlns="http://schemas.openxmlformats.org/spreadsheetml/2006/main" count="259" uniqueCount="114">
  <si>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</si>
  <si>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</si>
  <si>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</si>
  <si>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</si>
  <si>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</si>
  <si>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</si>
  <si>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</si>
  <si>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</si>
  <si>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</si>
  <si>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</si>
  <si>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</si>
  <si>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</si>
  <si>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</si>
  <si>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</si>
  <si>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</si>
  <si>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</si>
  <si>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</si>
  <si>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</si>
  <si>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</si>
  <si>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</si>
  <si>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</si>
  <si>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</si>
  <si>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</si>
  <si>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</si>
  <si>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</si>
  <si>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</si>
  <si>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</si>
  <si>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</si>
  <si>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</si>
  <si>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</si>
  <si>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</si>
  <si>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</si>
  <si>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</si>
  <si>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</si>
  <si>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</si>
  <si>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</si>
  <si>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</si>
  <si>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</si>
  <si>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</si>
  <si>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</si>
  <si>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</si>
  <si>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</si>
  <si>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</si>
  <si>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</si>
  <si>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</si>
  <si>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</si>
  <si>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SP</t>
    <phoneticPr fontId="2"/>
  </si>
  <si>
    <t>GEヘルスケアジャパン</t>
    <phoneticPr fontId="2"/>
  </si>
  <si>
    <t>冨沢</t>
    <rPh sb="0" eb="2">
      <t>トミザワ</t>
    </rPh>
    <phoneticPr fontId="2"/>
  </si>
  <si>
    <t>JANOME</t>
    <phoneticPr fontId="2"/>
  </si>
  <si>
    <t>JR3304</t>
    <phoneticPr fontId="2"/>
  </si>
  <si>
    <t>SET</t>
    <phoneticPr fontId="2"/>
  </si>
  <si>
    <t>JR-Cpoint</t>
    <phoneticPr fontId="2"/>
  </si>
  <si>
    <t>I/O-S増設</t>
    <rPh sb="5" eb="7">
      <t>ゾウセツ</t>
    </rPh>
    <phoneticPr fontId="2"/>
  </si>
  <si>
    <t>4軸用ニードルアジャスター</t>
    <rPh sb="1" eb="3">
      <t>ジクヨウ</t>
    </rPh>
    <phoneticPr fontId="2"/>
  </si>
  <si>
    <t>荷造り運賃</t>
    <rPh sb="0" eb="2">
      <t>ニヅク</t>
    </rPh>
    <rPh sb="3" eb="5">
      <t>ウンチン</t>
    </rPh>
    <phoneticPr fontId="2"/>
  </si>
  <si>
    <t>見積№HQ21-0559</t>
    <rPh sb="0" eb="3">
      <t>ミツモリナンバー</t>
    </rPh>
    <phoneticPr fontId="2"/>
  </si>
  <si>
    <t>MISUMI</t>
    <phoneticPr fontId="2"/>
  </si>
  <si>
    <t>MVBLK-AMW-2S5-GW8W1</t>
  </si>
  <si>
    <t>■SETA0067-Y01(ﾂｰﾙﾌﾟﾚｰﾄ)</t>
  </si>
  <si>
    <t>WEB発注済</t>
    <rPh sb="0" eb="6">
      <t>ウェBハッチュウスミ</t>
    </rPh>
    <phoneticPr fontId="2"/>
  </si>
  <si>
    <t>MVBLK-AMW-2SD-L6G12</t>
  </si>
  <si>
    <t>■SETA0067-Y01-45(ﾂｰﾙﾌﾟﾚｰﾄ)</t>
    <phoneticPr fontId="2"/>
  </si>
  <si>
    <t>MVBLK-AMW-2S5-XND7W</t>
  </si>
  <si>
    <t>■SETA0067-Y02(ﾊﾞﾙﾌﾞﾎﾙﾀﾞ)</t>
  </si>
  <si>
    <t>MVBLK-AMW-2S5-21XFU</t>
  </si>
  <si>
    <t>MVBLK-AMW-2SE-N11YN</t>
    <phoneticPr fontId="2"/>
  </si>
  <si>
    <t>■SETA0067-Y03(ｶｰﾄｯﾘｯｼﾞﾍﾞｰｽ)</t>
    <phoneticPr fontId="2"/>
  </si>
  <si>
    <t>TAISHO</t>
    <phoneticPr fontId="2"/>
  </si>
  <si>
    <t>■SETA0067-Y04(ｶｰﾄｯﾘｯｼﾎﾙﾀﾞ)</t>
    <phoneticPr fontId="2"/>
  </si>
  <si>
    <t>■SETA0067-Y05(ｶｰﾄﾘｯｼﾞﾘﾝｸﾞ)</t>
    <phoneticPr fontId="2"/>
  </si>
  <si>
    <t>MVSHM-3N03052002011-2SE-89U9Z</t>
  </si>
  <si>
    <t>■SETA0067-Y06（三方弁ﾌﾟﾚｰﾄ)</t>
    <rPh sb="14" eb="17">
      <t>サンポウベン</t>
    </rPh>
    <phoneticPr fontId="2"/>
  </si>
  <si>
    <t>■SETA0067-Y07（ﾄﾞﾛｯﾌﾟｲﾝｱﾀﾞﾌﾟﾀ)</t>
    <phoneticPr fontId="2"/>
  </si>
  <si>
    <t>MVSHM-PN02052013021-2S5-7DP9Y</t>
    <phoneticPr fontId="2"/>
  </si>
  <si>
    <t>■SETA0067-Z01(ｶｯﾌﾟﾍﾞｰｽ)</t>
  </si>
  <si>
    <t>MVSHM-PN01000005005-2S5-PSCMN</t>
  </si>
  <si>
    <t>■SETA0067-Z02(ｶｯﾌﾟﾌﾟﾚｰﾄ)</t>
  </si>
  <si>
    <t>MVSHM-3N01502008034-2S7-LEKT9</t>
    <phoneticPr fontId="2"/>
  </si>
  <si>
    <t>■SETA0067-Z03(ｹｰﾌﾞﾙﾍﾞｱﾌﾟﾚｰﾄ)</t>
  </si>
  <si>
    <t>MVSHM-3N01502001006-2SL-NEKJ1</t>
  </si>
  <si>
    <t>■SETA0067-Z04(ｹｰﾌﾞﾙﾍﾞｱﾌﾟﾚｰﾄ)</t>
  </si>
  <si>
    <t>SHSPMN10-25</t>
    <phoneticPr fontId="2"/>
  </si>
  <si>
    <t>ｼｬﾌﾄﾎﾙﾀﾞ(SHSPMN)</t>
  </si>
  <si>
    <t>HV6-6</t>
    <phoneticPr fontId="2"/>
  </si>
  <si>
    <t>ﾊﾝﾄﾞﾊﾞﾙﾌﾞ HV</t>
  </si>
  <si>
    <t>NBMS5-20-15</t>
  </si>
  <si>
    <t>ﾂﾏﾐﾈｼﾞ    (NBM)</t>
  </si>
  <si>
    <t>NCLSS3-5-10.0</t>
  </si>
  <si>
    <t>ｷﾝｿﾞｸｶﾗｰ NCLSS</t>
  </si>
  <si>
    <t>SKTGLK10-2</t>
  </si>
  <si>
    <t>ｽﾃﾝﾚｽｶﾝﾂｷﾞﾃ (SKTGLK)</t>
  </si>
  <si>
    <t>SZ045F-16-018-24</t>
    <phoneticPr fontId="2"/>
  </si>
  <si>
    <t>SE045F ｹｰﾌﾞﾙｷｬﾘｱ</t>
  </si>
  <si>
    <t>WSSS20-5-3</t>
  </si>
  <si>
    <t>ｷﾝｿﾞｸﾜｯｼｬ SUS (WSSS)</t>
  </si>
  <si>
    <t>ｲﾊﾗｼｴﾝｽ</t>
    <phoneticPr fontId="2"/>
  </si>
  <si>
    <t>MDLN 10M-R02</t>
    <phoneticPr fontId="2"/>
  </si>
  <si>
    <t>継ぎ手</t>
    <rPh sb="0" eb="1">
      <t>ツ</t>
    </rPh>
    <rPh sb="2" eb="3">
      <t>テ</t>
    </rPh>
    <phoneticPr fontId="2"/>
  </si>
  <si>
    <t>発注願います</t>
    <rPh sb="0" eb="3">
      <t>ハッチュウネガ</t>
    </rPh>
    <phoneticPr fontId="2"/>
  </si>
  <si>
    <t>ME-10-1</t>
    <phoneticPr fontId="2"/>
  </si>
  <si>
    <t>泰誠ENG</t>
    <rPh sb="0" eb="2">
      <t>タイセイ</t>
    </rPh>
    <phoneticPr fontId="2"/>
  </si>
  <si>
    <t>X0011</t>
    <phoneticPr fontId="2"/>
  </si>
  <si>
    <t>ドロップインアダプタキャップ</t>
    <phoneticPr fontId="2"/>
  </si>
  <si>
    <t>X0009</t>
    <phoneticPr fontId="2"/>
  </si>
  <si>
    <t>ドロップインアダプタRTV5240</t>
    <phoneticPr fontId="2"/>
  </si>
  <si>
    <t>MSSTS4-5</t>
    <phoneticPr fontId="2"/>
  </si>
  <si>
    <t>ロッカクアナツキトメネジ</t>
    <phoneticPr fontId="2"/>
  </si>
  <si>
    <t>9020-185</t>
    <phoneticPr fontId="2"/>
  </si>
  <si>
    <t>パイプカッター</t>
    <phoneticPr fontId="2"/>
  </si>
  <si>
    <t>MVSHM-3N01542009034-2TH-CKN6Y</t>
  </si>
  <si>
    <t>■SETA0067-Z04(ｹｰﾌﾞﾙﾍﾞｱﾌﾟﾚｰﾄ)</t>
    <phoneticPr fontId="2"/>
  </si>
  <si>
    <t>MVSHM-3N01542010034-2TH-PD87C</t>
  </si>
  <si>
    <t>MVSHM-3N01542006007-2TH-ZTEJW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</si>
</sst>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5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trike/>
      <sz val="11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56" fontId="6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3" fontId="9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11" fillId="5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6" fontId="0" fillId="0" borderId="3" xfId="0" applyNumberFormat="1" applyFon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3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176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1"/>
  <sheetViews>
    <sheetView zoomScale="85" zoomScaleNormal="85" workbookViewId="0">
      <pane xSplit="10" ySplit="9" topLeftCell="K22" activePane="bottomRight" state="frozen"/>
      <selection pane="topRight" activeCell="K1" sqref="K1"/>
      <selection pane="bottomLeft" activeCell="A9" sqref="A9"/>
      <selection pane="bottomRight" activeCell="B26" sqref="B26:J48"/>
    </sheetView>
  </sheetViews>
  <sheetFormatPr defaultColWidth="9" defaultRowHeight="13.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7" width="9.875" style="11" bestFit="1" customWidth="1"/>
    <col min="8" max="8" width="9.875" style="62" bestFit="1" customWidth="1"/>
    <col min="9" max="9" width="5.75" style="16" customWidth="1"/>
    <col min="10" max="10" width="35.25" style="11" bestFit="1" customWidth="1"/>
    <col min="11" max="11" width="22.375" style="11" bestFit="1" customWidth="1"/>
    <col min="12" max="12" width="11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>
      <c r="B2" s="77" t="s">
        <v>11</v>
      </c>
      <c r="C2" s="77"/>
      <c r="D2" s="77"/>
      <c r="E2" s="10" t="s">
        <v>47</v>
      </c>
      <c r="G2" s="78" t="s">
        <v>15</v>
      </c>
      <c r="H2" s="79"/>
      <c r="I2" s="80"/>
      <c r="J2" s="12">
        <f>SUM(H:H)</f>
        <v>1066110</v>
      </c>
      <c r="K2" s="13"/>
      <c r="L2" s="14"/>
    </row>
    <row r="3" spans="2:17" ht="20.100000000000001" customHeight="1">
      <c r="B3" s="77" t="s">
        <v>10</v>
      </c>
      <c r="C3" s="77"/>
      <c r="D3" s="77"/>
      <c r="E3" s="19" t="s">
        <v>48</v>
      </c>
    </row>
    <row r="4" spans="2:17" ht="20.100000000000001" customHeight="1">
      <c r="B4" s="77" t="s">
        <v>12</v>
      </c>
      <c r="C4" s="77"/>
      <c r="D4" s="77"/>
      <c r="E4" s="19">
        <v>189603</v>
      </c>
      <c r="J4" s="21"/>
    </row>
    <row r="5" spans="2:17" ht="20.100000000000001" customHeight="1">
      <c r="B5" s="77" t="s">
        <v>13</v>
      </c>
      <c r="C5" s="77"/>
      <c r="D5" s="77"/>
      <c r="E5" s="22"/>
      <c r="J5" s="21"/>
    </row>
    <row r="6" spans="2:17" ht="20.100000000000001" customHeight="1">
      <c r="B6" s="77" t="s">
        <v>14</v>
      </c>
      <c r="C6" s="77"/>
      <c r="D6" s="77"/>
      <c r="E6" s="22">
        <v>44488</v>
      </c>
      <c r="J6" s="21"/>
    </row>
    <row r="7" spans="2:17" ht="20.100000000000001" customHeight="1">
      <c r="B7" s="23"/>
      <c r="C7" s="23"/>
      <c r="D7" s="23"/>
      <c r="E7" s="24"/>
      <c r="J7" s="21"/>
      <c r="L7" s="25"/>
    </row>
    <row r="9" spans="2:17" s="31" customFormat="1" ht="19.7" customHeight="1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63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>
      <c r="B10" s="26">
        <v>1</v>
      </c>
      <c r="C10" s="35" t="s">
        <v>49</v>
      </c>
      <c r="D10" s="35" t="s">
        <v>49</v>
      </c>
      <c r="E10" s="41" t="s">
        <v>50</v>
      </c>
      <c r="F10" s="37">
        <v>1</v>
      </c>
      <c r="G10" s="37">
        <v>655000</v>
      </c>
      <c r="H10" s="60">
        <f t="shared" ref="H10:H16" si="0">F10*G10</f>
        <v>655000</v>
      </c>
      <c r="I10" s="38"/>
      <c r="J10" s="42"/>
      <c r="K10" s="27" t="s">
        <v>56</v>
      </c>
      <c r="L10" s="27"/>
      <c r="M10" s="29">
        <v>44428</v>
      </c>
      <c r="N10" s="26"/>
      <c r="O10" s="32">
        <v>44474</v>
      </c>
      <c r="P10" s="29">
        <v>44484</v>
      </c>
      <c r="Q10" s="30"/>
    </row>
    <row r="11" spans="2:17" s="31" customFormat="1" ht="19.7" customHeight="1">
      <c r="B11" s="26">
        <v>2</v>
      </c>
      <c r="C11" s="35" t="s">
        <v>51</v>
      </c>
      <c r="D11" s="35" t="s">
        <v>51</v>
      </c>
      <c r="E11" s="41"/>
      <c r="F11" s="37"/>
      <c r="G11" s="49"/>
      <c r="H11" s="60"/>
      <c r="I11" s="38"/>
      <c r="J11" s="42"/>
      <c r="K11" s="27"/>
      <c r="L11" s="27"/>
      <c r="M11" s="29"/>
      <c r="N11" s="26"/>
      <c r="O11" s="27"/>
      <c r="P11" s="29"/>
      <c r="Q11" s="30"/>
    </row>
    <row r="12" spans="2:17" s="31" customFormat="1" ht="19.7" customHeight="1">
      <c r="B12" s="26">
        <v>3</v>
      </c>
      <c r="C12" s="35" t="s">
        <v>49</v>
      </c>
      <c r="D12" s="35" t="s">
        <v>49</v>
      </c>
      <c r="E12" s="44" t="s">
        <v>52</v>
      </c>
      <c r="F12" s="49">
        <v>1</v>
      </c>
      <c r="G12" s="49">
        <v>30000</v>
      </c>
      <c r="H12" s="60">
        <f t="shared" si="0"/>
        <v>30000</v>
      </c>
      <c r="I12" s="38"/>
      <c r="J12" s="42"/>
      <c r="K12" s="27"/>
      <c r="L12" s="27"/>
      <c r="M12" s="29">
        <v>44428</v>
      </c>
      <c r="N12" s="26"/>
      <c r="O12" s="32">
        <v>44474</v>
      </c>
      <c r="P12" s="29">
        <v>44484</v>
      </c>
      <c r="Q12" s="30"/>
    </row>
    <row r="13" spans="2:17" s="31" customFormat="1" ht="19.7" customHeight="1">
      <c r="B13" s="26">
        <v>4</v>
      </c>
      <c r="C13" s="35" t="s">
        <v>49</v>
      </c>
      <c r="D13" s="35" t="s">
        <v>49</v>
      </c>
      <c r="E13" s="44" t="s">
        <v>53</v>
      </c>
      <c r="F13" s="49">
        <v>1</v>
      </c>
      <c r="G13" s="49">
        <v>14000</v>
      </c>
      <c r="H13" s="60">
        <f t="shared" si="0"/>
        <v>14000</v>
      </c>
      <c r="I13" s="36"/>
      <c r="J13" s="42"/>
      <c r="K13" s="27"/>
      <c r="L13" s="26"/>
      <c r="M13" s="29">
        <v>44428</v>
      </c>
      <c r="N13" s="26"/>
      <c r="O13" s="32">
        <v>44474</v>
      </c>
      <c r="P13" s="29">
        <v>44484</v>
      </c>
      <c r="Q13" s="30"/>
    </row>
    <row r="14" spans="2:17" s="31" customFormat="1" ht="19.7" customHeight="1">
      <c r="B14" s="26">
        <v>5</v>
      </c>
      <c r="C14" s="35" t="s">
        <v>51</v>
      </c>
      <c r="D14" s="35" t="s">
        <v>51</v>
      </c>
      <c r="E14" s="44"/>
      <c r="F14" s="49"/>
      <c r="G14" s="49"/>
      <c r="H14" s="60"/>
      <c r="I14" s="36"/>
      <c r="J14" s="43"/>
      <c r="K14" s="27"/>
      <c r="L14" s="26"/>
      <c r="M14" s="29"/>
      <c r="N14" s="26"/>
      <c r="O14" s="32"/>
      <c r="P14" s="29"/>
      <c r="Q14" s="30"/>
    </row>
    <row r="15" spans="2:17" s="31" customFormat="1" ht="19.7" customHeight="1">
      <c r="B15" s="26">
        <v>11</v>
      </c>
      <c r="C15" s="35" t="s">
        <v>49</v>
      </c>
      <c r="D15" s="35" t="s">
        <v>49</v>
      </c>
      <c r="E15" s="39" t="s">
        <v>54</v>
      </c>
      <c r="F15" s="49">
        <v>1</v>
      </c>
      <c r="G15" s="49">
        <v>178200</v>
      </c>
      <c r="H15" s="60">
        <f t="shared" si="0"/>
        <v>178200</v>
      </c>
      <c r="I15" s="36"/>
      <c r="J15" s="42"/>
      <c r="K15" s="27"/>
      <c r="L15" s="26"/>
      <c r="M15" s="29">
        <v>44428</v>
      </c>
      <c r="N15" s="26"/>
      <c r="O15" s="32">
        <v>44474</v>
      </c>
      <c r="P15" s="29">
        <v>44484</v>
      </c>
      <c r="Q15" s="30"/>
    </row>
    <row r="16" spans="2:17" s="31" customFormat="1" ht="19.7" customHeight="1">
      <c r="B16" s="26"/>
      <c r="C16" s="35" t="s">
        <v>49</v>
      </c>
      <c r="D16" s="35" t="s">
        <v>49</v>
      </c>
      <c r="E16" s="39" t="s">
        <v>55</v>
      </c>
      <c r="F16" s="49">
        <v>1</v>
      </c>
      <c r="G16" s="49">
        <v>12000</v>
      </c>
      <c r="H16" s="60">
        <f t="shared" si="0"/>
        <v>12000</v>
      </c>
      <c r="I16" s="36"/>
      <c r="J16" s="43"/>
      <c r="K16" s="27"/>
      <c r="L16" s="27"/>
      <c r="M16" s="29">
        <v>44428</v>
      </c>
      <c r="N16" s="26"/>
      <c r="O16" s="32">
        <v>44474</v>
      </c>
      <c r="P16" s="32">
        <v>44484</v>
      </c>
      <c r="Q16" s="30"/>
    </row>
    <row r="17" spans="2:17" s="31" customFormat="1" ht="19.7" customHeight="1">
      <c r="B17" s="26"/>
      <c r="C17" s="35"/>
      <c r="D17" s="35"/>
      <c r="E17" s="44"/>
      <c r="F17" s="37"/>
      <c r="G17" s="40"/>
      <c r="H17" s="61"/>
      <c r="I17" s="36"/>
      <c r="J17" s="42"/>
      <c r="K17" s="27"/>
      <c r="L17" s="26"/>
      <c r="M17" s="29"/>
      <c r="N17" s="26"/>
      <c r="O17" s="32"/>
      <c r="P17" s="29"/>
      <c r="Q17" s="30"/>
    </row>
    <row r="18" spans="2:17" s="31" customFormat="1" ht="19.7" customHeight="1">
      <c r="B18" s="26"/>
      <c r="C18" s="35"/>
      <c r="D18" s="35"/>
      <c r="E18" s="44"/>
      <c r="F18" s="37"/>
      <c r="G18" s="40"/>
      <c r="H18" s="61"/>
      <c r="I18" s="36"/>
      <c r="J18" s="42"/>
      <c r="K18" s="27"/>
      <c r="L18" s="26"/>
      <c r="M18" s="29"/>
      <c r="N18" s="26"/>
      <c r="O18" s="32"/>
      <c r="P18" s="29"/>
      <c r="Q18" s="30"/>
    </row>
    <row r="19" spans="2:17" s="31" customFormat="1" ht="19.7" customHeight="1">
      <c r="B19" s="26"/>
      <c r="C19" s="35"/>
      <c r="D19" s="35"/>
      <c r="E19" s="44"/>
      <c r="F19" s="39"/>
      <c r="G19" s="40"/>
      <c r="H19" s="61"/>
      <c r="I19" s="36"/>
      <c r="J19" s="43"/>
      <c r="K19" s="33"/>
      <c r="L19" s="26"/>
      <c r="M19" s="29"/>
      <c r="N19" s="26"/>
      <c r="O19" s="34"/>
      <c r="P19" s="29"/>
      <c r="Q19" s="30"/>
    </row>
    <row r="20" spans="2:17" s="55" customFormat="1" ht="19.7" customHeight="1">
      <c r="B20" s="56">
        <v>5</v>
      </c>
      <c r="C20" s="50" t="s">
        <v>57</v>
      </c>
      <c r="D20" s="50" t="s">
        <v>57</v>
      </c>
      <c r="E20" s="39" t="s">
        <v>58</v>
      </c>
      <c r="F20" s="49">
        <v>1</v>
      </c>
      <c r="G20" s="49">
        <v>10809</v>
      </c>
      <c r="H20" s="64">
        <v>10809</v>
      </c>
      <c r="I20" s="48"/>
      <c r="J20" s="49" t="s">
        <v>59</v>
      </c>
      <c r="K20" s="47" t="s">
        <v>60</v>
      </c>
      <c r="L20" s="47"/>
      <c r="M20" s="51">
        <v>44460</v>
      </c>
      <c r="N20" s="56"/>
      <c r="O20" s="47"/>
      <c r="P20" s="57"/>
      <c r="Q20" s="54">
        <v>44473</v>
      </c>
    </row>
    <row r="21" spans="2:17" s="55" customFormat="1" ht="19.7" customHeight="1">
      <c r="B21" s="56">
        <v>5</v>
      </c>
      <c r="C21" s="58" t="s">
        <v>57</v>
      </c>
      <c r="D21" s="58" t="s">
        <v>57</v>
      </c>
      <c r="E21" s="39" t="s">
        <v>61</v>
      </c>
      <c r="F21" s="49">
        <v>1</v>
      </c>
      <c r="G21" s="49">
        <v>9243</v>
      </c>
      <c r="H21" s="64">
        <v>9243</v>
      </c>
      <c r="I21" s="48"/>
      <c r="J21" s="49" t="s">
        <v>62</v>
      </c>
      <c r="K21" s="47" t="s">
        <v>60</v>
      </c>
      <c r="L21" s="47"/>
      <c r="M21" s="51">
        <v>44460</v>
      </c>
      <c r="N21" s="56"/>
      <c r="O21" s="47"/>
      <c r="P21" s="57"/>
      <c r="Q21" s="54">
        <v>44473</v>
      </c>
    </row>
    <row r="22" spans="2:17" s="55" customFormat="1" ht="19.7" customHeight="1">
      <c r="B22" s="56">
        <v>5</v>
      </c>
      <c r="C22" s="50" t="s">
        <v>57</v>
      </c>
      <c r="D22" s="50" t="s">
        <v>57</v>
      </c>
      <c r="E22" s="39" t="s">
        <v>63</v>
      </c>
      <c r="F22" s="49">
        <v>1</v>
      </c>
      <c r="G22" s="49">
        <v>5338</v>
      </c>
      <c r="H22" s="64">
        <v>5338</v>
      </c>
      <c r="I22" s="48"/>
      <c r="J22" s="76" t="s">
        <v>64</v>
      </c>
      <c r="K22" s="47" t="s">
        <v>60</v>
      </c>
      <c r="L22" s="47"/>
      <c r="M22" s="51">
        <v>44460</v>
      </c>
      <c r="N22" s="56"/>
      <c r="O22" s="47"/>
      <c r="P22" s="57"/>
      <c r="Q22" s="54">
        <v>44473</v>
      </c>
    </row>
    <row r="23" spans="2:17" s="55" customFormat="1" ht="19.7" customHeight="1">
      <c r="B23" s="56">
        <v>5</v>
      </c>
      <c r="C23" s="50" t="s">
        <v>57</v>
      </c>
      <c r="D23" s="50" t="s">
        <v>57</v>
      </c>
      <c r="E23" s="49" t="s">
        <v>65</v>
      </c>
      <c r="F23" s="49">
        <v>1</v>
      </c>
      <c r="G23" s="49">
        <v>3971</v>
      </c>
      <c r="H23" s="64">
        <v>3971</v>
      </c>
      <c r="I23" s="48"/>
      <c r="J23" s="76"/>
      <c r="K23" s="47" t="s">
        <v>60</v>
      </c>
      <c r="L23" s="47"/>
      <c r="M23" s="51">
        <v>44460</v>
      </c>
      <c r="N23" s="56"/>
      <c r="O23" s="47"/>
      <c r="P23" s="57"/>
      <c r="Q23" s="54">
        <v>44473</v>
      </c>
    </row>
    <row r="24" spans="2:17" s="55" customFormat="1" ht="19.7" customHeight="1">
      <c r="B24" s="56">
        <v>5</v>
      </c>
      <c r="C24" s="50" t="s">
        <v>57</v>
      </c>
      <c r="D24" s="50" t="s">
        <v>57</v>
      </c>
      <c r="E24" s="49" t="s">
        <v>66</v>
      </c>
      <c r="F24" s="49">
        <v>1</v>
      </c>
      <c r="G24" s="49">
        <v>5383</v>
      </c>
      <c r="H24" s="64">
        <v>5383</v>
      </c>
      <c r="I24" s="48"/>
      <c r="J24" s="59" t="s">
        <v>67</v>
      </c>
      <c r="K24" s="47" t="s">
        <v>60</v>
      </c>
      <c r="L24" s="47"/>
      <c r="M24" s="51">
        <v>44460</v>
      </c>
      <c r="N24" s="56"/>
      <c r="O24" s="47"/>
      <c r="P24" s="57"/>
      <c r="Q24" s="54">
        <v>44473</v>
      </c>
    </row>
    <row r="25" spans="2:17" s="55" customFormat="1" ht="19.7" customHeight="1">
      <c r="B25" s="56">
        <v>5</v>
      </c>
      <c r="C25" s="50" t="s">
        <v>68</v>
      </c>
      <c r="D25" s="50" t="s">
        <v>68</v>
      </c>
      <c r="E25" s="59" t="s">
        <v>69</v>
      </c>
      <c r="F25" s="49">
        <v>1</v>
      </c>
      <c r="G25" s="49">
        <v>8000</v>
      </c>
      <c r="H25" s="64">
        <f>F25*G25</f>
        <v>8000</v>
      </c>
      <c r="I25" s="48"/>
      <c r="J25" s="59" t="s">
        <v>69</v>
      </c>
      <c r="K25" s="48" t="s">
        <v>99</v>
      </c>
      <c r="L25" s="47"/>
      <c r="M25" s="51">
        <v>44461</v>
      </c>
      <c r="N25" s="56"/>
      <c r="O25" s="57">
        <v>44474</v>
      </c>
      <c r="P25" s="57"/>
      <c r="Q25" s="54"/>
    </row>
    <row r="26" spans="2:17" s="55" customFormat="1" ht="19.7" customHeight="1">
      <c r="B26" s="84">
        <v>5</v>
      </c>
      <c r="C26" s="50" t="s">
        <v>68</v>
      </c>
      <c r="D26" s="50" t="s">
        <v>68</v>
      </c>
      <c r="E26" s="59" t="s">
        <v>70</v>
      </c>
      <c r="F26" s="49">
        <v>1</v>
      </c>
      <c r="G26" s="49">
        <v>4300</v>
      </c>
      <c r="H26" s="64">
        <f t="shared" ref="H26:H28" si="1">F26*G26</f>
        <v>4300</v>
      </c>
      <c r="I26" s="48"/>
      <c r="J26" s="59" t="s">
        <v>70</v>
      </c>
      <c r="K26" s="48" t="s">
        <v>99</v>
      </c>
      <c r="L26" s="47"/>
      <c r="M26" s="51">
        <v>44461</v>
      </c>
      <c r="N26" s="56"/>
      <c r="O26" s="57">
        <v>44474</v>
      </c>
      <c r="P26" s="57"/>
      <c r="Q26" s="54"/>
    </row>
    <row r="27" spans="2:17" s="55" customFormat="1" ht="19.7" customHeight="1">
      <c r="B27" s="56">
        <v>5</v>
      </c>
      <c r="C27" s="50" t="s">
        <v>57</v>
      </c>
      <c r="D27" s="50" t="s">
        <v>57</v>
      </c>
      <c r="E27" s="49" t="s">
        <v>71</v>
      </c>
      <c r="F27" s="49">
        <v>1</v>
      </c>
      <c r="G27" s="49">
        <v>2060</v>
      </c>
      <c r="H27" s="64">
        <f t="shared" si="1"/>
        <v>2060</v>
      </c>
      <c r="I27" s="48"/>
      <c r="J27" s="59" t="s">
        <v>72</v>
      </c>
      <c r="K27" s="47" t="s">
        <v>60</v>
      </c>
      <c r="L27" s="47"/>
      <c r="M27" s="51">
        <v>44460</v>
      </c>
      <c r="N27" s="56"/>
      <c r="O27" s="47"/>
      <c r="P27" s="57"/>
      <c r="Q27" s="54">
        <v>44473</v>
      </c>
    </row>
    <row r="28" spans="2:17" s="55" customFormat="1" ht="19.7" customHeight="1">
      <c r="B28" s="84">
        <v>5</v>
      </c>
      <c r="C28" s="50" t="s">
        <v>68</v>
      </c>
      <c r="D28" s="50" t="s">
        <v>68</v>
      </c>
      <c r="E28" s="59" t="s">
        <v>73</v>
      </c>
      <c r="F28" s="49">
        <v>1</v>
      </c>
      <c r="G28" s="49">
        <v>13500</v>
      </c>
      <c r="H28" s="64">
        <f t="shared" si="1"/>
        <v>13500</v>
      </c>
      <c r="I28" s="48"/>
      <c r="J28" s="59" t="s">
        <v>73</v>
      </c>
      <c r="K28" s="48" t="s">
        <v>99</v>
      </c>
      <c r="L28" s="47"/>
      <c r="M28" s="51">
        <v>44461</v>
      </c>
      <c r="N28" s="56"/>
      <c r="O28" s="57">
        <v>44474</v>
      </c>
      <c r="P28" s="57"/>
      <c r="Q28" s="54"/>
    </row>
    <row r="29" spans="2:17" s="55" customFormat="1" ht="19.7" customHeight="1">
      <c r="B29" s="56">
        <v>10</v>
      </c>
      <c r="C29" s="50" t="s">
        <v>57</v>
      </c>
      <c r="D29" s="50" t="s">
        <v>57</v>
      </c>
      <c r="E29" s="49" t="s">
        <v>74</v>
      </c>
      <c r="F29" s="49">
        <v>1</v>
      </c>
      <c r="G29" s="49">
        <v>2110</v>
      </c>
      <c r="H29" s="64">
        <v>2110</v>
      </c>
      <c r="I29" s="48"/>
      <c r="J29" s="49" t="s">
        <v>75</v>
      </c>
      <c r="K29" s="47" t="s">
        <v>60</v>
      </c>
      <c r="L29" s="47"/>
      <c r="M29" s="51">
        <v>44460</v>
      </c>
      <c r="N29" s="56"/>
      <c r="O29" s="47"/>
      <c r="P29" s="51"/>
      <c r="Q29" s="54">
        <v>44473</v>
      </c>
    </row>
    <row r="30" spans="2:17" s="55" customFormat="1" ht="19.7" customHeight="1">
      <c r="B30" s="56">
        <v>10</v>
      </c>
      <c r="C30" s="50" t="s">
        <v>57</v>
      </c>
      <c r="D30" s="50" t="s">
        <v>57</v>
      </c>
      <c r="E30" s="49" t="s">
        <v>76</v>
      </c>
      <c r="F30" s="49">
        <v>1</v>
      </c>
      <c r="G30" s="49">
        <v>1410</v>
      </c>
      <c r="H30" s="64">
        <v>1410</v>
      </c>
      <c r="I30" s="48"/>
      <c r="J30" s="49" t="s">
        <v>77</v>
      </c>
      <c r="K30" s="47" t="s">
        <v>60</v>
      </c>
      <c r="L30" s="47"/>
      <c r="M30" s="51">
        <v>44460</v>
      </c>
      <c r="N30" s="56"/>
      <c r="O30" s="47"/>
      <c r="P30" s="57"/>
      <c r="Q30" s="54">
        <v>44473</v>
      </c>
    </row>
    <row r="31" spans="2:17" s="55" customFormat="1" ht="19.7" customHeight="1">
      <c r="B31" s="56">
        <v>5</v>
      </c>
      <c r="C31" s="50" t="s">
        <v>57</v>
      </c>
      <c r="D31" s="50" t="s">
        <v>57</v>
      </c>
      <c r="E31" s="49" t="s">
        <v>78</v>
      </c>
      <c r="F31" s="49">
        <v>1</v>
      </c>
      <c r="G31" s="49">
        <v>2500</v>
      </c>
      <c r="H31" s="64">
        <v>2500</v>
      </c>
      <c r="I31" s="48"/>
      <c r="J31" s="49" t="s">
        <v>79</v>
      </c>
      <c r="K31" s="47" t="s">
        <v>60</v>
      </c>
      <c r="L31" s="47"/>
      <c r="M31" s="51">
        <v>44460</v>
      </c>
      <c r="N31" s="56"/>
      <c r="O31" s="47"/>
      <c r="P31" s="57"/>
      <c r="Q31" s="54">
        <v>44473</v>
      </c>
    </row>
    <row r="32" spans="2:17" s="55" customFormat="1" ht="19.7" customHeight="1">
      <c r="B32" s="56">
        <v>5</v>
      </c>
      <c r="C32" s="50" t="s">
        <v>57</v>
      </c>
      <c r="D32" s="50" t="s">
        <v>57</v>
      </c>
      <c r="E32" s="49" t="s">
        <v>80</v>
      </c>
      <c r="F32" s="49">
        <v>1</v>
      </c>
      <c r="G32" s="49">
        <v>1710</v>
      </c>
      <c r="H32" s="64">
        <v>1710</v>
      </c>
      <c r="I32" s="48"/>
      <c r="J32" s="49" t="s">
        <v>81</v>
      </c>
      <c r="K32" s="47" t="s">
        <v>60</v>
      </c>
      <c r="L32" s="47"/>
      <c r="M32" s="51">
        <v>44460</v>
      </c>
      <c r="N32" s="56"/>
      <c r="O32" s="47"/>
      <c r="P32" s="57"/>
      <c r="Q32" s="54">
        <v>44473</v>
      </c>
    </row>
    <row r="33" spans="2:17" s="55" customFormat="1" ht="19.7" customHeight="1">
      <c r="B33" s="56">
        <v>5</v>
      </c>
      <c r="C33" s="50" t="s">
        <v>57</v>
      </c>
      <c r="D33" s="50" t="s">
        <v>57</v>
      </c>
      <c r="E33" s="49" t="s">
        <v>82</v>
      </c>
      <c r="F33" s="49">
        <v>1</v>
      </c>
      <c r="G33" s="49">
        <v>3030</v>
      </c>
      <c r="H33" s="64">
        <v>3030</v>
      </c>
      <c r="I33" s="48"/>
      <c r="J33" s="49" t="s">
        <v>83</v>
      </c>
      <c r="K33" s="47" t="s">
        <v>60</v>
      </c>
      <c r="L33" s="47"/>
      <c r="M33" s="51">
        <v>44460</v>
      </c>
      <c r="N33" s="56"/>
      <c r="O33" s="47"/>
      <c r="P33" s="51"/>
      <c r="Q33" s="54">
        <v>44473</v>
      </c>
    </row>
    <row r="34" spans="2:17" s="55" customFormat="1" ht="19.7" customHeight="1">
      <c r="B34" s="56">
        <v>5</v>
      </c>
      <c r="C34" s="50" t="s">
        <v>57</v>
      </c>
      <c r="D34" s="50" t="s">
        <v>57</v>
      </c>
      <c r="E34" s="39" t="s">
        <v>84</v>
      </c>
      <c r="F34" s="49">
        <v>1</v>
      </c>
      <c r="G34" s="49">
        <v>849</v>
      </c>
      <c r="H34" s="64">
        <v>849</v>
      </c>
      <c r="I34" s="48"/>
      <c r="J34" s="49" t="s">
        <v>85</v>
      </c>
      <c r="K34" s="47" t="s">
        <v>60</v>
      </c>
      <c r="L34" s="56"/>
      <c r="M34" s="51">
        <v>44460</v>
      </c>
      <c r="N34" s="56"/>
      <c r="O34" s="57"/>
      <c r="P34" s="51"/>
      <c r="Q34" s="54">
        <v>44473</v>
      </c>
    </row>
    <row r="35" spans="2:17" s="55" customFormat="1" ht="19.7" customHeight="1">
      <c r="B35" s="56">
        <v>5</v>
      </c>
      <c r="C35" s="50" t="s">
        <v>57</v>
      </c>
      <c r="D35" s="50" t="s">
        <v>57</v>
      </c>
      <c r="E35" s="49" t="s">
        <v>86</v>
      </c>
      <c r="F35" s="49">
        <v>2</v>
      </c>
      <c r="G35" s="49">
        <v>300</v>
      </c>
      <c r="H35" s="64">
        <v>600</v>
      </c>
      <c r="I35" s="48"/>
      <c r="J35" s="49" t="s">
        <v>87</v>
      </c>
      <c r="K35" s="47" t="s">
        <v>60</v>
      </c>
      <c r="L35" s="56"/>
      <c r="M35" s="51">
        <v>44460</v>
      </c>
      <c r="N35" s="56"/>
      <c r="O35" s="57"/>
      <c r="P35" s="51"/>
      <c r="Q35" s="54">
        <v>44473</v>
      </c>
    </row>
    <row r="36" spans="2:17" s="55" customFormat="1" ht="19.7" customHeight="1">
      <c r="B36" s="56">
        <v>5</v>
      </c>
      <c r="C36" s="50" t="s">
        <v>57</v>
      </c>
      <c r="D36" s="50" t="s">
        <v>57</v>
      </c>
      <c r="E36" s="39" t="s">
        <v>88</v>
      </c>
      <c r="F36" s="49">
        <v>4</v>
      </c>
      <c r="G36" s="49">
        <v>280</v>
      </c>
      <c r="H36" s="64">
        <v>1120</v>
      </c>
      <c r="I36" s="48"/>
      <c r="J36" s="49" t="s">
        <v>89</v>
      </c>
      <c r="K36" s="47" t="s">
        <v>60</v>
      </c>
      <c r="L36" s="47"/>
      <c r="M36" s="51">
        <v>44460</v>
      </c>
      <c r="N36" s="56"/>
      <c r="O36" s="47"/>
      <c r="P36" s="51"/>
      <c r="Q36" s="54">
        <v>44473</v>
      </c>
    </row>
    <row r="37" spans="2:17" s="55" customFormat="1" ht="19.7" customHeight="1">
      <c r="B37" s="56">
        <v>5</v>
      </c>
      <c r="C37" s="50" t="s">
        <v>57</v>
      </c>
      <c r="D37" s="50" t="s">
        <v>57</v>
      </c>
      <c r="E37" s="39" t="s">
        <v>90</v>
      </c>
      <c r="F37" s="49">
        <v>2</v>
      </c>
      <c r="G37" s="49">
        <v>2200</v>
      </c>
      <c r="H37" s="64">
        <v>4400</v>
      </c>
      <c r="I37" s="48"/>
      <c r="J37" s="49" t="s">
        <v>91</v>
      </c>
      <c r="K37" s="47" t="s">
        <v>60</v>
      </c>
      <c r="L37" s="56"/>
      <c r="M37" s="51">
        <v>44460</v>
      </c>
      <c r="N37" s="56"/>
      <c r="O37" s="57"/>
      <c r="P37" s="51"/>
      <c r="Q37" s="54">
        <v>44473</v>
      </c>
    </row>
    <row r="38" spans="2:17" customFormat="1" ht="19.5" customHeight="1">
      <c r="B38" s="56">
        <v>5</v>
      </c>
      <c r="C38" s="50" t="s">
        <v>57</v>
      </c>
      <c r="D38" s="50" t="s">
        <v>57</v>
      </c>
      <c r="E38" s="39" t="s">
        <v>92</v>
      </c>
      <c r="F38" s="49">
        <v>1</v>
      </c>
      <c r="G38" s="49">
        <v>3900</v>
      </c>
      <c r="H38" s="64">
        <v>3900</v>
      </c>
      <c r="I38" s="52"/>
      <c r="J38" s="49" t="s">
        <v>93</v>
      </c>
      <c r="K38" s="47" t="s">
        <v>60</v>
      </c>
      <c r="L38" s="47"/>
      <c r="M38" s="51">
        <v>44460</v>
      </c>
      <c r="N38" s="49"/>
      <c r="O38" s="52"/>
      <c r="P38" s="53"/>
      <c r="Q38" s="54">
        <v>44473</v>
      </c>
    </row>
    <row r="39" spans="2:17" customFormat="1" ht="19.5" customHeight="1">
      <c r="B39" s="56">
        <v>5</v>
      </c>
      <c r="C39" s="50" t="s">
        <v>57</v>
      </c>
      <c r="D39" s="50" t="s">
        <v>57</v>
      </c>
      <c r="E39" s="39" t="s">
        <v>94</v>
      </c>
      <c r="F39" s="49">
        <v>1</v>
      </c>
      <c r="G39" s="49">
        <v>240</v>
      </c>
      <c r="H39" s="64">
        <v>240</v>
      </c>
      <c r="I39" s="52"/>
      <c r="J39" s="49" t="s">
        <v>95</v>
      </c>
      <c r="K39" s="47" t="s">
        <v>60</v>
      </c>
      <c r="L39" s="47"/>
      <c r="M39" s="51">
        <v>44460</v>
      </c>
      <c r="N39" s="49"/>
      <c r="O39" s="52"/>
      <c r="P39" s="53"/>
      <c r="Q39" s="54">
        <v>44473</v>
      </c>
    </row>
    <row r="40" spans="2:17" customFormat="1" ht="19.5" customHeight="1">
      <c r="B40" s="56">
        <v>5</v>
      </c>
      <c r="C40" s="65" t="s">
        <v>96</v>
      </c>
      <c r="D40" s="65"/>
      <c r="E40" s="66" t="s">
        <v>97</v>
      </c>
      <c r="F40" s="66">
        <v>2</v>
      </c>
      <c r="G40" s="66"/>
      <c r="H40" s="67"/>
      <c r="I40" s="68"/>
      <c r="J40" s="66" t="s">
        <v>98</v>
      </c>
      <c r="K40" s="69" t="s">
        <v>99</v>
      </c>
      <c r="L40" s="47"/>
      <c r="M40" s="51"/>
      <c r="N40" s="49"/>
      <c r="O40" s="52"/>
      <c r="P40" s="53"/>
      <c r="Q40" s="54"/>
    </row>
    <row r="41" spans="2:17" customFormat="1" ht="19.5" customHeight="1">
      <c r="B41" s="56">
        <v>5</v>
      </c>
      <c r="C41" s="50" t="s">
        <v>57</v>
      </c>
      <c r="D41" s="50" t="s">
        <v>57</v>
      </c>
      <c r="E41" s="49" t="s">
        <v>100</v>
      </c>
      <c r="F41" s="49">
        <v>2</v>
      </c>
      <c r="G41" s="49">
        <v>2662</v>
      </c>
      <c r="H41" s="64">
        <v>5324</v>
      </c>
      <c r="I41" s="52"/>
      <c r="J41" s="49" t="s">
        <v>98</v>
      </c>
      <c r="K41" s="47" t="s">
        <v>60</v>
      </c>
      <c r="L41" s="47"/>
      <c r="M41" s="51">
        <v>44463</v>
      </c>
      <c r="N41" s="49"/>
      <c r="O41" s="52"/>
      <c r="P41" s="53"/>
      <c r="Q41" s="54">
        <v>44463</v>
      </c>
    </row>
    <row r="42" spans="2:17" customFormat="1" ht="19.5" customHeight="1">
      <c r="B42" s="85">
        <v>5</v>
      </c>
      <c r="C42" s="50" t="s">
        <v>101</v>
      </c>
      <c r="D42" s="50" t="s">
        <v>101</v>
      </c>
      <c r="E42" s="70" t="s">
        <v>69</v>
      </c>
      <c r="F42" s="49">
        <v>1</v>
      </c>
      <c r="G42" s="49">
        <v>14800</v>
      </c>
      <c r="H42" s="64">
        <f>F42*G42</f>
        <v>14800</v>
      </c>
      <c r="I42" s="48"/>
      <c r="J42" s="70" t="s">
        <v>69</v>
      </c>
      <c r="K42" s="48"/>
      <c r="L42" s="47"/>
      <c r="M42" s="51"/>
      <c r="N42" s="56"/>
      <c r="O42" s="57"/>
      <c r="P42" s="57"/>
      <c r="Q42" s="51"/>
    </row>
    <row r="43" spans="2:17" customFormat="1" ht="19.5" customHeight="1">
      <c r="B43" s="84">
        <v>5</v>
      </c>
      <c r="C43" s="50" t="s">
        <v>101</v>
      </c>
      <c r="D43" s="50" t="s">
        <v>101</v>
      </c>
      <c r="E43" s="70" t="s">
        <v>70</v>
      </c>
      <c r="F43" s="49">
        <v>1</v>
      </c>
      <c r="G43" s="49">
        <v>9600</v>
      </c>
      <c r="H43" s="64">
        <f t="shared" ref="H43" si="2">F43*G43</f>
        <v>9600</v>
      </c>
      <c r="I43" s="48"/>
      <c r="J43" s="70" t="s">
        <v>70</v>
      </c>
      <c r="K43" s="48"/>
      <c r="L43" s="47"/>
      <c r="M43" s="51"/>
      <c r="N43" s="56"/>
      <c r="O43" s="57"/>
      <c r="P43" s="57"/>
      <c r="Q43" s="51"/>
    </row>
    <row r="44" spans="2:17" customFormat="1" ht="19.5" customHeight="1">
      <c r="B44" s="84">
        <v>5</v>
      </c>
      <c r="C44" s="50" t="s">
        <v>101</v>
      </c>
      <c r="D44" s="50" t="s">
        <v>101</v>
      </c>
      <c r="E44" s="70" t="s">
        <v>73</v>
      </c>
      <c r="F44" s="49">
        <v>1</v>
      </c>
      <c r="G44" s="49">
        <v>17800</v>
      </c>
      <c r="H44" s="64">
        <f t="shared" ref="H44:H49" si="3">F44*G44</f>
        <v>17800</v>
      </c>
      <c r="I44" s="48"/>
      <c r="J44" s="70" t="s">
        <v>73</v>
      </c>
      <c r="K44" s="48"/>
      <c r="L44" s="47"/>
      <c r="M44" s="51"/>
      <c r="N44" s="56"/>
      <c r="O44" s="57"/>
      <c r="P44" s="57"/>
      <c r="Q44" s="51"/>
    </row>
    <row r="45" spans="2:17" customFormat="1" ht="19.5" customHeight="1">
      <c r="B45" s="84">
        <v>5</v>
      </c>
      <c r="C45" s="50" t="s">
        <v>101</v>
      </c>
      <c r="D45" s="50" t="s">
        <v>101</v>
      </c>
      <c r="E45" s="71" t="s">
        <v>102</v>
      </c>
      <c r="F45" s="71">
        <v>1</v>
      </c>
      <c r="G45" s="71">
        <v>9000</v>
      </c>
      <c r="H45" s="72">
        <f t="shared" si="3"/>
        <v>9000</v>
      </c>
      <c r="I45" s="73"/>
      <c r="J45" s="71" t="s">
        <v>103</v>
      </c>
      <c r="K45" s="69"/>
      <c r="L45" s="47"/>
      <c r="M45" s="51"/>
      <c r="N45" s="49"/>
      <c r="O45" s="52"/>
      <c r="P45" s="53"/>
      <c r="Q45" s="54"/>
    </row>
    <row r="46" spans="2:17" customFormat="1" ht="19.5" customHeight="1">
      <c r="B46" s="84">
        <v>5</v>
      </c>
      <c r="C46" s="50" t="s">
        <v>68</v>
      </c>
      <c r="D46" s="50" t="s">
        <v>68</v>
      </c>
      <c r="E46" s="71" t="s">
        <v>104</v>
      </c>
      <c r="F46" s="71">
        <v>1</v>
      </c>
      <c r="G46" s="71">
        <v>11000</v>
      </c>
      <c r="H46" s="72">
        <f t="shared" si="3"/>
        <v>11000</v>
      </c>
      <c r="I46" s="73"/>
      <c r="J46" s="71" t="s">
        <v>105</v>
      </c>
      <c r="K46" s="69"/>
      <c r="L46" s="47"/>
      <c r="M46" s="51"/>
      <c r="N46" s="49"/>
      <c r="O46" s="52"/>
      <c r="P46" s="53"/>
      <c r="Q46" s="54"/>
    </row>
    <row r="47" spans="2:17" customFormat="1" ht="19.5" customHeight="1">
      <c r="B47" s="84">
        <v>5</v>
      </c>
      <c r="C47" s="50" t="s">
        <v>57</v>
      </c>
      <c r="D47" s="50" t="s">
        <v>57</v>
      </c>
      <c r="E47" s="71" t="s">
        <v>106</v>
      </c>
      <c r="F47" s="71">
        <v>10</v>
      </c>
      <c r="G47" s="71">
        <v>37</v>
      </c>
      <c r="H47" s="72">
        <f t="shared" si="3"/>
        <v>370</v>
      </c>
      <c r="I47" s="73"/>
      <c r="J47" s="71" t="s">
        <v>107</v>
      </c>
      <c r="K47" s="69"/>
      <c r="L47" s="47"/>
      <c r="M47" s="51"/>
      <c r="N47" s="49"/>
      <c r="O47" s="52"/>
      <c r="P47" s="53"/>
      <c r="Q47" s="54"/>
    </row>
    <row r="48" spans="2:17" customFormat="1" ht="19.5" customHeight="1">
      <c r="B48" s="84">
        <v>5</v>
      </c>
      <c r="C48" s="50" t="s">
        <v>57</v>
      </c>
      <c r="D48" s="50" t="s">
        <v>57</v>
      </c>
      <c r="E48" s="71" t="s">
        <v>108</v>
      </c>
      <c r="F48" s="71">
        <v>1</v>
      </c>
      <c r="G48" s="71">
        <v>6863</v>
      </c>
      <c r="H48" s="72">
        <f t="shared" si="3"/>
        <v>6863</v>
      </c>
      <c r="I48" s="73"/>
      <c r="J48" s="71" t="s">
        <v>109</v>
      </c>
      <c r="K48" s="69"/>
      <c r="L48" s="47"/>
      <c r="M48" s="51"/>
      <c r="N48" s="49"/>
      <c r="O48" s="52"/>
      <c r="P48" s="53"/>
      <c r="Q48" s="54"/>
    </row>
    <row r="49" spans="2:17" customFormat="1" ht="19.5" customHeight="1">
      <c r="B49" s="56"/>
      <c r="C49" s="65"/>
      <c r="D49" s="65"/>
      <c r="E49" s="71"/>
      <c r="F49" s="71"/>
      <c r="G49" s="71"/>
      <c r="H49" s="72">
        <f t="shared" si="3"/>
        <v>0</v>
      </c>
      <c r="I49" s="73"/>
      <c r="J49" s="71"/>
      <c r="K49" s="69"/>
      <c r="L49" s="47"/>
      <c r="M49" s="51"/>
      <c r="N49" s="49"/>
      <c r="O49" s="52"/>
      <c r="P49" s="53"/>
      <c r="Q49" s="54"/>
    </row>
    <row r="50" spans="2:17" customFormat="1" ht="19.5" customHeight="1">
      <c r="B50" s="56">
        <v>5</v>
      </c>
      <c r="C50" s="50" t="s">
        <v>57</v>
      </c>
      <c r="D50" s="50" t="s">
        <v>57</v>
      </c>
      <c r="E50" s="49" t="s">
        <v>110</v>
      </c>
      <c r="F50" s="49">
        <v>1</v>
      </c>
      <c r="G50" s="49">
        <v>6340</v>
      </c>
      <c r="H50" s="49">
        <v>6340</v>
      </c>
      <c r="I50" s="73"/>
      <c r="J50" s="49" t="s">
        <v>79</v>
      </c>
      <c r="K50" s="47" t="s">
        <v>60</v>
      </c>
      <c r="L50" s="47"/>
      <c r="M50" s="51">
        <v>44488</v>
      </c>
      <c r="N50" s="49"/>
      <c r="O50" s="52"/>
      <c r="P50" s="53"/>
      <c r="Q50" s="54"/>
    </row>
    <row r="51" spans="2:17" customFormat="1" ht="19.5" customHeight="1">
      <c r="B51" s="56">
        <v>5</v>
      </c>
      <c r="C51" s="50" t="s">
        <v>57</v>
      </c>
      <c r="D51" s="50" t="s">
        <v>57</v>
      </c>
      <c r="E51" s="49" t="s">
        <v>112</v>
      </c>
      <c r="F51" s="49">
        <v>1</v>
      </c>
      <c r="G51" s="49">
        <v>6460</v>
      </c>
      <c r="H51" s="49">
        <v>6460</v>
      </c>
      <c r="I51" s="73"/>
      <c r="J51" s="49" t="s">
        <v>79</v>
      </c>
      <c r="K51" s="47" t="s">
        <v>60</v>
      </c>
      <c r="L51" s="47"/>
      <c r="M51" s="51">
        <v>44488</v>
      </c>
      <c r="N51" s="49"/>
      <c r="O51" s="52"/>
      <c r="P51" s="53"/>
      <c r="Q51" s="54"/>
    </row>
    <row r="52" spans="2:17" customFormat="1" ht="19.5" customHeight="1">
      <c r="B52" s="56">
        <v>5</v>
      </c>
      <c r="C52" s="50" t="s">
        <v>57</v>
      </c>
      <c r="D52" s="50" t="s">
        <v>57</v>
      </c>
      <c r="E52" s="49" t="s">
        <v>113</v>
      </c>
      <c r="F52" s="49">
        <v>1</v>
      </c>
      <c r="G52" s="49">
        <v>4880</v>
      </c>
      <c r="H52" s="49">
        <v>4880</v>
      </c>
      <c r="I52" s="73"/>
      <c r="J52" s="49" t="s">
        <v>111</v>
      </c>
      <c r="K52" s="47" t="s">
        <v>60</v>
      </c>
      <c r="L52" s="47"/>
      <c r="M52" s="51">
        <v>44488</v>
      </c>
      <c r="N52" s="49"/>
      <c r="O52" s="52"/>
      <c r="P52" s="53"/>
      <c r="Q52" s="54"/>
    </row>
    <row r="71" spans="11:11">
      <c r="K71" s="11" t="s">
        <v>46</v>
      </c>
    </row>
  </sheetData>
  <autoFilter ref="B9:O34" xr:uid="{00000000-0009-0000-0000-000000000000}">
    <sortState xmlns:xlrd2="http://schemas.microsoft.com/office/spreadsheetml/2017/richdata2" ref="B10:O34">
      <sortCondition ref="D9:D34"/>
    </sortState>
  </autoFilter>
  <mergeCells count="7">
    <mergeCell ref="J22:J23"/>
    <mergeCell ref="B6:D6"/>
    <mergeCell ref="G2:I2"/>
    <mergeCell ref="B2:D2"/>
    <mergeCell ref="B3:D3"/>
    <mergeCell ref="B4:D4"/>
    <mergeCell ref="B5:D5"/>
  </mergeCells>
  <phoneticPr fontId="2"/>
  <pageMargins left="0.19685039370078741" right="0.19685039370078741" top="0.35433070866141736" bottom="0.3937007874015748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71D8-ACC0-4133-89A2-2411980F114F}">
  <dimension ref="A1:I9"/>
  <sheetViews>
    <sheetView tabSelected="1" workbookViewId="0">
      <selection activeCell="G14" sqref="G14"/>
    </sheetView>
  </sheetViews>
  <sheetFormatPr defaultRowHeight="13.5"/>
  <sheetData>
    <row r="1" spans="1:9">
      <c r="A1" s="84">
        <v>5</v>
      </c>
      <c r="B1" s="50" t="s">
        <v>68</v>
      </c>
      <c r="C1" s="50" t="s">
        <v>68</v>
      </c>
      <c r="D1" s="75" t="s">
        <v>70</v>
      </c>
      <c r="E1" s="49">
        <v>1</v>
      </c>
      <c r="F1" s="49">
        <v>4300</v>
      </c>
      <c r="G1" s="64">
        <f t="shared" ref="G1:G2" si="0">E1*F1</f>
        <v>4300</v>
      </c>
      <c r="H1" s="48"/>
      <c r="I1" s="75" t="s">
        <v>70</v>
      </c>
    </row>
    <row r="2" spans="1:9">
      <c r="A2" s="84">
        <v>5</v>
      </c>
      <c r="B2" s="50" t="s">
        <v>68</v>
      </c>
      <c r="C2" s="50" t="s">
        <v>68</v>
      </c>
      <c r="D2" s="75" t="s">
        <v>73</v>
      </c>
      <c r="E2" s="49">
        <v>1</v>
      </c>
      <c r="F2" s="49">
        <v>13500</v>
      </c>
      <c r="G2" s="64">
        <f t="shared" si="0"/>
        <v>13500</v>
      </c>
      <c r="H2" s="48"/>
      <c r="I2" s="75" t="s">
        <v>73</v>
      </c>
    </row>
    <row r="3" spans="1:9">
      <c r="A3" s="84">
        <v>5</v>
      </c>
      <c r="B3" s="50" t="s">
        <v>101</v>
      </c>
      <c r="C3" s="50" t="s">
        <v>101</v>
      </c>
      <c r="D3" s="75" t="s">
        <v>70</v>
      </c>
      <c r="E3" s="49">
        <v>1</v>
      </c>
      <c r="F3" s="49">
        <v>9600</v>
      </c>
      <c r="G3" s="64">
        <f t="shared" ref="G3:G8" si="1">E3*F3</f>
        <v>9600</v>
      </c>
      <c r="H3" s="48"/>
      <c r="I3" s="75" t="s">
        <v>70</v>
      </c>
    </row>
    <row r="4" spans="1:9">
      <c r="A4" s="84">
        <v>5</v>
      </c>
      <c r="B4" s="50" t="s">
        <v>101</v>
      </c>
      <c r="C4" s="50" t="s">
        <v>101</v>
      </c>
      <c r="D4" s="75" t="s">
        <v>73</v>
      </c>
      <c r="E4" s="49">
        <v>1</v>
      </c>
      <c r="F4" s="49">
        <v>17800</v>
      </c>
      <c r="G4" s="64">
        <f t="shared" si="1"/>
        <v>17800</v>
      </c>
      <c r="H4" s="48"/>
      <c r="I4" s="75" t="s">
        <v>73</v>
      </c>
    </row>
    <row r="5" spans="1:9">
      <c r="A5" s="84">
        <v>5</v>
      </c>
      <c r="B5" s="50" t="s">
        <v>101</v>
      </c>
      <c r="C5" s="50" t="s">
        <v>101</v>
      </c>
      <c r="D5" s="71" t="s">
        <v>102</v>
      </c>
      <c r="E5" s="71">
        <v>1</v>
      </c>
      <c r="F5" s="71">
        <v>9000</v>
      </c>
      <c r="G5" s="72">
        <f t="shared" si="1"/>
        <v>9000</v>
      </c>
      <c r="H5" s="73"/>
      <c r="I5" s="71" t="s">
        <v>103</v>
      </c>
    </row>
    <row r="6" spans="1:9">
      <c r="A6" s="84">
        <v>5</v>
      </c>
      <c r="B6" s="50" t="s">
        <v>68</v>
      </c>
      <c r="C6" s="50" t="s">
        <v>68</v>
      </c>
      <c r="D6" s="71" t="s">
        <v>104</v>
      </c>
      <c r="E6" s="71">
        <v>1</v>
      </c>
      <c r="F6" s="71">
        <v>11000</v>
      </c>
      <c r="G6" s="72">
        <f t="shared" si="1"/>
        <v>11000</v>
      </c>
      <c r="H6" s="73"/>
      <c r="I6" s="71" t="s">
        <v>105</v>
      </c>
    </row>
    <row r="7" spans="1:9">
      <c r="A7" s="84">
        <v>5</v>
      </c>
      <c r="B7" s="50" t="s">
        <v>57</v>
      </c>
      <c r="C7" s="50" t="s">
        <v>57</v>
      </c>
      <c r="D7" s="71" t="s">
        <v>106</v>
      </c>
      <c r="E7" s="71">
        <v>10</v>
      </c>
      <c r="F7" s="71">
        <v>37</v>
      </c>
      <c r="G7" s="72">
        <f t="shared" si="1"/>
        <v>370</v>
      </c>
      <c r="H7" s="73"/>
      <c r="I7" s="71" t="s">
        <v>107</v>
      </c>
    </row>
    <row r="8" spans="1:9">
      <c r="A8" s="84">
        <v>5</v>
      </c>
      <c r="B8" s="50" t="s">
        <v>57</v>
      </c>
      <c r="C8" s="50" t="s">
        <v>57</v>
      </c>
      <c r="D8" s="71" t="s">
        <v>108</v>
      </c>
      <c r="E8" s="71">
        <v>1</v>
      </c>
      <c r="F8" s="71">
        <v>6863</v>
      </c>
      <c r="G8" s="72">
        <f t="shared" si="1"/>
        <v>6863</v>
      </c>
      <c r="H8" s="73"/>
      <c r="I8" s="71" t="s">
        <v>109</v>
      </c>
    </row>
    <row r="9" spans="1:9">
      <c r="G9" s="86">
        <f>SUM(G1:G8)</f>
        <v>72433</v>
      </c>
    </row>
  </sheetData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>
      <c r="D2" s="1"/>
      <c r="F2" s="1" t="s">
        <v>36</v>
      </c>
    </row>
    <row r="3" spans="1:6">
      <c r="A3" s="3" t="s">
        <v>35</v>
      </c>
    </row>
    <row r="5" spans="1:6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>
      <c r="B6" s="7">
        <v>1</v>
      </c>
      <c r="C6" s="8" t="s">
        <v>29</v>
      </c>
      <c r="D6" s="8" t="s">
        <v>30</v>
      </c>
      <c r="E6" s="7">
        <v>2</v>
      </c>
      <c r="F6" s="81" t="s">
        <v>33</v>
      </c>
    </row>
    <row r="7" spans="1:6" ht="20.100000000000001" customHeight="1">
      <c r="B7" s="7">
        <v>2</v>
      </c>
      <c r="C7" s="9" t="s">
        <v>27</v>
      </c>
      <c r="D7" s="8" t="s">
        <v>28</v>
      </c>
      <c r="E7" s="7">
        <v>2</v>
      </c>
      <c r="F7" s="82"/>
    </row>
    <row r="8" spans="1:6" ht="20.100000000000001" customHeight="1">
      <c r="B8" s="7">
        <v>3</v>
      </c>
      <c r="C8" s="8" t="s">
        <v>37</v>
      </c>
      <c r="D8" s="8" t="s">
        <v>38</v>
      </c>
      <c r="E8" s="7">
        <v>2</v>
      </c>
      <c r="F8" s="83"/>
    </row>
    <row r="9" spans="1:6" ht="20.100000000000001" customHeight="1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/>
  <cols>
    <col min="3" max="3" width="9" style="45"/>
    <col min="4" max="4" width="27.375" bestFit="1" customWidth="1"/>
  </cols>
  <sheetData>
    <row r="6" spans="3:5">
      <c r="C6" s="46" t="s">
        <v>39</v>
      </c>
      <c r="D6" s="47" t="s">
        <v>40</v>
      </c>
      <c r="E6" s="47" t="s">
        <v>41</v>
      </c>
    </row>
    <row r="7" spans="3:5">
      <c r="C7" s="46">
        <v>10</v>
      </c>
      <c r="D7" s="43" t="s">
        <v>42</v>
      </c>
      <c r="E7" s="36">
        <v>2</v>
      </c>
    </row>
    <row r="8" spans="3:5">
      <c r="C8" s="46">
        <v>22.5</v>
      </c>
      <c r="D8" s="43" t="s">
        <v>43</v>
      </c>
      <c r="E8" s="48">
        <v>2</v>
      </c>
    </row>
    <row r="9" spans="3:5">
      <c r="C9" s="46">
        <v>30</v>
      </c>
      <c r="D9" s="43" t="s">
        <v>44</v>
      </c>
      <c r="E9" s="48">
        <v>2</v>
      </c>
    </row>
    <row r="10" spans="3:5">
      <c r="C10" s="46">
        <v>35</v>
      </c>
      <c r="D10" s="43" t="s">
        <v>45</v>
      </c>
      <c r="E10" s="48">
        <v>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8200-0EA4-46A5-94E3-CB32AF9FDF5B}">
  <dimension ref="A1:B5"/>
  <sheetViews>
    <sheetView view="pageBreakPreview" zoomScale="60" zoomScaleNormal="100" workbookViewId="0">
      <selection activeCell="F10" sqref="F10"/>
    </sheetView>
  </sheetViews>
  <sheetFormatPr defaultRowHeight="13.5"/>
  <cols>
    <col min="1" max="1" width="12.125" bestFit="1" customWidth="1"/>
    <col min="2" max="2" width="27.875" bestFit="1" customWidth="1"/>
  </cols>
  <sheetData>
    <row r="1" spans="1:2" ht="17.25">
      <c r="A1" s="74" t="s">
        <v>11</v>
      </c>
      <c r="B1" s="10" t="s">
        <v>47</v>
      </c>
    </row>
    <row r="2" spans="1:2" ht="17.25">
      <c r="A2" s="74" t="s">
        <v>10</v>
      </c>
      <c r="B2" s="19" t="s">
        <v>48</v>
      </c>
    </row>
    <row r="3" spans="1:2" ht="17.25">
      <c r="A3" s="74" t="s">
        <v>12</v>
      </c>
      <c r="B3" s="19">
        <v>189603</v>
      </c>
    </row>
    <row r="4" spans="1:2" ht="17.25">
      <c r="A4" s="74" t="s">
        <v>13</v>
      </c>
      <c r="B4" s="22"/>
    </row>
    <row r="5" spans="1:2" ht="17.25">
      <c r="A5" s="74" t="s">
        <v>14</v>
      </c>
      <c r="B5" s="22">
        <v>44488</v>
      </c>
    </row>
  </sheetData>
  <phoneticPr fontId="10"/>
  <pageMargins left="0.7" right="0.7" top="0.75" bottom="0.75" header="0.3" footer="0.3"/>
  <pageSetup paperSize="9" scale="2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原価表</vt:lpstr>
      <vt:lpstr>カートリッジ改造関連（丸山）</vt:lpstr>
      <vt:lpstr>治具手配数量</vt:lpstr>
      <vt:lpstr>Sheet3</vt:lpstr>
      <vt:lpstr>表紙</vt:lpstr>
      <vt:lpstr>原価表!Print_Area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丸山</cp:lastModifiedBy>
  <cp:lastPrinted>2021-10-20T00:14:04Z</cp:lastPrinted>
  <dcterms:created xsi:type="dcterms:W3CDTF">2011-12-13T06:48:43Z</dcterms:created>
  <dcterms:modified xsi:type="dcterms:W3CDTF">2021-10-27T00:05:23Z</dcterms:modified>
</cp:coreProperties>
</file>