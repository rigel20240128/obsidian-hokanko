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出荷済み\R3-12月出荷分\"/>
    </mc:Choice>
  </mc:AlternateContent>
  <xr:revisionPtr revIDLastSave="0" documentId="13_ncr:1_{F1BA2736-0174-4DE0-973A-45BA489FB3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11124) " sheetId="11" r:id="rId1"/>
    <sheet name="Sheet1" sheetId="1" r:id="rId2"/>
    <sheet name="Sheet2" sheetId="2" r:id="rId3"/>
    <sheet name="Sheet3" sheetId="3" r:id="rId4"/>
    <sheet name="発注 (20211116) " sheetId="10" r:id="rId5"/>
    <sheet name="発注 (20211111)  (2)" sheetId="9" r:id="rId6"/>
    <sheet name="発注 (20211111) " sheetId="8" r:id="rId7"/>
    <sheet name="発注 (20191206)" sheetId="7" r:id="rId8"/>
  </sheets>
  <definedNames>
    <definedName name="_xlnm._FilterDatabase" localSheetId="1">Sheet1!$B$8:$O$8</definedName>
    <definedName name="_xlnm._FilterDatabase" localSheetId="7">'発注 (20191206)'!$C$8:$P$8</definedName>
    <definedName name="_xlnm._FilterDatabase" localSheetId="6">'発注 (20211111) '!$C$8:$P$8</definedName>
    <definedName name="_xlnm._FilterDatabase" localSheetId="5">'発注 (20211111)  (2)'!$C$8:$P$8</definedName>
    <definedName name="_xlnm._FilterDatabase" localSheetId="4">'発注 (20211116) '!$C$8:$P$8</definedName>
    <definedName name="_xlnm._FilterDatabase" localSheetId="0">'発注 (20211124) 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11" l="1"/>
  <c r="I68" i="11"/>
  <c r="I127" i="11"/>
  <c r="I125" i="11"/>
  <c r="I126" i="11"/>
  <c r="I173" i="11"/>
  <c r="I174" i="11"/>
  <c r="I161" i="11"/>
  <c r="I162" i="11"/>
  <c r="I160" i="11"/>
  <c r="I60" i="11"/>
  <c r="I59" i="11"/>
  <c r="I58" i="11"/>
  <c r="I57" i="11"/>
  <c r="I56" i="11"/>
  <c r="C13" i="1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I32" i="11"/>
  <c r="I12" i="11"/>
  <c r="I46" i="11"/>
  <c r="I45" i="11"/>
  <c r="I44" i="11"/>
  <c r="I43" i="11"/>
  <c r="I42" i="11"/>
  <c r="I41" i="11"/>
  <c r="I29" i="11"/>
  <c r="I36" i="11"/>
  <c r="I35" i="11"/>
  <c r="I34" i="11"/>
  <c r="I33" i="11"/>
  <c r="I31" i="11"/>
  <c r="I30" i="11"/>
  <c r="I28" i="11"/>
  <c r="I27" i="11"/>
  <c r="I26" i="11"/>
  <c r="I25" i="11"/>
  <c r="I24" i="11"/>
  <c r="I23" i="11"/>
  <c r="I22" i="11"/>
  <c r="I21" i="11"/>
  <c r="I20" i="11"/>
  <c r="I19" i="11"/>
  <c r="I18" i="11"/>
  <c r="I54" i="11"/>
  <c r="I53" i="11"/>
  <c r="I52" i="11"/>
  <c r="I51" i="11"/>
  <c r="I50" i="11"/>
  <c r="I49" i="11"/>
  <c r="I48" i="11"/>
  <c r="I47" i="11"/>
  <c r="I14" i="11"/>
  <c r="I15" i="11"/>
  <c r="I16" i="11"/>
  <c r="I17" i="11"/>
  <c r="I38" i="11"/>
  <c r="I39" i="11"/>
  <c r="I40" i="11"/>
  <c r="I13" i="11"/>
  <c r="I132" i="11"/>
  <c r="I131" i="11"/>
  <c r="I130" i="11"/>
  <c r="I129" i="11"/>
  <c r="I128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82" i="11"/>
  <c r="I181" i="11"/>
  <c r="I180" i="11"/>
  <c r="I172" i="11"/>
  <c r="I171" i="11"/>
  <c r="I170" i="11"/>
  <c r="I169" i="11"/>
  <c r="I168" i="11"/>
  <c r="I167" i="11"/>
  <c r="I166" i="11"/>
  <c r="I165" i="11"/>
  <c r="I164" i="11"/>
  <c r="I163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00" i="11"/>
  <c r="I99" i="11"/>
  <c r="I98" i="11"/>
  <c r="I97" i="11"/>
  <c r="I96" i="11"/>
  <c r="I95" i="11"/>
  <c r="I94" i="11"/>
  <c r="I93" i="11"/>
  <c r="I92" i="11"/>
  <c r="I91" i="11"/>
  <c r="I90" i="11"/>
  <c r="I82" i="11"/>
  <c r="I81" i="11"/>
  <c r="I80" i="11"/>
  <c r="I79" i="11"/>
  <c r="I78" i="11"/>
  <c r="I77" i="11"/>
  <c r="I76" i="11"/>
  <c r="I67" i="11"/>
  <c r="I66" i="11"/>
  <c r="I65" i="11"/>
  <c r="I64" i="11"/>
  <c r="I63" i="11"/>
  <c r="I62" i="11"/>
  <c r="I61" i="11"/>
  <c r="I55" i="11"/>
  <c r="I37" i="11"/>
  <c r="I46" i="10"/>
  <c r="I47" i="10"/>
  <c r="I48" i="10"/>
  <c r="I49" i="10"/>
  <c r="I50" i="10"/>
  <c r="I51" i="10"/>
  <c r="I45" i="10"/>
  <c r="I191" i="10"/>
  <c r="I190" i="10"/>
  <c r="I189" i="10"/>
  <c r="I185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99" i="10"/>
  <c r="I98" i="10"/>
  <c r="I97" i="10"/>
  <c r="I96" i="10"/>
  <c r="I95" i="10"/>
  <c r="I94" i="10"/>
  <c r="I93" i="10"/>
  <c r="I92" i="10"/>
  <c r="I91" i="10"/>
  <c r="I90" i="10"/>
  <c r="I89" i="10"/>
  <c r="I79" i="10"/>
  <c r="I78" i="10"/>
  <c r="I77" i="10"/>
  <c r="I76" i="10"/>
  <c r="I75" i="10"/>
  <c r="I74" i="10"/>
  <c r="I73" i="10"/>
  <c r="I42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0" i="10"/>
  <c r="I19" i="10"/>
  <c r="I16" i="10"/>
  <c r="I15" i="10"/>
  <c r="I14" i="10"/>
  <c r="I13" i="10"/>
  <c r="I12" i="10"/>
  <c r="C12" i="10"/>
  <c r="C13" i="10" s="1"/>
  <c r="C14" i="10" s="1"/>
  <c r="C15" i="10" s="1"/>
  <c r="C16" i="10" s="1"/>
  <c r="C25" i="10" s="1"/>
  <c r="C26" i="10" s="1"/>
  <c r="C27" i="10" s="1"/>
  <c r="C28" i="10" s="1"/>
  <c r="C29" i="10" s="1"/>
  <c r="C30" i="10" s="1"/>
  <c r="I11" i="10"/>
  <c r="I20" i="9"/>
  <c r="I19" i="9"/>
  <c r="I75" i="9"/>
  <c r="I74" i="9"/>
  <c r="I73" i="9"/>
  <c r="I72" i="9"/>
  <c r="I71" i="9"/>
  <c r="I70" i="9"/>
  <c r="I69" i="9"/>
  <c r="I68" i="9"/>
  <c r="I67" i="9"/>
  <c r="I66" i="9"/>
  <c r="I65" i="9"/>
  <c r="I55" i="9"/>
  <c r="I54" i="9"/>
  <c r="I53" i="9"/>
  <c r="I52" i="9"/>
  <c r="I51" i="9"/>
  <c r="I50" i="9"/>
  <c r="I49" i="9"/>
  <c r="I167" i="9"/>
  <c r="I166" i="9"/>
  <c r="I165" i="9"/>
  <c r="I161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42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16" i="9"/>
  <c r="I15" i="9"/>
  <c r="I14" i="9"/>
  <c r="I13" i="9"/>
  <c r="I12" i="9"/>
  <c r="C12" i="9"/>
  <c r="C13" i="9" s="1"/>
  <c r="C14" i="9" s="1"/>
  <c r="C15" i="9" s="1"/>
  <c r="C16" i="9" s="1"/>
  <c r="C25" i="9" s="1"/>
  <c r="C26" i="9" s="1"/>
  <c r="C27" i="9" s="1"/>
  <c r="C28" i="9" s="1"/>
  <c r="C29" i="9" s="1"/>
  <c r="C30" i="9" s="1"/>
  <c r="I11" i="9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16" i="8"/>
  <c r="C12" i="8"/>
  <c r="C13" i="8" s="1"/>
  <c r="C14" i="8" s="1"/>
  <c r="C15" i="8" s="1"/>
  <c r="I33" i="8"/>
  <c r="I32" i="8"/>
  <c r="I31" i="8"/>
  <c r="I30" i="8"/>
  <c r="I29" i="8"/>
  <c r="I28" i="8"/>
  <c r="I27" i="8"/>
  <c r="I26" i="8"/>
  <c r="I61" i="8"/>
  <c r="I60" i="8"/>
  <c r="I59" i="8"/>
  <c r="I58" i="8"/>
  <c r="I35" i="8"/>
  <c r="I25" i="8"/>
  <c r="I24" i="8"/>
  <c r="I23" i="8"/>
  <c r="I22" i="8"/>
  <c r="I21" i="8"/>
  <c r="I20" i="8"/>
  <c r="I19" i="8"/>
  <c r="I18" i="8"/>
  <c r="I15" i="8"/>
  <c r="I14" i="8"/>
  <c r="I13" i="8"/>
  <c r="I12" i="8"/>
  <c r="I11" i="8"/>
  <c r="I158" i="8"/>
  <c r="I157" i="8"/>
  <c r="I156" i="8"/>
  <c r="I152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67" i="8"/>
  <c r="I66" i="8"/>
  <c r="I65" i="8"/>
  <c r="I64" i="8"/>
  <c r="I63" i="8"/>
  <c r="I62" i="8"/>
  <c r="I50" i="8"/>
  <c r="I49" i="8"/>
  <c r="I48" i="8"/>
  <c r="I47" i="8"/>
  <c r="I46" i="8"/>
  <c r="I45" i="8"/>
  <c r="I44" i="8"/>
  <c r="I43" i="8"/>
  <c r="I42" i="8"/>
  <c r="I90" i="7"/>
  <c r="I92" i="7"/>
  <c r="I91" i="7"/>
  <c r="I48" i="7"/>
  <c r="I47" i="7"/>
  <c r="F71" i="11" l="1"/>
  <c r="F130" i="10"/>
  <c r="F83" i="10"/>
  <c r="C56" i="11"/>
  <c r="F134" i="11"/>
  <c r="F84" i="11"/>
  <c r="K2" i="11"/>
  <c r="F102" i="11"/>
  <c r="F178" i="11"/>
  <c r="K2" i="10"/>
  <c r="F68" i="10"/>
  <c r="F101" i="10"/>
  <c r="F187" i="10"/>
  <c r="C33" i="10"/>
  <c r="C34" i="10" s="1"/>
  <c r="C35" i="10" s="1"/>
  <c r="C36" i="10" s="1"/>
  <c r="C37" i="10" s="1"/>
  <c r="C38" i="10" s="1"/>
  <c r="C39" i="10" s="1"/>
  <c r="C40" i="10" s="1"/>
  <c r="C42" i="10" s="1"/>
  <c r="C73" i="10" s="1"/>
  <c r="C74" i="10" s="1"/>
  <c r="C75" i="10" s="1"/>
  <c r="C76" i="10" s="1"/>
  <c r="C77" i="10" s="1"/>
  <c r="C78" i="10" s="1"/>
  <c r="C79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31" i="10"/>
  <c r="F77" i="9"/>
  <c r="F59" i="9"/>
  <c r="F106" i="9"/>
  <c r="F163" i="9"/>
  <c r="K2" i="9"/>
  <c r="C31" i="9"/>
  <c r="C33" i="9"/>
  <c r="C34" i="9" s="1"/>
  <c r="C35" i="9" s="1"/>
  <c r="C36" i="9" s="1"/>
  <c r="C37" i="9" s="1"/>
  <c r="C38" i="9" s="1"/>
  <c r="C39" i="9" s="1"/>
  <c r="C40" i="9" s="1"/>
  <c r="C42" i="9" s="1"/>
  <c r="C49" i="9" s="1"/>
  <c r="C50" i="9" s="1"/>
  <c r="C51" i="9" s="1"/>
  <c r="C52" i="9" s="1"/>
  <c r="C53" i="9" s="1"/>
  <c r="C54" i="9" s="1"/>
  <c r="C55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11" i="9" s="1"/>
  <c r="F44" i="9"/>
  <c r="F97" i="8"/>
  <c r="C16" i="8"/>
  <c r="C18" i="8" s="1"/>
  <c r="C19" i="8" s="1"/>
  <c r="C20" i="8" s="1"/>
  <c r="C21" i="8" s="1"/>
  <c r="C22" i="8" s="1"/>
  <c r="C23" i="8" s="1"/>
  <c r="F154" i="8"/>
  <c r="F69" i="8"/>
  <c r="K2" i="8"/>
  <c r="F52" i="8"/>
  <c r="F37" i="8"/>
  <c r="I139" i="7"/>
  <c r="C57" i="11" l="1"/>
  <c r="C112" i="9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26" i="8"/>
  <c r="C27" i="8" s="1"/>
  <c r="C28" i="8" s="1"/>
  <c r="C29" i="8" s="1"/>
  <c r="C30" i="8" s="1"/>
  <c r="C31" i="8" s="1"/>
  <c r="C32" i="8" s="1"/>
  <c r="C33" i="8" s="1"/>
  <c r="C35" i="8" s="1"/>
  <c r="C42" i="8" s="1"/>
  <c r="C43" i="8" s="1"/>
  <c r="C44" i="8" s="1"/>
  <c r="C45" i="8" s="1"/>
  <c r="C46" i="8" s="1"/>
  <c r="C47" i="8" s="1"/>
  <c r="C48" i="8" s="1"/>
  <c r="C49" i="8" s="1"/>
  <c r="C50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102" i="8" s="1"/>
  <c r="C24" i="8"/>
  <c r="I129" i="7"/>
  <c r="I128" i="7"/>
  <c r="I127" i="7"/>
  <c r="C58" i="11" l="1"/>
  <c r="C59" i="11" s="1"/>
  <c r="C60" i="11" s="1"/>
  <c r="C61" i="11" s="1"/>
  <c r="C62" i="11" s="1"/>
  <c r="C63" i="11" s="1"/>
  <c r="C64" i="11" s="1"/>
  <c r="C65" i="11" s="1"/>
  <c r="C66" i="11" s="1"/>
  <c r="C67" i="11" s="1"/>
  <c r="C103" i="8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I99" i="7"/>
  <c r="I62" i="7"/>
  <c r="I61" i="7"/>
  <c r="I60" i="7"/>
  <c r="I59" i="7"/>
  <c r="I58" i="7"/>
  <c r="I57" i="7"/>
  <c r="I56" i="7"/>
  <c r="I55" i="7"/>
  <c r="I54" i="7"/>
  <c r="I38" i="7"/>
  <c r="I39" i="7"/>
  <c r="I115" i="7"/>
  <c r="I89" i="7"/>
  <c r="I93" i="7"/>
  <c r="C68" i="11" l="1"/>
  <c r="C69" i="11" s="1"/>
  <c r="C76" i="11" s="1"/>
  <c r="C77" i="11" s="1"/>
  <c r="C78" i="11" s="1"/>
  <c r="C79" i="11" s="1"/>
  <c r="C80" i="11" s="1"/>
  <c r="C81" i="11" s="1"/>
  <c r="C82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F64" i="7"/>
  <c r="I46" i="7"/>
  <c r="I45" i="7"/>
  <c r="I44" i="7"/>
  <c r="I43" i="7"/>
  <c r="I42" i="7"/>
  <c r="I41" i="7"/>
  <c r="I40" i="7"/>
  <c r="I37" i="7"/>
  <c r="I36" i="7"/>
  <c r="I85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C127" i="11" l="1"/>
  <c r="C128" i="11" s="1"/>
  <c r="C129" i="11" s="1"/>
  <c r="C130" i="11" s="1"/>
  <c r="C131" i="11" s="1"/>
  <c r="C132" i="11" s="1"/>
  <c r="C139" i="11" s="1"/>
  <c r="C140" i="11" s="1"/>
  <c r="C141" i="11" s="1"/>
  <c r="C142" i="11" s="1"/>
  <c r="C143" i="11" s="1"/>
  <c r="C144" i="11" s="1"/>
  <c r="C145" i="11" s="1"/>
  <c r="F85" i="7"/>
  <c r="I130" i="7"/>
  <c r="I126" i="7"/>
  <c r="I125" i="7"/>
  <c r="I124" i="7"/>
  <c r="I123" i="7"/>
  <c r="I122" i="7"/>
  <c r="I121" i="7"/>
  <c r="I120" i="7"/>
  <c r="I119" i="7"/>
  <c r="I118" i="7"/>
  <c r="I117" i="7"/>
  <c r="I116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8" i="7"/>
  <c r="I97" i="7"/>
  <c r="I96" i="7"/>
  <c r="I95" i="7"/>
  <c r="I94" i="7"/>
  <c r="C146" i="11" l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I137" i="7"/>
  <c r="I136" i="7"/>
  <c r="I135" i="7"/>
  <c r="I134" i="7"/>
  <c r="I133" i="7"/>
  <c r="I132" i="7"/>
  <c r="I131" i="7"/>
  <c r="I35" i="7"/>
  <c r="I28" i="7"/>
  <c r="I34" i="7"/>
  <c r="I30" i="7"/>
  <c r="C167" i="11" l="1"/>
  <c r="C168" i="11" s="1"/>
  <c r="C169" i="11" s="1"/>
  <c r="C170" i="11" s="1"/>
  <c r="C171" i="11" s="1"/>
  <c r="C172" i="11" s="1"/>
  <c r="C173" i="11" s="1"/>
  <c r="C174" i="11" s="1"/>
  <c r="C175" i="11" s="1"/>
  <c r="C176" i="11" s="1"/>
  <c r="F142" i="7"/>
  <c r="I11" i="7"/>
  <c r="I146" i="7" l="1"/>
  <c r="I145" i="7"/>
  <c r="I144" i="7"/>
  <c r="I33" i="7"/>
  <c r="I32" i="7"/>
  <c r="I31" i="7"/>
  <c r="I29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C12" i="7"/>
  <c r="C13" i="7" s="1"/>
  <c r="C14" i="7" s="1"/>
  <c r="C15" i="7" s="1"/>
  <c r="C16" i="7" s="1"/>
  <c r="C17" i="7" s="1"/>
  <c r="H93" i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K2" i="7" l="1"/>
  <c r="E84" i="1"/>
  <c r="E59" i="1"/>
  <c r="E72" i="1"/>
  <c r="E34" i="1"/>
  <c r="C18" i="7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F50" i="7"/>
  <c r="J2" i="1"/>
  <c r="C54" i="7" l="1"/>
  <c r="C47" i="7"/>
  <c r="C48" i="7" s="1"/>
  <c r="C55" i="7"/>
  <c r="C56" i="7" s="1"/>
  <c r="C57" i="7" s="1"/>
  <c r="C58" i="7" s="1"/>
  <c r="C59" i="7" s="1"/>
  <c r="C60" i="7" s="1"/>
  <c r="C61" i="7" l="1"/>
  <c r="C62" i="7" s="1"/>
  <c r="C70" i="7" l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9" i="7" s="1"/>
  <c r="C93" i="7" s="1"/>
  <c r="C94" i="7" s="1"/>
  <c r="C95" i="7" s="1"/>
  <c r="C96" i="7" s="1"/>
  <c r="C97" i="7" s="1"/>
  <c r="C98" i="7" s="1"/>
  <c r="C99" i="7" l="1"/>
  <c r="C100" i="7" s="1"/>
  <c r="C101" i="7" s="1"/>
  <c r="C102" i="7" s="1"/>
  <c r="C103" i="7" s="1"/>
  <c r="C104" i="7" l="1"/>
  <c r="C105" i="7" s="1"/>
  <c r="C106" i="7" l="1"/>
  <c r="C107" i="7" l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l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F109" authorId="0" shapeId="0" xr:uid="{D7AC8A27-34C0-4B09-B725-A1C2F366D356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レール幅は選択して1種類のみ選ぶか、3種類全部注文するかの選択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F108" authorId="0" shapeId="0" xr:uid="{D2FD78C0-DE73-4967-80A9-F782E6C65729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レール幅は選択して1種類のみ選ぶか、3種類全部注文するかの選択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F84" authorId="0" shapeId="0" xr:uid="{E42400EB-62A8-4A7C-AFD6-7F143B4C3860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レール幅は選択して1種類のみ選ぶか、3種類全部注文するかの選択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F75" authorId="0" shapeId="0" xr:uid="{7966779C-42BC-41FF-AB43-822ACDD37537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レール幅は選択して1種類のみ選ぶか、3種類全部注文するかの選択</t>
        </r>
      </text>
    </comment>
  </commentList>
</comments>
</file>

<file path=xl/sharedStrings.xml><?xml version="1.0" encoding="utf-8"?>
<sst xmlns="http://schemas.openxmlformats.org/spreadsheetml/2006/main" count="3294" uniqueCount="651">
  <si>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</si>
  <si>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</si>
  <si>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</si>
  <si>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</si>
  <si>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</si>
  <si>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</si>
  <si>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</si>
  <si>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</si>
  <si>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</si>
  <si>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</si>
  <si>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</si>
  <si>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</si>
  <si>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</si>
  <si>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</si>
  <si>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</si>
  <si>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</si>
  <si>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</si>
  <si>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</si>
  <si>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</si>
  <si>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</si>
  <si>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</si>
  <si>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</si>
  <si>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</si>
  <si>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</si>
  <si>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</si>
  <si>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</si>
  <si>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</si>
  <si>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</si>
  <si>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</si>
  <si>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</si>
  <si>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</si>
  <si>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</si>
  <si>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</si>
  <si>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</si>
  <si>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</si>
  <si>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</si>
  <si>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</si>
  <si>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</si>
  <si>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</si>
  <si>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</si>
  <si>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</si>
  <si>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</si>
  <si>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</si>
  <si>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</si>
  <si>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</si>
  <si>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</si>
  <si>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</si>
  <si>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</si>
  <si>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</si>
  <si>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</si>
  <si>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</si>
  <si>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</si>
  <si>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</si>
  <si>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</si>
  <si>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</si>
  <si>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</si>
  <si>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</si>
  <si>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</si>
  <si>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</si>
  <si>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</si>
  <si>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</si>
  <si>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</si>
  <si>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</si>
  <si>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</si>
  <si>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</si>
  <si>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</si>
  <si>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</si>
  <si>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</si>
  <si>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</si>
  <si>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</si>
  <si>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</si>
  <si>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</si>
  <si>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</si>
  <si>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</si>
  <si>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</si>
  <si>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</si>
  <si>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</si>
  <si>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</si>
  <si>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</si>
  <si>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</si>
  <si>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</si>
  <si>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</si>
  <si>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</si>
  <si>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</si>
  <si>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</si>
  <si>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</si>
  <si>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</si>
  <si>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</si>
  <si>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</si>
  <si>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</si>
  <si>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</si>
  <si>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</si>
  <si>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</si>
  <si>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</si>
  <si>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</si>
  <si>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</si>
  <si>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</si>
  <si>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</si>
  <si>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</si>
  <si>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</si>
  <si>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</si>
  <si>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</si>
  <si>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</si>
  <si>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</si>
  <si>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</si>
  <si>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</si>
  <si>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</si>
  <si>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</si>
  <si>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</si>
  <si>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</si>
  <si>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</si>
  <si>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</si>
  <si>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</si>
  <si>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</si>
  <si>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</si>
  <si>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</si>
  <si>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</si>
  <si>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</si>
  <si>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</si>
  <si>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</si>
  <si>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</si>
  <si>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</si>
  <si>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</si>
  <si>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</si>
  <si>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</si>
  <si>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</si>
  <si>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</si>
  <si>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</si>
  <si>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</si>
  <si>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</si>
  <si>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</si>
  <si>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</si>
  <si>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</si>
  <si>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ﾉｯｸﾋﾟﾝ　φ3-10mm</t>
  </si>
  <si>
    <t>SBCB4-8</t>
  </si>
  <si>
    <t>六角穴付きﾎﾞﾀﾝﾎﾞﾙﾄ　 (M4×8)</t>
  </si>
  <si>
    <t>ﾂｰﾙ取付ﾌﾞﾗｹｯﾄ(90°回転用）</t>
  </si>
  <si>
    <t>スラスト玉軸受ﾌﾞﾗｹｯﾄ</t>
  </si>
  <si>
    <t>補強ﾌﾞﾛｯｸ</t>
  </si>
  <si>
    <t>スラスト玉軸受</t>
  </si>
  <si>
    <t>金属ワッシャ　Ｔ寸選択・指定タイプ　並級</t>
  </si>
  <si>
    <t>シャフト　片端めねじキリ穴付・スパナ溝付タイプ</t>
  </si>
  <si>
    <t>ベアリングホルダセット</t>
  </si>
  <si>
    <t>カップリング　リジット形セットスクリュータイプ</t>
  </si>
  <si>
    <t>SMC</t>
    <phoneticPr fontId="16"/>
  </si>
  <si>
    <t>ミスミ</t>
    <phoneticPr fontId="16"/>
  </si>
  <si>
    <t xml:space="preserve">AD-342 </t>
    <phoneticPr fontId="16"/>
  </si>
  <si>
    <t>カッチンダクト</t>
    <phoneticPr fontId="16"/>
  </si>
  <si>
    <t>F1.25-M3</t>
    <phoneticPr fontId="16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</si>
  <si>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6"/>
  </si>
  <si>
    <t>PUT6-10-B</t>
    <phoneticPr fontId="16"/>
  </si>
  <si>
    <t>ポリウレタンチューブ</t>
    <phoneticPr fontId="16"/>
  </si>
  <si>
    <t>配電部分</t>
    <rPh sb="0" eb="2">
      <t>ハイデン</t>
    </rPh>
    <rPh sb="2" eb="4">
      <t>ブブン</t>
    </rPh>
    <phoneticPr fontId="14"/>
  </si>
  <si>
    <t>φ6エルボ継手　※制御側</t>
    <rPh sb="5" eb="7">
      <t>ツギテ</t>
    </rPh>
    <rPh sb="9" eb="11">
      <t>セイギョ</t>
    </rPh>
    <rPh sb="11" eb="12">
      <t>ガワ</t>
    </rPh>
    <phoneticPr fontId="16"/>
  </si>
  <si>
    <t>SCB4-8</t>
    <phoneticPr fontId="16"/>
  </si>
  <si>
    <t>六角穴付きﾎﾞﾙﾄ　 (M4×8)</t>
    <phoneticPr fontId="16"/>
  </si>
  <si>
    <t>ﾌﾟﾗｸﾞ</t>
  </si>
  <si>
    <t>SMC</t>
  </si>
  <si>
    <t>SS5Y3-20-03</t>
    <phoneticPr fontId="16"/>
  </si>
  <si>
    <t>*SY3120-5LZE-C4</t>
    <phoneticPr fontId="16"/>
  </si>
  <si>
    <t>レギュレーター</t>
  </si>
  <si>
    <t>ｽﾋﾟｰﾄﾞｺﾝﾄﾛｰﾗ</t>
    <phoneticPr fontId="16"/>
  </si>
  <si>
    <t>CDRBU2WU30-90SZ-S79L</t>
    <phoneticPr fontId="16"/>
  </si>
  <si>
    <t>セットカラー　止めねじ固定</t>
    <phoneticPr fontId="14"/>
  </si>
  <si>
    <t>低頭M5ﾈｼﾞ</t>
    <rPh sb="0" eb="2">
      <t>テイトウ</t>
    </rPh>
    <phoneticPr fontId="14"/>
  </si>
  <si>
    <t>137581－Y001</t>
    <phoneticPr fontId="14"/>
  </si>
  <si>
    <t>137581－Y002</t>
  </si>
  <si>
    <t>137581－Y004</t>
  </si>
  <si>
    <t>137581－Y005</t>
  </si>
  <si>
    <t>137581－Y006</t>
  </si>
  <si>
    <t>セットカラー固定ﾌﾞﾗｹｯﾄ</t>
    <phoneticPr fontId="14"/>
  </si>
  <si>
    <t>ﾊ"ﾙﾌﾞﾎﾙﾀﾞｰﾌﾞﾗｹｯﾄ</t>
    <phoneticPr fontId="14"/>
  </si>
  <si>
    <t>ﾊﾞﾙﾌﾞﾎﾙﾀﾞﾈｼﾞ固定ﾀｲﾌﾟ</t>
    <phoneticPr fontId="14"/>
  </si>
  <si>
    <t xml:space="preserve"> SSCMW8</t>
    <phoneticPr fontId="14"/>
  </si>
  <si>
    <t xml:space="preserve"> CSHBTT-SUS-M5-18</t>
    <phoneticPr fontId="14"/>
  </si>
  <si>
    <t>六角穴付止めねじ 平先</t>
    <phoneticPr fontId="14"/>
  </si>
  <si>
    <t>ＭＳ3－１0</t>
    <phoneticPr fontId="14"/>
  </si>
  <si>
    <t>ＭＳ3－35</t>
    <phoneticPr fontId="14"/>
  </si>
  <si>
    <t>ﾉｯｸﾋﾟﾝ　φ3-35mm</t>
    <phoneticPr fontId="14"/>
  </si>
  <si>
    <t>六角穴付きﾎﾞﾙﾄ　 (M5×60)</t>
    <phoneticPr fontId="14"/>
  </si>
  <si>
    <t>CＳH-SUS-M5-60</t>
    <phoneticPr fontId="14"/>
  </si>
  <si>
    <t>SCB5-18</t>
    <phoneticPr fontId="14"/>
  </si>
  <si>
    <t>SCB5-10</t>
    <phoneticPr fontId="14"/>
  </si>
  <si>
    <t>SCB4-14</t>
    <phoneticPr fontId="14"/>
  </si>
  <si>
    <t>六角穴付きﾎﾞﾙﾄ　 (M6×10)</t>
    <phoneticPr fontId="14"/>
  </si>
  <si>
    <t>SCB6-10</t>
    <phoneticPr fontId="14"/>
  </si>
  <si>
    <t>SCB4-20</t>
    <phoneticPr fontId="14"/>
  </si>
  <si>
    <t>BVHVU6-3</t>
    <phoneticPr fontId="16"/>
  </si>
  <si>
    <t>MNCNL6-M5</t>
    <phoneticPr fontId="16"/>
  </si>
  <si>
    <t>MNCNL4-M5</t>
    <phoneticPr fontId="16"/>
  </si>
  <si>
    <t>φ4エルボ継手　※制御側</t>
    <rPh sb="5" eb="7">
      <t>ツギテ</t>
    </rPh>
    <rPh sb="9" eb="11">
      <t>セイギョ</t>
    </rPh>
    <rPh sb="11" eb="12">
      <t>ガワ</t>
    </rPh>
    <phoneticPr fontId="16"/>
  </si>
  <si>
    <t>ワンタッチ継手　異径ユニオンストレート</t>
    <phoneticPr fontId="14"/>
  </si>
  <si>
    <t>UJDST4-W</t>
    <phoneticPr fontId="14"/>
  </si>
  <si>
    <t>JSMU4</t>
    <phoneticPr fontId="14"/>
  </si>
  <si>
    <t>標準タイプ スピードコントローラ ユニオンストレート</t>
    <phoneticPr fontId="14"/>
  </si>
  <si>
    <t>制御機材</t>
    <rPh sb="0" eb="1">
      <t>セイ</t>
    </rPh>
    <rPh sb="1" eb="2">
      <t>オ</t>
    </rPh>
    <rPh sb="2" eb="4">
      <t>キザイ</t>
    </rPh>
    <phoneticPr fontId="16"/>
  </si>
  <si>
    <t>東北ﾏﾃﾘｱﾙ</t>
    <rPh sb="0" eb="2">
      <t>トウホク</t>
    </rPh>
    <phoneticPr fontId="16"/>
  </si>
  <si>
    <r>
      <t>JSC4-M5</t>
    </r>
    <r>
      <rPr>
        <sz val="12"/>
        <color rgb="FFFF0000"/>
        <rFont val="ＭＳ Ｐ明朝"/>
        <family val="1"/>
        <charset val="128"/>
      </rPr>
      <t>A</t>
    </r>
    <phoneticPr fontId="16"/>
  </si>
  <si>
    <t xml:space="preserve">配電BOX </t>
    <phoneticPr fontId="16"/>
  </si>
  <si>
    <t>NEDJL-PT-SB-9-1.5</t>
    <phoneticPr fontId="16"/>
  </si>
  <si>
    <t>Dsubコネクタハーネス</t>
    <phoneticPr fontId="16"/>
  </si>
  <si>
    <t>NEDJL-PS-SB-37-1.5</t>
    <phoneticPr fontId="16"/>
  </si>
  <si>
    <t>MWS-DS37A-HT37</t>
    <phoneticPr fontId="16"/>
  </si>
  <si>
    <t>Dsubコネクタ端子台</t>
    <rPh sb="8" eb="10">
      <t>タンシ</t>
    </rPh>
    <rPh sb="10" eb="11">
      <t>ダイ</t>
    </rPh>
    <phoneticPr fontId="16"/>
  </si>
  <si>
    <t>MWI-COM-P10N10</t>
    <phoneticPr fontId="16"/>
  </si>
  <si>
    <t>コモン端子台</t>
    <rPh sb="3" eb="5">
      <t>タンシ</t>
    </rPh>
    <rPh sb="5" eb="6">
      <t>ダイ</t>
    </rPh>
    <phoneticPr fontId="16"/>
  </si>
  <si>
    <t>DINレール</t>
    <phoneticPr fontId="16"/>
  </si>
  <si>
    <t>配線ダクト（側片折り取り可能）</t>
    <phoneticPr fontId="16"/>
  </si>
  <si>
    <t>KV-0.3-BE-10</t>
    <phoneticPr fontId="16"/>
  </si>
  <si>
    <t>単芯電線</t>
    <rPh sb="0" eb="1">
      <t>タン</t>
    </rPh>
    <rPh sb="1" eb="2">
      <t>シン</t>
    </rPh>
    <rPh sb="2" eb="4">
      <t>デンセン</t>
    </rPh>
    <phoneticPr fontId="16"/>
  </si>
  <si>
    <t>SLBNR4</t>
    <phoneticPr fontId="16"/>
  </si>
  <si>
    <t>M4ﾅｯﾄ</t>
    <phoneticPr fontId="16"/>
  </si>
  <si>
    <t>A8140</t>
    <phoneticPr fontId="16"/>
  </si>
  <si>
    <t>汎用3芯OAタップ 2ヶ口</t>
    <phoneticPr fontId="16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</si>
  <si>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BS-32FB-5A</t>
    </r>
    <phoneticPr fontId="16"/>
  </si>
  <si>
    <t>漏電ブレーカ</t>
    <rPh sb="0" eb="2">
      <t>ロウデン</t>
    </rPh>
    <phoneticPr fontId="16"/>
  </si>
  <si>
    <t>富士電線工業</t>
    <rPh sb="0" eb="2">
      <t>フジ</t>
    </rPh>
    <rPh sb="2" eb="4">
      <t>デンセン</t>
    </rPh>
    <rPh sb="4" eb="6">
      <t>コウギョウ</t>
    </rPh>
    <phoneticPr fontId="16"/>
  </si>
  <si>
    <t xml:space="preserve">VCTF-2-0.75SQ-8 </t>
    <phoneticPr fontId="16"/>
  </si>
  <si>
    <t>ビニルキャブタイヤコード VCTF</t>
    <phoneticPr fontId="16"/>
  </si>
  <si>
    <t>3M-3</t>
    <phoneticPr fontId="16"/>
  </si>
  <si>
    <t>ACコード(プラグ）</t>
    <phoneticPr fontId="16"/>
  </si>
  <si>
    <r>
      <t>1</t>
    </r>
    <r>
      <rPr>
        <sz val="11"/>
        <color theme="1"/>
        <rFont val="ＭＳ Ｐゴシック"/>
        <family val="3"/>
        <charset val="128"/>
        <scheme val="minor"/>
      </rPr>
      <t>.25-5</t>
    </r>
    <phoneticPr fontId="16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</si>
  <si>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6"/>
  </si>
  <si>
    <t>NA3GH-24-2-8</t>
    <phoneticPr fontId="16"/>
  </si>
  <si>
    <t>NA3GH UL規格 横巻きシールドセンサー用(２芯）</t>
    <rPh sb="25" eb="26">
      <t>シン</t>
    </rPh>
    <phoneticPr fontId="16"/>
  </si>
  <si>
    <t>NA3GH-24-3-8</t>
    <phoneticPr fontId="16"/>
  </si>
  <si>
    <t>NA3GH UL規格 横巻きシールドセンサー用(３芯）</t>
    <rPh sb="25" eb="26">
      <t>シン</t>
    </rPh>
    <phoneticPr fontId="16"/>
  </si>
  <si>
    <t>NA3GH-24-5-8</t>
    <phoneticPr fontId="16"/>
  </si>
  <si>
    <t>NA3GH UL規格 横巻きシールドセンサー用(５芯）</t>
    <rPh sb="25" eb="26">
      <t>シン</t>
    </rPh>
    <phoneticPr fontId="16"/>
  </si>
  <si>
    <t>PC-2005-M</t>
    <phoneticPr fontId="16"/>
  </si>
  <si>
    <t>差込み型ピン端子　オス（１００個入り）</t>
    <rPh sb="15" eb="16">
      <t>コ</t>
    </rPh>
    <rPh sb="16" eb="17">
      <t>イ</t>
    </rPh>
    <phoneticPr fontId="16"/>
  </si>
  <si>
    <t>PC-2005-F</t>
    <phoneticPr fontId="16"/>
  </si>
  <si>
    <t>差込み型ピン端子　メス（１００個入り）</t>
    <phoneticPr fontId="16"/>
  </si>
  <si>
    <t>ハンドバルブ　φ6</t>
    <phoneticPr fontId="16"/>
  </si>
  <si>
    <t>AW10-M5BＧ-A</t>
    <phoneticPr fontId="16"/>
  </si>
  <si>
    <t>SZ16F-2-060-20</t>
    <phoneticPr fontId="16"/>
  </si>
  <si>
    <t>ケーブルベア</t>
    <phoneticPr fontId="16"/>
  </si>
  <si>
    <t>SFB5-8</t>
    <phoneticPr fontId="16"/>
  </si>
  <si>
    <t>六角穴付皿ボルト　M5×8mm</t>
    <phoneticPr fontId="16"/>
  </si>
  <si>
    <t>SCB5-10</t>
    <phoneticPr fontId="16"/>
  </si>
  <si>
    <t>六角穴付きﾎﾞﾙﾄ　M5×10mm</t>
    <phoneticPr fontId="16"/>
  </si>
  <si>
    <t>SLBNR5</t>
    <phoneticPr fontId="16"/>
  </si>
  <si>
    <t>M5ﾅｯﾄ</t>
    <phoneticPr fontId="16"/>
  </si>
  <si>
    <t>UJDST4-W</t>
    <phoneticPr fontId="16"/>
  </si>
  <si>
    <t>ﾜﾝﾀｯﾁ継手異径ﾕﾆｵﾝｽﾄﾚｰﾄ</t>
    <rPh sb="5" eb="7">
      <t>ツギテ</t>
    </rPh>
    <rPh sb="7" eb="8">
      <t>イ</t>
    </rPh>
    <rPh sb="8" eb="9">
      <t>ケイ</t>
    </rPh>
    <phoneticPr fontId="16"/>
  </si>
  <si>
    <t>USSTL4</t>
    <phoneticPr fontId="16"/>
  </si>
  <si>
    <t>ﾜﾝﾀｯﾁ継手ﾕﾆｵﾝｽﾄﾚｰﾄ</t>
    <rPh sb="5" eb="7">
      <t>ツギテ</t>
    </rPh>
    <phoneticPr fontId="16"/>
  </si>
  <si>
    <t>PUT4-10-C</t>
    <phoneticPr fontId="16"/>
  </si>
  <si>
    <t>φ4ソフトナイロンチューブ</t>
    <phoneticPr fontId="16"/>
  </si>
  <si>
    <t>Web設計ﾊｰﾈｽ(ｺﾝﾌｫｰﾏﾙｹｰﾌﾞﾙ延長)2m</t>
    <rPh sb="22" eb="24">
      <t>エンチョウ</t>
    </rPh>
    <phoneticPr fontId="16"/>
  </si>
  <si>
    <t>R03J-JSP-F-2-3</t>
    <phoneticPr fontId="16"/>
  </si>
  <si>
    <t>R03ｺﾈｸﾀ ﾊｰﾈｽ</t>
    <phoneticPr fontId="16"/>
  </si>
  <si>
    <t>TBS-22</t>
    <phoneticPr fontId="16"/>
  </si>
  <si>
    <t>漏電ブレーカ</t>
    <phoneticPr fontId="16"/>
  </si>
  <si>
    <t>浸け置きﾕﾆｯﾄ</t>
    <rPh sb="0" eb="1">
      <t>ツ</t>
    </rPh>
    <rPh sb="2" eb="3">
      <t>オ</t>
    </rPh>
    <phoneticPr fontId="16"/>
  </si>
  <si>
    <t>CRKB4-8</t>
    <phoneticPr fontId="16"/>
  </si>
  <si>
    <t>樹脂付ローレットボルト</t>
    <rPh sb="0" eb="2">
      <t>ジュシ</t>
    </rPh>
    <rPh sb="2" eb="3">
      <t>ツキ</t>
    </rPh>
    <phoneticPr fontId="16"/>
  </si>
  <si>
    <t>CRKB4-10</t>
    <phoneticPr fontId="16"/>
  </si>
  <si>
    <t>ＭＳ2-8</t>
    <phoneticPr fontId="16"/>
  </si>
  <si>
    <t>ﾉｯｸﾋﾟﾝφ2-8mm</t>
    <phoneticPr fontId="16"/>
  </si>
  <si>
    <t>CHNS4</t>
    <phoneticPr fontId="16"/>
  </si>
  <si>
    <t>蝶ﾅｯﾄ</t>
    <phoneticPr fontId="16"/>
  </si>
  <si>
    <t>RSCB4-15</t>
    <phoneticPr fontId="16"/>
  </si>
  <si>
    <t>六角ﾎﾞﾙﾄ</t>
    <phoneticPr fontId="16"/>
  </si>
  <si>
    <t>アズワン</t>
    <phoneticPr fontId="16"/>
  </si>
  <si>
    <r>
      <t xml:space="preserve">5-079-04　   </t>
    </r>
    <r>
      <rPr>
        <b/>
        <sz val="11"/>
        <color indexed="10"/>
        <rFont val="ＭＳ Ｐゴシック"/>
        <family val="3"/>
        <charset val="128"/>
      </rPr>
      <t>在庫使用の為発注せず</t>
    </r>
    <phoneticPr fontId="16"/>
  </si>
  <si>
    <t>ﾐﾆｶｯﾌﾟ（30cc）　</t>
    <phoneticPr fontId="16"/>
  </si>
  <si>
    <t>M4ﾈｼﾞ×8</t>
    <phoneticPr fontId="16"/>
  </si>
  <si>
    <t>SCB4-10</t>
    <phoneticPr fontId="16"/>
  </si>
  <si>
    <t>M4ﾈｼﾞ×10</t>
    <phoneticPr fontId="16"/>
  </si>
  <si>
    <t>ハンドバルブ</t>
    <phoneticPr fontId="16"/>
  </si>
  <si>
    <t>PUT4-10-B</t>
    <phoneticPr fontId="16"/>
  </si>
  <si>
    <t>エアチューブ</t>
    <phoneticPr fontId="16"/>
  </si>
  <si>
    <t>ﾉｽﾞﾙ位置合わせ冶具　</t>
    <phoneticPr fontId="14"/>
  </si>
  <si>
    <t>B51100</t>
    <phoneticPr fontId="14"/>
  </si>
  <si>
    <t>WSSS10-8-1.5</t>
    <phoneticPr fontId="14"/>
  </si>
  <si>
    <t>PSSFGC8-68-M5-SC2-SX5</t>
    <phoneticPr fontId="14"/>
  </si>
  <si>
    <t>BGHWTA628ZZ-22-26</t>
    <phoneticPr fontId="14"/>
  </si>
  <si>
    <t>CPR25-8-8</t>
    <phoneticPr fontId="14"/>
  </si>
  <si>
    <t>SGPPP6A</t>
    <phoneticPr fontId="14"/>
  </si>
  <si>
    <t>*SY3000-26-9A</t>
    <phoneticPr fontId="14"/>
  </si>
  <si>
    <r>
      <t>AW10-M5BＧ</t>
    </r>
    <r>
      <rPr>
        <sz val="11"/>
        <color rgb="FFFF0000"/>
        <rFont val="ＭＳ Ｐゴシック"/>
        <family val="3"/>
        <charset val="128"/>
      </rPr>
      <t>-A</t>
    </r>
    <phoneticPr fontId="16"/>
  </si>
  <si>
    <t xml:space="preserve">MNCNL6-1 </t>
    <phoneticPr fontId="16"/>
  </si>
  <si>
    <t>φ6継ぎ手  ミニチュアワンタッチ継手　エルボ</t>
    <rPh sb="2" eb="3">
      <t>ツ</t>
    </rPh>
    <rPh sb="4" eb="5">
      <t>テ</t>
    </rPh>
    <phoneticPr fontId="16"/>
  </si>
  <si>
    <t xml:space="preserve">MNCNL6-M5 </t>
    <phoneticPr fontId="14"/>
  </si>
  <si>
    <t>ミニチュアワンタッチ継手　エルボ</t>
    <phoneticPr fontId="14"/>
  </si>
  <si>
    <t xml:space="preserve">レギュレーター用 </t>
    <rPh sb="7" eb="8">
      <t>ヨウ</t>
    </rPh>
    <phoneticPr fontId="14"/>
  </si>
  <si>
    <t>一体型ﾍﾞｰｽﾏﾆﾎｰﾙﾄﾞ用</t>
    <rPh sb="14" eb="15">
      <t>ヨウ</t>
    </rPh>
    <phoneticPr fontId="14"/>
  </si>
  <si>
    <t>CDRBU2WU30-90SZ-S79L用</t>
    <rPh sb="20" eb="21">
      <t>ヨウ</t>
    </rPh>
    <phoneticPr fontId="14"/>
  </si>
  <si>
    <t>ワンタッチ継手　Ｙタイプ</t>
    <phoneticPr fontId="14"/>
  </si>
  <si>
    <t>USYL6</t>
    <phoneticPr fontId="14"/>
  </si>
  <si>
    <t xml:space="preserve">レギュレーター用OUT側へ </t>
    <rPh sb="7" eb="8">
      <t>ヨウ</t>
    </rPh>
    <rPh sb="11" eb="12">
      <t>ガワ</t>
    </rPh>
    <phoneticPr fontId="14"/>
  </si>
  <si>
    <t>127814-Z04</t>
  </si>
  <si>
    <t>位置決めﾍﾞｰｽ</t>
    <rPh sb="0" eb="2">
      <t>イチ</t>
    </rPh>
    <rPh sb="2" eb="3">
      <t>ギ</t>
    </rPh>
    <phoneticPr fontId="16"/>
  </si>
  <si>
    <t>127814-Z05</t>
  </si>
  <si>
    <t>角度切替ﾌﾞﾗｹｯﾄ</t>
    <rPh sb="0" eb="2">
      <t>カクド</t>
    </rPh>
    <rPh sb="2" eb="3">
      <t>キ</t>
    </rPh>
    <rPh sb="3" eb="4">
      <t>カ</t>
    </rPh>
    <phoneticPr fontId="16"/>
  </si>
  <si>
    <t>127814-Z07</t>
  </si>
  <si>
    <t>押え板</t>
    <phoneticPr fontId="16"/>
  </si>
  <si>
    <t>ASFCS-A27-B14-T0.3-D4.5-E6-C6-P15</t>
    <phoneticPr fontId="16"/>
  </si>
  <si>
    <t>角ｼﾑ</t>
    <rPh sb="0" eb="1">
      <t>カク</t>
    </rPh>
    <phoneticPr fontId="16"/>
  </si>
  <si>
    <t>SCB4-5</t>
    <phoneticPr fontId="16"/>
  </si>
  <si>
    <t>六角穴付きﾎﾞﾙﾄ　M4×5mm</t>
    <phoneticPr fontId="16"/>
  </si>
  <si>
    <t>SCB4-12</t>
    <phoneticPr fontId="16"/>
  </si>
  <si>
    <t>六角穴付きﾎﾞﾙﾄ　M4×12mm</t>
    <phoneticPr fontId="16"/>
  </si>
  <si>
    <t>SCB4-15</t>
    <phoneticPr fontId="16"/>
  </si>
  <si>
    <t>六角穴付きﾎﾞﾙﾄ　M4×15mm</t>
    <phoneticPr fontId="16"/>
  </si>
  <si>
    <t>SCB4-20</t>
    <phoneticPr fontId="16"/>
  </si>
  <si>
    <t>六角穴付きﾎﾞﾙﾄ　M4×20mm</t>
    <phoneticPr fontId="16"/>
  </si>
  <si>
    <t>MSSFS4-6</t>
    <phoneticPr fontId="16"/>
  </si>
  <si>
    <t>止めﾈｼﾞ　M4×8mm</t>
    <rPh sb="0" eb="1">
      <t>ト</t>
    </rPh>
    <phoneticPr fontId="16"/>
  </si>
  <si>
    <t>岸</t>
    <rPh sb="0" eb="1">
      <t>キシ</t>
    </rPh>
    <phoneticPr fontId="14"/>
  </si>
  <si>
    <t>@ECHN-20121010-00003</t>
    <phoneticPr fontId="16"/>
  </si>
  <si>
    <t>I/Oｹｰﾌﾞﾙ　D-Sub9pin</t>
    <phoneticPr fontId="14"/>
  </si>
  <si>
    <t>4本</t>
    <rPh sb="1" eb="2">
      <t>ホン</t>
    </rPh>
    <phoneticPr fontId="14"/>
  </si>
  <si>
    <t>2本</t>
    <rPh sb="1" eb="2">
      <t>ホン</t>
    </rPh>
    <phoneticPr fontId="14"/>
  </si>
  <si>
    <t>SCB4-10</t>
    <phoneticPr fontId="14"/>
  </si>
  <si>
    <t>8本</t>
    <rPh sb="1" eb="2">
      <t>ホン</t>
    </rPh>
    <phoneticPr fontId="14"/>
  </si>
  <si>
    <t>7本</t>
    <rPh sb="1" eb="2">
      <t>ホン</t>
    </rPh>
    <phoneticPr fontId="14"/>
  </si>
  <si>
    <t>SCB4-12</t>
    <phoneticPr fontId="14"/>
  </si>
  <si>
    <t>在庫使用</t>
    <rPh sb="0" eb="2">
      <t>ザイコ</t>
    </rPh>
    <rPh sb="2" eb="4">
      <t>シヨウ</t>
    </rPh>
    <phoneticPr fontId="14"/>
  </si>
  <si>
    <t xml:space="preserve">FSAWM-K-P11-1086-181203-0241 </t>
    <phoneticPr fontId="14"/>
  </si>
  <si>
    <t>SETB-0012-Z03 ｶｯﾌﾟﾎﾙﾀﾞｰﾍﾞｰｽＬ字ﾌﾞﾗｹｯﾄ</t>
    <phoneticPr fontId="16"/>
  </si>
  <si>
    <t>MVSHM-3N02052011011-JPA243PKG111AA</t>
    <phoneticPr fontId="16"/>
  </si>
  <si>
    <t>SETB-0012-Z04 ｶｯﾌﾟﾎﾙﾀﾞｰＬ字ﾌﾞﾗｹｯﾄ</t>
    <phoneticPr fontId="16"/>
  </si>
  <si>
    <t>MVSHM-3N02050006014-JPA245CUK111AA</t>
    <phoneticPr fontId="14"/>
  </si>
  <si>
    <t>SETB-0012-Z05 ｶｯﾌﾟﾎﾙﾀﾞｰ</t>
    <phoneticPr fontId="16"/>
  </si>
  <si>
    <t>MVSHM-ZZ99000000000-JPA243U9A111AB</t>
    <phoneticPr fontId="14"/>
  </si>
  <si>
    <t>SETB-0012-Z01 ＳＶＥＭ取付ﾌﾞﾗｹｯﾄ</t>
    <phoneticPr fontId="14"/>
  </si>
  <si>
    <t>MVSHM-3N02002007014-JPA249N1M111AA</t>
    <phoneticPr fontId="14"/>
  </si>
  <si>
    <t>SETB-0012-Z02 配電用背板</t>
    <phoneticPr fontId="14"/>
  </si>
  <si>
    <t>MVBLK-AMW-JPA249PDA111AB</t>
    <phoneticPr fontId="14"/>
  </si>
  <si>
    <t>137581－Y003</t>
    <phoneticPr fontId="14"/>
  </si>
  <si>
    <t>MRB-180</t>
    <phoneticPr fontId="14"/>
  </si>
  <si>
    <t>MRB-170</t>
    <phoneticPr fontId="16"/>
  </si>
  <si>
    <t xml:space="preserve">HDV-2 </t>
    <phoneticPr fontId="16"/>
  </si>
  <si>
    <t>止め金具</t>
    <rPh sb="0" eb="1">
      <t>ト</t>
    </rPh>
    <rPh sb="2" eb="4">
      <t>カナグ</t>
    </rPh>
    <phoneticPr fontId="16"/>
  </si>
  <si>
    <t>GPR-M-2CL-D24DB</t>
    <phoneticPr fontId="16"/>
  </si>
  <si>
    <t>リレー</t>
    <phoneticPr fontId="16"/>
  </si>
  <si>
    <t>GPR-MS-2CD</t>
    <phoneticPr fontId="16"/>
  </si>
  <si>
    <t>リレーソケット</t>
    <phoneticPr fontId="16"/>
  </si>
  <si>
    <t>石鍋</t>
    <rPh sb="0" eb="2">
      <t>イシナベ</t>
    </rPh>
    <phoneticPr fontId="14"/>
  </si>
  <si>
    <t>　</t>
    <phoneticPr fontId="14"/>
  </si>
  <si>
    <t>2019/12/6　見積もり依頼中</t>
    <rPh sb="10" eb="12">
      <t>ミツ</t>
    </rPh>
    <rPh sb="14" eb="16">
      <t>イライ</t>
    </rPh>
    <rPh sb="16" eb="17">
      <t>ナカ</t>
    </rPh>
    <phoneticPr fontId="14"/>
  </si>
  <si>
    <r>
      <t>*AN10-01→</t>
    </r>
    <r>
      <rPr>
        <sz val="11"/>
        <color rgb="FFFF0000"/>
        <rFont val="ＭＳ Ｐゴシック"/>
        <family val="3"/>
        <charset val="128"/>
      </rPr>
      <t>AN10-01で発注</t>
    </r>
    <rPh sb="17" eb="19">
      <t>ハッチュウ</t>
    </rPh>
    <phoneticPr fontId="14"/>
  </si>
  <si>
    <t>ノーブランド</t>
    <phoneticPr fontId="14"/>
  </si>
  <si>
    <r>
      <t xml:space="preserve"> SSHH-SUS-M4-6→</t>
    </r>
    <r>
      <rPr>
        <sz val="11"/>
        <color rgb="FFFF0000"/>
        <rFont val="ＭＳ Ｐゴシック"/>
        <family val="3"/>
        <charset val="128"/>
      </rPr>
      <t>同等品で発注(M4x6mm）</t>
    </r>
    <rPh sb="15" eb="17">
      <t>ドウトウ</t>
    </rPh>
    <rPh sb="17" eb="18">
      <t>ヒン</t>
    </rPh>
    <rPh sb="19" eb="21">
      <t>ハッチュウ</t>
    </rPh>
    <phoneticPr fontId="14"/>
  </si>
  <si>
    <t xml:space="preserve">APMTS-N1-T1 </t>
    <phoneticPr fontId="14"/>
  </si>
  <si>
    <t>ねじ変換継手</t>
    <phoneticPr fontId="14"/>
  </si>
  <si>
    <t>MCLPTK6-1</t>
    <phoneticPr fontId="14"/>
  </si>
  <si>
    <t>チューブ用継手　ナット・スリーブ一体型　エルボ</t>
    <phoneticPr fontId="14"/>
  </si>
  <si>
    <t>在庫使用</t>
    <rPh sb="0" eb="2">
      <t>ザイコ</t>
    </rPh>
    <rPh sb="2" eb="4">
      <t>シヨウ</t>
    </rPh>
    <phoneticPr fontId="14"/>
  </si>
  <si>
    <t xml:space="preserve">3week </t>
    <phoneticPr fontId="14"/>
  </si>
  <si>
    <t>6日間</t>
    <rPh sb="1" eb="2">
      <t>ヒ</t>
    </rPh>
    <rPh sb="2" eb="3">
      <t>カン</t>
    </rPh>
    <phoneticPr fontId="14"/>
  </si>
  <si>
    <t>1日間</t>
    <rPh sb="1" eb="2">
      <t>ヒ</t>
    </rPh>
    <rPh sb="2" eb="3">
      <t>カン</t>
    </rPh>
    <phoneticPr fontId="14"/>
  </si>
  <si>
    <t>Ｎo.19</t>
    <phoneticPr fontId="14"/>
  </si>
  <si>
    <t>3日間</t>
    <rPh sb="1" eb="3">
      <t>カカン</t>
    </rPh>
    <phoneticPr fontId="14"/>
  </si>
  <si>
    <t>一体型ﾍﾞｰｽﾏﾆﾎｰﾙﾄ　　3135円ミスミ</t>
    <rPh sb="0" eb="2">
      <t>イッタイ</t>
    </rPh>
    <rPh sb="2" eb="3">
      <t>ガタ</t>
    </rPh>
    <rPh sb="19" eb="20">
      <t>エン</t>
    </rPh>
    <phoneticPr fontId="16"/>
  </si>
  <si>
    <t>ｼﾝｸﾞﾙｿﾚﾉｲﾄﾞﾊﾞﾙﾌﾞ　6282円ミスミ</t>
    <rPh sb="21" eb="22">
      <t>エン</t>
    </rPh>
    <phoneticPr fontId="14"/>
  </si>
  <si>
    <t>ﾌﾞﾗﾝｷﾝｸﾞﾌﾟﾚｰﾄASSY　272円ミスミ</t>
    <rPh sb="21" eb="22">
      <t>エン</t>
    </rPh>
    <phoneticPr fontId="14"/>
  </si>
  <si>
    <t>ｻｲﾚﾝｻ　ｺﾝﾊﾟｸﾄﾀｲﾌﾟ　366円ミスミ</t>
    <rPh sb="20" eb="21">
      <t>エン</t>
    </rPh>
    <phoneticPr fontId="14"/>
  </si>
  <si>
    <t>3日間</t>
    <rPh sb="1" eb="2">
      <t>ヒ</t>
    </rPh>
    <rPh sb="2" eb="3">
      <t>カン</t>
    </rPh>
    <phoneticPr fontId="14"/>
  </si>
  <si>
    <t>レギュレーター　4064円ミスミ</t>
    <rPh sb="12" eb="13">
      <t>エン</t>
    </rPh>
    <phoneticPr fontId="14"/>
  </si>
  <si>
    <t>9日間</t>
    <rPh sb="1" eb="2">
      <t>ヒ</t>
    </rPh>
    <rPh sb="2" eb="3">
      <t>カン</t>
    </rPh>
    <phoneticPr fontId="14"/>
  </si>
  <si>
    <t>フリーマウント形ロータリアクチュエータ ベーンタイプ　22780円モノタロウ</t>
    <rPh sb="32" eb="33">
      <t>エン</t>
    </rPh>
    <phoneticPr fontId="16"/>
  </si>
  <si>
    <t>8日間</t>
    <rPh sb="1" eb="2">
      <t>ヒ</t>
    </rPh>
    <rPh sb="2" eb="3">
      <t>カン</t>
    </rPh>
    <phoneticPr fontId="14"/>
  </si>
  <si>
    <t>10日間</t>
    <rPh sb="2" eb="3">
      <t>ヒ</t>
    </rPh>
    <rPh sb="3" eb="4">
      <t>カン</t>
    </rPh>
    <phoneticPr fontId="14"/>
  </si>
  <si>
    <t>2日間</t>
    <rPh sb="1" eb="2">
      <t>ヒ</t>
    </rPh>
    <rPh sb="2" eb="3">
      <t>カン</t>
    </rPh>
    <phoneticPr fontId="14"/>
  </si>
  <si>
    <t>　　KCC7-8000-210226-409</t>
    <phoneticPr fontId="16"/>
  </si>
  <si>
    <t>MVSHM-3N02052013016-JPA267D1P111AB</t>
    <phoneticPr fontId="16"/>
  </si>
  <si>
    <t>SETB-0009-Z01-1　ケーブルベアヘッド横板金</t>
    <phoneticPr fontId="16"/>
  </si>
  <si>
    <t>MVBLK-AMN-JPA2547JU111AB</t>
    <phoneticPr fontId="16"/>
  </si>
  <si>
    <t>SETB-0009-Z02　ケーブルベア下板</t>
    <rPh sb="20" eb="22">
      <t>シタイタ</t>
    </rPh>
    <phoneticPr fontId="16"/>
  </si>
  <si>
    <t>MVSHM-3N02002007014-JPA249N1M111AA</t>
    <phoneticPr fontId="16"/>
  </si>
  <si>
    <t>SETB-0012-Z01 ＳＶＥＭ取付ﾌﾞﾗｹｯﾄ</t>
    <phoneticPr fontId="16"/>
  </si>
  <si>
    <t>DPS課　本社AXA400ｺﾝﾌｫｰﾏﾙ仕様</t>
    <rPh sb="0" eb="4">
      <t>シセトカ</t>
    </rPh>
    <phoneticPr fontId="14"/>
  </si>
  <si>
    <t>タイショー</t>
    <phoneticPr fontId="16"/>
  </si>
  <si>
    <t>SSTT0279</t>
    <phoneticPr fontId="16"/>
  </si>
  <si>
    <t>ツール取付板</t>
    <rPh sb="3" eb="5">
      <t>トリツケ</t>
    </rPh>
    <rPh sb="5" eb="6">
      <t>イタ</t>
    </rPh>
    <phoneticPr fontId="16"/>
  </si>
  <si>
    <t>144613-Y02</t>
  </si>
  <si>
    <t>ＲＡ取付板</t>
    <rPh sb="2" eb="4">
      <t>トリツケ</t>
    </rPh>
    <rPh sb="4" eb="5">
      <t>イタ</t>
    </rPh>
    <phoneticPr fontId="16"/>
  </si>
  <si>
    <t>144613-Y03</t>
    <phoneticPr fontId="16"/>
  </si>
  <si>
    <t>シャフトホルダ変換板</t>
    <rPh sb="7" eb="9">
      <t>ヘンカン</t>
    </rPh>
    <rPh sb="9" eb="10">
      <t>イタ</t>
    </rPh>
    <phoneticPr fontId="16"/>
  </si>
  <si>
    <t>SSTT0280</t>
    <phoneticPr fontId="16"/>
  </si>
  <si>
    <t>ディスペンス取付板</t>
    <rPh sb="6" eb="8">
      <t>トリツケ</t>
    </rPh>
    <rPh sb="8" eb="9">
      <t>イタ</t>
    </rPh>
    <phoneticPr fontId="16"/>
  </si>
  <si>
    <t>144613-Y05</t>
    <phoneticPr fontId="16"/>
  </si>
  <si>
    <t>バルブホルダー</t>
    <phoneticPr fontId="16"/>
  </si>
  <si>
    <t>JPLRS4-P5-B7</t>
    <phoneticPr fontId="16"/>
  </si>
  <si>
    <t>ﾏｰｶｰﾋﾟﾝ</t>
    <phoneticPr fontId="16"/>
  </si>
  <si>
    <t>SCB8-15</t>
    <phoneticPr fontId="16"/>
  </si>
  <si>
    <t>M8-15ネジ</t>
    <phoneticPr fontId="16"/>
  </si>
  <si>
    <t>ロータリシリンダ固定用</t>
    <rPh sb="8" eb="10">
      <t>コテイ</t>
    </rPh>
    <rPh sb="10" eb="11">
      <t>ヨウ</t>
    </rPh>
    <phoneticPr fontId="16"/>
  </si>
  <si>
    <t>RACW30-40-10</t>
  </si>
  <si>
    <t>リブ</t>
    <phoneticPr fontId="16"/>
  </si>
  <si>
    <t>SSFHR10-42</t>
    <phoneticPr fontId="16"/>
  </si>
  <si>
    <t>回転軸</t>
    <rPh sb="0" eb="2">
      <t>カイテン</t>
    </rPh>
    <rPh sb="2" eb="3">
      <t>ジク</t>
    </rPh>
    <phoneticPr fontId="16"/>
  </si>
  <si>
    <t xml:space="preserve">SSTHWC10 </t>
    <phoneticPr fontId="16"/>
  </si>
  <si>
    <t>シャフトホルダ</t>
    <phoneticPr fontId="16"/>
  </si>
  <si>
    <t>SHSTAN10-25</t>
    <phoneticPr fontId="16"/>
  </si>
  <si>
    <t>ＳＭＣ</t>
    <phoneticPr fontId="16"/>
  </si>
  <si>
    <t>制御機材</t>
    <rPh sb="0" eb="2">
      <t>セイギョ</t>
    </rPh>
    <rPh sb="2" eb="4">
      <t>キザイ</t>
    </rPh>
    <phoneticPr fontId="16"/>
  </si>
  <si>
    <t>MSQB10R-M9NZ</t>
    <phoneticPr fontId="16"/>
  </si>
  <si>
    <t>ロータリシリンダ</t>
    <phoneticPr fontId="16"/>
  </si>
  <si>
    <t>SSTT0290</t>
    <phoneticPr fontId="16"/>
  </si>
  <si>
    <t>SVEM720取付板金</t>
    <phoneticPr fontId="16"/>
  </si>
  <si>
    <t>SSTT0289</t>
    <phoneticPr fontId="16"/>
  </si>
  <si>
    <t>Ｌ板金(AXA400)</t>
  </si>
  <si>
    <t>142899-Z03</t>
    <phoneticPr fontId="16"/>
  </si>
  <si>
    <t>カップホルダ</t>
    <phoneticPr fontId="16"/>
  </si>
  <si>
    <t>蝶ナット</t>
    <rPh sb="0" eb="1">
      <t>チョウ</t>
    </rPh>
    <phoneticPr fontId="16"/>
  </si>
  <si>
    <t>六角ボルト</t>
    <rPh sb="0" eb="2">
      <t>ロッカク</t>
    </rPh>
    <phoneticPr fontId="16"/>
  </si>
  <si>
    <t>SSTT0291</t>
    <phoneticPr fontId="16"/>
  </si>
  <si>
    <t>端子台取付板金</t>
  </si>
  <si>
    <t>AW10-M5BG-A</t>
    <phoneticPr fontId="16"/>
  </si>
  <si>
    <t>レギュレータ</t>
    <phoneticPr fontId="16"/>
  </si>
  <si>
    <t>SYJ3240-5MOZE-M5</t>
    <phoneticPr fontId="16"/>
  </si>
  <si>
    <t>電磁弁</t>
    <rPh sb="0" eb="3">
      <t>デンジベン</t>
    </rPh>
    <phoneticPr fontId="16"/>
  </si>
  <si>
    <t>SY100-30-4A-20</t>
    <phoneticPr fontId="16"/>
  </si>
  <si>
    <t>リード線</t>
    <rPh sb="3" eb="4">
      <t>セン</t>
    </rPh>
    <phoneticPr fontId="16"/>
  </si>
  <si>
    <t>AS1201F-M5-04A</t>
    <phoneticPr fontId="16"/>
  </si>
  <si>
    <t>スピコン</t>
    <phoneticPr fontId="16"/>
  </si>
  <si>
    <t>CRKB4-6</t>
    <phoneticPr fontId="16"/>
  </si>
  <si>
    <t>改造予備費（位置関係変更分）</t>
    <rPh sb="0" eb="2">
      <t>カイゾウ</t>
    </rPh>
    <rPh sb="2" eb="4">
      <t>ヨビ</t>
    </rPh>
    <rPh sb="4" eb="5">
      <t>ヒ</t>
    </rPh>
    <rPh sb="6" eb="8">
      <t>イチ</t>
    </rPh>
    <rPh sb="8" eb="10">
      <t>カンケイ</t>
    </rPh>
    <rPh sb="10" eb="12">
      <t>ヘンコウ</t>
    </rPh>
    <rPh sb="12" eb="13">
      <t>ブン</t>
    </rPh>
    <phoneticPr fontId="14"/>
  </si>
  <si>
    <t>400角用　井桁ﾜｰｸ治具</t>
    <rPh sb="3" eb="4">
      <t>カク</t>
    </rPh>
    <rPh sb="4" eb="5">
      <t>ヨウ</t>
    </rPh>
    <rPh sb="6" eb="8">
      <t>イゲタ</t>
    </rPh>
    <rPh sb="11" eb="13">
      <t>ジグ</t>
    </rPh>
    <phoneticPr fontId="14"/>
  </si>
  <si>
    <t>RUK20W-348-181031-0066</t>
    <phoneticPr fontId="16"/>
  </si>
  <si>
    <t>井桁ﾜｰｸ冶具ﾍﾞｰｽ- 1 (400mm)62018-09-13-X010-1</t>
    <phoneticPr fontId="16"/>
  </si>
  <si>
    <t>BLFA-SUD-T2-A22-B20-H29-J15-X10-Y5-W10-N4-E10.5-S5-G10-MA3-LCC1</t>
    <phoneticPr fontId="16"/>
  </si>
  <si>
    <t>井桁ﾜｰｸ冶具ｽﾄｯﾊﾟ　1　　2018-09-13-X012</t>
    <phoneticPr fontId="16"/>
  </si>
  <si>
    <t>JTAB-SUD-A400-B57-T1-X20-Y30-G20-N4-L200-V180-S30-W20-NA4-CC2</t>
    <phoneticPr fontId="16"/>
  </si>
  <si>
    <t>井桁ﾜｰｸ冶具ﾜｰｸ受け　1mm幅　2018-09-13-X016　</t>
    <phoneticPr fontId="16"/>
  </si>
  <si>
    <t>JTAB-SUD-A400-B57-T2-X20-Y30-G20-N4-L200-V180-S30-W20-NA4-CC2</t>
    <phoneticPr fontId="16"/>
  </si>
  <si>
    <t>井桁ﾜｰｸ冶具ﾜｰｸ受け　2mm幅　2018-09-13-X017　</t>
    <phoneticPr fontId="16"/>
  </si>
  <si>
    <t>JTAB-SUD-A400-B57-T3-X20-Y30-G20-N4-L200-V180-S30-W20-NA4-CC2</t>
    <phoneticPr fontId="16"/>
  </si>
  <si>
    <t>井桁ﾜｰｸ冶具ﾜｰｸ受け　3mm幅　2018-09-13-X018　</t>
    <phoneticPr fontId="16"/>
  </si>
  <si>
    <t>WQBB-JW-A22-B8-T15-H6.5-Q45-X6-F10-S10.5-Z3</t>
    <phoneticPr fontId="16"/>
  </si>
  <si>
    <t>位置決めｶﾞｲﾄﾞ受け　2018-09-13-X028　</t>
    <phoneticPr fontId="16"/>
  </si>
  <si>
    <t>HFC5-2060-S</t>
    <phoneticPr fontId="16"/>
  </si>
  <si>
    <t>アルミフレーム用フレームキャップ</t>
    <phoneticPr fontId="16"/>
  </si>
  <si>
    <t xml:space="preserve">SHNTP5-5 </t>
    <phoneticPr fontId="16"/>
  </si>
  <si>
    <t xml:space="preserve"> 後入れバネナット</t>
    <phoneticPr fontId="16"/>
  </si>
  <si>
    <t xml:space="preserve">SCB4-8  </t>
    <phoneticPr fontId="16"/>
  </si>
  <si>
    <t>六角穴付ボルト</t>
    <phoneticPr fontId="16"/>
  </si>
  <si>
    <t xml:space="preserve">SCB5-8  </t>
    <phoneticPr fontId="16"/>
  </si>
  <si>
    <t xml:space="preserve">HBLSS5 </t>
    <phoneticPr fontId="16"/>
  </si>
  <si>
    <t xml:space="preserve"> 薄型ブラケット</t>
    <phoneticPr fontId="16"/>
  </si>
  <si>
    <t xml:space="preserve">HFC5-2020-S  </t>
    <phoneticPr fontId="16"/>
  </si>
  <si>
    <t>フレームキャップ</t>
    <phoneticPr fontId="16"/>
  </si>
  <si>
    <t xml:space="preserve">SHNTP5-4  </t>
    <phoneticPr fontId="16"/>
  </si>
  <si>
    <t>後入れバネナット</t>
    <phoneticPr fontId="16"/>
  </si>
  <si>
    <t xml:space="preserve">SBCB4-6 </t>
    <phoneticPr fontId="16"/>
  </si>
  <si>
    <t xml:space="preserve"> 六角穴付ボタンボルト</t>
    <phoneticPr fontId="16"/>
  </si>
  <si>
    <t xml:space="preserve">SBCB4-8 </t>
    <phoneticPr fontId="16"/>
  </si>
  <si>
    <t>FBAS5-59-10</t>
    <phoneticPr fontId="16"/>
  </si>
  <si>
    <t>全長指定六角穴付ボルト</t>
    <phoneticPr fontId="16"/>
  </si>
  <si>
    <t>NFS5-2060-452-Z5-XA95-XB350</t>
    <phoneticPr fontId="16"/>
  </si>
  <si>
    <t>アルミフレーム　長方形　20×60ｍｍ</t>
    <phoneticPr fontId="16"/>
  </si>
  <si>
    <t xml:space="preserve">HFS5-2020-442-Z5-XA47-XB147-XC247-XD347 </t>
    <phoneticPr fontId="16"/>
  </si>
  <si>
    <t>アルミフレーム　正方形　20×20ｍｍ</t>
    <phoneticPr fontId="16"/>
  </si>
  <si>
    <t>WSSS10-4-1</t>
    <phoneticPr fontId="16"/>
  </si>
  <si>
    <t>金属ﾜｯｼｬｰ　　Ｔ寸選択・指定タイプ　並級</t>
    <rPh sb="0" eb="2">
      <t>キンゾク</t>
    </rPh>
    <phoneticPr fontId="16"/>
  </si>
  <si>
    <t>MS3-10</t>
    <phoneticPr fontId="16"/>
  </si>
  <si>
    <t>SPWF4</t>
    <phoneticPr fontId="16"/>
  </si>
  <si>
    <t>平座金－単品販売－　</t>
    <phoneticPr fontId="16"/>
  </si>
  <si>
    <t>SCB4-22</t>
    <phoneticPr fontId="16"/>
  </si>
  <si>
    <t xml:space="preserve">SCB3-8  </t>
    <phoneticPr fontId="16"/>
  </si>
  <si>
    <t>六角穴付ボルト</t>
  </si>
  <si>
    <t>モノタロウなら3日間</t>
    <rPh sb="8" eb="9">
      <t>ヒ</t>
    </rPh>
    <rPh sb="9" eb="10">
      <t>カン</t>
    </rPh>
    <phoneticPr fontId="14"/>
  </si>
  <si>
    <t>モノタロウなら8日間</t>
    <rPh sb="8" eb="9">
      <t>ヒ</t>
    </rPh>
    <rPh sb="9" eb="10">
      <t>カン</t>
    </rPh>
    <phoneticPr fontId="14"/>
  </si>
  <si>
    <t>モノタロウなら1日間</t>
    <rPh sb="8" eb="9">
      <t>ヒ</t>
    </rPh>
    <rPh sb="9" eb="10">
      <t>カン</t>
    </rPh>
    <phoneticPr fontId="14"/>
  </si>
  <si>
    <t>KCC7-8000-210226-409</t>
    <phoneticPr fontId="16"/>
  </si>
  <si>
    <t>漏電ブレーカ　ｶﾊﾞｰ</t>
    <phoneticPr fontId="16"/>
  </si>
  <si>
    <t>meviy</t>
    <phoneticPr fontId="16"/>
  </si>
  <si>
    <t>MVSHM-3N02050005013-JPA25G7CB111AA</t>
    <phoneticPr fontId="16"/>
  </si>
  <si>
    <t>SETA0010-Z04位置決めベース</t>
    <phoneticPr fontId="16"/>
  </si>
  <si>
    <t>MVSHM-3N03002003003-JPA25GYD1111AA</t>
    <phoneticPr fontId="16"/>
  </si>
  <si>
    <t>SETA0010-Z02角度切替ベース</t>
    <phoneticPr fontId="16"/>
  </si>
  <si>
    <t>MVSHM-3N02050002004-JPA25GP0K111AA</t>
    <phoneticPr fontId="16"/>
  </si>
  <si>
    <t>SETA0010-Z03角度切替ブラケット</t>
    <phoneticPr fontId="16"/>
  </si>
  <si>
    <t>JTDA-SUD-A27-B12-T2-X6-Y6-M4-L15-MA4</t>
    <phoneticPr fontId="16"/>
  </si>
  <si>
    <t>シム</t>
    <phoneticPr fontId="16"/>
  </si>
  <si>
    <t>六角穴付きﾎﾞﾙﾄ　M4×5mm　　　　6本</t>
    <rPh sb="21" eb="22">
      <t>ホン</t>
    </rPh>
    <phoneticPr fontId="16"/>
  </si>
  <si>
    <t>在庫使用</t>
    <rPh sb="0" eb="2">
      <t>ザイコ</t>
    </rPh>
    <rPh sb="2" eb="4">
      <t>シヨウ</t>
    </rPh>
    <phoneticPr fontId="16"/>
  </si>
  <si>
    <t xml:space="preserve">SPWF4 </t>
    <phoneticPr fontId="16"/>
  </si>
  <si>
    <t>ワッシャ　　平座金　　M4×8mm　　　4個</t>
    <rPh sb="21" eb="22">
      <t>コ</t>
    </rPh>
    <phoneticPr fontId="16"/>
  </si>
  <si>
    <t>3日目</t>
    <rPh sb="1" eb="2">
      <t>ヒ</t>
    </rPh>
    <rPh sb="2" eb="3">
      <t>メ</t>
    </rPh>
    <phoneticPr fontId="16"/>
  </si>
  <si>
    <t>1日目</t>
    <rPh sb="1" eb="2">
      <t>ヒ</t>
    </rPh>
    <rPh sb="2" eb="3">
      <t>メ</t>
    </rPh>
    <phoneticPr fontId="16"/>
  </si>
  <si>
    <t>148710-Z01 ｶｯﾌﾟﾎﾙﾀﾞｰﾍﾞｰｽＬ字ﾌﾞﾗｹｯﾄ:1</t>
    <phoneticPr fontId="14"/>
  </si>
  <si>
    <t>MVSHM-3N02052011011-JPA267F08111AA</t>
    <phoneticPr fontId="14"/>
  </si>
  <si>
    <t>MVSHM-3N02050006024-2U9-EXN5X</t>
    <phoneticPr fontId="14"/>
  </si>
  <si>
    <t>148710-Z02-2 ｶｯﾌﾟﾎﾙﾀﾞｰＬ字ﾌﾞﾗｹｯﾄﾛﾝｸﾞ</t>
    <phoneticPr fontId="14"/>
  </si>
  <si>
    <t>MVSHM-ZZ99000000000-JPA243U9A111AB</t>
    <phoneticPr fontId="16"/>
  </si>
  <si>
    <t>在庫使用　　　6個</t>
    <phoneticPr fontId="16"/>
  </si>
  <si>
    <t>在庫使用　　　1個</t>
    <rPh sb="0" eb="2">
      <t>ザイコ</t>
    </rPh>
    <rPh sb="2" eb="4">
      <t>シヨウ</t>
    </rPh>
    <phoneticPr fontId="16"/>
  </si>
  <si>
    <t>2日目</t>
    <rPh sb="1" eb="2">
      <t>ヒ</t>
    </rPh>
    <rPh sb="2" eb="3">
      <t>メ</t>
    </rPh>
    <phoneticPr fontId="16"/>
  </si>
  <si>
    <t>4日目</t>
    <rPh sb="1" eb="2">
      <t>ヒ</t>
    </rPh>
    <rPh sb="2" eb="3">
      <t>メ</t>
    </rPh>
    <phoneticPr fontId="16"/>
  </si>
  <si>
    <t>RACW30-40-10</t>
    <phoneticPr fontId="14"/>
  </si>
  <si>
    <t xml:space="preserve">2week </t>
    <phoneticPr fontId="16"/>
  </si>
  <si>
    <t>東北マテリアルス</t>
    <rPh sb="0" eb="2">
      <t>トウホク</t>
    </rPh>
    <phoneticPr fontId="16"/>
  </si>
  <si>
    <t>148710－Y003 ﾊﾞﾙﾌﾞﾎﾙﾀﾞﾈｼﾞ固定ﾀｲﾌﾟ</t>
    <phoneticPr fontId="16"/>
  </si>
  <si>
    <t>SV51、SV70、SV91、SV97用ホルダ(P=25)</t>
    <rPh sb="19" eb="20">
      <t>ヨウ</t>
    </rPh>
    <phoneticPr fontId="16"/>
  </si>
  <si>
    <t xml:space="preserve"> </t>
    <phoneticPr fontId="14"/>
  </si>
  <si>
    <t>MVBLK-AMW-2GL-8WK59     SETB0047-Y04</t>
    <phoneticPr fontId="14"/>
  </si>
  <si>
    <t>8日間</t>
    <rPh sb="1" eb="2">
      <t>ヒ</t>
    </rPh>
    <rPh sb="2" eb="3">
      <t>カン</t>
    </rPh>
    <phoneticPr fontId="14"/>
  </si>
  <si>
    <t>144613-Y03-1　シャフトホルダ変換板</t>
    <phoneticPr fontId="14"/>
  </si>
  <si>
    <t>8日目</t>
    <rPh sb="1" eb="2">
      <t>ヒ</t>
    </rPh>
    <rPh sb="2" eb="3">
      <t>メ</t>
    </rPh>
    <phoneticPr fontId="14"/>
  </si>
  <si>
    <t>meviy</t>
    <phoneticPr fontId="14"/>
  </si>
  <si>
    <t>ミスミ</t>
    <phoneticPr fontId="14"/>
  </si>
  <si>
    <t>MVSHM-3N02000030030-2UH-S8TY7</t>
    <phoneticPr fontId="16"/>
  </si>
  <si>
    <r>
      <t>井桁ﾜｰｸ冶具ﾍﾞｰｽ- 1 (400mm)2018-09-13-X010-</t>
    </r>
    <r>
      <rPr>
        <b/>
        <sz val="11"/>
        <color rgb="FFFF0000"/>
        <rFont val="ＭＳ Ｐゴシック"/>
        <family val="3"/>
        <charset val="128"/>
        <scheme val="minor"/>
      </rPr>
      <t>2</t>
    </r>
    <phoneticPr fontId="16"/>
  </si>
  <si>
    <t>図面送付済み</t>
    <rPh sb="0" eb="2">
      <t>ズメン</t>
    </rPh>
    <rPh sb="2" eb="4">
      <t>ソウフ</t>
    </rPh>
    <rPh sb="4" eb="5">
      <t>ズ</t>
    </rPh>
    <phoneticPr fontId="16"/>
  </si>
  <si>
    <t xml:space="preserve"> 六角穴付ボタンボルト　　6本</t>
    <rPh sb="14" eb="15">
      <t>ホン</t>
    </rPh>
    <phoneticPr fontId="16"/>
  </si>
  <si>
    <t xml:space="preserve"> 六角穴付ボタンボルト　　4本</t>
    <phoneticPr fontId="16"/>
  </si>
  <si>
    <t>HFS5-2020-442-Z5-XA47-XB147-XC247-XD347  固定用</t>
    <rPh sb="41" eb="43">
      <t>コテイ</t>
    </rPh>
    <rPh sb="43" eb="44">
      <t>ヨウ</t>
    </rPh>
    <phoneticPr fontId="14"/>
  </si>
  <si>
    <t>ロボットベースへ固定用</t>
    <rPh sb="8" eb="10">
      <t>コテイ</t>
    </rPh>
    <rPh sb="10" eb="11">
      <t>ヨウ</t>
    </rPh>
    <phoneticPr fontId="14"/>
  </si>
  <si>
    <t>HBLSS5 固定用</t>
    <rPh sb="7" eb="9">
      <t>コテイ</t>
    </rPh>
    <rPh sb="9" eb="10">
      <t>ヨウ</t>
    </rPh>
    <phoneticPr fontId="14"/>
  </si>
  <si>
    <t>後入れバネナット  16本</t>
    <rPh sb="12" eb="13">
      <t>ホン</t>
    </rPh>
    <phoneticPr fontId="16"/>
  </si>
  <si>
    <t>万能ベース板400角取付用</t>
    <rPh sb="0" eb="2">
      <t>バンノウ</t>
    </rPh>
    <rPh sb="5" eb="6">
      <t>イタ</t>
    </rPh>
    <rPh sb="9" eb="10">
      <t>カク</t>
    </rPh>
    <rPh sb="10" eb="12">
      <t>トリツケ</t>
    </rPh>
    <rPh sb="12" eb="13">
      <t>ヨウ</t>
    </rPh>
    <phoneticPr fontId="16"/>
  </si>
  <si>
    <t>井桁ﾜｰｸ冶具ｽﾄｯﾊﾟ　1　　2018-09-13-X012固定用</t>
    <rPh sb="31" eb="33">
      <t>コテイ</t>
    </rPh>
    <rPh sb="33" eb="34">
      <t>ヨウ</t>
    </rPh>
    <phoneticPr fontId="14"/>
  </si>
  <si>
    <t>SETB0075-X01　ﾂｰﾙ取付板</t>
    <phoneticPr fontId="14"/>
  </si>
  <si>
    <t>JPLRS4-P5.0-B7.0</t>
    <phoneticPr fontId="14"/>
  </si>
  <si>
    <t>MS3-10</t>
    <phoneticPr fontId="14"/>
  </si>
  <si>
    <t xml:space="preserve">SCB5-8   </t>
    <phoneticPr fontId="14"/>
  </si>
  <si>
    <t>六角穴付ボルト</t>
    <phoneticPr fontId="14"/>
  </si>
  <si>
    <t>SCB5-12</t>
    <phoneticPr fontId="14"/>
  </si>
  <si>
    <t>SETB0075-X02　RA取付板</t>
    <phoneticPr fontId="14"/>
  </si>
  <si>
    <t>CBSST8-16</t>
    <phoneticPr fontId="14"/>
  </si>
  <si>
    <t xml:space="preserve">SCB5-10 </t>
    <phoneticPr fontId="14"/>
  </si>
  <si>
    <t>SETB0075-X03　シャフトホルダ変換板</t>
    <phoneticPr fontId="14"/>
  </si>
  <si>
    <t>MS3-6</t>
    <phoneticPr fontId="14"/>
  </si>
  <si>
    <t>SSTHS10M-MB</t>
    <phoneticPr fontId="14"/>
  </si>
  <si>
    <t>CBSST5-16</t>
    <phoneticPr fontId="14"/>
  </si>
  <si>
    <t>SETB0075-X04 セットカラー固定ﾌﾞﾗｹｯﾄ</t>
    <phoneticPr fontId="14"/>
  </si>
  <si>
    <t>CBSST5-12</t>
    <phoneticPr fontId="14"/>
  </si>
  <si>
    <t>SETB0075-Y05  補強ﾌﾞﾛｯｸ</t>
    <phoneticPr fontId="14"/>
  </si>
  <si>
    <t>SETB0075-Y06　ﾊﾞﾙﾌﾞﾎﾙﾀﾞｰﾌﾞﾗｹｯﾄ</t>
    <phoneticPr fontId="14"/>
  </si>
  <si>
    <t xml:space="preserve">MS3-10 </t>
    <phoneticPr fontId="14"/>
  </si>
  <si>
    <t>ノックピン</t>
    <phoneticPr fontId="14"/>
  </si>
  <si>
    <t xml:space="preserve">SCB4-10 </t>
    <phoneticPr fontId="14"/>
  </si>
  <si>
    <t>SCB4-16</t>
    <phoneticPr fontId="14"/>
  </si>
  <si>
    <t xml:space="preserve">SCB6-10 </t>
    <phoneticPr fontId="14"/>
  </si>
  <si>
    <t>MS3-35</t>
    <phoneticPr fontId="14"/>
  </si>
  <si>
    <t>SETB0075-Y07 ｶﾑﾌｧﾛｱ固定ﾌﾞﾛｯｸ</t>
    <phoneticPr fontId="14"/>
  </si>
  <si>
    <t>C-CFA5-13</t>
    <phoneticPr fontId="14"/>
  </si>
  <si>
    <t>CFBRA5-40</t>
    <phoneticPr fontId="14"/>
  </si>
  <si>
    <t>SBCB5-10</t>
    <phoneticPr fontId="14"/>
  </si>
  <si>
    <t>SETB0075-Y08 ｶﾑﾌｧﾛｱｶﾞｲﾄﾞ</t>
    <phoneticPr fontId="14"/>
  </si>
  <si>
    <t>SETB0075-Y09 右側ｶﾞｲﾄﾞｶﾊﾞｰ</t>
    <phoneticPr fontId="14"/>
  </si>
  <si>
    <t>CSHCS-SUS-M3-4</t>
    <phoneticPr fontId="14"/>
  </si>
  <si>
    <t>SFB3-8</t>
    <phoneticPr fontId="14"/>
  </si>
  <si>
    <t>SETB0075-Y11 上部ｶﾞｲﾄﾞｶﾊﾞｰ</t>
    <rPh sb="13" eb="14">
      <t>ウエ</t>
    </rPh>
    <rPh sb="14" eb="15">
      <t>ブ</t>
    </rPh>
    <phoneticPr fontId="14"/>
  </si>
  <si>
    <t>AETTS10-93-SC46.5-M3-N3</t>
    <phoneticPr fontId="14"/>
  </si>
  <si>
    <t>PSSFGW10-44-M5-N5-WRC11-Y4</t>
    <phoneticPr fontId="14"/>
  </si>
  <si>
    <t xml:space="preserve">MVBLK-AMW-2GL-8WK59    </t>
    <phoneticPr fontId="14"/>
  </si>
  <si>
    <t xml:space="preserve"> SETB0047-Y04　SV51、SV70、SV91、SV97用ホルダ(P=25)</t>
    <rPh sb="33" eb="34">
      <t>ヨウ</t>
    </rPh>
    <phoneticPr fontId="16"/>
  </si>
  <si>
    <t>低頭六角穴付ボルト</t>
    <phoneticPr fontId="14"/>
  </si>
  <si>
    <t>MVSHM-3N02006011031-2UH-DFW1R</t>
    <phoneticPr fontId="14"/>
  </si>
  <si>
    <t>SETB0075-Y10 左側ｶﾞｲﾄﾞｶﾊﾞｰ</t>
    <phoneticPr fontId="14"/>
  </si>
  <si>
    <t>MVSHM-3N02006011031-2UH-4UG7Z</t>
    <phoneticPr fontId="14"/>
  </si>
  <si>
    <t>MVBLK-AMW-2UH-4X1XW</t>
    <phoneticPr fontId="14"/>
  </si>
  <si>
    <t>8日目</t>
    <rPh sb="1" eb="2">
      <t>ヒ</t>
    </rPh>
    <rPh sb="2" eb="3">
      <t>メ</t>
    </rPh>
    <phoneticPr fontId="16"/>
  </si>
  <si>
    <t>MVBLK-AMW-2UH-KS44C</t>
    <phoneticPr fontId="14"/>
  </si>
  <si>
    <t>MVBLK-AMW-2UH-LT9DG</t>
    <phoneticPr fontId="14"/>
  </si>
  <si>
    <t>MVBLK-AMW-2UH-AZWZ7</t>
    <phoneticPr fontId="14"/>
  </si>
  <si>
    <t>MVSHM-3N02054005017-2UH-982TD</t>
    <phoneticPr fontId="14"/>
  </si>
  <si>
    <t>MVBLK-AMW-2UH-KM5D8</t>
    <phoneticPr fontId="14"/>
  </si>
  <si>
    <t>MVBLK-AMW-2UH-M913F</t>
    <phoneticPr fontId="14"/>
  </si>
  <si>
    <t>MVBLK-AMW-2UH-D2WFZ</t>
    <phoneticPr fontId="14"/>
  </si>
  <si>
    <t>MVBLK-AMW-2UH-KB7YY</t>
    <phoneticPr fontId="14"/>
  </si>
  <si>
    <t>SUNCO</t>
    <phoneticPr fontId="14"/>
  </si>
  <si>
    <t>シャフト　両端めねじタイプ</t>
    <phoneticPr fontId="14"/>
  </si>
  <si>
    <t>円形支柱－両端めねじ</t>
    <phoneticPr fontId="14"/>
  </si>
  <si>
    <t>5日目</t>
    <rPh sb="1" eb="2">
      <t>ヒ</t>
    </rPh>
    <rPh sb="2" eb="3">
      <t>メ</t>
    </rPh>
    <phoneticPr fontId="16"/>
  </si>
  <si>
    <t>六角穴付皿ボルト</t>
    <phoneticPr fontId="14"/>
  </si>
  <si>
    <t>ノックピン　　　　　　　　　　</t>
    <phoneticPr fontId="14"/>
  </si>
  <si>
    <t>カムフォロア　頭部六角穴付　フラットタイプ</t>
    <phoneticPr fontId="14"/>
  </si>
  <si>
    <t>カムフォロア用ブラケット</t>
    <phoneticPr fontId="14"/>
  </si>
  <si>
    <t>六角穴付ボタンボルト　－ステンレス</t>
    <phoneticPr fontId="14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</si>
  <si>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4"/>
  </si>
  <si>
    <r>
      <t xml:space="preserve">ノックピン       8本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3" eb="14">
      <t>ホン</t>
    </rPh>
    <phoneticPr fontId="14"/>
  </si>
  <si>
    <r>
      <t xml:space="preserve">ノックピン　　　　 4　本　　　    </t>
    </r>
    <r>
      <rPr>
        <sz val="11"/>
        <color rgb="FFFF0000"/>
        <rFont val="ＭＳ Ｐゴシック"/>
        <family val="3"/>
        <charset val="128"/>
        <scheme val="minor"/>
      </rPr>
      <t>まとめて発注　　</t>
    </r>
    <rPh sb="12" eb="13">
      <t>ホン</t>
    </rPh>
    <phoneticPr fontId="14"/>
  </si>
  <si>
    <r>
      <t xml:space="preserve"> ノックピン     11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　</t>
    </r>
    <phoneticPr fontId="14"/>
  </si>
  <si>
    <r>
      <t xml:space="preserve"> ノックピン    14本   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2" eb="13">
      <t>ホン</t>
    </rPh>
    <rPh sb="21" eb="23">
      <t>ハッチュウ</t>
    </rPh>
    <phoneticPr fontId="14"/>
  </si>
  <si>
    <r>
      <t xml:space="preserve">低頭六角穴付ボルト  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4"/>
  </si>
  <si>
    <t>ノックピン　－プラス公差－</t>
    <phoneticPr fontId="14"/>
  </si>
  <si>
    <t>シャフトホルダ　-ブラケット型スタンダードタイプ</t>
    <phoneticPr fontId="14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</si>
  <si>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4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</si>
  <si>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4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</si>
  <si>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  社内在庫使用</t>
    </r>
    <rPh sb="10" eb="11">
      <t>ホン</t>
    </rPh>
    <phoneticPr fontId="14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</si>
  <si>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  社内在庫使用</t>
    </r>
    <rPh sb="10" eb="11">
      <t>ホン</t>
    </rPh>
    <phoneticPr fontId="14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</si>
  <si>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4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</si>
  <si>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rPh sb="11" eb="12">
      <t>ホン</t>
    </rPh>
    <phoneticPr fontId="14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</si>
  <si>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4"/>
  </si>
  <si>
    <r>
      <t>SSCMW10→</t>
    </r>
    <r>
      <rPr>
        <b/>
        <sz val="11"/>
        <color rgb="FFFF0000"/>
        <rFont val="ＭＳ Ｐゴシック"/>
        <family val="3"/>
        <charset val="128"/>
        <scheme val="minor"/>
      </rPr>
      <t>PSCMW10</t>
    </r>
    <r>
      <rPr>
        <sz val="11"/>
        <color theme="1"/>
        <rFont val="ＭＳ Ｐゴシック"/>
        <family val="3"/>
        <charset val="128"/>
        <scheme val="minor"/>
      </rPr>
      <t>へ　納期がNGのため</t>
    </r>
    <rPh sb="17" eb="19">
      <t>ノウキ</t>
    </rPh>
    <phoneticPr fontId="14"/>
  </si>
  <si>
    <t>止め金具　　　　　　2個</t>
    <rPh sb="0" eb="1">
      <t>ト</t>
    </rPh>
    <rPh sb="2" eb="4">
      <t>カナグ</t>
    </rPh>
    <rPh sb="11" eb="12">
      <t>コ</t>
    </rPh>
    <phoneticPr fontId="16"/>
  </si>
  <si>
    <t>A8110</t>
    <phoneticPr fontId="16"/>
  </si>
  <si>
    <t>汎用3芯OAタップ 4ヶ口</t>
    <phoneticPr fontId="16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</si>
  <si>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BS-32FB-5A</t>
    </r>
    <r>
      <rPr>
        <sz val="11"/>
        <color indexed="8"/>
        <rFont val="ＭＳ Ｐゴシック"/>
        <family val="3"/>
        <charset val="128"/>
      </rPr>
      <t xml:space="preserve"> →</t>
    </r>
    <r>
      <rPr>
        <b/>
        <sz val="11"/>
        <color rgb="FFFF0000"/>
        <rFont val="ＭＳ Ｐゴシック"/>
        <family val="3"/>
        <charset val="128"/>
      </rPr>
      <t>EBS-32FB-10Aへ</t>
    </r>
    <r>
      <rPr>
        <sz val="11"/>
        <color indexed="8"/>
        <rFont val="ＭＳ Ｐゴシック"/>
        <family val="3"/>
        <charset val="128"/>
      </rPr>
      <t>　納期問題</t>
    </r>
    <rPh sb="27" eb="29">
      <t>ノウキ</t>
    </rPh>
    <rPh sb="29" eb="31">
      <t>モンダイ</t>
    </rPh>
    <phoneticPr fontId="16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</si>
  <si>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6"/>
  </si>
  <si>
    <t xml:space="preserve">漏電ブレーカ　ｶﾊﾞｰ  1セット </t>
    <phoneticPr fontId="16"/>
  </si>
  <si>
    <t>5日間</t>
    <rPh sb="1" eb="2">
      <t>ヒ</t>
    </rPh>
    <rPh sb="2" eb="3">
      <t>カン</t>
    </rPh>
    <phoneticPr fontId="14"/>
  </si>
  <si>
    <t xml:space="preserve">SYJ3240-5MOZE-M5  </t>
    <phoneticPr fontId="16"/>
  </si>
  <si>
    <t>https://www.monotaro.com/p/5685/0394/</t>
    <phoneticPr fontId="14"/>
  </si>
  <si>
    <t>https://www.monotaro.com/g/00231808/?t.mpn=msqb10r-m9nz</t>
    <phoneticPr fontId="14"/>
  </si>
  <si>
    <t>SY100-30-4A</t>
    <phoneticPr fontId="16"/>
  </si>
  <si>
    <t>MSQB10R-M9N</t>
    <phoneticPr fontId="16"/>
  </si>
  <si>
    <t>SETB0075-Z01 電磁弁+レギュラーﾕﾆｯﾄ取付板金</t>
    <phoneticPr fontId="14"/>
  </si>
  <si>
    <t>MVSHM-3N03002011027-2UK-1UMGD</t>
    <phoneticPr fontId="16"/>
  </si>
  <si>
    <t>SCB4-5</t>
    <phoneticPr fontId="14"/>
  </si>
  <si>
    <t>SBCB5-8</t>
    <phoneticPr fontId="14"/>
  </si>
  <si>
    <t>六角穴付ボタンボルト　</t>
    <phoneticPr fontId="14"/>
  </si>
  <si>
    <t>sunco</t>
    <phoneticPr fontId="16"/>
  </si>
  <si>
    <t>CSH-SUS-M3-12</t>
    <phoneticPr fontId="14"/>
  </si>
  <si>
    <t>六角穴付きボルト ステンレス</t>
    <phoneticPr fontId="14"/>
  </si>
  <si>
    <t>CNYW6-6</t>
    <phoneticPr fontId="14"/>
  </si>
  <si>
    <t>チェリック</t>
    <phoneticPr fontId="14"/>
  </si>
  <si>
    <t>BSLG6</t>
    <phoneticPr fontId="14"/>
  </si>
  <si>
    <t>ワンタッチ継手　ブラインドプラグ</t>
    <phoneticPr fontId="14"/>
  </si>
  <si>
    <t>ワンタッチ継手 R（PT）付二重Y型 CNYW</t>
    <phoneticPr fontId="14"/>
  </si>
  <si>
    <t xml:space="preserve">六角穴付ボタンボルト </t>
    <phoneticPr fontId="14"/>
  </si>
  <si>
    <t>CSHBT-SUS-M4-6</t>
    <phoneticPr fontId="14"/>
  </si>
  <si>
    <t>カッチンダクト固定用</t>
    <rPh sb="7" eb="9">
      <t>コテイ</t>
    </rPh>
    <rPh sb="9" eb="10">
      <t>ヨウ</t>
    </rPh>
    <phoneticPr fontId="14"/>
  </si>
  <si>
    <t>SPWF4</t>
    <phoneticPr fontId="14"/>
  </si>
  <si>
    <t>平座金</t>
    <phoneticPr fontId="14"/>
  </si>
  <si>
    <t>今回は発注しない</t>
    <rPh sb="0" eb="2">
      <t>コンカイ</t>
    </rPh>
    <rPh sb="3" eb="5">
      <t>ハッチュウ</t>
    </rPh>
    <phoneticPr fontId="14"/>
  </si>
  <si>
    <t>後入れバネナット  16本</t>
    <phoneticPr fontId="16"/>
  </si>
  <si>
    <t>ミニチュアクランプレバー</t>
    <phoneticPr fontId="14"/>
  </si>
  <si>
    <t>CLMSC5-8-B</t>
    <phoneticPr fontId="14"/>
  </si>
  <si>
    <t>CBSST5-8</t>
    <phoneticPr fontId="14"/>
  </si>
  <si>
    <t>WSX-SUS-M5X11.5-1</t>
    <phoneticPr fontId="14"/>
  </si>
  <si>
    <t xml:space="preserve">丸ワッシャー 特寸 ステンレス </t>
    <phoneticPr fontId="14"/>
  </si>
  <si>
    <r>
      <t>NEDJL-PT-SB-9-1.5→</t>
    </r>
    <r>
      <rPr>
        <b/>
        <sz val="11"/>
        <color rgb="FFFF0000"/>
        <rFont val="ＭＳ Ｐゴシック"/>
        <family val="3"/>
        <charset val="128"/>
        <scheme val="minor"/>
      </rPr>
      <t>DSDJ-PT-SB-9-1.5-02S</t>
    </r>
    <phoneticPr fontId="16"/>
  </si>
  <si>
    <r>
      <t>NEDJL-PS-SB-37-2→</t>
    </r>
    <r>
      <rPr>
        <b/>
        <sz val="11"/>
        <color rgb="FFFF0000"/>
        <rFont val="ＭＳ Ｐゴシック"/>
        <family val="3"/>
        <charset val="128"/>
        <scheme val="minor"/>
      </rPr>
      <t>DSDJ-PS-SB-37-2</t>
    </r>
    <phoneticPr fontId="16"/>
  </si>
  <si>
    <t xml:space="preserve">パイプ取り付け式液面検出センサ </t>
    <phoneticPr fontId="14"/>
  </si>
  <si>
    <t>1日間モノタロウ</t>
    <rPh sb="1" eb="2">
      <t>ヒ</t>
    </rPh>
    <rPh sb="2" eb="3">
      <t>カン</t>
    </rPh>
    <phoneticPr fontId="14"/>
  </si>
  <si>
    <t>パナソニック</t>
    <phoneticPr fontId="14"/>
  </si>
  <si>
    <t>モノタロウ</t>
    <phoneticPr fontId="14"/>
  </si>
  <si>
    <t>EX-F1</t>
    <phoneticPr fontId="14"/>
  </si>
  <si>
    <t xml:space="preserve">APMTS-N1-T1 </t>
    <phoneticPr fontId="16"/>
  </si>
  <si>
    <t>ねじ変換継手</t>
    <phoneticPr fontId="16"/>
  </si>
  <si>
    <t>Ｎo.192252</t>
    <phoneticPr fontId="14"/>
  </si>
  <si>
    <t>株式会社マス商事 (株式会社みちのくサウンド)</t>
    <phoneticPr fontId="14"/>
  </si>
  <si>
    <t>平座金－単品販売－　4枚 在庫使用</t>
    <rPh sb="11" eb="12">
      <t>マイ</t>
    </rPh>
    <phoneticPr fontId="16"/>
  </si>
  <si>
    <t>六角穴付ボルト    10本 在庫使用</t>
    <rPh sb="13" eb="14">
      <t>ホン</t>
    </rPh>
    <phoneticPr fontId="16"/>
  </si>
  <si>
    <t>六角穴付ボルト　　4本 在庫使用</t>
    <rPh sb="10" eb="11">
      <t>ホン</t>
    </rPh>
    <phoneticPr fontId="16"/>
  </si>
  <si>
    <t>六角穴付ボルト　　6本 在庫使用</t>
    <rPh sb="10" eb="11">
      <t>ホン</t>
    </rPh>
    <phoneticPr fontId="16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</si>
  <si>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>　 在庫使用</t>
    </r>
    <phoneticPr fontId="16"/>
  </si>
  <si>
    <r>
      <t xml:space="preserve">エアチューブ  </t>
    </r>
    <r>
      <rPr>
        <sz val="11"/>
        <color rgb="FFFF0000"/>
        <rFont val="ＭＳ Ｐゴシック"/>
        <family val="3"/>
        <charset val="128"/>
      </rPr>
      <t>在庫使用</t>
    </r>
    <phoneticPr fontId="16"/>
  </si>
  <si>
    <r>
      <t>1</t>
    </r>
    <r>
      <rPr>
        <sz val="11"/>
        <color theme="1"/>
        <rFont val="ＭＳ Ｐゴシック"/>
        <family val="3"/>
        <charset val="128"/>
        <scheme val="minor"/>
      </rPr>
      <t>2/2仙台着</t>
    </r>
    <rPh sb="4" eb="6">
      <t>センダイ</t>
    </rPh>
    <rPh sb="6" eb="7">
      <t>ツ</t>
    </rPh>
    <phoneticPr fontId="14"/>
  </si>
  <si>
    <t>NV63-CVF 2P 15A 100-240V 30MA</t>
  </si>
  <si>
    <t>仙台(営)へ</t>
    <rPh sb="0" eb="2">
      <t>センダイ</t>
    </rPh>
    <rPh sb="2" eb="5">
      <t>エイ</t>
    </rPh>
    <phoneticPr fontId="14"/>
  </si>
  <si>
    <t>ライト</t>
    <phoneticPr fontId="14"/>
  </si>
  <si>
    <t>済み</t>
    <rPh sb="0" eb="1">
      <t>ズ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</si>
</sst>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42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2"/>
      <color rgb="FFFF0000"/>
      <name val="ＭＳ Ｐ明朝"/>
      <family val="1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sz val="9.9499999999999993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3" fillId="0" borderId="0">
      <alignment vertical="center"/>
    </xf>
    <xf numFmtId="0" fontId="18" fillId="0" borderId="0">
      <alignment vertical="center"/>
    </xf>
  </cellStyleXfs>
  <cellXfs count="666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177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176" fontId="0" fillId="0" borderId="3" xfId="0" applyNumberFormat="1" applyFont="1" applyBorder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0" fillId="0" borderId="4" xfId="0" applyNumberFormat="1" applyFont="1" applyBorder="1">
      <alignment vertical="center"/>
    </xf>
    <xf numFmtId="176" fontId="0" fillId="0" borderId="4" xfId="0" applyNumberFormat="1" applyFont="1" applyBorder="1" applyAlignment="1"/>
    <xf numFmtId="0" fontId="0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right" vertical="center"/>
    </xf>
    <xf numFmtId="177" fontId="0" fillId="0" borderId="4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7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17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10" xfId="0" applyFont="1" applyBorder="1" applyAlignment="1">
      <alignment horizontal="right" vertical="center"/>
    </xf>
    <xf numFmtId="3" fontId="15" fillId="0" borderId="10" xfId="0" applyNumberFormat="1" applyFont="1" applyFill="1" applyBorder="1" applyAlignment="1">
      <alignment horizontal="center" vertical="center"/>
    </xf>
    <xf numFmtId="0" fontId="15" fillId="0" borderId="10" xfId="0" applyFont="1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176" fontId="15" fillId="0" borderId="12" xfId="0" applyNumberFormat="1" applyFont="1" applyFill="1" applyBorder="1" applyAlignment="1">
      <alignment vertical="center"/>
    </xf>
    <xf numFmtId="3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18" fillId="0" borderId="10" xfId="0" applyFont="1" applyFill="1" applyBorder="1">
      <alignment vertical="center"/>
    </xf>
    <xf numFmtId="3" fontId="0" fillId="0" borderId="1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177" fontId="0" fillId="0" borderId="10" xfId="0" applyNumberFormat="1" applyFont="1" applyBorder="1" applyAlignment="1">
      <alignment horizontal="center" vertical="center"/>
    </xf>
    <xf numFmtId="178" fontId="0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Fill="1" applyBorder="1" applyAlignment="1">
      <alignment horizontal="center" vertical="center"/>
    </xf>
    <xf numFmtId="0" fontId="0" fillId="0" borderId="10" xfId="0" applyNumberFormat="1" applyFill="1" applyBorder="1" applyAlignment="1">
      <alignment horizontal="center" vertical="center"/>
    </xf>
    <xf numFmtId="176" fontId="15" fillId="0" borderId="12" xfId="0" applyNumberFormat="1" applyFont="1" applyFill="1" applyBorder="1" applyAlignment="1"/>
    <xf numFmtId="0" fontId="18" fillId="0" borderId="10" xfId="3" applyFont="1" applyFill="1" applyBorder="1" applyAlignment="1">
      <alignment vertical="center"/>
    </xf>
    <xf numFmtId="0" fontId="15" fillId="0" borderId="10" xfId="0" applyNumberFormat="1" applyFont="1" applyFill="1" applyBorder="1" applyAlignment="1">
      <alignment horizontal="center" vertical="center"/>
    </xf>
    <xf numFmtId="0" fontId="18" fillId="0" borderId="10" xfId="3" applyFont="1" applyBorder="1" applyAlignment="1">
      <alignment horizontal="left"/>
    </xf>
    <xf numFmtId="176" fontId="15" fillId="0" borderId="10" xfId="0" applyNumberFormat="1" applyFont="1" applyFill="1" applyBorder="1" applyAlignment="1">
      <alignment horizontal="center"/>
    </xf>
    <xf numFmtId="0" fontId="21" fillId="0" borderId="13" xfId="0" applyFont="1" applyBorder="1" applyAlignment="1"/>
    <xf numFmtId="0" fontId="21" fillId="0" borderId="13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21" fillId="0" borderId="13" xfId="0" applyFont="1" applyFill="1" applyBorder="1" applyAlignment="1"/>
    <xf numFmtId="0" fontId="0" fillId="0" borderId="14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76" fontId="0" fillId="0" borderId="1" xfId="0" applyNumberFormat="1" applyFont="1" applyFill="1" applyBorder="1" applyAlignment="1"/>
    <xf numFmtId="176" fontId="6" fillId="0" borderId="3" xfId="0" applyNumberFormat="1" applyFont="1" applyFill="1" applyBorder="1" applyAlignment="1"/>
    <xf numFmtId="0" fontId="5" fillId="0" borderId="3" xfId="0" applyFont="1" applyFill="1" applyBorder="1">
      <alignment vertical="center"/>
    </xf>
    <xf numFmtId="0" fontId="13" fillId="0" borderId="1" xfId="0" applyFont="1" applyBorder="1" applyAlignment="1">
      <alignment horizontal="left" vertical="center"/>
    </xf>
    <xf numFmtId="3" fontId="0" fillId="0" borderId="1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/>
    <xf numFmtId="0" fontId="0" fillId="0" borderId="1" xfId="0" applyFont="1" applyFill="1" applyBorder="1" applyAlignment="1">
      <alignment horizontal="left" vertical="center" shrinkToFit="1"/>
    </xf>
    <xf numFmtId="56" fontId="0" fillId="0" borderId="10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56" fontId="0" fillId="0" borderId="0" xfId="0" applyNumberFormat="1" applyFont="1" applyBorder="1" applyAlignment="1">
      <alignment horizontal="center" vertical="center"/>
    </xf>
    <xf numFmtId="56" fontId="0" fillId="0" borderId="16" xfId="0" applyNumberFormat="1" applyFont="1" applyBorder="1" applyAlignment="1">
      <alignment horizontal="center" vertical="center"/>
    </xf>
    <xf numFmtId="178" fontId="0" fillId="0" borderId="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left" vertical="center"/>
    </xf>
    <xf numFmtId="0" fontId="18" fillId="0" borderId="10" xfId="3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76" fontId="0" fillId="0" borderId="12" xfId="0" applyNumberFormat="1" applyBorder="1">
      <alignment vertical="center"/>
    </xf>
    <xf numFmtId="3" fontId="19" fillId="0" borderId="10" xfId="0" applyNumberFormat="1" applyFont="1" applyBorder="1" applyAlignment="1">
      <alignment horizontal="center" vertical="center"/>
    </xf>
    <xf numFmtId="0" fontId="0" fillId="7" borderId="10" xfId="0" applyFill="1" applyBorder="1" applyAlignment="1">
      <alignment horizontal="right" vertical="center"/>
    </xf>
    <xf numFmtId="0" fontId="0" fillId="7" borderId="12" xfId="0" applyFill="1" applyBorder="1" applyAlignment="1">
      <alignment horizontal="center" vertical="center"/>
    </xf>
    <xf numFmtId="0" fontId="19" fillId="7" borderId="10" xfId="0" applyFont="1" applyFill="1" applyBorder="1">
      <alignment vertical="center"/>
    </xf>
    <xf numFmtId="0" fontId="27" fillId="0" borderId="10" xfId="0" applyFont="1" applyBorder="1" applyAlignment="1">
      <alignment horizontal="center" vertical="center"/>
    </xf>
    <xf numFmtId="0" fontId="15" fillId="0" borderId="10" xfId="0" applyFont="1" applyBorder="1">
      <alignment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3" fontId="18" fillId="0" borderId="10" xfId="0" applyNumberFormat="1" applyFont="1" applyBorder="1" applyAlignment="1">
      <alignment horizontal="center" vertical="center"/>
    </xf>
    <xf numFmtId="176" fontId="18" fillId="0" borderId="10" xfId="0" applyNumberFormat="1" applyFont="1" applyBorder="1" applyAlignment="1"/>
    <xf numFmtId="0" fontId="18" fillId="0" borderId="12" xfId="0" applyFont="1" applyBorder="1" applyAlignment="1">
      <alignment horizontal="left" vertical="center" shrinkToFit="1"/>
    </xf>
    <xf numFmtId="0" fontId="18" fillId="0" borderId="10" xfId="3" applyBorder="1" applyAlignment="1">
      <alignment vertical="center"/>
    </xf>
    <xf numFmtId="0" fontId="0" fillId="7" borderId="10" xfId="0" applyFill="1" applyBorder="1" applyAlignment="1">
      <alignment horizontal="center" vertical="center"/>
    </xf>
    <xf numFmtId="0" fontId="0" fillId="7" borderId="10" xfId="0" applyFill="1" applyBorder="1">
      <alignment vertical="center"/>
    </xf>
    <xf numFmtId="0" fontId="0" fillId="7" borderId="12" xfId="0" applyFill="1" applyBorder="1" applyAlignment="1">
      <alignment horizontal="right" vertical="center"/>
    </xf>
    <xf numFmtId="49" fontId="19" fillId="0" borderId="10" xfId="0" applyNumberFormat="1" applyFont="1" applyBorder="1" applyAlignment="1">
      <alignment horizontal="left" vertical="center"/>
    </xf>
    <xf numFmtId="0" fontId="18" fillId="0" borderId="10" xfId="3" applyBorder="1" applyAlignment="1">
      <alignment horizontal="left" vertical="center"/>
    </xf>
    <xf numFmtId="176" fontId="0" fillId="0" borderId="12" xfId="0" applyNumberFormat="1" applyBorder="1" applyAlignment="1"/>
    <xf numFmtId="3" fontId="15" fillId="0" borderId="10" xfId="0" applyNumberFormat="1" applyFont="1" applyBorder="1" applyAlignment="1">
      <alignment horizontal="center" vertical="center"/>
    </xf>
    <xf numFmtId="176" fontId="15" fillId="0" borderId="12" xfId="0" applyNumberFormat="1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7" fillId="0" borderId="10" xfId="0" applyFont="1" applyBorder="1">
      <alignment vertical="center"/>
    </xf>
    <xf numFmtId="176" fontId="17" fillId="0" borderId="12" xfId="0" applyNumberFormat="1" applyFont="1" applyBorder="1">
      <alignment vertical="center"/>
    </xf>
    <xf numFmtId="0" fontId="18" fillId="0" borderId="10" xfId="0" applyFont="1" applyBorder="1" applyAlignment="1">
      <alignment horizontal="left" vertical="center" shrinkToFit="1"/>
    </xf>
    <xf numFmtId="0" fontId="15" fillId="0" borderId="10" xfId="0" applyFont="1" applyBorder="1" applyAlignment="1">
      <alignment horizontal="left" vertical="center"/>
    </xf>
    <xf numFmtId="3" fontId="0" fillId="7" borderId="18" xfId="0" applyNumberFormat="1" applyFill="1" applyBorder="1" applyAlignment="1">
      <alignment horizontal="center" vertical="center"/>
    </xf>
    <xf numFmtId="176" fontId="31" fillId="9" borderId="1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vertical="center" shrinkToFit="1"/>
    </xf>
    <xf numFmtId="176" fontId="0" fillId="0" borderId="10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 shrinkToFit="1"/>
    </xf>
    <xf numFmtId="0" fontId="0" fillId="0" borderId="13" xfId="0" applyNumberFormat="1" applyFill="1" applyBorder="1" applyAlignment="1">
      <alignment horizontal="center" vertical="center"/>
    </xf>
    <xf numFmtId="0" fontId="18" fillId="0" borderId="13" xfId="3" applyFont="1" applyBorder="1"/>
    <xf numFmtId="176" fontId="15" fillId="0" borderId="13" xfId="0" applyNumberFormat="1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/>
    <xf numFmtId="0" fontId="18" fillId="0" borderId="13" xfId="3" applyFont="1" applyFill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10" borderId="10" xfId="3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 shrinkToFit="1"/>
    </xf>
    <xf numFmtId="0" fontId="13" fillId="0" borderId="1" xfId="0" applyFont="1" applyBorder="1" applyAlignment="1">
      <alignment vertical="center" shrinkToFit="1"/>
    </xf>
    <xf numFmtId="0" fontId="13" fillId="0" borderId="3" xfId="0" applyFont="1" applyBorder="1" applyAlignment="1">
      <alignment vertical="center" shrinkToFit="1"/>
    </xf>
    <xf numFmtId="0" fontId="0" fillId="0" borderId="0" xfId="0" applyFont="1" applyFill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6" fontId="9" fillId="0" borderId="8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horizontal="center" vertical="center" shrinkToFit="1"/>
    </xf>
    <xf numFmtId="179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shrinkToFit="1"/>
    </xf>
    <xf numFmtId="176" fontId="0" fillId="0" borderId="7" xfId="0" applyNumberFormat="1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176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13" fillId="0" borderId="10" xfId="0" applyFont="1" applyBorder="1" applyAlignment="1">
      <alignment horizontal="left" vertical="center" shrinkToFit="1"/>
    </xf>
    <xf numFmtId="0" fontId="13" fillId="0" borderId="12" xfId="0" applyFont="1" applyBorder="1">
      <alignment vertical="center"/>
    </xf>
    <xf numFmtId="3" fontId="0" fillId="12" borderId="10" xfId="0" applyNumberFormat="1" applyFill="1" applyBorder="1" applyAlignment="1">
      <alignment horizontal="center" vertical="center"/>
    </xf>
    <xf numFmtId="0" fontId="32" fillId="12" borderId="10" xfId="0" applyFont="1" applyFill="1" applyBorder="1">
      <alignment vertical="center"/>
    </xf>
    <xf numFmtId="0" fontId="0" fillId="12" borderId="10" xfId="0" applyFill="1" applyBorder="1" applyAlignment="1">
      <alignment horizontal="center" vertical="center"/>
    </xf>
    <xf numFmtId="0" fontId="13" fillId="12" borderId="10" xfId="0" applyFont="1" applyFill="1" applyBorder="1">
      <alignment vertical="center"/>
    </xf>
    <xf numFmtId="0" fontId="0" fillId="12" borderId="10" xfId="0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left" vertical="center" shrinkToFit="1"/>
    </xf>
    <xf numFmtId="0" fontId="0" fillId="8" borderId="10" xfId="0" applyFill="1" applyBorder="1" applyAlignment="1">
      <alignment horizontal="center" vertical="center"/>
    </xf>
    <xf numFmtId="0" fontId="13" fillId="8" borderId="15" xfId="0" applyFont="1" applyFill="1" applyBorder="1">
      <alignment vertical="center"/>
    </xf>
    <xf numFmtId="0" fontId="0" fillId="8" borderId="10" xfId="0" applyFont="1" applyFill="1" applyBorder="1" applyAlignment="1">
      <alignment horizontal="center" vertical="center"/>
    </xf>
    <xf numFmtId="49" fontId="0" fillId="8" borderId="10" xfId="0" applyNumberFormat="1" applyFill="1" applyBorder="1" applyAlignment="1">
      <alignment horizontal="left" vertical="center"/>
    </xf>
    <xf numFmtId="0" fontId="17" fillId="0" borderId="10" xfId="0" applyFont="1" applyFill="1" applyBorder="1">
      <alignment vertical="center"/>
    </xf>
    <xf numFmtId="3" fontId="18" fillId="11" borderId="10" xfId="0" applyNumberFormat="1" applyFont="1" applyFill="1" applyBorder="1" applyAlignment="1">
      <alignment horizontal="center" vertical="center"/>
    </xf>
    <xf numFmtId="0" fontId="33" fillId="11" borderId="10" xfId="0" applyFont="1" applyFill="1" applyBorder="1">
      <alignment vertical="center"/>
    </xf>
    <xf numFmtId="180" fontId="18" fillId="11" borderId="10" xfId="0" applyNumberFormat="1" applyFont="1" applyFill="1" applyBorder="1" applyAlignment="1">
      <alignment horizontal="center" vertical="center"/>
    </xf>
    <xf numFmtId="176" fontId="18" fillId="11" borderId="10" xfId="0" applyNumberFormat="1" applyFont="1" applyFill="1" applyBorder="1" applyAlignment="1"/>
    <xf numFmtId="0" fontId="18" fillId="11" borderId="10" xfId="0" applyFont="1" applyFill="1" applyBorder="1" applyAlignment="1">
      <alignment horizontal="left" vertical="center" shrinkToFit="1"/>
    </xf>
    <xf numFmtId="0" fontId="23" fillId="11" borderId="1" xfId="0" applyFont="1" applyFill="1" applyBorder="1" applyAlignment="1">
      <alignment vertical="center" shrinkToFit="1"/>
    </xf>
    <xf numFmtId="3" fontId="0" fillId="11" borderId="10" xfId="0" applyNumberFormat="1" applyFill="1" applyBorder="1" applyAlignment="1">
      <alignment horizontal="center" vertical="center"/>
    </xf>
    <xf numFmtId="49" fontId="0" fillId="11" borderId="10" xfId="0" applyNumberFormat="1" applyFill="1" applyBorder="1" applyAlignment="1">
      <alignment horizontal="left" vertical="center"/>
    </xf>
    <xf numFmtId="0" fontId="19" fillId="11" borderId="10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vertical="center" shrinkToFit="1"/>
    </xf>
    <xf numFmtId="0" fontId="33" fillId="11" borderId="10" xfId="3" applyFont="1" applyFill="1" applyBorder="1" applyAlignment="1">
      <alignment horizontal="left" vertical="center"/>
    </xf>
    <xf numFmtId="0" fontId="18" fillId="11" borderId="10" xfId="3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18" fillId="11" borderId="10" xfId="3" applyFill="1" applyBorder="1" applyAlignment="1">
      <alignment horizontal="left" vertical="center"/>
    </xf>
    <xf numFmtId="0" fontId="13" fillId="11" borderId="1" xfId="0" applyFont="1" applyFill="1" applyBorder="1" applyAlignment="1">
      <alignment vertical="center" shrinkToFit="1"/>
    </xf>
    <xf numFmtId="3" fontId="26" fillId="11" borderId="10" xfId="0" applyNumberFormat="1" applyFont="1" applyFill="1" applyBorder="1" applyAlignment="1">
      <alignment horizontal="center" vertical="center"/>
    </xf>
    <xf numFmtId="0" fontId="34" fillId="11" borderId="10" xfId="0" applyFont="1" applyFill="1" applyBorder="1">
      <alignment vertical="center"/>
    </xf>
    <xf numFmtId="0" fontId="26" fillId="11" borderId="12" xfId="0" applyFont="1" applyFill="1" applyBorder="1" applyAlignment="1">
      <alignment horizontal="center" vertical="center"/>
    </xf>
    <xf numFmtId="0" fontId="26" fillId="11" borderId="10" xfId="0" applyFont="1" applyFill="1" applyBorder="1">
      <alignment vertical="center"/>
    </xf>
    <xf numFmtId="0" fontId="26" fillId="11" borderId="10" xfId="0" applyFont="1" applyFill="1" applyBorder="1" applyAlignment="1">
      <alignment horizontal="left" vertical="center"/>
    </xf>
    <xf numFmtId="0" fontId="26" fillId="11" borderId="10" xfId="0" applyFont="1" applyFill="1" applyBorder="1" applyAlignment="1">
      <alignment horizontal="center" vertical="center"/>
    </xf>
    <xf numFmtId="176" fontId="26" fillId="11" borderId="10" xfId="0" applyNumberFormat="1" applyFont="1" applyFill="1" applyBorder="1" applyAlignment="1">
      <alignment horizontal="center" vertical="center"/>
    </xf>
    <xf numFmtId="176" fontId="26" fillId="11" borderId="12" xfId="0" applyNumberFormat="1" applyFont="1" applyFill="1" applyBorder="1">
      <alignment vertical="center"/>
    </xf>
    <xf numFmtId="0" fontId="33" fillId="11" borderId="10" xfId="3" applyFont="1" applyFill="1" applyBorder="1" applyAlignment="1">
      <alignment horizontal="center" vertical="center"/>
    </xf>
    <xf numFmtId="3" fontId="23" fillId="11" borderId="10" xfId="0" applyNumberFormat="1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176" fontId="23" fillId="11" borderId="10" xfId="0" applyNumberFormat="1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vertical="center" wrapText="1"/>
    </xf>
    <xf numFmtId="0" fontId="23" fillId="11" borderId="12" xfId="0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left" vertical="center"/>
    </xf>
    <xf numFmtId="0" fontId="0" fillId="0" borderId="12" xfId="0" applyFill="1" applyBorder="1">
      <alignment vertical="center"/>
    </xf>
    <xf numFmtId="0" fontId="26" fillId="11" borderId="12" xfId="0" applyFont="1" applyFill="1" applyBorder="1">
      <alignment vertical="center"/>
    </xf>
    <xf numFmtId="0" fontId="33" fillId="11" borderId="12" xfId="0" applyFont="1" applyFill="1" applyBorder="1">
      <alignment vertical="center"/>
    </xf>
    <xf numFmtId="176" fontId="26" fillId="11" borderId="10" xfId="0" applyNumberFormat="1" applyFont="1" applyFill="1" applyBorder="1" applyAlignment="1">
      <alignment horizontal="right" vertical="center"/>
    </xf>
    <xf numFmtId="3" fontId="33" fillId="11" borderId="10" xfId="0" applyNumberFormat="1" applyFont="1" applyFill="1" applyBorder="1" applyAlignment="1">
      <alignment horizontal="center" vertical="center"/>
    </xf>
    <xf numFmtId="0" fontId="33" fillId="11" borderId="10" xfId="0" applyFont="1" applyFill="1" applyBorder="1" applyAlignment="1">
      <alignment horizontal="center" vertical="center"/>
    </xf>
    <xf numFmtId="176" fontId="33" fillId="11" borderId="12" xfId="0" applyNumberFormat="1" applyFont="1" applyFill="1" applyBorder="1">
      <alignment vertical="center"/>
    </xf>
    <xf numFmtId="0" fontId="18" fillId="0" borderId="10" xfId="3" applyFill="1" applyBorder="1" applyAlignment="1">
      <alignment vertical="center"/>
    </xf>
    <xf numFmtId="0" fontId="17" fillId="0" borderId="10" xfId="0" applyFont="1" applyFill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left" vertical="center"/>
    </xf>
    <xf numFmtId="3" fontId="18" fillId="0" borderId="10" xfId="0" applyNumberFormat="1" applyFont="1" applyFill="1" applyBorder="1" applyAlignment="1">
      <alignment horizontal="center" vertical="center"/>
    </xf>
    <xf numFmtId="180" fontId="18" fillId="0" borderId="10" xfId="0" applyNumberFormat="1" applyFont="1" applyFill="1" applyBorder="1" applyAlignment="1">
      <alignment horizontal="center" vertical="center"/>
    </xf>
    <xf numFmtId="0" fontId="19" fillId="0" borderId="10" xfId="4" applyFont="1" applyFill="1" applyBorder="1" applyAlignment="1">
      <alignment horizontal="center" vertical="center"/>
    </xf>
    <xf numFmtId="0" fontId="19" fillId="0" borderId="10" xfId="4" applyFont="1" applyFill="1" applyBorder="1" applyAlignment="1">
      <alignment horizontal="left" vertical="center"/>
    </xf>
    <xf numFmtId="181" fontId="19" fillId="0" borderId="10" xfId="4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10" xfId="3" applyFont="1" applyFill="1" applyBorder="1" applyAlignment="1">
      <alignment horizontal="center" vertical="center"/>
    </xf>
    <xf numFmtId="49" fontId="18" fillId="0" borderId="10" xfId="0" applyNumberFormat="1" applyFont="1" applyFill="1" applyBorder="1" applyAlignment="1">
      <alignment vertical="center" shrinkToFit="1"/>
    </xf>
    <xf numFmtId="176" fontId="19" fillId="0" borderId="10" xfId="0" applyNumberFormat="1" applyFont="1" applyFill="1" applyBorder="1" applyAlignment="1">
      <alignment horizontal="center" vertical="center"/>
    </xf>
    <xf numFmtId="0" fontId="15" fillId="0" borderId="10" xfId="3" applyFont="1" applyFill="1" applyBorder="1" applyAlignment="1">
      <alignment horizontal="left" vertical="center"/>
    </xf>
    <xf numFmtId="0" fontId="15" fillId="0" borderId="12" xfId="3" applyFont="1" applyFill="1" applyBorder="1" applyAlignment="1">
      <alignment horizontal="left" vertical="center"/>
    </xf>
    <xf numFmtId="0" fontId="19" fillId="0" borderId="12" xfId="0" applyFont="1" applyFill="1" applyBorder="1">
      <alignment vertical="center"/>
    </xf>
    <xf numFmtId="0" fontId="13" fillId="0" borderId="0" xfId="0" applyFont="1">
      <alignment vertical="center"/>
    </xf>
    <xf numFmtId="176" fontId="33" fillId="11" borderId="12" xfId="0" applyNumberFormat="1" applyFont="1" applyFill="1" applyBorder="1" applyAlignment="1">
      <alignment vertical="center"/>
    </xf>
    <xf numFmtId="0" fontId="26" fillId="11" borderId="10" xfId="0" applyNumberFormat="1" applyFont="1" applyFill="1" applyBorder="1" applyAlignment="1">
      <alignment horizontal="center" vertical="center"/>
    </xf>
    <xf numFmtId="0" fontId="33" fillId="11" borderId="10" xfId="3" applyFont="1" applyFill="1" applyBorder="1"/>
    <xf numFmtId="176" fontId="33" fillId="11" borderId="10" xfId="0" applyNumberFormat="1" applyFont="1" applyFill="1" applyBorder="1" applyAlignment="1">
      <alignment horizontal="center" vertical="center"/>
    </xf>
    <xf numFmtId="176" fontId="33" fillId="11" borderId="12" xfId="0" applyNumberFormat="1" applyFont="1" applyFill="1" applyBorder="1" applyAlignment="1"/>
    <xf numFmtId="0" fontId="33" fillId="11" borderId="10" xfId="3" applyFont="1" applyFill="1" applyBorder="1" applyAlignment="1">
      <alignment vertical="center"/>
    </xf>
    <xf numFmtId="3" fontId="17" fillId="0" borderId="10" xfId="0" applyNumberFormat="1" applyFont="1" applyFill="1" applyBorder="1" applyAlignment="1">
      <alignment horizontal="center" vertical="center"/>
    </xf>
    <xf numFmtId="3" fontId="17" fillId="0" borderId="12" xfId="0" applyNumberFormat="1" applyFon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left" vertical="center"/>
    </xf>
    <xf numFmtId="176" fontId="15" fillId="0" borderId="12" xfId="0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18" fillId="0" borderId="10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38" fontId="0" fillId="8" borderId="10" xfId="0" applyNumberFormat="1" applyFill="1" applyBorder="1" applyAlignment="1">
      <alignment horizontal="center" vertical="center"/>
    </xf>
    <xf numFmtId="38" fontId="0" fillId="0" borderId="10" xfId="0" applyNumberFormat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0" fillId="12" borderId="10" xfId="0" applyNumberFormat="1" applyFill="1" applyBorder="1" applyAlignment="1">
      <alignment horizontal="center" vertical="center"/>
    </xf>
    <xf numFmtId="0" fontId="29" fillId="0" borderId="10" xfId="3" applyFont="1" applyFill="1" applyBorder="1" applyAlignment="1">
      <alignment horizontal="center" vertical="center"/>
    </xf>
    <xf numFmtId="176" fontId="27" fillId="0" borderId="10" xfId="0" applyNumberFormat="1" applyFont="1" applyFill="1" applyBorder="1" applyAlignment="1">
      <alignment horizontal="center" vertical="center"/>
    </xf>
    <xf numFmtId="176" fontId="17" fillId="0" borderId="10" xfId="0" applyNumberFormat="1" applyFont="1" applyFill="1" applyBorder="1" applyAlignment="1">
      <alignment horizontal="center" vertical="center"/>
    </xf>
    <xf numFmtId="183" fontId="0" fillId="0" borderId="10" xfId="0" applyNumberFormat="1" applyFill="1" applyBorder="1" applyAlignment="1">
      <alignment horizontal="center" vertical="center"/>
    </xf>
    <xf numFmtId="38" fontId="0" fillId="0" borderId="10" xfId="0" applyNumberFormat="1" applyFill="1" applyBorder="1" applyAlignment="1">
      <alignment horizontal="center" vertical="center"/>
    </xf>
    <xf numFmtId="183" fontId="19" fillId="11" borderId="10" xfId="0" applyNumberFormat="1" applyFont="1" applyFill="1" applyBorder="1" applyAlignment="1">
      <alignment horizontal="center" vertical="center"/>
    </xf>
    <xf numFmtId="38" fontId="19" fillId="11" borderId="10" xfId="0" applyNumberFormat="1" applyFont="1" applyFill="1" applyBorder="1" applyAlignment="1">
      <alignment horizontal="center" vertical="center"/>
    </xf>
    <xf numFmtId="176" fontId="0" fillId="11" borderId="10" xfId="0" applyNumberFormat="1" applyFill="1" applyBorder="1" applyAlignment="1">
      <alignment horizontal="center" vertical="center"/>
    </xf>
    <xf numFmtId="176" fontId="18" fillId="11" borderId="10" xfId="0" applyNumberFormat="1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76" fontId="0" fillId="0" borderId="8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center" vertical="center"/>
    </xf>
    <xf numFmtId="176" fontId="26" fillId="11" borderId="1" xfId="0" applyNumberFormat="1" applyFont="1" applyFill="1" applyBorder="1" applyAlignment="1">
      <alignment horizontal="center" vertical="center"/>
    </xf>
    <xf numFmtId="38" fontId="19" fillId="0" borderId="10" xfId="0" applyNumberFormat="1" applyFont="1" applyBorder="1" applyAlignment="1">
      <alignment horizontal="center" vertical="center"/>
    </xf>
    <xf numFmtId="182" fontId="0" fillId="0" borderId="10" xfId="0" applyNumberFormat="1" applyBorder="1" applyAlignment="1">
      <alignment horizontal="center" vertical="center"/>
    </xf>
    <xf numFmtId="182" fontId="0" fillId="0" borderId="10" xfId="0" applyNumberFormat="1" applyFill="1" applyBorder="1" applyAlignment="1">
      <alignment horizontal="center" vertical="center"/>
    </xf>
    <xf numFmtId="38" fontId="19" fillId="0" borderId="10" xfId="0" applyNumberFormat="1" applyFont="1" applyFill="1" applyBorder="1" applyAlignment="1">
      <alignment horizontal="center" vertical="center"/>
    </xf>
    <xf numFmtId="0" fontId="18" fillId="0" borderId="13" xfId="3" applyFont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181" fontId="19" fillId="7" borderId="18" xfId="0" applyNumberFormat="1" applyFont="1" applyFill="1" applyBorder="1" applyAlignment="1">
      <alignment horizontal="center" vertical="center"/>
    </xf>
    <xf numFmtId="181" fontId="26" fillId="11" borderId="10" xfId="0" applyNumberFormat="1" applyFont="1" applyFill="1" applyBorder="1" applyAlignment="1">
      <alignment horizontal="center" vertical="center"/>
    </xf>
    <xf numFmtId="0" fontId="13" fillId="0" borderId="10" xfId="0" applyFont="1" applyFill="1" applyBorder="1">
      <alignment vertical="center"/>
    </xf>
    <xf numFmtId="3" fontId="0" fillId="0" borderId="11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>
      <alignment vertical="center"/>
    </xf>
    <xf numFmtId="176" fontId="0" fillId="0" borderId="7" xfId="0" applyNumberFormat="1" applyFont="1" applyBorder="1" applyAlignment="1"/>
    <xf numFmtId="0" fontId="0" fillId="0" borderId="21" xfId="0" applyFont="1" applyBorder="1" applyAlignment="1">
      <alignment vertical="center" shrinkToFit="1"/>
    </xf>
    <xf numFmtId="176" fontId="9" fillId="0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>
      <alignment vertical="center"/>
    </xf>
    <xf numFmtId="0" fontId="0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8" fillId="0" borderId="13" xfId="3" applyFont="1" applyFill="1" applyBorder="1"/>
    <xf numFmtId="0" fontId="18" fillId="0" borderId="13" xfId="3" applyFont="1" applyFill="1" applyBorder="1" applyAlignment="1">
      <alignment horizontal="center" vertical="center"/>
    </xf>
    <xf numFmtId="0" fontId="18" fillId="0" borderId="10" xfId="3" applyFont="1" applyFill="1" applyBorder="1" applyAlignment="1">
      <alignment horizontal="left"/>
    </xf>
    <xf numFmtId="0" fontId="18" fillId="0" borderId="10" xfId="3" applyFont="1" applyFill="1" applyBorder="1"/>
    <xf numFmtId="0" fontId="0" fillId="0" borderId="13" xfId="0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shrinkToFit="1"/>
    </xf>
    <xf numFmtId="0" fontId="0" fillId="0" borderId="0" xfId="0" applyFont="1" applyFill="1" applyBorder="1" applyAlignment="1">
      <alignment horizontal="center" vertical="center"/>
    </xf>
    <xf numFmtId="3" fontId="0" fillId="0" borderId="18" xfId="0" applyNumberFormat="1" applyFill="1" applyBorder="1" applyAlignment="1">
      <alignment horizontal="center" vertical="center"/>
    </xf>
    <xf numFmtId="176" fontId="31" fillId="0" borderId="18" xfId="0" applyNumberFormat="1" applyFont="1" applyFill="1" applyBorder="1" applyAlignment="1">
      <alignment horizontal="center" vertical="center"/>
    </xf>
    <xf numFmtId="181" fontId="19" fillId="0" borderId="18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9" fillId="0" borderId="0" xfId="0" applyFont="1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6" fontId="0" fillId="0" borderId="5" xfId="0" applyNumberFormat="1" applyFont="1" applyBorder="1" applyAlignment="1"/>
    <xf numFmtId="56" fontId="13" fillId="0" borderId="10" xfId="0" applyNumberFormat="1" applyFont="1" applyBorder="1" applyAlignment="1">
      <alignment horizontal="center" vertical="center"/>
    </xf>
    <xf numFmtId="56" fontId="0" fillId="0" borderId="1" xfId="0" applyNumberFormat="1" applyFont="1" applyBorder="1" applyAlignment="1">
      <alignment horizontal="center" vertical="center"/>
    </xf>
    <xf numFmtId="178" fontId="0" fillId="0" borderId="8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56" fontId="13" fillId="0" borderId="3" xfId="0" applyNumberFormat="1" applyFont="1" applyBorder="1" applyAlignment="1">
      <alignment vertical="center" shrinkToFit="1"/>
    </xf>
    <xf numFmtId="0" fontId="0" fillId="13" borderId="10" xfId="0" applyFill="1" applyBorder="1" applyAlignment="1">
      <alignment horizontal="center" vertical="center"/>
    </xf>
    <xf numFmtId="0" fontId="21" fillId="13" borderId="10" xfId="0" applyFont="1" applyFill="1" applyBorder="1" applyAlignment="1"/>
    <xf numFmtId="0" fontId="21" fillId="13" borderId="10" xfId="0" applyFont="1" applyFill="1" applyBorder="1" applyAlignment="1">
      <alignment horizontal="center"/>
    </xf>
    <xf numFmtId="0" fontId="13" fillId="13" borderId="10" xfId="0" applyFont="1" applyFill="1" applyBorder="1" applyAlignment="1">
      <alignment horizontal="center" vertical="center"/>
    </xf>
    <xf numFmtId="176" fontId="18" fillId="13" borderId="10" xfId="0" applyNumberFormat="1" applyFont="1" applyFill="1" applyBorder="1" applyAlignment="1">
      <alignment horizontal="center" vertical="center"/>
    </xf>
    <xf numFmtId="0" fontId="0" fillId="13" borderId="10" xfId="0" applyFill="1" applyBorder="1">
      <alignment vertical="center"/>
    </xf>
    <xf numFmtId="0" fontId="23" fillId="0" borderId="1" xfId="0" applyFont="1" applyBorder="1" applyAlignment="1">
      <alignment vertical="center" shrinkToFit="1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>
      <alignment vertical="center"/>
    </xf>
    <xf numFmtId="0" fontId="24" fillId="11" borderId="10" xfId="0" applyFont="1" applyFill="1" applyBorder="1" applyAlignment="1"/>
    <xf numFmtId="0" fontId="24" fillId="11" borderId="10" xfId="0" applyFont="1" applyFill="1" applyBorder="1" applyAlignment="1">
      <alignment horizontal="center"/>
    </xf>
    <xf numFmtId="176" fontId="25" fillId="11" borderId="10" xfId="0" applyNumberFormat="1" applyFont="1" applyFill="1" applyBorder="1" applyAlignment="1">
      <alignment horizontal="center" vertical="center"/>
    </xf>
    <xf numFmtId="0" fontId="23" fillId="11" borderId="10" xfId="0" applyFont="1" applyFill="1" applyBorder="1">
      <alignment vertical="center"/>
    </xf>
    <xf numFmtId="3" fontId="0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>
      <alignment vertical="center"/>
    </xf>
    <xf numFmtId="176" fontId="10" fillId="11" borderId="1" xfId="0" applyNumberFormat="1" applyFont="1" applyFill="1" applyBorder="1" applyAlignment="1">
      <alignment horizontal="center" vertical="center"/>
    </xf>
    <xf numFmtId="176" fontId="0" fillId="11" borderId="1" xfId="0" applyNumberFormat="1" applyFont="1" applyFill="1" applyBorder="1" applyAlignment="1">
      <alignment horizontal="center" vertical="center"/>
    </xf>
    <xf numFmtId="176" fontId="0" fillId="11" borderId="1" xfId="0" applyNumberFormat="1" applyFont="1" applyFill="1" applyBorder="1">
      <alignment vertical="center"/>
    </xf>
    <xf numFmtId="0" fontId="0" fillId="11" borderId="1" xfId="0" applyFont="1" applyFill="1" applyBorder="1" applyAlignment="1">
      <alignment horizontal="left" vertical="center"/>
    </xf>
    <xf numFmtId="3" fontId="0" fillId="11" borderId="22" xfId="0" applyNumberFormat="1" applyFont="1" applyFill="1" applyBorder="1" applyAlignment="1">
      <alignment horizontal="center" vertical="center"/>
    </xf>
    <xf numFmtId="0" fontId="5" fillId="11" borderId="22" xfId="0" applyFont="1" applyFill="1" applyBorder="1">
      <alignment vertical="center"/>
    </xf>
    <xf numFmtId="176" fontId="10" fillId="11" borderId="22" xfId="0" applyNumberFormat="1" applyFont="1" applyFill="1" applyBorder="1" applyAlignment="1">
      <alignment horizontal="center" vertical="center"/>
    </xf>
    <xf numFmtId="176" fontId="0" fillId="11" borderId="22" xfId="0" applyNumberFormat="1" applyFont="1" applyFill="1" applyBorder="1" applyAlignment="1">
      <alignment horizontal="center" vertical="center"/>
    </xf>
    <xf numFmtId="176" fontId="0" fillId="11" borderId="22" xfId="0" applyNumberFormat="1" applyFont="1" applyFill="1" applyBorder="1">
      <alignment vertical="center"/>
    </xf>
    <xf numFmtId="0" fontId="0" fillId="11" borderId="22" xfId="0" applyFont="1" applyFill="1" applyBorder="1" applyAlignment="1">
      <alignment horizontal="left" vertical="center"/>
    </xf>
    <xf numFmtId="0" fontId="25" fillId="11" borderId="1" xfId="0" applyFont="1" applyFill="1" applyBorder="1" applyAlignment="1">
      <alignment horizontal="center" vertical="center"/>
    </xf>
    <xf numFmtId="0" fontId="25" fillId="11" borderId="22" xfId="0" applyFont="1" applyFill="1" applyBorder="1" applyAlignment="1">
      <alignment horizontal="center" vertical="center"/>
    </xf>
    <xf numFmtId="38" fontId="23" fillId="11" borderId="10" xfId="0" applyNumberFormat="1" applyFont="1" applyFill="1" applyBorder="1" applyAlignment="1">
      <alignment horizontal="center" vertical="center"/>
    </xf>
    <xf numFmtId="38" fontId="23" fillId="11" borderId="15" xfId="0" applyNumberFormat="1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vertical="center" shrinkToFit="1"/>
    </xf>
    <xf numFmtId="0" fontId="13" fillId="0" borderId="12" xfId="0" applyFont="1" applyFill="1" applyBorder="1">
      <alignment vertical="center"/>
    </xf>
    <xf numFmtId="0" fontId="15" fillId="15" borderId="10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8" fillId="15" borderId="10" xfId="0" applyFont="1" applyFill="1" applyBorder="1" applyAlignment="1">
      <alignment horizontal="left" vertical="center"/>
    </xf>
    <xf numFmtId="176" fontId="15" fillId="15" borderId="10" xfId="0" applyNumberFormat="1" applyFon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0" xfId="0" applyFill="1" applyBorder="1" applyAlignment="1">
      <alignment horizontal="left" vertical="center" shrinkToFit="1"/>
    </xf>
    <xf numFmtId="3" fontId="0" fillId="15" borderId="1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>
      <alignment vertical="center"/>
    </xf>
    <xf numFmtId="176" fontId="15" fillId="15" borderId="13" xfId="0" applyNumberFormat="1" applyFont="1" applyFill="1" applyBorder="1" applyAlignment="1">
      <alignment horizontal="center" vertical="center"/>
    </xf>
    <xf numFmtId="0" fontId="18" fillId="15" borderId="13" xfId="3" applyFont="1" applyFill="1" applyBorder="1" applyAlignment="1">
      <alignment horizontal="center" vertical="center"/>
    </xf>
    <xf numFmtId="176" fontId="0" fillId="15" borderId="1" xfId="0" applyNumberFormat="1" applyFont="1" applyFill="1" applyBorder="1" applyAlignment="1">
      <alignment horizontal="center" vertical="center"/>
    </xf>
    <xf numFmtId="176" fontId="15" fillId="15" borderId="14" xfId="0" applyNumberFormat="1" applyFont="1" applyFill="1" applyBorder="1" applyAlignment="1"/>
    <xf numFmtId="0" fontId="18" fillId="15" borderId="13" xfId="3" applyFont="1" applyFill="1" applyBorder="1" applyAlignment="1">
      <alignment vertical="center"/>
    </xf>
    <xf numFmtId="0" fontId="25" fillId="11" borderId="10" xfId="0" applyFont="1" applyFill="1" applyBorder="1">
      <alignment vertical="center"/>
    </xf>
    <xf numFmtId="0" fontId="25" fillId="11" borderId="10" xfId="0" applyFont="1" applyFill="1" applyBorder="1" applyAlignment="1">
      <alignment horizontal="center" vertical="center"/>
    </xf>
    <xf numFmtId="176" fontId="23" fillId="11" borderId="10" xfId="0" applyNumberFormat="1" applyFont="1" applyFill="1" applyBorder="1" applyAlignment="1">
      <alignment vertical="center"/>
    </xf>
    <xf numFmtId="3" fontId="0" fillId="16" borderId="10" xfId="0" applyNumberFormat="1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2" xfId="0" applyFill="1" applyBorder="1" applyAlignment="1">
      <alignment horizontal="right" vertical="center"/>
    </xf>
    <xf numFmtId="0" fontId="0" fillId="16" borderId="10" xfId="0" applyFill="1" applyBorder="1">
      <alignment vertical="center"/>
    </xf>
    <xf numFmtId="0" fontId="0" fillId="12" borderId="12" xfId="0" applyFill="1" applyBorder="1" applyAlignment="1">
      <alignment horizontal="right" vertical="center"/>
    </xf>
    <xf numFmtId="0" fontId="0" fillId="12" borderId="10" xfId="0" applyFill="1" applyBorder="1">
      <alignment vertical="center"/>
    </xf>
    <xf numFmtId="0" fontId="36" fillId="16" borderId="10" xfId="0" applyFont="1" applyFill="1" applyBorder="1">
      <alignment vertical="center"/>
    </xf>
    <xf numFmtId="0" fontId="36" fillId="12" borderId="10" xfId="0" applyFont="1" applyFill="1" applyBorder="1">
      <alignment vertical="center"/>
    </xf>
    <xf numFmtId="3" fontId="37" fillId="16" borderId="10" xfId="0" applyNumberFormat="1" applyFont="1" applyFill="1" applyBorder="1" applyAlignment="1">
      <alignment horizontal="center" vertical="center"/>
    </xf>
    <xf numFmtId="0" fontId="37" fillId="16" borderId="10" xfId="0" applyFont="1" applyFill="1" applyBorder="1" applyAlignment="1">
      <alignment horizontal="left" vertical="center"/>
    </xf>
    <xf numFmtId="181" fontId="38" fillId="16" borderId="10" xfId="0" applyNumberFormat="1" applyFont="1" applyFill="1" applyBorder="1" applyAlignment="1">
      <alignment horizontal="center" vertical="center"/>
    </xf>
    <xf numFmtId="0" fontId="37" fillId="16" borderId="10" xfId="0" applyFont="1" applyFill="1" applyBorder="1" applyAlignment="1">
      <alignment horizontal="center" vertical="center"/>
    </xf>
    <xf numFmtId="38" fontId="37" fillId="16" borderId="10" xfId="0" applyNumberFormat="1" applyFont="1" applyFill="1" applyBorder="1" applyAlignment="1">
      <alignment horizontal="center" vertical="center"/>
    </xf>
    <xf numFmtId="0" fontId="37" fillId="16" borderId="12" xfId="0" applyFont="1" applyFill="1" applyBorder="1" applyAlignment="1">
      <alignment horizontal="center" vertical="center"/>
    </xf>
    <xf numFmtId="0" fontId="38" fillId="16" borderId="10" xfId="0" applyFont="1" applyFill="1" applyBorder="1">
      <alignment vertical="center"/>
    </xf>
    <xf numFmtId="0" fontId="37" fillId="7" borderId="10" xfId="0" applyFont="1" applyFill="1" applyBorder="1" applyAlignment="1">
      <alignment horizontal="center" vertical="center"/>
    </xf>
    <xf numFmtId="0" fontId="13" fillId="0" borderId="0" xfId="0" applyFont="1" applyFill="1">
      <alignment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10" xfId="0" applyFont="1" applyFill="1" applyBorder="1">
      <alignment vertical="center"/>
    </xf>
    <xf numFmtId="56" fontId="0" fillId="0" borderId="10" xfId="0" applyNumberFormat="1" applyFont="1" applyFill="1" applyBorder="1" applyAlignment="1">
      <alignment horizontal="center" vertical="center"/>
    </xf>
    <xf numFmtId="178" fontId="0" fillId="0" borderId="10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shrinkToFit="1"/>
    </xf>
    <xf numFmtId="177" fontId="0" fillId="0" borderId="3" xfId="0" applyNumberFormat="1" applyFont="1" applyFill="1" applyBorder="1" applyAlignment="1">
      <alignment horizontal="center" vertical="center"/>
    </xf>
    <xf numFmtId="56" fontId="0" fillId="0" borderId="0" xfId="0" applyNumberFormat="1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vertical="center" shrinkToFit="1"/>
    </xf>
    <xf numFmtId="38" fontId="0" fillId="0" borderId="10" xfId="0" applyNumberFormat="1" applyBorder="1">
      <alignment vertical="center"/>
    </xf>
    <xf numFmtId="49" fontId="17" fillId="0" borderId="10" xfId="0" applyNumberFormat="1" applyFont="1" applyBorder="1" applyAlignment="1">
      <alignment horizontal="left" vertical="center"/>
    </xf>
    <xf numFmtId="38" fontId="0" fillId="0" borderId="10" xfId="0" applyNumberFormat="1" applyBorder="1" applyAlignment="1">
      <alignment horizontal="right" vertical="center"/>
    </xf>
    <xf numFmtId="49" fontId="13" fillId="0" borderId="10" xfId="0" applyNumberFormat="1" applyFont="1" applyBorder="1" applyAlignment="1">
      <alignment horizontal="left" vertical="center"/>
    </xf>
    <xf numFmtId="3" fontId="0" fillId="0" borderId="2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shrinkToFit="1"/>
    </xf>
    <xf numFmtId="3" fontId="0" fillId="0" borderId="23" xfId="0" applyNumberFormat="1" applyFont="1" applyFill="1" applyBorder="1" applyAlignment="1">
      <alignment horizontal="center" vertical="center"/>
    </xf>
    <xf numFmtId="0" fontId="0" fillId="0" borderId="8" xfId="0" applyFont="1" applyBorder="1" applyAlignment="1">
      <alignment vertical="center" shrinkToFit="1"/>
    </xf>
    <xf numFmtId="176" fontId="9" fillId="0" borderId="18" xfId="0" applyNumberFormat="1" applyFont="1" applyFill="1" applyBorder="1" applyAlignment="1">
      <alignment horizontal="center" vertical="center"/>
    </xf>
    <xf numFmtId="176" fontId="0" fillId="0" borderId="19" xfId="0" applyNumberFormat="1" applyFont="1" applyBorder="1" applyAlignment="1"/>
    <xf numFmtId="0" fontId="0" fillId="0" borderId="11" xfId="0" applyFont="1" applyBorder="1" applyAlignment="1">
      <alignment horizontal="left" vertical="center"/>
    </xf>
    <xf numFmtId="176" fontId="0" fillId="0" borderId="10" xfId="0" applyNumberFormat="1" applyFont="1" applyFill="1" applyBorder="1">
      <alignment vertical="center"/>
    </xf>
    <xf numFmtId="176" fontId="0" fillId="0" borderId="10" xfId="0" applyNumberFormat="1" applyFont="1" applyBorder="1" applyAlignment="1"/>
    <xf numFmtId="0" fontId="0" fillId="0" borderId="10" xfId="0" applyFont="1" applyBorder="1" applyAlignment="1">
      <alignment horizontal="left" vertical="center"/>
    </xf>
    <xf numFmtId="0" fontId="0" fillId="0" borderId="8" xfId="0" applyFont="1" applyFill="1" applyBorder="1" applyAlignment="1">
      <alignment vertical="center" shrinkToFit="1"/>
    </xf>
    <xf numFmtId="0" fontId="0" fillId="0" borderId="10" xfId="0" applyFont="1" applyBorder="1" applyAlignment="1">
      <alignment horizontal="left" vertical="center" shrinkToFit="1"/>
    </xf>
    <xf numFmtId="181" fontId="0" fillId="0" borderId="10" xfId="0" applyNumberFormat="1" applyBorder="1" applyAlignment="1">
      <alignment horizontal="right" vertical="center"/>
    </xf>
    <xf numFmtId="0" fontId="0" fillId="10" borderId="10" xfId="0" applyFill="1" applyBorder="1" applyAlignment="1">
      <alignment horizontal="right" vertical="center"/>
    </xf>
    <xf numFmtId="0" fontId="0" fillId="7" borderId="10" xfId="0" applyFill="1" applyBorder="1" applyAlignment="1">
      <alignment horizontal="left" vertical="center"/>
    </xf>
    <xf numFmtId="0" fontId="0" fillId="17" borderId="10" xfId="0" applyFill="1" applyBorder="1" applyAlignment="1">
      <alignment horizontal="left" vertical="center"/>
    </xf>
    <xf numFmtId="181" fontId="0" fillId="7" borderId="10" xfId="0" applyNumberFormat="1" applyFill="1" applyBorder="1" applyAlignment="1">
      <alignment horizontal="right" vertical="center"/>
    </xf>
    <xf numFmtId="176" fontId="0" fillId="0" borderId="1" xfId="0" applyNumberFormat="1" applyBorder="1" applyAlignment="1"/>
    <xf numFmtId="176" fontId="0" fillId="0" borderId="10" xfId="0" applyNumberFormat="1" applyBorder="1" applyAlignment="1">
      <alignment horizontal="right" vertical="center"/>
    </xf>
    <xf numFmtId="3" fontId="18" fillId="8" borderId="10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left" vertical="center"/>
    </xf>
    <xf numFmtId="176" fontId="0" fillId="8" borderId="10" xfId="0" applyNumberFormat="1" applyFill="1" applyBorder="1" applyAlignment="1">
      <alignment horizontal="right" vertical="center"/>
    </xf>
    <xf numFmtId="176" fontId="0" fillId="8" borderId="10" xfId="0" applyNumberFormat="1" applyFill="1" applyBorder="1">
      <alignment vertical="center"/>
    </xf>
    <xf numFmtId="0" fontId="0" fillId="8" borderId="12" xfId="0" applyFill="1" applyBorder="1" applyAlignment="1">
      <alignment horizontal="center" vertical="center"/>
    </xf>
    <xf numFmtId="0" fontId="15" fillId="8" borderId="10" xfId="0" applyFont="1" applyFill="1" applyBorder="1" applyAlignment="1">
      <alignment horizontal="left" vertical="center"/>
    </xf>
    <xf numFmtId="3" fontId="0" fillId="7" borderId="10" xfId="0" applyNumberForma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left" vertical="center"/>
    </xf>
    <xf numFmtId="181" fontId="19" fillId="7" borderId="10" xfId="0" applyNumberFormat="1" applyFont="1" applyFill="1" applyBorder="1" applyAlignment="1">
      <alignment horizontal="right" vertical="center"/>
    </xf>
    <xf numFmtId="0" fontId="18" fillId="7" borderId="10" xfId="0" applyFont="1" applyFill="1" applyBorder="1" applyAlignment="1">
      <alignment horizontal="left" vertical="center"/>
    </xf>
    <xf numFmtId="0" fontId="0" fillId="11" borderId="10" xfId="0" applyFill="1" applyBorder="1" applyAlignment="1">
      <alignment horizontal="left" vertical="center"/>
    </xf>
    <xf numFmtId="38" fontId="19" fillId="18" borderId="10" xfId="0" applyNumberFormat="1" applyFont="1" applyFill="1" applyBorder="1" applyAlignment="1">
      <alignment horizontal="right" vertical="center"/>
    </xf>
    <xf numFmtId="38" fontId="19" fillId="0" borderId="10" xfId="0" applyNumberFormat="1" applyFont="1" applyBorder="1" applyAlignment="1">
      <alignment horizontal="right" vertical="center"/>
    </xf>
    <xf numFmtId="0" fontId="19" fillId="0" borderId="12" xfId="0" applyFont="1" applyBorder="1" applyAlignment="1">
      <alignment horizontal="center" vertical="center"/>
    </xf>
    <xf numFmtId="38" fontId="0" fillId="18" borderId="10" xfId="0" applyNumberFormat="1" applyFill="1" applyBorder="1" applyAlignment="1">
      <alignment horizontal="right" vertical="center"/>
    </xf>
    <xf numFmtId="3" fontId="23" fillId="0" borderId="10" xfId="0" applyNumberFormat="1" applyFont="1" applyFill="1" applyBorder="1" applyAlignment="1">
      <alignment horizontal="center" vertical="center"/>
    </xf>
    <xf numFmtId="0" fontId="23" fillId="0" borderId="10" xfId="0" applyFont="1" applyFill="1" applyBorder="1">
      <alignment vertical="center"/>
    </xf>
    <xf numFmtId="0" fontId="23" fillId="0" borderId="12" xfId="0" applyFont="1" applyFill="1" applyBorder="1" applyAlignment="1">
      <alignment horizontal="center" vertical="center"/>
    </xf>
    <xf numFmtId="38" fontId="23" fillId="0" borderId="10" xfId="0" applyNumberFormat="1" applyFont="1" applyFill="1" applyBorder="1" applyAlignment="1">
      <alignment horizontal="center" vertical="center"/>
    </xf>
    <xf numFmtId="38" fontId="23" fillId="0" borderId="15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0" fillId="14" borderId="0" xfId="0" applyFont="1" applyFill="1">
      <alignment vertical="center"/>
    </xf>
    <xf numFmtId="0" fontId="10" fillId="14" borderId="0" xfId="0" applyFont="1" applyFill="1">
      <alignment vertical="center"/>
    </xf>
    <xf numFmtId="179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3" fontId="13" fillId="0" borderId="10" xfId="0" applyNumberFormat="1" applyFont="1" applyFill="1" applyBorder="1" applyAlignment="1">
      <alignment horizontal="left" vertical="center"/>
    </xf>
    <xf numFmtId="0" fontId="18" fillId="18" borderId="10" xfId="3" applyFill="1" applyBorder="1" applyAlignment="1">
      <alignment horizontal="center" vertical="center"/>
    </xf>
    <xf numFmtId="176" fontId="0" fillId="18" borderId="10" xfId="0" applyNumberForma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left" vertical="center" shrinkToFit="1"/>
    </xf>
    <xf numFmtId="0" fontId="27" fillId="18" borderId="10" xfId="0" applyFont="1" applyFill="1" applyBorder="1" applyAlignment="1">
      <alignment horizontal="center" vertical="center"/>
    </xf>
    <xf numFmtId="0" fontId="29" fillId="18" borderId="10" xfId="3" applyFont="1" applyFill="1" applyBorder="1" applyAlignment="1">
      <alignment horizontal="center" vertical="center"/>
    </xf>
    <xf numFmtId="176" fontId="27" fillId="0" borderId="10" xfId="0" applyNumberFormat="1" applyFont="1" applyBorder="1" applyAlignment="1">
      <alignment horizontal="center" vertical="center"/>
    </xf>
    <xf numFmtId="0" fontId="17" fillId="18" borderId="10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183" fontId="0" fillId="18" borderId="10" xfId="0" applyNumberForma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3" fontId="0" fillId="15" borderId="10" xfId="0" applyNumberFormat="1" applyFill="1" applyBorder="1" applyAlignment="1">
      <alignment horizontal="center" vertical="center"/>
    </xf>
    <xf numFmtId="0" fontId="32" fillId="15" borderId="10" xfId="0" applyFont="1" applyFill="1" applyBorder="1">
      <alignment vertical="center"/>
    </xf>
    <xf numFmtId="176" fontId="0" fillId="15" borderId="1" xfId="0" applyNumberFormat="1" applyFill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0" fontId="13" fillId="15" borderId="12" xfId="0" applyFont="1" applyFill="1" applyBorder="1">
      <alignment vertical="center"/>
    </xf>
    <xf numFmtId="0" fontId="36" fillId="15" borderId="10" xfId="0" applyFont="1" applyFill="1" applyBorder="1">
      <alignment vertical="center"/>
    </xf>
    <xf numFmtId="0" fontId="0" fillId="15" borderId="12" xfId="0" applyFill="1" applyBorder="1" applyAlignment="1">
      <alignment horizontal="right" vertical="center"/>
    </xf>
    <xf numFmtId="0" fontId="0" fillId="15" borderId="10" xfId="0" applyFill="1" applyBorder="1">
      <alignment vertical="center"/>
    </xf>
    <xf numFmtId="3" fontId="37" fillId="15" borderId="10" xfId="0" applyNumberFormat="1" applyFont="1" applyFill="1" applyBorder="1" applyAlignment="1">
      <alignment horizontal="center" vertical="center"/>
    </xf>
    <xf numFmtId="0" fontId="37" fillId="15" borderId="10" xfId="0" applyFont="1" applyFill="1" applyBorder="1" applyAlignment="1">
      <alignment horizontal="left" vertical="center"/>
    </xf>
    <xf numFmtId="181" fontId="38" fillId="15" borderId="10" xfId="0" applyNumberFormat="1" applyFont="1" applyFill="1" applyBorder="1" applyAlignment="1">
      <alignment horizontal="center" vertical="center"/>
    </xf>
    <xf numFmtId="0" fontId="37" fillId="15" borderId="10" xfId="0" applyFont="1" applyFill="1" applyBorder="1" applyAlignment="1">
      <alignment horizontal="center" vertical="center"/>
    </xf>
    <xf numFmtId="38" fontId="37" fillId="15" borderId="10" xfId="0" applyNumberFormat="1" applyFont="1" applyFill="1" applyBorder="1" applyAlignment="1">
      <alignment horizontal="center" vertical="center"/>
    </xf>
    <xf numFmtId="0" fontId="37" fillId="15" borderId="12" xfId="0" applyFont="1" applyFill="1" applyBorder="1" applyAlignment="1">
      <alignment horizontal="center" vertical="center"/>
    </xf>
    <xf numFmtId="0" fontId="38" fillId="15" borderId="10" xfId="0" applyFont="1" applyFill="1" applyBorder="1">
      <alignment vertical="center"/>
    </xf>
    <xf numFmtId="0" fontId="18" fillId="0" borderId="10" xfId="0" applyFont="1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 shrinkToFit="1"/>
    </xf>
    <xf numFmtId="3" fontId="19" fillId="15" borderId="10" xfId="0" applyNumberFormat="1" applyFont="1" applyFill="1" applyBorder="1" applyAlignment="1">
      <alignment horizontal="center" vertical="center"/>
    </xf>
    <xf numFmtId="49" fontId="19" fillId="15" borderId="10" xfId="0" applyNumberFormat="1" applyFont="1" applyFill="1" applyBorder="1" applyAlignment="1">
      <alignment horizontal="left" vertical="center"/>
    </xf>
    <xf numFmtId="38" fontId="19" fillId="15" borderId="10" xfId="0" applyNumberFormat="1" applyFont="1" applyFill="1" applyBorder="1" applyAlignment="1">
      <alignment horizontal="center" vertical="center"/>
    </xf>
    <xf numFmtId="182" fontId="0" fillId="15" borderId="10" xfId="0" applyNumberFormat="1" applyFill="1" applyBorder="1" applyAlignment="1">
      <alignment horizontal="center" vertical="center"/>
    </xf>
    <xf numFmtId="0" fontId="19" fillId="15" borderId="10" xfId="0" applyFont="1" applyFill="1" applyBorder="1">
      <alignment vertical="center"/>
    </xf>
    <xf numFmtId="3" fontId="0" fillId="18" borderId="10" xfId="0" applyNumberFormat="1" applyFill="1" applyBorder="1" applyAlignment="1">
      <alignment horizontal="center" vertical="center"/>
    </xf>
    <xf numFmtId="3" fontId="27" fillId="19" borderId="10" xfId="0" applyNumberFormat="1" applyFont="1" applyFill="1" applyBorder="1" applyAlignment="1">
      <alignment horizontal="center" vertical="center"/>
    </xf>
    <xf numFmtId="0" fontId="0" fillId="19" borderId="10" xfId="0" applyFill="1" applyBorder="1" applyAlignment="1">
      <alignment horizontal="left" vertical="center"/>
    </xf>
    <xf numFmtId="0" fontId="19" fillId="18" borderId="10" xfId="0" applyFont="1" applyFill="1" applyBorder="1" applyAlignment="1">
      <alignment horizontal="center" vertical="center"/>
    </xf>
    <xf numFmtId="176" fontId="29" fillId="0" borderId="10" xfId="0" applyNumberFormat="1" applyFont="1" applyBorder="1" applyAlignment="1">
      <alignment horizontal="center" vertical="center"/>
    </xf>
    <xf numFmtId="0" fontId="5" fillId="0" borderId="9" xfId="0" applyFont="1" applyFill="1" applyBorder="1">
      <alignment vertical="center"/>
    </xf>
    <xf numFmtId="0" fontId="5" fillId="0" borderId="19" xfId="0" applyFont="1" applyFill="1" applyBorder="1" applyAlignment="1">
      <alignment horizontal="center" vertical="center"/>
    </xf>
    <xf numFmtId="176" fontId="10" fillId="0" borderId="19" xfId="0" applyNumberFormat="1" applyFont="1" applyFill="1" applyBorder="1" applyAlignment="1">
      <alignment horizontal="center" vertical="center"/>
    </xf>
    <xf numFmtId="176" fontId="0" fillId="0" borderId="20" xfId="0" applyNumberFormat="1" applyFont="1" applyFill="1" applyBorder="1" applyAlignment="1">
      <alignment horizontal="center" vertical="center"/>
    </xf>
    <xf numFmtId="176" fontId="0" fillId="0" borderId="7" xfId="0" applyNumberFormat="1" applyFont="1" applyFill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0" fontId="5" fillId="0" borderId="24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0" fillId="0" borderId="25" xfId="0" applyNumberFormat="1" applyFont="1" applyFill="1" applyBorder="1" applyAlignment="1">
      <alignment horizontal="center" vertical="center"/>
    </xf>
    <xf numFmtId="3" fontId="13" fillId="0" borderId="10" xfId="0" applyNumberFormat="1" applyFont="1" applyFill="1" applyBorder="1" applyAlignment="1">
      <alignment horizontal="center" vertical="center"/>
    </xf>
    <xf numFmtId="0" fontId="5" fillId="0" borderId="10" xfId="0" applyFont="1" applyFill="1" applyBorder="1">
      <alignment vertical="center"/>
    </xf>
    <xf numFmtId="0" fontId="5" fillId="0" borderId="10" xfId="0" applyFont="1" applyFill="1" applyBorder="1" applyAlignment="1">
      <alignment horizontal="center" vertical="center"/>
    </xf>
    <xf numFmtId="176" fontId="10" fillId="0" borderId="10" xfId="0" applyNumberFormat="1" applyFont="1" applyFill="1" applyBorder="1" applyAlignment="1">
      <alignment horizontal="center" vertical="center"/>
    </xf>
    <xf numFmtId="176" fontId="0" fillId="0" borderId="10" xfId="0" applyNumberFormat="1" applyFont="1" applyFill="1" applyBorder="1" applyAlignment="1">
      <alignment horizontal="center" vertical="center"/>
    </xf>
    <xf numFmtId="3" fontId="0" fillId="0" borderId="10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left" vertical="center"/>
    </xf>
    <xf numFmtId="0" fontId="5" fillId="8" borderId="10" xfId="0" applyFont="1" applyFill="1" applyBorder="1">
      <alignment vertical="center"/>
    </xf>
    <xf numFmtId="0" fontId="0" fillId="14" borderId="10" xfId="0" applyFill="1" applyBorder="1" applyAlignment="1">
      <alignment horizontal="left" vertical="center"/>
    </xf>
    <xf numFmtId="181" fontId="0" fillId="14" borderId="10" xfId="0" applyNumberFormat="1" applyFill="1" applyBorder="1" applyAlignment="1">
      <alignment horizontal="right" vertical="center"/>
    </xf>
    <xf numFmtId="181" fontId="0" fillId="11" borderId="10" xfId="0" applyNumberFormat="1" applyFill="1" applyBorder="1" applyAlignment="1">
      <alignment horizontal="right" vertical="center"/>
    </xf>
    <xf numFmtId="0" fontId="0" fillId="11" borderId="10" xfId="0" applyFill="1" applyBorder="1" applyAlignment="1">
      <alignment horizontal="right" vertical="center"/>
    </xf>
    <xf numFmtId="176" fontId="0" fillId="11" borderId="10" xfId="0" applyNumberFormat="1" applyFill="1" applyBorder="1">
      <alignment vertical="center"/>
    </xf>
    <xf numFmtId="49" fontId="23" fillId="11" borderId="10" xfId="0" applyNumberFormat="1" applyFont="1" applyFill="1" applyBorder="1" applyAlignment="1">
      <alignment horizontal="left" vertical="center"/>
    </xf>
    <xf numFmtId="176" fontId="13" fillId="0" borderId="10" xfId="0" applyNumberFormat="1" applyFont="1" applyBorder="1" applyAlignment="1">
      <alignment horizontal="center" vertical="center"/>
    </xf>
    <xf numFmtId="176" fontId="0" fillId="0" borderId="10" xfId="0" applyNumberFormat="1" applyFill="1" applyBorder="1">
      <alignment vertical="center"/>
    </xf>
    <xf numFmtId="176" fontId="0" fillId="0" borderId="10" xfId="0" applyNumberFormat="1" applyFill="1" applyBorder="1" applyAlignment="1"/>
    <xf numFmtId="0" fontId="13" fillId="0" borderId="10" xfId="0" applyFont="1" applyBorder="1" applyAlignment="1">
      <alignment horizontal="left" vertical="center"/>
    </xf>
    <xf numFmtId="3" fontId="0" fillId="19" borderId="10" xfId="0" applyNumberFormat="1" applyFill="1" applyBorder="1" applyAlignment="1">
      <alignment horizontal="center" vertical="center"/>
    </xf>
    <xf numFmtId="49" fontId="13" fillId="19" borderId="10" xfId="0" applyNumberFormat="1" applyFont="1" applyFill="1" applyBorder="1" applyAlignment="1">
      <alignment horizontal="left" vertical="center"/>
    </xf>
    <xf numFmtId="176" fontId="0" fillId="19" borderId="10" xfId="0" applyNumberFormat="1" applyFill="1" applyBorder="1" applyAlignment="1">
      <alignment horizontal="center" vertical="center"/>
    </xf>
    <xf numFmtId="176" fontId="0" fillId="19" borderId="10" xfId="0" applyNumberFormat="1" applyFill="1" applyBorder="1">
      <alignment vertical="center"/>
    </xf>
    <xf numFmtId="176" fontId="13" fillId="0" borderId="10" xfId="0" applyNumberFormat="1" applyFont="1" applyBorder="1">
      <alignment vertical="center"/>
    </xf>
    <xf numFmtId="176" fontId="13" fillId="19" borderId="10" xfId="0" applyNumberFormat="1" applyFont="1" applyFill="1" applyBorder="1">
      <alignment vertical="center"/>
    </xf>
    <xf numFmtId="176" fontId="13" fillId="19" borderId="10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 shrinkToFit="1"/>
    </xf>
    <xf numFmtId="49" fontId="19" fillId="19" borderId="10" xfId="0" applyNumberFormat="1" applyFont="1" applyFill="1" applyBorder="1" applyAlignment="1">
      <alignment horizontal="left" vertical="center"/>
    </xf>
    <xf numFmtId="176" fontId="19" fillId="19" borderId="10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49" fontId="13" fillId="19" borderId="10" xfId="0" applyNumberFormat="1" applyFont="1" applyFill="1" applyBorder="1" applyAlignment="1">
      <alignment horizontal="left" vertical="center" wrapText="1"/>
    </xf>
    <xf numFmtId="3" fontId="13" fillId="0" borderId="10" xfId="0" applyNumberFormat="1" applyFont="1" applyBorder="1" applyAlignment="1">
      <alignment horizontal="center" vertical="center"/>
    </xf>
    <xf numFmtId="0" fontId="0" fillId="0" borderId="10" xfId="0" applyFill="1" applyBorder="1" applyAlignment="1">
      <alignment horizontal="right" vertical="center"/>
    </xf>
    <xf numFmtId="3" fontId="25" fillId="11" borderId="10" xfId="0" applyNumberFormat="1" applyFont="1" applyFill="1" applyBorder="1" applyAlignment="1">
      <alignment horizontal="center" vertical="center"/>
    </xf>
    <xf numFmtId="3" fontId="25" fillId="11" borderId="12" xfId="0" applyNumberFormat="1" applyFont="1" applyFill="1" applyBorder="1" applyAlignment="1">
      <alignment horizontal="center" vertical="center"/>
    </xf>
    <xf numFmtId="182" fontId="23" fillId="11" borderId="10" xfId="0" applyNumberFormat="1" applyFont="1" applyFill="1" applyBorder="1" applyAlignment="1">
      <alignment horizontal="center" vertical="center"/>
    </xf>
    <xf numFmtId="176" fontId="25" fillId="11" borderId="12" xfId="0" applyNumberFormat="1" applyFont="1" applyFill="1" applyBorder="1">
      <alignment vertical="center"/>
    </xf>
    <xf numFmtId="0" fontId="25" fillId="11" borderId="12" xfId="3" applyFont="1" applyFill="1" applyBorder="1" applyAlignment="1">
      <alignment horizontal="left" vertical="center"/>
    </xf>
    <xf numFmtId="0" fontId="23" fillId="11" borderId="12" xfId="0" applyFont="1" applyFill="1" applyBorder="1">
      <alignment vertical="center"/>
    </xf>
    <xf numFmtId="0" fontId="1" fillId="0" borderId="0" xfId="2">
      <alignment vertical="center"/>
    </xf>
    <xf numFmtId="176" fontId="19" fillId="19" borderId="10" xfId="0" applyNumberFormat="1" applyFont="1" applyFill="1" applyBorder="1">
      <alignment vertical="center"/>
    </xf>
    <xf numFmtId="176" fontId="19" fillId="0" borderId="10" xfId="0" applyNumberFormat="1" applyFont="1" applyFill="1" applyBorder="1">
      <alignment vertical="center"/>
    </xf>
    <xf numFmtId="0" fontId="13" fillId="7" borderId="10" xfId="0" applyFont="1" applyFill="1" applyBorder="1" applyAlignment="1">
      <alignment horizontal="left" vertical="center"/>
    </xf>
    <xf numFmtId="181" fontId="0" fillId="0" borderId="10" xfId="0" applyNumberFormat="1" applyFill="1" applyBorder="1" applyAlignment="1">
      <alignment horizontal="right" vertical="center"/>
    </xf>
    <xf numFmtId="0" fontId="13" fillId="0" borderId="10" xfId="0" applyFont="1" applyFill="1" applyBorder="1" applyAlignment="1">
      <alignment horizontal="left" vertical="center"/>
    </xf>
    <xf numFmtId="0" fontId="1" fillId="0" borderId="0" xfId="2" applyFill="1">
      <alignment vertical="center"/>
    </xf>
    <xf numFmtId="0" fontId="19" fillId="0" borderId="10" xfId="0" applyNumberFormat="1" applyFont="1" applyFill="1" applyBorder="1" applyAlignment="1">
      <alignment horizontal="center" vertical="center"/>
    </xf>
    <xf numFmtId="176" fontId="18" fillId="0" borderId="13" xfId="0" applyNumberFormat="1" applyFont="1" applyFill="1" applyBorder="1" applyAlignment="1">
      <alignment horizontal="center" vertical="center"/>
    </xf>
    <xf numFmtId="176" fontId="18" fillId="0" borderId="14" xfId="0" applyNumberFormat="1" applyFont="1" applyFill="1" applyBorder="1" applyAlignment="1"/>
    <xf numFmtId="0" fontId="19" fillId="0" borderId="10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181" fontId="23" fillId="11" borderId="10" xfId="0" applyNumberFormat="1" applyFont="1" applyFill="1" applyBorder="1" applyAlignment="1">
      <alignment horizontal="right" vertical="center"/>
    </xf>
    <xf numFmtId="0" fontId="23" fillId="11" borderId="10" xfId="0" applyFont="1" applyFill="1" applyBorder="1" applyAlignment="1">
      <alignment horizontal="right" vertical="center"/>
    </xf>
    <xf numFmtId="176" fontId="23" fillId="11" borderId="10" xfId="0" applyNumberFormat="1" applyFont="1" applyFill="1" applyBorder="1">
      <alignment vertical="center"/>
    </xf>
    <xf numFmtId="176" fontId="23" fillId="11" borderId="10" xfId="0" applyNumberFormat="1" applyFont="1" applyFill="1" applyBorder="1" applyAlignment="1">
      <alignment horizontal="right" vertical="center"/>
    </xf>
    <xf numFmtId="0" fontId="25" fillId="11" borderId="10" xfId="0" applyFont="1" applyFill="1" applyBorder="1" applyAlignment="1">
      <alignment horizontal="left" vertical="center"/>
    </xf>
    <xf numFmtId="49" fontId="13" fillId="11" borderId="10" xfId="0" applyNumberFormat="1" applyFont="1" applyFill="1" applyBorder="1" applyAlignment="1">
      <alignment horizontal="left" vertical="center"/>
    </xf>
    <xf numFmtId="0" fontId="19" fillId="19" borderId="10" xfId="0" applyFont="1" applyFill="1" applyBorder="1" applyAlignment="1">
      <alignment horizontal="center" vertical="center"/>
    </xf>
    <xf numFmtId="38" fontId="19" fillId="19" borderId="10" xfId="0" applyNumberFormat="1" applyFont="1" applyFill="1" applyBorder="1" applyAlignment="1">
      <alignment horizontal="right" vertical="center"/>
    </xf>
    <xf numFmtId="3" fontId="13" fillId="19" borderId="10" xfId="0" applyNumberFormat="1" applyFont="1" applyFill="1" applyBorder="1" applyAlignment="1">
      <alignment horizontal="left" vertical="center"/>
    </xf>
    <xf numFmtId="0" fontId="0" fillId="19" borderId="10" xfId="0" applyFill="1" applyBorder="1" applyAlignment="1">
      <alignment horizontal="center" vertical="center"/>
    </xf>
    <xf numFmtId="49" fontId="13" fillId="19" borderId="10" xfId="0" applyNumberFormat="1" applyFont="1" applyFill="1" applyBorder="1" applyAlignment="1">
      <alignment horizontal="left" vertical="center" shrinkToFit="1"/>
    </xf>
    <xf numFmtId="0" fontId="18" fillId="19" borderId="10" xfId="3" applyFill="1" applyBorder="1" applyAlignment="1">
      <alignment horizontal="center" vertical="center"/>
    </xf>
    <xf numFmtId="0" fontId="19" fillId="19" borderId="10" xfId="4" applyFont="1" applyFill="1" applyBorder="1" applyAlignment="1">
      <alignment horizontal="left" vertical="center"/>
    </xf>
    <xf numFmtId="181" fontId="19" fillId="19" borderId="10" xfId="4" applyNumberFormat="1" applyFont="1" applyFill="1" applyBorder="1" applyAlignment="1">
      <alignment horizontal="center" vertical="center"/>
    </xf>
    <xf numFmtId="0" fontId="19" fillId="19" borderId="10" xfId="4" applyFont="1" applyFill="1" applyBorder="1" applyAlignment="1">
      <alignment horizontal="center" vertical="center"/>
    </xf>
    <xf numFmtId="3" fontId="18" fillId="19" borderId="10" xfId="0" applyNumberFormat="1" applyFont="1" applyFill="1" applyBorder="1" applyAlignment="1">
      <alignment horizontal="center" vertical="center"/>
    </xf>
    <xf numFmtId="181" fontId="0" fillId="19" borderId="10" xfId="0" applyNumberFormat="1" applyFill="1" applyBorder="1" applyAlignment="1">
      <alignment horizontal="right" vertical="center"/>
    </xf>
    <xf numFmtId="0" fontId="0" fillId="19" borderId="10" xfId="0" applyFill="1" applyBorder="1" applyAlignment="1">
      <alignment horizontal="right" vertical="center"/>
    </xf>
    <xf numFmtId="56" fontId="13" fillId="0" borderId="10" xfId="0" applyNumberFormat="1" applyFont="1" applyFill="1" applyBorder="1" applyAlignment="1">
      <alignment horizontal="center" vertical="center"/>
    </xf>
    <xf numFmtId="0" fontId="33" fillId="0" borderId="10" xfId="3" applyFont="1" applyBorder="1" applyAlignment="1">
      <alignment horizontal="left" vertical="center" wrapText="1"/>
    </xf>
    <xf numFmtId="178" fontId="13" fillId="0" borderId="10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176" fontId="9" fillId="5" borderId="19" xfId="0" applyNumberFormat="1" applyFont="1" applyFill="1" applyBorder="1" applyAlignment="1">
      <alignment horizontal="center" vertical="center"/>
    </xf>
    <xf numFmtId="176" fontId="9" fillId="5" borderId="20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7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3" fontId="28" fillId="10" borderId="12" xfId="0" applyNumberFormat="1" applyFont="1" applyFill="1" applyBorder="1" applyAlignment="1">
      <alignment horizontal="center" vertical="center"/>
    </xf>
    <xf numFmtId="3" fontId="28" fillId="10" borderId="17" xfId="0" applyNumberFormat="1" applyFont="1" applyFill="1" applyBorder="1" applyAlignment="1">
      <alignment horizontal="center" vertical="center"/>
    </xf>
    <xf numFmtId="3" fontId="28" fillId="10" borderId="15" xfId="0" applyNumberFormat="1" applyFont="1" applyFill="1" applyBorder="1" applyAlignment="1">
      <alignment horizontal="center" vertical="center"/>
    </xf>
    <xf numFmtId="176" fontId="31" fillId="8" borderId="12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176" fontId="31" fillId="8" borderId="15" xfId="0" applyNumberFormat="1" applyFont="1" applyFill="1" applyBorder="1" applyAlignment="1">
      <alignment horizontal="center" vertical="center"/>
    </xf>
    <xf numFmtId="3" fontId="39" fillId="2" borderId="10" xfId="0" applyNumberFormat="1" applyFont="1" applyFill="1" applyBorder="1" applyAlignment="1">
      <alignment horizontal="center" vertical="center"/>
    </xf>
    <xf numFmtId="3" fontId="20" fillId="2" borderId="13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28" fillId="8" borderId="12" xfId="0" applyNumberFormat="1" applyFont="1" applyFill="1" applyBorder="1" applyAlignment="1">
      <alignment horizontal="center" vertical="center"/>
    </xf>
    <xf numFmtId="3" fontId="28" fillId="8" borderId="17" xfId="0" applyNumberFormat="1" applyFont="1" applyFill="1" applyBorder="1" applyAlignment="1">
      <alignment horizontal="center" vertical="center"/>
    </xf>
    <xf numFmtId="3" fontId="28" fillId="8" borderId="15" xfId="0" applyNumberFormat="1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5484-3D68-4E4D-94ED-EDD2DECC8132}">
  <sheetPr>
    <tabColor rgb="FFFFC000"/>
  </sheetPr>
  <dimension ref="A2:S186"/>
  <sheetViews>
    <sheetView tabSelected="1" zoomScale="60" zoomScaleNormal="60" workbookViewId="0">
      <pane xSplit="11" ySplit="8" topLeftCell="L141" activePane="bottomRight" state="frozen"/>
      <selection activeCell="D26" sqref="D26"/>
      <selection pane="topRight" activeCell="D26" sqref="D26"/>
      <selection pane="bottomLeft" activeCell="D26" sqref="D26"/>
      <selection pane="bottomRight" activeCell="A176" sqref="A176:XFD176"/>
    </sheetView>
  </sheetViews>
  <sheetFormatPr defaultColWidth="11.75" defaultRowHeight="13.5" customHeight="1"/>
  <cols>
    <col min="1" max="1" width="18.625" style="112" customWidth="1"/>
    <col min="2" max="2" width="3.125" style="112" customWidth="1"/>
    <col min="3" max="3" width="6.25" style="14" customWidth="1"/>
    <col min="4" max="4" width="15.25" style="112" customWidth="1"/>
    <col min="5" max="5" width="15.5" style="112" customWidth="1"/>
    <col min="6" max="6" width="71.5" style="112" customWidth="1"/>
    <col min="7" max="7" width="10.75" style="14" customWidth="1"/>
    <col min="8" max="9" width="12.125" style="14" customWidth="1"/>
    <col min="10" max="10" width="7.125" style="19" customWidth="1"/>
    <col min="11" max="11" width="50.5" style="112" customWidth="1"/>
    <col min="12" max="12" width="45.25" style="112" customWidth="1"/>
    <col min="13" max="13" width="8.125" style="14" customWidth="1"/>
    <col min="14" max="14" width="17" style="14" customWidth="1"/>
    <col min="15" max="15" width="7.875" style="112" customWidth="1"/>
    <col min="16" max="16" width="16.375" style="14" customWidth="1"/>
    <col min="17" max="17" width="17.875" style="158" customWidth="1"/>
    <col min="18" max="18" width="19.375" style="158" customWidth="1"/>
    <col min="19" max="16384" width="11.75" style="112"/>
  </cols>
  <sheetData>
    <row r="2" spans="1:18" ht="20.100000000000001" customHeight="1">
      <c r="C2" s="632" t="s">
        <v>0</v>
      </c>
      <c r="D2" s="632"/>
      <c r="E2" s="632"/>
      <c r="F2" s="108" t="s">
        <v>639</v>
      </c>
      <c r="H2" s="633" t="s">
        <v>2</v>
      </c>
      <c r="I2" s="634"/>
      <c r="J2" s="635"/>
      <c r="K2" s="18">
        <f>SUM(I:I)</f>
        <v>298710</v>
      </c>
    </row>
    <row r="3" spans="1:18" ht="20.100000000000001" customHeight="1">
      <c r="C3" s="632" t="s">
        <v>3</v>
      </c>
      <c r="D3" s="632"/>
      <c r="E3" s="632"/>
      <c r="F3" s="16" t="s">
        <v>310</v>
      </c>
    </row>
    <row r="4" spans="1:18" ht="20.100000000000001" customHeight="1">
      <c r="C4" s="632" t="s">
        <v>5</v>
      </c>
      <c r="D4" s="632"/>
      <c r="E4" s="632"/>
      <c r="F4" s="16" t="s">
        <v>638</v>
      </c>
      <c r="H4" s="636" t="s">
        <v>374</v>
      </c>
      <c r="I4" s="636"/>
      <c r="J4" s="636"/>
      <c r="K4" s="636"/>
      <c r="L4" s="300"/>
    </row>
    <row r="5" spans="1:18" ht="20.100000000000001" customHeight="1">
      <c r="C5" s="632" t="s">
        <v>6</v>
      </c>
      <c r="D5" s="632"/>
      <c r="E5" s="632"/>
      <c r="F5" s="17">
        <v>44533</v>
      </c>
      <c r="H5" s="636"/>
      <c r="I5" s="636"/>
      <c r="J5" s="636"/>
      <c r="K5" s="636"/>
    </row>
    <row r="6" spans="1:18" ht="20.100000000000001" customHeight="1">
      <c r="C6" s="632" t="s">
        <v>7</v>
      </c>
      <c r="D6" s="632"/>
      <c r="E6" s="632"/>
      <c r="F6" s="17">
        <v>44533</v>
      </c>
      <c r="H6" s="371"/>
      <c r="I6" s="311"/>
    </row>
    <row r="8" spans="1:18" s="14" customFormat="1" ht="19.5" customHeight="1">
      <c r="C8" s="8" t="s">
        <v>8</v>
      </c>
      <c r="D8" s="8" t="s">
        <v>9</v>
      </c>
      <c r="E8" s="8" t="s">
        <v>10</v>
      </c>
      <c r="F8" s="70" t="s">
        <v>11</v>
      </c>
      <c r="G8" s="70" t="s">
        <v>12</v>
      </c>
      <c r="H8" s="70" t="s">
        <v>13</v>
      </c>
      <c r="I8" s="6" t="s">
        <v>14</v>
      </c>
      <c r="J8" s="6" t="s">
        <v>15</v>
      </c>
      <c r="K8" s="70" t="s">
        <v>16</v>
      </c>
      <c r="L8" s="70" t="s">
        <v>17</v>
      </c>
      <c r="M8" s="70" t="s">
        <v>18</v>
      </c>
      <c r="N8" s="76" t="s">
        <v>19</v>
      </c>
      <c r="O8" s="8" t="s">
        <v>20</v>
      </c>
      <c r="P8" s="70" t="s">
        <v>21</v>
      </c>
      <c r="Q8" s="76" t="s">
        <v>22</v>
      </c>
      <c r="R8" s="15" t="s">
        <v>23</v>
      </c>
    </row>
    <row r="9" spans="1:18" s="14" customFormat="1" ht="19.5" customHeight="1">
      <c r="C9" s="8"/>
      <c r="D9" s="8"/>
      <c r="E9" s="8"/>
      <c r="F9" s="71"/>
      <c r="G9" s="68"/>
      <c r="H9" s="68"/>
      <c r="I9" s="68"/>
      <c r="J9" s="21"/>
      <c r="K9" s="69"/>
      <c r="L9" s="70"/>
      <c r="M9" s="70"/>
      <c r="N9" s="76"/>
      <c r="O9" s="8"/>
      <c r="P9" s="70"/>
      <c r="Q9" s="76"/>
      <c r="R9" s="15"/>
    </row>
    <row r="10" spans="1:18" ht="18" customHeight="1">
      <c r="C10" s="640" t="s">
        <v>24</v>
      </c>
      <c r="D10" s="641"/>
      <c r="E10" s="641"/>
      <c r="F10" s="642"/>
      <c r="G10" s="111"/>
      <c r="H10" s="111"/>
      <c r="I10" s="68"/>
      <c r="J10" s="21"/>
      <c r="K10" s="45"/>
      <c r="L10" s="71"/>
      <c r="M10" s="11"/>
      <c r="N10" s="76"/>
      <c r="O10" s="15"/>
      <c r="P10" s="15"/>
      <c r="Q10" s="76"/>
      <c r="R10" s="24"/>
    </row>
    <row r="11" spans="1:18" s="216" customFormat="1" ht="18" customHeight="1">
      <c r="A11" s="450"/>
      <c r="C11" s="451"/>
      <c r="D11" s="164"/>
      <c r="E11" s="164"/>
      <c r="F11" s="463"/>
      <c r="G11" s="169"/>
      <c r="H11" s="170"/>
      <c r="I11" s="170"/>
      <c r="J11" s="190"/>
      <c r="K11" s="180"/>
      <c r="L11" s="459"/>
      <c r="M11" s="356"/>
      <c r="N11" s="453"/>
      <c r="O11" s="452"/>
      <c r="P11" s="453"/>
      <c r="Q11" s="453"/>
      <c r="R11" s="454"/>
    </row>
    <row r="12" spans="1:18" s="216" customFormat="1" ht="18" customHeight="1">
      <c r="A12" s="588" t="s">
        <v>558</v>
      </c>
      <c r="B12" s="504"/>
      <c r="C12" s="451">
        <v>1</v>
      </c>
      <c r="D12" s="578" t="s">
        <v>470</v>
      </c>
      <c r="E12" s="578" t="s">
        <v>145</v>
      </c>
      <c r="F12" s="579" t="s">
        <v>566</v>
      </c>
      <c r="G12" s="580">
        <v>1</v>
      </c>
      <c r="H12" s="581">
        <v>15321</v>
      </c>
      <c r="I12" s="170">
        <f t="shared" ref="I12:I17" si="0">G12*H12</f>
        <v>15321</v>
      </c>
      <c r="J12" s="190"/>
      <c r="K12" s="233" t="s">
        <v>517</v>
      </c>
      <c r="L12" s="459"/>
      <c r="M12" s="356"/>
      <c r="N12" s="453"/>
      <c r="O12" s="452"/>
      <c r="P12" s="453"/>
      <c r="Q12" s="453"/>
      <c r="R12" s="454"/>
    </row>
    <row r="13" spans="1:18" s="216" customFormat="1" ht="18" customHeight="1">
      <c r="A13" s="588" t="s">
        <v>492</v>
      </c>
      <c r="B13" s="504"/>
      <c r="C13" s="451">
        <f>C12+1</f>
        <v>2</v>
      </c>
      <c r="D13" s="164" t="s">
        <v>145</v>
      </c>
      <c r="E13" s="164" t="s">
        <v>145</v>
      </c>
      <c r="F13" s="463" t="s">
        <v>518</v>
      </c>
      <c r="G13" s="169">
        <v>2</v>
      </c>
      <c r="H13" s="170">
        <v>1260</v>
      </c>
      <c r="I13" s="170">
        <f t="shared" si="0"/>
        <v>2520</v>
      </c>
      <c r="J13" s="179"/>
      <c r="K13" s="180" t="s">
        <v>387</v>
      </c>
      <c r="L13" s="459"/>
      <c r="M13" s="356"/>
      <c r="N13" s="453"/>
      <c r="O13" s="452"/>
      <c r="P13" s="453"/>
      <c r="Q13" s="453"/>
      <c r="R13" s="454"/>
    </row>
    <row r="14" spans="1:18" s="216" customFormat="1" ht="18" customHeight="1">
      <c r="A14" s="162" t="s">
        <v>484</v>
      </c>
      <c r="B14" s="504"/>
      <c r="C14" s="451">
        <f>C13+1</f>
        <v>3</v>
      </c>
      <c r="D14" s="164" t="s">
        <v>145</v>
      </c>
      <c r="E14" s="164" t="s">
        <v>145</v>
      </c>
      <c r="F14" s="463" t="s">
        <v>519</v>
      </c>
      <c r="G14" s="169"/>
      <c r="H14" s="170">
        <v>19</v>
      </c>
      <c r="I14" s="170">
        <f t="shared" si="0"/>
        <v>0</v>
      </c>
      <c r="J14" s="190"/>
      <c r="K14" s="233" t="s">
        <v>580</v>
      </c>
      <c r="L14" s="459"/>
      <c r="M14" s="356"/>
      <c r="N14" s="453"/>
      <c r="O14" s="452"/>
      <c r="P14" s="453"/>
      <c r="Q14" s="453"/>
      <c r="R14" s="454"/>
    </row>
    <row r="15" spans="1:18" s="216" customFormat="1" ht="18" customHeight="1">
      <c r="A15" s="162" t="s">
        <v>484</v>
      </c>
      <c r="B15" s="504"/>
      <c r="C15" s="451">
        <f t="shared" ref="C15:C60" si="1">C14+1</f>
        <v>4</v>
      </c>
      <c r="D15" s="164" t="s">
        <v>145</v>
      </c>
      <c r="E15" s="164" t="s">
        <v>145</v>
      </c>
      <c r="F15" s="573" t="s">
        <v>520</v>
      </c>
      <c r="G15" s="273"/>
      <c r="H15" s="170">
        <v>23</v>
      </c>
      <c r="I15" s="170">
        <f t="shared" si="0"/>
        <v>0</v>
      </c>
      <c r="J15" s="190"/>
      <c r="K15" s="233" t="s">
        <v>588</v>
      </c>
      <c r="L15" s="459"/>
      <c r="M15" s="356"/>
      <c r="N15" s="453"/>
      <c r="O15" s="452"/>
      <c r="P15" s="453"/>
      <c r="Q15" s="453"/>
      <c r="R15" s="454"/>
    </row>
    <row r="16" spans="1:18" s="216" customFormat="1" ht="18" customHeight="1">
      <c r="A16" s="162" t="s">
        <v>484</v>
      </c>
      <c r="B16" s="504"/>
      <c r="C16" s="451">
        <f t="shared" si="1"/>
        <v>5</v>
      </c>
      <c r="D16" s="164" t="s">
        <v>145</v>
      </c>
      <c r="E16" s="164" t="s">
        <v>145</v>
      </c>
      <c r="F16" s="573" t="s">
        <v>522</v>
      </c>
      <c r="G16" s="273"/>
      <c r="H16" s="170">
        <v>23</v>
      </c>
      <c r="I16" s="170">
        <f t="shared" si="0"/>
        <v>0</v>
      </c>
      <c r="J16" s="190"/>
      <c r="K16" s="233" t="s">
        <v>590</v>
      </c>
      <c r="L16" s="459"/>
      <c r="M16" s="356"/>
      <c r="N16" s="453"/>
      <c r="O16" s="452"/>
      <c r="P16" s="453"/>
      <c r="Q16" s="453"/>
      <c r="R16" s="454"/>
    </row>
    <row r="17" spans="1:18" s="216" customFormat="1" ht="18" customHeight="1">
      <c r="A17" s="162" t="s">
        <v>484</v>
      </c>
      <c r="B17" s="504"/>
      <c r="C17" s="451">
        <f t="shared" si="1"/>
        <v>6</v>
      </c>
      <c r="D17" s="578" t="s">
        <v>145</v>
      </c>
      <c r="E17" s="578" t="s">
        <v>145</v>
      </c>
      <c r="F17" s="586" t="s">
        <v>529</v>
      </c>
      <c r="G17" s="587">
        <v>4</v>
      </c>
      <c r="H17" s="581">
        <v>70</v>
      </c>
      <c r="I17" s="170">
        <f t="shared" si="0"/>
        <v>280</v>
      </c>
      <c r="J17" s="190"/>
      <c r="K17" s="585" t="s">
        <v>553</v>
      </c>
      <c r="L17" s="459"/>
      <c r="M17" s="356"/>
      <c r="N17" s="453"/>
      <c r="O17" s="452"/>
      <c r="P17" s="453"/>
      <c r="Q17" s="453"/>
      <c r="R17" s="454"/>
    </row>
    <row r="18" spans="1:18" s="216" customFormat="1" ht="18" customHeight="1">
      <c r="A18" s="588" t="s">
        <v>558</v>
      </c>
      <c r="B18" s="504"/>
      <c r="C18" s="451">
        <f t="shared" si="1"/>
        <v>7</v>
      </c>
      <c r="D18" s="578" t="s">
        <v>470</v>
      </c>
      <c r="E18" s="578" t="s">
        <v>145</v>
      </c>
      <c r="F18" s="579" t="s">
        <v>557</v>
      </c>
      <c r="G18" s="580">
        <v>1</v>
      </c>
      <c r="H18" s="581">
        <v>6380</v>
      </c>
      <c r="I18" s="170">
        <f t="shared" ref="I18:I21" si="2">G18*H18</f>
        <v>6380</v>
      </c>
      <c r="J18" s="190"/>
      <c r="K18" s="233" t="s">
        <v>523</v>
      </c>
      <c r="L18" s="459"/>
      <c r="M18" s="356"/>
      <c r="N18" s="453"/>
      <c r="O18" s="452"/>
      <c r="P18" s="453"/>
      <c r="Q18" s="453"/>
      <c r="R18" s="454"/>
    </row>
    <row r="19" spans="1:18" s="216" customFormat="1" ht="18" customHeight="1">
      <c r="A19" s="162" t="s">
        <v>484</v>
      </c>
      <c r="B19" s="504"/>
      <c r="C19" s="451">
        <f t="shared" si="1"/>
        <v>8</v>
      </c>
      <c r="D19" s="164" t="s">
        <v>145</v>
      </c>
      <c r="E19" s="164" t="s">
        <v>145</v>
      </c>
      <c r="F19" s="463" t="s">
        <v>524</v>
      </c>
      <c r="G19" s="169">
        <v>2</v>
      </c>
      <c r="H19" s="170">
        <v>144</v>
      </c>
      <c r="I19" s="170">
        <f t="shared" si="2"/>
        <v>288</v>
      </c>
      <c r="J19" s="190"/>
      <c r="K19" s="233" t="s">
        <v>553</v>
      </c>
      <c r="L19" s="459"/>
      <c r="M19" s="356"/>
      <c r="N19" s="453"/>
      <c r="O19" s="452"/>
      <c r="P19" s="453"/>
      <c r="Q19" s="453"/>
      <c r="R19" s="454"/>
    </row>
    <row r="20" spans="1:18" s="216" customFormat="1" ht="18" customHeight="1">
      <c r="A20" s="162" t="s">
        <v>484</v>
      </c>
      <c r="B20" s="504"/>
      <c r="C20" s="451">
        <f t="shared" si="1"/>
        <v>9</v>
      </c>
      <c r="D20" s="164" t="s">
        <v>145</v>
      </c>
      <c r="E20" s="164" t="s">
        <v>145</v>
      </c>
      <c r="F20" s="463" t="s">
        <v>519</v>
      </c>
      <c r="G20" s="169"/>
      <c r="H20" s="170">
        <v>19</v>
      </c>
      <c r="I20" s="170">
        <f t="shared" si="2"/>
        <v>0</v>
      </c>
      <c r="J20" s="190"/>
      <c r="K20" s="233" t="s">
        <v>579</v>
      </c>
      <c r="L20" s="459"/>
      <c r="M20" s="356"/>
      <c r="N20" s="453"/>
      <c r="O20" s="452"/>
      <c r="P20" s="453"/>
      <c r="Q20" s="453"/>
      <c r="R20" s="454"/>
    </row>
    <row r="21" spans="1:18" s="216" customFormat="1" ht="18" customHeight="1">
      <c r="A21" s="162" t="s">
        <v>484</v>
      </c>
      <c r="B21" s="504"/>
      <c r="C21" s="451">
        <f t="shared" si="1"/>
        <v>10</v>
      </c>
      <c r="D21" s="164" t="s">
        <v>145</v>
      </c>
      <c r="E21" s="164" t="s">
        <v>145</v>
      </c>
      <c r="F21" s="573" t="s">
        <v>525</v>
      </c>
      <c r="G21" s="273"/>
      <c r="H21" s="582">
        <v>23</v>
      </c>
      <c r="I21" s="170">
        <f t="shared" si="2"/>
        <v>0</v>
      </c>
      <c r="J21" s="190"/>
      <c r="K21" s="233" t="s">
        <v>589</v>
      </c>
      <c r="L21" s="459"/>
      <c r="M21" s="356"/>
      <c r="N21" s="453"/>
      <c r="O21" s="452"/>
      <c r="P21" s="453"/>
      <c r="Q21" s="453"/>
      <c r="R21" s="454"/>
    </row>
    <row r="22" spans="1:18" s="216" customFormat="1" ht="18" customHeight="1">
      <c r="A22" s="588" t="s">
        <v>558</v>
      </c>
      <c r="B22" s="504"/>
      <c r="C22" s="451">
        <f t="shared" si="1"/>
        <v>11</v>
      </c>
      <c r="D22" s="578" t="s">
        <v>470</v>
      </c>
      <c r="E22" s="578" t="s">
        <v>145</v>
      </c>
      <c r="F22" s="579" t="s">
        <v>560</v>
      </c>
      <c r="G22" s="580">
        <v>1</v>
      </c>
      <c r="H22" s="581">
        <v>6397</v>
      </c>
      <c r="I22" s="170">
        <f t="shared" ref="I22:I29" si="3">G22*H22</f>
        <v>6397</v>
      </c>
      <c r="J22" s="190"/>
      <c r="K22" s="233" t="s">
        <v>526</v>
      </c>
      <c r="L22" s="459"/>
      <c r="M22" s="356"/>
      <c r="N22" s="453"/>
      <c r="O22" s="452"/>
      <c r="P22" s="453"/>
      <c r="Q22" s="453"/>
      <c r="R22" s="454"/>
    </row>
    <row r="23" spans="1:18" s="216" customFormat="1" ht="18" customHeight="1">
      <c r="A23" s="162" t="s">
        <v>484</v>
      </c>
      <c r="B23" s="504"/>
      <c r="C23" s="451">
        <f t="shared" si="1"/>
        <v>12</v>
      </c>
      <c r="D23" s="164" t="s">
        <v>145</v>
      </c>
      <c r="E23" s="164" t="s">
        <v>145</v>
      </c>
      <c r="F23" s="463" t="s">
        <v>529</v>
      </c>
      <c r="G23" s="169"/>
      <c r="H23" s="170">
        <v>86</v>
      </c>
      <c r="I23" s="170">
        <f t="shared" si="3"/>
        <v>0</v>
      </c>
      <c r="J23" s="190"/>
      <c r="K23" s="233" t="s">
        <v>581</v>
      </c>
      <c r="L23" s="459"/>
      <c r="M23" s="356"/>
      <c r="N23" s="453"/>
      <c r="O23" s="452"/>
      <c r="P23" s="453"/>
      <c r="Q23" s="453"/>
      <c r="R23" s="454"/>
    </row>
    <row r="24" spans="1:18" s="216" customFormat="1" ht="18" customHeight="1">
      <c r="A24" s="162" t="s">
        <v>484</v>
      </c>
      <c r="B24" s="504"/>
      <c r="C24" s="451">
        <f t="shared" si="1"/>
        <v>13</v>
      </c>
      <c r="D24" s="164" t="s">
        <v>145</v>
      </c>
      <c r="E24" s="164" t="s">
        <v>145</v>
      </c>
      <c r="F24" s="463" t="s">
        <v>527</v>
      </c>
      <c r="G24" s="169">
        <v>1</v>
      </c>
      <c r="H24" s="170">
        <v>619</v>
      </c>
      <c r="I24" s="170">
        <f t="shared" si="3"/>
        <v>619</v>
      </c>
      <c r="J24" s="190"/>
      <c r="K24" s="233" t="s">
        <v>582</v>
      </c>
      <c r="L24" s="459"/>
      <c r="M24" s="356"/>
      <c r="N24" s="453"/>
      <c r="O24" s="452"/>
      <c r="P24" s="453"/>
      <c r="Q24" s="453"/>
      <c r="R24" s="454"/>
    </row>
    <row r="25" spans="1:18" s="216" customFormat="1" ht="18" customHeight="1">
      <c r="A25" s="162" t="s">
        <v>484</v>
      </c>
      <c r="B25" s="504"/>
      <c r="C25" s="451">
        <f t="shared" si="1"/>
        <v>14</v>
      </c>
      <c r="D25" s="164" t="s">
        <v>145</v>
      </c>
      <c r="E25" s="164" t="s">
        <v>145</v>
      </c>
      <c r="F25" s="463" t="s">
        <v>519</v>
      </c>
      <c r="G25" s="169"/>
      <c r="H25" s="170"/>
      <c r="I25" s="170">
        <f t="shared" si="3"/>
        <v>0</v>
      </c>
      <c r="J25" s="190"/>
      <c r="K25" s="233" t="s">
        <v>578</v>
      </c>
      <c r="L25" s="459"/>
      <c r="M25" s="356"/>
      <c r="N25" s="453"/>
      <c r="O25" s="452"/>
      <c r="P25" s="453"/>
      <c r="Q25" s="453"/>
      <c r="R25" s="454"/>
    </row>
    <row r="26" spans="1:18" s="216" customFormat="1" ht="18" customHeight="1">
      <c r="A26" s="162" t="s">
        <v>484</v>
      </c>
      <c r="B26" s="504"/>
      <c r="C26" s="451">
        <f t="shared" si="1"/>
        <v>15</v>
      </c>
      <c r="D26" s="164" t="s">
        <v>145</v>
      </c>
      <c r="E26" s="164" t="s">
        <v>145</v>
      </c>
      <c r="F26" s="573" t="s">
        <v>318</v>
      </c>
      <c r="G26" s="273"/>
      <c r="H26" s="170">
        <v>27</v>
      </c>
      <c r="I26" s="170">
        <f t="shared" si="3"/>
        <v>0</v>
      </c>
      <c r="J26" s="190"/>
      <c r="K26" s="233" t="s">
        <v>588</v>
      </c>
      <c r="L26" s="459"/>
      <c r="M26" s="356"/>
      <c r="N26" s="453"/>
      <c r="O26" s="452"/>
      <c r="P26" s="453"/>
      <c r="Q26" s="453"/>
      <c r="R26" s="454"/>
    </row>
    <row r="27" spans="1:18" s="216" customFormat="1" ht="18" customHeight="1">
      <c r="A27" s="162" t="s">
        <v>484</v>
      </c>
      <c r="B27" s="504"/>
      <c r="C27" s="451">
        <f t="shared" si="1"/>
        <v>16</v>
      </c>
      <c r="D27" s="164" t="s">
        <v>145</v>
      </c>
      <c r="E27" s="164" t="s">
        <v>145</v>
      </c>
      <c r="F27" s="573" t="s">
        <v>522</v>
      </c>
      <c r="G27" s="273"/>
      <c r="H27" s="170">
        <v>23</v>
      </c>
      <c r="I27" s="170">
        <f t="shared" si="3"/>
        <v>0</v>
      </c>
      <c r="J27" s="190"/>
      <c r="K27" s="233" t="s">
        <v>585</v>
      </c>
      <c r="L27" s="459"/>
      <c r="M27" s="356"/>
      <c r="N27" s="453"/>
      <c r="O27" s="452"/>
      <c r="P27" s="453"/>
      <c r="Q27" s="453"/>
      <c r="R27" s="454"/>
    </row>
    <row r="28" spans="1:18" s="216" customFormat="1" ht="18" customHeight="1">
      <c r="A28" s="588" t="s">
        <v>483</v>
      </c>
      <c r="B28" s="504"/>
      <c r="C28" s="451">
        <f t="shared" si="1"/>
        <v>17</v>
      </c>
      <c r="D28" s="164" t="s">
        <v>145</v>
      </c>
      <c r="E28" s="164" t="s">
        <v>145</v>
      </c>
      <c r="F28" s="463" t="s">
        <v>528</v>
      </c>
      <c r="G28" s="169">
        <v>1</v>
      </c>
      <c r="H28" s="170">
        <v>2010</v>
      </c>
      <c r="I28" s="170">
        <f t="shared" si="3"/>
        <v>2010</v>
      </c>
      <c r="J28" s="190"/>
      <c r="K28" s="233" t="s">
        <v>583</v>
      </c>
      <c r="L28" s="459"/>
      <c r="M28" s="356"/>
      <c r="N28" s="453"/>
      <c r="O28" s="452"/>
      <c r="P28" s="453"/>
      <c r="Q28" s="453"/>
      <c r="R28" s="454"/>
    </row>
    <row r="29" spans="1:18" s="216" customFormat="1" ht="18" customHeight="1">
      <c r="A29" s="588" t="s">
        <v>558</v>
      </c>
      <c r="B29" s="504"/>
      <c r="C29" s="451">
        <f t="shared" si="1"/>
        <v>18</v>
      </c>
      <c r="D29" s="578" t="s">
        <v>470</v>
      </c>
      <c r="E29" s="578" t="s">
        <v>145</v>
      </c>
      <c r="F29" s="579" t="s">
        <v>561</v>
      </c>
      <c r="G29" s="580">
        <v>1</v>
      </c>
      <c r="H29" s="581">
        <v>5771</v>
      </c>
      <c r="I29" s="170">
        <f t="shared" si="3"/>
        <v>5771</v>
      </c>
      <c r="J29" s="190"/>
      <c r="K29" s="233" t="s">
        <v>530</v>
      </c>
      <c r="L29" s="459"/>
      <c r="M29" s="356"/>
      <c r="N29" s="453"/>
      <c r="O29" s="452"/>
      <c r="P29" s="453"/>
      <c r="Q29" s="453"/>
      <c r="R29" s="454"/>
    </row>
    <row r="30" spans="1:18" s="216" customFormat="1" ht="18" customHeight="1">
      <c r="A30" s="162" t="s">
        <v>484</v>
      </c>
      <c r="B30" s="504"/>
      <c r="C30" s="451">
        <f t="shared" si="1"/>
        <v>19</v>
      </c>
      <c r="D30" s="164" t="s">
        <v>145</v>
      </c>
      <c r="E30" s="164" t="s">
        <v>145</v>
      </c>
      <c r="F30" s="463" t="s">
        <v>531</v>
      </c>
      <c r="G30" s="169">
        <v>1</v>
      </c>
      <c r="H30" s="582">
        <v>220</v>
      </c>
      <c r="I30" s="170">
        <f t="shared" ref="I30:I32" si="4">G30*H30</f>
        <v>220</v>
      </c>
      <c r="J30" s="190"/>
      <c r="K30" s="585" t="s">
        <v>553</v>
      </c>
      <c r="L30" s="459"/>
      <c r="M30" s="356"/>
      <c r="N30" s="453"/>
      <c r="O30" s="452"/>
      <c r="P30" s="453"/>
      <c r="Q30" s="453"/>
      <c r="R30" s="454"/>
    </row>
    <row r="31" spans="1:18" s="216" customFormat="1" ht="18" customHeight="1">
      <c r="A31" s="162" t="s">
        <v>484</v>
      </c>
      <c r="B31" s="504"/>
      <c r="C31" s="451">
        <f t="shared" si="1"/>
        <v>20</v>
      </c>
      <c r="D31" s="164" t="s">
        <v>145</v>
      </c>
      <c r="E31" s="164" t="s">
        <v>145</v>
      </c>
      <c r="F31" s="573" t="s">
        <v>318</v>
      </c>
      <c r="G31" s="273"/>
      <c r="H31" s="170">
        <v>27</v>
      </c>
      <c r="I31" s="170">
        <f t="shared" si="4"/>
        <v>0</v>
      </c>
      <c r="J31" s="190"/>
      <c r="K31" s="233" t="s">
        <v>587</v>
      </c>
      <c r="L31" s="459"/>
      <c r="M31" s="356"/>
      <c r="N31" s="453"/>
      <c r="O31" s="452"/>
      <c r="P31" s="453"/>
      <c r="Q31" s="453"/>
      <c r="R31" s="454"/>
    </row>
    <row r="32" spans="1:18" s="216" customFormat="1" ht="18" customHeight="1">
      <c r="A32" s="162" t="s">
        <v>484</v>
      </c>
      <c r="B32" s="504"/>
      <c r="C32" s="451">
        <f t="shared" si="1"/>
        <v>21</v>
      </c>
      <c r="D32" s="164" t="s">
        <v>145</v>
      </c>
      <c r="E32" s="164" t="s">
        <v>145</v>
      </c>
      <c r="F32" s="463" t="s">
        <v>591</v>
      </c>
      <c r="G32" s="169">
        <v>1</v>
      </c>
      <c r="H32" s="170">
        <v>400</v>
      </c>
      <c r="I32" s="170">
        <f t="shared" si="4"/>
        <v>400</v>
      </c>
      <c r="J32" s="190"/>
      <c r="K32" s="233" t="s">
        <v>163</v>
      </c>
      <c r="L32" s="459"/>
      <c r="M32" s="356"/>
      <c r="N32" s="453"/>
      <c r="O32" s="452"/>
      <c r="P32" s="453"/>
      <c r="Q32" s="453"/>
      <c r="R32" s="454"/>
    </row>
    <row r="33" spans="1:18" s="216" customFormat="1" ht="18" customHeight="1">
      <c r="A33" s="588" t="s">
        <v>558</v>
      </c>
      <c r="B33" s="504"/>
      <c r="C33" s="451">
        <f t="shared" si="1"/>
        <v>22</v>
      </c>
      <c r="D33" s="578" t="s">
        <v>470</v>
      </c>
      <c r="E33" s="578" t="s">
        <v>145</v>
      </c>
      <c r="F33" s="579" t="s">
        <v>565</v>
      </c>
      <c r="G33" s="580">
        <v>1</v>
      </c>
      <c r="H33" s="581">
        <v>6289</v>
      </c>
      <c r="I33" s="170">
        <f t="shared" ref="I33" si="5">G33*H33</f>
        <v>6289</v>
      </c>
      <c r="J33" s="190"/>
      <c r="K33" s="233" t="s">
        <v>532</v>
      </c>
      <c r="L33" s="459"/>
      <c r="M33" s="356"/>
      <c r="N33" s="453"/>
      <c r="O33" s="452"/>
      <c r="P33" s="453"/>
      <c r="Q33" s="453"/>
      <c r="R33" s="454"/>
    </row>
    <row r="34" spans="1:18" s="216" customFormat="1" ht="18" customHeight="1">
      <c r="A34" s="588" t="s">
        <v>558</v>
      </c>
      <c r="B34" s="504"/>
      <c r="C34" s="451">
        <f t="shared" si="1"/>
        <v>23</v>
      </c>
      <c r="D34" s="578" t="s">
        <v>470</v>
      </c>
      <c r="E34" s="578" t="s">
        <v>145</v>
      </c>
      <c r="F34" s="589" t="s">
        <v>559</v>
      </c>
      <c r="G34" s="584">
        <v>1</v>
      </c>
      <c r="H34" s="581">
        <v>4957</v>
      </c>
      <c r="I34" s="170">
        <f t="shared" ref="I34:I36" si="6">G34*H34</f>
        <v>4957</v>
      </c>
      <c r="J34" s="190"/>
      <c r="K34" s="233" t="s">
        <v>533</v>
      </c>
      <c r="L34" s="459"/>
      <c r="M34" s="356"/>
      <c r="N34" s="453"/>
      <c r="O34" s="452"/>
      <c r="P34" s="453"/>
      <c r="Q34" s="453"/>
      <c r="R34" s="454"/>
    </row>
    <row r="35" spans="1:18" s="216" customFormat="1" ht="18" customHeight="1">
      <c r="A35" s="162" t="s">
        <v>484</v>
      </c>
      <c r="B35" s="504"/>
      <c r="C35" s="451">
        <f t="shared" si="1"/>
        <v>24</v>
      </c>
      <c r="D35" s="164" t="s">
        <v>145</v>
      </c>
      <c r="E35" s="164" t="s">
        <v>145</v>
      </c>
      <c r="F35" s="463" t="s">
        <v>534</v>
      </c>
      <c r="G35" s="574">
        <v>45</v>
      </c>
      <c r="H35" s="170">
        <v>19</v>
      </c>
      <c r="I35" s="170">
        <f t="shared" si="6"/>
        <v>855</v>
      </c>
      <c r="J35" s="190"/>
      <c r="K35" s="233" t="s">
        <v>572</v>
      </c>
      <c r="L35" s="459"/>
      <c r="M35" s="356"/>
      <c r="N35" s="453"/>
      <c r="O35" s="452"/>
      <c r="P35" s="453"/>
      <c r="Q35" s="453"/>
      <c r="R35" s="454"/>
    </row>
    <row r="36" spans="1:18" s="216" customFormat="1" ht="18" customHeight="1">
      <c r="A36" s="162" t="s">
        <v>484</v>
      </c>
      <c r="B36" s="504"/>
      <c r="C36" s="451">
        <f t="shared" si="1"/>
        <v>25</v>
      </c>
      <c r="D36" s="164" t="s">
        <v>145</v>
      </c>
      <c r="E36" s="164" t="s">
        <v>145</v>
      </c>
      <c r="F36" s="573" t="s">
        <v>536</v>
      </c>
      <c r="G36" s="273"/>
      <c r="H36" s="170">
        <v>23</v>
      </c>
      <c r="I36" s="170">
        <f t="shared" si="6"/>
        <v>0</v>
      </c>
      <c r="J36" s="190"/>
      <c r="K36" s="233" t="s">
        <v>586</v>
      </c>
      <c r="L36" s="459"/>
      <c r="M36" s="356"/>
      <c r="N36" s="453"/>
      <c r="O36" s="452"/>
      <c r="P36" s="453"/>
      <c r="Q36" s="453"/>
      <c r="R36" s="454"/>
    </row>
    <row r="37" spans="1:18" s="216" customFormat="1" ht="18" customHeight="1">
      <c r="A37" s="508" t="s">
        <v>364</v>
      </c>
      <c r="B37" s="504"/>
      <c r="C37" s="451">
        <f t="shared" si="1"/>
        <v>26</v>
      </c>
      <c r="D37" s="578" t="s">
        <v>470</v>
      </c>
      <c r="E37" s="578" t="s">
        <v>145</v>
      </c>
      <c r="F37" s="579" t="s">
        <v>551</v>
      </c>
      <c r="G37" s="580">
        <v>1</v>
      </c>
      <c r="H37" s="581">
        <v>8216</v>
      </c>
      <c r="I37" s="547">
        <f t="shared" ref="I37:I46" si="7">G37*H37</f>
        <v>8216</v>
      </c>
      <c r="J37" s="179"/>
      <c r="K37" s="129" t="s">
        <v>552</v>
      </c>
      <c r="L37" s="459"/>
      <c r="M37" s="356"/>
      <c r="N37" s="453"/>
      <c r="O37" s="452"/>
      <c r="P37" s="453"/>
      <c r="Q37" s="453"/>
      <c r="R37" s="454"/>
    </row>
    <row r="38" spans="1:18" s="216" customFormat="1" ht="18" customHeight="1">
      <c r="A38" s="162" t="s">
        <v>484</v>
      </c>
      <c r="B38" s="504"/>
      <c r="C38" s="451">
        <f t="shared" si="1"/>
        <v>27</v>
      </c>
      <c r="D38" s="578" t="s">
        <v>145</v>
      </c>
      <c r="E38" s="578" t="s">
        <v>145</v>
      </c>
      <c r="F38" s="573" t="s">
        <v>537</v>
      </c>
      <c r="G38" s="273"/>
      <c r="H38" s="170">
        <v>27</v>
      </c>
      <c r="I38" s="547">
        <f t="shared" si="7"/>
        <v>0</v>
      </c>
      <c r="J38" s="179"/>
      <c r="K38" s="233" t="s">
        <v>585</v>
      </c>
      <c r="L38" s="459"/>
      <c r="M38" s="356"/>
      <c r="N38" s="453"/>
      <c r="O38" s="452"/>
      <c r="P38" s="453"/>
      <c r="Q38" s="453"/>
      <c r="R38" s="454"/>
    </row>
    <row r="39" spans="1:18" s="216" customFormat="1" ht="18" customHeight="1">
      <c r="A39" s="162" t="s">
        <v>484</v>
      </c>
      <c r="B39" s="504"/>
      <c r="C39" s="451">
        <f t="shared" si="1"/>
        <v>28</v>
      </c>
      <c r="D39" s="578" t="s">
        <v>145</v>
      </c>
      <c r="E39" s="578" t="s">
        <v>145</v>
      </c>
      <c r="F39" s="579" t="s">
        <v>538</v>
      </c>
      <c r="G39" s="580">
        <v>1</v>
      </c>
      <c r="H39" s="583">
        <v>212</v>
      </c>
      <c r="I39" s="547">
        <f t="shared" si="7"/>
        <v>212</v>
      </c>
      <c r="J39" s="179"/>
      <c r="K39" s="233" t="s">
        <v>521</v>
      </c>
      <c r="L39" s="459"/>
      <c r="M39" s="356"/>
      <c r="N39" s="453"/>
      <c r="O39" s="452"/>
      <c r="P39" s="453"/>
      <c r="Q39" s="453"/>
      <c r="R39" s="454"/>
    </row>
    <row r="40" spans="1:18" s="216" customFormat="1" ht="18" customHeight="1">
      <c r="A40" s="162" t="s">
        <v>484</v>
      </c>
      <c r="B40" s="504"/>
      <c r="C40" s="451">
        <f t="shared" si="1"/>
        <v>29</v>
      </c>
      <c r="D40" s="578" t="s">
        <v>145</v>
      </c>
      <c r="E40" s="578" t="s">
        <v>145</v>
      </c>
      <c r="F40" s="579" t="s">
        <v>539</v>
      </c>
      <c r="G40" s="584">
        <v>4</v>
      </c>
      <c r="H40" s="581">
        <v>169</v>
      </c>
      <c r="I40" s="547">
        <f t="shared" si="7"/>
        <v>676</v>
      </c>
      <c r="J40" s="179"/>
      <c r="K40" s="233" t="s">
        <v>535</v>
      </c>
      <c r="L40" s="459"/>
      <c r="M40" s="356"/>
      <c r="N40" s="453"/>
      <c r="O40" s="452"/>
      <c r="P40" s="453"/>
      <c r="Q40" s="453"/>
      <c r="R40" s="454"/>
    </row>
    <row r="41" spans="1:18" s="216" customFormat="1" ht="18" customHeight="1">
      <c r="A41" s="588" t="s">
        <v>558</v>
      </c>
      <c r="B41" s="504"/>
      <c r="C41" s="451">
        <f t="shared" si="1"/>
        <v>30</v>
      </c>
      <c r="D41" s="578" t="s">
        <v>470</v>
      </c>
      <c r="E41" s="578" t="s">
        <v>145</v>
      </c>
      <c r="F41" s="579" t="s">
        <v>563</v>
      </c>
      <c r="G41" s="584">
        <v>2</v>
      </c>
      <c r="H41" s="581">
        <v>4896</v>
      </c>
      <c r="I41" s="547">
        <f t="shared" si="7"/>
        <v>9792</v>
      </c>
      <c r="J41" s="179"/>
      <c r="K41" s="233" t="s">
        <v>540</v>
      </c>
      <c r="L41" s="459"/>
      <c r="M41" s="356"/>
      <c r="N41" s="453"/>
      <c r="O41" s="452"/>
      <c r="P41" s="453"/>
      <c r="Q41" s="453"/>
      <c r="R41" s="454"/>
    </row>
    <row r="42" spans="1:18" s="216" customFormat="1" ht="18" customHeight="1">
      <c r="A42" s="162" t="s">
        <v>484</v>
      </c>
      <c r="B42" s="504"/>
      <c r="C42" s="451">
        <f t="shared" si="1"/>
        <v>31</v>
      </c>
      <c r="D42" s="164" t="s">
        <v>145</v>
      </c>
      <c r="E42" s="164" t="s">
        <v>145</v>
      </c>
      <c r="F42" s="463" t="s">
        <v>541</v>
      </c>
      <c r="G42" s="574">
        <v>2</v>
      </c>
      <c r="H42" s="170">
        <v>1740</v>
      </c>
      <c r="I42" s="547">
        <f t="shared" si="7"/>
        <v>3480</v>
      </c>
      <c r="J42" s="179"/>
      <c r="K42" s="233" t="s">
        <v>573</v>
      </c>
      <c r="L42" s="459"/>
      <c r="M42" s="356"/>
      <c r="N42" s="453"/>
      <c r="O42" s="452"/>
      <c r="P42" s="453"/>
      <c r="Q42" s="453"/>
      <c r="R42" s="454"/>
    </row>
    <row r="43" spans="1:18" s="216" customFormat="1" ht="18" customHeight="1">
      <c r="A43" s="588" t="s">
        <v>570</v>
      </c>
      <c r="B43" s="504"/>
      <c r="C43" s="451">
        <f t="shared" si="1"/>
        <v>32</v>
      </c>
      <c r="D43" s="164" t="s">
        <v>145</v>
      </c>
      <c r="E43" s="164" t="s">
        <v>145</v>
      </c>
      <c r="F43" s="463" t="s">
        <v>542</v>
      </c>
      <c r="G43" s="169">
        <v>2</v>
      </c>
      <c r="H43" s="170">
        <v>3500</v>
      </c>
      <c r="I43" s="547">
        <f t="shared" si="7"/>
        <v>7000</v>
      </c>
      <c r="J43" s="179"/>
      <c r="K43" s="233" t="s">
        <v>574</v>
      </c>
      <c r="L43" s="459"/>
      <c r="M43" s="356"/>
      <c r="N43" s="453"/>
      <c r="O43" s="452"/>
      <c r="P43" s="453"/>
      <c r="Q43" s="453"/>
      <c r="R43" s="454"/>
    </row>
    <row r="44" spans="1:18" s="216" customFormat="1" ht="18" customHeight="1">
      <c r="A44" s="162" t="s">
        <v>484</v>
      </c>
      <c r="B44" s="504"/>
      <c r="C44" s="451">
        <f t="shared" si="1"/>
        <v>33</v>
      </c>
      <c r="D44" s="164" t="s">
        <v>145</v>
      </c>
      <c r="E44" s="164" t="s">
        <v>145</v>
      </c>
      <c r="F44" s="463" t="s">
        <v>543</v>
      </c>
      <c r="G44" s="169">
        <v>4</v>
      </c>
      <c r="H44" s="170">
        <v>36</v>
      </c>
      <c r="I44" s="547">
        <f t="shared" si="7"/>
        <v>144</v>
      </c>
      <c r="J44" s="179"/>
      <c r="K44" s="233" t="s">
        <v>575</v>
      </c>
      <c r="L44" s="459"/>
      <c r="M44" s="356"/>
      <c r="N44" s="453"/>
      <c r="O44" s="452"/>
      <c r="P44" s="453"/>
      <c r="Q44" s="453"/>
      <c r="R44" s="454"/>
    </row>
    <row r="45" spans="1:18" s="216" customFormat="1" ht="18" customHeight="1">
      <c r="A45" s="162" t="s">
        <v>484</v>
      </c>
      <c r="B45" s="504"/>
      <c r="C45" s="451">
        <f t="shared" si="1"/>
        <v>34</v>
      </c>
      <c r="D45" s="164" t="s">
        <v>145</v>
      </c>
      <c r="E45" s="164" t="s">
        <v>145</v>
      </c>
      <c r="F45" s="573" t="s">
        <v>536</v>
      </c>
      <c r="G45" s="273"/>
      <c r="H45" s="170">
        <v>23</v>
      </c>
      <c r="I45" s="547">
        <f t="shared" si="7"/>
        <v>0</v>
      </c>
      <c r="J45" s="179"/>
      <c r="K45" s="233" t="s">
        <v>584</v>
      </c>
      <c r="L45" s="459"/>
      <c r="M45" s="356"/>
      <c r="N45" s="453"/>
      <c r="O45" s="452"/>
      <c r="P45" s="453"/>
      <c r="Q45" s="453"/>
      <c r="R45" s="454"/>
    </row>
    <row r="46" spans="1:18" s="216" customFormat="1" ht="18" customHeight="1">
      <c r="A46" s="588" t="s">
        <v>558</v>
      </c>
      <c r="B46" s="504"/>
      <c r="C46" s="451">
        <f t="shared" si="1"/>
        <v>35</v>
      </c>
      <c r="D46" s="578" t="s">
        <v>470</v>
      </c>
      <c r="E46" s="578" t="s">
        <v>145</v>
      </c>
      <c r="F46" s="589" t="s">
        <v>564</v>
      </c>
      <c r="G46" s="580">
        <v>4</v>
      </c>
      <c r="H46" s="581">
        <v>3401</v>
      </c>
      <c r="I46" s="547">
        <f t="shared" si="7"/>
        <v>13604</v>
      </c>
      <c r="J46" s="179"/>
      <c r="K46" s="463" t="s">
        <v>544</v>
      </c>
      <c r="L46" s="459"/>
      <c r="M46" s="356"/>
      <c r="N46" s="453"/>
      <c r="O46" s="452"/>
      <c r="P46" s="453"/>
      <c r="Q46" s="453"/>
      <c r="R46" s="454"/>
    </row>
    <row r="47" spans="1:18" s="216" customFormat="1" ht="18" customHeight="1">
      <c r="A47" s="588" t="s">
        <v>483</v>
      </c>
      <c r="B47" s="504"/>
      <c r="C47" s="451">
        <f t="shared" si="1"/>
        <v>36</v>
      </c>
      <c r="D47" s="578" t="s">
        <v>470</v>
      </c>
      <c r="E47" s="578" t="s">
        <v>145</v>
      </c>
      <c r="F47" s="579" t="s">
        <v>556</v>
      </c>
      <c r="G47" s="580">
        <v>1</v>
      </c>
      <c r="H47" s="581">
        <v>4640</v>
      </c>
      <c r="I47" s="170">
        <f t="shared" ref="I47:I61" si="8">G47*H47</f>
        <v>4640</v>
      </c>
      <c r="J47" s="179"/>
      <c r="K47" s="463" t="s">
        <v>545</v>
      </c>
      <c r="L47" s="459"/>
      <c r="M47" s="356"/>
      <c r="N47" s="453"/>
      <c r="O47" s="452"/>
      <c r="P47" s="453"/>
      <c r="Q47" s="453"/>
      <c r="R47" s="454"/>
    </row>
    <row r="48" spans="1:18" s="216" customFormat="1" ht="18" customHeight="1">
      <c r="A48" s="588" t="s">
        <v>483</v>
      </c>
      <c r="B48" s="504"/>
      <c r="C48" s="451">
        <f t="shared" si="1"/>
        <v>37</v>
      </c>
      <c r="D48" s="578" t="s">
        <v>470</v>
      </c>
      <c r="E48" s="578" t="s">
        <v>145</v>
      </c>
      <c r="F48" s="579" t="s">
        <v>554</v>
      </c>
      <c r="G48" s="580">
        <v>1</v>
      </c>
      <c r="H48" s="581">
        <v>4640</v>
      </c>
      <c r="I48" s="170">
        <f t="shared" si="8"/>
        <v>4640</v>
      </c>
      <c r="J48" s="179"/>
      <c r="K48" s="233" t="s">
        <v>555</v>
      </c>
      <c r="L48" s="459"/>
      <c r="M48" s="356"/>
      <c r="N48" s="453"/>
      <c r="O48" s="452"/>
      <c r="P48" s="453"/>
      <c r="Q48" s="453"/>
      <c r="R48" s="454"/>
    </row>
    <row r="49" spans="1:18" s="216" customFormat="1" ht="18" customHeight="1">
      <c r="A49" s="162" t="s">
        <v>484</v>
      </c>
      <c r="B49" s="504"/>
      <c r="C49" s="451">
        <f t="shared" si="1"/>
        <v>38</v>
      </c>
      <c r="D49" s="590" t="s">
        <v>567</v>
      </c>
      <c r="E49" s="164" t="s">
        <v>145</v>
      </c>
      <c r="F49" s="463" t="s">
        <v>546</v>
      </c>
      <c r="G49" s="574">
        <v>6</v>
      </c>
      <c r="H49" s="170">
        <v>84</v>
      </c>
      <c r="I49" s="170">
        <f t="shared" si="8"/>
        <v>504</v>
      </c>
      <c r="J49" s="179"/>
      <c r="K49" s="233" t="s">
        <v>571</v>
      </c>
      <c r="L49" s="459"/>
      <c r="M49" s="356"/>
      <c r="N49" s="453"/>
      <c r="O49" s="452"/>
      <c r="P49" s="453"/>
      <c r="Q49" s="453"/>
      <c r="R49" s="454"/>
    </row>
    <row r="50" spans="1:18" s="216" customFormat="1" ht="18" customHeight="1">
      <c r="A50" s="162" t="s">
        <v>484</v>
      </c>
      <c r="B50" s="504"/>
      <c r="C50" s="451">
        <f t="shared" si="1"/>
        <v>39</v>
      </c>
      <c r="D50" s="164" t="s">
        <v>145</v>
      </c>
      <c r="E50" s="164" t="s">
        <v>145</v>
      </c>
      <c r="F50" s="463" t="s">
        <v>534</v>
      </c>
      <c r="G50" s="574"/>
      <c r="H50" s="170">
        <v>19</v>
      </c>
      <c r="I50" s="170">
        <f t="shared" si="8"/>
        <v>0</v>
      </c>
      <c r="J50" s="190"/>
      <c r="K50" s="233" t="s">
        <v>577</v>
      </c>
      <c r="L50" s="459"/>
      <c r="M50" s="356"/>
      <c r="N50" s="453"/>
      <c r="O50" s="452"/>
      <c r="P50" s="453"/>
      <c r="Q50" s="453"/>
      <c r="R50" s="454"/>
    </row>
    <row r="51" spans="1:18" s="216" customFormat="1" ht="18" customHeight="1">
      <c r="A51" s="162" t="s">
        <v>484</v>
      </c>
      <c r="B51" s="504"/>
      <c r="C51" s="451">
        <f t="shared" si="1"/>
        <v>40</v>
      </c>
      <c r="D51" s="164" t="s">
        <v>145</v>
      </c>
      <c r="E51" s="164" t="s">
        <v>145</v>
      </c>
      <c r="F51" s="463" t="s">
        <v>547</v>
      </c>
      <c r="G51" s="574">
        <v>18</v>
      </c>
      <c r="H51" s="170">
        <v>54</v>
      </c>
      <c r="I51" s="170">
        <f t="shared" si="8"/>
        <v>972</v>
      </c>
      <c r="J51" s="179"/>
      <c r="K51" s="233" t="s">
        <v>571</v>
      </c>
      <c r="L51" s="459"/>
      <c r="M51" s="356"/>
      <c r="N51" s="453"/>
      <c r="O51" s="452"/>
      <c r="P51" s="453"/>
      <c r="Q51" s="453"/>
      <c r="R51" s="454"/>
    </row>
    <row r="52" spans="1:18" s="216" customFormat="1" ht="18" customHeight="1">
      <c r="A52" s="162" t="s">
        <v>484</v>
      </c>
      <c r="B52" s="504"/>
      <c r="C52" s="451">
        <f t="shared" si="1"/>
        <v>41</v>
      </c>
      <c r="D52" s="164" t="s">
        <v>145</v>
      </c>
      <c r="E52" s="164" t="s">
        <v>145</v>
      </c>
      <c r="F52" s="573" t="s">
        <v>186</v>
      </c>
      <c r="G52" s="273"/>
      <c r="H52" s="170">
        <v>27</v>
      </c>
      <c r="I52" s="170">
        <f t="shared" si="8"/>
        <v>0</v>
      </c>
      <c r="J52" s="179"/>
      <c r="K52" s="233" t="s">
        <v>576</v>
      </c>
      <c r="L52" s="459"/>
      <c r="M52" s="356"/>
      <c r="N52" s="453"/>
      <c r="O52" s="452"/>
      <c r="P52" s="453"/>
      <c r="Q52" s="453"/>
      <c r="R52" s="454"/>
    </row>
    <row r="53" spans="1:18" s="216" customFormat="1" ht="18" customHeight="1">
      <c r="A53" s="588" t="s">
        <v>483</v>
      </c>
      <c r="B53" s="504"/>
      <c r="C53" s="451">
        <f t="shared" si="1"/>
        <v>42</v>
      </c>
      <c r="D53" s="578" t="s">
        <v>470</v>
      </c>
      <c r="E53" s="578" t="s">
        <v>145</v>
      </c>
      <c r="F53" s="579" t="s">
        <v>562</v>
      </c>
      <c r="G53" s="580">
        <v>1</v>
      </c>
      <c r="H53" s="581">
        <v>2520</v>
      </c>
      <c r="I53" s="170">
        <f t="shared" si="8"/>
        <v>2520</v>
      </c>
      <c r="J53" s="179"/>
      <c r="K53" s="463" t="s">
        <v>548</v>
      </c>
      <c r="L53" s="459"/>
      <c r="M53" s="356"/>
      <c r="N53" s="453"/>
      <c r="O53" s="452"/>
      <c r="P53" s="453"/>
      <c r="Q53" s="453"/>
      <c r="R53" s="454"/>
    </row>
    <row r="54" spans="1:18" s="216" customFormat="1" ht="18" customHeight="1">
      <c r="A54" s="588" t="s">
        <v>570</v>
      </c>
      <c r="B54" s="504"/>
      <c r="C54" s="451">
        <f t="shared" si="1"/>
        <v>43</v>
      </c>
      <c r="D54" s="164" t="s">
        <v>145</v>
      </c>
      <c r="E54" s="164" t="s">
        <v>145</v>
      </c>
      <c r="F54" s="463" t="s">
        <v>549</v>
      </c>
      <c r="G54" s="574">
        <v>3</v>
      </c>
      <c r="H54" s="170">
        <v>1140</v>
      </c>
      <c r="I54" s="170">
        <f t="shared" si="8"/>
        <v>3420</v>
      </c>
      <c r="J54" s="179"/>
      <c r="K54" s="233" t="s">
        <v>569</v>
      </c>
      <c r="L54" s="459"/>
      <c r="M54" s="356"/>
      <c r="N54" s="453"/>
      <c r="O54" s="452"/>
      <c r="P54" s="453"/>
      <c r="Q54" s="453"/>
      <c r="R54" s="454"/>
    </row>
    <row r="55" spans="1:18" s="216" customFormat="1" ht="18" customHeight="1">
      <c r="A55" s="588" t="s">
        <v>483</v>
      </c>
      <c r="B55" s="504"/>
      <c r="C55" s="451">
        <f t="shared" si="1"/>
        <v>44</v>
      </c>
      <c r="D55" s="164" t="s">
        <v>145</v>
      </c>
      <c r="E55" s="164" t="s">
        <v>145</v>
      </c>
      <c r="F55" s="463" t="s">
        <v>494</v>
      </c>
      <c r="G55" s="169">
        <v>2</v>
      </c>
      <c r="H55" s="170">
        <v>1520</v>
      </c>
      <c r="I55" s="170">
        <f t="shared" si="8"/>
        <v>3040</v>
      </c>
      <c r="J55" s="179"/>
      <c r="K55" s="180" t="s">
        <v>392</v>
      </c>
      <c r="L55" s="459"/>
      <c r="M55" s="356"/>
      <c r="N55" s="453"/>
      <c r="O55" s="452"/>
      <c r="P55" s="356"/>
      <c r="Q55" s="453"/>
      <c r="R55" s="454"/>
    </row>
    <row r="56" spans="1:18" s="216" customFormat="1" ht="18" customHeight="1">
      <c r="A56" s="588" t="s">
        <v>483</v>
      </c>
      <c r="B56" s="504"/>
      <c r="C56" s="451">
        <f t="shared" si="1"/>
        <v>45</v>
      </c>
      <c r="D56" s="164" t="s">
        <v>145</v>
      </c>
      <c r="E56" s="164" t="s">
        <v>145</v>
      </c>
      <c r="F56" s="463" t="s">
        <v>550</v>
      </c>
      <c r="G56" s="169">
        <v>1</v>
      </c>
      <c r="H56" s="170">
        <v>1910</v>
      </c>
      <c r="I56" s="170">
        <f t="shared" ref="I56" si="9">G56*H56</f>
        <v>1910</v>
      </c>
      <c r="J56" s="179"/>
      <c r="K56" s="233" t="s">
        <v>568</v>
      </c>
      <c r="L56" s="459"/>
      <c r="M56" s="356"/>
      <c r="N56" s="453"/>
      <c r="O56" s="452"/>
      <c r="P56" s="356"/>
      <c r="Q56" s="453"/>
      <c r="R56" s="454"/>
    </row>
    <row r="57" spans="1:18" s="216" customFormat="1" ht="18" customHeight="1">
      <c r="A57" s="588" t="s">
        <v>483</v>
      </c>
      <c r="B57" s="504"/>
      <c r="C57" s="451">
        <f t="shared" si="1"/>
        <v>46</v>
      </c>
      <c r="D57" s="578" t="s">
        <v>470</v>
      </c>
      <c r="E57" s="578" t="s">
        <v>145</v>
      </c>
      <c r="F57" s="579" t="s">
        <v>605</v>
      </c>
      <c r="G57" s="580">
        <v>1</v>
      </c>
      <c r="H57" s="599">
        <v>4070</v>
      </c>
      <c r="I57" s="575">
        <f>G57*H57</f>
        <v>4070</v>
      </c>
      <c r="J57" s="576"/>
      <c r="K57" s="213" t="s">
        <v>604</v>
      </c>
      <c r="L57" s="459"/>
      <c r="M57" s="356"/>
      <c r="N57" s="453"/>
      <c r="O57" s="452"/>
      <c r="P57" s="356"/>
      <c r="Q57" s="453"/>
      <c r="R57" s="454"/>
    </row>
    <row r="58" spans="1:18" s="216" customFormat="1" ht="18" customHeight="1">
      <c r="A58" s="162" t="s">
        <v>484</v>
      </c>
      <c r="B58" s="504"/>
      <c r="C58" s="451">
        <f t="shared" si="1"/>
        <v>47</v>
      </c>
      <c r="D58" s="164" t="s">
        <v>145</v>
      </c>
      <c r="E58" s="164" t="s">
        <v>145</v>
      </c>
      <c r="F58" s="573" t="s">
        <v>606</v>
      </c>
      <c r="G58" s="273"/>
      <c r="H58" s="170">
        <v>27</v>
      </c>
      <c r="I58" s="170">
        <f t="shared" ref="I58:I60" si="10">G58*H58</f>
        <v>0</v>
      </c>
      <c r="J58" s="179"/>
      <c r="K58" s="233" t="s">
        <v>576</v>
      </c>
      <c r="L58" s="459"/>
      <c r="M58" s="356"/>
      <c r="N58" s="453"/>
      <c r="O58" s="452"/>
      <c r="P58" s="356"/>
      <c r="Q58" s="453"/>
      <c r="R58" s="454"/>
    </row>
    <row r="59" spans="1:18" s="216" customFormat="1" ht="18" customHeight="1">
      <c r="A59" s="162" t="s">
        <v>484</v>
      </c>
      <c r="B59" s="504"/>
      <c r="C59" s="451">
        <f t="shared" si="1"/>
        <v>48</v>
      </c>
      <c r="D59" s="164" t="s">
        <v>145</v>
      </c>
      <c r="E59" s="164" t="s">
        <v>145</v>
      </c>
      <c r="F59" s="286" t="s">
        <v>607</v>
      </c>
      <c r="G59" s="231">
        <v>6</v>
      </c>
      <c r="H59" s="600">
        <v>41</v>
      </c>
      <c r="I59" s="170">
        <f t="shared" si="10"/>
        <v>246</v>
      </c>
      <c r="J59" s="576"/>
      <c r="K59" s="213" t="s">
        <v>608</v>
      </c>
      <c r="L59" s="459"/>
      <c r="M59" s="356"/>
      <c r="N59" s="453"/>
      <c r="O59" s="452"/>
      <c r="P59" s="356"/>
      <c r="Q59" s="453"/>
      <c r="R59" s="454"/>
    </row>
    <row r="60" spans="1:18" s="216" customFormat="1" ht="18" customHeight="1">
      <c r="A60" s="162" t="s">
        <v>484</v>
      </c>
      <c r="B60" s="504"/>
      <c r="C60" s="451">
        <f t="shared" si="1"/>
        <v>49</v>
      </c>
      <c r="D60" s="590" t="s">
        <v>609</v>
      </c>
      <c r="E60" s="164" t="s">
        <v>145</v>
      </c>
      <c r="F60" s="286" t="s">
        <v>610</v>
      </c>
      <c r="G60" s="231">
        <v>2</v>
      </c>
      <c r="H60" s="600">
        <v>118</v>
      </c>
      <c r="I60" s="575">
        <f t="shared" si="10"/>
        <v>236</v>
      </c>
      <c r="J60" s="576"/>
      <c r="K60" s="213" t="s">
        <v>611</v>
      </c>
      <c r="L60" s="459"/>
      <c r="M60" s="356"/>
      <c r="N60" s="453"/>
      <c r="O60" s="452"/>
      <c r="P60" s="356"/>
      <c r="Q60" s="453"/>
      <c r="R60" s="454"/>
    </row>
    <row r="61" spans="1:18" s="216" customFormat="1" ht="18" customHeight="1">
      <c r="A61" s="349" t="s">
        <v>465</v>
      </c>
      <c r="B61" s="504"/>
      <c r="C61" s="451">
        <f>C60+1</f>
        <v>50</v>
      </c>
      <c r="D61" s="164" t="s">
        <v>398</v>
      </c>
      <c r="E61" s="164" t="s">
        <v>399</v>
      </c>
      <c r="F61" s="463" t="s">
        <v>603</v>
      </c>
      <c r="G61" s="169">
        <v>1</v>
      </c>
      <c r="H61" s="170">
        <v>31930</v>
      </c>
      <c r="I61" s="170">
        <f t="shared" si="8"/>
        <v>31930</v>
      </c>
      <c r="J61" s="179"/>
      <c r="K61" s="180" t="s">
        <v>401</v>
      </c>
      <c r="L61" s="598" t="s">
        <v>601</v>
      </c>
      <c r="M61" s="356"/>
      <c r="N61" s="453"/>
      <c r="O61" s="452"/>
      <c r="P61" s="356"/>
      <c r="Q61" s="629" t="s">
        <v>646</v>
      </c>
      <c r="R61" s="454"/>
    </row>
    <row r="62" spans="1:18" s="216" customFormat="1" ht="18" customHeight="1">
      <c r="A62" s="162" t="s">
        <v>484</v>
      </c>
      <c r="B62" s="504"/>
      <c r="C62" s="451">
        <f t="shared" ref="C62:C69" si="11">C61+1</f>
        <v>51</v>
      </c>
      <c r="D62" s="164" t="s">
        <v>398</v>
      </c>
      <c r="E62" s="164" t="s">
        <v>399</v>
      </c>
      <c r="F62" s="461" t="s">
        <v>412</v>
      </c>
      <c r="G62" s="169">
        <v>1</v>
      </c>
      <c r="H62" s="170">
        <v>3040</v>
      </c>
      <c r="I62" s="170">
        <f t="shared" ref="I62:I69" si="12">G62*H62</f>
        <v>3040</v>
      </c>
      <c r="J62" s="179"/>
      <c r="K62" s="180" t="s">
        <v>413</v>
      </c>
      <c r="L62" s="458"/>
      <c r="M62" s="455"/>
      <c r="N62" s="453"/>
      <c r="O62" s="456"/>
      <c r="P62" s="457"/>
      <c r="Q62" s="629" t="s">
        <v>646</v>
      </c>
      <c r="R62" s="454"/>
    </row>
    <row r="63" spans="1:18" s="216" customFormat="1" ht="18" customHeight="1">
      <c r="A63" s="349" t="s">
        <v>466</v>
      </c>
      <c r="B63" s="504"/>
      <c r="C63" s="451">
        <f t="shared" si="11"/>
        <v>52</v>
      </c>
      <c r="D63" s="164" t="s">
        <v>398</v>
      </c>
      <c r="E63" s="590" t="s">
        <v>634</v>
      </c>
      <c r="F63" s="463" t="s">
        <v>599</v>
      </c>
      <c r="G63" s="169">
        <v>1</v>
      </c>
      <c r="H63" s="170">
        <v>8672</v>
      </c>
      <c r="I63" s="170">
        <f t="shared" si="12"/>
        <v>8672</v>
      </c>
      <c r="J63" s="179"/>
      <c r="K63" s="180" t="s">
        <v>415</v>
      </c>
      <c r="L63" s="598" t="s">
        <v>600</v>
      </c>
      <c r="M63" s="455"/>
      <c r="N63" s="453"/>
      <c r="O63" s="456"/>
      <c r="P63" s="457"/>
      <c r="Q63" s="629"/>
      <c r="R63" s="454"/>
    </row>
    <row r="64" spans="1:18" s="216" customFormat="1" ht="18" customHeight="1">
      <c r="A64" s="162" t="s">
        <v>484</v>
      </c>
      <c r="B64" s="504"/>
      <c r="C64" s="451">
        <f t="shared" si="11"/>
        <v>53</v>
      </c>
      <c r="D64" s="164" t="s">
        <v>398</v>
      </c>
      <c r="E64" s="590" t="s">
        <v>634</v>
      </c>
      <c r="F64" s="463" t="s">
        <v>602</v>
      </c>
      <c r="G64" s="169">
        <v>2</v>
      </c>
      <c r="H64" s="170">
        <v>68</v>
      </c>
      <c r="I64" s="170">
        <f t="shared" si="12"/>
        <v>136</v>
      </c>
      <c r="J64" s="179"/>
      <c r="K64" s="180" t="s">
        <v>417</v>
      </c>
      <c r="L64" s="458"/>
      <c r="M64" s="455"/>
      <c r="N64" s="453"/>
      <c r="O64" s="456"/>
      <c r="P64" s="457"/>
      <c r="Q64" s="629"/>
      <c r="R64" s="631" t="s">
        <v>650</v>
      </c>
    </row>
    <row r="65" spans="1:18" s="216" customFormat="1" ht="18" customHeight="1">
      <c r="A65" s="162" t="s">
        <v>484</v>
      </c>
      <c r="B65" s="504"/>
      <c r="C65" s="451">
        <f t="shared" si="11"/>
        <v>54</v>
      </c>
      <c r="D65" s="164" t="s">
        <v>398</v>
      </c>
      <c r="E65" s="164" t="s">
        <v>399</v>
      </c>
      <c r="F65" s="463" t="s">
        <v>418</v>
      </c>
      <c r="G65" s="162">
        <v>2</v>
      </c>
      <c r="H65" s="462">
        <v>600</v>
      </c>
      <c r="I65" s="460">
        <f t="shared" si="12"/>
        <v>1200</v>
      </c>
      <c r="J65" s="165"/>
      <c r="K65" s="180" t="s">
        <v>419</v>
      </c>
      <c r="L65" s="459"/>
      <c r="M65" s="455"/>
      <c r="N65" s="453"/>
      <c r="O65" s="456"/>
      <c r="P65" s="457"/>
      <c r="Q65" s="629" t="s">
        <v>646</v>
      </c>
      <c r="R65" s="454"/>
    </row>
    <row r="66" spans="1:18" s="216" customFormat="1" ht="18" customHeight="1">
      <c r="A66" s="162" t="s">
        <v>484</v>
      </c>
      <c r="B66" s="504"/>
      <c r="C66" s="451">
        <f t="shared" si="11"/>
        <v>55</v>
      </c>
      <c r="D66" s="164" t="s">
        <v>145</v>
      </c>
      <c r="E66" s="164" t="s">
        <v>145</v>
      </c>
      <c r="F66" s="463" t="s">
        <v>189</v>
      </c>
      <c r="G66" s="162">
        <v>2</v>
      </c>
      <c r="H66" s="462">
        <v>270</v>
      </c>
      <c r="I66" s="460">
        <f t="shared" si="12"/>
        <v>540</v>
      </c>
      <c r="J66" s="179"/>
      <c r="K66" s="233" t="s">
        <v>285</v>
      </c>
      <c r="L66" s="459"/>
      <c r="M66" s="455"/>
      <c r="N66" s="453"/>
      <c r="O66" s="456"/>
      <c r="P66" s="457"/>
      <c r="Q66" s="453"/>
      <c r="R66" s="454"/>
    </row>
    <row r="67" spans="1:18" s="216" customFormat="1" ht="18" customHeight="1">
      <c r="A67" s="162" t="s">
        <v>484</v>
      </c>
      <c r="B67" s="504"/>
      <c r="C67" s="451">
        <f t="shared" si="11"/>
        <v>56</v>
      </c>
      <c r="D67" s="164" t="s">
        <v>145</v>
      </c>
      <c r="E67" s="164" t="s">
        <v>145</v>
      </c>
      <c r="F67" s="463" t="s">
        <v>188</v>
      </c>
      <c r="G67" s="162">
        <v>3</v>
      </c>
      <c r="H67" s="462">
        <v>270</v>
      </c>
      <c r="I67" s="460">
        <f t="shared" si="12"/>
        <v>810</v>
      </c>
      <c r="J67" s="179"/>
      <c r="K67" s="233" t="s">
        <v>285</v>
      </c>
      <c r="L67" s="459"/>
      <c r="M67" s="455"/>
      <c r="N67" s="453"/>
      <c r="O67" s="456"/>
      <c r="P67" s="457"/>
      <c r="Q67" s="453"/>
      <c r="R67" s="454"/>
    </row>
    <row r="68" spans="1:18" ht="18" customHeight="1">
      <c r="A68" s="610" t="s">
        <v>484</v>
      </c>
      <c r="B68" s="504"/>
      <c r="C68" s="451">
        <f t="shared" si="11"/>
        <v>57</v>
      </c>
      <c r="D68" s="173" t="s">
        <v>145</v>
      </c>
      <c r="E68" s="173" t="s">
        <v>145</v>
      </c>
      <c r="F68" s="608" t="s">
        <v>636</v>
      </c>
      <c r="G68" s="546">
        <v>1</v>
      </c>
      <c r="H68" s="546">
        <v>960</v>
      </c>
      <c r="I68" s="496">
        <f t="shared" si="12"/>
        <v>960</v>
      </c>
      <c r="J68" s="496"/>
      <c r="K68" s="608" t="s">
        <v>637</v>
      </c>
      <c r="L68" s="71"/>
      <c r="M68" s="11"/>
      <c r="N68" s="76"/>
      <c r="O68" s="15"/>
      <c r="P68" s="15"/>
      <c r="Q68" s="76"/>
      <c r="R68" s="24"/>
    </row>
    <row r="69" spans="1:18" ht="18" customHeight="1">
      <c r="A69" s="162" t="s">
        <v>484</v>
      </c>
      <c r="B69" s="504"/>
      <c r="C69" s="451">
        <f t="shared" si="11"/>
        <v>58</v>
      </c>
      <c r="D69" s="173" t="s">
        <v>145</v>
      </c>
      <c r="E69" s="173" t="s">
        <v>145</v>
      </c>
      <c r="F69" s="548" t="s">
        <v>348</v>
      </c>
      <c r="G69" s="562">
        <v>1</v>
      </c>
      <c r="H69" s="563">
        <v>1360</v>
      </c>
      <c r="I69" s="564">
        <f t="shared" si="12"/>
        <v>1360</v>
      </c>
      <c r="J69" s="552"/>
      <c r="K69" s="609" t="s">
        <v>349</v>
      </c>
      <c r="L69" s="71"/>
      <c r="M69" s="11"/>
      <c r="N69" s="76"/>
      <c r="O69" s="15"/>
      <c r="P69" s="15"/>
      <c r="Q69" s="76"/>
      <c r="R69" s="24"/>
    </row>
    <row r="70" spans="1:18" ht="18" customHeight="1">
      <c r="C70" s="111"/>
      <c r="D70" s="154"/>
      <c r="E70" s="154"/>
      <c r="F70" s="548"/>
      <c r="G70" s="557"/>
      <c r="H70" s="558"/>
      <c r="I70" s="559"/>
      <c r="J70" s="221"/>
      <c r="K70" s="222"/>
      <c r="L70" s="71"/>
      <c r="M70" s="11"/>
      <c r="N70" s="76"/>
      <c r="O70" s="15"/>
      <c r="P70" s="15"/>
      <c r="Q70" s="76"/>
      <c r="R70" s="24"/>
    </row>
    <row r="71" spans="1:18" ht="18" customHeight="1">
      <c r="C71" s="62"/>
      <c r="D71" s="8"/>
      <c r="E71" s="13"/>
      <c r="F71" s="643">
        <f>SUM(I11:I69)</f>
        <v>170277</v>
      </c>
      <c r="G71" s="644"/>
      <c r="H71" s="644"/>
      <c r="I71" s="645"/>
      <c r="J71" s="67"/>
      <c r="K71" s="64"/>
      <c r="L71" s="71"/>
      <c r="M71" s="11"/>
      <c r="N71" s="76"/>
      <c r="O71" s="15"/>
      <c r="P71" s="15"/>
      <c r="Q71" s="76"/>
      <c r="R71" s="24"/>
    </row>
    <row r="72" spans="1:18" ht="18" customHeight="1">
      <c r="C72" s="62"/>
      <c r="D72" s="350"/>
      <c r="E72" s="351"/>
      <c r="F72" s="468"/>
      <c r="G72" s="468"/>
      <c r="H72" s="468"/>
      <c r="I72" s="468"/>
      <c r="J72" s="469"/>
      <c r="K72" s="470"/>
      <c r="L72" s="71"/>
      <c r="M72" s="11"/>
      <c r="N72" s="76"/>
      <c r="O72" s="15"/>
      <c r="P72" s="15"/>
      <c r="Q72" s="76"/>
      <c r="R72" s="24"/>
    </row>
    <row r="73" spans="1:18" ht="18" customHeight="1">
      <c r="C73" s="62"/>
      <c r="D73" s="466"/>
      <c r="E73" s="471"/>
      <c r="F73" s="354"/>
      <c r="G73" s="354"/>
      <c r="H73" s="354"/>
      <c r="I73" s="354"/>
      <c r="J73" s="472"/>
      <c r="K73" s="473"/>
      <c r="L73" s="467"/>
      <c r="M73" s="11"/>
      <c r="N73" s="76"/>
      <c r="O73" s="15"/>
      <c r="P73" s="15"/>
      <c r="Q73" s="76"/>
      <c r="R73" s="24"/>
    </row>
    <row r="74" spans="1:18" s="14" customFormat="1" ht="19.5" customHeight="1">
      <c r="C74" s="8"/>
      <c r="D74" s="464"/>
      <c r="E74" s="464"/>
      <c r="F74" s="353"/>
      <c r="G74" s="335"/>
      <c r="H74" s="335"/>
      <c r="I74" s="335"/>
      <c r="J74" s="50"/>
      <c r="K74" s="465"/>
      <c r="L74" s="70"/>
      <c r="M74" s="70"/>
      <c r="N74" s="76"/>
      <c r="O74" s="8"/>
      <c r="P74" s="70"/>
      <c r="Q74" s="76"/>
      <c r="R74" s="15"/>
    </row>
    <row r="75" spans="1:18" ht="18" customHeight="1">
      <c r="C75" s="130"/>
      <c r="D75" s="646" t="s">
        <v>273</v>
      </c>
      <c r="E75" s="646"/>
      <c r="F75" s="646"/>
      <c r="G75" s="131"/>
      <c r="H75" s="68"/>
      <c r="I75" s="68"/>
      <c r="J75" s="13"/>
      <c r="K75" s="64"/>
      <c r="L75" s="71"/>
      <c r="M75" s="11"/>
      <c r="N75" s="76"/>
      <c r="O75" s="15"/>
      <c r="P75" s="15"/>
      <c r="Q75" s="76"/>
      <c r="R75" s="24"/>
    </row>
    <row r="76" spans="1:18" ht="18" customHeight="1">
      <c r="A76" s="162" t="s">
        <v>483</v>
      </c>
      <c r="B76" s="504"/>
      <c r="C76" s="503">
        <f>C69+1</f>
        <v>59</v>
      </c>
      <c r="D76" s="578" t="s">
        <v>470</v>
      </c>
      <c r="E76" s="578" t="s">
        <v>145</v>
      </c>
      <c r="F76" s="586" t="s">
        <v>471</v>
      </c>
      <c r="G76" s="617">
        <v>1</v>
      </c>
      <c r="H76" s="618">
        <v>1536</v>
      </c>
      <c r="I76" s="495">
        <f t="shared" ref="I76:I82" si="13">G76*H76</f>
        <v>1536</v>
      </c>
      <c r="J76" s="496"/>
      <c r="K76" s="166" t="s">
        <v>472</v>
      </c>
      <c r="L76" s="185"/>
      <c r="M76" s="11"/>
      <c r="N76" s="76"/>
      <c r="O76" s="15"/>
      <c r="P76" s="157"/>
      <c r="Q76" s="157"/>
      <c r="R76" s="134"/>
    </row>
    <row r="77" spans="1:18" ht="18" customHeight="1">
      <c r="A77" s="162" t="s">
        <v>483</v>
      </c>
      <c r="B77" s="504"/>
      <c r="C77" s="503">
        <f t="shared" ref="C77:C82" si="14">+C76+1</f>
        <v>60</v>
      </c>
      <c r="D77" s="578" t="s">
        <v>470</v>
      </c>
      <c r="E77" s="578" t="s">
        <v>145</v>
      </c>
      <c r="F77" s="586" t="s">
        <v>473</v>
      </c>
      <c r="G77" s="617">
        <v>1</v>
      </c>
      <c r="H77" s="618">
        <v>1488</v>
      </c>
      <c r="I77" s="495">
        <f t="shared" si="13"/>
        <v>1488</v>
      </c>
      <c r="J77" s="496"/>
      <c r="K77" s="166" t="s">
        <v>474</v>
      </c>
      <c r="L77" s="185"/>
      <c r="M77" s="11"/>
      <c r="N77" s="76"/>
      <c r="O77" s="15"/>
      <c r="P77" s="157"/>
      <c r="Q77" s="157"/>
      <c r="R77" s="134"/>
    </row>
    <row r="78" spans="1:18" ht="18" customHeight="1">
      <c r="A78" s="162" t="s">
        <v>483</v>
      </c>
      <c r="B78" s="504"/>
      <c r="C78" s="503">
        <f t="shared" si="14"/>
        <v>61</v>
      </c>
      <c r="D78" s="578" t="s">
        <v>470</v>
      </c>
      <c r="E78" s="578" t="s">
        <v>145</v>
      </c>
      <c r="F78" s="586" t="s">
        <v>475</v>
      </c>
      <c r="G78" s="617">
        <v>1</v>
      </c>
      <c r="H78" s="618">
        <v>1312</v>
      </c>
      <c r="I78" s="495">
        <f t="shared" si="13"/>
        <v>1312</v>
      </c>
      <c r="J78" s="496"/>
      <c r="K78" s="166" t="s">
        <v>476</v>
      </c>
      <c r="L78" s="185"/>
      <c r="M78" s="11"/>
      <c r="N78" s="381"/>
      <c r="O78" s="15"/>
      <c r="P78" s="157"/>
      <c r="Q78" s="157"/>
      <c r="R78" s="134"/>
    </row>
    <row r="79" spans="1:18" ht="18" customHeight="1">
      <c r="A79" s="162" t="s">
        <v>483</v>
      </c>
      <c r="B79" s="504"/>
      <c r="C79" s="503">
        <f t="shared" si="14"/>
        <v>62</v>
      </c>
      <c r="D79" s="164" t="s">
        <v>145</v>
      </c>
      <c r="E79" s="164" t="s">
        <v>145</v>
      </c>
      <c r="F79" s="463" t="s">
        <v>477</v>
      </c>
      <c r="G79" s="162">
        <v>1</v>
      </c>
      <c r="H79" s="497">
        <v>930</v>
      </c>
      <c r="I79" s="462">
        <f t="shared" si="13"/>
        <v>930</v>
      </c>
      <c r="J79" s="165"/>
      <c r="K79" s="163" t="s">
        <v>297</v>
      </c>
      <c r="L79" s="185"/>
      <c r="M79" s="11"/>
      <c r="N79" s="157"/>
      <c r="O79" s="15"/>
      <c r="P79" s="15"/>
      <c r="Q79" s="157"/>
      <c r="R79" s="134"/>
    </row>
    <row r="80" spans="1:18" ht="18" customHeight="1">
      <c r="A80" s="162" t="s">
        <v>484</v>
      </c>
      <c r="B80" s="504"/>
      <c r="C80" s="503">
        <f t="shared" si="14"/>
        <v>63</v>
      </c>
      <c r="D80" s="164" t="s">
        <v>145</v>
      </c>
      <c r="E80" s="164" t="s">
        <v>145</v>
      </c>
      <c r="F80" s="463" t="s">
        <v>298</v>
      </c>
      <c r="G80" s="162">
        <v>1</v>
      </c>
      <c r="H80" s="497">
        <v>750</v>
      </c>
      <c r="I80" s="462">
        <f t="shared" si="13"/>
        <v>750</v>
      </c>
      <c r="J80" s="165"/>
      <c r="K80" s="163" t="s">
        <v>478</v>
      </c>
      <c r="L80" s="185"/>
      <c r="M80" s="11"/>
      <c r="N80" s="157"/>
      <c r="O80" s="15"/>
      <c r="P80" s="15"/>
      <c r="Q80" s="157"/>
      <c r="R80" s="134"/>
    </row>
    <row r="81" spans="1:18" ht="18" customHeight="1">
      <c r="A81" s="162" t="s">
        <v>484</v>
      </c>
      <c r="B81" s="504"/>
      <c r="C81" s="503">
        <f t="shared" si="14"/>
        <v>64</v>
      </c>
      <c r="D81" s="271" t="s">
        <v>145</v>
      </c>
      <c r="E81" s="271" t="s">
        <v>145</v>
      </c>
      <c r="F81" s="398" t="s">
        <v>300</v>
      </c>
      <c r="G81" s="275"/>
      <c r="H81" s="413">
        <v>48</v>
      </c>
      <c r="I81" s="413">
        <f t="shared" si="13"/>
        <v>0</v>
      </c>
      <c r="J81" s="275"/>
      <c r="K81" s="398" t="s">
        <v>479</v>
      </c>
      <c r="L81" s="251" t="s">
        <v>480</v>
      </c>
      <c r="M81" s="11"/>
      <c r="N81" s="157"/>
      <c r="O81" s="15"/>
      <c r="P81" s="15"/>
      <c r="Q81" s="157"/>
      <c r="R81" s="134"/>
    </row>
    <row r="82" spans="1:18" ht="18" customHeight="1">
      <c r="A82" s="162" t="s">
        <v>484</v>
      </c>
      <c r="B82" s="505"/>
      <c r="C82" s="503">
        <f t="shared" si="14"/>
        <v>65</v>
      </c>
      <c r="D82" s="271" t="s">
        <v>145</v>
      </c>
      <c r="E82" s="271" t="s">
        <v>145</v>
      </c>
      <c r="F82" s="398" t="s">
        <v>481</v>
      </c>
      <c r="G82" s="275"/>
      <c r="H82" s="413">
        <v>92</v>
      </c>
      <c r="I82" s="414">
        <f t="shared" si="13"/>
        <v>0</v>
      </c>
      <c r="J82" s="275"/>
      <c r="K82" s="398" t="s">
        <v>482</v>
      </c>
      <c r="L82" s="251" t="s">
        <v>480</v>
      </c>
      <c r="M82" s="11"/>
      <c r="N82" s="157"/>
      <c r="O82" s="15"/>
      <c r="P82" s="15"/>
      <c r="Q82" s="157"/>
      <c r="R82" s="134"/>
    </row>
    <row r="83" spans="1:18" ht="18" customHeight="1">
      <c r="B83" s="109"/>
      <c r="C83" s="114"/>
      <c r="D83" s="154"/>
      <c r="E83" s="154"/>
      <c r="F83" s="228"/>
      <c r="G83" s="229"/>
      <c r="H83" s="229"/>
      <c r="I83" s="322"/>
      <c r="J83" s="155"/>
      <c r="K83" s="156"/>
      <c r="L83" s="71"/>
      <c r="M83" s="11"/>
      <c r="N83" s="159"/>
      <c r="O83" s="15"/>
      <c r="P83" s="15"/>
      <c r="Q83" s="159"/>
      <c r="R83" s="161"/>
    </row>
    <row r="84" spans="1:18" ht="18" customHeight="1">
      <c r="C84" s="70"/>
      <c r="D84" s="8"/>
      <c r="E84" s="8"/>
      <c r="F84" s="647">
        <f>SUM(I76:I82)</f>
        <v>6016</v>
      </c>
      <c r="G84" s="648"/>
      <c r="H84" s="648"/>
      <c r="I84" s="649"/>
      <c r="J84" s="13"/>
      <c r="K84" s="64"/>
      <c r="L84" s="71"/>
      <c r="M84" s="11"/>
      <c r="N84" s="76"/>
      <c r="O84" s="15"/>
      <c r="P84" s="15"/>
      <c r="Q84" s="76"/>
      <c r="R84" s="24"/>
    </row>
    <row r="85" spans="1:18" s="216" customFormat="1" ht="18" customHeight="1">
      <c r="C85" s="217"/>
      <c r="D85" s="154"/>
      <c r="E85" s="154"/>
      <c r="F85" s="218"/>
      <c r="G85" s="219"/>
      <c r="H85" s="219"/>
      <c r="I85" s="220"/>
      <c r="J85" s="221"/>
      <c r="K85" s="222"/>
      <c r="L85" s="223"/>
      <c r="M85" s="224"/>
      <c r="N85" s="225"/>
      <c r="O85" s="226"/>
      <c r="P85" s="226"/>
      <c r="Q85" s="225"/>
      <c r="R85" s="227"/>
    </row>
    <row r="86" spans="1:18" s="216" customFormat="1" ht="18" customHeight="1">
      <c r="C86" s="217"/>
      <c r="D86" s="154"/>
      <c r="E86" s="154"/>
      <c r="F86" s="218"/>
      <c r="G86" s="219"/>
      <c r="H86" s="219"/>
      <c r="I86" s="220"/>
      <c r="J86" s="221"/>
      <c r="K86" s="222"/>
      <c r="L86" s="223"/>
      <c r="M86" s="224"/>
      <c r="N86" s="225"/>
      <c r="O86" s="226"/>
      <c r="P86" s="226"/>
      <c r="Q86" s="225"/>
      <c r="R86" s="227"/>
    </row>
    <row r="87" spans="1:18" s="216" customFormat="1" ht="18" customHeight="1">
      <c r="C87" s="217"/>
      <c r="D87" s="154"/>
      <c r="E87" s="154"/>
      <c r="F87" s="218"/>
      <c r="G87" s="219"/>
      <c r="H87" s="219"/>
      <c r="I87" s="220"/>
      <c r="J87" s="221"/>
      <c r="K87" s="222"/>
      <c r="L87" s="223"/>
      <c r="M87" s="224"/>
      <c r="N87" s="225"/>
      <c r="O87" s="226"/>
      <c r="P87" s="226"/>
      <c r="Q87" s="225"/>
      <c r="R87" s="227"/>
    </row>
    <row r="88" spans="1:18" ht="18" customHeight="1">
      <c r="C88" s="70"/>
      <c r="D88" s="8"/>
      <c r="E88" s="8"/>
      <c r="F88" s="107"/>
      <c r="G88" s="68"/>
      <c r="H88" s="68"/>
      <c r="I88" s="68"/>
      <c r="J88" s="67"/>
      <c r="K88" s="69"/>
      <c r="L88" s="71"/>
      <c r="M88" s="11"/>
      <c r="N88" s="76"/>
      <c r="O88" s="15"/>
      <c r="P88" s="15"/>
      <c r="Q88" s="76"/>
      <c r="R88" s="24"/>
    </row>
    <row r="89" spans="1:18" ht="18" customHeight="1">
      <c r="C89" s="194"/>
      <c r="D89" s="650" t="s">
        <v>254</v>
      </c>
      <c r="E89" s="651"/>
      <c r="F89" s="652"/>
      <c r="G89" s="162"/>
      <c r="H89" s="162"/>
      <c r="I89" s="165"/>
      <c r="J89" s="165"/>
      <c r="K89" s="162"/>
      <c r="L89" s="71"/>
      <c r="M89" s="11"/>
      <c r="N89" s="76"/>
      <c r="O89" s="15"/>
      <c r="P89" s="15"/>
      <c r="Q89" s="76"/>
      <c r="R89" s="24"/>
    </row>
    <row r="90" spans="1:18" s="216" customFormat="1" ht="18" customHeight="1">
      <c r="A90" s="508" t="s">
        <v>360</v>
      </c>
      <c r="B90" s="504"/>
      <c r="C90" s="503">
        <f>+C82+1</f>
        <v>66</v>
      </c>
      <c r="D90" s="578" t="s">
        <v>470</v>
      </c>
      <c r="E90" s="578" t="s">
        <v>145</v>
      </c>
      <c r="F90" s="619" t="s">
        <v>486</v>
      </c>
      <c r="G90" s="620">
        <v>1</v>
      </c>
      <c r="H90" s="620">
        <v>1936</v>
      </c>
      <c r="I90" s="170">
        <f t="shared" ref="I90:I98" si="15">G90*H90</f>
        <v>1936</v>
      </c>
      <c r="J90" s="120"/>
      <c r="K90" s="508" t="s">
        <v>485</v>
      </c>
      <c r="L90" s="223"/>
      <c r="M90" s="224"/>
      <c r="N90" s="506"/>
      <c r="O90" s="226"/>
      <c r="P90" s="226"/>
      <c r="Q90" s="225"/>
      <c r="R90" s="507"/>
    </row>
    <row r="91" spans="1:18" s="216" customFormat="1" ht="18" customHeight="1">
      <c r="A91" s="508" t="s">
        <v>360</v>
      </c>
      <c r="B91" s="504"/>
      <c r="C91" s="503">
        <f t="shared" ref="C91:C100" si="16">+C90+1</f>
        <v>67</v>
      </c>
      <c r="D91" s="578" t="s">
        <v>470</v>
      </c>
      <c r="E91" s="578" t="s">
        <v>145</v>
      </c>
      <c r="F91" s="619" t="s">
        <v>487</v>
      </c>
      <c r="G91" s="620">
        <v>1</v>
      </c>
      <c r="H91" s="620">
        <v>2850</v>
      </c>
      <c r="I91" s="170">
        <f t="shared" si="15"/>
        <v>2850</v>
      </c>
      <c r="J91" s="120"/>
      <c r="K91" s="508" t="s">
        <v>488</v>
      </c>
      <c r="L91" s="370"/>
      <c r="M91" s="224"/>
      <c r="N91" s="506"/>
      <c r="O91" s="226"/>
      <c r="P91" s="226"/>
      <c r="Q91" s="225"/>
      <c r="R91" s="507"/>
    </row>
    <row r="92" spans="1:18" s="216" customFormat="1" ht="18" customHeight="1">
      <c r="A92" s="508" t="s">
        <v>360</v>
      </c>
      <c r="B92" s="504"/>
      <c r="C92" s="503">
        <f t="shared" si="16"/>
        <v>68</v>
      </c>
      <c r="D92" s="578" t="s">
        <v>470</v>
      </c>
      <c r="E92" s="578" t="s">
        <v>145</v>
      </c>
      <c r="F92" s="621" t="s">
        <v>489</v>
      </c>
      <c r="G92" s="622">
        <v>1</v>
      </c>
      <c r="H92" s="580">
        <v>4500</v>
      </c>
      <c r="I92" s="169">
        <f t="shared" si="15"/>
        <v>4500</v>
      </c>
      <c r="J92" s="172"/>
      <c r="K92" s="180" t="s">
        <v>325</v>
      </c>
      <c r="L92" s="223"/>
      <c r="M92" s="224"/>
      <c r="N92" s="506"/>
      <c r="O92" s="226"/>
      <c r="P92" s="226"/>
      <c r="Q92" s="225"/>
      <c r="R92" s="507"/>
    </row>
    <row r="93" spans="1:18" s="216" customFormat="1" ht="18" customHeight="1">
      <c r="A93" s="162" t="s">
        <v>484</v>
      </c>
      <c r="B93" s="504"/>
      <c r="C93" s="503">
        <f t="shared" si="16"/>
        <v>69</v>
      </c>
      <c r="D93" s="162" t="s">
        <v>145</v>
      </c>
      <c r="E93" s="162" t="s">
        <v>145</v>
      </c>
      <c r="F93" s="184" t="s">
        <v>255</v>
      </c>
      <c r="G93" s="230">
        <v>2</v>
      </c>
      <c r="H93" s="324">
        <v>70</v>
      </c>
      <c r="I93" s="515">
        <f t="shared" si="15"/>
        <v>140</v>
      </c>
      <c r="J93" s="165"/>
      <c r="K93" s="184" t="s">
        <v>256</v>
      </c>
      <c r="L93" s="162"/>
      <c r="M93" s="224"/>
      <c r="N93" s="506"/>
      <c r="O93" s="226"/>
      <c r="P93" s="226"/>
      <c r="Q93" s="225"/>
      <c r="R93" s="507"/>
    </row>
    <row r="94" spans="1:18" s="216" customFormat="1" ht="18" customHeight="1">
      <c r="A94" s="162" t="s">
        <v>484</v>
      </c>
      <c r="B94" s="504"/>
      <c r="C94" s="503">
        <f t="shared" si="16"/>
        <v>70</v>
      </c>
      <c r="D94" s="162" t="s">
        <v>145</v>
      </c>
      <c r="E94" s="162" t="s">
        <v>145</v>
      </c>
      <c r="F94" s="184" t="s">
        <v>257</v>
      </c>
      <c r="G94" s="230">
        <v>2</v>
      </c>
      <c r="H94" s="324">
        <v>78</v>
      </c>
      <c r="I94" s="515">
        <f t="shared" si="15"/>
        <v>156</v>
      </c>
      <c r="J94" s="165"/>
      <c r="K94" s="184" t="s">
        <v>256</v>
      </c>
      <c r="L94" s="162"/>
      <c r="M94" s="224"/>
      <c r="N94" s="506"/>
      <c r="O94" s="226"/>
      <c r="P94" s="226"/>
      <c r="Q94" s="225"/>
      <c r="R94" s="507"/>
    </row>
    <row r="95" spans="1:18" s="216" customFormat="1" ht="18" customHeight="1">
      <c r="A95" s="162" t="s">
        <v>484</v>
      </c>
      <c r="B95" s="504"/>
      <c r="C95" s="503">
        <f t="shared" si="16"/>
        <v>71</v>
      </c>
      <c r="D95" s="164" t="s">
        <v>145</v>
      </c>
      <c r="E95" s="164" t="s">
        <v>145</v>
      </c>
      <c r="F95" s="195" t="s">
        <v>258</v>
      </c>
      <c r="G95" s="285">
        <v>4</v>
      </c>
      <c r="H95" s="231">
        <v>169</v>
      </c>
      <c r="I95" s="339">
        <f t="shared" si="15"/>
        <v>676</v>
      </c>
      <c r="J95" s="196"/>
      <c r="K95" s="195" t="s">
        <v>259</v>
      </c>
      <c r="L95" s="162"/>
      <c r="M95" s="224"/>
      <c r="N95" s="506"/>
      <c r="O95" s="226"/>
      <c r="P95" s="226"/>
      <c r="Q95" s="225"/>
      <c r="R95" s="507"/>
    </row>
    <row r="96" spans="1:18" s="216" customFormat="1" ht="18" customHeight="1">
      <c r="A96" s="162" t="s">
        <v>484</v>
      </c>
      <c r="B96" s="504"/>
      <c r="C96" s="503">
        <f t="shared" si="16"/>
        <v>72</v>
      </c>
      <c r="D96" s="164" t="s">
        <v>145</v>
      </c>
      <c r="E96" s="164" t="s">
        <v>145</v>
      </c>
      <c r="F96" s="458" t="s">
        <v>260</v>
      </c>
      <c r="G96" s="119">
        <v>2</v>
      </c>
      <c r="H96" s="327">
        <v>71</v>
      </c>
      <c r="I96" s="321">
        <f t="shared" si="15"/>
        <v>142</v>
      </c>
      <c r="J96" s="165"/>
      <c r="K96" s="163" t="s">
        <v>261</v>
      </c>
      <c r="L96" s="185"/>
      <c r="M96" s="224"/>
      <c r="N96" s="506"/>
      <c r="O96" s="226"/>
      <c r="P96" s="226"/>
      <c r="Q96" s="225"/>
      <c r="R96" s="507"/>
    </row>
    <row r="97" spans="1:18" s="216" customFormat="1" ht="18" customHeight="1">
      <c r="A97" s="162" t="s">
        <v>484</v>
      </c>
      <c r="B97" s="504"/>
      <c r="C97" s="503">
        <f t="shared" si="16"/>
        <v>73</v>
      </c>
      <c r="D97" s="164" t="s">
        <v>145</v>
      </c>
      <c r="E97" s="164" t="s">
        <v>145</v>
      </c>
      <c r="F97" s="458" t="s">
        <v>262</v>
      </c>
      <c r="G97" s="119">
        <v>2</v>
      </c>
      <c r="H97" s="327">
        <v>30</v>
      </c>
      <c r="I97" s="321">
        <f t="shared" si="15"/>
        <v>60</v>
      </c>
      <c r="J97" s="165"/>
      <c r="K97" s="163" t="s">
        <v>263</v>
      </c>
      <c r="L97" s="185"/>
      <c r="M97" s="224"/>
      <c r="N97" s="506"/>
      <c r="O97" s="226"/>
      <c r="P97" s="226"/>
      <c r="Q97" s="225"/>
      <c r="R97" s="507"/>
    </row>
    <row r="98" spans="1:18" s="216" customFormat="1" ht="18" customHeight="1">
      <c r="A98" s="162" t="s">
        <v>492</v>
      </c>
      <c r="B98" s="504"/>
      <c r="C98" s="503">
        <f t="shared" si="16"/>
        <v>74</v>
      </c>
      <c r="D98" s="252" t="s">
        <v>264</v>
      </c>
      <c r="E98" s="252" t="s">
        <v>145</v>
      </c>
      <c r="F98" s="253" t="s">
        <v>265</v>
      </c>
      <c r="G98" s="254"/>
      <c r="H98" s="329">
        <v>1800</v>
      </c>
      <c r="I98" s="330">
        <f t="shared" si="15"/>
        <v>0</v>
      </c>
      <c r="J98" s="255"/>
      <c r="K98" s="616" t="s">
        <v>644</v>
      </c>
      <c r="L98" s="251" t="s">
        <v>490</v>
      </c>
      <c r="M98" s="224"/>
      <c r="N98" s="506"/>
      <c r="O98" s="226"/>
      <c r="P98" s="226"/>
      <c r="Q98" s="225"/>
      <c r="R98" s="507"/>
    </row>
    <row r="99" spans="1:18" s="216" customFormat="1" ht="18" customHeight="1">
      <c r="A99" s="162" t="s">
        <v>483</v>
      </c>
      <c r="B99" s="504"/>
      <c r="C99" s="503">
        <f t="shared" si="16"/>
        <v>75</v>
      </c>
      <c r="D99" s="246" t="s">
        <v>145</v>
      </c>
      <c r="E99" s="246" t="s">
        <v>145</v>
      </c>
      <c r="F99" s="247" t="s">
        <v>271</v>
      </c>
      <c r="G99" s="248"/>
      <c r="H99" s="332">
        <v>690</v>
      </c>
      <c r="I99" s="332">
        <f>G99*H99</f>
        <v>0</v>
      </c>
      <c r="J99" s="249"/>
      <c r="K99" s="250" t="s">
        <v>645</v>
      </c>
      <c r="L99" s="251" t="s">
        <v>491</v>
      </c>
      <c r="M99" s="224"/>
      <c r="N99" s="506"/>
      <c r="O99" s="226"/>
      <c r="P99" s="226"/>
      <c r="Q99" s="225"/>
      <c r="R99" s="507"/>
    </row>
    <row r="100" spans="1:18" s="216" customFormat="1" ht="18" customHeight="1">
      <c r="A100" s="162" t="s">
        <v>493</v>
      </c>
      <c r="B100" s="504"/>
      <c r="C100" s="503">
        <f t="shared" si="16"/>
        <v>76</v>
      </c>
      <c r="D100" s="246" t="s">
        <v>145</v>
      </c>
      <c r="E100" s="246" t="s">
        <v>145</v>
      </c>
      <c r="F100" s="247" t="s">
        <v>150</v>
      </c>
      <c r="G100" s="248"/>
      <c r="H100" s="332">
        <v>990</v>
      </c>
      <c r="I100" s="332">
        <f>G100*H100</f>
        <v>0</v>
      </c>
      <c r="J100" s="249"/>
      <c r="K100" s="250" t="s">
        <v>645</v>
      </c>
      <c r="L100" s="251" t="s">
        <v>491</v>
      </c>
      <c r="M100" s="224"/>
      <c r="N100" s="506"/>
      <c r="O100" s="226"/>
      <c r="P100" s="226"/>
      <c r="Q100" s="225"/>
      <c r="R100" s="507"/>
    </row>
    <row r="101" spans="1:18" ht="18" customHeight="1">
      <c r="C101" s="128"/>
      <c r="D101" s="181"/>
      <c r="E101" s="181"/>
      <c r="F101" s="167"/>
      <c r="G101" s="162"/>
      <c r="H101" s="169"/>
      <c r="I101" s="169"/>
      <c r="J101" s="165"/>
      <c r="K101" s="198"/>
      <c r="L101" s="71"/>
      <c r="M101" s="11"/>
      <c r="N101" s="76"/>
      <c r="O101" s="15"/>
      <c r="P101" s="15"/>
      <c r="Q101" s="76"/>
      <c r="R101" s="24"/>
    </row>
    <row r="102" spans="1:18" ht="18" customHeight="1">
      <c r="C102" s="128"/>
      <c r="D102" s="199"/>
      <c r="E102" s="199"/>
      <c r="F102" s="653">
        <f>SUM(I90:I101)</f>
        <v>10460</v>
      </c>
      <c r="G102" s="654"/>
      <c r="H102" s="654"/>
      <c r="I102" s="655"/>
      <c r="J102" s="175"/>
      <c r="K102" s="176"/>
      <c r="L102" s="71"/>
      <c r="M102" s="11"/>
      <c r="N102" s="76"/>
      <c r="O102" s="15"/>
      <c r="P102" s="15"/>
      <c r="Q102" s="76"/>
      <c r="R102" s="24"/>
    </row>
    <row r="103" spans="1:18" s="216" customFormat="1" ht="18" customHeight="1">
      <c r="C103" s="356"/>
      <c r="D103" s="372"/>
      <c r="E103" s="372"/>
      <c r="F103" s="373"/>
      <c r="G103" s="374"/>
      <c r="H103" s="375"/>
      <c r="I103" s="231"/>
      <c r="J103" s="119"/>
      <c r="K103" s="355"/>
      <c r="L103" s="474"/>
      <c r="M103" s="224"/>
      <c r="N103" s="225"/>
      <c r="O103" s="226"/>
      <c r="P103" s="226"/>
      <c r="Q103" s="225"/>
      <c r="R103" s="227"/>
    </row>
    <row r="104" spans="1:18" s="216" customFormat="1" ht="18" customHeight="1">
      <c r="C104" s="356"/>
      <c r="D104" s="372"/>
      <c r="E104" s="372"/>
      <c r="F104" s="373"/>
      <c r="G104" s="374"/>
      <c r="H104" s="375"/>
      <c r="I104" s="231"/>
      <c r="J104" s="119"/>
      <c r="K104" s="355"/>
      <c r="L104" s="474"/>
      <c r="M104" s="224"/>
      <c r="N104" s="225"/>
      <c r="O104" s="226"/>
      <c r="P104" s="226"/>
      <c r="Q104" s="225"/>
      <c r="R104" s="227"/>
    </row>
    <row r="105" spans="1:18" s="216" customFormat="1" ht="18" customHeight="1">
      <c r="C105" s="356"/>
      <c r="D105" s="372"/>
      <c r="E105" s="372"/>
      <c r="F105" s="373"/>
      <c r="G105" s="374"/>
      <c r="H105" s="375"/>
      <c r="I105" s="231"/>
      <c r="J105" s="119"/>
      <c r="K105" s="355"/>
      <c r="L105" s="474"/>
      <c r="M105" s="224"/>
      <c r="N105" s="225"/>
      <c r="O105" s="226"/>
      <c r="P105" s="226"/>
      <c r="Q105" s="225"/>
      <c r="R105" s="227"/>
    </row>
    <row r="106" spans="1:18" s="216" customFormat="1" ht="18" customHeight="1">
      <c r="C106" s="356"/>
      <c r="D106" s="656" t="s">
        <v>422</v>
      </c>
      <c r="E106" s="656"/>
      <c r="F106" s="656"/>
      <c r="G106" s="374"/>
      <c r="H106" s="375"/>
      <c r="I106" s="231"/>
      <c r="J106" s="119"/>
      <c r="K106" s="355"/>
      <c r="L106" s="474"/>
      <c r="M106" s="224"/>
      <c r="N106" s="225"/>
      <c r="O106" s="226"/>
      <c r="P106" s="226"/>
      <c r="Q106" s="225"/>
      <c r="R106" s="227"/>
    </row>
    <row r="107" spans="1:18" s="216" customFormat="1" ht="18" customHeight="1">
      <c r="A107" s="508" t="s">
        <v>360</v>
      </c>
      <c r="B107" s="504"/>
      <c r="C107" s="503">
        <f>+C100+1</f>
        <v>77</v>
      </c>
      <c r="D107" s="626" t="s">
        <v>37</v>
      </c>
      <c r="E107" s="626" t="s">
        <v>37</v>
      </c>
      <c r="F107" s="545" t="s">
        <v>506</v>
      </c>
      <c r="G107" s="627">
        <v>2</v>
      </c>
      <c r="H107" s="628">
        <v>4720</v>
      </c>
      <c r="I107" s="170">
        <f>G107*H107</f>
        <v>9440</v>
      </c>
      <c r="J107" s="165"/>
      <c r="K107" s="568" t="s">
        <v>507</v>
      </c>
      <c r="L107" s="162" t="s">
        <v>508</v>
      </c>
      <c r="M107" s="224"/>
      <c r="N107" s="225"/>
      <c r="O107" s="226"/>
      <c r="P107" s="226"/>
      <c r="Q107" s="225"/>
      <c r="R107" s="227"/>
    </row>
    <row r="108" spans="1:18" s="216" customFormat="1" ht="18" customHeight="1">
      <c r="A108" s="508" t="s">
        <v>360</v>
      </c>
      <c r="B108" s="504"/>
      <c r="C108" s="503">
        <f t="shared" ref="C108:C132" si="17">+C107+1</f>
        <v>78</v>
      </c>
      <c r="D108" s="626" t="s">
        <v>37</v>
      </c>
      <c r="E108" s="626" t="s">
        <v>37</v>
      </c>
      <c r="F108" s="545" t="s">
        <v>425</v>
      </c>
      <c r="G108" s="627">
        <v>4</v>
      </c>
      <c r="H108" s="628">
        <v>3040</v>
      </c>
      <c r="I108" s="170">
        <f>G108*H108</f>
        <v>12160</v>
      </c>
      <c r="J108" s="165"/>
      <c r="K108" s="478" t="s">
        <v>426</v>
      </c>
      <c r="L108" s="162"/>
      <c r="M108" s="224"/>
      <c r="N108" s="225"/>
      <c r="O108" s="226"/>
      <c r="P108" s="226"/>
      <c r="Q108" s="225"/>
      <c r="R108" s="227"/>
    </row>
    <row r="109" spans="1:18" s="216" customFormat="1" ht="18" customHeight="1">
      <c r="A109" s="508" t="s">
        <v>360</v>
      </c>
      <c r="B109" s="504"/>
      <c r="C109" s="503">
        <f t="shared" si="17"/>
        <v>79</v>
      </c>
      <c r="D109" s="246" t="s">
        <v>37</v>
      </c>
      <c r="E109" s="246" t="s">
        <v>37</v>
      </c>
      <c r="F109" s="276" t="s">
        <v>427</v>
      </c>
      <c r="G109" s="570"/>
      <c r="H109" s="571">
        <v>1840</v>
      </c>
      <c r="I109" s="572">
        <f t="shared" ref="I109:I131" si="18">G109*H109</f>
        <v>0</v>
      </c>
      <c r="J109" s="259"/>
      <c r="K109" s="493" t="s">
        <v>428</v>
      </c>
      <c r="L109" s="272" t="s">
        <v>622</v>
      </c>
      <c r="M109" s="224"/>
      <c r="N109" s="225"/>
      <c r="O109" s="226"/>
      <c r="P109" s="226"/>
      <c r="Q109" s="225"/>
      <c r="R109" s="227"/>
    </row>
    <row r="110" spans="1:18" s="216" customFormat="1" ht="18" customHeight="1">
      <c r="A110" s="508" t="s">
        <v>360</v>
      </c>
      <c r="B110" s="504"/>
      <c r="C110" s="503">
        <f t="shared" si="17"/>
        <v>80</v>
      </c>
      <c r="D110" s="626" t="s">
        <v>37</v>
      </c>
      <c r="E110" s="626" t="s">
        <v>37</v>
      </c>
      <c r="F110" s="545" t="s">
        <v>429</v>
      </c>
      <c r="G110" s="627">
        <v>2</v>
      </c>
      <c r="H110" s="628">
        <v>2160</v>
      </c>
      <c r="I110" s="170">
        <f t="shared" si="18"/>
        <v>4320</v>
      </c>
      <c r="J110" s="165"/>
      <c r="K110" s="478" t="s">
        <v>430</v>
      </c>
      <c r="L110" s="162"/>
      <c r="M110" s="224"/>
      <c r="N110" s="225"/>
      <c r="O110" s="226"/>
      <c r="P110" s="226"/>
      <c r="Q110" s="225"/>
      <c r="R110" s="227"/>
    </row>
    <row r="111" spans="1:18" s="216" customFormat="1" ht="18" customHeight="1">
      <c r="A111" s="508" t="s">
        <v>360</v>
      </c>
      <c r="B111" s="504"/>
      <c r="C111" s="503">
        <f t="shared" si="17"/>
        <v>81</v>
      </c>
      <c r="D111" s="246" t="s">
        <v>37</v>
      </c>
      <c r="E111" s="246" t="s">
        <v>37</v>
      </c>
      <c r="F111" s="276" t="s">
        <v>431</v>
      </c>
      <c r="G111" s="570"/>
      <c r="H111" s="571">
        <v>2600</v>
      </c>
      <c r="I111" s="572">
        <f t="shared" si="18"/>
        <v>0</v>
      </c>
      <c r="J111" s="259"/>
      <c r="K111" s="493" t="s">
        <v>432</v>
      </c>
      <c r="L111" s="272" t="s">
        <v>622</v>
      </c>
      <c r="M111" s="224"/>
      <c r="N111" s="225"/>
      <c r="O111" s="226"/>
      <c r="P111" s="226"/>
      <c r="Q111" s="225"/>
      <c r="R111" s="227"/>
    </row>
    <row r="112" spans="1:18" s="216" customFormat="1" ht="18" customHeight="1">
      <c r="A112" s="508" t="s">
        <v>598</v>
      </c>
      <c r="B112" s="504"/>
      <c r="C112" s="503">
        <f t="shared" si="17"/>
        <v>82</v>
      </c>
      <c r="D112" s="181" t="s">
        <v>37</v>
      </c>
      <c r="E112" s="181" t="s">
        <v>37</v>
      </c>
      <c r="F112" s="167" t="s">
        <v>433</v>
      </c>
      <c r="G112" s="476">
        <v>4</v>
      </c>
      <c r="H112" s="211">
        <v>2313</v>
      </c>
      <c r="I112" s="170">
        <f t="shared" si="18"/>
        <v>9252</v>
      </c>
      <c r="J112" s="165"/>
      <c r="K112" s="478" t="s">
        <v>434</v>
      </c>
      <c r="L112" s="162"/>
      <c r="M112" s="224"/>
      <c r="N112" s="225"/>
      <c r="O112" s="226"/>
      <c r="P112" s="226"/>
      <c r="Q112" s="225"/>
      <c r="R112" s="227"/>
    </row>
    <row r="113" spans="1:18" s="216" customFormat="1" ht="18" customHeight="1">
      <c r="A113" s="162" t="s">
        <v>492</v>
      </c>
      <c r="B113" s="504"/>
      <c r="C113" s="503">
        <f t="shared" si="17"/>
        <v>83</v>
      </c>
      <c r="D113" s="181" t="s">
        <v>37</v>
      </c>
      <c r="E113" s="181" t="s">
        <v>37</v>
      </c>
      <c r="F113" s="577" t="s">
        <v>451</v>
      </c>
      <c r="G113" s="476">
        <v>4</v>
      </c>
      <c r="H113" s="211">
        <v>1080</v>
      </c>
      <c r="I113" s="170">
        <f t="shared" si="18"/>
        <v>4320</v>
      </c>
      <c r="J113" s="165"/>
      <c r="K113" s="478" t="s">
        <v>452</v>
      </c>
      <c r="L113" s="162"/>
      <c r="M113" s="224"/>
      <c r="N113" s="225"/>
      <c r="O113" s="226"/>
      <c r="P113" s="226"/>
      <c r="Q113" s="225"/>
      <c r="R113" s="227"/>
    </row>
    <row r="114" spans="1:18" s="216" customFormat="1" ht="18" customHeight="1">
      <c r="A114" s="162" t="s">
        <v>484</v>
      </c>
      <c r="B114" s="504"/>
      <c r="C114" s="503">
        <f t="shared" si="17"/>
        <v>84</v>
      </c>
      <c r="D114" s="181" t="s">
        <v>37</v>
      </c>
      <c r="E114" s="181" t="s">
        <v>37</v>
      </c>
      <c r="F114" s="577" t="s">
        <v>442</v>
      </c>
      <c r="G114" s="569">
        <v>8</v>
      </c>
      <c r="H114" s="211">
        <v>59</v>
      </c>
      <c r="I114" s="170">
        <f t="shared" si="18"/>
        <v>472</v>
      </c>
      <c r="J114" s="165"/>
      <c r="K114" s="478" t="s">
        <v>443</v>
      </c>
      <c r="L114" s="162"/>
      <c r="M114" s="224"/>
      <c r="N114" s="225"/>
      <c r="O114" s="226"/>
      <c r="P114" s="226"/>
      <c r="Q114" s="225"/>
      <c r="R114" s="227"/>
    </row>
    <row r="115" spans="1:18" s="216" customFormat="1" ht="18" customHeight="1">
      <c r="A115" s="162" t="s">
        <v>484</v>
      </c>
      <c r="B115" s="504"/>
      <c r="C115" s="503">
        <f t="shared" si="17"/>
        <v>85</v>
      </c>
      <c r="D115" s="181" t="s">
        <v>37</v>
      </c>
      <c r="E115" s="181" t="s">
        <v>37</v>
      </c>
      <c r="F115" s="577" t="s">
        <v>444</v>
      </c>
      <c r="G115" s="476">
        <v>4</v>
      </c>
      <c r="H115" s="211">
        <v>140</v>
      </c>
      <c r="I115" s="170">
        <f t="shared" si="18"/>
        <v>560</v>
      </c>
      <c r="J115" s="165"/>
      <c r="K115" s="478" t="s">
        <v>445</v>
      </c>
      <c r="L115" s="162"/>
      <c r="M115" s="224"/>
      <c r="N115" s="225"/>
      <c r="O115" s="226"/>
      <c r="P115" s="226"/>
      <c r="Q115" s="225"/>
      <c r="R115" s="227"/>
    </row>
    <row r="116" spans="1:18" s="216" customFormat="1" ht="18" customHeight="1">
      <c r="A116" s="162" t="s">
        <v>484</v>
      </c>
      <c r="B116" s="504"/>
      <c r="C116" s="503">
        <f t="shared" si="17"/>
        <v>86</v>
      </c>
      <c r="D116" s="181" t="s">
        <v>37</v>
      </c>
      <c r="E116" s="181" t="s">
        <v>37</v>
      </c>
      <c r="F116" s="167" t="s">
        <v>435</v>
      </c>
      <c r="G116" s="476">
        <v>4</v>
      </c>
      <c r="H116" s="211">
        <v>180</v>
      </c>
      <c r="I116" s="170">
        <f t="shared" si="18"/>
        <v>720</v>
      </c>
      <c r="J116" s="165"/>
      <c r="K116" s="478" t="s">
        <v>436</v>
      </c>
      <c r="L116" s="162"/>
      <c r="M116" s="224"/>
      <c r="N116" s="225"/>
      <c r="O116" s="226"/>
      <c r="P116" s="226"/>
      <c r="Q116" s="225"/>
      <c r="R116" s="227"/>
    </row>
    <row r="117" spans="1:18" s="216" customFormat="1" ht="18" customHeight="1">
      <c r="A117" s="508" t="s">
        <v>360</v>
      </c>
      <c r="B117" s="504"/>
      <c r="C117" s="503">
        <f t="shared" si="17"/>
        <v>87</v>
      </c>
      <c r="D117" s="181" t="s">
        <v>37</v>
      </c>
      <c r="E117" s="181" t="s">
        <v>37</v>
      </c>
      <c r="F117" s="577" t="s">
        <v>455</v>
      </c>
      <c r="G117" s="476">
        <v>2</v>
      </c>
      <c r="H117" s="211">
        <v>1160</v>
      </c>
      <c r="I117" s="170">
        <f t="shared" si="18"/>
        <v>2320</v>
      </c>
      <c r="J117" s="165"/>
      <c r="K117" s="167" t="s">
        <v>456</v>
      </c>
      <c r="L117" s="162"/>
      <c r="M117" s="224"/>
      <c r="N117" s="225"/>
      <c r="O117" s="226"/>
      <c r="P117" s="226"/>
      <c r="Q117" s="225"/>
      <c r="R117" s="227"/>
    </row>
    <row r="118" spans="1:18" s="216" customFormat="1" ht="18" customHeight="1">
      <c r="A118" s="162" t="s">
        <v>484</v>
      </c>
      <c r="B118" s="504"/>
      <c r="C118" s="503">
        <f t="shared" si="17"/>
        <v>88</v>
      </c>
      <c r="D118" s="62" t="s">
        <v>37</v>
      </c>
      <c r="E118" s="62" t="s">
        <v>37</v>
      </c>
      <c r="F118" s="91" t="s">
        <v>459</v>
      </c>
      <c r="G118" s="111">
        <v>11</v>
      </c>
      <c r="H118" s="111">
        <v>79</v>
      </c>
      <c r="I118" s="336">
        <f t="shared" si="18"/>
        <v>869</v>
      </c>
      <c r="J118" s="481"/>
      <c r="K118" s="45" t="s">
        <v>133</v>
      </c>
      <c r="L118" s="162"/>
      <c r="M118" s="224"/>
      <c r="N118" s="225"/>
      <c r="O118" s="226"/>
      <c r="P118" s="226"/>
      <c r="Q118" s="225"/>
      <c r="R118" s="227"/>
    </row>
    <row r="119" spans="1:18" s="216" customFormat="1" ht="18" customHeight="1">
      <c r="A119" s="508" t="s">
        <v>360</v>
      </c>
      <c r="B119" s="504"/>
      <c r="C119" s="503">
        <f t="shared" si="17"/>
        <v>89</v>
      </c>
      <c r="D119" s="181" t="s">
        <v>37</v>
      </c>
      <c r="E119" s="181" t="s">
        <v>37</v>
      </c>
      <c r="F119" s="577" t="s">
        <v>453</v>
      </c>
      <c r="G119" s="476">
        <v>2</v>
      </c>
      <c r="H119" s="211">
        <v>1180</v>
      </c>
      <c r="I119" s="170">
        <f t="shared" si="18"/>
        <v>2360</v>
      </c>
      <c r="J119" s="165"/>
      <c r="K119" s="478" t="s">
        <v>454</v>
      </c>
      <c r="L119" s="162"/>
      <c r="M119" s="224"/>
      <c r="N119" s="225"/>
      <c r="O119" s="226"/>
      <c r="P119" s="226"/>
      <c r="Q119" s="225"/>
      <c r="R119" s="227"/>
    </row>
    <row r="120" spans="1:18" s="216" customFormat="1" ht="18" customHeight="1">
      <c r="A120" s="162" t="s">
        <v>484</v>
      </c>
      <c r="B120" s="504"/>
      <c r="C120" s="503">
        <f t="shared" si="17"/>
        <v>90</v>
      </c>
      <c r="D120" s="181" t="s">
        <v>37</v>
      </c>
      <c r="E120" s="181" t="s">
        <v>37</v>
      </c>
      <c r="F120" s="167" t="s">
        <v>448</v>
      </c>
      <c r="G120" s="476">
        <v>20</v>
      </c>
      <c r="H120" s="211">
        <v>29</v>
      </c>
      <c r="I120" s="170">
        <f t="shared" si="18"/>
        <v>580</v>
      </c>
      <c r="J120" s="165"/>
      <c r="K120" s="478" t="s">
        <v>509</v>
      </c>
      <c r="L120" s="162"/>
      <c r="M120" s="224"/>
      <c r="N120" s="225"/>
      <c r="O120" s="226"/>
      <c r="P120" s="226"/>
      <c r="Q120" s="225"/>
      <c r="R120" s="227"/>
    </row>
    <row r="121" spans="1:18" s="216" customFormat="1" ht="18" customHeight="1">
      <c r="A121" s="162" t="s">
        <v>484</v>
      </c>
      <c r="B121" s="504"/>
      <c r="C121" s="503">
        <f t="shared" si="17"/>
        <v>91</v>
      </c>
      <c r="D121" s="181" t="s">
        <v>37</v>
      </c>
      <c r="E121" s="181" t="s">
        <v>37</v>
      </c>
      <c r="F121" s="167" t="s">
        <v>450</v>
      </c>
      <c r="G121" s="476">
        <v>20</v>
      </c>
      <c r="H121" s="211">
        <v>29</v>
      </c>
      <c r="I121" s="170">
        <f t="shared" si="18"/>
        <v>580</v>
      </c>
      <c r="J121" s="165"/>
      <c r="K121" s="478" t="s">
        <v>510</v>
      </c>
      <c r="L121" s="162"/>
      <c r="M121" s="224"/>
      <c r="N121" s="225"/>
      <c r="O121" s="226"/>
      <c r="P121" s="226"/>
      <c r="Q121" s="225"/>
      <c r="R121" s="227"/>
    </row>
    <row r="122" spans="1:18" s="216" customFormat="1" ht="18" customHeight="1">
      <c r="A122" s="162" t="s">
        <v>484</v>
      </c>
      <c r="B122" s="504"/>
      <c r="C122" s="503">
        <f t="shared" si="17"/>
        <v>92</v>
      </c>
      <c r="D122" s="592" t="s">
        <v>37</v>
      </c>
      <c r="E122" s="592" t="s">
        <v>37</v>
      </c>
      <c r="F122" s="276" t="s">
        <v>439</v>
      </c>
      <c r="G122" s="611"/>
      <c r="H122" s="612">
        <v>25</v>
      </c>
      <c r="I122" s="613">
        <f t="shared" si="18"/>
        <v>0</v>
      </c>
      <c r="J122" s="275"/>
      <c r="K122" s="276" t="s">
        <v>643</v>
      </c>
      <c r="L122" s="162" t="s">
        <v>511</v>
      </c>
      <c r="M122" s="224"/>
      <c r="N122" s="225"/>
      <c r="O122" s="226"/>
      <c r="P122" s="226"/>
      <c r="Q122" s="225"/>
      <c r="R122" s="227"/>
    </row>
    <row r="123" spans="1:18" s="216" customFormat="1" ht="18" customHeight="1">
      <c r="A123" s="162" t="s">
        <v>484</v>
      </c>
      <c r="B123" s="504"/>
      <c r="C123" s="503">
        <f t="shared" si="17"/>
        <v>93</v>
      </c>
      <c r="D123" s="592" t="s">
        <v>37</v>
      </c>
      <c r="E123" s="592" t="s">
        <v>37</v>
      </c>
      <c r="F123" s="276" t="s">
        <v>302</v>
      </c>
      <c r="G123" s="611"/>
      <c r="H123" s="612">
        <v>27</v>
      </c>
      <c r="I123" s="613">
        <f t="shared" si="18"/>
        <v>0</v>
      </c>
      <c r="J123" s="275"/>
      <c r="K123" s="276" t="s">
        <v>642</v>
      </c>
      <c r="L123" s="167" t="s">
        <v>512</v>
      </c>
      <c r="M123" s="224"/>
      <c r="N123" s="225"/>
      <c r="O123" s="226"/>
      <c r="P123" s="226"/>
      <c r="Q123" s="225"/>
      <c r="R123" s="227"/>
    </row>
    <row r="124" spans="1:18" s="216" customFormat="1" ht="18" customHeight="1">
      <c r="A124" s="162" t="s">
        <v>484</v>
      </c>
      <c r="B124" s="504"/>
      <c r="C124" s="503">
        <f t="shared" si="17"/>
        <v>94</v>
      </c>
      <c r="D124" s="592" t="s">
        <v>37</v>
      </c>
      <c r="E124" s="592" t="s">
        <v>37</v>
      </c>
      <c r="F124" s="276" t="s">
        <v>441</v>
      </c>
      <c r="G124" s="611"/>
      <c r="H124" s="612">
        <v>25</v>
      </c>
      <c r="I124" s="613">
        <f t="shared" si="18"/>
        <v>0</v>
      </c>
      <c r="J124" s="275"/>
      <c r="K124" s="276" t="s">
        <v>641</v>
      </c>
      <c r="L124" s="167" t="s">
        <v>513</v>
      </c>
      <c r="M124" s="224"/>
      <c r="N124" s="225"/>
      <c r="O124" s="226"/>
      <c r="P124" s="226"/>
      <c r="Q124" s="225"/>
      <c r="R124" s="227"/>
    </row>
    <row r="125" spans="1:18" s="216" customFormat="1" ht="18" customHeight="1">
      <c r="A125" s="162" t="s">
        <v>484</v>
      </c>
      <c r="B125" s="504"/>
      <c r="C125" s="503">
        <f t="shared" si="17"/>
        <v>95</v>
      </c>
      <c r="D125" s="181" t="s">
        <v>37</v>
      </c>
      <c r="E125" s="181" t="s">
        <v>37</v>
      </c>
      <c r="F125" s="603" t="s">
        <v>626</v>
      </c>
      <c r="G125" s="602">
        <v>8</v>
      </c>
      <c r="H125" s="591">
        <v>48</v>
      </c>
      <c r="I125" s="170">
        <f t="shared" si="18"/>
        <v>384</v>
      </c>
      <c r="J125" s="120"/>
      <c r="K125" s="603" t="s">
        <v>553</v>
      </c>
      <c r="L125" s="167"/>
      <c r="M125" s="224"/>
      <c r="N125" s="225"/>
      <c r="O125" s="226"/>
      <c r="P125" s="226"/>
      <c r="Q125" s="225"/>
      <c r="R125" s="227"/>
    </row>
    <row r="126" spans="1:18" s="216" customFormat="1" ht="18" customHeight="1">
      <c r="A126" s="162" t="s">
        <v>484</v>
      </c>
      <c r="B126" s="504"/>
      <c r="C126" s="503">
        <f t="shared" si="17"/>
        <v>96</v>
      </c>
      <c r="D126" s="181" t="s">
        <v>37</v>
      </c>
      <c r="E126" s="181" t="s">
        <v>37</v>
      </c>
      <c r="F126" s="603" t="s">
        <v>625</v>
      </c>
      <c r="G126" s="602">
        <v>4</v>
      </c>
      <c r="H126" s="591">
        <v>980</v>
      </c>
      <c r="I126" s="170">
        <f t="shared" si="18"/>
        <v>3920</v>
      </c>
      <c r="J126" s="120"/>
      <c r="K126" s="603" t="s">
        <v>624</v>
      </c>
      <c r="L126" s="167"/>
      <c r="M126" s="224"/>
      <c r="N126" s="225"/>
      <c r="O126" s="226"/>
      <c r="P126" s="226"/>
      <c r="Q126" s="225"/>
      <c r="R126" s="227"/>
    </row>
    <row r="127" spans="1:18" s="216" customFormat="1" ht="18" customHeight="1">
      <c r="A127" s="162" t="s">
        <v>492</v>
      </c>
      <c r="B127" s="504"/>
      <c r="C127" s="503">
        <f t="shared" si="17"/>
        <v>97</v>
      </c>
      <c r="D127" s="117" t="s">
        <v>567</v>
      </c>
      <c r="E127" s="181" t="s">
        <v>145</v>
      </c>
      <c r="F127" s="603" t="s">
        <v>627</v>
      </c>
      <c r="G127" s="602">
        <v>4</v>
      </c>
      <c r="H127" s="591">
        <v>79</v>
      </c>
      <c r="I127" s="170">
        <f t="shared" si="18"/>
        <v>316</v>
      </c>
      <c r="J127" s="120"/>
      <c r="K127" s="603" t="s">
        <v>628</v>
      </c>
      <c r="L127" s="167"/>
      <c r="M127" s="224"/>
      <c r="N127" s="225"/>
      <c r="O127" s="226"/>
      <c r="P127" s="226"/>
      <c r="Q127" s="225"/>
      <c r="R127" s="227"/>
    </row>
    <row r="128" spans="1:18" s="216" customFormat="1" ht="18" customHeight="1">
      <c r="A128" s="162" t="s">
        <v>484</v>
      </c>
      <c r="B128" s="504"/>
      <c r="C128" s="503">
        <f>+C127+1</f>
        <v>98</v>
      </c>
      <c r="D128" s="181" t="s">
        <v>37</v>
      </c>
      <c r="E128" s="181" t="s">
        <v>37</v>
      </c>
      <c r="F128" s="167" t="s">
        <v>446</v>
      </c>
      <c r="G128" s="476">
        <v>16</v>
      </c>
      <c r="H128" s="211">
        <v>46</v>
      </c>
      <c r="I128" s="170">
        <f t="shared" si="18"/>
        <v>736</v>
      </c>
      <c r="J128" s="165"/>
      <c r="K128" s="478" t="s">
        <v>514</v>
      </c>
      <c r="L128" s="162"/>
      <c r="M128" s="224"/>
      <c r="N128" s="225"/>
      <c r="O128" s="226"/>
      <c r="P128" s="226"/>
      <c r="Q128" s="225"/>
      <c r="R128" s="227"/>
    </row>
    <row r="129" spans="1:18" s="216" customFormat="1" ht="18" customHeight="1">
      <c r="A129" s="162" t="s">
        <v>484</v>
      </c>
      <c r="B129" s="504"/>
      <c r="C129" s="503">
        <f t="shared" si="17"/>
        <v>99</v>
      </c>
      <c r="D129" s="181" t="s">
        <v>37</v>
      </c>
      <c r="E129" s="181" t="s">
        <v>37</v>
      </c>
      <c r="F129" s="167" t="s">
        <v>437</v>
      </c>
      <c r="G129" s="476">
        <v>16</v>
      </c>
      <c r="H129" s="211">
        <v>52</v>
      </c>
      <c r="I129" s="170">
        <f t="shared" si="18"/>
        <v>832</v>
      </c>
      <c r="J129" s="165"/>
      <c r="K129" s="601" t="s">
        <v>623</v>
      </c>
      <c r="L129" s="162"/>
      <c r="M129" s="224"/>
      <c r="N129" s="225"/>
      <c r="O129" s="226"/>
      <c r="P129" s="226"/>
      <c r="Q129" s="225"/>
      <c r="R129" s="227"/>
    </row>
    <row r="130" spans="1:18" s="216" customFormat="1" ht="18" customHeight="1">
      <c r="A130" s="162" t="s">
        <v>484</v>
      </c>
      <c r="B130" s="504"/>
      <c r="C130" s="503">
        <f t="shared" si="17"/>
        <v>100</v>
      </c>
      <c r="D130" s="181" t="s">
        <v>37</v>
      </c>
      <c r="E130" s="181" t="s">
        <v>37</v>
      </c>
      <c r="F130" s="577" t="s">
        <v>457</v>
      </c>
      <c r="G130" s="480">
        <v>4</v>
      </c>
      <c r="H130" s="211">
        <v>200</v>
      </c>
      <c r="I130" s="170">
        <f t="shared" si="18"/>
        <v>800</v>
      </c>
      <c r="J130" s="175"/>
      <c r="K130" s="167" t="s">
        <v>458</v>
      </c>
      <c r="L130" s="162"/>
      <c r="M130" s="224"/>
      <c r="N130" s="225"/>
      <c r="O130" s="226"/>
      <c r="P130" s="226"/>
      <c r="Q130" s="225"/>
      <c r="R130" s="227"/>
    </row>
    <row r="131" spans="1:18" s="216" customFormat="1" ht="18" customHeight="1">
      <c r="A131" s="162" t="s">
        <v>484</v>
      </c>
      <c r="B131" s="504"/>
      <c r="C131" s="503">
        <f t="shared" si="17"/>
        <v>101</v>
      </c>
      <c r="D131" s="592" t="s">
        <v>37</v>
      </c>
      <c r="E131" s="592" t="s">
        <v>37</v>
      </c>
      <c r="F131" s="276" t="s">
        <v>460</v>
      </c>
      <c r="G131" s="272"/>
      <c r="H131" s="614">
        <v>39</v>
      </c>
      <c r="I131" s="613">
        <f t="shared" si="18"/>
        <v>0</v>
      </c>
      <c r="J131" s="275"/>
      <c r="K131" s="615" t="s">
        <v>640</v>
      </c>
      <c r="L131" s="185" t="s">
        <v>515</v>
      </c>
      <c r="M131" s="224"/>
      <c r="N131" s="225"/>
      <c r="O131" s="226"/>
      <c r="P131" s="226"/>
      <c r="Q131" s="225"/>
      <c r="R131" s="227"/>
    </row>
    <row r="132" spans="1:18" s="216" customFormat="1" ht="18" customHeight="1">
      <c r="A132" s="162" t="s">
        <v>484</v>
      </c>
      <c r="B132" s="504"/>
      <c r="C132" s="503">
        <f t="shared" si="17"/>
        <v>102</v>
      </c>
      <c r="D132" s="483" t="s">
        <v>37</v>
      </c>
      <c r="E132" s="483" t="s">
        <v>37</v>
      </c>
      <c r="F132" s="484" t="s">
        <v>463</v>
      </c>
      <c r="G132" s="241">
        <v>10</v>
      </c>
      <c r="H132" s="485">
        <v>25</v>
      </c>
      <c r="I132" s="486">
        <f>G132*H132</f>
        <v>250</v>
      </c>
      <c r="J132" s="487"/>
      <c r="K132" s="488" t="s">
        <v>464</v>
      </c>
      <c r="L132" s="478" t="s">
        <v>516</v>
      </c>
      <c r="M132" s="224"/>
      <c r="N132" s="225"/>
      <c r="O132" s="226"/>
      <c r="P132" s="226"/>
      <c r="Q132" s="225"/>
      <c r="R132" s="227"/>
    </row>
    <row r="133" spans="1:18" s="216" customFormat="1" ht="18" customHeight="1">
      <c r="C133" s="356"/>
      <c r="D133" s="124"/>
      <c r="E133" s="124"/>
      <c r="F133" s="292"/>
      <c r="G133" s="491"/>
      <c r="H133" s="174"/>
      <c r="I133" s="170"/>
      <c r="J133" s="175"/>
      <c r="K133" s="176"/>
      <c r="L133" s="474"/>
      <c r="M133" s="224"/>
      <c r="N133" s="225"/>
      <c r="O133" s="226"/>
      <c r="P133" s="226"/>
      <c r="Q133" s="225"/>
      <c r="R133" s="227"/>
    </row>
    <row r="134" spans="1:18" s="216" customFormat="1" ht="18" customHeight="1">
      <c r="C134" s="356"/>
      <c r="D134" s="489"/>
      <c r="E134" s="489"/>
      <c r="F134" s="653">
        <f>SUM(I107:I132)</f>
        <v>55191</v>
      </c>
      <c r="G134" s="654"/>
      <c r="H134" s="654"/>
      <c r="I134" s="655"/>
      <c r="J134" s="175"/>
      <c r="K134" s="176"/>
      <c r="L134" s="474"/>
      <c r="M134" s="224"/>
      <c r="N134" s="225"/>
      <c r="O134" s="226"/>
      <c r="P134" s="226"/>
      <c r="Q134" s="225"/>
      <c r="R134" s="227"/>
    </row>
    <row r="135" spans="1:18" s="216" customFormat="1" ht="18" customHeight="1">
      <c r="C135" s="356"/>
      <c r="D135" s="489"/>
      <c r="E135" s="489"/>
      <c r="F135" s="492"/>
      <c r="G135" s="491"/>
      <c r="H135" s="174"/>
      <c r="I135" s="170"/>
      <c r="J135" s="175"/>
      <c r="K135" s="176"/>
      <c r="L135" s="474"/>
      <c r="M135" s="224"/>
      <c r="N135" s="225"/>
      <c r="O135" s="226"/>
      <c r="P135" s="226"/>
      <c r="Q135" s="225"/>
      <c r="R135" s="227"/>
    </row>
    <row r="136" spans="1:18" s="216" customFormat="1" ht="18" customHeight="1">
      <c r="C136" s="356"/>
      <c r="D136" s="372"/>
      <c r="E136" s="372"/>
      <c r="F136" s="373"/>
      <c r="G136" s="374"/>
      <c r="H136" s="375"/>
      <c r="I136" s="231"/>
      <c r="J136" s="119"/>
      <c r="K136" s="355"/>
      <c r="L136" s="474"/>
      <c r="M136" s="224"/>
      <c r="N136" s="225"/>
      <c r="O136" s="226"/>
      <c r="P136" s="226"/>
      <c r="Q136" s="225"/>
      <c r="R136" s="227"/>
    </row>
    <row r="137" spans="1:18" ht="18" customHeight="1">
      <c r="C137" s="128"/>
      <c r="D137" s="202"/>
      <c r="E137" s="202"/>
      <c r="F137" s="203"/>
      <c r="G137" s="204"/>
      <c r="H137" s="204"/>
      <c r="I137" s="204"/>
      <c r="J137" s="472"/>
      <c r="K137" s="475"/>
      <c r="L137" s="467"/>
      <c r="M137" s="11"/>
      <c r="N137" s="76"/>
      <c r="O137" s="15"/>
      <c r="P137" s="15"/>
      <c r="Q137" s="76"/>
      <c r="R137" s="24"/>
    </row>
    <row r="138" spans="1:18" ht="18" customHeight="1">
      <c r="C138" s="379"/>
      <c r="D138" s="657" t="s">
        <v>152</v>
      </c>
      <c r="E138" s="658"/>
      <c r="F138" s="658"/>
      <c r="G138" s="201"/>
      <c r="H138" s="335"/>
      <c r="I138" s="335"/>
      <c r="J138" s="49"/>
      <c r="K138" s="100"/>
      <c r="L138" s="71"/>
      <c r="M138" s="11"/>
      <c r="N138" s="76"/>
      <c r="O138" s="15"/>
      <c r="P138" s="15"/>
      <c r="Q138" s="76"/>
      <c r="R138" s="24"/>
    </row>
    <row r="139" spans="1:18" ht="18" customHeight="1">
      <c r="A139" s="588" t="s">
        <v>360</v>
      </c>
      <c r="B139" s="504"/>
      <c r="C139" s="149">
        <f>+C132+1</f>
        <v>103</v>
      </c>
      <c r="D139" s="578" t="s">
        <v>145</v>
      </c>
      <c r="E139" s="578" t="s">
        <v>145</v>
      </c>
      <c r="F139" s="623" t="s">
        <v>320</v>
      </c>
      <c r="G139" s="624">
        <v>1</v>
      </c>
      <c r="H139" s="625">
        <v>11950</v>
      </c>
      <c r="I139" s="321">
        <f t="shared" ref="I139:I166" si="19">G139*H139</f>
        <v>11950</v>
      </c>
      <c r="J139" s="165"/>
      <c r="K139" s="166" t="s">
        <v>198</v>
      </c>
      <c r="L139" s="71"/>
      <c r="M139" s="11"/>
      <c r="N139" s="157"/>
      <c r="O139" s="15"/>
      <c r="P139" s="157"/>
      <c r="Q139" s="76"/>
      <c r="R139" s="134"/>
    </row>
    <row r="140" spans="1:18" ht="18" customHeight="1">
      <c r="A140" s="588" t="s">
        <v>366</v>
      </c>
      <c r="B140" s="504"/>
      <c r="C140" s="149">
        <f t="shared" ref="C140:C174" si="20">+C139+1</f>
        <v>104</v>
      </c>
      <c r="D140" s="164" t="s">
        <v>145</v>
      </c>
      <c r="E140" s="164" t="s">
        <v>145</v>
      </c>
      <c r="F140" s="292" t="s">
        <v>629</v>
      </c>
      <c r="G140" s="293">
        <v>1</v>
      </c>
      <c r="H140" s="294">
        <v>1341</v>
      </c>
      <c r="I140" s="169">
        <f t="shared" si="19"/>
        <v>1341</v>
      </c>
      <c r="J140" s="170"/>
      <c r="K140" s="163" t="s">
        <v>200</v>
      </c>
      <c r="L140" s="71"/>
      <c r="M140" s="11"/>
      <c r="N140" s="157"/>
      <c r="O140" s="15"/>
      <c r="P140" s="157"/>
      <c r="Q140" s="76"/>
      <c r="R140" s="134"/>
    </row>
    <row r="141" spans="1:18" ht="18" customHeight="1">
      <c r="A141" s="588" t="s">
        <v>366</v>
      </c>
      <c r="B141" s="504"/>
      <c r="C141" s="149">
        <f t="shared" si="20"/>
        <v>105</v>
      </c>
      <c r="D141" s="164" t="s">
        <v>145</v>
      </c>
      <c r="E141" s="164" t="s">
        <v>145</v>
      </c>
      <c r="F141" s="292" t="s">
        <v>630</v>
      </c>
      <c r="G141" s="293">
        <v>1</v>
      </c>
      <c r="H141" s="294">
        <v>4132</v>
      </c>
      <c r="I141" s="169">
        <f t="shared" si="19"/>
        <v>4132</v>
      </c>
      <c r="J141" s="170"/>
      <c r="K141" s="163" t="s">
        <v>200</v>
      </c>
      <c r="L141" s="129"/>
      <c r="M141" s="11"/>
      <c r="N141" s="157"/>
      <c r="O141" s="15"/>
      <c r="P141" s="157"/>
      <c r="Q141" s="76"/>
      <c r="R141" s="134"/>
    </row>
    <row r="142" spans="1:18" ht="18" customHeight="1">
      <c r="A142" s="588" t="s">
        <v>353</v>
      </c>
      <c r="B142" s="504"/>
      <c r="C142" s="149">
        <f t="shared" si="20"/>
        <v>106</v>
      </c>
      <c r="D142" s="164" t="s">
        <v>145</v>
      </c>
      <c r="E142" s="164" t="s">
        <v>145</v>
      </c>
      <c r="F142" s="292" t="s">
        <v>202</v>
      </c>
      <c r="G142" s="293">
        <v>1</v>
      </c>
      <c r="H142" s="294">
        <v>4570</v>
      </c>
      <c r="I142" s="169">
        <f t="shared" si="19"/>
        <v>4570</v>
      </c>
      <c r="J142" s="170"/>
      <c r="K142" s="163" t="s">
        <v>203</v>
      </c>
      <c r="L142" s="129"/>
      <c r="M142" s="11"/>
      <c r="N142" s="157"/>
      <c r="O142" s="15"/>
      <c r="P142" s="157"/>
      <c r="Q142" s="76"/>
      <c r="R142" s="134"/>
    </row>
    <row r="143" spans="1:18" ht="18" customHeight="1">
      <c r="A143" s="588" t="s">
        <v>353</v>
      </c>
      <c r="B143" s="504"/>
      <c r="C143" s="149">
        <f t="shared" si="20"/>
        <v>107</v>
      </c>
      <c r="D143" s="164" t="s">
        <v>145</v>
      </c>
      <c r="E143" s="164" t="s">
        <v>145</v>
      </c>
      <c r="F143" s="292" t="s">
        <v>204</v>
      </c>
      <c r="G143" s="293">
        <v>1</v>
      </c>
      <c r="H143" s="294">
        <v>3853</v>
      </c>
      <c r="I143" s="169">
        <f t="shared" si="19"/>
        <v>3853</v>
      </c>
      <c r="J143" s="171"/>
      <c r="K143" s="163" t="s">
        <v>205</v>
      </c>
      <c r="L143" s="577"/>
      <c r="M143" s="11"/>
      <c r="N143" s="157"/>
      <c r="O143" s="15"/>
      <c r="P143" s="157"/>
      <c r="Q143" s="76"/>
      <c r="R143" s="134"/>
    </row>
    <row r="144" spans="1:18" ht="18" customHeight="1">
      <c r="A144" s="588" t="s">
        <v>360</v>
      </c>
      <c r="B144" s="504"/>
      <c r="C144" s="149">
        <f t="shared" si="20"/>
        <v>108</v>
      </c>
      <c r="D144" s="164" t="s">
        <v>145</v>
      </c>
      <c r="E144" s="164" t="s">
        <v>145</v>
      </c>
      <c r="F144" s="292" t="s">
        <v>333</v>
      </c>
      <c r="G144" s="293">
        <v>1</v>
      </c>
      <c r="H144" s="294">
        <v>977</v>
      </c>
      <c r="I144" s="169">
        <f t="shared" si="19"/>
        <v>977</v>
      </c>
      <c r="J144" s="172"/>
      <c r="K144" s="163" t="s">
        <v>206</v>
      </c>
      <c r="L144" s="129"/>
      <c r="M144" s="11"/>
      <c r="N144" s="157"/>
      <c r="O144" s="15"/>
      <c r="P144" s="157"/>
      <c r="Q144" s="76"/>
      <c r="R144" s="134"/>
    </row>
    <row r="145" spans="1:18" ht="18" customHeight="1">
      <c r="A145" s="588" t="s">
        <v>360</v>
      </c>
      <c r="B145" s="504"/>
      <c r="C145" s="149">
        <f t="shared" si="20"/>
        <v>109</v>
      </c>
      <c r="D145" s="162" t="s">
        <v>37</v>
      </c>
      <c r="E145" s="162" t="s">
        <v>37</v>
      </c>
      <c r="F145" s="295" t="s">
        <v>332</v>
      </c>
      <c r="G145" s="296">
        <v>1</v>
      </c>
      <c r="H145" s="296">
        <v>977</v>
      </c>
      <c r="I145" s="169">
        <f>G145*H145</f>
        <v>977</v>
      </c>
      <c r="J145" s="190"/>
      <c r="K145" s="180" t="s">
        <v>116</v>
      </c>
      <c r="L145" s="71"/>
      <c r="M145" s="11"/>
      <c r="N145" s="157"/>
      <c r="O145" s="15"/>
      <c r="P145" s="157"/>
      <c r="Q145" s="76"/>
      <c r="R145" s="134"/>
    </row>
    <row r="146" spans="1:18" ht="18" customHeight="1">
      <c r="A146" s="128"/>
      <c r="B146" s="504"/>
      <c r="C146" s="149">
        <f>+C145+1</f>
        <v>110</v>
      </c>
      <c r="D146" s="262" t="s">
        <v>145</v>
      </c>
      <c r="E146" s="262" t="s">
        <v>145</v>
      </c>
      <c r="F146" s="266" t="s">
        <v>148</v>
      </c>
      <c r="G146" s="267"/>
      <c r="H146" s="270">
        <v>403</v>
      </c>
      <c r="I146" s="268">
        <f t="shared" si="19"/>
        <v>0</v>
      </c>
      <c r="J146" s="269"/>
      <c r="K146" s="265" t="s">
        <v>149</v>
      </c>
      <c r="L146" s="251" t="s">
        <v>319</v>
      </c>
      <c r="M146" s="11"/>
      <c r="N146" s="76"/>
      <c r="O146" s="15"/>
      <c r="P146" s="157"/>
      <c r="Q146" s="160"/>
      <c r="R146" s="24"/>
    </row>
    <row r="147" spans="1:18" ht="18" customHeight="1">
      <c r="A147" s="588" t="s">
        <v>353</v>
      </c>
      <c r="C147" s="149">
        <f t="shared" si="20"/>
        <v>111</v>
      </c>
      <c r="D147" s="262" t="s">
        <v>145</v>
      </c>
      <c r="E147" s="262" t="s">
        <v>145</v>
      </c>
      <c r="F147" s="266" t="s">
        <v>208</v>
      </c>
      <c r="G147" s="267"/>
      <c r="H147" s="267">
        <v>926</v>
      </c>
      <c r="I147" s="268">
        <f t="shared" si="19"/>
        <v>0</v>
      </c>
      <c r="J147" s="269"/>
      <c r="K147" s="265" t="s">
        <v>209</v>
      </c>
      <c r="L147" s="251" t="s">
        <v>319</v>
      </c>
      <c r="M147" s="11"/>
      <c r="N147" s="76"/>
      <c r="O147" s="15"/>
      <c r="P147" s="157"/>
      <c r="Q147" s="160"/>
      <c r="R147" s="24"/>
    </row>
    <row r="148" spans="1:18" ht="18" customHeight="1">
      <c r="A148" s="128"/>
      <c r="C148" s="149">
        <f t="shared" si="20"/>
        <v>112</v>
      </c>
      <c r="D148" s="262" t="s">
        <v>145</v>
      </c>
      <c r="E148" s="262" t="s">
        <v>145</v>
      </c>
      <c r="F148" s="274" t="s">
        <v>210</v>
      </c>
      <c r="G148" s="267"/>
      <c r="H148" s="268">
        <v>19</v>
      </c>
      <c r="I148" s="268">
        <f>G148*H148</f>
        <v>0</v>
      </c>
      <c r="J148" s="268"/>
      <c r="K148" s="265" t="s">
        <v>211</v>
      </c>
      <c r="L148" s="251" t="s">
        <v>319</v>
      </c>
      <c r="M148" s="11"/>
      <c r="N148" s="76"/>
      <c r="O148" s="15"/>
      <c r="P148" s="157"/>
      <c r="Q148" s="160"/>
      <c r="R148" s="24"/>
    </row>
    <row r="149" spans="1:18" ht="18" customHeight="1">
      <c r="A149" s="588" t="s">
        <v>353</v>
      </c>
      <c r="B149" s="504"/>
      <c r="C149" s="149">
        <f>+C148+1</f>
        <v>113</v>
      </c>
      <c r="D149" s="177" t="s">
        <v>145</v>
      </c>
      <c r="E149" s="177" t="s">
        <v>145</v>
      </c>
      <c r="F149" s="118" t="s">
        <v>593</v>
      </c>
      <c r="G149" s="231">
        <v>1</v>
      </c>
      <c r="H149" s="231">
        <v>1989</v>
      </c>
      <c r="I149" s="169">
        <f t="shared" si="19"/>
        <v>1989</v>
      </c>
      <c r="J149" s="179"/>
      <c r="K149" s="233" t="s">
        <v>594</v>
      </c>
      <c r="L149" s="71"/>
      <c r="M149" s="11"/>
      <c r="N149" s="157"/>
      <c r="O149" s="15"/>
      <c r="P149" s="157"/>
      <c r="Q149" s="76"/>
      <c r="R149" s="134"/>
    </row>
    <row r="150" spans="1:18" ht="18" customHeight="1">
      <c r="A150" s="588" t="s">
        <v>353</v>
      </c>
      <c r="B150" s="504"/>
      <c r="C150" s="149">
        <f t="shared" si="20"/>
        <v>114</v>
      </c>
      <c r="D150" s="164" t="s">
        <v>145</v>
      </c>
      <c r="E150" s="164" t="s">
        <v>145</v>
      </c>
      <c r="F150" s="297" t="s">
        <v>595</v>
      </c>
      <c r="G150" s="119">
        <v>1</v>
      </c>
      <c r="H150" s="231">
        <v>4225</v>
      </c>
      <c r="I150" s="169">
        <f t="shared" si="19"/>
        <v>4225</v>
      </c>
      <c r="J150" s="165"/>
      <c r="K150" s="167" t="s">
        <v>215</v>
      </c>
      <c r="L150" s="71"/>
      <c r="M150" s="11"/>
      <c r="N150" s="157"/>
      <c r="O150" s="15"/>
      <c r="P150" s="157"/>
      <c r="Q150" s="76"/>
      <c r="R150" s="134"/>
    </row>
    <row r="151" spans="1:18" ht="18" customHeight="1">
      <c r="A151" s="128"/>
      <c r="C151" s="149">
        <f>+C150+1</f>
        <v>115</v>
      </c>
      <c r="D151" s="271" t="s">
        <v>216</v>
      </c>
      <c r="E151" s="271" t="s">
        <v>145</v>
      </c>
      <c r="F151" s="257" t="s">
        <v>217</v>
      </c>
      <c r="G151" s="272"/>
      <c r="H151" s="273">
        <v>483</v>
      </c>
      <c r="I151" s="273">
        <f t="shared" si="19"/>
        <v>0</v>
      </c>
      <c r="J151" s="275"/>
      <c r="K151" s="276" t="s">
        <v>218</v>
      </c>
      <c r="L151" s="251" t="s">
        <v>319</v>
      </c>
      <c r="M151" s="11"/>
      <c r="N151" s="76"/>
      <c r="O151" s="15"/>
      <c r="P151" s="157"/>
      <c r="Q151" s="160"/>
      <c r="R151" s="24"/>
    </row>
    <row r="152" spans="1:18" ht="18" customHeight="1">
      <c r="A152" s="588" t="s">
        <v>353</v>
      </c>
      <c r="B152" s="504"/>
      <c r="C152" s="149">
        <f t="shared" si="20"/>
        <v>116</v>
      </c>
      <c r="D152" s="164" t="s">
        <v>145</v>
      </c>
      <c r="E152" s="164" t="s">
        <v>145</v>
      </c>
      <c r="F152" s="416" t="s">
        <v>219</v>
      </c>
      <c r="G152" s="119">
        <v>1</v>
      </c>
      <c r="H152" s="231">
        <v>550</v>
      </c>
      <c r="I152" s="169">
        <f t="shared" si="19"/>
        <v>550</v>
      </c>
      <c r="J152" s="165"/>
      <c r="K152" s="163" t="s">
        <v>220</v>
      </c>
      <c r="L152" s="71"/>
      <c r="M152" s="11"/>
      <c r="N152" s="157"/>
      <c r="O152" s="15"/>
      <c r="P152" s="157"/>
      <c r="Q152" s="76"/>
      <c r="R152" s="134"/>
    </row>
    <row r="153" spans="1:18" ht="18" customHeight="1">
      <c r="A153" s="128"/>
      <c r="B153" s="504"/>
      <c r="C153" s="149">
        <f t="shared" si="20"/>
        <v>117</v>
      </c>
      <c r="D153" s="271" t="s">
        <v>145</v>
      </c>
      <c r="E153" s="271" t="s">
        <v>145</v>
      </c>
      <c r="F153" s="596" t="s">
        <v>596</v>
      </c>
      <c r="G153" s="272"/>
      <c r="H153" s="273">
        <v>508</v>
      </c>
      <c r="I153" s="273">
        <f t="shared" si="19"/>
        <v>0</v>
      </c>
      <c r="J153" s="275"/>
      <c r="K153" s="276" t="s">
        <v>222</v>
      </c>
      <c r="L153" s="251" t="s">
        <v>319</v>
      </c>
      <c r="M153" s="11"/>
      <c r="N153" s="157"/>
      <c r="O153" s="15"/>
      <c r="P153" s="157"/>
      <c r="Q153" s="76"/>
      <c r="R153" s="134"/>
    </row>
    <row r="154" spans="1:18" ht="18" customHeight="1">
      <c r="A154" s="128" t="s">
        <v>366</v>
      </c>
      <c r="C154" s="149">
        <f t="shared" si="20"/>
        <v>118</v>
      </c>
      <c r="D154" s="271" t="s">
        <v>145</v>
      </c>
      <c r="E154" s="271" t="s">
        <v>145</v>
      </c>
      <c r="F154" s="597" t="s">
        <v>223</v>
      </c>
      <c r="G154" s="272"/>
      <c r="H154" s="273">
        <v>5104</v>
      </c>
      <c r="I154" s="273">
        <f t="shared" si="19"/>
        <v>0</v>
      </c>
      <c r="J154" s="275"/>
      <c r="K154" s="276" t="s">
        <v>224</v>
      </c>
      <c r="L154" s="251" t="s">
        <v>319</v>
      </c>
      <c r="M154" s="11"/>
      <c r="N154" s="157"/>
      <c r="O154" s="15"/>
      <c r="P154" s="157"/>
      <c r="Q154" s="76"/>
      <c r="R154" s="134"/>
    </row>
    <row r="155" spans="1:18" ht="18" customHeight="1">
      <c r="A155" s="128" t="s">
        <v>366</v>
      </c>
      <c r="C155" s="149">
        <f t="shared" si="20"/>
        <v>119</v>
      </c>
      <c r="D155" s="271" t="s">
        <v>145</v>
      </c>
      <c r="E155" s="271" t="s">
        <v>145</v>
      </c>
      <c r="F155" s="597" t="s">
        <v>225</v>
      </c>
      <c r="G155" s="272"/>
      <c r="H155" s="273">
        <v>5400</v>
      </c>
      <c r="I155" s="273">
        <f t="shared" si="19"/>
        <v>0</v>
      </c>
      <c r="J155" s="275"/>
      <c r="K155" s="276" t="s">
        <v>226</v>
      </c>
      <c r="L155" s="251" t="s">
        <v>319</v>
      </c>
      <c r="M155" s="11"/>
      <c r="N155" s="157"/>
      <c r="O155" s="15"/>
      <c r="P155" s="157"/>
      <c r="Q155" s="76"/>
      <c r="R155" s="134"/>
    </row>
    <row r="156" spans="1:18" ht="18" customHeight="1">
      <c r="A156" s="128" t="s">
        <v>366</v>
      </c>
      <c r="C156" s="149">
        <f t="shared" si="20"/>
        <v>120</v>
      </c>
      <c r="D156" s="271" t="s">
        <v>145</v>
      </c>
      <c r="E156" s="271" t="s">
        <v>145</v>
      </c>
      <c r="F156" s="597" t="s">
        <v>227</v>
      </c>
      <c r="G156" s="272"/>
      <c r="H156" s="273">
        <v>5560</v>
      </c>
      <c r="I156" s="273">
        <f t="shared" si="19"/>
        <v>0</v>
      </c>
      <c r="J156" s="275"/>
      <c r="K156" s="276" t="s">
        <v>228</v>
      </c>
      <c r="L156" s="251" t="s">
        <v>319</v>
      </c>
      <c r="M156" s="11"/>
      <c r="N156" s="157"/>
      <c r="O156" s="15"/>
      <c r="P156" s="157"/>
      <c r="Q156" s="76"/>
      <c r="R156" s="134"/>
    </row>
    <row r="157" spans="1:18" ht="18" customHeight="1">
      <c r="A157" s="128"/>
      <c r="C157" s="149">
        <f t="shared" si="20"/>
        <v>121</v>
      </c>
      <c r="D157" s="262" t="s">
        <v>145</v>
      </c>
      <c r="E157" s="262" t="s">
        <v>145</v>
      </c>
      <c r="F157" s="278" t="s">
        <v>229</v>
      </c>
      <c r="G157" s="267"/>
      <c r="H157" s="268">
        <v>1098</v>
      </c>
      <c r="I157" s="268">
        <f t="shared" si="19"/>
        <v>0</v>
      </c>
      <c r="J157" s="264"/>
      <c r="K157" s="266" t="s">
        <v>230</v>
      </c>
      <c r="L157" s="251" t="s">
        <v>319</v>
      </c>
      <c r="M157" s="11"/>
      <c r="N157" s="76"/>
      <c r="O157" s="15"/>
      <c r="P157" s="157"/>
      <c r="Q157" s="160"/>
      <c r="R157" s="24"/>
    </row>
    <row r="158" spans="1:18" ht="18" customHeight="1">
      <c r="A158" s="128"/>
      <c r="C158" s="149">
        <f t="shared" si="20"/>
        <v>122</v>
      </c>
      <c r="D158" s="262" t="s">
        <v>145</v>
      </c>
      <c r="E158" s="262" t="s">
        <v>145</v>
      </c>
      <c r="F158" s="279" t="s">
        <v>231</v>
      </c>
      <c r="G158" s="267"/>
      <c r="H158" s="268">
        <v>1098</v>
      </c>
      <c r="I158" s="268">
        <f t="shared" si="19"/>
        <v>0</v>
      </c>
      <c r="J158" s="264"/>
      <c r="K158" s="266" t="s">
        <v>232</v>
      </c>
      <c r="L158" s="251" t="s">
        <v>319</v>
      </c>
      <c r="M158" s="11"/>
      <c r="N158" s="76"/>
      <c r="O158" s="15"/>
      <c r="P158" s="157"/>
      <c r="Q158" s="160"/>
      <c r="R158" s="24"/>
    </row>
    <row r="159" spans="1:18" ht="18" customHeight="1">
      <c r="A159" s="588" t="s">
        <v>353</v>
      </c>
      <c r="B159" s="504"/>
      <c r="C159" s="149">
        <f t="shared" si="20"/>
        <v>123</v>
      </c>
      <c r="D159" s="181" t="s">
        <v>145</v>
      </c>
      <c r="E159" s="181" t="s">
        <v>145</v>
      </c>
      <c r="F159" s="126" t="s">
        <v>187</v>
      </c>
      <c r="G159" s="288">
        <v>1</v>
      </c>
      <c r="H159" s="337">
        <v>860</v>
      </c>
      <c r="I159" s="336">
        <f t="shared" si="19"/>
        <v>860</v>
      </c>
      <c r="J159" s="182"/>
      <c r="K159" s="183" t="s">
        <v>233</v>
      </c>
      <c r="L159" s="71"/>
      <c r="M159" s="11"/>
      <c r="N159" s="157"/>
      <c r="O159" s="15"/>
      <c r="P159" s="157"/>
      <c r="Q159" s="76"/>
      <c r="R159" s="134"/>
    </row>
    <row r="160" spans="1:18" ht="18" customHeight="1">
      <c r="A160" s="588" t="s">
        <v>353</v>
      </c>
      <c r="B160" s="504"/>
      <c r="C160" s="149">
        <f t="shared" si="20"/>
        <v>124</v>
      </c>
      <c r="D160" s="181" t="s">
        <v>145</v>
      </c>
      <c r="E160" s="181" t="s">
        <v>145</v>
      </c>
      <c r="F160" s="118" t="s">
        <v>290</v>
      </c>
      <c r="G160" s="122">
        <v>1</v>
      </c>
      <c r="H160" s="338">
        <v>270</v>
      </c>
      <c r="I160" s="336">
        <f t="shared" si="19"/>
        <v>270</v>
      </c>
      <c r="J160" s="192"/>
      <c r="K160" s="178" t="s">
        <v>289</v>
      </c>
      <c r="L160" s="71"/>
      <c r="M160" s="11"/>
      <c r="N160" s="157"/>
      <c r="O160" s="15"/>
      <c r="P160" s="157"/>
      <c r="Q160" s="76"/>
      <c r="R160" s="134"/>
    </row>
    <row r="161" spans="1:19" ht="18" customHeight="1">
      <c r="A161" s="588" t="s">
        <v>353</v>
      </c>
      <c r="B161" s="504"/>
      <c r="C161" s="149">
        <f t="shared" si="20"/>
        <v>125</v>
      </c>
      <c r="D161" s="122" t="s">
        <v>613</v>
      </c>
      <c r="E161" s="181" t="s">
        <v>145</v>
      </c>
      <c r="F161" s="536" t="s">
        <v>612</v>
      </c>
      <c r="G161" s="122">
        <v>1</v>
      </c>
      <c r="H161" s="122">
        <v>622</v>
      </c>
      <c r="I161" s="336">
        <f t="shared" si="19"/>
        <v>622</v>
      </c>
      <c r="J161" s="120"/>
      <c r="K161" s="213" t="s">
        <v>616</v>
      </c>
      <c r="L161" s="71"/>
      <c r="M161" s="11"/>
      <c r="N161" s="76"/>
      <c r="O161" s="15"/>
      <c r="P161" s="157"/>
      <c r="Q161" s="160"/>
      <c r="R161" s="24"/>
    </row>
    <row r="162" spans="1:19" ht="18" customHeight="1">
      <c r="A162" s="588" t="s">
        <v>353</v>
      </c>
      <c r="B162" s="504"/>
      <c r="C162" s="149">
        <f t="shared" si="20"/>
        <v>126</v>
      </c>
      <c r="D162" s="181" t="s">
        <v>145</v>
      </c>
      <c r="E162" s="181" t="s">
        <v>145</v>
      </c>
      <c r="F162" s="349" t="s">
        <v>614</v>
      </c>
      <c r="G162" s="119">
        <v>2</v>
      </c>
      <c r="H162" s="119">
        <v>120</v>
      </c>
      <c r="I162" s="336">
        <f t="shared" si="19"/>
        <v>240</v>
      </c>
      <c r="J162" s="591"/>
      <c r="K162" s="349" t="s">
        <v>615</v>
      </c>
      <c r="L162" s="71"/>
      <c r="M162" s="11"/>
      <c r="N162" s="157"/>
      <c r="O162" s="15"/>
      <c r="P162" s="157"/>
      <c r="Q162" s="76"/>
      <c r="R162" s="134"/>
    </row>
    <row r="163" spans="1:19" ht="18" customHeight="1">
      <c r="A163" s="588" t="s">
        <v>353</v>
      </c>
      <c r="B163" s="504"/>
      <c r="C163" s="149">
        <f>+C162+1</f>
        <v>127</v>
      </c>
      <c r="D163" s="177" t="s">
        <v>145</v>
      </c>
      <c r="E163" s="177" t="s">
        <v>145</v>
      </c>
      <c r="F163" s="189" t="s">
        <v>243</v>
      </c>
      <c r="G163" s="168">
        <v>2</v>
      </c>
      <c r="H163" s="168">
        <v>250</v>
      </c>
      <c r="I163" s="169">
        <f t="shared" si="19"/>
        <v>500</v>
      </c>
      <c r="J163" s="190"/>
      <c r="K163" s="189" t="s">
        <v>244</v>
      </c>
      <c r="L163" s="71"/>
      <c r="M163" s="11"/>
      <c r="N163" s="157"/>
      <c r="O163" s="15"/>
      <c r="P163" s="157"/>
      <c r="Q163" s="76"/>
      <c r="R163" s="134"/>
    </row>
    <row r="164" spans="1:19" ht="18" customHeight="1">
      <c r="A164" s="588" t="s">
        <v>353</v>
      </c>
      <c r="B164" s="504"/>
      <c r="C164" s="149">
        <f t="shared" si="20"/>
        <v>128</v>
      </c>
      <c r="D164" s="177" t="s">
        <v>145</v>
      </c>
      <c r="E164" s="177" t="s">
        <v>145</v>
      </c>
      <c r="F164" s="189" t="s">
        <v>245</v>
      </c>
      <c r="G164" s="168">
        <v>2</v>
      </c>
      <c r="H164" s="168">
        <v>200</v>
      </c>
      <c r="I164" s="169">
        <f t="shared" si="19"/>
        <v>400</v>
      </c>
      <c r="J164" s="190"/>
      <c r="K164" s="189" t="s">
        <v>246</v>
      </c>
      <c r="L164" s="71"/>
      <c r="M164" s="11"/>
      <c r="N164" s="157"/>
      <c r="O164" s="15"/>
      <c r="P164" s="157"/>
      <c r="Q164" s="76"/>
      <c r="R164" s="134"/>
    </row>
    <row r="165" spans="1:19" ht="18" customHeight="1">
      <c r="A165" s="128"/>
      <c r="C165" s="149">
        <f t="shared" si="20"/>
        <v>129</v>
      </c>
      <c r="D165" s="262" t="s">
        <v>145</v>
      </c>
      <c r="E165" s="262" t="s">
        <v>145</v>
      </c>
      <c r="F165" s="266" t="s">
        <v>150</v>
      </c>
      <c r="G165" s="267"/>
      <c r="H165" s="268">
        <v>940</v>
      </c>
      <c r="I165" s="340">
        <f t="shared" si="19"/>
        <v>0</v>
      </c>
      <c r="J165" s="280"/>
      <c r="K165" s="278" t="s">
        <v>151</v>
      </c>
      <c r="L165" s="251" t="s">
        <v>319</v>
      </c>
      <c r="M165" s="11"/>
      <c r="N165" s="76"/>
      <c r="O165" s="15"/>
      <c r="P165" s="157"/>
      <c r="Q165" s="160"/>
      <c r="R165" s="24"/>
    </row>
    <row r="166" spans="1:19" ht="18" customHeight="1">
      <c r="A166" s="128"/>
      <c r="C166" s="149">
        <f t="shared" si="20"/>
        <v>130</v>
      </c>
      <c r="D166" s="281" t="s">
        <v>145</v>
      </c>
      <c r="E166" s="281" t="s">
        <v>145</v>
      </c>
      <c r="F166" s="247" t="s">
        <v>247</v>
      </c>
      <c r="G166" s="282"/>
      <c r="H166" s="304">
        <v>570</v>
      </c>
      <c r="I166" s="304">
        <f t="shared" si="19"/>
        <v>0</v>
      </c>
      <c r="J166" s="283"/>
      <c r="K166" s="247" t="s">
        <v>248</v>
      </c>
      <c r="L166" s="251" t="s">
        <v>319</v>
      </c>
      <c r="M166" s="11"/>
      <c r="N166" s="76"/>
      <c r="O166" s="15"/>
      <c r="P166" s="157"/>
      <c r="Q166" s="160"/>
      <c r="R166" s="24"/>
    </row>
    <row r="167" spans="1:19" ht="18" customHeight="1">
      <c r="A167" s="588" t="s">
        <v>360</v>
      </c>
      <c r="B167" s="504"/>
      <c r="C167" s="149">
        <f>+C166+1</f>
        <v>131</v>
      </c>
      <c r="D167" s="164" t="s">
        <v>145</v>
      </c>
      <c r="E167" s="164" t="s">
        <v>145</v>
      </c>
      <c r="F167" s="166" t="s">
        <v>250</v>
      </c>
      <c r="G167" s="193">
        <v>1</v>
      </c>
      <c r="H167" s="341">
        <v>3480</v>
      </c>
      <c r="I167" s="321">
        <f>G167*H167</f>
        <v>3480</v>
      </c>
      <c r="J167" s="165"/>
      <c r="K167" s="163" t="s">
        <v>251</v>
      </c>
      <c r="L167" s="71"/>
      <c r="M167" s="11"/>
      <c r="N167" s="157"/>
      <c r="O167" s="15"/>
      <c r="P167" s="157"/>
      <c r="Q167" s="76"/>
      <c r="R167" s="134"/>
    </row>
    <row r="168" spans="1:19" ht="18" customHeight="1">
      <c r="A168" s="128"/>
      <c r="B168" s="504"/>
      <c r="C168" s="149">
        <f t="shared" si="20"/>
        <v>132</v>
      </c>
      <c r="D168" s="592" t="s">
        <v>145</v>
      </c>
      <c r="E168" s="593" t="s">
        <v>145</v>
      </c>
      <c r="F168" s="573" t="s">
        <v>334</v>
      </c>
      <c r="G168" s="432"/>
      <c r="H168" s="397">
        <v>72</v>
      </c>
      <c r="I168" s="594">
        <f t="shared" ref="I168:I170" si="21">G168*H168</f>
        <v>0</v>
      </c>
      <c r="J168" s="595"/>
      <c r="K168" s="398" t="s">
        <v>592</v>
      </c>
      <c r="L168" s="251" t="s">
        <v>319</v>
      </c>
      <c r="M168" s="11"/>
      <c r="N168" s="157"/>
      <c r="O168" s="15"/>
      <c r="P168" s="157"/>
      <c r="Q168" s="76"/>
      <c r="R168" s="134"/>
    </row>
    <row r="169" spans="1:19" ht="18" customHeight="1">
      <c r="A169" s="128"/>
      <c r="C169" s="149">
        <f t="shared" si="20"/>
        <v>133</v>
      </c>
      <c r="D169" s="271" t="s">
        <v>145</v>
      </c>
      <c r="E169" s="271" t="s">
        <v>145</v>
      </c>
      <c r="F169" s="398" t="s">
        <v>336</v>
      </c>
      <c r="G169" s="272"/>
      <c r="H169" s="273">
        <v>860</v>
      </c>
      <c r="I169" s="273">
        <f t="shared" si="21"/>
        <v>0</v>
      </c>
      <c r="J169" s="275"/>
      <c r="K169" s="276" t="s">
        <v>337</v>
      </c>
      <c r="L169" s="251" t="s">
        <v>319</v>
      </c>
      <c r="M169" s="11"/>
      <c r="N169" s="157"/>
      <c r="O169" s="15"/>
      <c r="P169" s="157"/>
      <c r="Q169" s="76"/>
      <c r="R169" s="134"/>
    </row>
    <row r="170" spans="1:19" ht="18" customHeight="1">
      <c r="A170" s="128"/>
      <c r="C170" s="149">
        <f t="shared" si="20"/>
        <v>134</v>
      </c>
      <c r="D170" s="271" t="s">
        <v>145</v>
      </c>
      <c r="E170" s="271" t="s">
        <v>145</v>
      </c>
      <c r="F170" s="398" t="s">
        <v>338</v>
      </c>
      <c r="G170" s="272"/>
      <c r="H170" s="273">
        <v>443</v>
      </c>
      <c r="I170" s="273">
        <f t="shared" si="21"/>
        <v>0</v>
      </c>
      <c r="J170" s="275"/>
      <c r="K170" s="276" t="s">
        <v>339</v>
      </c>
      <c r="L170" s="251" t="s">
        <v>319</v>
      </c>
      <c r="M170" s="11"/>
      <c r="N170" s="157"/>
      <c r="O170" s="15"/>
      <c r="P170" s="157"/>
      <c r="Q170" s="76"/>
      <c r="R170" s="134"/>
    </row>
    <row r="171" spans="1:19" ht="18" customHeight="1">
      <c r="A171" s="128"/>
      <c r="B171" s="504"/>
      <c r="C171" s="149">
        <f>+C170+1</f>
        <v>135</v>
      </c>
      <c r="D171" s="271" t="s">
        <v>145</v>
      </c>
      <c r="E171" s="271" t="s">
        <v>145</v>
      </c>
      <c r="F171" s="597" t="s">
        <v>252</v>
      </c>
      <c r="G171" s="272"/>
      <c r="H171" s="413">
        <v>229</v>
      </c>
      <c r="I171" s="413">
        <f>G171*H171</f>
        <v>0</v>
      </c>
      <c r="J171" s="275"/>
      <c r="K171" s="398" t="s">
        <v>597</v>
      </c>
      <c r="L171" s="251" t="s">
        <v>319</v>
      </c>
      <c r="M171" s="11"/>
      <c r="N171" s="157"/>
      <c r="O171" s="15"/>
      <c r="P171" s="157"/>
      <c r="Q171" s="76"/>
      <c r="R171" s="134"/>
    </row>
    <row r="172" spans="1:19" ht="18" customHeight="1">
      <c r="A172" s="128"/>
      <c r="B172" s="504"/>
      <c r="C172" s="149">
        <f>+C171+1</f>
        <v>136</v>
      </c>
      <c r="D172" s="281" t="s">
        <v>145</v>
      </c>
      <c r="E172" s="281" t="s">
        <v>145</v>
      </c>
      <c r="F172" s="247" t="s">
        <v>146</v>
      </c>
      <c r="G172" s="282"/>
      <c r="H172" s="304">
        <v>830</v>
      </c>
      <c r="I172" s="340">
        <f t="shared" ref="I172:I174" si="22">G172*H172</f>
        <v>0</v>
      </c>
      <c r="J172" s="301"/>
      <c r="K172" s="279" t="s">
        <v>147</v>
      </c>
      <c r="L172" s="251" t="s">
        <v>319</v>
      </c>
      <c r="M172" s="128"/>
      <c r="N172" s="157"/>
      <c r="O172" s="115"/>
      <c r="P172" s="128"/>
      <c r="Q172" s="157"/>
      <c r="R172" s="134"/>
    </row>
    <row r="173" spans="1:19" ht="18" customHeight="1">
      <c r="A173" s="588" t="s">
        <v>366</v>
      </c>
      <c r="B173" s="504"/>
      <c r="C173" s="149">
        <f t="shared" si="20"/>
        <v>137</v>
      </c>
      <c r="D173" s="117" t="s">
        <v>567</v>
      </c>
      <c r="E173" s="181" t="s">
        <v>145</v>
      </c>
      <c r="F173" s="118" t="s">
        <v>618</v>
      </c>
      <c r="G173" s="122">
        <v>6</v>
      </c>
      <c r="H173" s="135">
        <v>51</v>
      </c>
      <c r="I173" s="169">
        <f>G173*H173</f>
        <v>306</v>
      </c>
      <c r="J173" s="123"/>
      <c r="K173" s="118" t="s">
        <v>617</v>
      </c>
      <c r="L173" s="129" t="s">
        <v>619</v>
      </c>
      <c r="M173" s="128"/>
      <c r="N173" s="157"/>
      <c r="O173" s="115"/>
      <c r="P173" s="128"/>
      <c r="Q173" s="76"/>
      <c r="R173" s="134"/>
    </row>
    <row r="174" spans="1:19" ht="18" customHeight="1">
      <c r="A174" s="588" t="s">
        <v>353</v>
      </c>
      <c r="B174" s="504"/>
      <c r="C174" s="149">
        <f t="shared" si="20"/>
        <v>138</v>
      </c>
      <c r="D174" s="164" t="s">
        <v>145</v>
      </c>
      <c r="E174" s="164" t="s">
        <v>145</v>
      </c>
      <c r="F174" s="118" t="s">
        <v>620</v>
      </c>
      <c r="G174" s="122">
        <v>6</v>
      </c>
      <c r="H174" s="135">
        <v>92</v>
      </c>
      <c r="I174" s="169">
        <f t="shared" si="22"/>
        <v>552</v>
      </c>
      <c r="J174" s="123"/>
      <c r="K174" s="118" t="s">
        <v>621</v>
      </c>
      <c r="L174" s="115"/>
      <c r="M174" s="128"/>
      <c r="N174" s="157"/>
      <c r="O174" s="115"/>
      <c r="P174" s="128"/>
      <c r="Q174" s="76"/>
      <c r="R174" s="134"/>
    </row>
    <row r="175" spans="1:19" ht="18" customHeight="1">
      <c r="A175" s="128"/>
      <c r="B175" s="504"/>
      <c r="C175" s="149">
        <f>+C174+1</f>
        <v>139</v>
      </c>
      <c r="D175" s="302" t="s">
        <v>37</v>
      </c>
      <c r="E175" s="302" t="s">
        <v>37</v>
      </c>
      <c r="F175" s="303" t="s">
        <v>127</v>
      </c>
      <c r="G175" s="304"/>
      <c r="H175" s="270">
        <v>622</v>
      </c>
      <c r="I175" s="304">
        <v>622</v>
      </c>
      <c r="J175" s="305"/>
      <c r="K175" s="306" t="s">
        <v>128</v>
      </c>
      <c r="L175" s="251" t="s">
        <v>319</v>
      </c>
      <c r="M175" s="128"/>
      <c r="N175" s="157"/>
      <c r="O175" s="115"/>
      <c r="P175" s="128"/>
      <c r="Q175" s="157"/>
      <c r="R175" s="134"/>
    </row>
    <row r="176" spans="1:19" ht="18" customHeight="1">
      <c r="A176" s="588" t="s">
        <v>632</v>
      </c>
      <c r="B176" s="504"/>
      <c r="C176" s="149">
        <f>+C175+1</f>
        <v>140</v>
      </c>
      <c r="D176" s="605" t="s">
        <v>633</v>
      </c>
      <c r="E176" s="605" t="s">
        <v>649</v>
      </c>
      <c r="F176" s="365" t="s">
        <v>635</v>
      </c>
      <c r="G176" s="606">
        <v>1</v>
      </c>
      <c r="H176" s="366">
        <v>6360</v>
      </c>
      <c r="I176" s="318">
        <v>6360</v>
      </c>
      <c r="J176" s="607"/>
      <c r="K176" s="210" t="s">
        <v>631</v>
      </c>
      <c r="L176" s="604"/>
      <c r="M176" s="128"/>
      <c r="N176" s="157">
        <v>44532</v>
      </c>
      <c r="O176" s="115"/>
      <c r="P176" s="128"/>
      <c r="Q176" s="157"/>
      <c r="R176" s="134">
        <v>44573</v>
      </c>
      <c r="S176" s="300" t="s">
        <v>648</v>
      </c>
    </row>
    <row r="177" spans="3:19" ht="18" customHeight="1">
      <c r="C177" s="149"/>
      <c r="D177" s="136"/>
      <c r="E177" s="605" t="s">
        <v>634</v>
      </c>
      <c r="F177" s="630" t="s">
        <v>647</v>
      </c>
      <c r="G177" s="208">
        <v>1</v>
      </c>
      <c r="H177" s="345">
        <v>7990</v>
      </c>
      <c r="I177" s="135">
        <v>7990</v>
      </c>
      <c r="J177" s="209"/>
      <c r="K177" s="210"/>
      <c r="L177" s="115"/>
      <c r="M177" s="128"/>
      <c r="N177" s="157"/>
      <c r="O177" s="115"/>
      <c r="P177" s="128"/>
      <c r="Q177" s="157"/>
      <c r="R177" s="134">
        <v>44529</v>
      </c>
      <c r="S177" s="300" t="s">
        <v>648</v>
      </c>
    </row>
    <row r="178" spans="3:19" ht="18" customHeight="1">
      <c r="C178" s="70"/>
      <c r="D178" s="8"/>
      <c r="E178" s="8"/>
      <c r="F178" s="647">
        <f>SUM(I139:I177)</f>
        <v>56766</v>
      </c>
      <c r="G178" s="648"/>
      <c r="H178" s="648"/>
      <c r="I178" s="649"/>
      <c r="J178" s="13"/>
      <c r="K178" s="64"/>
      <c r="L178" s="71"/>
      <c r="M178" s="11"/>
      <c r="N178" s="76"/>
      <c r="O178" s="15"/>
      <c r="P178" s="15"/>
      <c r="Q178" s="76"/>
      <c r="R178" s="24"/>
    </row>
    <row r="179" spans="3:19" ht="18" customHeight="1">
      <c r="C179" s="70"/>
      <c r="D179" s="8"/>
      <c r="E179" s="8"/>
      <c r="F179" s="45"/>
      <c r="G179" s="111"/>
      <c r="H179" s="111"/>
      <c r="I179" s="68"/>
      <c r="J179" s="6"/>
      <c r="K179" s="45"/>
      <c r="L179" s="71"/>
      <c r="M179" s="11"/>
      <c r="N179" s="76"/>
      <c r="O179" s="15"/>
      <c r="P179" s="15"/>
      <c r="Q179" s="76"/>
      <c r="R179" s="24"/>
    </row>
    <row r="180" spans="3:19" ht="18" customHeight="1">
      <c r="C180" s="70"/>
      <c r="D180" s="70"/>
      <c r="E180" s="70"/>
      <c r="F180" s="71" t="s">
        <v>130</v>
      </c>
      <c r="G180" s="68"/>
      <c r="H180" s="68"/>
      <c r="I180" s="68">
        <f>G180*H180</f>
        <v>0</v>
      </c>
      <c r="J180" s="21"/>
      <c r="K180" s="45" t="s">
        <v>131</v>
      </c>
      <c r="L180" s="96"/>
      <c r="M180" s="70"/>
      <c r="N180" s="76"/>
      <c r="O180" s="96"/>
      <c r="P180" s="70"/>
      <c r="Q180" s="76"/>
      <c r="R180" s="24"/>
    </row>
    <row r="181" spans="3:19" ht="18" customHeight="1">
      <c r="C181" s="70"/>
      <c r="D181" s="8"/>
      <c r="E181" s="8"/>
      <c r="F181" s="71" t="s">
        <v>131</v>
      </c>
      <c r="G181" s="68"/>
      <c r="H181" s="68">
        <v>5000</v>
      </c>
      <c r="I181" s="68">
        <f>G181*H181</f>
        <v>0</v>
      </c>
      <c r="J181" s="21"/>
      <c r="K181" s="45" t="s">
        <v>132</v>
      </c>
      <c r="L181" s="96"/>
      <c r="M181" s="70"/>
      <c r="N181" s="76"/>
      <c r="O181" s="96"/>
      <c r="P181" s="70"/>
      <c r="Q181" s="76"/>
      <c r="R181" s="15"/>
    </row>
    <row r="182" spans="3:19" ht="18" customHeight="1">
      <c r="C182" s="70"/>
      <c r="D182" s="8"/>
      <c r="E182" s="8"/>
      <c r="F182" s="71" t="s">
        <v>132</v>
      </c>
      <c r="G182" s="68"/>
      <c r="H182" s="68"/>
      <c r="I182" s="68">
        <f>G182*H182</f>
        <v>0</v>
      </c>
      <c r="J182" s="21"/>
      <c r="K182" s="11"/>
      <c r="L182" s="96"/>
      <c r="M182" s="70"/>
      <c r="N182" s="70"/>
      <c r="O182" s="96"/>
      <c r="P182" s="70"/>
      <c r="Q182" s="15"/>
      <c r="R182" s="15"/>
    </row>
    <row r="183" spans="3:19" ht="18" customHeight="1">
      <c r="C183" s="70"/>
      <c r="D183" s="8"/>
      <c r="E183" s="8"/>
      <c r="F183" s="637"/>
      <c r="G183" s="638"/>
      <c r="H183" s="638"/>
      <c r="I183" s="639"/>
      <c r="J183" s="13"/>
      <c r="K183" s="64"/>
    </row>
    <row r="184" spans="3:19" ht="18" customHeight="1"/>
    <row r="185" spans="3:19" ht="18" customHeight="1"/>
    <row r="186" spans="3:19" ht="18" customHeight="1"/>
  </sheetData>
  <autoFilter ref="C8:P186" xr:uid="{00000000-0009-0000-0000-000003000000}"/>
  <mergeCells count="18">
    <mergeCell ref="F183:I183"/>
    <mergeCell ref="C6:E6"/>
    <mergeCell ref="C10:F10"/>
    <mergeCell ref="F71:I71"/>
    <mergeCell ref="D75:F75"/>
    <mergeCell ref="F84:I84"/>
    <mergeCell ref="D89:F89"/>
    <mergeCell ref="F102:I102"/>
    <mergeCell ref="D106:F106"/>
    <mergeCell ref="F134:I134"/>
    <mergeCell ref="D138:F138"/>
    <mergeCell ref="F178:I178"/>
    <mergeCell ref="C2:E2"/>
    <mergeCell ref="H2:J2"/>
    <mergeCell ref="C3:E3"/>
    <mergeCell ref="C4:E4"/>
    <mergeCell ref="H4:K5"/>
    <mergeCell ref="C5:E5"/>
  </mergeCells>
  <phoneticPr fontId="14"/>
  <dataValidations count="2">
    <dataValidation imeMode="hiragana" allowBlank="1" showInputMessage="1" showErrorMessage="1" sqref="K93:K94" xr:uid="{89498A4B-AC29-4FDE-BA43-FFD939F0F9BD}"/>
    <dataValidation allowBlank="1" showInputMessage="1" showErrorMessage="1" sqref="K69:K73" xr:uid="{6E4F9FB1-B099-4DA8-93C7-1C74069EA750}"/>
  </dataValidations>
  <hyperlinks>
    <hyperlink ref="L63" r:id="rId1" xr:uid="{1A1BFCAF-9C40-4FCC-923C-0F770719A163}"/>
    <hyperlink ref="L61" r:id="rId2" xr:uid="{D5D736B0-F600-4E70-A289-CC8640E6B36D}"/>
  </hyperlinks>
  <printOptions gridLines="1"/>
  <pageMargins left="0.2" right="0.2" top="0.75" bottom="0.75" header="0.3" footer="0.3"/>
  <pageSetup orientation="landscape" r:id="rId3"/>
  <headerFooter>
    <oddHeader>&amp;L&amp;C&amp;R</oddHeader>
    <oddFooter>&amp;L&amp;C&amp;R</oddFooter>
    <evenHeader>&amp;L&amp;C&amp;R</evenHeader>
    <evenFooter>&amp;L&amp;C&amp;R</even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/>
  <cols>
    <col min="1" max="1" width="3.125" style="4" customWidth="1"/>
    <col min="2" max="2" width="6.25" style="9" customWidth="1"/>
    <col min="3" max="3" width="15.25" style="4" customWidth="1"/>
    <col min="4" max="4" width="15.5" style="4" customWidth="1"/>
    <col min="5" max="5" width="43.875" style="4" customWidth="1"/>
    <col min="6" max="6" width="10.75" style="4" customWidth="1"/>
    <col min="7" max="8" width="12.125" style="4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2" customWidth="1"/>
  </cols>
  <sheetData>
    <row r="2" spans="2:17" ht="20.100000000000001" customHeight="1">
      <c r="B2" s="632" t="s">
        <v>0</v>
      </c>
      <c r="C2" s="632"/>
      <c r="D2" s="632"/>
      <c r="E2" s="16" t="s">
        <v>1</v>
      </c>
      <c r="G2" s="633" t="s">
        <v>2</v>
      </c>
      <c r="H2" s="634"/>
      <c r="I2" s="635"/>
      <c r="J2" s="18">
        <f>SUM(H:H)</f>
        <v>412688</v>
      </c>
      <c r="K2" s="10"/>
      <c r="L2" s="14"/>
    </row>
    <row r="3" spans="2:17" ht="20.100000000000001" customHeight="1">
      <c r="B3" s="632" t="s">
        <v>3</v>
      </c>
      <c r="C3" s="632"/>
      <c r="D3" s="632"/>
      <c r="E3" s="16" t="s">
        <v>4</v>
      </c>
    </row>
    <row r="4" spans="2:17" ht="20.100000000000001" customHeight="1">
      <c r="B4" s="632" t="s">
        <v>5</v>
      </c>
      <c r="C4" s="632"/>
      <c r="D4" s="632"/>
      <c r="E4" s="16"/>
    </row>
    <row r="5" spans="2:17" ht="20.100000000000001" customHeight="1">
      <c r="B5" s="632" t="s">
        <v>6</v>
      </c>
      <c r="C5" s="632"/>
      <c r="D5" s="632"/>
      <c r="E5" s="17">
        <v>42165</v>
      </c>
    </row>
    <row r="6" spans="2:17" ht="20.100000000000001" customHeight="1">
      <c r="B6" s="632" t="s">
        <v>7</v>
      </c>
      <c r="C6" s="632"/>
      <c r="D6" s="632"/>
      <c r="E6" s="17">
        <v>42170</v>
      </c>
    </row>
    <row r="8" spans="2:17" s="7" customFormat="1" ht="19.5" customHeight="1">
      <c r="B8" s="8" t="s">
        <v>8</v>
      </c>
      <c r="C8" s="8" t="s">
        <v>9</v>
      </c>
      <c r="D8" s="8" t="s">
        <v>10</v>
      </c>
      <c r="E8" s="5" t="s">
        <v>11</v>
      </c>
      <c r="F8" s="5" t="s">
        <v>12</v>
      </c>
      <c r="G8" s="5" t="s">
        <v>13</v>
      </c>
      <c r="H8" s="6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>
      <c r="B9" s="8"/>
      <c r="C9" s="8"/>
      <c r="D9" s="8"/>
      <c r="E9" s="12"/>
      <c r="F9" s="68"/>
      <c r="G9" s="13"/>
      <c r="H9" s="13"/>
      <c r="I9" s="21"/>
      <c r="J9" s="69"/>
      <c r="K9" s="5"/>
      <c r="L9" s="5"/>
      <c r="M9" s="26"/>
      <c r="N9" s="8"/>
      <c r="O9" s="5"/>
      <c r="P9" s="26"/>
      <c r="Q9" s="15"/>
    </row>
    <row r="10" spans="2:17" s="37" customFormat="1" ht="18" customHeight="1">
      <c r="B10" s="640" t="s">
        <v>24</v>
      </c>
      <c r="C10" s="641"/>
      <c r="D10" s="641"/>
      <c r="E10" s="642"/>
      <c r="F10" s="44"/>
      <c r="G10" s="25"/>
      <c r="H10" s="13"/>
      <c r="I10" s="21"/>
      <c r="J10" s="45"/>
      <c r="K10" s="12"/>
      <c r="L10" s="11"/>
      <c r="M10" s="26"/>
      <c r="N10" s="15"/>
      <c r="O10" s="20"/>
      <c r="P10" s="26"/>
      <c r="Q10" s="24"/>
    </row>
    <row r="11" spans="2:17" s="37" customFormat="1" ht="18" customHeight="1">
      <c r="B11" s="28"/>
      <c r="C11" s="35" t="s">
        <v>25</v>
      </c>
      <c r="D11" s="35" t="s">
        <v>25</v>
      </c>
      <c r="E11" s="36" t="s">
        <v>26</v>
      </c>
      <c r="F11" s="44">
        <v>1</v>
      </c>
      <c r="G11" s="87">
        <v>4500</v>
      </c>
      <c r="H11" s="13">
        <f t="shared" ref="H11:H33" si="0">F11*G11</f>
        <v>4500</v>
      </c>
      <c r="I11" s="21"/>
      <c r="J11" s="36" t="s">
        <v>26</v>
      </c>
      <c r="K11" s="12"/>
      <c r="L11" s="11"/>
      <c r="M11" s="26"/>
      <c r="N11" s="15"/>
      <c r="O11" s="20"/>
      <c r="P11" s="26"/>
      <c r="Q11" s="24"/>
    </row>
    <row r="12" spans="2:17" s="37" customFormat="1" ht="18" customHeight="1">
      <c r="B12" s="28"/>
      <c r="C12" s="35" t="s">
        <v>25</v>
      </c>
      <c r="D12" s="35" t="s">
        <v>25</v>
      </c>
      <c r="E12" s="45" t="s">
        <v>27</v>
      </c>
      <c r="F12" s="44">
        <v>1</v>
      </c>
      <c r="G12" s="87">
        <v>4500</v>
      </c>
      <c r="H12" s="13">
        <f t="shared" si="0"/>
        <v>4500</v>
      </c>
      <c r="I12" s="21"/>
      <c r="J12" s="45" t="s">
        <v>27</v>
      </c>
      <c r="K12" s="12"/>
      <c r="L12" s="11"/>
      <c r="M12" s="26"/>
      <c r="N12" s="15"/>
      <c r="O12" s="20"/>
      <c r="P12" s="26"/>
      <c r="Q12" s="24"/>
    </row>
    <row r="13" spans="2:17" s="37" customFormat="1" ht="18" customHeight="1">
      <c r="B13" s="28"/>
      <c r="C13" s="35" t="s">
        <v>25</v>
      </c>
      <c r="D13" s="35" t="s">
        <v>25</v>
      </c>
      <c r="E13" s="45" t="s">
        <v>28</v>
      </c>
      <c r="F13" s="44">
        <v>2</v>
      </c>
      <c r="G13" s="87">
        <v>3500</v>
      </c>
      <c r="H13" s="13">
        <f t="shared" si="0"/>
        <v>7000</v>
      </c>
      <c r="I13" s="21"/>
      <c r="J13" s="45" t="s">
        <v>28</v>
      </c>
      <c r="K13" s="12"/>
      <c r="L13" s="11"/>
      <c r="M13" s="26"/>
      <c r="N13" s="15"/>
      <c r="O13" s="20"/>
      <c r="P13" s="26"/>
      <c r="Q13" s="24"/>
    </row>
    <row r="14" spans="2:17" s="37" customFormat="1" ht="18" customHeight="1">
      <c r="B14" s="28"/>
      <c r="C14" s="35" t="s">
        <v>25</v>
      </c>
      <c r="D14" s="35" t="s">
        <v>25</v>
      </c>
      <c r="E14" s="36" t="s">
        <v>29</v>
      </c>
      <c r="F14" s="44">
        <v>1</v>
      </c>
      <c r="G14" s="87">
        <v>4000</v>
      </c>
      <c r="H14" s="13">
        <f t="shared" si="0"/>
        <v>4000</v>
      </c>
      <c r="I14" s="21"/>
      <c r="J14" s="36" t="s">
        <v>29</v>
      </c>
      <c r="K14" s="12"/>
      <c r="L14" s="11"/>
      <c r="M14" s="26"/>
      <c r="N14" s="15"/>
      <c r="O14" s="20"/>
      <c r="P14" s="26"/>
      <c r="Q14" s="24"/>
    </row>
    <row r="15" spans="2:17" s="37" customFormat="1" ht="18" customHeight="1">
      <c r="B15" s="28"/>
      <c r="C15" s="35" t="s">
        <v>25</v>
      </c>
      <c r="D15" s="35" t="s">
        <v>25</v>
      </c>
      <c r="E15" s="36" t="s">
        <v>30</v>
      </c>
      <c r="F15" s="44">
        <v>1</v>
      </c>
      <c r="G15" s="87">
        <v>4000</v>
      </c>
      <c r="H15" s="13">
        <f t="shared" si="0"/>
        <v>4000</v>
      </c>
      <c r="I15" s="21"/>
      <c r="J15" s="36" t="s">
        <v>30</v>
      </c>
      <c r="K15" s="12"/>
      <c r="L15" s="11"/>
      <c r="M15" s="26"/>
      <c r="N15" s="15"/>
      <c r="O15" s="20"/>
      <c r="P15" s="26"/>
      <c r="Q15" s="24"/>
    </row>
    <row r="16" spans="2:17" s="37" customFormat="1" ht="18" customHeight="1">
      <c r="B16" s="28"/>
      <c r="C16" s="35" t="s">
        <v>25</v>
      </c>
      <c r="D16" s="35" t="s">
        <v>25</v>
      </c>
      <c r="E16" s="36" t="s">
        <v>31</v>
      </c>
      <c r="F16" s="44">
        <v>1</v>
      </c>
      <c r="G16" s="87">
        <v>7500</v>
      </c>
      <c r="H16" s="13">
        <f t="shared" si="0"/>
        <v>7500</v>
      </c>
      <c r="I16" s="21"/>
      <c r="J16" s="36" t="s">
        <v>31</v>
      </c>
      <c r="K16" s="12"/>
      <c r="L16" s="11"/>
      <c r="M16" s="26"/>
      <c r="N16" s="15"/>
      <c r="O16" s="20"/>
      <c r="P16" s="26"/>
      <c r="Q16" s="24"/>
    </row>
    <row r="17" spans="2:17" s="37" customFormat="1" ht="18" customHeight="1">
      <c r="B17" s="28"/>
      <c r="C17" s="35" t="s">
        <v>25</v>
      </c>
      <c r="D17" s="35" t="s">
        <v>25</v>
      </c>
      <c r="E17" s="36" t="s">
        <v>32</v>
      </c>
      <c r="F17" s="44">
        <v>1</v>
      </c>
      <c r="G17" s="87">
        <v>18000</v>
      </c>
      <c r="H17" s="13">
        <f t="shared" si="0"/>
        <v>18000</v>
      </c>
      <c r="I17" s="21"/>
      <c r="J17" s="36" t="s">
        <v>32</v>
      </c>
      <c r="K17" s="12"/>
      <c r="L17" s="11"/>
      <c r="M17" s="26"/>
      <c r="N17" s="15"/>
      <c r="O17" s="20"/>
      <c r="P17" s="26"/>
      <c r="Q17" s="24"/>
    </row>
    <row r="18" spans="2:17" s="37" customFormat="1" ht="18" customHeight="1">
      <c r="B18" s="28"/>
      <c r="C18" s="35" t="s">
        <v>25</v>
      </c>
      <c r="D18" s="35" t="s">
        <v>25</v>
      </c>
      <c r="E18" s="36" t="s">
        <v>33</v>
      </c>
      <c r="F18" s="44">
        <v>1</v>
      </c>
      <c r="G18" s="87">
        <v>8000</v>
      </c>
      <c r="H18" s="13">
        <f t="shared" si="0"/>
        <v>8000</v>
      </c>
      <c r="I18" s="21"/>
      <c r="J18" s="36" t="s">
        <v>33</v>
      </c>
      <c r="K18" s="12"/>
      <c r="L18" s="11"/>
      <c r="M18" s="26"/>
      <c r="N18" s="15"/>
      <c r="O18" s="20"/>
      <c r="P18" s="26"/>
      <c r="Q18" s="24"/>
    </row>
    <row r="19" spans="2:17" s="37" customFormat="1" ht="18" customHeight="1">
      <c r="B19" s="28"/>
      <c r="C19" s="35" t="s">
        <v>25</v>
      </c>
      <c r="D19" s="35" t="s">
        <v>25</v>
      </c>
      <c r="E19" s="36" t="s">
        <v>34</v>
      </c>
      <c r="F19" s="44">
        <v>1</v>
      </c>
      <c r="G19" s="87">
        <v>3000</v>
      </c>
      <c r="H19" s="13">
        <f t="shared" si="0"/>
        <v>3000</v>
      </c>
      <c r="I19" s="21"/>
      <c r="J19" s="36" t="s">
        <v>34</v>
      </c>
      <c r="K19" s="12"/>
      <c r="L19" s="11"/>
      <c r="M19" s="26"/>
      <c r="N19" s="15"/>
      <c r="O19" s="20"/>
      <c r="P19" s="26"/>
      <c r="Q19" s="24"/>
    </row>
    <row r="20" spans="2:17" s="37" customFormat="1" ht="18" customHeight="1">
      <c r="B20" s="28"/>
      <c r="C20" s="35" t="s">
        <v>25</v>
      </c>
      <c r="D20" s="35" t="s">
        <v>25</v>
      </c>
      <c r="E20" s="36" t="s">
        <v>35</v>
      </c>
      <c r="F20" s="44">
        <v>1</v>
      </c>
      <c r="G20" s="87">
        <v>3500</v>
      </c>
      <c r="H20" s="13">
        <f t="shared" si="0"/>
        <v>3500</v>
      </c>
      <c r="I20" s="21"/>
      <c r="J20" s="36" t="s">
        <v>35</v>
      </c>
      <c r="K20" s="12"/>
      <c r="L20" s="11"/>
      <c r="M20" s="26"/>
      <c r="N20" s="15"/>
      <c r="O20" s="20"/>
      <c r="P20" s="26"/>
      <c r="Q20" s="24"/>
    </row>
    <row r="21" spans="2:17" s="37" customFormat="1" ht="18" customHeight="1">
      <c r="B21" s="28"/>
      <c r="C21" s="35" t="s">
        <v>25</v>
      </c>
      <c r="D21" s="35" t="s">
        <v>25</v>
      </c>
      <c r="E21" s="36" t="s">
        <v>36</v>
      </c>
      <c r="F21" s="44">
        <v>1</v>
      </c>
      <c r="G21" s="87">
        <v>12500</v>
      </c>
      <c r="H21" s="13">
        <f t="shared" si="0"/>
        <v>12500</v>
      </c>
      <c r="I21" s="21"/>
      <c r="J21" s="36" t="s">
        <v>36</v>
      </c>
      <c r="K21" s="12"/>
      <c r="L21" s="11"/>
      <c r="M21" s="26"/>
      <c r="N21" s="15"/>
      <c r="O21" s="20"/>
      <c r="P21" s="26"/>
      <c r="Q21" s="24"/>
    </row>
    <row r="22" spans="2:17" s="37" customFormat="1" ht="18" customHeight="1">
      <c r="B22" s="28"/>
      <c r="C22" s="30" t="s">
        <v>37</v>
      </c>
      <c r="D22" s="30" t="s">
        <v>37</v>
      </c>
      <c r="E22" s="94" t="s">
        <v>38</v>
      </c>
      <c r="F22" s="30">
        <v>1</v>
      </c>
      <c r="G22" s="94">
        <v>6899</v>
      </c>
      <c r="H22" s="65">
        <f t="shared" si="0"/>
        <v>6899</v>
      </c>
      <c r="I22" s="66"/>
      <c r="J22" s="34" t="s">
        <v>39</v>
      </c>
      <c r="K22" s="12"/>
      <c r="L22" s="11"/>
      <c r="M22" s="26"/>
      <c r="N22" s="15"/>
      <c r="O22" s="20"/>
      <c r="P22" s="26"/>
      <c r="Q22" s="24"/>
    </row>
    <row r="23" spans="2:17" s="37" customFormat="1" ht="18" customHeight="1">
      <c r="B23" s="28"/>
      <c r="C23" s="30" t="s">
        <v>37</v>
      </c>
      <c r="D23" s="30" t="s">
        <v>37</v>
      </c>
      <c r="E23" s="94" t="s">
        <v>40</v>
      </c>
      <c r="F23" s="30">
        <v>1</v>
      </c>
      <c r="G23" s="94">
        <v>6899</v>
      </c>
      <c r="H23" s="65">
        <f t="shared" si="0"/>
        <v>6899</v>
      </c>
      <c r="I23" s="66"/>
      <c r="J23" s="34" t="s">
        <v>41</v>
      </c>
      <c r="K23" s="12"/>
      <c r="L23" s="11"/>
      <c r="M23" s="26"/>
      <c r="N23" s="15"/>
      <c r="O23" s="20"/>
      <c r="P23" s="26"/>
      <c r="Q23" s="24"/>
    </row>
    <row r="24" spans="2:17" s="37" customFormat="1" ht="18" customHeight="1">
      <c r="B24" s="28"/>
      <c r="C24" s="23" t="s">
        <v>37</v>
      </c>
      <c r="D24" s="23" t="s">
        <v>37</v>
      </c>
      <c r="E24" s="93" t="s">
        <v>42</v>
      </c>
      <c r="F24" s="89">
        <v>1</v>
      </c>
      <c r="G24" s="94">
        <v>16000</v>
      </c>
      <c r="H24" s="32">
        <f t="shared" si="0"/>
        <v>16000</v>
      </c>
      <c r="I24" s="21"/>
      <c r="J24" s="35" t="s">
        <v>43</v>
      </c>
      <c r="K24" s="12"/>
      <c r="L24" s="11"/>
      <c r="M24" s="26"/>
      <c r="N24" s="15"/>
      <c r="O24" s="20"/>
      <c r="P24" s="26"/>
      <c r="Q24" s="24"/>
    </row>
    <row r="25" spans="2:17" s="37" customFormat="1" ht="18" customHeight="1">
      <c r="B25" s="28"/>
      <c r="C25" s="23" t="s">
        <v>37</v>
      </c>
      <c r="D25" s="23" t="s">
        <v>37</v>
      </c>
      <c r="E25" s="83" t="s">
        <v>44</v>
      </c>
      <c r="F25" s="81">
        <v>2</v>
      </c>
      <c r="G25" s="94">
        <v>570</v>
      </c>
      <c r="H25" s="32">
        <f t="shared" si="0"/>
        <v>1140</v>
      </c>
      <c r="I25" s="6"/>
      <c r="J25" s="35" t="s">
        <v>45</v>
      </c>
      <c r="K25" s="12"/>
      <c r="L25" s="11"/>
      <c r="M25" s="26"/>
      <c r="N25" s="15"/>
      <c r="O25" s="20"/>
      <c r="P25" s="26"/>
      <c r="Q25" s="24"/>
    </row>
    <row r="26" spans="2:17" s="37" customFormat="1" ht="18" customHeight="1">
      <c r="B26" s="28"/>
      <c r="C26" s="23" t="s">
        <v>37</v>
      </c>
      <c r="D26" s="23" t="s">
        <v>37</v>
      </c>
      <c r="E26" s="95" t="s">
        <v>46</v>
      </c>
      <c r="F26" s="81">
        <v>26</v>
      </c>
      <c r="G26" s="94">
        <v>99</v>
      </c>
      <c r="H26" s="32">
        <f t="shared" si="0"/>
        <v>2574</v>
      </c>
      <c r="I26" s="6"/>
      <c r="J26" s="90" t="s">
        <v>47</v>
      </c>
      <c r="K26" s="12"/>
      <c r="L26" s="11"/>
      <c r="M26" s="26"/>
      <c r="N26" s="15"/>
      <c r="O26" s="20"/>
      <c r="P26" s="26"/>
      <c r="Q26" s="24"/>
    </row>
    <row r="27" spans="2:17" s="37" customFormat="1" ht="18" customHeight="1">
      <c r="B27" s="28"/>
      <c r="C27" s="23" t="s">
        <v>37</v>
      </c>
      <c r="D27" s="23" t="s">
        <v>37</v>
      </c>
      <c r="E27" s="95" t="s">
        <v>48</v>
      </c>
      <c r="F27" s="81">
        <v>2</v>
      </c>
      <c r="G27" s="94">
        <v>99</v>
      </c>
      <c r="H27" s="32">
        <f t="shared" si="0"/>
        <v>198</v>
      </c>
      <c r="I27" s="6"/>
      <c r="J27" s="90" t="s">
        <v>49</v>
      </c>
      <c r="K27" s="12"/>
      <c r="L27" s="11"/>
      <c r="M27" s="26"/>
      <c r="N27" s="15"/>
      <c r="O27" s="20"/>
      <c r="P27" s="26"/>
      <c r="Q27" s="24"/>
    </row>
    <row r="28" spans="2:17" s="37" customFormat="1" ht="18" customHeight="1">
      <c r="B28" s="28"/>
      <c r="C28" s="8" t="s">
        <v>37</v>
      </c>
      <c r="D28" s="8" t="s">
        <v>37</v>
      </c>
      <c r="E28" s="91" t="s">
        <v>50</v>
      </c>
      <c r="F28" s="92">
        <v>4</v>
      </c>
      <c r="G28" s="13">
        <v>75</v>
      </c>
      <c r="H28" s="13">
        <f t="shared" si="0"/>
        <v>300</v>
      </c>
      <c r="I28" s="13"/>
      <c r="J28" s="64" t="s">
        <v>51</v>
      </c>
      <c r="K28" s="12"/>
      <c r="L28" s="11"/>
      <c r="M28" s="26"/>
      <c r="N28" s="15"/>
      <c r="O28" s="20"/>
      <c r="P28" s="26"/>
      <c r="Q28" s="24"/>
    </row>
    <row r="29" spans="2:17" s="37" customFormat="1" ht="18" customHeight="1">
      <c r="B29" s="28"/>
      <c r="C29" s="8" t="s">
        <v>37</v>
      </c>
      <c r="D29" s="8" t="s">
        <v>37</v>
      </c>
      <c r="E29" s="91" t="s">
        <v>52</v>
      </c>
      <c r="F29" s="92">
        <v>8</v>
      </c>
      <c r="G29" s="84">
        <v>80</v>
      </c>
      <c r="H29" s="13">
        <f t="shared" si="0"/>
        <v>640</v>
      </c>
      <c r="I29" s="13"/>
      <c r="J29" s="64" t="s">
        <v>53</v>
      </c>
      <c r="K29" s="12"/>
      <c r="L29" s="11"/>
      <c r="M29" s="26"/>
      <c r="N29" s="15"/>
      <c r="O29" s="20"/>
      <c r="P29" s="26"/>
      <c r="Q29" s="24"/>
    </row>
    <row r="30" spans="2:17" s="37" customFormat="1" ht="18" customHeight="1">
      <c r="B30" s="28"/>
      <c r="C30" s="8" t="s">
        <v>37</v>
      </c>
      <c r="D30" s="8" t="s">
        <v>37</v>
      </c>
      <c r="E30" s="91" t="s">
        <v>54</v>
      </c>
      <c r="F30" s="92">
        <v>2</v>
      </c>
      <c r="G30" s="84">
        <v>88</v>
      </c>
      <c r="H30" s="13">
        <f t="shared" si="0"/>
        <v>176</v>
      </c>
      <c r="I30" s="13"/>
      <c r="J30" s="64" t="s">
        <v>55</v>
      </c>
      <c r="K30" s="12"/>
      <c r="L30" s="11"/>
      <c r="M30" s="26"/>
      <c r="N30" s="15"/>
      <c r="O30" s="20"/>
      <c r="P30" s="26"/>
      <c r="Q30" s="24"/>
    </row>
    <row r="31" spans="2:17" s="37" customFormat="1" ht="18" customHeight="1">
      <c r="B31" s="28"/>
      <c r="C31" s="8" t="s">
        <v>37</v>
      </c>
      <c r="D31" s="8" t="s">
        <v>37</v>
      </c>
      <c r="E31" s="91" t="s">
        <v>56</v>
      </c>
      <c r="F31" s="92">
        <v>9</v>
      </c>
      <c r="G31" s="84">
        <v>70</v>
      </c>
      <c r="H31" s="13">
        <f t="shared" si="0"/>
        <v>630</v>
      </c>
      <c r="I31" s="13"/>
      <c r="J31" s="64" t="s">
        <v>57</v>
      </c>
      <c r="K31" s="12"/>
      <c r="L31" s="11"/>
      <c r="M31" s="26"/>
      <c r="N31" s="15"/>
      <c r="O31" s="20"/>
      <c r="P31" s="26"/>
      <c r="Q31" s="24"/>
    </row>
    <row r="32" spans="2:17" s="37" customFormat="1" ht="18" customHeight="1">
      <c r="B32" s="28"/>
      <c r="C32" s="8" t="s">
        <v>37</v>
      </c>
      <c r="D32" s="8" t="s">
        <v>37</v>
      </c>
      <c r="E32" s="91" t="s">
        <v>58</v>
      </c>
      <c r="F32" s="92">
        <v>9</v>
      </c>
      <c r="G32" s="84">
        <v>70</v>
      </c>
      <c r="H32" s="13">
        <f t="shared" si="0"/>
        <v>630</v>
      </c>
      <c r="I32" s="13"/>
      <c r="J32" s="64" t="s">
        <v>59</v>
      </c>
      <c r="K32" s="12"/>
      <c r="L32" s="11"/>
      <c r="M32" s="26"/>
      <c r="N32" s="15"/>
      <c r="O32" s="20"/>
      <c r="P32" s="26"/>
      <c r="Q32" s="24"/>
    </row>
    <row r="33" spans="2:17" s="37" customFormat="1" ht="18" customHeight="1">
      <c r="B33" s="28"/>
      <c r="C33" s="8" t="s">
        <v>37</v>
      </c>
      <c r="D33" s="8" t="s">
        <v>37</v>
      </c>
      <c r="E33" s="91" t="s">
        <v>60</v>
      </c>
      <c r="F33" s="68">
        <v>20</v>
      </c>
      <c r="G33" s="84">
        <v>75</v>
      </c>
      <c r="H33" s="13">
        <f t="shared" si="0"/>
        <v>1500</v>
      </c>
      <c r="I33" s="67"/>
      <c r="J33" s="64" t="s">
        <v>61</v>
      </c>
      <c r="K33" s="12"/>
      <c r="L33" s="11"/>
      <c r="M33" s="26"/>
      <c r="N33" s="15"/>
      <c r="O33" s="20"/>
      <c r="P33" s="26"/>
      <c r="Q33" s="24"/>
    </row>
    <row r="34" spans="2:17" s="37" customFormat="1" ht="18" customHeight="1">
      <c r="B34" s="28"/>
      <c r="C34" s="8"/>
      <c r="D34" s="13"/>
      <c r="E34" s="105">
        <f>SUM(H11:H33)</f>
        <v>114086</v>
      </c>
      <c r="F34" s="68"/>
      <c r="H34" s="96"/>
      <c r="I34" s="67"/>
      <c r="J34" s="64"/>
      <c r="K34" s="12"/>
      <c r="L34" s="11"/>
      <c r="M34" s="26"/>
      <c r="N34" s="15"/>
      <c r="O34" s="20"/>
      <c r="P34" s="26"/>
      <c r="Q34" s="24"/>
    </row>
    <row r="35" spans="2:17" s="7" customFormat="1" ht="19.5" customHeight="1">
      <c r="B35" s="8"/>
      <c r="C35" s="8"/>
      <c r="D35" s="8"/>
      <c r="E35" s="12"/>
      <c r="F35" s="68"/>
      <c r="G35" s="13"/>
      <c r="H35" s="13"/>
      <c r="I35" s="21"/>
      <c r="J35" s="69"/>
      <c r="K35" s="5"/>
      <c r="L35" s="5"/>
      <c r="M35" s="26"/>
      <c r="N35" s="8"/>
      <c r="O35" s="5"/>
      <c r="P35" s="26"/>
      <c r="Q35" s="15"/>
    </row>
    <row r="36" spans="2:17" s="7" customFormat="1" ht="19.5" customHeight="1">
      <c r="B36" s="659" t="s">
        <v>62</v>
      </c>
      <c r="C36" s="660"/>
      <c r="D36" s="660"/>
      <c r="E36" s="661"/>
      <c r="F36" s="46"/>
      <c r="G36" s="97"/>
      <c r="H36" s="98"/>
      <c r="I36" s="99"/>
      <c r="J36" s="100"/>
      <c r="K36" s="46"/>
      <c r="L36" s="46"/>
      <c r="M36" s="101"/>
      <c r="N36" s="47"/>
      <c r="O36" s="46"/>
      <c r="P36" s="101"/>
      <c r="Q36" s="102"/>
    </row>
    <row r="37" spans="2:17" s="7" customFormat="1" ht="19.5" customHeight="1">
      <c r="B37" s="28"/>
      <c r="C37" s="35" t="s">
        <v>25</v>
      </c>
      <c r="D37" s="35" t="s">
        <v>25</v>
      </c>
      <c r="E37" s="73" t="s">
        <v>63</v>
      </c>
      <c r="F37" s="73">
        <v>1</v>
      </c>
      <c r="G37" s="73">
        <v>19500</v>
      </c>
      <c r="H37" s="63">
        <f t="shared" ref="H37:H58" si="1">F37*G37</f>
        <v>19500</v>
      </c>
      <c r="I37" s="74"/>
      <c r="J37" s="73" t="s">
        <v>63</v>
      </c>
      <c r="K37" s="5"/>
      <c r="L37" s="5"/>
      <c r="M37" s="26"/>
      <c r="N37" s="8"/>
      <c r="O37" s="5"/>
      <c r="P37" s="26"/>
      <c r="Q37" s="24"/>
    </row>
    <row r="38" spans="2:17" s="7" customFormat="1" ht="19.5" customHeight="1">
      <c r="B38" s="28"/>
      <c r="C38" s="35" t="s">
        <v>25</v>
      </c>
      <c r="D38" s="35" t="s">
        <v>25</v>
      </c>
      <c r="E38" s="73" t="s">
        <v>64</v>
      </c>
      <c r="F38" s="73">
        <v>1</v>
      </c>
      <c r="G38" s="73">
        <v>17500</v>
      </c>
      <c r="H38" s="63">
        <f t="shared" si="1"/>
        <v>17500</v>
      </c>
      <c r="I38" s="74"/>
      <c r="J38" s="73" t="s">
        <v>64</v>
      </c>
      <c r="K38" s="5"/>
      <c r="L38" s="5"/>
      <c r="M38" s="26"/>
      <c r="N38" s="8"/>
      <c r="O38" s="5"/>
      <c r="P38" s="26"/>
      <c r="Q38" s="24"/>
    </row>
    <row r="39" spans="2:17" s="7" customFormat="1" ht="19.5" customHeight="1">
      <c r="B39" s="28"/>
      <c r="C39" s="35" t="s">
        <v>25</v>
      </c>
      <c r="D39" s="35" t="s">
        <v>25</v>
      </c>
      <c r="E39" s="73" t="s">
        <v>65</v>
      </c>
      <c r="F39" s="73">
        <v>8</v>
      </c>
      <c r="G39" s="73">
        <v>3800</v>
      </c>
      <c r="H39" s="63">
        <f t="shared" si="1"/>
        <v>30400</v>
      </c>
      <c r="I39" s="74"/>
      <c r="J39" s="73" t="s">
        <v>65</v>
      </c>
      <c r="K39" s="5"/>
      <c r="L39" s="5"/>
      <c r="M39" s="26"/>
      <c r="N39" s="8"/>
      <c r="O39" s="5"/>
      <c r="P39" s="26"/>
      <c r="Q39" s="24"/>
    </row>
    <row r="40" spans="2:17" s="7" customFormat="1" ht="19.5" customHeight="1">
      <c r="B40" s="28"/>
      <c r="C40" s="35" t="s">
        <v>25</v>
      </c>
      <c r="D40" s="35" t="s">
        <v>25</v>
      </c>
      <c r="E40" s="73" t="s">
        <v>66</v>
      </c>
      <c r="F40" s="73">
        <v>2</v>
      </c>
      <c r="G40" s="73">
        <v>5000</v>
      </c>
      <c r="H40" s="63">
        <f t="shared" si="1"/>
        <v>10000</v>
      </c>
      <c r="I40" s="74"/>
      <c r="J40" s="73" t="s">
        <v>67</v>
      </c>
      <c r="K40" s="5"/>
      <c r="L40" s="5"/>
      <c r="M40" s="26"/>
      <c r="N40" s="8"/>
      <c r="O40" s="5"/>
      <c r="P40" s="26"/>
      <c r="Q40" s="24"/>
    </row>
    <row r="41" spans="2:17" ht="18" customHeight="1">
      <c r="B41" s="28"/>
      <c r="C41" s="29" t="s">
        <v>37</v>
      </c>
      <c r="D41" s="29" t="s">
        <v>37</v>
      </c>
      <c r="E41" s="31" t="s">
        <v>68</v>
      </c>
      <c r="F41" s="30">
        <v>1</v>
      </c>
      <c r="G41" s="31">
        <v>356</v>
      </c>
      <c r="H41" s="32">
        <f t="shared" si="1"/>
        <v>356</v>
      </c>
      <c r="I41" s="33"/>
      <c r="J41" s="34" t="s">
        <v>69</v>
      </c>
      <c r="K41" s="12"/>
      <c r="L41" s="11"/>
      <c r="M41" s="26"/>
      <c r="N41" s="15"/>
      <c r="O41" s="20"/>
      <c r="P41" s="26"/>
      <c r="Q41" s="24"/>
    </row>
    <row r="42" spans="2:17" ht="18" customHeight="1">
      <c r="B42" s="28"/>
      <c r="C42" s="29" t="s">
        <v>37</v>
      </c>
      <c r="D42" s="29" t="s">
        <v>37</v>
      </c>
      <c r="E42" s="31" t="s">
        <v>70</v>
      </c>
      <c r="F42" s="30">
        <v>1</v>
      </c>
      <c r="G42" s="31">
        <v>479</v>
      </c>
      <c r="H42" s="32">
        <f t="shared" si="1"/>
        <v>479</v>
      </c>
      <c r="I42" s="33"/>
      <c r="J42" s="34" t="s">
        <v>71</v>
      </c>
      <c r="K42" s="12"/>
      <c r="L42" s="11"/>
      <c r="M42" s="26"/>
      <c r="N42" s="15"/>
      <c r="O42" s="20"/>
      <c r="P42" s="26"/>
      <c r="Q42" s="24"/>
    </row>
    <row r="43" spans="2:17" ht="18" customHeight="1">
      <c r="B43" s="28"/>
      <c r="C43" s="29" t="s">
        <v>37</v>
      </c>
      <c r="D43" s="29" t="s">
        <v>37</v>
      </c>
      <c r="E43" s="31" t="s">
        <v>72</v>
      </c>
      <c r="F43" s="30">
        <v>1</v>
      </c>
      <c r="G43" s="31">
        <v>650</v>
      </c>
      <c r="H43" s="32">
        <f t="shared" si="1"/>
        <v>650</v>
      </c>
      <c r="I43" s="33"/>
      <c r="J43" s="34" t="s">
        <v>69</v>
      </c>
      <c r="K43" s="12"/>
      <c r="L43" s="11"/>
      <c r="M43" s="26"/>
      <c r="N43" s="15"/>
      <c r="O43" s="20"/>
      <c r="P43" s="26"/>
      <c r="Q43" s="24"/>
    </row>
    <row r="44" spans="2:17" s="37" customFormat="1" ht="18" customHeight="1">
      <c r="B44" s="28"/>
      <c r="C44" s="62" t="s">
        <v>37</v>
      </c>
      <c r="D44" s="62" t="s">
        <v>37</v>
      </c>
      <c r="E44" s="40" t="s">
        <v>73</v>
      </c>
      <c r="F44" s="82">
        <v>6</v>
      </c>
      <c r="G44" s="83">
        <v>370</v>
      </c>
      <c r="H44" s="13">
        <f t="shared" si="1"/>
        <v>2220</v>
      </c>
      <c r="I44" s="21"/>
      <c r="J44" s="41" t="s">
        <v>74</v>
      </c>
      <c r="K44" s="12"/>
      <c r="L44" s="11"/>
      <c r="M44" s="26"/>
      <c r="N44" s="15"/>
      <c r="O44" s="20"/>
      <c r="P44" s="26"/>
      <c r="Q44" s="24"/>
    </row>
    <row r="45" spans="2:17" s="37" customFormat="1" ht="18" customHeight="1">
      <c r="B45" s="28"/>
      <c r="C45" s="30" t="s">
        <v>37</v>
      </c>
      <c r="D45" s="30" t="s">
        <v>37</v>
      </c>
      <c r="E45" s="85" t="s">
        <v>75</v>
      </c>
      <c r="F45" s="86">
        <v>2</v>
      </c>
      <c r="G45" s="87">
        <v>8800</v>
      </c>
      <c r="H45" s="13">
        <f t="shared" si="1"/>
        <v>17600</v>
      </c>
      <c r="I45" s="21"/>
      <c r="J45" s="42" t="s">
        <v>76</v>
      </c>
      <c r="K45" s="12"/>
      <c r="L45" s="11"/>
      <c r="M45" s="26"/>
      <c r="N45" s="15"/>
      <c r="O45" s="20"/>
      <c r="P45" s="26"/>
      <c r="Q45" s="24"/>
    </row>
    <row r="46" spans="2:17" s="37" customFormat="1" ht="18" customHeight="1">
      <c r="B46" s="28"/>
      <c r="C46" s="30" t="s">
        <v>37</v>
      </c>
      <c r="D46" s="30" t="s">
        <v>37</v>
      </c>
      <c r="E46" s="43" t="s">
        <v>77</v>
      </c>
      <c r="F46" s="86">
        <v>2</v>
      </c>
      <c r="G46" s="87">
        <v>4710</v>
      </c>
      <c r="H46" s="13">
        <f t="shared" si="1"/>
        <v>9420</v>
      </c>
      <c r="I46" s="21"/>
      <c r="J46" s="42" t="s">
        <v>78</v>
      </c>
      <c r="K46" s="12"/>
      <c r="L46" s="11"/>
      <c r="M46" s="26"/>
      <c r="N46" s="15"/>
      <c r="O46" s="20"/>
      <c r="P46" s="26"/>
      <c r="Q46" s="24"/>
    </row>
    <row r="47" spans="2:17" s="37" customFormat="1" ht="18" customHeight="1">
      <c r="B47" s="28"/>
      <c r="C47" s="30" t="s">
        <v>37</v>
      </c>
      <c r="D47" s="30" t="s">
        <v>37</v>
      </c>
      <c r="E47" s="88" t="s">
        <v>79</v>
      </c>
      <c r="F47" s="44">
        <v>1</v>
      </c>
      <c r="G47" s="87">
        <v>59000</v>
      </c>
      <c r="H47" s="13">
        <f t="shared" si="1"/>
        <v>59000</v>
      </c>
      <c r="I47" s="21"/>
      <c r="J47" s="39" t="s">
        <v>80</v>
      </c>
      <c r="K47" s="12"/>
      <c r="L47" s="11"/>
      <c r="M47" s="26"/>
      <c r="N47" s="15"/>
      <c r="O47" s="20"/>
      <c r="P47" s="26"/>
      <c r="Q47" s="24"/>
    </row>
    <row r="48" spans="2:17" s="37" customFormat="1" ht="18" customHeight="1">
      <c r="B48" s="28"/>
      <c r="C48" s="30" t="s">
        <v>37</v>
      </c>
      <c r="D48" s="30" t="s">
        <v>37</v>
      </c>
      <c r="E48" s="85" t="s">
        <v>81</v>
      </c>
      <c r="F48" s="44">
        <v>1</v>
      </c>
      <c r="G48" s="25">
        <v>370</v>
      </c>
      <c r="H48" s="13">
        <f t="shared" si="1"/>
        <v>370</v>
      </c>
      <c r="I48" s="21"/>
      <c r="J48" s="42" t="s">
        <v>82</v>
      </c>
      <c r="K48" s="12"/>
      <c r="L48" s="11"/>
      <c r="M48" s="26"/>
      <c r="N48" s="15"/>
      <c r="O48" s="20"/>
      <c r="P48" s="26"/>
      <c r="Q48" s="24"/>
    </row>
    <row r="49" spans="2:17" s="37" customFormat="1" ht="18" customHeight="1">
      <c r="B49" s="28"/>
      <c r="C49" s="30" t="s">
        <v>37</v>
      </c>
      <c r="D49" s="30" t="s">
        <v>37</v>
      </c>
      <c r="E49" s="88" t="s">
        <v>83</v>
      </c>
      <c r="F49" s="86">
        <v>2</v>
      </c>
      <c r="G49" s="87">
        <v>3560</v>
      </c>
      <c r="H49" s="13">
        <f t="shared" si="1"/>
        <v>7120</v>
      </c>
      <c r="I49" s="21"/>
      <c r="J49" s="39" t="s">
        <v>84</v>
      </c>
      <c r="K49" s="12"/>
      <c r="L49" s="11"/>
      <c r="M49" s="26"/>
      <c r="N49" s="15"/>
      <c r="O49" s="20"/>
      <c r="P49" s="26"/>
      <c r="Q49" s="24"/>
    </row>
    <row r="50" spans="2:17" s="37" customFormat="1" ht="18" customHeight="1">
      <c r="B50" s="28"/>
      <c r="C50" s="30" t="s">
        <v>37</v>
      </c>
      <c r="D50" s="30" t="s">
        <v>37</v>
      </c>
      <c r="E50" s="35" t="s">
        <v>85</v>
      </c>
      <c r="F50" s="44">
        <v>10</v>
      </c>
      <c r="G50" s="25">
        <v>26</v>
      </c>
      <c r="H50" s="13">
        <f t="shared" si="1"/>
        <v>260</v>
      </c>
      <c r="I50" s="21"/>
      <c r="J50" s="36" t="s">
        <v>86</v>
      </c>
      <c r="K50" s="12"/>
      <c r="L50" s="11"/>
      <c r="M50" s="26"/>
      <c r="N50" s="15"/>
      <c r="O50" s="20"/>
      <c r="P50" s="26"/>
      <c r="Q50" s="24"/>
    </row>
    <row r="51" spans="2:17" s="37" customFormat="1" ht="18" customHeight="1">
      <c r="B51" s="28"/>
      <c r="C51" s="30" t="s">
        <v>37</v>
      </c>
      <c r="D51" s="30" t="s">
        <v>37</v>
      </c>
      <c r="E51" s="35" t="s">
        <v>87</v>
      </c>
      <c r="F51" s="44">
        <v>4</v>
      </c>
      <c r="G51" s="25">
        <v>29</v>
      </c>
      <c r="H51" s="13">
        <f t="shared" si="1"/>
        <v>116</v>
      </c>
      <c r="I51" s="21"/>
      <c r="J51" s="36" t="s">
        <v>88</v>
      </c>
      <c r="K51" s="12"/>
      <c r="L51" s="11"/>
      <c r="M51" s="26"/>
      <c r="N51" s="15"/>
      <c r="O51" s="20"/>
      <c r="P51" s="26"/>
      <c r="Q51" s="24"/>
    </row>
    <row r="52" spans="2:17" s="37" customFormat="1" ht="18" customHeight="1">
      <c r="B52" s="28"/>
      <c r="C52" s="30" t="s">
        <v>37</v>
      </c>
      <c r="D52" s="30" t="s">
        <v>37</v>
      </c>
      <c r="E52" s="35" t="s">
        <v>89</v>
      </c>
      <c r="F52" s="44">
        <v>16</v>
      </c>
      <c r="G52" s="25">
        <v>54</v>
      </c>
      <c r="H52" s="13">
        <f t="shared" si="1"/>
        <v>864</v>
      </c>
      <c r="I52" s="21"/>
      <c r="J52" s="36" t="s">
        <v>90</v>
      </c>
      <c r="K52" s="12"/>
      <c r="L52" s="11"/>
      <c r="M52" s="26"/>
      <c r="N52" s="15"/>
      <c r="O52" s="20"/>
      <c r="P52" s="26"/>
      <c r="Q52" s="24"/>
    </row>
    <row r="53" spans="2:17" s="37" customFormat="1" ht="18" customHeight="1">
      <c r="B53" s="28"/>
      <c r="C53" s="30" t="s">
        <v>37</v>
      </c>
      <c r="D53" s="30" t="s">
        <v>37</v>
      </c>
      <c r="E53" s="35" t="s">
        <v>58</v>
      </c>
      <c r="F53" s="44">
        <v>6</v>
      </c>
      <c r="G53" s="25">
        <v>70</v>
      </c>
      <c r="H53" s="13">
        <f t="shared" si="1"/>
        <v>420</v>
      </c>
      <c r="I53" s="21"/>
      <c r="J53" s="36" t="s">
        <v>91</v>
      </c>
      <c r="K53" s="12"/>
      <c r="L53" s="11"/>
      <c r="M53" s="26"/>
      <c r="N53" s="15"/>
      <c r="O53" s="20"/>
      <c r="P53" s="26"/>
      <c r="Q53" s="24"/>
    </row>
    <row r="54" spans="2:17" s="37" customFormat="1" ht="18" customHeight="1">
      <c r="B54" s="28"/>
      <c r="C54" s="30" t="s">
        <v>37</v>
      </c>
      <c r="D54" s="30" t="s">
        <v>37</v>
      </c>
      <c r="E54" s="35" t="s">
        <v>92</v>
      </c>
      <c r="F54" s="44">
        <v>12</v>
      </c>
      <c r="G54" s="25">
        <v>75</v>
      </c>
      <c r="H54" s="13">
        <f t="shared" si="1"/>
        <v>900</v>
      </c>
      <c r="I54" s="21"/>
      <c r="J54" s="36" t="s">
        <v>93</v>
      </c>
      <c r="K54" s="12"/>
      <c r="L54" s="11"/>
      <c r="M54" s="26"/>
      <c r="N54" s="15"/>
      <c r="O54" s="20"/>
      <c r="P54" s="26"/>
      <c r="Q54" s="24"/>
    </row>
    <row r="55" spans="2:17" s="37" customFormat="1" ht="18" customHeight="1">
      <c r="B55" s="28"/>
      <c r="C55" s="30" t="s">
        <v>37</v>
      </c>
      <c r="D55" s="30" t="s">
        <v>37</v>
      </c>
      <c r="E55" s="35" t="s">
        <v>94</v>
      </c>
      <c r="F55" s="44">
        <v>4</v>
      </c>
      <c r="G55" s="25">
        <v>80</v>
      </c>
      <c r="H55" s="13">
        <f t="shared" si="1"/>
        <v>320</v>
      </c>
      <c r="I55" s="21"/>
      <c r="J55" s="36" t="s">
        <v>95</v>
      </c>
      <c r="K55" s="12"/>
      <c r="L55" s="11"/>
      <c r="M55" s="26"/>
      <c r="N55" s="15"/>
      <c r="O55" s="20"/>
      <c r="P55" s="26"/>
      <c r="Q55" s="24"/>
    </row>
    <row r="56" spans="2:17" s="37" customFormat="1" ht="18" customHeight="1">
      <c r="B56" s="28"/>
      <c r="C56" s="30" t="s">
        <v>37</v>
      </c>
      <c r="D56" s="30" t="s">
        <v>37</v>
      </c>
      <c r="E56" s="35" t="s">
        <v>96</v>
      </c>
      <c r="F56" s="44">
        <v>10</v>
      </c>
      <c r="G56" s="25">
        <v>99</v>
      </c>
      <c r="H56" s="13">
        <f t="shared" si="1"/>
        <v>990</v>
      </c>
      <c r="I56" s="21"/>
      <c r="J56" s="36" t="s">
        <v>97</v>
      </c>
      <c r="K56" s="12"/>
      <c r="L56" s="11"/>
      <c r="M56" s="26"/>
      <c r="N56" s="15"/>
      <c r="O56" s="20"/>
      <c r="P56" s="26"/>
      <c r="Q56" s="24"/>
    </row>
    <row r="57" spans="2:17" s="37" customFormat="1" ht="18" customHeight="1">
      <c r="B57" s="28"/>
      <c r="C57" s="30" t="s">
        <v>37</v>
      </c>
      <c r="D57" s="30" t="s">
        <v>37</v>
      </c>
      <c r="E57" s="35" t="s">
        <v>98</v>
      </c>
      <c r="F57" s="44">
        <v>2</v>
      </c>
      <c r="G57" s="25">
        <v>610</v>
      </c>
      <c r="H57" s="13">
        <f t="shared" si="1"/>
        <v>1220</v>
      </c>
      <c r="I57" s="21"/>
      <c r="J57" s="45" t="s">
        <v>99</v>
      </c>
      <c r="K57" s="12"/>
      <c r="L57" s="11"/>
      <c r="M57" s="26"/>
      <c r="N57" s="15"/>
      <c r="O57" s="20"/>
      <c r="P57" s="26"/>
      <c r="Q57" s="24"/>
    </row>
    <row r="58" spans="2:17" s="37" customFormat="1" ht="18" customHeight="1">
      <c r="B58" s="28"/>
      <c r="C58" s="30" t="s">
        <v>37</v>
      </c>
      <c r="D58" s="30" t="s">
        <v>37</v>
      </c>
      <c r="E58" s="35" t="s">
        <v>100</v>
      </c>
      <c r="F58" s="44">
        <v>2</v>
      </c>
      <c r="G58" s="25">
        <v>780</v>
      </c>
      <c r="H58" s="13">
        <f t="shared" si="1"/>
        <v>1560</v>
      </c>
      <c r="I58" s="21"/>
      <c r="J58" s="45" t="s">
        <v>101</v>
      </c>
      <c r="K58" s="12"/>
      <c r="L58" s="11"/>
      <c r="M58" s="26"/>
      <c r="N58" s="15"/>
      <c r="O58" s="20"/>
      <c r="P58" s="26"/>
      <c r="Q58" s="24"/>
    </row>
    <row r="59" spans="2:17" s="37" customFormat="1" ht="18" customHeight="1">
      <c r="B59" s="28"/>
      <c r="C59" s="30"/>
      <c r="D59" s="30"/>
      <c r="E59" s="106">
        <f>SUM(H37:H58)</f>
        <v>181265</v>
      </c>
      <c r="F59" s="30"/>
      <c r="G59" s="31"/>
      <c r="I59" s="66"/>
      <c r="J59" s="34"/>
      <c r="K59" s="12"/>
      <c r="L59" s="11"/>
      <c r="M59" s="26"/>
      <c r="N59" s="15"/>
      <c r="O59" s="20"/>
      <c r="P59" s="26"/>
      <c r="Q59" s="24"/>
    </row>
    <row r="60" spans="2:17" s="37" customFormat="1" ht="18" customHeight="1">
      <c r="B60" s="28"/>
      <c r="C60" s="30"/>
      <c r="D60" s="30"/>
      <c r="E60" s="31"/>
      <c r="F60" s="30"/>
      <c r="G60" s="31"/>
      <c r="H60" s="65"/>
      <c r="I60" s="66"/>
      <c r="J60" s="34"/>
      <c r="K60" s="12"/>
      <c r="L60" s="11"/>
      <c r="M60" s="26"/>
      <c r="N60" s="15"/>
      <c r="O60" s="20"/>
      <c r="P60" s="26"/>
      <c r="Q60" s="24"/>
    </row>
    <row r="61" spans="2:17" s="37" customFormat="1" ht="18" customHeight="1">
      <c r="B61" s="659" t="s">
        <v>102</v>
      </c>
      <c r="C61" s="660"/>
      <c r="D61" s="660"/>
      <c r="E61" s="661"/>
      <c r="F61" s="30"/>
      <c r="G61" s="31"/>
      <c r="H61" s="65"/>
      <c r="I61" s="66"/>
      <c r="J61" s="34"/>
      <c r="K61" s="12"/>
      <c r="L61" s="11"/>
      <c r="M61" s="26"/>
      <c r="N61" s="15"/>
      <c r="O61" s="20"/>
      <c r="P61" s="26"/>
      <c r="Q61" s="24"/>
    </row>
    <row r="62" spans="2:17" s="37" customFormat="1" ht="18" customHeight="1">
      <c r="B62" s="28"/>
      <c r="C62" s="30"/>
      <c r="D62" s="30"/>
      <c r="E62" s="31"/>
      <c r="F62" s="30"/>
      <c r="G62" s="31"/>
      <c r="H62" s="65"/>
      <c r="I62" s="66"/>
      <c r="J62" s="34"/>
      <c r="K62" s="12"/>
      <c r="L62" s="11"/>
      <c r="M62" s="26"/>
      <c r="N62" s="15"/>
      <c r="O62" s="20"/>
      <c r="P62" s="26"/>
      <c r="Q62" s="24"/>
    </row>
    <row r="63" spans="2:17" s="37" customFormat="1" ht="18" customHeight="1">
      <c r="B63" s="28"/>
      <c r="C63" s="35" t="s">
        <v>25</v>
      </c>
      <c r="D63" s="35" t="s">
        <v>25</v>
      </c>
      <c r="E63" s="73" t="s">
        <v>103</v>
      </c>
      <c r="F63" s="70">
        <v>2</v>
      </c>
      <c r="G63" s="73">
        <v>18500</v>
      </c>
      <c r="H63" s="73">
        <f t="shared" ref="H63:H71" si="2">F63*G63</f>
        <v>37000</v>
      </c>
      <c r="I63" s="74"/>
      <c r="J63" s="73" t="s">
        <v>103</v>
      </c>
      <c r="K63" s="12"/>
      <c r="L63" s="11"/>
      <c r="M63" s="26"/>
      <c r="N63" s="15"/>
      <c r="O63" s="20"/>
      <c r="P63" s="26"/>
      <c r="Q63" s="24"/>
    </row>
    <row r="64" spans="2:17" s="37" customFormat="1" ht="18" customHeight="1">
      <c r="B64" s="28"/>
      <c r="C64" s="35" t="s">
        <v>25</v>
      </c>
      <c r="D64" s="35" t="s">
        <v>25</v>
      </c>
      <c r="E64" s="73" t="s">
        <v>104</v>
      </c>
      <c r="F64" s="70">
        <v>4</v>
      </c>
      <c r="G64" s="73">
        <v>4000</v>
      </c>
      <c r="H64" s="73">
        <f t="shared" si="2"/>
        <v>16000</v>
      </c>
      <c r="I64" s="74"/>
      <c r="J64" s="73" t="s">
        <v>104</v>
      </c>
      <c r="K64" s="12"/>
      <c r="L64" s="11"/>
      <c r="M64" s="26"/>
      <c r="N64" s="15"/>
      <c r="O64" s="20"/>
      <c r="P64" s="26"/>
      <c r="Q64" s="24"/>
    </row>
    <row r="65" spans="2:17" s="37" customFormat="1" ht="18" customHeight="1">
      <c r="B65" s="28"/>
      <c r="C65" s="30" t="s">
        <v>37</v>
      </c>
      <c r="D65" s="30" t="s">
        <v>37</v>
      </c>
      <c r="E65" s="88" t="s">
        <v>105</v>
      </c>
      <c r="F65" s="77">
        <v>10</v>
      </c>
      <c r="G65" s="87">
        <v>920</v>
      </c>
      <c r="H65" s="78">
        <f t="shared" si="2"/>
        <v>9200</v>
      </c>
      <c r="I65" s="79"/>
      <c r="J65" s="80" t="s">
        <v>106</v>
      </c>
      <c r="K65" s="12"/>
      <c r="L65" s="11"/>
      <c r="M65" s="26"/>
      <c r="N65" s="15"/>
      <c r="O65" s="20"/>
      <c r="P65" s="26"/>
      <c r="Q65" s="24"/>
    </row>
    <row r="66" spans="2:17" s="37" customFormat="1" ht="18" customHeight="1">
      <c r="B66" s="28"/>
      <c r="C66" s="30" t="s">
        <v>37</v>
      </c>
      <c r="D66" s="30" t="s">
        <v>37</v>
      </c>
      <c r="E66" s="104" t="s">
        <v>105</v>
      </c>
      <c r="F66" s="77">
        <v>10</v>
      </c>
      <c r="G66" s="87">
        <v>1250</v>
      </c>
      <c r="H66" s="78">
        <f t="shared" si="2"/>
        <v>12500</v>
      </c>
      <c r="I66" s="79"/>
      <c r="J66" s="103" t="s">
        <v>107</v>
      </c>
      <c r="K66" s="12"/>
      <c r="L66" s="11"/>
      <c r="M66" s="26"/>
      <c r="N66" s="15"/>
      <c r="O66" s="20"/>
      <c r="P66" s="26"/>
      <c r="Q66" s="24"/>
    </row>
    <row r="67" spans="2:17" s="37" customFormat="1" ht="18" customHeight="1">
      <c r="B67" s="28"/>
      <c r="C67" s="30" t="s">
        <v>37</v>
      </c>
      <c r="D67" s="30" t="s">
        <v>37</v>
      </c>
      <c r="E67" s="38" t="s">
        <v>108</v>
      </c>
      <c r="F67" s="44">
        <v>4</v>
      </c>
      <c r="G67" s="25">
        <v>570</v>
      </c>
      <c r="H67" s="13">
        <f t="shared" si="2"/>
        <v>2280</v>
      </c>
      <c r="I67" s="21"/>
      <c r="J67" s="39" t="s">
        <v>109</v>
      </c>
      <c r="K67" s="12"/>
      <c r="L67" s="11"/>
      <c r="M67" s="26"/>
      <c r="N67" s="15"/>
      <c r="O67" s="20"/>
      <c r="P67" s="26"/>
      <c r="Q67" s="24"/>
    </row>
    <row r="68" spans="2:17" s="37" customFormat="1" ht="18" customHeight="1">
      <c r="B68" s="28"/>
      <c r="C68" s="30" t="s">
        <v>37</v>
      </c>
      <c r="D68" s="30" t="s">
        <v>37</v>
      </c>
      <c r="E68" s="35" t="s">
        <v>85</v>
      </c>
      <c r="F68" s="44">
        <v>4</v>
      </c>
      <c r="G68" s="87">
        <v>26</v>
      </c>
      <c r="H68" s="13">
        <f t="shared" si="2"/>
        <v>104</v>
      </c>
      <c r="I68" s="21"/>
      <c r="J68" s="36" t="s">
        <v>86</v>
      </c>
      <c r="K68" s="12"/>
      <c r="L68" s="11"/>
      <c r="M68" s="26"/>
      <c r="N68" s="15"/>
      <c r="O68" s="20"/>
      <c r="P68" s="26"/>
      <c r="Q68" s="24"/>
    </row>
    <row r="69" spans="2:17" s="37" customFormat="1" ht="18" customHeight="1">
      <c r="B69" s="28"/>
      <c r="C69" s="30" t="s">
        <v>37</v>
      </c>
      <c r="D69" s="30" t="s">
        <v>37</v>
      </c>
      <c r="E69" s="83" t="s">
        <v>110</v>
      </c>
      <c r="F69" s="44">
        <v>4</v>
      </c>
      <c r="G69" s="87">
        <v>800</v>
      </c>
      <c r="H69" s="13">
        <f t="shared" si="2"/>
        <v>3200</v>
      </c>
      <c r="I69" s="21"/>
      <c r="J69" s="36" t="s">
        <v>111</v>
      </c>
      <c r="K69" s="12"/>
      <c r="L69" s="11"/>
      <c r="M69" s="26"/>
      <c r="N69" s="15"/>
      <c r="O69" s="20"/>
      <c r="P69" s="26"/>
      <c r="Q69" s="24"/>
    </row>
    <row r="70" spans="2:17" s="37" customFormat="1" ht="18" customHeight="1">
      <c r="B70" s="28"/>
      <c r="C70" s="30" t="s">
        <v>37</v>
      </c>
      <c r="D70" s="30" t="s">
        <v>37</v>
      </c>
      <c r="E70" s="35" t="s">
        <v>92</v>
      </c>
      <c r="F70" s="44">
        <v>8</v>
      </c>
      <c r="G70" s="25">
        <v>75</v>
      </c>
      <c r="H70" s="13">
        <f t="shared" si="2"/>
        <v>600</v>
      </c>
      <c r="I70" s="21"/>
      <c r="J70" s="36" t="s">
        <v>93</v>
      </c>
      <c r="K70" s="12"/>
      <c r="L70" s="11"/>
      <c r="M70" s="26"/>
      <c r="N70" s="15"/>
      <c r="O70" s="20"/>
      <c r="P70" s="26"/>
      <c r="Q70" s="24"/>
    </row>
    <row r="71" spans="2:17" s="37" customFormat="1" ht="18" customHeight="1">
      <c r="B71" s="28"/>
      <c r="C71" s="30" t="s">
        <v>37</v>
      </c>
      <c r="D71" s="30" t="s">
        <v>37</v>
      </c>
      <c r="E71" s="35" t="s">
        <v>94</v>
      </c>
      <c r="F71" s="44">
        <v>8</v>
      </c>
      <c r="G71" s="25">
        <v>80</v>
      </c>
      <c r="H71" s="13">
        <f t="shared" si="2"/>
        <v>640</v>
      </c>
      <c r="I71" s="21"/>
      <c r="J71" s="36" t="s">
        <v>95</v>
      </c>
      <c r="K71" s="12"/>
      <c r="L71" s="11"/>
      <c r="M71" s="26"/>
      <c r="N71" s="15"/>
      <c r="O71" s="20"/>
      <c r="P71" s="26"/>
      <c r="Q71" s="24"/>
    </row>
    <row r="72" spans="2:17" s="37" customFormat="1" ht="18" customHeight="1">
      <c r="B72" s="28"/>
      <c r="C72" s="30"/>
      <c r="D72" s="30"/>
      <c r="E72" s="105">
        <f>SUM(H63:H71)</f>
        <v>81524</v>
      </c>
      <c r="F72" s="44"/>
      <c r="G72" s="25"/>
      <c r="I72" s="21"/>
      <c r="J72" s="36"/>
      <c r="K72" s="12"/>
      <c r="L72" s="11"/>
      <c r="M72" s="26"/>
      <c r="N72" s="15"/>
      <c r="O72" s="20"/>
      <c r="P72" s="26"/>
      <c r="Q72" s="24"/>
    </row>
    <row r="73" spans="2:17" s="37" customFormat="1" ht="18" customHeight="1">
      <c r="B73" s="28"/>
      <c r="C73" s="8"/>
      <c r="D73" s="8"/>
      <c r="E73" s="91"/>
      <c r="F73" s="68"/>
      <c r="G73" s="13"/>
      <c r="H73" s="13"/>
      <c r="I73" s="67"/>
      <c r="J73" s="64"/>
      <c r="K73" s="12"/>
      <c r="L73" s="11"/>
      <c r="M73" s="26"/>
      <c r="N73" s="15"/>
      <c r="O73" s="20"/>
      <c r="P73" s="26"/>
      <c r="Q73" s="24"/>
    </row>
    <row r="74" spans="2:17" s="37" customFormat="1" ht="18" customHeight="1">
      <c r="B74" s="640" t="s">
        <v>112</v>
      </c>
      <c r="C74" s="641"/>
      <c r="D74" s="641"/>
      <c r="E74" s="642"/>
      <c r="F74" s="68"/>
      <c r="G74" s="13"/>
      <c r="H74" s="13"/>
      <c r="I74" s="67"/>
      <c r="J74" s="64"/>
      <c r="K74" s="12"/>
      <c r="L74" s="11"/>
      <c r="M74" s="26"/>
      <c r="N74" s="15"/>
      <c r="O74" s="20"/>
      <c r="P74" s="26"/>
      <c r="Q74" s="24"/>
    </row>
    <row r="75" spans="2:17" s="37" customFormat="1" ht="18" customHeight="1">
      <c r="B75" s="28"/>
      <c r="C75" s="35" t="s">
        <v>25</v>
      </c>
      <c r="D75" s="35" t="s">
        <v>25</v>
      </c>
      <c r="E75" s="73" t="s">
        <v>113</v>
      </c>
      <c r="F75" s="73">
        <v>1</v>
      </c>
      <c r="G75" s="73">
        <v>16500</v>
      </c>
      <c r="H75" s="73">
        <f t="shared" ref="H75:H83" si="3">F75*G75</f>
        <v>16500</v>
      </c>
      <c r="I75" s="74"/>
      <c r="J75" s="73" t="s">
        <v>114</v>
      </c>
      <c r="K75" s="12"/>
      <c r="L75" s="11"/>
      <c r="M75" s="26"/>
      <c r="N75" s="15"/>
      <c r="O75" s="20"/>
      <c r="P75" s="26"/>
      <c r="Q75" s="24"/>
    </row>
    <row r="76" spans="2:17" s="37" customFormat="1" ht="18" customHeight="1">
      <c r="B76" s="28"/>
      <c r="C76" s="23" t="s">
        <v>37</v>
      </c>
      <c r="D76" s="23" t="s">
        <v>37</v>
      </c>
      <c r="E76" s="12" t="s">
        <v>115</v>
      </c>
      <c r="F76" s="13">
        <v>1</v>
      </c>
      <c r="G76" s="13">
        <v>1080</v>
      </c>
      <c r="H76" s="13">
        <f t="shared" si="3"/>
        <v>1080</v>
      </c>
      <c r="I76" s="21"/>
      <c r="J76" s="11" t="s">
        <v>116</v>
      </c>
      <c r="K76" s="12"/>
      <c r="L76" s="11"/>
      <c r="M76" s="26"/>
      <c r="N76" s="15"/>
      <c r="O76" s="20"/>
      <c r="P76" s="26"/>
      <c r="Q76" s="24"/>
    </row>
    <row r="77" spans="2:17" s="37" customFormat="1" ht="18" customHeight="1">
      <c r="B77" s="28"/>
      <c r="C77" s="23" t="s">
        <v>37</v>
      </c>
      <c r="D77" s="23" t="s">
        <v>37</v>
      </c>
      <c r="E77" s="12" t="s">
        <v>117</v>
      </c>
      <c r="F77" s="13">
        <v>1</v>
      </c>
      <c r="G77" s="13">
        <v>3350</v>
      </c>
      <c r="H77" s="13">
        <f t="shared" si="3"/>
        <v>3350</v>
      </c>
      <c r="I77" s="21"/>
      <c r="J77" s="11" t="s">
        <v>118</v>
      </c>
      <c r="K77" s="12"/>
      <c r="L77" s="11"/>
      <c r="M77" s="26"/>
      <c r="N77" s="15"/>
      <c r="O77" s="20"/>
      <c r="P77" s="26"/>
      <c r="Q77" s="24"/>
    </row>
    <row r="78" spans="2:17" s="37" customFormat="1" ht="18" customHeight="1">
      <c r="B78" s="28"/>
      <c r="C78" s="23" t="s">
        <v>37</v>
      </c>
      <c r="D78" s="23" t="s">
        <v>37</v>
      </c>
      <c r="E78" s="12" t="s">
        <v>119</v>
      </c>
      <c r="F78" s="13">
        <v>1</v>
      </c>
      <c r="G78" s="13">
        <v>3022</v>
      </c>
      <c r="H78" s="13">
        <f t="shared" si="3"/>
        <v>3022</v>
      </c>
      <c r="I78" s="21"/>
      <c r="J78" s="11" t="s">
        <v>120</v>
      </c>
      <c r="K78" s="12"/>
      <c r="L78" s="11"/>
      <c r="M78" s="26"/>
      <c r="N78" s="15"/>
      <c r="O78" s="20"/>
      <c r="P78" s="26"/>
      <c r="Q78" s="24"/>
    </row>
    <row r="79" spans="2:17" s="37" customFormat="1" ht="18" customHeight="1">
      <c r="B79" s="28"/>
      <c r="C79" s="23" t="s">
        <v>37</v>
      </c>
      <c r="D79" s="23" t="s">
        <v>37</v>
      </c>
      <c r="E79" s="12" t="s">
        <v>121</v>
      </c>
      <c r="F79" s="13">
        <v>1</v>
      </c>
      <c r="G79" s="13">
        <v>5719</v>
      </c>
      <c r="H79" s="13">
        <f t="shared" si="3"/>
        <v>5719</v>
      </c>
      <c r="I79" s="21"/>
      <c r="J79" s="11" t="s">
        <v>122</v>
      </c>
      <c r="K79" s="12"/>
      <c r="L79" s="11"/>
      <c r="M79" s="26"/>
      <c r="N79" s="15"/>
      <c r="O79" s="20"/>
      <c r="P79" s="26"/>
      <c r="Q79" s="24"/>
    </row>
    <row r="80" spans="2:17" s="37" customFormat="1" ht="18" customHeight="1">
      <c r="B80" s="28"/>
      <c r="C80" s="23" t="s">
        <v>37</v>
      </c>
      <c r="D80" s="23" t="s">
        <v>37</v>
      </c>
      <c r="E80" s="12" t="s">
        <v>123</v>
      </c>
      <c r="F80" s="13">
        <v>1</v>
      </c>
      <c r="G80" s="13">
        <v>460</v>
      </c>
      <c r="H80" s="13">
        <f t="shared" si="3"/>
        <v>460</v>
      </c>
      <c r="I80" s="21"/>
      <c r="J80" s="11" t="s">
        <v>124</v>
      </c>
      <c r="K80" s="12"/>
      <c r="L80" s="11"/>
      <c r="M80" s="26"/>
      <c r="N80" s="15"/>
      <c r="O80" s="20"/>
      <c r="P80" s="26"/>
      <c r="Q80" s="24"/>
    </row>
    <row r="81" spans="2:17" s="37" customFormat="1" ht="18" customHeight="1">
      <c r="B81" s="28"/>
      <c r="C81" s="23" t="s">
        <v>37</v>
      </c>
      <c r="D81" s="23" t="s">
        <v>37</v>
      </c>
      <c r="E81" s="12" t="s">
        <v>125</v>
      </c>
      <c r="F81" s="13">
        <v>1</v>
      </c>
      <c r="G81" s="13">
        <v>2060</v>
      </c>
      <c r="H81" s="13">
        <f t="shared" si="3"/>
        <v>2060</v>
      </c>
      <c r="I81" s="21"/>
      <c r="J81" s="11" t="s">
        <v>126</v>
      </c>
      <c r="K81" s="12"/>
      <c r="L81" s="11"/>
      <c r="M81" s="26"/>
      <c r="N81" s="15"/>
      <c r="O81" s="20"/>
      <c r="P81" s="26"/>
      <c r="Q81" s="24"/>
    </row>
    <row r="82" spans="2:17" s="37" customFormat="1" ht="18" customHeight="1">
      <c r="B82" s="28"/>
      <c r="C82" s="8" t="s">
        <v>37</v>
      </c>
      <c r="D82" s="8" t="s">
        <v>37</v>
      </c>
      <c r="E82" s="71" t="s">
        <v>127</v>
      </c>
      <c r="F82" s="72">
        <v>1</v>
      </c>
      <c r="G82" s="13">
        <v>622</v>
      </c>
      <c r="H82" s="13">
        <f t="shared" si="3"/>
        <v>622</v>
      </c>
      <c r="I82" s="13"/>
      <c r="J82" s="72" t="s">
        <v>128</v>
      </c>
      <c r="K82" s="12"/>
      <c r="L82" s="11"/>
      <c r="M82" s="26"/>
      <c r="N82" s="15"/>
      <c r="O82" s="20"/>
      <c r="P82" s="26"/>
      <c r="Q82" s="24"/>
    </row>
    <row r="83" spans="2:17" s="37" customFormat="1" ht="18" customHeight="1">
      <c r="B83" s="28"/>
      <c r="C83" s="8" t="s">
        <v>37</v>
      </c>
      <c r="D83" s="8" t="s">
        <v>37</v>
      </c>
      <c r="E83" s="72" t="s">
        <v>129</v>
      </c>
      <c r="F83" s="72">
        <v>1</v>
      </c>
      <c r="G83" s="13">
        <v>3000</v>
      </c>
      <c r="H83" s="13">
        <f t="shared" si="3"/>
        <v>3000</v>
      </c>
      <c r="I83" s="13"/>
      <c r="J83" s="72" t="s">
        <v>129</v>
      </c>
      <c r="K83" s="12"/>
      <c r="L83" s="11"/>
      <c r="M83" s="26"/>
      <c r="N83" s="15"/>
      <c r="O83" s="20"/>
      <c r="P83" s="26"/>
      <c r="Q83" s="24"/>
    </row>
    <row r="84" spans="2:17" s="37" customFormat="1" ht="18" customHeight="1">
      <c r="B84" s="28"/>
      <c r="C84" s="25"/>
      <c r="D84" s="25"/>
      <c r="E84" s="105">
        <f>SUM(H75:H83)</f>
        <v>35813</v>
      </c>
      <c r="F84" s="44"/>
      <c r="G84" s="25"/>
      <c r="I84" s="21"/>
      <c r="J84" s="36"/>
      <c r="K84" s="12"/>
      <c r="L84" s="11"/>
      <c r="M84" s="26"/>
      <c r="N84" s="15"/>
      <c r="O84" s="20"/>
      <c r="P84" s="26"/>
      <c r="Q84" s="24"/>
    </row>
    <row r="85" spans="2:17" s="37" customFormat="1" ht="18" customHeight="1">
      <c r="B85" s="28"/>
      <c r="C85" s="25"/>
      <c r="D85" s="25"/>
      <c r="E85" s="35"/>
      <c r="F85" s="44"/>
      <c r="G85" s="25"/>
      <c r="H85" s="13"/>
      <c r="I85" s="21"/>
      <c r="J85" s="36"/>
      <c r="K85" s="12"/>
      <c r="L85" s="11"/>
      <c r="M85" s="26"/>
      <c r="N85" s="15"/>
      <c r="O85" s="20"/>
      <c r="P85" s="26"/>
      <c r="Q85" s="24"/>
    </row>
    <row r="86" spans="2:17" s="37" customFormat="1" ht="18" customHeight="1">
      <c r="B86" s="28"/>
      <c r="C86" s="25"/>
      <c r="D86" s="25"/>
      <c r="E86" s="35"/>
      <c r="F86" s="44"/>
      <c r="G86" s="25"/>
      <c r="H86" s="13"/>
      <c r="I86" s="21"/>
      <c r="J86" s="36"/>
      <c r="K86" s="12"/>
      <c r="L86" s="11"/>
      <c r="M86" s="26"/>
      <c r="N86" s="15"/>
      <c r="O86" s="20"/>
      <c r="P86" s="26"/>
      <c r="Q86" s="24"/>
    </row>
    <row r="87" spans="2:17" s="37" customFormat="1" ht="18" customHeight="1">
      <c r="B87" s="28"/>
      <c r="C87" s="25"/>
      <c r="D87" s="25"/>
      <c r="E87" s="35"/>
      <c r="F87" s="44"/>
      <c r="G87" s="25"/>
      <c r="H87" s="13"/>
      <c r="I87" s="21"/>
      <c r="J87" s="36"/>
      <c r="K87" s="12"/>
      <c r="L87" s="11"/>
      <c r="M87" s="26"/>
      <c r="N87" s="15"/>
      <c r="O87" s="20"/>
      <c r="P87" s="26"/>
      <c r="Q87" s="24"/>
    </row>
    <row r="88" spans="2:17" s="37" customFormat="1" ht="18" customHeight="1">
      <c r="B88" s="28"/>
      <c r="C88" s="25"/>
      <c r="D88" s="25"/>
      <c r="E88" s="35"/>
      <c r="F88" s="44"/>
      <c r="G88" s="25"/>
      <c r="H88" s="13"/>
      <c r="I88" s="21"/>
      <c r="J88" s="36"/>
      <c r="K88" s="12"/>
      <c r="L88" s="11"/>
      <c r="M88" s="26"/>
      <c r="N88" s="15"/>
      <c r="O88" s="20"/>
      <c r="P88" s="26"/>
      <c r="Q88" s="24"/>
    </row>
    <row r="89" spans="2:17" s="37" customFormat="1" ht="18" customHeight="1">
      <c r="B89" s="28"/>
      <c r="C89" s="25"/>
      <c r="D89" s="25"/>
      <c r="E89" s="35"/>
      <c r="F89" s="44"/>
      <c r="G89" s="25"/>
      <c r="H89" s="13"/>
      <c r="I89" s="21"/>
      <c r="J89" s="36"/>
      <c r="K89" s="12"/>
      <c r="L89" s="11"/>
      <c r="M89" s="26"/>
      <c r="N89" s="15"/>
      <c r="O89" s="20"/>
      <c r="P89" s="26"/>
      <c r="Q89" s="24"/>
    </row>
    <row r="90" spans="2:17" s="37" customFormat="1" ht="18" customHeight="1">
      <c r="B90" s="28"/>
      <c r="C90" s="25"/>
      <c r="D90" s="25"/>
      <c r="E90" s="35"/>
      <c r="F90" s="44"/>
      <c r="G90" s="25"/>
      <c r="H90" s="13"/>
      <c r="I90" s="21"/>
      <c r="J90" s="36"/>
      <c r="K90" s="12"/>
      <c r="L90" s="11"/>
      <c r="M90" s="26"/>
      <c r="N90" s="15"/>
      <c r="O90" s="20"/>
      <c r="P90" s="26"/>
      <c r="Q90" s="24"/>
    </row>
    <row r="91" spans="2:17" ht="18" customHeight="1">
      <c r="B91" s="5"/>
      <c r="C91" s="8"/>
      <c r="D91" s="8"/>
      <c r="E91" s="12" t="s">
        <v>130</v>
      </c>
      <c r="F91" s="68"/>
      <c r="G91" s="13"/>
      <c r="H91" s="13">
        <f>F91*G91</f>
        <v>0</v>
      </c>
      <c r="I91" s="21"/>
      <c r="J91" s="27" t="s">
        <v>131</v>
      </c>
      <c r="K91" s="12"/>
      <c r="L91" s="11"/>
      <c r="M91" s="26"/>
      <c r="N91" s="15"/>
      <c r="O91" s="20"/>
      <c r="P91" s="26"/>
      <c r="Q91" s="24"/>
    </row>
    <row r="92" spans="2:17" ht="18" customHeight="1">
      <c r="B92" s="23"/>
      <c r="C92" s="23"/>
      <c r="D92" s="23"/>
      <c r="E92" s="12" t="s">
        <v>131</v>
      </c>
      <c r="F92" s="68"/>
      <c r="G92" s="13">
        <v>5000</v>
      </c>
      <c r="H92" s="13">
        <f>F92*G92</f>
        <v>0</v>
      </c>
      <c r="I92" s="21"/>
      <c r="J92" s="27" t="s">
        <v>132</v>
      </c>
      <c r="K92" s="12"/>
      <c r="L92" s="11"/>
      <c r="M92" s="26"/>
      <c r="N92" s="15"/>
      <c r="O92" s="20"/>
      <c r="P92" s="26"/>
      <c r="Q92" s="24"/>
    </row>
    <row r="93" spans="2:17" ht="18" customHeight="1">
      <c r="B93" s="23"/>
      <c r="C93" s="23"/>
      <c r="D93" s="23"/>
      <c r="E93" s="12" t="s">
        <v>132</v>
      </c>
      <c r="F93" s="13"/>
      <c r="G93" s="13"/>
      <c r="H93" s="13">
        <f>F93*G93</f>
        <v>0</v>
      </c>
      <c r="I93" s="21"/>
      <c r="J93" s="11"/>
      <c r="K93" s="12"/>
      <c r="L93" s="11"/>
      <c r="M93" s="26"/>
      <c r="N93" s="15"/>
      <c r="O93" s="20"/>
      <c r="P93" s="26"/>
      <c r="Q93" s="24"/>
    </row>
    <row r="94" spans="2:17" ht="18" customHeight="1">
      <c r="B94" s="23"/>
      <c r="C94" s="23"/>
      <c r="D94" s="23"/>
      <c r="E94" s="12"/>
      <c r="F94" s="13"/>
      <c r="G94" s="13"/>
      <c r="H94" s="13"/>
      <c r="I94" s="21"/>
      <c r="J94" s="11"/>
      <c r="K94" s="12"/>
      <c r="L94" s="11"/>
      <c r="M94" s="26"/>
      <c r="N94" s="15"/>
      <c r="O94" s="20"/>
      <c r="P94" s="26"/>
      <c r="Q94" s="24"/>
    </row>
    <row r="95" spans="2:17" ht="18" customHeight="1">
      <c r="B95" s="23"/>
      <c r="C95" s="23"/>
      <c r="D95" s="23"/>
      <c r="E95" s="12"/>
      <c r="F95" s="13"/>
      <c r="G95" s="13"/>
      <c r="H95" s="13"/>
      <c r="I95" s="21"/>
      <c r="J95" s="11"/>
      <c r="K95" s="12"/>
      <c r="L95" s="11"/>
      <c r="M95" s="26"/>
      <c r="N95" s="15"/>
      <c r="O95" s="20"/>
      <c r="P95" s="26"/>
      <c r="Q95" s="24"/>
    </row>
    <row r="96" spans="2:17" ht="18" customHeight="1">
      <c r="B96" s="23"/>
      <c r="C96" s="23"/>
      <c r="D96" s="23"/>
      <c r="E96" s="12"/>
      <c r="F96" s="13"/>
      <c r="G96" s="13"/>
      <c r="H96" s="13"/>
      <c r="I96" s="21"/>
      <c r="J96" s="11"/>
      <c r="K96" s="12"/>
      <c r="L96" s="11"/>
      <c r="M96" s="26"/>
      <c r="N96" s="15"/>
      <c r="O96" s="20"/>
      <c r="P96" s="26"/>
      <c r="Q96" s="24"/>
    </row>
    <row r="97" spans="2:17" ht="18" customHeight="1">
      <c r="B97" s="23"/>
      <c r="C97" s="23"/>
      <c r="D97" s="23"/>
      <c r="E97" s="12"/>
      <c r="F97" s="13"/>
      <c r="G97" s="13"/>
      <c r="H97" s="13"/>
      <c r="I97" s="21"/>
      <c r="J97" s="11"/>
      <c r="K97" s="12"/>
      <c r="L97" s="11"/>
      <c r="M97" s="26"/>
      <c r="N97" s="15"/>
      <c r="O97" s="20"/>
      <c r="P97" s="26"/>
      <c r="Q97" s="24"/>
    </row>
    <row r="98" spans="2:17" ht="18" customHeight="1">
      <c r="B98" s="23"/>
      <c r="C98" s="23"/>
      <c r="D98" s="23"/>
      <c r="E98" s="12"/>
      <c r="F98" s="13"/>
      <c r="G98" s="13"/>
      <c r="H98" s="13"/>
      <c r="I98" s="21"/>
      <c r="J98" s="11"/>
      <c r="K98" s="12"/>
      <c r="L98" s="11"/>
      <c r="M98" s="26"/>
      <c r="N98" s="15"/>
      <c r="O98" s="20"/>
      <c r="P98" s="26"/>
      <c r="Q98" s="24"/>
    </row>
    <row r="99" spans="2:17" ht="18" customHeight="1">
      <c r="B99" s="23"/>
      <c r="C99" s="23"/>
      <c r="D99" s="23"/>
      <c r="E99" s="12"/>
      <c r="F99" s="13"/>
      <c r="G99" s="13"/>
      <c r="H99" s="13"/>
      <c r="I99" s="21"/>
      <c r="J99" s="11"/>
      <c r="K99" s="12"/>
      <c r="L99" s="11"/>
      <c r="M99" s="26"/>
      <c r="N99" s="15"/>
      <c r="O99" s="20"/>
      <c r="P99" s="26"/>
      <c r="Q99" s="24"/>
    </row>
    <row r="100" spans="2:17" ht="18" customHeight="1">
      <c r="B100" s="23"/>
      <c r="C100" s="23"/>
      <c r="D100" s="23"/>
      <c r="E100" s="12"/>
      <c r="F100" s="13"/>
      <c r="G100" s="13"/>
      <c r="H100" s="13"/>
      <c r="I100" s="21"/>
      <c r="J100" s="11"/>
      <c r="K100" s="12"/>
      <c r="L100" s="11"/>
      <c r="M100" s="26"/>
      <c r="N100" s="15"/>
      <c r="O100" s="20"/>
      <c r="P100" s="26"/>
      <c r="Q100" s="24"/>
    </row>
    <row r="101" spans="2:17" ht="18" customHeight="1">
      <c r="B101" s="23"/>
      <c r="C101" s="23"/>
      <c r="D101" s="23"/>
      <c r="E101" s="12"/>
      <c r="F101" s="13"/>
      <c r="G101" s="13"/>
      <c r="H101" s="13"/>
      <c r="I101" s="21"/>
      <c r="J101" s="11"/>
      <c r="K101" s="12"/>
      <c r="L101" s="11"/>
      <c r="M101" s="26"/>
      <c r="N101" s="15"/>
      <c r="O101" s="20"/>
      <c r="P101" s="26"/>
      <c r="Q101" s="24"/>
    </row>
    <row r="102" spans="2:17" ht="18" customHeight="1">
      <c r="B102" s="23"/>
      <c r="C102" s="23"/>
      <c r="D102" s="23"/>
      <c r="E102" s="12"/>
      <c r="F102" s="13"/>
      <c r="G102" s="13"/>
      <c r="H102" s="13"/>
      <c r="I102" s="21"/>
      <c r="J102" s="11"/>
      <c r="K102" s="12"/>
      <c r="L102" s="11"/>
      <c r="M102" s="26"/>
      <c r="N102" s="15"/>
      <c r="O102" s="20"/>
      <c r="P102" s="26"/>
      <c r="Q102" s="24"/>
    </row>
    <row r="103" spans="2:17" ht="18" customHeight="1">
      <c r="B103" s="70"/>
      <c r="C103" s="8"/>
      <c r="D103" s="8"/>
      <c r="E103" s="71"/>
      <c r="F103" s="72"/>
      <c r="G103" s="13"/>
      <c r="H103" s="13"/>
      <c r="I103" s="13"/>
      <c r="J103" s="72"/>
      <c r="K103" s="73"/>
      <c r="L103" s="70"/>
      <c r="M103" s="26"/>
      <c r="N103" s="73"/>
      <c r="O103" s="74"/>
      <c r="P103" s="26"/>
      <c r="Q103" s="24"/>
    </row>
    <row r="104" spans="2:17" ht="18" customHeight="1">
      <c r="B104" s="70"/>
      <c r="C104" s="73"/>
      <c r="D104" s="73"/>
      <c r="E104" s="73"/>
      <c r="F104" s="73"/>
      <c r="G104" s="73"/>
      <c r="H104" s="73"/>
      <c r="I104" s="74"/>
      <c r="J104" s="73"/>
      <c r="K104" s="73"/>
      <c r="L104" s="70"/>
      <c r="M104" s="26"/>
      <c r="N104" s="73"/>
      <c r="O104" s="74"/>
      <c r="P104" s="76"/>
      <c r="Q104" s="75"/>
    </row>
    <row r="105" spans="2:17" ht="18" customHeight="1">
      <c r="B105" s="70"/>
      <c r="C105" s="73"/>
      <c r="D105" s="73"/>
      <c r="E105" s="73"/>
      <c r="F105" s="73"/>
      <c r="G105" s="73"/>
      <c r="H105" s="73"/>
      <c r="I105" s="74"/>
      <c r="J105" s="73"/>
      <c r="K105" s="73"/>
      <c r="L105" s="70"/>
      <c r="M105" s="70"/>
      <c r="N105" s="73"/>
      <c r="O105" s="74"/>
      <c r="P105" s="75"/>
      <c r="Q105" s="75"/>
    </row>
    <row r="106" spans="2:17" ht="18" customHeight="1"/>
    <row r="107" spans="2:17" ht="18" customHeight="1"/>
    <row r="108" spans="2:17" ht="18" customHeight="1"/>
    <row r="109" spans="2:17" ht="18" customHeight="1"/>
    <row r="110" spans="2:17" ht="18" customHeight="1"/>
    <row r="111" spans="2:17" ht="18" customHeight="1"/>
    <row r="112" spans="2:17" ht="18" customHeight="1"/>
    <row r="113" spans="2:17" ht="18" customHeight="1"/>
    <row r="114" spans="2:17" s="59" customFormat="1" ht="13.5" customHeight="1">
      <c r="B114" s="52"/>
      <c r="C114" s="53"/>
      <c r="D114" s="53"/>
      <c r="E114" s="54"/>
      <c r="F114" s="55"/>
      <c r="G114" s="55"/>
      <c r="H114" s="55"/>
      <c r="I114" s="56"/>
      <c r="J114" s="57"/>
      <c r="K114" s="54"/>
      <c r="L114" s="58"/>
      <c r="M114" s="58"/>
      <c r="O114" s="60"/>
      <c r="P114" s="61"/>
      <c r="Q114" s="61"/>
    </row>
    <row r="115" spans="2:17" ht="13.5" customHeight="1">
      <c r="B115" s="46"/>
      <c r="C115" s="47"/>
      <c r="D115" s="47"/>
      <c r="E115" s="48"/>
      <c r="F115" s="49"/>
      <c r="G115" s="49"/>
      <c r="H115" s="49"/>
      <c r="I115" s="50"/>
      <c r="J115" s="51"/>
      <c r="K115" s="48"/>
    </row>
    <row r="116" spans="2:17" ht="13.5" customHeight="1">
      <c r="B116" s="8"/>
      <c r="C116" s="8"/>
      <c r="D116" s="8"/>
      <c r="E116" s="12"/>
      <c r="F116" s="13"/>
      <c r="G116" s="13"/>
      <c r="H116" s="13"/>
      <c r="I116" s="21"/>
      <c r="J116" s="11"/>
      <c r="K116" s="12"/>
    </row>
    <row r="117" spans="2:17" ht="13.5" customHeight="1">
      <c r="B117" s="8"/>
      <c r="C117" s="8"/>
      <c r="D117" s="8"/>
      <c r="E117" s="12"/>
      <c r="F117" s="13"/>
      <c r="G117" s="13"/>
      <c r="H117" s="13"/>
      <c r="I117" s="21"/>
      <c r="J117" s="11"/>
      <c r="K117" s="12"/>
    </row>
    <row r="118" spans="2:17" ht="13.5" customHeight="1">
      <c r="B118" s="8"/>
      <c r="C118" s="8"/>
      <c r="D118" s="8"/>
      <c r="E118" s="12"/>
      <c r="F118" s="13"/>
      <c r="G118" s="13"/>
      <c r="H118" s="13"/>
      <c r="I118" s="21"/>
      <c r="J118" s="11"/>
      <c r="K118" s="12"/>
    </row>
  </sheetData>
  <autoFilter ref="B8:O118" xr:uid="{00000000-0009-0000-0000-000000000000}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4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7" sqref="D7"/>
    </sheetView>
  </sheetViews>
  <sheetFormatPr defaultColWidth="11.75" defaultRowHeight="13.5" customHeight="1"/>
  <cols>
    <col min="1" max="4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/>
  <cols>
    <col min="1" max="1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E194-41CB-4055-92C2-709922FCF77D}">
  <dimension ref="A2:R195"/>
  <sheetViews>
    <sheetView zoomScale="85" zoomScaleNormal="85" workbookViewId="0">
      <pane xSplit="11" ySplit="8" topLeftCell="L31" activePane="bottomRight" state="frozen"/>
      <selection activeCell="D26" sqref="D26"/>
      <selection pane="topRight" activeCell="D26" sqref="D26"/>
      <selection pane="bottomLeft" activeCell="D26" sqref="D26"/>
      <selection pane="bottomRight" activeCell="F48" sqref="F48"/>
    </sheetView>
  </sheetViews>
  <sheetFormatPr defaultColWidth="11.75" defaultRowHeight="13.5" customHeight="1"/>
  <cols>
    <col min="1" max="1" width="18.625" style="112" customWidth="1"/>
    <col min="2" max="2" width="3.125" style="112" customWidth="1"/>
    <col min="3" max="3" width="6.25" style="14" customWidth="1"/>
    <col min="4" max="4" width="15.25" style="112" customWidth="1"/>
    <col min="5" max="5" width="15.5" style="112" customWidth="1"/>
    <col min="6" max="6" width="71.5" style="112" customWidth="1"/>
    <col min="7" max="7" width="10.75" style="14" customWidth="1"/>
    <col min="8" max="9" width="12.125" style="14" customWidth="1"/>
    <col min="10" max="10" width="7.125" style="19" customWidth="1"/>
    <col min="11" max="11" width="38.5" style="112" customWidth="1"/>
    <col min="12" max="12" width="35.875" style="112" customWidth="1"/>
    <col min="13" max="13" width="8.125" style="14" customWidth="1"/>
    <col min="14" max="14" width="17" style="14" customWidth="1"/>
    <col min="15" max="15" width="7.875" style="112" customWidth="1"/>
    <col min="16" max="16" width="16.375" style="14" customWidth="1"/>
    <col min="17" max="17" width="17.875" style="158" customWidth="1"/>
    <col min="18" max="18" width="19.375" style="158" customWidth="1"/>
    <col min="19" max="16384" width="11.75" style="112"/>
  </cols>
  <sheetData>
    <row r="2" spans="1:18" ht="20.100000000000001" customHeight="1">
      <c r="C2" s="632" t="s">
        <v>0</v>
      </c>
      <c r="D2" s="632"/>
      <c r="E2" s="632"/>
      <c r="F2" s="108"/>
      <c r="H2" s="633" t="s">
        <v>2</v>
      </c>
      <c r="I2" s="634"/>
      <c r="J2" s="635"/>
      <c r="K2" s="18">
        <f>SUM(I:I)</f>
        <v>295993</v>
      </c>
    </row>
    <row r="3" spans="1:18" ht="20.100000000000001" customHeight="1">
      <c r="C3" s="632" t="s">
        <v>3</v>
      </c>
      <c r="D3" s="632"/>
      <c r="E3" s="632"/>
      <c r="F3" s="16" t="s">
        <v>310</v>
      </c>
    </row>
    <row r="4" spans="1:18" ht="20.100000000000001" customHeight="1">
      <c r="C4" s="632" t="s">
        <v>5</v>
      </c>
      <c r="D4" s="632"/>
      <c r="E4" s="632"/>
      <c r="F4" s="16" t="s">
        <v>354</v>
      </c>
      <c r="H4" s="636" t="s">
        <v>374</v>
      </c>
      <c r="I4" s="636"/>
      <c r="J4" s="636"/>
      <c r="K4" s="636"/>
      <c r="L4" s="300"/>
    </row>
    <row r="5" spans="1:18" ht="20.100000000000001" customHeight="1">
      <c r="C5" s="632" t="s">
        <v>6</v>
      </c>
      <c r="D5" s="632"/>
      <c r="E5" s="632"/>
      <c r="F5" s="17">
        <v>44545</v>
      </c>
      <c r="H5" s="636"/>
      <c r="I5" s="636"/>
      <c r="J5" s="636"/>
      <c r="K5" s="636"/>
    </row>
    <row r="6" spans="1:18" ht="20.100000000000001" customHeight="1">
      <c r="C6" s="632" t="s">
        <v>7</v>
      </c>
      <c r="D6" s="632"/>
      <c r="E6" s="632"/>
      <c r="F6" s="17">
        <v>44545</v>
      </c>
      <c r="H6" s="371"/>
      <c r="I6" s="311"/>
    </row>
    <row r="8" spans="1:18" s="14" customFormat="1" ht="19.5" customHeight="1">
      <c r="C8" s="8" t="s">
        <v>8</v>
      </c>
      <c r="D8" s="8" t="s">
        <v>9</v>
      </c>
      <c r="E8" s="8" t="s">
        <v>10</v>
      </c>
      <c r="F8" s="70" t="s">
        <v>11</v>
      </c>
      <c r="G8" s="70" t="s">
        <v>12</v>
      </c>
      <c r="H8" s="70" t="s">
        <v>13</v>
      </c>
      <c r="I8" s="6" t="s">
        <v>14</v>
      </c>
      <c r="J8" s="6" t="s">
        <v>15</v>
      </c>
      <c r="K8" s="70" t="s">
        <v>16</v>
      </c>
      <c r="L8" s="70" t="s">
        <v>17</v>
      </c>
      <c r="M8" s="70" t="s">
        <v>18</v>
      </c>
      <c r="N8" s="76" t="s">
        <v>19</v>
      </c>
      <c r="O8" s="8" t="s">
        <v>20</v>
      </c>
      <c r="P8" s="70" t="s">
        <v>21</v>
      </c>
      <c r="Q8" s="76" t="s">
        <v>22</v>
      </c>
      <c r="R8" s="15" t="s">
        <v>23</v>
      </c>
    </row>
    <row r="9" spans="1:18" s="14" customFormat="1" ht="19.5" customHeight="1">
      <c r="C9" s="8"/>
      <c r="D9" s="8"/>
      <c r="E9" s="8"/>
      <c r="F9" s="71"/>
      <c r="G9" s="68"/>
      <c r="H9" s="68"/>
      <c r="I9" s="68"/>
      <c r="J9" s="21"/>
      <c r="K9" s="69"/>
      <c r="L9" s="70"/>
      <c r="M9" s="70"/>
      <c r="N9" s="76"/>
      <c r="O9" s="8"/>
      <c r="P9" s="70"/>
      <c r="Q9" s="76"/>
      <c r="R9" s="15"/>
    </row>
    <row r="10" spans="1:18" ht="18" customHeight="1">
      <c r="C10" s="640" t="s">
        <v>24</v>
      </c>
      <c r="D10" s="641"/>
      <c r="E10" s="641"/>
      <c r="F10" s="642"/>
      <c r="G10" s="111"/>
      <c r="H10" s="111"/>
      <c r="I10" s="68"/>
      <c r="J10" s="21"/>
      <c r="K10" s="45"/>
      <c r="L10" s="71"/>
      <c r="M10" s="11"/>
      <c r="N10" s="76"/>
      <c r="O10" s="15"/>
      <c r="P10" s="15"/>
      <c r="Q10" s="76"/>
      <c r="R10" s="24"/>
    </row>
    <row r="11" spans="1:18" s="216" customFormat="1" ht="18" customHeight="1">
      <c r="A11" s="450"/>
      <c r="C11" s="451">
        <v>1</v>
      </c>
      <c r="D11" s="164" t="s">
        <v>375</v>
      </c>
      <c r="E11" s="164" t="s">
        <v>375</v>
      </c>
      <c r="F11" s="458" t="s">
        <v>376</v>
      </c>
      <c r="G11" s="169">
        <v>1</v>
      </c>
      <c r="H11" s="170">
        <v>11200</v>
      </c>
      <c r="I11" s="170">
        <f t="shared" ref="I11:I42" si="0">G11*H11</f>
        <v>11200</v>
      </c>
      <c r="J11" s="179"/>
      <c r="K11" s="180" t="s">
        <v>377</v>
      </c>
      <c r="L11" s="459"/>
      <c r="M11" s="356"/>
      <c r="N11" s="453"/>
      <c r="O11" s="452"/>
      <c r="P11" s="453"/>
      <c r="Q11" s="453"/>
      <c r="R11" s="454"/>
    </row>
    <row r="12" spans="1:18" s="216" customFormat="1" ht="18" customHeight="1">
      <c r="A12" s="450"/>
      <c r="C12" s="451">
        <f>C11+1</f>
        <v>2</v>
      </c>
      <c r="D12" s="164" t="s">
        <v>375</v>
      </c>
      <c r="E12" s="164" t="s">
        <v>375</v>
      </c>
      <c r="F12" s="458" t="s">
        <v>378</v>
      </c>
      <c r="G12" s="169">
        <v>1</v>
      </c>
      <c r="H12" s="170">
        <v>6000</v>
      </c>
      <c r="I12" s="170">
        <f t="shared" si="0"/>
        <v>6000</v>
      </c>
      <c r="J12" s="179"/>
      <c r="K12" s="180" t="s">
        <v>379</v>
      </c>
      <c r="L12" s="459"/>
      <c r="M12" s="356"/>
      <c r="N12" s="453"/>
      <c r="O12" s="452"/>
      <c r="P12" s="453"/>
      <c r="Q12" s="453"/>
      <c r="R12" s="454"/>
    </row>
    <row r="13" spans="1:18" s="216" customFormat="1" ht="18" customHeight="1">
      <c r="A13" s="450"/>
      <c r="C13" s="451">
        <f t="shared" ref="C13:C16" si="1">C12+1</f>
        <v>3</v>
      </c>
      <c r="D13" s="164" t="s">
        <v>375</v>
      </c>
      <c r="E13" s="164" t="s">
        <v>375</v>
      </c>
      <c r="F13" s="458" t="s">
        <v>380</v>
      </c>
      <c r="G13" s="169">
        <v>1</v>
      </c>
      <c r="H13" s="170">
        <v>7100</v>
      </c>
      <c r="I13" s="170">
        <f>G13*H13</f>
        <v>7100</v>
      </c>
      <c r="J13" s="179"/>
      <c r="K13" s="180" t="s">
        <v>381</v>
      </c>
      <c r="L13" s="459"/>
      <c r="M13" s="356"/>
      <c r="N13" s="453"/>
      <c r="O13" s="452"/>
      <c r="P13" s="453"/>
      <c r="Q13" s="453"/>
      <c r="R13" s="454"/>
    </row>
    <row r="14" spans="1:18" s="216" customFormat="1" ht="18" customHeight="1">
      <c r="A14" s="450"/>
      <c r="C14" s="451">
        <f t="shared" si="1"/>
        <v>4</v>
      </c>
      <c r="D14" s="164" t="s">
        <v>375</v>
      </c>
      <c r="E14" s="164" t="s">
        <v>375</v>
      </c>
      <c r="F14" s="458" t="s">
        <v>382</v>
      </c>
      <c r="G14" s="169">
        <v>1</v>
      </c>
      <c r="H14" s="170">
        <v>3900</v>
      </c>
      <c r="I14" s="170">
        <f>G14*H14</f>
        <v>3900</v>
      </c>
      <c r="J14" s="179"/>
      <c r="K14" s="180" t="s">
        <v>383</v>
      </c>
      <c r="L14" s="459"/>
      <c r="M14" s="356"/>
      <c r="N14" s="453"/>
      <c r="O14" s="452"/>
      <c r="P14" s="453"/>
      <c r="Q14" s="453"/>
      <c r="R14" s="454"/>
    </row>
    <row r="15" spans="1:18" s="216" customFormat="1" ht="18" customHeight="1">
      <c r="A15" s="450"/>
      <c r="C15" s="451">
        <f t="shared" si="1"/>
        <v>5</v>
      </c>
      <c r="D15" s="164" t="s">
        <v>375</v>
      </c>
      <c r="E15" s="164" t="s">
        <v>375</v>
      </c>
      <c r="F15" s="458" t="s">
        <v>384</v>
      </c>
      <c r="G15" s="169">
        <v>1</v>
      </c>
      <c r="H15" s="170">
        <v>8200</v>
      </c>
      <c r="I15" s="170">
        <f t="shared" si="0"/>
        <v>8200</v>
      </c>
      <c r="J15" s="179"/>
      <c r="K15" s="180" t="s">
        <v>385</v>
      </c>
      <c r="L15" s="459"/>
      <c r="M15" s="356"/>
      <c r="N15" s="453"/>
      <c r="O15" s="452"/>
      <c r="P15" s="453"/>
      <c r="Q15" s="453"/>
      <c r="R15" s="454"/>
    </row>
    <row r="16" spans="1:18" s="216" customFormat="1" ht="18" customHeight="1">
      <c r="A16" s="450"/>
      <c r="C16" s="451">
        <f t="shared" si="1"/>
        <v>6</v>
      </c>
      <c r="D16" s="164"/>
      <c r="E16" s="164"/>
      <c r="F16" s="463" t="s">
        <v>421</v>
      </c>
      <c r="G16" s="169">
        <v>1</v>
      </c>
      <c r="H16" s="170">
        <v>30000</v>
      </c>
      <c r="I16" s="170">
        <f t="shared" si="0"/>
        <v>30000</v>
      </c>
      <c r="J16" s="179"/>
      <c r="K16" s="180"/>
      <c r="L16" s="459"/>
      <c r="M16" s="356"/>
      <c r="N16" s="453"/>
      <c r="O16" s="452"/>
      <c r="P16" s="453"/>
      <c r="Q16" s="453"/>
      <c r="R16" s="454"/>
    </row>
    <row r="17" spans="1:18" s="216" customFormat="1" ht="18" customHeight="1">
      <c r="A17" s="450"/>
      <c r="C17" s="451"/>
      <c r="D17" s="164"/>
      <c r="E17" s="164"/>
      <c r="F17" s="463"/>
      <c r="G17" s="169"/>
      <c r="H17" s="170"/>
      <c r="I17" s="170"/>
      <c r="J17" s="179"/>
      <c r="K17" s="180"/>
      <c r="L17" s="459"/>
      <c r="M17" s="356"/>
      <c r="N17" s="453"/>
      <c r="O17" s="452"/>
      <c r="P17" s="453"/>
      <c r="Q17" s="453"/>
      <c r="R17" s="454"/>
    </row>
    <row r="18" spans="1:18" s="216" customFormat="1" ht="18" customHeight="1">
      <c r="A18" s="450"/>
      <c r="C18" s="451"/>
      <c r="D18" s="164"/>
      <c r="E18" s="164"/>
      <c r="F18" s="463"/>
      <c r="G18" s="169"/>
      <c r="H18" s="170"/>
      <c r="I18" s="170"/>
      <c r="J18" s="179"/>
      <c r="K18" s="180"/>
      <c r="L18" s="459"/>
      <c r="M18" s="356"/>
      <c r="N18" s="453"/>
      <c r="O18" s="452"/>
      <c r="P18" s="453"/>
      <c r="Q18" s="453"/>
      <c r="R18" s="454"/>
    </row>
    <row r="19" spans="1:18" s="216" customFormat="1" ht="18" customHeight="1">
      <c r="A19" s="162" t="s">
        <v>495</v>
      </c>
      <c r="B19" s="162">
        <v>7</v>
      </c>
      <c r="C19" s="543"/>
      <c r="D19" s="544" t="s">
        <v>496</v>
      </c>
      <c r="E19" s="544" t="s">
        <v>496</v>
      </c>
      <c r="F19" s="545" t="s">
        <v>497</v>
      </c>
      <c r="G19" s="517">
        <v>1</v>
      </c>
      <c r="H19" s="546">
        <v>6400</v>
      </c>
      <c r="I19" s="547">
        <f t="shared" ref="I19:I20" si="2">G19*H19</f>
        <v>6400</v>
      </c>
      <c r="J19" s="165"/>
      <c r="K19" s="163" t="s">
        <v>498</v>
      </c>
      <c r="L19" s="459"/>
      <c r="M19" s="356"/>
      <c r="N19" s="453"/>
      <c r="O19" s="452"/>
      <c r="P19" s="453"/>
      <c r="Q19" s="453"/>
      <c r="R19" s="454"/>
    </row>
    <row r="20" spans="1:18" s="216" customFormat="1" ht="18" customHeight="1">
      <c r="A20" s="450" t="s">
        <v>364</v>
      </c>
      <c r="C20" s="451"/>
      <c r="D20" s="164" t="s">
        <v>470</v>
      </c>
      <c r="E20" s="164" t="s">
        <v>145</v>
      </c>
      <c r="F20" s="463" t="s">
        <v>500</v>
      </c>
      <c r="G20" s="169">
        <v>1</v>
      </c>
      <c r="H20" s="170">
        <v>8216</v>
      </c>
      <c r="I20" s="547">
        <f t="shared" si="2"/>
        <v>8216</v>
      </c>
      <c r="J20" s="179"/>
      <c r="K20" s="163" t="s">
        <v>498</v>
      </c>
      <c r="L20" s="459"/>
      <c r="M20" s="356"/>
      <c r="N20" s="453"/>
      <c r="O20" s="452"/>
      <c r="P20" s="453"/>
      <c r="Q20" s="453"/>
      <c r="R20" s="454"/>
    </row>
    <row r="21" spans="1:18" s="216" customFormat="1" ht="18" customHeight="1">
      <c r="A21" s="450"/>
      <c r="C21" s="451"/>
      <c r="D21" s="164"/>
      <c r="E21" s="164"/>
      <c r="F21" s="463"/>
      <c r="G21" s="169"/>
      <c r="H21" s="170"/>
      <c r="I21" s="170"/>
      <c r="J21" s="179"/>
      <c r="K21" s="180"/>
      <c r="L21" s="459"/>
      <c r="M21" s="356"/>
      <c r="N21" s="453"/>
      <c r="O21" s="452"/>
      <c r="P21" s="453"/>
      <c r="Q21" s="453"/>
      <c r="R21" s="454"/>
    </row>
    <row r="22" spans="1:18" s="216" customFormat="1" ht="18" customHeight="1">
      <c r="A22" s="450"/>
      <c r="C22" s="451"/>
      <c r="D22" s="164"/>
      <c r="E22" s="164"/>
      <c r="F22" s="463"/>
      <c r="G22" s="169"/>
      <c r="H22" s="170"/>
      <c r="I22" s="170"/>
      <c r="J22" s="179"/>
      <c r="K22" s="180"/>
      <c r="L22" s="459"/>
      <c r="M22" s="356"/>
      <c r="N22" s="453"/>
      <c r="O22" s="452"/>
      <c r="P22" s="453"/>
      <c r="Q22" s="453"/>
      <c r="R22" s="454"/>
    </row>
    <row r="23" spans="1:18" s="216" customFormat="1" ht="18" customHeight="1">
      <c r="A23" s="450"/>
      <c r="C23" s="451"/>
      <c r="D23" s="164"/>
      <c r="E23" s="164"/>
      <c r="F23" s="463" t="s">
        <v>499</v>
      </c>
      <c r="G23" s="169"/>
      <c r="H23" s="170"/>
      <c r="I23" s="170"/>
      <c r="J23" s="179"/>
      <c r="K23" s="180"/>
      <c r="L23" s="459"/>
      <c r="M23" s="356"/>
      <c r="N23" s="453"/>
      <c r="O23" s="452"/>
      <c r="P23" s="453"/>
      <c r="Q23" s="453"/>
      <c r="R23" s="454"/>
    </row>
    <row r="24" spans="1:18" s="216" customFormat="1" ht="18" customHeight="1">
      <c r="A24" s="450"/>
      <c r="C24" s="451"/>
      <c r="D24" s="164"/>
      <c r="E24" s="164"/>
      <c r="F24" s="458"/>
      <c r="G24" s="169"/>
      <c r="H24" s="170"/>
      <c r="I24" s="170"/>
      <c r="J24" s="179"/>
      <c r="K24" s="180"/>
      <c r="L24" s="459"/>
      <c r="M24" s="356"/>
      <c r="N24" s="453"/>
      <c r="O24" s="452"/>
      <c r="P24" s="453"/>
      <c r="Q24" s="453"/>
      <c r="R24" s="454"/>
    </row>
    <row r="25" spans="1:18" s="216" customFormat="1" ht="18" customHeight="1">
      <c r="A25" s="450"/>
      <c r="C25" s="451">
        <f>C16+1</f>
        <v>7</v>
      </c>
      <c r="D25" s="164" t="s">
        <v>145</v>
      </c>
      <c r="E25" s="164" t="s">
        <v>145</v>
      </c>
      <c r="F25" s="566" t="s">
        <v>386</v>
      </c>
      <c r="G25" s="169">
        <v>2</v>
      </c>
      <c r="H25" s="170">
        <v>1260</v>
      </c>
      <c r="I25" s="170">
        <f t="shared" si="0"/>
        <v>2520</v>
      </c>
      <c r="J25" s="179"/>
      <c r="K25" s="180" t="s">
        <v>387</v>
      </c>
      <c r="L25" s="459"/>
      <c r="M25" s="356"/>
      <c r="N25" s="453"/>
      <c r="O25" s="452"/>
      <c r="P25" s="453"/>
      <c r="Q25" s="453"/>
      <c r="R25" s="454"/>
    </row>
    <row r="26" spans="1:18" s="216" customFormat="1" ht="18" customHeight="1">
      <c r="A26" s="450"/>
      <c r="C26" s="451">
        <f>C25+1</f>
        <v>8</v>
      </c>
      <c r="D26" s="164" t="s">
        <v>145</v>
      </c>
      <c r="E26" s="164" t="s">
        <v>145</v>
      </c>
      <c r="F26" s="463" t="s">
        <v>388</v>
      </c>
      <c r="G26" s="169">
        <v>2</v>
      </c>
      <c r="H26" s="170">
        <v>95</v>
      </c>
      <c r="I26" s="170">
        <f t="shared" si="0"/>
        <v>190</v>
      </c>
      <c r="J26" s="179"/>
      <c r="K26" s="180" t="s">
        <v>389</v>
      </c>
      <c r="L26" s="180" t="s">
        <v>390</v>
      </c>
      <c r="M26" s="356"/>
      <c r="N26" s="453"/>
      <c r="O26" s="452"/>
      <c r="P26" s="356"/>
      <c r="Q26" s="453"/>
      <c r="R26" s="454"/>
    </row>
    <row r="27" spans="1:18" s="216" customFormat="1" ht="18" customHeight="1">
      <c r="A27" s="450"/>
      <c r="C27" s="451">
        <f t="shared" ref="C27:C31" si="3">C26+1</f>
        <v>9</v>
      </c>
      <c r="D27" s="164" t="s">
        <v>145</v>
      </c>
      <c r="E27" s="164" t="s">
        <v>145</v>
      </c>
      <c r="F27" s="463" t="s">
        <v>494</v>
      </c>
      <c r="G27" s="169">
        <v>2</v>
      </c>
      <c r="H27" s="170">
        <v>1520</v>
      </c>
      <c r="I27" s="170">
        <f t="shared" si="0"/>
        <v>3040</v>
      </c>
      <c r="J27" s="179"/>
      <c r="K27" s="180" t="s">
        <v>392</v>
      </c>
      <c r="L27" s="459"/>
      <c r="M27" s="356"/>
      <c r="N27" s="453"/>
      <c r="O27" s="452"/>
      <c r="P27" s="356"/>
      <c r="Q27" s="453"/>
      <c r="R27" s="454"/>
    </row>
    <row r="28" spans="1:18" s="216" customFormat="1" ht="18" customHeight="1">
      <c r="A28" s="450"/>
      <c r="C28" s="451">
        <f t="shared" si="3"/>
        <v>10</v>
      </c>
      <c r="D28" s="164" t="s">
        <v>145</v>
      </c>
      <c r="E28" s="164" t="s">
        <v>145</v>
      </c>
      <c r="F28" s="463" t="s">
        <v>393</v>
      </c>
      <c r="G28" s="169">
        <v>1</v>
      </c>
      <c r="H28" s="170">
        <v>470</v>
      </c>
      <c r="I28" s="170">
        <f t="shared" si="0"/>
        <v>470</v>
      </c>
      <c r="J28" s="179"/>
      <c r="K28" s="180" t="s">
        <v>394</v>
      </c>
      <c r="L28" s="459"/>
      <c r="M28" s="356"/>
      <c r="N28" s="453"/>
      <c r="O28" s="452"/>
      <c r="P28" s="356"/>
      <c r="Q28" s="453"/>
      <c r="R28" s="454"/>
    </row>
    <row r="29" spans="1:18" s="216" customFormat="1" ht="18" customHeight="1">
      <c r="A29" s="450"/>
      <c r="C29" s="451">
        <f t="shared" si="3"/>
        <v>11</v>
      </c>
      <c r="D29" s="164" t="s">
        <v>145</v>
      </c>
      <c r="E29" s="164" t="s">
        <v>145</v>
      </c>
      <c r="F29" s="463" t="s">
        <v>395</v>
      </c>
      <c r="G29" s="169">
        <v>1</v>
      </c>
      <c r="H29" s="170">
        <v>2880</v>
      </c>
      <c r="I29" s="170">
        <f t="shared" si="0"/>
        <v>2880</v>
      </c>
      <c r="J29" s="179"/>
      <c r="K29" s="180" t="s">
        <v>396</v>
      </c>
      <c r="L29" s="459"/>
      <c r="M29" s="356"/>
      <c r="N29" s="453"/>
      <c r="O29" s="452"/>
      <c r="P29" s="356"/>
      <c r="Q29" s="453"/>
      <c r="R29" s="454"/>
    </row>
    <row r="30" spans="1:18" s="216" customFormat="1" ht="18" customHeight="1">
      <c r="A30" s="450"/>
      <c r="C30" s="451">
        <f t="shared" si="3"/>
        <v>12</v>
      </c>
      <c r="D30" s="164" t="s">
        <v>145</v>
      </c>
      <c r="E30" s="164" t="s">
        <v>145</v>
      </c>
      <c r="F30" s="463" t="s">
        <v>397</v>
      </c>
      <c r="G30" s="169">
        <v>1</v>
      </c>
      <c r="H30" s="170">
        <v>2510</v>
      </c>
      <c r="I30" s="170">
        <f t="shared" si="0"/>
        <v>2510</v>
      </c>
      <c r="J30" s="179"/>
      <c r="K30" s="180" t="s">
        <v>396</v>
      </c>
      <c r="L30" s="459"/>
      <c r="M30" s="356"/>
      <c r="N30" s="453"/>
      <c r="O30" s="452"/>
      <c r="P30" s="356"/>
      <c r="Q30" s="453"/>
      <c r="R30" s="454"/>
    </row>
    <row r="31" spans="1:18" s="216" customFormat="1" ht="18" customHeight="1">
      <c r="A31" s="450" t="s">
        <v>465</v>
      </c>
      <c r="C31" s="451">
        <f t="shared" si="3"/>
        <v>13</v>
      </c>
      <c r="D31" s="164" t="s">
        <v>398</v>
      </c>
      <c r="E31" s="164" t="s">
        <v>399</v>
      </c>
      <c r="F31" s="463" t="s">
        <v>400</v>
      </c>
      <c r="G31" s="169">
        <v>1</v>
      </c>
      <c r="H31" s="170">
        <v>32760</v>
      </c>
      <c r="I31" s="170">
        <f t="shared" si="0"/>
        <v>32760</v>
      </c>
      <c r="J31" s="179"/>
      <c r="K31" s="180" t="s">
        <v>401</v>
      </c>
      <c r="L31" s="459"/>
      <c r="M31" s="356"/>
      <c r="N31" s="453"/>
      <c r="O31" s="452"/>
      <c r="P31" s="356"/>
      <c r="Q31" s="453"/>
      <c r="R31" s="454"/>
    </row>
    <row r="32" spans="1:18" s="216" customFormat="1" ht="18" customHeight="1">
      <c r="A32" s="450"/>
      <c r="C32" s="361"/>
      <c r="D32" s="164"/>
      <c r="E32" s="164"/>
      <c r="F32" s="458"/>
      <c r="G32" s="169"/>
      <c r="H32" s="170"/>
      <c r="I32" s="170">
        <f t="shared" si="0"/>
        <v>0</v>
      </c>
      <c r="J32" s="179"/>
      <c r="K32" s="180"/>
      <c r="L32" s="459"/>
      <c r="M32" s="455"/>
      <c r="N32" s="453"/>
      <c r="O32" s="456"/>
      <c r="P32" s="453"/>
      <c r="Q32" s="453"/>
      <c r="R32" s="454"/>
    </row>
    <row r="33" spans="1:18" s="216" customFormat="1" ht="18" customHeight="1">
      <c r="A33" s="450"/>
      <c r="C33" s="451">
        <f>C30+1</f>
        <v>13</v>
      </c>
      <c r="D33" s="164" t="s">
        <v>375</v>
      </c>
      <c r="E33" s="164" t="s">
        <v>375</v>
      </c>
      <c r="F33" s="458" t="s">
        <v>410</v>
      </c>
      <c r="G33" s="169">
        <v>1</v>
      </c>
      <c r="H33" s="170">
        <v>6600</v>
      </c>
      <c r="I33" s="170">
        <f>G33*H33</f>
        <v>6600</v>
      </c>
      <c r="J33" s="179"/>
      <c r="K33" s="180" t="s">
        <v>411</v>
      </c>
      <c r="L33" s="459"/>
      <c r="M33" s="455"/>
      <c r="N33" s="453"/>
      <c r="O33" s="456"/>
      <c r="P33" s="457"/>
      <c r="Q33" s="453"/>
      <c r="R33" s="454"/>
    </row>
    <row r="34" spans="1:18" s="216" customFormat="1" ht="18" customHeight="1">
      <c r="A34" s="450"/>
      <c r="C34" s="451">
        <f>C33+1</f>
        <v>14</v>
      </c>
      <c r="D34" s="164" t="s">
        <v>398</v>
      </c>
      <c r="E34" s="164" t="s">
        <v>399</v>
      </c>
      <c r="F34" s="461" t="s">
        <v>412</v>
      </c>
      <c r="G34" s="169">
        <v>1</v>
      </c>
      <c r="H34" s="170">
        <v>3080</v>
      </c>
      <c r="I34" s="170">
        <f t="shared" ref="I34:I40" si="4">G34*H34</f>
        <v>3080</v>
      </c>
      <c r="J34" s="179"/>
      <c r="K34" s="180" t="s">
        <v>413</v>
      </c>
      <c r="L34" s="459"/>
      <c r="M34" s="455"/>
      <c r="N34" s="453"/>
      <c r="O34" s="456"/>
      <c r="P34" s="457"/>
      <c r="Q34" s="453"/>
      <c r="R34" s="454"/>
    </row>
    <row r="35" spans="1:18" s="216" customFormat="1" ht="18" customHeight="1">
      <c r="A35" s="450" t="s">
        <v>466</v>
      </c>
      <c r="C35" s="451">
        <f t="shared" ref="C35:C40" si="5">C34+1</f>
        <v>15</v>
      </c>
      <c r="D35" s="164" t="s">
        <v>398</v>
      </c>
      <c r="E35" s="164" t="s">
        <v>399</v>
      </c>
      <c r="F35" s="463" t="s">
        <v>414</v>
      </c>
      <c r="G35" s="169">
        <v>1</v>
      </c>
      <c r="H35" s="170">
        <v>6820</v>
      </c>
      <c r="I35" s="170">
        <f t="shared" si="4"/>
        <v>6820</v>
      </c>
      <c r="J35" s="179"/>
      <c r="K35" s="180" t="s">
        <v>415</v>
      </c>
      <c r="L35" s="459"/>
      <c r="M35" s="455"/>
      <c r="N35" s="453"/>
      <c r="O35" s="456"/>
      <c r="P35" s="457"/>
      <c r="Q35" s="453"/>
      <c r="R35" s="454"/>
    </row>
    <row r="36" spans="1:18" s="216" customFormat="1" ht="18" customHeight="1">
      <c r="A36" s="450" t="s">
        <v>465</v>
      </c>
      <c r="C36" s="451">
        <f t="shared" si="5"/>
        <v>16</v>
      </c>
      <c r="D36" s="164" t="s">
        <v>398</v>
      </c>
      <c r="E36" s="164" t="s">
        <v>399</v>
      </c>
      <c r="F36" s="463" t="s">
        <v>416</v>
      </c>
      <c r="G36" s="169">
        <v>2</v>
      </c>
      <c r="H36" s="170">
        <v>230</v>
      </c>
      <c r="I36" s="170">
        <f t="shared" si="4"/>
        <v>460</v>
      </c>
      <c r="J36" s="179"/>
      <c r="K36" s="180" t="s">
        <v>417</v>
      </c>
      <c r="L36" s="459"/>
      <c r="M36" s="455"/>
      <c r="N36" s="453"/>
      <c r="O36" s="456"/>
      <c r="P36" s="457"/>
      <c r="Q36" s="453"/>
      <c r="R36" s="454"/>
    </row>
    <row r="37" spans="1:18" s="216" customFormat="1" ht="18" customHeight="1">
      <c r="A37" s="450" t="s">
        <v>467</v>
      </c>
      <c r="C37" s="451">
        <f t="shared" si="5"/>
        <v>17</v>
      </c>
      <c r="D37" s="164" t="s">
        <v>398</v>
      </c>
      <c r="E37" s="164" t="s">
        <v>399</v>
      </c>
      <c r="F37" s="463" t="s">
        <v>418</v>
      </c>
      <c r="G37" s="162">
        <v>2</v>
      </c>
      <c r="H37" s="462">
        <v>600</v>
      </c>
      <c r="I37" s="460">
        <f t="shared" si="4"/>
        <v>1200</v>
      </c>
      <c r="J37" s="165"/>
      <c r="K37" s="180" t="s">
        <v>419</v>
      </c>
      <c r="L37" s="459"/>
      <c r="M37" s="455"/>
      <c r="N37" s="453"/>
      <c r="O37" s="456"/>
      <c r="P37" s="457"/>
      <c r="Q37" s="453"/>
      <c r="R37" s="454"/>
    </row>
    <row r="38" spans="1:18" s="216" customFormat="1" ht="18" customHeight="1">
      <c r="A38" s="450"/>
      <c r="C38" s="451">
        <f t="shared" si="5"/>
        <v>18</v>
      </c>
      <c r="D38" s="164" t="s">
        <v>145</v>
      </c>
      <c r="E38" s="164" t="s">
        <v>145</v>
      </c>
      <c r="F38" s="463" t="s">
        <v>189</v>
      </c>
      <c r="G38" s="162">
        <v>2</v>
      </c>
      <c r="H38" s="462">
        <v>230</v>
      </c>
      <c r="I38" s="460">
        <f t="shared" si="4"/>
        <v>460</v>
      </c>
      <c r="J38" s="179"/>
      <c r="K38" s="180"/>
      <c r="L38" s="459"/>
      <c r="M38" s="455"/>
      <c r="N38" s="453"/>
      <c r="O38" s="456"/>
      <c r="P38" s="457"/>
      <c r="Q38" s="453"/>
      <c r="R38" s="454"/>
    </row>
    <row r="39" spans="1:18" s="216" customFormat="1" ht="18" customHeight="1">
      <c r="A39" s="450"/>
      <c r="C39" s="451">
        <f t="shared" si="5"/>
        <v>19</v>
      </c>
      <c r="D39" s="164" t="s">
        <v>145</v>
      </c>
      <c r="E39" s="164" t="s">
        <v>145</v>
      </c>
      <c r="F39" s="463" t="s">
        <v>188</v>
      </c>
      <c r="G39" s="162">
        <v>3</v>
      </c>
      <c r="H39" s="462">
        <v>230</v>
      </c>
      <c r="I39" s="460">
        <f t="shared" si="4"/>
        <v>690</v>
      </c>
      <c r="J39" s="179"/>
      <c r="K39" s="180"/>
      <c r="L39" s="459"/>
      <c r="M39" s="455"/>
      <c r="N39" s="453"/>
      <c r="O39" s="456"/>
      <c r="P39" s="457"/>
      <c r="Q39" s="453"/>
      <c r="R39" s="454"/>
    </row>
    <row r="40" spans="1:18" s="216" customFormat="1" ht="18" customHeight="1">
      <c r="A40" s="450"/>
      <c r="C40" s="451">
        <f t="shared" si="5"/>
        <v>20</v>
      </c>
      <c r="D40" s="164" t="s">
        <v>145</v>
      </c>
      <c r="E40" s="164" t="s">
        <v>145</v>
      </c>
      <c r="F40" s="463" t="s">
        <v>420</v>
      </c>
      <c r="G40" s="169">
        <v>1</v>
      </c>
      <c r="H40" s="170">
        <v>70</v>
      </c>
      <c r="I40" s="460">
        <f t="shared" si="4"/>
        <v>70</v>
      </c>
      <c r="J40" s="179"/>
      <c r="K40" s="180"/>
      <c r="L40" s="459"/>
      <c r="M40" s="455"/>
      <c r="N40" s="453"/>
      <c r="O40" s="456"/>
      <c r="P40" s="457"/>
      <c r="Q40" s="453"/>
      <c r="R40" s="454"/>
    </row>
    <row r="41" spans="1:18" s="216" customFormat="1" ht="18" customHeight="1">
      <c r="A41" s="450"/>
      <c r="C41" s="361"/>
      <c r="D41" s="164"/>
      <c r="E41" s="164"/>
      <c r="F41" s="458"/>
      <c r="G41" s="169"/>
      <c r="H41" s="170"/>
      <c r="I41" s="460"/>
      <c r="J41" s="179"/>
      <c r="K41" s="180"/>
      <c r="L41" s="459"/>
      <c r="M41" s="455"/>
      <c r="N41" s="453"/>
      <c r="O41" s="456"/>
      <c r="P41" s="457"/>
      <c r="Q41" s="453"/>
      <c r="R41" s="454"/>
    </row>
    <row r="42" spans="1:18" s="216" customFormat="1" ht="18" customHeight="1">
      <c r="A42" s="450"/>
      <c r="C42" s="451">
        <f>C40+1</f>
        <v>21</v>
      </c>
      <c r="D42" s="164" t="s">
        <v>375</v>
      </c>
      <c r="E42" s="164" t="s">
        <v>375</v>
      </c>
      <c r="F42" s="458" t="s">
        <v>402</v>
      </c>
      <c r="G42" s="169">
        <v>1</v>
      </c>
      <c r="H42" s="170">
        <v>2400</v>
      </c>
      <c r="I42" s="170">
        <f t="shared" si="0"/>
        <v>2400</v>
      </c>
      <c r="J42" s="179"/>
      <c r="K42" s="458" t="s">
        <v>403</v>
      </c>
      <c r="L42" s="459"/>
      <c r="M42" s="224"/>
      <c r="N42" s="453"/>
      <c r="O42" s="226"/>
      <c r="P42" s="226"/>
      <c r="Q42" s="453"/>
      <c r="R42" s="454"/>
    </row>
    <row r="43" spans="1:18" ht="18" customHeight="1">
      <c r="C43" s="111"/>
      <c r="D43" s="154"/>
      <c r="E43" s="154"/>
      <c r="F43" s="147"/>
      <c r="G43" s="361"/>
      <c r="H43" s="364"/>
      <c r="I43" s="393"/>
      <c r="J43" s="394"/>
      <c r="K43" s="222"/>
      <c r="L43" s="71"/>
      <c r="M43" s="11"/>
      <c r="N43" s="76"/>
      <c r="O43" s="15"/>
      <c r="P43" s="15"/>
      <c r="Q43" s="76"/>
      <c r="R43" s="24"/>
    </row>
    <row r="44" spans="1:18" ht="18" customHeight="1">
      <c r="C44" s="553"/>
      <c r="D44" s="350"/>
      <c r="E44" s="350"/>
      <c r="F44" s="548"/>
      <c r="G44" s="549"/>
      <c r="H44" s="550"/>
      <c r="I44" s="551"/>
      <c r="J44" s="221"/>
      <c r="K44" s="222"/>
      <c r="L44" s="71"/>
      <c r="M44" s="11"/>
      <c r="N44" s="76"/>
      <c r="O44" s="15"/>
      <c r="P44" s="15"/>
      <c r="Q44" s="76"/>
      <c r="R44" s="24"/>
    </row>
    <row r="45" spans="1:18" ht="18" customHeight="1">
      <c r="A45" s="300" t="s">
        <v>503</v>
      </c>
      <c r="C45" s="149"/>
      <c r="D45" s="560" t="s">
        <v>504</v>
      </c>
      <c r="E45" s="560" t="s">
        <v>505</v>
      </c>
      <c r="F45" s="567" t="s">
        <v>502</v>
      </c>
      <c r="G45" s="562">
        <v>1</v>
      </c>
      <c r="H45" s="563">
        <v>6384</v>
      </c>
      <c r="I45" s="170">
        <f t="shared" ref="I45:I51" si="6">G45*H45</f>
        <v>6384</v>
      </c>
      <c r="J45" s="552"/>
      <c r="K45" s="222"/>
      <c r="L45" s="71"/>
      <c r="M45" s="11"/>
      <c r="N45" s="76"/>
      <c r="O45" s="15"/>
      <c r="P45" s="15"/>
      <c r="Q45" s="76"/>
      <c r="R45" s="24"/>
    </row>
    <row r="46" spans="1:18" ht="18" customHeight="1">
      <c r="C46" s="149"/>
      <c r="D46" s="565"/>
      <c r="E46" s="565"/>
      <c r="F46" s="561"/>
      <c r="G46" s="562"/>
      <c r="H46" s="563"/>
      <c r="I46" s="170">
        <f t="shared" si="6"/>
        <v>0</v>
      </c>
      <c r="J46" s="552"/>
      <c r="K46" s="222"/>
      <c r="L46" s="71"/>
      <c r="M46" s="11"/>
      <c r="N46" s="76"/>
      <c r="O46" s="15"/>
      <c r="P46" s="15"/>
      <c r="Q46" s="76"/>
      <c r="R46" s="24"/>
    </row>
    <row r="47" spans="1:18" ht="18" customHeight="1">
      <c r="C47" s="149"/>
      <c r="D47" s="565"/>
      <c r="E47" s="565"/>
      <c r="F47" s="561"/>
      <c r="G47" s="562"/>
      <c r="H47" s="563"/>
      <c r="I47" s="170">
        <f t="shared" si="6"/>
        <v>0</v>
      </c>
      <c r="J47" s="552"/>
      <c r="K47" s="222"/>
      <c r="L47" s="71"/>
      <c r="M47" s="11"/>
      <c r="N47" s="76"/>
      <c r="O47" s="15"/>
      <c r="P47" s="15"/>
      <c r="Q47" s="76"/>
      <c r="R47" s="24"/>
    </row>
    <row r="48" spans="1:18" ht="18" customHeight="1">
      <c r="C48" s="149"/>
      <c r="D48" s="565"/>
      <c r="E48" s="565"/>
      <c r="F48" s="561"/>
      <c r="G48" s="562"/>
      <c r="H48" s="563"/>
      <c r="I48" s="170">
        <f t="shared" si="6"/>
        <v>0</v>
      </c>
      <c r="J48" s="552"/>
      <c r="K48" s="222"/>
      <c r="L48" s="71"/>
      <c r="M48" s="11"/>
      <c r="N48" s="76"/>
      <c r="O48" s="15"/>
      <c r="P48" s="15"/>
      <c r="Q48" s="76"/>
      <c r="R48" s="24"/>
    </row>
    <row r="49" spans="3:18" ht="18" customHeight="1">
      <c r="C49" s="149"/>
      <c r="D49" s="565"/>
      <c r="E49" s="565"/>
      <c r="F49" s="561"/>
      <c r="G49" s="562"/>
      <c r="H49" s="563"/>
      <c r="I49" s="170">
        <f t="shared" si="6"/>
        <v>0</v>
      </c>
      <c r="J49" s="552"/>
      <c r="K49" s="222"/>
      <c r="L49" s="71"/>
      <c r="M49" s="11"/>
      <c r="N49" s="76"/>
      <c r="O49" s="15"/>
      <c r="P49" s="15"/>
      <c r="Q49" s="76"/>
      <c r="R49" s="24"/>
    </row>
    <row r="50" spans="3:18" ht="18" customHeight="1">
      <c r="C50" s="149"/>
      <c r="D50" s="565"/>
      <c r="E50" s="565"/>
      <c r="F50" s="561"/>
      <c r="G50" s="562"/>
      <c r="H50" s="563"/>
      <c r="I50" s="170">
        <f t="shared" si="6"/>
        <v>0</v>
      </c>
      <c r="J50" s="552"/>
      <c r="K50" s="222"/>
      <c r="L50" s="71"/>
      <c r="M50" s="11"/>
      <c r="N50" s="76"/>
      <c r="O50" s="15"/>
      <c r="P50" s="15"/>
      <c r="Q50" s="76"/>
      <c r="R50" s="24"/>
    </row>
    <row r="51" spans="3:18" ht="18" customHeight="1">
      <c r="C51" s="149"/>
      <c r="D51" s="565"/>
      <c r="E51" s="565"/>
      <c r="F51" s="561"/>
      <c r="G51" s="562"/>
      <c r="H51" s="563"/>
      <c r="I51" s="170">
        <f t="shared" si="6"/>
        <v>0</v>
      </c>
      <c r="J51" s="552"/>
      <c r="K51" s="222"/>
      <c r="L51" s="71"/>
      <c r="M51" s="11"/>
      <c r="N51" s="76"/>
      <c r="O51" s="15"/>
      <c r="P51" s="15"/>
      <c r="Q51" s="76"/>
      <c r="R51" s="24"/>
    </row>
    <row r="52" spans="3:18" ht="18" customHeight="1">
      <c r="C52" s="149"/>
      <c r="D52" s="565"/>
      <c r="E52" s="565"/>
      <c r="F52" s="561"/>
      <c r="G52" s="562"/>
      <c r="H52" s="563"/>
      <c r="I52" s="564"/>
      <c r="J52" s="552"/>
      <c r="K52" s="222"/>
      <c r="L52" s="71"/>
      <c r="M52" s="11"/>
      <c r="N52" s="76"/>
      <c r="O52" s="15"/>
      <c r="P52" s="15"/>
      <c r="Q52" s="76"/>
      <c r="R52" s="24"/>
    </row>
    <row r="53" spans="3:18" ht="18" customHeight="1">
      <c r="C53" s="149"/>
      <c r="D53" s="565"/>
      <c r="E53" s="565"/>
      <c r="F53" s="561"/>
      <c r="G53" s="562"/>
      <c r="H53" s="563"/>
      <c r="I53" s="564"/>
      <c r="J53" s="552"/>
      <c r="K53" s="222"/>
      <c r="L53" s="71"/>
      <c r="M53" s="11"/>
      <c r="N53" s="76"/>
      <c r="O53" s="15"/>
      <c r="P53" s="15"/>
      <c r="Q53" s="76"/>
      <c r="R53" s="24"/>
    </row>
    <row r="54" spans="3:18" ht="18" customHeight="1">
      <c r="C54" s="149"/>
      <c r="D54" s="565"/>
      <c r="E54" s="565"/>
      <c r="F54" s="561"/>
      <c r="G54" s="562"/>
      <c r="H54" s="563"/>
      <c r="I54" s="564"/>
      <c r="J54" s="552"/>
      <c r="K54" s="222"/>
      <c r="L54" s="71"/>
      <c r="M54" s="11"/>
      <c r="N54" s="76"/>
      <c r="O54" s="15"/>
      <c r="P54" s="15"/>
      <c r="Q54" s="76"/>
      <c r="R54" s="24"/>
    </row>
    <row r="55" spans="3:18" ht="18" customHeight="1">
      <c r="C55" s="149"/>
      <c r="D55" s="565"/>
      <c r="E55" s="565"/>
      <c r="F55" s="561"/>
      <c r="G55" s="562"/>
      <c r="H55" s="563"/>
      <c r="I55" s="564"/>
      <c r="J55" s="552"/>
      <c r="K55" s="222"/>
      <c r="L55" s="71"/>
      <c r="M55" s="11"/>
      <c r="N55" s="76"/>
      <c r="O55" s="15"/>
      <c r="P55" s="15"/>
      <c r="Q55" s="76"/>
      <c r="R55" s="24"/>
    </row>
    <row r="56" spans="3:18" ht="18" customHeight="1">
      <c r="C56" s="149"/>
      <c r="D56" s="565"/>
      <c r="E56" s="565"/>
      <c r="F56" s="561"/>
      <c r="G56" s="562"/>
      <c r="H56" s="563"/>
      <c r="I56" s="564"/>
      <c r="J56" s="552"/>
      <c r="K56" s="222"/>
      <c r="L56" s="71"/>
      <c r="M56" s="11"/>
      <c r="N56" s="76"/>
      <c r="O56" s="15"/>
      <c r="P56" s="15"/>
      <c r="Q56" s="76"/>
      <c r="R56" s="24"/>
    </row>
    <row r="57" spans="3:18" ht="18" customHeight="1">
      <c r="C57" s="149"/>
      <c r="D57" s="565"/>
      <c r="E57" s="565"/>
      <c r="F57" s="561"/>
      <c r="G57" s="562"/>
      <c r="H57" s="563"/>
      <c r="I57" s="564"/>
      <c r="J57" s="552"/>
      <c r="K57" s="222"/>
      <c r="L57" s="71"/>
      <c r="M57" s="11"/>
      <c r="N57" s="76"/>
      <c r="O57" s="15"/>
      <c r="P57" s="15"/>
      <c r="Q57" s="76"/>
      <c r="R57" s="24"/>
    </row>
    <row r="58" spans="3:18" ht="18" customHeight="1">
      <c r="C58" s="149"/>
      <c r="D58" s="565"/>
      <c r="E58" s="565"/>
      <c r="F58" s="561"/>
      <c r="G58" s="562"/>
      <c r="H58" s="563"/>
      <c r="I58" s="564"/>
      <c r="J58" s="552"/>
      <c r="K58" s="222"/>
      <c r="L58" s="71"/>
      <c r="M58" s="11"/>
      <c r="N58" s="76"/>
      <c r="O58" s="15"/>
      <c r="P58" s="15"/>
      <c r="Q58" s="76"/>
      <c r="R58" s="24"/>
    </row>
    <row r="59" spans="3:18" ht="18" customHeight="1">
      <c r="C59" s="149"/>
      <c r="D59" s="565"/>
      <c r="E59" s="565"/>
      <c r="F59" s="561"/>
      <c r="G59" s="562"/>
      <c r="H59" s="563"/>
      <c r="I59" s="564"/>
      <c r="J59" s="552"/>
      <c r="K59" s="222"/>
      <c r="L59" s="71"/>
      <c r="M59" s="11"/>
      <c r="N59" s="76"/>
      <c r="O59" s="15"/>
      <c r="P59" s="15"/>
      <c r="Q59" s="76"/>
      <c r="R59" s="24"/>
    </row>
    <row r="60" spans="3:18" ht="18" customHeight="1">
      <c r="C60" s="149"/>
      <c r="D60" s="565"/>
      <c r="E60" s="565"/>
      <c r="F60" s="561"/>
      <c r="G60" s="562"/>
      <c r="H60" s="563"/>
      <c r="I60" s="564"/>
      <c r="J60" s="552"/>
      <c r="K60" s="222"/>
      <c r="L60" s="71"/>
      <c r="M60" s="11"/>
      <c r="N60" s="76"/>
      <c r="O60" s="15"/>
      <c r="P60" s="15"/>
      <c r="Q60" s="76"/>
      <c r="R60" s="24"/>
    </row>
    <row r="61" spans="3:18" ht="18" customHeight="1">
      <c r="C61" s="149"/>
      <c r="D61" s="565"/>
      <c r="E61" s="565"/>
      <c r="F61" s="561"/>
      <c r="G61" s="562"/>
      <c r="H61" s="563"/>
      <c r="I61" s="564"/>
      <c r="J61" s="552"/>
      <c r="K61" s="222"/>
      <c r="L61" s="71"/>
      <c r="M61" s="11"/>
      <c r="N61" s="76"/>
      <c r="O61" s="15"/>
      <c r="P61" s="15"/>
      <c r="Q61" s="76"/>
      <c r="R61" s="24"/>
    </row>
    <row r="62" spans="3:18" ht="18" customHeight="1">
      <c r="C62" s="149"/>
      <c r="D62" s="565"/>
      <c r="E62" s="565"/>
      <c r="F62" s="561"/>
      <c r="G62" s="562"/>
      <c r="H62" s="563"/>
      <c r="I62" s="564"/>
      <c r="J62" s="552"/>
      <c r="K62" s="222"/>
      <c r="L62" s="71"/>
      <c r="M62" s="11"/>
      <c r="N62" s="76"/>
      <c r="O62" s="15"/>
      <c r="P62" s="15"/>
      <c r="Q62" s="76"/>
      <c r="R62" s="24"/>
    </row>
    <row r="63" spans="3:18" ht="18" customHeight="1">
      <c r="C63" s="149"/>
      <c r="D63" s="565"/>
      <c r="E63" s="565"/>
      <c r="F63" s="561"/>
      <c r="G63" s="562"/>
      <c r="H63" s="563"/>
      <c r="I63" s="564"/>
      <c r="J63" s="552"/>
      <c r="K63" s="222"/>
      <c r="L63" s="71"/>
      <c r="M63" s="11"/>
      <c r="N63" s="76"/>
      <c r="O63" s="15"/>
      <c r="P63" s="15"/>
      <c r="Q63" s="76"/>
      <c r="R63" s="24"/>
    </row>
    <row r="64" spans="3:18" ht="18" customHeight="1">
      <c r="C64" s="554"/>
      <c r="D64" s="555"/>
      <c r="E64" s="555"/>
      <c r="F64" s="556"/>
      <c r="G64" s="557"/>
      <c r="H64" s="558"/>
      <c r="I64" s="559"/>
      <c r="J64" s="221"/>
      <c r="K64" s="222"/>
      <c r="L64" s="71"/>
      <c r="M64" s="11"/>
      <c r="N64" s="76"/>
      <c r="O64" s="15"/>
      <c r="P64" s="15"/>
      <c r="Q64" s="76"/>
      <c r="R64" s="24"/>
    </row>
    <row r="65" spans="1:18" ht="18" customHeight="1">
      <c r="C65" s="111"/>
      <c r="D65" s="154"/>
      <c r="E65" s="154"/>
      <c r="F65" s="548"/>
      <c r="G65" s="549"/>
      <c r="H65" s="550"/>
      <c r="I65" s="551"/>
      <c r="J65" s="221"/>
      <c r="K65" s="222"/>
      <c r="L65" s="71"/>
      <c r="M65" s="11"/>
      <c r="N65" s="76"/>
      <c r="O65" s="15"/>
      <c r="P65" s="15"/>
      <c r="Q65" s="76"/>
      <c r="R65" s="24"/>
    </row>
    <row r="66" spans="1:18" ht="18" customHeight="1">
      <c r="C66" s="111"/>
      <c r="D66" s="154"/>
      <c r="E66" s="154"/>
      <c r="F66" s="548"/>
      <c r="G66" s="549"/>
      <c r="H66" s="550"/>
      <c r="I66" s="551"/>
      <c r="J66" s="221"/>
      <c r="K66" s="222"/>
      <c r="L66" s="71"/>
      <c r="M66" s="11"/>
      <c r="N66" s="76"/>
      <c r="O66" s="15"/>
      <c r="P66" s="15"/>
      <c r="Q66" s="76"/>
      <c r="R66" s="24"/>
    </row>
    <row r="67" spans="1:18" ht="18" customHeight="1">
      <c r="C67" s="111"/>
      <c r="D67" s="154"/>
      <c r="E67" s="154"/>
      <c r="F67" s="548"/>
      <c r="G67" s="549"/>
      <c r="H67" s="550"/>
      <c r="I67" s="551"/>
      <c r="J67" s="221"/>
      <c r="K67" s="222"/>
      <c r="L67" s="71"/>
      <c r="M67" s="11"/>
      <c r="N67" s="76"/>
      <c r="O67" s="15"/>
      <c r="P67" s="15"/>
      <c r="Q67" s="76"/>
      <c r="R67" s="24"/>
    </row>
    <row r="68" spans="1:18" ht="18" customHeight="1">
      <c r="C68" s="62"/>
      <c r="D68" s="8"/>
      <c r="E68" s="13"/>
      <c r="F68" s="643">
        <f>SUM(I11:I43)</f>
        <v>147166</v>
      </c>
      <c r="G68" s="644"/>
      <c r="H68" s="644"/>
      <c r="I68" s="645"/>
      <c r="J68" s="67"/>
      <c r="K68" s="64"/>
      <c r="L68" s="71"/>
      <c r="M68" s="11"/>
      <c r="N68" s="76"/>
      <c r="O68" s="15"/>
      <c r="P68" s="15"/>
      <c r="Q68" s="76"/>
      <c r="R68" s="24"/>
    </row>
    <row r="69" spans="1:18" ht="18" customHeight="1">
      <c r="C69" s="62"/>
      <c r="D69" s="350"/>
      <c r="E69" s="351"/>
      <c r="F69" s="468"/>
      <c r="G69" s="468"/>
      <c r="H69" s="468"/>
      <c r="I69" s="468"/>
      <c r="J69" s="469"/>
      <c r="K69" s="470"/>
      <c r="L69" s="71"/>
      <c r="M69" s="11"/>
      <c r="N69" s="76"/>
      <c r="O69" s="15"/>
      <c r="P69" s="15"/>
      <c r="Q69" s="76"/>
      <c r="R69" s="24"/>
    </row>
    <row r="70" spans="1:18" ht="18" customHeight="1">
      <c r="C70" s="62"/>
      <c r="D70" s="466"/>
      <c r="E70" s="471"/>
      <c r="F70" s="354"/>
      <c r="G70" s="354"/>
      <c r="H70" s="354"/>
      <c r="I70" s="354"/>
      <c r="J70" s="472"/>
      <c r="K70" s="473"/>
      <c r="L70" s="467"/>
      <c r="M70" s="11"/>
      <c r="N70" s="76"/>
      <c r="O70" s="15"/>
      <c r="P70" s="15"/>
      <c r="Q70" s="76"/>
      <c r="R70" s="24"/>
    </row>
    <row r="71" spans="1:18" s="14" customFormat="1" ht="19.5" customHeight="1">
      <c r="C71" s="8"/>
      <c r="D71" s="464"/>
      <c r="E71" s="464"/>
      <c r="F71" s="353"/>
      <c r="G71" s="335"/>
      <c r="H71" s="335"/>
      <c r="I71" s="335"/>
      <c r="J71" s="50"/>
      <c r="K71" s="465"/>
      <c r="L71" s="70"/>
      <c r="M71" s="70"/>
      <c r="N71" s="76"/>
      <c r="O71" s="8"/>
      <c r="P71" s="70"/>
      <c r="Q71" s="76"/>
      <c r="R71" s="15"/>
    </row>
    <row r="72" spans="1:18" ht="18" customHeight="1">
      <c r="C72" s="130"/>
      <c r="D72" s="646" t="s">
        <v>273</v>
      </c>
      <c r="E72" s="646"/>
      <c r="F72" s="646"/>
      <c r="G72" s="131"/>
      <c r="H72" s="68"/>
      <c r="I72" s="68"/>
      <c r="J72" s="13"/>
      <c r="K72" s="64"/>
      <c r="L72" s="71"/>
      <c r="M72" s="11"/>
      <c r="N72" s="76"/>
      <c r="O72" s="15"/>
      <c r="P72" s="15"/>
      <c r="Q72" s="76"/>
      <c r="R72" s="24"/>
    </row>
    <row r="73" spans="1:18" ht="18" customHeight="1">
      <c r="A73" s="162" t="s">
        <v>483</v>
      </c>
      <c r="B73" s="504"/>
      <c r="C73" s="503">
        <f>C42+1</f>
        <v>22</v>
      </c>
      <c r="D73" s="164" t="s">
        <v>470</v>
      </c>
      <c r="E73" s="164" t="s">
        <v>145</v>
      </c>
      <c r="F73" s="188" t="s">
        <v>471</v>
      </c>
      <c r="G73" s="193">
        <v>1</v>
      </c>
      <c r="H73" s="494">
        <v>1536</v>
      </c>
      <c r="I73" s="495">
        <f t="shared" ref="I73:I79" si="7">G73*H73</f>
        <v>1536</v>
      </c>
      <c r="J73" s="496"/>
      <c r="K73" s="166" t="s">
        <v>472</v>
      </c>
      <c r="L73" s="185"/>
      <c r="M73" s="11"/>
      <c r="N73" s="76"/>
      <c r="O73" s="15"/>
      <c r="P73" s="157"/>
      <c r="Q73" s="157"/>
      <c r="R73" s="134"/>
    </row>
    <row r="74" spans="1:18" ht="18" customHeight="1">
      <c r="A74" s="162" t="s">
        <v>483</v>
      </c>
      <c r="B74" s="504"/>
      <c r="C74" s="503">
        <f t="shared" ref="C74:C79" si="8">+C73+1</f>
        <v>23</v>
      </c>
      <c r="D74" s="164" t="s">
        <v>470</v>
      </c>
      <c r="E74" s="164" t="s">
        <v>145</v>
      </c>
      <c r="F74" s="188" t="s">
        <v>473</v>
      </c>
      <c r="G74" s="193">
        <v>1</v>
      </c>
      <c r="H74" s="494">
        <v>1488</v>
      </c>
      <c r="I74" s="495">
        <f t="shared" si="7"/>
        <v>1488</v>
      </c>
      <c r="J74" s="496"/>
      <c r="K74" s="166" t="s">
        <v>474</v>
      </c>
      <c r="L74" s="185"/>
      <c r="M74" s="11"/>
      <c r="N74" s="76"/>
      <c r="O74" s="15"/>
      <c r="P74" s="157"/>
      <c r="Q74" s="157"/>
      <c r="R74" s="134"/>
    </row>
    <row r="75" spans="1:18" ht="18" customHeight="1">
      <c r="A75" s="162" t="s">
        <v>483</v>
      </c>
      <c r="B75" s="504"/>
      <c r="C75" s="503">
        <f t="shared" si="8"/>
        <v>24</v>
      </c>
      <c r="D75" s="164" t="s">
        <v>470</v>
      </c>
      <c r="E75" s="164" t="s">
        <v>145</v>
      </c>
      <c r="F75" s="188" t="s">
        <v>475</v>
      </c>
      <c r="G75" s="193">
        <v>1</v>
      </c>
      <c r="H75" s="494">
        <v>1312</v>
      </c>
      <c r="I75" s="495">
        <f t="shared" si="7"/>
        <v>1312</v>
      </c>
      <c r="J75" s="496"/>
      <c r="K75" s="166" t="s">
        <v>476</v>
      </c>
      <c r="L75" s="185"/>
      <c r="M75" s="11"/>
      <c r="N75" s="381"/>
      <c r="O75" s="15"/>
      <c r="P75" s="157"/>
      <c r="Q75" s="157"/>
      <c r="R75" s="134"/>
    </row>
    <row r="76" spans="1:18" ht="18" customHeight="1">
      <c r="A76" s="162" t="s">
        <v>483</v>
      </c>
      <c r="B76" s="504"/>
      <c r="C76" s="503">
        <f t="shared" si="8"/>
        <v>25</v>
      </c>
      <c r="D76" s="164" t="s">
        <v>145</v>
      </c>
      <c r="E76" s="164" t="s">
        <v>145</v>
      </c>
      <c r="F76" s="458" t="s">
        <v>477</v>
      </c>
      <c r="G76" s="162">
        <v>1</v>
      </c>
      <c r="H76" s="497">
        <v>930</v>
      </c>
      <c r="I76" s="462">
        <f t="shared" si="7"/>
        <v>930</v>
      </c>
      <c r="J76" s="165"/>
      <c r="K76" s="163" t="s">
        <v>297</v>
      </c>
      <c r="L76" s="185"/>
      <c r="M76" s="11"/>
      <c r="N76" s="157"/>
      <c r="O76" s="15"/>
      <c r="P76" s="15"/>
      <c r="Q76" s="157"/>
      <c r="R76" s="134"/>
    </row>
    <row r="77" spans="1:18" ht="18" customHeight="1">
      <c r="A77" s="162" t="s">
        <v>484</v>
      </c>
      <c r="B77" s="504"/>
      <c r="C77" s="503">
        <f t="shared" si="8"/>
        <v>26</v>
      </c>
      <c r="D77" s="164" t="s">
        <v>145</v>
      </c>
      <c r="E77" s="164" t="s">
        <v>145</v>
      </c>
      <c r="F77" s="458" t="s">
        <v>298</v>
      </c>
      <c r="G77" s="162">
        <v>1</v>
      </c>
      <c r="H77" s="497">
        <v>750</v>
      </c>
      <c r="I77" s="462">
        <f t="shared" si="7"/>
        <v>750</v>
      </c>
      <c r="J77" s="165"/>
      <c r="K77" s="163" t="s">
        <v>478</v>
      </c>
      <c r="L77" s="185"/>
      <c r="M77" s="11"/>
      <c r="N77" s="157"/>
      <c r="O77" s="15"/>
      <c r="P77" s="15"/>
      <c r="Q77" s="157"/>
      <c r="R77" s="134"/>
    </row>
    <row r="78" spans="1:18" ht="18" customHeight="1">
      <c r="B78" s="504"/>
      <c r="C78" s="503">
        <f t="shared" si="8"/>
        <v>27</v>
      </c>
      <c r="D78" s="271" t="s">
        <v>145</v>
      </c>
      <c r="E78" s="271" t="s">
        <v>145</v>
      </c>
      <c r="F78" s="398" t="s">
        <v>300</v>
      </c>
      <c r="G78" s="275"/>
      <c r="H78" s="413">
        <v>48</v>
      </c>
      <c r="I78" s="413">
        <f t="shared" si="7"/>
        <v>0</v>
      </c>
      <c r="J78" s="275"/>
      <c r="K78" s="398" t="s">
        <v>479</v>
      </c>
      <c r="L78" s="251" t="s">
        <v>480</v>
      </c>
      <c r="M78" s="11"/>
      <c r="N78" s="157"/>
      <c r="O78" s="15"/>
      <c r="P78" s="15"/>
      <c r="Q78" s="157"/>
      <c r="R78" s="134"/>
    </row>
    <row r="79" spans="1:18" ht="18" customHeight="1">
      <c r="B79" s="505"/>
      <c r="C79" s="503">
        <f t="shared" si="8"/>
        <v>28</v>
      </c>
      <c r="D79" s="271" t="s">
        <v>145</v>
      </c>
      <c r="E79" s="271" t="s">
        <v>145</v>
      </c>
      <c r="F79" s="398" t="s">
        <v>481</v>
      </c>
      <c r="G79" s="275"/>
      <c r="H79" s="413">
        <v>92</v>
      </c>
      <c r="I79" s="414">
        <f t="shared" si="7"/>
        <v>0</v>
      </c>
      <c r="J79" s="275"/>
      <c r="K79" s="398" t="s">
        <v>482</v>
      </c>
      <c r="L79" s="251" t="s">
        <v>480</v>
      </c>
      <c r="M79" s="11"/>
      <c r="N79" s="157"/>
      <c r="O79" s="15"/>
      <c r="P79" s="15"/>
      <c r="Q79" s="157"/>
      <c r="R79" s="134"/>
    </row>
    <row r="80" spans="1:18" ht="18" customHeight="1">
      <c r="B80" s="109"/>
      <c r="C80" s="114"/>
      <c r="D80" s="498"/>
      <c r="E80" s="498"/>
      <c r="F80" s="499"/>
      <c r="G80" s="500"/>
      <c r="H80" s="501"/>
      <c r="I80" s="502"/>
      <c r="J80" s="500"/>
      <c r="K80" s="499"/>
      <c r="L80" s="370"/>
      <c r="M80" s="11"/>
      <c r="N80" s="157"/>
      <c r="O80" s="15"/>
      <c r="P80" s="15"/>
      <c r="Q80" s="157"/>
      <c r="R80" s="134"/>
    </row>
    <row r="81" spans="1:18" ht="18" customHeight="1">
      <c r="A81" s="300"/>
      <c r="B81" s="109"/>
      <c r="C81" s="114"/>
      <c r="D81" s="124"/>
      <c r="E81" s="124"/>
      <c r="F81" s="286"/>
      <c r="G81" s="120"/>
      <c r="H81" s="328"/>
      <c r="I81" s="328"/>
      <c r="J81" s="120"/>
      <c r="K81" s="232"/>
      <c r="L81" s="370"/>
      <c r="M81" s="11"/>
      <c r="N81" s="157"/>
      <c r="O81" s="15"/>
      <c r="P81" s="15"/>
      <c r="Q81" s="157"/>
      <c r="R81" s="134"/>
    </row>
    <row r="82" spans="1:18" ht="18" customHeight="1">
      <c r="B82" s="109"/>
      <c r="C82" s="114"/>
      <c r="D82" s="154"/>
      <c r="E82" s="154"/>
      <c r="F82" s="228"/>
      <c r="G82" s="229"/>
      <c r="H82" s="229"/>
      <c r="I82" s="322"/>
      <c r="J82" s="155"/>
      <c r="K82" s="156"/>
      <c r="L82" s="71"/>
      <c r="M82" s="11"/>
      <c r="N82" s="159"/>
      <c r="O82" s="15"/>
      <c r="P82" s="15"/>
      <c r="Q82" s="159"/>
      <c r="R82" s="161"/>
    </row>
    <row r="83" spans="1:18" ht="18" customHeight="1">
      <c r="C83" s="70"/>
      <c r="D83" s="8"/>
      <c r="E83" s="8"/>
      <c r="F83" s="647">
        <f>SUM(I73:I81)</f>
        <v>6016</v>
      </c>
      <c r="G83" s="648"/>
      <c r="H83" s="648"/>
      <c r="I83" s="649"/>
      <c r="J83" s="13"/>
      <c r="K83" s="64"/>
      <c r="L83" s="71"/>
      <c r="M83" s="11"/>
      <c r="N83" s="76"/>
      <c r="O83" s="15"/>
      <c r="P83" s="15"/>
      <c r="Q83" s="76"/>
      <c r="R83" s="24"/>
    </row>
    <row r="84" spans="1:18" s="216" customFormat="1" ht="18" customHeight="1">
      <c r="C84" s="217"/>
      <c r="D84" s="154"/>
      <c r="E84" s="154"/>
      <c r="F84" s="218"/>
      <c r="G84" s="219"/>
      <c r="H84" s="219"/>
      <c r="I84" s="220"/>
      <c r="J84" s="221"/>
      <c r="K84" s="222"/>
      <c r="L84" s="223"/>
      <c r="M84" s="224"/>
      <c r="N84" s="225"/>
      <c r="O84" s="226"/>
      <c r="P84" s="226"/>
      <c r="Q84" s="225"/>
      <c r="R84" s="227"/>
    </row>
    <row r="85" spans="1:18" s="216" customFormat="1" ht="18" customHeight="1">
      <c r="C85" s="217"/>
      <c r="D85" s="154"/>
      <c r="E85" s="154"/>
      <c r="F85" s="218"/>
      <c r="G85" s="219"/>
      <c r="H85" s="219"/>
      <c r="I85" s="220"/>
      <c r="J85" s="221"/>
      <c r="K85" s="222"/>
      <c r="L85" s="223"/>
      <c r="M85" s="224"/>
      <c r="N85" s="225"/>
      <c r="O85" s="226"/>
      <c r="P85" s="226"/>
      <c r="Q85" s="225"/>
      <c r="R85" s="227"/>
    </row>
    <row r="86" spans="1:18" s="216" customFormat="1" ht="18" customHeight="1">
      <c r="C86" s="217"/>
      <c r="D86" s="154"/>
      <c r="E86" s="154"/>
      <c r="F86" s="218"/>
      <c r="G86" s="219"/>
      <c r="H86" s="219"/>
      <c r="I86" s="220"/>
      <c r="J86" s="221"/>
      <c r="K86" s="222"/>
      <c r="L86" s="223"/>
      <c r="M86" s="224"/>
      <c r="N86" s="225"/>
      <c r="O86" s="226"/>
      <c r="P86" s="226"/>
      <c r="Q86" s="225"/>
      <c r="R86" s="227"/>
    </row>
    <row r="87" spans="1:18" ht="18" customHeight="1">
      <c r="C87" s="70"/>
      <c r="D87" s="8"/>
      <c r="E87" s="8"/>
      <c r="F87" s="107"/>
      <c r="G87" s="68"/>
      <c r="H87" s="68"/>
      <c r="I87" s="68"/>
      <c r="J87" s="67"/>
      <c r="K87" s="69"/>
      <c r="L87" s="71"/>
      <c r="M87" s="11"/>
      <c r="N87" s="76"/>
      <c r="O87" s="15"/>
      <c r="P87" s="15"/>
      <c r="Q87" s="76"/>
      <c r="R87" s="24"/>
    </row>
    <row r="88" spans="1:18" ht="18" customHeight="1">
      <c r="C88" s="194"/>
      <c r="D88" s="650" t="s">
        <v>254</v>
      </c>
      <c r="E88" s="651"/>
      <c r="F88" s="652"/>
      <c r="G88" s="162"/>
      <c r="H88" s="162"/>
      <c r="I88" s="165"/>
      <c r="J88" s="165"/>
      <c r="K88" s="162"/>
      <c r="L88" s="71"/>
      <c r="M88" s="11"/>
      <c r="N88" s="76"/>
      <c r="O88" s="15"/>
      <c r="P88" s="15"/>
      <c r="Q88" s="76"/>
      <c r="R88" s="24"/>
    </row>
    <row r="89" spans="1:18" s="216" customFormat="1" ht="18" customHeight="1">
      <c r="A89" s="508" t="s">
        <v>360</v>
      </c>
      <c r="B89" s="504"/>
      <c r="C89" s="503">
        <f>+C79+1</f>
        <v>29</v>
      </c>
      <c r="D89" s="164" t="s">
        <v>470</v>
      </c>
      <c r="E89" s="164" t="s">
        <v>145</v>
      </c>
      <c r="F89" s="509" t="s">
        <v>486</v>
      </c>
      <c r="G89" s="119">
        <v>1</v>
      </c>
      <c r="H89" s="119">
        <v>1936</v>
      </c>
      <c r="I89" s="170">
        <f t="shared" ref="I89:I97" si="9">G89*H89</f>
        <v>1936</v>
      </c>
      <c r="J89" s="120"/>
      <c r="K89" s="508" t="s">
        <v>485</v>
      </c>
      <c r="L89" s="223"/>
      <c r="M89" s="224"/>
      <c r="N89" s="506"/>
      <c r="O89" s="226"/>
      <c r="P89" s="226"/>
      <c r="Q89" s="225"/>
      <c r="R89" s="507"/>
    </row>
    <row r="90" spans="1:18" s="216" customFormat="1" ht="18" customHeight="1">
      <c r="A90" s="508" t="s">
        <v>360</v>
      </c>
      <c r="B90" s="504"/>
      <c r="C90" s="503">
        <f t="shared" ref="C90:C99" si="10">+C89+1</f>
        <v>30</v>
      </c>
      <c r="D90" s="164" t="s">
        <v>470</v>
      </c>
      <c r="E90" s="164" t="s">
        <v>145</v>
      </c>
      <c r="F90" s="509" t="s">
        <v>487</v>
      </c>
      <c r="G90" s="119">
        <v>1</v>
      </c>
      <c r="H90" s="119">
        <v>2850</v>
      </c>
      <c r="I90" s="170">
        <f t="shared" si="9"/>
        <v>2850</v>
      </c>
      <c r="J90" s="120"/>
      <c r="K90" s="508" t="s">
        <v>488</v>
      </c>
      <c r="L90" s="223"/>
      <c r="M90" s="224"/>
      <c r="N90" s="506"/>
      <c r="O90" s="226"/>
      <c r="P90" s="226"/>
      <c r="Q90" s="225"/>
      <c r="R90" s="507"/>
    </row>
    <row r="91" spans="1:18" s="216" customFormat="1" ht="18" customHeight="1">
      <c r="A91" s="508" t="s">
        <v>360</v>
      </c>
      <c r="B91" s="504"/>
      <c r="C91" s="503">
        <f t="shared" si="10"/>
        <v>31</v>
      </c>
      <c r="D91" s="164" t="s">
        <v>470</v>
      </c>
      <c r="E91" s="164" t="s">
        <v>145</v>
      </c>
      <c r="F91" s="512" t="s">
        <v>489</v>
      </c>
      <c r="G91" s="510">
        <v>1</v>
      </c>
      <c r="H91" s="511">
        <v>4500</v>
      </c>
      <c r="I91" s="169">
        <f t="shared" si="9"/>
        <v>4500</v>
      </c>
      <c r="J91" s="172"/>
      <c r="K91" s="180" t="s">
        <v>325</v>
      </c>
      <c r="L91" s="223"/>
      <c r="M91" s="224"/>
      <c r="N91" s="506"/>
      <c r="O91" s="226"/>
      <c r="P91" s="226"/>
      <c r="Q91" s="225"/>
      <c r="R91" s="507"/>
    </row>
    <row r="92" spans="1:18" s="216" customFormat="1" ht="18" customHeight="1">
      <c r="A92" s="162" t="s">
        <v>484</v>
      </c>
      <c r="B92" s="504"/>
      <c r="C92" s="503">
        <f t="shared" si="10"/>
        <v>32</v>
      </c>
      <c r="D92" s="162" t="s">
        <v>145</v>
      </c>
      <c r="E92" s="162" t="s">
        <v>145</v>
      </c>
      <c r="F92" s="184" t="s">
        <v>255</v>
      </c>
      <c r="G92" s="513">
        <v>2</v>
      </c>
      <c r="H92" s="514">
        <v>70</v>
      </c>
      <c r="I92" s="515">
        <f t="shared" si="9"/>
        <v>140</v>
      </c>
      <c r="J92" s="165"/>
      <c r="K92" s="184" t="s">
        <v>256</v>
      </c>
      <c r="L92" s="162"/>
      <c r="M92" s="224"/>
      <c r="N92" s="506"/>
      <c r="O92" s="226"/>
      <c r="P92" s="226"/>
      <c r="Q92" s="225"/>
      <c r="R92" s="507"/>
    </row>
    <row r="93" spans="1:18" s="216" customFormat="1" ht="18" customHeight="1">
      <c r="A93" s="162" t="s">
        <v>484</v>
      </c>
      <c r="B93" s="504"/>
      <c r="C93" s="503">
        <f t="shared" si="10"/>
        <v>33</v>
      </c>
      <c r="D93" s="162" t="s">
        <v>145</v>
      </c>
      <c r="E93" s="162" t="s">
        <v>145</v>
      </c>
      <c r="F93" s="184" t="s">
        <v>257</v>
      </c>
      <c r="G93" s="513">
        <v>2</v>
      </c>
      <c r="H93" s="514">
        <v>78</v>
      </c>
      <c r="I93" s="515">
        <f t="shared" si="9"/>
        <v>156</v>
      </c>
      <c r="J93" s="165"/>
      <c r="K93" s="184" t="s">
        <v>256</v>
      </c>
      <c r="L93" s="162"/>
      <c r="M93" s="224"/>
      <c r="N93" s="506"/>
      <c r="O93" s="226"/>
      <c r="P93" s="226"/>
      <c r="Q93" s="225"/>
      <c r="R93" s="507"/>
    </row>
    <row r="94" spans="1:18" s="216" customFormat="1" ht="18" customHeight="1">
      <c r="A94" s="162" t="s">
        <v>484</v>
      </c>
      <c r="B94" s="504"/>
      <c r="C94" s="503">
        <f t="shared" si="10"/>
        <v>34</v>
      </c>
      <c r="D94" s="164" t="s">
        <v>145</v>
      </c>
      <c r="E94" s="164" t="s">
        <v>145</v>
      </c>
      <c r="F94" s="195" t="s">
        <v>258</v>
      </c>
      <c r="G94" s="516">
        <v>4</v>
      </c>
      <c r="H94" s="511">
        <v>169</v>
      </c>
      <c r="I94" s="339">
        <f t="shared" si="9"/>
        <v>676</v>
      </c>
      <c r="J94" s="196"/>
      <c r="K94" s="195" t="s">
        <v>259</v>
      </c>
      <c r="L94" s="162"/>
      <c r="M94" s="224"/>
      <c r="N94" s="506"/>
      <c r="O94" s="226"/>
      <c r="P94" s="226"/>
      <c r="Q94" s="225"/>
      <c r="R94" s="507"/>
    </row>
    <row r="95" spans="1:18" s="216" customFormat="1" ht="18" customHeight="1">
      <c r="A95" s="162" t="s">
        <v>484</v>
      </c>
      <c r="B95" s="504"/>
      <c r="C95" s="503">
        <f t="shared" si="10"/>
        <v>35</v>
      </c>
      <c r="D95" s="164" t="s">
        <v>145</v>
      </c>
      <c r="E95" s="164" t="s">
        <v>145</v>
      </c>
      <c r="F95" s="458" t="s">
        <v>260</v>
      </c>
      <c r="G95" s="517">
        <v>2</v>
      </c>
      <c r="H95" s="518">
        <v>71</v>
      </c>
      <c r="I95" s="321">
        <f t="shared" si="9"/>
        <v>142</v>
      </c>
      <c r="J95" s="165"/>
      <c r="K95" s="163" t="s">
        <v>261</v>
      </c>
      <c r="L95" s="185"/>
      <c r="M95" s="224"/>
      <c r="N95" s="506"/>
      <c r="O95" s="226"/>
      <c r="P95" s="226"/>
      <c r="Q95" s="225"/>
      <c r="R95" s="507"/>
    </row>
    <row r="96" spans="1:18" s="216" customFormat="1" ht="18" customHeight="1">
      <c r="A96" s="162" t="s">
        <v>484</v>
      </c>
      <c r="B96" s="504"/>
      <c r="C96" s="503">
        <f t="shared" si="10"/>
        <v>36</v>
      </c>
      <c r="D96" s="164" t="s">
        <v>145</v>
      </c>
      <c r="E96" s="164" t="s">
        <v>145</v>
      </c>
      <c r="F96" s="458" t="s">
        <v>262</v>
      </c>
      <c r="G96" s="517">
        <v>2</v>
      </c>
      <c r="H96" s="518">
        <v>30</v>
      </c>
      <c r="I96" s="321">
        <f t="shared" si="9"/>
        <v>60</v>
      </c>
      <c r="J96" s="165"/>
      <c r="K96" s="163" t="s">
        <v>263</v>
      </c>
      <c r="L96" s="185"/>
      <c r="M96" s="224"/>
      <c r="N96" s="506"/>
      <c r="O96" s="226"/>
      <c r="P96" s="226"/>
      <c r="Q96" s="225"/>
      <c r="R96" s="507"/>
    </row>
    <row r="97" spans="1:18" s="216" customFormat="1" ht="18" customHeight="1">
      <c r="A97" s="162" t="s">
        <v>492</v>
      </c>
      <c r="B97" s="504"/>
      <c r="C97" s="503">
        <f t="shared" si="10"/>
        <v>37</v>
      </c>
      <c r="D97" s="252" t="s">
        <v>264</v>
      </c>
      <c r="E97" s="252" t="s">
        <v>145</v>
      </c>
      <c r="F97" s="253" t="s">
        <v>265</v>
      </c>
      <c r="G97" s="254"/>
      <c r="H97" s="329">
        <v>1800</v>
      </c>
      <c r="I97" s="330">
        <f t="shared" si="9"/>
        <v>0</v>
      </c>
      <c r="J97" s="255"/>
      <c r="K97" s="253" t="s">
        <v>266</v>
      </c>
      <c r="L97" s="251" t="s">
        <v>490</v>
      </c>
      <c r="M97" s="224"/>
      <c r="N97" s="506"/>
      <c r="O97" s="226"/>
      <c r="P97" s="226"/>
      <c r="Q97" s="225"/>
      <c r="R97" s="507"/>
    </row>
    <row r="98" spans="1:18" s="216" customFormat="1" ht="18" customHeight="1">
      <c r="A98" s="162" t="s">
        <v>483</v>
      </c>
      <c r="B98" s="504"/>
      <c r="C98" s="503">
        <f t="shared" si="10"/>
        <v>38</v>
      </c>
      <c r="D98" s="246" t="s">
        <v>145</v>
      </c>
      <c r="E98" s="246" t="s">
        <v>145</v>
      </c>
      <c r="F98" s="247" t="s">
        <v>271</v>
      </c>
      <c r="G98" s="248"/>
      <c r="H98" s="332">
        <v>690</v>
      </c>
      <c r="I98" s="332">
        <f>G98*H98</f>
        <v>0</v>
      </c>
      <c r="J98" s="249"/>
      <c r="K98" s="250" t="s">
        <v>272</v>
      </c>
      <c r="L98" s="251" t="s">
        <v>491</v>
      </c>
      <c r="M98" s="224"/>
      <c r="N98" s="506"/>
      <c r="O98" s="226"/>
      <c r="P98" s="226"/>
      <c r="Q98" s="225"/>
      <c r="R98" s="507"/>
    </row>
    <row r="99" spans="1:18" s="216" customFormat="1" ht="18" customHeight="1">
      <c r="A99" s="162" t="s">
        <v>493</v>
      </c>
      <c r="B99" s="504"/>
      <c r="C99" s="503">
        <f t="shared" si="10"/>
        <v>39</v>
      </c>
      <c r="D99" s="246" t="s">
        <v>145</v>
      </c>
      <c r="E99" s="246" t="s">
        <v>145</v>
      </c>
      <c r="F99" s="247" t="s">
        <v>150</v>
      </c>
      <c r="G99" s="248"/>
      <c r="H99" s="332">
        <v>990</v>
      </c>
      <c r="I99" s="332">
        <f>G99*H99</f>
        <v>0</v>
      </c>
      <c r="J99" s="249"/>
      <c r="K99" s="250" t="s">
        <v>272</v>
      </c>
      <c r="L99" s="251" t="s">
        <v>491</v>
      </c>
      <c r="M99" s="224"/>
      <c r="N99" s="506"/>
      <c r="O99" s="226"/>
      <c r="P99" s="226"/>
      <c r="Q99" s="225"/>
      <c r="R99" s="507"/>
    </row>
    <row r="100" spans="1:18" ht="18" customHeight="1">
      <c r="C100" s="128"/>
      <c r="D100" s="181"/>
      <c r="E100" s="181"/>
      <c r="F100" s="167"/>
      <c r="G100" s="162"/>
      <c r="H100" s="169"/>
      <c r="I100" s="169"/>
      <c r="J100" s="165"/>
      <c r="K100" s="198"/>
      <c r="L100" s="71"/>
      <c r="M100" s="11"/>
      <c r="N100" s="76"/>
      <c r="O100" s="15"/>
      <c r="P100" s="15"/>
      <c r="Q100" s="76"/>
      <c r="R100" s="24"/>
    </row>
    <row r="101" spans="1:18" ht="18" customHeight="1">
      <c r="C101" s="128"/>
      <c r="D101" s="199"/>
      <c r="E101" s="199"/>
      <c r="F101" s="653">
        <f>SUM(I89:I100)</f>
        <v>10460</v>
      </c>
      <c r="G101" s="654"/>
      <c r="H101" s="654"/>
      <c r="I101" s="655"/>
      <c r="J101" s="175"/>
      <c r="K101" s="176"/>
      <c r="L101" s="71"/>
      <c r="M101" s="11"/>
      <c r="N101" s="76"/>
      <c r="O101" s="15"/>
      <c r="P101" s="15"/>
      <c r="Q101" s="76"/>
      <c r="R101" s="24"/>
    </row>
    <row r="102" spans="1:18" s="216" customFormat="1" ht="18" customHeight="1">
      <c r="C102" s="356"/>
      <c r="D102" s="372"/>
      <c r="E102" s="372"/>
      <c r="F102" s="373"/>
      <c r="G102" s="374"/>
      <c r="H102" s="375"/>
      <c r="I102" s="231"/>
      <c r="J102" s="119"/>
      <c r="K102" s="355"/>
      <c r="L102" s="474"/>
      <c r="M102" s="224"/>
      <c r="N102" s="225"/>
      <c r="O102" s="226"/>
      <c r="P102" s="226"/>
      <c r="Q102" s="225"/>
      <c r="R102" s="227"/>
    </row>
    <row r="103" spans="1:18" s="216" customFormat="1" ht="18" customHeight="1">
      <c r="C103" s="356"/>
      <c r="D103" s="372"/>
      <c r="E103" s="372"/>
      <c r="F103" s="373"/>
      <c r="G103" s="374"/>
      <c r="H103" s="375"/>
      <c r="I103" s="231"/>
      <c r="J103" s="119"/>
      <c r="K103" s="355"/>
      <c r="L103" s="474"/>
      <c r="M103" s="224"/>
      <c r="N103" s="225"/>
      <c r="O103" s="226"/>
      <c r="P103" s="226"/>
      <c r="Q103" s="225"/>
      <c r="R103" s="227"/>
    </row>
    <row r="104" spans="1:18" s="216" customFormat="1" ht="18" customHeight="1">
      <c r="C104" s="356"/>
      <c r="D104" s="372"/>
      <c r="E104" s="372"/>
      <c r="F104" s="373"/>
      <c r="G104" s="374"/>
      <c r="H104" s="375"/>
      <c r="I104" s="231"/>
      <c r="J104" s="119"/>
      <c r="K104" s="355"/>
      <c r="L104" s="474"/>
      <c r="M104" s="224"/>
      <c r="N104" s="225"/>
      <c r="O104" s="226"/>
      <c r="P104" s="226"/>
      <c r="Q104" s="225"/>
      <c r="R104" s="227"/>
    </row>
    <row r="105" spans="1:18" s="216" customFormat="1" ht="18" customHeight="1">
      <c r="C105" s="356"/>
      <c r="D105" s="656" t="s">
        <v>422</v>
      </c>
      <c r="E105" s="656"/>
      <c r="F105" s="656"/>
      <c r="G105" s="374"/>
      <c r="H105" s="375"/>
      <c r="I105" s="231"/>
      <c r="J105" s="119"/>
      <c r="K105" s="355"/>
      <c r="L105" s="474"/>
      <c r="M105" s="224"/>
      <c r="N105" s="225"/>
      <c r="O105" s="226"/>
      <c r="P105" s="226"/>
      <c r="Q105" s="225"/>
      <c r="R105" s="227"/>
    </row>
    <row r="106" spans="1:18" s="216" customFormat="1" ht="18" customHeight="1">
      <c r="C106" s="451">
        <f>+C99+1</f>
        <v>40</v>
      </c>
      <c r="D106" s="181" t="s">
        <v>37</v>
      </c>
      <c r="E106" s="181" t="s">
        <v>37</v>
      </c>
      <c r="F106" s="167" t="s">
        <v>423</v>
      </c>
      <c r="G106" s="476">
        <v>2</v>
      </c>
      <c r="H106" s="477">
        <v>3480</v>
      </c>
      <c r="I106" s="170">
        <f>G106*H106</f>
        <v>6960</v>
      </c>
      <c r="J106" s="165"/>
      <c r="K106" s="478" t="s">
        <v>424</v>
      </c>
      <c r="L106" s="474"/>
      <c r="M106" s="224"/>
      <c r="N106" s="225"/>
      <c r="O106" s="226"/>
      <c r="P106" s="226"/>
      <c r="Q106" s="225"/>
      <c r="R106" s="227"/>
    </row>
    <row r="107" spans="1:18" s="216" customFormat="1" ht="18" customHeight="1">
      <c r="C107" s="451">
        <f t="shared" ref="C107:C128" si="11">+C106+1</f>
        <v>41</v>
      </c>
      <c r="D107" s="181" t="s">
        <v>37</v>
      </c>
      <c r="E107" s="181" t="s">
        <v>37</v>
      </c>
      <c r="F107" s="167" t="s">
        <v>425</v>
      </c>
      <c r="G107" s="476">
        <v>4</v>
      </c>
      <c r="H107" s="211">
        <v>3040</v>
      </c>
      <c r="I107" s="170">
        <f>G107*H107</f>
        <v>12160</v>
      </c>
      <c r="J107" s="165"/>
      <c r="K107" s="478" t="s">
        <v>426</v>
      </c>
      <c r="L107" s="474"/>
      <c r="M107" s="224"/>
      <c r="N107" s="225"/>
      <c r="O107" s="226"/>
      <c r="P107" s="226"/>
      <c r="Q107" s="225"/>
      <c r="R107" s="227"/>
    </row>
    <row r="108" spans="1:18" s="216" customFormat="1" ht="18" customHeight="1">
      <c r="C108" s="451">
        <f t="shared" si="11"/>
        <v>42</v>
      </c>
      <c r="D108" s="181" t="s">
        <v>37</v>
      </c>
      <c r="E108" s="181" t="s">
        <v>37</v>
      </c>
      <c r="F108" s="493" t="s">
        <v>427</v>
      </c>
      <c r="G108" s="476"/>
      <c r="H108" s="211">
        <v>1840</v>
      </c>
      <c r="I108" s="170">
        <f t="shared" ref="I108:I126" si="12">G108*H108</f>
        <v>0</v>
      </c>
      <c r="J108" s="165"/>
      <c r="K108" s="478" t="s">
        <v>428</v>
      </c>
      <c r="L108" s="474"/>
      <c r="M108" s="224"/>
      <c r="N108" s="225"/>
      <c r="O108" s="226"/>
      <c r="P108" s="226"/>
      <c r="Q108" s="225"/>
      <c r="R108" s="227"/>
    </row>
    <row r="109" spans="1:18" s="216" customFormat="1" ht="18" customHeight="1">
      <c r="C109" s="451">
        <f t="shared" si="11"/>
        <v>43</v>
      </c>
      <c r="D109" s="181" t="s">
        <v>37</v>
      </c>
      <c r="E109" s="181" t="s">
        <v>37</v>
      </c>
      <c r="F109" s="479" t="s">
        <v>429</v>
      </c>
      <c r="G109" s="476">
        <v>2</v>
      </c>
      <c r="H109" s="211">
        <v>2160</v>
      </c>
      <c r="I109" s="170">
        <f t="shared" si="12"/>
        <v>4320</v>
      </c>
      <c r="J109" s="165"/>
      <c r="K109" s="478" t="s">
        <v>430</v>
      </c>
      <c r="L109" s="474"/>
      <c r="M109" s="224"/>
      <c r="N109" s="225"/>
      <c r="O109" s="226"/>
      <c r="P109" s="226"/>
      <c r="Q109" s="225"/>
      <c r="R109" s="227"/>
    </row>
    <row r="110" spans="1:18" s="216" customFormat="1" ht="18" customHeight="1">
      <c r="C110" s="451">
        <f t="shared" si="11"/>
        <v>44</v>
      </c>
      <c r="D110" s="181" t="s">
        <v>37</v>
      </c>
      <c r="E110" s="181" t="s">
        <v>37</v>
      </c>
      <c r="F110" s="493" t="s">
        <v>431</v>
      </c>
      <c r="G110" s="476"/>
      <c r="H110" s="211">
        <v>2600</v>
      </c>
      <c r="I110" s="170">
        <f t="shared" si="12"/>
        <v>0</v>
      </c>
      <c r="J110" s="165"/>
      <c r="K110" s="478" t="s">
        <v>432</v>
      </c>
      <c r="L110" s="474"/>
      <c r="M110" s="224"/>
      <c r="N110" s="225"/>
      <c r="O110" s="226"/>
      <c r="P110" s="226"/>
      <c r="Q110" s="225"/>
      <c r="R110" s="227"/>
    </row>
    <row r="111" spans="1:18" s="216" customFormat="1" ht="18" customHeight="1">
      <c r="C111" s="451">
        <f t="shared" si="11"/>
        <v>45</v>
      </c>
      <c r="D111" s="181" t="s">
        <v>37</v>
      </c>
      <c r="E111" s="181" t="s">
        <v>37</v>
      </c>
      <c r="F111" s="167" t="s">
        <v>433</v>
      </c>
      <c r="G111" s="476">
        <v>4</v>
      </c>
      <c r="H111" s="211">
        <v>2313</v>
      </c>
      <c r="I111" s="170">
        <f t="shared" si="12"/>
        <v>9252</v>
      </c>
      <c r="J111" s="165"/>
      <c r="K111" s="478" t="s">
        <v>434</v>
      </c>
      <c r="L111" s="474"/>
      <c r="M111" s="224"/>
      <c r="N111" s="225"/>
      <c r="O111" s="226"/>
      <c r="P111" s="226"/>
      <c r="Q111" s="225"/>
      <c r="R111" s="227"/>
    </row>
    <row r="112" spans="1:18" s="216" customFormat="1" ht="18" customHeight="1">
      <c r="C112" s="451">
        <f t="shared" si="11"/>
        <v>46</v>
      </c>
      <c r="D112" s="181" t="s">
        <v>37</v>
      </c>
      <c r="E112" s="181" t="s">
        <v>37</v>
      </c>
      <c r="F112" s="167" t="s">
        <v>435</v>
      </c>
      <c r="G112" s="476">
        <v>4</v>
      </c>
      <c r="H112" s="211">
        <v>180</v>
      </c>
      <c r="I112" s="170">
        <f t="shared" si="12"/>
        <v>720</v>
      </c>
      <c r="J112" s="165"/>
      <c r="K112" s="478" t="s">
        <v>436</v>
      </c>
      <c r="L112" s="474"/>
      <c r="M112" s="224"/>
      <c r="N112" s="225"/>
      <c r="O112" s="226"/>
      <c r="P112" s="226"/>
      <c r="Q112" s="225"/>
      <c r="R112" s="227"/>
    </row>
    <row r="113" spans="3:18" s="216" customFormat="1" ht="18" customHeight="1">
      <c r="C113" s="451">
        <f t="shared" si="11"/>
        <v>47</v>
      </c>
      <c r="D113" s="181" t="s">
        <v>37</v>
      </c>
      <c r="E113" s="181" t="s">
        <v>37</v>
      </c>
      <c r="F113" s="167" t="s">
        <v>437</v>
      </c>
      <c r="G113" s="476">
        <v>8</v>
      </c>
      <c r="H113" s="211">
        <v>52</v>
      </c>
      <c r="I113" s="170">
        <f t="shared" si="12"/>
        <v>416</v>
      </c>
      <c r="J113" s="165"/>
      <c r="K113" s="478" t="s">
        <v>438</v>
      </c>
      <c r="L113" s="474"/>
      <c r="M113" s="224"/>
      <c r="N113" s="225"/>
      <c r="O113" s="226"/>
      <c r="P113" s="226"/>
      <c r="Q113" s="225"/>
      <c r="R113" s="227"/>
    </row>
    <row r="114" spans="3:18" s="216" customFormat="1" ht="18" customHeight="1">
      <c r="C114" s="451">
        <f t="shared" si="11"/>
        <v>48</v>
      </c>
      <c r="D114" s="181" t="s">
        <v>37</v>
      </c>
      <c r="E114" s="181" t="s">
        <v>37</v>
      </c>
      <c r="F114" s="167" t="s">
        <v>439</v>
      </c>
      <c r="G114" s="476">
        <v>10</v>
      </c>
      <c r="H114" s="211">
        <v>25</v>
      </c>
      <c r="I114" s="170">
        <f t="shared" si="12"/>
        <v>250</v>
      </c>
      <c r="J114" s="165"/>
      <c r="K114" s="478" t="s">
        <v>440</v>
      </c>
      <c r="L114" s="474"/>
      <c r="M114" s="224"/>
      <c r="N114" s="225"/>
      <c r="O114" s="226"/>
      <c r="P114" s="226"/>
      <c r="Q114" s="225"/>
      <c r="R114" s="227"/>
    </row>
    <row r="115" spans="3:18" s="216" customFormat="1" ht="18" customHeight="1">
      <c r="C115" s="451">
        <f t="shared" si="11"/>
        <v>49</v>
      </c>
      <c r="D115" s="181" t="s">
        <v>37</v>
      </c>
      <c r="E115" s="181" t="s">
        <v>37</v>
      </c>
      <c r="F115" s="167" t="s">
        <v>441</v>
      </c>
      <c r="G115" s="476">
        <v>10</v>
      </c>
      <c r="H115" s="211">
        <v>25</v>
      </c>
      <c r="I115" s="170">
        <f t="shared" si="12"/>
        <v>250</v>
      </c>
      <c r="J115" s="165"/>
      <c r="K115" s="478" t="s">
        <v>440</v>
      </c>
      <c r="L115" s="474"/>
      <c r="M115" s="224"/>
      <c r="N115" s="225"/>
      <c r="O115" s="226"/>
      <c r="P115" s="226"/>
      <c r="Q115" s="225"/>
      <c r="R115" s="227"/>
    </row>
    <row r="116" spans="3:18" s="216" customFormat="1" ht="18" customHeight="1">
      <c r="C116" s="451">
        <f t="shared" si="11"/>
        <v>50</v>
      </c>
      <c r="D116" s="181" t="s">
        <v>37</v>
      </c>
      <c r="E116" s="181" t="s">
        <v>37</v>
      </c>
      <c r="F116" s="167" t="s">
        <v>442</v>
      </c>
      <c r="G116" s="476">
        <v>4</v>
      </c>
      <c r="H116" s="211">
        <v>59</v>
      </c>
      <c r="I116" s="170">
        <f t="shared" si="12"/>
        <v>236</v>
      </c>
      <c r="J116" s="165"/>
      <c r="K116" s="478" t="s">
        <v>443</v>
      </c>
      <c r="L116" s="474"/>
      <c r="M116" s="224"/>
      <c r="N116" s="225"/>
      <c r="O116" s="226"/>
      <c r="P116" s="226"/>
      <c r="Q116" s="225"/>
      <c r="R116" s="227"/>
    </row>
    <row r="117" spans="3:18" s="216" customFormat="1" ht="18" customHeight="1">
      <c r="C117" s="451">
        <f t="shared" si="11"/>
        <v>51</v>
      </c>
      <c r="D117" s="181" t="s">
        <v>37</v>
      </c>
      <c r="E117" s="181" t="s">
        <v>37</v>
      </c>
      <c r="F117" s="167" t="s">
        <v>444</v>
      </c>
      <c r="G117" s="476">
        <v>4</v>
      </c>
      <c r="H117" s="211">
        <v>140</v>
      </c>
      <c r="I117" s="170">
        <f t="shared" si="12"/>
        <v>560</v>
      </c>
      <c r="J117" s="165"/>
      <c r="K117" s="478" t="s">
        <v>445</v>
      </c>
      <c r="L117" s="474"/>
      <c r="M117" s="224"/>
      <c r="N117" s="225"/>
      <c r="O117" s="226"/>
      <c r="P117" s="226"/>
      <c r="Q117" s="225"/>
      <c r="R117" s="227"/>
    </row>
    <row r="118" spans="3:18" s="216" customFormat="1" ht="18" customHeight="1">
      <c r="C118" s="451">
        <f t="shared" si="11"/>
        <v>52</v>
      </c>
      <c r="D118" s="181" t="s">
        <v>37</v>
      </c>
      <c r="E118" s="181" t="s">
        <v>37</v>
      </c>
      <c r="F118" s="167" t="s">
        <v>446</v>
      </c>
      <c r="G118" s="476">
        <v>26</v>
      </c>
      <c r="H118" s="211">
        <v>46</v>
      </c>
      <c r="I118" s="170">
        <f t="shared" si="12"/>
        <v>1196</v>
      </c>
      <c r="J118" s="165"/>
      <c r="K118" s="478" t="s">
        <v>447</v>
      </c>
      <c r="L118" s="474"/>
      <c r="M118" s="224"/>
      <c r="N118" s="225"/>
      <c r="O118" s="226"/>
      <c r="P118" s="226"/>
      <c r="Q118" s="225"/>
      <c r="R118" s="227"/>
    </row>
    <row r="119" spans="3:18" s="216" customFormat="1" ht="18" customHeight="1">
      <c r="C119" s="451">
        <f t="shared" si="11"/>
        <v>53</v>
      </c>
      <c r="D119" s="181" t="s">
        <v>37</v>
      </c>
      <c r="E119" s="181" t="s">
        <v>37</v>
      </c>
      <c r="F119" s="167" t="s">
        <v>448</v>
      </c>
      <c r="G119" s="476">
        <v>20</v>
      </c>
      <c r="H119" s="211">
        <v>29</v>
      </c>
      <c r="I119" s="170">
        <f t="shared" si="12"/>
        <v>580</v>
      </c>
      <c r="J119" s="165"/>
      <c r="K119" s="478" t="s">
        <v>449</v>
      </c>
      <c r="L119" s="474"/>
      <c r="M119" s="224"/>
      <c r="N119" s="225"/>
      <c r="O119" s="226"/>
      <c r="P119" s="226"/>
      <c r="Q119" s="225"/>
      <c r="R119" s="227"/>
    </row>
    <row r="120" spans="3:18" s="216" customFormat="1" ht="18" customHeight="1">
      <c r="C120" s="451">
        <f t="shared" si="11"/>
        <v>54</v>
      </c>
      <c r="D120" s="181" t="s">
        <v>37</v>
      </c>
      <c r="E120" s="181" t="s">
        <v>37</v>
      </c>
      <c r="F120" s="167" t="s">
        <v>450</v>
      </c>
      <c r="G120" s="476">
        <v>20</v>
      </c>
      <c r="H120" s="211">
        <v>29</v>
      </c>
      <c r="I120" s="170">
        <f t="shared" si="12"/>
        <v>580</v>
      </c>
      <c r="J120" s="165"/>
      <c r="K120" s="478" t="s">
        <v>449</v>
      </c>
      <c r="L120" s="474"/>
      <c r="M120" s="224"/>
      <c r="N120" s="225"/>
      <c r="O120" s="226"/>
      <c r="P120" s="226"/>
      <c r="Q120" s="225"/>
      <c r="R120" s="227"/>
    </row>
    <row r="121" spans="3:18" s="216" customFormat="1" ht="18" customHeight="1">
      <c r="C121" s="451">
        <f t="shared" si="11"/>
        <v>55</v>
      </c>
      <c r="D121" s="181" t="s">
        <v>37</v>
      </c>
      <c r="E121" s="181" t="s">
        <v>37</v>
      </c>
      <c r="F121" s="167" t="s">
        <v>451</v>
      </c>
      <c r="G121" s="476">
        <v>4</v>
      </c>
      <c r="H121" s="211">
        <v>1080</v>
      </c>
      <c r="I121" s="170">
        <f t="shared" si="12"/>
        <v>4320</v>
      </c>
      <c r="J121" s="165"/>
      <c r="K121" s="478" t="s">
        <v>452</v>
      </c>
      <c r="L121" s="474"/>
      <c r="M121" s="224"/>
      <c r="N121" s="225"/>
      <c r="O121" s="226"/>
      <c r="P121" s="226"/>
      <c r="Q121" s="225"/>
      <c r="R121" s="227"/>
    </row>
    <row r="122" spans="3:18" s="216" customFormat="1" ht="18" customHeight="1">
      <c r="C122" s="451">
        <f t="shared" si="11"/>
        <v>56</v>
      </c>
      <c r="D122" s="181" t="s">
        <v>37</v>
      </c>
      <c r="E122" s="181" t="s">
        <v>37</v>
      </c>
      <c r="F122" s="167" t="s">
        <v>453</v>
      </c>
      <c r="G122" s="476">
        <v>2</v>
      </c>
      <c r="H122" s="211">
        <v>1180</v>
      </c>
      <c r="I122" s="170">
        <f t="shared" si="12"/>
        <v>2360</v>
      </c>
      <c r="J122" s="165"/>
      <c r="K122" s="478" t="s">
        <v>454</v>
      </c>
      <c r="L122" s="474"/>
      <c r="M122" s="224"/>
      <c r="N122" s="225"/>
      <c r="O122" s="226"/>
      <c r="P122" s="226"/>
      <c r="Q122" s="225"/>
      <c r="R122" s="227"/>
    </row>
    <row r="123" spans="3:18" s="216" customFormat="1" ht="18" customHeight="1">
      <c r="C123" s="451">
        <f t="shared" si="11"/>
        <v>57</v>
      </c>
      <c r="D123" s="181" t="s">
        <v>37</v>
      </c>
      <c r="E123" s="181" t="s">
        <v>37</v>
      </c>
      <c r="F123" s="167" t="s">
        <v>455</v>
      </c>
      <c r="G123" s="476">
        <v>2</v>
      </c>
      <c r="H123" s="211">
        <v>1160</v>
      </c>
      <c r="I123" s="170">
        <f t="shared" si="12"/>
        <v>2320</v>
      </c>
      <c r="J123" s="165"/>
      <c r="K123" s="167" t="s">
        <v>456</v>
      </c>
      <c r="L123" s="474"/>
      <c r="M123" s="224"/>
      <c r="N123" s="225"/>
      <c r="O123" s="226"/>
      <c r="P123" s="226"/>
      <c r="Q123" s="225"/>
      <c r="R123" s="227"/>
    </row>
    <row r="124" spans="3:18" s="216" customFormat="1" ht="18" customHeight="1">
      <c r="C124" s="451">
        <f t="shared" si="11"/>
        <v>58</v>
      </c>
      <c r="D124" s="181" t="s">
        <v>37</v>
      </c>
      <c r="E124" s="181" t="s">
        <v>37</v>
      </c>
      <c r="F124" s="167" t="s">
        <v>457</v>
      </c>
      <c r="G124" s="480">
        <v>4</v>
      </c>
      <c r="H124" s="211">
        <v>170</v>
      </c>
      <c r="I124" s="170">
        <f t="shared" si="12"/>
        <v>680</v>
      </c>
      <c r="J124" s="175"/>
      <c r="K124" s="167" t="s">
        <v>458</v>
      </c>
      <c r="L124" s="474"/>
      <c r="M124" s="224"/>
      <c r="N124" s="225"/>
      <c r="O124" s="226"/>
      <c r="P124" s="226"/>
      <c r="Q124" s="225"/>
      <c r="R124" s="227"/>
    </row>
    <row r="125" spans="3:18" s="216" customFormat="1" ht="18" customHeight="1">
      <c r="C125" s="451">
        <f t="shared" si="11"/>
        <v>59</v>
      </c>
      <c r="D125" s="62" t="s">
        <v>37</v>
      </c>
      <c r="E125" s="62" t="s">
        <v>37</v>
      </c>
      <c r="F125" s="91" t="s">
        <v>459</v>
      </c>
      <c r="G125" s="111">
        <v>10</v>
      </c>
      <c r="H125" s="111">
        <v>19</v>
      </c>
      <c r="I125" s="336">
        <f t="shared" si="12"/>
        <v>190</v>
      </c>
      <c r="J125" s="481"/>
      <c r="K125" s="45" t="s">
        <v>133</v>
      </c>
      <c r="L125" s="474"/>
      <c r="M125" s="224"/>
      <c r="N125" s="225"/>
      <c r="O125" s="226"/>
      <c r="P125" s="226"/>
      <c r="Q125" s="225"/>
      <c r="R125" s="227"/>
    </row>
    <row r="126" spans="3:18" s="216" customFormat="1" ht="18" customHeight="1">
      <c r="C126" s="451">
        <f t="shared" si="11"/>
        <v>60</v>
      </c>
      <c r="D126" s="181" t="s">
        <v>37</v>
      </c>
      <c r="E126" s="181" t="s">
        <v>37</v>
      </c>
      <c r="F126" s="167" t="s">
        <v>460</v>
      </c>
      <c r="G126" s="162">
        <v>12</v>
      </c>
      <c r="H126" s="482">
        <v>39</v>
      </c>
      <c r="I126" s="170">
        <f t="shared" si="12"/>
        <v>468</v>
      </c>
      <c r="J126" s="165"/>
      <c r="K126" s="198" t="s">
        <v>461</v>
      </c>
      <c r="L126" s="474"/>
      <c r="M126" s="224"/>
      <c r="N126" s="225"/>
      <c r="O126" s="226"/>
      <c r="P126" s="226"/>
      <c r="Q126" s="225"/>
      <c r="R126" s="227"/>
    </row>
    <row r="127" spans="3:18" s="216" customFormat="1" ht="18" customHeight="1">
      <c r="C127" s="451">
        <f t="shared" si="11"/>
        <v>61</v>
      </c>
      <c r="D127" s="181" t="s">
        <v>37</v>
      </c>
      <c r="E127" s="181" t="s">
        <v>37</v>
      </c>
      <c r="F127" s="167" t="s">
        <v>462</v>
      </c>
      <c r="G127" s="476">
        <v>6</v>
      </c>
      <c r="H127" s="211">
        <v>25</v>
      </c>
      <c r="I127" s="170">
        <f>G127*H127</f>
        <v>150</v>
      </c>
      <c r="J127" s="165"/>
      <c r="K127" s="478" t="s">
        <v>440</v>
      </c>
      <c r="L127" s="474"/>
      <c r="M127" s="224"/>
      <c r="N127" s="225"/>
      <c r="O127" s="226"/>
      <c r="P127" s="226"/>
      <c r="Q127" s="225"/>
      <c r="R127" s="227"/>
    </row>
    <row r="128" spans="3:18" s="216" customFormat="1" ht="18" customHeight="1">
      <c r="C128" s="451">
        <f t="shared" si="11"/>
        <v>62</v>
      </c>
      <c r="D128" s="483" t="s">
        <v>37</v>
      </c>
      <c r="E128" s="483" t="s">
        <v>37</v>
      </c>
      <c r="F128" s="484" t="s">
        <v>463</v>
      </c>
      <c r="G128" s="241">
        <v>10</v>
      </c>
      <c r="H128" s="485">
        <v>25</v>
      </c>
      <c r="I128" s="486">
        <f>G128*H128</f>
        <v>250</v>
      </c>
      <c r="J128" s="487"/>
      <c r="K128" s="488" t="s">
        <v>464</v>
      </c>
      <c r="L128" s="474"/>
      <c r="M128" s="224"/>
      <c r="N128" s="225"/>
      <c r="O128" s="226"/>
      <c r="P128" s="226"/>
      <c r="Q128" s="225"/>
      <c r="R128" s="227"/>
    </row>
    <row r="129" spans="1:18" s="216" customFormat="1" ht="18" customHeight="1">
      <c r="C129" s="356"/>
      <c r="D129" s="489"/>
      <c r="E129" s="489"/>
      <c r="F129" s="490"/>
      <c r="G129" s="491"/>
      <c r="H129" s="174"/>
      <c r="I129" s="170"/>
      <c r="J129" s="175"/>
      <c r="K129" s="176"/>
      <c r="L129" s="474"/>
      <c r="M129" s="224"/>
      <c r="N129" s="225"/>
      <c r="O129" s="226"/>
      <c r="P129" s="226"/>
      <c r="Q129" s="225"/>
      <c r="R129" s="227"/>
    </row>
    <row r="130" spans="1:18" s="216" customFormat="1" ht="18" customHeight="1">
      <c r="C130" s="356"/>
      <c r="D130" s="489"/>
      <c r="E130" s="489"/>
      <c r="F130" s="653">
        <f>SUM(I106:I129)</f>
        <v>48218</v>
      </c>
      <c r="G130" s="654"/>
      <c r="H130" s="654"/>
      <c r="I130" s="655"/>
      <c r="J130" s="175"/>
      <c r="K130" s="176"/>
      <c r="L130" s="474"/>
      <c r="M130" s="224"/>
      <c r="N130" s="225"/>
      <c r="O130" s="226"/>
      <c r="P130" s="226"/>
      <c r="Q130" s="225"/>
      <c r="R130" s="227"/>
    </row>
    <row r="131" spans="1:18" s="216" customFormat="1" ht="18" customHeight="1">
      <c r="C131" s="356"/>
      <c r="D131" s="489"/>
      <c r="E131" s="489"/>
      <c r="F131" s="492"/>
      <c r="G131" s="491"/>
      <c r="H131" s="174"/>
      <c r="I131" s="170"/>
      <c r="J131" s="175"/>
      <c r="K131" s="176"/>
      <c r="L131" s="474"/>
      <c r="M131" s="224"/>
      <c r="N131" s="225"/>
      <c r="O131" s="226"/>
      <c r="P131" s="226"/>
      <c r="Q131" s="225"/>
      <c r="R131" s="227"/>
    </row>
    <row r="132" spans="1:18" s="216" customFormat="1" ht="18" customHeight="1">
      <c r="C132" s="356"/>
      <c r="D132" s="372"/>
      <c r="E132" s="372"/>
      <c r="F132" s="373"/>
      <c r="G132" s="374"/>
      <c r="H132" s="375"/>
      <c r="I132" s="231"/>
      <c r="J132" s="119"/>
      <c r="K132" s="355"/>
      <c r="L132" s="474"/>
      <c r="M132" s="224"/>
      <c r="N132" s="225"/>
      <c r="O132" s="226"/>
      <c r="P132" s="226"/>
      <c r="Q132" s="225"/>
      <c r="R132" s="227"/>
    </row>
    <row r="133" spans="1:18" ht="18" customHeight="1">
      <c r="C133" s="128"/>
      <c r="D133" s="202"/>
      <c r="E133" s="202"/>
      <c r="F133" s="203"/>
      <c r="G133" s="204"/>
      <c r="H133" s="204"/>
      <c r="I133" s="204"/>
      <c r="J133" s="472"/>
      <c r="K133" s="475"/>
      <c r="L133" s="467"/>
      <c r="M133" s="11"/>
      <c r="N133" s="76"/>
      <c r="O133" s="15"/>
      <c r="P133" s="15"/>
      <c r="Q133" s="76"/>
      <c r="R133" s="24"/>
    </row>
    <row r="134" spans="1:18" ht="18" customHeight="1">
      <c r="C134" s="379"/>
      <c r="D134" s="657" t="s">
        <v>152</v>
      </c>
      <c r="E134" s="658"/>
      <c r="F134" s="658"/>
      <c r="G134" s="201"/>
      <c r="H134" s="335"/>
      <c r="I134" s="335"/>
      <c r="J134" s="49"/>
      <c r="K134" s="100"/>
      <c r="L134" s="71"/>
      <c r="M134" s="11"/>
      <c r="N134" s="76"/>
      <c r="O134" s="15"/>
      <c r="P134" s="15"/>
      <c r="Q134" s="76"/>
      <c r="R134" s="24"/>
    </row>
    <row r="135" spans="1:18" ht="15.6" customHeight="1">
      <c r="A135" s="300" t="s">
        <v>364</v>
      </c>
      <c r="C135" s="149">
        <f>+C128+1</f>
        <v>63</v>
      </c>
      <c r="D135" s="521" t="s">
        <v>145</v>
      </c>
      <c r="E135" s="521" t="s">
        <v>145</v>
      </c>
      <c r="F135" s="522" t="s">
        <v>330</v>
      </c>
      <c r="G135" s="520"/>
      <c r="H135" s="519">
        <v>11966</v>
      </c>
      <c r="I135" s="523">
        <f t="shared" ref="I135:I136" si="13">G135*H135</f>
        <v>0</v>
      </c>
      <c r="J135" s="524"/>
      <c r="K135" s="525" t="s">
        <v>329</v>
      </c>
      <c r="L135" s="71"/>
      <c r="M135" s="11"/>
      <c r="N135" s="157"/>
      <c r="O135" s="15"/>
      <c r="P135" s="157"/>
      <c r="Q135" s="76"/>
      <c r="R135" s="134"/>
    </row>
    <row r="136" spans="1:18" ht="15.6" customHeight="1">
      <c r="A136" s="300" t="s">
        <v>364</v>
      </c>
      <c r="C136" s="114">
        <f t="shared" ref="C136:C138" si="14">+C135+1</f>
        <v>64</v>
      </c>
      <c r="D136" s="521" t="s">
        <v>145</v>
      </c>
      <c r="E136" s="521" t="s">
        <v>145</v>
      </c>
      <c r="F136" s="526" t="s">
        <v>368</v>
      </c>
      <c r="G136" s="520"/>
      <c r="H136" s="520">
        <v>2000</v>
      </c>
      <c r="I136" s="523">
        <f t="shared" si="13"/>
        <v>0</v>
      </c>
      <c r="J136" s="527"/>
      <c r="K136" s="528" t="s">
        <v>369</v>
      </c>
      <c r="L136" s="71"/>
      <c r="M136" s="11"/>
      <c r="N136" s="157"/>
      <c r="O136" s="15"/>
      <c r="P136" s="157"/>
      <c r="Q136" s="76"/>
      <c r="R136" s="134"/>
    </row>
    <row r="137" spans="1:18" ht="15.6" customHeight="1">
      <c r="A137" s="300" t="s">
        <v>364</v>
      </c>
      <c r="C137" s="114">
        <f t="shared" si="14"/>
        <v>65</v>
      </c>
      <c r="D137" s="521" t="s">
        <v>145</v>
      </c>
      <c r="E137" s="521" t="s">
        <v>145</v>
      </c>
      <c r="F137" s="526" t="s">
        <v>370</v>
      </c>
      <c r="G137" s="520"/>
      <c r="H137" s="520">
        <v>7104</v>
      </c>
      <c r="I137" s="520">
        <f>G137*H137</f>
        <v>0</v>
      </c>
      <c r="J137" s="527"/>
      <c r="K137" s="528" t="s">
        <v>371</v>
      </c>
      <c r="L137" s="71"/>
      <c r="M137" s="11"/>
      <c r="N137" s="157"/>
      <c r="O137" s="15"/>
      <c r="P137" s="157"/>
      <c r="Q137" s="76"/>
      <c r="R137" s="134"/>
    </row>
    <row r="138" spans="1:18" ht="15.6" customHeight="1">
      <c r="A138" s="300" t="s">
        <v>364</v>
      </c>
      <c r="C138" s="114">
        <f t="shared" si="14"/>
        <v>66</v>
      </c>
      <c r="D138" s="529" t="s">
        <v>145</v>
      </c>
      <c r="E138" s="529" t="s">
        <v>145</v>
      </c>
      <c r="F138" s="530" t="s">
        <v>372</v>
      </c>
      <c r="G138" s="531"/>
      <c r="H138" s="532">
        <v>2150</v>
      </c>
      <c r="I138" s="533">
        <f>G138*H138</f>
        <v>0</v>
      </c>
      <c r="J138" s="534"/>
      <c r="K138" s="535" t="s">
        <v>373</v>
      </c>
      <c r="L138" s="449"/>
      <c r="M138" s="11"/>
      <c r="N138" s="157"/>
      <c r="O138" s="15"/>
      <c r="P138" s="157"/>
      <c r="Q138" s="76"/>
      <c r="R138" s="134"/>
    </row>
    <row r="139" spans="1:18" ht="18" customHeight="1">
      <c r="A139" s="300" t="s">
        <v>360</v>
      </c>
      <c r="C139" s="149">
        <f>+C138+1</f>
        <v>67</v>
      </c>
      <c r="D139" s="164" t="s">
        <v>145</v>
      </c>
      <c r="E139" s="164" t="s">
        <v>145</v>
      </c>
      <c r="F139" s="290" t="s">
        <v>320</v>
      </c>
      <c r="G139" s="291">
        <v>1</v>
      </c>
      <c r="H139" s="289">
        <v>11950</v>
      </c>
      <c r="I139" s="321">
        <f t="shared" ref="I139:I170" si="15">G139*H139</f>
        <v>11950</v>
      </c>
      <c r="J139" s="165"/>
      <c r="K139" s="166" t="s">
        <v>198</v>
      </c>
      <c r="L139" s="71"/>
      <c r="M139" s="11"/>
      <c r="N139" s="157"/>
      <c r="O139" s="15"/>
      <c r="P139" s="157"/>
      <c r="Q139" s="76"/>
      <c r="R139" s="134"/>
    </row>
    <row r="140" spans="1:18" ht="18" customHeight="1">
      <c r="A140" s="300" t="s">
        <v>365</v>
      </c>
      <c r="C140" s="149">
        <f t="shared" ref="C140:C185" si="16">+C139+1</f>
        <v>68</v>
      </c>
      <c r="D140" s="164" t="s">
        <v>145</v>
      </c>
      <c r="E140" s="164" t="s">
        <v>145</v>
      </c>
      <c r="F140" s="292" t="s">
        <v>199</v>
      </c>
      <c r="G140" s="293">
        <v>1</v>
      </c>
      <c r="H140" s="294">
        <v>2148</v>
      </c>
      <c r="I140" s="169">
        <f t="shared" si="15"/>
        <v>2148</v>
      </c>
      <c r="J140" s="170"/>
      <c r="K140" s="163" t="s">
        <v>200</v>
      </c>
      <c r="L140" s="71"/>
      <c r="M140" s="11"/>
      <c r="N140" s="157"/>
      <c r="O140" s="15"/>
      <c r="P140" s="157"/>
      <c r="Q140" s="76"/>
      <c r="R140" s="134"/>
    </row>
    <row r="141" spans="1:18" ht="18" customHeight="1">
      <c r="C141" s="149">
        <f t="shared" si="16"/>
        <v>69</v>
      </c>
      <c r="D141" s="164" t="s">
        <v>145</v>
      </c>
      <c r="E141" s="164" t="s">
        <v>145</v>
      </c>
      <c r="F141" s="415" t="s">
        <v>201</v>
      </c>
      <c r="G141" s="293">
        <v>1</v>
      </c>
      <c r="H141" s="294">
        <v>6005</v>
      </c>
      <c r="I141" s="169">
        <f t="shared" si="15"/>
        <v>6005</v>
      </c>
      <c r="J141" s="170"/>
      <c r="K141" s="163" t="s">
        <v>200</v>
      </c>
      <c r="L141" s="71"/>
      <c r="M141" s="11"/>
      <c r="N141" s="157"/>
      <c r="O141" s="15"/>
      <c r="P141" s="157"/>
      <c r="Q141" s="76"/>
      <c r="R141" s="134"/>
    </row>
    <row r="142" spans="1:18" ht="18" customHeight="1">
      <c r="A142" s="300" t="s">
        <v>353</v>
      </c>
      <c r="C142" s="149">
        <f t="shared" si="16"/>
        <v>70</v>
      </c>
      <c r="D142" s="164" t="s">
        <v>145</v>
      </c>
      <c r="E142" s="164" t="s">
        <v>145</v>
      </c>
      <c r="F142" s="292" t="s">
        <v>202</v>
      </c>
      <c r="G142" s="293">
        <v>1</v>
      </c>
      <c r="H142" s="294">
        <v>4570</v>
      </c>
      <c r="I142" s="169">
        <f t="shared" si="15"/>
        <v>4570</v>
      </c>
      <c r="J142" s="170"/>
      <c r="K142" s="163" t="s">
        <v>203</v>
      </c>
      <c r="L142" s="71"/>
      <c r="M142" s="11"/>
      <c r="N142" s="157"/>
      <c r="O142" s="15"/>
      <c r="P142" s="157"/>
      <c r="Q142" s="76"/>
      <c r="R142" s="134"/>
    </row>
    <row r="143" spans="1:18" ht="18" customHeight="1">
      <c r="A143" s="300" t="s">
        <v>353</v>
      </c>
      <c r="C143" s="149">
        <f t="shared" si="16"/>
        <v>71</v>
      </c>
      <c r="D143" s="164" t="s">
        <v>145</v>
      </c>
      <c r="E143" s="164" t="s">
        <v>145</v>
      </c>
      <c r="F143" s="292" t="s">
        <v>204</v>
      </c>
      <c r="G143" s="293">
        <v>1</v>
      </c>
      <c r="H143" s="294">
        <v>3853</v>
      </c>
      <c r="I143" s="169">
        <f t="shared" si="15"/>
        <v>3853</v>
      </c>
      <c r="J143" s="171"/>
      <c r="K143" s="163" t="s">
        <v>205</v>
      </c>
      <c r="L143" s="71"/>
      <c r="M143" s="11"/>
      <c r="N143" s="157"/>
      <c r="O143" s="15"/>
      <c r="P143" s="157"/>
      <c r="Q143" s="76"/>
      <c r="R143" s="134"/>
    </row>
    <row r="144" spans="1:18" ht="18" customHeight="1">
      <c r="A144" s="300" t="s">
        <v>360</v>
      </c>
      <c r="C144" s="149">
        <f t="shared" si="16"/>
        <v>72</v>
      </c>
      <c r="D144" s="164" t="s">
        <v>145</v>
      </c>
      <c r="E144" s="164" t="s">
        <v>145</v>
      </c>
      <c r="F144" s="292" t="s">
        <v>333</v>
      </c>
      <c r="G144" s="293">
        <v>1</v>
      </c>
      <c r="H144" s="294">
        <v>977</v>
      </c>
      <c r="I144" s="169">
        <f t="shared" si="15"/>
        <v>977</v>
      </c>
      <c r="J144" s="172"/>
      <c r="K144" s="163" t="s">
        <v>206</v>
      </c>
      <c r="L144" s="71"/>
      <c r="M144" s="11"/>
      <c r="N144" s="157"/>
      <c r="O144" s="15"/>
      <c r="P144" s="157"/>
      <c r="Q144" s="76"/>
      <c r="R144" s="134"/>
    </row>
    <row r="145" spans="1:18" ht="18" customHeight="1">
      <c r="A145" s="300" t="s">
        <v>360</v>
      </c>
      <c r="C145" s="149">
        <f t="shared" si="16"/>
        <v>73</v>
      </c>
      <c r="D145" s="162" t="s">
        <v>37</v>
      </c>
      <c r="E145" s="162" t="s">
        <v>37</v>
      </c>
      <c r="F145" s="295" t="s">
        <v>332</v>
      </c>
      <c r="G145" s="296">
        <v>1</v>
      </c>
      <c r="H145" s="296">
        <v>977</v>
      </c>
      <c r="I145" s="169">
        <f>G145*H145</f>
        <v>977</v>
      </c>
      <c r="J145" s="190"/>
      <c r="K145" s="180" t="s">
        <v>116</v>
      </c>
      <c r="L145" s="71"/>
      <c r="M145" s="11"/>
      <c r="N145" s="157"/>
      <c r="O145" s="15"/>
      <c r="P145" s="157"/>
      <c r="Q145" s="76"/>
      <c r="R145" s="134"/>
    </row>
    <row r="146" spans="1:18" ht="18" customHeight="1">
      <c r="C146" s="149">
        <f>+C145+1</f>
        <v>74</v>
      </c>
      <c r="D146" s="262" t="s">
        <v>145</v>
      </c>
      <c r="E146" s="262" t="s">
        <v>145</v>
      </c>
      <c r="F146" s="263" t="s">
        <v>146</v>
      </c>
      <c r="G146" s="348"/>
      <c r="H146" s="267">
        <v>1082</v>
      </c>
      <c r="I146" s="268">
        <f t="shared" si="15"/>
        <v>0</v>
      </c>
      <c r="J146" s="264"/>
      <c r="K146" s="265" t="s">
        <v>207</v>
      </c>
      <c r="L146" s="251" t="s">
        <v>319</v>
      </c>
      <c r="M146" s="11"/>
      <c r="N146" s="76"/>
      <c r="O146" s="15"/>
      <c r="P146" s="157"/>
      <c r="Q146" s="160"/>
      <c r="R146" s="24"/>
    </row>
    <row r="147" spans="1:18" ht="18" customHeight="1">
      <c r="C147" s="149">
        <f t="shared" si="16"/>
        <v>75</v>
      </c>
      <c r="D147" s="262" t="s">
        <v>145</v>
      </c>
      <c r="E147" s="262" t="s">
        <v>145</v>
      </c>
      <c r="F147" s="266" t="s">
        <v>148</v>
      </c>
      <c r="G147" s="267"/>
      <c r="H147" s="270">
        <v>403</v>
      </c>
      <c r="I147" s="268">
        <f t="shared" si="15"/>
        <v>0</v>
      </c>
      <c r="J147" s="269"/>
      <c r="K147" s="265" t="s">
        <v>149</v>
      </c>
      <c r="L147" s="251" t="s">
        <v>319</v>
      </c>
      <c r="M147" s="11"/>
      <c r="N147" s="76"/>
      <c r="O147" s="15"/>
      <c r="P147" s="157"/>
      <c r="Q147" s="160"/>
      <c r="R147" s="24"/>
    </row>
    <row r="148" spans="1:18" ht="18" customHeight="1">
      <c r="A148" s="300" t="s">
        <v>353</v>
      </c>
      <c r="C148" s="149">
        <f t="shared" si="16"/>
        <v>76</v>
      </c>
      <c r="D148" s="262" t="s">
        <v>145</v>
      </c>
      <c r="E148" s="262" t="s">
        <v>145</v>
      </c>
      <c r="F148" s="266" t="s">
        <v>208</v>
      </c>
      <c r="G148" s="267"/>
      <c r="H148" s="267">
        <v>926</v>
      </c>
      <c r="I148" s="268">
        <f t="shared" si="15"/>
        <v>0</v>
      </c>
      <c r="J148" s="269"/>
      <c r="K148" s="265" t="s">
        <v>209</v>
      </c>
      <c r="L148" s="251" t="s">
        <v>319</v>
      </c>
      <c r="M148" s="11"/>
      <c r="N148" s="76"/>
      <c r="O148" s="15"/>
      <c r="P148" s="157"/>
      <c r="Q148" s="160"/>
      <c r="R148" s="24"/>
    </row>
    <row r="149" spans="1:18" ht="18" customHeight="1">
      <c r="C149" s="149">
        <f t="shared" si="16"/>
        <v>77</v>
      </c>
      <c r="D149" s="262" t="s">
        <v>145</v>
      </c>
      <c r="E149" s="262" t="s">
        <v>145</v>
      </c>
      <c r="F149" s="274" t="s">
        <v>210</v>
      </c>
      <c r="G149" s="267"/>
      <c r="H149" s="268">
        <v>19</v>
      </c>
      <c r="I149" s="268">
        <f>G149*H149</f>
        <v>0</v>
      </c>
      <c r="J149" s="268"/>
      <c r="K149" s="265" t="s">
        <v>211</v>
      </c>
      <c r="L149" s="251" t="s">
        <v>319</v>
      </c>
      <c r="M149" s="11"/>
      <c r="N149" s="76"/>
      <c r="O149" s="15"/>
      <c r="P149" s="157"/>
      <c r="Q149" s="160"/>
      <c r="R149" s="24"/>
    </row>
    <row r="150" spans="1:18" ht="18" customHeight="1">
      <c r="A150" s="300" t="s">
        <v>353</v>
      </c>
      <c r="C150" s="149">
        <f>+C149+1</f>
        <v>78</v>
      </c>
      <c r="D150" s="177" t="s">
        <v>145</v>
      </c>
      <c r="E150" s="177" t="s">
        <v>145</v>
      </c>
      <c r="F150" s="118" t="s">
        <v>212</v>
      </c>
      <c r="G150" s="231">
        <v>1</v>
      </c>
      <c r="H150" s="231">
        <v>1789</v>
      </c>
      <c r="I150" s="169">
        <f t="shared" si="15"/>
        <v>1789</v>
      </c>
      <c r="J150" s="179"/>
      <c r="K150" s="180" t="s">
        <v>213</v>
      </c>
      <c r="L150" s="71"/>
      <c r="M150" s="11"/>
      <c r="N150" s="157"/>
      <c r="O150" s="15"/>
      <c r="P150" s="157"/>
      <c r="Q150" s="76"/>
      <c r="R150" s="134"/>
    </row>
    <row r="151" spans="1:18" ht="18" customHeight="1">
      <c r="A151" s="300" t="s">
        <v>353</v>
      </c>
      <c r="C151" s="149">
        <f t="shared" si="16"/>
        <v>79</v>
      </c>
      <c r="D151" s="164" t="s">
        <v>145</v>
      </c>
      <c r="E151" s="164" t="s">
        <v>145</v>
      </c>
      <c r="F151" s="297" t="s">
        <v>214</v>
      </c>
      <c r="G151" s="119">
        <v>1</v>
      </c>
      <c r="H151" s="231">
        <v>4225</v>
      </c>
      <c r="I151" s="169">
        <f t="shared" si="15"/>
        <v>4225</v>
      </c>
      <c r="J151" s="165"/>
      <c r="K151" s="167" t="s">
        <v>215</v>
      </c>
      <c r="L151" s="71"/>
      <c r="M151" s="11"/>
      <c r="N151" s="157"/>
      <c r="O151" s="15"/>
      <c r="P151" s="157"/>
      <c r="Q151" s="76"/>
      <c r="R151" s="134"/>
    </row>
    <row r="152" spans="1:18" ht="18" customHeight="1">
      <c r="C152" s="149">
        <f>+C151+1</f>
        <v>80</v>
      </c>
      <c r="D152" s="271" t="s">
        <v>216</v>
      </c>
      <c r="E152" s="271" t="s">
        <v>145</v>
      </c>
      <c r="F152" s="257" t="s">
        <v>217</v>
      </c>
      <c r="G152" s="272"/>
      <c r="H152" s="273">
        <v>483</v>
      </c>
      <c r="I152" s="273">
        <f t="shared" si="15"/>
        <v>0</v>
      </c>
      <c r="J152" s="275"/>
      <c r="K152" s="276" t="s">
        <v>218</v>
      </c>
      <c r="L152" s="251" t="s">
        <v>319</v>
      </c>
      <c r="M152" s="11"/>
      <c r="N152" s="76"/>
      <c r="O152" s="15"/>
      <c r="P152" s="157"/>
      <c r="Q152" s="160"/>
      <c r="R152" s="24"/>
    </row>
    <row r="153" spans="1:18" ht="18" customHeight="1">
      <c r="A153" s="300" t="s">
        <v>353</v>
      </c>
      <c r="C153" s="149">
        <f t="shared" si="16"/>
        <v>81</v>
      </c>
      <c r="D153" s="164" t="s">
        <v>145</v>
      </c>
      <c r="E153" s="164" t="s">
        <v>145</v>
      </c>
      <c r="F153" s="416" t="s">
        <v>219</v>
      </c>
      <c r="G153" s="119">
        <v>1</v>
      </c>
      <c r="H153" s="231">
        <v>550</v>
      </c>
      <c r="I153" s="169">
        <f t="shared" si="15"/>
        <v>550</v>
      </c>
      <c r="J153" s="165"/>
      <c r="K153" s="163" t="s">
        <v>220</v>
      </c>
      <c r="L153" s="71"/>
      <c r="M153" s="11"/>
      <c r="N153" s="157"/>
      <c r="O153" s="15"/>
      <c r="P153" s="157"/>
      <c r="Q153" s="76"/>
      <c r="R153" s="134"/>
    </row>
    <row r="154" spans="1:18" ht="18" customHeight="1">
      <c r="C154" s="149">
        <f t="shared" si="16"/>
        <v>82</v>
      </c>
      <c r="D154" s="164" t="s">
        <v>145</v>
      </c>
      <c r="E154" s="164" t="s">
        <v>145</v>
      </c>
      <c r="F154" s="298" t="s">
        <v>221</v>
      </c>
      <c r="G154" s="119">
        <v>1</v>
      </c>
      <c r="H154" s="231">
        <v>508</v>
      </c>
      <c r="I154" s="169">
        <f t="shared" si="15"/>
        <v>508</v>
      </c>
      <c r="J154" s="165"/>
      <c r="K154" s="167" t="s">
        <v>222</v>
      </c>
      <c r="L154" s="71"/>
      <c r="M154" s="11"/>
      <c r="N154" s="157"/>
      <c r="O154" s="15"/>
      <c r="P154" s="157"/>
      <c r="Q154" s="76"/>
      <c r="R154" s="134"/>
    </row>
    <row r="155" spans="1:18" ht="18" customHeight="1">
      <c r="A155" s="112" t="s">
        <v>366</v>
      </c>
      <c r="C155" s="149">
        <f t="shared" si="16"/>
        <v>83</v>
      </c>
      <c r="D155" s="164" t="s">
        <v>145</v>
      </c>
      <c r="E155" s="164" t="s">
        <v>145</v>
      </c>
      <c r="F155" s="417" t="s">
        <v>223</v>
      </c>
      <c r="G155" s="119">
        <v>1</v>
      </c>
      <c r="H155" s="231">
        <v>5104</v>
      </c>
      <c r="I155" s="169">
        <f t="shared" si="15"/>
        <v>5104</v>
      </c>
      <c r="J155" s="165"/>
      <c r="K155" s="167" t="s">
        <v>224</v>
      </c>
      <c r="L155" s="71"/>
      <c r="M155" s="11"/>
      <c r="N155" s="157"/>
      <c r="O155" s="15"/>
      <c r="P155" s="157"/>
      <c r="Q155" s="76"/>
      <c r="R155" s="134"/>
    </row>
    <row r="156" spans="1:18" ht="18" customHeight="1">
      <c r="A156" s="112" t="s">
        <v>366</v>
      </c>
      <c r="C156" s="149">
        <f t="shared" si="16"/>
        <v>84</v>
      </c>
      <c r="D156" s="164" t="s">
        <v>145</v>
      </c>
      <c r="E156" s="164" t="s">
        <v>145</v>
      </c>
      <c r="F156" s="277" t="s">
        <v>225</v>
      </c>
      <c r="G156" s="119">
        <v>1</v>
      </c>
      <c r="H156" s="231">
        <v>5400</v>
      </c>
      <c r="I156" s="169">
        <f t="shared" si="15"/>
        <v>5400</v>
      </c>
      <c r="J156" s="165"/>
      <c r="K156" s="167" t="s">
        <v>226</v>
      </c>
      <c r="L156" s="71"/>
      <c r="M156" s="11"/>
      <c r="N156" s="157"/>
      <c r="O156" s="15"/>
      <c r="P156" s="157"/>
      <c r="Q156" s="76"/>
      <c r="R156" s="134"/>
    </row>
    <row r="157" spans="1:18" ht="18" customHeight="1">
      <c r="A157" s="112" t="s">
        <v>366</v>
      </c>
      <c r="C157" s="149">
        <f t="shared" si="16"/>
        <v>85</v>
      </c>
      <c r="D157" s="124" t="s">
        <v>145</v>
      </c>
      <c r="E157" s="124" t="s">
        <v>145</v>
      </c>
      <c r="F157" s="277" t="s">
        <v>227</v>
      </c>
      <c r="G157" s="119">
        <v>1</v>
      </c>
      <c r="H157" s="231">
        <v>5560</v>
      </c>
      <c r="I157" s="231">
        <f t="shared" si="15"/>
        <v>5560</v>
      </c>
      <c r="J157" s="120"/>
      <c r="K157" s="125" t="s">
        <v>228</v>
      </c>
      <c r="L157" s="223"/>
      <c r="M157" s="11"/>
      <c r="N157" s="157"/>
      <c r="O157" s="15"/>
      <c r="P157" s="157"/>
      <c r="Q157" s="76"/>
      <c r="R157" s="134"/>
    </row>
    <row r="158" spans="1:18" ht="18" customHeight="1">
      <c r="C158" s="149">
        <f t="shared" si="16"/>
        <v>86</v>
      </c>
      <c r="D158" s="262" t="s">
        <v>145</v>
      </c>
      <c r="E158" s="262" t="s">
        <v>145</v>
      </c>
      <c r="F158" s="278" t="s">
        <v>229</v>
      </c>
      <c r="G158" s="267"/>
      <c r="H158" s="268">
        <v>1098</v>
      </c>
      <c r="I158" s="268">
        <f t="shared" si="15"/>
        <v>0</v>
      </c>
      <c r="J158" s="264"/>
      <c r="K158" s="266" t="s">
        <v>230</v>
      </c>
      <c r="L158" s="251" t="s">
        <v>319</v>
      </c>
      <c r="M158" s="11"/>
      <c r="N158" s="76"/>
      <c r="O158" s="15"/>
      <c r="P158" s="157"/>
      <c r="Q158" s="160"/>
      <c r="R158" s="24"/>
    </row>
    <row r="159" spans="1:18" ht="18" customHeight="1">
      <c r="C159" s="149">
        <f t="shared" si="16"/>
        <v>87</v>
      </c>
      <c r="D159" s="262" t="s">
        <v>145</v>
      </c>
      <c r="E159" s="262" t="s">
        <v>145</v>
      </c>
      <c r="F159" s="279" t="s">
        <v>231</v>
      </c>
      <c r="G159" s="267"/>
      <c r="H159" s="268">
        <v>1098</v>
      </c>
      <c r="I159" s="268">
        <f t="shared" si="15"/>
        <v>0</v>
      </c>
      <c r="J159" s="264"/>
      <c r="K159" s="266" t="s">
        <v>232</v>
      </c>
      <c r="L159" s="251" t="s">
        <v>319</v>
      </c>
      <c r="M159" s="11"/>
      <c r="N159" s="76"/>
      <c r="O159" s="15"/>
      <c r="P159" s="157"/>
      <c r="Q159" s="160"/>
      <c r="R159" s="24"/>
    </row>
    <row r="160" spans="1:18" ht="18" customHeight="1">
      <c r="A160" s="300" t="s">
        <v>353</v>
      </c>
      <c r="C160" s="149">
        <f t="shared" si="16"/>
        <v>88</v>
      </c>
      <c r="D160" s="181" t="s">
        <v>145</v>
      </c>
      <c r="E160" s="181" t="s">
        <v>145</v>
      </c>
      <c r="F160" s="126" t="s">
        <v>187</v>
      </c>
      <c r="G160" s="288">
        <v>2</v>
      </c>
      <c r="H160" s="337">
        <v>860</v>
      </c>
      <c r="I160" s="336">
        <f t="shared" si="15"/>
        <v>1720</v>
      </c>
      <c r="J160" s="182"/>
      <c r="K160" s="183" t="s">
        <v>233</v>
      </c>
      <c r="L160" s="71"/>
      <c r="M160" s="11"/>
      <c r="N160" s="157"/>
      <c r="O160" s="15"/>
      <c r="P160" s="157"/>
      <c r="Q160" s="76"/>
      <c r="R160" s="134"/>
    </row>
    <row r="161" spans="1:18" ht="18" customHeight="1">
      <c r="A161" s="300" t="s">
        <v>353</v>
      </c>
      <c r="C161" s="149">
        <f t="shared" si="16"/>
        <v>89</v>
      </c>
      <c r="D161" s="191" t="s">
        <v>145</v>
      </c>
      <c r="E161" s="191" t="s">
        <v>145</v>
      </c>
      <c r="F161" s="118" t="s">
        <v>188</v>
      </c>
      <c r="G161" s="122">
        <v>6</v>
      </c>
      <c r="H161" s="338">
        <v>270</v>
      </c>
      <c r="I161" s="339">
        <f t="shared" si="15"/>
        <v>1620</v>
      </c>
      <c r="J161" s="192"/>
      <c r="K161" s="178" t="s">
        <v>153</v>
      </c>
      <c r="L161" s="71"/>
      <c r="M161" s="11"/>
      <c r="N161" s="157"/>
      <c r="O161" s="15"/>
      <c r="P161" s="157"/>
      <c r="Q161" s="76"/>
      <c r="R161" s="134"/>
    </row>
    <row r="162" spans="1:18" ht="18" customHeight="1">
      <c r="C162" s="149">
        <f t="shared" si="16"/>
        <v>90</v>
      </c>
      <c r="D162" s="122" t="s">
        <v>144</v>
      </c>
      <c r="E162" s="285" t="s">
        <v>195</v>
      </c>
      <c r="F162" s="536" t="s">
        <v>234</v>
      </c>
      <c r="G162" s="122">
        <v>1</v>
      </c>
      <c r="H162" s="122">
        <v>3040</v>
      </c>
      <c r="I162" s="135">
        <f t="shared" si="15"/>
        <v>3040</v>
      </c>
      <c r="J162" s="120"/>
      <c r="K162" s="537" t="s">
        <v>160</v>
      </c>
      <c r="L162" s="71"/>
      <c r="M162" s="11"/>
      <c r="N162" s="76"/>
      <c r="O162" s="15"/>
      <c r="P162" s="157"/>
      <c r="Q162" s="160"/>
      <c r="R162" s="24"/>
    </row>
    <row r="163" spans="1:18" ht="18" customHeight="1">
      <c r="A163" s="300" t="s">
        <v>353</v>
      </c>
      <c r="C163" s="149">
        <f t="shared" si="16"/>
        <v>91</v>
      </c>
      <c r="D163" s="185" t="s">
        <v>145</v>
      </c>
      <c r="E163" s="185" t="s">
        <v>145</v>
      </c>
      <c r="F163" s="349" t="s">
        <v>235</v>
      </c>
      <c r="G163" s="520">
        <v>1</v>
      </c>
      <c r="H163" s="185">
        <v>4300</v>
      </c>
      <c r="I163" s="185">
        <f t="shared" si="15"/>
        <v>4300</v>
      </c>
      <c r="J163" s="174"/>
      <c r="K163" s="186" t="s">
        <v>236</v>
      </c>
      <c r="L163" s="71"/>
      <c r="M163" s="11"/>
      <c r="N163" s="157"/>
      <c r="O163" s="15"/>
      <c r="P163" s="157"/>
      <c r="Q163" s="76"/>
      <c r="R163" s="134"/>
    </row>
    <row r="164" spans="1:18" ht="18" customHeight="1">
      <c r="C164" s="149">
        <f t="shared" si="16"/>
        <v>92</v>
      </c>
      <c r="D164" s="185" t="s">
        <v>145</v>
      </c>
      <c r="E164" s="185" t="s">
        <v>145</v>
      </c>
      <c r="F164" s="232" t="s">
        <v>237</v>
      </c>
      <c r="G164" s="422">
        <v>4</v>
      </c>
      <c r="H164" s="185">
        <v>106</v>
      </c>
      <c r="I164" s="185">
        <f t="shared" si="15"/>
        <v>424</v>
      </c>
      <c r="J164" s="187"/>
      <c r="K164" s="186" t="s">
        <v>238</v>
      </c>
      <c r="L164" s="71"/>
      <c r="M164" s="11"/>
      <c r="N164" s="157"/>
      <c r="O164" s="15"/>
      <c r="P164" s="157"/>
      <c r="Q164" s="76"/>
      <c r="R164" s="134"/>
    </row>
    <row r="165" spans="1:18" ht="18" customHeight="1">
      <c r="C165" s="149">
        <f t="shared" si="16"/>
        <v>93</v>
      </c>
      <c r="D165" s="164" t="s">
        <v>145</v>
      </c>
      <c r="E165" s="164" t="s">
        <v>145</v>
      </c>
      <c r="F165" s="232" t="s">
        <v>239</v>
      </c>
      <c r="G165" s="422">
        <v>4</v>
      </c>
      <c r="H165" s="321">
        <v>212</v>
      </c>
      <c r="I165" s="185">
        <f t="shared" si="15"/>
        <v>848</v>
      </c>
      <c r="J165" s="165"/>
      <c r="K165" s="163" t="s">
        <v>240</v>
      </c>
      <c r="L165" s="71"/>
      <c r="M165" s="11"/>
      <c r="N165" s="157"/>
      <c r="O165" s="15"/>
      <c r="P165" s="157"/>
      <c r="Q165" s="76"/>
      <c r="R165" s="134"/>
    </row>
    <row r="166" spans="1:18" ht="18" customHeight="1">
      <c r="C166" s="149">
        <f t="shared" si="16"/>
        <v>94</v>
      </c>
      <c r="D166" s="164" t="s">
        <v>145</v>
      </c>
      <c r="E166" s="164" t="s">
        <v>145</v>
      </c>
      <c r="F166" s="188" t="s">
        <v>241</v>
      </c>
      <c r="G166" s="422">
        <v>2</v>
      </c>
      <c r="H166" s="321">
        <v>76</v>
      </c>
      <c r="I166" s="185">
        <f t="shared" si="15"/>
        <v>152</v>
      </c>
      <c r="J166" s="165"/>
      <c r="K166" s="163" t="s">
        <v>242</v>
      </c>
      <c r="L166" s="71"/>
      <c r="M166" s="11"/>
      <c r="N166" s="157"/>
      <c r="O166" s="15"/>
      <c r="P166" s="157"/>
      <c r="Q166" s="76"/>
      <c r="R166" s="134"/>
    </row>
    <row r="167" spans="1:18" ht="18" customHeight="1">
      <c r="C167" s="149">
        <f t="shared" si="16"/>
        <v>95</v>
      </c>
      <c r="D167" s="177" t="s">
        <v>145</v>
      </c>
      <c r="E167" s="177" t="s">
        <v>145</v>
      </c>
      <c r="F167" s="189" t="s">
        <v>243</v>
      </c>
      <c r="G167" s="168">
        <v>2</v>
      </c>
      <c r="H167" s="168">
        <v>250</v>
      </c>
      <c r="I167" s="169">
        <f t="shared" si="15"/>
        <v>500</v>
      </c>
      <c r="J167" s="190"/>
      <c r="K167" s="189" t="s">
        <v>244</v>
      </c>
      <c r="L167" s="71"/>
      <c r="M167" s="11"/>
      <c r="N167" s="157"/>
      <c r="O167" s="15"/>
      <c r="P167" s="157"/>
      <c r="Q167" s="76"/>
      <c r="R167" s="134"/>
    </row>
    <row r="168" spans="1:18" ht="18" customHeight="1">
      <c r="C168" s="149">
        <f t="shared" si="16"/>
        <v>96</v>
      </c>
      <c r="D168" s="177" t="s">
        <v>145</v>
      </c>
      <c r="E168" s="177" t="s">
        <v>145</v>
      </c>
      <c r="F168" s="189" t="s">
        <v>245</v>
      </c>
      <c r="G168" s="168">
        <v>2</v>
      </c>
      <c r="H168" s="168">
        <v>200</v>
      </c>
      <c r="I168" s="169">
        <f t="shared" si="15"/>
        <v>400</v>
      </c>
      <c r="J168" s="190"/>
      <c r="K168" s="189" t="s">
        <v>246</v>
      </c>
      <c r="L168" s="71"/>
      <c r="M168" s="11"/>
      <c r="N168" s="157"/>
      <c r="O168" s="15"/>
      <c r="P168" s="157"/>
      <c r="Q168" s="76"/>
      <c r="R168" s="134"/>
    </row>
    <row r="169" spans="1:18" ht="18" customHeight="1">
      <c r="C169" s="149">
        <f t="shared" si="16"/>
        <v>97</v>
      </c>
      <c r="D169" s="262" t="s">
        <v>145</v>
      </c>
      <c r="E169" s="262" t="s">
        <v>145</v>
      </c>
      <c r="F169" s="266" t="s">
        <v>150</v>
      </c>
      <c r="G169" s="267"/>
      <c r="H169" s="268">
        <v>940</v>
      </c>
      <c r="I169" s="340">
        <f t="shared" si="15"/>
        <v>0</v>
      </c>
      <c r="J169" s="280"/>
      <c r="K169" s="278" t="s">
        <v>151</v>
      </c>
      <c r="L169" s="251" t="s">
        <v>319</v>
      </c>
      <c r="M169" s="11"/>
      <c r="N169" s="76"/>
      <c r="O169" s="15"/>
      <c r="P169" s="157"/>
      <c r="Q169" s="160"/>
      <c r="R169" s="24"/>
    </row>
    <row r="170" spans="1:18" ht="18" customHeight="1">
      <c r="C170" s="149">
        <f t="shared" si="16"/>
        <v>98</v>
      </c>
      <c r="D170" s="281" t="s">
        <v>145</v>
      </c>
      <c r="E170" s="281" t="s">
        <v>145</v>
      </c>
      <c r="F170" s="247" t="s">
        <v>247</v>
      </c>
      <c r="G170" s="282"/>
      <c r="H170" s="304">
        <v>570</v>
      </c>
      <c r="I170" s="304">
        <f t="shared" si="15"/>
        <v>0</v>
      </c>
      <c r="J170" s="283"/>
      <c r="K170" s="247" t="s">
        <v>248</v>
      </c>
      <c r="L170" s="251" t="s">
        <v>319</v>
      </c>
      <c r="M170" s="11"/>
      <c r="N170" s="76"/>
      <c r="O170" s="15"/>
      <c r="P170" s="157"/>
      <c r="Q170" s="160"/>
      <c r="R170" s="24"/>
    </row>
    <row r="171" spans="1:18" ht="18" customHeight="1">
      <c r="A171" s="300" t="s">
        <v>365</v>
      </c>
      <c r="C171" s="149">
        <f t="shared" si="16"/>
        <v>99</v>
      </c>
      <c r="D171" s="538" t="s">
        <v>145</v>
      </c>
      <c r="E171" s="538" t="s">
        <v>145</v>
      </c>
      <c r="F171" s="539" t="s">
        <v>468</v>
      </c>
      <c r="G171" s="519"/>
      <c r="H171" s="540">
        <v>8500</v>
      </c>
      <c r="I171" s="541">
        <f>G171*H171</f>
        <v>0</v>
      </c>
      <c r="J171" s="422"/>
      <c r="K171" s="542" t="s">
        <v>249</v>
      </c>
      <c r="L171" s="71"/>
      <c r="M171" s="11"/>
      <c r="N171" s="157"/>
      <c r="O171" s="15"/>
      <c r="P171" s="157"/>
      <c r="Q171" s="76"/>
      <c r="R171" s="134"/>
    </row>
    <row r="172" spans="1:18" ht="18" customHeight="1">
      <c r="A172" s="300" t="s">
        <v>360</v>
      </c>
      <c r="C172" s="149">
        <f t="shared" si="16"/>
        <v>100</v>
      </c>
      <c r="D172" s="164" t="s">
        <v>145</v>
      </c>
      <c r="E172" s="164" t="s">
        <v>145</v>
      </c>
      <c r="F172" s="166" t="s">
        <v>250</v>
      </c>
      <c r="G172" s="193">
        <v>1</v>
      </c>
      <c r="H172" s="341">
        <v>3480</v>
      </c>
      <c r="I172" s="321">
        <f>G172*H172</f>
        <v>3480</v>
      </c>
      <c r="J172" s="165"/>
      <c r="K172" s="163" t="s">
        <v>251</v>
      </c>
      <c r="L172" s="71"/>
      <c r="M172" s="11"/>
      <c r="N172" s="157"/>
      <c r="O172" s="15"/>
      <c r="P172" s="157"/>
      <c r="Q172" s="76"/>
      <c r="R172" s="134"/>
    </row>
    <row r="173" spans="1:18" ht="18" customHeight="1">
      <c r="C173" s="149">
        <f t="shared" si="16"/>
        <v>101</v>
      </c>
      <c r="D173" s="307" t="s">
        <v>145</v>
      </c>
      <c r="E173" s="308" t="s">
        <v>145</v>
      </c>
      <c r="F173" s="309" t="s">
        <v>334</v>
      </c>
      <c r="G173" s="122">
        <v>7</v>
      </c>
      <c r="H173" s="135">
        <v>72</v>
      </c>
      <c r="I173" s="343">
        <f t="shared" ref="I173:I175" si="17">G173*H173</f>
        <v>504</v>
      </c>
      <c r="J173" s="310"/>
      <c r="K173" s="232" t="s">
        <v>335</v>
      </c>
      <c r="L173" s="71"/>
      <c r="M173" s="11"/>
      <c r="N173" s="157"/>
      <c r="O173" s="15"/>
      <c r="P173" s="157"/>
      <c r="Q173" s="76"/>
      <c r="R173" s="134"/>
    </row>
    <row r="174" spans="1:18" ht="18" customHeight="1">
      <c r="C174" s="149">
        <f t="shared" si="16"/>
        <v>102</v>
      </c>
      <c r="D174" s="124" t="s">
        <v>145</v>
      </c>
      <c r="E174" s="124" t="s">
        <v>145</v>
      </c>
      <c r="F174" s="232" t="s">
        <v>336</v>
      </c>
      <c r="G174" s="119">
        <v>1</v>
      </c>
      <c r="H174" s="231">
        <v>860</v>
      </c>
      <c r="I174" s="231">
        <f t="shared" si="17"/>
        <v>860</v>
      </c>
      <c r="J174" s="120"/>
      <c r="K174" s="125" t="s">
        <v>337</v>
      </c>
      <c r="L174" s="71"/>
      <c r="M174" s="11"/>
      <c r="N174" s="157"/>
      <c r="O174" s="15"/>
      <c r="P174" s="157"/>
      <c r="Q174" s="76"/>
      <c r="R174" s="134"/>
    </row>
    <row r="175" spans="1:18" ht="18" customHeight="1">
      <c r="C175" s="149">
        <f t="shared" si="16"/>
        <v>103</v>
      </c>
      <c r="D175" s="124" t="s">
        <v>145</v>
      </c>
      <c r="E175" s="124" t="s">
        <v>145</v>
      </c>
      <c r="F175" s="232" t="s">
        <v>338</v>
      </c>
      <c r="G175" s="119">
        <v>2</v>
      </c>
      <c r="H175" s="231">
        <v>443</v>
      </c>
      <c r="I175" s="231">
        <f t="shared" si="17"/>
        <v>886</v>
      </c>
      <c r="J175" s="120"/>
      <c r="K175" s="125" t="s">
        <v>339</v>
      </c>
      <c r="L175" s="71"/>
      <c r="M175" s="11"/>
      <c r="N175" s="157"/>
      <c r="O175" s="15"/>
      <c r="P175" s="157"/>
      <c r="Q175" s="76"/>
      <c r="R175" s="134"/>
    </row>
    <row r="176" spans="1:18" ht="18" customHeight="1">
      <c r="C176" s="149">
        <f>+C175+1</f>
        <v>104</v>
      </c>
      <c r="D176" s="124" t="s">
        <v>145</v>
      </c>
      <c r="E176" s="124" t="s">
        <v>145</v>
      </c>
      <c r="F176" s="299" t="s">
        <v>252</v>
      </c>
      <c r="G176" s="293">
        <v>3</v>
      </c>
      <c r="H176" s="344">
        <v>229</v>
      </c>
      <c r="I176" s="328">
        <f>G176*H176</f>
        <v>687</v>
      </c>
      <c r="J176" s="120"/>
      <c r="K176" s="349" t="s">
        <v>469</v>
      </c>
      <c r="L176" s="71"/>
      <c r="M176" s="11"/>
      <c r="N176" s="157"/>
      <c r="O176" s="15"/>
      <c r="P176" s="157"/>
      <c r="Q176" s="76"/>
      <c r="R176" s="134"/>
    </row>
    <row r="177" spans="3:18" ht="15.6" customHeight="1">
      <c r="C177" s="149">
        <f t="shared" si="16"/>
        <v>105</v>
      </c>
      <c r="D177" s="47" t="s">
        <v>37</v>
      </c>
      <c r="E177" s="47" t="s">
        <v>37</v>
      </c>
      <c r="F177" s="147" t="s">
        <v>193</v>
      </c>
      <c r="G177" s="111">
        <v>2</v>
      </c>
      <c r="H177" s="68">
        <v>455</v>
      </c>
      <c r="I177" s="68">
        <f t="shared" ref="I177:I182" si="18">G177*H177</f>
        <v>910</v>
      </c>
      <c r="J177" s="13"/>
      <c r="K177" s="153" t="s">
        <v>194</v>
      </c>
      <c r="L177" s="71"/>
      <c r="M177" s="11"/>
      <c r="N177" s="157"/>
      <c r="O177" s="15"/>
      <c r="P177" s="15"/>
      <c r="Q177" s="76"/>
      <c r="R177" s="134"/>
    </row>
    <row r="178" spans="3:18" ht="15.6" customHeight="1">
      <c r="C178" s="149">
        <f t="shared" si="16"/>
        <v>106</v>
      </c>
      <c r="D178" s="47" t="s">
        <v>37</v>
      </c>
      <c r="E178" s="47" t="s">
        <v>37</v>
      </c>
      <c r="F178" s="148" t="s">
        <v>192</v>
      </c>
      <c r="G178" s="111">
        <v>2</v>
      </c>
      <c r="H178" s="111">
        <v>250</v>
      </c>
      <c r="I178" s="68">
        <f t="shared" si="18"/>
        <v>500</v>
      </c>
      <c r="J178" s="21"/>
      <c r="K178" s="45" t="s">
        <v>191</v>
      </c>
      <c r="L178" s="71"/>
      <c r="M178" s="11"/>
      <c r="N178" s="157"/>
      <c r="O178" s="15"/>
      <c r="P178" s="15"/>
      <c r="Q178" s="76"/>
      <c r="R178" s="134"/>
    </row>
    <row r="179" spans="3:18" ht="18" customHeight="1">
      <c r="C179" s="149">
        <f t="shared" si="16"/>
        <v>107</v>
      </c>
      <c r="D179" s="281" t="s">
        <v>145</v>
      </c>
      <c r="E179" s="281" t="s">
        <v>145</v>
      </c>
      <c r="F179" s="247" t="s">
        <v>146</v>
      </c>
      <c r="G179" s="282"/>
      <c r="H179" s="304">
        <v>830</v>
      </c>
      <c r="I179" s="340">
        <f t="shared" si="18"/>
        <v>0</v>
      </c>
      <c r="J179" s="301"/>
      <c r="K179" s="279" t="s">
        <v>147</v>
      </c>
      <c r="L179" s="251" t="s">
        <v>319</v>
      </c>
      <c r="M179" s="128"/>
      <c r="N179" s="157"/>
      <c r="O179" s="115"/>
      <c r="P179" s="128"/>
      <c r="Q179" s="157"/>
      <c r="R179" s="134"/>
    </row>
    <row r="180" spans="3:18" ht="18" customHeight="1">
      <c r="C180" s="149">
        <f t="shared" si="16"/>
        <v>108</v>
      </c>
      <c r="D180" s="117" t="s">
        <v>145</v>
      </c>
      <c r="E180" s="117" t="s">
        <v>145</v>
      </c>
      <c r="F180" s="118" t="s">
        <v>188</v>
      </c>
      <c r="G180" s="122">
        <v>6</v>
      </c>
      <c r="H180" s="135">
        <v>270</v>
      </c>
      <c r="I180" s="326">
        <f t="shared" si="18"/>
        <v>1620</v>
      </c>
      <c r="J180" s="123"/>
      <c r="K180" s="118" t="s">
        <v>153</v>
      </c>
      <c r="L180" s="115"/>
      <c r="M180" s="128"/>
      <c r="N180" s="157"/>
      <c r="O180" s="115"/>
      <c r="P180" s="128"/>
      <c r="Q180" s="76"/>
      <c r="R180" s="134"/>
    </row>
    <row r="181" spans="3:18" ht="18" customHeight="1">
      <c r="C181" s="149">
        <f t="shared" si="16"/>
        <v>109</v>
      </c>
      <c r="D181" s="117" t="s">
        <v>145</v>
      </c>
      <c r="E181" s="117" t="s">
        <v>145</v>
      </c>
      <c r="F181" s="118" t="s">
        <v>189</v>
      </c>
      <c r="G181" s="122">
        <v>2</v>
      </c>
      <c r="H181" s="135">
        <v>270</v>
      </c>
      <c r="I181" s="326">
        <f t="shared" si="18"/>
        <v>540</v>
      </c>
      <c r="J181" s="123"/>
      <c r="K181" s="118" t="s">
        <v>190</v>
      </c>
      <c r="L181" s="115"/>
      <c r="M181" s="128"/>
      <c r="N181" s="157"/>
      <c r="O181" s="115"/>
      <c r="P181" s="128"/>
      <c r="Q181" s="76"/>
      <c r="R181" s="134"/>
    </row>
    <row r="182" spans="3:18" ht="18" customHeight="1">
      <c r="C182" s="149">
        <f t="shared" si="16"/>
        <v>110</v>
      </c>
      <c r="D182" s="271" t="s">
        <v>145</v>
      </c>
      <c r="E182" s="271" t="s">
        <v>145</v>
      </c>
      <c r="F182" s="431" t="s">
        <v>154</v>
      </c>
      <c r="G182" s="432">
        <v>10</v>
      </c>
      <c r="H182" s="273">
        <v>23</v>
      </c>
      <c r="I182" s="273">
        <f t="shared" si="18"/>
        <v>230</v>
      </c>
      <c r="J182" s="433"/>
      <c r="K182" s="276" t="s">
        <v>155</v>
      </c>
      <c r="L182" s="115"/>
      <c r="M182" s="128"/>
      <c r="N182" s="157"/>
      <c r="O182" s="115"/>
      <c r="P182" s="128"/>
      <c r="Q182" s="76"/>
      <c r="R182" s="134"/>
    </row>
    <row r="183" spans="3:18" ht="18" customHeight="1">
      <c r="C183" s="149">
        <f t="shared" si="16"/>
        <v>111</v>
      </c>
      <c r="D183" s="8" t="s">
        <v>37</v>
      </c>
      <c r="E183" s="8" t="s">
        <v>37</v>
      </c>
      <c r="F183" s="147" t="s">
        <v>134</v>
      </c>
      <c r="G183" s="111">
        <v>10</v>
      </c>
      <c r="H183" s="68">
        <v>29</v>
      </c>
      <c r="I183" s="68">
        <f>G183*H183</f>
        <v>290</v>
      </c>
      <c r="J183" s="13"/>
      <c r="K183" s="64" t="s">
        <v>135</v>
      </c>
      <c r="L183" s="115"/>
      <c r="M183" s="128"/>
      <c r="N183" s="157"/>
      <c r="O183" s="115"/>
      <c r="P183" s="128"/>
      <c r="Q183" s="76"/>
      <c r="R183" s="134"/>
    </row>
    <row r="184" spans="3:18" ht="18" customHeight="1">
      <c r="C184" s="149">
        <f t="shared" si="16"/>
        <v>112</v>
      </c>
      <c r="D184" s="302" t="s">
        <v>37</v>
      </c>
      <c r="E184" s="302" t="s">
        <v>37</v>
      </c>
      <c r="F184" s="303" t="s">
        <v>127</v>
      </c>
      <c r="G184" s="304"/>
      <c r="H184" s="270">
        <v>622</v>
      </c>
      <c r="I184" s="304">
        <v>622</v>
      </c>
      <c r="J184" s="305"/>
      <c r="K184" s="306" t="s">
        <v>128</v>
      </c>
      <c r="L184" s="251" t="s">
        <v>319</v>
      </c>
      <c r="M184" s="128"/>
      <c r="N184" s="157"/>
      <c r="O184" s="115"/>
      <c r="P184" s="128"/>
      <c r="Q184" s="157"/>
      <c r="R184" s="134"/>
    </row>
    <row r="185" spans="3:18" ht="18" customHeight="1">
      <c r="C185" s="149">
        <f t="shared" si="16"/>
        <v>113</v>
      </c>
      <c r="D185" s="424" t="s">
        <v>37</v>
      </c>
      <c r="E185" s="424" t="s">
        <v>37</v>
      </c>
      <c r="F185" s="425" t="s">
        <v>311</v>
      </c>
      <c r="G185" s="426"/>
      <c r="H185" s="427">
        <v>2196</v>
      </c>
      <c r="I185" s="428">
        <f>G185*H185</f>
        <v>0</v>
      </c>
      <c r="J185" s="429"/>
      <c r="K185" s="430" t="s">
        <v>312</v>
      </c>
      <c r="L185" s="115"/>
      <c r="M185" s="128"/>
      <c r="N185" s="157"/>
      <c r="O185" s="115"/>
      <c r="P185" s="128"/>
      <c r="Q185" s="76"/>
      <c r="R185" s="134"/>
    </row>
    <row r="186" spans="3:18" ht="18" customHeight="1">
      <c r="C186" s="149"/>
      <c r="D186" s="136"/>
      <c r="E186" s="136"/>
      <c r="F186" s="207"/>
      <c r="G186" s="208"/>
      <c r="H186" s="345"/>
      <c r="I186" s="135"/>
      <c r="J186" s="209"/>
      <c r="K186" s="210"/>
      <c r="L186" s="115"/>
      <c r="M186" s="128"/>
      <c r="N186" s="157"/>
      <c r="O186" s="115"/>
      <c r="P186" s="128"/>
      <c r="Q186" s="157"/>
      <c r="R186" s="134"/>
    </row>
    <row r="187" spans="3:18" ht="18" customHeight="1">
      <c r="C187" s="70"/>
      <c r="D187" s="8"/>
      <c r="E187" s="8"/>
      <c r="F187" s="647">
        <f>SUM(I135:I186)</f>
        <v>77749</v>
      </c>
      <c r="G187" s="648"/>
      <c r="H187" s="648"/>
      <c r="I187" s="649"/>
      <c r="J187" s="13"/>
      <c r="K187" s="64"/>
      <c r="L187" s="71"/>
      <c r="M187" s="11"/>
      <c r="N187" s="76"/>
      <c r="O187" s="15"/>
      <c r="P187" s="15"/>
      <c r="Q187" s="76"/>
      <c r="R187" s="24"/>
    </row>
    <row r="188" spans="3:18" ht="18" customHeight="1">
      <c r="C188" s="70"/>
      <c r="D188" s="8"/>
      <c r="E188" s="8"/>
      <c r="F188" s="45"/>
      <c r="G188" s="111"/>
      <c r="H188" s="111"/>
      <c r="I188" s="68"/>
      <c r="J188" s="6"/>
      <c r="K188" s="45"/>
      <c r="L188" s="71"/>
      <c r="M188" s="11"/>
      <c r="N188" s="76"/>
      <c r="O188" s="15"/>
      <c r="P188" s="15"/>
      <c r="Q188" s="76"/>
      <c r="R188" s="24"/>
    </row>
    <row r="189" spans="3:18" ht="18" customHeight="1">
      <c r="C189" s="70"/>
      <c r="D189" s="70"/>
      <c r="E189" s="70"/>
      <c r="F189" s="71" t="s">
        <v>130</v>
      </c>
      <c r="G189" s="68"/>
      <c r="H189" s="68"/>
      <c r="I189" s="68">
        <f>G189*H189</f>
        <v>0</v>
      </c>
      <c r="J189" s="21"/>
      <c r="K189" s="45" t="s">
        <v>131</v>
      </c>
      <c r="L189" s="96"/>
      <c r="M189" s="70"/>
      <c r="N189" s="76"/>
      <c r="O189" s="96"/>
      <c r="P189" s="70"/>
      <c r="Q189" s="76"/>
      <c r="R189" s="24"/>
    </row>
    <row r="190" spans="3:18" ht="18" customHeight="1">
      <c r="C190" s="70"/>
      <c r="D190" s="8"/>
      <c r="E190" s="8"/>
      <c r="F190" s="71" t="s">
        <v>131</v>
      </c>
      <c r="G190" s="68"/>
      <c r="H190" s="68">
        <v>5000</v>
      </c>
      <c r="I190" s="68">
        <f>G190*H190</f>
        <v>0</v>
      </c>
      <c r="J190" s="21"/>
      <c r="K190" s="45" t="s">
        <v>132</v>
      </c>
      <c r="L190" s="96"/>
      <c r="M190" s="70"/>
      <c r="N190" s="76"/>
      <c r="O190" s="96"/>
      <c r="P190" s="70"/>
      <c r="Q190" s="76"/>
      <c r="R190" s="15"/>
    </row>
    <row r="191" spans="3:18" ht="18" customHeight="1">
      <c r="C191" s="70"/>
      <c r="D191" s="8"/>
      <c r="E191" s="8"/>
      <c r="F191" s="71" t="s">
        <v>132</v>
      </c>
      <c r="G191" s="68"/>
      <c r="H191" s="68"/>
      <c r="I191" s="68">
        <f>G191*H191</f>
        <v>0</v>
      </c>
      <c r="J191" s="21"/>
      <c r="K191" s="11"/>
      <c r="L191" s="96"/>
      <c r="M191" s="70"/>
      <c r="N191" s="70"/>
      <c r="O191" s="96"/>
      <c r="P191" s="70"/>
      <c r="Q191" s="15"/>
      <c r="R191" s="15"/>
    </row>
    <row r="192" spans="3:18" ht="18" customHeight="1">
      <c r="C192" s="70"/>
      <c r="D192" s="8"/>
      <c r="E192" s="8"/>
      <c r="F192" s="637"/>
      <c r="G192" s="638"/>
      <c r="H192" s="638"/>
      <c r="I192" s="639"/>
      <c r="J192" s="13"/>
      <c r="K192" s="64"/>
    </row>
    <row r="193" ht="18" customHeight="1"/>
    <row r="194" ht="18" customHeight="1"/>
    <row r="195" ht="18" customHeight="1"/>
  </sheetData>
  <autoFilter ref="C8:P195" xr:uid="{00000000-0009-0000-0000-000003000000}"/>
  <mergeCells count="18">
    <mergeCell ref="C2:E2"/>
    <mergeCell ref="H2:J2"/>
    <mergeCell ref="C3:E3"/>
    <mergeCell ref="C4:E4"/>
    <mergeCell ref="H4:K5"/>
    <mergeCell ref="C5:E5"/>
    <mergeCell ref="F192:I192"/>
    <mergeCell ref="C6:E6"/>
    <mergeCell ref="C10:F10"/>
    <mergeCell ref="F68:I68"/>
    <mergeCell ref="D72:F72"/>
    <mergeCell ref="F83:I83"/>
    <mergeCell ref="D88:F88"/>
    <mergeCell ref="F101:I101"/>
    <mergeCell ref="D105:F105"/>
    <mergeCell ref="F130:I130"/>
    <mergeCell ref="D134:F134"/>
    <mergeCell ref="F187:I187"/>
  </mergeCells>
  <phoneticPr fontId="14"/>
  <dataValidations count="2">
    <dataValidation imeMode="hiragana" allowBlank="1" showInputMessage="1" showErrorMessage="1" sqref="K182 K92:K93" xr:uid="{C4B8BA40-8A97-4FD3-A078-3710FF344191}"/>
    <dataValidation allowBlank="1" showInputMessage="1" showErrorMessage="1" sqref="K43:K70" xr:uid="{0DC74323-B079-4D50-B62F-32BCE4386D17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70A-22D9-4EAE-822D-63CB73B89EB0}">
  <dimension ref="A2:R171"/>
  <sheetViews>
    <sheetView zoomScale="85" zoomScaleNormal="85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F31" sqref="F31"/>
    </sheetView>
  </sheetViews>
  <sheetFormatPr defaultColWidth="11.75" defaultRowHeight="13.5" customHeight="1"/>
  <cols>
    <col min="1" max="1" width="18.625" style="112" customWidth="1"/>
    <col min="2" max="2" width="3.125" style="112" customWidth="1"/>
    <col min="3" max="3" width="6.25" style="14" customWidth="1"/>
    <col min="4" max="4" width="15.25" style="112" customWidth="1"/>
    <col min="5" max="5" width="15.5" style="112" customWidth="1"/>
    <col min="6" max="6" width="71.5" style="112" customWidth="1"/>
    <col min="7" max="7" width="10.75" style="14" customWidth="1"/>
    <col min="8" max="9" width="12.125" style="14" customWidth="1"/>
    <col min="10" max="10" width="7.125" style="19" customWidth="1"/>
    <col min="11" max="11" width="38.5" style="112" customWidth="1"/>
    <col min="12" max="12" width="35.875" style="112" customWidth="1"/>
    <col min="13" max="13" width="8.125" style="14" customWidth="1"/>
    <col min="14" max="14" width="17" style="14" customWidth="1"/>
    <col min="15" max="15" width="7.875" style="112" customWidth="1"/>
    <col min="16" max="16" width="16.375" style="14" customWidth="1"/>
    <col min="17" max="17" width="17.875" style="158" customWidth="1"/>
    <col min="18" max="18" width="19.375" style="158" customWidth="1"/>
    <col min="19" max="16384" width="11.75" style="112"/>
  </cols>
  <sheetData>
    <row r="2" spans="1:18" ht="20.100000000000001" customHeight="1">
      <c r="C2" s="632" t="s">
        <v>0</v>
      </c>
      <c r="D2" s="632"/>
      <c r="E2" s="632"/>
      <c r="F2" s="108"/>
      <c r="H2" s="633" t="s">
        <v>2</v>
      </c>
      <c r="I2" s="634"/>
      <c r="J2" s="635"/>
      <c r="K2" s="18">
        <f>SUM(I:I)</f>
        <v>289609</v>
      </c>
    </row>
    <row r="3" spans="1:18" ht="20.100000000000001" customHeight="1">
      <c r="C3" s="632" t="s">
        <v>3</v>
      </c>
      <c r="D3" s="632"/>
      <c r="E3" s="632"/>
      <c r="F3" s="16" t="s">
        <v>310</v>
      </c>
    </row>
    <row r="4" spans="1:18" ht="20.100000000000001" customHeight="1">
      <c r="C4" s="632" t="s">
        <v>5</v>
      </c>
      <c r="D4" s="632"/>
      <c r="E4" s="632"/>
      <c r="F4" s="16" t="s">
        <v>354</v>
      </c>
      <c r="H4" s="636" t="s">
        <v>374</v>
      </c>
      <c r="I4" s="636"/>
      <c r="J4" s="636"/>
      <c r="K4" s="636"/>
      <c r="L4" s="300"/>
    </row>
    <row r="5" spans="1:18" ht="20.100000000000001" customHeight="1">
      <c r="C5" s="632" t="s">
        <v>6</v>
      </c>
      <c r="D5" s="632"/>
      <c r="E5" s="632"/>
      <c r="F5" s="17">
        <v>44545</v>
      </c>
      <c r="H5" s="636"/>
      <c r="I5" s="636"/>
      <c r="J5" s="636"/>
      <c r="K5" s="636"/>
    </row>
    <row r="6" spans="1:18" ht="20.100000000000001" customHeight="1">
      <c r="C6" s="632" t="s">
        <v>7</v>
      </c>
      <c r="D6" s="632"/>
      <c r="E6" s="632"/>
      <c r="F6" s="17">
        <v>44545</v>
      </c>
      <c r="H6" s="371"/>
      <c r="I6" s="311"/>
    </row>
    <row r="8" spans="1:18" s="14" customFormat="1" ht="19.5" customHeight="1">
      <c r="C8" s="8" t="s">
        <v>8</v>
      </c>
      <c r="D8" s="8" t="s">
        <v>9</v>
      </c>
      <c r="E8" s="8" t="s">
        <v>10</v>
      </c>
      <c r="F8" s="70" t="s">
        <v>11</v>
      </c>
      <c r="G8" s="70" t="s">
        <v>12</v>
      </c>
      <c r="H8" s="70" t="s">
        <v>13</v>
      </c>
      <c r="I8" s="6" t="s">
        <v>14</v>
      </c>
      <c r="J8" s="6" t="s">
        <v>15</v>
      </c>
      <c r="K8" s="70" t="s">
        <v>16</v>
      </c>
      <c r="L8" s="70" t="s">
        <v>17</v>
      </c>
      <c r="M8" s="70" t="s">
        <v>18</v>
      </c>
      <c r="N8" s="76" t="s">
        <v>19</v>
      </c>
      <c r="O8" s="8" t="s">
        <v>20</v>
      </c>
      <c r="P8" s="70" t="s">
        <v>21</v>
      </c>
      <c r="Q8" s="76" t="s">
        <v>22</v>
      </c>
      <c r="R8" s="15" t="s">
        <v>23</v>
      </c>
    </row>
    <row r="9" spans="1:18" s="14" customFormat="1" ht="19.5" customHeight="1">
      <c r="C9" s="8"/>
      <c r="D9" s="8"/>
      <c r="E9" s="8"/>
      <c r="F9" s="71"/>
      <c r="G9" s="68"/>
      <c r="H9" s="68"/>
      <c r="I9" s="68"/>
      <c r="J9" s="21"/>
      <c r="K9" s="69"/>
      <c r="L9" s="70"/>
      <c r="M9" s="70"/>
      <c r="N9" s="76"/>
      <c r="O9" s="8"/>
      <c r="P9" s="70"/>
      <c r="Q9" s="76"/>
      <c r="R9" s="15"/>
    </row>
    <row r="10" spans="1:18" ht="18" customHeight="1">
      <c r="C10" s="640" t="s">
        <v>24</v>
      </c>
      <c r="D10" s="641"/>
      <c r="E10" s="641"/>
      <c r="F10" s="642"/>
      <c r="G10" s="111"/>
      <c r="H10" s="111"/>
      <c r="I10" s="68"/>
      <c r="J10" s="21"/>
      <c r="K10" s="45"/>
      <c r="L10" s="71"/>
      <c r="M10" s="11"/>
      <c r="N10" s="76"/>
      <c r="O10" s="15"/>
      <c r="P10" s="15"/>
      <c r="Q10" s="76"/>
      <c r="R10" s="24"/>
    </row>
    <row r="11" spans="1:18" s="216" customFormat="1" ht="18" customHeight="1">
      <c r="A11" s="450"/>
      <c r="C11" s="451">
        <v>1</v>
      </c>
      <c r="D11" s="164" t="s">
        <v>375</v>
      </c>
      <c r="E11" s="164" t="s">
        <v>375</v>
      </c>
      <c r="F11" s="458" t="s">
        <v>376</v>
      </c>
      <c r="G11" s="169">
        <v>1</v>
      </c>
      <c r="H11" s="170">
        <v>11200</v>
      </c>
      <c r="I11" s="170">
        <f t="shared" ref="I11:I42" si="0">G11*H11</f>
        <v>11200</v>
      </c>
      <c r="J11" s="179"/>
      <c r="K11" s="180" t="s">
        <v>377</v>
      </c>
      <c r="L11" s="459"/>
      <c r="M11" s="356"/>
      <c r="N11" s="453"/>
      <c r="O11" s="452"/>
      <c r="P11" s="453"/>
      <c r="Q11" s="453"/>
      <c r="R11" s="454"/>
    </row>
    <row r="12" spans="1:18" s="216" customFormat="1" ht="18" customHeight="1">
      <c r="A12" s="450"/>
      <c r="C12" s="451">
        <f>C11+1</f>
        <v>2</v>
      </c>
      <c r="D12" s="164" t="s">
        <v>375</v>
      </c>
      <c r="E12" s="164" t="s">
        <v>375</v>
      </c>
      <c r="F12" s="458" t="s">
        <v>378</v>
      </c>
      <c r="G12" s="169">
        <v>1</v>
      </c>
      <c r="H12" s="170">
        <v>6000</v>
      </c>
      <c r="I12" s="170">
        <f t="shared" si="0"/>
        <v>6000</v>
      </c>
      <c r="J12" s="179"/>
      <c r="K12" s="180" t="s">
        <v>379</v>
      </c>
      <c r="L12" s="459"/>
      <c r="M12" s="356"/>
      <c r="N12" s="453"/>
      <c r="O12" s="452"/>
      <c r="P12" s="453"/>
      <c r="Q12" s="453"/>
      <c r="R12" s="454"/>
    </row>
    <row r="13" spans="1:18" s="216" customFormat="1" ht="18" customHeight="1">
      <c r="A13" s="450"/>
      <c r="C13" s="451">
        <f t="shared" ref="C13:C16" si="1">C12+1</f>
        <v>3</v>
      </c>
      <c r="D13" s="164" t="s">
        <v>375</v>
      </c>
      <c r="E13" s="164" t="s">
        <v>375</v>
      </c>
      <c r="F13" s="458" t="s">
        <v>380</v>
      </c>
      <c r="G13" s="169">
        <v>1</v>
      </c>
      <c r="H13" s="170">
        <v>7100</v>
      </c>
      <c r="I13" s="170">
        <f>G13*H13</f>
        <v>7100</v>
      </c>
      <c r="J13" s="179"/>
      <c r="K13" s="180" t="s">
        <v>381</v>
      </c>
      <c r="L13" s="459"/>
      <c r="M13" s="356"/>
      <c r="N13" s="453"/>
      <c r="O13" s="452"/>
      <c r="P13" s="453"/>
      <c r="Q13" s="453"/>
      <c r="R13" s="454"/>
    </row>
    <row r="14" spans="1:18" s="216" customFormat="1" ht="18" customHeight="1">
      <c r="A14" s="450"/>
      <c r="C14" s="451">
        <f t="shared" si="1"/>
        <v>4</v>
      </c>
      <c r="D14" s="164" t="s">
        <v>375</v>
      </c>
      <c r="E14" s="164" t="s">
        <v>375</v>
      </c>
      <c r="F14" s="458" t="s">
        <v>382</v>
      </c>
      <c r="G14" s="169">
        <v>1</v>
      </c>
      <c r="H14" s="170">
        <v>3900</v>
      </c>
      <c r="I14" s="170">
        <f>G14*H14</f>
        <v>3900</v>
      </c>
      <c r="J14" s="179"/>
      <c r="K14" s="180" t="s">
        <v>383</v>
      </c>
      <c r="L14" s="459"/>
      <c r="M14" s="356"/>
      <c r="N14" s="453"/>
      <c r="O14" s="452"/>
      <c r="P14" s="453"/>
      <c r="Q14" s="453"/>
      <c r="R14" s="454"/>
    </row>
    <row r="15" spans="1:18" s="216" customFormat="1" ht="18" customHeight="1">
      <c r="A15" s="450"/>
      <c r="C15" s="451">
        <f t="shared" si="1"/>
        <v>5</v>
      </c>
      <c r="D15" s="164" t="s">
        <v>375</v>
      </c>
      <c r="E15" s="164" t="s">
        <v>375</v>
      </c>
      <c r="F15" s="458" t="s">
        <v>384</v>
      </c>
      <c r="G15" s="169">
        <v>1</v>
      </c>
      <c r="H15" s="170">
        <v>8200</v>
      </c>
      <c r="I15" s="170">
        <f t="shared" si="0"/>
        <v>8200</v>
      </c>
      <c r="J15" s="179"/>
      <c r="K15" s="180" t="s">
        <v>385</v>
      </c>
      <c r="L15" s="459"/>
      <c r="M15" s="356"/>
      <c r="N15" s="453"/>
      <c r="O15" s="452"/>
      <c r="P15" s="453"/>
      <c r="Q15" s="453"/>
      <c r="R15" s="454"/>
    </row>
    <row r="16" spans="1:18" s="216" customFormat="1" ht="18" customHeight="1">
      <c r="A16" s="450"/>
      <c r="C16" s="451">
        <f t="shared" si="1"/>
        <v>6</v>
      </c>
      <c r="D16" s="164"/>
      <c r="E16" s="164"/>
      <c r="F16" s="463" t="s">
        <v>421</v>
      </c>
      <c r="G16" s="169">
        <v>1</v>
      </c>
      <c r="H16" s="170">
        <v>30000</v>
      </c>
      <c r="I16" s="170">
        <f t="shared" si="0"/>
        <v>30000</v>
      </c>
      <c r="J16" s="179"/>
      <c r="K16" s="180"/>
      <c r="L16" s="459"/>
      <c r="M16" s="356"/>
      <c r="N16" s="453"/>
      <c r="O16" s="452"/>
      <c r="P16" s="453"/>
      <c r="Q16" s="453"/>
      <c r="R16" s="454"/>
    </row>
    <row r="17" spans="1:18" s="216" customFormat="1" ht="18" customHeight="1">
      <c r="A17" s="450"/>
      <c r="C17" s="451"/>
      <c r="D17" s="164"/>
      <c r="E17" s="164"/>
      <c r="F17" s="463"/>
      <c r="G17" s="169"/>
      <c r="H17" s="170"/>
      <c r="I17" s="170"/>
      <c r="J17" s="179"/>
      <c r="K17" s="180"/>
      <c r="L17" s="459"/>
      <c r="M17" s="356"/>
      <c r="N17" s="453"/>
      <c r="O17" s="452"/>
      <c r="P17" s="453"/>
      <c r="Q17" s="453"/>
      <c r="R17" s="454"/>
    </row>
    <row r="18" spans="1:18" s="216" customFormat="1" ht="18" customHeight="1">
      <c r="A18" s="450"/>
      <c r="C18" s="451"/>
      <c r="D18" s="164"/>
      <c r="E18" s="164"/>
      <c r="F18" s="463"/>
      <c r="G18" s="169"/>
      <c r="H18" s="170"/>
      <c r="I18" s="170"/>
      <c r="J18" s="179"/>
      <c r="K18" s="180"/>
      <c r="L18" s="459"/>
      <c r="M18" s="356"/>
      <c r="N18" s="453"/>
      <c r="O18" s="452"/>
      <c r="P18" s="453"/>
      <c r="Q18" s="453"/>
      <c r="R18" s="454"/>
    </row>
    <row r="19" spans="1:18" s="216" customFormat="1" ht="18" customHeight="1">
      <c r="A19" s="162" t="s">
        <v>495</v>
      </c>
      <c r="B19" s="162">
        <v>7</v>
      </c>
      <c r="C19" s="543"/>
      <c r="D19" s="544" t="s">
        <v>496</v>
      </c>
      <c r="E19" s="544" t="s">
        <v>496</v>
      </c>
      <c r="F19" s="545" t="s">
        <v>497</v>
      </c>
      <c r="G19" s="517">
        <v>1</v>
      </c>
      <c r="H19" s="546">
        <v>6400</v>
      </c>
      <c r="I19" s="547">
        <f t="shared" ref="I19:I20" si="2">G19*H19</f>
        <v>6400</v>
      </c>
      <c r="J19" s="165"/>
      <c r="K19" s="163" t="s">
        <v>498</v>
      </c>
      <c r="L19" s="459"/>
      <c r="M19" s="356"/>
      <c r="N19" s="453"/>
      <c r="O19" s="452"/>
      <c r="P19" s="453"/>
      <c r="Q19" s="453"/>
      <c r="R19" s="454"/>
    </row>
    <row r="20" spans="1:18" s="216" customFormat="1" ht="18" customHeight="1">
      <c r="A20" s="450" t="s">
        <v>501</v>
      </c>
      <c r="C20" s="451"/>
      <c r="D20" s="164" t="s">
        <v>470</v>
      </c>
      <c r="E20" s="164" t="s">
        <v>145</v>
      </c>
      <c r="F20" s="463" t="s">
        <v>500</v>
      </c>
      <c r="G20" s="169">
        <v>1</v>
      </c>
      <c r="H20" s="170">
        <v>8216</v>
      </c>
      <c r="I20" s="547">
        <f t="shared" si="2"/>
        <v>8216</v>
      </c>
      <c r="J20" s="179"/>
      <c r="K20" s="163" t="s">
        <v>498</v>
      </c>
      <c r="L20" s="459"/>
      <c r="M20" s="356"/>
      <c r="N20" s="453"/>
      <c r="O20" s="452"/>
      <c r="P20" s="453"/>
      <c r="Q20" s="453"/>
      <c r="R20" s="454"/>
    </row>
    <row r="21" spans="1:18" s="216" customFormat="1" ht="18" customHeight="1">
      <c r="A21" s="450"/>
      <c r="C21" s="451"/>
      <c r="D21" s="164"/>
      <c r="E21" s="164"/>
      <c r="F21" s="463"/>
      <c r="G21" s="169"/>
      <c r="H21" s="170"/>
      <c r="I21" s="170"/>
      <c r="J21" s="179"/>
      <c r="K21" s="180"/>
      <c r="L21" s="459"/>
      <c r="M21" s="356"/>
      <c r="N21" s="453"/>
      <c r="O21" s="452"/>
      <c r="P21" s="453"/>
      <c r="Q21" s="453"/>
      <c r="R21" s="454"/>
    </row>
    <row r="22" spans="1:18" s="216" customFormat="1" ht="18" customHeight="1">
      <c r="A22" s="450"/>
      <c r="C22" s="451"/>
      <c r="D22" s="164"/>
      <c r="E22" s="164"/>
      <c r="F22" s="463"/>
      <c r="G22" s="169"/>
      <c r="H22" s="170"/>
      <c r="I22" s="170"/>
      <c r="J22" s="179"/>
      <c r="K22" s="180"/>
      <c r="L22" s="459"/>
      <c r="M22" s="356"/>
      <c r="N22" s="453"/>
      <c r="O22" s="452"/>
      <c r="P22" s="453"/>
      <c r="Q22" s="453"/>
      <c r="R22" s="454"/>
    </row>
    <row r="23" spans="1:18" s="216" customFormat="1" ht="18" customHeight="1">
      <c r="A23" s="450"/>
      <c r="C23" s="451"/>
      <c r="D23" s="164"/>
      <c r="E23" s="164"/>
      <c r="F23" s="463" t="s">
        <v>499</v>
      </c>
      <c r="G23" s="169"/>
      <c r="H23" s="170"/>
      <c r="I23" s="170"/>
      <c r="J23" s="179"/>
      <c r="K23" s="180"/>
      <c r="L23" s="459"/>
      <c r="M23" s="356"/>
      <c r="N23" s="453"/>
      <c r="O23" s="452"/>
      <c r="P23" s="453"/>
      <c r="Q23" s="453"/>
      <c r="R23" s="454"/>
    </row>
    <row r="24" spans="1:18" s="216" customFormat="1" ht="18" customHeight="1">
      <c r="A24" s="450"/>
      <c r="C24" s="451"/>
      <c r="D24" s="164"/>
      <c r="E24" s="164"/>
      <c r="F24" s="458"/>
      <c r="G24" s="169"/>
      <c r="H24" s="170"/>
      <c r="I24" s="170"/>
      <c r="J24" s="179"/>
      <c r="K24" s="180"/>
      <c r="L24" s="459"/>
      <c r="M24" s="356"/>
      <c r="N24" s="453"/>
      <c r="O24" s="452"/>
      <c r="P24" s="453"/>
      <c r="Q24" s="453"/>
      <c r="R24" s="454"/>
    </row>
    <row r="25" spans="1:18" s="216" customFormat="1" ht="18" customHeight="1">
      <c r="A25" s="450"/>
      <c r="C25" s="451">
        <f>C16+1</f>
        <v>7</v>
      </c>
      <c r="D25" s="164" t="s">
        <v>145</v>
      </c>
      <c r="E25" s="164" t="s">
        <v>145</v>
      </c>
      <c r="F25" s="458" t="s">
        <v>386</v>
      </c>
      <c r="G25" s="169">
        <v>2</v>
      </c>
      <c r="H25" s="170">
        <v>1260</v>
      </c>
      <c r="I25" s="170">
        <f t="shared" si="0"/>
        <v>2520</v>
      </c>
      <c r="J25" s="179"/>
      <c r="K25" s="180" t="s">
        <v>387</v>
      </c>
      <c r="L25" s="459"/>
      <c r="M25" s="356"/>
      <c r="N25" s="453"/>
      <c r="O25" s="452"/>
      <c r="P25" s="453"/>
      <c r="Q25" s="453"/>
      <c r="R25" s="454"/>
    </row>
    <row r="26" spans="1:18" s="216" customFormat="1" ht="18" customHeight="1">
      <c r="A26" s="450"/>
      <c r="C26" s="451">
        <f>C25+1</f>
        <v>8</v>
      </c>
      <c r="D26" s="164" t="s">
        <v>145</v>
      </c>
      <c r="E26" s="164" t="s">
        <v>145</v>
      </c>
      <c r="F26" s="463" t="s">
        <v>388</v>
      </c>
      <c r="G26" s="169">
        <v>2</v>
      </c>
      <c r="H26" s="170">
        <v>95</v>
      </c>
      <c r="I26" s="170">
        <f t="shared" si="0"/>
        <v>190</v>
      </c>
      <c r="J26" s="179"/>
      <c r="K26" s="180" t="s">
        <v>389</v>
      </c>
      <c r="L26" s="180" t="s">
        <v>390</v>
      </c>
      <c r="M26" s="356"/>
      <c r="N26" s="453"/>
      <c r="O26" s="452"/>
      <c r="P26" s="356"/>
      <c r="Q26" s="453"/>
      <c r="R26" s="454"/>
    </row>
    <row r="27" spans="1:18" s="216" customFormat="1" ht="18" customHeight="1">
      <c r="A27" s="450"/>
      <c r="C27" s="451">
        <f t="shared" ref="C27:C31" si="3">C26+1</f>
        <v>9</v>
      </c>
      <c r="D27" s="164" t="s">
        <v>145</v>
      </c>
      <c r="E27" s="164" t="s">
        <v>145</v>
      </c>
      <c r="F27" s="463" t="s">
        <v>494</v>
      </c>
      <c r="G27" s="169">
        <v>2</v>
      </c>
      <c r="H27" s="170">
        <v>1520</v>
      </c>
      <c r="I27" s="170">
        <f t="shared" si="0"/>
        <v>3040</v>
      </c>
      <c r="J27" s="179"/>
      <c r="K27" s="180" t="s">
        <v>392</v>
      </c>
      <c r="L27" s="459"/>
      <c r="M27" s="356"/>
      <c r="N27" s="453"/>
      <c r="O27" s="452"/>
      <c r="P27" s="356"/>
      <c r="Q27" s="453"/>
      <c r="R27" s="454"/>
    </row>
    <row r="28" spans="1:18" s="216" customFormat="1" ht="18" customHeight="1">
      <c r="A28" s="450"/>
      <c r="C28" s="451">
        <f t="shared" si="3"/>
        <v>10</v>
      </c>
      <c r="D28" s="164" t="s">
        <v>145</v>
      </c>
      <c r="E28" s="164" t="s">
        <v>145</v>
      </c>
      <c r="F28" s="463" t="s">
        <v>393</v>
      </c>
      <c r="G28" s="169">
        <v>1</v>
      </c>
      <c r="H28" s="170">
        <v>470</v>
      </c>
      <c r="I28" s="170">
        <f t="shared" si="0"/>
        <v>470</v>
      </c>
      <c r="J28" s="179"/>
      <c r="K28" s="180" t="s">
        <v>394</v>
      </c>
      <c r="L28" s="459"/>
      <c r="M28" s="356"/>
      <c r="N28" s="453"/>
      <c r="O28" s="452"/>
      <c r="P28" s="356"/>
      <c r="Q28" s="453"/>
      <c r="R28" s="454"/>
    </row>
    <row r="29" spans="1:18" s="216" customFormat="1" ht="18" customHeight="1">
      <c r="A29" s="450"/>
      <c r="C29" s="451">
        <f t="shared" si="3"/>
        <v>11</v>
      </c>
      <c r="D29" s="164" t="s">
        <v>145</v>
      </c>
      <c r="E29" s="164" t="s">
        <v>145</v>
      </c>
      <c r="F29" s="463" t="s">
        <v>395</v>
      </c>
      <c r="G29" s="169">
        <v>1</v>
      </c>
      <c r="H29" s="170">
        <v>2880</v>
      </c>
      <c r="I29" s="170">
        <f t="shared" si="0"/>
        <v>2880</v>
      </c>
      <c r="J29" s="179"/>
      <c r="K29" s="180" t="s">
        <v>396</v>
      </c>
      <c r="L29" s="459"/>
      <c r="M29" s="356"/>
      <c r="N29" s="453"/>
      <c r="O29" s="452"/>
      <c r="P29" s="356"/>
      <c r="Q29" s="453"/>
      <c r="R29" s="454"/>
    </row>
    <row r="30" spans="1:18" s="216" customFormat="1" ht="18" customHeight="1">
      <c r="A30" s="450"/>
      <c r="C30" s="451">
        <f t="shared" si="3"/>
        <v>12</v>
      </c>
      <c r="D30" s="164" t="s">
        <v>145</v>
      </c>
      <c r="E30" s="164" t="s">
        <v>145</v>
      </c>
      <c r="F30" s="463" t="s">
        <v>397</v>
      </c>
      <c r="G30" s="169">
        <v>1</v>
      </c>
      <c r="H30" s="170">
        <v>2510</v>
      </c>
      <c r="I30" s="170">
        <f t="shared" si="0"/>
        <v>2510</v>
      </c>
      <c r="J30" s="179"/>
      <c r="K30" s="180" t="s">
        <v>396</v>
      </c>
      <c r="L30" s="459"/>
      <c r="M30" s="356"/>
      <c r="N30" s="453"/>
      <c r="O30" s="452"/>
      <c r="P30" s="356"/>
      <c r="Q30" s="453"/>
      <c r="R30" s="454"/>
    </row>
    <row r="31" spans="1:18" s="216" customFormat="1" ht="18" customHeight="1">
      <c r="A31" s="450" t="s">
        <v>465</v>
      </c>
      <c r="C31" s="451">
        <f t="shared" si="3"/>
        <v>13</v>
      </c>
      <c r="D31" s="164" t="s">
        <v>398</v>
      </c>
      <c r="E31" s="164" t="s">
        <v>399</v>
      </c>
      <c r="F31" s="463" t="s">
        <v>400</v>
      </c>
      <c r="G31" s="169">
        <v>1</v>
      </c>
      <c r="H31" s="170">
        <v>32760</v>
      </c>
      <c r="I31" s="170">
        <f t="shared" si="0"/>
        <v>32760</v>
      </c>
      <c r="J31" s="179"/>
      <c r="K31" s="180" t="s">
        <v>401</v>
      </c>
      <c r="L31" s="459"/>
      <c r="M31" s="356"/>
      <c r="N31" s="453"/>
      <c r="O31" s="452"/>
      <c r="P31" s="356"/>
      <c r="Q31" s="453"/>
      <c r="R31" s="454"/>
    </row>
    <row r="32" spans="1:18" s="216" customFormat="1" ht="18" customHeight="1">
      <c r="A32" s="450"/>
      <c r="C32" s="361"/>
      <c r="D32" s="164"/>
      <c r="E32" s="164"/>
      <c r="F32" s="458"/>
      <c r="G32" s="169"/>
      <c r="H32" s="170"/>
      <c r="I32" s="170">
        <f t="shared" si="0"/>
        <v>0</v>
      </c>
      <c r="J32" s="179"/>
      <c r="K32" s="180"/>
      <c r="L32" s="459"/>
      <c r="M32" s="455"/>
      <c r="N32" s="453"/>
      <c r="O32" s="456"/>
      <c r="P32" s="453"/>
      <c r="Q32" s="453"/>
      <c r="R32" s="454"/>
    </row>
    <row r="33" spans="1:18" s="216" customFormat="1" ht="18" customHeight="1">
      <c r="A33" s="450"/>
      <c r="C33" s="451">
        <f>C30+1</f>
        <v>13</v>
      </c>
      <c r="D33" s="164" t="s">
        <v>375</v>
      </c>
      <c r="E33" s="164" t="s">
        <v>375</v>
      </c>
      <c r="F33" s="458" t="s">
        <v>410</v>
      </c>
      <c r="G33" s="169">
        <v>1</v>
      </c>
      <c r="H33" s="170">
        <v>6600</v>
      </c>
      <c r="I33" s="170">
        <f>G33*H33</f>
        <v>6600</v>
      </c>
      <c r="J33" s="179"/>
      <c r="K33" s="180" t="s">
        <v>411</v>
      </c>
      <c r="L33" s="459"/>
      <c r="M33" s="455"/>
      <c r="N33" s="453"/>
      <c r="O33" s="456"/>
      <c r="P33" s="457"/>
      <c r="Q33" s="453"/>
      <c r="R33" s="454"/>
    </row>
    <row r="34" spans="1:18" s="216" customFormat="1" ht="18" customHeight="1">
      <c r="A34" s="450"/>
      <c r="C34" s="451">
        <f>C33+1</f>
        <v>14</v>
      </c>
      <c r="D34" s="164" t="s">
        <v>398</v>
      </c>
      <c r="E34" s="164" t="s">
        <v>399</v>
      </c>
      <c r="F34" s="461" t="s">
        <v>412</v>
      </c>
      <c r="G34" s="169">
        <v>1</v>
      </c>
      <c r="H34" s="170">
        <v>3080</v>
      </c>
      <c r="I34" s="170">
        <f t="shared" ref="I34:I40" si="4">G34*H34</f>
        <v>3080</v>
      </c>
      <c r="J34" s="179"/>
      <c r="K34" s="180" t="s">
        <v>413</v>
      </c>
      <c r="L34" s="459"/>
      <c r="M34" s="455"/>
      <c r="N34" s="453"/>
      <c r="O34" s="456"/>
      <c r="P34" s="457"/>
      <c r="Q34" s="453"/>
      <c r="R34" s="454"/>
    </row>
    <row r="35" spans="1:18" s="216" customFormat="1" ht="18" customHeight="1">
      <c r="A35" s="450" t="s">
        <v>466</v>
      </c>
      <c r="C35" s="451">
        <f t="shared" ref="C35:C40" si="5">C34+1</f>
        <v>15</v>
      </c>
      <c r="D35" s="164" t="s">
        <v>398</v>
      </c>
      <c r="E35" s="164" t="s">
        <v>399</v>
      </c>
      <c r="F35" s="463" t="s">
        <v>414</v>
      </c>
      <c r="G35" s="169">
        <v>1</v>
      </c>
      <c r="H35" s="170">
        <v>6820</v>
      </c>
      <c r="I35" s="170">
        <f t="shared" si="4"/>
        <v>6820</v>
      </c>
      <c r="J35" s="179"/>
      <c r="K35" s="180" t="s">
        <v>415</v>
      </c>
      <c r="L35" s="459"/>
      <c r="M35" s="455"/>
      <c r="N35" s="453"/>
      <c r="O35" s="456"/>
      <c r="P35" s="457"/>
      <c r="Q35" s="453"/>
      <c r="R35" s="454"/>
    </row>
    <row r="36" spans="1:18" s="216" customFormat="1" ht="18" customHeight="1">
      <c r="A36" s="450" t="s">
        <v>465</v>
      </c>
      <c r="C36" s="451">
        <f t="shared" si="5"/>
        <v>16</v>
      </c>
      <c r="D36" s="164" t="s">
        <v>398</v>
      </c>
      <c r="E36" s="164" t="s">
        <v>399</v>
      </c>
      <c r="F36" s="463" t="s">
        <v>416</v>
      </c>
      <c r="G36" s="169">
        <v>2</v>
      </c>
      <c r="H36" s="170">
        <v>230</v>
      </c>
      <c r="I36" s="170">
        <f t="shared" si="4"/>
        <v>460</v>
      </c>
      <c r="J36" s="179"/>
      <c r="K36" s="180" t="s">
        <v>417</v>
      </c>
      <c r="L36" s="459"/>
      <c r="M36" s="455"/>
      <c r="N36" s="453"/>
      <c r="O36" s="456"/>
      <c r="P36" s="457"/>
      <c r="Q36" s="453"/>
      <c r="R36" s="454"/>
    </row>
    <row r="37" spans="1:18" s="216" customFormat="1" ht="18" customHeight="1">
      <c r="A37" s="450" t="s">
        <v>467</v>
      </c>
      <c r="C37" s="451">
        <f t="shared" si="5"/>
        <v>17</v>
      </c>
      <c r="D37" s="164" t="s">
        <v>398</v>
      </c>
      <c r="E37" s="164" t="s">
        <v>399</v>
      </c>
      <c r="F37" s="463" t="s">
        <v>418</v>
      </c>
      <c r="G37" s="162">
        <v>2</v>
      </c>
      <c r="H37" s="462">
        <v>600</v>
      </c>
      <c r="I37" s="460">
        <f t="shared" si="4"/>
        <v>1200</v>
      </c>
      <c r="J37" s="165"/>
      <c r="K37" s="180" t="s">
        <v>419</v>
      </c>
      <c r="L37" s="459"/>
      <c r="M37" s="455"/>
      <c r="N37" s="453"/>
      <c r="O37" s="456"/>
      <c r="P37" s="457"/>
      <c r="Q37" s="453"/>
      <c r="R37" s="454"/>
    </row>
    <row r="38" spans="1:18" s="216" customFormat="1" ht="18" customHeight="1">
      <c r="A38" s="450"/>
      <c r="C38" s="451">
        <f t="shared" si="5"/>
        <v>18</v>
      </c>
      <c r="D38" s="164" t="s">
        <v>145</v>
      </c>
      <c r="E38" s="164" t="s">
        <v>145</v>
      </c>
      <c r="F38" s="463" t="s">
        <v>189</v>
      </c>
      <c r="G38" s="162">
        <v>2</v>
      </c>
      <c r="H38" s="462">
        <v>230</v>
      </c>
      <c r="I38" s="460">
        <f t="shared" si="4"/>
        <v>460</v>
      </c>
      <c r="J38" s="179"/>
      <c r="K38" s="180"/>
      <c r="L38" s="459"/>
      <c r="M38" s="455"/>
      <c r="N38" s="453"/>
      <c r="O38" s="456"/>
      <c r="P38" s="457"/>
      <c r="Q38" s="453"/>
      <c r="R38" s="454"/>
    </row>
    <row r="39" spans="1:18" s="216" customFormat="1" ht="18" customHeight="1">
      <c r="A39" s="450"/>
      <c r="C39" s="451">
        <f t="shared" si="5"/>
        <v>19</v>
      </c>
      <c r="D39" s="164" t="s">
        <v>145</v>
      </c>
      <c r="E39" s="164" t="s">
        <v>145</v>
      </c>
      <c r="F39" s="463" t="s">
        <v>188</v>
      </c>
      <c r="G39" s="162">
        <v>3</v>
      </c>
      <c r="H39" s="462">
        <v>230</v>
      </c>
      <c r="I39" s="460">
        <f t="shared" si="4"/>
        <v>690</v>
      </c>
      <c r="J39" s="179"/>
      <c r="K39" s="180"/>
      <c r="L39" s="459"/>
      <c r="M39" s="455"/>
      <c r="N39" s="453"/>
      <c r="O39" s="456"/>
      <c r="P39" s="457"/>
      <c r="Q39" s="453"/>
      <c r="R39" s="454"/>
    </row>
    <row r="40" spans="1:18" s="216" customFormat="1" ht="18" customHeight="1">
      <c r="A40" s="450"/>
      <c r="C40" s="451">
        <f t="shared" si="5"/>
        <v>20</v>
      </c>
      <c r="D40" s="164" t="s">
        <v>145</v>
      </c>
      <c r="E40" s="164" t="s">
        <v>145</v>
      </c>
      <c r="F40" s="463" t="s">
        <v>420</v>
      </c>
      <c r="G40" s="169">
        <v>1</v>
      </c>
      <c r="H40" s="170">
        <v>70</v>
      </c>
      <c r="I40" s="460">
        <f t="shared" si="4"/>
        <v>70</v>
      </c>
      <c r="J40" s="179"/>
      <c r="K40" s="180"/>
      <c r="L40" s="459"/>
      <c r="M40" s="455"/>
      <c r="N40" s="453"/>
      <c r="O40" s="456"/>
      <c r="P40" s="457"/>
      <c r="Q40" s="453"/>
      <c r="R40" s="454"/>
    </row>
    <row r="41" spans="1:18" s="216" customFormat="1" ht="18" customHeight="1">
      <c r="A41" s="450"/>
      <c r="C41" s="361"/>
      <c r="D41" s="164"/>
      <c r="E41" s="164"/>
      <c r="F41" s="458"/>
      <c r="G41" s="169"/>
      <c r="H41" s="170"/>
      <c r="I41" s="460"/>
      <c r="J41" s="179"/>
      <c r="K41" s="180"/>
      <c r="L41" s="459"/>
      <c r="M41" s="455"/>
      <c r="N41" s="453"/>
      <c r="O41" s="456"/>
      <c r="P41" s="457"/>
      <c r="Q41" s="453"/>
      <c r="R41" s="454"/>
    </row>
    <row r="42" spans="1:18" s="216" customFormat="1" ht="18" customHeight="1">
      <c r="A42" s="450"/>
      <c r="C42" s="451">
        <f>C40+1</f>
        <v>21</v>
      </c>
      <c r="D42" s="164" t="s">
        <v>375</v>
      </c>
      <c r="E42" s="164" t="s">
        <v>375</v>
      </c>
      <c r="F42" s="458" t="s">
        <v>402</v>
      </c>
      <c r="G42" s="169">
        <v>1</v>
      </c>
      <c r="H42" s="170">
        <v>2400</v>
      </c>
      <c r="I42" s="170">
        <f t="shared" si="0"/>
        <v>2400</v>
      </c>
      <c r="J42" s="179"/>
      <c r="K42" s="458" t="s">
        <v>403</v>
      </c>
      <c r="L42" s="459"/>
      <c r="M42" s="224"/>
      <c r="N42" s="453"/>
      <c r="O42" s="226"/>
      <c r="P42" s="226"/>
      <c r="Q42" s="453"/>
      <c r="R42" s="454"/>
    </row>
    <row r="43" spans="1:18" ht="18" customHeight="1">
      <c r="C43" s="111"/>
      <c r="D43" s="154"/>
      <c r="E43" s="154"/>
      <c r="F43" s="147"/>
      <c r="G43" s="361"/>
      <c r="H43" s="364"/>
      <c r="I43" s="393"/>
      <c r="J43" s="394"/>
      <c r="K43" s="222"/>
      <c r="L43" s="71"/>
      <c r="M43" s="11"/>
      <c r="N43" s="76"/>
      <c r="O43" s="15"/>
      <c r="P43" s="15"/>
      <c r="Q43" s="76"/>
      <c r="R43" s="24"/>
    </row>
    <row r="44" spans="1:18" ht="18" customHeight="1">
      <c r="C44" s="62"/>
      <c r="D44" s="8"/>
      <c r="E44" s="13"/>
      <c r="F44" s="643">
        <f>SUM(I11:I43)</f>
        <v>147166</v>
      </c>
      <c r="G44" s="644"/>
      <c r="H44" s="644"/>
      <c r="I44" s="645"/>
      <c r="J44" s="67"/>
      <c r="K44" s="64"/>
      <c r="L44" s="71"/>
      <c r="M44" s="11"/>
      <c r="N44" s="76"/>
      <c r="O44" s="15"/>
      <c r="P44" s="15"/>
      <c r="Q44" s="76"/>
      <c r="R44" s="24"/>
    </row>
    <row r="45" spans="1:18" ht="18" customHeight="1">
      <c r="C45" s="62"/>
      <c r="D45" s="350"/>
      <c r="E45" s="351"/>
      <c r="F45" s="468"/>
      <c r="G45" s="468"/>
      <c r="H45" s="468"/>
      <c r="I45" s="468"/>
      <c r="J45" s="469"/>
      <c r="K45" s="470"/>
      <c r="L45" s="71"/>
      <c r="M45" s="11"/>
      <c r="N45" s="76"/>
      <c r="O45" s="15"/>
      <c r="P45" s="15"/>
      <c r="Q45" s="76"/>
      <c r="R45" s="24"/>
    </row>
    <row r="46" spans="1:18" ht="18" customHeight="1">
      <c r="C46" s="62"/>
      <c r="D46" s="466"/>
      <c r="E46" s="471"/>
      <c r="F46" s="354"/>
      <c r="G46" s="354"/>
      <c r="H46" s="354"/>
      <c r="I46" s="354"/>
      <c r="J46" s="472"/>
      <c r="K46" s="473"/>
      <c r="L46" s="467"/>
      <c r="M46" s="11"/>
      <c r="N46" s="76"/>
      <c r="O46" s="15"/>
      <c r="P46" s="15"/>
      <c r="Q46" s="76"/>
      <c r="R46" s="24"/>
    </row>
    <row r="47" spans="1:18" s="14" customFormat="1" ht="19.5" customHeight="1">
      <c r="C47" s="8"/>
      <c r="D47" s="464"/>
      <c r="E47" s="464"/>
      <c r="F47" s="353"/>
      <c r="G47" s="335"/>
      <c r="H47" s="335"/>
      <c r="I47" s="335"/>
      <c r="J47" s="50"/>
      <c r="K47" s="465"/>
      <c r="L47" s="70"/>
      <c r="M47" s="70"/>
      <c r="N47" s="76"/>
      <c r="O47" s="8"/>
      <c r="P47" s="70"/>
      <c r="Q47" s="76"/>
      <c r="R47" s="15"/>
    </row>
    <row r="48" spans="1:18" ht="18" customHeight="1">
      <c r="C48" s="130"/>
      <c r="D48" s="646" t="s">
        <v>273</v>
      </c>
      <c r="E48" s="646"/>
      <c r="F48" s="646"/>
      <c r="G48" s="131"/>
      <c r="H48" s="68"/>
      <c r="I48" s="68"/>
      <c r="J48" s="13"/>
      <c r="K48" s="64"/>
      <c r="L48" s="71"/>
      <c r="M48" s="11"/>
      <c r="N48" s="76"/>
      <c r="O48" s="15"/>
      <c r="P48" s="15"/>
      <c r="Q48" s="76"/>
      <c r="R48" s="24"/>
    </row>
    <row r="49" spans="1:18" ht="18" customHeight="1">
      <c r="A49" s="162" t="s">
        <v>483</v>
      </c>
      <c r="B49" s="504"/>
      <c r="C49" s="503">
        <f>C42+1</f>
        <v>22</v>
      </c>
      <c r="D49" s="164" t="s">
        <v>470</v>
      </c>
      <c r="E49" s="164" t="s">
        <v>145</v>
      </c>
      <c r="F49" s="188" t="s">
        <v>471</v>
      </c>
      <c r="G49" s="193">
        <v>1</v>
      </c>
      <c r="H49" s="494">
        <v>1536</v>
      </c>
      <c r="I49" s="495">
        <f t="shared" ref="I49:I55" si="6">G49*H49</f>
        <v>1536</v>
      </c>
      <c r="J49" s="496"/>
      <c r="K49" s="166" t="s">
        <v>472</v>
      </c>
      <c r="L49" s="185"/>
      <c r="M49" s="11"/>
      <c r="N49" s="76"/>
      <c r="O49" s="15"/>
      <c r="P49" s="157"/>
      <c r="Q49" s="157"/>
      <c r="R49" s="134"/>
    </row>
    <row r="50" spans="1:18" ht="18" customHeight="1">
      <c r="A50" s="162" t="s">
        <v>483</v>
      </c>
      <c r="B50" s="504"/>
      <c r="C50" s="503">
        <f t="shared" ref="C50:C55" si="7">+C49+1</f>
        <v>23</v>
      </c>
      <c r="D50" s="164" t="s">
        <v>470</v>
      </c>
      <c r="E50" s="164" t="s">
        <v>145</v>
      </c>
      <c r="F50" s="188" t="s">
        <v>473</v>
      </c>
      <c r="G50" s="193">
        <v>1</v>
      </c>
      <c r="H50" s="494">
        <v>1488</v>
      </c>
      <c r="I50" s="495">
        <f t="shared" si="6"/>
        <v>1488</v>
      </c>
      <c r="J50" s="496"/>
      <c r="K50" s="166" t="s">
        <v>474</v>
      </c>
      <c r="L50" s="185"/>
      <c r="M50" s="11"/>
      <c r="N50" s="76"/>
      <c r="O50" s="15"/>
      <c r="P50" s="157"/>
      <c r="Q50" s="157"/>
      <c r="R50" s="134"/>
    </row>
    <row r="51" spans="1:18" ht="18" customHeight="1">
      <c r="A51" s="162" t="s">
        <v>483</v>
      </c>
      <c r="B51" s="504"/>
      <c r="C51" s="503">
        <f t="shared" si="7"/>
        <v>24</v>
      </c>
      <c r="D51" s="164" t="s">
        <v>470</v>
      </c>
      <c r="E51" s="164" t="s">
        <v>145</v>
      </c>
      <c r="F51" s="188" t="s">
        <v>475</v>
      </c>
      <c r="G51" s="193">
        <v>1</v>
      </c>
      <c r="H51" s="494">
        <v>1312</v>
      </c>
      <c r="I51" s="495">
        <f t="shared" si="6"/>
        <v>1312</v>
      </c>
      <c r="J51" s="496"/>
      <c r="K51" s="166" t="s">
        <v>476</v>
      </c>
      <c r="L51" s="185"/>
      <c r="M51" s="11"/>
      <c r="N51" s="381"/>
      <c r="O51" s="15"/>
      <c r="P51" s="157"/>
      <c r="Q51" s="157"/>
      <c r="R51" s="134"/>
    </row>
    <row r="52" spans="1:18" ht="18" customHeight="1">
      <c r="A52" s="162" t="s">
        <v>483</v>
      </c>
      <c r="B52" s="504"/>
      <c r="C52" s="503">
        <f t="shared" si="7"/>
        <v>25</v>
      </c>
      <c r="D52" s="164" t="s">
        <v>145</v>
      </c>
      <c r="E52" s="164" t="s">
        <v>145</v>
      </c>
      <c r="F52" s="458" t="s">
        <v>477</v>
      </c>
      <c r="G52" s="162">
        <v>1</v>
      </c>
      <c r="H52" s="497">
        <v>930</v>
      </c>
      <c r="I52" s="462">
        <f t="shared" si="6"/>
        <v>930</v>
      </c>
      <c r="J52" s="165"/>
      <c r="K52" s="163" t="s">
        <v>297</v>
      </c>
      <c r="L52" s="185"/>
      <c r="M52" s="11"/>
      <c r="N52" s="157"/>
      <c r="O52" s="15"/>
      <c r="P52" s="15"/>
      <c r="Q52" s="157"/>
      <c r="R52" s="134"/>
    </row>
    <row r="53" spans="1:18" ht="18" customHeight="1">
      <c r="A53" s="162" t="s">
        <v>484</v>
      </c>
      <c r="B53" s="504"/>
      <c r="C53" s="503">
        <f t="shared" si="7"/>
        <v>26</v>
      </c>
      <c r="D53" s="164" t="s">
        <v>145</v>
      </c>
      <c r="E53" s="164" t="s">
        <v>145</v>
      </c>
      <c r="F53" s="458" t="s">
        <v>298</v>
      </c>
      <c r="G53" s="162">
        <v>1</v>
      </c>
      <c r="H53" s="497">
        <v>750</v>
      </c>
      <c r="I53" s="462">
        <f t="shared" si="6"/>
        <v>750</v>
      </c>
      <c r="J53" s="165"/>
      <c r="K53" s="163" t="s">
        <v>478</v>
      </c>
      <c r="L53" s="185"/>
      <c r="M53" s="11"/>
      <c r="N53" s="157"/>
      <c r="O53" s="15"/>
      <c r="P53" s="15"/>
      <c r="Q53" s="157"/>
      <c r="R53" s="134"/>
    </row>
    <row r="54" spans="1:18" ht="18" customHeight="1">
      <c r="B54" s="504"/>
      <c r="C54" s="503">
        <f t="shared" si="7"/>
        <v>27</v>
      </c>
      <c r="D54" s="271" t="s">
        <v>145</v>
      </c>
      <c r="E54" s="271" t="s">
        <v>145</v>
      </c>
      <c r="F54" s="398" t="s">
        <v>300</v>
      </c>
      <c r="G54" s="275"/>
      <c r="H54" s="413">
        <v>48</v>
      </c>
      <c r="I54" s="413">
        <f t="shared" si="6"/>
        <v>0</v>
      </c>
      <c r="J54" s="275"/>
      <c r="K54" s="398" t="s">
        <v>479</v>
      </c>
      <c r="L54" s="251" t="s">
        <v>480</v>
      </c>
      <c r="M54" s="11"/>
      <c r="N54" s="157"/>
      <c r="O54" s="15"/>
      <c r="P54" s="15"/>
      <c r="Q54" s="157"/>
      <c r="R54" s="134"/>
    </row>
    <row r="55" spans="1:18" ht="18" customHeight="1">
      <c r="B55" s="505"/>
      <c r="C55" s="503">
        <f t="shared" si="7"/>
        <v>28</v>
      </c>
      <c r="D55" s="271" t="s">
        <v>145</v>
      </c>
      <c r="E55" s="271" t="s">
        <v>145</v>
      </c>
      <c r="F55" s="398" t="s">
        <v>481</v>
      </c>
      <c r="G55" s="275"/>
      <c r="H55" s="413">
        <v>92</v>
      </c>
      <c r="I55" s="414">
        <f t="shared" si="6"/>
        <v>0</v>
      </c>
      <c r="J55" s="275"/>
      <c r="K55" s="398" t="s">
        <v>482</v>
      </c>
      <c r="L55" s="251" t="s">
        <v>480</v>
      </c>
      <c r="M55" s="11"/>
      <c r="N55" s="157"/>
      <c r="O55" s="15"/>
      <c r="P55" s="15"/>
      <c r="Q55" s="157"/>
      <c r="R55" s="134"/>
    </row>
    <row r="56" spans="1:18" ht="18" customHeight="1">
      <c r="B56" s="109"/>
      <c r="C56" s="114"/>
      <c r="D56" s="498"/>
      <c r="E56" s="498"/>
      <c r="F56" s="499"/>
      <c r="G56" s="500"/>
      <c r="H56" s="501"/>
      <c r="I56" s="502"/>
      <c r="J56" s="500"/>
      <c r="K56" s="499"/>
      <c r="L56" s="370"/>
      <c r="M56" s="11"/>
      <c r="N56" s="157"/>
      <c r="O56" s="15"/>
      <c r="P56" s="15"/>
      <c r="Q56" s="157"/>
      <c r="R56" s="134"/>
    </row>
    <row r="57" spans="1:18" ht="18" customHeight="1">
      <c r="A57" s="300"/>
      <c r="B57" s="109"/>
      <c r="C57" s="114"/>
      <c r="D57" s="124"/>
      <c r="E57" s="124"/>
      <c r="F57" s="286"/>
      <c r="G57" s="120"/>
      <c r="H57" s="328"/>
      <c r="I57" s="328"/>
      <c r="J57" s="120"/>
      <c r="K57" s="232"/>
      <c r="L57" s="370"/>
      <c r="M57" s="11"/>
      <c r="N57" s="157"/>
      <c r="O57" s="15"/>
      <c r="P57" s="15"/>
      <c r="Q57" s="157"/>
      <c r="R57" s="134"/>
    </row>
    <row r="58" spans="1:18" ht="18" customHeight="1">
      <c r="B58" s="109"/>
      <c r="C58" s="114"/>
      <c r="D58" s="154"/>
      <c r="E58" s="154"/>
      <c r="F58" s="228"/>
      <c r="G58" s="229"/>
      <c r="H58" s="229"/>
      <c r="I58" s="322"/>
      <c r="J58" s="155"/>
      <c r="K58" s="156"/>
      <c r="L58" s="71"/>
      <c r="M58" s="11"/>
      <c r="N58" s="159"/>
      <c r="O58" s="15"/>
      <c r="P58" s="15"/>
      <c r="Q58" s="159"/>
      <c r="R58" s="161"/>
    </row>
    <row r="59" spans="1:18" ht="18" customHeight="1">
      <c r="C59" s="70"/>
      <c r="D59" s="8"/>
      <c r="E59" s="8"/>
      <c r="F59" s="647">
        <f>SUM(I49:I57)</f>
        <v>6016</v>
      </c>
      <c r="G59" s="648"/>
      <c r="H59" s="648"/>
      <c r="I59" s="649"/>
      <c r="J59" s="13"/>
      <c r="K59" s="64"/>
      <c r="L59" s="71"/>
      <c r="M59" s="11"/>
      <c r="N59" s="76"/>
      <c r="O59" s="15"/>
      <c r="P59" s="15"/>
      <c r="Q59" s="76"/>
      <c r="R59" s="24"/>
    </row>
    <row r="60" spans="1:18" s="216" customFormat="1" ht="18" customHeight="1">
      <c r="C60" s="217"/>
      <c r="D60" s="154"/>
      <c r="E60" s="154"/>
      <c r="F60" s="218"/>
      <c r="G60" s="219"/>
      <c r="H60" s="219"/>
      <c r="I60" s="220"/>
      <c r="J60" s="221"/>
      <c r="K60" s="222"/>
      <c r="L60" s="223"/>
      <c r="M60" s="224"/>
      <c r="N60" s="225"/>
      <c r="O60" s="226"/>
      <c r="P60" s="226"/>
      <c r="Q60" s="225"/>
      <c r="R60" s="227"/>
    </row>
    <row r="61" spans="1:18" s="216" customFormat="1" ht="18" customHeight="1">
      <c r="C61" s="217"/>
      <c r="D61" s="154"/>
      <c r="E61" s="154"/>
      <c r="F61" s="218"/>
      <c r="G61" s="219"/>
      <c r="H61" s="219"/>
      <c r="I61" s="220"/>
      <c r="J61" s="221"/>
      <c r="K61" s="222"/>
      <c r="L61" s="223"/>
      <c r="M61" s="224"/>
      <c r="N61" s="225"/>
      <c r="O61" s="226"/>
      <c r="P61" s="226"/>
      <c r="Q61" s="225"/>
      <c r="R61" s="227"/>
    </row>
    <row r="62" spans="1:18" s="216" customFormat="1" ht="18" customHeight="1">
      <c r="C62" s="217"/>
      <c r="D62" s="154"/>
      <c r="E62" s="154"/>
      <c r="F62" s="218"/>
      <c r="G62" s="219"/>
      <c r="H62" s="219"/>
      <c r="I62" s="220"/>
      <c r="J62" s="221"/>
      <c r="K62" s="222"/>
      <c r="L62" s="223"/>
      <c r="M62" s="224"/>
      <c r="N62" s="225"/>
      <c r="O62" s="226"/>
      <c r="P62" s="226"/>
      <c r="Q62" s="225"/>
      <c r="R62" s="227"/>
    </row>
    <row r="63" spans="1:18" ht="18" customHeight="1">
      <c r="C63" s="70"/>
      <c r="D63" s="8"/>
      <c r="E63" s="8"/>
      <c r="F63" s="107"/>
      <c r="G63" s="68"/>
      <c r="H63" s="68"/>
      <c r="I63" s="68"/>
      <c r="J63" s="67"/>
      <c r="K63" s="69"/>
      <c r="L63" s="71"/>
      <c r="M63" s="11"/>
      <c r="N63" s="76"/>
      <c r="O63" s="15"/>
      <c r="P63" s="15"/>
      <c r="Q63" s="76"/>
      <c r="R63" s="24"/>
    </row>
    <row r="64" spans="1:18" ht="18" customHeight="1">
      <c r="C64" s="194"/>
      <c r="D64" s="650" t="s">
        <v>254</v>
      </c>
      <c r="E64" s="651"/>
      <c r="F64" s="652"/>
      <c r="G64" s="162"/>
      <c r="H64" s="162"/>
      <c r="I64" s="165"/>
      <c r="J64" s="165"/>
      <c r="K64" s="162"/>
      <c r="L64" s="71"/>
      <c r="M64" s="11"/>
      <c r="N64" s="76"/>
      <c r="O64" s="15"/>
      <c r="P64" s="15"/>
      <c r="Q64" s="76"/>
      <c r="R64" s="24"/>
    </row>
    <row r="65" spans="1:18" s="216" customFormat="1" ht="18" customHeight="1">
      <c r="A65" s="508" t="s">
        <v>360</v>
      </c>
      <c r="B65" s="504"/>
      <c r="C65" s="503">
        <f>+C55+1</f>
        <v>29</v>
      </c>
      <c r="D65" s="164" t="s">
        <v>470</v>
      </c>
      <c r="E65" s="164" t="s">
        <v>145</v>
      </c>
      <c r="F65" s="509" t="s">
        <v>486</v>
      </c>
      <c r="G65" s="119">
        <v>1</v>
      </c>
      <c r="H65" s="119">
        <v>1936</v>
      </c>
      <c r="I65" s="170">
        <f t="shared" ref="I65:I73" si="8">G65*H65</f>
        <v>1936</v>
      </c>
      <c r="J65" s="120"/>
      <c r="K65" s="508" t="s">
        <v>485</v>
      </c>
      <c r="L65" s="223"/>
      <c r="M65" s="224"/>
      <c r="N65" s="506"/>
      <c r="O65" s="226"/>
      <c r="P65" s="226"/>
      <c r="Q65" s="225"/>
      <c r="R65" s="507"/>
    </row>
    <row r="66" spans="1:18" s="216" customFormat="1" ht="18" customHeight="1">
      <c r="A66" s="508" t="s">
        <v>360</v>
      </c>
      <c r="B66" s="504"/>
      <c r="C66" s="503">
        <f t="shared" ref="C66:C75" si="9">+C65+1</f>
        <v>30</v>
      </c>
      <c r="D66" s="164" t="s">
        <v>470</v>
      </c>
      <c r="E66" s="164" t="s">
        <v>145</v>
      </c>
      <c r="F66" s="509" t="s">
        <v>487</v>
      </c>
      <c r="G66" s="119">
        <v>1</v>
      </c>
      <c r="H66" s="119">
        <v>2850</v>
      </c>
      <c r="I66" s="170">
        <f t="shared" si="8"/>
        <v>2850</v>
      </c>
      <c r="J66" s="120"/>
      <c r="K66" s="508" t="s">
        <v>488</v>
      </c>
      <c r="L66" s="223"/>
      <c r="M66" s="224"/>
      <c r="N66" s="506"/>
      <c r="O66" s="226"/>
      <c r="P66" s="226"/>
      <c r="Q66" s="225"/>
      <c r="R66" s="507"/>
    </row>
    <row r="67" spans="1:18" s="216" customFormat="1" ht="18" customHeight="1">
      <c r="A67" s="508" t="s">
        <v>360</v>
      </c>
      <c r="B67" s="504"/>
      <c r="C67" s="503">
        <f t="shared" si="9"/>
        <v>31</v>
      </c>
      <c r="D67" s="164" t="s">
        <v>470</v>
      </c>
      <c r="E67" s="164" t="s">
        <v>145</v>
      </c>
      <c r="F67" s="512" t="s">
        <v>489</v>
      </c>
      <c r="G67" s="510">
        <v>1</v>
      </c>
      <c r="H67" s="511">
        <v>4500</v>
      </c>
      <c r="I67" s="169">
        <f t="shared" si="8"/>
        <v>4500</v>
      </c>
      <c r="J67" s="172"/>
      <c r="K67" s="180" t="s">
        <v>325</v>
      </c>
      <c r="L67" s="223"/>
      <c r="M67" s="224"/>
      <c r="N67" s="506"/>
      <c r="O67" s="226"/>
      <c r="P67" s="226"/>
      <c r="Q67" s="225"/>
      <c r="R67" s="507"/>
    </row>
    <row r="68" spans="1:18" s="216" customFormat="1" ht="18" customHeight="1">
      <c r="A68" s="162" t="s">
        <v>484</v>
      </c>
      <c r="B68" s="504"/>
      <c r="C68" s="503">
        <f t="shared" si="9"/>
        <v>32</v>
      </c>
      <c r="D68" s="162" t="s">
        <v>145</v>
      </c>
      <c r="E68" s="162" t="s">
        <v>145</v>
      </c>
      <c r="F68" s="184" t="s">
        <v>255</v>
      </c>
      <c r="G68" s="513">
        <v>2</v>
      </c>
      <c r="H68" s="514">
        <v>70</v>
      </c>
      <c r="I68" s="515">
        <f t="shared" si="8"/>
        <v>140</v>
      </c>
      <c r="J68" s="165"/>
      <c r="K68" s="184" t="s">
        <v>256</v>
      </c>
      <c r="L68" s="162"/>
      <c r="M68" s="224"/>
      <c r="N68" s="506"/>
      <c r="O68" s="226"/>
      <c r="P68" s="226"/>
      <c r="Q68" s="225"/>
      <c r="R68" s="507"/>
    </row>
    <row r="69" spans="1:18" s="216" customFormat="1" ht="18" customHeight="1">
      <c r="A69" s="162" t="s">
        <v>484</v>
      </c>
      <c r="B69" s="504"/>
      <c r="C69" s="503">
        <f t="shared" si="9"/>
        <v>33</v>
      </c>
      <c r="D69" s="162" t="s">
        <v>145</v>
      </c>
      <c r="E69" s="162" t="s">
        <v>145</v>
      </c>
      <c r="F69" s="184" t="s">
        <v>257</v>
      </c>
      <c r="G69" s="513">
        <v>2</v>
      </c>
      <c r="H69" s="514">
        <v>78</v>
      </c>
      <c r="I69" s="515">
        <f t="shared" si="8"/>
        <v>156</v>
      </c>
      <c r="J69" s="165"/>
      <c r="K69" s="184" t="s">
        <v>256</v>
      </c>
      <c r="L69" s="162"/>
      <c r="M69" s="224"/>
      <c r="N69" s="506"/>
      <c r="O69" s="226"/>
      <c r="P69" s="226"/>
      <c r="Q69" s="225"/>
      <c r="R69" s="507"/>
    </row>
    <row r="70" spans="1:18" s="216" customFormat="1" ht="18" customHeight="1">
      <c r="A70" s="162" t="s">
        <v>484</v>
      </c>
      <c r="B70" s="504"/>
      <c r="C70" s="503">
        <f t="shared" si="9"/>
        <v>34</v>
      </c>
      <c r="D70" s="164" t="s">
        <v>145</v>
      </c>
      <c r="E70" s="164" t="s">
        <v>145</v>
      </c>
      <c r="F70" s="195" t="s">
        <v>258</v>
      </c>
      <c r="G70" s="516">
        <v>4</v>
      </c>
      <c r="H70" s="511">
        <v>169</v>
      </c>
      <c r="I70" s="339">
        <f t="shared" si="8"/>
        <v>676</v>
      </c>
      <c r="J70" s="196"/>
      <c r="K70" s="195" t="s">
        <v>259</v>
      </c>
      <c r="L70" s="162"/>
      <c r="M70" s="224"/>
      <c r="N70" s="506"/>
      <c r="O70" s="226"/>
      <c r="P70" s="226"/>
      <c r="Q70" s="225"/>
      <c r="R70" s="507"/>
    </row>
    <row r="71" spans="1:18" s="216" customFormat="1" ht="18" customHeight="1">
      <c r="A71" s="162" t="s">
        <v>484</v>
      </c>
      <c r="B71" s="504"/>
      <c r="C71" s="503">
        <f t="shared" si="9"/>
        <v>35</v>
      </c>
      <c r="D71" s="164" t="s">
        <v>145</v>
      </c>
      <c r="E71" s="164" t="s">
        <v>145</v>
      </c>
      <c r="F71" s="458" t="s">
        <v>260</v>
      </c>
      <c r="G71" s="517">
        <v>2</v>
      </c>
      <c r="H71" s="518">
        <v>71</v>
      </c>
      <c r="I71" s="321">
        <f t="shared" si="8"/>
        <v>142</v>
      </c>
      <c r="J71" s="165"/>
      <c r="K71" s="163" t="s">
        <v>261</v>
      </c>
      <c r="L71" s="185"/>
      <c r="M71" s="224"/>
      <c r="N71" s="506"/>
      <c r="O71" s="226"/>
      <c r="P71" s="226"/>
      <c r="Q71" s="225"/>
      <c r="R71" s="507"/>
    </row>
    <row r="72" spans="1:18" s="216" customFormat="1" ht="18" customHeight="1">
      <c r="A72" s="162" t="s">
        <v>484</v>
      </c>
      <c r="B72" s="504"/>
      <c r="C72" s="503">
        <f t="shared" si="9"/>
        <v>36</v>
      </c>
      <c r="D72" s="164" t="s">
        <v>145</v>
      </c>
      <c r="E72" s="164" t="s">
        <v>145</v>
      </c>
      <c r="F72" s="458" t="s">
        <v>262</v>
      </c>
      <c r="G72" s="517">
        <v>2</v>
      </c>
      <c r="H72" s="518">
        <v>30</v>
      </c>
      <c r="I72" s="321">
        <f t="shared" si="8"/>
        <v>60</v>
      </c>
      <c r="J72" s="165"/>
      <c r="K72" s="163" t="s">
        <v>263</v>
      </c>
      <c r="L72" s="185"/>
      <c r="M72" s="224"/>
      <c r="N72" s="506"/>
      <c r="O72" s="226"/>
      <c r="P72" s="226"/>
      <c r="Q72" s="225"/>
      <c r="R72" s="507"/>
    </row>
    <row r="73" spans="1:18" s="216" customFormat="1" ht="18" customHeight="1">
      <c r="A73" s="162" t="s">
        <v>492</v>
      </c>
      <c r="B73" s="504"/>
      <c r="C73" s="503">
        <f t="shared" si="9"/>
        <v>37</v>
      </c>
      <c r="D73" s="252" t="s">
        <v>264</v>
      </c>
      <c r="E73" s="252" t="s">
        <v>145</v>
      </c>
      <c r="F73" s="253" t="s">
        <v>265</v>
      </c>
      <c r="G73" s="254"/>
      <c r="H73" s="329">
        <v>1800</v>
      </c>
      <c r="I73" s="330">
        <f t="shared" si="8"/>
        <v>0</v>
      </c>
      <c r="J73" s="255"/>
      <c r="K73" s="253" t="s">
        <v>266</v>
      </c>
      <c r="L73" s="251" t="s">
        <v>490</v>
      </c>
      <c r="M73" s="224"/>
      <c r="N73" s="506"/>
      <c r="O73" s="226"/>
      <c r="P73" s="226"/>
      <c r="Q73" s="225"/>
      <c r="R73" s="507"/>
    </row>
    <row r="74" spans="1:18" s="216" customFormat="1" ht="18" customHeight="1">
      <c r="A74" s="162" t="s">
        <v>483</v>
      </c>
      <c r="B74" s="504"/>
      <c r="C74" s="503">
        <f t="shared" si="9"/>
        <v>38</v>
      </c>
      <c r="D74" s="246" t="s">
        <v>145</v>
      </c>
      <c r="E74" s="246" t="s">
        <v>145</v>
      </c>
      <c r="F74" s="247" t="s">
        <v>271</v>
      </c>
      <c r="G74" s="248"/>
      <c r="H74" s="332">
        <v>690</v>
      </c>
      <c r="I74" s="332">
        <f>G74*H74</f>
        <v>0</v>
      </c>
      <c r="J74" s="249"/>
      <c r="K74" s="250" t="s">
        <v>272</v>
      </c>
      <c r="L74" s="251" t="s">
        <v>491</v>
      </c>
      <c r="M74" s="224"/>
      <c r="N74" s="506"/>
      <c r="O74" s="226"/>
      <c r="P74" s="226"/>
      <c r="Q74" s="225"/>
      <c r="R74" s="507"/>
    </row>
    <row r="75" spans="1:18" s="216" customFormat="1" ht="18" customHeight="1">
      <c r="A75" s="162" t="s">
        <v>493</v>
      </c>
      <c r="B75" s="504"/>
      <c r="C75" s="503">
        <f t="shared" si="9"/>
        <v>39</v>
      </c>
      <c r="D75" s="246" t="s">
        <v>145</v>
      </c>
      <c r="E75" s="246" t="s">
        <v>145</v>
      </c>
      <c r="F75" s="247" t="s">
        <v>150</v>
      </c>
      <c r="G75" s="248"/>
      <c r="H75" s="332">
        <v>990</v>
      </c>
      <c r="I75" s="332">
        <f>G75*H75</f>
        <v>0</v>
      </c>
      <c r="J75" s="249"/>
      <c r="K75" s="250" t="s">
        <v>272</v>
      </c>
      <c r="L75" s="251" t="s">
        <v>491</v>
      </c>
      <c r="M75" s="224"/>
      <c r="N75" s="506"/>
      <c r="O75" s="226"/>
      <c r="P75" s="226"/>
      <c r="Q75" s="225"/>
      <c r="R75" s="507"/>
    </row>
    <row r="76" spans="1:18" ht="18" customHeight="1">
      <c r="C76" s="128"/>
      <c r="D76" s="181"/>
      <c r="E76" s="181"/>
      <c r="F76" s="167"/>
      <c r="G76" s="162"/>
      <c r="H76" s="169"/>
      <c r="I76" s="169"/>
      <c r="J76" s="165"/>
      <c r="K76" s="198"/>
      <c r="L76" s="71"/>
      <c r="M76" s="11"/>
      <c r="N76" s="76"/>
      <c r="O76" s="15"/>
      <c r="P76" s="15"/>
      <c r="Q76" s="76"/>
      <c r="R76" s="24"/>
    </row>
    <row r="77" spans="1:18" ht="18" customHeight="1">
      <c r="C77" s="128"/>
      <c r="D77" s="199"/>
      <c r="E77" s="199"/>
      <c r="F77" s="653">
        <f>SUM(I65:I76)</f>
        <v>10460</v>
      </c>
      <c r="G77" s="654"/>
      <c r="H77" s="654"/>
      <c r="I77" s="655"/>
      <c r="J77" s="175"/>
      <c r="K77" s="176"/>
      <c r="L77" s="71"/>
      <c r="M77" s="11"/>
      <c r="N77" s="76"/>
      <c r="O77" s="15"/>
      <c r="P77" s="15"/>
      <c r="Q77" s="76"/>
      <c r="R77" s="24"/>
    </row>
    <row r="78" spans="1:18" s="216" customFormat="1" ht="18" customHeight="1">
      <c r="C78" s="356"/>
      <c r="D78" s="372"/>
      <c r="E78" s="372"/>
      <c r="F78" s="373"/>
      <c r="G78" s="374"/>
      <c r="H78" s="375"/>
      <c r="I78" s="231"/>
      <c r="J78" s="119"/>
      <c r="K78" s="355"/>
      <c r="L78" s="474"/>
      <c r="M78" s="224"/>
      <c r="N78" s="225"/>
      <c r="O78" s="226"/>
      <c r="P78" s="226"/>
      <c r="Q78" s="225"/>
      <c r="R78" s="227"/>
    </row>
    <row r="79" spans="1:18" s="216" customFormat="1" ht="18" customHeight="1">
      <c r="C79" s="356"/>
      <c r="D79" s="372"/>
      <c r="E79" s="372"/>
      <c r="F79" s="373"/>
      <c r="G79" s="374"/>
      <c r="H79" s="375"/>
      <c r="I79" s="231"/>
      <c r="J79" s="119"/>
      <c r="K79" s="355"/>
      <c r="L79" s="474"/>
      <c r="M79" s="224"/>
      <c r="N79" s="225"/>
      <c r="O79" s="226"/>
      <c r="P79" s="226"/>
      <c r="Q79" s="225"/>
      <c r="R79" s="227"/>
    </row>
    <row r="80" spans="1:18" s="216" customFormat="1" ht="18" customHeight="1">
      <c r="C80" s="356"/>
      <c r="D80" s="372"/>
      <c r="E80" s="372"/>
      <c r="F80" s="373"/>
      <c r="G80" s="374"/>
      <c r="H80" s="375"/>
      <c r="I80" s="231"/>
      <c r="J80" s="119"/>
      <c r="K80" s="355"/>
      <c r="L80" s="474"/>
      <c r="M80" s="224"/>
      <c r="N80" s="225"/>
      <c r="O80" s="226"/>
      <c r="P80" s="226"/>
      <c r="Q80" s="225"/>
      <c r="R80" s="227"/>
    </row>
    <row r="81" spans="3:18" s="216" customFormat="1" ht="18" customHeight="1">
      <c r="C81" s="356"/>
      <c r="D81" s="656" t="s">
        <v>422</v>
      </c>
      <c r="E81" s="656"/>
      <c r="F81" s="656"/>
      <c r="G81" s="374"/>
      <c r="H81" s="375"/>
      <c r="I81" s="231"/>
      <c r="J81" s="119"/>
      <c r="K81" s="355"/>
      <c r="L81" s="474"/>
      <c r="M81" s="224"/>
      <c r="N81" s="225"/>
      <c r="O81" s="226"/>
      <c r="P81" s="226"/>
      <c r="Q81" s="225"/>
      <c r="R81" s="227"/>
    </row>
    <row r="82" spans="3:18" s="216" customFormat="1" ht="18" customHeight="1">
      <c r="C82" s="451">
        <f>+C75+1</f>
        <v>40</v>
      </c>
      <c r="D82" s="181" t="s">
        <v>37</v>
      </c>
      <c r="E82" s="181" t="s">
        <v>37</v>
      </c>
      <c r="F82" s="167" t="s">
        <v>423</v>
      </c>
      <c r="G82" s="476">
        <v>2</v>
      </c>
      <c r="H82" s="477">
        <v>3480</v>
      </c>
      <c r="I82" s="170">
        <f>G82*H82</f>
        <v>6960</v>
      </c>
      <c r="J82" s="165"/>
      <c r="K82" s="478" t="s">
        <v>424</v>
      </c>
      <c r="L82" s="474"/>
      <c r="M82" s="224"/>
      <c r="N82" s="225"/>
      <c r="O82" s="226"/>
      <c r="P82" s="226"/>
      <c r="Q82" s="225"/>
      <c r="R82" s="227"/>
    </row>
    <row r="83" spans="3:18" s="216" customFormat="1" ht="18" customHeight="1">
      <c r="C83" s="451">
        <f t="shared" ref="C83:C104" si="10">+C82+1</f>
        <v>41</v>
      </c>
      <c r="D83" s="181" t="s">
        <v>37</v>
      </c>
      <c r="E83" s="181" t="s">
        <v>37</v>
      </c>
      <c r="F83" s="167" t="s">
        <v>425</v>
      </c>
      <c r="G83" s="476">
        <v>4</v>
      </c>
      <c r="H83" s="211">
        <v>3040</v>
      </c>
      <c r="I83" s="170">
        <f>G83*H83</f>
        <v>12160</v>
      </c>
      <c r="J83" s="165"/>
      <c r="K83" s="478" t="s">
        <v>426</v>
      </c>
      <c r="L83" s="474"/>
      <c r="M83" s="224"/>
      <c r="N83" s="225"/>
      <c r="O83" s="226"/>
      <c r="P83" s="226"/>
      <c r="Q83" s="225"/>
      <c r="R83" s="227"/>
    </row>
    <row r="84" spans="3:18" s="216" customFormat="1" ht="18" customHeight="1">
      <c r="C84" s="451">
        <f t="shared" si="10"/>
        <v>42</v>
      </c>
      <c r="D84" s="181" t="s">
        <v>37</v>
      </c>
      <c r="E84" s="181" t="s">
        <v>37</v>
      </c>
      <c r="F84" s="493" t="s">
        <v>427</v>
      </c>
      <c r="G84" s="476"/>
      <c r="H84" s="211">
        <v>1840</v>
      </c>
      <c r="I84" s="170">
        <f t="shared" ref="I84:I102" si="11">G84*H84</f>
        <v>0</v>
      </c>
      <c r="J84" s="165"/>
      <c r="K84" s="478" t="s">
        <v>428</v>
      </c>
      <c r="L84" s="474"/>
      <c r="M84" s="224"/>
      <c r="N84" s="225"/>
      <c r="O84" s="226"/>
      <c r="P84" s="226"/>
      <c r="Q84" s="225"/>
      <c r="R84" s="227"/>
    </row>
    <row r="85" spans="3:18" s="216" customFormat="1" ht="18" customHeight="1">
      <c r="C85" s="451">
        <f t="shared" si="10"/>
        <v>43</v>
      </c>
      <c r="D85" s="181" t="s">
        <v>37</v>
      </c>
      <c r="E85" s="181" t="s">
        <v>37</v>
      </c>
      <c r="F85" s="479" t="s">
        <v>429</v>
      </c>
      <c r="G85" s="476">
        <v>2</v>
      </c>
      <c r="H85" s="211">
        <v>2160</v>
      </c>
      <c r="I85" s="170">
        <f t="shared" si="11"/>
        <v>4320</v>
      </c>
      <c r="J85" s="165"/>
      <c r="K85" s="478" t="s">
        <v>430</v>
      </c>
      <c r="L85" s="474"/>
      <c r="M85" s="224"/>
      <c r="N85" s="225"/>
      <c r="O85" s="226"/>
      <c r="P85" s="226"/>
      <c r="Q85" s="225"/>
      <c r="R85" s="227"/>
    </row>
    <row r="86" spans="3:18" s="216" customFormat="1" ht="18" customHeight="1">
      <c r="C86" s="451">
        <f t="shared" si="10"/>
        <v>44</v>
      </c>
      <c r="D86" s="181" t="s">
        <v>37</v>
      </c>
      <c r="E86" s="181" t="s">
        <v>37</v>
      </c>
      <c r="F86" s="493" t="s">
        <v>431</v>
      </c>
      <c r="G86" s="476"/>
      <c r="H86" s="211">
        <v>2600</v>
      </c>
      <c r="I86" s="170">
        <f t="shared" si="11"/>
        <v>0</v>
      </c>
      <c r="J86" s="165"/>
      <c r="K86" s="478" t="s">
        <v>432</v>
      </c>
      <c r="L86" s="474"/>
      <c r="M86" s="224"/>
      <c r="N86" s="225"/>
      <c r="O86" s="226"/>
      <c r="P86" s="226"/>
      <c r="Q86" s="225"/>
      <c r="R86" s="227"/>
    </row>
    <row r="87" spans="3:18" s="216" customFormat="1" ht="18" customHeight="1">
      <c r="C87" s="451">
        <f t="shared" si="10"/>
        <v>45</v>
      </c>
      <c r="D87" s="181" t="s">
        <v>37</v>
      </c>
      <c r="E87" s="181" t="s">
        <v>37</v>
      </c>
      <c r="F87" s="167" t="s">
        <v>433</v>
      </c>
      <c r="G87" s="476">
        <v>4</v>
      </c>
      <c r="H87" s="211">
        <v>2313</v>
      </c>
      <c r="I87" s="170">
        <f t="shared" si="11"/>
        <v>9252</v>
      </c>
      <c r="J87" s="165"/>
      <c r="K87" s="478" t="s">
        <v>434</v>
      </c>
      <c r="L87" s="474"/>
      <c r="M87" s="224"/>
      <c r="N87" s="225"/>
      <c r="O87" s="226"/>
      <c r="P87" s="226"/>
      <c r="Q87" s="225"/>
      <c r="R87" s="227"/>
    </row>
    <row r="88" spans="3:18" s="216" customFormat="1" ht="18" customHeight="1">
      <c r="C88" s="451">
        <f t="shared" si="10"/>
        <v>46</v>
      </c>
      <c r="D88" s="181" t="s">
        <v>37</v>
      </c>
      <c r="E88" s="181" t="s">
        <v>37</v>
      </c>
      <c r="F88" s="167" t="s">
        <v>435</v>
      </c>
      <c r="G88" s="476">
        <v>4</v>
      </c>
      <c r="H88" s="211">
        <v>180</v>
      </c>
      <c r="I88" s="170">
        <f t="shared" si="11"/>
        <v>720</v>
      </c>
      <c r="J88" s="165"/>
      <c r="K88" s="478" t="s">
        <v>436</v>
      </c>
      <c r="L88" s="474"/>
      <c r="M88" s="224"/>
      <c r="N88" s="225"/>
      <c r="O88" s="226"/>
      <c r="P88" s="226"/>
      <c r="Q88" s="225"/>
      <c r="R88" s="227"/>
    </row>
    <row r="89" spans="3:18" s="216" customFormat="1" ht="18" customHeight="1">
      <c r="C89" s="451">
        <f t="shared" si="10"/>
        <v>47</v>
      </c>
      <c r="D89" s="181" t="s">
        <v>37</v>
      </c>
      <c r="E89" s="181" t="s">
        <v>37</v>
      </c>
      <c r="F89" s="167" t="s">
        <v>437</v>
      </c>
      <c r="G89" s="476">
        <v>8</v>
      </c>
      <c r="H89" s="211">
        <v>52</v>
      </c>
      <c r="I89" s="170">
        <f t="shared" si="11"/>
        <v>416</v>
      </c>
      <c r="J89" s="165"/>
      <c r="K89" s="478" t="s">
        <v>438</v>
      </c>
      <c r="L89" s="474"/>
      <c r="M89" s="224"/>
      <c r="N89" s="225"/>
      <c r="O89" s="226"/>
      <c r="P89" s="226"/>
      <c r="Q89" s="225"/>
      <c r="R89" s="227"/>
    </row>
    <row r="90" spans="3:18" s="216" customFormat="1" ht="18" customHeight="1">
      <c r="C90" s="451">
        <f t="shared" si="10"/>
        <v>48</v>
      </c>
      <c r="D90" s="181" t="s">
        <v>37</v>
      </c>
      <c r="E90" s="181" t="s">
        <v>37</v>
      </c>
      <c r="F90" s="167" t="s">
        <v>439</v>
      </c>
      <c r="G90" s="476">
        <v>10</v>
      </c>
      <c r="H90" s="211">
        <v>25</v>
      </c>
      <c r="I90" s="170">
        <f t="shared" si="11"/>
        <v>250</v>
      </c>
      <c r="J90" s="165"/>
      <c r="K90" s="478" t="s">
        <v>440</v>
      </c>
      <c r="L90" s="474"/>
      <c r="M90" s="224"/>
      <c r="N90" s="225"/>
      <c r="O90" s="226"/>
      <c r="P90" s="226"/>
      <c r="Q90" s="225"/>
      <c r="R90" s="227"/>
    </row>
    <row r="91" spans="3:18" s="216" customFormat="1" ht="18" customHeight="1">
      <c r="C91" s="451">
        <f t="shared" si="10"/>
        <v>49</v>
      </c>
      <c r="D91" s="181" t="s">
        <v>37</v>
      </c>
      <c r="E91" s="181" t="s">
        <v>37</v>
      </c>
      <c r="F91" s="167" t="s">
        <v>441</v>
      </c>
      <c r="G91" s="476">
        <v>10</v>
      </c>
      <c r="H91" s="211">
        <v>25</v>
      </c>
      <c r="I91" s="170">
        <f t="shared" si="11"/>
        <v>250</v>
      </c>
      <c r="J91" s="165"/>
      <c r="K91" s="478" t="s">
        <v>440</v>
      </c>
      <c r="L91" s="474"/>
      <c r="M91" s="224"/>
      <c r="N91" s="225"/>
      <c r="O91" s="226"/>
      <c r="P91" s="226"/>
      <c r="Q91" s="225"/>
      <c r="R91" s="227"/>
    </row>
    <row r="92" spans="3:18" s="216" customFormat="1" ht="18" customHeight="1">
      <c r="C92" s="451">
        <f t="shared" si="10"/>
        <v>50</v>
      </c>
      <c r="D92" s="181" t="s">
        <v>37</v>
      </c>
      <c r="E92" s="181" t="s">
        <v>37</v>
      </c>
      <c r="F92" s="167" t="s">
        <v>442</v>
      </c>
      <c r="G92" s="476">
        <v>4</v>
      </c>
      <c r="H92" s="211">
        <v>59</v>
      </c>
      <c r="I92" s="170">
        <f t="shared" si="11"/>
        <v>236</v>
      </c>
      <c r="J92" s="165"/>
      <c r="K92" s="478" t="s">
        <v>443</v>
      </c>
      <c r="L92" s="474"/>
      <c r="M92" s="224"/>
      <c r="N92" s="225"/>
      <c r="O92" s="226"/>
      <c r="P92" s="226"/>
      <c r="Q92" s="225"/>
      <c r="R92" s="227"/>
    </row>
    <row r="93" spans="3:18" s="216" customFormat="1" ht="18" customHeight="1">
      <c r="C93" s="451">
        <f t="shared" si="10"/>
        <v>51</v>
      </c>
      <c r="D93" s="181" t="s">
        <v>37</v>
      </c>
      <c r="E93" s="181" t="s">
        <v>37</v>
      </c>
      <c r="F93" s="167" t="s">
        <v>444</v>
      </c>
      <c r="G93" s="476">
        <v>4</v>
      </c>
      <c r="H93" s="211">
        <v>140</v>
      </c>
      <c r="I93" s="170">
        <f t="shared" si="11"/>
        <v>560</v>
      </c>
      <c r="J93" s="165"/>
      <c r="K93" s="478" t="s">
        <v>445</v>
      </c>
      <c r="L93" s="474"/>
      <c r="M93" s="224"/>
      <c r="N93" s="225"/>
      <c r="O93" s="226"/>
      <c r="P93" s="226"/>
      <c r="Q93" s="225"/>
      <c r="R93" s="227"/>
    </row>
    <row r="94" spans="3:18" s="216" customFormat="1" ht="18" customHeight="1">
      <c r="C94" s="451">
        <f t="shared" si="10"/>
        <v>52</v>
      </c>
      <c r="D94" s="181" t="s">
        <v>37</v>
      </c>
      <c r="E94" s="181" t="s">
        <v>37</v>
      </c>
      <c r="F94" s="167" t="s">
        <v>446</v>
      </c>
      <c r="G94" s="476">
        <v>26</v>
      </c>
      <c r="H94" s="211">
        <v>46</v>
      </c>
      <c r="I94" s="170">
        <f t="shared" si="11"/>
        <v>1196</v>
      </c>
      <c r="J94" s="165"/>
      <c r="K94" s="478" t="s">
        <v>447</v>
      </c>
      <c r="L94" s="474"/>
      <c r="M94" s="224"/>
      <c r="N94" s="225"/>
      <c r="O94" s="226"/>
      <c r="P94" s="226"/>
      <c r="Q94" s="225"/>
      <c r="R94" s="227"/>
    </row>
    <row r="95" spans="3:18" s="216" customFormat="1" ht="18" customHeight="1">
      <c r="C95" s="451">
        <f t="shared" si="10"/>
        <v>53</v>
      </c>
      <c r="D95" s="181" t="s">
        <v>37</v>
      </c>
      <c r="E95" s="181" t="s">
        <v>37</v>
      </c>
      <c r="F95" s="167" t="s">
        <v>448</v>
      </c>
      <c r="G95" s="476">
        <v>20</v>
      </c>
      <c r="H95" s="211">
        <v>29</v>
      </c>
      <c r="I95" s="170">
        <f t="shared" si="11"/>
        <v>580</v>
      </c>
      <c r="J95" s="165"/>
      <c r="K95" s="478" t="s">
        <v>449</v>
      </c>
      <c r="L95" s="474"/>
      <c r="M95" s="224"/>
      <c r="N95" s="225"/>
      <c r="O95" s="226"/>
      <c r="P95" s="226"/>
      <c r="Q95" s="225"/>
      <c r="R95" s="227"/>
    </row>
    <row r="96" spans="3:18" s="216" customFormat="1" ht="18" customHeight="1">
      <c r="C96" s="451">
        <f t="shared" si="10"/>
        <v>54</v>
      </c>
      <c r="D96" s="181" t="s">
        <v>37</v>
      </c>
      <c r="E96" s="181" t="s">
        <v>37</v>
      </c>
      <c r="F96" s="167" t="s">
        <v>450</v>
      </c>
      <c r="G96" s="476">
        <v>20</v>
      </c>
      <c r="H96" s="211">
        <v>29</v>
      </c>
      <c r="I96" s="170">
        <f t="shared" si="11"/>
        <v>580</v>
      </c>
      <c r="J96" s="165"/>
      <c r="K96" s="478" t="s">
        <v>449</v>
      </c>
      <c r="L96" s="474"/>
      <c r="M96" s="224"/>
      <c r="N96" s="225"/>
      <c r="O96" s="226"/>
      <c r="P96" s="226"/>
      <c r="Q96" s="225"/>
      <c r="R96" s="227"/>
    </row>
    <row r="97" spans="1:18" s="216" customFormat="1" ht="18" customHeight="1">
      <c r="C97" s="451">
        <f t="shared" si="10"/>
        <v>55</v>
      </c>
      <c r="D97" s="181" t="s">
        <v>37</v>
      </c>
      <c r="E97" s="181" t="s">
        <v>37</v>
      </c>
      <c r="F97" s="167" t="s">
        <v>451</v>
      </c>
      <c r="G97" s="476">
        <v>4</v>
      </c>
      <c r="H97" s="211">
        <v>1080</v>
      </c>
      <c r="I97" s="170">
        <f t="shared" si="11"/>
        <v>4320</v>
      </c>
      <c r="J97" s="165"/>
      <c r="K97" s="478" t="s">
        <v>452</v>
      </c>
      <c r="L97" s="474"/>
      <c r="M97" s="224"/>
      <c r="N97" s="225"/>
      <c r="O97" s="226"/>
      <c r="P97" s="226"/>
      <c r="Q97" s="225"/>
      <c r="R97" s="227"/>
    </row>
    <row r="98" spans="1:18" s="216" customFormat="1" ht="18" customHeight="1">
      <c r="C98" s="451">
        <f t="shared" si="10"/>
        <v>56</v>
      </c>
      <c r="D98" s="181" t="s">
        <v>37</v>
      </c>
      <c r="E98" s="181" t="s">
        <v>37</v>
      </c>
      <c r="F98" s="167" t="s">
        <v>453</v>
      </c>
      <c r="G98" s="476">
        <v>2</v>
      </c>
      <c r="H98" s="211">
        <v>1180</v>
      </c>
      <c r="I98" s="170">
        <f t="shared" si="11"/>
        <v>2360</v>
      </c>
      <c r="J98" s="165"/>
      <c r="K98" s="478" t="s">
        <v>454</v>
      </c>
      <c r="L98" s="474"/>
      <c r="M98" s="224"/>
      <c r="N98" s="225"/>
      <c r="O98" s="226"/>
      <c r="P98" s="226"/>
      <c r="Q98" s="225"/>
      <c r="R98" s="227"/>
    </row>
    <row r="99" spans="1:18" s="216" customFormat="1" ht="18" customHeight="1">
      <c r="C99" s="451">
        <f t="shared" si="10"/>
        <v>57</v>
      </c>
      <c r="D99" s="181" t="s">
        <v>37</v>
      </c>
      <c r="E99" s="181" t="s">
        <v>37</v>
      </c>
      <c r="F99" s="167" t="s">
        <v>455</v>
      </c>
      <c r="G99" s="476">
        <v>2</v>
      </c>
      <c r="H99" s="211">
        <v>1160</v>
      </c>
      <c r="I99" s="170">
        <f t="shared" si="11"/>
        <v>2320</v>
      </c>
      <c r="J99" s="165"/>
      <c r="K99" s="167" t="s">
        <v>456</v>
      </c>
      <c r="L99" s="474"/>
      <c r="M99" s="224"/>
      <c r="N99" s="225"/>
      <c r="O99" s="226"/>
      <c r="P99" s="226"/>
      <c r="Q99" s="225"/>
      <c r="R99" s="227"/>
    </row>
    <row r="100" spans="1:18" s="216" customFormat="1" ht="18" customHeight="1">
      <c r="C100" s="451">
        <f t="shared" si="10"/>
        <v>58</v>
      </c>
      <c r="D100" s="181" t="s">
        <v>37</v>
      </c>
      <c r="E100" s="181" t="s">
        <v>37</v>
      </c>
      <c r="F100" s="167" t="s">
        <v>457</v>
      </c>
      <c r="G100" s="480">
        <v>4</v>
      </c>
      <c r="H100" s="211">
        <v>170</v>
      </c>
      <c r="I100" s="170">
        <f t="shared" si="11"/>
        <v>680</v>
      </c>
      <c r="J100" s="175"/>
      <c r="K100" s="167" t="s">
        <v>458</v>
      </c>
      <c r="L100" s="474"/>
      <c r="M100" s="224"/>
      <c r="N100" s="225"/>
      <c r="O100" s="226"/>
      <c r="P100" s="226"/>
      <c r="Q100" s="225"/>
      <c r="R100" s="227"/>
    </row>
    <row r="101" spans="1:18" s="216" customFormat="1" ht="18" customHeight="1">
      <c r="C101" s="451">
        <f t="shared" si="10"/>
        <v>59</v>
      </c>
      <c r="D101" s="62" t="s">
        <v>37</v>
      </c>
      <c r="E101" s="62" t="s">
        <v>37</v>
      </c>
      <c r="F101" s="91" t="s">
        <v>459</v>
      </c>
      <c r="G101" s="111">
        <v>10</v>
      </c>
      <c r="H101" s="111">
        <v>19</v>
      </c>
      <c r="I101" s="336">
        <f t="shared" si="11"/>
        <v>190</v>
      </c>
      <c r="J101" s="481"/>
      <c r="K101" s="45" t="s">
        <v>133</v>
      </c>
      <c r="L101" s="474"/>
      <c r="M101" s="224"/>
      <c r="N101" s="225"/>
      <c r="O101" s="226"/>
      <c r="P101" s="226"/>
      <c r="Q101" s="225"/>
      <c r="R101" s="227"/>
    </row>
    <row r="102" spans="1:18" s="216" customFormat="1" ht="18" customHeight="1">
      <c r="C102" s="451">
        <f t="shared" si="10"/>
        <v>60</v>
      </c>
      <c r="D102" s="181" t="s">
        <v>37</v>
      </c>
      <c r="E102" s="181" t="s">
        <v>37</v>
      </c>
      <c r="F102" s="167" t="s">
        <v>460</v>
      </c>
      <c r="G102" s="162">
        <v>12</v>
      </c>
      <c r="H102" s="482">
        <v>39</v>
      </c>
      <c r="I102" s="170">
        <f t="shared" si="11"/>
        <v>468</v>
      </c>
      <c r="J102" s="165"/>
      <c r="K102" s="198" t="s">
        <v>461</v>
      </c>
      <c r="L102" s="474"/>
      <c r="M102" s="224"/>
      <c r="N102" s="225"/>
      <c r="O102" s="226"/>
      <c r="P102" s="226"/>
      <c r="Q102" s="225"/>
      <c r="R102" s="227"/>
    </row>
    <row r="103" spans="1:18" s="216" customFormat="1" ht="18" customHeight="1">
      <c r="C103" s="451">
        <f t="shared" si="10"/>
        <v>61</v>
      </c>
      <c r="D103" s="181" t="s">
        <v>37</v>
      </c>
      <c r="E103" s="181" t="s">
        <v>37</v>
      </c>
      <c r="F103" s="167" t="s">
        <v>462</v>
      </c>
      <c r="G103" s="476">
        <v>6</v>
      </c>
      <c r="H103" s="211">
        <v>25</v>
      </c>
      <c r="I103" s="170">
        <f>G103*H103</f>
        <v>150</v>
      </c>
      <c r="J103" s="165"/>
      <c r="K103" s="478" t="s">
        <v>440</v>
      </c>
      <c r="L103" s="474"/>
      <c r="M103" s="224"/>
      <c r="N103" s="225"/>
      <c r="O103" s="226"/>
      <c r="P103" s="226"/>
      <c r="Q103" s="225"/>
      <c r="R103" s="227"/>
    </row>
    <row r="104" spans="1:18" s="216" customFormat="1" ht="18" customHeight="1">
      <c r="C104" s="451">
        <f t="shared" si="10"/>
        <v>62</v>
      </c>
      <c r="D104" s="483" t="s">
        <v>37</v>
      </c>
      <c r="E104" s="483" t="s">
        <v>37</v>
      </c>
      <c r="F104" s="484" t="s">
        <v>463</v>
      </c>
      <c r="G104" s="241">
        <v>10</v>
      </c>
      <c r="H104" s="485">
        <v>25</v>
      </c>
      <c r="I104" s="486">
        <f>G104*H104</f>
        <v>250</v>
      </c>
      <c r="J104" s="487"/>
      <c r="K104" s="488" t="s">
        <v>464</v>
      </c>
      <c r="L104" s="474"/>
      <c r="M104" s="224"/>
      <c r="N104" s="225"/>
      <c r="O104" s="226"/>
      <c r="P104" s="226"/>
      <c r="Q104" s="225"/>
      <c r="R104" s="227"/>
    </row>
    <row r="105" spans="1:18" s="216" customFormat="1" ht="18" customHeight="1">
      <c r="C105" s="356"/>
      <c r="D105" s="489"/>
      <c r="E105" s="489"/>
      <c r="F105" s="490"/>
      <c r="G105" s="491"/>
      <c r="H105" s="174"/>
      <c r="I105" s="170"/>
      <c r="J105" s="175"/>
      <c r="K105" s="176"/>
      <c r="L105" s="474"/>
      <c r="M105" s="224"/>
      <c r="N105" s="225"/>
      <c r="O105" s="226"/>
      <c r="P105" s="226"/>
      <c r="Q105" s="225"/>
      <c r="R105" s="227"/>
    </row>
    <row r="106" spans="1:18" s="216" customFormat="1" ht="18" customHeight="1">
      <c r="C106" s="356"/>
      <c r="D106" s="489"/>
      <c r="E106" s="489"/>
      <c r="F106" s="653">
        <f>SUM(I82:I105)</f>
        <v>48218</v>
      </c>
      <c r="G106" s="654"/>
      <c r="H106" s="654"/>
      <c r="I106" s="655"/>
      <c r="J106" s="175"/>
      <c r="K106" s="176"/>
      <c r="L106" s="474"/>
      <c r="M106" s="224"/>
      <c r="N106" s="225"/>
      <c r="O106" s="226"/>
      <c r="P106" s="226"/>
      <c r="Q106" s="225"/>
      <c r="R106" s="227"/>
    </row>
    <row r="107" spans="1:18" s="216" customFormat="1" ht="18" customHeight="1">
      <c r="C107" s="356"/>
      <c r="D107" s="489"/>
      <c r="E107" s="489"/>
      <c r="F107" s="492"/>
      <c r="G107" s="491"/>
      <c r="H107" s="174"/>
      <c r="I107" s="170"/>
      <c r="J107" s="175"/>
      <c r="K107" s="176"/>
      <c r="L107" s="474"/>
      <c r="M107" s="224"/>
      <c r="N107" s="225"/>
      <c r="O107" s="226"/>
      <c r="P107" s="226"/>
      <c r="Q107" s="225"/>
      <c r="R107" s="227"/>
    </row>
    <row r="108" spans="1:18" s="216" customFormat="1" ht="18" customHeight="1">
      <c r="C108" s="356"/>
      <c r="D108" s="372"/>
      <c r="E108" s="372"/>
      <c r="F108" s="373"/>
      <c r="G108" s="374"/>
      <c r="H108" s="375"/>
      <c r="I108" s="231"/>
      <c r="J108" s="119"/>
      <c r="K108" s="355"/>
      <c r="L108" s="474"/>
      <c r="M108" s="224"/>
      <c r="N108" s="225"/>
      <c r="O108" s="226"/>
      <c r="P108" s="226"/>
      <c r="Q108" s="225"/>
      <c r="R108" s="227"/>
    </row>
    <row r="109" spans="1:18" ht="18" customHeight="1">
      <c r="C109" s="128"/>
      <c r="D109" s="202"/>
      <c r="E109" s="202"/>
      <c r="F109" s="203"/>
      <c r="G109" s="204"/>
      <c r="H109" s="204"/>
      <c r="I109" s="204"/>
      <c r="J109" s="472"/>
      <c r="K109" s="475"/>
      <c r="L109" s="467"/>
      <c r="M109" s="11"/>
      <c r="N109" s="76"/>
      <c r="O109" s="15"/>
      <c r="P109" s="15"/>
      <c r="Q109" s="76"/>
      <c r="R109" s="24"/>
    </row>
    <row r="110" spans="1:18" ht="18" customHeight="1">
      <c r="C110" s="379"/>
      <c r="D110" s="657" t="s">
        <v>152</v>
      </c>
      <c r="E110" s="658"/>
      <c r="F110" s="658"/>
      <c r="G110" s="201"/>
      <c r="H110" s="335"/>
      <c r="I110" s="335"/>
      <c r="J110" s="49"/>
      <c r="K110" s="100"/>
      <c r="L110" s="71"/>
      <c r="M110" s="11"/>
      <c r="N110" s="76"/>
      <c r="O110" s="15"/>
      <c r="P110" s="15"/>
      <c r="Q110" s="76"/>
      <c r="R110" s="24"/>
    </row>
    <row r="111" spans="1:18" ht="15.6" customHeight="1">
      <c r="A111" s="300" t="s">
        <v>364</v>
      </c>
      <c r="C111" s="149">
        <f>+C104+1</f>
        <v>63</v>
      </c>
      <c r="D111" s="521" t="s">
        <v>145</v>
      </c>
      <c r="E111" s="521" t="s">
        <v>145</v>
      </c>
      <c r="F111" s="522" t="s">
        <v>330</v>
      </c>
      <c r="G111" s="520"/>
      <c r="H111" s="519">
        <v>11966</v>
      </c>
      <c r="I111" s="523">
        <f t="shared" ref="I111:I112" si="12">G111*H111</f>
        <v>0</v>
      </c>
      <c r="J111" s="524"/>
      <c r="K111" s="525" t="s">
        <v>329</v>
      </c>
      <c r="L111" s="71"/>
      <c r="M111" s="11"/>
      <c r="N111" s="157"/>
      <c r="O111" s="15"/>
      <c r="P111" s="157"/>
      <c r="Q111" s="76"/>
      <c r="R111" s="134"/>
    </row>
    <row r="112" spans="1:18" ht="15.6" customHeight="1">
      <c r="A112" s="300" t="s">
        <v>364</v>
      </c>
      <c r="C112" s="114">
        <f t="shared" ref="C112:C114" si="13">+C111+1</f>
        <v>64</v>
      </c>
      <c r="D112" s="521" t="s">
        <v>145</v>
      </c>
      <c r="E112" s="521" t="s">
        <v>145</v>
      </c>
      <c r="F112" s="526" t="s">
        <v>368</v>
      </c>
      <c r="G112" s="520"/>
      <c r="H112" s="520">
        <v>2000</v>
      </c>
      <c r="I112" s="523">
        <f t="shared" si="12"/>
        <v>0</v>
      </c>
      <c r="J112" s="527"/>
      <c r="K112" s="528" t="s">
        <v>369</v>
      </c>
      <c r="L112" s="71"/>
      <c r="M112" s="11"/>
      <c r="N112" s="157"/>
      <c r="O112" s="15"/>
      <c r="P112" s="157"/>
      <c r="Q112" s="76"/>
      <c r="R112" s="134"/>
    </row>
    <row r="113" spans="1:18" ht="15.6" customHeight="1">
      <c r="A113" s="300" t="s">
        <v>364</v>
      </c>
      <c r="C113" s="114">
        <f t="shared" si="13"/>
        <v>65</v>
      </c>
      <c r="D113" s="521" t="s">
        <v>145</v>
      </c>
      <c r="E113" s="521" t="s">
        <v>145</v>
      </c>
      <c r="F113" s="526" t="s">
        <v>370</v>
      </c>
      <c r="G113" s="520"/>
      <c r="H113" s="520">
        <v>7104</v>
      </c>
      <c r="I113" s="520">
        <f>G113*H113</f>
        <v>0</v>
      </c>
      <c r="J113" s="527"/>
      <c r="K113" s="528" t="s">
        <v>371</v>
      </c>
      <c r="L113" s="71"/>
      <c r="M113" s="11"/>
      <c r="N113" s="157"/>
      <c r="O113" s="15"/>
      <c r="P113" s="157"/>
      <c r="Q113" s="76"/>
      <c r="R113" s="134"/>
    </row>
    <row r="114" spans="1:18" ht="15.6" customHeight="1">
      <c r="A114" s="300" t="s">
        <v>364</v>
      </c>
      <c r="C114" s="114">
        <f t="shared" si="13"/>
        <v>66</v>
      </c>
      <c r="D114" s="529" t="s">
        <v>145</v>
      </c>
      <c r="E114" s="529" t="s">
        <v>145</v>
      </c>
      <c r="F114" s="530" t="s">
        <v>372</v>
      </c>
      <c r="G114" s="531"/>
      <c r="H114" s="532">
        <v>2150</v>
      </c>
      <c r="I114" s="533">
        <f>G114*H114</f>
        <v>0</v>
      </c>
      <c r="J114" s="534"/>
      <c r="K114" s="535" t="s">
        <v>373</v>
      </c>
      <c r="L114" s="449"/>
      <c r="M114" s="11"/>
      <c r="N114" s="157"/>
      <c r="O114" s="15"/>
      <c r="P114" s="157"/>
      <c r="Q114" s="76"/>
      <c r="R114" s="134"/>
    </row>
    <row r="115" spans="1:18" ht="18" customHeight="1">
      <c r="A115" s="300" t="s">
        <v>360</v>
      </c>
      <c r="C115" s="149">
        <f>+C114+1</f>
        <v>67</v>
      </c>
      <c r="D115" s="164" t="s">
        <v>145</v>
      </c>
      <c r="E115" s="164" t="s">
        <v>145</v>
      </c>
      <c r="F115" s="290" t="s">
        <v>320</v>
      </c>
      <c r="G115" s="291">
        <v>1</v>
      </c>
      <c r="H115" s="289">
        <v>11950</v>
      </c>
      <c r="I115" s="321">
        <f t="shared" ref="I115:I146" si="14">G115*H115</f>
        <v>11950</v>
      </c>
      <c r="J115" s="165"/>
      <c r="K115" s="166" t="s">
        <v>198</v>
      </c>
      <c r="L115" s="71"/>
      <c r="M115" s="11"/>
      <c r="N115" s="157"/>
      <c r="O115" s="15"/>
      <c r="P115" s="157"/>
      <c r="Q115" s="76"/>
      <c r="R115" s="134"/>
    </row>
    <row r="116" spans="1:18" ht="18" customHeight="1">
      <c r="A116" s="300" t="s">
        <v>365</v>
      </c>
      <c r="C116" s="149">
        <f t="shared" ref="C116:C161" si="15">+C115+1</f>
        <v>68</v>
      </c>
      <c r="D116" s="164" t="s">
        <v>145</v>
      </c>
      <c r="E116" s="164" t="s">
        <v>145</v>
      </c>
      <c r="F116" s="292" t="s">
        <v>199</v>
      </c>
      <c r="G116" s="293">
        <v>1</v>
      </c>
      <c r="H116" s="294">
        <v>2148</v>
      </c>
      <c r="I116" s="169">
        <f t="shared" si="14"/>
        <v>2148</v>
      </c>
      <c r="J116" s="170"/>
      <c r="K116" s="163" t="s">
        <v>200</v>
      </c>
      <c r="L116" s="71"/>
      <c r="M116" s="11"/>
      <c r="N116" s="157"/>
      <c r="O116" s="15"/>
      <c r="P116" s="157"/>
      <c r="Q116" s="76"/>
      <c r="R116" s="134"/>
    </row>
    <row r="117" spans="1:18" ht="18" customHeight="1">
      <c r="C117" s="149">
        <f t="shared" si="15"/>
        <v>69</v>
      </c>
      <c r="D117" s="164" t="s">
        <v>145</v>
      </c>
      <c r="E117" s="164" t="s">
        <v>145</v>
      </c>
      <c r="F117" s="415" t="s">
        <v>201</v>
      </c>
      <c r="G117" s="293">
        <v>1</v>
      </c>
      <c r="H117" s="294">
        <v>6005</v>
      </c>
      <c r="I117" s="169">
        <f t="shared" si="14"/>
        <v>6005</v>
      </c>
      <c r="J117" s="170"/>
      <c r="K117" s="163" t="s">
        <v>200</v>
      </c>
      <c r="L117" s="71"/>
      <c r="M117" s="11"/>
      <c r="N117" s="157"/>
      <c r="O117" s="15"/>
      <c r="P117" s="157"/>
      <c r="Q117" s="76"/>
      <c r="R117" s="134"/>
    </row>
    <row r="118" spans="1:18" ht="18" customHeight="1">
      <c r="A118" s="300" t="s">
        <v>353</v>
      </c>
      <c r="C118" s="149">
        <f t="shared" si="15"/>
        <v>70</v>
      </c>
      <c r="D118" s="164" t="s">
        <v>145</v>
      </c>
      <c r="E118" s="164" t="s">
        <v>145</v>
      </c>
      <c r="F118" s="292" t="s">
        <v>202</v>
      </c>
      <c r="G118" s="293">
        <v>1</v>
      </c>
      <c r="H118" s="294">
        <v>4570</v>
      </c>
      <c r="I118" s="169">
        <f t="shared" si="14"/>
        <v>4570</v>
      </c>
      <c r="J118" s="170"/>
      <c r="K118" s="163" t="s">
        <v>203</v>
      </c>
      <c r="L118" s="71"/>
      <c r="M118" s="11"/>
      <c r="N118" s="157"/>
      <c r="O118" s="15"/>
      <c r="P118" s="157"/>
      <c r="Q118" s="76"/>
      <c r="R118" s="134"/>
    </row>
    <row r="119" spans="1:18" ht="18" customHeight="1">
      <c r="A119" s="300" t="s">
        <v>353</v>
      </c>
      <c r="C119" s="149">
        <f t="shared" si="15"/>
        <v>71</v>
      </c>
      <c r="D119" s="164" t="s">
        <v>145</v>
      </c>
      <c r="E119" s="164" t="s">
        <v>145</v>
      </c>
      <c r="F119" s="292" t="s">
        <v>204</v>
      </c>
      <c r="G119" s="293">
        <v>1</v>
      </c>
      <c r="H119" s="294">
        <v>3853</v>
      </c>
      <c r="I119" s="169">
        <f t="shared" si="14"/>
        <v>3853</v>
      </c>
      <c r="J119" s="171"/>
      <c r="K119" s="163" t="s">
        <v>205</v>
      </c>
      <c r="L119" s="71"/>
      <c r="M119" s="11"/>
      <c r="N119" s="157"/>
      <c r="O119" s="15"/>
      <c r="P119" s="157"/>
      <c r="Q119" s="76"/>
      <c r="R119" s="134"/>
    </row>
    <row r="120" spans="1:18" ht="18" customHeight="1">
      <c r="A120" s="300" t="s">
        <v>360</v>
      </c>
      <c r="C120" s="149">
        <f t="shared" si="15"/>
        <v>72</v>
      </c>
      <c r="D120" s="164" t="s">
        <v>145</v>
      </c>
      <c r="E120" s="164" t="s">
        <v>145</v>
      </c>
      <c r="F120" s="292" t="s">
        <v>333</v>
      </c>
      <c r="G120" s="293">
        <v>1</v>
      </c>
      <c r="H120" s="294">
        <v>977</v>
      </c>
      <c r="I120" s="169">
        <f t="shared" si="14"/>
        <v>977</v>
      </c>
      <c r="J120" s="172"/>
      <c r="K120" s="163" t="s">
        <v>206</v>
      </c>
      <c r="L120" s="71"/>
      <c r="M120" s="11"/>
      <c r="N120" s="157"/>
      <c r="O120" s="15"/>
      <c r="P120" s="157"/>
      <c r="Q120" s="76"/>
      <c r="R120" s="134"/>
    </row>
    <row r="121" spans="1:18" ht="18" customHeight="1">
      <c r="A121" s="300" t="s">
        <v>360</v>
      </c>
      <c r="C121" s="149">
        <f t="shared" si="15"/>
        <v>73</v>
      </c>
      <c r="D121" s="162" t="s">
        <v>37</v>
      </c>
      <c r="E121" s="162" t="s">
        <v>37</v>
      </c>
      <c r="F121" s="295" t="s">
        <v>332</v>
      </c>
      <c r="G121" s="296">
        <v>1</v>
      </c>
      <c r="H121" s="296">
        <v>977</v>
      </c>
      <c r="I121" s="169">
        <f>G121*H121</f>
        <v>977</v>
      </c>
      <c r="J121" s="190"/>
      <c r="K121" s="180" t="s">
        <v>116</v>
      </c>
      <c r="L121" s="71"/>
      <c r="M121" s="11"/>
      <c r="N121" s="157"/>
      <c r="O121" s="15"/>
      <c r="P121" s="157"/>
      <c r="Q121" s="76"/>
      <c r="R121" s="134"/>
    </row>
    <row r="122" spans="1:18" ht="18" customHeight="1">
      <c r="C122" s="149">
        <f>+C121+1</f>
        <v>74</v>
      </c>
      <c r="D122" s="262" t="s">
        <v>145</v>
      </c>
      <c r="E122" s="262" t="s">
        <v>145</v>
      </c>
      <c r="F122" s="263" t="s">
        <v>146</v>
      </c>
      <c r="G122" s="348"/>
      <c r="H122" s="267">
        <v>1082</v>
      </c>
      <c r="I122" s="268">
        <f t="shared" si="14"/>
        <v>0</v>
      </c>
      <c r="J122" s="264"/>
      <c r="K122" s="265" t="s">
        <v>207</v>
      </c>
      <c r="L122" s="251" t="s">
        <v>319</v>
      </c>
      <c r="M122" s="11"/>
      <c r="N122" s="76"/>
      <c r="O122" s="15"/>
      <c r="P122" s="157"/>
      <c r="Q122" s="160"/>
      <c r="R122" s="24"/>
    </row>
    <row r="123" spans="1:18" ht="18" customHeight="1">
      <c r="C123" s="149">
        <f t="shared" si="15"/>
        <v>75</v>
      </c>
      <c r="D123" s="262" t="s">
        <v>145</v>
      </c>
      <c r="E123" s="262" t="s">
        <v>145</v>
      </c>
      <c r="F123" s="266" t="s">
        <v>148</v>
      </c>
      <c r="G123" s="267"/>
      <c r="H123" s="270">
        <v>403</v>
      </c>
      <c r="I123" s="268">
        <f t="shared" si="14"/>
        <v>0</v>
      </c>
      <c r="J123" s="269"/>
      <c r="K123" s="265" t="s">
        <v>149</v>
      </c>
      <c r="L123" s="251" t="s">
        <v>319</v>
      </c>
      <c r="M123" s="11"/>
      <c r="N123" s="76"/>
      <c r="O123" s="15"/>
      <c r="P123" s="157"/>
      <c r="Q123" s="160"/>
      <c r="R123" s="24"/>
    </row>
    <row r="124" spans="1:18" ht="18" customHeight="1">
      <c r="A124" s="300" t="s">
        <v>353</v>
      </c>
      <c r="C124" s="149">
        <f t="shared" si="15"/>
        <v>76</v>
      </c>
      <c r="D124" s="262" t="s">
        <v>145</v>
      </c>
      <c r="E124" s="262" t="s">
        <v>145</v>
      </c>
      <c r="F124" s="266" t="s">
        <v>208</v>
      </c>
      <c r="G124" s="267"/>
      <c r="H124" s="267">
        <v>926</v>
      </c>
      <c r="I124" s="268">
        <f t="shared" si="14"/>
        <v>0</v>
      </c>
      <c r="J124" s="269"/>
      <c r="K124" s="265" t="s">
        <v>209</v>
      </c>
      <c r="L124" s="251" t="s">
        <v>319</v>
      </c>
      <c r="M124" s="11"/>
      <c r="N124" s="76"/>
      <c r="O124" s="15"/>
      <c r="P124" s="157"/>
      <c r="Q124" s="160"/>
      <c r="R124" s="24"/>
    </row>
    <row r="125" spans="1:18" ht="18" customHeight="1">
      <c r="C125" s="149">
        <f t="shared" si="15"/>
        <v>77</v>
      </c>
      <c r="D125" s="262" t="s">
        <v>145</v>
      </c>
      <c r="E125" s="262" t="s">
        <v>145</v>
      </c>
      <c r="F125" s="274" t="s">
        <v>210</v>
      </c>
      <c r="G125" s="267"/>
      <c r="H125" s="268">
        <v>19</v>
      </c>
      <c r="I125" s="268">
        <f>G125*H125</f>
        <v>0</v>
      </c>
      <c r="J125" s="268"/>
      <c r="K125" s="265" t="s">
        <v>211</v>
      </c>
      <c r="L125" s="251" t="s">
        <v>319</v>
      </c>
      <c r="M125" s="11"/>
      <c r="N125" s="76"/>
      <c r="O125" s="15"/>
      <c r="P125" s="157"/>
      <c r="Q125" s="160"/>
      <c r="R125" s="24"/>
    </row>
    <row r="126" spans="1:18" ht="18" customHeight="1">
      <c r="A126" s="300" t="s">
        <v>353</v>
      </c>
      <c r="C126" s="149">
        <f>+C125+1</f>
        <v>78</v>
      </c>
      <c r="D126" s="177" t="s">
        <v>145</v>
      </c>
      <c r="E126" s="177" t="s">
        <v>145</v>
      </c>
      <c r="F126" s="118" t="s">
        <v>212</v>
      </c>
      <c r="G126" s="231">
        <v>1</v>
      </c>
      <c r="H126" s="231">
        <v>1789</v>
      </c>
      <c r="I126" s="169">
        <f t="shared" si="14"/>
        <v>1789</v>
      </c>
      <c r="J126" s="179"/>
      <c r="K126" s="180" t="s">
        <v>213</v>
      </c>
      <c r="L126" s="71"/>
      <c r="M126" s="11"/>
      <c r="N126" s="157"/>
      <c r="O126" s="15"/>
      <c r="P126" s="157"/>
      <c r="Q126" s="76"/>
      <c r="R126" s="134"/>
    </row>
    <row r="127" spans="1:18" ht="18" customHeight="1">
      <c r="A127" s="300" t="s">
        <v>353</v>
      </c>
      <c r="C127" s="149">
        <f t="shared" si="15"/>
        <v>79</v>
      </c>
      <c r="D127" s="164" t="s">
        <v>145</v>
      </c>
      <c r="E127" s="164" t="s">
        <v>145</v>
      </c>
      <c r="F127" s="297" t="s">
        <v>214</v>
      </c>
      <c r="G127" s="119">
        <v>1</v>
      </c>
      <c r="H127" s="231">
        <v>4225</v>
      </c>
      <c r="I127" s="169">
        <f t="shared" si="14"/>
        <v>4225</v>
      </c>
      <c r="J127" s="165"/>
      <c r="K127" s="167" t="s">
        <v>215</v>
      </c>
      <c r="L127" s="71"/>
      <c r="M127" s="11"/>
      <c r="N127" s="157"/>
      <c r="O127" s="15"/>
      <c r="P127" s="157"/>
      <c r="Q127" s="76"/>
      <c r="R127" s="134"/>
    </row>
    <row r="128" spans="1:18" ht="18" customHeight="1">
      <c r="C128" s="149">
        <f>+C127+1</f>
        <v>80</v>
      </c>
      <c r="D128" s="271" t="s">
        <v>216</v>
      </c>
      <c r="E128" s="271" t="s">
        <v>145</v>
      </c>
      <c r="F128" s="257" t="s">
        <v>217</v>
      </c>
      <c r="G128" s="272"/>
      <c r="H128" s="273">
        <v>483</v>
      </c>
      <c r="I128" s="273">
        <f t="shared" si="14"/>
        <v>0</v>
      </c>
      <c r="J128" s="275"/>
      <c r="K128" s="276" t="s">
        <v>218</v>
      </c>
      <c r="L128" s="251" t="s">
        <v>319</v>
      </c>
      <c r="M128" s="11"/>
      <c r="N128" s="76"/>
      <c r="O128" s="15"/>
      <c r="P128" s="157"/>
      <c r="Q128" s="160"/>
      <c r="R128" s="24"/>
    </row>
    <row r="129" spans="1:18" ht="18" customHeight="1">
      <c r="A129" s="300" t="s">
        <v>353</v>
      </c>
      <c r="C129" s="149">
        <f t="shared" si="15"/>
        <v>81</v>
      </c>
      <c r="D129" s="164" t="s">
        <v>145</v>
      </c>
      <c r="E129" s="164" t="s">
        <v>145</v>
      </c>
      <c r="F129" s="416" t="s">
        <v>219</v>
      </c>
      <c r="G129" s="119">
        <v>1</v>
      </c>
      <c r="H129" s="231">
        <v>550</v>
      </c>
      <c r="I129" s="169">
        <f t="shared" si="14"/>
        <v>550</v>
      </c>
      <c r="J129" s="165"/>
      <c r="K129" s="163" t="s">
        <v>220</v>
      </c>
      <c r="L129" s="71"/>
      <c r="M129" s="11"/>
      <c r="N129" s="157"/>
      <c r="O129" s="15"/>
      <c r="P129" s="157"/>
      <c r="Q129" s="76"/>
      <c r="R129" s="134"/>
    </row>
    <row r="130" spans="1:18" ht="18" customHeight="1">
      <c r="C130" s="149">
        <f t="shared" si="15"/>
        <v>82</v>
      </c>
      <c r="D130" s="164" t="s">
        <v>145</v>
      </c>
      <c r="E130" s="164" t="s">
        <v>145</v>
      </c>
      <c r="F130" s="298" t="s">
        <v>221</v>
      </c>
      <c r="G130" s="119">
        <v>1</v>
      </c>
      <c r="H130" s="231">
        <v>508</v>
      </c>
      <c r="I130" s="169">
        <f t="shared" si="14"/>
        <v>508</v>
      </c>
      <c r="J130" s="165"/>
      <c r="K130" s="167" t="s">
        <v>222</v>
      </c>
      <c r="L130" s="71"/>
      <c r="M130" s="11"/>
      <c r="N130" s="157"/>
      <c r="O130" s="15"/>
      <c r="P130" s="157"/>
      <c r="Q130" s="76"/>
      <c r="R130" s="134"/>
    </row>
    <row r="131" spans="1:18" ht="18" customHeight="1">
      <c r="A131" s="112" t="s">
        <v>366</v>
      </c>
      <c r="C131" s="149">
        <f t="shared" si="15"/>
        <v>83</v>
      </c>
      <c r="D131" s="164" t="s">
        <v>145</v>
      </c>
      <c r="E131" s="164" t="s">
        <v>145</v>
      </c>
      <c r="F131" s="417" t="s">
        <v>223</v>
      </c>
      <c r="G131" s="119">
        <v>1</v>
      </c>
      <c r="H131" s="231">
        <v>5104</v>
      </c>
      <c r="I131" s="169">
        <f t="shared" si="14"/>
        <v>5104</v>
      </c>
      <c r="J131" s="165"/>
      <c r="K131" s="167" t="s">
        <v>224</v>
      </c>
      <c r="L131" s="71"/>
      <c r="M131" s="11"/>
      <c r="N131" s="157"/>
      <c r="O131" s="15"/>
      <c r="P131" s="157"/>
      <c r="Q131" s="76"/>
      <c r="R131" s="134"/>
    </row>
    <row r="132" spans="1:18" ht="18" customHeight="1">
      <c r="A132" s="112" t="s">
        <v>366</v>
      </c>
      <c r="C132" s="149">
        <f t="shared" si="15"/>
        <v>84</v>
      </c>
      <c r="D132" s="164" t="s">
        <v>145</v>
      </c>
      <c r="E132" s="164" t="s">
        <v>145</v>
      </c>
      <c r="F132" s="277" t="s">
        <v>225</v>
      </c>
      <c r="G132" s="119">
        <v>1</v>
      </c>
      <c r="H132" s="231">
        <v>5400</v>
      </c>
      <c r="I132" s="169">
        <f t="shared" si="14"/>
        <v>5400</v>
      </c>
      <c r="J132" s="165"/>
      <c r="K132" s="167" t="s">
        <v>226</v>
      </c>
      <c r="L132" s="71"/>
      <c r="M132" s="11"/>
      <c r="N132" s="157"/>
      <c r="O132" s="15"/>
      <c r="P132" s="157"/>
      <c r="Q132" s="76"/>
      <c r="R132" s="134"/>
    </row>
    <row r="133" spans="1:18" ht="18" customHeight="1">
      <c r="A133" s="112" t="s">
        <v>366</v>
      </c>
      <c r="C133" s="149">
        <f t="shared" si="15"/>
        <v>85</v>
      </c>
      <c r="D133" s="124" t="s">
        <v>145</v>
      </c>
      <c r="E133" s="124" t="s">
        <v>145</v>
      </c>
      <c r="F133" s="277" t="s">
        <v>227</v>
      </c>
      <c r="G133" s="119">
        <v>1</v>
      </c>
      <c r="H133" s="231">
        <v>5560</v>
      </c>
      <c r="I133" s="231">
        <f t="shared" si="14"/>
        <v>5560</v>
      </c>
      <c r="J133" s="120"/>
      <c r="K133" s="125" t="s">
        <v>228</v>
      </c>
      <c r="L133" s="223"/>
      <c r="M133" s="11"/>
      <c r="N133" s="157"/>
      <c r="O133" s="15"/>
      <c r="P133" s="157"/>
      <c r="Q133" s="76"/>
      <c r="R133" s="134"/>
    </row>
    <row r="134" spans="1:18" ht="18" customHeight="1">
      <c r="C134" s="149">
        <f t="shared" si="15"/>
        <v>86</v>
      </c>
      <c r="D134" s="262" t="s">
        <v>145</v>
      </c>
      <c r="E134" s="262" t="s">
        <v>145</v>
      </c>
      <c r="F134" s="278" t="s">
        <v>229</v>
      </c>
      <c r="G134" s="267"/>
      <c r="H134" s="268">
        <v>1098</v>
      </c>
      <c r="I134" s="268">
        <f t="shared" si="14"/>
        <v>0</v>
      </c>
      <c r="J134" s="264"/>
      <c r="K134" s="266" t="s">
        <v>230</v>
      </c>
      <c r="L134" s="251" t="s">
        <v>319</v>
      </c>
      <c r="M134" s="11"/>
      <c r="N134" s="76"/>
      <c r="O134" s="15"/>
      <c r="P134" s="157"/>
      <c r="Q134" s="160"/>
      <c r="R134" s="24"/>
    </row>
    <row r="135" spans="1:18" ht="18" customHeight="1">
      <c r="C135" s="149">
        <f t="shared" si="15"/>
        <v>87</v>
      </c>
      <c r="D135" s="262" t="s">
        <v>145</v>
      </c>
      <c r="E135" s="262" t="s">
        <v>145</v>
      </c>
      <c r="F135" s="279" t="s">
        <v>231</v>
      </c>
      <c r="G135" s="267"/>
      <c r="H135" s="268">
        <v>1098</v>
      </c>
      <c r="I135" s="268">
        <f t="shared" si="14"/>
        <v>0</v>
      </c>
      <c r="J135" s="264"/>
      <c r="K135" s="266" t="s">
        <v>232</v>
      </c>
      <c r="L135" s="251" t="s">
        <v>319</v>
      </c>
      <c r="M135" s="11"/>
      <c r="N135" s="76"/>
      <c r="O135" s="15"/>
      <c r="P135" s="157"/>
      <c r="Q135" s="160"/>
      <c r="R135" s="24"/>
    </row>
    <row r="136" spans="1:18" ht="18" customHeight="1">
      <c r="A136" s="300" t="s">
        <v>353</v>
      </c>
      <c r="C136" s="149">
        <f t="shared" si="15"/>
        <v>88</v>
      </c>
      <c r="D136" s="181" t="s">
        <v>145</v>
      </c>
      <c r="E136" s="181" t="s">
        <v>145</v>
      </c>
      <c r="F136" s="126" t="s">
        <v>187</v>
      </c>
      <c r="G136" s="288">
        <v>2</v>
      </c>
      <c r="H136" s="337">
        <v>860</v>
      </c>
      <c r="I136" s="336">
        <f t="shared" si="14"/>
        <v>1720</v>
      </c>
      <c r="J136" s="182"/>
      <c r="K136" s="183" t="s">
        <v>233</v>
      </c>
      <c r="L136" s="71"/>
      <c r="M136" s="11"/>
      <c r="N136" s="157"/>
      <c r="O136" s="15"/>
      <c r="P136" s="157"/>
      <c r="Q136" s="76"/>
      <c r="R136" s="134"/>
    </row>
    <row r="137" spans="1:18" ht="18" customHeight="1">
      <c r="A137" s="300" t="s">
        <v>353</v>
      </c>
      <c r="C137" s="149">
        <f t="shared" si="15"/>
        <v>89</v>
      </c>
      <c r="D137" s="191" t="s">
        <v>145</v>
      </c>
      <c r="E137" s="191" t="s">
        <v>145</v>
      </c>
      <c r="F137" s="118" t="s">
        <v>188</v>
      </c>
      <c r="G137" s="122">
        <v>6</v>
      </c>
      <c r="H137" s="338">
        <v>270</v>
      </c>
      <c r="I137" s="339">
        <f t="shared" si="14"/>
        <v>1620</v>
      </c>
      <c r="J137" s="192"/>
      <c r="K137" s="178" t="s">
        <v>153</v>
      </c>
      <c r="L137" s="71"/>
      <c r="M137" s="11"/>
      <c r="N137" s="157"/>
      <c r="O137" s="15"/>
      <c r="P137" s="157"/>
      <c r="Q137" s="76"/>
      <c r="R137" s="134"/>
    </row>
    <row r="138" spans="1:18" ht="18" customHeight="1">
      <c r="C138" s="149">
        <f t="shared" si="15"/>
        <v>90</v>
      </c>
      <c r="D138" s="122" t="s">
        <v>144</v>
      </c>
      <c r="E138" s="285" t="s">
        <v>195</v>
      </c>
      <c r="F138" s="536" t="s">
        <v>234</v>
      </c>
      <c r="G138" s="122">
        <v>1</v>
      </c>
      <c r="H138" s="122">
        <v>3040</v>
      </c>
      <c r="I138" s="135">
        <f t="shared" si="14"/>
        <v>3040</v>
      </c>
      <c r="J138" s="120"/>
      <c r="K138" s="537" t="s">
        <v>160</v>
      </c>
      <c r="L138" s="71"/>
      <c r="M138" s="11"/>
      <c r="N138" s="76"/>
      <c r="O138" s="15"/>
      <c r="P138" s="157"/>
      <c r="Q138" s="160"/>
      <c r="R138" s="24"/>
    </row>
    <row r="139" spans="1:18" ht="18" customHeight="1">
      <c r="A139" s="300" t="s">
        <v>353</v>
      </c>
      <c r="C139" s="149">
        <f t="shared" si="15"/>
        <v>91</v>
      </c>
      <c r="D139" s="185" t="s">
        <v>145</v>
      </c>
      <c r="E139" s="185" t="s">
        <v>145</v>
      </c>
      <c r="F139" s="349" t="s">
        <v>235</v>
      </c>
      <c r="G139" s="520">
        <v>1</v>
      </c>
      <c r="H139" s="185">
        <v>4300</v>
      </c>
      <c r="I139" s="185">
        <f t="shared" si="14"/>
        <v>4300</v>
      </c>
      <c r="J139" s="174"/>
      <c r="K139" s="186" t="s">
        <v>236</v>
      </c>
      <c r="L139" s="71"/>
      <c r="M139" s="11"/>
      <c r="N139" s="157"/>
      <c r="O139" s="15"/>
      <c r="P139" s="157"/>
      <c r="Q139" s="76"/>
      <c r="R139" s="134"/>
    </row>
    <row r="140" spans="1:18" ht="18" customHeight="1">
      <c r="C140" s="149">
        <f t="shared" si="15"/>
        <v>92</v>
      </c>
      <c r="D140" s="185" t="s">
        <v>145</v>
      </c>
      <c r="E140" s="185" t="s">
        <v>145</v>
      </c>
      <c r="F140" s="232" t="s">
        <v>237</v>
      </c>
      <c r="G140" s="422">
        <v>4</v>
      </c>
      <c r="H140" s="185">
        <v>106</v>
      </c>
      <c r="I140" s="185">
        <f t="shared" si="14"/>
        <v>424</v>
      </c>
      <c r="J140" s="187"/>
      <c r="K140" s="186" t="s">
        <v>238</v>
      </c>
      <c r="L140" s="71"/>
      <c r="M140" s="11"/>
      <c r="N140" s="157"/>
      <c r="O140" s="15"/>
      <c r="P140" s="157"/>
      <c r="Q140" s="76"/>
      <c r="R140" s="134"/>
    </row>
    <row r="141" spans="1:18" ht="18" customHeight="1">
      <c r="C141" s="149">
        <f t="shared" si="15"/>
        <v>93</v>
      </c>
      <c r="D141" s="164" t="s">
        <v>145</v>
      </c>
      <c r="E141" s="164" t="s">
        <v>145</v>
      </c>
      <c r="F141" s="232" t="s">
        <v>239</v>
      </c>
      <c r="G141" s="422">
        <v>4</v>
      </c>
      <c r="H141" s="321">
        <v>212</v>
      </c>
      <c r="I141" s="185">
        <f t="shared" si="14"/>
        <v>848</v>
      </c>
      <c r="J141" s="165"/>
      <c r="K141" s="163" t="s">
        <v>240</v>
      </c>
      <c r="L141" s="71"/>
      <c r="M141" s="11"/>
      <c r="N141" s="157"/>
      <c r="O141" s="15"/>
      <c r="P141" s="157"/>
      <c r="Q141" s="76"/>
      <c r="R141" s="134"/>
    </row>
    <row r="142" spans="1:18" ht="18" customHeight="1">
      <c r="C142" s="149">
        <f t="shared" si="15"/>
        <v>94</v>
      </c>
      <c r="D142" s="164" t="s">
        <v>145</v>
      </c>
      <c r="E142" s="164" t="s">
        <v>145</v>
      </c>
      <c r="F142" s="188" t="s">
        <v>241</v>
      </c>
      <c r="G142" s="422">
        <v>2</v>
      </c>
      <c r="H142" s="321">
        <v>76</v>
      </c>
      <c r="I142" s="185">
        <f t="shared" si="14"/>
        <v>152</v>
      </c>
      <c r="J142" s="165"/>
      <c r="K142" s="163" t="s">
        <v>242</v>
      </c>
      <c r="L142" s="71"/>
      <c r="M142" s="11"/>
      <c r="N142" s="157"/>
      <c r="O142" s="15"/>
      <c r="P142" s="157"/>
      <c r="Q142" s="76"/>
      <c r="R142" s="134"/>
    </row>
    <row r="143" spans="1:18" ht="18" customHeight="1">
      <c r="C143" s="149">
        <f t="shared" si="15"/>
        <v>95</v>
      </c>
      <c r="D143" s="177" t="s">
        <v>145</v>
      </c>
      <c r="E143" s="177" t="s">
        <v>145</v>
      </c>
      <c r="F143" s="189" t="s">
        <v>243</v>
      </c>
      <c r="G143" s="168">
        <v>2</v>
      </c>
      <c r="H143" s="168">
        <v>250</v>
      </c>
      <c r="I143" s="169">
        <f t="shared" si="14"/>
        <v>500</v>
      </c>
      <c r="J143" s="190"/>
      <c r="K143" s="189" t="s">
        <v>244</v>
      </c>
      <c r="L143" s="71"/>
      <c r="M143" s="11"/>
      <c r="N143" s="157"/>
      <c r="O143" s="15"/>
      <c r="P143" s="157"/>
      <c r="Q143" s="76"/>
      <c r="R143" s="134"/>
    </row>
    <row r="144" spans="1:18" ht="18" customHeight="1">
      <c r="C144" s="149">
        <f t="shared" si="15"/>
        <v>96</v>
      </c>
      <c r="D144" s="177" t="s">
        <v>145</v>
      </c>
      <c r="E144" s="177" t="s">
        <v>145</v>
      </c>
      <c r="F144" s="189" t="s">
        <v>245</v>
      </c>
      <c r="G144" s="168">
        <v>2</v>
      </c>
      <c r="H144" s="168">
        <v>200</v>
      </c>
      <c r="I144" s="169">
        <f t="shared" si="14"/>
        <v>400</v>
      </c>
      <c r="J144" s="190"/>
      <c r="K144" s="189" t="s">
        <v>246</v>
      </c>
      <c r="L144" s="71"/>
      <c r="M144" s="11"/>
      <c r="N144" s="157"/>
      <c r="O144" s="15"/>
      <c r="P144" s="157"/>
      <c r="Q144" s="76"/>
      <c r="R144" s="134"/>
    </row>
    <row r="145" spans="1:18" ht="18" customHeight="1">
      <c r="C145" s="149">
        <f t="shared" si="15"/>
        <v>97</v>
      </c>
      <c r="D145" s="262" t="s">
        <v>145</v>
      </c>
      <c r="E145" s="262" t="s">
        <v>145</v>
      </c>
      <c r="F145" s="266" t="s">
        <v>150</v>
      </c>
      <c r="G145" s="267"/>
      <c r="H145" s="268">
        <v>940</v>
      </c>
      <c r="I145" s="340">
        <f t="shared" si="14"/>
        <v>0</v>
      </c>
      <c r="J145" s="280"/>
      <c r="K145" s="278" t="s">
        <v>151</v>
      </c>
      <c r="L145" s="251" t="s">
        <v>319</v>
      </c>
      <c r="M145" s="11"/>
      <c r="N145" s="76"/>
      <c r="O145" s="15"/>
      <c r="P145" s="157"/>
      <c r="Q145" s="160"/>
      <c r="R145" s="24"/>
    </row>
    <row r="146" spans="1:18" ht="18" customHeight="1">
      <c r="C146" s="149">
        <f t="shared" si="15"/>
        <v>98</v>
      </c>
      <c r="D146" s="281" t="s">
        <v>145</v>
      </c>
      <c r="E146" s="281" t="s">
        <v>145</v>
      </c>
      <c r="F146" s="247" t="s">
        <v>247</v>
      </c>
      <c r="G146" s="282"/>
      <c r="H146" s="304">
        <v>570</v>
      </c>
      <c r="I146" s="304">
        <f t="shared" si="14"/>
        <v>0</v>
      </c>
      <c r="J146" s="283"/>
      <c r="K146" s="247" t="s">
        <v>248</v>
      </c>
      <c r="L146" s="251" t="s">
        <v>319</v>
      </c>
      <c r="M146" s="11"/>
      <c r="N146" s="76"/>
      <c r="O146" s="15"/>
      <c r="P146" s="157"/>
      <c r="Q146" s="160"/>
      <c r="R146" s="24"/>
    </row>
    <row r="147" spans="1:18" ht="18" customHeight="1">
      <c r="A147" s="300" t="s">
        <v>365</v>
      </c>
      <c r="C147" s="149">
        <f t="shared" si="15"/>
        <v>99</v>
      </c>
      <c r="D147" s="538" t="s">
        <v>145</v>
      </c>
      <c r="E147" s="538" t="s">
        <v>145</v>
      </c>
      <c r="F147" s="539" t="s">
        <v>468</v>
      </c>
      <c r="G147" s="519"/>
      <c r="H147" s="540">
        <v>8500</v>
      </c>
      <c r="I147" s="541">
        <f>G147*H147</f>
        <v>0</v>
      </c>
      <c r="J147" s="422"/>
      <c r="K147" s="542" t="s">
        <v>249</v>
      </c>
      <c r="L147" s="71"/>
      <c r="M147" s="11"/>
      <c r="N147" s="157"/>
      <c r="O147" s="15"/>
      <c r="P147" s="157"/>
      <c r="Q147" s="76"/>
      <c r="R147" s="134"/>
    </row>
    <row r="148" spans="1:18" ht="18" customHeight="1">
      <c r="A148" s="300" t="s">
        <v>360</v>
      </c>
      <c r="C148" s="149">
        <f t="shared" si="15"/>
        <v>100</v>
      </c>
      <c r="D148" s="164" t="s">
        <v>145</v>
      </c>
      <c r="E148" s="164" t="s">
        <v>145</v>
      </c>
      <c r="F148" s="166" t="s">
        <v>250</v>
      </c>
      <c r="G148" s="193">
        <v>1</v>
      </c>
      <c r="H148" s="341">
        <v>3480</v>
      </c>
      <c r="I148" s="321">
        <f>G148*H148</f>
        <v>3480</v>
      </c>
      <c r="J148" s="165"/>
      <c r="K148" s="163" t="s">
        <v>251</v>
      </c>
      <c r="L148" s="71"/>
      <c r="M148" s="11"/>
      <c r="N148" s="157"/>
      <c r="O148" s="15"/>
      <c r="P148" s="157"/>
      <c r="Q148" s="76"/>
      <c r="R148" s="134"/>
    </row>
    <row r="149" spans="1:18" ht="18" customHeight="1">
      <c r="C149" s="149">
        <f t="shared" si="15"/>
        <v>101</v>
      </c>
      <c r="D149" s="307" t="s">
        <v>145</v>
      </c>
      <c r="E149" s="308" t="s">
        <v>145</v>
      </c>
      <c r="F149" s="309" t="s">
        <v>334</v>
      </c>
      <c r="G149" s="122">
        <v>7</v>
      </c>
      <c r="H149" s="135">
        <v>72</v>
      </c>
      <c r="I149" s="343">
        <f t="shared" ref="I149:I151" si="16">G149*H149</f>
        <v>504</v>
      </c>
      <c r="J149" s="310"/>
      <c r="K149" s="232" t="s">
        <v>335</v>
      </c>
      <c r="L149" s="71"/>
      <c r="M149" s="11"/>
      <c r="N149" s="157"/>
      <c r="O149" s="15"/>
      <c r="P149" s="157"/>
      <c r="Q149" s="76"/>
      <c r="R149" s="134"/>
    </row>
    <row r="150" spans="1:18" ht="18" customHeight="1">
      <c r="C150" s="149">
        <f t="shared" si="15"/>
        <v>102</v>
      </c>
      <c r="D150" s="124" t="s">
        <v>145</v>
      </c>
      <c r="E150" s="124" t="s">
        <v>145</v>
      </c>
      <c r="F150" s="232" t="s">
        <v>336</v>
      </c>
      <c r="G150" s="119">
        <v>1</v>
      </c>
      <c r="H150" s="231">
        <v>860</v>
      </c>
      <c r="I150" s="231">
        <f t="shared" si="16"/>
        <v>860</v>
      </c>
      <c r="J150" s="120"/>
      <c r="K150" s="125" t="s">
        <v>337</v>
      </c>
      <c r="L150" s="71"/>
      <c r="M150" s="11"/>
      <c r="N150" s="157"/>
      <c r="O150" s="15"/>
      <c r="P150" s="157"/>
      <c r="Q150" s="76"/>
      <c r="R150" s="134"/>
    </row>
    <row r="151" spans="1:18" ht="18" customHeight="1">
      <c r="C151" s="149">
        <f t="shared" si="15"/>
        <v>103</v>
      </c>
      <c r="D151" s="124" t="s">
        <v>145</v>
      </c>
      <c r="E151" s="124" t="s">
        <v>145</v>
      </c>
      <c r="F151" s="232" t="s">
        <v>338</v>
      </c>
      <c r="G151" s="119">
        <v>2</v>
      </c>
      <c r="H151" s="231">
        <v>443</v>
      </c>
      <c r="I151" s="231">
        <f t="shared" si="16"/>
        <v>886</v>
      </c>
      <c r="J151" s="120"/>
      <c r="K151" s="125" t="s">
        <v>339</v>
      </c>
      <c r="L151" s="71"/>
      <c r="M151" s="11"/>
      <c r="N151" s="157"/>
      <c r="O151" s="15"/>
      <c r="P151" s="157"/>
      <c r="Q151" s="76"/>
      <c r="R151" s="134"/>
    </row>
    <row r="152" spans="1:18" ht="18" customHeight="1">
      <c r="C152" s="149">
        <f>+C151+1</f>
        <v>104</v>
      </c>
      <c r="D152" s="124" t="s">
        <v>145</v>
      </c>
      <c r="E152" s="124" t="s">
        <v>145</v>
      </c>
      <c r="F152" s="299" t="s">
        <v>252</v>
      </c>
      <c r="G152" s="293">
        <v>3</v>
      </c>
      <c r="H152" s="344">
        <v>229</v>
      </c>
      <c r="I152" s="328">
        <f>G152*H152</f>
        <v>687</v>
      </c>
      <c r="J152" s="120"/>
      <c r="K152" s="349" t="s">
        <v>469</v>
      </c>
      <c r="L152" s="71"/>
      <c r="M152" s="11"/>
      <c r="N152" s="157"/>
      <c r="O152" s="15"/>
      <c r="P152" s="157"/>
      <c r="Q152" s="76"/>
      <c r="R152" s="134"/>
    </row>
    <row r="153" spans="1:18" ht="15.6" customHeight="1">
      <c r="C153" s="149">
        <f t="shared" si="15"/>
        <v>105</v>
      </c>
      <c r="D153" s="47" t="s">
        <v>37</v>
      </c>
      <c r="E153" s="47" t="s">
        <v>37</v>
      </c>
      <c r="F153" s="147" t="s">
        <v>193</v>
      </c>
      <c r="G153" s="111">
        <v>2</v>
      </c>
      <c r="H153" s="68">
        <v>455</v>
      </c>
      <c r="I153" s="68">
        <f t="shared" ref="I153:I158" si="17">G153*H153</f>
        <v>910</v>
      </c>
      <c r="J153" s="13"/>
      <c r="K153" s="153" t="s">
        <v>194</v>
      </c>
      <c r="L153" s="71"/>
      <c r="M153" s="11"/>
      <c r="N153" s="157"/>
      <c r="O153" s="15"/>
      <c r="P153" s="15"/>
      <c r="Q153" s="76"/>
      <c r="R153" s="134"/>
    </row>
    <row r="154" spans="1:18" ht="15.6" customHeight="1">
      <c r="C154" s="149">
        <f t="shared" si="15"/>
        <v>106</v>
      </c>
      <c r="D154" s="47" t="s">
        <v>37</v>
      </c>
      <c r="E154" s="47" t="s">
        <v>37</v>
      </c>
      <c r="F154" s="148" t="s">
        <v>192</v>
      </c>
      <c r="G154" s="111">
        <v>2</v>
      </c>
      <c r="H154" s="111">
        <v>250</v>
      </c>
      <c r="I154" s="68">
        <f t="shared" si="17"/>
        <v>500</v>
      </c>
      <c r="J154" s="21"/>
      <c r="K154" s="45" t="s">
        <v>191</v>
      </c>
      <c r="L154" s="71"/>
      <c r="M154" s="11"/>
      <c r="N154" s="157"/>
      <c r="O154" s="15"/>
      <c r="P154" s="15"/>
      <c r="Q154" s="76"/>
      <c r="R154" s="134"/>
    </row>
    <row r="155" spans="1:18" ht="18" customHeight="1">
      <c r="C155" s="149">
        <f t="shared" si="15"/>
        <v>107</v>
      </c>
      <c r="D155" s="281" t="s">
        <v>145</v>
      </c>
      <c r="E155" s="281" t="s">
        <v>145</v>
      </c>
      <c r="F155" s="247" t="s">
        <v>146</v>
      </c>
      <c r="G155" s="282"/>
      <c r="H155" s="304">
        <v>830</v>
      </c>
      <c r="I155" s="340">
        <f t="shared" si="17"/>
        <v>0</v>
      </c>
      <c r="J155" s="301"/>
      <c r="K155" s="279" t="s">
        <v>147</v>
      </c>
      <c r="L155" s="251" t="s">
        <v>319</v>
      </c>
      <c r="M155" s="128"/>
      <c r="N155" s="157"/>
      <c r="O155" s="115"/>
      <c r="P155" s="128"/>
      <c r="Q155" s="157"/>
      <c r="R155" s="134"/>
    </row>
    <row r="156" spans="1:18" ht="18" customHeight="1">
      <c r="C156" s="149">
        <f t="shared" si="15"/>
        <v>108</v>
      </c>
      <c r="D156" s="117" t="s">
        <v>145</v>
      </c>
      <c r="E156" s="117" t="s">
        <v>145</v>
      </c>
      <c r="F156" s="118" t="s">
        <v>188</v>
      </c>
      <c r="G156" s="122">
        <v>6</v>
      </c>
      <c r="H156" s="135">
        <v>270</v>
      </c>
      <c r="I156" s="326">
        <f t="shared" si="17"/>
        <v>1620</v>
      </c>
      <c r="J156" s="123"/>
      <c r="K156" s="118" t="s">
        <v>153</v>
      </c>
      <c r="L156" s="115"/>
      <c r="M156" s="128"/>
      <c r="N156" s="157"/>
      <c r="O156" s="115"/>
      <c r="P156" s="128"/>
      <c r="Q156" s="76"/>
      <c r="R156" s="134"/>
    </row>
    <row r="157" spans="1:18" ht="18" customHeight="1">
      <c r="C157" s="149">
        <f t="shared" si="15"/>
        <v>109</v>
      </c>
      <c r="D157" s="117" t="s">
        <v>145</v>
      </c>
      <c r="E157" s="117" t="s">
        <v>145</v>
      </c>
      <c r="F157" s="118" t="s">
        <v>189</v>
      </c>
      <c r="G157" s="122">
        <v>2</v>
      </c>
      <c r="H157" s="135">
        <v>270</v>
      </c>
      <c r="I157" s="326">
        <f t="shared" si="17"/>
        <v>540</v>
      </c>
      <c r="J157" s="123"/>
      <c r="K157" s="118" t="s">
        <v>190</v>
      </c>
      <c r="L157" s="115"/>
      <c r="M157" s="128"/>
      <c r="N157" s="157"/>
      <c r="O157" s="115"/>
      <c r="P157" s="128"/>
      <c r="Q157" s="76"/>
      <c r="R157" s="134"/>
    </row>
    <row r="158" spans="1:18" ht="18" customHeight="1">
      <c r="C158" s="149">
        <f t="shared" si="15"/>
        <v>110</v>
      </c>
      <c r="D158" s="271" t="s">
        <v>145</v>
      </c>
      <c r="E158" s="271" t="s">
        <v>145</v>
      </c>
      <c r="F158" s="431" t="s">
        <v>154</v>
      </c>
      <c r="G158" s="432">
        <v>10</v>
      </c>
      <c r="H158" s="273">
        <v>23</v>
      </c>
      <c r="I158" s="273">
        <f t="shared" si="17"/>
        <v>230</v>
      </c>
      <c r="J158" s="433"/>
      <c r="K158" s="276" t="s">
        <v>155</v>
      </c>
      <c r="L158" s="115"/>
      <c r="M158" s="128"/>
      <c r="N158" s="157"/>
      <c r="O158" s="115"/>
      <c r="P158" s="128"/>
      <c r="Q158" s="76"/>
      <c r="R158" s="134"/>
    </row>
    <row r="159" spans="1:18" ht="18" customHeight="1">
      <c r="C159" s="149">
        <f t="shared" si="15"/>
        <v>111</v>
      </c>
      <c r="D159" s="8" t="s">
        <v>37</v>
      </c>
      <c r="E159" s="8" t="s">
        <v>37</v>
      </c>
      <c r="F159" s="147" t="s">
        <v>134</v>
      </c>
      <c r="G159" s="111">
        <v>10</v>
      </c>
      <c r="H159" s="68">
        <v>29</v>
      </c>
      <c r="I159" s="68">
        <f>G159*H159</f>
        <v>290</v>
      </c>
      <c r="J159" s="13"/>
      <c r="K159" s="64" t="s">
        <v>135</v>
      </c>
      <c r="L159" s="115"/>
      <c r="M159" s="128"/>
      <c r="N159" s="157"/>
      <c r="O159" s="115"/>
      <c r="P159" s="128"/>
      <c r="Q159" s="76"/>
      <c r="R159" s="134"/>
    </row>
    <row r="160" spans="1:18" ht="18" customHeight="1">
      <c r="C160" s="149">
        <f t="shared" si="15"/>
        <v>112</v>
      </c>
      <c r="D160" s="302" t="s">
        <v>37</v>
      </c>
      <c r="E160" s="302" t="s">
        <v>37</v>
      </c>
      <c r="F160" s="303" t="s">
        <v>127</v>
      </c>
      <c r="G160" s="304"/>
      <c r="H160" s="270">
        <v>622</v>
      </c>
      <c r="I160" s="304">
        <v>622</v>
      </c>
      <c r="J160" s="305"/>
      <c r="K160" s="306" t="s">
        <v>128</v>
      </c>
      <c r="L160" s="251" t="s">
        <v>319</v>
      </c>
      <c r="M160" s="128"/>
      <c r="N160" s="157"/>
      <c r="O160" s="115"/>
      <c r="P160" s="128"/>
      <c r="Q160" s="157"/>
      <c r="R160" s="134"/>
    </row>
    <row r="161" spans="3:18" ht="18" customHeight="1">
      <c r="C161" s="149">
        <f t="shared" si="15"/>
        <v>113</v>
      </c>
      <c r="D161" s="424" t="s">
        <v>37</v>
      </c>
      <c r="E161" s="424" t="s">
        <v>37</v>
      </c>
      <c r="F161" s="425" t="s">
        <v>311</v>
      </c>
      <c r="G161" s="426"/>
      <c r="H161" s="427">
        <v>2196</v>
      </c>
      <c r="I161" s="428">
        <f>G161*H161</f>
        <v>0</v>
      </c>
      <c r="J161" s="429"/>
      <c r="K161" s="430" t="s">
        <v>312</v>
      </c>
      <c r="L161" s="115"/>
      <c r="M161" s="128"/>
      <c r="N161" s="157"/>
      <c r="O161" s="115"/>
      <c r="P161" s="128"/>
      <c r="Q161" s="76"/>
      <c r="R161" s="134"/>
    </row>
    <row r="162" spans="3:18" ht="18" customHeight="1">
      <c r="C162" s="149"/>
      <c r="D162" s="136"/>
      <c r="E162" s="136"/>
      <c r="F162" s="207"/>
      <c r="G162" s="208"/>
      <c r="H162" s="345"/>
      <c r="I162" s="135"/>
      <c r="J162" s="209"/>
      <c r="K162" s="210"/>
      <c r="L162" s="115"/>
      <c r="M162" s="128"/>
      <c r="N162" s="157"/>
      <c r="O162" s="115"/>
      <c r="P162" s="128"/>
      <c r="Q162" s="157"/>
      <c r="R162" s="134"/>
    </row>
    <row r="163" spans="3:18" ht="18" customHeight="1">
      <c r="C163" s="70"/>
      <c r="D163" s="8"/>
      <c r="E163" s="8"/>
      <c r="F163" s="647">
        <f>SUM(I111:I162)</f>
        <v>77749</v>
      </c>
      <c r="G163" s="648"/>
      <c r="H163" s="648"/>
      <c r="I163" s="649"/>
      <c r="J163" s="13"/>
      <c r="K163" s="64"/>
      <c r="L163" s="71"/>
      <c r="M163" s="11"/>
      <c r="N163" s="76"/>
      <c r="O163" s="15"/>
      <c r="P163" s="15"/>
      <c r="Q163" s="76"/>
      <c r="R163" s="24"/>
    </row>
    <row r="164" spans="3:18" ht="18" customHeight="1">
      <c r="C164" s="70"/>
      <c r="D164" s="8"/>
      <c r="E164" s="8"/>
      <c r="F164" s="45"/>
      <c r="G164" s="111"/>
      <c r="H164" s="111"/>
      <c r="I164" s="68"/>
      <c r="J164" s="6"/>
      <c r="K164" s="45"/>
      <c r="L164" s="71"/>
      <c r="M164" s="11"/>
      <c r="N164" s="76"/>
      <c r="O164" s="15"/>
      <c r="P164" s="15"/>
      <c r="Q164" s="76"/>
      <c r="R164" s="24"/>
    </row>
    <row r="165" spans="3:18" ht="18" customHeight="1">
      <c r="C165" s="70"/>
      <c r="D165" s="70"/>
      <c r="E165" s="70"/>
      <c r="F165" s="71" t="s">
        <v>130</v>
      </c>
      <c r="G165" s="68"/>
      <c r="H165" s="68"/>
      <c r="I165" s="68">
        <f>G165*H165</f>
        <v>0</v>
      </c>
      <c r="J165" s="21"/>
      <c r="K165" s="45" t="s">
        <v>131</v>
      </c>
      <c r="L165" s="96"/>
      <c r="M165" s="70"/>
      <c r="N165" s="76"/>
      <c r="O165" s="96"/>
      <c r="P165" s="70"/>
      <c r="Q165" s="76"/>
      <c r="R165" s="24"/>
    </row>
    <row r="166" spans="3:18" ht="18" customHeight="1">
      <c r="C166" s="70"/>
      <c r="D166" s="8"/>
      <c r="E166" s="8"/>
      <c r="F166" s="71" t="s">
        <v>131</v>
      </c>
      <c r="G166" s="68"/>
      <c r="H166" s="68">
        <v>5000</v>
      </c>
      <c r="I166" s="68">
        <f>G166*H166</f>
        <v>0</v>
      </c>
      <c r="J166" s="21"/>
      <c r="K166" s="45" t="s">
        <v>132</v>
      </c>
      <c r="L166" s="96"/>
      <c r="M166" s="70"/>
      <c r="N166" s="76"/>
      <c r="O166" s="96"/>
      <c r="P166" s="70"/>
      <c r="Q166" s="76"/>
      <c r="R166" s="15"/>
    </row>
    <row r="167" spans="3:18" ht="18" customHeight="1">
      <c r="C167" s="70"/>
      <c r="D167" s="8"/>
      <c r="E167" s="8"/>
      <c r="F167" s="71" t="s">
        <v>132</v>
      </c>
      <c r="G167" s="68"/>
      <c r="H167" s="68"/>
      <c r="I167" s="68">
        <f>G167*H167</f>
        <v>0</v>
      </c>
      <c r="J167" s="21"/>
      <c r="K167" s="11"/>
      <c r="L167" s="96"/>
      <c r="M167" s="70"/>
      <c r="N167" s="70"/>
      <c r="O167" s="96"/>
      <c r="P167" s="70"/>
      <c r="Q167" s="15"/>
      <c r="R167" s="15"/>
    </row>
    <row r="168" spans="3:18" ht="18" customHeight="1">
      <c r="C168" s="70"/>
      <c r="D168" s="8"/>
      <c r="E168" s="8"/>
      <c r="F168" s="637"/>
      <c r="G168" s="638"/>
      <c r="H168" s="638"/>
      <c r="I168" s="639"/>
      <c r="J168" s="13"/>
      <c r="K168" s="64"/>
    </row>
    <row r="169" spans="3:18" ht="18" customHeight="1"/>
    <row r="170" spans="3:18" ht="18" customHeight="1"/>
    <row r="171" spans="3:18" ht="18" customHeight="1"/>
  </sheetData>
  <autoFilter ref="C8:P171" xr:uid="{00000000-0009-0000-0000-000003000000}"/>
  <mergeCells count="18">
    <mergeCell ref="C2:E2"/>
    <mergeCell ref="H2:J2"/>
    <mergeCell ref="C3:E3"/>
    <mergeCell ref="C4:E4"/>
    <mergeCell ref="H4:K5"/>
    <mergeCell ref="C5:E5"/>
    <mergeCell ref="F168:I168"/>
    <mergeCell ref="C6:E6"/>
    <mergeCell ref="C10:F10"/>
    <mergeCell ref="F44:I44"/>
    <mergeCell ref="D48:F48"/>
    <mergeCell ref="F59:I59"/>
    <mergeCell ref="D64:F64"/>
    <mergeCell ref="F77:I77"/>
    <mergeCell ref="D81:F81"/>
    <mergeCell ref="F106:I106"/>
    <mergeCell ref="D110:F110"/>
    <mergeCell ref="F163:I163"/>
  </mergeCells>
  <phoneticPr fontId="14"/>
  <dataValidations disablePrompts="1" count="2">
    <dataValidation allowBlank="1" showInputMessage="1" showErrorMessage="1" sqref="K43:K46" xr:uid="{F2C96FBA-A7BA-4703-8BD4-9DE40CD52793}"/>
    <dataValidation imeMode="hiragana" allowBlank="1" showInputMessage="1" showErrorMessage="1" sqref="K158 K68:K69" xr:uid="{483CAF49-0BE1-47E0-88E7-D6348FF3A28D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73DF-F3C1-4770-8178-E70B3C044D1F}">
  <dimension ref="A2:R162"/>
  <sheetViews>
    <sheetView zoomScale="85" zoomScaleNormal="85" workbookViewId="0">
      <pane xSplit="11" ySplit="8" topLeftCell="L36" activePane="bottomRight" state="frozen"/>
      <selection activeCell="D26" sqref="D26"/>
      <selection pane="topRight" activeCell="D26" sqref="D26"/>
      <selection pane="bottomLeft" activeCell="D26" sqref="D26"/>
      <selection pane="bottomRight" activeCell="F26" sqref="F26"/>
    </sheetView>
  </sheetViews>
  <sheetFormatPr defaultColWidth="11.75" defaultRowHeight="13.5" customHeight="1"/>
  <cols>
    <col min="1" max="1" width="18.625" style="112" customWidth="1"/>
    <col min="2" max="2" width="3.125" style="112" customWidth="1"/>
    <col min="3" max="3" width="6.25" style="14" customWidth="1"/>
    <col min="4" max="4" width="15.25" style="112" customWidth="1"/>
    <col min="5" max="5" width="15.5" style="112" customWidth="1"/>
    <col min="6" max="6" width="71.5" style="112" customWidth="1"/>
    <col min="7" max="7" width="10.75" style="14" customWidth="1"/>
    <col min="8" max="9" width="12.125" style="14" customWidth="1"/>
    <col min="10" max="10" width="7.125" style="19" customWidth="1"/>
    <col min="11" max="11" width="38.5" style="112" customWidth="1"/>
    <col min="12" max="12" width="35.875" style="112" customWidth="1"/>
    <col min="13" max="13" width="8.125" style="14" customWidth="1"/>
    <col min="14" max="14" width="17" style="14" customWidth="1"/>
    <col min="15" max="15" width="7.875" style="112" customWidth="1"/>
    <col min="16" max="16" width="16.375" style="14" customWidth="1"/>
    <col min="17" max="17" width="17.875" style="158" customWidth="1"/>
    <col min="18" max="18" width="19.375" style="158" customWidth="1"/>
    <col min="19" max="16384" width="11.75" style="112"/>
  </cols>
  <sheetData>
    <row r="2" spans="1:18" ht="20.100000000000001" customHeight="1">
      <c r="C2" s="632" t="s">
        <v>0</v>
      </c>
      <c r="D2" s="632"/>
      <c r="E2" s="632"/>
      <c r="F2" s="108"/>
      <c r="H2" s="633" t="s">
        <v>2</v>
      </c>
      <c r="I2" s="634"/>
      <c r="J2" s="635"/>
      <c r="K2" s="18">
        <f>SUM(I:I)</f>
        <v>318741</v>
      </c>
    </row>
    <row r="3" spans="1:18" ht="20.100000000000001" customHeight="1">
      <c r="C3" s="632" t="s">
        <v>3</v>
      </c>
      <c r="D3" s="632"/>
      <c r="E3" s="632"/>
      <c r="F3" s="16" t="s">
        <v>310</v>
      </c>
    </row>
    <row r="4" spans="1:18" ht="20.100000000000001" customHeight="1">
      <c r="C4" s="632" t="s">
        <v>5</v>
      </c>
      <c r="D4" s="632"/>
      <c r="E4" s="632"/>
      <c r="F4" s="16" t="s">
        <v>354</v>
      </c>
      <c r="H4" s="636" t="s">
        <v>374</v>
      </c>
      <c r="I4" s="636"/>
      <c r="J4" s="636"/>
      <c r="K4" s="636"/>
      <c r="L4" s="300"/>
    </row>
    <row r="5" spans="1:18" ht="20.100000000000001" customHeight="1">
      <c r="C5" s="632" t="s">
        <v>6</v>
      </c>
      <c r="D5" s="632"/>
      <c r="E5" s="632"/>
      <c r="F5" s="17">
        <v>44545</v>
      </c>
      <c r="H5" s="636"/>
      <c r="I5" s="636"/>
      <c r="J5" s="636"/>
      <c r="K5" s="636"/>
    </row>
    <row r="6" spans="1:18" ht="20.100000000000001" customHeight="1">
      <c r="C6" s="632" t="s">
        <v>7</v>
      </c>
      <c r="D6" s="632"/>
      <c r="E6" s="632"/>
      <c r="F6" s="17">
        <v>44545</v>
      </c>
      <c r="H6" s="371"/>
      <c r="I6" s="311"/>
    </row>
    <row r="8" spans="1:18" s="14" customFormat="1" ht="19.5" customHeight="1">
      <c r="C8" s="8" t="s">
        <v>8</v>
      </c>
      <c r="D8" s="8" t="s">
        <v>9</v>
      </c>
      <c r="E8" s="8" t="s">
        <v>10</v>
      </c>
      <c r="F8" s="70" t="s">
        <v>11</v>
      </c>
      <c r="G8" s="70" t="s">
        <v>12</v>
      </c>
      <c r="H8" s="70" t="s">
        <v>13</v>
      </c>
      <c r="I8" s="6" t="s">
        <v>14</v>
      </c>
      <c r="J8" s="6" t="s">
        <v>15</v>
      </c>
      <c r="K8" s="70" t="s">
        <v>16</v>
      </c>
      <c r="L8" s="70" t="s">
        <v>17</v>
      </c>
      <c r="M8" s="70" t="s">
        <v>18</v>
      </c>
      <c r="N8" s="76" t="s">
        <v>19</v>
      </c>
      <c r="O8" s="8" t="s">
        <v>20</v>
      </c>
      <c r="P8" s="70" t="s">
        <v>21</v>
      </c>
      <c r="Q8" s="76" t="s">
        <v>22</v>
      </c>
      <c r="R8" s="15" t="s">
        <v>23</v>
      </c>
    </row>
    <row r="9" spans="1:18" s="14" customFormat="1" ht="19.5" customHeight="1">
      <c r="C9" s="8"/>
      <c r="D9" s="8"/>
      <c r="E9" s="8"/>
      <c r="F9" s="71"/>
      <c r="G9" s="68"/>
      <c r="H9" s="68"/>
      <c r="I9" s="68"/>
      <c r="J9" s="21"/>
      <c r="K9" s="69"/>
      <c r="L9" s="70"/>
      <c r="M9" s="70"/>
      <c r="N9" s="76"/>
      <c r="O9" s="8"/>
      <c r="P9" s="70"/>
      <c r="Q9" s="76"/>
      <c r="R9" s="15"/>
    </row>
    <row r="10" spans="1:18" ht="18" customHeight="1">
      <c r="C10" s="640" t="s">
        <v>24</v>
      </c>
      <c r="D10" s="641"/>
      <c r="E10" s="641"/>
      <c r="F10" s="642"/>
      <c r="G10" s="111"/>
      <c r="H10" s="111"/>
      <c r="I10" s="68"/>
      <c r="J10" s="21"/>
      <c r="K10" s="45"/>
      <c r="L10" s="71"/>
      <c r="M10" s="11"/>
      <c r="N10" s="76"/>
      <c r="O10" s="15"/>
      <c r="P10" s="15"/>
      <c r="Q10" s="76"/>
      <c r="R10" s="24"/>
    </row>
    <row r="11" spans="1:18" s="216" customFormat="1" ht="18" customHeight="1">
      <c r="A11" s="450"/>
      <c r="C11" s="451">
        <v>1</v>
      </c>
      <c r="D11" s="164" t="s">
        <v>375</v>
      </c>
      <c r="E11" s="164" t="s">
        <v>375</v>
      </c>
      <c r="F11" s="458" t="s">
        <v>376</v>
      </c>
      <c r="G11" s="169">
        <v>1</v>
      </c>
      <c r="H11" s="170">
        <v>11200</v>
      </c>
      <c r="I11" s="170">
        <f t="shared" ref="I11:I35" si="0">G11*H11</f>
        <v>11200</v>
      </c>
      <c r="J11" s="179"/>
      <c r="K11" s="180" t="s">
        <v>377</v>
      </c>
      <c r="L11" s="459"/>
      <c r="M11" s="356"/>
      <c r="N11" s="453"/>
      <c r="O11" s="452"/>
      <c r="P11" s="453"/>
      <c r="Q11" s="453"/>
      <c r="R11" s="454"/>
    </row>
    <row r="12" spans="1:18" s="216" customFormat="1" ht="18" customHeight="1">
      <c r="A12" s="450"/>
      <c r="C12" s="451">
        <f>C11+1</f>
        <v>2</v>
      </c>
      <c r="D12" s="164" t="s">
        <v>375</v>
      </c>
      <c r="E12" s="164" t="s">
        <v>375</v>
      </c>
      <c r="F12" s="458" t="s">
        <v>378</v>
      </c>
      <c r="G12" s="169">
        <v>1</v>
      </c>
      <c r="H12" s="170">
        <v>6000</v>
      </c>
      <c r="I12" s="170">
        <f t="shared" si="0"/>
        <v>6000</v>
      </c>
      <c r="J12" s="179"/>
      <c r="K12" s="180" t="s">
        <v>379</v>
      </c>
      <c r="L12" s="459"/>
      <c r="M12" s="356"/>
      <c r="N12" s="453"/>
      <c r="O12" s="452"/>
      <c r="P12" s="453"/>
      <c r="Q12" s="453"/>
      <c r="R12" s="454"/>
    </row>
    <row r="13" spans="1:18" s="216" customFormat="1" ht="18" customHeight="1">
      <c r="A13" s="450"/>
      <c r="C13" s="451">
        <f t="shared" ref="C13:C16" si="1">C12+1</f>
        <v>3</v>
      </c>
      <c r="D13" s="164" t="s">
        <v>375</v>
      </c>
      <c r="E13" s="164" t="s">
        <v>375</v>
      </c>
      <c r="F13" s="458" t="s">
        <v>380</v>
      </c>
      <c r="G13" s="169">
        <v>1</v>
      </c>
      <c r="H13" s="170">
        <v>7100</v>
      </c>
      <c r="I13" s="170">
        <f>G13*H13</f>
        <v>7100</v>
      </c>
      <c r="J13" s="179"/>
      <c r="K13" s="180" t="s">
        <v>381</v>
      </c>
      <c r="L13" s="459"/>
      <c r="M13" s="356"/>
      <c r="N13" s="453"/>
      <c r="O13" s="452"/>
      <c r="P13" s="453"/>
      <c r="Q13" s="453"/>
      <c r="R13" s="454"/>
    </row>
    <row r="14" spans="1:18" s="216" customFormat="1" ht="18" customHeight="1">
      <c r="A14" s="450"/>
      <c r="C14" s="451">
        <f t="shared" si="1"/>
        <v>4</v>
      </c>
      <c r="D14" s="164" t="s">
        <v>375</v>
      </c>
      <c r="E14" s="164" t="s">
        <v>375</v>
      </c>
      <c r="F14" s="458" t="s">
        <v>382</v>
      </c>
      <c r="G14" s="169">
        <v>1</v>
      </c>
      <c r="H14" s="170">
        <v>3900</v>
      </c>
      <c r="I14" s="170">
        <f>G14*H14</f>
        <v>3900</v>
      </c>
      <c r="J14" s="179"/>
      <c r="K14" s="180" t="s">
        <v>383</v>
      </c>
      <c r="L14" s="459"/>
      <c r="M14" s="356"/>
      <c r="N14" s="453"/>
      <c r="O14" s="452"/>
      <c r="P14" s="453"/>
      <c r="Q14" s="453"/>
      <c r="R14" s="454"/>
    </row>
    <row r="15" spans="1:18" s="216" customFormat="1" ht="18" customHeight="1">
      <c r="A15" s="450"/>
      <c r="C15" s="451">
        <f t="shared" si="1"/>
        <v>5</v>
      </c>
      <c r="D15" s="164" t="s">
        <v>375</v>
      </c>
      <c r="E15" s="164" t="s">
        <v>375</v>
      </c>
      <c r="F15" s="458" t="s">
        <v>384</v>
      </c>
      <c r="G15" s="169">
        <v>1</v>
      </c>
      <c r="H15" s="170">
        <v>8200</v>
      </c>
      <c r="I15" s="170">
        <f t="shared" si="0"/>
        <v>8200</v>
      </c>
      <c r="J15" s="179"/>
      <c r="K15" s="180" t="s">
        <v>385</v>
      </c>
      <c r="L15" s="459"/>
      <c r="M15" s="356"/>
      <c r="N15" s="453"/>
      <c r="O15" s="452"/>
      <c r="P15" s="453"/>
      <c r="Q15" s="453"/>
      <c r="R15" s="454"/>
    </row>
    <row r="16" spans="1:18" s="216" customFormat="1" ht="18" customHeight="1">
      <c r="A16" s="450"/>
      <c r="C16" s="451">
        <f t="shared" si="1"/>
        <v>6</v>
      </c>
      <c r="D16" s="164"/>
      <c r="E16" s="164"/>
      <c r="F16" s="463" t="s">
        <v>421</v>
      </c>
      <c r="G16" s="169">
        <v>1</v>
      </c>
      <c r="H16" s="170">
        <v>30000</v>
      </c>
      <c r="I16" s="170">
        <f t="shared" si="0"/>
        <v>30000</v>
      </c>
      <c r="J16" s="179"/>
      <c r="K16" s="180"/>
      <c r="L16" s="459"/>
      <c r="M16" s="356"/>
      <c r="N16" s="453"/>
      <c r="O16" s="452"/>
      <c r="P16" s="453"/>
      <c r="Q16" s="453"/>
      <c r="R16" s="454"/>
    </row>
    <row r="17" spans="1:18" s="216" customFormat="1" ht="18" customHeight="1">
      <c r="A17" s="450"/>
      <c r="C17" s="451"/>
      <c r="D17" s="164"/>
      <c r="E17" s="164"/>
      <c r="F17" s="458"/>
      <c r="G17" s="169"/>
      <c r="H17" s="170"/>
      <c r="I17" s="170"/>
      <c r="J17" s="179"/>
      <c r="K17" s="180"/>
      <c r="L17" s="459"/>
      <c r="M17" s="356"/>
      <c r="N17" s="453"/>
      <c r="O17" s="452"/>
      <c r="P17" s="453"/>
      <c r="Q17" s="453"/>
      <c r="R17" s="454"/>
    </row>
    <row r="18" spans="1:18" s="216" customFormat="1" ht="18" customHeight="1">
      <c r="A18" s="450"/>
      <c r="C18" s="451">
        <f>C16+1</f>
        <v>7</v>
      </c>
      <c r="D18" s="164" t="s">
        <v>145</v>
      </c>
      <c r="E18" s="164" t="s">
        <v>145</v>
      </c>
      <c r="F18" s="458" t="s">
        <v>386</v>
      </c>
      <c r="G18" s="169">
        <v>2</v>
      </c>
      <c r="H18" s="170">
        <v>1260</v>
      </c>
      <c r="I18" s="170">
        <f t="shared" si="0"/>
        <v>2520</v>
      </c>
      <c r="J18" s="179"/>
      <c r="K18" s="180" t="s">
        <v>387</v>
      </c>
      <c r="L18" s="459"/>
      <c r="M18" s="356"/>
      <c r="N18" s="453"/>
      <c r="O18" s="452"/>
      <c r="P18" s="453"/>
      <c r="Q18" s="453"/>
      <c r="R18" s="454"/>
    </row>
    <row r="19" spans="1:18" s="216" customFormat="1" ht="18" customHeight="1">
      <c r="A19" s="450"/>
      <c r="C19" s="451">
        <f>C18+1</f>
        <v>8</v>
      </c>
      <c r="D19" s="164" t="s">
        <v>145</v>
      </c>
      <c r="E19" s="164" t="s">
        <v>145</v>
      </c>
      <c r="F19" s="458" t="s">
        <v>388</v>
      </c>
      <c r="G19" s="169">
        <v>2</v>
      </c>
      <c r="H19" s="170">
        <v>95</v>
      </c>
      <c r="I19" s="170">
        <f t="shared" si="0"/>
        <v>190</v>
      </c>
      <c r="J19" s="179"/>
      <c r="K19" s="180" t="s">
        <v>389</v>
      </c>
      <c r="L19" s="180" t="s">
        <v>390</v>
      </c>
      <c r="M19" s="356"/>
      <c r="N19" s="453"/>
      <c r="O19" s="452"/>
      <c r="P19" s="356"/>
      <c r="Q19" s="453"/>
      <c r="R19" s="454"/>
    </row>
    <row r="20" spans="1:18" s="216" customFormat="1" ht="18" customHeight="1">
      <c r="A20" s="450"/>
      <c r="C20" s="451">
        <f t="shared" ref="C20:C24" si="2">C19+1</f>
        <v>9</v>
      </c>
      <c r="D20" s="164" t="s">
        <v>145</v>
      </c>
      <c r="E20" s="164" t="s">
        <v>145</v>
      </c>
      <c r="F20" s="458" t="s">
        <v>391</v>
      </c>
      <c r="G20" s="169">
        <v>2</v>
      </c>
      <c r="H20" s="170">
        <v>1520</v>
      </c>
      <c r="I20" s="170">
        <f t="shared" si="0"/>
        <v>3040</v>
      </c>
      <c r="J20" s="179"/>
      <c r="K20" s="180" t="s">
        <v>392</v>
      </c>
      <c r="L20" s="459"/>
      <c r="M20" s="356"/>
      <c r="N20" s="453"/>
      <c r="O20" s="452"/>
      <c r="P20" s="356"/>
      <c r="Q20" s="453"/>
      <c r="R20" s="454"/>
    </row>
    <row r="21" spans="1:18" s="216" customFormat="1" ht="18" customHeight="1">
      <c r="A21" s="450"/>
      <c r="C21" s="451">
        <f t="shared" si="2"/>
        <v>10</v>
      </c>
      <c r="D21" s="164" t="s">
        <v>145</v>
      </c>
      <c r="E21" s="164" t="s">
        <v>145</v>
      </c>
      <c r="F21" s="458" t="s">
        <v>393</v>
      </c>
      <c r="G21" s="169">
        <v>1</v>
      </c>
      <c r="H21" s="170">
        <v>470</v>
      </c>
      <c r="I21" s="170">
        <f t="shared" si="0"/>
        <v>470</v>
      </c>
      <c r="J21" s="179"/>
      <c r="K21" s="180" t="s">
        <v>394</v>
      </c>
      <c r="L21" s="459"/>
      <c r="M21" s="356"/>
      <c r="N21" s="453"/>
      <c r="O21" s="452"/>
      <c r="P21" s="356"/>
      <c r="Q21" s="453"/>
      <c r="R21" s="454"/>
    </row>
    <row r="22" spans="1:18" s="216" customFormat="1" ht="18" customHeight="1">
      <c r="A22" s="450"/>
      <c r="C22" s="451">
        <f t="shared" si="2"/>
        <v>11</v>
      </c>
      <c r="D22" s="164" t="s">
        <v>145</v>
      </c>
      <c r="E22" s="164" t="s">
        <v>145</v>
      </c>
      <c r="F22" s="458" t="s">
        <v>395</v>
      </c>
      <c r="G22" s="169">
        <v>1</v>
      </c>
      <c r="H22" s="170">
        <v>2880</v>
      </c>
      <c r="I22" s="170">
        <f t="shared" si="0"/>
        <v>2880</v>
      </c>
      <c r="J22" s="179"/>
      <c r="K22" s="180" t="s">
        <v>396</v>
      </c>
      <c r="L22" s="459"/>
      <c r="M22" s="356"/>
      <c r="N22" s="453"/>
      <c r="O22" s="452"/>
      <c r="P22" s="356"/>
      <c r="Q22" s="453"/>
      <c r="R22" s="454"/>
    </row>
    <row r="23" spans="1:18" s="216" customFormat="1" ht="18" customHeight="1">
      <c r="A23" s="450"/>
      <c r="C23" s="451">
        <f t="shared" si="2"/>
        <v>12</v>
      </c>
      <c r="D23" s="164" t="s">
        <v>145</v>
      </c>
      <c r="E23" s="164" t="s">
        <v>145</v>
      </c>
      <c r="F23" s="458" t="s">
        <v>397</v>
      </c>
      <c r="G23" s="169">
        <v>1</v>
      </c>
      <c r="H23" s="170">
        <v>2510</v>
      </c>
      <c r="I23" s="170">
        <f t="shared" si="0"/>
        <v>2510</v>
      </c>
      <c r="J23" s="179"/>
      <c r="K23" s="180" t="s">
        <v>396</v>
      </c>
      <c r="L23" s="459"/>
      <c r="M23" s="356"/>
      <c r="N23" s="453"/>
      <c r="O23" s="452"/>
      <c r="P23" s="356"/>
      <c r="Q23" s="453"/>
      <c r="R23" s="454"/>
    </row>
    <row r="24" spans="1:18" s="216" customFormat="1" ht="18" customHeight="1">
      <c r="A24" s="450" t="s">
        <v>465</v>
      </c>
      <c r="C24" s="451">
        <f t="shared" si="2"/>
        <v>13</v>
      </c>
      <c r="D24" s="164" t="s">
        <v>398</v>
      </c>
      <c r="E24" s="164" t="s">
        <v>399</v>
      </c>
      <c r="F24" s="463" t="s">
        <v>400</v>
      </c>
      <c r="G24" s="169">
        <v>1</v>
      </c>
      <c r="H24" s="170">
        <v>32760</v>
      </c>
      <c r="I24" s="170">
        <f t="shared" si="0"/>
        <v>32760</v>
      </c>
      <c r="J24" s="179"/>
      <c r="K24" s="180" t="s">
        <v>401</v>
      </c>
      <c r="L24" s="459"/>
      <c r="M24" s="356"/>
      <c r="N24" s="453"/>
      <c r="O24" s="452"/>
      <c r="P24" s="356"/>
      <c r="Q24" s="453"/>
      <c r="R24" s="454"/>
    </row>
    <row r="25" spans="1:18" s="216" customFormat="1" ht="18" customHeight="1">
      <c r="A25" s="450"/>
      <c r="C25" s="361"/>
      <c r="D25" s="164"/>
      <c r="E25" s="164"/>
      <c r="F25" s="458"/>
      <c r="G25" s="169"/>
      <c r="H25" s="170"/>
      <c r="I25" s="170">
        <f t="shared" si="0"/>
        <v>0</v>
      </c>
      <c r="J25" s="179"/>
      <c r="K25" s="180"/>
      <c r="L25" s="459"/>
      <c r="M25" s="455"/>
      <c r="N25" s="453"/>
      <c r="O25" s="456"/>
      <c r="P25" s="453"/>
      <c r="Q25" s="453"/>
      <c r="R25" s="454"/>
    </row>
    <row r="26" spans="1:18" s="216" customFormat="1" ht="18" customHeight="1">
      <c r="A26" s="450"/>
      <c r="C26" s="451">
        <f>C23+1</f>
        <v>13</v>
      </c>
      <c r="D26" s="164" t="s">
        <v>375</v>
      </c>
      <c r="E26" s="164" t="s">
        <v>375</v>
      </c>
      <c r="F26" s="458" t="s">
        <v>410</v>
      </c>
      <c r="G26" s="169">
        <v>1</v>
      </c>
      <c r="H26" s="170">
        <v>6600</v>
      </c>
      <c r="I26" s="170">
        <f>G26*H26</f>
        <v>6600</v>
      </c>
      <c r="J26" s="179"/>
      <c r="K26" s="180" t="s">
        <v>411</v>
      </c>
      <c r="L26" s="459"/>
      <c r="M26" s="455"/>
      <c r="N26" s="453"/>
      <c r="O26" s="456"/>
      <c r="P26" s="457"/>
      <c r="Q26" s="453"/>
      <c r="R26" s="454"/>
    </row>
    <row r="27" spans="1:18" s="216" customFormat="1" ht="18" customHeight="1">
      <c r="A27" s="450"/>
      <c r="C27" s="451">
        <f>C26+1</f>
        <v>14</v>
      </c>
      <c r="D27" s="164" t="s">
        <v>398</v>
      </c>
      <c r="E27" s="164" t="s">
        <v>399</v>
      </c>
      <c r="F27" s="461" t="s">
        <v>412</v>
      </c>
      <c r="G27" s="169">
        <v>1</v>
      </c>
      <c r="H27" s="170">
        <v>3080</v>
      </c>
      <c r="I27" s="170">
        <f t="shared" ref="I27:I33" si="3">G27*H27</f>
        <v>3080</v>
      </c>
      <c r="J27" s="179"/>
      <c r="K27" s="180" t="s">
        <v>413</v>
      </c>
      <c r="L27" s="459"/>
      <c r="M27" s="455"/>
      <c r="N27" s="453"/>
      <c r="O27" s="456"/>
      <c r="P27" s="457"/>
      <c r="Q27" s="453"/>
      <c r="R27" s="454"/>
    </row>
    <row r="28" spans="1:18" s="216" customFormat="1" ht="18" customHeight="1">
      <c r="A28" s="450" t="s">
        <v>466</v>
      </c>
      <c r="C28" s="451">
        <f t="shared" ref="C28:C33" si="4">C27+1</f>
        <v>15</v>
      </c>
      <c r="D28" s="164" t="s">
        <v>398</v>
      </c>
      <c r="E28" s="164" t="s">
        <v>399</v>
      </c>
      <c r="F28" s="463" t="s">
        <v>414</v>
      </c>
      <c r="G28" s="169">
        <v>1</v>
      </c>
      <c r="H28" s="170">
        <v>6820</v>
      </c>
      <c r="I28" s="170">
        <f t="shared" si="3"/>
        <v>6820</v>
      </c>
      <c r="J28" s="179"/>
      <c r="K28" s="180" t="s">
        <v>415</v>
      </c>
      <c r="L28" s="459"/>
      <c r="M28" s="455"/>
      <c r="N28" s="453"/>
      <c r="O28" s="456"/>
      <c r="P28" s="457"/>
      <c r="Q28" s="453"/>
      <c r="R28" s="454"/>
    </row>
    <row r="29" spans="1:18" s="216" customFormat="1" ht="18" customHeight="1">
      <c r="A29" s="450" t="s">
        <v>465</v>
      </c>
      <c r="C29" s="451">
        <f t="shared" si="4"/>
        <v>16</v>
      </c>
      <c r="D29" s="164" t="s">
        <v>398</v>
      </c>
      <c r="E29" s="164" t="s">
        <v>399</v>
      </c>
      <c r="F29" s="463" t="s">
        <v>416</v>
      </c>
      <c r="G29" s="169">
        <v>2</v>
      </c>
      <c r="H29" s="170">
        <v>230</v>
      </c>
      <c r="I29" s="170">
        <f t="shared" si="3"/>
        <v>460</v>
      </c>
      <c r="J29" s="179"/>
      <c r="K29" s="180" t="s">
        <v>417</v>
      </c>
      <c r="L29" s="459"/>
      <c r="M29" s="455"/>
      <c r="N29" s="453"/>
      <c r="O29" s="456"/>
      <c r="P29" s="457"/>
      <c r="Q29" s="453"/>
      <c r="R29" s="454"/>
    </row>
    <row r="30" spans="1:18" s="216" customFormat="1" ht="18" customHeight="1">
      <c r="A30" s="450" t="s">
        <v>467</v>
      </c>
      <c r="C30" s="451">
        <f t="shared" si="4"/>
        <v>17</v>
      </c>
      <c r="D30" s="164" t="s">
        <v>398</v>
      </c>
      <c r="E30" s="164" t="s">
        <v>399</v>
      </c>
      <c r="F30" s="463" t="s">
        <v>418</v>
      </c>
      <c r="G30" s="162">
        <v>2</v>
      </c>
      <c r="H30" s="462">
        <v>600</v>
      </c>
      <c r="I30" s="460">
        <f t="shared" si="3"/>
        <v>1200</v>
      </c>
      <c r="J30" s="165"/>
      <c r="K30" s="180" t="s">
        <v>419</v>
      </c>
      <c r="L30" s="459"/>
      <c r="M30" s="455"/>
      <c r="N30" s="453"/>
      <c r="O30" s="456"/>
      <c r="P30" s="457"/>
      <c r="Q30" s="453"/>
      <c r="R30" s="454"/>
    </row>
    <row r="31" spans="1:18" s="216" customFormat="1" ht="18" customHeight="1">
      <c r="A31" s="450"/>
      <c r="C31" s="451">
        <f t="shared" si="4"/>
        <v>18</v>
      </c>
      <c r="D31" s="164" t="s">
        <v>145</v>
      </c>
      <c r="E31" s="164" t="s">
        <v>145</v>
      </c>
      <c r="F31" s="458" t="s">
        <v>189</v>
      </c>
      <c r="G31" s="162">
        <v>2</v>
      </c>
      <c r="H31" s="462">
        <v>230</v>
      </c>
      <c r="I31" s="460">
        <f t="shared" si="3"/>
        <v>460</v>
      </c>
      <c r="J31" s="179"/>
      <c r="K31" s="180"/>
      <c r="L31" s="459"/>
      <c r="M31" s="455"/>
      <c r="N31" s="453"/>
      <c r="O31" s="456"/>
      <c r="P31" s="457"/>
      <c r="Q31" s="453"/>
      <c r="R31" s="454"/>
    </row>
    <row r="32" spans="1:18" s="216" customFormat="1" ht="18" customHeight="1">
      <c r="A32" s="450"/>
      <c r="C32" s="451">
        <f t="shared" si="4"/>
        <v>19</v>
      </c>
      <c r="D32" s="164" t="s">
        <v>145</v>
      </c>
      <c r="E32" s="164" t="s">
        <v>145</v>
      </c>
      <c r="F32" s="458" t="s">
        <v>188</v>
      </c>
      <c r="G32" s="162">
        <v>3</v>
      </c>
      <c r="H32" s="462">
        <v>230</v>
      </c>
      <c r="I32" s="460">
        <f t="shared" si="3"/>
        <v>690</v>
      </c>
      <c r="J32" s="179"/>
      <c r="K32" s="180"/>
      <c r="L32" s="459"/>
      <c r="M32" s="455"/>
      <c r="N32" s="453"/>
      <c r="O32" s="456"/>
      <c r="P32" s="457"/>
      <c r="Q32" s="453"/>
      <c r="R32" s="454"/>
    </row>
    <row r="33" spans="1:18" s="216" customFormat="1" ht="18" customHeight="1">
      <c r="A33" s="450"/>
      <c r="C33" s="451">
        <f t="shared" si="4"/>
        <v>20</v>
      </c>
      <c r="D33" s="164" t="s">
        <v>145</v>
      </c>
      <c r="E33" s="164" t="s">
        <v>145</v>
      </c>
      <c r="F33" s="458" t="s">
        <v>420</v>
      </c>
      <c r="G33" s="169">
        <v>1</v>
      </c>
      <c r="H33" s="170">
        <v>70</v>
      </c>
      <c r="I33" s="460">
        <f t="shared" si="3"/>
        <v>70</v>
      </c>
      <c r="J33" s="179"/>
      <c r="K33" s="180"/>
      <c r="L33" s="459"/>
      <c r="M33" s="455"/>
      <c r="N33" s="453"/>
      <c r="O33" s="456"/>
      <c r="P33" s="457"/>
      <c r="Q33" s="453"/>
      <c r="R33" s="454"/>
    </row>
    <row r="34" spans="1:18" s="216" customFormat="1" ht="18" customHeight="1">
      <c r="A34" s="450"/>
      <c r="C34" s="361"/>
      <c r="D34" s="164"/>
      <c r="E34" s="164"/>
      <c r="F34" s="458"/>
      <c r="G34" s="169"/>
      <c r="H34" s="170"/>
      <c r="I34" s="460"/>
      <c r="J34" s="179"/>
      <c r="K34" s="180"/>
      <c r="L34" s="459"/>
      <c r="M34" s="455"/>
      <c r="N34" s="453"/>
      <c r="O34" s="456"/>
      <c r="P34" s="457"/>
      <c r="Q34" s="453"/>
      <c r="R34" s="454"/>
    </row>
    <row r="35" spans="1:18" s="216" customFormat="1" ht="18" customHeight="1">
      <c r="A35" s="450"/>
      <c r="C35" s="451">
        <f>C33+1</f>
        <v>21</v>
      </c>
      <c r="D35" s="164" t="s">
        <v>375</v>
      </c>
      <c r="E35" s="164" t="s">
        <v>375</v>
      </c>
      <c r="F35" s="458" t="s">
        <v>402</v>
      </c>
      <c r="G35" s="169">
        <v>1</v>
      </c>
      <c r="H35" s="170">
        <v>2400</v>
      </c>
      <c r="I35" s="170">
        <f t="shared" si="0"/>
        <v>2400</v>
      </c>
      <c r="J35" s="179"/>
      <c r="K35" s="458" t="s">
        <v>403</v>
      </c>
      <c r="L35" s="459"/>
      <c r="M35" s="224"/>
      <c r="N35" s="453"/>
      <c r="O35" s="226"/>
      <c r="P35" s="226"/>
      <c r="Q35" s="453"/>
      <c r="R35" s="454"/>
    </row>
    <row r="36" spans="1:18" ht="18" customHeight="1">
      <c r="C36" s="111"/>
      <c r="D36" s="154"/>
      <c r="E36" s="154"/>
      <c r="F36" s="147"/>
      <c r="G36" s="361"/>
      <c r="H36" s="364"/>
      <c r="I36" s="393"/>
      <c r="J36" s="394"/>
      <c r="K36" s="222"/>
      <c r="L36" s="71"/>
      <c r="M36" s="11"/>
      <c r="N36" s="76"/>
      <c r="O36" s="15"/>
      <c r="P36" s="15"/>
      <c r="Q36" s="76"/>
      <c r="R36" s="24"/>
    </row>
    <row r="37" spans="1:18" ht="18" customHeight="1">
      <c r="C37" s="62"/>
      <c r="D37" s="8"/>
      <c r="E37" s="13"/>
      <c r="F37" s="643">
        <f>SUM(I11:I36)</f>
        <v>132550</v>
      </c>
      <c r="G37" s="644"/>
      <c r="H37" s="644"/>
      <c r="I37" s="645"/>
      <c r="J37" s="67"/>
      <c r="K37" s="64"/>
      <c r="L37" s="71"/>
      <c r="M37" s="11"/>
      <c r="N37" s="76"/>
      <c r="O37" s="15"/>
      <c r="P37" s="15"/>
      <c r="Q37" s="76"/>
      <c r="R37" s="24"/>
    </row>
    <row r="38" spans="1:18" ht="18" customHeight="1">
      <c r="C38" s="62"/>
      <c r="D38" s="350"/>
      <c r="E38" s="351"/>
      <c r="F38" s="468"/>
      <c r="G38" s="468"/>
      <c r="H38" s="468"/>
      <c r="I38" s="468"/>
      <c r="J38" s="469"/>
      <c r="K38" s="470"/>
      <c r="L38" s="71"/>
      <c r="M38" s="11"/>
      <c r="N38" s="76"/>
      <c r="O38" s="15"/>
      <c r="P38" s="15"/>
      <c r="Q38" s="76"/>
      <c r="R38" s="24"/>
    </row>
    <row r="39" spans="1:18" ht="18" customHeight="1">
      <c r="C39" s="62"/>
      <c r="D39" s="466"/>
      <c r="E39" s="471"/>
      <c r="F39" s="354"/>
      <c r="G39" s="354"/>
      <c r="H39" s="354"/>
      <c r="I39" s="354"/>
      <c r="J39" s="472"/>
      <c r="K39" s="473"/>
      <c r="L39" s="467"/>
      <c r="M39" s="11"/>
      <c r="N39" s="76"/>
      <c r="O39" s="15"/>
      <c r="P39" s="15"/>
      <c r="Q39" s="76"/>
      <c r="R39" s="24"/>
    </row>
    <row r="40" spans="1:18" s="14" customFormat="1" ht="19.5" customHeight="1">
      <c r="C40" s="8"/>
      <c r="D40" s="464"/>
      <c r="E40" s="464"/>
      <c r="F40" s="353"/>
      <c r="G40" s="335"/>
      <c r="H40" s="335"/>
      <c r="I40" s="335"/>
      <c r="J40" s="50"/>
      <c r="K40" s="465"/>
      <c r="L40" s="70"/>
      <c r="M40" s="70"/>
      <c r="N40" s="76"/>
      <c r="O40" s="8"/>
      <c r="P40" s="70"/>
      <c r="Q40" s="76"/>
      <c r="R40" s="15"/>
    </row>
    <row r="41" spans="1:18" ht="18" customHeight="1">
      <c r="C41" s="130"/>
      <c r="D41" s="646" t="s">
        <v>273</v>
      </c>
      <c r="E41" s="646"/>
      <c r="F41" s="646"/>
      <c r="G41" s="131"/>
      <c r="H41" s="68"/>
      <c r="I41" s="68"/>
      <c r="J41" s="13"/>
      <c r="K41" s="64"/>
      <c r="L41" s="71"/>
      <c r="M41" s="11"/>
      <c r="N41" s="76"/>
      <c r="O41" s="15"/>
      <c r="P41" s="15"/>
      <c r="Q41" s="76"/>
      <c r="R41" s="24"/>
    </row>
    <row r="42" spans="1:18" ht="18" customHeight="1">
      <c r="A42" s="300" t="s">
        <v>351</v>
      </c>
      <c r="C42" s="451">
        <f>C35+1</f>
        <v>22</v>
      </c>
      <c r="D42" s="241" t="s">
        <v>196</v>
      </c>
      <c r="E42" s="241" t="s">
        <v>196</v>
      </c>
      <c r="F42" s="244" t="s">
        <v>292</v>
      </c>
      <c r="G42" s="241">
        <v>1</v>
      </c>
      <c r="H42" s="320">
        <v>5000</v>
      </c>
      <c r="I42" s="321">
        <f t="shared" ref="I42:I50" si="5">G42*H42</f>
        <v>5000</v>
      </c>
      <c r="J42" s="165"/>
      <c r="K42" s="163" t="s">
        <v>293</v>
      </c>
      <c r="L42" s="71"/>
      <c r="M42" s="11"/>
      <c r="N42" s="76"/>
      <c r="O42" s="15"/>
      <c r="P42" s="157"/>
      <c r="Q42" s="157"/>
      <c r="R42" s="134"/>
    </row>
    <row r="43" spans="1:18" ht="18" customHeight="1">
      <c r="A43" s="300" t="s">
        <v>351</v>
      </c>
      <c r="C43" s="114">
        <f t="shared" ref="C43:C50" si="6">+C42+1</f>
        <v>23</v>
      </c>
      <c r="D43" s="241" t="s">
        <v>196</v>
      </c>
      <c r="E43" s="241" t="s">
        <v>196</v>
      </c>
      <c r="F43" s="244" t="s">
        <v>294</v>
      </c>
      <c r="G43" s="241">
        <v>1</v>
      </c>
      <c r="H43" s="320">
        <v>4200</v>
      </c>
      <c r="I43" s="321">
        <f t="shared" si="5"/>
        <v>4200</v>
      </c>
      <c r="J43" s="165"/>
      <c r="K43" s="163" t="s">
        <v>295</v>
      </c>
      <c r="L43" s="71"/>
      <c r="M43" s="11"/>
      <c r="N43" s="76"/>
      <c r="O43" s="15"/>
      <c r="P43" s="157"/>
      <c r="Q43" s="157"/>
      <c r="R43" s="134"/>
    </row>
    <row r="44" spans="1:18" ht="18" customHeight="1">
      <c r="A44" s="300" t="s">
        <v>351</v>
      </c>
      <c r="C44" s="114">
        <f t="shared" si="6"/>
        <v>24</v>
      </c>
      <c r="D44" s="241" t="s">
        <v>196</v>
      </c>
      <c r="E44" s="241" t="s">
        <v>196</v>
      </c>
      <c r="F44" s="244" t="s">
        <v>296</v>
      </c>
      <c r="G44" s="241">
        <v>1</v>
      </c>
      <c r="H44" s="320">
        <v>1300</v>
      </c>
      <c r="I44" s="321">
        <f t="shared" si="5"/>
        <v>1300</v>
      </c>
      <c r="J44" s="165"/>
      <c r="K44" s="163" t="s">
        <v>297</v>
      </c>
      <c r="L44" s="71"/>
      <c r="M44" s="11"/>
      <c r="N44" s="381"/>
      <c r="O44" s="15"/>
      <c r="P44" s="157"/>
      <c r="Q44" s="157"/>
      <c r="R44" s="134"/>
    </row>
    <row r="45" spans="1:18" ht="18" customHeight="1">
      <c r="A45" s="300" t="s">
        <v>353</v>
      </c>
      <c r="C45" s="114">
        <f t="shared" si="6"/>
        <v>25</v>
      </c>
      <c r="D45" s="164" t="s">
        <v>145</v>
      </c>
      <c r="E45" s="164" t="s">
        <v>145</v>
      </c>
      <c r="F45" s="286" t="s">
        <v>298</v>
      </c>
      <c r="G45" s="119">
        <v>1</v>
      </c>
      <c r="H45" s="328">
        <v>750</v>
      </c>
      <c r="I45" s="321">
        <f t="shared" si="5"/>
        <v>750</v>
      </c>
      <c r="J45" s="165"/>
      <c r="K45" s="163" t="s">
        <v>299</v>
      </c>
      <c r="L45" s="71"/>
      <c r="M45" s="11"/>
      <c r="N45" s="157"/>
      <c r="O45" s="15"/>
      <c r="P45" s="15"/>
      <c r="Q45" s="157"/>
      <c r="R45" s="134"/>
    </row>
    <row r="46" spans="1:18" ht="18" customHeight="1">
      <c r="C46" s="114">
        <f t="shared" si="6"/>
        <v>26</v>
      </c>
      <c r="D46" s="271" t="s">
        <v>145</v>
      </c>
      <c r="E46" s="271" t="s">
        <v>145</v>
      </c>
      <c r="F46" s="398" t="s">
        <v>300</v>
      </c>
      <c r="G46" s="275">
        <v>10</v>
      </c>
      <c r="H46" s="413">
        <v>32</v>
      </c>
      <c r="I46" s="413">
        <f t="shared" si="5"/>
        <v>320</v>
      </c>
      <c r="J46" s="275"/>
      <c r="K46" s="398" t="s">
        <v>301</v>
      </c>
      <c r="L46" s="214" t="s">
        <v>313</v>
      </c>
      <c r="M46" s="11"/>
      <c r="N46" s="157"/>
      <c r="O46" s="15"/>
      <c r="P46" s="15"/>
      <c r="Q46" s="157"/>
      <c r="R46" s="134"/>
    </row>
    <row r="47" spans="1:18" ht="18" customHeight="1">
      <c r="C47" s="114">
        <f t="shared" si="6"/>
        <v>27</v>
      </c>
      <c r="D47" s="271" t="s">
        <v>145</v>
      </c>
      <c r="E47" s="271" t="s">
        <v>145</v>
      </c>
      <c r="F47" s="398" t="s">
        <v>302</v>
      </c>
      <c r="G47" s="275">
        <v>10</v>
      </c>
      <c r="H47" s="413">
        <v>27</v>
      </c>
      <c r="I47" s="414">
        <f t="shared" si="5"/>
        <v>270</v>
      </c>
      <c r="J47" s="275"/>
      <c r="K47" s="398" t="s">
        <v>303</v>
      </c>
      <c r="L47" s="214" t="s">
        <v>313</v>
      </c>
      <c r="M47" s="11"/>
      <c r="N47" s="157"/>
      <c r="O47" s="15"/>
      <c r="P47" s="15"/>
      <c r="Q47" s="157"/>
      <c r="R47" s="134"/>
    </row>
    <row r="48" spans="1:18" ht="18" customHeight="1">
      <c r="B48" s="109"/>
      <c r="C48" s="114">
        <f t="shared" si="6"/>
        <v>28</v>
      </c>
      <c r="D48" s="271" t="s">
        <v>145</v>
      </c>
      <c r="E48" s="271" t="s">
        <v>145</v>
      </c>
      <c r="F48" s="398" t="s">
        <v>304</v>
      </c>
      <c r="G48" s="275">
        <v>10</v>
      </c>
      <c r="H48" s="413">
        <v>27</v>
      </c>
      <c r="I48" s="414">
        <f t="shared" si="5"/>
        <v>270</v>
      </c>
      <c r="J48" s="275"/>
      <c r="K48" s="398" t="s">
        <v>305</v>
      </c>
      <c r="L48" s="214" t="s">
        <v>314</v>
      </c>
      <c r="M48" s="11"/>
      <c r="N48" s="157"/>
      <c r="O48" s="15"/>
      <c r="P48" s="15"/>
      <c r="Q48" s="157"/>
      <c r="R48" s="134"/>
    </row>
    <row r="49" spans="1:18" ht="18" customHeight="1">
      <c r="B49" s="109"/>
      <c r="C49" s="114">
        <f t="shared" si="6"/>
        <v>29</v>
      </c>
      <c r="D49" s="271" t="s">
        <v>145</v>
      </c>
      <c r="E49" s="271" t="s">
        <v>145</v>
      </c>
      <c r="F49" s="398" t="s">
        <v>306</v>
      </c>
      <c r="G49" s="275">
        <v>10</v>
      </c>
      <c r="H49" s="413">
        <v>27</v>
      </c>
      <c r="I49" s="414">
        <f t="shared" si="5"/>
        <v>270</v>
      </c>
      <c r="J49" s="275"/>
      <c r="K49" s="398" t="s">
        <v>307</v>
      </c>
      <c r="L49" s="214" t="s">
        <v>314</v>
      </c>
      <c r="M49" s="11"/>
      <c r="N49" s="157"/>
      <c r="O49" s="15"/>
      <c r="P49" s="15"/>
      <c r="Q49" s="157"/>
      <c r="R49" s="134"/>
    </row>
    <row r="50" spans="1:18" ht="18" customHeight="1">
      <c r="A50" s="300" t="s">
        <v>353</v>
      </c>
      <c r="B50" s="109"/>
      <c r="C50" s="114">
        <f t="shared" si="6"/>
        <v>30</v>
      </c>
      <c r="D50" s="164" t="s">
        <v>145</v>
      </c>
      <c r="E50" s="164" t="s">
        <v>145</v>
      </c>
      <c r="F50" s="286" t="s">
        <v>308</v>
      </c>
      <c r="G50" s="120">
        <v>2</v>
      </c>
      <c r="H50" s="328">
        <v>151</v>
      </c>
      <c r="I50" s="321">
        <f t="shared" si="5"/>
        <v>302</v>
      </c>
      <c r="J50" s="165"/>
      <c r="K50" s="163" t="s">
        <v>309</v>
      </c>
      <c r="L50" s="214"/>
      <c r="M50" s="11"/>
      <c r="N50" s="157"/>
      <c r="O50" s="15"/>
      <c r="P50" s="15"/>
      <c r="Q50" s="157"/>
      <c r="R50" s="134"/>
    </row>
    <row r="51" spans="1:18" ht="18" customHeight="1">
      <c r="B51" s="109"/>
      <c r="C51" s="114"/>
      <c r="D51" s="154"/>
      <c r="E51" s="154"/>
      <c r="F51" s="228"/>
      <c r="G51" s="229"/>
      <c r="H51" s="229"/>
      <c r="I51" s="322"/>
      <c r="J51" s="155"/>
      <c r="K51" s="156"/>
      <c r="L51" s="71"/>
      <c r="M51" s="11"/>
      <c r="N51" s="159"/>
      <c r="O51" s="15"/>
      <c r="P51" s="15"/>
      <c r="Q51" s="159"/>
      <c r="R51" s="161"/>
    </row>
    <row r="52" spans="1:18" ht="18" customHeight="1">
      <c r="C52" s="70"/>
      <c r="D52" s="8"/>
      <c r="E52" s="8"/>
      <c r="F52" s="647">
        <f>SUM(I42:I50)</f>
        <v>12682</v>
      </c>
      <c r="G52" s="648"/>
      <c r="H52" s="648"/>
      <c r="I52" s="649"/>
      <c r="J52" s="13"/>
      <c r="K52" s="64"/>
      <c r="L52" s="71"/>
      <c r="M52" s="11"/>
      <c r="N52" s="76"/>
      <c r="O52" s="15"/>
      <c r="P52" s="15"/>
      <c r="Q52" s="76"/>
      <c r="R52" s="24"/>
    </row>
    <row r="53" spans="1:18" s="216" customFormat="1" ht="18" customHeight="1">
      <c r="C53" s="217"/>
      <c r="D53" s="154"/>
      <c r="E53" s="154"/>
      <c r="F53" s="218"/>
      <c r="G53" s="219"/>
      <c r="H53" s="219"/>
      <c r="I53" s="220"/>
      <c r="J53" s="221"/>
      <c r="K53" s="222"/>
      <c r="L53" s="223"/>
      <c r="M53" s="224"/>
      <c r="N53" s="225"/>
      <c r="O53" s="226"/>
      <c r="P53" s="226"/>
      <c r="Q53" s="225"/>
      <c r="R53" s="227"/>
    </row>
    <row r="54" spans="1:18" s="216" customFormat="1" ht="18" customHeight="1">
      <c r="C54" s="217"/>
      <c r="D54" s="154"/>
      <c r="E54" s="154"/>
      <c r="F54" s="218"/>
      <c r="G54" s="219"/>
      <c r="H54" s="219"/>
      <c r="I54" s="220"/>
      <c r="J54" s="221"/>
      <c r="K54" s="222"/>
      <c r="L54" s="223"/>
      <c r="M54" s="224"/>
      <c r="N54" s="225"/>
      <c r="O54" s="226"/>
      <c r="P54" s="226"/>
      <c r="Q54" s="225"/>
      <c r="R54" s="227"/>
    </row>
    <row r="55" spans="1:18" s="216" customFormat="1" ht="18" customHeight="1">
      <c r="C55" s="217"/>
      <c r="D55" s="154"/>
      <c r="E55" s="154"/>
      <c r="F55" s="218"/>
      <c r="G55" s="219"/>
      <c r="H55" s="219"/>
      <c r="I55" s="220"/>
      <c r="J55" s="221"/>
      <c r="K55" s="222"/>
      <c r="L55" s="223"/>
      <c r="M55" s="224"/>
      <c r="N55" s="225"/>
      <c r="O55" s="226"/>
      <c r="P55" s="226"/>
      <c r="Q55" s="225"/>
      <c r="R55" s="227"/>
    </row>
    <row r="56" spans="1:18" ht="18" customHeight="1">
      <c r="C56" s="70"/>
      <c r="D56" s="8"/>
      <c r="E56" s="8"/>
      <c r="F56" s="107"/>
      <c r="G56" s="68"/>
      <c r="H56" s="68"/>
      <c r="I56" s="68"/>
      <c r="J56" s="67"/>
      <c r="K56" s="69"/>
      <c r="L56" s="71"/>
      <c r="M56" s="11"/>
      <c r="N56" s="76"/>
      <c r="O56" s="15"/>
      <c r="P56" s="15"/>
      <c r="Q56" s="76"/>
      <c r="R56" s="24"/>
    </row>
    <row r="57" spans="1:18" ht="18" customHeight="1">
      <c r="C57" s="194"/>
      <c r="D57" s="650" t="s">
        <v>254</v>
      </c>
      <c r="E57" s="651"/>
      <c r="F57" s="652"/>
      <c r="G57" s="162"/>
      <c r="H57" s="162"/>
      <c r="I57" s="165"/>
      <c r="J57" s="165"/>
      <c r="K57" s="162"/>
      <c r="L57" s="71"/>
      <c r="M57" s="11"/>
      <c r="N57" s="76"/>
      <c r="O57" s="15"/>
      <c r="P57" s="15"/>
      <c r="Q57" s="76"/>
      <c r="R57" s="24"/>
    </row>
    <row r="58" spans="1:18" ht="18" customHeight="1">
      <c r="A58" s="112" t="s">
        <v>352</v>
      </c>
      <c r="C58" s="114">
        <f>+C50+1</f>
        <v>31</v>
      </c>
      <c r="D58" s="164" t="s">
        <v>375</v>
      </c>
      <c r="E58" s="164" t="s">
        <v>375</v>
      </c>
      <c r="F58" s="458" t="s">
        <v>404</v>
      </c>
      <c r="G58" s="169">
        <v>1</v>
      </c>
      <c r="H58" s="170">
        <v>9200</v>
      </c>
      <c r="I58" s="170">
        <f t="shared" ref="I58:I61" si="7">G58*H58</f>
        <v>9200</v>
      </c>
      <c r="J58" s="179"/>
      <c r="K58" s="180" t="s">
        <v>405</v>
      </c>
      <c r="L58" s="71"/>
      <c r="M58" s="11"/>
      <c r="N58" s="157"/>
      <c r="O58" s="15"/>
      <c r="P58" s="15"/>
      <c r="Q58" s="76"/>
      <c r="R58" s="134"/>
    </row>
    <row r="59" spans="1:18" ht="18" customHeight="1">
      <c r="A59" s="112" t="s">
        <v>352</v>
      </c>
      <c r="C59" s="114">
        <f t="shared" ref="C59:C67" si="8">+C58+1</f>
        <v>32</v>
      </c>
      <c r="D59" s="164" t="s">
        <v>375</v>
      </c>
      <c r="E59" s="164" t="s">
        <v>375</v>
      </c>
      <c r="F59" s="458" t="s">
        <v>406</v>
      </c>
      <c r="G59" s="169">
        <v>1</v>
      </c>
      <c r="H59" s="170">
        <v>4700</v>
      </c>
      <c r="I59" s="170">
        <f t="shared" si="7"/>
        <v>4700</v>
      </c>
      <c r="J59" s="179"/>
      <c r="K59" s="180" t="s">
        <v>407</v>
      </c>
      <c r="L59" s="71"/>
      <c r="M59" s="11"/>
      <c r="N59" s="157"/>
      <c r="O59" s="15"/>
      <c r="P59" s="15"/>
      <c r="Q59" s="76"/>
      <c r="R59" s="134"/>
    </row>
    <row r="60" spans="1:18" ht="18" customHeight="1">
      <c r="A60" s="112" t="s">
        <v>352</v>
      </c>
      <c r="C60" s="114">
        <f t="shared" si="8"/>
        <v>33</v>
      </c>
      <c r="D60" s="164" t="s">
        <v>145</v>
      </c>
      <c r="E60" s="164" t="s">
        <v>145</v>
      </c>
      <c r="F60" s="458" t="s">
        <v>260</v>
      </c>
      <c r="G60" s="169">
        <v>2</v>
      </c>
      <c r="H60" s="170">
        <v>71</v>
      </c>
      <c r="I60" s="460">
        <f t="shared" si="7"/>
        <v>142</v>
      </c>
      <c r="J60" s="179"/>
      <c r="K60" s="180" t="s">
        <v>408</v>
      </c>
      <c r="L60" s="71"/>
      <c r="M60" s="11"/>
      <c r="N60" s="157"/>
      <c r="O60" s="15"/>
      <c r="P60" s="15"/>
      <c r="Q60" s="76"/>
      <c r="R60" s="134"/>
    </row>
    <row r="61" spans="1:18" ht="18" customHeight="1">
      <c r="A61" s="300" t="s">
        <v>353</v>
      </c>
      <c r="C61" s="114">
        <f t="shared" si="8"/>
        <v>34</v>
      </c>
      <c r="D61" s="164" t="s">
        <v>145</v>
      </c>
      <c r="E61" s="164" t="s">
        <v>145</v>
      </c>
      <c r="F61" s="458" t="s">
        <v>262</v>
      </c>
      <c r="G61" s="169">
        <v>2</v>
      </c>
      <c r="H61" s="170">
        <v>30</v>
      </c>
      <c r="I61" s="460">
        <f t="shared" si="7"/>
        <v>60</v>
      </c>
      <c r="J61" s="179"/>
      <c r="K61" s="180" t="s">
        <v>409</v>
      </c>
      <c r="L61" s="71"/>
      <c r="M61" s="11"/>
      <c r="N61" s="157"/>
      <c r="O61" s="15"/>
      <c r="P61" s="15"/>
      <c r="Q61" s="76"/>
      <c r="R61" s="134"/>
    </row>
    <row r="62" spans="1:18" ht="18" customHeight="1">
      <c r="C62" s="114">
        <f t="shared" si="8"/>
        <v>35</v>
      </c>
      <c r="D62" s="252" t="s">
        <v>264</v>
      </c>
      <c r="E62" s="252" t="s">
        <v>145</v>
      </c>
      <c r="F62" s="253" t="s">
        <v>265</v>
      </c>
      <c r="G62" s="254"/>
      <c r="H62" s="329">
        <v>1800</v>
      </c>
      <c r="I62" s="330">
        <f t="shared" ref="I62:I64" si="9">G62*H62</f>
        <v>0</v>
      </c>
      <c r="J62" s="255"/>
      <c r="K62" s="253" t="s">
        <v>266</v>
      </c>
      <c r="L62" s="256"/>
      <c r="M62" s="11"/>
      <c r="N62" s="76"/>
      <c r="O62" s="15"/>
      <c r="P62" s="15"/>
      <c r="Q62" s="76"/>
      <c r="R62" s="24"/>
    </row>
    <row r="63" spans="1:18" ht="18" customHeight="1">
      <c r="C63" s="114">
        <f t="shared" si="8"/>
        <v>36</v>
      </c>
      <c r="D63" s="252" t="s">
        <v>145</v>
      </c>
      <c r="E63" s="252" t="s">
        <v>145</v>
      </c>
      <c r="F63" s="257" t="s">
        <v>154</v>
      </c>
      <c r="G63" s="258"/>
      <c r="H63" s="258">
        <v>23</v>
      </c>
      <c r="I63" s="331">
        <f t="shared" si="9"/>
        <v>0</v>
      </c>
      <c r="J63" s="259"/>
      <c r="K63" s="260" t="s">
        <v>267</v>
      </c>
      <c r="L63" s="261" t="s">
        <v>313</v>
      </c>
      <c r="M63" s="11"/>
      <c r="N63" s="76"/>
      <c r="O63" s="15"/>
      <c r="P63" s="15"/>
      <c r="Q63" s="76"/>
      <c r="R63" s="24"/>
    </row>
    <row r="64" spans="1:18" ht="18" customHeight="1">
      <c r="C64" s="114">
        <f t="shared" si="8"/>
        <v>37</v>
      </c>
      <c r="D64" s="252" t="s">
        <v>145</v>
      </c>
      <c r="E64" s="252" t="s">
        <v>145</v>
      </c>
      <c r="F64" s="257" t="s">
        <v>268</v>
      </c>
      <c r="G64" s="258"/>
      <c r="H64" s="258">
        <v>27</v>
      </c>
      <c r="I64" s="331">
        <f t="shared" si="9"/>
        <v>0</v>
      </c>
      <c r="J64" s="259"/>
      <c r="K64" s="260" t="s">
        <v>269</v>
      </c>
      <c r="L64" s="261" t="s">
        <v>313</v>
      </c>
      <c r="M64" s="11"/>
      <c r="N64" s="76"/>
      <c r="O64" s="15"/>
      <c r="P64" s="15"/>
      <c r="Q64" s="76"/>
      <c r="R64" s="24"/>
    </row>
    <row r="65" spans="1:18" ht="18" customHeight="1">
      <c r="A65" s="300" t="s">
        <v>353</v>
      </c>
      <c r="C65" s="114">
        <f t="shared" si="8"/>
        <v>38</v>
      </c>
      <c r="D65" s="287" t="s">
        <v>145</v>
      </c>
      <c r="E65" s="287" t="s">
        <v>145</v>
      </c>
      <c r="F65" s="126" t="s">
        <v>187</v>
      </c>
      <c r="G65" s="288">
        <v>2</v>
      </c>
      <c r="H65" s="318">
        <v>860</v>
      </c>
      <c r="I65" s="318">
        <f>G65*H65</f>
        <v>1720</v>
      </c>
      <c r="J65" s="182"/>
      <c r="K65" s="197" t="s">
        <v>270</v>
      </c>
      <c r="L65" s="71"/>
      <c r="M65" s="11"/>
      <c r="N65" s="157"/>
      <c r="O65" s="15"/>
      <c r="P65" s="15"/>
      <c r="Q65" s="76"/>
      <c r="R65" s="134"/>
    </row>
    <row r="66" spans="1:18" ht="18" customHeight="1">
      <c r="C66" s="114">
        <f t="shared" si="8"/>
        <v>39</v>
      </c>
      <c r="D66" s="246" t="s">
        <v>145</v>
      </c>
      <c r="E66" s="246" t="s">
        <v>145</v>
      </c>
      <c r="F66" s="247" t="s">
        <v>271</v>
      </c>
      <c r="G66" s="248"/>
      <c r="H66" s="332">
        <v>690</v>
      </c>
      <c r="I66" s="332">
        <f>G66*H66</f>
        <v>0</v>
      </c>
      <c r="J66" s="249"/>
      <c r="K66" s="250" t="s">
        <v>272</v>
      </c>
      <c r="L66" s="251" t="s">
        <v>319</v>
      </c>
      <c r="M66" s="11"/>
      <c r="N66" s="76"/>
      <c r="O66" s="15"/>
      <c r="P66" s="15"/>
      <c r="Q66" s="76"/>
      <c r="R66" s="24"/>
    </row>
    <row r="67" spans="1:18" ht="18" customHeight="1">
      <c r="C67" s="114">
        <f t="shared" si="8"/>
        <v>40</v>
      </c>
      <c r="D67" s="246" t="s">
        <v>145</v>
      </c>
      <c r="E67" s="246" t="s">
        <v>145</v>
      </c>
      <c r="F67" s="247" t="s">
        <v>150</v>
      </c>
      <c r="G67" s="248"/>
      <c r="H67" s="332">
        <v>990</v>
      </c>
      <c r="I67" s="332">
        <f>G67*H67</f>
        <v>0</v>
      </c>
      <c r="J67" s="249"/>
      <c r="K67" s="250" t="s">
        <v>272</v>
      </c>
      <c r="L67" s="251" t="s">
        <v>319</v>
      </c>
      <c r="M67" s="11"/>
      <c r="N67" s="76"/>
      <c r="O67" s="15"/>
      <c r="P67" s="15"/>
      <c r="Q67" s="76"/>
      <c r="R67" s="24"/>
    </row>
    <row r="68" spans="1:18" ht="18" customHeight="1">
      <c r="C68" s="128"/>
      <c r="D68" s="181"/>
      <c r="E68" s="181"/>
      <c r="F68" s="167"/>
      <c r="G68" s="162"/>
      <c r="H68" s="169"/>
      <c r="I68" s="169"/>
      <c r="J68" s="165"/>
      <c r="K68" s="198"/>
      <c r="L68" s="71"/>
      <c r="M68" s="11"/>
      <c r="N68" s="76"/>
      <c r="O68" s="15"/>
      <c r="P68" s="15"/>
      <c r="Q68" s="76"/>
      <c r="R68" s="24"/>
    </row>
    <row r="69" spans="1:18" ht="18" customHeight="1">
      <c r="C69" s="128"/>
      <c r="D69" s="199"/>
      <c r="E69" s="199"/>
      <c r="F69" s="653">
        <f>SUM(I58:I68)</f>
        <v>15822</v>
      </c>
      <c r="G69" s="654"/>
      <c r="H69" s="654"/>
      <c r="I69" s="655"/>
      <c r="J69" s="175"/>
      <c r="K69" s="176"/>
      <c r="L69" s="71"/>
      <c r="M69" s="11"/>
      <c r="N69" s="76"/>
      <c r="O69" s="15"/>
      <c r="P69" s="15"/>
      <c r="Q69" s="76"/>
      <c r="R69" s="24"/>
    </row>
    <row r="70" spans="1:18" s="216" customFormat="1" ht="18" customHeight="1">
      <c r="C70" s="356"/>
      <c r="D70" s="372"/>
      <c r="E70" s="372"/>
      <c r="F70" s="373"/>
      <c r="G70" s="374"/>
      <c r="H70" s="375"/>
      <c r="I70" s="231"/>
      <c r="J70" s="119"/>
      <c r="K70" s="355"/>
      <c r="L70" s="474"/>
      <c r="M70" s="224"/>
      <c r="N70" s="225"/>
      <c r="O70" s="226"/>
      <c r="P70" s="226"/>
      <c r="Q70" s="225"/>
      <c r="R70" s="227"/>
    </row>
    <row r="71" spans="1:18" s="216" customFormat="1" ht="18" customHeight="1">
      <c r="C71" s="356"/>
      <c r="D71" s="372"/>
      <c r="E71" s="372"/>
      <c r="F71" s="373"/>
      <c r="G71" s="374"/>
      <c r="H71" s="375"/>
      <c r="I71" s="231"/>
      <c r="J71" s="119"/>
      <c r="K71" s="355"/>
      <c r="L71" s="474"/>
      <c r="M71" s="224"/>
      <c r="N71" s="225"/>
      <c r="O71" s="226"/>
      <c r="P71" s="226"/>
      <c r="Q71" s="225"/>
      <c r="R71" s="227"/>
    </row>
    <row r="72" spans="1:18" s="216" customFormat="1" ht="18" customHeight="1">
      <c r="C72" s="356"/>
      <c r="D72" s="656" t="s">
        <v>422</v>
      </c>
      <c r="E72" s="656"/>
      <c r="F72" s="656"/>
      <c r="G72" s="374"/>
      <c r="H72" s="375"/>
      <c r="I72" s="231"/>
      <c r="J72" s="119"/>
      <c r="K72" s="355"/>
      <c r="L72" s="474"/>
      <c r="M72" s="224"/>
      <c r="N72" s="225"/>
      <c r="O72" s="226"/>
      <c r="P72" s="226"/>
      <c r="Q72" s="225"/>
      <c r="R72" s="227"/>
    </row>
    <row r="73" spans="1:18" s="216" customFormat="1" ht="18" customHeight="1">
      <c r="C73" s="356"/>
      <c r="D73" s="181" t="s">
        <v>37</v>
      </c>
      <c r="E73" s="181" t="s">
        <v>37</v>
      </c>
      <c r="F73" s="167" t="s">
        <v>423</v>
      </c>
      <c r="G73" s="476">
        <v>2</v>
      </c>
      <c r="H73" s="477">
        <v>3480</v>
      </c>
      <c r="I73" s="170">
        <f>G73*H73</f>
        <v>6960</v>
      </c>
      <c r="J73" s="165"/>
      <c r="K73" s="478" t="s">
        <v>424</v>
      </c>
      <c r="L73" s="474"/>
      <c r="M73" s="224"/>
      <c r="N73" s="225"/>
      <c r="O73" s="226"/>
      <c r="P73" s="226"/>
      <c r="Q73" s="225"/>
      <c r="R73" s="227"/>
    </row>
    <row r="74" spans="1:18" s="216" customFormat="1" ht="18" customHeight="1">
      <c r="C74" s="356"/>
      <c r="D74" s="181" t="s">
        <v>37</v>
      </c>
      <c r="E74" s="181" t="s">
        <v>37</v>
      </c>
      <c r="F74" s="167" t="s">
        <v>425</v>
      </c>
      <c r="G74" s="476">
        <v>4</v>
      </c>
      <c r="H74" s="211">
        <v>3040</v>
      </c>
      <c r="I74" s="170">
        <f>G74*H74</f>
        <v>12160</v>
      </c>
      <c r="J74" s="165"/>
      <c r="K74" s="478" t="s">
        <v>426</v>
      </c>
      <c r="L74" s="474"/>
      <c r="M74" s="224"/>
      <c r="N74" s="225"/>
      <c r="O74" s="226"/>
      <c r="P74" s="226"/>
      <c r="Q74" s="225"/>
      <c r="R74" s="227"/>
    </row>
    <row r="75" spans="1:18" s="216" customFormat="1" ht="18" customHeight="1">
      <c r="C75" s="356"/>
      <c r="D75" s="181" t="s">
        <v>37</v>
      </c>
      <c r="E75" s="181" t="s">
        <v>37</v>
      </c>
      <c r="F75" s="493" t="s">
        <v>427</v>
      </c>
      <c r="G75" s="476"/>
      <c r="H75" s="211">
        <v>1840</v>
      </c>
      <c r="I75" s="170">
        <f t="shared" ref="I75:I93" si="10">G75*H75</f>
        <v>0</v>
      </c>
      <c r="J75" s="165"/>
      <c r="K75" s="478" t="s">
        <v>428</v>
      </c>
      <c r="L75" s="474"/>
      <c r="M75" s="224"/>
      <c r="N75" s="225"/>
      <c r="O75" s="226"/>
      <c r="P75" s="226"/>
      <c r="Q75" s="225"/>
      <c r="R75" s="227"/>
    </row>
    <row r="76" spans="1:18" s="216" customFormat="1" ht="18" customHeight="1">
      <c r="C76" s="356"/>
      <c r="D76" s="181" t="s">
        <v>37</v>
      </c>
      <c r="E76" s="181" t="s">
        <v>37</v>
      </c>
      <c r="F76" s="479" t="s">
        <v>429</v>
      </c>
      <c r="G76" s="476">
        <v>2</v>
      </c>
      <c r="H76" s="211">
        <v>2160</v>
      </c>
      <c r="I76" s="170">
        <f t="shared" si="10"/>
        <v>4320</v>
      </c>
      <c r="J76" s="165"/>
      <c r="K76" s="478" t="s">
        <v>430</v>
      </c>
      <c r="L76" s="474"/>
      <c r="M76" s="224"/>
      <c r="N76" s="225"/>
      <c r="O76" s="226"/>
      <c r="P76" s="226"/>
      <c r="Q76" s="225"/>
      <c r="R76" s="227"/>
    </row>
    <row r="77" spans="1:18" s="216" customFormat="1" ht="18" customHeight="1">
      <c r="C77" s="356"/>
      <c r="D77" s="181" t="s">
        <v>37</v>
      </c>
      <c r="E77" s="181" t="s">
        <v>37</v>
      </c>
      <c r="F77" s="493" t="s">
        <v>431</v>
      </c>
      <c r="G77" s="476"/>
      <c r="H77" s="211">
        <v>2600</v>
      </c>
      <c r="I77" s="170">
        <f t="shared" si="10"/>
        <v>0</v>
      </c>
      <c r="J77" s="165"/>
      <c r="K77" s="478" t="s">
        <v>432</v>
      </c>
      <c r="L77" s="474"/>
      <c r="M77" s="224"/>
      <c r="N77" s="225"/>
      <c r="O77" s="226"/>
      <c r="P77" s="226"/>
      <c r="Q77" s="225"/>
      <c r="R77" s="227"/>
    </row>
    <row r="78" spans="1:18" s="216" customFormat="1" ht="18" customHeight="1">
      <c r="C78" s="356"/>
      <c r="D78" s="181" t="s">
        <v>37</v>
      </c>
      <c r="E78" s="181" t="s">
        <v>37</v>
      </c>
      <c r="F78" s="167" t="s">
        <v>433</v>
      </c>
      <c r="G78" s="476">
        <v>4</v>
      </c>
      <c r="H78" s="211">
        <v>2313</v>
      </c>
      <c r="I78" s="170">
        <f t="shared" si="10"/>
        <v>9252</v>
      </c>
      <c r="J78" s="165"/>
      <c r="K78" s="478" t="s">
        <v>434</v>
      </c>
      <c r="L78" s="474"/>
      <c r="M78" s="224"/>
      <c r="N78" s="225"/>
      <c r="O78" s="226"/>
      <c r="P78" s="226"/>
      <c r="Q78" s="225"/>
      <c r="R78" s="227"/>
    </row>
    <row r="79" spans="1:18" s="216" customFormat="1" ht="18" customHeight="1">
      <c r="C79" s="356"/>
      <c r="D79" s="181" t="s">
        <v>37</v>
      </c>
      <c r="E79" s="181" t="s">
        <v>37</v>
      </c>
      <c r="F79" s="167" t="s">
        <v>435</v>
      </c>
      <c r="G79" s="476">
        <v>4</v>
      </c>
      <c r="H79" s="211">
        <v>180</v>
      </c>
      <c r="I79" s="170">
        <f t="shared" si="10"/>
        <v>720</v>
      </c>
      <c r="J79" s="165"/>
      <c r="K79" s="478" t="s">
        <v>436</v>
      </c>
      <c r="L79" s="474"/>
      <c r="M79" s="224"/>
      <c r="N79" s="225"/>
      <c r="O79" s="226"/>
      <c r="P79" s="226"/>
      <c r="Q79" s="225"/>
      <c r="R79" s="227"/>
    </row>
    <row r="80" spans="1:18" s="216" customFormat="1" ht="18" customHeight="1">
      <c r="C80" s="356"/>
      <c r="D80" s="181" t="s">
        <v>37</v>
      </c>
      <c r="E80" s="181" t="s">
        <v>37</v>
      </c>
      <c r="F80" s="167" t="s">
        <v>437</v>
      </c>
      <c r="G80" s="476">
        <v>8</v>
      </c>
      <c r="H80" s="211">
        <v>52</v>
      </c>
      <c r="I80" s="170">
        <f t="shared" si="10"/>
        <v>416</v>
      </c>
      <c r="J80" s="165"/>
      <c r="K80" s="478" t="s">
        <v>438</v>
      </c>
      <c r="L80" s="474"/>
      <c r="M80" s="224"/>
      <c r="N80" s="225"/>
      <c r="O80" s="226"/>
      <c r="P80" s="226"/>
      <c r="Q80" s="225"/>
      <c r="R80" s="227"/>
    </row>
    <row r="81" spans="3:18" s="216" customFormat="1" ht="18" customHeight="1">
      <c r="C81" s="356"/>
      <c r="D81" s="181" t="s">
        <v>37</v>
      </c>
      <c r="E81" s="181" t="s">
        <v>37</v>
      </c>
      <c r="F81" s="167" t="s">
        <v>439</v>
      </c>
      <c r="G81" s="476">
        <v>10</v>
      </c>
      <c r="H81" s="211">
        <v>25</v>
      </c>
      <c r="I81" s="170">
        <f t="shared" si="10"/>
        <v>250</v>
      </c>
      <c r="J81" s="165"/>
      <c r="K81" s="478" t="s">
        <v>440</v>
      </c>
      <c r="L81" s="474"/>
      <c r="M81" s="224"/>
      <c r="N81" s="225"/>
      <c r="O81" s="226"/>
      <c r="P81" s="226"/>
      <c r="Q81" s="225"/>
      <c r="R81" s="227"/>
    </row>
    <row r="82" spans="3:18" s="216" customFormat="1" ht="18" customHeight="1">
      <c r="C82" s="356"/>
      <c r="D82" s="181" t="s">
        <v>37</v>
      </c>
      <c r="E82" s="181" t="s">
        <v>37</v>
      </c>
      <c r="F82" s="167" t="s">
        <v>441</v>
      </c>
      <c r="G82" s="476">
        <v>10</v>
      </c>
      <c r="H82" s="211">
        <v>25</v>
      </c>
      <c r="I82" s="170">
        <f t="shared" si="10"/>
        <v>250</v>
      </c>
      <c r="J82" s="165"/>
      <c r="K82" s="478" t="s">
        <v>440</v>
      </c>
      <c r="L82" s="474"/>
      <c r="M82" s="224"/>
      <c r="N82" s="225"/>
      <c r="O82" s="226"/>
      <c r="P82" s="226"/>
      <c r="Q82" s="225"/>
      <c r="R82" s="227"/>
    </row>
    <row r="83" spans="3:18" s="216" customFormat="1" ht="18" customHeight="1">
      <c r="C83" s="356"/>
      <c r="D83" s="181" t="s">
        <v>37</v>
      </c>
      <c r="E83" s="181" t="s">
        <v>37</v>
      </c>
      <c r="F83" s="167" t="s">
        <v>442</v>
      </c>
      <c r="G83" s="476">
        <v>4</v>
      </c>
      <c r="H83" s="211">
        <v>59</v>
      </c>
      <c r="I83" s="170">
        <f t="shared" si="10"/>
        <v>236</v>
      </c>
      <c r="J83" s="165"/>
      <c r="K83" s="478" t="s">
        <v>443</v>
      </c>
      <c r="L83" s="474"/>
      <c r="M83" s="224"/>
      <c r="N83" s="225"/>
      <c r="O83" s="226"/>
      <c r="P83" s="226"/>
      <c r="Q83" s="225"/>
      <c r="R83" s="227"/>
    </row>
    <row r="84" spans="3:18" s="216" customFormat="1" ht="18" customHeight="1">
      <c r="C84" s="356"/>
      <c r="D84" s="181" t="s">
        <v>37</v>
      </c>
      <c r="E84" s="181" t="s">
        <v>37</v>
      </c>
      <c r="F84" s="167" t="s">
        <v>444</v>
      </c>
      <c r="G84" s="476">
        <v>4</v>
      </c>
      <c r="H84" s="211">
        <v>140</v>
      </c>
      <c r="I84" s="170">
        <f t="shared" si="10"/>
        <v>560</v>
      </c>
      <c r="J84" s="165"/>
      <c r="K84" s="478" t="s">
        <v>445</v>
      </c>
      <c r="L84" s="474"/>
      <c r="M84" s="224"/>
      <c r="N84" s="225"/>
      <c r="O84" s="226"/>
      <c r="P84" s="226"/>
      <c r="Q84" s="225"/>
      <c r="R84" s="227"/>
    </row>
    <row r="85" spans="3:18" s="216" customFormat="1" ht="18" customHeight="1">
      <c r="C85" s="356"/>
      <c r="D85" s="181" t="s">
        <v>37</v>
      </c>
      <c r="E85" s="181" t="s">
        <v>37</v>
      </c>
      <c r="F85" s="167" t="s">
        <v>446</v>
      </c>
      <c r="G85" s="476">
        <v>26</v>
      </c>
      <c r="H85" s="211">
        <v>46</v>
      </c>
      <c r="I85" s="170">
        <f t="shared" si="10"/>
        <v>1196</v>
      </c>
      <c r="J85" s="165"/>
      <c r="K85" s="478" t="s">
        <v>447</v>
      </c>
      <c r="L85" s="474"/>
      <c r="M85" s="224"/>
      <c r="N85" s="225"/>
      <c r="O85" s="226"/>
      <c r="P85" s="226"/>
      <c r="Q85" s="225"/>
      <c r="R85" s="227"/>
    </row>
    <row r="86" spans="3:18" s="216" customFormat="1" ht="18" customHeight="1">
      <c r="C86" s="356"/>
      <c r="D86" s="181" t="s">
        <v>37</v>
      </c>
      <c r="E86" s="181" t="s">
        <v>37</v>
      </c>
      <c r="F86" s="167" t="s">
        <v>448</v>
      </c>
      <c r="G86" s="476">
        <v>20</v>
      </c>
      <c r="H86" s="211">
        <v>29</v>
      </c>
      <c r="I86" s="170">
        <f t="shared" si="10"/>
        <v>580</v>
      </c>
      <c r="J86" s="165"/>
      <c r="K86" s="478" t="s">
        <v>449</v>
      </c>
      <c r="L86" s="474"/>
      <c r="M86" s="224"/>
      <c r="N86" s="225"/>
      <c r="O86" s="226"/>
      <c r="P86" s="226"/>
      <c r="Q86" s="225"/>
      <c r="R86" s="227"/>
    </row>
    <row r="87" spans="3:18" s="216" customFormat="1" ht="18" customHeight="1">
      <c r="C87" s="356"/>
      <c r="D87" s="181" t="s">
        <v>37</v>
      </c>
      <c r="E87" s="181" t="s">
        <v>37</v>
      </c>
      <c r="F87" s="167" t="s">
        <v>450</v>
      </c>
      <c r="G87" s="476">
        <v>20</v>
      </c>
      <c r="H87" s="211">
        <v>29</v>
      </c>
      <c r="I87" s="170">
        <f t="shared" si="10"/>
        <v>580</v>
      </c>
      <c r="J87" s="165"/>
      <c r="K87" s="478" t="s">
        <v>449</v>
      </c>
      <c r="L87" s="474"/>
      <c r="M87" s="224"/>
      <c r="N87" s="225"/>
      <c r="O87" s="226"/>
      <c r="P87" s="226"/>
      <c r="Q87" s="225"/>
      <c r="R87" s="227"/>
    </row>
    <row r="88" spans="3:18" s="216" customFormat="1" ht="18" customHeight="1">
      <c r="C88" s="356"/>
      <c r="D88" s="181" t="s">
        <v>37</v>
      </c>
      <c r="E88" s="181" t="s">
        <v>37</v>
      </c>
      <c r="F88" s="167" t="s">
        <v>451</v>
      </c>
      <c r="G88" s="476">
        <v>4</v>
      </c>
      <c r="H88" s="211">
        <v>1080</v>
      </c>
      <c r="I88" s="170">
        <f t="shared" si="10"/>
        <v>4320</v>
      </c>
      <c r="J88" s="165"/>
      <c r="K88" s="478" t="s">
        <v>452</v>
      </c>
      <c r="L88" s="474"/>
      <c r="M88" s="224"/>
      <c r="N88" s="225"/>
      <c r="O88" s="226"/>
      <c r="P88" s="226"/>
      <c r="Q88" s="225"/>
      <c r="R88" s="227"/>
    </row>
    <row r="89" spans="3:18" s="216" customFormat="1" ht="18" customHeight="1">
      <c r="C89" s="356"/>
      <c r="D89" s="181" t="s">
        <v>37</v>
      </c>
      <c r="E89" s="181" t="s">
        <v>37</v>
      </c>
      <c r="F89" s="167" t="s">
        <v>453</v>
      </c>
      <c r="G89" s="476">
        <v>2</v>
      </c>
      <c r="H89" s="211">
        <v>1180</v>
      </c>
      <c r="I89" s="170">
        <f t="shared" si="10"/>
        <v>2360</v>
      </c>
      <c r="J89" s="165"/>
      <c r="K89" s="478" t="s">
        <v>454</v>
      </c>
      <c r="L89" s="474"/>
      <c r="M89" s="224"/>
      <c r="N89" s="225"/>
      <c r="O89" s="226"/>
      <c r="P89" s="226"/>
      <c r="Q89" s="225"/>
      <c r="R89" s="227"/>
    </row>
    <row r="90" spans="3:18" s="216" customFormat="1" ht="18" customHeight="1">
      <c r="C90" s="356"/>
      <c r="D90" s="181" t="s">
        <v>37</v>
      </c>
      <c r="E90" s="181" t="s">
        <v>37</v>
      </c>
      <c r="F90" s="167" t="s">
        <v>455</v>
      </c>
      <c r="G90" s="476">
        <v>2</v>
      </c>
      <c r="H90" s="211">
        <v>1160</v>
      </c>
      <c r="I90" s="170">
        <f t="shared" si="10"/>
        <v>2320</v>
      </c>
      <c r="J90" s="165"/>
      <c r="K90" s="167" t="s">
        <v>456</v>
      </c>
      <c r="L90" s="474"/>
      <c r="M90" s="224"/>
      <c r="N90" s="225"/>
      <c r="O90" s="226"/>
      <c r="P90" s="226"/>
      <c r="Q90" s="225"/>
      <c r="R90" s="227"/>
    </row>
    <row r="91" spans="3:18" s="216" customFormat="1" ht="18" customHeight="1">
      <c r="C91" s="356"/>
      <c r="D91" s="181" t="s">
        <v>37</v>
      </c>
      <c r="E91" s="181" t="s">
        <v>37</v>
      </c>
      <c r="F91" s="167" t="s">
        <v>457</v>
      </c>
      <c r="G91" s="480">
        <v>4</v>
      </c>
      <c r="H91" s="211">
        <v>170</v>
      </c>
      <c r="I91" s="170">
        <f t="shared" si="10"/>
        <v>680</v>
      </c>
      <c r="J91" s="175"/>
      <c r="K91" s="167" t="s">
        <v>458</v>
      </c>
      <c r="L91" s="474"/>
      <c r="M91" s="224"/>
      <c r="N91" s="225"/>
      <c r="O91" s="226"/>
      <c r="P91" s="226"/>
      <c r="Q91" s="225"/>
      <c r="R91" s="227"/>
    </row>
    <row r="92" spans="3:18" s="216" customFormat="1" ht="18" customHeight="1">
      <c r="C92" s="356"/>
      <c r="D92" s="62" t="s">
        <v>37</v>
      </c>
      <c r="E92" s="62" t="s">
        <v>37</v>
      </c>
      <c r="F92" s="91" t="s">
        <v>459</v>
      </c>
      <c r="G92" s="111">
        <v>10</v>
      </c>
      <c r="H92" s="111">
        <v>19</v>
      </c>
      <c r="I92" s="336">
        <f t="shared" si="10"/>
        <v>190</v>
      </c>
      <c r="J92" s="481"/>
      <c r="K92" s="45" t="s">
        <v>133</v>
      </c>
      <c r="L92" s="474"/>
      <c r="M92" s="224"/>
      <c r="N92" s="225"/>
      <c r="O92" s="226"/>
      <c r="P92" s="226"/>
      <c r="Q92" s="225"/>
      <c r="R92" s="227"/>
    </row>
    <row r="93" spans="3:18" s="216" customFormat="1" ht="18" customHeight="1">
      <c r="C93" s="356"/>
      <c r="D93" s="181" t="s">
        <v>37</v>
      </c>
      <c r="E93" s="181" t="s">
        <v>37</v>
      </c>
      <c r="F93" s="167" t="s">
        <v>460</v>
      </c>
      <c r="G93" s="162">
        <v>12</v>
      </c>
      <c r="H93" s="482">
        <v>39</v>
      </c>
      <c r="I93" s="170">
        <f t="shared" si="10"/>
        <v>468</v>
      </c>
      <c r="J93" s="165"/>
      <c r="K93" s="198" t="s">
        <v>461</v>
      </c>
      <c r="L93" s="474"/>
      <c r="M93" s="224"/>
      <c r="N93" s="225"/>
      <c r="O93" s="226"/>
      <c r="P93" s="226"/>
      <c r="Q93" s="225"/>
      <c r="R93" s="227"/>
    </row>
    <row r="94" spans="3:18" s="216" customFormat="1" ht="18" customHeight="1">
      <c r="C94" s="356"/>
      <c r="D94" s="181" t="s">
        <v>37</v>
      </c>
      <c r="E94" s="181" t="s">
        <v>37</v>
      </c>
      <c r="F94" s="167" t="s">
        <v>462</v>
      </c>
      <c r="G94" s="476">
        <v>6</v>
      </c>
      <c r="H94" s="211">
        <v>25</v>
      </c>
      <c r="I94" s="170">
        <f>G94*H94</f>
        <v>150</v>
      </c>
      <c r="J94" s="165"/>
      <c r="K94" s="478" t="s">
        <v>440</v>
      </c>
      <c r="L94" s="474"/>
      <c r="M94" s="224"/>
      <c r="N94" s="225"/>
      <c r="O94" s="226"/>
      <c r="P94" s="226"/>
      <c r="Q94" s="225"/>
      <c r="R94" s="227"/>
    </row>
    <row r="95" spans="3:18" s="216" customFormat="1" ht="18" customHeight="1">
      <c r="C95" s="356"/>
      <c r="D95" s="483" t="s">
        <v>37</v>
      </c>
      <c r="E95" s="483" t="s">
        <v>37</v>
      </c>
      <c r="F95" s="484" t="s">
        <v>463</v>
      </c>
      <c r="G95" s="241">
        <v>10</v>
      </c>
      <c r="H95" s="485">
        <v>25</v>
      </c>
      <c r="I95" s="486">
        <f>G95*H95</f>
        <v>250</v>
      </c>
      <c r="J95" s="487"/>
      <c r="K95" s="488" t="s">
        <v>464</v>
      </c>
      <c r="L95" s="474"/>
      <c r="M95" s="224"/>
      <c r="N95" s="225"/>
      <c r="O95" s="226"/>
      <c r="P95" s="226"/>
      <c r="Q95" s="225"/>
      <c r="R95" s="227"/>
    </row>
    <row r="96" spans="3:18" s="216" customFormat="1" ht="18" customHeight="1">
      <c r="C96" s="356"/>
      <c r="D96" s="489"/>
      <c r="E96" s="489"/>
      <c r="F96" s="490"/>
      <c r="G96" s="491"/>
      <c r="H96" s="174"/>
      <c r="I96" s="170"/>
      <c r="J96" s="175"/>
      <c r="K96" s="176"/>
      <c r="L96" s="474"/>
      <c r="M96" s="224"/>
      <c r="N96" s="225"/>
      <c r="O96" s="226"/>
      <c r="P96" s="226"/>
      <c r="Q96" s="225"/>
      <c r="R96" s="227"/>
    </row>
    <row r="97" spans="1:18" s="216" customFormat="1" ht="18" customHeight="1">
      <c r="C97" s="356"/>
      <c r="D97" s="489"/>
      <c r="E97" s="489"/>
      <c r="F97" s="653">
        <f>SUM(I73:I96)</f>
        <v>48218</v>
      </c>
      <c r="G97" s="654"/>
      <c r="H97" s="654"/>
      <c r="I97" s="655"/>
      <c r="J97" s="175"/>
      <c r="K97" s="176"/>
      <c r="L97" s="474"/>
      <c r="M97" s="224"/>
      <c r="N97" s="225"/>
      <c r="O97" s="226"/>
      <c r="P97" s="226"/>
      <c r="Q97" s="225"/>
      <c r="R97" s="227"/>
    </row>
    <row r="98" spans="1:18" s="216" customFormat="1" ht="18" customHeight="1">
      <c r="C98" s="356"/>
      <c r="D98" s="489"/>
      <c r="E98" s="489"/>
      <c r="F98" s="492"/>
      <c r="G98" s="491"/>
      <c r="H98" s="174"/>
      <c r="I98" s="170"/>
      <c r="J98" s="175"/>
      <c r="K98" s="176"/>
      <c r="L98" s="474"/>
      <c r="M98" s="224"/>
      <c r="N98" s="225"/>
      <c r="O98" s="226"/>
      <c r="P98" s="226"/>
      <c r="Q98" s="225"/>
      <c r="R98" s="227"/>
    </row>
    <row r="99" spans="1:18" s="216" customFormat="1" ht="18" customHeight="1">
      <c r="C99" s="356"/>
      <c r="D99" s="372"/>
      <c r="E99" s="372"/>
      <c r="F99" s="373"/>
      <c r="G99" s="374"/>
      <c r="H99" s="375"/>
      <c r="I99" s="231"/>
      <c r="J99" s="119"/>
      <c r="K99" s="355"/>
      <c r="L99" s="474"/>
      <c r="M99" s="224"/>
      <c r="N99" s="225"/>
      <c r="O99" s="226"/>
      <c r="P99" s="226"/>
      <c r="Q99" s="225"/>
      <c r="R99" s="227"/>
    </row>
    <row r="100" spans="1:18" ht="18" customHeight="1">
      <c r="C100" s="128"/>
      <c r="D100" s="202"/>
      <c r="E100" s="202"/>
      <c r="F100" s="203"/>
      <c r="G100" s="204"/>
      <c r="H100" s="204"/>
      <c r="I100" s="204"/>
      <c r="J100" s="472"/>
      <c r="K100" s="475"/>
      <c r="L100" s="467"/>
      <c r="M100" s="11"/>
      <c r="N100" s="76"/>
      <c r="O100" s="15"/>
      <c r="P100" s="15"/>
      <c r="Q100" s="76"/>
      <c r="R100" s="24"/>
    </row>
    <row r="101" spans="1:18" ht="18" customHeight="1">
      <c r="C101" s="379"/>
      <c r="D101" s="657" t="s">
        <v>152</v>
      </c>
      <c r="E101" s="658"/>
      <c r="F101" s="658"/>
      <c r="G101" s="201"/>
      <c r="H101" s="335"/>
      <c r="I101" s="335"/>
      <c r="J101" s="49"/>
      <c r="K101" s="100"/>
      <c r="L101" s="71"/>
      <c r="M101" s="11"/>
      <c r="N101" s="76"/>
      <c r="O101" s="15"/>
      <c r="P101" s="15"/>
      <c r="Q101" s="76"/>
      <c r="R101" s="24"/>
    </row>
    <row r="102" spans="1:18" ht="15.6" customHeight="1">
      <c r="A102" s="300" t="s">
        <v>364</v>
      </c>
      <c r="C102" s="149">
        <f>+C67+1</f>
        <v>41</v>
      </c>
      <c r="D102" s="235" t="s">
        <v>145</v>
      </c>
      <c r="E102" s="235" t="s">
        <v>145</v>
      </c>
      <c r="F102" s="236" t="s">
        <v>330</v>
      </c>
      <c r="G102" s="237">
        <v>1</v>
      </c>
      <c r="H102" s="314">
        <v>11966</v>
      </c>
      <c r="I102" s="336">
        <f t="shared" ref="I102:I103" si="11">G102*H102</f>
        <v>11966</v>
      </c>
      <c r="J102" s="211"/>
      <c r="K102" s="234" t="s">
        <v>329</v>
      </c>
      <c r="L102" s="71"/>
      <c r="M102" s="11"/>
      <c r="N102" s="157"/>
      <c r="O102" s="15"/>
      <c r="P102" s="157"/>
      <c r="Q102" s="76"/>
      <c r="R102" s="134"/>
    </row>
    <row r="103" spans="1:18" ht="15.6" customHeight="1">
      <c r="A103" s="300" t="s">
        <v>364</v>
      </c>
      <c r="C103" s="114">
        <f t="shared" ref="C103:C105" si="12">+C102+1</f>
        <v>42</v>
      </c>
      <c r="D103" s="434" t="s">
        <v>145</v>
      </c>
      <c r="E103" s="434" t="s">
        <v>145</v>
      </c>
      <c r="F103" s="440" t="s">
        <v>368</v>
      </c>
      <c r="G103" s="435">
        <v>1</v>
      </c>
      <c r="H103" s="435">
        <v>2000</v>
      </c>
      <c r="I103" s="336">
        <f t="shared" si="11"/>
        <v>2000</v>
      </c>
      <c r="J103" s="436"/>
      <c r="K103" s="437" t="s">
        <v>369</v>
      </c>
      <c r="L103" s="71"/>
      <c r="M103" s="11"/>
      <c r="N103" s="157"/>
      <c r="O103" s="15"/>
      <c r="P103" s="157"/>
      <c r="Q103" s="76"/>
      <c r="R103" s="134"/>
    </row>
    <row r="104" spans="1:18" ht="15.6" customHeight="1">
      <c r="A104" s="300" t="s">
        <v>364</v>
      </c>
      <c r="C104" s="114">
        <f t="shared" si="12"/>
        <v>43</v>
      </c>
      <c r="D104" s="235" t="s">
        <v>145</v>
      </c>
      <c r="E104" s="235" t="s">
        <v>145</v>
      </c>
      <c r="F104" s="441" t="s">
        <v>370</v>
      </c>
      <c r="G104" s="237">
        <v>1</v>
      </c>
      <c r="H104" s="237">
        <v>7104</v>
      </c>
      <c r="I104" s="237">
        <f>G104*H104</f>
        <v>7104</v>
      </c>
      <c r="J104" s="438"/>
      <c r="K104" s="439" t="s">
        <v>371</v>
      </c>
      <c r="L104" s="71"/>
      <c r="M104" s="11"/>
      <c r="N104" s="157"/>
      <c r="O104" s="15"/>
      <c r="P104" s="157"/>
      <c r="Q104" s="76"/>
      <c r="R104" s="134"/>
    </row>
    <row r="105" spans="1:18" ht="15.6" customHeight="1">
      <c r="A105" s="300" t="s">
        <v>364</v>
      </c>
      <c r="C105" s="114">
        <f t="shared" si="12"/>
        <v>44</v>
      </c>
      <c r="D105" s="442" t="s">
        <v>145</v>
      </c>
      <c r="E105" s="442" t="s">
        <v>145</v>
      </c>
      <c r="F105" s="443" t="s">
        <v>372</v>
      </c>
      <c r="G105" s="444">
        <v>1</v>
      </c>
      <c r="H105" s="445">
        <v>2150</v>
      </c>
      <c r="I105" s="446">
        <f>G105*H105</f>
        <v>2150</v>
      </c>
      <c r="J105" s="447"/>
      <c r="K105" s="448" t="s">
        <v>373</v>
      </c>
      <c r="L105" s="449"/>
      <c r="M105" s="11"/>
      <c r="N105" s="157"/>
      <c r="O105" s="15"/>
      <c r="P105" s="157"/>
      <c r="Q105" s="76"/>
      <c r="R105" s="134"/>
    </row>
    <row r="106" spans="1:18" ht="18" customHeight="1">
      <c r="A106" s="300" t="s">
        <v>360</v>
      </c>
      <c r="C106" s="149">
        <f>+C105+1</f>
        <v>45</v>
      </c>
      <c r="D106" s="164" t="s">
        <v>145</v>
      </c>
      <c r="E106" s="164" t="s">
        <v>145</v>
      </c>
      <c r="F106" s="290" t="s">
        <v>320</v>
      </c>
      <c r="G106" s="291">
        <v>1</v>
      </c>
      <c r="H106" s="289">
        <v>11950</v>
      </c>
      <c r="I106" s="321">
        <f t="shared" ref="I106:I137" si="13">G106*H106</f>
        <v>11950</v>
      </c>
      <c r="J106" s="165"/>
      <c r="K106" s="166" t="s">
        <v>198</v>
      </c>
      <c r="L106" s="71"/>
      <c r="M106" s="11"/>
      <c r="N106" s="157"/>
      <c r="O106" s="15"/>
      <c r="P106" s="157"/>
      <c r="Q106" s="76"/>
      <c r="R106" s="134"/>
    </row>
    <row r="107" spans="1:18" ht="18" customHeight="1">
      <c r="A107" s="300" t="s">
        <v>365</v>
      </c>
      <c r="C107" s="149">
        <f t="shared" ref="C107:C152" si="14">+C106+1</f>
        <v>46</v>
      </c>
      <c r="D107" s="164" t="s">
        <v>145</v>
      </c>
      <c r="E107" s="164" t="s">
        <v>145</v>
      </c>
      <c r="F107" s="292" t="s">
        <v>199</v>
      </c>
      <c r="G107" s="293">
        <v>1</v>
      </c>
      <c r="H107" s="294">
        <v>2148</v>
      </c>
      <c r="I107" s="169">
        <f t="shared" si="13"/>
        <v>2148</v>
      </c>
      <c r="J107" s="170"/>
      <c r="K107" s="163" t="s">
        <v>200</v>
      </c>
      <c r="L107" s="71"/>
      <c r="M107" s="11"/>
      <c r="N107" s="157"/>
      <c r="O107" s="15"/>
      <c r="P107" s="157"/>
      <c r="Q107" s="76"/>
      <c r="R107" s="134"/>
    </row>
    <row r="108" spans="1:18" ht="18" customHeight="1">
      <c r="C108" s="149">
        <f t="shared" si="14"/>
        <v>47</v>
      </c>
      <c r="D108" s="164" t="s">
        <v>145</v>
      </c>
      <c r="E108" s="164" t="s">
        <v>145</v>
      </c>
      <c r="F108" s="415" t="s">
        <v>201</v>
      </c>
      <c r="G108" s="293">
        <v>1</v>
      </c>
      <c r="H108" s="294">
        <v>6005</v>
      </c>
      <c r="I108" s="169">
        <f t="shared" si="13"/>
        <v>6005</v>
      </c>
      <c r="J108" s="170"/>
      <c r="K108" s="163" t="s">
        <v>200</v>
      </c>
      <c r="L108" s="71"/>
      <c r="M108" s="11"/>
      <c r="N108" s="157"/>
      <c r="O108" s="15"/>
      <c r="P108" s="157"/>
      <c r="Q108" s="76"/>
      <c r="R108" s="134"/>
    </row>
    <row r="109" spans="1:18" ht="18" customHeight="1">
      <c r="A109" s="300" t="s">
        <v>353</v>
      </c>
      <c r="C109" s="149">
        <f t="shared" si="14"/>
        <v>48</v>
      </c>
      <c r="D109" s="164" t="s">
        <v>145</v>
      </c>
      <c r="E109" s="164" t="s">
        <v>145</v>
      </c>
      <c r="F109" s="292" t="s">
        <v>202</v>
      </c>
      <c r="G109" s="293">
        <v>1</v>
      </c>
      <c r="H109" s="294">
        <v>4570</v>
      </c>
      <c r="I109" s="169">
        <f t="shared" si="13"/>
        <v>4570</v>
      </c>
      <c r="J109" s="170"/>
      <c r="K109" s="163" t="s">
        <v>203</v>
      </c>
      <c r="L109" s="71"/>
      <c r="M109" s="11"/>
      <c r="N109" s="157"/>
      <c r="O109" s="15"/>
      <c r="P109" s="157"/>
      <c r="Q109" s="76"/>
      <c r="R109" s="134"/>
    </row>
    <row r="110" spans="1:18" ht="18" customHeight="1">
      <c r="A110" s="300" t="s">
        <v>353</v>
      </c>
      <c r="C110" s="149">
        <f t="shared" si="14"/>
        <v>49</v>
      </c>
      <c r="D110" s="164" t="s">
        <v>145</v>
      </c>
      <c r="E110" s="164" t="s">
        <v>145</v>
      </c>
      <c r="F110" s="292" t="s">
        <v>204</v>
      </c>
      <c r="G110" s="293">
        <v>1</v>
      </c>
      <c r="H110" s="294">
        <v>3853</v>
      </c>
      <c r="I110" s="169">
        <f t="shared" si="13"/>
        <v>3853</v>
      </c>
      <c r="J110" s="171"/>
      <c r="K110" s="163" t="s">
        <v>205</v>
      </c>
      <c r="L110" s="71"/>
      <c r="M110" s="11"/>
      <c r="N110" s="157"/>
      <c r="O110" s="15"/>
      <c r="P110" s="157"/>
      <c r="Q110" s="76"/>
      <c r="R110" s="134"/>
    </row>
    <row r="111" spans="1:18" ht="18" customHeight="1">
      <c r="A111" s="300" t="s">
        <v>360</v>
      </c>
      <c r="C111" s="149">
        <f t="shared" si="14"/>
        <v>50</v>
      </c>
      <c r="D111" s="164" t="s">
        <v>145</v>
      </c>
      <c r="E111" s="164" t="s">
        <v>145</v>
      </c>
      <c r="F111" s="292" t="s">
        <v>333</v>
      </c>
      <c r="G111" s="293">
        <v>1</v>
      </c>
      <c r="H111" s="294">
        <v>977</v>
      </c>
      <c r="I111" s="169">
        <f t="shared" si="13"/>
        <v>977</v>
      </c>
      <c r="J111" s="172"/>
      <c r="K111" s="163" t="s">
        <v>206</v>
      </c>
      <c r="L111" s="71"/>
      <c r="M111" s="11"/>
      <c r="N111" s="157"/>
      <c r="O111" s="15"/>
      <c r="P111" s="157"/>
      <c r="Q111" s="76"/>
      <c r="R111" s="134"/>
    </row>
    <row r="112" spans="1:18" ht="18" customHeight="1">
      <c r="A112" s="300" t="s">
        <v>360</v>
      </c>
      <c r="C112" s="149">
        <f t="shared" si="14"/>
        <v>51</v>
      </c>
      <c r="D112" s="162" t="s">
        <v>37</v>
      </c>
      <c r="E112" s="162" t="s">
        <v>37</v>
      </c>
      <c r="F112" s="295" t="s">
        <v>332</v>
      </c>
      <c r="G112" s="296">
        <v>1</v>
      </c>
      <c r="H112" s="296">
        <v>977</v>
      </c>
      <c r="I112" s="169">
        <f>G112*H112</f>
        <v>977</v>
      </c>
      <c r="J112" s="190"/>
      <c r="K112" s="180" t="s">
        <v>116</v>
      </c>
      <c r="L112" s="71"/>
      <c r="M112" s="11"/>
      <c r="N112" s="157"/>
      <c r="O112" s="15"/>
      <c r="P112" s="157"/>
      <c r="Q112" s="76"/>
      <c r="R112" s="134"/>
    </row>
    <row r="113" spans="1:18" ht="18" customHeight="1">
      <c r="C113" s="149">
        <f>+C112+1</f>
        <v>52</v>
      </c>
      <c r="D113" s="262" t="s">
        <v>145</v>
      </c>
      <c r="E113" s="262" t="s">
        <v>145</v>
      </c>
      <c r="F113" s="263" t="s">
        <v>146</v>
      </c>
      <c r="G113" s="348"/>
      <c r="H113" s="267">
        <v>1082</v>
      </c>
      <c r="I113" s="268">
        <f t="shared" si="13"/>
        <v>0</v>
      </c>
      <c r="J113" s="264"/>
      <c r="K113" s="265" t="s">
        <v>207</v>
      </c>
      <c r="L113" s="251" t="s">
        <v>319</v>
      </c>
      <c r="M113" s="11"/>
      <c r="N113" s="76"/>
      <c r="O113" s="15"/>
      <c r="P113" s="157"/>
      <c r="Q113" s="160"/>
      <c r="R113" s="24"/>
    </row>
    <row r="114" spans="1:18" ht="18" customHeight="1">
      <c r="C114" s="149">
        <f t="shared" si="14"/>
        <v>53</v>
      </c>
      <c r="D114" s="262" t="s">
        <v>145</v>
      </c>
      <c r="E114" s="262" t="s">
        <v>145</v>
      </c>
      <c r="F114" s="266" t="s">
        <v>148</v>
      </c>
      <c r="G114" s="267"/>
      <c r="H114" s="270">
        <v>403</v>
      </c>
      <c r="I114" s="268">
        <f t="shared" si="13"/>
        <v>0</v>
      </c>
      <c r="J114" s="269"/>
      <c r="K114" s="265" t="s">
        <v>149</v>
      </c>
      <c r="L114" s="251" t="s">
        <v>319</v>
      </c>
      <c r="M114" s="11"/>
      <c r="N114" s="76"/>
      <c r="O114" s="15"/>
      <c r="P114" s="157"/>
      <c r="Q114" s="160"/>
      <c r="R114" s="24"/>
    </row>
    <row r="115" spans="1:18" ht="18" customHeight="1">
      <c r="A115" s="300" t="s">
        <v>353</v>
      </c>
      <c r="C115" s="149">
        <f t="shared" si="14"/>
        <v>54</v>
      </c>
      <c r="D115" s="262" t="s">
        <v>145</v>
      </c>
      <c r="E115" s="262" t="s">
        <v>145</v>
      </c>
      <c r="F115" s="266" t="s">
        <v>208</v>
      </c>
      <c r="G115" s="267"/>
      <c r="H115" s="267">
        <v>926</v>
      </c>
      <c r="I115" s="268">
        <f t="shared" si="13"/>
        <v>0</v>
      </c>
      <c r="J115" s="269"/>
      <c r="K115" s="265" t="s">
        <v>209</v>
      </c>
      <c r="L115" s="251" t="s">
        <v>319</v>
      </c>
      <c r="M115" s="11"/>
      <c r="N115" s="76"/>
      <c r="O115" s="15"/>
      <c r="P115" s="157"/>
      <c r="Q115" s="160"/>
      <c r="R115" s="24"/>
    </row>
    <row r="116" spans="1:18" ht="18" customHeight="1">
      <c r="C116" s="149">
        <f t="shared" si="14"/>
        <v>55</v>
      </c>
      <c r="D116" s="262" t="s">
        <v>145</v>
      </c>
      <c r="E116" s="262" t="s">
        <v>145</v>
      </c>
      <c r="F116" s="274" t="s">
        <v>210</v>
      </c>
      <c r="G116" s="267"/>
      <c r="H116" s="268">
        <v>19</v>
      </c>
      <c r="I116" s="268">
        <f>G116*H116</f>
        <v>0</v>
      </c>
      <c r="J116" s="268"/>
      <c r="K116" s="265" t="s">
        <v>211</v>
      </c>
      <c r="L116" s="251" t="s">
        <v>319</v>
      </c>
      <c r="M116" s="11"/>
      <c r="N116" s="76"/>
      <c r="O116" s="15"/>
      <c r="P116" s="157"/>
      <c r="Q116" s="160"/>
      <c r="R116" s="24"/>
    </row>
    <row r="117" spans="1:18" ht="18" customHeight="1">
      <c r="A117" s="300" t="s">
        <v>353</v>
      </c>
      <c r="C117" s="149">
        <f>+C116+1</f>
        <v>56</v>
      </c>
      <c r="D117" s="177" t="s">
        <v>145</v>
      </c>
      <c r="E117" s="177" t="s">
        <v>145</v>
      </c>
      <c r="F117" s="118" t="s">
        <v>212</v>
      </c>
      <c r="G117" s="231">
        <v>1</v>
      </c>
      <c r="H117" s="231">
        <v>1789</v>
      </c>
      <c r="I117" s="169">
        <f t="shared" si="13"/>
        <v>1789</v>
      </c>
      <c r="J117" s="179"/>
      <c r="K117" s="180" t="s">
        <v>213</v>
      </c>
      <c r="L117" s="71"/>
      <c r="M117" s="11"/>
      <c r="N117" s="157"/>
      <c r="O117" s="15"/>
      <c r="P117" s="157"/>
      <c r="Q117" s="76"/>
      <c r="R117" s="134"/>
    </row>
    <row r="118" spans="1:18" ht="18" customHeight="1">
      <c r="A118" s="300" t="s">
        <v>353</v>
      </c>
      <c r="C118" s="149">
        <f t="shared" si="14"/>
        <v>57</v>
      </c>
      <c r="D118" s="164" t="s">
        <v>145</v>
      </c>
      <c r="E118" s="164" t="s">
        <v>145</v>
      </c>
      <c r="F118" s="297" t="s">
        <v>214</v>
      </c>
      <c r="G118" s="119">
        <v>1</v>
      </c>
      <c r="H118" s="231">
        <v>4225</v>
      </c>
      <c r="I118" s="169">
        <f t="shared" si="13"/>
        <v>4225</v>
      </c>
      <c r="J118" s="165"/>
      <c r="K118" s="167" t="s">
        <v>215</v>
      </c>
      <c r="L118" s="71"/>
      <c r="M118" s="11"/>
      <c r="N118" s="157"/>
      <c r="O118" s="15"/>
      <c r="P118" s="157"/>
      <c r="Q118" s="76"/>
      <c r="R118" s="134"/>
    </row>
    <row r="119" spans="1:18" ht="18" customHeight="1">
      <c r="C119" s="149">
        <f>+C118+1</f>
        <v>58</v>
      </c>
      <c r="D119" s="271" t="s">
        <v>216</v>
      </c>
      <c r="E119" s="271" t="s">
        <v>145</v>
      </c>
      <c r="F119" s="257" t="s">
        <v>217</v>
      </c>
      <c r="G119" s="272"/>
      <c r="H119" s="273">
        <v>483</v>
      </c>
      <c r="I119" s="273">
        <f t="shared" si="13"/>
        <v>0</v>
      </c>
      <c r="J119" s="275"/>
      <c r="K119" s="276" t="s">
        <v>218</v>
      </c>
      <c r="L119" s="251" t="s">
        <v>319</v>
      </c>
      <c r="M119" s="11"/>
      <c r="N119" s="76"/>
      <c r="O119" s="15"/>
      <c r="P119" s="157"/>
      <c r="Q119" s="160"/>
      <c r="R119" s="24"/>
    </row>
    <row r="120" spans="1:18" ht="18" customHeight="1">
      <c r="A120" s="300" t="s">
        <v>353</v>
      </c>
      <c r="C120" s="149">
        <f t="shared" si="14"/>
        <v>59</v>
      </c>
      <c r="D120" s="164" t="s">
        <v>145</v>
      </c>
      <c r="E120" s="164" t="s">
        <v>145</v>
      </c>
      <c r="F120" s="416" t="s">
        <v>219</v>
      </c>
      <c r="G120" s="119">
        <v>1</v>
      </c>
      <c r="H120" s="231">
        <v>550</v>
      </c>
      <c r="I120" s="169">
        <f t="shared" si="13"/>
        <v>550</v>
      </c>
      <c r="J120" s="165"/>
      <c r="K120" s="163" t="s">
        <v>220</v>
      </c>
      <c r="L120" s="71"/>
      <c r="M120" s="11"/>
      <c r="N120" s="157"/>
      <c r="O120" s="15"/>
      <c r="P120" s="157"/>
      <c r="Q120" s="76"/>
      <c r="R120" s="134"/>
    </row>
    <row r="121" spans="1:18" ht="18" customHeight="1">
      <c r="C121" s="149">
        <f t="shared" si="14"/>
        <v>60</v>
      </c>
      <c r="D121" s="164" t="s">
        <v>145</v>
      </c>
      <c r="E121" s="164" t="s">
        <v>145</v>
      </c>
      <c r="F121" s="298" t="s">
        <v>221</v>
      </c>
      <c r="G121" s="119">
        <v>1</v>
      </c>
      <c r="H121" s="231">
        <v>508</v>
      </c>
      <c r="I121" s="169">
        <f t="shared" si="13"/>
        <v>508</v>
      </c>
      <c r="J121" s="165"/>
      <c r="K121" s="167" t="s">
        <v>222</v>
      </c>
      <c r="L121" s="71"/>
      <c r="M121" s="11"/>
      <c r="N121" s="157"/>
      <c r="O121" s="15"/>
      <c r="P121" s="157"/>
      <c r="Q121" s="76"/>
      <c r="R121" s="134"/>
    </row>
    <row r="122" spans="1:18" ht="18" customHeight="1">
      <c r="A122" s="112" t="s">
        <v>366</v>
      </c>
      <c r="C122" s="149">
        <f t="shared" si="14"/>
        <v>61</v>
      </c>
      <c r="D122" s="164" t="s">
        <v>145</v>
      </c>
      <c r="E122" s="164" t="s">
        <v>145</v>
      </c>
      <c r="F122" s="417" t="s">
        <v>223</v>
      </c>
      <c r="G122" s="119">
        <v>1</v>
      </c>
      <c r="H122" s="231">
        <v>5104</v>
      </c>
      <c r="I122" s="169">
        <f t="shared" si="13"/>
        <v>5104</v>
      </c>
      <c r="J122" s="165"/>
      <c r="K122" s="167" t="s">
        <v>224</v>
      </c>
      <c r="L122" s="71"/>
      <c r="M122" s="11"/>
      <c r="N122" s="157"/>
      <c r="O122" s="15"/>
      <c r="P122" s="157"/>
      <c r="Q122" s="76"/>
      <c r="R122" s="134"/>
    </row>
    <row r="123" spans="1:18" ht="18" customHeight="1">
      <c r="A123" s="112" t="s">
        <v>366</v>
      </c>
      <c r="C123" s="149">
        <f t="shared" si="14"/>
        <v>62</v>
      </c>
      <c r="D123" s="164" t="s">
        <v>145</v>
      </c>
      <c r="E123" s="164" t="s">
        <v>145</v>
      </c>
      <c r="F123" s="277" t="s">
        <v>225</v>
      </c>
      <c r="G123" s="119">
        <v>1</v>
      </c>
      <c r="H123" s="231">
        <v>5400</v>
      </c>
      <c r="I123" s="169">
        <f t="shared" si="13"/>
        <v>5400</v>
      </c>
      <c r="J123" s="165"/>
      <c r="K123" s="167" t="s">
        <v>226</v>
      </c>
      <c r="L123" s="71"/>
      <c r="M123" s="11"/>
      <c r="N123" s="157"/>
      <c r="O123" s="15"/>
      <c r="P123" s="157"/>
      <c r="Q123" s="76"/>
      <c r="R123" s="134"/>
    </row>
    <row r="124" spans="1:18" ht="18" customHeight="1">
      <c r="A124" s="112" t="s">
        <v>366</v>
      </c>
      <c r="C124" s="149">
        <f t="shared" si="14"/>
        <v>63</v>
      </c>
      <c r="D124" s="124" t="s">
        <v>145</v>
      </c>
      <c r="E124" s="124" t="s">
        <v>145</v>
      </c>
      <c r="F124" s="277" t="s">
        <v>227</v>
      </c>
      <c r="G124" s="119">
        <v>1</v>
      </c>
      <c r="H124" s="231">
        <v>5560</v>
      </c>
      <c r="I124" s="231">
        <f t="shared" si="13"/>
        <v>5560</v>
      </c>
      <c r="J124" s="120"/>
      <c r="K124" s="125" t="s">
        <v>228</v>
      </c>
      <c r="L124" s="223"/>
      <c r="M124" s="11"/>
      <c r="N124" s="157"/>
      <c r="O124" s="15"/>
      <c r="P124" s="157"/>
      <c r="Q124" s="76"/>
      <c r="R124" s="134"/>
    </row>
    <row r="125" spans="1:18" ht="18" customHeight="1">
      <c r="C125" s="149">
        <f t="shared" si="14"/>
        <v>64</v>
      </c>
      <c r="D125" s="262" t="s">
        <v>145</v>
      </c>
      <c r="E125" s="262" t="s">
        <v>145</v>
      </c>
      <c r="F125" s="278" t="s">
        <v>229</v>
      </c>
      <c r="G125" s="267"/>
      <c r="H125" s="268">
        <v>1098</v>
      </c>
      <c r="I125" s="268">
        <f t="shared" si="13"/>
        <v>0</v>
      </c>
      <c r="J125" s="264"/>
      <c r="K125" s="266" t="s">
        <v>230</v>
      </c>
      <c r="L125" s="251" t="s">
        <v>319</v>
      </c>
      <c r="M125" s="11"/>
      <c r="N125" s="76"/>
      <c r="O125" s="15"/>
      <c r="P125" s="157"/>
      <c r="Q125" s="160"/>
      <c r="R125" s="24"/>
    </row>
    <row r="126" spans="1:18" ht="18" customHeight="1">
      <c r="C126" s="149">
        <f t="shared" si="14"/>
        <v>65</v>
      </c>
      <c r="D126" s="262" t="s">
        <v>145</v>
      </c>
      <c r="E126" s="262" t="s">
        <v>145</v>
      </c>
      <c r="F126" s="279" t="s">
        <v>231</v>
      </c>
      <c r="G126" s="267"/>
      <c r="H126" s="268">
        <v>1098</v>
      </c>
      <c r="I126" s="268">
        <f t="shared" si="13"/>
        <v>0</v>
      </c>
      <c r="J126" s="264"/>
      <c r="K126" s="266" t="s">
        <v>232</v>
      </c>
      <c r="L126" s="251" t="s">
        <v>319</v>
      </c>
      <c r="M126" s="11"/>
      <c r="N126" s="76"/>
      <c r="O126" s="15"/>
      <c r="P126" s="157"/>
      <c r="Q126" s="160"/>
      <c r="R126" s="24"/>
    </row>
    <row r="127" spans="1:18" ht="18" customHeight="1">
      <c r="A127" s="300" t="s">
        <v>353</v>
      </c>
      <c r="C127" s="149">
        <f t="shared" si="14"/>
        <v>66</v>
      </c>
      <c r="D127" s="181" t="s">
        <v>145</v>
      </c>
      <c r="E127" s="181" t="s">
        <v>145</v>
      </c>
      <c r="F127" s="126" t="s">
        <v>187</v>
      </c>
      <c r="G127" s="288">
        <v>2</v>
      </c>
      <c r="H127" s="337">
        <v>860</v>
      </c>
      <c r="I127" s="336">
        <f t="shared" si="13"/>
        <v>1720</v>
      </c>
      <c r="J127" s="182"/>
      <c r="K127" s="183" t="s">
        <v>233</v>
      </c>
      <c r="L127" s="71"/>
      <c r="M127" s="11"/>
      <c r="N127" s="157"/>
      <c r="O127" s="15"/>
      <c r="P127" s="157"/>
      <c r="Q127" s="76"/>
      <c r="R127" s="134"/>
    </row>
    <row r="128" spans="1:18" ht="18" customHeight="1">
      <c r="A128" s="300" t="s">
        <v>353</v>
      </c>
      <c r="C128" s="149">
        <f t="shared" si="14"/>
        <v>67</v>
      </c>
      <c r="D128" s="191" t="s">
        <v>145</v>
      </c>
      <c r="E128" s="191" t="s">
        <v>145</v>
      </c>
      <c r="F128" s="118" t="s">
        <v>188</v>
      </c>
      <c r="G128" s="122">
        <v>6</v>
      </c>
      <c r="H128" s="338">
        <v>270</v>
      </c>
      <c r="I128" s="339">
        <f t="shared" si="13"/>
        <v>1620</v>
      </c>
      <c r="J128" s="192"/>
      <c r="K128" s="178" t="s">
        <v>153</v>
      </c>
      <c r="L128" s="71"/>
      <c r="M128" s="11"/>
      <c r="N128" s="157"/>
      <c r="O128" s="15"/>
      <c r="P128" s="157"/>
      <c r="Q128" s="76"/>
      <c r="R128" s="134"/>
    </row>
    <row r="129" spans="1:18" ht="18" customHeight="1">
      <c r="C129" s="149">
        <f t="shared" si="14"/>
        <v>68</v>
      </c>
      <c r="D129" s="418" t="s">
        <v>144</v>
      </c>
      <c r="E129" s="419" t="s">
        <v>195</v>
      </c>
      <c r="F129" s="420" t="s">
        <v>234</v>
      </c>
      <c r="G129" s="418">
        <v>1</v>
      </c>
      <c r="H129" s="418">
        <v>3040</v>
      </c>
      <c r="I129" s="421">
        <f t="shared" si="13"/>
        <v>3040</v>
      </c>
      <c r="J129" s="422"/>
      <c r="K129" s="423" t="s">
        <v>160</v>
      </c>
      <c r="L129" s="71"/>
      <c r="M129" s="11"/>
      <c r="N129" s="76"/>
      <c r="O129" s="15"/>
      <c r="P129" s="157"/>
      <c r="Q129" s="160"/>
      <c r="R129" s="24"/>
    </row>
    <row r="130" spans="1:18" ht="18" customHeight="1">
      <c r="A130" s="300" t="s">
        <v>353</v>
      </c>
      <c r="C130" s="149">
        <f t="shared" si="14"/>
        <v>69</v>
      </c>
      <c r="D130" s="185" t="s">
        <v>145</v>
      </c>
      <c r="E130" s="185" t="s">
        <v>145</v>
      </c>
      <c r="F130" s="349" t="s">
        <v>235</v>
      </c>
      <c r="G130" s="119">
        <v>1</v>
      </c>
      <c r="H130" s="185">
        <v>4300</v>
      </c>
      <c r="I130" s="185">
        <f t="shared" si="13"/>
        <v>4300</v>
      </c>
      <c r="J130" s="174"/>
      <c r="K130" s="186" t="s">
        <v>236</v>
      </c>
      <c r="L130" s="71"/>
      <c r="M130" s="11"/>
      <c r="N130" s="157"/>
      <c r="O130" s="15"/>
      <c r="P130" s="157"/>
      <c r="Q130" s="76"/>
      <c r="R130" s="134"/>
    </row>
    <row r="131" spans="1:18" ht="18" customHeight="1">
      <c r="C131" s="149">
        <f t="shared" si="14"/>
        <v>70</v>
      </c>
      <c r="D131" s="185" t="s">
        <v>145</v>
      </c>
      <c r="E131" s="185" t="s">
        <v>145</v>
      </c>
      <c r="F131" s="232" t="s">
        <v>237</v>
      </c>
      <c r="G131" s="120">
        <v>4</v>
      </c>
      <c r="H131" s="185">
        <v>106</v>
      </c>
      <c r="I131" s="185">
        <f t="shared" si="13"/>
        <v>424</v>
      </c>
      <c r="J131" s="187"/>
      <c r="K131" s="186" t="s">
        <v>238</v>
      </c>
      <c r="L131" s="71"/>
      <c r="M131" s="11"/>
      <c r="N131" s="157"/>
      <c r="O131" s="15"/>
      <c r="P131" s="157"/>
      <c r="Q131" s="76"/>
      <c r="R131" s="134"/>
    </row>
    <row r="132" spans="1:18" ht="18" customHeight="1">
      <c r="C132" s="149">
        <f t="shared" si="14"/>
        <v>71</v>
      </c>
      <c r="D132" s="164" t="s">
        <v>145</v>
      </c>
      <c r="E132" s="164" t="s">
        <v>145</v>
      </c>
      <c r="F132" s="232" t="s">
        <v>239</v>
      </c>
      <c r="G132" s="120">
        <v>4</v>
      </c>
      <c r="H132" s="321">
        <v>212</v>
      </c>
      <c r="I132" s="185">
        <f t="shared" si="13"/>
        <v>848</v>
      </c>
      <c r="J132" s="165"/>
      <c r="K132" s="163" t="s">
        <v>240</v>
      </c>
      <c r="L132" s="71"/>
      <c r="M132" s="11"/>
      <c r="N132" s="157"/>
      <c r="O132" s="15"/>
      <c r="P132" s="157"/>
      <c r="Q132" s="76"/>
      <c r="R132" s="134"/>
    </row>
    <row r="133" spans="1:18" ht="18" customHeight="1">
      <c r="C133" s="149">
        <f t="shared" si="14"/>
        <v>72</v>
      </c>
      <c r="D133" s="164" t="s">
        <v>145</v>
      </c>
      <c r="E133" s="164" t="s">
        <v>145</v>
      </c>
      <c r="F133" s="188" t="s">
        <v>241</v>
      </c>
      <c r="G133" s="165">
        <v>2</v>
      </c>
      <c r="H133" s="321">
        <v>76</v>
      </c>
      <c r="I133" s="185">
        <f t="shared" si="13"/>
        <v>152</v>
      </c>
      <c r="J133" s="165"/>
      <c r="K133" s="163" t="s">
        <v>242</v>
      </c>
      <c r="L133" s="71"/>
      <c r="M133" s="11"/>
      <c r="N133" s="157"/>
      <c r="O133" s="15"/>
      <c r="P133" s="157"/>
      <c r="Q133" s="76"/>
      <c r="R133" s="134"/>
    </row>
    <row r="134" spans="1:18" ht="18" customHeight="1">
      <c r="C134" s="149">
        <f t="shared" si="14"/>
        <v>73</v>
      </c>
      <c r="D134" s="177" t="s">
        <v>145</v>
      </c>
      <c r="E134" s="177" t="s">
        <v>145</v>
      </c>
      <c r="F134" s="189" t="s">
        <v>243</v>
      </c>
      <c r="G134" s="168">
        <v>2</v>
      </c>
      <c r="H134" s="168">
        <v>250</v>
      </c>
      <c r="I134" s="169">
        <f t="shared" si="13"/>
        <v>500</v>
      </c>
      <c r="J134" s="190"/>
      <c r="K134" s="189" t="s">
        <v>244</v>
      </c>
      <c r="L134" s="71"/>
      <c r="M134" s="11"/>
      <c r="N134" s="157"/>
      <c r="O134" s="15"/>
      <c r="P134" s="157"/>
      <c r="Q134" s="76"/>
      <c r="R134" s="134"/>
    </row>
    <row r="135" spans="1:18" ht="18" customHeight="1">
      <c r="C135" s="149">
        <f t="shared" si="14"/>
        <v>74</v>
      </c>
      <c r="D135" s="177" t="s">
        <v>145</v>
      </c>
      <c r="E135" s="177" t="s">
        <v>145</v>
      </c>
      <c r="F135" s="189" t="s">
        <v>245</v>
      </c>
      <c r="G135" s="168">
        <v>2</v>
      </c>
      <c r="H135" s="168">
        <v>200</v>
      </c>
      <c r="I135" s="169">
        <f t="shared" si="13"/>
        <v>400</v>
      </c>
      <c r="J135" s="190"/>
      <c r="K135" s="189" t="s">
        <v>246</v>
      </c>
      <c r="L135" s="71"/>
      <c r="M135" s="11"/>
      <c r="N135" s="157"/>
      <c r="O135" s="15"/>
      <c r="P135" s="157"/>
      <c r="Q135" s="76"/>
      <c r="R135" s="134"/>
    </row>
    <row r="136" spans="1:18" ht="18" customHeight="1">
      <c r="C136" s="149">
        <f t="shared" si="14"/>
        <v>75</v>
      </c>
      <c r="D136" s="262" t="s">
        <v>145</v>
      </c>
      <c r="E136" s="262" t="s">
        <v>145</v>
      </c>
      <c r="F136" s="266" t="s">
        <v>150</v>
      </c>
      <c r="G136" s="267"/>
      <c r="H136" s="268">
        <v>940</v>
      </c>
      <c r="I136" s="340">
        <f t="shared" si="13"/>
        <v>0</v>
      </c>
      <c r="J136" s="280"/>
      <c r="K136" s="278" t="s">
        <v>151</v>
      </c>
      <c r="L136" s="251" t="s">
        <v>319</v>
      </c>
      <c r="M136" s="11"/>
      <c r="N136" s="76"/>
      <c r="O136" s="15"/>
      <c r="P136" s="157"/>
      <c r="Q136" s="160"/>
      <c r="R136" s="24"/>
    </row>
    <row r="137" spans="1:18" ht="18" customHeight="1">
      <c r="C137" s="149">
        <f t="shared" si="14"/>
        <v>76</v>
      </c>
      <c r="D137" s="281" t="s">
        <v>145</v>
      </c>
      <c r="E137" s="281" t="s">
        <v>145</v>
      </c>
      <c r="F137" s="247" t="s">
        <v>247</v>
      </c>
      <c r="G137" s="282"/>
      <c r="H137" s="304">
        <v>570</v>
      </c>
      <c r="I137" s="304">
        <f t="shared" si="13"/>
        <v>0</v>
      </c>
      <c r="J137" s="283"/>
      <c r="K137" s="247" t="s">
        <v>248</v>
      </c>
      <c r="L137" s="251" t="s">
        <v>319</v>
      </c>
      <c r="M137" s="11"/>
      <c r="N137" s="76"/>
      <c r="O137" s="15"/>
      <c r="P137" s="157"/>
      <c r="Q137" s="160"/>
      <c r="R137" s="24"/>
    </row>
    <row r="138" spans="1:18" ht="18" customHeight="1">
      <c r="A138" s="300" t="s">
        <v>365</v>
      </c>
      <c r="C138" s="149">
        <f t="shared" si="14"/>
        <v>77</v>
      </c>
      <c r="D138" s="173" t="s">
        <v>145</v>
      </c>
      <c r="E138" s="173" t="s">
        <v>145</v>
      </c>
      <c r="F138" s="188" t="s">
        <v>468</v>
      </c>
      <c r="G138" s="193">
        <v>1</v>
      </c>
      <c r="H138" s="341">
        <v>8500</v>
      </c>
      <c r="I138" s="342">
        <f>G138*H138</f>
        <v>8500</v>
      </c>
      <c r="J138" s="165"/>
      <c r="K138" s="166" t="s">
        <v>249</v>
      </c>
      <c r="L138" s="71"/>
      <c r="M138" s="11"/>
      <c r="N138" s="157"/>
      <c r="O138" s="15"/>
      <c r="P138" s="157"/>
      <c r="Q138" s="76"/>
      <c r="R138" s="134"/>
    </row>
    <row r="139" spans="1:18" ht="18" customHeight="1">
      <c r="A139" s="300" t="s">
        <v>360</v>
      </c>
      <c r="C139" s="149">
        <f t="shared" si="14"/>
        <v>78</v>
      </c>
      <c r="D139" s="164" t="s">
        <v>145</v>
      </c>
      <c r="E139" s="164" t="s">
        <v>145</v>
      </c>
      <c r="F139" s="166" t="s">
        <v>250</v>
      </c>
      <c r="G139" s="193">
        <v>1</v>
      </c>
      <c r="H139" s="341">
        <v>3480</v>
      </c>
      <c r="I139" s="321">
        <f>G139*H139</f>
        <v>3480</v>
      </c>
      <c r="J139" s="165"/>
      <c r="K139" s="163" t="s">
        <v>251</v>
      </c>
      <c r="L139" s="71"/>
      <c r="M139" s="11"/>
      <c r="N139" s="157"/>
      <c r="O139" s="15"/>
      <c r="P139" s="157"/>
      <c r="Q139" s="76"/>
      <c r="R139" s="134"/>
    </row>
    <row r="140" spans="1:18" ht="18" customHeight="1">
      <c r="C140" s="149">
        <f t="shared" si="14"/>
        <v>79</v>
      </c>
      <c r="D140" s="307" t="s">
        <v>145</v>
      </c>
      <c r="E140" s="308" t="s">
        <v>145</v>
      </c>
      <c r="F140" s="309" t="s">
        <v>334</v>
      </c>
      <c r="G140" s="122">
        <v>7</v>
      </c>
      <c r="H140" s="135">
        <v>72</v>
      </c>
      <c r="I140" s="343">
        <f t="shared" ref="I140:I142" si="15">G140*H140</f>
        <v>504</v>
      </c>
      <c r="J140" s="310"/>
      <c r="K140" s="232" t="s">
        <v>335</v>
      </c>
      <c r="L140" s="71"/>
      <c r="M140" s="11"/>
      <c r="N140" s="157"/>
      <c r="O140" s="15"/>
      <c r="P140" s="157"/>
      <c r="Q140" s="76"/>
      <c r="R140" s="134"/>
    </row>
    <row r="141" spans="1:18" ht="18" customHeight="1">
      <c r="C141" s="149">
        <f t="shared" si="14"/>
        <v>80</v>
      </c>
      <c r="D141" s="124" t="s">
        <v>145</v>
      </c>
      <c r="E141" s="124" t="s">
        <v>145</v>
      </c>
      <c r="F141" s="232" t="s">
        <v>336</v>
      </c>
      <c r="G141" s="119">
        <v>1</v>
      </c>
      <c r="H141" s="231">
        <v>860</v>
      </c>
      <c r="I141" s="231">
        <f t="shared" si="15"/>
        <v>860</v>
      </c>
      <c r="J141" s="120"/>
      <c r="K141" s="125" t="s">
        <v>337</v>
      </c>
      <c r="L141" s="71"/>
      <c r="M141" s="11"/>
      <c r="N141" s="157"/>
      <c r="O141" s="15"/>
      <c r="P141" s="157"/>
      <c r="Q141" s="76"/>
      <c r="R141" s="134"/>
    </row>
    <row r="142" spans="1:18" ht="18" customHeight="1">
      <c r="C142" s="149">
        <f t="shared" si="14"/>
        <v>81</v>
      </c>
      <c r="D142" s="124" t="s">
        <v>145</v>
      </c>
      <c r="E142" s="124" t="s">
        <v>145</v>
      </c>
      <c r="F142" s="232" t="s">
        <v>338</v>
      </c>
      <c r="G142" s="119">
        <v>2</v>
      </c>
      <c r="H142" s="231">
        <v>443</v>
      </c>
      <c r="I142" s="231">
        <f t="shared" si="15"/>
        <v>886</v>
      </c>
      <c r="J142" s="120"/>
      <c r="K142" s="125" t="s">
        <v>339</v>
      </c>
      <c r="L142" s="71"/>
      <c r="M142" s="11"/>
      <c r="N142" s="157"/>
      <c r="O142" s="15"/>
      <c r="P142" s="157"/>
      <c r="Q142" s="76"/>
      <c r="R142" s="134"/>
    </row>
    <row r="143" spans="1:18" ht="18" customHeight="1">
      <c r="C143" s="149">
        <f>+C142+1</f>
        <v>82</v>
      </c>
      <c r="D143" s="124" t="s">
        <v>145</v>
      </c>
      <c r="E143" s="124" t="s">
        <v>145</v>
      </c>
      <c r="F143" s="299" t="s">
        <v>252</v>
      </c>
      <c r="G143" s="293">
        <v>3</v>
      </c>
      <c r="H143" s="344">
        <v>229</v>
      </c>
      <c r="I143" s="328">
        <f>G143*H143</f>
        <v>687</v>
      </c>
      <c r="J143" s="120"/>
      <c r="K143" s="349" t="s">
        <v>469</v>
      </c>
      <c r="L143" s="71"/>
      <c r="M143" s="11"/>
      <c r="N143" s="157"/>
      <c r="O143" s="15"/>
      <c r="P143" s="157"/>
      <c r="Q143" s="76"/>
      <c r="R143" s="134"/>
    </row>
    <row r="144" spans="1:18" ht="15.6" customHeight="1">
      <c r="C144" s="149">
        <f t="shared" si="14"/>
        <v>83</v>
      </c>
      <c r="D144" s="47" t="s">
        <v>37</v>
      </c>
      <c r="E144" s="47" t="s">
        <v>37</v>
      </c>
      <c r="F144" s="147" t="s">
        <v>193</v>
      </c>
      <c r="G144" s="111">
        <v>2</v>
      </c>
      <c r="H144" s="68">
        <v>455</v>
      </c>
      <c r="I144" s="68">
        <f t="shared" ref="I144:I149" si="16">G144*H144</f>
        <v>910</v>
      </c>
      <c r="J144" s="13"/>
      <c r="K144" s="153" t="s">
        <v>194</v>
      </c>
      <c r="L144" s="71"/>
      <c r="M144" s="11"/>
      <c r="N144" s="157"/>
      <c r="O144" s="15"/>
      <c r="P144" s="15"/>
      <c r="Q144" s="76"/>
      <c r="R144" s="134"/>
    </row>
    <row r="145" spans="3:18" ht="15.6" customHeight="1">
      <c r="C145" s="149">
        <f t="shared" si="14"/>
        <v>84</v>
      </c>
      <c r="D145" s="47" t="s">
        <v>37</v>
      </c>
      <c r="E145" s="47" t="s">
        <v>37</v>
      </c>
      <c r="F145" s="148" t="s">
        <v>192</v>
      </c>
      <c r="G145" s="111">
        <v>2</v>
      </c>
      <c r="H145" s="111">
        <v>250</v>
      </c>
      <c r="I145" s="68">
        <f t="shared" si="16"/>
        <v>500</v>
      </c>
      <c r="J145" s="21"/>
      <c r="K145" s="45" t="s">
        <v>191</v>
      </c>
      <c r="L145" s="71"/>
      <c r="M145" s="11"/>
      <c r="N145" s="157"/>
      <c r="O145" s="15"/>
      <c r="P145" s="15"/>
      <c r="Q145" s="76"/>
      <c r="R145" s="134"/>
    </row>
    <row r="146" spans="3:18" ht="18" customHeight="1">
      <c r="C146" s="149">
        <f t="shared" si="14"/>
        <v>85</v>
      </c>
      <c r="D146" s="281" t="s">
        <v>145</v>
      </c>
      <c r="E146" s="281" t="s">
        <v>145</v>
      </c>
      <c r="F146" s="247" t="s">
        <v>146</v>
      </c>
      <c r="G146" s="282"/>
      <c r="H146" s="304">
        <v>830</v>
      </c>
      <c r="I146" s="340">
        <f t="shared" si="16"/>
        <v>0</v>
      </c>
      <c r="J146" s="301"/>
      <c r="K146" s="279" t="s">
        <v>147</v>
      </c>
      <c r="L146" s="251" t="s">
        <v>319</v>
      </c>
      <c r="M146" s="128"/>
      <c r="N146" s="157"/>
      <c r="O146" s="115"/>
      <c r="P146" s="128"/>
      <c r="Q146" s="157"/>
      <c r="R146" s="134"/>
    </row>
    <row r="147" spans="3:18" ht="18" customHeight="1">
      <c r="C147" s="149">
        <f t="shared" si="14"/>
        <v>86</v>
      </c>
      <c r="D147" s="117" t="s">
        <v>145</v>
      </c>
      <c r="E147" s="117" t="s">
        <v>145</v>
      </c>
      <c r="F147" s="118" t="s">
        <v>188</v>
      </c>
      <c r="G147" s="122">
        <v>6</v>
      </c>
      <c r="H147" s="135">
        <v>270</v>
      </c>
      <c r="I147" s="326">
        <f t="shared" si="16"/>
        <v>1620</v>
      </c>
      <c r="J147" s="123"/>
      <c r="K147" s="118" t="s">
        <v>153</v>
      </c>
      <c r="L147" s="115"/>
      <c r="M147" s="128"/>
      <c r="N147" s="157"/>
      <c r="O147" s="115"/>
      <c r="P147" s="128"/>
      <c r="Q147" s="76"/>
      <c r="R147" s="134"/>
    </row>
    <row r="148" spans="3:18" ht="18" customHeight="1">
      <c r="C148" s="149">
        <f t="shared" si="14"/>
        <v>87</v>
      </c>
      <c r="D148" s="117" t="s">
        <v>145</v>
      </c>
      <c r="E148" s="117" t="s">
        <v>145</v>
      </c>
      <c r="F148" s="118" t="s">
        <v>189</v>
      </c>
      <c r="G148" s="122">
        <v>2</v>
      </c>
      <c r="H148" s="135">
        <v>270</v>
      </c>
      <c r="I148" s="326">
        <f t="shared" si="16"/>
        <v>540</v>
      </c>
      <c r="J148" s="123"/>
      <c r="K148" s="118" t="s">
        <v>190</v>
      </c>
      <c r="L148" s="115"/>
      <c r="M148" s="128"/>
      <c r="N148" s="157"/>
      <c r="O148" s="115"/>
      <c r="P148" s="128"/>
      <c r="Q148" s="76"/>
      <c r="R148" s="134"/>
    </row>
    <row r="149" spans="3:18" ht="18" customHeight="1">
      <c r="C149" s="149">
        <f t="shared" si="14"/>
        <v>88</v>
      </c>
      <c r="D149" s="271" t="s">
        <v>145</v>
      </c>
      <c r="E149" s="271" t="s">
        <v>145</v>
      </c>
      <c r="F149" s="431" t="s">
        <v>154</v>
      </c>
      <c r="G149" s="432">
        <v>10</v>
      </c>
      <c r="H149" s="273">
        <v>23</v>
      </c>
      <c r="I149" s="273">
        <f t="shared" si="16"/>
        <v>230</v>
      </c>
      <c r="J149" s="433"/>
      <c r="K149" s="276" t="s">
        <v>155</v>
      </c>
      <c r="L149" s="115"/>
      <c r="M149" s="128"/>
      <c r="N149" s="157"/>
      <c r="O149" s="115"/>
      <c r="P149" s="128"/>
      <c r="Q149" s="76"/>
      <c r="R149" s="134"/>
    </row>
    <row r="150" spans="3:18" ht="18" customHeight="1">
      <c r="C150" s="149">
        <f t="shared" si="14"/>
        <v>89</v>
      </c>
      <c r="D150" s="8" t="s">
        <v>37</v>
      </c>
      <c r="E150" s="8" t="s">
        <v>37</v>
      </c>
      <c r="F150" s="147" t="s">
        <v>134</v>
      </c>
      <c r="G150" s="111">
        <v>10</v>
      </c>
      <c r="H150" s="68">
        <v>29</v>
      </c>
      <c r="I150" s="68">
        <f>G150*H150</f>
        <v>290</v>
      </c>
      <c r="J150" s="13"/>
      <c r="K150" s="64" t="s">
        <v>135</v>
      </c>
      <c r="L150" s="115"/>
      <c r="M150" s="128"/>
      <c r="N150" s="157"/>
      <c r="O150" s="115"/>
      <c r="P150" s="128"/>
      <c r="Q150" s="76"/>
      <c r="R150" s="134"/>
    </row>
    <row r="151" spans="3:18" ht="18" customHeight="1">
      <c r="C151" s="149">
        <f t="shared" si="14"/>
        <v>90</v>
      </c>
      <c r="D151" s="302" t="s">
        <v>37</v>
      </c>
      <c r="E151" s="302" t="s">
        <v>37</v>
      </c>
      <c r="F151" s="303" t="s">
        <v>127</v>
      </c>
      <c r="G151" s="304"/>
      <c r="H151" s="270">
        <v>622</v>
      </c>
      <c r="I151" s="304">
        <v>622</v>
      </c>
      <c r="J151" s="305"/>
      <c r="K151" s="306" t="s">
        <v>128</v>
      </c>
      <c r="L151" s="251" t="s">
        <v>319</v>
      </c>
      <c r="M151" s="128"/>
      <c r="N151" s="157"/>
      <c r="O151" s="115"/>
      <c r="P151" s="128"/>
      <c r="Q151" s="157"/>
      <c r="R151" s="134"/>
    </row>
    <row r="152" spans="3:18" ht="18" customHeight="1">
      <c r="C152" s="149">
        <f t="shared" si="14"/>
        <v>91</v>
      </c>
      <c r="D152" s="424" t="s">
        <v>37</v>
      </c>
      <c r="E152" s="424" t="s">
        <v>37</v>
      </c>
      <c r="F152" s="425" t="s">
        <v>311</v>
      </c>
      <c r="G152" s="426"/>
      <c r="H152" s="427">
        <v>2196</v>
      </c>
      <c r="I152" s="428">
        <f>G152*H152</f>
        <v>0</v>
      </c>
      <c r="J152" s="429"/>
      <c r="K152" s="430" t="s">
        <v>312</v>
      </c>
      <c r="L152" s="115"/>
      <c r="M152" s="128"/>
      <c r="N152" s="157"/>
      <c r="O152" s="115"/>
      <c r="P152" s="128"/>
      <c r="Q152" s="76"/>
      <c r="R152" s="134"/>
    </row>
    <row r="153" spans="3:18" ht="18" customHeight="1">
      <c r="C153" s="149"/>
      <c r="D153" s="136"/>
      <c r="E153" s="136"/>
      <c r="F153" s="207"/>
      <c r="G153" s="208"/>
      <c r="H153" s="345"/>
      <c r="I153" s="135"/>
      <c r="J153" s="209"/>
      <c r="K153" s="210"/>
      <c r="L153" s="115"/>
      <c r="M153" s="128"/>
      <c r="N153" s="157"/>
      <c r="O153" s="115"/>
      <c r="P153" s="128"/>
      <c r="Q153" s="157"/>
      <c r="R153" s="134"/>
    </row>
    <row r="154" spans="3:18" ht="18" customHeight="1">
      <c r="C154" s="70"/>
      <c r="D154" s="8"/>
      <c r="E154" s="8"/>
      <c r="F154" s="647">
        <f>SUM(I102:I153)</f>
        <v>109469</v>
      </c>
      <c r="G154" s="648"/>
      <c r="H154" s="648"/>
      <c r="I154" s="649"/>
      <c r="J154" s="13"/>
      <c r="K154" s="64"/>
      <c r="L154" s="71"/>
      <c r="M154" s="11"/>
      <c r="N154" s="76"/>
      <c r="O154" s="15"/>
      <c r="P154" s="15"/>
      <c r="Q154" s="76"/>
      <c r="R154" s="24"/>
    </row>
    <row r="155" spans="3:18" ht="18" customHeight="1">
      <c r="C155" s="70"/>
      <c r="D155" s="8"/>
      <c r="E155" s="8"/>
      <c r="F155" s="45"/>
      <c r="G155" s="111"/>
      <c r="H155" s="111"/>
      <c r="I155" s="68"/>
      <c r="J155" s="6"/>
      <c r="K155" s="45"/>
      <c r="L155" s="71"/>
      <c r="M155" s="11"/>
      <c r="N155" s="76"/>
      <c r="O155" s="15"/>
      <c r="P155" s="15"/>
      <c r="Q155" s="76"/>
      <c r="R155" s="24"/>
    </row>
    <row r="156" spans="3:18" ht="18" customHeight="1">
      <c r="C156" s="70"/>
      <c r="D156" s="70"/>
      <c r="E156" s="70"/>
      <c r="F156" s="71" t="s">
        <v>130</v>
      </c>
      <c r="G156" s="68"/>
      <c r="H156" s="68"/>
      <c r="I156" s="68">
        <f>G156*H156</f>
        <v>0</v>
      </c>
      <c r="J156" s="21"/>
      <c r="K156" s="45" t="s">
        <v>131</v>
      </c>
      <c r="L156" s="96"/>
      <c r="M156" s="70"/>
      <c r="N156" s="76"/>
      <c r="O156" s="96"/>
      <c r="P156" s="70"/>
      <c r="Q156" s="76"/>
      <c r="R156" s="24"/>
    </row>
    <row r="157" spans="3:18" ht="18" customHeight="1">
      <c r="C157" s="70"/>
      <c r="D157" s="8"/>
      <c r="E157" s="8"/>
      <c r="F157" s="71" t="s">
        <v>131</v>
      </c>
      <c r="G157" s="68"/>
      <c r="H157" s="68">
        <v>5000</v>
      </c>
      <c r="I157" s="68">
        <f>G157*H157</f>
        <v>0</v>
      </c>
      <c r="J157" s="21"/>
      <c r="K157" s="45" t="s">
        <v>132</v>
      </c>
      <c r="L157" s="96"/>
      <c r="M157" s="70"/>
      <c r="N157" s="76"/>
      <c r="O157" s="96"/>
      <c r="P157" s="70"/>
      <c r="Q157" s="76"/>
      <c r="R157" s="15"/>
    </row>
    <row r="158" spans="3:18" ht="18" customHeight="1">
      <c r="C158" s="70"/>
      <c r="D158" s="8"/>
      <c r="E158" s="8"/>
      <c r="F158" s="71" t="s">
        <v>132</v>
      </c>
      <c r="G158" s="68"/>
      <c r="H158" s="68"/>
      <c r="I158" s="68">
        <f>G158*H158</f>
        <v>0</v>
      </c>
      <c r="J158" s="21"/>
      <c r="K158" s="11"/>
      <c r="L158" s="96"/>
      <c r="M158" s="70"/>
      <c r="N158" s="70"/>
      <c r="O158" s="96"/>
      <c r="P158" s="70"/>
      <c r="Q158" s="15"/>
      <c r="R158" s="15"/>
    </row>
    <row r="159" spans="3:18" ht="18" customHeight="1">
      <c r="C159" s="70"/>
      <c r="D159" s="8"/>
      <c r="E159" s="8"/>
      <c r="F159" s="637"/>
      <c r="G159" s="638"/>
      <c r="H159" s="638"/>
      <c r="I159" s="639"/>
      <c r="J159" s="13"/>
      <c r="K159" s="64"/>
    </row>
    <row r="160" spans="3:18" ht="18" customHeight="1"/>
    <row r="161" ht="18" customHeight="1"/>
    <row r="162" ht="18" customHeight="1"/>
  </sheetData>
  <autoFilter ref="C8:P162" xr:uid="{00000000-0009-0000-0000-000003000000}"/>
  <mergeCells count="18">
    <mergeCell ref="D57:F57"/>
    <mergeCell ref="C2:E2"/>
    <mergeCell ref="H2:J2"/>
    <mergeCell ref="C3:E3"/>
    <mergeCell ref="C4:E4"/>
    <mergeCell ref="H4:K5"/>
    <mergeCell ref="C5:E5"/>
    <mergeCell ref="C6:E6"/>
    <mergeCell ref="C10:F10"/>
    <mergeCell ref="F37:I37"/>
    <mergeCell ref="D41:F41"/>
    <mergeCell ref="F52:I52"/>
    <mergeCell ref="D101:F101"/>
    <mergeCell ref="F154:I154"/>
    <mergeCell ref="F159:I159"/>
    <mergeCell ref="D72:F72"/>
    <mergeCell ref="F69:I69"/>
    <mergeCell ref="F97:I97"/>
  </mergeCells>
  <phoneticPr fontId="14"/>
  <dataValidations disablePrompts="1" count="2">
    <dataValidation imeMode="hiragana" allowBlank="1" showInputMessage="1" showErrorMessage="1" sqref="K149 K61" xr:uid="{B84BE7E9-55FD-4D4B-B0E0-D452415C2C13}"/>
    <dataValidation allowBlank="1" showInputMessage="1" showErrorMessage="1" sqref="K36:K39" xr:uid="{2FF00C7E-BE37-4C85-B8D8-815E4716BDC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F150"/>
  <sheetViews>
    <sheetView zoomScale="85" zoomScaleNormal="85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I26" sqref="I26"/>
    </sheetView>
  </sheetViews>
  <sheetFormatPr defaultColWidth="11.75" defaultRowHeight="13.5" customHeight="1"/>
  <cols>
    <col min="1" max="1" width="11.75" style="112"/>
    <col min="2" max="2" width="3.125" style="37" customWidth="1"/>
    <col min="3" max="3" width="6.25" style="9" customWidth="1"/>
    <col min="4" max="4" width="15.25" style="4" customWidth="1"/>
    <col min="5" max="5" width="15.5" style="4" customWidth="1"/>
    <col min="6" max="6" width="40" style="4" customWidth="1"/>
    <col min="7" max="7" width="10.75" style="14" customWidth="1"/>
    <col min="8" max="9" width="12.125" style="14" customWidth="1"/>
    <col min="10" max="10" width="7.125" style="19" customWidth="1"/>
    <col min="11" max="11" width="38.5" style="4" customWidth="1"/>
    <col min="12" max="12" width="35.875" style="4" customWidth="1"/>
    <col min="13" max="13" width="8.125" style="9" customWidth="1"/>
    <col min="14" max="14" width="17" style="9" customWidth="1"/>
    <col min="15" max="15" width="7.875" style="4" customWidth="1"/>
    <col min="16" max="16" width="16.375" style="14" customWidth="1"/>
    <col min="17" max="17" width="17.875" style="158" customWidth="1"/>
    <col min="18" max="18" width="19.375" style="158" customWidth="1"/>
    <col min="19" max="118" width="11.75" style="3"/>
    <col min="119" max="218" width="11.75" style="2"/>
    <col min="219" max="318" width="11.75" style="1"/>
  </cols>
  <sheetData>
    <row r="2" spans="1:18" ht="20.100000000000001" customHeight="1">
      <c r="C2" s="632" t="s">
        <v>0</v>
      </c>
      <c r="D2" s="632"/>
      <c r="E2" s="632"/>
      <c r="F2" s="108"/>
      <c r="H2" s="633" t="s">
        <v>2</v>
      </c>
      <c r="I2" s="634"/>
      <c r="J2" s="635"/>
      <c r="K2" s="18">
        <f>SUM(I:I)</f>
        <v>222633</v>
      </c>
      <c r="L2" s="10"/>
      <c r="M2" s="14"/>
    </row>
    <row r="3" spans="1:18" ht="20.100000000000001" customHeight="1">
      <c r="C3" s="632" t="s">
        <v>3</v>
      </c>
      <c r="D3" s="632"/>
      <c r="E3" s="632"/>
      <c r="F3" s="16" t="s">
        <v>310</v>
      </c>
    </row>
    <row r="4" spans="1:18" ht="20.100000000000001" customHeight="1">
      <c r="C4" s="632" t="s">
        <v>5</v>
      </c>
      <c r="D4" s="632"/>
      <c r="E4" s="632"/>
      <c r="F4" s="16" t="s">
        <v>354</v>
      </c>
      <c r="H4" s="662"/>
      <c r="I4" s="636"/>
      <c r="J4" s="636"/>
      <c r="K4" s="636"/>
      <c r="L4" s="300"/>
    </row>
    <row r="5" spans="1:18" ht="20.100000000000001" customHeight="1">
      <c r="C5" s="632" t="s">
        <v>6</v>
      </c>
      <c r="D5" s="632"/>
      <c r="E5" s="632"/>
      <c r="F5" s="17">
        <v>44550</v>
      </c>
      <c r="H5" s="636"/>
      <c r="I5" s="636"/>
      <c r="J5" s="636"/>
      <c r="K5" s="636"/>
    </row>
    <row r="6" spans="1:18" ht="20.100000000000001" customHeight="1">
      <c r="C6" s="632" t="s">
        <v>7</v>
      </c>
      <c r="D6" s="632"/>
      <c r="E6" s="632"/>
      <c r="F6" s="17">
        <v>44554</v>
      </c>
      <c r="H6" s="371"/>
      <c r="I6" s="311"/>
    </row>
    <row r="8" spans="1:18" s="7" customFormat="1" ht="19.5" customHeight="1">
      <c r="A8" s="14"/>
      <c r="C8" s="8" t="s">
        <v>8</v>
      </c>
      <c r="D8" s="8" t="s">
        <v>9</v>
      </c>
      <c r="E8" s="8" t="s">
        <v>10</v>
      </c>
      <c r="F8" s="5" t="s">
        <v>11</v>
      </c>
      <c r="G8" s="70" t="s">
        <v>12</v>
      </c>
      <c r="H8" s="70" t="s">
        <v>13</v>
      </c>
      <c r="I8" s="6" t="s">
        <v>14</v>
      </c>
      <c r="J8" s="6" t="s">
        <v>15</v>
      </c>
      <c r="K8" s="5" t="s">
        <v>16</v>
      </c>
      <c r="L8" s="5" t="s">
        <v>17</v>
      </c>
      <c r="M8" s="5" t="s">
        <v>18</v>
      </c>
      <c r="N8" s="26" t="s">
        <v>19</v>
      </c>
      <c r="O8" s="8" t="s">
        <v>20</v>
      </c>
      <c r="P8" s="70" t="s">
        <v>21</v>
      </c>
      <c r="Q8" s="76" t="s">
        <v>22</v>
      </c>
      <c r="R8" s="15" t="s">
        <v>23</v>
      </c>
    </row>
    <row r="9" spans="1:18" s="7" customFormat="1" ht="19.5" customHeight="1">
      <c r="A9" s="14"/>
      <c r="C9" s="8"/>
      <c r="D9" s="8"/>
      <c r="E9" s="8"/>
      <c r="F9" s="12"/>
      <c r="G9" s="68"/>
      <c r="H9" s="68"/>
      <c r="I9" s="68"/>
      <c r="J9" s="21"/>
      <c r="K9" s="69"/>
      <c r="L9" s="5"/>
      <c r="M9" s="5"/>
      <c r="N9" s="26"/>
      <c r="O9" s="8"/>
      <c r="P9" s="70"/>
      <c r="Q9" s="76"/>
      <c r="R9" s="15"/>
    </row>
    <row r="10" spans="1:18" s="37" customFormat="1" ht="18" customHeight="1">
      <c r="A10" s="112"/>
      <c r="C10" s="640" t="s">
        <v>24</v>
      </c>
      <c r="D10" s="641"/>
      <c r="E10" s="641"/>
      <c r="F10" s="642"/>
      <c r="G10" s="111"/>
      <c r="H10" s="111"/>
      <c r="I10" s="68"/>
      <c r="J10" s="21"/>
      <c r="K10" s="45"/>
      <c r="L10" s="12"/>
      <c r="M10" s="11"/>
      <c r="N10" s="26"/>
      <c r="O10" s="15"/>
      <c r="P10" s="15"/>
      <c r="Q10" s="76"/>
      <c r="R10" s="24"/>
    </row>
    <row r="11" spans="1:18" ht="18" customHeight="1">
      <c r="A11" s="300" t="s">
        <v>351</v>
      </c>
      <c r="C11" s="114">
        <v>1</v>
      </c>
      <c r="D11" s="241" t="s">
        <v>196</v>
      </c>
      <c r="E11" s="241" t="s">
        <v>196</v>
      </c>
      <c r="F11" s="242" t="s">
        <v>165</v>
      </c>
      <c r="G11" s="243">
        <v>1</v>
      </c>
      <c r="H11" s="312">
        <v>8000</v>
      </c>
      <c r="I11" s="313">
        <f t="shared" ref="I11:I33" si="0">G11*H11</f>
        <v>8000</v>
      </c>
      <c r="J11" s="116"/>
      <c r="K11" s="115" t="s">
        <v>136</v>
      </c>
      <c r="L11" s="370"/>
      <c r="M11" s="128"/>
      <c r="N11" s="157"/>
      <c r="O11" s="115"/>
      <c r="P11" s="157"/>
      <c r="Q11" s="157"/>
      <c r="R11" s="134"/>
    </row>
    <row r="12" spans="1:18" ht="18" customHeight="1">
      <c r="A12" s="300" t="s">
        <v>351</v>
      </c>
      <c r="C12" s="114">
        <f t="shared" ref="C12:C23" si="1">+C11+1</f>
        <v>2</v>
      </c>
      <c r="D12" s="241" t="s">
        <v>196</v>
      </c>
      <c r="E12" s="241" t="s">
        <v>196</v>
      </c>
      <c r="F12" s="242" t="s">
        <v>166</v>
      </c>
      <c r="G12" s="243">
        <v>1</v>
      </c>
      <c r="H12" s="312">
        <v>6750</v>
      </c>
      <c r="I12" s="313">
        <f t="shared" si="0"/>
        <v>6750</v>
      </c>
      <c r="J12" s="116"/>
      <c r="K12" s="115" t="s">
        <v>137</v>
      </c>
      <c r="L12" s="370"/>
      <c r="M12" s="128"/>
      <c r="N12" s="157"/>
      <c r="O12" s="115"/>
      <c r="P12" s="157"/>
      <c r="Q12" s="157"/>
      <c r="R12" s="134"/>
    </row>
    <row r="13" spans="1:18" ht="18" customHeight="1">
      <c r="A13" s="300" t="s">
        <v>351</v>
      </c>
      <c r="C13" s="114">
        <f t="shared" si="1"/>
        <v>3</v>
      </c>
      <c r="D13" s="241" t="s">
        <v>196</v>
      </c>
      <c r="E13" s="241" t="s">
        <v>196</v>
      </c>
      <c r="F13" s="242" t="s">
        <v>331</v>
      </c>
      <c r="G13" s="243">
        <v>1</v>
      </c>
      <c r="H13" s="312">
        <v>5000</v>
      </c>
      <c r="I13" s="313">
        <f t="shared" si="0"/>
        <v>5000</v>
      </c>
      <c r="J13" s="116"/>
      <c r="K13" s="129" t="s">
        <v>171</v>
      </c>
      <c r="L13" s="370"/>
      <c r="M13" s="128"/>
      <c r="N13" s="157"/>
      <c r="O13" s="115"/>
      <c r="P13" s="157"/>
      <c r="Q13" s="157"/>
      <c r="R13" s="134"/>
    </row>
    <row r="14" spans="1:18" ht="18" customHeight="1">
      <c r="A14" s="300" t="s">
        <v>351</v>
      </c>
      <c r="C14" s="114">
        <f t="shared" si="1"/>
        <v>4</v>
      </c>
      <c r="D14" s="241" t="s">
        <v>196</v>
      </c>
      <c r="E14" s="241" t="s">
        <v>196</v>
      </c>
      <c r="F14" s="242" t="s">
        <v>167</v>
      </c>
      <c r="G14" s="243">
        <v>1</v>
      </c>
      <c r="H14" s="312">
        <v>4500</v>
      </c>
      <c r="I14" s="313">
        <f t="shared" si="0"/>
        <v>4500</v>
      </c>
      <c r="J14" s="116"/>
      <c r="K14" s="129" t="s">
        <v>170</v>
      </c>
      <c r="L14" s="370"/>
      <c r="M14" s="128"/>
      <c r="N14" s="157"/>
      <c r="O14" s="115"/>
      <c r="P14" s="157"/>
      <c r="Q14" s="157"/>
      <c r="R14" s="134"/>
    </row>
    <row r="15" spans="1:18" ht="18" customHeight="1">
      <c r="A15" s="300" t="s">
        <v>351</v>
      </c>
      <c r="C15" s="114">
        <f t="shared" si="1"/>
        <v>5</v>
      </c>
      <c r="D15" s="241" t="s">
        <v>196</v>
      </c>
      <c r="E15" s="241" t="s">
        <v>196</v>
      </c>
      <c r="F15" s="242" t="s">
        <v>168</v>
      </c>
      <c r="G15" s="243">
        <v>1</v>
      </c>
      <c r="H15" s="312">
        <v>4200</v>
      </c>
      <c r="I15" s="313">
        <f t="shared" si="0"/>
        <v>4200</v>
      </c>
      <c r="J15" s="116"/>
      <c r="K15" s="115" t="s">
        <v>138</v>
      </c>
      <c r="L15" s="370"/>
      <c r="M15" s="128"/>
      <c r="N15" s="157"/>
      <c r="O15" s="115"/>
      <c r="P15" s="157"/>
      <c r="Q15" s="157"/>
      <c r="R15" s="134"/>
    </row>
    <row r="16" spans="1:18" ht="18" customHeight="1">
      <c r="A16" s="300" t="s">
        <v>351</v>
      </c>
      <c r="C16" s="114">
        <f t="shared" si="1"/>
        <v>6</v>
      </c>
      <c r="D16" s="241" t="s">
        <v>196</v>
      </c>
      <c r="E16" s="241" t="s">
        <v>196</v>
      </c>
      <c r="F16" s="242" t="s">
        <v>169</v>
      </c>
      <c r="G16" s="243">
        <v>1</v>
      </c>
      <c r="H16" s="312">
        <v>9000</v>
      </c>
      <c r="I16" s="313">
        <f t="shared" si="0"/>
        <v>9000</v>
      </c>
      <c r="J16" s="116"/>
      <c r="K16" s="129" t="s">
        <v>172</v>
      </c>
      <c r="L16" s="370"/>
      <c r="M16" s="128"/>
      <c r="N16" s="157"/>
      <c r="O16" s="115"/>
      <c r="P16" s="157"/>
      <c r="Q16" s="157"/>
      <c r="R16" s="134"/>
    </row>
    <row r="17" spans="1:18" ht="18" customHeight="1">
      <c r="A17" s="300" t="s">
        <v>352</v>
      </c>
      <c r="C17" s="114">
        <f t="shared" si="1"/>
        <v>7</v>
      </c>
      <c r="D17" s="235" t="s">
        <v>145</v>
      </c>
      <c r="E17" s="235" t="s">
        <v>145</v>
      </c>
      <c r="F17" s="238" t="s">
        <v>328</v>
      </c>
      <c r="G17" s="239">
        <v>1</v>
      </c>
      <c r="H17" s="314">
        <v>2150</v>
      </c>
      <c r="I17" s="313">
        <f t="shared" si="0"/>
        <v>2150</v>
      </c>
      <c r="J17" s="116"/>
      <c r="K17" s="129" t="s">
        <v>327</v>
      </c>
      <c r="L17" s="71"/>
      <c r="M17" s="128"/>
      <c r="N17" s="157"/>
      <c r="O17" s="115"/>
      <c r="P17" s="157"/>
      <c r="Q17" s="157"/>
      <c r="R17" s="134"/>
    </row>
    <row r="18" spans="1:18" ht="18" customHeight="1">
      <c r="A18" s="300" t="s">
        <v>353</v>
      </c>
      <c r="C18" s="114">
        <f>+C17+1</f>
        <v>8</v>
      </c>
      <c r="D18" s="113" t="s">
        <v>37</v>
      </c>
      <c r="E18" s="113" t="s">
        <v>37</v>
      </c>
      <c r="F18" s="355" t="s">
        <v>274</v>
      </c>
      <c r="G18" s="356">
        <v>1</v>
      </c>
      <c r="H18" s="356">
        <v>480</v>
      </c>
      <c r="I18" s="313">
        <f t="shared" si="0"/>
        <v>480</v>
      </c>
      <c r="J18" s="116"/>
      <c r="K18" s="115" t="s">
        <v>139</v>
      </c>
      <c r="L18" s="115"/>
      <c r="M18" s="128"/>
      <c r="N18" s="157"/>
      <c r="O18" s="115"/>
      <c r="P18" s="128"/>
      <c r="Q18" s="157"/>
      <c r="R18" s="134"/>
    </row>
    <row r="19" spans="1:18" ht="18" customHeight="1">
      <c r="A19" s="300" t="s">
        <v>353</v>
      </c>
      <c r="C19" s="114">
        <f t="shared" si="1"/>
        <v>9</v>
      </c>
      <c r="D19" s="113" t="s">
        <v>37</v>
      </c>
      <c r="E19" s="113" t="s">
        <v>37</v>
      </c>
      <c r="F19" s="355" t="s">
        <v>173</v>
      </c>
      <c r="G19" s="356">
        <v>1</v>
      </c>
      <c r="H19" s="356">
        <v>530</v>
      </c>
      <c r="I19" s="313">
        <f t="shared" si="0"/>
        <v>530</v>
      </c>
      <c r="J19" s="116"/>
      <c r="K19" s="129" t="s">
        <v>163</v>
      </c>
      <c r="L19" s="115"/>
      <c r="M19" s="128"/>
      <c r="N19" s="157"/>
      <c r="O19" s="115"/>
      <c r="P19" s="128"/>
      <c r="Q19" s="157"/>
      <c r="R19" s="134"/>
    </row>
    <row r="20" spans="1:18" ht="18" customHeight="1">
      <c r="A20" s="300" t="s">
        <v>353</v>
      </c>
      <c r="C20" s="114">
        <f t="shared" si="1"/>
        <v>10</v>
      </c>
      <c r="D20" s="113" t="s">
        <v>37</v>
      </c>
      <c r="E20" s="113" t="s">
        <v>37</v>
      </c>
      <c r="F20" s="355" t="s">
        <v>275</v>
      </c>
      <c r="G20" s="356">
        <v>1</v>
      </c>
      <c r="H20" s="356">
        <v>220</v>
      </c>
      <c r="I20" s="313">
        <f t="shared" si="0"/>
        <v>220</v>
      </c>
      <c r="J20" s="116"/>
      <c r="K20" s="115" t="s">
        <v>140</v>
      </c>
      <c r="L20" s="115"/>
      <c r="M20" s="128"/>
      <c r="N20" s="157"/>
      <c r="O20" s="115"/>
      <c r="P20" s="128"/>
      <c r="Q20" s="157"/>
      <c r="R20" s="134"/>
    </row>
    <row r="21" spans="1:18" ht="18" customHeight="1">
      <c r="A21" s="300" t="s">
        <v>355</v>
      </c>
      <c r="C21" s="114">
        <f t="shared" si="1"/>
        <v>11</v>
      </c>
      <c r="D21" s="113" t="s">
        <v>37</v>
      </c>
      <c r="E21" s="113" t="s">
        <v>37</v>
      </c>
      <c r="F21" s="355" t="s">
        <v>276</v>
      </c>
      <c r="G21" s="356">
        <v>1</v>
      </c>
      <c r="H21" s="356">
        <v>1490</v>
      </c>
      <c r="I21" s="313">
        <f t="shared" si="0"/>
        <v>1490</v>
      </c>
      <c r="J21" s="116"/>
      <c r="K21" s="115" t="s">
        <v>141</v>
      </c>
      <c r="L21" s="115"/>
      <c r="M21" s="128"/>
      <c r="N21" s="157"/>
      <c r="O21" s="115"/>
      <c r="P21" s="128"/>
      <c r="Q21" s="157"/>
      <c r="R21" s="134"/>
    </row>
    <row r="22" spans="1:18" ht="18" customHeight="1">
      <c r="A22" s="300" t="s">
        <v>355</v>
      </c>
      <c r="C22" s="114">
        <f t="shared" si="1"/>
        <v>12</v>
      </c>
      <c r="D22" s="113" t="s">
        <v>37</v>
      </c>
      <c r="E22" s="113" t="s">
        <v>37</v>
      </c>
      <c r="F22" s="355" t="s">
        <v>277</v>
      </c>
      <c r="G22" s="356">
        <v>1</v>
      </c>
      <c r="H22" s="356">
        <v>9220</v>
      </c>
      <c r="I22" s="313">
        <f t="shared" si="0"/>
        <v>9220</v>
      </c>
      <c r="J22" s="116"/>
      <c r="K22" s="115" t="s">
        <v>142</v>
      </c>
      <c r="L22" s="115"/>
      <c r="M22" s="128"/>
      <c r="N22" s="157"/>
      <c r="O22" s="115"/>
      <c r="P22" s="128"/>
      <c r="Q22" s="157"/>
      <c r="R22" s="134"/>
    </row>
    <row r="23" spans="1:18" ht="18" customHeight="1">
      <c r="A23" s="300" t="s">
        <v>355</v>
      </c>
      <c r="C23" s="114">
        <f t="shared" si="1"/>
        <v>13</v>
      </c>
      <c r="D23" s="113" t="s">
        <v>37</v>
      </c>
      <c r="E23" s="113" t="s">
        <v>37</v>
      </c>
      <c r="F23" s="355" t="s">
        <v>278</v>
      </c>
      <c r="G23" s="356">
        <v>1</v>
      </c>
      <c r="H23" s="356">
        <v>1130</v>
      </c>
      <c r="I23" s="313">
        <f t="shared" si="0"/>
        <v>1130</v>
      </c>
      <c r="J23" s="116"/>
      <c r="K23" s="115" t="s">
        <v>143</v>
      </c>
      <c r="L23" s="115"/>
      <c r="M23" s="128"/>
      <c r="N23" s="157"/>
      <c r="O23" s="115"/>
      <c r="P23" s="128"/>
      <c r="Q23" s="157"/>
      <c r="R23" s="134"/>
    </row>
    <row r="24" spans="1:18" s="37" customFormat="1" ht="18" customHeight="1">
      <c r="A24" s="300" t="s">
        <v>353</v>
      </c>
      <c r="C24" s="110">
        <f>+C23+1</f>
        <v>14</v>
      </c>
      <c r="D24" s="113" t="s">
        <v>344</v>
      </c>
      <c r="E24" s="384" t="s">
        <v>340</v>
      </c>
      <c r="F24" s="357" t="s">
        <v>345</v>
      </c>
      <c r="G24" s="358">
        <v>10</v>
      </c>
      <c r="H24" s="359">
        <v>15</v>
      </c>
      <c r="I24" s="315">
        <f t="shared" si="0"/>
        <v>150</v>
      </c>
      <c r="J24" s="151"/>
      <c r="K24" s="152" t="s">
        <v>175</v>
      </c>
      <c r="L24" s="385" t="s">
        <v>342</v>
      </c>
      <c r="M24" s="51"/>
      <c r="N24" s="157"/>
      <c r="O24" s="132"/>
      <c r="P24" s="157"/>
      <c r="Q24" s="157"/>
      <c r="R24" s="134"/>
    </row>
    <row r="25" spans="1:18" s="37" customFormat="1" ht="18" customHeight="1">
      <c r="A25" s="300" t="s">
        <v>353</v>
      </c>
      <c r="C25" s="110">
        <f t="shared" ref="C25:C27" si="2">+C24+1</f>
        <v>15</v>
      </c>
      <c r="D25" s="23" t="s">
        <v>37</v>
      </c>
      <c r="E25" s="23" t="s">
        <v>37</v>
      </c>
      <c r="F25" s="360" t="s">
        <v>174</v>
      </c>
      <c r="G25" s="316">
        <v>1</v>
      </c>
      <c r="H25" s="361">
        <v>248</v>
      </c>
      <c r="I25" s="316">
        <f t="shared" si="0"/>
        <v>248</v>
      </c>
      <c r="J25" s="150"/>
      <c r="K25" s="147" t="s">
        <v>164</v>
      </c>
      <c r="L25" s="214" t="s">
        <v>341</v>
      </c>
      <c r="M25" s="11"/>
      <c r="N25" s="157"/>
      <c r="O25" s="15"/>
      <c r="P25" s="15"/>
      <c r="Q25" s="157"/>
      <c r="R25" s="134"/>
    </row>
    <row r="26" spans="1:18" s="37" customFormat="1" ht="18" customHeight="1">
      <c r="A26" s="300" t="s">
        <v>353</v>
      </c>
      <c r="C26" s="110">
        <f t="shared" si="2"/>
        <v>16</v>
      </c>
      <c r="D26" s="23" t="s">
        <v>37</v>
      </c>
      <c r="E26" s="23" t="s">
        <v>37</v>
      </c>
      <c r="F26" s="362" t="s">
        <v>176</v>
      </c>
      <c r="G26" s="363">
        <v>30</v>
      </c>
      <c r="H26" s="361">
        <v>19</v>
      </c>
      <c r="I26" s="89">
        <f t="shared" si="0"/>
        <v>570</v>
      </c>
      <c r="J26" s="6"/>
      <c r="K26" s="90" t="s">
        <v>133</v>
      </c>
      <c r="L26" s="12"/>
      <c r="M26" s="11"/>
      <c r="N26" s="157"/>
      <c r="O26" s="15"/>
      <c r="P26" s="15"/>
      <c r="Q26" s="157"/>
      <c r="R26" s="134"/>
    </row>
    <row r="27" spans="1:18" s="37" customFormat="1" ht="18" customHeight="1">
      <c r="A27" s="300" t="s">
        <v>353</v>
      </c>
      <c r="C27" s="110">
        <f t="shared" si="2"/>
        <v>17</v>
      </c>
      <c r="D27" s="23" t="s">
        <v>37</v>
      </c>
      <c r="E27" s="23" t="s">
        <v>37</v>
      </c>
      <c r="F27" s="362" t="s">
        <v>177</v>
      </c>
      <c r="G27" s="363">
        <v>4</v>
      </c>
      <c r="H27" s="361">
        <v>169</v>
      </c>
      <c r="I27" s="89">
        <f t="shared" si="0"/>
        <v>676</v>
      </c>
      <c r="J27" s="6"/>
      <c r="K27" s="90" t="s">
        <v>178</v>
      </c>
      <c r="L27" s="12"/>
      <c r="M27" s="11"/>
      <c r="N27" s="157"/>
      <c r="O27" s="15"/>
      <c r="P27" s="15"/>
      <c r="Q27" s="157"/>
      <c r="R27" s="134"/>
    </row>
    <row r="28" spans="1:18" s="112" customFormat="1" ht="18" customHeight="1">
      <c r="A28" s="300" t="s">
        <v>353</v>
      </c>
      <c r="C28" s="111">
        <f>+C27+1</f>
        <v>18</v>
      </c>
      <c r="D28" s="8" t="s">
        <v>37</v>
      </c>
      <c r="E28" s="8" t="s">
        <v>37</v>
      </c>
      <c r="F28" s="147" t="s">
        <v>185</v>
      </c>
      <c r="G28" s="361">
        <v>1</v>
      </c>
      <c r="H28" s="364">
        <v>212</v>
      </c>
      <c r="I28" s="68">
        <f t="shared" si="0"/>
        <v>212</v>
      </c>
      <c r="J28" s="13"/>
      <c r="K28" s="153" t="s">
        <v>184</v>
      </c>
      <c r="L28" s="71"/>
      <c r="M28" s="11"/>
      <c r="N28" s="157"/>
      <c r="O28" s="15"/>
      <c r="P28" s="15"/>
      <c r="Q28" s="157"/>
      <c r="R28" s="134"/>
    </row>
    <row r="29" spans="1:18" s="37" customFormat="1" ht="18" customHeight="1">
      <c r="A29" s="300" t="s">
        <v>353</v>
      </c>
      <c r="C29" s="110">
        <f>+C28+1</f>
        <v>19</v>
      </c>
      <c r="D29" s="23" t="s">
        <v>37</v>
      </c>
      <c r="E29" s="23" t="s">
        <v>37</v>
      </c>
      <c r="F29" s="147" t="s">
        <v>180</v>
      </c>
      <c r="G29" s="363">
        <v>2</v>
      </c>
      <c r="H29" s="361">
        <v>136</v>
      </c>
      <c r="I29" s="89">
        <f t="shared" si="0"/>
        <v>272</v>
      </c>
      <c r="J29" s="6"/>
      <c r="K29" s="153" t="s">
        <v>179</v>
      </c>
      <c r="L29" s="12"/>
      <c r="M29" s="11"/>
      <c r="N29" s="157"/>
      <c r="O29" s="15"/>
      <c r="P29" s="15"/>
      <c r="Q29" s="157"/>
      <c r="R29" s="134"/>
    </row>
    <row r="30" spans="1:18" s="112" customFormat="1" ht="18" customHeight="1">
      <c r="C30" s="111">
        <f>+C29+1</f>
        <v>20</v>
      </c>
      <c r="D30" s="399" t="s">
        <v>37</v>
      </c>
      <c r="E30" s="399" t="s">
        <v>37</v>
      </c>
      <c r="F30" s="400" t="s">
        <v>181</v>
      </c>
      <c r="G30" s="411">
        <v>10</v>
      </c>
      <c r="H30" s="401">
        <v>27</v>
      </c>
      <c r="I30" s="402">
        <f t="shared" ref="I30" si="3">G30*H30</f>
        <v>270</v>
      </c>
      <c r="J30" s="403"/>
      <c r="K30" s="404" t="s">
        <v>51</v>
      </c>
      <c r="L30" s="261" t="s">
        <v>313</v>
      </c>
      <c r="M30" s="11"/>
      <c r="N30" s="157"/>
      <c r="O30" s="15"/>
      <c r="P30" s="15"/>
      <c r="Q30" s="157"/>
      <c r="R30" s="134"/>
    </row>
    <row r="31" spans="1:18" s="37" customFormat="1" ht="18" customHeight="1">
      <c r="A31" s="112"/>
      <c r="C31" s="111">
        <f t="shared" ref="C31:C48" si="4">+C30+1</f>
        <v>21</v>
      </c>
      <c r="D31" s="399" t="s">
        <v>37</v>
      </c>
      <c r="E31" s="399" t="s">
        <v>37</v>
      </c>
      <c r="F31" s="400" t="s">
        <v>182</v>
      </c>
      <c r="G31" s="411">
        <v>10</v>
      </c>
      <c r="H31" s="401">
        <v>23</v>
      </c>
      <c r="I31" s="402">
        <f t="shared" si="0"/>
        <v>230</v>
      </c>
      <c r="J31" s="403"/>
      <c r="K31" s="404" t="s">
        <v>51</v>
      </c>
      <c r="L31" s="261" t="s">
        <v>314</v>
      </c>
      <c r="M31" s="11"/>
      <c r="N31" s="157"/>
      <c r="O31" s="15"/>
      <c r="P31" s="15"/>
      <c r="Q31" s="157"/>
      <c r="R31" s="134"/>
    </row>
    <row r="32" spans="1:18" s="37" customFormat="1" ht="18" customHeight="1">
      <c r="A32" s="112"/>
      <c r="C32" s="111">
        <f t="shared" si="4"/>
        <v>22</v>
      </c>
      <c r="D32" s="399" t="s">
        <v>37</v>
      </c>
      <c r="E32" s="399" t="s">
        <v>37</v>
      </c>
      <c r="F32" s="400" t="s">
        <v>315</v>
      </c>
      <c r="G32" s="411">
        <v>10</v>
      </c>
      <c r="H32" s="401">
        <v>23</v>
      </c>
      <c r="I32" s="402">
        <f t="shared" si="0"/>
        <v>230</v>
      </c>
      <c r="J32" s="403"/>
      <c r="K32" s="404" t="s">
        <v>53</v>
      </c>
      <c r="L32" s="261" t="s">
        <v>316</v>
      </c>
      <c r="M32" s="11"/>
      <c r="N32" s="157"/>
      <c r="O32" s="15"/>
      <c r="P32" s="15"/>
      <c r="Q32" s="157"/>
      <c r="R32" s="134"/>
    </row>
    <row r="33" spans="1:18" s="37" customFormat="1" ht="18" customHeight="1">
      <c r="A33" s="112"/>
      <c r="C33" s="111">
        <f t="shared" si="4"/>
        <v>23</v>
      </c>
      <c r="D33" s="399" t="s">
        <v>37</v>
      </c>
      <c r="E33" s="399" t="s">
        <v>37</v>
      </c>
      <c r="F33" s="400" t="s">
        <v>318</v>
      </c>
      <c r="G33" s="411">
        <v>10</v>
      </c>
      <c r="H33" s="401">
        <v>27</v>
      </c>
      <c r="I33" s="402">
        <f t="shared" si="0"/>
        <v>270</v>
      </c>
      <c r="J33" s="403"/>
      <c r="K33" s="404" t="s">
        <v>55</v>
      </c>
      <c r="L33" s="261" t="s">
        <v>313</v>
      </c>
      <c r="M33" s="11"/>
      <c r="N33" s="157"/>
      <c r="O33" s="15"/>
      <c r="P33" s="15"/>
      <c r="Q33" s="157"/>
      <c r="R33" s="134"/>
    </row>
    <row r="34" spans="1:18" s="112" customFormat="1" ht="18" customHeight="1">
      <c r="C34" s="111">
        <f t="shared" si="4"/>
        <v>24</v>
      </c>
      <c r="D34" s="399" t="s">
        <v>37</v>
      </c>
      <c r="E34" s="399" t="s">
        <v>37</v>
      </c>
      <c r="F34" s="400" t="s">
        <v>183</v>
      </c>
      <c r="G34" s="411">
        <v>10</v>
      </c>
      <c r="H34" s="401">
        <v>27</v>
      </c>
      <c r="I34" s="402">
        <f t="shared" ref="I34" si="5">G34*H34</f>
        <v>270</v>
      </c>
      <c r="J34" s="403"/>
      <c r="K34" s="404" t="s">
        <v>55</v>
      </c>
      <c r="L34" s="261" t="s">
        <v>317</v>
      </c>
      <c r="M34" s="11"/>
      <c r="N34" s="157"/>
      <c r="O34" s="15"/>
      <c r="P34" s="15"/>
      <c r="Q34" s="157"/>
      <c r="R34" s="134"/>
    </row>
    <row r="35" spans="1:18" s="112" customFormat="1" ht="18" customHeight="1">
      <c r="C35" s="111">
        <f t="shared" si="4"/>
        <v>25</v>
      </c>
      <c r="D35" s="405" t="s">
        <v>37</v>
      </c>
      <c r="E35" s="405" t="s">
        <v>37</v>
      </c>
      <c r="F35" s="406" t="s">
        <v>186</v>
      </c>
      <c r="G35" s="412">
        <v>10</v>
      </c>
      <c r="H35" s="407">
        <v>27</v>
      </c>
      <c r="I35" s="408">
        <f t="shared" ref="I35:I36" si="6">G35*H35</f>
        <v>270</v>
      </c>
      <c r="J35" s="409"/>
      <c r="K35" s="410" t="s">
        <v>55</v>
      </c>
      <c r="L35" s="261" t="s">
        <v>314</v>
      </c>
      <c r="M35" s="205"/>
      <c r="N35" s="157"/>
      <c r="O35" s="15"/>
      <c r="P35" s="15"/>
      <c r="Q35" s="157"/>
      <c r="R35" s="134"/>
    </row>
    <row r="36" spans="1:18" s="112" customFormat="1" ht="18" customHeight="1">
      <c r="A36" s="300" t="s">
        <v>353</v>
      </c>
      <c r="C36" s="111">
        <f t="shared" si="4"/>
        <v>26</v>
      </c>
      <c r="D36" s="206" t="s">
        <v>37</v>
      </c>
      <c r="E36" s="206" t="s">
        <v>37</v>
      </c>
      <c r="F36" s="365" t="s">
        <v>279</v>
      </c>
      <c r="G36" s="208">
        <v>5</v>
      </c>
      <c r="H36" s="366">
        <v>120</v>
      </c>
      <c r="I36" s="317">
        <f t="shared" si="6"/>
        <v>600</v>
      </c>
      <c r="J36" s="209"/>
      <c r="K36" s="210" t="s">
        <v>156</v>
      </c>
      <c r="L36" s="215" t="s">
        <v>287</v>
      </c>
      <c r="M36" s="51"/>
      <c r="N36" s="157"/>
      <c r="O36" s="15"/>
      <c r="P36" s="15"/>
      <c r="Q36" s="157"/>
      <c r="R36" s="134"/>
    </row>
    <row r="37" spans="1:18" s="112" customFormat="1" ht="18" customHeight="1">
      <c r="A37" s="300" t="s">
        <v>353</v>
      </c>
      <c r="C37" s="111">
        <f t="shared" si="4"/>
        <v>27</v>
      </c>
      <c r="D37" s="139" t="s">
        <v>145</v>
      </c>
      <c r="E37" s="139" t="s">
        <v>145</v>
      </c>
      <c r="F37" s="367" t="s">
        <v>282</v>
      </c>
      <c r="G37" s="135">
        <v>1</v>
      </c>
      <c r="H37" s="294">
        <v>230</v>
      </c>
      <c r="I37" s="135">
        <f>G37*H37</f>
        <v>230</v>
      </c>
      <c r="J37" s="141"/>
      <c r="K37" s="140" t="s">
        <v>283</v>
      </c>
      <c r="L37" s="214" t="s">
        <v>287</v>
      </c>
      <c r="M37" s="11"/>
      <c r="N37" s="157"/>
      <c r="O37" s="15"/>
      <c r="P37" s="15"/>
      <c r="Q37" s="157"/>
      <c r="R37" s="134"/>
    </row>
    <row r="38" spans="1:18" s="112" customFormat="1" ht="18" customHeight="1">
      <c r="A38" s="300" t="s">
        <v>353</v>
      </c>
      <c r="C38" s="111">
        <f t="shared" si="4"/>
        <v>28</v>
      </c>
      <c r="D38" s="139" t="s">
        <v>145</v>
      </c>
      <c r="E38" s="139" t="s">
        <v>145</v>
      </c>
      <c r="F38" s="367" t="s">
        <v>290</v>
      </c>
      <c r="G38" s="135">
        <v>1</v>
      </c>
      <c r="H38" s="294">
        <v>270</v>
      </c>
      <c r="I38" s="135">
        <f t="shared" ref="I38:I39" si="7">G38*H38</f>
        <v>270</v>
      </c>
      <c r="J38" s="141"/>
      <c r="K38" s="140" t="s">
        <v>289</v>
      </c>
      <c r="L38" s="214" t="s">
        <v>291</v>
      </c>
      <c r="M38" s="11"/>
      <c r="N38" s="157"/>
      <c r="O38" s="15"/>
      <c r="P38" s="15"/>
      <c r="Q38" s="157"/>
      <c r="R38" s="134"/>
    </row>
    <row r="39" spans="1:18" s="112" customFormat="1" ht="18" customHeight="1">
      <c r="A39" s="300" t="s">
        <v>353</v>
      </c>
      <c r="C39" s="111">
        <f t="shared" si="4"/>
        <v>29</v>
      </c>
      <c r="D39" s="136" t="s">
        <v>37</v>
      </c>
      <c r="E39" s="136" t="s">
        <v>37</v>
      </c>
      <c r="F39" s="368" t="s">
        <v>284</v>
      </c>
      <c r="G39" s="135">
        <v>2</v>
      </c>
      <c r="H39" s="294">
        <v>270</v>
      </c>
      <c r="I39" s="135">
        <f t="shared" si="7"/>
        <v>540</v>
      </c>
      <c r="J39" s="141"/>
      <c r="K39" s="140" t="s">
        <v>285</v>
      </c>
      <c r="L39" s="214" t="s">
        <v>286</v>
      </c>
      <c r="M39" s="11"/>
      <c r="N39" s="157"/>
      <c r="O39" s="15"/>
      <c r="P39" s="15"/>
      <c r="Q39" s="157"/>
      <c r="R39" s="134"/>
    </row>
    <row r="40" spans="1:18" s="112" customFormat="1" ht="18" customHeight="1">
      <c r="A40" s="300" t="s">
        <v>353</v>
      </c>
      <c r="C40" s="111">
        <f t="shared" si="4"/>
        <v>30</v>
      </c>
      <c r="D40" s="136" t="s">
        <v>37</v>
      </c>
      <c r="E40" s="136" t="s">
        <v>37</v>
      </c>
      <c r="F40" s="145" t="s">
        <v>197</v>
      </c>
      <c r="G40" s="143">
        <v>2</v>
      </c>
      <c r="H40" s="369">
        <v>669</v>
      </c>
      <c r="I40" s="231">
        <f t="shared" ref="I40:I48" si="8">G40*H40</f>
        <v>1338</v>
      </c>
      <c r="J40" s="144"/>
      <c r="K40" s="142" t="s">
        <v>161</v>
      </c>
      <c r="L40" s="214" t="s">
        <v>288</v>
      </c>
      <c r="M40" s="11"/>
      <c r="N40" s="157"/>
      <c r="O40" s="15"/>
      <c r="P40" s="15"/>
      <c r="Q40" s="157"/>
      <c r="R40" s="134"/>
    </row>
    <row r="41" spans="1:18" s="112" customFormat="1" ht="18" customHeight="1">
      <c r="A41" s="300" t="s">
        <v>353</v>
      </c>
      <c r="C41" s="111">
        <f t="shared" si="4"/>
        <v>31</v>
      </c>
      <c r="D41" s="136" t="s">
        <v>157</v>
      </c>
      <c r="E41" s="119" t="s">
        <v>195</v>
      </c>
      <c r="F41" s="368" t="s">
        <v>158</v>
      </c>
      <c r="G41" s="135">
        <v>1</v>
      </c>
      <c r="H41" s="294">
        <v>2340</v>
      </c>
      <c r="I41" s="318">
        <f t="shared" si="8"/>
        <v>2340</v>
      </c>
      <c r="J41" s="137"/>
      <c r="K41" s="138" t="s">
        <v>356</v>
      </c>
      <c r="L41" s="214" t="s">
        <v>287</v>
      </c>
      <c r="M41" s="11"/>
      <c r="N41" s="382"/>
      <c r="O41" s="15"/>
      <c r="P41" s="157"/>
      <c r="Q41" s="382"/>
      <c r="R41" s="383"/>
    </row>
    <row r="42" spans="1:18" s="112" customFormat="1" ht="18" customHeight="1">
      <c r="A42" s="112" t="s">
        <v>352</v>
      </c>
      <c r="C42" s="111">
        <f t="shared" si="4"/>
        <v>32</v>
      </c>
      <c r="D42" s="136" t="s">
        <v>157</v>
      </c>
      <c r="E42" s="119" t="s">
        <v>195</v>
      </c>
      <c r="F42" s="368" t="s">
        <v>159</v>
      </c>
      <c r="G42" s="135">
        <v>1</v>
      </c>
      <c r="H42" s="294">
        <v>4740</v>
      </c>
      <c r="I42" s="318">
        <f t="shared" si="8"/>
        <v>4740</v>
      </c>
      <c r="J42" s="137"/>
      <c r="K42" s="138" t="s">
        <v>357</v>
      </c>
      <c r="L42" s="214" t="s">
        <v>287</v>
      </c>
      <c r="M42" s="11"/>
      <c r="N42" s="382"/>
      <c r="O42" s="15"/>
      <c r="P42" s="157"/>
      <c r="Q42" s="382"/>
      <c r="R42" s="383"/>
    </row>
    <row r="43" spans="1:18" s="112" customFormat="1" ht="18" customHeight="1">
      <c r="A43" s="300" t="s">
        <v>353</v>
      </c>
      <c r="C43" s="111">
        <f t="shared" si="4"/>
        <v>33</v>
      </c>
      <c r="D43" s="136" t="s">
        <v>157</v>
      </c>
      <c r="E43" s="119" t="s">
        <v>195</v>
      </c>
      <c r="F43" s="368" t="s">
        <v>280</v>
      </c>
      <c r="G43" s="135">
        <v>2</v>
      </c>
      <c r="H43" s="294">
        <v>210</v>
      </c>
      <c r="I43" s="318">
        <f t="shared" si="8"/>
        <v>420</v>
      </c>
      <c r="J43" s="137"/>
      <c r="K43" s="138" t="s">
        <v>358</v>
      </c>
      <c r="L43" s="214" t="s">
        <v>287</v>
      </c>
      <c r="M43" s="11"/>
      <c r="N43" s="382"/>
      <c r="O43" s="15"/>
      <c r="P43" s="157"/>
      <c r="Q43" s="382"/>
      <c r="R43" s="383"/>
    </row>
    <row r="44" spans="1:18" s="112" customFormat="1" ht="18" customHeight="1">
      <c r="A44" s="300" t="s">
        <v>360</v>
      </c>
      <c r="C44" s="111">
        <f t="shared" si="4"/>
        <v>34</v>
      </c>
      <c r="D44" s="136" t="s">
        <v>157</v>
      </c>
      <c r="E44" s="119" t="s">
        <v>195</v>
      </c>
      <c r="F44" s="368" t="s">
        <v>343</v>
      </c>
      <c r="G44" s="135">
        <v>2</v>
      </c>
      <c r="H44" s="294">
        <v>260</v>
      </c>
      <c r="I44" s="318">
        <f t="shared" si="8"/>
        <v>520</v>
      </c>
      <c r="J44" s="137"/>
      <c r="K44" s="138" t="s">
        <v>359</v>
      </c>
      <c r="L44" s="214" t="s">
        <v>287</v>
      </c>
      <c r="M44" s="11"/>
      <c r="N44" s="382"/>
      <c r="O44" s="15"/>
      <c r="P44" s="157"/>
      <c r="Q44" s="382"/>
      <c r="R44" s="383"/>
    </row>
    <row r="45" spans="1:18" s="112" customFormat="1" ht="18" customHeight="1">
      <c r="A45" s="300" t="s">
        <v>362</v>
      </c>
      <c r="C45" s="111">
        <f t="shared" si="4"/>
        <v>35</v>
      </c>
      <c r="D45" s="139" t="s">
        <v>144</v>
      </c>
      <c r="E45" s="119" t="s">
        <v>195</v>
      </c>
      <c r="F45" s="121" t="s">
        <v>281</v>
      </c>
      <c r="G45" s="122">
        <v>1</v>
      </c>
      <c r="H45" s="122">
        <v>3040</v>
      </c>
      <c r="I45" s="318">
        <f t="shared" si="8"/>
        <v>3040</v>
      </c>
      <c r="J45" s="120"/>
      <c r="K45" s="213" t="s">
        <v>361</v>
      </c>
      <c r="L45" s="71"/>
      <c r="M45" s="11"/>
      <c r="N45" s="382"/>
      <c r="O45" s="15"/>
      <c r="P45" s="157"/>
      <c r="Q45" s="382"/>
      <c r="R45" s="383"/>
    </row>
    <row r="46" spans="1:18" s="112" customFormat="1" ht="18" customHeight="1">
      <c r="A46" s="300" t="s">
        <v>360</v>
      </c>
      <c r="C46" s="111">
        <f t="shared" si="4"/>
        <v>36</v>
      </c>
      <c r="D46" s="136" t="s">
        <v>157</v>
      </c>
      <c r="E46" s="119" t="s">
        <v>195</v>
      </c>
      <c r="F46" s="145" t="s">
        <v>162</v>
      </c>
      <c r="G46" s="143">
        <v>1</v>
      </c>
      <c r="H46" s="319">
        <v>18150</v>
      </c>
      <c r="I46" s="318">
        <f t="shared" si="8"/>
        <v>18150</v>
      </c>
      <c r="J46" s="146"/>
      <c r="K46" s="145" t="s">
        <v>363</v>
      </c>
      <c r="L46" s="71"/>
      <c r="M46" s="11"/>
      <c r="N46" s="382"/>
      <c r="O46" s="15"/>
      <c r="P46" s="157"/>
      <c r="Q46" s="382"/>
      <c r="R46" s="383"/>
    </row>
    <row r="47" spans="1:18" s="112" customFormat="1" ht="18" customHeight="1">
      <c r="A47" s="300" t="s">
        <v>353</v>
      </c>
      <c r="C47" s="111">
        <f t="shared" si="4"/>
        <v>37</v>
      </c>
      <c r="D47" s="386" t="s">
        <v>37</v>
      </c>
      <c r="E47" s="386" t="s">
        <v>37</v>
      </c>
      <c r="F47" s="387" t="s">
        <v>346</v>
      </c>
      <c r="G47" s="388">
        <v>1</v>
      </c>
      <c r="H47" s="389">
        <v>960</v>
      </c>
      <c r="I47" s="390">
        <f t="shared" si="8"/>
        <v>960</v>
      </c>
      <c r="J47" s="391"/>
      <c r="K47" s="387" t="s">
        <v>347</v>
      </c>
      <c r="L47" s="71"/>
      <c r="M47" s="11"/>
      <c r="N47" s="382"/>
      <c r="O47" s="15"/>
      <c r="P47" s="159"/>
      <c r="Q47" s="382"/>
      <c r="R47" s="383"/>
    </row>
    <row r="48" spans="1:18" s="112" customFormat="1" ht="18" customHeight="1">
      <c r="A48" s="300" t="s">
        <v>353</v>
      </c>
      <c r="C48" s="111">
        <f t="shared" si="4"/>
        <v>38</v>
      </c>
      <c r="D48" s="272" t="s">
        <v>37</v>
      </c>
      <c r="E48" s="272" t="s">
        <v>37</v>
      </c>
      <c r="F48" s="395" t="s">
        <v>348</v>
      </c>
      <c r="G48" s="396">
        <v>1</v>
      </c>
      <c r="H48" s="272">
        <v>1360</v>
      </c>
      <c r="I48" s="397">
        <f t="shared" si="8"/>
        <v>1360</v>
      </c>
      <c r="J48" s="398"/>
      <c r="K48" s="395" t="s">
        <v>349</v>
      </c>
      <c r="L48" s="392" t="s">
        <v>350</v>
      </c>
      <c r="M48" s="11"/>
      <c r="N48" s="382"/>
      <c r="O48" s="15"/>
      <c r="P48" s="159"/>
      <c r="Q48" s="382"/>
      <c r="R48" s="383"/>
    </row>
    <row r="49" spans="1:18" s="37" customFormat="1" ht="18" customHeight="1">
      <c r="A49" s="112"/>
      <c r="C49" s="110"/>
      <c r="D49" s="154"/>
      <c r="E49" s="154"/>
      <c r="F49" s="147"/>
      <c r="G49" s="361"/>
      <c r="H49" s="364"/>
      <c r="I49" s="393"/>
      <c r="J49" s="394"/>
      <c r="K49" s="222"/>
      <c r="L49" s="12"/>
      <c r="M49" s="11"/>
      <c r="N49" s="26"/>
      <c r="O49" s="15"/>
      <c r="P49" s="15"/>
      <c r="Q49" s="76"/>
      <c r="R49" s="24"/>
    </row>
    <row r="50" spans="1:18" s="37" customFormat="1" ht="18" customHeight="1">
      <c r="A50" s="112"/>
      <c r="C50" s="28"/>
      <c r="D50" s="8"/>
      <c r="E50" s="13"/>
      <c r="F50" s="643">
        <f>SUM(I11:I49)</f>
        <v>90846</v>
      </c>
      <c r="G50" s="644"/>
      <c r="H50" s="644"/>
      <c r="I50" s="645"/>
      <c r="J50" s="67"/>
      <c r="K50" s="64"/>
      <c r="L50" s="12"/>
      <c r="M50" s="11"/>
      <c r="N50" s="26"/>
      <c r="O50" s="15"/>
      <c r="P50" s="15"/>
      <c r="Q50" s="76"/>
      <c r="R50" s="24"/>
    </row>
    <row r="51" spans="1:18" s="112" customFormat="1" ht="18" customHeight="1">
      <c r="C51" s="62"/>
      <c r="D51" s="350"/>
      <c r="E51" s="351"/>
      <c r="F51" s="354"/>
      <c r="G51" s="354"/>
      <c r="H51" s="354"/>
      <c r="I51" s="354"/>
      <c r="J51" s="352"/>
      <c r="K51" s="64"/>
      <c r="L51" s="71"/>
      <c r="M51" s="11"/>
      <c r="N51" s="76"/>
      <c r="O51" s="15"/>
      <c r="P51" s="15"/>
      <c r="Q51" s="76"/>
      <c r="R51" s="24"/>
    </row>
    <row r="52" spans="1:18" s="7" customFormat="1" ht="19.5" customHeight="1">
      <c r="A52" s="14"/>
      <c r="C52" s="8"/>
      <c r="D52" s="127"/>
      <c r="E52" s="127"/>
      <c r="F52" s="353"/>
      <c r="G52" s="335"/>
      <c r="H52" s="335"/>
      <c r="I52" s="335"/>
      <c r="J52" s="21"/>
      <c r="K52" s="69"/>
      <c r="L52" s="5"/>
      <c r="M52" s="5"/>
      <c r="N52" s="26"/>
      <c r="O52" s="8"/>
      <c r="P52" s="70"/>
      <c r="Q52" s="76"/>
      <c r="R52" s="15"/>
    </row>
    <row r="53" spans="1:18" s="37" customFormat="1" ht="18" customHeight="1">
      <c r="A53" s="112"/>
      <c r="C53" s="130"/>
      <c r="D53" s="646" t="s">
        <v>273</v>
      </c>
      <c r="E53" s="646"/>
      <c r="F53" s="646"/>
      <c r="G53" s="131"/>
      <c r="H53" s="68"/>
      <c r="I53" s="68"/>
      <c r="J53" s="13"/>
      <c r="K53" s="64"/>
      <c r="L53" s="12"/>
      <c r="M53" s="11"/>
      <c r="N53" s="26"/>
      <c r="O53" s="15"/>
      <c r="P53" s="15"/>
      <c r="Q53" s="76"/>
      <c r="R53" s="24"/>
    </row>
    <row r="54" spans="1:18" s="37" customFormat="1" ht="18" customHeight="1">
      <c r="A54" s="300" t="s">
        <v>351</v>
      </c>
      <c r="C54" s="114">
        <f>+C46+1</f>
        <v>37</v>
      </c>
      <c r="D54" s="241" t="s">
        <v>196</v>
      </c>
      <c r="E54" s="241" t="s">
        <v>196</v>
      </c>
      <c r="F54" s="244" t="s">
        <v>292</v>
      </c>
      <c r="G54" s="241">
        <v>1</v>
      </c>
      <c r="H54" s="320">
        <v>5000</v>
      </c>
      <c r="I54" s="321">
        <f t="shared" ref="I54:I62" si="9">G54*H54</f>
        <v>5000</v>
      </c>
      <c r="J54" s="165"/>
      <c r="K54" s="163" t="s">
        <v>293</v>
      </c>
      <c r="L54" s="12"/>
      <c r="M54" s="11"/>
      <c r="N54" s="26"/>
      <c r="O54" s="15"/>
      <c r="P54" s="157"/>
      <c r="Q54" s="157"/>
      <c r="R54" s="134"/>
    </row>
    <row r="55" spans="1:18" ht="18" customHeight="1">
      <c r="A55" s="300" t="s">
        <v>351</v>
      </c>
      <c r="C55" s="114">
        <f t="shared" ref="C55:C62" si="10">+C54+1</f>
        <v>38</v>
      </c>
      <c r="D55" s="241" t="s">
        <v>196</v>
      </c>
      <c r="E55" s="241" t="s">
        <v>196</v>
      </c>
      <c r="F55" s="244" t="s">
        <v>294</v>
      </c>
      <c r="G55" s="241">
        <v>1</v>
      </c>
      <c r="H55" s="320">
        <v>4200</v>
      </c>
      <c r="I55" s="321">
        <f t="shared" si="9"/>
        <v>4200</v>
      </c>
      <c r="J55" s="165"/>
      <c r="K55" s="163" t="s">
        <v>295</v>
      </c>
      <c r="L55" s="12"/>
      <c r="M55" s="11"/>
      <c r="N55" s="26"/>
      <c r="O55" s="15"/>
      <c r="P55" s="157"/>
      <c r="Q55" s="157"/>
      <c r="R55" s="134"/>
    </row>
    <row r="56" spans="1:18" ht="18" customHeight="1">
      <c r="A56" s="300" t="s">
        <v>351</v>
      </c>
      <c r="C56" s="114">
        <f t="shared" si="10"/>
        <v>39</v>
      </c>
      <c r="D56" s="241" t="s">
        <v>196</v>
      </c>
      <c r="E56" s="241" t="s">
        <v>196</v>
      </c>
      <c r="F56" s="244" t="s">
        <v>296</v>
      </c>
      <c r="G56" s="241">
        <v>1</v>
      </c>
      <c r="H56" s="320">
        <v>1300</v>
      </c>
      <c r="I56" s="321">
        <f t="shared" si="9"/>
        <v>1300</v>
      </c>
      <c r="J56" s="165"/>
      <c r="K56" s="163" t="s">
        <v>297</v>
      </c>
      <c r="L56" s="12"/>
      <c r="M56" s="11"/>
      <c r="N56" s="381"/>
      <c r="O56" s="15"/>
      <c r="P56" s="157"/>
      <c r="Q56" s="157"/>
      <c r="R56" s="134"/>
    </row>
    <row r="57" spans="1:18" ht="18" customHeight="1">
      <c r="A57" s="300" t="s">
        <v>353</v>
      </c>
      <c r="C57" s="114">
        <f t="shared" si="10"/>
        <v>40</v>
      </c>
      <c r="D57" s="164" t="s">
        <v>145</v>
      </c>
      <c r="E57" s="164" t="s">
        <v>145</v>
      </c>
      <c r="F57" s="286" t="s">
        <v>298</v>
      </c>
      <c r="G57" s="119">
        <v>1</v>
      </c>
      <c r="H57" s="328">
        <v>750</v>
      </c>
      <c r="I57" s="321">
        <f t="shared" si="9"/>
        <v>750</v>
      </c>
      <c r="J57" s="165"/>
      <c r="K57" s="163" t="s">
        <v>299</v>
      </c>
      <c r="L57" s="12"/>
      <c r="M57" s="11"/>
      <c r="N57" s="157"/>
      <c r="O57" s="15"/>
      <c r="P57" s="15"/>
      <c r="Q57" s="157"/>
      <c r="R57" s="134"/>
    </row>
    <row r="58" spans="1:18" ht="18" customHeight="1">
      <c r="C58" s="114">
        <f t="shared" si="10"/>
        <v>41</v>
      </c>
      <c r="D58" s="271" t="s">
        <v>145</v>
      </c>
      <c r="E58" s="271" t="s">
        <v>145</v>
      </c>
      <c r="F58" s="398" t="s">
        <v>300</v>
      </c>
      <c r="G58" s="275">
        <v>10</v>
      </c>
      <c r="H58" s="413">
        <v>32</v>
      </c>
      <c r="I58" s="413">
        <f t="shared" si="9"/>
        <v>320</v>
      </c>
      <c r="J58" s="275"/>
      <c r="K58" s="398" t="s">
        <v>301</v>
      </c>
      <c r="L58" s="214" t="s">
        <v>313</v>
      </c>
      <c r="M58" s="11"/>
      <c r="N58" s="157"/>
      <c r="O58" s="15"/>
      <c r="P58" s="15"/>
      <c r="Q58" s="157"/>
      <c r="R58" s="134"/>
    </row>
    <row r="59" spans="1:18" ht="18" customHeight="1">
      <c r="C59" s="114">
        <f t="shared" si="10"/>
        <v>42</v>
      </c>
      <c r="D59" s="271" t="s">
        <v>145</v>
      </c>
      <c r="E59" s="271" t="s">
        <v>145</v>
      </c>
      <c r="F59" s="398" t="s">
        <v>302</v>
      </c>
      <c r="G59" s="275">
        <v>10</v>
      </c>
      <c r="H59" s="413">
        <v>27</v>
      </c>
      <c r="I59" s="414">
        <f t="shared" si="9"/>
        <v>270</v>
      </c>
      <c r="J59" s="275"/>
      <c r="K59" s="398" t="s">
        <v>303</v>
      </c>
      <c r="L59" s="214" t="s">
        <v>313</v>
      </c>
      <c r="M59" s="11"/>
      <c r="N59" s="157"/>
      <c r="O59" s="15"/>
      <c r="P59" s="15"/>
      <c r="Q59" s="157"/>
      <c r="R59" s="134"/>
    </row>
    <row r="60" spans="1:18" ht="18" customHeight="1">
      <c r="B60" s="109"/>
      <c r="C60" s="114">
        <f t="shared" si="10"/>
        <v>43</v>
      </c>
      <c r="D60" s="271" t="s">
        <v>145</v>
      </c>
      <c r="E60" s="271" t="s">
        <v>145</v>
      </c>
      <c r="F60" s="398" t="s">
        <v>304</v>
      </c>
      <c r="G60" s="275">
        <v>10</v>
      </c>
      <c r="H60" s="413">
        <v>27</v>
      </c>
      <c r="I60" s="414">
        <f t="shared" si="9"/>
        <v>270</v>
      </c>
      <c r="J60" s="275"/>
      <c r="K60" s="398" t="s">
        <v>305</v>
      </c>
      <c r="L60" s="214" t="s">
        <v>314</v>
      </c>
      <c r="M60" s="11"/>
      <c r="N60" s="157"/>
      <c r="O60" s="15"/>
      <c r="P60" s="15"/>
      <c r="Q60" s="157"/>
      <c r="R60" s="134"/>
    </row>
    <row r="61" spans="1:18" s="112" customFormat="1" ht="18" customHeight="1">
      <c r="B61" s="109"/>
      <c r="C61" s="114">
        <f t="shared" si="10"/>
        <v>44</v>
      </c>
      <c r="D61" s="271" t="s">
        <v>145</v>
      </c>
      <c r="E61" s="271" t="s">
        <v>145</v>
      </c>
      <c r="F61" s="398" t="s">
        <v>306</v>
      </c>
      <c r="G61" s="275">
        <v>10</v>
      </c>
      <c r="H61" s="413">
        <v>27</v>
      </c>
      <c r="I61" s="414">
        <f t="shared" si="9"/>
        <v>270</v>
      </c>
      <c r="J61" s="275"/>
      <c r="K61" s="398" t="s">
        <v>307</v>
      </c>
      <c r="L61" s="214" t="s">
        <v>314</v>
      </c>
      <c r="M61" s="11"/>
      <c r="N61" s="157"/>
      <c r="O61" s="15"/>
      <c r="P61" s="15"/>
      <c r="Q61" s="157"/>
      <c r="R61" s="134"/>
    </row>
    <row r="62" spans="1:18" s="112" customFormat="1" ht="18" customHeight="1">
      <c r="A62" s="300" t="s">
        <v>353</v>
      </c>
      <c r="B62" s="109"/>
      <c r="C62" s="114">
        <f t="shared" si="10"/>
        <v>45</v>
      </c>
      <c r="D62" s="164" t="s">
        <v>145</v>
      </c>
      <c r="E62" s="164" t="s">
        <v>145</v>
      </c>
      <c r="F62" s="286" t="s">
        <v>308</v>
      </c>
      <c r="G62" s="120">
        <v>2</v>
      </c>
      <c r="H62" s="328">
        <v>151</v>
      </c>
      <c r="I62" s="321">
        <f t="shared" si="9"/>
        <v>302</v>
      </c>
      <c r="J62" s="165"/>
      <c r="K62" s="163" t="s">
        <v>309</v>
      </c>
      <c r="L62" s="214"/>
      <c r="M62" s="11"/>
      <c r="N62" s="157"/>
      <c r="O62" s="15"/>
      <c r="P62" s="15"/>
      <c r="Q62" s="157"/>
      <c r="R62" s="134"/>
    </row>
    <row r="63" spans="1:18" s="112" customFormat="1" ht="18" customHeight="1">
      <c r="B63" s="109"/>
      <c r="C63" s="114"/>
      <c r="D63" s="154"/>
      <c r="E63" s="154"/>
      <c r="F63" s="228"/>
      <c r="G63" s="229"/>
      <c r="H63" s="229"/>
      <c r="I63" s="322"/>
      <c r="J63" s="155"/>
      <c r="K63" s="156"/>
      <c r="L63" s="71"/>
      <c r="M63" s="11"/>
      <c r="N63" s="159"/>
      <c r="O63" s="15"/>
      <c r="P63" s="15"/>
      <c r="Q63" s="159"/>
      <c r="R63" s="161"/>
    </row>
    <row r="64" spans="1:18" ht="18" customHeight="1">
      <c r="C64" s="23"/>
      <c r="D64" s="8"/>
      <c r="E64" s="8"/>
      <c r="F64" s="647">
        <f>SUM(I54:I62)</f>
        <v>12682</v>
      </c>
      <c r="G64" s="648"/>
      <c r="H64" s="648"/>
      <c r="I64" s="649"/>
      <c r="J64" s="13"/>
      <c r="K64" s="64"/>
      <c r="L64" s="12"/>
      <c r="M64" s="11"/>
      <c r="N64" s="26"/>
      <c r="O64" s="15"/>
      <c r="P64" s="15"/>
      <c r="Q64" s="76"/>
      <c r="R64" s="24"/>
    </row>
    <row r="65" spans="1:18" s="216" customFormat="1" ht="18" customHeight="1">
      <c r="C65" s="217"/>
      <c r="D65" s="154"/>
      <c r="E65" s="154"/>
      <c r="F65" s="218"/>
      <c r="G65" s="219"/>
      <c r="H65" s="219"/>
      <c r="I65" s="220"/>
      <c r="J65" s="221"/>
      <c r="K65" s="222"/>
      <c r="L65" s="223"/>
      <c r="M65" s="224"/>
      <c r="N65" s="225"/>
      <c r="O65" s="226"/>
      <c r="P65" s="226"/>
      <c r="Q65" s="225"/>
      <c r="R65" s="227"/>
    </row>
    <row r="66" spans="1:18" s="216" customFormat="1" ht="18" customHeight="1">
      <c r="C66" s="217"/>
      <c r="D66" s="154"/>
      <c r="E66" s="154"/>
      <c r="F66" s="218"/>
      <c r="G66" s="219"/>
      <c r="H66" s="219"/>
      <c r="I66" s="220"/>
      <c r="J66" s="221"/>
      <c r="K66" s="222"/>
      <c r="L66" s="223"/>
      <c r="M66" s="224"/>
      <c r="N66" s="225"/>
      <c r="O66" s="226"/>
      <c r="P66" s="226"/>
      <c r="Q66" s="225"/>
      <c r="R66" s="227"/>
    </row>
    <row r="67" spans="1:18" s="216" customFormat="1" ht="18" customHeight="1">
      <c r="C67" s="217"/>
      <c r="D67" s="154"/>
      <c r="E67" s="154"/>
      <c r="F67" s="218"/>
      <c r="G67" s="219"/>
      <c r="H67" s="219"/>
      <c r="I67" s="220"/>
      <c r="J67" s="221"/>
      <c r="K67" s="222"/>
      <c r="L67" s="223"/>
      <c r="M67" s="224"/>
      <c r="N67" s="225"/>
      <c r="O67" s="226"/>
      <c r="P67" s="226"/>
      <c r="Q67" s="225"/>
      <c r="R67" s="227"/>
    </row>
    <row r="68" spans="1:18" ht="18" customHeight="1">
      <c r="C68" s="23"/>
      <c r="D68" s="8"/>
      <c r="E68" s="8"/>
      <c r="F68" s="107"/>
      <c r="G68" s="68"/>
      <c r="H68" s="68"/>
      <c r="I68" s="68"/>
      <c r="J68" s="67"/>
      <c r="K68" s="69"/>
      <c r="L68" s="12"/>
      <c r="M68" s="11"/>
      <c r="N68" s="26"/>
      <c r="O68" s="15"/>
      <c r="P68" s="15"/>
      <c r="Q68" s="76"/>
      <c r="R68" s="24"/>
    </row>
    <row r="69" spans="1:18" s="112" customFormat="1" ht="18" customHeight="1">
      <c r="C69" s="194"/>
      <c r="D69" s="663" t="s">
        <v>254</v>
      </c>
      <c r="E69" s="664"/>
      <c r="F69" s="665"/>
      <c r="G69" s="162"/>
      <c r="H69" s="162"/>
      <c r="I69" s="165"/>
      <c r="J69" s="165"/>
      <c r="K69" s="162"/>
      <c r="L69" s="71"/>
      <c r="M69" s="11"/>
      <c r="N69" s="76"/>
      <c r="O69" s="15"/>
      <c r="P69" s="15"/>
      <c r="Q69" s="76"/>
      <c r="R69" s="24"/>
    </row>
    <row r="70" spans="1:18" s="112" customFormat="1" ht="18" customHeight="1">
      <c r="A70" s="112" t="s">
        <v>352</v>
      </c>
      <c r="C70" s="114">
        <f>+C62+1</f>
        <v>46</v>
      </c>
      <c r="D70" s="235" t="s">
        <v>145</v>
      </c>
      <c r="E70" s="235" t="s">
        <v>145</v>
      </c>
      <c r="F70" s="240" t="s">
        <v>322</v>
      </c>
      <c r="G70" s="212">
        <v>1</v>
      </c>
      <c r="H70" s="323">
        <v>2420</v>
      </c>
      <c r="I70" s="169">
        <f t="shared" ref="I70:I80" si="11">G70*H70</f>
        <v>2420</v>
      </c>
      <c r="J70" s="172"/>
      <c r="K70" s="233" t="s">
        <v>321</v>
      </c>
      <c r="L70" s="71"/>
      <c r="M70" s="11"/>
      <c r="N70" s="157"/>
      <c r="O70" s="15"/>
      <c r="P70" s="15"/>
      <c r="Q70" s="76"/>
      <c r="R70" s="134"/>
    </row>
    <row r="71" spans="1:18" s="112" customFormat="1" ht="18" customHeight="1">
      <c r="A71" s="112" t="s">
        <v>352</v>
      </c>
      <c r="C71" s="114">
        <f t="shared" ref="C71:C83" si="12">+C70+1</f>
        <v>47</v>
      </c>
      <c r="D71" s="235" t="s">
        <v>145</v>
      </c>
      <c r="E71" s="235" t="s">
        <v>145</v>
      </c>
      <c r="F71" s="240" t="s">
        <v>324</v>
      </c>
      <c r="G71" s="212">
        <v>1</v>
      </c>
      <c r="H71" s="323">
        <v>2310</v>
      </c>
      <c r="I71" s="169">
        <f t="shared" si="11"/>
        <v>2310</v>
      </c>
      <c r="J71" s="172"/>
      <c r="K71" s="233" t="s">
        <v>323</v>
      </c>
      <c r="L71" s="71"/>
      <c r="M71" s="11"/>
      <c r="N71" s="157"/>
      <c r="O71" s="15"/>
      <c r="P71" s="15"/>
      <c r="Q71" s="76"/>
      <c r="R71" s="134"/>
    </row>
    <row r="72" spans="1:18" s="112" customFormat="1" ht="18" customHeight="1">
      <c r="A72" s="112" t="s">
        <v>352</v>
      </c>
      <c r="C72" s="114">
        <f t="shared" si="12"/>
        <v>48</v>
      </c>
      <c r="D72" s="235" t="s">
        <v>145</v>
      </c>
      <c r="E72" s="235" t="s">
        <v>145</v>
      </c>
      <c r="F72" s="240" t="s">
        <v>326</v>
      </c>
      <c r="G72" s="212">
        <v>1</v>
      </c>
      <c r="H72" s="323">
        <v>4500</v>
      </c>
      <c r="I72" s="169">
        <f t="shared" si="11"/>
        <v>4500</v>
      </c>
      <c r="J72" s="172"/>
      <c r="K72" s="233" t="s">
        <v>325</v>
      </c>
      <c r="L72" s="71"/>
      <c r="M72" s="11"/>
      <c r="N72" s="157"/>
      <c r="O72" s="15"/>
      <c r="P72" s="15"/>
      <c r="Q72" s="76"/>
      <c r="R72" s="134"/>
    </row>
    <row r="73" spans="1:18" s="112" customFormat="1" ht="18" customHeight="1">
      <c r="A73" s="300" t="s">
        <v>353</v>
      </c>
      <c r="C73" s="114">
        <f t="shared" si="12"/>
        <v>49</v>
      </c>
      <c r="D73" s="119" t="s">
        <v>145</v>
      </c>
      <c r="E73" s="119" t="s">
        <v>145</v>
      </c>
      <c r="F73" s="284" t="s">
        <v>255</v>
      </c>
      <c r="G73" s="230">
        <v>4</v>
      </c>
      <c r="H73" s="324">
        <v>70</v>
      </c>
      <c r="I73" s="325">
        <f t="shared" si="11"/>
        <v>280</v>
      </c>
      <c r="J73" s="165"/>
      <c r="K73" s="184" t="s">
        <v>256</v>
      </c>
      <c r="L73" s="71"/>
      <c r="M73" s="11"/>
      <c r="N73" s="157"/>
      <c r="O73" s="15"/>
      <c r="P73" s="15"/>
      <c r="Q73" s="76"/>
      <c r="R73" s="134"/>
    </row>
    <row r="74" spans="1:18" s="112" customFormat="1" ht="18" customHeight="1">
      <c r="A74" s="300" t="s">
        <v>353</v>
      </c>
      <c r="C74" s="114">
        <f t="shared" si="12"/>
        <v>50</v>
      </c>
      <c r="D74" s="119" t="s">
        <v>145</v>
      </c>
      <c r="E74" s="119" t="s">
        <v>145</v>
      </c>
      <c r="F74" s="284" t="s">
        <v>257</v>
      </c>
      <c r="G74" s="230">
        <v>4</v>
      </c>
      <c r="H74" s="324">
        <v>78</v>
      </c>
      <c r="I74" s="325">
        <f t="shared" si="11"/>
        <v>312</v>
      </c>
      <c r="J74" s="165"/>
      <c r="K74" s="184" t="s">
        <v>256</v>
      </c>
      <c r="L74" s="71"/>
      <c r="M74" s="11"/>
      <c r="N74" s="157"/>
      <c r="O74" s="15"/>
      <c r="P74" s="15"/>
      <c r="Q74" s="76"/>
      <c r="R74" s="134"/>
    </row>
    <row r="75" spans="1:18" s="112" customFormat="1" ht="18" customHeight="1">
      <c r="A75" s="300" t="s">
        <v>353</v>
      </c>
      <c r="C75" s="114">
        <f t="shared" si="12"/>
        <v>51</v>
      </c>
      <c r="D75" s="124" t="s">
        <v>145</v>
      </c>
      <c r="E75" s="124" t="s">
        <v>145</v>
      </c>
      <c r="F75" s="245" t="s">
        <v>258</v>
      </c>
      <c r="G75" s="285">
        <v>10</v>
      </c>
      <c r="H75" s="231">
        <v>79</v>
      </c>
      <c r="I75" s="326">
        <f t="shared" si="11"/>
        <v>790</v>
      </c>
      <c r="J75" s="196"/>
      <c r="K75" s="195" t="s">
        <v>259</v>
      </c>
      <c r="L75" s="71"/>
      <c r="M75" s="11"/>
      <c r="N75" s="157"/>
      <c r="O75" s="15"/>
      <c r="P75" s="15"/>
      <c r="Q75" s="76"/>
      <c r="R75" s="134"/>
    </row>
    <row r="76" spans="1:18" s="112" customFormat="1" ht="18" customHeight="1">
      <c r="A76" s="300" t="s">
        <v>353</v>
      </c>
      <c r="C76" s="114">
        <f t="shared" si="12"/>
        <v>52</v>
      </c>
      <c r="D76" s="124" t="s">
        <v>145</v>
      </c>
      <c r="E76" s="124" t="s">
        <v>145</v>
      </c>
      <c r="F76" s="286" t="s">
        <v>260</v>
      </c>
      <c r="G76" s="119">
        <v>4</v>
      </c>
      <c r="H76" s="327">
        <v>71</v>
      </c>
      <c r="I76" s="328">
        <f t="shared" si="11"/>
        <v>284</v>
      </c>
      <c r="J76" s="165"/>
      <c r="K76" s="163" t="s">
        <v>261</v>
      </c>
      <c r="L76" s="71"/>
      <c r="M76" s="11"/>
      <c r="N76" s="157"/>
      <c r="O76" s="15"/>
      <c r="P76" s="15"/>
      <c r="Q76" s="76"/>
      <c r="R76" s="134"/>
    </row>
    <row r="77" spans="1:18" s="112" customFormat="1" ht="18" customHeight="1">
      <c r="A77" s="300" t="s">
        <v>353</v>
      </c>
      <c r="C77" s="114">
        <f t="shared" si="12"/>
        <v>53</v>
      </c>
      <c r="D77" s="124" t="s">
        <v>145</v>
      </c>
      <c r="E77" s="124" t="s">
        <v>145</v>
      </c>
      <c r="F77" s="286" t="s">
        <v>262</v>
      </c>
      <c r="G77" s="119">
        <v>2</v>
      </c>
      <c r="H77" s="327">
        <v>30</v>
      </c>
      <c r="I77" s="328">
        <f t="shared" si="11"/>
        <v>60</v>
      </c>
      <c r="J77" s="165"/>
      <c r="K77" s="163" t="s">
        <v>263</v>
      </c>
      <c r="L77" s="71"/>
      <c r="M77" s="11"/>
      <c r="N77" s="157"/>
      <c r="O77" s="15"/>
      <c r="P77" s="15"/>
      <c r="Q77" s="76"/>
      <c r="R77" s="134"/>
    </row>
    <row r="78" spans="1:18" s="112" customFormat="1" ht="18" customHeight="1">
      <c r="C78" s="114">
        <f t="shared" si="12"/>
        <v>54</v>
      </c>
      <c r="D78" s="252" t="s">
        <v>264</v>
      </c>
      <c r="E78" s="252" t="s">
        <v>145</v>
      </c>
      <c r="F78" s="253" t="s">
        <v>265</v>
      </c>
      <c r="G78" s="254"/>
      <c r="H78" s="329">
        <v>1800</v>
      </c>
      <c r="I78" s="330">
        <f t="shared" si="11"/>
        <v>0</v>
      </c>
      <c r="J78" s="255"/>
      <c r="K78" s="253" t="s">
        <v>266</v>
      </c>
      <c r="L78" s="256"/>
      <c r="M78" s="11"/>
      <c r="N78" s="76"/>
      <c r="O78" s="15"/>
      <c r="P78" s="15"/>
      <c r="Q78" s="76"/>
      <c r="R78" s="24"/>
    </row>
    <row r="79" spans="1:18" s="112" customFormat="1" ht="18" customHeight="1">
      <c r="C79" s="114">
        <f t="shared" si="12"/>
        <v>55</v>
      </c>
      <c r="D79" s="252" t="s">
        <v>145</v>
      </c>
      <c r="E79" s="252" t="s">
        <v>145</v>
      </c>
      <c r="F79" s="257" t="s">
        <v>154</v>
      </c>
      <c r="G79" s="258"/>
      <c r="H79" s="258">
        <v>23</v>
      </c>
      <c r="I79" s="331">
        <f t="shared" si="11"/>
        <v>0</v>
      </c>
      <c r="J79" s="259"/>
      <c r="K79" s="260" t="s">
        <v>267</v>
      </c>
      <c r="L79" s="261" t="s">
        <v>313</v>
      </c>
      <c r="M79" s="11"/>
      <c r="N79" s="76"/>
      <c r="O79" s="15"/>
      <c r="P79" s="15"/>
      <c r="Q79" s="76"/>
      <c r="R79" s="24"/>
    </row>
    <row r="80" spans="1:18" s="112" customFormat="1" ht="18" customHeight="1">
      <c r="C80" s="114">
        <f t="shared" si="12"/>
        <v>56</v>
      </c>
      <c r="D80" s="252" t="s">
        <v>145</v>
      </c>
      <c r="E80" s="252" t="s">
        <v>145</v>
      </c>
      <c r="F80" s="257" t="s">
        <v>268</v>
      </c>
      <c r="G80" s="258"/>
      <c r="H80" s="258">
        <v>27</v>
      </c>
      <c r="I80" s="331">
        <f t="shared" si="11"/>
        <v>0</v>
      </c>
      <c r="J80" s="259"/>
      <c r="K80" s="260" t="s">
        <v>269</v>
      </c>
      <c r="L80" s="261" t="s">
        <v>313</v>
      </c>
      <c r="M80" s="11"/>
      <c r="N80" s="76"/>
      <c r="O80" s="15"/>
      <c r="P80" s="15"/>
      <c r="Q80" s="76"/>
      <c r="R80" s="24"/>
    </row>
    <row r="81" spans="1:18" s="112" customFormat="1" ht="18" customHeight="1">
      <c r="A81" s="300" t="s">
        <v>353</v>
      </c>
      <c r="C81" s="114">
        <f t="shared" si="12"/>
        <v>57</v>
      </c>
      <c r="D81" s="287" t="s">
        <v>145</v>
      </c>
      <c r="E81" s="287" t="s">
        <v>145</v>
      </c>
      <c r="F81" s="126" t="s">
        <v>187</v>
      </c>
      <c r="G81" s="288">
        <v>2</v>
      </c>
      <c r="H81" s="318">
        <v>860</v>
      </c>
      <c r="I81" s="318">
        <f>G81*H81</f>
        <v>1720</v>
      </c>
      <c r="J81" s="182"/>
      <c r="K81" s="197" t="s">
        <v>270</v>
      </c>
      <c r="L81" s="71"/>
      <c r="M81" s="11"/>
      <c r="N81" s="157"/>
      <c r="O81" s="15"/>
      <c r="P81" s="15"/>
      <c r="Q81" s="76"/>
      <c r="R81" s="134"/>
    </row>
    <row r="82" spans="1:18" s="112" customFormat="1" ht="18" customHeight="1">
      <c r="C82" s="114">
        <f t="shared" si="12"/>
        <v>58</v>
      </c>
      <c r="D82" s="246" t="s">
        <v>145</v>
      </c>
      <c r="E82" s="246" t="s">
        <v>145</v>
      </c>
      <c r="F82" s="247" t="s">
        <v>271</v>
      </c>
      <c r="G82" s="248"/>
      <c r="H82" s="332">
        <v>690</v>
      </c>
      <c r="I82" s="332">
        <f>G82*H82</f>
        <v>0</v>
      </c>
      <c r="J82" s="249"/>
      <c r="K82" s="250" t="s">
        <v>272</v>
      </c>
      <c r="L82" s="251" t="s">
        <v>319</v>
      </c>
      <c r="M82" s="11"/>
      <c r="N82" s="76"/>
      <c r="O82" s="15"/>
      <c r="P82" s="15"/>
      <c r="Q82" s="76"/>
      <c r="R82" s="24"/>
    </row>
    <row r="83" spans="1:18" s="112" customFormat="1" ht="18" customHeight="1">
      <c r="C83" s="378">
        <f t="shared" si="12"/>
        <v>59</v>
      </c>
      <c r="D83" s="246" t="s">
        <v>145</v>
      </c>
      <c r="E83" s="246" t="s">
        <v>145</v>
      </c>
      <c r="F83" s="247" t="s">
        <v>150</v>
      </c>
      <c r="G83" s="248"/>
      <c r="H83" s="332">
        <v>990</v>
      </c>
      <c r="I83" s="332">
        <f>G83*H83</f>
        <v>0</v>
      </c>
      <c r="J83" s="249"/>
      <c r="K83" s="250" t="s">
        <v>272</v>
      </c>
      <c r="L83" s="251" t="s">
        <v>319</v>
      </c>
      <c r="M83" s="11"/>
      <c r="N83" s="76"/>
      <c r="O83" s="15"/>
      <c r="P83" s="15"/>
      <c r="Q83" s="76"/>
      <c r="R83" s="24"/>
    </row>
    <row r="84" spans="1:18" s="112" customFormat="1" ht="18" customHeight="1">
      <c r="C84" s="128"/>
      <c r="D84" s="181"/>
      <c r="E84" s="181"/>
      <c r="F84" s="167"/>
      <c r="G84" s="162"/>
      <c r="H84" s="169"/>
      <c r="I84" s="169"/>
      <c r="J84" s="165"/>
      <c r="K84" s="198"/>
      <c r="L84" s="71"/>
      <c r="M84" s="11"/>
      <c r="N84" s="76"/>
      <c r="O84" s="15"/>
      <c r="P84" s="15"/>
      <c r="Q84" s="76"/>
      <c r="R84" s="24"/>
    </row>
    <row r="85" spans="1:18" s="112" customFormat="1" ht="18" customHeight="1">
      <c r="C85" s="128"/>
      <c r="D85" s="199"/>
      <c r="E85" s="199"/>
      <c r="F85" s="200">
        <f>SUM(I70:I84)</f>
        <v>12676</v>
      </c>
      <c r="G85" s="347"/>
      <c r="H85" s="333"/>
      <c r="I85" s="169">
        <f>G85*H85</f>
        <v>0</v>
      </c>
      <c r="J85" s="175"/>
      <c r="K85" s="176"/>
      <c r="L85" s="71"/>
      <c r="M85" s="11"/>
      <c r="N85" s="76"/>
      <c r="O85" s="15"/>
      <c r="P85" s="15"/>
      <c r="Q85" s="76"/>
      <c r="R85" s="24"/>
    </row>
    <row r="86" spans="1:18" s="216" customFormat="1" ht="18" customHeight="1">
      <c r="C86" s="356"/>
      <c r="D86" s="372"/>
      <c r="E86" s="372"/>
      <c r="F86" s="373"/>
      <c r="G86" s="374"/>
      <c r="H86" s="375"/>
      <c r="I86" s="376"/>
      <c r="J86" s="119"/>
      <c r="K86" s="377"/>
      <c r="L86" s="223"/>
      <c r="M86" s="224"/>
      <c r="N86" s="225"/>
      <c r="O86" s="226"/>
      <c r="P86" s="226"/>
      <c r="Q86" s="225"/>
      <c r="R86" s="227"/>
    </row>
    <row r="87" spans="1:18" s="112" customFormat="1" ht="18" customHeight="1">
      <c r="C87" s="128"/>
      <c r="D87" s="202"/>
      <c r="E87" s="202"/>
      <c r="F87" s="203"/>
      <c r="G87" s="204"/>
      <c r="H87" s="204"/>
      <c r="I87" s="334"/>
      <c r="J87" s="380"/>
      <c r="K87" s="69"/>
      <c r="L87" s="71"/>
      <c r="M87" s="11"/>
      <c r="N87" s="76"/>
      <c r="O87" s="15"/>
      <c r="P87" s="15"/>
      <c r="Q87" s="76"/>
      <c r="R87" s="24"/>
    </row>
    <row r="88" spans="1:18" s="112" customFormat="1" ht="18" customHeight="1">
      <c r="C88" s="379"/>
      <c r="D88" s="657" t="s">
        <v>152</v>
      </c>
      <c r="E88" s="658"/>
      <c r="F88" s="658"/>
      <c r="G88" s="201"/>
      <c r="H88" s="335"/>
      <c r="I88" s="68"/>
      <c r="J88" s="13"/>
      <c r="K88" s="64"/>
      <c r="L88" s="71"/>
      <c r="M88" s="11"/>
      <c r="N88" s="76"/>
      <c r="O88" s="15"/>
      <c r="P88" s="15"/>
      <c r="Q88" s="76"/>
      <c r="R88" s="24"/>
    </row>
    <row r="89" spans="1:18" s="112" customFormat="1" ht="15.6" customHeight="1">
      <c r="A89" s="300" t="s">
        <v>364</v>
      </c>
      <c r="C89" s="149">
        <f>+C83+1</f>
        <v>60</v>
      </c>
      <c r="D89" s="235" t="s">
        <v>145</v>
      </c>
      <c r="E89" s="235" t="s">
        <v>145</v>
      </c>
      <c r="F89" s="236" t="s">
        <v>330</v>
      </c>
      <c r="G89" s="237">
        <v>1</v>
      </c>
      <c r="H89" s="314">
        <v>11966</v>
      </c>
      <c r="I89" s="336">
        <f t="shared" ref="I89:I90" si="13">G89*H89</f>
        <v>11966</v>
      </c>
      <c r="J89" s="211"/>
      <c r="K89" s="234" t="s">
        <v>329</v>
      </c>
      <c r="L89" s="71"/>
      <c r="M89" s="11"/>
      <c r="N89" s="157"/>
      <c r="O89" s="15"/>
      <c r="P89" s="157"/>
      <c r="Q89" s="76"/>
      <c r="R89" s="134"/>
    </row>
    <row r="90" spans="1:18" s="112" customFormat="1" ht="15.6" customHeight="1">
      <c r="A90" s="300" t="s">
        <v>364</v>
      </c>
      <c r="C90" s="149"/>
      <c r="D90" s="434" t="s">
        <v>145</v>
      </c>
      <c r="E90" s="434" t="s">
        <v>145</v>
      </c>
      <c r="F90" s="440" t="s">
        <v>368</v>
      </c>
      <c r="G90" s="435">
        <v>1</v>
      </c>
      <c r="H90" s="435">
        <v>2000</v>
      </c>
      <c r="I90" s="336">
        <f t="shared" si="13"/>
        <v>2000</v>
      </c>
      <c r="J90" s="436"/>
      <c r="K90" s="437" t="s">
        <v>369</v>
      </c>
      <c r="L90" s="71"/>
      <c r="M90" s="11"/>
      <c r="N90" s="157"/>
      <c r="O90" s="15"/>
      <c r="P90" s="157"/>
      <c r="Q90" s="76"/>
      <c r="R90" s="134"/>
    </row>
    <row r="91" spans="1:18" s="112" customFormat="1" ht="15.6" customHeight="1">
      <c r="A91" s="300" t="s">
        <v>364</v>
      </c>
      <c r="C91" s="149"/>
      <c r="D91" s="235" t="s">
        <v>145</v>
      </c>
      <c r="E91" s="235" t="s">
        <v>145</v>
      </c>
      <c r="F91" s="441" t="s">
        <v>370</v>
      </c>
      <c r="G91" s="237">
        <v>1</v>
      </c>
      <c r="H91" s="237">
        <v>7104</v>
      </c>
      <c r="I91" s="237">
        <f>G91*H91</f>
        <v>7104</v>
      </c>
      <c r="J91" s="438"/>
      <c r="K91" s="439" t="s">
        <v>371</v>
      </c>
      <c r="L91" s="71"/>
      <c r="M91" s="11"/>
      <c r="N91" s="157"/>
      <c r="O91" s="15"/>
      <c r="P91" s="157"/>
      <c r="Q91" s="76"/>
      <c r="R91" s="134"/>
    </row>
    <row r="92" spans="1:18" s="112" customFormat="1" ht="15.6" customHeight="1">
      <c r="A92" s="300" t="s">
        <v>364</v>
      </c>
      <c r="C92" s="149"/>
      <c r="D92" s="442" t="s">
        <v>145</v>
      </c>
      <c r="E92" s="442" t="s">
        <v>145</v>
      </c>
      <c r="F92" s="443" t="s">
        <v>372</v>
      </c>
      <c r="G92" s="444">
        <v>1</v>
      </c>
      <c r="H92" s="445">
        <v>2150</v>
      </c>
      <c r="I92" s="446">
        <f>G92*H92</f>
        <v>2150</v>
      </c>
      <c r="J92" s="447"/>
      <c r="K92" s="448" t="s">
        <v>373</v>
      </c>
      <c r="L92" s="449"/>
      <c r="M92" s="11"/>
      <c r="N92" s="157"/>
      <c r="O92" s="15"/>
      <c r="P92" s="157"/>
      <c r="Q92" s="76"/>
      <c r="R92" s="134"/>
    </row>
    <row r="93" spans="1:18" s="112" customFormat="1" ht="18" customHeight="1">
      <c r="A93" s="300" t="s">
        <v>360</v>
      </c>
      <c r="C93" s="149">
        <f>+C89+1</f>
        <v>61</v>
      </c>
      <c r="D93" s="164" t="s">
        <v>145</v>
      </c>
      <c r="E93" s="164" t="s">
        <v>145</v>
      </c>
      <c r="F93" s="290" t="s">
        <v>320</v>
      </c>
      <c r="G93" s="291">
        <v>1</v>
      </c>
      <c r="H93" s="289">
        <v>11950</v>
      </c>
      <c r="I93" s="321">
        <f t="shared" ref="I93:I124" si="14">G93*H93</f>
        <v>11950</v>
      </c>
      <c r="J93" s="165"/>
      <c r="K93" s="166" t="s">
        <v>198</v>
      </c>
      <c r="L93" s="71"/>
      <c r="M93" s="11"/>
      <c r="N93" s="157"/>
      <c r="O93" s="15"/>
      <c r="P93" s="157"/>
      <c r="Q93" s="76"/>
      <c r="R93" s="134"/>
    </row>
    <row r="94" spans="1:18" s="112" customFormat="1" ht="18" customHeight="1">
      <c r="A94" s="300" t="s">
        <v>365</v>
      </c>
      <c r="C94" s="149">
        <f t="shared" ref="C94:C140" si="15">+C93+1</f>
        <v>62</v>
      </c>
      <c r="D94" s="164" t="s">
        <v>145</v>
      </c>
      <c r="E94" s="164" t="s">
        <v>145</v>
      </c>
      <c r="F94" s="292" t="s">
        <v>199</v>
      </c>
      <c r="G94" s="293">
        <v>1</v>
      </c>
      <c r="H94" s="294">
        <v>2148</v>
      </c>
      <c r="I94" s="169">
        <f t="shared" si="14"/>
        <v>2148</v>
      </c>
      <c r="J94" s="170"/>
      <c r="K94" s="163" t="s">
        <v>200</v>
      </c>
      <c r="L94" s="71"/>
      <c r="M94" s="11"/>
      <c r="N94" s="157"/>
      <c r="O94" s="15"/>
      <c r="P94" s="157"/>
      <c r="Q94" s="76"/>
      <c r="R94" s="134"/>
    </row>
    <row r="95" spans="1:18" s="112" customFormat="1" ht="18" customHeight="1">
      <c r="C95" s="149">
        <f t="shared" si="15"/>
        <v>63</v>
      </c>
      <c r="D95" s="164" t="s">
        <v>145</v>
      </c>
      <c r="E95" s="164" t="s">
        <v>145</v>
      </c>
      <c r="F95" s="415" t="s">
        <v>201</v>
      </c>
      <c r="G95" s="293">
        <v>1</v>
      </c>
      <c r="H95" s="294">
        <v>6005</v>
      </c>
      <c r="I95" s="169">
        <f t="shared" si="14"/>
        <v>6005</v>
      </c>
      <c r="J95" s="170"/>
      <c r="K95" s="163" t="s">
        <v>200</v>
      </c>
      <c r="L95" s="71"/>
      <c r="M95" s="11"/>
      <c r="N95" s="157"/>
      <c r="O95" s="15"/>
      <c r="P95" s="157"/>
      <c r="Q95" s="76"/>
      <c r="R95" s="134"/>
    </row>
    <row r="96" spans="1:18" s="112" customFormat="1" ht="18" customHeight="1">
      <c r="A96" s="300" t="s">
        <v>353</v>
      </c>
      <c r="C96" s="149">
        <f t="shared" si="15"/>
        <v>64</v>
      </c>
      <c r="D96" s="164" t="s">
        <v>145</v>
      </c>
      <c r="E96" s="164" t="s">
        <v>145</v>
      </c>
      <c r="F96" s="292" t="s">
        <v>202</v>
      </c>
      <c r="G96" s="293">
        <v>1</v>
      </c>
      <c r="H96" s="294">
        <v>4570</v>
      </c>
      <c r="I96" s="169">
        <f t="shared" si="14"/>
        <v>4570</v>
      </c>
      <c r="J96" s="170"/>
      <c r="K96" s="163" t="s">
        <v>203</v>
      </c>
      <c r="L96" s="71"/>
      <c r="M96" s="11"/>
      <c r="N96" s="157"/>
      <c r="O96" s="15"/>
      <c r="P96" s="157"/>
      <c r="Q96" s="76"/>
      <c r="R96" s="134"/>
    </row>
    <row r="97" spans="1:18" s="112" customFormat="1" ht="18" customHeight="1">
      <c r="A97" s="300" t="s">
        <v>353</v>
      </c>
      <c r="C97" s="149">
        <f t="shared" si="15"/>
        <v>65</v>
      </c>
      <c r="D97" s="164" t="s">
        <v>145</v>
      </c>
      <c r="E97" s="164" t="s">
        <v>145</v>
      </c>
      <c r="F97" s="292" t="s">
        <v>204</v>
      </c>
      <c r="G97" s="293">
        <v>1</v>
      </c>
      <c r="H97" s="294">
        <v>3853</v>
      </c>
      <c r="I97" s="169">
        <f t="shared" si="14"/>
        <v>3853</v>
      </c>
      <c r="J97" s="171"/>
      <c r="K97" s="163" t="s">
        <v>205</v>
      </c>
      <c r="L97" s="71"/>
      <c r="M97" s="11"/>
      <c r="N97" s="157"/>
      <c r="O97" s="15"/>
      <c r="P97" s="157"/>
      <c r="Q97" s="76"/>
      <c r="R97" s="134"/>
    </row>
    <row r="98" spans="1:18" s="112" customFormat="1" ht="18" customHeight="1">
      <c r="A98" s="300" t="s">
        <v>360</v>
      </c>
      <c r="C98" s="149">
        <f t="shared" si="15"/>
        <v>66</v>
      </c>
      <c r="D98" s="164" t="s">
        <v>145</v>
      </c>
      <c r="E98" s="164" t="s">
        <v>145</v>
      </c>
      <c r="F98" s="292" t="s">
        <v>333</v>
      </c>
      <c r="G98" s="293">
        <v>1</v>
      </c>
      <c r="H98" s="294">
        <v>977</v>
      </c>
      <c r="I98" s="169">
        <f t="shared" si="14"/>
        <v>977</v>
      </c>
      <c r="J98" s="172"/>
      <c r="K98" s="163" t="s">
        <v>206</v>
      </c>
      <c r="L98" s="71"/>
      <c r="M98" s="11"/>
      <c r="N98" s="157"/>
      <c r="O98" s="15"/>
      <c r="P98" s="157"/>
      <c r="Q98" s="76"/>
      <c r="R98" s="134"/>
    </row>
    <row r="99" spans="1:18" s="112" customFormat="1" ht="18" customHeight="1">
      <c r="A99" s="300" t="s">
        <v>360</v>
      </c>
      <c r="C99" s="149">
        <f t="shared" si="15"/>
        <v>67</v>
      </c>
      <c r="D99" s="162" t="s">
        <v>37</v>
      </c>
      <c r="E99" s="162" t="s">
        <v>37</v>
      </c>
      <c r="F99" s="295" t="s">
        <v>332</v>
      </c>
      <c r="G99" s="296">
        <v>1</v>
      </c>
      <c r="H99" s="296">
        <v>977</v>
      </c>
      <c r="I99" s="169">
        <f>G99*H99</f>
        <v>977</v>
      </c>
      <c r="J99" s="190"/>
      <c r="K99" s="180" t="s">
        <v>116</v>
      </c>
      <c r="L99" s="71"/>
      <c r="M99" s="11"/>
      <c r="N99" s="157"/>
      <c r="O99" s="15"/>
      <c r="P99" s="157"/>
      <c r="Q99" s="76"/>
      <c r="R99" s="134"/>
    </row>
    <row r="100" spans="1:18" s="112" customFormat="1" ht="18" customHeight="1">
      <c r="C100" s="149">
        <f>+C99+1</f>
        <v>68</v>
      </c>
      <c r="D100" s="262" t="s">
        <v>145</v>
      </c>
      <c r="E100" s="262" t="s">
        <v>145</v>
      </c>
      <c r="F100" s="263" t="s">
        <v>146</v>
      </c>
      <c r="G100" s="348"/>
      <c r="H100" s="267">
        <v>1082</v>
      </c>
      <c r="I100" s="268">
        <f t="shared" si="14"/>
        <v>0</v>
      </c>
      <c r="J100" s="264"/>
      <c r="K100" s="265" t="s">
        <v>207</v>
      </c>
      <c r="L100" s="251" t="s">
        <v>319</v>
      </c>
      <c r="M100" s="11"/>
      <c r="N100" s="76"/>
      <c r="O100" s="15"/>
      <c r="P100" s="157"/>
      <c r="Q100" s="160"/>
      <c r="R100" s="24"/>
    </row>
    <row r="101" spans="1:18" s="112" customFormat="1" ht="18" customHeight="1">
      <c r="C101" s="149">
        <f t="shared" si="15"/>
        <v>69</v>
      </c>
      <c r="D101" s="262" t="s">
        <v>145</v>
      </c>
      <c r="E101" s="262" t="s">
        <v>145</v>
      </c>
      <c r="F101" s="266" t="s">
        <v>148</v>
      </c>
      <c r="G101" s="267"/>
      <c r="H101" s="270">
        <v>403</v>
      </c>
      <c r="I101" s="268">
        <f t="shared" si="14"/>
        <v>0</v>
      </c>
      <c r="J101" s="269"/>
      <c r="K101" s="265" t="s">
        <v>149</v>
      </c>
      <c r="L101" s="251" t="s">
        <v>319</v>
      </c>
      <c r="M101" s="11"/>
      <c r="N101" s="76"/>
      <c r="O101" s="15"/>
      <c r="P101" s="157"/>
      <c r="Q101" s="160"/>
      <c r="R101" s="24"/>
    </row>
    <row r="102" spans="1:18" s="112" customFormat="1" ht="18" customHeight="1">
      <c r="A102" s="300" t="s">
        <v>353</v>
      </c>
      <c r="C102" s="149">
        <f t="shared" si="15"/>
        <v>70</v>
      </c>
      <c r="D102" s="262" t="s">
        <v>145</v>
      </c>
      <c r="E102" s="262" t="s">
        <v>145</v>
      </c>
      <c r="F102" s="266" t="s">
        <v>208</v>
      </c>
      <c r="G102" s="267"/>
      <c r="H102" s="267">
        <v>926</v>
      </c>
      <c r="I102" s="268">
        <f t="shared" si="14"/>
        <v>0</v>
      </c>
      <c r="J102" s="269"/>
      <c r="K102" s="265" t="s">
        <v>209</v>
      </c>
      <c r="L102" s="251" t="s">
        <v>319</v>
      </c>
      <c r="M102" s="11"/>
      <c r="N102" s="76"/>
      <c r="O102" s="15"/>
      <c r="P102" s="157"/>
      <c r="Q102" s="160"/>
      <c r="R102" s="24"/>
    </row>
    <row r="103" spans="1:18" s="112" customFormat="1" ht="18" customHeight="1">
      <c r="C103" s="149">
        <f t="shared" si="15"/>
        <v>71</v>
      </c>
      <c r="D103" s="262" t="s">
        <v>145</v>
      </c>
      <c r="E103" s="262" t="s">
        <v>145</v>
      </c>
      <c r="F103" s="274" t="s">
        <v>210</v>
      </c>
      <c r="G103" s="267"/>
      <c r="H103" s="268">
        <v>19</v>
      </c>
      <c r="I103" s="268">
        <f>G103*H103</f>
        <v>0</v>
      </c>
      <c r="J103" s="268"/>
      <c r="K103" s="265" t="s">
        <v>211</v>
      </c>
      <c r="L103" s="251" t="s">
        <v>319</v>
      </c>
      <c r="M103" s="11"/>
      <c r="N103" s="76"/>
      <c r="O103" s="15"/>
      <c r="P103" s="157"/>
      <c r="Q103" s="160"/>
      <c r="R103" s="24"/>
    </row>
    <row r="104" spans="1:18" s="112" customFormat="1" ht="18" customHeight="1">
      <c r="A104" s="300" t="s">
        <v>353</v>
      </c>
      <c r="C104" s="149">
        <f>+C103+1</f>
        <v>72</v>
      </c>
      <c r="D104" s="177" t="s">
        <v>145</v>
      </c>
      <c r="E104" s="177" t="s">
        <v>145</v>
      </c>
      <c r="F104" s="118" t="s">
        <v>212</v>
      </c>
      <c r="G104" s="231">
        <v>1</v>
      </c>
      <c r="H104" s="231">
        <v>1789</v>
      </c>
      <c r="I104" s="169">
        <f t="shared" si="14"/>
        <v>1789</v>
      </c>
      <c r="J104" s="179"/>
      <c r="K104" s="180" t="s">
        <v>213</v>
      </c>
      <c r="L104" s="71"/>
      <c r="M104" s="11"/>
      <c r="N104" s="157"/>
      <c r="O104" s="15"/>
      <c r="P104" s="157"/>
      <c r="Q104" s="76"/>
      <c r="R104" s="134"/>
    </row>
    <row r="105" spans="1:18" s="112" customFormat="1" ht="18" customHeight="1">
      <c r="A105" s="300" t="s">
        <v>353</v>
      </c>
      <c r="C105" s="149">
        <f t="shared" si="15"/>
        <v>73</v>
      </c>
      <c r="D105" s="164" t="s">
        <v>145</v>
      </c>
      <c r="E105" s="164" t="s">
        <v>145</v>
      </c>
      <c r="F105" s="297" t="s">
        <v>214</v>
      </c>
      <c r="G105" s="119">
        <v>1</v>
      </c>
      <c r="H105" s="231">
        <v>4225</v>
      </c>
      <c r="I105" s="169">
        <f t="shared" si="14"/>
        <v>4225</v>
      </c>
      <c r="J105" s="165"/>
      <c r="K105" s="167" t="s">
        <v>215</v>
      </c>
      <c r="L105" s="71"/>
      <c r="M105" s="11"/>
      <c r="N105" s="157"/>
      <c r="O105" s="15"/>
      <c r="P105" s="157"/>
      <c r="Q105" s="76"/>
      <c r="R105" s="134"/>
    </row>
    <row r="106" spans="1:18" s="112" customFormat="1" ht="18" customHeight="1">
      <c r="C106" s="149">
        <f>+C105+1</f>
        <v>74</v>
      </c>
      <c r="D106" s="271" t="s">
        <v>216</v>
      </c>
      <c r="E106" s="271" t="s">
        <v>145</v>
      </c>
      <c r="F106" s="257" t="s">
        <v>217</v>
      </c>
      <c r="G106" s="272"/>
      <c r="H106" s="273">
        <v>483</v>
      </c>
      <c r="I106" s="273">
        <f t="shared" si="14"/>
        <v>0</v>
      </c>
      <c r="J106" s="275"/>
      <c r="K106" s="276" t="s">
        <v>218</v>
      </c>
      <c r="L106" s="251" t="s">
        <v>319</v>
      </c>
      <c r="M106" s="11"/>
      <c r="N106" s="76"/>
      <c r="O106" s="15"/>
      <c r="P106" s="157"/>
      <c r="Q106" s="160"/>
      <c r="R106" s="24"/>
    </row>
    <row r="107" spans="1:18" s="112" customFormat="1" ht="18" customHeight="1">
      <c r="A107" s="300" t="s">
        <v>353</v>
      </c>
      <c r="C107" s="149">
        <f t="shared" si="15"/>
        <v>75</v>
      </c>
      <c r="D107" s="164" t="s">
        <v>145</v>
      </c>
      <c r="E107" s="164" t="s">
        <v>145</v>
      </c>
      <c r="F107" s="416" t="s">
        <v>219</v>
      </c>
      <c r="G107" s="119">
        <v>1</v>
      </c>
      <c r="H107" s="231">
        <v>550</v>
      </c>
      <c r="I107" s="169">
        <f t="shared" si="14"/>
        <v>550</v>
      </c>
      <c r="J107" s="165"/>
      <c r="K107" s="163" t="s">
        <v>220</v>
      </c>
      <c r="L107" s="71"/>
      <c r="M107" s="11"/>
      <c r="N107" s="157"/>
      <c r="O107" s="15"/>
      <c r="P107" s="157"/>
      <c r="Q107" s="76"/>
      <c r="R107" s="134"/>
    </row>
    <row r="108" spans="1:18" s="112" customFormat="1" ht="18" customHeight="1">
      <c r="C108" s="149">
        <f t="shared" si="15"/>
        <v>76</v>
      </c>
      <c r="D108" s="164" t="s">
        <v>145</v>
      </c>
      <c r="E108" s="164" t="s">
        <v>145</v>
      </c>
      <c r="F108" s="298" t="s">
        <v>221</v>
      </c>
      <c r="G108" s="119">
        <v>1</v>
      </c>
      <c r="H108" s="231">
        <v>508</v>
      </c>
      <c r="I108" s="169">
        <f t="shared" si="14"/>
        <v>508</v>
      </c>
      <c r="J108" s="165"/>
      <c r="K108" s="167" t="s">
        <v>222</v>
      </c>
      <c r="L108" s="71"/>
      <c r="M108" s="11"/>
      <c r="N108" s="157"/>
      <c r="O108" s="15"/>
      <c r="P108" s="157"/>
      <c r="Q108" s="76"/>
      <c r="R108" s="134"/>
    </row>
    <row r="109" spans="1:18" s="112" customFormat="1" ht="18" customHeight="1">
      <c r="A109" s="112" t="s">
        <v>366</v>
      </c>
      <c r="C109" s="149">
        <f t="shared" si="15"/>
        <v>77</v>
      </c>
      <c r="D109" s="164" t="s">
        <v>145</v>
      </c>
      <c r="E109" s="164" t="s">
        <v>145</v>
      </c>
      <c r="F109" s="417" t="s">
        <v>223</v>
      </c>
      <c r="G109" s="119">
        <v>1</v>
      </c>
      <c r="H109" s="231">
        <v>5104</v>
      </c>
      <c r="I109" s="169">
        <f t="shared" si="14"/>
        <v>5104</v>
      </c>
      <c r="J109" s="165"/>
      <c r="K109" s="167" t="s">
        <v>224</v>
      </c>
      <c r="L109" s="71"/>
      <c r="M109" s="11"/>
      <c r="N109" s="157"/>
      <c r="O109" s="15"/>
      <c r="P109" s="157"/>
      <c r="Q109" s="76"/>
      <c r="R109" s="134"/>
    </row>
    <row r="110" spans="1:18" s="112" customFormat="1" ht="18" customHeight="1">
      <c r="A110" s="112" t="s">
        <v>366</v>
      </c>
      <c r="C110" s="149">
        <f t="shared" si="15"/>
        <v>78</v>
      </c>
      <c r="D110" s="164" t="s">
        <v>145</v>
      </c>
      <c r="E110" s="164" t="s">
        <v>145</v>
      </c>
      <c r="F110" s="277" t="s">
        <v>225</v>
      </c>
      <c r="G110" s="119">
        <v>1</v>
      </c>
      <c r="H110" s="231">
        <v>5400</v>
      </c>
      <c r="I110" s="169">
        <f t="shared" si="14"/>
        <v>5400</v>
      </c>
      <c r="J110" s="165"/>
      <c r="K110" s="167" t="s">
        <v>226</v>
      </c>
      <c r="L110" s="71"/>
      <c r="M110" s="11"/>
      <c r="N110" s="157"/>
      <c r="O110" s="15"/>
      <c r="P110" s="157"/>
      <c r="Q110" s="76"/>
      <c r="R110" s="134"/>
    </row>
    <row r="111" spans="1:18" s="112" customFormat="1" ht="18" customHeight="1">
      <c r="A111" s="112" t="s">
        <v>366</v>
      </c>
      <c r="C111" s="149">
        <f t="shared" si="15"/>
        <v>79</v>
      </c>
      <c r="D111" s="124" t="s">
        <v>145</v>
      </c>
      <c r="E111" s="124" t="s">
        <v>145</v>
      </c>
      <c r="F111" s="277" t="s">
        <v>227</v>
      </c>
      <c r="G111" s="119">
        <v>1</v>
      </c>
      <c r="H111" s="231">
        <v>5560</v>
      </c>
      <c r="I111" s="231">
        <f t="shared" si="14"/>
        <v>5560</v>
      </c>
      <c r="J111" s="120"/>
      <c r="K111" s="125" t="s">
        <v>228</v>
      </c>
      <c r="L111" s="223"/>
      <c r="M111" s="11"/>
      <c r="N111" s="157"/>
      <c r="O111" s="15"/>
      <c r="P111" s="157"/>
      <c r="Q111" s="76"/>
      <c r="R111" s="134"/>
    </row>
    <row r="112" spans="1:18" s="112" customFormat="1" ht="18" customHeight="1">
      <c r="C112" s="149">
        <f t="shared" si="15"/>
        <v>80</v>
      </c>
      <c r="D112" s="262" t="s">
        <v>145</v>
      </c>
      <c r="E112" s="262" t="s">
        <v>145</v>
      </c>
      <c r="F112" s="278" t="s">
        <v>229</v>
      </c>
      <c r="G112" s="267"/>
      <c r="H112" s="268">
        <v>1098</v>
      </c>
      <c r="I112" s="268">
        <f t="shared" si="14"/>
        <v>0</v>
      </c>
      <c r="J112" s="264"/>
      <c r="K112" s="266" t="s">
        <v>230</v>
      </c>
      <c r="L112" s="251" t="s">
        <v>319</v>
      </c>
      <c r="M112" s="11"/>
      <c r="N112" s="76"/>
      <c r="O112" s="15"/>
      <c r="P112" s="157"/>
      <c r="Q112" s="160"/>
      <c r="R112" s="24"/>
    </row>
    <row r="113" spans="1:18" s="112" customFormat="1" ht="18" customHeight="1">
      <c r="C113" s="149">
        <f t="shared" si="15"/>
        <v>81</v>
      </c>
      <c r="D113" s="262" t="s">
        <v>145</v>
      </c>
      <c r="E113" s="262" t="s">
        <v>145</v>
      </c>
      <c r="F113" s="279" t="s">
        <v>231</v>
      </c>
      <c r="G113" s="267"/>
      <c r="H113" s="268">
        <v>1098</v>
      </c>
      <c r="I113" s="268">
        <f t="shared" si="14"/>
        <v>0</v>
      </c>
      <c r="J113" s="264"/>
      <c r="K113" s="266" t="s">
        <v>232</v>
      </c>
      <c r="L113" s="251" t="s">
        <v>319</v>
      </c>
      <c r="M113" s="11"/>
      <c r="N113" s="76"/>
      <c r="O113" s="15"/>
      <c r="P113" s="157"/>
      <c r="Q113" s="160"/>
      <c r="R113" s="24"/>
    </row>
    <row r="114" spans="1:18" s="112" customFormat="1" ht="18" customHeight="1">
      <c r="A114" s="300" t="s">
        <v>353</v>
      </c>
      <c r="C114" s="149">
        <f t="shared" si="15"/>
        <v>82</v>
      </c>
      <c r="D114" s="181" t="s">
        <v>145</v>
      </c>
      <c r="E114" s="181" t="s">
        <v>145</v>
      </c>
      <c r="F114" s="126" t="s">
        <v>187</v>
      </c>
      <c r="G114" s="288">
        <v>2</v>
      </c>
      <c r="H114" s="337">
        <v>860</v>
      </c>
      <c r="I114" s="336">
        <f t="shared" si="14"/>
        <v>1720</v>
      </c>
      <c r="J114" s="182"/>
      <c r="K114" s="183" t="s">
        <v>233</v>
      </c>
      <c r="L114" s="71"/>
      <c r="M114" s="11"/>
      <c r="N114" s="157"/>
      <c r="O114" s="15"/>
      <c r="P114" s="157"/>
      <c r="Q114" s="76"/>
      <c r="R114" s="134"/>
    </row>
    <row r="115" spans="1:18" s="112" customFormat="1" ht="18" customHeight="1">
      <c r="A115" s="300" t="s">
        <v>353</v>
      </c>
      <c r="C115" s="149">
        <f t="shared" si="15"/>
        <v>83</v>
      </c>
      <c r="D115" s="191" t="s">
        <v>145</v>
      </c>
      <c r="E115" s="191" t="s">
        <v>145</v>
      </c>
      <c r="F115" s="118" t="s">
        <v>188</v>
      </c>
      <c r="G115" s="122">
        <v>6</v>
      </c>
      <c r="H115" s="338">
        <v>270</v>
      </c>
      <c r="I115" s="339">
        <f t="shared" si="14"/>
        <v>1620</v>
      </c>
      <c r="J115" s="192"/>
      <c r="K115" s="178" t="s">
        <v>153</v>
      </c>
      <c r="L115" s="71"/>
      <c r="M115" s="11"/>
      <c r="N115" s="157"/>
      <c r="O115" s="15"/>
      <c r="P115" s="157"/>
      <c r="Q115" s="76"/>
      <c r="R115" s="134"/>
    </row>
    <row r="116" spans="1:18" s="112" customFormat="1" ht="18" customHeight="1">
      <c r="C116" s="149">
        <f t="shared" si="15"/>
        <v>84</v>
      </c>
      <c r="D116" s="418" t="s">
        <v>144</v>
      </c>
      <c r="E116" s="419" t="s">
        <v>195</v>
      </c>
      <c r="F116" s="420" t="s">
        <v>234</v>
      </c>
      <c r="G116" s="418"/>
      <c r="H116" s="418">
        <v>3040</v>
      </c>
      <c r="I116" s="421">
        <f t="shared" si="14"/>
        <v>0</v>
      </c>
      <c r="J116" s="422"/>
      <c r="K116" s="423" t="s">
        <v>160</v>
      </c>
      <c r="L116" s="71"/>
      <c r="M116" s="11"/>
      <c r="N116" s="76"/>
      <c r="O116" s="15"/>
      <c r="P116" s="157"/>
      <c r="Q116" s="160"/>
      <c r="R116" s="24"/>
    </row>
    <row r="117" spans="1:18" s="112" customFormat="1" ht="18" customHeight="1">
      <c r="A117" s="300" t="s">
        <v>353</v>
      </c>
      <c r="C117" s="149">
        <f t="shared" si="15"/>
        <v>85</v>
      </c>
      <c r="D117" s="185" t="s">
        <v>145</v>
      </c>
      <c r="E117" s="185" t="s">
        <v>145</v>
      </c>
      <c r="F117" s="349" t="s">
        <v>235</v>
      </c>
      <c r="G117" s="119">
        <v>1</v>
      </c>
      <c r="H117" s="185">
        <v>4300</v>
      </c>
      <c r="I117" s="185">
        <f t="shared" si="14"/>
        <v>4300</v>
      </c>
      <c r="J117" s="174"/>
      <c r="K117" s="186" t="s">
        <v>236</v>
      </c>
      <c r="L117" s="71"/>
      <c r="M117" s="11"/>
      <c r="N117" s="157"/>
      <c r="O117" s="15"/>
      <c r="P117" s="157"/>
      <c r="Q117" s="76"/>
      <c r="R117" s="134"/>
    </row>
    <row r="118" spans="1:18" s="112" customFormat="1" ht="18" customHeight="1">
      <c r="C118" s="149">
        <f t="shared" si="15"/>
        <v>86</v>
      </c>
      <c r="D118" s="185" t="s">
        <v>145</v>
      </c>
      <c r="E118" s="185" t="s">
        <v>145</v>
      </c>
      <c r="F118" s="232" t="s">
        <v>237</v>
      </c>
      <c r="G118" s="120">
        <v>4</v>
      </c>
      <c r="H118" s="185">
        <v>106</v>
      </c>
      <c r="I118" s="185">
        <f t="shared" si="14"/>
        <v>424</v>
      </c>
      <c r="J118" s="187"/>
      <c r="K118" s="186" t="s">
        <v>238</v>
      </c>
      <c r="L118" s="71"/>
      <c r="M118" s="11"/>
      <c r="N118" s="157"/>
      <c r="O118" s="15"/>
      <c r="P118" s="157"/>
      <c r="Q118" s="76"/>
      <c r="R118" s="134"/>
    </row>
    <row r="119" spans="1:18" s="112" customFormat="1" ht="18" customHeight="1">
      <c r="C119" s="149">
        <f t="shared" si="15"/>
        <v>87</v>
      </c>
      <c r="D119" s="164" t="s">
        <v>145</v>
      </c>
      <c r="E119" s="164" t="s">
        <v>145</v>
      </c>
      <c r="F119" s="232" t="s">
        <v>239</v>
      </c>
      <c r="G119" s="120">
        <v>4</v>
      </c>
      <c r="H119" s="321">
        <v>212</v>
      </c>
      <c r="I119" s="185">
        <f t="shared" si="14"/>
        <v>848</v>
      </c>
      <c r="J119" s="165"/>
      <c r="K119" s="163" t="s">
        <v>240</v>
      </c>
      <c r="L119" s="71"/>
      <c r="M119" s="11"/>
      <c r="N119" s="157"/>
      <c r="O119" s="15"/>
      <c r="P119" s="157"/>
      <c r="Q119" s="76"/>
      <c r="R119" s="134"/>
    </row>
    <row r="120" spans="1:18" s="112" customFormat="1" ht="18" customHeight="1">
      <c r="C120" s="149">
        <f t="shared" si="15"/>
        <v>88</v>
      </c>
      <c r="D120" s="164" t="s">
        <v>145</v>
      </c>
      <c r="E120" s="164" t="s">
        <v>145</v>
      </c>
      <c r="F120" s="188" t="s">
        <v>241</v>
      </c>
      <c r="G120" s="165">
        <v>2</v>
      </c>
      <c r="H120" s="321">
        <v>76</v>
      </c>
      <c r="I120" s="185">
        <f t="shared" si="14"/>
        <v>152</v>
      </c>
      <c r="J120" s="165"/>
      <c r="K120" s="163" t="s">
        <v>242</v>
      </c>
      <c r="L120" s="71"/>
      <c r="M120" s="11"/>
      <c r="N120" s="157"/>
      <c r="O120" s="15"/>
      <c r="P120" s="157"/>
      <c r="Q120" s="76"/>
      <c r="R120" s="134"/>
    </row>
    <row r="121" spans="1:18" s="112" customFormat="1" ht="18" customHeight="1">
      <c r="C121" s="149">
        <f t="shared" si="15"/>
        <v>89</v>
      </c>
      <c r="D121" s="177" t="s">
        <v>145</v>
      </c>
      <c r="E121" s="177" t="s">
        <v>145</v>
      </c>
      <c r="F121" s="189" t="s">
        <v>243</v>
      </c>
      <c r="G121" s="168">
        <v>2</v>
      </c>
      <c r="H121" s="168">
        <v>250</v>
      </c>
      <c r="I121" s="169">
        <f t="shared" si="14"/>
        <v>500</v>
      </c>
      <c r="J121" s="190"/>
      <c r="K121" s="189" t="s">
        <v>244</v>
      </c>
      <c r="L121" s="71"/>
      <c r="M121" s="11"/>
      <c r="N121" s="157"/>
      <c r="O121" s="15"/>
      <c r="P121" s="157"/>
      <c r="Q121" s="76"/>
      <c r="R121" s="134"/>
    </row>
    <row r="122" spans="1:18" s="112" customFormat="1" ht="18" customHeight="1">
      <c r="C122" s="149">
        <f t="shared" si="15"/>
        <v>90</v>
      </c>
      <c r="D122" s="177" t="s">
        <v>145</v>
      </c>
      <c r="E122" s="177" t="s">
        <v>145</v>
      </c>
      <c r="F122" s="189" t="s">
        <v>245</v>
      </c>
      <c r="G122" s="168">
        <v>2</v>
      </c>
      <c r="H122" s="168">
        <v>200</v>
      </c>
      <c r="I122" s="169">
        <f t="shared" si="14"/>
        <v>400</v>
      </c>
      <c r="J122" s="190"/>
      <c r="K122" s="189" t="s">
        <v>246</v>
      </c>
      <c r="L122" s="71"/>
      <c r="M122" s="11"/>
      <c r="N122" s="157"/>
      <c r="O122" s="15"/>
      <c r="P122" s="157"/>
      <c r="Q122" s="76"/>
      <c r="R122" s="134"/>
    </row>
    <row r="123" spans="1:18" s="112" customFormat="1" ht="18" customHeight="1">
      <c r="C123" s="149">
        <f t="shared" si="15"/>
        <v>91</v>
      </c>
      <c r="D123" s="262" t="s">
        <v>145</v>
      </c>
      <c r="E123" s="262" t="s">
        <v>145</v>
      </c>
      <c r="F123" s="266" t="s">
        <v>150</v>
      </c>
      <c r="G123" s="267"/>
      <c r="H123" s="268">
        <v>940</v>
      </c>
      <c r="I123" s="340">
        <f t="shared" si="14"/>
        <v>0</v>
      </c>
      <c r="J123" s="280"/>
      <c r="K123" s="278" t="s">
        <v>151</v>
      </c>
      <c r="L123" s="251" t="s">
        <v>319</v>
      </c>
      <c r="M123" s="11"/>
      <c r="N123" s="76"/>
      <c r="O123" s="15"/>
      <c r="P123" s="157"/>
      <c r="Q123" s="160"/>
      <c r="R123" s="24"/>
    </row>
    <row r="124" spans="1:18" s="112" customFormat="1" ht="18" customHeight="1">
      <c r="C124" s="149">
        <f t="shared" si="15"/>
        <v>92</v>
      </c>
      <c r="D124" s="281" t="s">
        <v>145</v>
      </c>
      <c r="E124" s="281" t="s">
        <v>145</v>
      </c>
      <c r="F124" s="247" t="s">
        <v>247</v>
      </c>
      <c r="G124" s="282"/>
      <c r="H124" s="304">
        <v>570</v>
      </c>
      <c r="I124" s="304">
        <f t="shared" si="14"/>
        <v>0</v>
      </c>
      <c r="J124" s="283"/>
      <c r="K124" s="247" t="s">
        <v>248</v>
      </c>
      <c r="L124" s="251" t="s">
        <v>319</v>
      </c>
      <c r="M124" s="11"/>
      <c r="N124" s="76"/>
      <c r="O124" s="15"/>
      <c r="P124" s="157"/>
      <c r="Q124" s="160"/>
      <c r="R124" s="24"/>
    </row>
    <row r="125" spans="1:18" s="112" customFormat="1" ht="18" customHeight="1">
      <c r="A125" s="300" t="s">
        <v>365</v>
      </c>
      <c r="C125" s="149">
        <f t="shared" si="15"/>
        <v>93</v>
      </c>
      <c r="D125" s="173" t="s">
        <v>145</v>
      </c>
      <c r="E125" s="173" t="s">
        <v>145</v>
      </c>
      <c r="F125" s="188" t="s">
        <v>367</v>
      </c>
      <c r="G125" s="193">
        <v>1</v>
      </c>
      <c r="H125" s="341">
        <v>8500</v>
      </c>
      <c r="I125" s="342">
        <f>G125*H125</f>
        <v>8500</v>
      </c>
      <c r="J125" s="165"/>
      <c r="K125" s="166" t="s">
        <v>249</v>
      </c>
      <c r="L125" s="71"/>
      <c r="M125" s="11"/>
      <c r="N125" s="157"/>
      <c r="O125" s="15"/>
      <c r="P125" s="157"/>
      <c r="Q125" s="76"/>
      <c r="R125" s="134"/>
    </row>
    <row r="126" spans="1:18" s="112" customFormat="1" ht="18" customHeight="1">
      <c r="A126" s="300" t="s">
        <v>360</v>
      </c>
      <c r="C126" s="149">
        <f t="shared" si="15"/>
        <v>94</v>
      </c>
      <c r="D126" s="164" t="s">
        <v>145</v>
      </c>
      <c r="E126" s="164" t="s">
        <v>145</v>
      </c>
      <c r="F126" s="166" t="s">
        <v>250</v>
      </c>
      <c r="G126" s="193">
        <v>1</v>
      </c>
      <c r="H126" s="341">
        <v>3480</v>
      </c>
      <c r="I126" s="321">
        <f>G126*H126</f>
        <v>3480</v>
      </c>
      <c r="J126" s="165"/>
      <c r="K126" s="163" t="s">
        <v>251</v>
      </c>
      <c r="L126" s="71"/>
      <c r="M126" s="11"/>
      <c r="N126" s="157"/>
      <c r="O126" s="15"/>
      <c r="P126" s="157"/>
      <c r="Q126" s="76"/>
      <c r="R126" s="134"/>
    </row>
    <row r="127" spans="1:18" s="112" customFormat="1" ht="18" customHeight="1">
      <c r="C127" s="149">
        <f t="shared" si="15"/>
        <v>95</v>
      </c>
      <c r="D127" s="307" t="s">
        <v>145</v>
      </c>
      <c r="E127" s="308" t="s">
        <v>145</v>
      </c>
      <c r="F127" s="309" t="s">
        <v>334</v>
      </c>
      <c r="G127" s="122">
        <v>7</v>
      </c>
      <c r="H127" s="135">
        <v>72</v>
      </c>
      <c r="I127" s="343">
        <f t="shared" ref="I127:I129" si="16">G127*H127</f>
        <v>504</v>
      </c>
      <c r="J127" s="310"/>
      <c r="K127" s="232" t="s">
        <v>335</v>
      </c>
      <c r="L127" s="71"/>
      <c r="M127" s="11"/>
      <c r="N127" s="157"/>
      <c r="O127" s="15"/>
      <c r="P127" s="157"/>
      <c r="Q127" s="76"/>
      <c r="R127" s="134"/>
    </row>
    <row r="128" spans="1:18" s="112" customFormat="1" ht="18" customHeight="1">
      <c r="C128" s="149">
        <f t="shared" si="15"/>
        <v>96</v>
      </c>
      <c r="D128" s="124" t="s">
        <v>145</v>
      </c>
      <c r="E128" s="124" t="s">
        <v>145</v>
      </c>
      <c r="F128" s="232" t="s">
        <v>336</v>
      </c>
      <c r="G128" s="119">
        <v>1</v>
      </c>
      <c r="H128" s="231">
        <v>860</v>
      </c>
      <c r="I128" s="231">
        <f t="shared" si="16"/>
        <v>860</v>
      </c>
      <c r="J128" s="120"/>
      <c r="K128" s="125" t="s">
        <v>337</v>
      </c>
      <c r="L128" s="71"/>
      <c r="M128" s="11"/>
      <c r="N128" s="157"/>
      <c r="O128" s="15"/>
      <c r="P128" s="157"/>
      <c r="Q128" s="76"/>
      <c r="R128" s="134"/>
    </row>
    <row r="129" spans="3:18" s="112" customFormat="1" ht="18" customHeight="1">
      <c r="C129" s="149">
        <f t="shared" si="15"/>
        <v>97</v>
      </c>
      <c r="D129" s="124" t="s">
        <v>145</v>
      </c>
      <c r="E129" s="124" t="s">
        <v>145</v>
      </c>
      <c r="F129" s="232" t="s">
        <v>338</v>
      </c>
      <c r="G129" s="119">
        <v>2</v>
      </c>
      <c r="H129" s="231">
        <v>443</v>
      </c>
      <c r="I129" s="231">
        <f t="shared" si="16"/>
        <v>886</v>
      </c>
      <c r="J129" s="120"/>
      <c r="K129" s="125" t="s">
        <v>339</v>
      </c>
      <c r="L129" s="71"/>
      <c r="M129" s="11"/>
      <c r="N129" s="157"/>
      <c r="O129" s="15"/>
      <c r="P129" s="157"/>
      <c r="Q129" s="76"/>
      <c r="R129" s="134"/>
    </row>
    <row r="130" spans="3:18" s="112" customFormat="1" ht="18" customHeight="1">
      <c r="C130" s="149">
        <f>+C129+1</f>
        <v>98</v>
      </c>
      <c r="D130" s="124" t="s">
        <v>145</v>
      </c>
      <c r="E130" s="124" t="s">
        <v>145</v>
      </c>
      <c r="F130" s="299" t="s">
        <v>252</v>
      </c>
      <c r="G130" s="293">
        <v>3</v>
      </c>
      <c r="H130" s="344">
        <v>229</v>
      </c>
      <c r="I130" s="328">
        <f>G130*H130</f>
        <v>687</v>
      </c>
      <c r="J130" s="120"/>
      <c r="K130" s="232" t="s">
        <v>253</v>
      </c>
      <c r="L130" s="71"/>
      <c r="M130" s="11"/>
      <c r="N130" s="157"/>
      <c r="O130" s="15"/>
      <c r="P130" s="157"/>
      <c r="Q130" s="76"/>
      <c r="R130" s="134"/>
    </row>
    <row r="131" spans="3:18" s="112" customFormat="1" ht="15.6" customHeight="1">
      <c r="C131" s="149">
        <f t="shared" si="15"/>
        <v>99</v>
      </c>
      <c r="D131" s="47" t="s">
        <v>37</v>
      </c>
      <c r="E131" s="47" t="s">
        <v>37</v>
      </c>
      <c r="F131" s="147" t="s">
        <v>193</v>
      </c>
      <c r="G131" s="111">
        <v>2</v>
      </c>
      <c r="H131" s="68">
        <v>455</v>
      </c>
      <c r="I131" s="68">
        <f t="shared" ref="I131:I132" si="17">G131*H131</f>
        <v>910</v>
      </c>
      <c r="J131" s="13"/>
      <c r="K131" s="153" t="s">
        <v>194</v>
      </c>
      <c r="L131" s="71"/>
      <c r="M131" s="11"/>
      <c r="N131" s="157"/>
      <c r="O131" s="15"/>
      <c r="P131" s="15"/>
      <c r="Q131" s="76"/>
      <c r="R131" s="134"/>
    </row>
    <row r="132" spans="3:18" s="112" customFormat="1" ht="15.6" customHeight="1">
      <c r="C132" s="149">
        <f t="shared" si="15"/>
        <v>100</v>
      </c>
      <c r="D132" s="47" t="s">
        <v>37</v>
      </c>
      <c r="E132" s="47" t="s">
        <v>37</v>
      </c>
      <c r="F132" s="148" t="s">
        <v>192</v>
      </c>
      <c r="G132" s="111">
        <v>2</v>
      </c>
      <c r="H132" s="111">
        <v>250</v>
      </c>
      <c r="I132" s="68">
        <f t="shared" si="17"/>
        <v>500</v>
      </c>
      <c r="J132" s="21"/>
      <c r="K132" s="45" t="s">
        <v>191</v>
      </c>
      <c r="L132" s="71"/>
      <c r="M132" s="11"/>
      <c r="N132" s="157"/>
      <c r="O132" s="15"/>
      <c r="P132" s="15"/>
      <c r="Q132" s="76"/>
      <c r="R132" s="134"/>
    </row>
    <row r="133" spans="3:18" s="112" customFormat="1" ht="18" customHeight="1">
      <c r="C133" s="149">
        <f t="shared" si="15"/>
        <v>101</v>
      </c>
      <c r="D133" s="281" t="s">
        <v>145</v>
      </c>
      <c r="E133" s="281" t="s">
        <v>145</v>
      </c>
      <c r="F133" s="247" t="s">
        <v>146</v>
      </c>
      <c r="G133" s="282"/>
      <c r="H133" s="304">
        <v>830</v>
      </c>
      <c r="I133" s="340">
        <f t="shared" ref="I133:I136" si="18">G133*H133</f>
        <v>0</v>
      </c>
      <c r="J133" s="301"/>
      <c r="K133" s="279" t="s">
        <v>147</v>
      </c>
      <c r="L133" s="251" t="s">
        <v>319</v>
      </c>
      <c r="M133" s="128"/>
      <c r="N133" s="157"/>
      <c r="O133" s="115"/>
      <c r="P133" s="128"/>
      <c r="Q133" s="157"/>
      <c r="R133" s="134"/>
    </row>
    <row r="134" spans="3:18" s="112" customFormat="1" ht="18" customHeight="1">
      <c r="C134" s="149">
        <f t="shared" si="15"/>
        <v>102</v>
      </c>
      <c r="D134" s="117" t="s">
        <v>145</v>
      </c>
      <c r="E134" s="117" t="s">
        <v>145</v>
      </c>
      <c r="F134" s="118" t="s">
        <v>188</v>
      </c>
      <c r="G134" s="122">
        <v>6</v>
      </c>
      <c r="H134" s="135">
        <v>270</v>
      </c>
      <c r="I134" s="326">
        <f t="shared" si="18"/>
        <v>1620</v>
      </c>
      <c r="J134" s="123"/>
      <c r="K134" s="118" t="s">
        <v>153</v>
      </c>
      <c r="L134" s="115"/>
      <c r="M134" s="128"/>
      <c r="N134" s="157"/>
      <c r="O134" s="115"/>
      <c r="P134" s="128"/>
      <c r="Q134" s="76"/>
      <c r="R134" s="134"/>
    </row>
    <row r="135" spans="3:18" s="112" customFormat="1" ht="18" customHeight="1">
      <c r="C135" s="149">
        <f t="shared" si="15"/>
        <v>103</v>
      </c>
      <c r="D135" s="117" t="s">
        <v>145</v>
      </c>
      <c r="E135" s="117" t="s">
        <v>145</v>
      </c>
      <c r="F135" s="118" t="s">
        <v>189</v>
      </c>
      <c r="G135" s="122">
        <v>2</v>
      </c>
      <c r="H135" s="135">
        <v>270</v>
      </c>
      <c r="I135" s="326">
        <f t="shared" si="18"/>
        <v>540</v>
      </c>
      <c r="J135" s="123"/>
      <c r="K135" s="118" t="s">
        <v>190</v>
      </c>
      <c r="L135" s="115"/>
      <c r="M135" s="128"/>
      <c r="N135" s="157"/>
      <c r="O135" s="115"/>
      <c r="P135" s="128"/>
      <c r="Q135" s="76"/>
      <c r="R135" s="134"/>
    </row>
    <row r="136" spans="3:18" s="112" customFormat="1" ht="18" customHeight="1">
      <c r="C136" s="149">
        <f t="shared" si="15"/>
        <v>104</v>
      </c>
      <c r="D136" s="271" t="s">
        <v>145</v>
      </c>
      <c r="E136" s="271" t="s">
        <v>145</v>
      </c>
      <c r="F136" s="431" t="s">
        <v>154</v>
      </c>
      <c r="G136" s="432">
        <v>10</v>
      </c>
      <c r="H136" s="273">
        <v>23</v>
      </c>
      <c r="I136" s="273">
        <f t="shared" si="18"/>
        <v>230</v>
      </c>
      <c r="J136" s="433"/>
      <c r="K136" s="276" t="s">
        <v>155</v>
      </c>
      <c r="L136" s="115"/>
      <c r="M136" s="128"/>
      <c r="N136" s="157"/>
      <c r="O136" s="115"/>
      <c r="P136" s="128"/>
      <c r="Q136" s="76"/>
      <c r="R136" s="134"/>
    </row>
    <row r="137" spans="3:18" s="112" customFormat="1" ht="18" customHeight="1">
      <c r="C137" s="149">
        <f t="shared" si="15"/>
        <v>105</v>
      </c>
      <c r="D137" s="8" t="s">
        <v>37</v>
      </c>
      <c r="E137" s="8" t="s">
        <v>37</v>
      </c>
      <c r="F137" s="147" t="s">
        <v>134</v>
      </c>
      <c r="G137" s="111">
        <v>10</v>
      </c>
      <c r="H137" s="68">
        <v>29</v>
      </c>
      <c r="I137" s="68">
        <f>G137*H137</f>
        <v>290</v>
      </c>
      <c r="J137" s="13"/>
      <c r="K137" s="64" t="s">
        <v>135</v>
      </c>
      <c r="L137" s="115"/>
      <c r="M137" s="128"/>
      <c r="N137" s="157"/>
      <c r="O137" s="115"/>
      <c r="P137" s="128"/>
      <c r="Q137" s="76"/>
      <c r="R137" s="134"/>
    </row>
    <row r="138" spans="3:18" s="112" customFormat="1" ht="18" customHeight="1">
      <c r="C138" s="149">
        <f t="shared" si="15"/>
        <v>106</v>
      </c>
      <c r="D138" s="302" t="s">
        <v>37</v>
      </c>
      <c r="E138" s="302" t="s">
        <v>37</v>
      </c>
      <c r="F138" s="303" t="s">
        <v>127</v>
      </c>
      <c r="G138" s="304"/>
      <c r="H138" s="270">
        <v>622</v>
      </c>
      <c r="I138" s="304">
        <v>622</v>
      </c>
      <c r="J138" s="305"/>
      <c r="K138" s="306" t="s">
        <v>128</v>
      </c>
      <c r="L138" s="251" t="s">
        <v>319</v>
      </c>
      <c r="M138" s="128"/>
      <c r="N138" s="157"/>
      <c r="O138" s="115"/>
      <c r="P138" s="128"/>
      <c r="Q138" s="157"/>
      <c r="R138" s="134"/>
    </row>
    <row r="139" spans="3:18" s="112" customFormat="1" ht="18" customHeight="1">
      <c r="C139" s="149">
        <f t="shared" si="15"/>
        <v>107</v>
      </c>
      <c r="D139" s="424" t="s">
        <v>37</v>
      </c>
      <c r="E139" s="424" t="s">
        <v>37</v>
      </c>
      <c r="F139" s="425" t="s">
        <v>311</v>
      </c>
      <c r="G139" s="426"/>
      <c r="H139" s="427">
        <v>2196</v>
      </c>
      <c r="I139" s="428">
        <f>G139*H139</f>
        <v>0</v>
      </c>
      <c r="J139" s="429"/>
      <c r="K139" s="430" t="s">
        <v>312</v>
      </c>
      <c r="L139" s="115"/>
      <c r="M139" s="128"/>
      <c r="N139" s="157"/>
      <c r="O139" s="115"/>
      <c r="P139" s="128"/>
      <c r="Q139" s="76"/>
      <c r="R139" s="134"/>
    </row>
    <row r="140" spans="3:18" s="112" customFormat="1" ht="18" customHeight="1">
      <c r="C140" s="149">
        <f t="shared" si="15"/>
        <v>108</v>
      </c>
      <c r="D140" s="136"/>
      <c r="E140" s="136"/>
      <c r="F140" s="207"/>
      <c r="G140" s="208"/>
      <c r="H140" s="345"/>
      <c r="I140" s="135"/>
      <c r="J140" s="209"/>
      <c r="K140" s="210"/>
      <c r="L140" s="115"/>
      <c r="M140" s="128"/>
      <c r="N140" s="157"/>
      <c r="O140" s="115"/>
      <c r="P140" s="128"/>
      <c r="Q140" s="157"/>
      <c r="R140" s="134"/>
    </row>
    <row r="141" spans="3:18" s="112" customFormat="1" ht="18" customHeight="1">
      <c r="C141" s="111"/>
      <c r="D141" s="136"/>
      <c r="E141" s="136"/>
      <c r="F141" s="145"/>
      <c r="G141" s="143"/>
      <c r="H141" s="346"/>
      <c r="I141" s="231"/>
      <c r="J141" s="146"/>
      <c r="K141" s="145"/>
      <c r="L141" s="115"/>
      <c r="M141" s="128"/>
      <c r="N141" s="128"/>
      <c r="O141" s="115"/>
      <c r="P141" s="128"/>
      <c r="Q141" s="133"/>
      <c r="R141" s="133"/>
    </row>
    <row r="142" spans="3:18" s="112" customFormat="1" ht="18" customHeight="1">
      <c r="C142" s="70"/>
      <c r="D142" s="8"/>
      <c r="E142" s="8"/>
      <c r="F142" s="647">
        <f>SUM(I89:I141)</f>
        <v>106429</v>
      </c>
      <c r="G142" s="648"/>
      <c r="H142" s="648"/>
      <c r="I142" s="649"/>
      <c r="J142" s="13"/>
      <c r="K142" s="64"/>
      <c r="L142" s="71"/>
      <c r="M142" s="11"/>
      <c r="N142" s="76"/>
      <c r="O142" s="15"/>
      <c r="P142" s="15"/>
      <c r="Q142" s="76"/>
      <c r="R142" s="24"/>
    </row>
    <row r="143" spans="3:18" ht="18" customHeight="1">
      <c r="C143" s="23"/>
      <c r="D143" s="8"/>
      <c r="E143" s="8"/>
      <c r="F143" s="45"/>
      <c r="G143" s="111"/>
      <c r="H143" s="111"/>
      <c r="I143" s="68"/>
      <c r="J143" s="6"/>
      <c r="K143" s="45"/>
      <c r="L143" s="12"/>
      <c r="M143" s="11"/>
      <c r="N143" s="26"/>
      <c r="O143" s="15"/>
      <c r="P143" s="15"/>
      <c r="Q143" s="76"/>
      <c r="R143" s="24"/>
    </row>
    <row r="144" spans="3:18" ht="18" customHeight="1">
      <c r="C144" s="70"/>
      <c r="D144" s="23"/>
      <c r="E144" s="23"/>
      <c r="F144" s="12" t="s">
        <v>130</v>
      </c>
      <c r="G144" s="68"/>
      <c r="H144" s="68"/>
      <c r="I144" s="68">
        <f>G144*H144</f>
        <v>0</v>
      </c>
      <c r="J144" s="21"/>
      <c r="K144" s="27" t="s">
        <v>131</v>
      </c>
      <c r="L144" s="73"/>
      <c r="M144" s="70"/>
      <c r="N144" s="26"/>
      <c r="O144" s="73"/>
      <c r="P144" s="70"/>
      <c r="Q144" s="76"/>
      <c r="R144" s="24"/>
    </row>
    <row r="145" spans="3:18" ht="18" customHeight="1">
      <c r="C145" s="70"/>
      <c r="D145" s="8"/>
      <c r="E145" s="8"/>
      <c r="F145" s="12" t="s">
        <v>131</v>
      </c>
      <c r="G145" s="68"/>
      <c r="H145" s="68">
        <v>5000</v>
      </c>
      <c r="I145" s="68">
        <f>G145*H145</f>
        <v>0</v>
      </c>
      <c r="J145" s="21"/>
      <c r="K145" s="27" t="s">
        <v>132</v>
      </c>
      <c r="L145" s="73"/>
      <c r="M145" s="70"/>
      <c r="N145" s="26"/>
      <c r="O145" s="73"/>
      <c r="P145" s="70"/>
      <c r="Q145" s="76"/>
      <c r="R145" s="15"/>
    </row>
    <row r="146" spans="3:18" ht="18" customHeight="1">
      <c r="C146" s="70"/>
      <c r="D146" s="8"/>
      <c r="E146" s="8"/>
      <c r="F146" s="12" t="s">
        <v>132</v>
      </c>
      <c r="G146" s="68"/>
      <c r="H146" s="68"/>
      <c r="I146" s="68">
        <f>G146*H146</f>
        <v>0</v>
      </c>
      <c r="J146" s="21"/>
      <c r="K146" s="11"/>
      <c r="L146" s="73"/>
      <c r="M146" s="70"/>
      <c r="N146" s="70"/>
      <c r="O146" s="73"/>
      <c r="P146" s="70"/>
      <c r="Q146" s="15"/>
      <c r="R146" s="15"/>
    </row>
    <row r="147" spans="3:18" ht="18" customHeight="1">
      <c r="C147" s="70"/>
      <c r="D147" s="8"/>
      <c r="E147" s="8"/>
      <c r="F147" s="637"/>
      <c r="G147" s="638"/>
      <c r="H147" s="638"/>
      <c r="I147" s="639"/>
      <c r="J147" s="13"/>
      <c r="K147" s="64"/>
    </row>
    <row r="148" spans="3:18" ht="18" customHeight="1"/>
    <row r="149" spans="3:18" ht="18" customHeight="1"/>
    <row r="150" spans="3:18" ht="18" customHeight="1"/>
  </sheetData>
  <autoFilter ref="C8:P150" xr:uid="{00000000-0009-0000-0000-000003000000}"/>
  <mergeCells count="15">
    <mergeCell ref="F147:I147"/>
    <mergeCell ref="C2:E2"/>
    <mergeCell ref="H2:J2"/>
    <mergeCell ref="C3:E3"/>
    <mergeCell ref="C4:E4"/>
    <mergeCell ref="H4:K5"/>
    <mergeCell ref="C5:E5"/>
    <mergeCell ref="D88:F88"/>
    <mergeCell ref="F142:I142"/>
    <mergeCell ref="C6:E6"/>
    <mergeCell ref="C10:F10"/>
    <mergeCell ref="F50:I50"/>
    <mergeCell ref="D53:F53"/>
    <mergeCell ref="F64:I64"/>
    <mergeCell ref="D69:F69"/>
  </mergeCells>
  <phoneticPr fontId="14"/>
  <dataValidations disablePrompts="1" count="2">
    <dataValidation allowBlank="1" showInputMessage="1" showErrorMessage="1" sqref="K26:K27 K32:K35 K49:K51" xr:uid="{00000000-0002-0000-0300-000000000000}"/>
    <dataValidation imeMode="hiragana" allowBlank="1" showInputMessage="1" showErrorMessage="1" sqref="K136 K73:K74 K141 K40 K46:K48" xr:uid="{00000000-0002-0000-0300-000001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発注 (20211124) </vt:lpstr>
      <vt:lpstr>Sheet1</vt:lpstr>
      <vt:lpstr>Sheet2</vt:lpstr>
      <vt:lpstr>Sheet3</vt:lpstr>
      <vt:lpstr>発注 (20211116) </vt:lpstr>
      <vt:lpstr>発注 (20211111)  (2)</vt:lpstr>
      <vt:lpstr>発注 (20211111) </vt:lpstr>
      <vt:lpstr>発注 (20191206)</vt:lpstr>
      <vt:lpstr>Sheet1!_FilterDatabase</vt:lpstr>
      <vt:lpstr>'発注 (20191206)'!_FilterDatabase</vt:lpstr>
      <vt:lpstr>'発注 (20211111) '!_FilterDatabase</vt:lpstr>
      <vt:lpstr>'発注 (20211111)  (2)'!_FilterDatabase</vt:lpstr>
      <vt:lpstr>'発注 (20211116) '!_FilterDatabase</vt:lpstr>
      <vt:lpstr>'発注 (20211124)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2022-01-12T09:08:39Z</dcterms:modified>
</cp:coreProperties>
</file>