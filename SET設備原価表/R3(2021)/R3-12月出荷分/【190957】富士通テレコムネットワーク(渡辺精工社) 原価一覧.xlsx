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4701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9_{7552957B-2F02-43F3-9E4E-8920F2EB43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表紙" sheetId="2" r:id="rId2"/>
    <sheet name="Sheet3" sheetId="3" r:id="rId3"/>
  </sheets>
  <definedNames>
    <definedName name="_xlnm._FilterDatabase" localSheetId="0" hidden="1">Sheet1!$B$8:$O$68</definedName>
    <definedName name="_xlnm.Print_Area" localSheetId="1">表紙!$A$1:$B$5</definedName>
  </definedNames>
  <calcPr calcId="18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purl.oclc.org/ooxml/spreadsheetml/main">
  <c r="H66" i="1" l="1"/>
  <c r="H67" i="1"/>
  <c r="H68" i="1"/>
  <c r="H47" i="1"/>
  <c r="H48" i="1"/>
  <c r="H49" i="1"/>
  <c r="H50" i="1"/>
  <c r="H51" i="1"/>
  <c r="H43" i="1"/>
  <c r="H46" i="1"/>
  <c r="H12" i="1" l="1"/>
  <c r="H56" i="1" l="1"/>
  <c r="H54" i="1"/>
  <c r="H53" i="1"/>
  <c r="H55" i="1"/>
  <c r="H57" i="1"/>
  <c r="H58" i="1"/>
  <c r="H59" i="1"/>
  <c r="H61" i="1"/>
  <c r="H63" i="1"/>
  <c r="H52" i="1"/>
  <c r="H64" i="1"/>
  <c r="H60" i="1"/>
  <c r="H62" i="1"/>
  <c r="H65" i="1"/>
  <c r="H45" i="1" l="1"/>
  <c r="H44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 l="1"/>
  <c r="H19" i="1" l="1"/>
  <c r="H20" i="1"/>
  <c r="H9" i="1"/>
  <c r="H13" i="1"/>
  <c r="H14" i="1"/>
  <c r="H15" i="1"/>
  <c r="H16" i="1"/>
  <c r="H17" i="1"/>
  <c r="H18" i="1"/>
  <c r="H21" i="1"/>
  <c r="J2" i="1" l="1"/>
</calcChain>
</file>

<file path=xl/sharedStrings.xml><?xml version="1.0" encoding="utf-8"?>
<sst xmlns="http://purl.oclc.org/ooxml/spreadsheetml/main" count="227" uniqueCount="112">
  <si>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</si>
  <si>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</si>
  <si>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</si>
  <si>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</si>
  <si>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</si>
  <si>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</si>
  <si>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</si>
  <si>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</si>
  <si>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</si>
  <si>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</si>
  <si>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</si>
  <si>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</si>
  <si>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</si>
  <si>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</si>
  <si>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</si>
  <si>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</si>
  <si>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</si>
  <si>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</si>
  <si>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</si>
  <si>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</si>
  <si>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</si>
  <si>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平山</t>
    <rPh sb="0" eb="2">
      <t>ヒラヤマ</t>
    </rPh>
    <phoneticPr fontId="1"/>
  </si>
  <si>
    <t>JC-3A00-0H3306010</t>
    <phoneticPr fontId="1"/>
  </si>
  <si>
    <t>I/O内蔵電源増設</t>
    <rPh sb="3" eb="5">
      <t>ナイゾウ</t>
    </rPh>
    <rPh sb="5" eb="7">
      <t>デンゲン</t>
    </rPh>
    <rPh sb="7" eb="9">
      <t>ゾウセツ</t>
    </rPh>
    <phoneticPr fontId="1"/>
  </si>
  <si>
    <t>JC-3実装オプション</t>
    <rPh sb="4" eb="6">
      <t>ジッソウ</t>
    </rPh>
    <phoneticPr fontId="1"/>
  </si>
  <si>
    <t>JC-3オプション</t>
    <phoneticPr fontId="1"/>
  </si>
  <si>
    <t>Y軸ブラケット（ストローク700㎜用）変更費用</t>
    <rPh sb="1" eb="2">
      <t>ジク</t>
    </rPh>
    <rPh sb="17" eb="18">
      <t>ヨウ</t>
    </rPh>
    <rPh sb="19" eb="21">
      <t>ヘンコウ</t>
    </rPh>
    <rPh sb="21" eb="23">
      <t>ヒヨウ</t>
    </rPh>
    <phoneticPr fontId="1"/>
  </si>
  <si>
    <t>DC48V電源</t>
    <rPh sb="5" eb="7">
      <t>デンゲン</t>
    </rPh>
    <phoneticPr fontId="1"/>
  </si>
  <si>
    <t>荷造り運賃</t>
    <rPh sb="0" eb="1">
      <t>ニ</t>
    </rPh>
    <rPh sb="1" eb="2">
      <t>ツクリ</t>
    </rPh>
    <rPh sb="3" eb="5">
      <t>ウンチン</t>
    </rPh>
    <phoneticPr fontId="1"/>
  </si>
  <si>
    <t>蛇の目</t>
    <rPh sb="0" eb="1">
      <t>ジャ</t>
    </rPh>
    <rPh sb="2" eb="3">
      <t>メ</t>
    </rPh>
    <phoneticPr fontId="1"/>
  </si>
  <si>
    <t>スイッチボックス（2m）　＊初期化・オプション：モード切替SW付</t>
    <rPh sb="14" eb="17">
      <t>ショキカ</t>
    </rPh>
    <rPh sb="27" eb="29">
      <t>キリカエ</t>
    </rPh>
    <rPh sb="31" eb="32">
      <t>ツ</t>
    </rPh>
    <phoneticPr fontId="1"/>
  </si>
  <si>
    <t>ミスミ</t>
    <phoneticPr fontId="1"/>
  </si>
  <si>
    <t>制御機材</t>
    <rPh sb="0" eb="4">
      <t>セイギョキザイ</t>
    </rPh>
    <phoneticPr fontId="1"/>
  </si>
  <si>
    <t xml:space="preserve">富士通テレコムネットワーク(渡辺精工社) </t>
    <phoneticPr fontId="1"/>
  </si>
  <si>
    <t>見積書No：IIQ21-0469 Rev.02添付します。＊平山さんより小山さんに連絡済</t>
    <rPh sb="0" eb="2">
      <t>ミツモリ</t>
    </rPh>
    <rPh sb="2" eb="3">
      <t>ショ</t>
    </rPh>
    <rPh sb="23" eb="25">
      <t>テンプ</t>
    </rPh>
    <rPh sb="30" eb="32">
      <t>ヒラヤマ</t>
    </rPh>
    <rPh sb="36" eb="38">
      <t>コヤマ</t>
    </rPh>
    <rPh sb="41" eb="43">
      <t>レンラク</t>
    </rPh>
    <rPh sb="43" eb="44">
      <t>スミ</t>
    </rPh>
    <phoneticPr fontId="1"/>
  </si>
  <si>
    <t>軸数：3軸/タイプ：両持ち/XYZ駆動範囲：305x600x100mm/Z軸最大可搬質量：8kg/I/O極性：NPN/I/O電源：外部供給/システムソフト：塗布仕様/本体接続ケーブル：3m/制御電源仕様：単相AC90-240V/動力電源仕様：DC48V</t>
    <rPh sb="0" eb="1">
      <t>ジク</t>
    </rPh>
    <rPh sb="1" eb="2">
      <t>スウ</t>
    </rPh>
    <rPh sb="4" eb="5">
      <t>ジク</t>
    </rPh>
    <rPh sb="10" eb="11">
      <t>リョウ</t>
    </rPh>
    <rPh sb="11" eb="12">
      <t>モ</t>
    </rPh>
    <rPh sb="17" eb="19">
      <t>クドウ</t>
    </rPh>
    <rPh sb="19" eb="21">
      <t>ハンイ</t>
    </rPh>
    <rPh sb="37" eb="38">
      <t>ジク</t>
    </rPh>
    <rPh sb="38" eb="40">
      <t>サイダイ</t>
    </rPh>
    <rPh sb="40" eb="42">
      <t>カハン</t>
    </rPh>
    <rPh sb="42" eb="44">
      <t>シツリョウ</t>
    </rPh>
    <rPh sb="52" eb="54">
      <t>キョクセイ</t>
    </rPh>
    <rPh sb="62" eb="64">
      <t>デンゲン</t>
    </rPh>
    <rPh sb="65" eb="67">
      <t>ガイブ</t>
    </rPh>
    <rPh sb="67" eb="69">
      <t>キョウキュウ</t>
    </rPh>
    <rPh sb="78" eb="80">
      <t>トフ</t>
    </rPh>
    <rPh sb="80" eb="82">
      <t>シヨウ</t>
    </rPh>
    <rPh sb="83" eb="85">
      <t>ホンタイ</t>
    </rPh>
    <rPh sb="85" eb="87">
      <t>セツゾク</t>
    </rPh>
    <rPh sb="95" eb="97">
      <t>セイギョ</t>
    </rPh>
    <rPh sb="97" eb="99">
      <t>デンゲン</t>
    </rPh>
    <rPh sb="99" eb="101">
      <t>シヨウ</t>
    </rPh>
    <rPh sb="102" eb="104">
      <t>タンソウ</t>
    </rPh>
    <rPh sb="114" eb="116">
      <t>ドウリョク</t>
    </rPh>
    <rPh sb="116" eb="118">
      <t>デンゲン</t>
    </rPh>
    <rPh sb="118" eb="120">
      <t>シヨウ</t>
    </rPh>
    <phoneticPr fontId="1"/>
  </si>
  <si>
    <t>ケーブルキャリアX軸用　＊ストローク：200～300㎜用</t>
    <rPh sb="9" eb="10">
      <t>ジク</t>
    </rPh>
    <rPh sb="10" eb="11">
      <t>ヨウ</t>
    </rPh>
    <rPh sb="27" eb="28">
      <t>ヨウ</t>
    </rPh>
    <phoneticPr fontId="1"/>
  </si>
  <si>
    <t>ケーブルキャリアY軸・3軸用　＊ストローク：600～700㎜用</t>
    <rPh sb="9" eb="10">
      <t>ジク</t>
    </rPh>
    <rPh sb="12" eb="13">
      <t>ジク</t>
    </rPh>
    <rPh sb="13" eb="14">
      <t>ヨウ</t>
    </rPh>
    <rPh sb="30" eb="31">
      <t>ヨウ</t>
    </rPh>
    <phoneticPr fontId="1"/>
  </si>
  <si>
    <t>ねじ締めオプション</t>
    <rPh sb="2" eb="3">
      <t>シ</t>
    </rPh>
    <phoneticPr fontId="1"/>
  </si>
  <si>
    <t>HI0Sねじ締めドライバー BLFQ7000</t>
    <phoneticPr fontId="1"/>
  </si>
  <si>
    <t>HI0Sねじ締めドライバー用電源 BLT-AY-71</t>
    <rPh sb="13" eb="14">
      <t>ヨウ</t>
    </rPh>
    <phoneticPr fontId="1"/>
  </si>
  <si>
    <t>マウスピース F6-06-31 3個入り</t>
    <phoneticPr fontId="1"/>
  </si>
  <si>
    <t>ビット BP-H5-#2-5.0-100 10本入り</t>
    <rPh sb="23" eb="24">
      <t>ホン</t>
    </rPh>
    <rPh sb="24" eb="25">
      <t>イ</t>
    </rPh>
    <phoneticPr fontId="1"/>
  </si>
  <si>
    <t>I/O-1ねじ締めコード 161-637-004</t>
    <phoneticPr fontId="1"/>
  </si>
  <si>
    <t>マイクロエジェクターユニット 161-627-207</t>
    <phoneticPr fontId="1"/>
  </si>
  <si>
    <t>ドライバー取付ユニットJC-3用 160-615-014</t>
    <phoneticPr fontId="1"/>
  </si>
  <si>
    <t>ねじ供給機 NJR4540 (M4ねじ用)</t>
    <phoneticPr fontId="1"/>
  </si>
  <si>
    <t>ねじ供給機NJR取付板 962-610-019</t>
    <phoneticPr fontId="1"/>
  </si>
  <si>
    <t>HI0Sトルク計測器 HM-100</t>
    <phoneticPr fontId="1"/>
  </si>
  <si>
    <t>HIOS I1M-100用ファイダプタ- TF5G-Z</t>
    <phoneticPr fontId="1"/>
  </si>
  <si>
    <t>ティーチングペンダントⅡ（2m）　＊非常停止SW付</t>
    <rPh sb="18" eb="20">
      <t>ヒジョウ</t>
    </rPh>
    <rPh sb="20" eb="22">
      <t>テイシ</t>
    </rPh>
    <rPh sb="24" eb="25">
      <t>ツ</t>
    </rPh>
    <phoneticPr fontId="1"/>
  </si>
  <si>
    <t>ミスミ</t>
  </si>
  <si>
    <t>R03J-JSP-F-2-5</t>
    <phoneticPr fontId="1"/>
  </si>
  <si>
    <t>R03コネクタ 中継ケーブル</t>
    <phoneticPr fontId="1"/>
  </si>
  <si>
    <t>SVC720F⇔SVEM720延長ケーブル</t>
    <rPh sb="15" eb="17">
      <t>エンチョウ</t>
    </rPh>
    <phoneticPr fontId="1"/>
  </si>
  <si>
    <t>ミスミ</t>
    <phoneticPr fontId="1"/>
  </si>
  <si>
    <t>FWRBN-D51-V32-T2</t>
    <phoneticPr fontId="1"/>
  </si>
  <si>
    <t>森清化工</t>
    <phoneticPr fontId="1"/>
  </si>
  <si>
    <t>JASO-F404-19022-NBR-70-1</t>
    <phoneticPr fontId="1"/>
  </si>
  <si>
    <t>NOK</t>
    <phoneticPr fontId="1"/>
  </si>
  <si>
    <t>P5-1B</t>
    <phoneticPr fontId="1"/>
  </si>
  <si>
    <t>P10-1B</t>
    <phoneticPr fontId="1"/>
  </si>
  <si>
    <t>ミスミ</t>
    <phoneticPr fontId="1"/>
  </si>
  <si>
    <t>MNCNL6-M5</t>
    <phoneticPr fontId="1"/>
  </si>
  <si>
    <t>MPLGN</t>
    <phoneticPr fontId="1"/>
  </si>
  <si>
    <t>MSSL5</t>
    <phoneticPr fontId="1"/>
  </si>
  <si>
    <t>MNCLYT6</t>
    <phoneticPr fontId="1"/>
  </si>
  <si>
    <t>BVHV6-1-3-A</t>
    <phoneticPr fontId="1"/>
  </si>
  <si>
    <t>ミスミ</t>
    <phoneticPr fontId="1"/>
  </si>
  <si>
    <t>MNCNL6-1</t>
    <phoneticPr fontId="1"/>
  </si>
  <si>
    <t>ゴムワッシャ</t>
    <phoneticPr fontId="1"/>
  </si>
  <si>
    <t>"O"リング</t>
    <phoneticPr fontId="1"/>
  </si>
  <si>
    <t>ミニチュアワンタッチ継手　エルボ</t>
    <phoneticPr fontId="1"/>
  </si>
  <si>
    <t>ミニチュア管継手　プラグ</t>
    <phoneticPr fontId="1"/>
  </si>
  <si>
    <t>サイレンサ</t>
    <phoneticPr fontId="1"/>
  </si>
  <si>
    <t>ミニチュアワンタッチ継手　ユニオンティー</t>
    <phoneticPr fontId="1"/>
  </si>
  <si>
    <t>ハンドバルブ</t>
    <phoneticPr fontId="1"/>
  </si>
  <si>
    <t>ミニチュアワンタッチ継手　エルボ</t>
    <phoneticPr fontId="1"/>
  </si>
  <si>
    <t>残量検知カートリッジ</t>
    <rPh sb="0" eb="2">
      <t>ザンリョウ</t>
    </rPh>
    <rPh sb="2" eb="4">
      <t>ケンチ</t>
    </rPh>
    <phoneticPr fontId="1"/>
  </si>
  <si>
    <t>SMC</t>
    <phoneticPr fontId="1"/>
  </si>
  <si>
    <t>エアシリンダ</t>
    <phoneticPr fontId="1"/>
  </si>
  <si>
    <t>ARX21-01BG</t>
    <phoneticPr fontId="1"/>
  </si>
  <si>
    <t>レギュレータ</t>
    <phoneticPr fontId="1"/>
  </si>
  <si>
    <r>
      <t>CDJ2B16-200Z-C73C</t>
    </r>
    <r>
      <rPr>
        <sz val="11"/>
        <rFont val="ＭＳ Ｐゴシック"/>
        <family val="3"/>
        <charset val="128"/>
      </rPr>
      <t>ZS-B</t>
    </r>
    <phoneticPr fontId="1"/>
  </si>
  <si>
    <t>SC40309</t>
    <phoneticPr fontId="1"/>
  </si>
  <si>
    <t>SC40310</t>
  </si>
  <si>
    <t>SC40311-01</t>
    <phoneticPr fontId="1"/>
  </si>
  <si>
    <t>SC40312</t>
  </si>
  <si>
    <t>トップキャップ</t>
    <phoneticPr fontId="1"/>
  </si>
  <si>
    <t>シールキャップ</t>
    <phoneticPr fontId="1"/>
  </si>
  <si>
    <t>シールナット</t>
    <phoneticPr fontId="1"/>
  </si>
  <si>
    <t>パッド</t>
    <phoneticPr fontId="1"/>
  </si>
  <si>
    <t>AIRSYS-SPX-D2</t>
    <phoneticPr fontId="1"/>
  </si>
  <si>
    <t>AIRSYS-SPX-W1</t>
    <phoneticPr fontId="1"/>
  </si>
  <si>
    <t>ドロップインアダプタ(特X）</t>
    <phoneticPr fontId="1"/>
  </si>
  <si>
    <t>アダプタナット</t>
    <phoneticPr fontId="1"/>
  </si>
  <si>
    <t>遠藤製作所</t>
    <rPh sb="0" eb="2">
      <t>エンドウ</t>
    </rPh>
    <rPh sb="2" eb="5">
      <t>セイサクジョ</t>
    </rPh>
    <phoneticPr fontId="1"/>
  </si>
  <si>
    <t>タイショー</t>
    <phoneticPr fontId="1"/>
  </si>
  <si>
    <t>シリンダ/液剤 加圧用レギュレータユニット</t>
    <rPh sb="5" eb="7">
      <t>エキザイ</t>
    </rPh>
    <rPh sb="8" eb="10">
      <t>カアツ</t>
    </rPh>
    <rPh sb="10" eb="11">
      <t>ヨウ</t>
    </rPh>
    <phoneticPr fontId="1"/>
  </si>
  <si>
    <t>SET</t>
    <phoneticPr fontId="1"/>
  </si>
  <si>
    <t>SVR91V</t>
    <phoneticPr fontId="1"/>
  </si>
  <si>
    <t>300CVﾖｳ　ｶﾞｲﾖｳｷ</t>
  </si>
  <si>
    <t>P15-1B</t>
    <phoneticPr fontId="1"/>
  </si>
  <si>
    <t>FWRBS-D20-V14-T2</t>
    <phoneticPr fontId="1"/>
  </si>
  <si>
    <t>"O"リング（ドロップインアダプタパッキン部予備）</t>
    <rPh sb="21" eb="22">
      <t>ブ</t>
    </rPh>
    <rPh sb="22" eb="24">
      <t>ヨビ</t>
    </rPh>
    <phoneticPr fontId="1"/>
  </si>
  <si>
    <t>ゴムワッシャ（シリコン）　ドロップインアダプタ部パッキン</t>
    <rPh sb="23" eb="24">
      <t>ブ</t>
    </rPh>
    <phoneticPr fontId="1"/>
  </si>
  <si>
    <t>2021/10/26 *蛇の目は、別途納期回答後</t>
    <rPh sb="12" eb="13">
      <t>ジャ</t>
    </rPh>
    <rPh sb="14" eb="15">
      <t>メ</t>
    </rPh>
    <rPh sb="17" eb="19">
      <t>ベット</t>
    </rPh>
    <rPh sb="19" eb="21">
      <t>ノウキ</t>
    </rPh>
    <rPh sb="21" eb="23">
      <t>カイトウ</t>
    </rPh>
    <rPh sb="23" eb="24">
      <t>ゴ</t>
    </rPh>
    <phoneticPr fontId="1"/>
  </si>
  <si>
    <t>＊ニットク・エンジニヤリング最終セットアップ案件</t>
    <rPh sb="14" eb="16">
      <t>サイシュウ</t>
    </rPh>
    <rPh sb="22" eb="24">
      <t>アンケン</t>
    </rPh>
    <phoneticPr fontId="1"/>
  </si>
  <si>
    <t xml:space="preserve">富士通テレコムネットワーク　　　　　　　　　　　　　　　　　　　　　　(渡辺精工社) </t>
    <phoneticPr fontId="1"/>
  </si>
  <si>
    <t>フィールドバス増設（CC-Link）</t>
    <rPh sb="7" eb="9">
      <t>ゾウセツ</t>
    </rPh>
    <phoneticPr fontId="1"/>
  </si>
  <si>
    <t xml:space="preserve">JC-3オプション  </t>
    <phoneticPr fontId="1"/>
  </si>
  <si>
    <t>10/12 ジャノメへ差し替えFAX済</t>
    <rPh sb="11" eb="12">
      <t>サ</t>
    </rPh>
    <rPh sb="13" eb="14">
      <t>カ</t>
    </rPh>
    <rPh sb="18" eb="19">
      <t>スミ</t>
    </rPh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</si>
</sst>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0_);[Red]\(0\)"/>
  </numFmts>
  <fonts count="11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6"/>
      <color indexed="8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132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180" fontId="0" fillId="0" borderId="5" xfId="0" applyNumberFormat="1" applyFill="1" applyBorder="1" applyAlignment="1">
      <alignment horizontal="right" vertical="center"/>
    </xf>
    <xf numFmtId="38" fontId="6" fillId="0" borderId="1" xfId="0" applyNumberFormat="1" applyFont="1" applyFill="1" applyBorder="1" applyAlignment="1">
      <alignment horizontal="right" vertical="center"/>
    </xf>
    <xf numFmtId="0" fontId="0" fillId="0" borderId="5" xfId="0" applyFill="1" applyBorder="1" applyAlignment="1">
      <alignment horizontal="left" vertical="center"/>
    </xf>
    <xf numFmtId="0" fontId="0" fillId="0" borderId="4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38" fontId="0" fillId="0" borderId="1" xfId="0" applyNumberFormat="1" applyFill="1" applyBorder="1" applyAlignment="1">
      <alignment horizontal="right" vertical="center"/>
    </xf>
    <xf numFmtId="56" fontId="0" fillId="0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8" fontId="0" fillId="0" borderId="3" xfId="0" applyNumberForma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181" fontId="7" fillId="3" borderId="1" xfId="0" applyNumberFormat="1" applyFont="1" applyFill="1" applyBorder="1" applyAlignment="1">
      <alignment horizontal="right" vertical="center"/>
    </xf>
    <xf numFmtId="38" fontId="6" fillId="3" borderId="1" xfId="0" applyNumberFormat="1" applyFont="1" applyFill="1" applyBorder="1" applyAlignment="1">
      <alignment horizontal="right" vertical="center"/>
    </xf>
    <xf numFmtId="176" fontId="7" fillId="3" borderId="1" xfId="0" applyNumberFormat="1" applyFont="1" applyFill="1" applyBorder="1">
      <alignment vertical="center"/>
    </xf>
    <xf numFmtId="179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80" fontId="0" fillId="3" borderId="5" xfId="0" applyNumberFormat="1" applyFill="1" applyBorder="1" applyAlignment="1">
      <alignment horizontal="right" vertical="center"/>
    </xf>
    <xf numFmtId="38" fontId="0" fillId="3" borderId="1" xfId="0" applyNumberFormat="1" applyFill="1" applyBorder="1" applyAlignment="1">
      <alignment horizontal="right" vertical="center"/>
    </xf>
    <xf numFmtId="38" fontId="0" fillId="3" borderId="3" xfId="0" applyNumberFormat="1" applyFill="1" applyBorder="1" applyAlignment="1">
      <alignment horizontal="right" vertical="center"/>
    </xf>
    <xf numFmtId="0" fontId="0" fillId="3" borderId="5" xfId="0" applyFill="1" applyBorder="1" applyAlignment="1">
      <alignment horizontal="left" vertical="center"/>
    </xf>
    <xf numFmtId="181" fontId="8" fillId="3" borderId="1" xfId="1" applyNumberFormat="1" applyFont="1" applyFill="1" applyBorder="1" applyAlignment="1">
      <alignment vertical="center"/>
    </xf>
    <xf numFmtId="56" fontId="5" fillId="3" borderId="1" xfId="0" applyNumberFormat="1" applyFont="1" applyFill="1" applyBorder="1" applyAlignment="1">
      <alignment horizontal="left" vertical="center"/>
    </xf>
    <xf numFmtId="56" fontId="0" fillId="3" borderId="1" xfId="0" applyNumberFormat="1" applyFill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38" fontId="0" fillId="0" borderId="3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/>
    </xf>
    <xf numFmtId="181" fontId="8" fillId="0" borderId="1" xfId="1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181" fontId="8" fillId="0" borderId="5" xfId="1" applyNumberFormat="1" applyFont="1" applyFill="1" applyBorder="1" applyAlignment="1">
      <alignment vertical="center"/>
    </xf>
    <xf numFmtId="0" fontId="0" fillId="3" borderId="4" xfId="0" applyFill="1" applyBorder="1" applyAlignment="1">
      <alignment horizontal="left" vertical="center"/>
    </xf>
    <xf numFmtId="181" fontId="8" fillId="3" borderId="5" xfId="1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5" fillId="0" borderId="5" xfId="0" applyFont="1" applyBorder="1" applyAlignment="1">
      <alignment horizontal="left" vertical="center" shrinkToFit="1"/>
    </xf>
    <xf numFmtId="3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181" fontId="6" fillId="3" borderId="1" xfId="0" applyNumberFormat="1" applyFont="1" applyFill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181" fontId="0" fillId="0" borderId="1" xfId="0" applyNumberFormat="1" applyFill="1" applyBorder="1" applyAlignment="1">
      <alignment horizontal="right" vertical="center"/>
    </xf>
    <xf numFmtId="38" fontId="0" fillId="0" borderId="1" xfId="0" applyNumberForma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3" borderId="4" xfId="0" applyFont="1" applyFill="1" applyBorder="1" applyAlignment="1">
      <alignment horizontal="left" vertical="center"/>
    </xf>
    <xf numFmtId="0" fontId="9" fillId="0" borderId="0" xfId="0" applyFont="1">
      <alignment vertical="center"/>
    </xf>
    <xf numFmtId="0" fontId="4" fillId="2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180" fontId="0" fillId="4" borderId="5" xfId="0" applyNumberFormat="1" applyFill="1" applyBorder="1" applyAlignment="1">
      <alignment horizontal="right" vertical="center"/>
    </xf>
    <xf numFmtId="38" fontId="0" fillId="4" borderId="1" xfId="0" applyNumberFormat="1" applyFill="1" applyBorder="1" applyAlignment="1">
      <alignment horizontal="right" vertical="center"/>
    </xf>
    <xf numFmtId="38" fontId="6" fillId="4" borderId="1" xfId="0" applyNumberFormat="1" applyFont="1" applyFill="1" applyBorder="1" applyAlignment="1">
      <alignment horizontal="right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56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56" fontId="0" fillId="0" borderId="9" xfId="0" applyNumberFormat="1" applyBorder="1" applyAlignment="1">
      <alignment horizontal="center" vertical="center"/>
    </xf>
    <xf numFmtId="56" fontId="0" fillId="0" borderId="5" xfId="0" applyNumberFormat="1" applyBorder="1" applyAlignment="1">
      <alignment horizontal="center" vertical="center"/>
    </xf>
    <xf numFmtId="179" fontId="0" fillId="0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9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3" fontId="0" fillId="0" borderId="8" xfId="0" applyNumberFormat="1" applyFill="1" applyBorder="1" applyAlignment="1">
      <alignment horizontal="center" vertical="center"/>
    </xf>
    <xf numFmtId="180" fontId="0" fillId="0" borderId="8" xfId="0" applyNumberFormat="1" applyFill="1" applyBorder="1" applyAlignment="1">
      <alignment horizontal="right" vertical="center"/>
    </xf>
    <xf numFmtId="180" fontId="0" fillId="0" borderId="9" xfId="0" applyNumberFormat="1" applyBorder="1" applyAlignment="1">
      <alignment horizontal="right" vertical="center"/>
    </xf>
    <xf numFmtId="180" fontId="0" fillId="0" borderId="5" xfId="0" applyNumberFormat="1" applyBorder="1" applyAlignment="1">
      <alignment horizontal="right" vertical="center"/>
    </xf>
    <xf numFmtId="38" fontId="0" fillId="0" borderId="8" xfId="0" applyNumberFormat="1" applyFill="1" applyBorder="1" applyAlignment="1">
      <alignment horizontal="right" vertical="center"/>
    </xf>
    <xf numFmtId="38" fontId="0" fillId="0" borderId="9" xfId="0" applyNumberFormat="1" applyBorder="1" applyAlignment="1">
      <alignment horizontal="right" vertical="center"/>
    </xf>
    <xf numFmtId="38" fontId="0" fillId="0" borderId="5" xfId="0" applyNumberFormat="1" applyBorder="1" applyAlignment="1">
      <alignment horizontal="right" vertical="center"/>
    </xf>
    <xf numFmtId="38" fontId="6" fillId="0" borderId="8" xfId="0" applyNumberFormat="1" applyFont="1" applyFill="1" applyBorder="1" applyAlignment="1">
      <alignment horizontal="right" vertical="center"/>
    </xf>
    <xf numFmtId="0" fontId="0" fillId="0" borderId="8" xfId="0" applyFill="1" applyBorder="1" applyAlignment="1">
      <alignment horizontal="center" vertical="center"/>
    </xf>
    <xf numFmtId="0" fontId="5" fillId="0" borderId="8" xfId="0" applyFont="1" applyFill="1" applyBorder="1" applyAlignment="1">
      <alignment horizontal="left" vertical="center" shrinkToFit="1"/>
    </xf>
    <xf numFmtId="0" fontId="5" fillId="0" borderId="9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178" fontId="0" fillId="0" borderId="8" xfId="0" applyNumberFormat="1" applyFill="1" applyBorder="1" applyAlignment="1">
      <alignment horizontal="center" vertical="center"/>
    </xf>
    <xf numFmtId="56" fontId="0" fillId="0" borderId="8" xfId="0" applyNumberFormat="1" applyFill="1" applyBorder="1" applyAlignment="1">
      <alignment horizontal="center" vertical="center"/>
    </xf>
  </cellXfs>
  <cellStyles count="2">
    <cellStyle name="標準" xfId="0" builtinId="0"/>
    <cellStyle name="標準_発注管理表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81"/>
  <sheetViews>
    <sheetView tabSelected="1" zoomScale="74" zoomScaleNormal="74" workbookViewId="0">
      <selection activeCell="E7" sqref="E7"/>
    </sheetView>
  </sheetViews>
  <sheetFormatPr defaultRowHeight="13.5" x14ac:dyDescent="0.15"/>
  <cols>
    <col min="1" max="1" width="2.625" customWidth="1"/>
    <col min="2" max="2" width="5.75" style="5" customWidth="1"/>
    <col min="3" max="4" width="20.75" customWidth="1"/>
    <col min="5" max="5" width="90.75" customWidth="1"/>
    <col min="6" max="6" width="6.25" customWidth="1"/>
    <col min="7" max="8" width="9.875" bestFit="1" customWidth="1"/>
    <col min="9" max="9" width="5.75" style="11" customWidth="1"/>
    <col min="10" max="10" width="57.375" customWidth="1"/>
    <col min="11" max="11" width="30.75" customWidth="1"/>
    <col min="12" max="12" width="40.75" style="5" customWidth="1"/>
    <col min="13" max="13" width="13.75" style="13" customWidth="1"/>
    <col min="14" max="14" width="6.375" customWidth="1"/>
    <col min="15" max="15" width="13.25" style="11" customWidth="1"/>
    <col min="16" max="16" width="14.5" style="15" customWidth="1"/>
    <col min="17" max="17" width="15.625" style="16" customWidth="1"/>
  </cols>
  <sheetData>
    <row r="2" spans="2:17" ht="20.100000000000001" customHeight="1" x14ac:dyDescent="0.15">
      <c r="B2" s="112" t="s">
        <v>10</v>
      </c>
      <c r="C2" s="112"/>
      <c r="D2" s="112"/>
      <c r="E2" s="12" t="s">
        <v>33</v>
      </c>
      <c r="G2" s="113" t="s">
        <v>14</v>
      </c>
      <c r="H2" s="114"/>
      <c r="I2" s="115"/>
      <c r="J2" s="10">
        <f>SUM(H:H)</f>
        <v>1684300</v>
      </c>
      <c r="K2" s="6"/>
      <c r="L2" s="7"/>
    </row>
    <row r="3" spans="2:17" ht="20.100000000000001" customHeight="1" x14ac:dyDescent="0.15">
      <c r="B3" s="112" t="s">
        <v>9</v>
      </c>
      <c r="C3" s="112"/>
      <c r="D3" s="112"/>
      <c r="E3" s="8" t="s">
        <v>21</v>
      </c>
    </row>
    <row r="4" spans="2:17" ht="20.100000000000001" customHeight="1" x14ac:dyDescent="0.15">
      <c r="B4" s="112" t="s">
        <v>11</v>
      </c>
      <c r="C4" s="112"/>
      <c r="D4" s="112"/>
      <c r="E4" s="8">
        <v>190957</v>
      </c>
      <c r="G4" s="88" t="s">
        <v>107</v>
      </c>
    </row>
    <row r="5" spans="2:17" ht="20.100000000000001" customHeight="1" x14ac:dyDescent="0.15">
      <c r="B5" s="112" t="s">
        <v>12</v>
      </c>
      <c r="C5" s="112"/>
      <c r="D5" s="112"/>
      <c r="E5" s="9" t="s">
        <v>106</v>
      </c>
    </row>
    <row r="6" spans="2:17" ht="20.100000000000001" customHeight="1" x14ac:dyDescent="0.15">
      <c r="B6" s="112" t="s">
        <v>13</v>
      </c>
      <c r="C6" s="112"/>
      <c r="D6" s="112"/>
      <c r="E6" s="9" t="d">
        <v>2021-12-17</v>
      </c>
    </row>
    <row r="7" spans="2:17" x14ac:dyDescent="0.15">
      <c r="B7" s="7"/>
      <c r="C7" s="6"/>
      <c r="D7" s="6"/>
      <c r="E7" s="6"/>
      <c r="F7" s="1"/>
      <c r="G7" s="6"/>
      <c r="H7" s="6"/>
      <c r="I7" s="23"/>
      <c r="J7" s="6"/>
      <c r="K7" s="6"/>
      <c r="L7" s="7"/>
    </row>
    <row r="8" spans="2:17" s="3" customFormat="1" ht="19.899999999999999" customHeight="1" x14ac:dyDescent="0.15">
      <c r="B8" s="4" t="s">
        <v>3</v>
      </c>
      <c r="C8" s="4" t="s">
        <v>8</v>
      </c>
      <c r="D8" s="4" t="s">
        <v>4</v>
      </c>
      <c r="E8" s="1" t="s">
        <v>7</v>
      </c>
      <c r="F8" s="1"/>
      <c r="G8" s="1" t="s">
        <v>0</v>
      </c>
      <c r="H8" s="2" t="s">
        <v>1</v>
      </c>
      <c r="I8" s="2" t="s">
        <v>17</v>
      </c>
      <c r="J8" s="1" t="s">
        <v>2</v>
      </c>
      <c r="K8" s="1" t="s">
        <v>16</v>
      </c>
      <c r="L8" s="1" t="s">
        <v>15</v>
      </c>
      <c r="M8" s="14" t="s">
        <v>5</v>
      </c>
      <c r="N8" s="4" t="s">
        <v>18</v>
      </c>
      <c r="O8" s="1" t="s">
        <v>6</v>
      </c>
      <c r="P8" s="14" t="s">
        <v>19</v>
      </c>
      <c r="Q8" s="17" t="s">
        <v>20</v>
      </c>
    </row>
    <row r="9" spans="2:17" s="3" customFormat="1" ht="19.899999999999999" customHeight="1" x14ac:dyDescent="0.15">
      <c r="B9" s="118">
        <v>20</v>
      </c>
      <c r="C9" s="118" t="s">
        <v>29</v>
      </c>
      <c r="D9" s="118" t="s">
        <v>29</v>
      </c>
      <c r="E9" s="28" t="s">
        <v>22</v>
      </c>
      <c r="F9" s="119">
        <v>1</v>
      </c>
      <c r="G9" s="122">
        <v>719000</v>
      </c>
      <c r="H9" s="125">
        <f t="shared" ref="H9:H22" si="0">F9*G9</f>
        <v>719000</v>
      </c>
      <c r="I9" s="126"/>
      <c r="J9" s="127" t="s">
        <v>34</v>
      </c>
      <c r="K9" s="126"/>
      <c r="L9" s="126"/>
      <c r="M9" s="109" t="d">
        <v>2021-10-07</v>
      </c>
      <c r="N9" s="118"/>
      <c r="O9" s="131"/>
      <c r="P9" s="109" t="d">
        <v>2021-11-29</v>
      </c>
      <c r="Q9" s="130" t="d">
        <v>2021-11-29</v>
      </c>
    </row>
    <row r="10" spans="2:17" s="3" customFormat="1" ht="19.899999999999999" customHeight="1" x14ac:dyDescent="0.15">
      <c r="B10" s="110"/>
      <c r="C10" s="110"/>
      <c r="D10" s="110"/>
      <c r="E10" s="116" t="s">
        <v>35</v>
      </c>
      <c r="F10" s="120"/>
      <c r="G10" s="123"/>
      <c r="H10" s="123"/>
      <c r="I10" s="110"/>
      <c r="J10" s="128"/>
      <c r="K10" s="110"/>
      <c r="L10" s="110"/>
      <c r="M10" s="110"/>
      <c r="N10" s="110"/>
      <c r="O10" s="110"/>
      <c r="P10" s="110"/>
      <c r="Q10" s="110"/>
    </row>
    <row r="11" spans="2:17" s="3" customFormat="1" ht="19.899999999999999" customHeight="1" x14ac:dyDescent="0.15">
      <c r="B11" s="111"/>
      <c r="C11" s="111"/>
      <c r="D11" s="111"/>
      <c r="E11" s="117"/>
      <c r="F11" s="121"/>
      <c r="G11" s="124"/>
      <c r="H11" s="124"/>
      <c r="I11" s="111"/>
      <c r="J11" s="129"/>
      <c r="K11" s="111"/>
      <c r="L11" s="111"/>
      <c r="M11" s="111"/>
      <c r="N11" s="111"/>
      <c r="O11" s="111"/>
      <c r="P11" s="111"/>
      <c r="Q11" s="111"/>
    </row>
    <row r="12" spans="2:17" s="55" customFormat="1" ht="19.899999999999999" customHeight="1" x14ac:dyDescent="0.15">
      <c r="B12" s="72">
        <v>2</v>
      </c>
      <c r="C12" s="56" t="s">
        <v>29</v>
      </c>
      <c r="D12" s="56" t="s">
        <v>29</v>
      </c>
      <c r="E12" s="27" t="s">
        <v>28</v>
      </c>
      <c r="F12" s="24">
        <v>1</v>
      </c>
      <c r="G12" s="29">
        <v>5000</v>
      </c>
      <c r="H12" s="25">
        <f t="shared" ref="H12" si="1">F12*G12</f>
        <v>5000</v>
      </c>
      <c r="I12" s="75"/>
      <c r="J12" s="76"/>
      <c r="K12" s="72"/>
      <c r="L12" s="72"/>
      <c r="M12" s="109" t="d">
        <v>2021-10-07</v>
      </c>
      <c r="N12" s="72"/>
      <c r="O12" s="72"/>
      <c r="P12" s="107" t="d">
        <v>2021-11-29</v>
      </c>
      <c r="Q12" s="108" t="d">
        <v>2021-11-29</v>
      </c>
    </row>
    <row r="13" spans="2:17" s="3" customFormat="1" ht="19.899999999999999" customHeight="1" x14ac:dyDescent="0.15">
      <c r="B13" s="4">
        <v>3</v>
      </c>
      <c r="C13" s="4" t="s">
        <v>29</v>
      </c>
      <c r="D13" s="4" t="s">
        <v>29</v>
      </c>
      <c r="E13" s="27" t="s">
        <v>23</v>
      </c>
      <c r="F13" s="24">
        <v>1</v>
      </c>
      <c r="G13" s="29">
        <v>7000</v>
      </c>
      <c r="H13" s="25">
        <f t="shared" si="0"/>
        <v>7000</v>
      </c>
      <c r="I13" s="2"/>
      <c r="J13" s="26" t="s">
        <v>24</v>
      </c>
      <c r="K13" s="1"/>
      <c r="L13" s="1"/>
      <c r="M13" s="110"/>
      <c r="N13" s="4"/>
      <c r="O13" s="30"/>
      <c r="P13" s="109" t="d">
        <v>2021-11-29</v>
      </c>
      <c r="Q13" s="58" t="d">
        <v>2021-11-29</v>
      </c>
    </row>
    <row r="14" spans="2:17" s="3" customFormat="1" ht="19.899999999999999" customHeight="1" x14ac:dyDescent="0.15">
      <c r="B14" s="4">
        <v>4</v>
      </c>
      <c r="C14" s="4" t="s">
        <v>29</v>
      </c>
      <c r="D14" s="4" t="s">
        <v>29</v>
      </c>
      <c r="E14" s="27" t="s">
        <v>50</v>
      </c>
      <c r="F14" s="24">
        <v>1</v>
      </c>
      <c r="G14" s="29">
        <v>46000</v>
      </c>
      <c r="H14" s="25">
        <f t="shared" si="0"/>
        <v>46000</v>
      </c>
      <c r="I14" s="2"/>
      <c r="J14" s="26" t="s">
        <v>25</v>
      </c>
      <c r="K14" s="1"/>
      <c r="L14" s="1"/>
      <c r="M14" s="111"/>
      <c r="N14" s="4"/>
      <c r="O14" s="30"/>
      <c r="P14" s="110"/>
      <c r="Q14" s="58" t="d">
        <v>2021-11-29</v>
      </c>
    </row>
    <row r="15" spans="2:17" s="3" customFormat="1" ht="19.899999999999999" customHeight="1" x14ac:dyDescent="0.15">
      <c r="B15" s="4">
        <v>5</v>
      </c>
      <c r="C15" s="4" t="s">
        <v>29</v>
      </c>
      <c r="D15" s="4" t="s">
        <v>29</v>
      </c>
      <c r="E15" s="27" t="s">
        <v>30</v>
      </c>
      <c r="F15" s="24">
        <v>1</v>
      </c>
      <c r="G15" s="29">
        <v>42000</v>
      </c>
      <c r="H15" s="25">
        <f t="shared" si="0"/>
        <v>42000</v>
      </c>
      <c r="I15" s="2"/>
      <c r="J15" s="26" t="s">
        <v>25</v>
      </c>
      <c r="K15" s="1"/>
      <c r="L15" s="1"/>
      <c r="M15" s="14" t="d">
        <v>2021-10-07</v>
      </c>
      <c r="N15" s="4"/>
      <c r="O15" s="30"/>
      <c r="P15" s="111"/>
      <c r="Q15" s="58" t="d">
        <v>2021-11-29</v>
      </c>
    </row>
    <row r="16" spans="2:17" s="3" customFormat="1" ht="19.899999999999999" customHeight="1" x14ac:dyDescent="0.15">
      <c r="B16" s="4">
        <v>6</v>
      </c>
      <c r="C16" s="4" t="s">
        <v>29</v>
      </c>
      <c r="D16" s="4" t="s">
        <v>29</v>
      </c>
      <c r="E16" s="27" t="s">
        <v>36</v>
      </c>
      <c r="F16" s="24">
        <v>1</v>
      </c>
      <c r="G16" s="29">
        <v>9100</v>
      </c>
      <c r="H16" s="25">
        <f t="shared" si="0"/>
        <v>9100</v>
      </c>
      <c r="I16" s="2"/>
      <c r="J16" s="26" t="s">
        <v>25</v>
      </c>
      <c r="K16" s="1"/>
      <c r="L16" s="1"/>
      <c r="M16" s="57" t="d">
        <v>2021-10-07</v>
      </c>
      <c r="N16" s="4"/>
      <c r="O16" s="30"/>
      <c r="P16" s="109" t="d">
        <v>2021-11-29</v>
      </c>
      <c r="Q16" s="58" t="d">
        <v>2021-11-29</v>
      </c>
    </row>
    <row r="17" spans="2:17" s="3" customFormat="1" ht="19.899999999999999" customHeight="1" x14ac:dyDescent="0.15">
      <c r="B17" s="4">
        <v>7</v>
      </c>
      <c r="C17" s="4" t="s">
        <v>29</v>
      </c>
      <c r="D17" s="4" t="s">
        <v>29</v>
      </c>
      <c r="E17" s="27" t="s">
        <v>37</v>
      </c>
      <c r="F17" s="24">
        <v>1</v>
      </c>
      <c r="G17" s="29">
        <v>9100</v>
      </c>
      <c r="H17" s="25">
        <f t="shared" si="0"/>
        <v>9100</v>
      </c>
      <c r="I17" s="2"/>
      <c r="J17" s="26" t="s">
        <v>25</v>
      </c>
      <c r="K17" s="1"/>
      <c r="L17" s="1"/>
      <c r="M17" s="57" t="d">
        <v>2021-10-07</v>
      </c>
      <c r="N17" s="4"/>
      <c r="O17" s="30"/>
      <c r="P17" s="110"/>
      <c r="Q17" s="58" t="d">
        <v>2021-11-29</v>
      </c>
    </row>
    <row r="18" spans="2:17" s="3" customFormat="1" ht="19.899999999999999" customHeight="1" x14ac:dyDescent="0.15">
      <c r="B18" s="4">
        <v>8</v>
      </c>
      <c r="C18" s="4" t="s">
        <v>29</v>
      </c>
      <c r="D18" s="4" t="s">
        <v>29</v>
      </c>
      <c r="E18" s="27" t="s">
        <v>26</v>
      </c>
      <c r="F18" s="24">
        <v>1</v>
      </c>
      <c r="G18" s="29">
        <v>30000</v>
      </c>
      <c r="H18" s="25">
        <f t="shared" si="0"/>
        <v>30000</v>
      </c>
      <c r="I18" s="2"/>
      <c r="J18" s="26" t="s">
        <v>25</v>
      </c>
      <c r="K18" s="1"/>
      <c r="L18" s="1"/>
      <c r="M18" s="57" t="d">
        <v>2021-10-07</v>
      </c>
      <c r="N18" s="4"/>
      <c r="O18" s="30"/>
      <c r="P18" s="111"/>
      <c r="Q18" s="58" t="d">
        <v>2021-11-29</v>
      </c>
    </row>
    <row r="19" spans="2:17" s="3" customFormat="1" ht="19.899999999999999" customHeight="1" x14ac:dyDescent="0.15">
      <c r="B19" s="4">
        <v>9</v>
      </c>
      <c r="C19" s="4" t="s">
        <v>29</v>
      </c>
      <c r="D19" s="4" t="s">
        <v>29</v>
      </c>
      <c r="E19" s="27" t="s">
        <v>27</v>
      </c>
      <c r="F19" s="24">
        <v>1</v>
      </c>
      <c r="G19" s="29">
        <v>16500</v>
      </c>
      <c r="H19" s="25">
        <f t="shared" si="0"/>
        <v>16500</v>
      </c>
      <c r="I19" s="2"/>
      <c r="J19" s="26" t="s">
        <v>25</v>
      </c>
      <c r="K19" s="1"/>
      <c r="L19" s="1"/>
      <c r="M19" s="57" t="d">
        <v>2021-10-07</v>
      </c>
      <c r="N19" s="4"/>
      <c r="O19" s="30"/>
      <c r="P19" s="109" t="d">
        <v>2021-11-29</v>
      </c>
      <c r="Q19" s="58" t="d">
        <v>2021-11-29</v>
      </c>
    </row>
    <row r="20" spans="2:17" s="105" customFormat="1" ht="19.899999999999999" customHeight="1" x14ac:dyDescent="0.15">
      <c r="B20" s="96">
        <v>10</v>
      </c>
      <c r="C20" s="96" t="s">
        <v>29</v>
      </c>
      <c r="D20" s="96" t="s">
        <v>29</v>
      </c>
      <c r="E20" s="97" t="s">
        <v>109</v>
      </c>
      <c r="F20" s="98">
        <v>1</v>
      </c>
      <c r="G20" s="99">
        <v>49000</v>
      </c>
      <c r="H20" s="100">
        <f t="shared" ref="H20" si="2">F20*G20</f>
        <v>49000</v>
      </c>
      <c r="I20" s="101"/>
      <c r="J20" s="102" t="s">
        <v>110</v>
      </c>
      <c r="K20" s="106" t="s">
        <v>111</v>
      </c>
      <c r="L20" s="103"/>
      <c r="M20" s="57" t="d">
        <v>2021-10-07</v>
      </c>
      <c r="N20" s="96"/>
      <c r="O20" s="104"/>
      <c r="P20" s="110"/>
      <c r="Q20" s="58" t="d">
        <v>2021-11-29</v>
      </c>
    </row>
    <row r="21" spans="2:17" s="3" customFormat="1" ht="19.899999999999999" customHeight="1" x14ac:dyDescent="0.15">
      <c r="B21" s="4">
        <v>11</v>
      </c>
      <c r="C21" s="56" t="s">
        <v>29</v>
      </c>
      <c r="D21" s="56" t="s">
        <v>29</v>
      </c>
      <c r="E21" s="27" t="s">
        <v>39</v>
      </c>
      <c r="F21" s="24">
        <v>1</v>
      </c>
      <c r="G21" s="29">
        <v>155800</v>
      </c>
      <c r="H21" s="25">
        <f t="shared" si="0"/>
        <v>155800</v>
      </c>
      <c r="I21" s="2"/>
      <c r="J21" s="26" t="s">
        <v>38</v>
      </c>
      <c r="K21" s="1"/>
      <c r="L21" s="1"/>
      <c r="M21" s="57" t="d">
        <v>2021-10-07</v>
      </c>
      <c r="N21" s="4"/>
      <c r="O21" s="30"/>
      <c r="P21" s="111"/>
      <c r="Q21" s="58" t="d">
        <v>2021-11-29</v>
      </c>
    </row>
    <row r="22" spans="2:17" s="3" customFormat="1" ht="19.899999999999999" customHeight="1" x14ac:dyDescent="0.15">
      <c r="B22" s="4">
        <v>12</v>
      </c>
      <c r="C22" s="56" t="s">
        <v>29</v>
      </c>
      <c r="D22" s="56" t="s">
        <v>29</v>
      </c>
      <c r="E22" s="27" t="s">
        <v>40</v>
      </c>
      <c r="F22" s="24">
        <v>1</v>
      </c>
      <c r="G22" s="29">
        <v>132900</v>
      </c>
      <c r="H22" s="60">
        <f t="shared" si="0"/>
        <v>132900</v>
      </c>
      <c r="I22" s="2"/>
      <c r="J22" s="59" t="s">
        <v>38</v>
      </c>
      <c r="K22" s="1"/>
      <c r="L22" s="1"/>
      <c r="M22" s="57" t="d">
        <v>2021-10-07</v>
      </c>
      <c r="N22" s="4"/>
      <c r="O22" s="1"/>
      <c r="P22" s="14" t="d">
        <v>2021-11-29</v>
      </c>
      <c r="Q22" s="58" t="d">
        <v>2021-11-29</v>
      </c>
    </row>
    <row r="23" spans="2:17" s="44" customFormat="1" ht="19.899999999999999" customHeight="1" x14ac:dyDescent="0.15">
      <c r="B23" s="37">
        <v>13</v>
      </c>
      <c r="C23" s="56" t="s">
        <v>29</v>
      </c>
      <c r="D23" s="56" t="s">
        <v>29</v>
      </c>
      <c r="E23" s="73" t="s">
        <v>41</v>
      </c>
      <c r="F23" s="39">
        <v>1</v>
      </c>
      <c r="G23" s="40">
        <v>2500</v>
      </c>
      <c r="H23" s="40">
        <f>F23*G23</f>
        <v>2500</v>
      </c>
      <c r="I23" s="41"/>
      <c r="J23" s="59" t="s">
        <v>38</v>
      </c>
      <c r="K23" s="22"/>
      <c r="L23" s="22"/>
      <c r="M23" s="57" t="d">
        <v>2021-10-07</v>
      </c>
      <c r="N23" s="37"/>
      <c r="O23" s="22"/>
      <c r="P23" s="57" t="d">
        <v>2021-11-29</v>
      </c>
      <c r="Q23" s="58" t="d">
        <v>2021-11-29</v>
      </c>
    </row>
    <row r="24" spans="2:17" s="44" customFormat="1" ht="19.899999999999999" customHeight="1" x14ac:dyDescent="0.15">
      <c r="B24" s="37">
        <v>14</v>
      </c>
      <c r="C24" s="56" t="s">
        <v>29</v>
      </c>
      <c r="D24" s="56" t="s">
        <v>29</v>
      </c>
      <c r="E24" s="74" t="s">
        <v>42</v>
      </c>
      <c r="F24" s="45">
        <v>1</v>
      </c>
      <c r="G24" s="46">
        <v>2800</v>
      </c>
      <c r="H24" s="47">
        <f t="shared" ref="H24:H51" si="3">F24*G24</f>
        <v>2800</v>
      </c>
      <c r="I24" s="20"/>
      <c r="J24" s="59" t="s">
        <v>38</v>
      </c>
      <c r="K24" s="22"/>
      <c r="L24" s="22"/>
      <c r="M24" s="57" t="d">
        <v>2021-10-07</v>
      </c>
      <c r="N24" s="37"/>
      <c r="O24" s="22"/>
      <c r="P24" s="57" t="d">
        <v>2021-11-29</v>
      </c>
      <c r="Q24" s="58" t="d">
        <v>2021-11-29</v>
      </c>
    </row>
    <row r="25" spans="2:17" s="44" customFormat="1" ht="19.899999999999999" customHeight="1" x14ac:dyDescent="0.15">
      <c r="B25" s="37">
        <v>15</v>
      </c>
      <c r="C25" s="56" t="s">
        <v>29</v>
      </c>
      <c r="D25" s="56" t="s">
        <v>29</v>
      </c>
      <c r="E25" s="74" t="s">
        <v>43</v>
      </c>
      <c r="F25" s="45">
        <v>1</v>
      </c>
      <c r="G25" s="46">
        <v>17100</v>
      </c>
      <c r="H25" s="47">
        <f t="shared" si="3"/>
        <v>17100</v>
      </c>
      <c r="I25" s="20"/>
      <c r="J25" s="59" t="s">
        <v>38</v>
      </c>
      <c r="K25" s="22"/>
      <c r="L25" s="22"/>
      <c r="M25" s="57" t="d">
        <v>2021-10-07</v>
      </c>
      <c r="N25" s="37"/>
      <c r="O25" s="22"/>
      <c r="P25" s="57" t="d">
        <v>2021-11-29</v>
      </c>
      <c r="Q25" s="58" t="d">
        <v>2021-11-29</v>
      </c>
    </row>
    <row r="26" spans="2:17" s="44" customFormat="1" ht="19.899999999999999" customHeight="1" x14ac:dyDescent="0.15">
      <c r="B26" s="37">
        <v>16</v>
      </c>
      <c r="C26" s="56" t="s">
        <v>29</v>
      </c>
      <c r="D26" s="56" t="s">
        <v>29</v>
      </c>
      <c r="E26" s="74" t="s">
        <v>44</v>
      </c>
      <c r="F26" s="45">
        <v>1</v>
      </c>
      <c r="G26" s="46">
        <v>22400</v>
      </c>
      <c r="H26" s="47">
        <f t="shared" si="3"/>
        <v>22400</v>
      </c>
      <c r="I26" s="20"/>
      <c r="J26" s="59" t="s">
        <v>38</v>
      </c>
      <c r="K26" s="22"/>
      <c r="L26" s="22"/>
      <c r="M26" s="57" t="d">
        <v>2021-10-07</v>
      </c>
      <c r="N26" s="37"/>
      <c r="O26" s="22"/>
      <c r="P26" s="57" t="d">
        <v>2021-11-29</v>
      </c>
      <c r="Q26" s="58" t="d">
        <v>2021-11-29</v>
      </c>
    </row>
    <row r="27" spans="2:17" s="44" customFormat="1" ht="19.899999999999999" customHeight="1" x14ac:dyDescent="0.15">
      <c r="B27" s="37">
        <v>17</v>
      </c>
      <c r="C27" s="56" t="s">
        <v>29</v>
      </c>
      <c r="D27" s="56" t="s">
        <v>29</v>
      </c>
      <c r="E27" s="74" t="s">
        <v>45</v>
      </c>
      <c r="F27" s="45">
        <v>1</v>
      </c>
      <c r="G27" s="46">
        <v>52700</v>
      </c>
      <c r="H27" s="47">
        <f t="shared" si="3"/>
        <v>52700</v>
      </c>
      <c r="I27" s="20"/>
      <c r="J27" s="59" t="s">
        <v>38</v>
      </c>
      <c r="K27" s="22"/>
      <c r="L27" s="22"/>
      <c r="M27" s="57" t="d">
        <v>2021-10-07</v>
      </c>
      <c r="N27" s="37"/>
      <c r="O27" s="22"/>
      <c r="P27" s="57" t="d">
        <v>2021-11-29</v>
      </c>
      <c r="Q27" s="58" t="d">
        <v>2021-11-29</v>
      </c>
    </row>
    <row r="28" spans="2:17" s="44" customFormat="1" ht="19.899999999999999" customHeight="1" x14ac:dyDescent="0.15">
      <c r="B28" s="37">
        <v>18</v>
      </c>
      <c r="C28" s="56" t="s">
        <v>29</v>
      </c>
      <c r="D28" s="56" t="s">
        <v>29</v>
      </c>
      <c r="E28" s="74" t="s">
        <v>46</v>
      </c>
      <c r="F28" s="45">
        <v>1</v>
      </c>
      <c r="G28" s="46">
        <v>60500</v>
      </c>
      <c r="H28" s="47">
        <f t="shared" si="3"/>
        <v>60500</v>
      </c>
      <c r="I28" s="20"/>
      <c r="J28" s="59" t="s">
        <v>38</v>
      </c>
      <c r="K28" s="22"/>
      <c r="L28" s="22"/>
      <c r="M28" s="57" t="d">
        <v>2021-10-07</v>
      </c>
      <c r="N28" s="37"/>
      <c r="O28" s="22"/>
      <c r="P28" s="57" t="d">
        <v>2021-11-29</v>
      </c>
      <c r="Q28" s="58" t="d">
        <v>2021-11-29</v>
      </c>
    </row>
    <row r="29" spans="2:17" s="44" customFormat="1" ht="19.899999999999999" customHeight="1" x14ac:dyDescent="0.15">
      <c r="B29" s="37">
        <v>19</v>
      </c>
      <c r="C29" s="56" t="s">
        <v>29</v>
      </c>
      <c r="D29" s="56" t="s">
        <v>29</v>
      </c>
      <c r="E29" s="74" t="s">
        <v>47</v>
      </c>
      <c r="F29" s="45">
        <v>1</v>
      </c>
      <c r="G29" s="46">
        <v>4400</v>
      </c>
      <c r="H29" s="47">
        <f t="shared" si="3"/>
        <v>4400</v>
      </c>
      <c r="I29" s="20"/>
      <c r="J29" s="59" t="s">
        <v>38</v>
      </c>
      <c r="K29" s="22"/>
      <c r="L29" s="22"/>
      <c r="M29" s="57" t="d">
        <v>2021-10-07</v>
      </c>
      <c r="N29" s="37"/>
      <c r="O29" s="22"/>
      <c r="P29" s="57" t="d">
        <v>2021-11-29</v>
      </c>
      <c r="Q29" s="58" t="d">
        <v>2021-11-29</v>
      </c>
    </row>
    <row r="30" spans="2:17" s="44" customFormat="1" ht="19.899999999999999" customHeight="1" x14ac:dyDescent="0.15">
      <c r="B30" s="37">
        <v>20</v>
      </c>
      <c r="C30" s="56" t="s">
        <v>29</v>
      </c>
      <c r="D30" s="56" t="s">
        <v>29</v>
      </c>
      <c r="E30" s="74" t="s">
        <v>48</v>
      </c>
      <c r="F30" s="45">
        <v>1</v>
      </c>
      <c r="G30" s="46">
        <v>214300</v>
      </c>
      <c r="H30" s="47">
        <f t="shared" si="3"/>
        <v>214300</v>
      </c>
      <c r="I30" s="20"/>
      <c r="J30" s="59" t="s">
        <v>38</v>
      </c>
      <c r="K30" s="22"/>
      <c r="L30" s="22"/>
      <c r="M30" s="57" t="d">
        <v>2021-10-07</v>
      </c>
      <c r="N30" s="37"/>
      <c r="O30" s="22"/>
      <c r="P30" s="57" t="d">
        <v>2021-11-29</v>
      </c>
      <c r="Q30" s="58" t="d">
        <v>2021-11-29</v>
      </c>
    </row>
    <row r="31" spans="2:17" s="44" customFormat="1" ht="19.899999999999999" customHeight="1" x14ac:dyDescent="0.15">
      <c r="B31" s="37">
        <v>21</v>
      </c>
      <c r="C31" s="56" t="s">
        <v>29</v>
      </c>
      <c r="D31" s="56" t="s">
        <v>29</v>
      </c>
      <c r="E31" s="74" t="s">
        <v>49</v>
      </c>
      <c r="F31" s="45">
        <v>1</v>
      </c>
      <c r="G31" s="46">
        <v>4400</v>
      </c>
      <c r="H31" s="47">
        <f t="shared" si="3"/>
        <v>4400</v>
      </c>
      <c r="I31" s="20"/>
      <c r="J31" s="59" t="s">
        <v>38</v>
      </c>
      <c r="K31" s="22"/>
      <c r="L31" s="22"/>
      <c r="M31" s="57" t="d">
        <v>2021-10-07</v>
      </c>
      <c r="N31" s="37"/>
      <c r="O31" s="22"/>
      <c r="P31" s="57" t="d">
        <v>2021-11-29</v>
      </c>
      <c r="Q31" s="58" t="d">
        <v>2021-11-29</v>
      </c>
    </row>
    <row r="32" spans="2:17" s="44" customFormat="1" ht="19.899999999999999" customHeight="1" x14ac:dyDescent="0.15">
      <c r="B32" s="37"/>
      <c r="C32" s="37"/>
      <c r="D32" s="37"/>
      <c r="E32" s="74"/>
      <c r="F32" s="45"/>
      <c r="G32" s="46"/>
      <c r="H32" s="47">
        <f t="shared" si="3"/>
        <v>0</v>
      </c>
      <c r="I32" s="20"/>
      <c r="J32" s="48"/>
      <c r="K32" s="22"/>
      <c r="L32" s="22"/>
      <c r="M32" s="42"/>
      <c r="N32" s="37"/>
      <c r="O32" s="22"/>
      <c r="P32" s="57"/>
      <c r="Q32" s="43"/>
    </row>
    <row r="33" spans="2:17" s="44" customFormat="1" ht="19.899999999999999" customHeight="1" x14ac:dyDescent="0.15">
      <c r="B33" s="37"/>
      <c r="C33" s="37"/>
      <c r="D33" s="37"/>
      <c r="E33" s="74"/>
      <c r="F33" s="45"/>
      <c r="G33" s="46"/>
      <c r="H33" s="47">
        <f t="shared" si="3"/>
        <v>0</v>
      </c>
      <c r="I33" s="20"/>
      <c r="J33" s="48"/>
      <c r="K33" s="22"/>
      <c r="L33" s="22"/>
      <c r="M33" s="42"/>
      <c r="N33" s="37"/>
      <c r="O33" s="22"/>
      <c r="P33" s="42"/>
      <c r="Q33" s="43"/>
    </row>
    <row r="34" spans="2:17" s="44" customFormat="1" ht="19.899999999999999" customHeight="1" x14ac:dyDescent="0.15">
      <c r="B34" s="37">
        <v>25</v>
      </c>
      <c r="C34" s="37" t="s">
        <v>51</v>
      </c>
      <c r="D34" s="37" t="s">
        <v>51</v>
      </c>
      <c r="E34" s="38" t="s">
        <v>52</v>
      </c>
      <c r="F34" s="79">
        <v>1</v>
      </c>
      <c r="G34" s="46">
        <v>4280</v>
      </c>
      <c r="H34" s="47">
        <f t="shared" si="3"/>
        <v>4280</v>
      </c>
      <c r="I34" s="20"/>
      <c r="J34" s="71" t="s">
        <v>53</v>
      </c>
      <c r="K34" s="71"/>
      <c r="L34" s="70" t="s">
        <v>54</v>
      </c>
      <c r="M34" s="42"/>
      <c r="N34" s="37"/>
      <c r="O34" s="22"/>
      <c r="P34" s="42"/>
      <c r="Q34" s="43" t="d">
        <v>2021-10-22</v>
      </c>
    </row>
    <row r="35" spans="2:17" s="44" customFormat="1" ht="19.899999999999999" customHeight="1" x14ac:dyDescent="0.15">
      <c r="B35" s="37">
        <v>27</v>
      </c>
      <c r="C35" s="77" t="s">
        <v>31</v>
      </c>
      <c r="D35" s="77" t="s">
        <v>55</v>
      </c>
      <c r="E35" s="78" t="s">
        <v>56</v>
      </c>
      <c r="F35" s="80">
        <v>1</v>
      </c>
      <c r="G35" s="46">
        <v>460</v>
      </c>
      <c r="H35" s="47">
        <f t="shared" si="3"/>
        <v>460</v>
      </c>
      <c r="I35" s="20"/>
      <c r="J35" s="81" t="s">
        <v>70</v>
      </c>
      <c r="K35" s="22"/>
      <c r="L35" s="53" t="s">
        <v>78</v>
      </c>
      <c r="M35" s="42"/>
      <c r="N35" s="37"/>
      <c r="O35" s="22"/>
      <c r="P35" s="42"/>
      <c r="Q35" s="43" t="d">
        <v>2021-10-22</v>
      </c>
    </row>
    <row r="36" spans="2:17" s="44" customFormat="1" ht="19.899999999999999" customHeight="1" x14ac:dyDescent="0.15">
      <c r="B36" s="37">
        <v>27</v>
      </c>
      <c r="C36" s="77" t="s">
        <v>57</v>
      </c>
      <c r="D36" s="77" t="s">
        <v>31</v>
      </c>
      <c r="E36" s="78" t="s">
        <v>58</v>
      </c>
      <c r="F36" s="80">
        <v>10</v>
      </c>
      <c r="G36" s="46">
        <v>28</v>
      </c>
      <c r="H36" s="47">
        <f t="shared" si="3"/>
        <v>280</v>
      </c>
      <c r="I36" s="20"/>
      <c r="J36" s="81" t="s">
        <v>71</v>
      </c>
      <c r="K36" s="22"/>
      <c r="L36" s="53" t="s">
        <v>78</v>
      </c>
      <c r="M36" s="42"/>
      <c r="N36" s="37"/>
      <c r="O36" s="51"/>
      <c r="P36" s="42"/>
      <c r="Q36" s="43" t="d">
        <v>2021-10-22</v>
      </c>
    </row>
    <row r="37" spans="2:17" s="44" customFormat="1" ht="19.899999999999999" customHeight="1" x14ac:dyDescent="0.15">
      <c r="B37" s="37">
        <v>27</v>
      </c>
      <c r="C37" s="77" t="s">
        <v>59</v>
      </c>
      <c r="D37" s="77" t="s">
        <v>31</v>
      </c>
      <c r="E37" s="78" t="s">
        <v>60</v>
      </c>
      <c r="F37" s="80">
        <v>10</v>
      </c>
      <c r="G37" s="46">
        <v>14</v>
      </c>
      <c r="H37" s="47">
        <f t="shared" si="3"/>
        <v>140</v>
      </c>
      <c r="I37" s="20"/>
      <c r="J37" s="81" t="s">
        <v>71</v>
      </c>
      <c r="K37" s="22"/>
      <c r="L37" s="53" t="s">
        <v>78</v>
      </c>
      <c r="M37" s="42"/>
      <c r="N37" s="37"/>
      <c r="O37" s="51"/>
      <c r="P37" s="42"/>
      <c r="Q37" s="43" t="d">
        <v>2021-10-22</v>
      </c>
    </row>
    <row r="38" spans="2:17" s="44" customFormat="1" ht="19.899999999999999" customHeight="1" x14ac:dyDescent="0.15">
      <c r="B38" s="37">
        <v>27</v>
      </c>
      <c r="C38" s="77" t="s">
        <v>59</v>
      </c>
      <c r="D38" s="77" t="s">
        <v>31</v>
      </c>
      <c r="E38" s="78" t="s">
        <v>61</v>
      </c>
      <c r="F38" s="80">
        <v>10</v>
      </c>
      <c r="G38" s="46">
        <v>13</v>
      </c>
      <c r="H38" s="47">
        <f t="shared" si="3"/>
        <v>130</v>
      </c>
      <c r="I38" s="20"/>
      <c r="J38" s="81" t="s">
        <v>71</v>
      </c>
      <c r="K38" s="22"/>
      <c r="L38" s="53" t="s">
        <v>78</v>
      </c>
      <c r="M38" s="42"/>
      <c r="N38" s="37"/>
      <c r="O38" s="51"/>
      <c r="P38" s="42"/>
      <c r="Q38" s="43" t="d">
        <v>2021-10-22</v>
      </c>
    </row>
    <row r="39" spans="2:17" s="44" customFormat="1" ht="19.899999999999999" customHeight="1" x14ac:dyDescent="0.15">
      <c r="B39" s="37">
        <v>29</v>
      </c>
      <c r="C39" s="77" t="s">
        <v>59</v>
      </c>
      <c r="D39" s="77" t="s">
        <v>62</v>
      </c>
      <c r="E39" s="78" t="s">
        <v>102</v>
      </c>
      <c r="F39" s="80">
        <v>10</v>
      </c>
      <c r="G39" s="46">
        <v>47</v>
      </c>
      <c r="H39" s="47">
        <f t="shared" si="3"/>
        <v>470</v>
      </c>
      <c r="I39" s="20"/>
      <c r="J39" s="81" t="s">
        <v>104</v>
      </c>
      <c r="K39" s="22"/>
      <c r="L39" s="53" t="s">
        <v>78</v>
      </c>
      <c r="M39" s="42"/>
      <c r="N39" s="37"/>
      <c r="O39" s="51"/>
      <c r="P39" s="42"/>
      <c r="Q39" s="43" t="d">
        <v>2021-10-22</v>
      </c>
    </row>
    <row r="40" spans="2:17" s="44" customFormat="1" ht="19.899999999999999" customHeight="1" x14ac:dyDescent="0.15">
      <c r="B40" s="37">
        <v>27</v>
      </c>
      <c r="C40" s="77" t="s">
        <v>55</v>
      </c>
      <c r="D40" s="77" t="s">
        <v>31</v>
      </c>
      <c r="E40" s="78" t="s">
        <v>63</v>
      </c>
      <c r="F40" s="80">
        <v>2</v>
      </c>
      <c r="G40" s="46">
        <v>270</v>
      </c>
      <c r="H40" s="47">
        <f t="shared" si="3"/>
        <v>540</v>
      </c>
      <c r="I40" s="20"/>
      <c r="J40" s="81" t="s">
        <v>72</v>
      </c>
      <c r="K40" s="22"/>
      <c r="L40" s="53" t="s">
        <v>78</v>
      </c>
      <c r="M40" s="42"/>
      <c r="N40" s="37"/>
      <c r="O40" s="51"/>
      <c r="P40" s="42"/>
      <c r="Q40" s="43" t="d">
        <v>2021-10-22</v>
      </c>
    </row>
    <row r="41" spans="2:17" s="44" customFormat="1" ht="19.899999999999999" customHeight="1" x14ac:dyDescent="0.15">
      <c r="B41" s="37">
        <v>27</v>
      </c>
      <c r="C41" s="77" t="s">
        <v>31</v>
      </c>
      <c r="D41" s="77" t="s">
        <v>31</v>
      </c>
      <c r="E41" s="78" t="s">
        <v>64</v>
      </c>
      <c r="F41" s="80">
        <v>1</v>
      </c>
      <c r="G41" s="46">
        <v>130</v>
      </c>
      <c r="H41" s="47">
        <f t="shared" si="3"/>
        <v>130</v>
      </c>
      <c r="I41" s="20"/>
      <c r="J41" s="81" t="s">
        <v>73</v>
      </c>
      <c r="K41" s="22"/>
      <c r="L41" s="53" t="s">
        <v>78</v>
      </c>
      <c r="M41" s="42"/>
      <c r="N41" s="37"/>
      <c r="O41" s="51"/>
      <c r="P41" s="42"/>
      <c r="Q41" s="43" t="d">
        <v>2021-10-22</v>
      </c>
    </row>
    <row r="42" spans="2:17" s="44" customFormat="1" ht="19.899999999999999" customHeight="1" x14ac:dyDescent="0.15">
      <c r="B42" s="37">
        <v>27</v>
      </c>
      <c r="C42" s="77" t="s">
        <v>31</v>
      </c>
      <c r="D42" s="77" t="s">
        <v>31</v>
      </c>
      <c r="E42" s="78" t="s">
        <v>65</v>
      </c>
      <c r="F42" s="80">
        <v>1</v>
      </c>
      <c r="G42" s="46">
        <v>280</v>
      </c>
      <c r="H42" s="47">
        <f t="shared" si="3"/>
        <v>280</v>
      </c>
      <c r="I42" s="20"/>
      <c r="J42" s="81" t="s">
        <v>74</v>
      </c>
      <c r="K42" s="22"/>
      <c r="L42" s="53" t="s">
        <v>78</v>
      </c>
      <c r="M42" s="42"/>
      <c r="N42" s="37"/>
      <c r="O42" s="51"/>
      <c r="P42" s="42"/>
      <c r="Q42" s="43" t="d">
        <v>2021-10-22</v>
      </c>
    </row>
    <row r="43" spans="2:17" s="44" customFormat="1" ht="19.899999999999999" customHeight="1" x14ac:dyDescent="0.15">
      <c r="B43" s="37">
        <v>29</v>
      </c>
      <c r="C43" s="77" t="s">
        <v>31</v>
      </c>
      <c r="D43" s="77" t="s">
        <v>31</v>
      </c>
      <c r="E43" s="82" t="s">
        <v>103</v>
      </c>
      <c r="F43" s="83">
        <v>5</v>
      </c>
      <c r="G43" s="46">
        <v>450</v>
      </c>
      <c r="H43" s="84">
        <f>F43*G43</f>
        <v>2250</v>
      </c>
      <c r="I43" s="54"/>
      <c r="J43" s="61" t="s">
        <v>105</v>
      </c>
      <c r="K43" s="61"/>
      <c r="L43" s="53" t="s">
        <v>78</v>
      </c>
      <c r="M43" s="42"/>
      <c r="N43" s="37"/>
      <c r="O43" s="51"/>
      <c r="P43" s="42"/>
      <c r="Q43" s="43" t="d">
        <v>2021-10-22</v>
      </c>
    </row>
    <row r="44" spans="2:17" s="44" customFormat="1" ht="19.899999999999999" customHeight="1" x14ac:dyDescent="0.15">
      <c r="B44" s="37">
        <v>28</v>
      </c>
      <c r="C44" s="77" t="s">
        <v>31</v>
      </c>
      <c r="D44" s="77" t="s">
        <v>31</v>
      </c>
      <c r="E44" s="78" t="s">
        <v>66</v>
      </c>
      <c r="F44" s="80">
        <v>1</v>
      </c>
      <c r="G44" s="46">
        <v>310</v>
      </c>
      <c r="H44" s="47">
        <f t="shared" si="3"/>
        <v>310</v>
      </c>
      <c r="I44" s="20"/>
      <c r="J44" s="81" t="s">
        <v>75</v>
      </c>
      <c r="K44" s="22"/>
      <c r="L44" s="22" t="s">
        <v>98</v>
      </c>
      <c r="M44" s="42"/>
      <c r="N44" s="37"/>
      <c r="O44" s="51"/>
      <c r="P44" s="42"/>
      <c r="Q44" s="43" t="d">
        <v>2021-10-22</v>
      </c>
    </row>
    <row r="45" spans="2:17" s="5" customFormat="1" ht="19.899999999999999" customHeight="1" x14ac:dyDescent="0.15">
      <c r="B45" s="37">
        <v>28</v>
      </c>
      <c r="C45" s="77" t="s">
        <v>55</v>
      </c>
      <c r="D45" s="77" t="s">
        <v>62</v>
      </c>
      <c r="E45" s="78" t="s">
        <v>67</v>
      </c>
      <c r="F45" s="80">
        <v>2</v>
      </c>
      <c r="G45" s="46">
        <v>990</v>
      </c>
      <c r="H45" s="32">
        <f t="shared" si="3"/>
        <v>1980</v>
      </c>
      <c r="I45" s="33"/>
      <c r="J45" s="81" t="s">
        <v>76</v>
      </c>
      <c r="K45" s="34"/>
      <c r="L45" s="22" t="s">
        <v>98</v>
      </c>
      <c r="M45" s="35"/>
      <c r="N45" s="31"/>
      <c r="O45" s="34"/>
      <c r="P45" s="35"/>
      <c r="Q45" s="43" t="d">
        <v>2021-10-22</v>
      </c>
    </row>
    <row r="46" spans="2:17" s="44" customFormat="1" ht="19.899999999999999" customHeight="1" x14ac:dyDescent="0.15">
      <c r="B46" s="37">
        <v>28</v>
      </c>
      <c r="C46" s="77" t="s">
        <v>68</v>
      </c>
      <c r="D46" s="77" t="s">
        <v>31</v>
      </c>
      <c r="E46" s="78" t="s">
        <v>69</v>
      </c>
      <c r="F46" s="80">
        <v>2</v>
      </c>
      <c r="G46" s="46">
        <v>230</v>
      </c>
      <c r="H46" s="32">
        <f t="shared" si="3"/>
        <v>460</v>
      </c>
      <c r="I46" s="20"/>
      <c r="J46" s="81" t="s">
        <v>77</v>
      </c>
      <c r="K46" s="50"/>
      <c r="L46" s="22" t="s">
        <v>98</v>
      </c>
      <c r="M46" s="42"/>
      <c r="N46" s="37"/>
      <c r="O46" s="51"/>
      <c r="P46" s="42"/>
      <c r="Q46" s="43" t="d">
        <v>2021-10-22</v>
      </c>
    </row>
    <row r="47" spans="2:17" s="5" customFormat="1" ht="19.899999999999999" customHeight="1" x14ac:dyDescent="0.15">
      <c r="B47" s="37"/>
      <c r="C47" s="77"/>
      <c r="D47" s="77"/>
      <c r="E47" s="78"/>
      <c r="F47" s="80"/>
      <c r="G47" s="46"/>
      <c r="H47" s="32">
        <f t="shared" si="3"/>
        <v>0</v>
      </c>
      <c r="I47" s="33"/>
      <c r="J47" s="81"/>
      <c r="K47" s="34"/>
      <c r="L47" s="34"/>
      <c r="M47" s="35"/>
      <c r="N47" s="31"/>
      <c r="O47" s="52"/>
      <c r="P47" s="35"/>
      <c r="Q47" s="36"/>
    </row>
    <row r="48" spans="2:17" s="5" customFormat="1" ht="19.899999999999999" customHeight="1" x14ac:dyDescent="0.15">
      <c r="B48" s="31"/>
      <c r="C48" s="77"/>
      <c r="D48" s="77"/>
      <c r="E48" s="78"/>
      <c r="F48" s="80"/>
      <c r="G48" s="46"/>
      <c r="H48" s="32">
        <f t="shared" si="3"/>
        <v>0</v>
      </c>
      <c r="I48" s="33"/>
      <c r="J48" s="81"/>
      <c r="K48" s="34"/>
      <c r="L48" s="34"/>
      <c r="M48" s="35"/>
      <c r="N48" s="31"/>
      <c r="O48" s="34"/>
      <c r="P48" s="35"/>
      <c r="Q48" s="36"/>
    </row>
    <row r="49" spans="2:17" s="44" customFormat="1" ht="20.25" customHeight="1" x14ac:dyDescent="0.15">
      <c r="B49" s="37">
        <v>27</v>
      </c>
      <c r="C49" s="77" t="s">
        <v>79</v>
      </c>
      <c r="D49" s="77" t="s">
        <v>32</v>
      </c>
      <c r="E49" s="78" t="s">
        <v>83</v>
      </c>
      <c r="F49" s="80">
        <v>1</v>
      </c>
      <c r="G49" s="46">
        <v>5410</v>
      </c>
      <c r="H49" s="32">
        <f t="shared" si="3"/>
        <v>5410</v>
      </c>
      <c r="I49" s="85"/>
      <c r="J49" s="86" t="s">
        <v>80</v>
      </c>
      <c r="K49" s="68"/>
      <c r="L49" s="53" t="s">
        <v>78</v>
      </c>
      <c r="M49" s="42"/>
      <c r="N49" s="37"/>
      <c r="O49" s="51" t="d">
        <v>2021-10-22</v>
      </c>
      <c r="P49" s="42"/>
      <c r="Q49" s="43" t="d">
        <v>2021-10-21</v>
      </c>
    </row>
    <row r="50" spans="2:17" s="44" customFormat="1" ht="19.899999999999999" customHeight="1" x14ac:dyDescent="0.15">
      <c r="B50" s="37">
        <v>28</v>
      </c>
      <c r="C50" s="77" t="s">
        <v>79</v>
      </c>
      <c r="D50" s="77" t="s">
        <v>32</v>
      </c>
      <c r="E50" s="78" t="s">
        <v>81</v>
      </c>
      <c r="F50" s="80">
        <v>2</v>
      </c>
      <c r="G50" s="46">
        <v>2290</v>
      </c>
      <c r="H50" s="32">
        <f t="shared" si="3"/>
        <v>4580</v>
      </c>
      <c r="I50" s="85"/>
      <c r="J50" s="86" t="s">
        <v>82</v>
      </c>
      <c r="K50" s="68"/>
      <c r="L50" s="22" t="s">
        <v>98</v>
      </c>
      <c r="M50" s="42"/>
      <c r="N50" s="37"/>
      <c r="O50" s="51" t="d">
        <v>2021-10-22</v>
      </c>
      <c r="P50" s="42"/>
      <c r="Q50" s="43" t="d">
        <v>2021-10-21</v>
      </c>
    </row>
    <row r="51" spans="2:17" s="44" customFormat="1" ht="19.899999999999999" customHeight="1" x14ac:dyDescent="0.15">
      <c r="B51" s="37"/>
      <c r="C51" s="22"/>
      <c r="D51" s="22"/>
      <c r="E51" s="66"/>
      <c r="F51" s="67"/>
      <c r="G51" s="46"/>
      <c r="H51" s="32">
        <f t="shared" si="3"/>
        <v>0</v>
      </c>
      <c r="I51" s="20"/>
      <c r="J51" s="48"/>
      <c r="K51" s="68"/>
      <c r="L51" s="22"/>
      <c r="M51" s="42"/>
      <c r="N51" s="37"/>
      <c r="O51" s="51"/>
      <c r="P51" s="42"/>
      <c r="Q51" s="43"/>
    </row>
    <row r="52" spans="2:17" s="44" customFormat="1" ht="19.899999999999999" customHeight="1" x14ac:dyDescent="0.15">
      <c r="B52" s="37"/>
      <c r="C52" s="22"/>
      <c r="D52" s="22"/>
      <c r="E52" s="21"/>
      <c r="F52" s="49"/>
      <c r="G52" s="46"/>
      <c r="H52" s="47">
        <f t="shared" ref="H52:H68" si="4">F52*G52</f>
        <v>0</v>
      </c>
      <c r="I52" s="20"/>
      <c r="J52" s="21"/>
      <c r="K52" s="68"/>
      <c r="L52" s="22"/>
      <c r="M52" s="42"/>
      <c r="N52" s="37"/>
      <c r="O52" s="51"/>
      <c r="P52" s="42"/>
      <c r="Q52" s="43"/>
    </row>
    <row r="53" spans="2:17" s="55" customFormat="1" ht="19.899999999999999" customHeight="1" x14ac:dyDescent="0.15">
      <c r="B53" s="56">
        <v>27</v>
      </c>
      <c r="C53" s="53" t="s">
        <v>97</v>
      </c>
      <c r="D53" s="53" t="s">
        <v>97</v>
      </c>
      <c r="E53" s="94" t="s">
        <v>84</v>
      </c>
      <c r="F53" s="65">
        <v>1</v>
      </c>
      <c r="G53" s="29">
        <v>16100</v>
      </c>
      <c r="H53" s="60">
        <f t="shared" si="4"/>
        <v>16100</v>
      </c>
      <c r="I53" s="54"/>
      <c r="J53" s="95" t="s">
        <v>88</v>
      </c>
      <c r="K53" s="63"/>
      <c r="L53" s="53" t="s">
        <v>78</v>
      </c>
      <c r="M53" s="57" t="d">
        <v>2021-10-08</v>
      </c>
      <c r="N53" s="56"/>
      <c r="O53" s="30" t="d">
        <v>2021-10-26</v>
      </c>
      <c r="P53" s="57"/>
      <c r="Q53" s="58" t="d">
        <v>2021-10-26</v>
      </c>
    </row>
    <row r="54" spans="2:17" s="55" customFormat="1" ht="19.899999999999999" customHeight="1" x14ac:dyDescent="0.15">
      <c r="B54" s="56">
        <v>27</v>
      </c>
      <c r="C54" s="53" t="s">
        <v>97</v>
      </c>
      <c r="D54" s="53" t="s">
        <v>97</v>
      </c>
      <c r="E54" s="94" t="s">
        <v>85</v>
      </c>
      <c r="F54" s="65">
        <v>1</v>
      </c>
      <c r="G54" s="29">
        <v>11500</v>
      </c>
      <c r="H54" s="60">
        <f t="shared" si="4"/>
        <v>11500</v>
      </c>
      <c r="I54" s="54"/>
      <c r="J54" s="95" t="s">
        <v>89</v>
      </c>
      <c r="K54" s="63"/>
      <c r="L54" s="53" t="s">
        <v>78</v>
      </c>
      <c r="M54" s="57" t="d">
        <v>2021-10-08</v>
      </c>
      <c r="N54" s="56"/>
      <c r="O54" s="30" t="d">
        <v>2021-10-26</v>
      </c>
      <c r="P54" s="57"/>
      <c r="Q54" s="58" t="d">
        <v>2021-10-26</v>
      </c>
    </row>
    <row r="55" spans="2:17" s="55" customFormat="1" ht="19.899999999999999" customHeight="1" x14ac:dyDescent="0.15">
      <c r="B55" s="56">
        <v>27</v>
      </c>
      <c r="C55" s="53" t="s">
        <v>97</v>
      </c>
      <c r="D55" s="53" t="s">
        <v>97</v>
      </c>
      <c r="E55" s="94" t="s">
        <v>86</v>
      </c>
      <c r="F55" s="65">
        <v>1</v>
      </c>
      <c r="G55" s="29">
        <v>6800</v>
      </c>
      <c r="H55" s="60">
        <f t="shared" si="4"/>
        <v>6800</v>
      </c>
      <c r="I55" s="54"/>
      <c r="J55" s="95" t="s">
        <v>90</v>
      </c>
      <c r="K55" s="63"/>
      <c r="L55" s="53" t="s">
        <v>78</v>
      </c>
      <c r="M55" s="57" t="d">
        <v>2021-10-08</v>
      </c>
      <c r="N55" s="56"/>
      <c r="O55" s="30" t="d">
        <v>2021-10-26</v>
      </c>
      <c r="P55" s="57"/>
      <c r="Q55" s="58" t="d">
        <v>2021-10-26</v>
      </c>
    </row>
    <row r="56" spans="2:17" s="55" customFormat="1" ht="19.899999999999999" customHeight="1" x14ac:dyDescent="0.15">
      <c r="B56" s="56">
        <v>27</v>
      </c>
      <c r="C56" s="53" t="s">
        <v>97</v>
      </c>
      <c r="D56" s="53" t="s">
        <v>97</v>
      </c>
      <c r="E56" s="94" t="s">
        <v>87</v>
      </c>
      <c r="F56" s="62">
        <v>1</v>
      </c>
      <c r="G56" s="29">
        <v>3000</v>
      </c>
      <c r="H56" s="60">
        <f t="shared" si="4"/>
        <v>3000</v>
      </c>
      <c r="I56" s="54"/>
      <c r="J56" s="95" t="s">
        <v>91</v>
      </c>
      <c r="K56" s="63"/>
      <c r="L56" s="53" t="s">
        <v>78</v>
      </c>
      <c r="M56" s="57" t="d">
        <v>2021-10-08</v>
      </c>
      <c r="N56" s="56"/>
      <c r="O56" s="30" t="d">
        <v>2021-10-26</v>
      </c>
      <c r="P56" s="57"/>
      <c r="Q56" s="58" t="d">
        <v>2021-10-26</v>
      </c>
    </row>
    <row r="57" spans="2:17" s="44" customFormat="1" ht="19.899999999999999" customHeight="1" x14ac:dyDescent="0.15">
      <c r="B57" s="37"/>
      <c r="C57" s="22"/>
      <c r="D57" s="22"/>
      <c r="E57" s="87"/>
      <c r="F57" s="67"/>
      <c r="G57" s="46"/>
      <c r="H57" s="47">
        <f t="shared" si="4"/>
        <v>0</v>
      </c>
      <c r="I57" s="20"/>
      <c r="J57" s="48"/>
      <c r="K57" s="68"/>
      <c r="L57" s="22"/>
      <c r="M57" s="42"/>
      <c r="N57" s="37"/>
      <c r="O57" s="51"/>
      <c r="P57" s="42"/>
      <c r="Q57" s="43"/>
    </row>
    <row r="58" spans="2:17" s="44" customFormat="1" ht="19.899999999999999" customHeight="1" x14ac:dyDescent="0.15">
      <c r="B58" s="37"/>
      <c r="C58" s="22"/>
      <c r="D58" s="22"/>
      <c r="E58" s="87"/>
      <c r="F58" s="67"/>
      <c r="G58" s="46"/>
      <c r="H58" s="47">
        <f t="shared" si="4"/>
        <v>0</v>
      </c>
      <c r="I58" s="20"/>
      <c r="J58" s="69"/>
      <c r="K58" s="68"/>
      <c r="L58" s="22"/>
      <c r="M58" s="42"/>
      <c r="N58" s="37"/>
      <c r="O58" s="51"/>
      <c r="P58" s="42"/>
      <c r="Q58" s="43"/>
    </row>
    <row r="59" spans="2:17" s="55" customFormat="1" ht="19.899999999999999" customHeight="1" x14ac:dyDescent="0.15">
      <c r="B59" s="56">
        <v>29</v>
      </c>
      <c r="C59" s="53" t="s">
        <v>96</v>
      </c>
      <c r="D59" s="53" t="s">
        <v>96</v>
      </c>
      <c r="E59" s="94" t="s">
        <v>92</v>
      </c>
      <c r="F59" s="65">
        <v>1</v>
      </c>
      <c r="G59" s="29">
        <v>18500</v>
      </c>
      <c r="H59" s="60">
        <f t="shared" si="4"/>
        <v>18500</v>
      </c>
      <c r="I59" s="54"/>
      <c r="J59" s="61" t="s">
        <v>94</v>
      </c>
      <c r="K59" s="63"/>
      <c r="L59" s="53" t="s">
        <v>78</v>
      </c>
      <c r="M59" s="57" t="d">
        <v>2021-10-11</v>
      </c>
      <c r="N59" s="56"/>
      <c r="O59" s="30" t="d">
        <v>2021-10-26</v>
      </c>
      <c r="P59" s="57" t="d">
        <v>2021-10-26</v>
      </c>
      <c r="Q59" s="58" t="d">
        <v>2021-10-22</v>
      </c>
    </row>
    <row r="60" spans="2:17" s="55" customFormat="1" ht="19.899999999999999" customHeight="1" x14ac:dyDescent="0.15">
      <c r="B60" s="56">
        <v>29</v>
      </c>
      <c r="C60" s="53" t="s">
        <v>96</v>
      </c>
      <c r="D60" s="53" t="s">
        <v>96</v>
      </c>
      <c r="E60" s="94" t="s">
        <v>93</v>
      </c>
      <c r="F60" s="65">
        <v>1</v>
      </c>
      <c r="G60" s="29">
        <v>4200</v>
      </c>
      <c r="H60" s="60">
        <f t="shared" si="4"/>
        <v>4200</v>
      </c>
      <c r="I60" s="54"/>
      <c r="J60" s="61" t="s">
        <v>95</v>
      </c>
      <c r="K60" s="63"/>
      <c r="L60" s="53" t="s">
        <v>78</v>
      </c>
      <c r="M60" s="57" t="d">
        <v>2021-10-11</v>
      </c>
      <c r="N60" s="56"/>
      <c r="O60" s="30" t="d">
        <v>2021-10-26</v>
      </c>
      <c r="P60" s="57" t="d">
        <v>2021-10-26</v>
      </c>
      <c r="Q60" s="58" t="d">
        <v>2021-10-22</v>
      </c>
    </row>
    <row r="61" spans="2:17" s="55" customFormat="1" ht="19.899999999999999" customHeight="1" x14ac:dyDescent="0.15">
      <c r="B61" s="56"/>
      <c r="C61" s="53"/>
      <c r="D61" s="53"/>
      <c r="E61" s="64"/>
      <c r="F61" s="65"/>
      <c r="G61" s="46"/>
      <c r="H61" s="60">
        <f t="shared" si="4"/>
        <v>0</v>
      </c>
      <c r="I61" s="54"/>
      <c r="J61" s="59"/>
      <c r="K61" s="63"/>
      <c r="L61" s="53"/>
      <c r="M61" s="57"/>
      <c r="N61" s="56"/>
      <c r="O61" s="30"/>
      <c r="P61" s="57"/>
      <c r="Q61" s="58"/>
    </row>
    <row r="62" spans="2:17" s="55" customFormat="1" ht="19.899999999999999" customHeight="1" x14ac:dyDescent="0.15">
      <c r="B62" s="56"/>
      <c r="C62" s="53"/>
      <c r="D62" s="53"/>
      <c r="E62" s="61"/>
      <c r="F62" s="62"/>
      <c r="G62" s="46"/>
      <c r="H62" s="60">
        <f t="shared" si="4"/>
        <v>0</v>
      </c>
      <c r="I62" s="54"/>
      <c r="J62" s="61"/>
      <c r="K62" s="63"/>
      <c r="L62" s="53"/>
      <c r="M62" s="57"/>
      <c r="N62" s="56"/>
      <c r="O62" s="30"/>
      <c r="P62" s="57"/>
      <c r="Q62" s="58"/>
    </row>
    <row r="63" spans="2:17" s="44" customFormat="1" ht="19.899999999999999" customHeight="1" x14ac:dyDescent="0.15">
      <c r="B63" s="37">
        <v>26</v>
      </c>
      <c r="C63" s="22" t="s">
        <v>99</v>
      </c>
      <c r="D63" s="22" t="s">
        <v>99</v>
      </c>
      <c r="E63" s="66" t="s">
        <v>100</v>
      </c>
      <c r="F63" s="67">
        <v>1</v>
      </c>
      <c r="G63" s="46"/>
      <c r="H63" s="47">
        <f t="shared" si="4"/>
        <v>0</v>
      </c>
      <c r="I63" s="20"/>
      <c r="J63" s="48" t="s">
        <v>101</v>
      </c>
      <c r="K63" s="68"/>
      <c r="L63" s="53" t="s">
        <v>78</v>
      </c>
      <c r="M63" s="42"/>
      <c r="N63" s="37"/>
      <c r="O63" s="51"/>
      <c r="P63" s="42"/>
      <c r="Q63" s="43"/>
    </row>
    <row r="64" spans="2:17" s="44" customFormat="1" ht="19.899999999999999" customHeight="1" x14ac:dyDescent="0.15">
      <c r="B64" s="37"/>
      <c r="C64" s="22"/>
      <c r="D64" s="22"/>
      <c r="E64" s="66"/>
      <c r="F64" s="67"/>
      <c r="G64" s="46"/>
      <c r="H64" s="47">
        <f t="shared" si="4"/>
        <v>0</v>
      </c>
      <c r="I64" s="20"/>
      <c r="J64" s="48"/>
      <c r="K64" s="68"/>
      <c r="L64" s="22"/>
      <c r="M64" s="42"/>
      <c r="N64" s="37"/>
      <c r="O64" s="51"/>
      <c r="P64" s="42"/>
      <c r="Q64" s="43"/>
    </row>
    <row r="65" spans="2:17" s="44" customFormat="1" ht="19.899999999999999" customHeight="1" x14ac:dyDescent="0.15">
      <c r="B65" s="37"/>
      <c r="C65" s="22"/>
      <c r="D65" s="22"/>
      <c r="E65" s="66"/>
      <c r="F65" s="67"/>
      <c r="G65" s="46"/>
      <c r="H65" s="47">
        <f t="shared" si="4"/>
        <v>0</v>
      </c>
      <c r="I65" s="20"/>
      <c r="J65" s="48"/>
      <c r="K65" s="68"/>
      <c r="L65" s="22"/>
      <c r="M65" s="42"/>
      <c r="N65" s="37"/>
      <c r="O65" s="51"/>
      <c r="P65" s="42"/>
      <c r="Q65" s="43"/>
    </row>
    <row r="66" spans="2:17" s="44" customFormat="1" ht="19.899999999999999" customHeight="1" x14ac:dyDescent="0.15">
      <c r="B66" s="37"/>
      <c r="C66" s="22"/>
      <c r="D66" s="22"/>
      <c r="E66" s="66"/>
      <c r="F66" s="67"/>
      <c r="G66" s="46"/>
      <c r="H66" s="47">
        <f t="shared" si="4"/>
        <v>0</v>
      </c>
      <c r="I66" s="20"/>
      <c r="J66" s="48"/>
      <c r="K66" s="68"/>
      <c r="L66" s="22"/>
      <c r="M66" s="42"/>
      <c r="N66" s="37"/>
      <c r="O66" s="51"/>
      <c r="P66" s="42"/>
      <c r="Q66" s="43"/>
    </row>
    <row r="67" spans="2:17" s="44" customFormat="1" ht="19.899999999999999" customHeight="1" x14ac:dyDescent="0.15">
      <c r="B67" s="37"/>
      <c r="C67" s="22"/>
      <c r="D67" s="22"/>
      <c r="E67" s="66"/>
      <c r="F67" s="67"/>
      <c r="G67" s="46"/>
      <c r="H67" s="47">
        <f t="shared" si="4"/>
        <v>0</v>
      </c>
      <c r="I67" s="20"/>
      <c r="J67" s="48"/>
      <c r="K67" s="68"/>
      <c r="L67" s="22"/>
      <c r="M67" s="42"/>
      <c r="N67" s="37"/>
      <c r="O67" s="51"/>
      <c r="P67" s="42"/>
      <c r="Q67" s="43"/>
    </row>
    <row r="68" spans="2:17" s="44" customFormat="1" ht="19.899999999999999" customHeight="1" x14ac:dyDescent="0.15">
      <c r="B68" s="37"/>
      <c r="C68" s="22"/>
      <c r="D68" s="22"/>
      <c r="E68" s="66"/>
      <c r="F68" s="67"/>
      <c r="G68" s="46"/>
      <c r="H68" s="47">
        <f t="shared" si="4"/>
        <v>0</v>
      </c>
      <c r="I68" s="20"/>
      <c r="J68" s="48"/>
      <c r="K68" s="68"/>
      <c r="L68" s="22"/>
      <c r="M68" s="42"/>
      <c r="N68" s="37"/>
      <c r="O68" s="51"/>
      <c r="P68" s="42"/>
      <c r="Q68" s="43"/>
    </row>
    <row r="69" spans="2:17" x14ac:dyDescent="0.15">
      <c r="H69" s="19"/>
    </row>
    <row r="70" spans="2:17" x14ac:dyDescent="0.15">
      <c r="H70" s="19"/>
    </row>
    <row r="71" spans="2:17" x14ac:dyDescent="0.15">
      <c r="H71" s="19"/>
    </row>
    <row r="72" spans="2:17" x14ac:dyDescent="0.15">
      <c r="H72" s="19"/>
    </row>
    <row r="73" spans="2:17" x14ac:dyDescent="0.15">
      <c r="H73" s="19"/>
    </row>
    <row r="74" spans="2:17" x14ac:dyDescent="0.15">
      <c r="H74" s="19"/>
    </row>
    <row r="75" spans="2:17" x14ac:dyDescent="0.15">
      <c r="H75" s="19"/>
    </row>
    <row r="76" spans="2:17" x14ac:dyDescent="0.15">
      <c r="H76" s="19"/>
    </row>
    <row r="77" spans="2:17" x14ac:dyDescent="0.15">
      <c r="H77" s="19"/>
    </row>
    <row r="78" spans="2:17" x14ac:dyDescent="0.15">
      <c r="H78" s="19"/>
    </row>
    <row r="79" spans="2:17" x14ac:dyDescent="0.15">
      <c r="H79" s="19"/>
    </row>
    <row r="80" spans="2:17" x14ac:dyDescent="0.15">
      <c r="H80" s="19"/>
    </row>
    <row r="81" spans="8:8" x14ac:dyDescent="0.15">
      <c r="H81" s="18"/>
    </row>
  </sheetData>
  <autoFilter ref="B8:O68" xr:uid="{00000000-0009-0000-0000-000000000000}"/>
  <sortState xmlns:xlrd2="http://schemas.microsoft.com/office/spreadsheetml/2017/richdata2" ref="B48:Q98">
    <sortCondition ref="E48:E98"/>
  </sortState>
  <mergeCells count="26">
    <mergeCell ref="P13:P15"/>
    <mergeCell ref="I9:I11"/>
    <mergeCell ref="J9:J11"/>
    <mergeCell ref="K9:K11"/>
    <mergeCell ref="Q9:Q11"/>
    <mergeCell ref="L9:L11"/>
    <mergeCell ref="M9:M11"/>
    <mergeCell ref="N9:N11"/>
    <mergeCell ref="O9:O11"/>
    <mergeCell ref="P9:P11"/>
    <mergeCell ref="P16:P18"/>
    <mergeCell ref="P19:P21"/>
    <mergeCell ref="B6:D6"/>
    <mergeCell ref="G2:I2"/>
    <mergeCell ref="B2:D2"/>
    <mergeCell ref="B3:D3"/>
    <mergeCell ref="B4:D4"/>
    <mergeCell ref="B5:D5"/>
    <mergeCell ref="E10:E11"/>
    <mergeCell ref="B9:B11"/>
    <mergeCell ref="C9:C11"/>
    <mergeCell ref="D9:D11"/>
    <mergeCell ref="F9:F11"/>
    <mergeCell ref="G9:G11"/>
    <mergeCell ref="H9:H11"/>
    <mergeCell ref="M12:M14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60" zoomScaleNormal="100" workbookViewId="0">
      <selection activeCell="C28" sqref="C28"/>
    </sheetView>
  </sheetViews>
  <sheetFormatPr defaultColWidth="25.5" defaultRowHeight="13.5" x14ac:dyDescent="0.15"/>
  <cols>
    <col min="1" max="1" width="13.25" bestFit="1" customWidth="1"/>
    <col min="2" max="2" width="46.875" customWidth="1"/>
  </cols>
  <sheetData>
    <row r="1" spans="1:2" ht="69" customHeight="1" x14ac:dyDescent="0.15">
      <c r="A1" s="89" t="s">
        <v>10</v>
      </c>
      <c r="B1" s="90" t="s">
        <v>108</v>
      </c>
    </row>
    <row r="2" spans="1:2" ht="17.25" x14ac:dyDescent="0.15">
      <c r="A2" s="89" t="s">
        <v>9</v>
      </c>
      <c r="B2" s="91" t="s">
        <v>21</v>
      </c>
    </row>
    <row r="3" spans="1:2" ht="18.75" x14ac:dyDescent="0.15">
      <c r="A3" s="89" t="s">
        <v>11</v>
      </c>
      <c r="B3" s="92">
        <v>190957</v>
      </c>
    </row>
    <row r="4" spans="1:2" ht="17.25" x14ac:dyDescent="0.15">
      <c r="A4" s="89" t="s">
        <v>12</v>
      </c>
      <c r="B4" s="93" t="d">
        <v>2021-10-26</v>
      </c>
    </row>
    <row r="5" spans="1:2" ht="17.25" x14ac:dyDescent="0.15">
      <c r="A5" s="89" t="s">
        <v>13</v>
      </c>
      <c r="B5" s="93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148" orientation="portrait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表紙</vt:lpstr>
      <vt:lpstr>Sheet3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斉藤鉄也</cp:lastModifiedBy>
  <cp:lastPrinted>2021-10-07T07:50:45Z</cp:lastPrinted>
  <dcterms:created xsi:type="dcterms:W3CDTF">2011-12-13T06:48:43Z</dcterms:created>
  <dcterms:modified xsi:type="dcterms:W3CDTF">2021-12-20T00:56:09Z</dcterms:modified>
</cp:coreProperties>
</file>