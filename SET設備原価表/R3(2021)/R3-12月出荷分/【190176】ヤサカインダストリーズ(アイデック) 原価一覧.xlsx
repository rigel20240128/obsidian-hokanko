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1790E91-00B5-4F87-87AD-0E21C0738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Sheet1!$B$8:$O$49</definedName>
    <definedName name="_xlnm.Print_Area" localSheetId="1">Sheet2!$A$7:$A$11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1" l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2" i="1"/>
  <c r="H13" i="1"/>
  <c r="H14" i="1" l="1"/>
  <c r="H15" i="1"/>
  <c r="H10" i="1"/>
  <c r="H9" i="1"/>
  <c r="H11" i="1"/>
  <c r="J2" i="1" l="1"/>
</calcChain>
</file>

<file path=xl/sharedStrings.xml><?xml version="1.0" encoding="utf-8"?>
<sst xmlns="http://schemas.openxmlformats.org/spreadsheetml/2006/main" count="207" uniqueCount="99">
  <si>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</si>
  <si>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</si>
  <si>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</si>
  <si>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</si>
  <si>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</si>
  <si>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</si>
  <si>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</si>
  <si>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</si>
  <si>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</si>
  <si>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</si>
  <si>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</si>
  <si>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</si>
  <si>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</si>
  <si>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</si>
  <si>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</si>
  <si>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</si>
  <si>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</si>
  <si>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</si>
  <si>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</si>
  <si>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</si>
  <si>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</si>
  <si>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</si>
  <si>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荷造り運賃</t>
    <rPh sb="0" eb="1">
      <t>ニ</t>
    </rPh>
    <rPh sb="1" eb="2">
      <t>ツク</t>
    </rPh>
    <rPh sb="3" eb="5">
      <t>ウンチン</t>
    </rPh>
    <phoneticPr fontId="2"/>
  </si>
  <si>
    <t>B仕様 オプションスイッチ付(捨て打ちSW）</t>
    <rPh sb="1" eb="3">
      <t>シヨウ</t>
    </rPh>
    <rPh sb="13" eb="14">
      <t>ツキ</t>
    </rPh>
    <rPh sb="15" eb="16">
      <t>ス</t>
    </rPh>
    <rPh sb="17" eb="18">
      <t>ウ</t>
    </rPh>
    <phoneticPr fontId="2"/>
  </si>
  <si>
    <r>
      <t>卓上型ロボット</t>
    </r>
    <r>
      <rPr>
        <sz val="11"/>
        <color indexed="8"/>
        <rFont val="ＭＳ Ｐゴシック"/>
        <family val="3"/>
        <charset val="128"/>
      </rPr>
      <t>JR3000シリーズ(3軸）</t>
    </r>
    <rPh sb="0" eb="2">
      <t>タクジョウ</t>
    </rPh>
    <rPh sb="2" eb="3">
      <t>ガタ</t>
    </rPh>
    <rPh sb="19" eb="20">
      <t>ジク</t>
    </rPh>
    <phoneticPr fontId="2"/>
  </si>
  <si>
    <t>ヤサカインダストリーズ(アイデック)</t>
    <phoneticPr fontId="2"/>
  </si>
  <si>
    <t>田中</t>
    <rPh sb="0" eb="2">
      <t>タナカ</t>
    </rPh>
    <phoneticPr fontId="2"/>
  </si>
  <si>
    <t>卓上型ロボット ＪＲ3203 外部スイッチ仕様（NPN）</t>
    <rPh sb="0" eb="2">
      <t>タクジョウ</t>
    </rPh>
    <rPh sb="2" eb="3">
      <t>ガタ</t>
    </rPh>
    <rPh sb="15" eb="17">
      <t>ガイブ</t>
    </rPh>
    <rPh sb="21" eb="23">
      <t>シヨウ</t>
    </rPh>
    <phoneticPr fontId="2"/>
  </si>
  <si>
    <t>柱嵩上げ（+80㎜、オープンハイト205ｍｍ)　＊オプション</t>
    <phoneticPr fontId="2"/>
  </si>
  <si>
    <t>ティーチングペンダント変換ケーブル（ロボット：新　ティーチングペンダント：古）　＊オプション</t>
    <rPh sb="11" eb="13">
      <t>ヘンカン</t>
    </rPh>
    <rPh sb="23" eb="24">
      <t>シン</t>
    </rPh>
    <rPh sb="37" eb="38">
      <t>フル</t>
    </rPh>
    <phoneticPr fontId="2"/>
  </si>
  <si>
    <t>新ｺﾈｸﾀ～TP I 接続ｹｰﾌﾞﾙ　1745190009にて発注</t>
    <rPh sb="0" eb="1">
      <t>シン</t>
    </rPh>
    <rPh sb="11" eb="13">
      <t>セツゾク</t>
    </rPh>
    <rPh sb="31" eb="32">
      <t>ハッ</t>
    </rPh>
    <rPh sb="32" eb="33">
      <t>チュウ</t>
    </rPh>
    <phoneticPr fontId="2"/>
  </si>
  <si>
    <t>見積№HQ21-0528</t>
    <rPh sb="0" eb="2">
      <t>ミツ</t>
    </rPh>
    <phoneticPr fontId="2"/>
  </si>
  <si>
    <t>ミスミ</t>
    <phoneticPr fontId="2"/>
  </si>
  <si>
    <t>APMTS-G2-N1</t>
    <phoneticPr fontId="2"/>
  </si>
  <si>
    <t>ねじ変換継手</t>
    <rPh sb="2" eb="4">
      <t>ヘンカン</t>
    </rPh>
    <rPh sb="4" eb="6">
      <t>ツギテ</t>
    </rPh>
    <phoneticPr fontId="2"/>
  </si>
  <si>
    <t>190176(SAITO-TETSU)で発注済</t>
    <rPh sb="20" eb="22">
      <t>ハッチュウ</t>
    </rPh>
    <rPh sb="22" eb="23">
      <t>スミ</t>
    </rPh>
    <phoneticPr fontId="2"/>
  </si>
  <si>
    <t>液送継手変換（1/8NPT⇒G1/4）</t>
    <rPh sb="0" eb="2">
      <t>エキソウ</t>
    </rPh>
    <rPh sb="2" eb="4">
      <t>ツギテ</t>
    </rPh>
    <rPh sb="4" eb="6">
      <t>ヘンカン</t>
    </rPh>
    <phoneticPr fontId="2"/>
  </si>
  <si>
    <t>WSSS8-4-5</t>
    <phoneticPr fontId="2"/>
  </si>
  <si>
    <t>金属ワッシャ</t>
    <rPh sb="0" eb="2">
      <t>キンゾク</t>
    </rPh>
    <phoneticPr fontId="2"/>
  </si>
  <si>
    <t>ヘッド部ケーブルキャリアユニット</t>
    <rPh sb="3" eb="4">
      <t>ブ</t>
    </rPh>
    <phoneticPr fontId="2"/>
  </si>
  <si>
    <t>FAMB-SUD-T2.0-A90-B50-L94-X10-F74-H80-N4-Y13-V68-S13-W30-MA4</t>
    <phoneticPr fontId="2"/>
  </si>
  <si>
    <t>L板金</t>
    <rPh sb="1" eb="3">
      <t>バンキン</t>
    </rPh>
    <phoneticPr fontId="2"/>
  </si>
  <si>
    <t>FAMB-SUD-T2.0-A45-B45-L44-X7-F30-H38-N4-Y22-V0-S14-W22-MA3</t>
    <phoneticPr fontId="2"/>
  </si>
  <si>
    <t>SZ08F-30-048-20</t>
    <phoneticPr fontId="2"/>
  </si>
  <si>
    <t>ケーブルキャリア</t>
    <phoneticPr fontId="2"/>
  </si>
  <si>
    <t>SUNCO</t>
    <phoneticPr fontId="2"/>
  </si>
  <si>
    <t>CSPRD-SUS-M3-4</t>
    <phoneticPr fontId="2"/>
  </si>
  <si>
    <t>十字穴付（+）丸皿小ねじ（SUNCO）</t>
    <phoneticPr fontId="2"/>
  </si>
  <si>
    <t>FSMAS-SUD-T2.0-A200-B15-L40-H50-F22-M3-V30-S8-NA5</t>
    <phoneticPr fontId="2"/>
  </si>
  <si>
    <t>JPLRS4-P5-B7</t>
    <phoneticPr fontId="2"/>
  </si>
  <si>
    <t>マーカーピン</t>
    <phoneticPr fontId="2"/>
  </si>
  <si>
    <t>ツール治具ユニット</t>
    <rPh sb="3" eb="5">
      <t>ジグ</t>
    </rPh>
    <phoneticPr fontId="2"/>
  </si>
  <si>
    <t xml:space="preserve">CSHEL-SUS-M4-12 </t>
    <phoneticPr fontId="2"/>
  </si>
  <si>
    <t>極低頭キャップ 六角穴付ボルト(SUNCO)</t>
    <rPh sb="0" eb="1">
      <t>ゴク</t>
    </rPh>
    <phoneticPr fontId="2"/>
  </si>
  <si>
    <t>I/O-SYS端子台ユニット</t>
    <rPh sb="7" eb="10">
      <t>タンシダイ</t>
    </rPh>
    <phoneticPr fontId="2"/>
  </si>
  <si>
    <t>MRB-240</t>
    <phoneticPr fontId="2"/>
  </si>
  <si>
    <t>DINレール</t>
    <phoneticPr fontId="2"/>
  </si>
  <si>
    <t>MWS-DS37A-HT37</t>
    <phoneticPr fontId="2"/>
  </si>
  <si>
    <t>Dsubコネクタ端子台</t>
    <phoneticPr fontId="2"/>
  </si>
  <si>
    <t>MWI-COM-P10N10</t>
    <phoneticPr fontId="2"/>
  </si>
  <si>
    <t>P/Nコモン端子台</t>
    <rPh sb="6" eb="9">
      <t>タンシダイ</t>
    </rPh>
    <phoneticPr fontId="2"/>
  </si>
  <si>
    <t>興和化成</t>
    <phoneticPr fontId="2"/>
  </si>
  <si>
    <t>KD-36-20-T</t>
    <phoneticPr fontId="2"/>
  </si>
  <si>
    <t>カッチンダクト（興和化成）</t>
    <phoneticPr fontId="2"/>
  </si>
  <si>
    <t>タカチ電機工業</t>
    <phoneticPr fontId="2"/>
  </si>
  <si>
    <t>TKR-TWE1</t>
    <phoneticPr fontId="2"/>
  </si>
  <si>
    <t>DINレール止め金具（タカチ電機工業）</t>
    <phoneticPr fontId="2"/>
  </si>
  <si>
    <t>NEDJL-PS-SB-37-1.5</t>
    <phoneticPr fontId="2"/>
  </si>
  <si>
    <t>Dsubコネクタハーネス（37Pin)</t>
    <phoneticPr fontId="2"/>
  </si>
  <si>
    <t>大同端子製造</t>
    <phoneticPr fontId="2"/>
  </si>
  <si>
    <t>F1.25-M3</t>
    <phoneticPr fontId="2"/>
  </si>
  <si>
    <t>裸圧着端子 Y型（大同端子製造）</t>
    <phoneticPr fontId="2"/>
  </si>
  <si>
    <t>NAUL1007-20-BE-10</t>
    <phoneticPr fontId="2"/>
  </si>
  <si>
    <t>単芯電線UL</t>
    <phoneticPr fontId="2"/>
  </si>
  <si>
    <t>MVBLK-AMW-2SC-5NERY</t>
    <phoneticPr fontId="2"/>
  </si>
  <si>
    <t>メビィー加工品(SETD0055-Z01 背面取付板金（JR3200）)</t>
    <rPh sb="4" eb="7">
      <t>カコウヒン</t>
    </rPh>
    <phoneticPr fontId="2"/>
  </si>
  <si>
    <t>MVBLK-AMW-2N9-D2KZE</t>
    <phoneticPr fontId="2"/>
  </si>
  <si>
    <t>メビィー加工品（No30カップベーススライド板）</t>
    <phoneticPr fontId="2"/>
  </si>
  <si>
    <t>付置カップユニット</t>
    <phoneticPr fontId="2"/>
  </si>
  <si>
    <t>AJPNGB3-P4.30-B6.0-G4-GC</t>
    <phoneticPr fontId="2"/>
  </si>
  <si>
    <t>位置決めピン</t>
    <phoneticPr fontId="2"/>
  </si>
  <si>
    <t>RSCB4-15</t>
    <phoneticPr fontId="2"/>
  </si>
  <si>
    <t>六角ボルト</t>
    <phoneticPr fontId="2"/>
  </si>
  <si>
    <t>CHNS4</t>
    <phoneticPr fontId="2"/>
  </si>
  <si>
    <t>蝶ナット</t>
    <phoneticPr fontId="2"/>
  </si>
  <si>
    <t>MVBLK-AMW-2N9-UC285</t>
    <phoneticPr fontId="2"/>
  </si>
  <si>
    <t>メビィー加工品（No30カップベース）</t>
    <phoneticPr fontId="2"/>
  </si>
  <si>
    <t>P1-SWBC-19233253</t>
    <phoneticPr fontId="2"/>
  </si>
  <si>
    <t>Z曲げﾌﾞﾗｹｯﾄ（No30カップガイド板金H15)</t>
    <phoneticPr fontId="2"/>
  </si>
  <si>
    <t>MVBLK-AMW-2SF-ZPXHL</t>
    <phoneticPr fontId="2"/>
  </si>
  <si>
    <t>メビィー加工品(SETD0055-Y01 ツール板)</t>
    <phoneticPr fontId="2"/>
  </si>
  <si>
    <t>MVBLK-AMW-2N9-BZ3PP</t>
    <phoneticPr fontId="2"/>
  </si>
  <si>
    <t>メビィー加工品(SETD0055-X01 ワークベース)</t>
    <phoneticPr fontId="2"/>
  </si>
  <si>
    <t>ワークベース</t>
    <phoneticPr fontId="2"/>
  </si>
  <si>
    <t>マルエム</t>
    <phoneticPr fontId="2"/>
  </si>
  <si>
    <t>モノタロウ</t>
    <phoneticPr fontId="2"/>
  </si>
  <si>
    <t>0615-04</t>
    <phoneticPr fontId="2"/>
  </si>
  <si>
    <t>ネオ・ミニカップ（No.30）＊100個入り</t>
    <rPh sb="19" eb="20">
      <t>コ</t>
    </rPh>
    <rPh sb="20" eb="21">
      <t>イ</t>
    </rPh>
    <phoneticPr fontId="2"/>
  </si>
  <si>
    <t>送料</t>
    <rPh sb="0" eb="2">
      <t>ソウリョウ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</si>
</sst>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#,##0_ ;[Red]\-#,##0\ "/>
    <numFmt numFmtId="182" formatCode="0_ ;[Red]\-0\ "/>
  </numFmts>
  <fonts count="10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83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80" fontId="0" fillId="0" borderId="1" xfId="0" applyNumberForma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56" fontId="8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176" fontId="0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181" fontId="0" fillId="0" borderId="1" xfId="0" applyNumberForma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182" fontId="8" fillId="3" borderId="1" xfId="1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9" fontId="8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82" fontId="8" fillId="3" borderId="1" xfId="0" applyNumberFormat="1" applyFont="1" applyFill="1" applyBorder="1" applyAlignment="1">
      <alignment horizontal="right" vertical="center"/>
    </xf>
    <xf numFmtId="176" fontId="8" fillId="3" borderId="1" xfId="0" applyNumberFormat="1" applyFont="1" applyFill="1" applyBorder="1" applyAlignment="1"/>
    <xf numFmtId="0" fontId="8" fillId="3" borderId="1" xfId="0" applyFont="1" applyFill="1" applyBorder="1" applyAlignment="1">
      <alignment horizontal="left" vertical="center" shrinkToFit="1"/>
    </xf>
    <xf numFmtId="38" fontId="6" fillId="3" borderId="1" xfId="1" applyNumberFormat="1" applyFill="1" applyBorder="1" applyAlignment="1">
      <alignment horizontal="right" vertical="center"/>
    </xf>
    <xf numFmtId="0" fontId="6" fillId="3" borderId="1" xfId="1" applyFill="1" applyBorder="1" applyAlignment="1">
      <alignment vertical="center"/>
    </xf>
    <xf numFmtId="182" fontId="1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6" fillId="3" borderId="1" xfId="0" applyNumberFormat="1" applyFont="1" applyFill="1" applyBorder="1" applyAlignment="1">
      <alignment horizontal="right" vertical="center"/>
    </xf>
    <xf numFmtId="3" fontId="8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82" fontId="6" fillId="3" borderId="1" xfId="0" applyNumberFormat="1" applyFont="1" applyFill="1" applyBorder="1" applyAlignment="1">
      <alignment horizontal="right" vertical="center"/>
    </xf>
    <xf numFmtId="176" fontId="6" fillId="3" borderId="2" xfId="0" applyNumberFormat="1" applyFont="1" applyFill="1" applyBorder="1">
      <alignment vertical="center"/>
    </xf>
    <xf numFmtId="0" fontId="8" fillId="3" borderId="5" xfId="0" applyFont="1" applyFill="1" applyBorder="1" applyAlignment="1">
      <alignment horizontal="left" vertical="center"/>
    </xf>
    <xf numFmtId="176" fontId="6" fillId="3" borderId="1" xfId="0" applyNumberFormat="1" applyFont="1" applyFill="1" applyBorder="1">
      <alignment vertical="center"/>
    </xf>
    <xf numFmtId="49" fontId="8" fillId="3" borderId="1" xfId="0" applyNumberFormat="1" applyFont="1" applyFill="1" applyBorder="1" applyAlignment="1">
      <alignment horizontal="left" vertical="center"/>
    </xf>
    <xf numFmtId="182" fontId="6" fillId="3" borderId="1" xfId="1" applyNumberFormat="1" applyFill="1" applyBorder="1" applyAlignment="1">
      <alignment horizontal="right" vertical="center"/>
    </xf>
    <xf numFmtId="176" fontId="8" fillId="3" borderId="1" xfId="0" applyNumberFormat="1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8" fillId="3" borderId="1" xfId="1" applyFont="1" applyFill="1" applyBorder="1" applyAlignment="1">
      <alignment horizontal="left" vertical="center"/>
    </xf>
    <xf numFmtId="176" fontId="8" fillId="3" borderId="2" xfId="0" applyNumberFormat="1" applyFont="1" applyFill="1" applyBorder="1">
      <alignment vertical="center"/>
    </xf>
    <xf numFmtId="0" fontId="0" fillId="3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88"/>
  <sheetViews>
    <sheetView tabSelected="1" zoomScale="85" zoomScaleNormal="85" workbookViewId="0">
      <selection activeCell="K42" sqref="K42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70.625" customWidth="1"/>
    <col min="6" max="6" width="6.25" customWidth="1"/>
    <col min="7" max="8" width="9.875" bestFit="1" customWidth="1"/>
    <col min="9" max="9" width="5.75" style="11" customWidth="1"/>
    <col min="10" max="10" width="46.625" customWidth="1"/>
    <col min="11" max="11" width="31.1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7" customWidth="1"/>
    <col min="17" max="17" width="15.625" style="18" customWidth="1"/>
  </cols>
  <sheetData>
    <row r="2" spans="2:17" ht="20.100000000000001" customHeight="1" x14ac:dyDescent="0.15">
      <c r="B2" s="79" t="s">
        <v>10</v>
      </c>
      <c r="C2" s="79"/>
      <c r="D2" s="79"/>
      <c r="E2" s="12" t="s">
        <v>25</v>
      </c>
      <c r="G2" s="80" t="s">
        <v>14</v>
      </c>
      <c r="H2" s="81"/>
      <c r="I2" s="82"/>
      <c r="J2" s="10">
        <f>SUM(H:H)</f>
        <v>541575</v>
      </c>
      <c r="K2" s="6"/>
      <c r="L2" s="7"/>
    </row>
    <row r="3" spans="2:17" ht="20.100000000000001" customHeight="1" x14ac:dyDescent="0.15">
      <c r="B3" s="79" t="s">
        <v>9</v>
      </c>
      <c r="C3" s="79"/>
      <c r="D3" s="79"/>
      <c r="E3" s="8" t="s">
        <v>26</v>
      </c>
    </row>
    <row r="4" spans="2:17" ht="20.100000000000001" customHeight="1" x14ac:dyDescent="0.15">
      <c r="B4" s="79" t="s">
        <v>11</v>
      </c>
      <c r="C4" s="79"/>
      <c r="D4" s="79"/>
      <c r="E4" s="8">
        <v>190176</v>
      </c>
    </row>
    <row r="5" spans="2:17" ht="20.100000000000001" customHeight="1" x14ac:dyDescent="0.15">
      <c r="B5" s="79" t="s">
        <v>12</v>
      </c>
      <c r="C5" s="79"/>
      <c r="D5" s="79"/>
      <c r="E5" s="9">
        <v>44544</v>
      </c>
    </row>
    <row r="6" spans="2:17" ht="20.100000000000001" customHeight="1" x14ac:dyDescent="0.15">
      <c r="B6" s="79" t="s">
        <v>13</v>
      </c>
      <c r="C6" s="79"/>
      <c r="D6" s="79"/>
      <c r="E6" s="9">
        <v>44536</v>
      </c>
    </row>
    <row r="7" spans="2:17" x14ac:dyDescent="0.15">
      <c r="F7" s="1"/>
    </row>
    <row r="8" spans="2:17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9" t="s">
        <v>20</v>
      </c>
    </row>
    <row r="9" spans="2:17" s="3" customFormat="1" ht="19.899999999999999" customHeight="1" x14ac:dyDescent="0.15">
      <c r="B9" s="4">
        <v>1</v>
      </c>
      <c r="C9" s="4" t="s">
        <v>21</v>
      </c>
      <c r="D9" s="4" t="s">
        <v>21</v>
      </c>
      <c r="E9" s="30" t="s">
        <v>27</v>
      </c>
      <c r="F9" s="21">
        <v>1</v>
      </c>
      <c r="G9" s="35">
        <v>400000</v>
      </c>
      <c r="H9" s="44">
        <f t="shared" ref="H9:H49" si="0">F9*G9</f>
        <v>400000</v>
      </c>
      <c r="I9" s="29"/>
      <c r="J9" s="30" t="s">
        <v>24</v>
      </c>
      <c r="K9" s="22"/>
      <c r="L9" s="1"/>
      <c r="M9" s="26">
        <v>44453</v>
      </c>
      <c r="N9" s="23"/>
      <c r="O9" s="33">
        <v>44544</v>
      </c>
      <c r="P9" s="33">
        <v>44508</v>
      </c>
      <c r="Q9" s="27">
        <v>44508</v>
      </c>
    </row>
    <row r="10" spans="2:17" s="3" customFormat="1" ht="19.899999999999999" customHeight="1" x14ac:dyDescent="0.15">
      <c r="B10" s="4">
        <v>5</v>
      </c>
      <c r="C10" s="4" t="s">
        <v>21</v>
      </c>
      <c r="D10" s="4" t="s">
        <v>21</v>
      </c>
      <c r="E10" s="30" t="s">
        <v>23</v>
      </c>
      <c r="F10" s="21">
        <v>1</v>
      </c>
      <c r="G10" s="35">
        <v>31500</v>
      </c>
      <c r="H10" s="44">
        <f t="shared" si="0"/>
        <v>31500</v>
      </c>
      <c r="I10" s="29"/>
      <c r="J10" s="28"/>
      <c r="K10" s="22"/>
      <c r="L10" s="1"/>
      <c r="M10" s="26">
        <v>44453</v>
      </c>
      <c r="N10" s="23"/>
      <c r="O10" s="33">
        <v>44544</v>
      </c>
      <c r="P10" s="33">
        <v>44508</v>
      </c>
      <c r="Q10" s="27">
        <v>44508</v>
      </c>
    </row>
    <row r="11" spans="2:17" s="3" customFormat="1" ht="19.899999999999999" customHeight="1" x14ac:dyDescent="0.15">
      <c r="B11" s="4">
        <v>2</v>
      </c>
      <c r="C11" s="4" t="s">
        <v>21</v>
      </c>
      <c r="D11" s="4" t="s">
        <v>21</v>
      </c>
      <c r="E11" s="20" t="s">
        <v>28</v>
      </c>
      <c r="F11" s="21">
        <v>1</v>
      </c>
      <c r="G11" s="36">
        <v>10500</v>
      </c>
      <c r="H11" s="44">
        <f t="shared" si="0"/>
        <v>10500</v>
      </c>
      <c r="I11" s="2"/>
      <c r="J11" s="22"/>
      <c r="K11" s="22"/>
      <c r="L11" s="1"/>
      <c r="M11" s="26">
        <v>44453</v>
      </c>
      <c r="N11" s="23"/>
      <c r="O11" s="33">
        <v>44544</v>
      </c>
      <c r="P11" s="33">
        <v>44508</v>
      </c>
      <c r="Q11" s="27">
        <v>44508</v>
      </c>
    </row>
    <row r="12" spans="2:17" s="3" customFormat="1" ht="19.899999999999999" customHeight="1" x14ac:dyDescent="0.15">
      <c r="B12" s="4">
        <v>3</v>
      </c>
      <c r="C12" s="4" t="s">
        <v>21</v>
      </c>
      <c r="D12" s="4" t="s">
        <v>21</v>
      </c>
      <c r="E12" s="39" t="s">
        <v>29</v>
      </c>
      <c r="F12" s="21">
        <v>1</v>
      </c>
      <c r="G12" s="36">
        <v>10000</v>
      </c>
      <c r="H12" s="44">
        <f t="shared" si="0"/>
        <v>10000</v>
      </c>
      <c r="I12" s="2"/>
      <c r="J12" s="45" t="s">
        <v>30</v>
      </c>
      <c r="K12" s="45" t="s">
        <v>31</v>
      </c>
      <c r="L12" s="1"/>
      <c r="M12" s="26">
        <v>44453</v>
      </c>
      <c r="N12" s="23"/>
      <c r="O12" s="33">
        <v>44544</v>
      </c>
      <c r="P12" s="33">
        <v>44508</v>
      </c>
      <c r="Q12" s="27">
        <v>44508</v>
      </c>
    </row>
    <row r="13" spans="2:17" s="3" customFormat="1" ht="19.899999999999999" customHeight="1" x14ac:dyDescent="0.15">
      <c r="B13" s="4">
        <v>1</v>
      </c>
      <c r="C13" s="4" t="s">
        <v>21</v>
      </c>
      <c r="D13" s="4" t="s">
        <v>21</v>
      </c>
      <c r="E13" s="20" t="s">
        <v>22</v>
      </c>
      <c r="F13" s="21">
        <v>1</v>
      </c>
      <c r="G13" s="36">
        <v>12000</v>
      </c>
      <c r="H13" s="44">
        <f t="shared" si="0"/>
        <v>12000</v>
      </c>
      <c r="I13" s="2"/>
      <c r="J13" s="22"/>
      <c r="K13" s="22"/>
      <c r="L13" s="1"/>
      <c r="M13" s="26">
        <v>44453</v>
      </c>
      <c r="N13" s="23"/>
      <c r="O13" s="33">
        <v>44544</v>
      </c>
      <c r="P13" s="33"/>
      <c r="Q13" s="27"/>
    </row>
    <row r="14" spans="2:17" s="3" customFormat="1" ht="19.899999999999999" customHeight="1" x14ac:dyDescent="0.15">
      <c r="B14" s="4"/>
      <c r="C14" s="4"/>
      <c r="D14" s="4"/>
      <c r="E14" s="20"/>
      <c r="F14" s="21"/>
      <c r="G14" s="42"/>
      <c r="H14" s="43">
        <f t="shared" si="0"/>
        <v>0</v>
      </c>
      <c r="I14" s="2"/>
      <c r="J14" s="22"/>
      <c r="K14" s="22"/>
      <c r="L14" s="1"/>
      <c r="M14" s="26"/>
      <c r="N14" s="23"/>
      <c r="O14" s="33"/>
      <c r="P14" s="33"/>
      <c r="Q14" s="27"/>
    </row>
    <row r="15" spans="2:17" s="3" customFormat="1" ht="19.899999999999999" customHeight="1" x14ac:dyDescent="0.15">
      <c r="B15" s="4"/>
      <c r="C15" s="4"/>
      <c r="D15" s="4"/>
      <c r="E15" s="20"/>
      <c r="F15" s="21"/>
      <c r="G15" s="24"/>
      <c r="H15" s="34">
        <f t="shared" si="0"/>
        <v>0</v>
      </c>
      <c r="I15" s="2"/>
      <c r="J15" s="22"/>
      <c r="K15" s="22"/>
      <c r="L15" s="1"/>
      <c r="M15" s="26"/>
      <c r="N15" s="23"/>
      <c r="O15" s="25"/>
      <c r="P15" s="26"/>
      <c r="Q15" s="27"/>
    </row>
    <row r="16" spans="2:17" s="64" customFormat="1" ht="19.899999999999999" customHeight="1" x14ac:dyDescent="0.15">
      <c r="B16" s="38">
        <v>9</v>
      </c>
      <c r="C16" s="46" t="s">
        <v>32</v>
      </c>
      <c r="D16" s="46" t="s">
        <v>32</v>
      </c>
      <c r="E16" s="47" t="s">
        <v>33</v>
      </c>
      <c r="F16" s="48">
        <v>1</v>
      </c>
      <c r="G16" s="49">
        <v>1100</v>
      </c>
      <c r="H16" s="62">
        <f t="shared" si="0"/>
        <v>1100</v>
      </c>
      <c r="I16" s="50"/>
      <c r="J16" s="51" t="s">
        <v>34</v>
      </c>
      <c r="K16" s="52" t="s">
        <v>35</v>
      </c>
      <c r="L16" s="46" t="s">
        <v>36</v>
      </c>
      <c r="M16" s="53">
        <v>44456</v>
      </c>
      <c r="N16" s="63"/>
      <c r="O16" s="46"/>
      <c r="P16" s="53">
        <v>44473</v>
      </c>
      <c r="Q16" s="54">
        <v>44473</v>
      </c>
    </row>
    <row r="17" spans="2:17" s="64" customFormat="1" ht="19.899999999999999" customHeight="1" x14ac:dyDescent="0.15">
      <c r="B17" s="38">
        <v>9</v>
      </c>
      <c r="C17" s="46" t="s">
        <v>32</v>
      </c>
      <c r="D17" s="46" t="s">
        <v>32</v>
      </c>
      <c r="E17" s="47" t="s">
        <v>37</v>
      </c>
      <c r="F17" s="48">
        <v>3</v>
      </c>
      <c r="G17" s="49">
        <v>190</v>
      </c>
      <c r="H17" s="62">
        <f t="shared" si="0"/>
        <v>570</v>
      </c>
      <c r="I17" s="50"/>
      <c r="J17" s="51" t="s">
        <v>38</v>
      </c>
      <c r="K17" s="52" t="s">
        <v>35</v>
      </c>
      <c r="L17" s="46" t="s">
        <v>39</v>
      </c>
      <c r="M17" s="53">
        <v>44456</v>
      </c>
      <c r="N17" s="63"/>
      <c r="O17" s="46"/>
      <c r="P17" s="53">
        <v>44473</v>
      </c>
      <c r="Q17" s="54">
        <v>44473</v>
      </c>
    </row>
    <row r="18" spans="2:17" s="64" customFormat="1" ht="19.899999999999999" customHeight="1" x14ac:dyDescent="0.15">
      <c r="B18" s="38">
        <v>9</v>
      </c>
      <c r="C18" s="46" t="s">
        <v>32</v>
      </c>
      <c r="D18" s="46" t="s">
        <v>32</v>
      </c>
      <c r="E18" s="51" t="s">
        <v>40</v>
      </c>
      <c r="F18" s="48">
        <v>1</v>
      </c>
      <c r="G18" s="49">
        <v>1680</v>
      </c>
      <c r="H18" s="62">
        <f t="shared" si="0"/>
        <v>1680</v>
      </c>
      <c r="I18" s="50"/>
      <c r="J18" s="51" t="s">
        <v>41</v>
      </c>
      <c r="K18" s="52" t="s">
        <v>35</v>
      </c>
      <c r="L18" s="46" t="s">
        <v>39</v>
      </c>
      <c r="M18" s="53">
        <v>44456</v>
      </c>
      <c r="N18" s="63"/>
      <c r="O18" s="46"/>
      <c r="P18" s="53">
        <v>44473</v>
      </c>
      <c r="Q18" s="54">
        <v>44473</v>
      </c>
    </row>
    <row r="19" spans="2:17" s="64" customFormat="1" ht="19.899999999999999" customHeight="1" x14ac:dyDescent="0.15">
      <c r="B19" s="38">
        <v>9</v>
      </c>
      <c r="C19" s="46" t="s">
        <v>32</v>
      </c>
      <c r="D19" s="46" t="s">
        <v>32</v>
      </c>
      <c r="E19" s="51" t="s">
        <v>42</v>
      </c>
      <c r="F19" s="48">
        <v>1</v>
      </c>
      <c r="G19" s="49">
        <v>1680</v>
      </c>
      <c r="H19" s="62">
        <f t="shared" si="0"/>
        <v>1680</v>
      </c>
      <c r="I19" s="50"/>
      <c r="J19" s="51" t="s">
        <v>41</v>
      </c>
      <c r="K19" s="52" t="s">
        <v>35</v>
      </c>
      <c r="L19" s="46" t="s">
        <v>39</v>
      </c>
      <c r="M19" s="53">
        <v>44456</v>
      </c>
      <c r="N19" s="63"/>
      <c r="O19" s="46"/>
      <c r="P19" s="53">
        <v>44473</v>
      </c>
      <c r="Q19" s="54">
        <v>44473</v>
      </c>
    </row>
    <row r="20" spans="2:17" s="64" customFormat="1" ht="19.899999999999999" customHeight="1" x14ac:dyDescent="0.15">
      <c r="B20" s="38">
        <v>9</v>
      </c>
      <c r="C20" s="46" t="s">
        <v>32</v>
      </c>
      <c r="D20" s="46" t="s">
        <v>32</v>
      </c>
      <c r="E20" s="47" t="s">
        <v>43</v>
      </c>
      <c r="F20" s="65">
        <v>1</v>
      </c>
      <c r="G20" s="49">
        <v>3020</v>
      </c>
      <c r="H20" s="62">
        <f t="shared" si="0"/>
        <v>3020</v>
      </c>
      <c r="I20" s="66"/>
      <c r="J20" s="67" t="s">
        <v>44</v>
      </c>
      <c r="K20" s="52" t="s">
        <v>35</v>
      </c>
      <c r="L20" s="46" t="s">
        <v>39</v>
      </c>
      <c r="M20" s="53">
        <v>44456</v>
      </c>
      <c r="N20" s="63"/>
      <c r="O20" s="46"/>
      <c r="P20" s="53">
        <v>44473</v>
      </c>
      <c r="Q20" s="54">
        <v>44473</v>
      </c>
    </row>
    <row r="21" spans="2:17" s="64" customFormat="1" ht="19.899999999999999" customHeight="1" x14ac:dyDescent="0.15">
      <c r="B21" s="38">
        <v>9</v>
      </c>
      <c r="C21" s="46" t="s">
        <v>45</v>
      </c>
      <c r="D21" s="46" t="s">
        <v>32</v>
      </c>
      <c r="E21" s="47" t="s">
        <v>46</v>
      </c>
      <c r="F21" s="65">
        <v>10</v>
      </c>
      <c r="G21" s="49">
        <v>24</v>
      </c>
      <c r="H21" s="62">
        <f t="shared" si="0"/>
        <v>240</v>
      </c>
      <c r="I21" s="68"/>
      <c r="J21" s="67" t="s">
        <v>47</v>
      </c>
      <c r="K21" s="52" t="s">
        <v>35</v>
      </c>
      <c r="L21" s="46" t="s">
        <v>39</v>
      </c>
      <c r="M21" s="53">
        <v>44456</v>
      </c>
      <c r="N21" s="63"/>
      <c r="O21" s="46"/>
      <c r="P21" s="53">
        <v>44473</v>
      </c>
      <c r="Q21" s="54">
        <v>44473</v>
      </c>
    </row>
    <row r="22" spans="2:17" s="64" customFormat="1" ht="19.899999999999999" customHeight="1" x14ac:dyDescent="0.15">
      <c r="B22" s="38">
        <v>9</v>
      </c>
      <c r="C22" s="46" t="s">
        <v>32</v>
      </c>
      <c r="D22" s="46" t="s">
        <v>32</v>
      </c>
      <c r="E22" s="47" t="s">
        <v>48</v>
      </c>
      <c r="F22" s="65">
        <v>1</v>
      </c>
      <c r="G22" s="49">
        <v>1480</v>
      </c>
      <c r="H22" s="49">
        <f t="shared" si="0"/>
        <v>1480</v>
      </c>
      <c r="I22" s="66"/>
      <c r="J22" s="67" t="s">
        <v>41</v>
      </c>
      <c r="K22" s="52" t="s">
        <v>35</v>
      </c>
      <c r="L22" s="46" t="s">
        <v>39</v>
      </c>
      <c r="M22" s="53">
        <v>44456</v>
      </c>
      <c r="N22" s="63"/>
      <c r="O22" s="46"/>
      <c r="P22" s="53">
        <v>44473</v>
      </c>
      <c r="Q22" s="54">
        <v>44473</v>
      </c>
    </row>
    <row r="23" spans="2:17" s="64" customFormat="1" ht="19.899999999999999" customHeight="1" x14ac:dyDescent="0.15">
      <c r="B23" s="38">
        <v>9</v>
      </c>
      <c r="C23" s="46" t="s">
        <v>32</v>
      </c>
      <c r="D23" s="46" t="s">
        <v>32</v>
      </c>
      <c r="E23" s="69" t="s">
        <v>49</v>
      </c>
      <c r="F23" s="55">
        <v>2</v>
      </c>
      <c r="G23" s="49">
        <v>1260</v>
      </c>
      <c r="H23" s="49">
        <f t="shared" si="0"/>
        <v>2520</v>
      </c>
      <c r="I23" s="50"/>
      <c r="J23" s="47" t="s">
        <v>50</v>
      </c>
      <c r="K23" s="52" t="s">
        <v>35</v>
      </c>
      <c r="L23" s="46" t="s">
        <v>51</v>
      </c>
      <c r="M23" s="53">
        <v>44456</v>
      </c>
      <c r="N23" s="63"/>
      <c r="O23" s="46"/>
      <c r="P23" s="53">
        <v>44473</v>
      </c>
      <c r="Q23" s="54">
        <v>44473</v>
      </c>
    </row>
    <row r="24" spans="2:17" s="64" customFormat="1" ht="19.899999999999999" customHeight="1" x14ac:dyDescent="0.15">
      <c r="B24" s="38">
        <v>4</v>
      </c>
      <c r="C24" s="46" t="s">
        <v>45</v>
      </c>
      <c r="D24" s="46" t="s">
        <v>32</v>
      </c>
      <c r="E24" s="69" t="s">
        <v>52</v>
      </c>
      <c r="F24" s="55">
        <v>2</v>
      </c>
      <c r="G24" s="49">
        <v>143</v>
      </c>
      <c r="H24" s="49">
        <f t="shared" si="0"/>
        <v>286</v>
      </c>
      <c r="I24" s="50"/>
      <c r="J24" s="47" t="s">
        <v>53</v>
      </c>
      <c r="K24" s="52" t="s">
        <v>35</v>
      </c>
      <c r="L24" s="46" t="s">
        <v>54</v>
      </c>
      <c r="M24" s="53">
        <v>44456</v>
      </c>
      <c r="N24" s="63"/>
      <c r="O24" s="46"/>
      <c r="P24" s="53">
        <v>44473</v>
      </c>
      <c r="Q24" s="54">
        <v>44473</v>
      </c>
    </row>
    <row r="25" spans="2:17" s="64" customFormat="1" ht="19.899999999999999" customHeight="1" x14ac:dyDescent="0.15">
      <c r="B25" s="38">
        <v>4</v>
      </c>
      <c r="C25" s="46" t="s">
        <v>32</v>
      </c>
      <c r="D25" s="46" t="s">
        <v>32</v>
      </c>
      <c r="E25" s="51" t="s">
        <v>55</v>
      </c>
      <c r="F25" s="48">
        <v>1</v>
      </c>
      <c r="G25" s="49">
        <v>977</v>
      </c>
      <c r="H25" s="62">
        <f t="shared" si="0"/>
        <v>977</v>
      </c>
      <c r="I25" s="56"/>
      <c r="J25" s="57" t="s">
        <v>56</v>
      </c>
      <c r="K25" s="52" t="s">
        <v>35</v>
      </c>
      <c r="L25" s="46" t="s">
        <v>54</v>
      </c>
      <c r="M25" s="53">
        <v>44456</v>
      </c>
      <c r="N25" s="63"/>
      <c r="O25" s="46"/>
      <c r="P25" s="53">
        <v>44473</v>
      </c>
      <c r="Q25" s="54">
        <v>44473</v>
      </c>
    </row>
    <row r="26" spans="2:17" s="64" customFormat="1" ht="19.899999999999999" customHeight="1" x14ac:dyDescent="0.15">
      <c r="B26" s="38">
        <v>4</v>
      </c>
      <c r="C26" s="46" t="s">
        <v>32</v>
      </c>
      <c r="D26" s="46" t="s">
        <v>32</v>
      </c>
      <c r="E26" s="51" t="s">
        <v>57</v>
      </c>
      <c r="F26" s="70">
        <v>1</v>
      </c>
      <c r="G26" s="49">
        <v>4570</v>
      </c>
      <c r="H26" s="62">
        <f t="shared" si="0"/>
        <v>4570</v>
      </c>
      <c r="I26" s="50"/>
      <c r="J26" s="57" t="s">
        <v>58</v>
      </c>
      <c r="K26" s="52" t="s">
        <v>35</v>
      </c>
      <c r="L26" s="46" t="s">
        <v>54</v>
      </c>
      <c r="M26" s="53">
        <v>44456</v>
      </c>
      <c r="N26" s="63"/>
      <c r="O26" s="46"/>
      <c r="P26" s="53">
        <v>44473</v>
      </c>
      <c r="Q26" s="54">
        <v>44473</v>
      </c>
    </row>
    <row r="27" spans="2:17" s="64" customFormat="1" ht="19.899999999999999" customHeight="1" x14ac:dyDescent="0.15">
      <c r="B27" s="38">
        <v>4</v>
      </c>
      <c r="C27" s="46" t="s">
        <v>32</v>
      </c>
      <c r="D27" s="46" t="s">
        <v>32</v>
      </c>
      <c r="E27" s="51" t="s">
        <v>59</v>
      </c>
      <c r="F27" s="70">
        <v>1</v>
      </c>
      <c r="G27" s="49">
        <v>3853</v>
      </c>
      <c r="H27" s="49">
        <f t="shared" si="0"/>
        <v>3853</v>
      </c>
      <c r="I27" s="71"/>
      <c r="J27" s="57" t="s">
        <v>60</v>
      </c>
      <c r="K27" s="52" t="s">
        <v>35</v>
      </c>
      <c r="L27" s="46" t="s">
        <v>54</v>
      </c>
      <c r="M27" s="53">
        <v>44456</v>
      </c>
      <c r="N27" s="63"/>
      <c r="O27" s="46"/>
      <c r="P27" s="53">
        <v>44473</v>
      </c>
      <c r="Q27" s="54">
        <v>44473</v>
      </c>
    </row>
    <row r="28" spans="2:17" s="64" customFormat="1" ht="19.899999999999999" customHeight="1" x14ac:dyDescent="0.15">
      <c r="B28" s="38">
        <v>4</v>
      </c>
      <c r="C28" s="46" t="s">
        <v>61</v>
      </c>
      <c r="D28" s="46" t="s">
        <v>32</v>
      </c>
      <c r="E28" s="51" t="s">
        <v>62</v>
      </c>
      <c r="F28" s="70">
        <v>1</v>
      </c>
      <c r="G28" s="49">
        <v>1426</v>
      </c>
      <c r="H28" s="49">
        <f t="shared" si="0"/>
        <v>1426</v>
      </c>
      <c r="I28" s="71"/>
      <c r="J28" s="72" t="s">
        <v>63</v>
      </c>
      <c r="K28" s="52" t="s">
        <v>35</v>
      </c>
      <c r="L28" s="46" t="s">
        <v>54</v>
      </c>
      <c r="M28" s="53">
        <v>44456</v>
      </c>
      <c r="N28" s="63"/>
      <c r="O28" s="46"/>
      <c r="P28" s="53">
        <v>44473</v>
      </c>
      <c r="Q28" s="54">
        <v>44473</v>
      </c>
    </row>
    <row r="29" spans="2:17" s="64" customFormat="1" ht="19.899999999999999" customHeight="1" x14ac:dyDescent="0.15">
      <c r="B29" s="38">
        <v>4</v>
      </c>
      <c r="C29" s="46" t="s">
        <v>64</v>
      </c>
      <c r="D29" s="46" t="s">
        <v>32</v>
      </c>
      <c r="E29" s="51" t="s">
        <v>65</v>
      </c>
      <c r="F29" s="70">
        <v>1</v>
      </c>
      <c r="G29" s="58">
        <v>228</v>
      </c>
      <c r="H29" s="49">
        <f t="shared" si="0"/>
        <v>228</v>
      </c>
      <c r="I29" s="71"/>
      <c r="J29" s="73" t="s">
        <v>66</v>
      </c>
      <c r="K29" s="52" t="s">
        <v>35</v>
      </c>
      <c r="L29" s="46" t="s">
        <v>54</v>
      </c>
      <c r="M29" s="53">
        <v>44456</v>
      </c>
      <c r="N29" s="63"/>
      <c r="O29" s="46"/>
      <c r="P29" s="53">
        <v>44473</v>
      </c>
      <c r="Q29" s="54">
        <v>44473</v>
      </c>
    </row>
    <row r="30" spans="2:17" s="64" customFormat="1" ht="19.899999999999999" customHeight="1" x14ac:dyDescent="0.15">
      <c r="B30" s="38">
        <v>4</v>
      </c>
      <c r="C30" s="46" t="s">
        <v>32</v>
      </c>
      <c r="D30" s="46" t="s">
        <v>32</v>
      </c>
      <c r="E30" s="51" t="s">
        <v>67</v>
      </c>
      <c r="F30" s="70">
        <v>1</v>
      </c>
      <c r="G30" s="58">
        <v>6005</v>
      </c>
      <c r="H30" s="49">
        <f t="shared" si="0"/>
        <v>6005</v>
      </c>
      <c r="I30" s="74"/>
      <c r="J30" s="73" t="s">
        <v>68</v>
      </c>
      <c r="K30" s="52" t="s">
        <v>35</v>
      </c>
      <c r="L30" s="46" t="s">
        <v>54</v>
      </c>
      <c r="M30" s="53">
        <v>44456</v>
      </c>
      <c r="N30" s="53"/>
      <c r="O30" s="53"/>
      <c r="P30" s="53">
        <v>44473</v>
      </c>
      <c r="Q30" s="54">
        <v>44473</v>
      </c>
    </row>
    <row r="31" spans="2:17" s="64" customFormat="1" ht="19.899999999999999" customHeight="1" x14ac:dyDescent="0.15">
      <c r="B31" s="38">
        <v>4</v>
      </c>
      <c r="C31" s="46" t="s">
        <v>69</v>
      </c>
      <c r="D31" s="46" t="s">
        <v>32</v>
      </c>
      <c r="E31" s="51" t="s">
        <v>70</v>
      </c>
      <c r="F31" s="55">
        <v>1</v>
      </c>
      <c r="G31" s="49">
        <v>436</v>
      </c>
      <c r="H31" s="62">
        <f>F31*G31</f>
        <v>436</v>
      </c>
      <c r="I31" s="50"/>
      <c r="J31" s="47" t="s">
        <v>71</v>
      </c>
      <c r="K31" s="52" t="s">
        <v>35</v>
      </c>
      <c r="L31" s="46" t="s">
        <v>54</v>
      </c>
      <c r="M31" s="53">
        <v>44456</v>
      </c>
      <c r="N31" s="53"/>
      <c r="O31" s="53"/>
      <c r="P31" s="53">
        <v>44473</v>
      </c>
      <c r="Q31" s="54">
        <v>44473</v>
      </c>
    </row>
    <row r="32" spans="2:17" s="64" customFormat="1" ht="19.899999999999999" customHeight="1" x14ac:dyDescent="0.15">
      <c r="B32" s="38">
        <v>4</v>
      </c>
      <c r="C32" s="46" t="s">
        <v>32</v>
      </c>
      <c r="D32" s="46" t="s">
        <v>32</v>
      </c>
      <c r="E32" s="69" t="s">
        <v>72</v>
      </c>
      <c r="F32" s="55">
        <v>1</v>
      </c>
      <c r="G32" s="49">
        <v>768</v>
      </c>
      <c r="H32" s="49">
        <f t="shared" si="0"/>
        <v>768</v>
      </c>
      <c r="I32" s="50"/>
      <c r="J32" s="47" t="s">
        <v>73</v>
      </c>
      <c r="K32" s="52" t="s">
        <v>35</v>
      </c>
      <c r="L32" s="46" t="s">
        <v>54</v>
      </c>
      <c r="M32" s="53">
        <v>44456</v>
      </c>
      <c r="N32" s="53"/>
      <c r="O32" s="53"/>
      <c r="P32" s="53">
        <v>44473</v>
      </c>
      <c r="Q32" s="54">
        <v>44473</v>
      </c>
    </row>
    <row r="33" spans="2:17" s="64" customFormat="1" ht="19.899999999999999" customHeight="1" x14ac:dyDescent="0.15">
      <c r="B33" s="38">
        <v>4</v>
      </c>
      <c r="C33" s="46" t="s">
        <v>32</v>
      </c>
      <c r="D33" s="46" t="s">
        <v>32</v>
      </c>
      <c r="E33" s="69" t="s">
        <v>74</v>
      </c>
      <c r="F33" s="55">
        <v>1</v>
      </c>
      <c r="G33" s="49">
        <v>7646</v>
      </c>
      <c r="H33" s="49">
        <f t="shared" si="0"/>
        <v>7646</v>
      </c>
      <c r="I33" s="50"/>
      <c r="J33" s="47" t="s">
        <v>75</v>
      </c>
      <c r="K33" s="52" t="s">
        <v>35</v>
      </c>
      <c r="L33" s="46" t="s">
        <v>54</v>
      </c>
      <c r="M33" s="53">
        <v>44456</v>
      </c>
      <c r="N33" s="53"/>
      <c r="O33" s="53"/>
      <c r="P33" s="53">
        <v>44473</v>
      </c>
      <c r="Q33" s="54">
        <v>44473</v>
      </c>
    </row>
    <row r="34" spans="2:17" s="64" customFormat="1" ht="19.899999999999999" customHeight="1" x14ac:dyDescent="0.15">
      <c r="B34" s="38">
        <v>9</v>
      </c>
      <c r="C34" s="46" t="s">
        <v>32</v>
      </c>
      <c r="D34" s="46" t="s">
        <v>32</v>
      </c>
      <c r="E34" s="69" t="s">
        <v>76</v>
      </c>
      <c r="F34" s="55">
        <v>1</v>
      </c>
      <c r="G34" s="49">
        <v>7546</v>
      </c>
      <c r="H34" s="49">
        <f t="shared" si="0"/>
        <v>7546</v>
      </c>
      <c r="I34" s="50"/>
      <c r="J34" s="47" t="s">
        <v>77</v>
      </c>
      <c r="K34" s="52" t="s">
        <v>35</v>
      </c>
      <c r="L34" s="46" t="s">
        <v>78</v>
      </c>
      <c r="M34" s="53">
        <v>44456</v>
      </c>
      <c r="N34" s="53"/>
      <c r="O34" s="53"/>
      <c r="P34" s="53">
        <v>44473</v>
      </c>
      <c r="Q34" s="54">
        <v>44473</v>
      </c>
    </row>
    <row r="35" spans="2:17" s="64" customFormat="1" ht="19.899999999999999" customHeight="1" x14ac:dyDescent="0.15">
      <c r="B35" s="38">
        <v>9</v>
      </c>
      <c r="C35" s="46" t="s">
        <v>32</v>
      </c>
      <c r="D35" s="46" t="s">
        <v>32</v>
      </c>
      <c r="E35" s="69" t="s">
        <v>79</v>
      </c>
      <c r="F35" s="55">
        <v>2</v>
      </c>
      <c r="G35" s="49">
        <v>680</v>
      </c>
      <c r="H35" s="49">
        <f t="shared" si="0"/>
        <v>1360</v>
      </c>
      <c r="I35" s="50"/>
      <c r="J35" s="47" t="s">
        <v>80</v>
      </c>
      <c r="K35" s="52" t="s">
        <v>35</v>
      </c>
      <c r="L35" s="46" t="s">
        <v>78</v>
      </c>
      <c r="M35" s="53">
        <v>44456</v>
      </c>
      <c r="N35" s="53"/>
      <c r="O35" s="53"/>
      <c r="P35" s="53">
        <v>44473</v>
      </c>
      <c r="Q35" s="54">
        <v>44473</v>
      </c>
    </row>
    <row r="36" spans="2:17" s="64" customFormat="1" ht="19.899999999999999" customHeight="1" x14ac:dyDescent="0.15">
      <c r="B36" s="38">
        <v>9</v>
      </c>
      <c r="C36" s="46" t="s">
        <v>32</v>
      </c>
      <c r="D36" s="46" t="s">
        <v>32</v>
      </c>
      <c r="E36" s="51" t="s">
        <v>81</v>
      </c>
      <c r="F36" s="55">
        <v>1</v>
      </c>
      <c r="G36" s="49">
        <v>30</v>
      </c>
      <c r="H36" s="49">
        <f t="shared" si="0"/>
        <v>30</v>
      </c>
      <c r="I36" s="50"/>
      <c r="J36" s="51" t="s">
        <v>82</v>
      </c>
      <c r="K36" s="52" t="s">
        <v>35</v>
      </c>
      <c r="L36" s="46" t="s">
        <v>78</v>
      </c>
      <c r="M36" s="53">
        <v>44456</v>
      </c>
      <c r="N36" s="53"/>
      <c r="O36" s="53"/>
      <c r="P36" s="53">
        <v>44473</v>
      </c>
      <c r="Q36" s="54">
        <v>44473</v>
      </c>
    </row>
    <row r="37" spans="2:17" s="64" customFormat="1" ht="19.899999999999999" customHeight="1" x14ac:dyDescent="0.15">
      <c r="B37" s="38">
        <v>9</v>
      </c>
      <c r="C37" s="46" t="s">
        <v>32</v>
      </c>
      <c r="D37" s="46" t="s">
        <v>32</v>
      </c>
      <c r="E37" s="69" t="s">
        <v>83</v>
      </c>
      <c r="F37" s="55">
        <v>1</v>
      </c>
      <c r="G37" s="49">
        <v>71</v>
      </c>
      <c r="H37" s="49">
        <f t="shared" si="0"/>
        <v>71</v>
      </c>
      <c r="I37" s="50"/>
      <c r="J37" s="47" t="s">
        <v>84</v>
      </c>
      <c r="K37" s="52" t="s">
        <v>35</v>
      </c>
      <c r="L37" s="46" t="s">
        <v>78</v>
      </c>
      <c r="M37" s="53">
        <v>44456</v>
      </c>
      <c r="N37" s="53"/>
      <c r="O37" s="53"/>
      <c r="P37" s="53">
        <v>44473</v>
      </c>
      <c r="Q37" s="54">
        <v>44473</v>
      </c>
    </row>
    <row r="38" spans="2:17" s="64" customFormat="1" ht="19.899999999999999" customHeight="1" x14ac:dyDescent="0.15">
      <c r="B38" s="38">
        <v>9</v>
      </c>
      <c r="C38" s="46" t="s">
        <v>32</v>
      </c>
      <c r="D38" s="46" t="s">
        <v>32</v>
      </c>
      <c r="E38" s="51" t="s">
        <v>85</v>
      </c>
      <c r="F38" s="55">
        <v>1</v>
      </c>
      <c r="G38" s="49">
        <v>4901</v>
      </c>
      <c r="H38" s="49">
        <f t="shared" si="0"/>
        <v>4901</v>
      </c>
      <c r="I38" s="50"/>
      <c r="J38" s="51" t="s">
        <v>86</v>
      </c>
      <c r="K38" s="52" t="s">
        <v>35</v>
      </c>
      <c r="L38" s="46" t="s">
        <v>78</v>
      </c>
      <c r="M38" s="53">
        <v>44456</v>
      </c>
      <c r="N38" s="53"/>
      <c r="O38" s="53"/>
      <c r="P38" s="53">
        <v>44473</v>
      </c>
      <c r="Q38" s="54">
        <v>44473</v>
      </c>
    </row>
    <row r="39" spans="2:17" s="64" customFormat="1" ht="19.899999999999999" customHeight="1" x14ac:dyDescent="0.15">
      <c r="B39" s="38">
        <v>9</v>
      </c>
      <c r="C39" s="46" t="s">
        <v>32</v>
      </c>
      <c r="D39" s="46" t="s">
        <v>32</v>
      </c>
      <c r="E39" s="51" t="s">
        <v>87</v>
      </c>
      <c r="F39" s="55">
        <v>1</v>
      </c>
      <c r="G39" s="49">
        <v>1872</v>
      </c>
      <c r="H39" s="49">
        <f t="shared" si="0"/>
        <v>1872</v>
      </c>
      <c r="I39" s="50"/>
      <c r="J39" s="51" t="s">
        <v>88</v>
      </c>
      <c r="K39" s="52" t="s">
        <v>35</v>
      </c>
      <c r="L39" s="46" t="s">
        <v>78</v>
      </c>
      <c r="M39" s="53">
        <v>44456</v>
      </c>
      <c r="N39" s="53"/>
      <c r="O39" s="53"/>
      <c r="P39" s="53">
        <v>44473</v>
      </c>
      <c r="Q39" s="54">
        <v>44473</v>
      </c>
    </row>
    <row r="40" spans="2:17" s="64" customFormat="1" ht="19.899999999999999" customHeight="1" x14ac:dyDescent="0.15">
      <c r="B40" s="38">
        <v>9</v>
      </c>
      <c r="C40" s="41" t="s">
        <v>32</v>
      </c>
      <c r="D40" s="41" t="s">
        <v>32</v>
      </c>
      <c r="E40" s="59" t="s">
        <v>89</v>
      </c>
      <c r="F40" s="60">
        <v>1</v>
      </c>
      <c r="G40" s="58">
        <v>12537</v>
      </c>
      <c r="H40" s="61">
        <f>F40*G40</f>
        <v>12537</v>
      </c>
      <c r="I40" s="40"/>
      <c r="J40" s="59" t="s">
        <v>90</v>
      </c>
      <c r="K40" s="52" t="s">
        <v>35</v>
      </c>
      <c r="L40" s="46" t="s">
        <v>51</v>
      </c>
      <c r="M40" s="53">
        <v>44456</v>
      </c>
      <c r="N40" s="53"/>
      <c r="O40" s="53"/>
      <c r="P40" s="53">
        <v>44473</v>
      </c>
      <c r="Q40" s="54">
        <v>44473</v>
      </c>
    </row>
    <row r="41" spans="2:17" s="64" customFormat="1" ht="19.899999999999999" customHeight="1" x14ac:dyDescent="0.15">
      <c r="B41" s="38">
        <v>11</v>
      </c>
      <c r="C41" s="41" t="s">
        <v>32</v>
      </c>
      <c r="D41" s="41" t="s">
        <v>32</v>
      </c>
      <c r="E41" s="47" t="s">
        <v>91</v>
      </c>
      <c r="F41" s="55">
        <v>1</v>
      </c>
      <c r="G41" s="49">
        <v>8283</v>
      </c>
      <c r="H41" s="49">
        <f>F41*G41</f>
        <v>8283</v>
      </c>
      <c r="I41" s="50"/>
      <c r="J41" s="51" t="s">
        <v>92</v>
      </c>
      <c r="K41" s="52" t="s">
        <v>35</v>
      </c>
      <c r="L41" s="46" t="s">
        <v>93</v>
      </c>
      <c r="M41" s="53">
        <v>44456</v>
      </c>
      <c r="N41" s="53"/>
      <c r="O41" s="53"/>
      <c r="P41" s="53">
        <v>44473</v>
      </c>
      <c r="Q41" s="54">
        <v>44473</v>
      </c>
    </row>
    <row r="42" spans="2:17" s="64" customFormat="1" ht="19.899999999999999" customHeight="1" x14ac:dyDescent="0.15">
      <c r="B42" s="38"/>
      <c r="C42" s="46"/>
      <c r="D42" s="46"/>
      <c r="E42" s="51"/>
      <c r="F42" s="55"/>
      <c r="G42" s="49"/>
      <c r="H42" s="49">
        <f>F42*G42</f>
        <v>0</v>
      </c>
      <c r="I42" s="50"/>
      <c r="J42" s="47"/>
      <c r="K42" s="52"/>
      <c r="L42" s="46"/>
      <c r="M42" s="53"/>
      <c r="N42" s="53"/>
      <c r="O42" s="53"/>
      <c r="P42" s="53"/>
      <c r="Q42" s="54"/>
    </row>
    <row r="43" spans="2:17" s="75" customFormat="1" ht="19.899999999999999" customHeight="1" x14ac:dyDescent="0.15">
      <c r="B43" s="38"/>
      <c r="C43" s="46"/>
      <c r="D43" s="46"/>
      <c r="E43" s="51"/>
      <c r="F43" s="55"/>
      <c r="G43" s="49"/>
      <c r="H43" s="49">
        <f>F43*G43</f>
        <v>0</v>
      </c>
      <c r="I43" s="50"/>
      <c r="J43" s="47"/>
      <c r="K43" s="46"/>
      <c r="L43" s="46"/>
      <c r="M43" s="53"/>
      <c r="N43" s="53"/>
      <c r="O43" s="53"/>
      <c r="P43" s="53"/>
      <c r="Q43" s="54"/>
    </row>
    <row r="44" spans="2:17" s="75" customFormat="1" ht="19.899999999999999" customHeight="1" x14ac:dyDescent="0.15">
      <c r="B44" s="38">
        <v>9</v>
      </c>
      <c r="C44" s="46" t="s">
        <v>94</v>
      </c>
      <c r="D44" s="46" t="s">
        <v>95</v>
      </c>
      <c r="E44" s="51" t="s">
        <v>96</v>
      </c>
      <c r="F44" s="55">
        <v>1</v>
      </c>
      <c r="G44" s="49">
        <v>1990</v>
      </c>
      <c r="H44" s="49">
        <f t="shared" si="0"/>
        <v>1990</v>
      </c>
      <c r="I44" s="50"/>
      <c r="J44" s="47" t="s">
        <v>97</v>
      </c>
      <c r="K44" s="52"/>
      <c r="L44" s="46" t="s">
        <v>78</v>
      </c>
      <c r="M44" s="53">
        <v>44460</v>
      </c>
      <c r="N44" s="53"/>
      <c r="O44" s="53"/>
      <c r="P44" s="53">
        <v>44461</v>
      </c>
      <c r="Q44" s="54">
        <v>44461</v>
      </c>
    </row>
    <row r="45" spans="2:17" s="37" customFormat="1" ht="19.899999999999999" customHeight="1" x14ac:dyDescent="0.15">
      <c r="B45" s="38">
        <v>9</v>
      </c>
      <c r="C45" s="46" t="s">
        <v>94</v>
      </c>
      <c r="D45" s="46" t="s">
        <v>95</v>
      </c>
      <c r="E45" s="51" t="s">
        <v>98</v>
      </c>
      <c r="F45" s="48">
        <v>1</v>
      </c>
      <c r="G45" s="49">
        <v>500</v>
      </c>
      <c r="H45" s="49">
        <f t="shared" si="0"/>
        <v>500</v>
      </c>
      <c r="I45" s="56"/>
      <c r="J45" s="57"/>
      <c r="K45" s="52"/>
      <c r="L45" s="46"/>
      <c r="M45" s="53">
        <v>44460</v>
      </c>
      <c r="N45" s="53"/>
      <c r="O45" s="53"/>
      <c r="P45" s="53">
        <v>44461</v>
      </c>
      <c r="Q45" s="54"/>
    </row>
    <row r="46" spans="2:17" s="37" customFormat="1" ht="19.899999999999999" customHeight="1" x14ac:dyDescent="0.15">
      <c r="B46" s="38"/>
      <c r="C46" s="46"/>
      <c r="D46" s="46"/>
      <c r="E46" s="51"/>
      <c r="F46" s="55"/>
      <c r="G46" s="49"/>
      <c r="H46" s="49">
        <f t="shared" si="0"/>
        <v>0</v>
      </c>
      <c r="I46" s="50"/>
      <c r="J46" s="47"/>
      <c r="K46" s="46"/>
      <c r="L46" s="46"/>
      <c r="M46" s="53"/>
      <c r="N46" s="53"/>
      <c r="O46" s="53"/>
      <c r="P46" s="53"/>
      <c r="Q46" s="54"/>
    </row>
    <row r="47" spans="2:17" s="37" customFormat="1" ht="19.899999999999999" customHeight="1" x14ac:dyDescent="0.15">
      <c r="B47" s="38"/>
      <c r="C47" s="41"/>
      <c r="D47" s="41"/>
      <c r="E47" s="59"/>
      <c r="F47" s="60"/>
      <c r="G47" s="58"/>
      <c r="H47" s="61">
        <f t="shared" si="0"/>
        <v>0</v>
      </c>
      <c r="I47" s="40"/>
      <c r="J47" s="59"/>
      <c r="K47" s="46"/>
      <c r="L47" s="46"/>
      <c r="M47" s="53"/>
      <c r="N47" s="53"/>
      <c r="O47" s="53"/>
      <c r="P47" s="53"/>
      <c r="Q47" s="54"/>
    </row>
    <row r="48" spans="2:17" s="37" customFormat="1" ht="19.899999999999999" customHeight="1" x14ac:dyDescent="0.15">
      <c r="B48" s="38"/>
      <c r="C48" s="41"/>
      <c r="D48" s="41"/>
      <c r="E48" s="47"/>
      <c r="F48" s="55"/>
      <c r="G48" s="49"/>
      <c r="H48" s="49">
        <f t="shared" si="0"/>
        <v>0</v>
      </c>
      <c r="I48" s="50"/>
      <c r="J48" s="51"/>
      <c r="K48" s="46"/>
      <c r="L48" s="46"/>
      <c r="M48" s="53"/>
      <c r="N48" s="53"/>
      <c r="O48" s="53"/>
      <c r="P48" s="53"/>
      <c r="Q48" s="54"/>
    </row>
    <row r="49" spans="2:17" s="37" customFormat="1" ht="19.899999999999999" customHeight="1" x14ac:dyDescent="0.15">
      <c r="B49" s="38"/>
      <c r="C49" s="46"/>
      <c r="D49" s="46"/>
      <c r="E49" s="47"/>
      <c r="F49" s="55"/>
      <c r="G49" s="49"/>
      <c r="H49" s="49">
        <f t="shared" si="0"/>
        <v>0</v>
      </c>
      <c r="I49" s="50"/>
      <c r="J49" s="51"/>
      <c r="K49" s="46"/>
      <c r="L49" s="46"/>
      <c r="M49" s="53"/>
      <c r="N49" s="53"/>
      <c r="O49" s="53"/>
      <c r="P49" s="53"/>
      <c r="Q49" s="54"/>
    </row>
    <row r="53" spans="2:17" x14ac:dyDescent="0.15">
      <c r="M53" s="15"/>
    </row>
    <row r="54" spans="2:17" x14ac:dyDescent="0.15">
      <c r="M54" s="16"/>
    </row>
    <row r="55" spans="2:17" x14ac:dyDescent="0.15">
      <c r="M55" s="15"/>
    </row>
    <row r="56" spans="2:17" x14ac:dyDescent="0.15">
      <c r="H56" s="32"/>
      <c r="M56" s="16"/>
    </row>
    <row r="57" spans="2:17" x14ac:dyDescent="0.15">
      <c r="H57" s="32"/>
    </row>
    <row r="58" spans="2:17" x14ac:dyDescent="0.15">
      <c r="H58" s="32"/>
    </row>
    <row r="59" spans="2:17" x14ac:dyDescent="0.15">
      <c r="H59" s="32"/>
    </row>
    <row r="60" spans="2:17" x14ac:dyDescent="0.15">
      <c r="H60" s="32"/>
    </row>
    <row r="61" spans="2:17" x14ac:dyDescent="0.15">
      <c r="H61" s="32"/>
    </row>
    <row r="62" spans="2:17" x14ac:dyDescent="0.15">
      <c r="H62" s="32"/>
    </row>
    <row r="63" spans="2:17" x14ac:dyDescent="0.15">
      <c r="H63" s="32"/>
    </row>
    <row r="64" spans="2:17" x14ac:dyDescent="0.15">
      <c r="H64" s="32"/>
    </row>
    <row r="65" spans="8:8" x14ac:dyDescent="0.15">
      <c r="H65" s="32"/>
    </row>
    <row r="66" spans="8:8" x14ac:dyDescent="0.15">
      <c r="H66" s="32"/>
    </row>
    <row r="67" spans="8:8" x14ac:dyDescent="0.15">
      <c r="H67" s="32"/>
    </row>
    <row r="68" spans="8:8" x14ac:dyDescent="0.15">
      <c r="H68" s="32"/>
    </row>
    <row r="69" spans="8:8" x14ac:dyDescent="0.15">
      <c r="H69" s="32"/>
    </row>
    <row r="70" spans="8:8" x14ac:dyDescent="0.15">
      <c r="H70" s="32"/>
    </row>
    <row r="71" spans="8:8" x14ac:dyDescent="0.15">
      <c r="H71" s="32"/>
    </row>
    <row r="72" spans="8:8" x14ac:dyDescent="0.15">
      <c r="H72" s="32"/>
    </row>
    <row r="73" spans="8:8" x14ac:dyDescent="0.15">
      <c r="H73" s="32"/>
    </row>
    <row r="74" spans="8:8" x14ac:dyDescent="0.15">
      <c r="H74" s="32"/>
    </row>
    <row r="75" spans="8:8" x14ac:dyDescent="0.15">
      <c r="H75" s="32"/>
    </row>
    <row r="76" spans="8:8" x14ac:dyDescent="0.15">
      <c r="H76" s="32"/>
    </row>
    <row r="77" spans="8:8" x14ac:dyDescent="0.15">
      <c r="H77" s="32"/>
    </row>
    <row r="78" spans="8:8" x14ac:dyDescent="0.15">
      <c r="H78" s="32"/>
    </row>
    <row r="79" spans="8:8" x14ac:dyDescent="0.15">
      <c r="H79" s="32"/>
    </row>
    <row r="80" spans="8:8" x14ac:dyDescent="0.15">
      <c r="H80" s="32"/>
    </row>
    <row r="81" spans="8:8" x14ac:dyDescent="0.15">
      <c r="H81" s="32"/>
    </row>
    <row r="82" spans="8:8" x14ac:dyDescent="0.15">
      <c r="H82" s="32"/>
    </row>
    <row r="83" spans="8:8" x14ac:dyDescent="0.15">
      <c r="H83" s="32"/>
    </row>
    <row r="84" spans="8:8" x14ac:dyDescent="0.15">
      <c r="H84" s="32"/>
    </row>
    <row r="85" spans="8:8" x14ac:dyDescent="0.15">
      <c r="H85" s="32"/>
    </row>
    <row r="86" spans="8:8" x14ac:dyDescent="0.15">
      <c r="H86" s="32"/>
    </row>
    <row r="87" spans="8:8" x14ac:dyDescent="0.15">
      <c r="H87" s="32"/>
    </row>
    <row r="88" spans="8:8" x14ac:dyDescent="0.15">
      <c r="H88" s="31"/>
    </row>
  </sheetData>
  <autoFilter ref="B8:O49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dataValidations count="1">
    <dataValidation imeMode="hiragana" allowBlank="1" showInputMessage="1" showErrorMessage="1" sqref="J45 J25:J26 J29:J30 J47 J40" xr:uid="{ED6D1B45-C572-4DD8-85B9-7DE43D46B484}"/>
  </dataValidations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11"/>
  <sheetViews>
    <sheetView topLeftCell="A7" workbookViewId="0">
      <selection activeCell="A7" sqref="A7:A11"/>
    </sheetView>
  </sheetViews>
  <sheetFormatPr defaultRowHeight="13.5" x14ac:dyDescent="0.15"/>
  <cols>
    <col min="1" max="1" width="68" customWidth="1"/>
  </cols>
  <sheetData>
    <row r="7" spans="1:1" ht="30" customHeight="1" x14ac:dyDescent="0.15">
      <c r="A7" s="76" t="s">
        <v>25</v>
      </c>
    </row>
    <row r="8" spans="1:1" ht="30" customHeight="1" x14ac:dyDescent="0.15">
      <c r="A8" s="77" t="s">
        <v>26</v>
      </c>
    </row>
    <row r="9" spans="1:1" ht="30" customHeight="1" x14ac:dyDescent="0.15">
      <c r="A9" s="77">
        <v>190176</v>
      </c>
    </row>
    <row r="10" spans="1:1" ht="30" customHeight="1" x14ac:dyDescent="0.15">
      <c r="A10" s="78">
        <v>44544</v>
      </c>
    </row>
    <row r="11" spans="1:1" ht="30" customHeight="1" x14ac:dyDescent="0.15">
      <c r="A11" s="9"/>
    </row>
  </sheetData>
  <phoneticPr fontId="2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2021-10-04T02:13:51Z</cp:lastPrinted>
  <dcterms:created xsi:type="dcterms:W3CDTF">2011-12-13T06:48:43Z</dcterms:created>
  <dcterms:modified xsi:type="dcterms:W3CDTF">2021-12-03T00:35:26Z</dcterms:modified>
</cp:coreProperties>
</file>