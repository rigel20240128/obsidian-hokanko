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F3E21AD-C909-4B3A-ADA0-1D315D92BD2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(2連ﾋﾟｯﾁ変更TYPE) (3SET) " sheetId="8" r:id="rId1"/>
    <sheet name="Sheet2" sheetId="5" r:id="rId2"/>
    <sheet name="Sheet3" sheetId="6" r:id="rId3"/>
  </sheets>
  <definedNames>
    <definedName name="_xlnm._FilterDatabase" localSheetId="0">'(2連ﾋﾟｯﾁ変更TYPE) (3SET) '!$B$8:$O$76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82" i="8" l="1"/>
  <c r="H81" i="8"/>
  <c r="H80" i="8"/>
  <c r="E83" i="8"/>
  <c r="B80" i="8"/>
  <c r="B81" i="8"/>
  <c r="H75" i="8" l="1"/>
  <c r="H74" i="8"/>
  <c r="H11" i="8" l="1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66" i="8" l="1"/>
  <c r="H67" i="8"/>
  <c r="H73" i="8" l="1"/>
  <c r="H72" i="8"/>
  <c r="H71" i="8"/>
  <c r="H70" i="8"/>
  <c r="H69" i="8" l="1"/>
  <c r="H68" i="8"/>
  <c r="H64" i="8"/>
  <c r="H65" i="8" l="1"/>
  <c r="E77" i="8" s="1"/>
  <c r="H20" i="8" l="1"/>
  <c r="H53" i="8"/>
  <c r="H52" i="8"/>
  <c r="H54" i="8" l="1"/>
  <c r="H51" i="8"/>
  <c r="H50" i="8"/>
  <c r="H49" i="8"/>
  <c r="H48" i="8"/>
  <c r="H47" i="8"/>
  <c r="H46" i="8"/>
  <c r="H45" i="8"/>
  <c r="H19" i="8"/>
  <c r="B12" i="8" l="1"/>
  <c r="B13" i="8" s="1"/>
  <c r="B14" i="8" s="1"/>
  <c r="B15" i="8" s="1"/>
  <c r="B16" i="8" s="1"/>
  <c r="B17" i="8" s="1"/>
  <c r="B18" i="8" s="1"/>
  <c r="B19" i="8" s="1"/>
  <c r="B20" i="8" s="1"/>
  <c r="B21" i="8" l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45" i="8" s="1"/>
  <c r="B46" i="8" s="1"/>
  <c r="B47" i="8" s="1"/>
  <c r="B48" i="8" l="1"/>
  <c r="H55" i="8"/>
  <c r="H56" i="8"/>
  <c r="H57" i="8"/>
  <c r="H90" i="8"/>
  <c r="H89" i="8"/>
  <c r="H88" i="8"/>
  <c r="H18" i="8"/>
  <c r="H17" i="8"/>
  <c r="H16" i="8"/>
  <c r="H15" i="8"/>
  <c r="H14" i="8"/>
  <c r="H13" i="8"/>
  <c r="H12" i="8"/>
  <c r="J2" i="8" l="1"/>
  <c r="E40" i="8"/>
  <c r="E59" i="8"/>
  <c r="B49" i="8"/>
  <c r="B50" i="8" s="1"/>
  <c r="B51" i="8" s="1"/>
  <c r="B52" i="8" s="1"/>
  <c r="B53" i="8" s="1"/>
  <c r="B54" i="8" s="1"/>
  <c r="B55" i="8" l="1"/>
  <c r="B56" i="8" s="1"/>
  <c r="B57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</calcChain>
</file>

<file path=xl/sharedStrings.xml><?xml version="1.0" encoding="utf-8"?>
<sst xmlns="http://schemas.openxmlformats.org/spreadsheetml/2006/main" count="256" uniqueCount="149">
  <si>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</si>
  <si>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</si>
  <si>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</si>
  <si>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</si>
  <si>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</si>
  <si>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</si>
  <si>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</si>
  <si>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</si>
  <si>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</si>
  <si>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</si>
  <si>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</si>
  <si>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</si>
  <si>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</si>
  <si>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</si>
  <si>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</si>
  <si>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</si>
  <si>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</si>
  <si>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</si>
  <si>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</si>
  <si>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</si>
  <si>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</si>
  <si>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</si>
  <si>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ﾂｰﾙ取りけﾒｲﾝﾌﾞﾗｹｯﾄ</t>
  </si>
  <si>
    <t>左Z軸ﾏｲｸﾛﾌﾞﾗｹｯﾄ</t>
  </si>
  <si>
    <t>Z軸補強樹脂</t>
  </si>
  <si>
    <t>Z軸ﾏｲｸﾛﾌﾞﾗｹｯﾄ</t>
  </si>
  <si>
    <t>変換部品</t>
  </si>
  <si>
    <t>右Z軸ﾏｲｸﾛﾌﾞﾗｹｯﾄ</t>
  </si>
  <si>
    <t>XYZ軸ﾏｲｸﾛ調整ﾌﾞﾗｹｯﾄ</t>
  </si>
  <si>
    <t>XYZ軸ﾏｲｸﾛ調整ﾌﾞﾗｹｯﾄ補強</t>
  </si>
  <si>
    <t>ミスミ</t>
  </si>
  <si>
    <t>MS3-10</t>
  </si>
  <si>
    <t>ﾉｯｸﾋﾟﾝ　φ3-10mm</t>
  </si>
  <si>
    <t>MSC2-10</t>
  </si>
  <si>
    <t>ﾉｯｸﾋﾟﾝ　φ2-10mm</t>
  </si>
  <si>
    <t>リニアボールXＹＺ軸ステージ</t>
  </si>
  <si>
    <t>SCB5-10</t>
  </si>
  <si>
    <t>六角穴付きﾎﾞﾙﾄ　 (M5×10)</t>
  </si>
  <si>
    <t>六角穴付きﾎﾞﾙﾄ　 (M5×12)</t>
  </si>
  <si>
    <t>SCB4-12</t>
  </si>
  <si>
    <t>六角穴付きﾎﾞﾙﾄ　 (M4×12)</t>
  </si>
  <si>
    <t>SCB4-10</t>
  </si>
  <si>
    <t>六角穴付きﾎﾞﾙﾄ　 (M4×10)</t>
  </si>
  <si>
    <t>SCB4-8</t>
  </si>
  <si>
    <t>六角穴付きﾎﾞﾙﾄ　 (M4×8)</t>
  </si>
  <si>
    <t>SCB3-8</t>
  </si>
  <si>
    <t>六角穴付きﾎﾞﾙﾄ　 (M3×8)</t>
  </si>
  <si>
    <t>運送費</t>
  </si>
  <si>
    <t>設計費</t>
  </si>
  <si>
    <t>組立調整費</t>
  </si>
  <si>
    <t>東北ﾏﾃﾘｱﾙ</t>
  </si>
  <si>
    <t>断熱ﾜｯｼｬｰ　耐熱用</t>
  </si>
  <si>
    <t>ﾜｯｼﾔ(1.7mm）</t>
  </si>
  <si>
    <t>CBSTS5-12</t>
  </si>
  <si>
    <t>CBSTS5-20</t>
  </si>
  <si>
    <t>六角穴付きﾎﾞﾙﾄ　 (M5×20)</t>
  </si>
  <si>
    <t>SCB3-12</t>
  </si>
  <si>
    <t>六角穴付きﾎﾞﾙﾄ　 (M3×12)</t>
  </si>
  <si>
    <t>SCB3-6</t>
  </si>
  <si>
    <t>六角穴付きﾎﾞﾙﾄ　 (M3×6)</t>
  </si>
  <si>
    <t>宝化成（福島芝浦電子）様</t>
    <phoneticPr fontId="7"/>
  </si>
  <si>
    <t>ＣＢＳＴＳ5-16</t>
    <phoneticPr fontId="7"/>
  </si>
  <si>
    <t>ＣＢＳＴＳ5-25</t>
    <phoneticPr fontId="7"/>
  </si>
  <si>
    <t>ｺﾞｸﾃｲﾄｳﾎﾞﾙﾄ</t>
    <phoneticPr fontId="7"/>
  </si>
  <si>
    <t>千葉(齋藤）</t>
    <rPh sb="0" eb="2">
      <t>チバ</t>
    </rPh>
    <rPh sb="3" eb="5">
      <t>サイトウ</t>
    </rPh>
    <phoneticPr fontId="7"/>
  </si>
  <si>
    <t>区分NO.</t>
    <rPh sb="0" eb="2">
      <t>クブン</t>
    </rPh>
    <phoneticPr fontId="7"/>
  </si>
  <si>
    <t>BSS73-40C</t>
    <phoneticPr fontId="7"/>
  </si>
  <si>
    <t>リニアボールX軸ステージ</t>
    <phoneticPr fontId="7"/>
  </si>
  <si>
    <t>DJC10-5-10</t>
    <phoneticPr fontId="7"/>
  </si>
  <si>
    <t>DJW10-5-5</t>
    <phoneticPr fontId="7"/>
  </si>
  <si>
    <t>FWSSS-D10-V5.0-T1.7</t>
    <phoneticPr fontId="7"/>
  </si>
  <si>
    <t xml:space="preserve">MSSU3-3 </t>
    <phoneticPr fontId="7"/>
  </si>
  <si>
    <t>六角穴付止めねじ　くぼみ先 M3×3mm</t>
    <phoneticPr fontId="7"/>
  </si>
  <si>
    <t>MSSU4-10</t>
    <phoneticPr fontId="7"/>
  </si>
  <si>
    <t>六角穴付止めねじ　くぼみ先 M4×10mm</t>
    <phoneticPr fontId="7"/>
  </si>
  <si>
    <t>樹脂ローレット付ねじ</t>
    <phoneticPr fontId="7"/>
  </si>
  <si>
    <t xml:space="preserve">CRKB4-12 </t>
    <phoneticPr fontId="7"/>
  </si>
  <si>
    <t>XSG40-CR</t>
    <phoneticPr fontId="7"/>
  </si>
  <si>
    <t>ミスミ</t>
    <phoneticPr fontId="14"/>
  </si>
  <si>
    <t>カートリッジヒータ</t>
    <phoneticPr fontId="14"/>
  </si>
  <si>
    <t>MＦＭＴ5-5</t>
    <phoneticPr fontId="14"/>
  </si>
  <si>
    <t>丸端子稼働部　温度センサー</t>
    <rPh sb="0" eb="1">
      <t>マル</t>
    </rPh>
    <rPh sb="1" eb="3">
      <t>タンシ</t>
    </rPh>
    <rPh sb="3" eb="5">
      <t>カドウ</t>
    </rPh>
    <rPh sb="5" eb="6">
      <t>ブ</t>
    </rPh>
    <rPh sb="7" eb="9">
      <t>オンド</t>
    </rPh>
    <phoneticPr fontId="14"/>
  </si>
  <si>
    <t>MSSFS4-5</t>
    <phoneticPr fontId="14"/>
  </si>
  <si>
    <t>六角穴付止ねじ</t>
    <rPh sb="0" eb="2">
      <t>ロッカク</t>
    </rPh>
    <rPh sb="2" eb="3">
      <t>アナ</t>
    </rPh>
    <rPh sb="3" eb="4">
      <t>ツ</t>
    </rPh>
    <rPh sb="4" eb="5">
      <t>トメ</t>
    </rPh>
    <phoneticPr fontId="14"/>
  </si>
  <si>
    <t>1.25-4</t>
    <phoneticPr fontId="14"/>
  </si>
  <si>
    <t>裸圧着端子（丸型）</t>
    <rPh sb="0" eb="1">
      <t>ハダカ</t>
    </rPh>
    <rPh sb="1" eb="3">
      <t>アッチャク</t>
    </rPh>
    <rPh sb="3" eb="5">
      <t>タンシ</t>
    </rPh>
    <rPh sb="6" eb="8">
      <t>マルガタ</t>
    </rPh>
    <phoneticPr fontId="14"/>
  </si>
  <si>
    <t>MCHYB30</t>
    <phoneticPr fontId="14"/>
  </si>
  <si>
    <t>焼付防止剤</t>
    <rPh sb="0" eb="2">
      <t>ヤキツ</t>
    </rPh>
    <rPh sb="2" eb="4">
      <t>ボウシ</t>
    </rPh>
    <rPh sb="4" eb="5">
      <t>ザイ</t>
    </rPh>
    <phoneticPr fontId="14"/>
  </si>
  <si>
    <t>3VC-2</t>
    <phoneticPr fontId="14"/>
  </si>
  <si>
    <t>電源コード　定格12A</t>
    <rPh sb="0" eb="2">
      <t>デンゲン</t>
    </rPh>
    <rPh sb="6" eb="8">
      <t>テイカク</t>
    </rPh>
    <phoneticPr fontId="14"/>
  </si>
  <si>
    <t>SMTA-10-B-5P</t>
    <phoneticPr fontId="14"/>
  </si>
  <si>
    <t>収縮ﾁｭｰﾌﾞφ10</t>
    <rPh sb="0" eb="2">
      <t>シュウシュク</t>
    </rPh>
    <phoneticPr fontId="14"/>
  </si>
  <si>
    <t xml:space="preserve">ﾂｰﾙ冶具　2連　取付逆　　ﾋﾟｯﾁ変更TYPE </t>
    <rPh sb="3" eb="5">
      <t>ジグ</t>
    </rPh>
    <rPh sb="9" eb="11">
      <t>トリツケ</t>
    </rPh>
    <rPh sb="11" eb="12">
      <t>ギャク</t>
    </rPh>
    <phoneticPr fontId="7"/>
  </si>
  <si>
    <r>
      <t>MCHK</t>
    </r>
    <r>
      <rPr>
        <sz val="10"/>
        <color indexed="8"/>
        <rFont val="ＭＳ Ｐゴシック"/>
        <family val="3"/>
        <charset val="128"/>
      </rPr>
      <t>5</t>
    </r>
    <r>
      <rPr>
        <sz val="10"/>
        <rFont val="ＭＳ Ｐゴシック"/>
        <family val="3"/>
        <charset val="128"/>
      </rPr>
      <t>-40-V1</t>
    </r>
    <r>
      <rPr>
        <sz val="10"/>
        <color indexed="8"/>
        <rFont val="ＭＳ Ｐゴシック"/>
        <family val="3"/>
        <charset val="128"/>
      </rPr>
      <t>0</t>
    </r>
    <r>
      <rPr>
        <sz val="10"/>
        <rFont val="ＭＳ Ｐゴシック"/>
        <family val="3"/>
        <charset val="128"/>
      </rPr>
      <t>0-W</t>
    </r>
    <r>
      <rPr>
        <sz val="10"/>
        <color indexed="8"/>
        <rFont val="ＭＳ Ｐゴシック"/>
        <family val="3"/>
        <charset val="128"/>
      </rPr>
      <t>40</t>
    </r>
    <phoneticPr fontId="14"/>
  </si>
  <si>
    <t>ロボットケーブル ﾋｰﾀｰ用配線</t>
    <rPh sb="13" eb="14">
      <t>ヨウ</t>
    </rPh>
    <rPh sb="14" eb="16">
      <t>ハイセン</t>
    </rPh>
    <phoneticPr fontId="14"/>
  </si>
  <si>
    <t>六角支柱</t>
    <rPh sb="0" eb="2">
      <t>ロッカク</t>
    </rPh>
    <rPh sb="2" eb="4">
      <t>シチュウ</t>
    </rPh>
    <phoneticPr fontId="14"/>
  </si>
  <si>
    <t>SLSBWF7-40</t>
    <phoneticPr fontId="14"/>
  </si>
  <si>
    <t>MTCS</t>
    <phoneticPr fontId="14"/>
  </si>
  <si>
    <t>温度調節コントローラ</t>
    <rPh sb="0" eb="2">
      <t>オンド</t>
    </rPh>
    <rPh sb="2" eb="4">
      <t>チョウセツ</t>
    </rPh>
    <phoneticPr fontId="14"/>
  </si>
  <si>
    <r>
      <t>SV35DAカートリッジヒータブロック　</t>
    </r>
    <r>
      <rPr>
        <b/>
        <sz val="11"/>
        <color rgb="FFFF0000"/>
        <rFont val="ＭＳ Ｐゴシック"/>
        <family val="3"/>
        <charset val="128"/>
      </rPr>
      <t>M4ﾈｼﾞ追加品</t>
    </r>
    <rPh sb="25" eb="27">
      <t>ツイカ</t>
    </rPh>
    <rPh sb="27" eb="28">
      <t>ヒン</t>
    </rPh>
    <phoneticPr fontId="14"/>
  </si>
  <si>
    <t>NA3UCRSB-20-4-4</t>
    <phoneticPr fontId="14"/>
  </si>
  <si>
    <t>161755－Y001</t>
    <phoneticPr fontId="7"/>
  </si>
  <si>
    <t>161755－Y002</t>
  </si>
  <si>
    <t>161755－Y003</t>
  </si>
  <si>
    <t>161755－Y004</t>
  </si>
  <si>
    <t>161755－Y005</t>
  </si>
  <si>
    <t>161755－Y006</t>
  </si>
  <si>
    <t>161755－Y007</t>
  </si>
  <si>
    <t>161755－Y008</t>
  </si>
  <si>
    <t>161755－Y009</t>
  </si>
  <si>
    <t>161755－Y010</t>
  </si>
  <si>
    <t>SMC</t>
    <phoneticPr fontId="14"/>
  </si>
  <si>
    <t>制御機材</t>
    <rPh sb="0" eb="1">
      <t>セイ</t>
    </rPh>
    <rPh sb="1" eb="2">
      <t>オ</t>
    </rPh>
    <rPh sb="2" eb="4">
      <t>キザイ</t>
    </rPh>
    <phoneticPr fontId="14"/>
  </si>
  <si>
    <t xml:space="preserve">IR1010-01BEA-R-A </t>
    <phoneticPr fontId="7"/>
  </si>
  <si>
    <t>1/8継ぎ手　ワンタッチφ6ﾎｰｽ</t>
    <rPh sb="3" eb="4">
      <t>ツ</t>
    </rPh>
    <rPh sb="5" eb="6">
      <t>テ</t>
    </rPh>
    <phoneticPr fontId="7"/>
  </si>
  <si>
    <t xml:space="preserve">AC4-R1/8 </t>
    <phoneticPr fontId="7"/>
  </si>
  <si>
    <t>1/8継ぎ手　ワンタッチφ4ﾎｰｽ　プッシュワンAシリーズ　コネクタ</t>
    <rPh sb="3" eb="4">
      <t>ツ</t>
    </rPh>
    <rPh sb="5" eb="6">
      <t>テ</t>
    </rPh>
    <phoneticPr fontId="7"/>
  </si>
  <si>
    <t>ニッタ</t>
    <phoneticPr fontId="7"/>
  </si>
  <si>
    <t>AC6-R1/8</t>
    <phoneticPr fontId="7"/>
  </si>
  <si>
    <t>PUT6-10-B</t>
    <phoneticPr fontId="14"/>
  </si>
  <si>
    <t>ポリウレタンチューブ</t>
    <phoneticPr fontId="14"/>
  </si>
  <si>
    <t>PUT4-10-C</t>
    <phoneticPr fontId="14"/>
  </si>
  <si>
    <t>φ4ソフトナイロンチューブ</t>
    <phoneticPr fontId="14"/>
  </si>
  <si>
    <t>USYL6</t>
    <phoneticPr fontId="7"/>
  </si>
  <si>
    <t>ワンタッチ継手　Ｙタイプ</t>
    <phoneticPr fontId="7"/>
  </si>
  <si>
    <t>BVHVU6-3</t>
    <phoneticPr fontId="7"/>
  </si>
  <si>
    <t>ハンドバルブ</t>
    <phoneticPr fontId="7"/>
  </si>
  <si>
    <t>3　SET</t>
    <phoneticPr fontId="7"/>
  </si>
  <si>
    <t xml:space="preserve">STNTR10-1.0-4 </t>
    <phoneticPr fontId="7"/>
  </si>
  <si>
    <t xml:space="preserve">SPWF10 </t>
    <phoneticPr fontId="7"/>
  </si>
  <si>
    <t>M10×1　ナット</t>
    <phoneticPr fontId="7"/>
  </si>
  <si>
    <t>平座金－単品販売－　</t>
    <phoneticPr fontId="7"/>
  </si>
  <si>
    <t>167149-Z001</t>
    <phoneticPr fontId="7"/>
  </si>
  <si>
    <t xml:space="preserve"> 精密レギュレーター取付板金　JR2303N用　左側</t>
    <phoneticPr fontId="7"/>
  </si>
  <si>
    <t>2ﾍｯﾄﾞ冶具(3軸ﾏｲｸﾛ調整付き)</t>
    <phoneticPr fontId="7"/>
  </si>
  <si>
    <t>ﾋｰﾀｰ1台追加</t>
    <phoneticPr fontId="7"/>
  </si>
  <si>
    <t>ｼﾘﾝｼﾞ加圧ﾚｷﾞｭﾚｰﾀ</t>
    <phoneticPr fontId="7"/>
  </si>
  <si>
    <t>精密レギュレータ※流れ方向右→左  0.4Mpa</t>
    <rPh sb="0" eb="2">
      <t>セイミツ</t>
    </rPh>
    <rPh sb="9" eb="10">
      <t>ナガ</t>
    </rPh>
    <rPh sb="11" eb="13">
      <t>ホウコウ</t>
    </rPh>
    <rPh sb="13" eb="14">
      <t>ミギ</t>
    </rPh>
    <rPh sb="15" eb="16">
      <t>ヒダリ</t>
    </rPh>
    <phoneticPr fontId="14"/>
  </si>
  <si>
    <t>SV35DA温調ノズルガイド（ＳＨ２２ＴＴ－Ｂ）</t>
    <phoneticPr fontId="14"/>
  </si>
  <si>
    <t xml:space="preserve">USRDS4-6 </t>
    <phoneticPr fontId="7"/>
  </si>
  <si>
    <t>ワンタッチ継手　レデューサ</t>
    <phoneticPr fontId="7"/>
  </si>
  <si>
    <t xml:space="preserve">UJDST4-B </t>
    <phoneticPr fontId="7"/>
  </si>
  <si>
    <t>ワンタッチ継手　異径ユニオンストレート</t>
    <phoneticPr fontId="7"/>
  </si>
  <si>
    <t>I/Oｹｰﾌﾞﾙ</t>
    <phoneticPr fontId="14"/>
  </si>
  <si>
    <t>DB-9SP</t>
    <phoneticPr fontId="7"/>
  </si>
  <si>
    <t>DE-C8-J9-F21R</t>
    <phoneticPr fontId="7"/>
  </si>
  <si>
    <t>EMI対策型DSUBｺﾈｸﾀ用ﾌｰﾄﾞ</t>
    <phoneticPr fontId="7"/>
  </si>
  <si>
    <t>DSUBｺﾈｸﾀ・9芯・ｵｽ</t>
    <phoneticPr fontId="7"/>
  </si>
  <si>
    <t>2019/5/20仙台着</t>
    <rPh sb="9" eb="11">
      <t>センダイ</t>
    </rPh>
    <rPh sb="11" eb="12">
      <t>ツ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</si>
</sst>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yyyy/mm/dd"/>
    <numFmt numFmtId="182" formatCode="0_ "/>
  </numFmts>
  <fonts count="29" x14ac:knownFonts="1">
    <font>
      <sz val="11"/>
      <color theme="1"/>
      <name val="ＭＳ Ｐゴシック"/>
      <scheme val="minor"/>
    </font>
    <font>
      <sz val="11"/>
      <color rgb="FF000000"/>
      <name val="ＭＳ Ｐゴシック"/>
      <family val="3"/>
      <charset val="128"/>
    </font>
    <font>
      <b/>
      <sz val="9.9499999999999993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.9499999999999993"/>
      <color rgb="FFFF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.9499999999999993"/>
      <color rgb="FF0070C0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6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4"/>
      <color rgb="FF00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223">
    <xf numFmtId="0" fontId="0" fillId="0" borderId="0" xfId="0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shrinkToFit="1"/>
    </xf>
    <xf numFmtId="179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/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2" xfId="0" applyNumberFormat="1" applyBorder="1">
      <alignment vertical="center"/>
    </xf>
    <xf numFmtId="0" fontId="3" fillId="0" borderId="4" xfId="0" applyFont="1" applyBorder="1" applyAlignment="1">
      <alignment vertical="center" shrinkToFit="1"/>
    </xf>
    <xf numFmtId="0" fontId="8" fillId="0" borderId="5" xfId="0" applyFont="1" applyBorder="1" applyAlignment="1">
      <alignment horizontal="left" vertical="center"/>
    </xf>
    <xf numFmtId="176" fontId="10" fillId="4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>
      <alignment vertical="center"/>
    </xf>
    <xf numFmtId="0" fontId="0" fillId="6" borderId="5" xfId="0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left" vertical="center" shrinkToFit="1"/>
    </xf>
    <xf numFmtId="176" fontId="0" fillId="0" borderId="5" xfId="0" applyNumberForma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76" fontId="15" fillId="4" borderId="5" xfId="0" applyNumberFormat="1" applyFont="1" applyFill="1" applyBorder="1" applyAlignment="1">
      <alignment horizontal="center" vertical="center"/>
    </xf>
    <xf numFmtId="176" fontId="15" fillId="4" borderId="5" xfId="0" applyNumberFormat="1" applyFont="1" applyFill="1" applyBorder="1" applyAlignment="1"/>
    <xf numFmtId="0" fontId="12" fillId="4" borderId="5" xfId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1" xfId="0" applyFill="1" applyBorder="1" applyAlignment="1">
      <alignment horizontal="left" vertical="center" shrinkToFit="1"/>
    </xf>
    <xf numFmtId="176" fontId="0" fillId="4" borderId="1" xfId="0" applyNumberFormat="1" applyFill="1" applyBorder="1" applyAlignment="1"/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/>
    <xf numFmtId="176" fontId="21" fillId="4" borderId="1" xfId="0" applyNumberFormat="1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2" fillId="4" borderId="5" xfId="1" applyFont="1" applyFill="1" applyBorder="1" applyAlignment="1">
      <alignment horizontal="center" vertical="center"/>
    </xf>
    <xf numFmtId="0" fontId="20" fillId="7" borderId="5" xfId="0" applyFont="1" applyFill="1" applyBorder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>
      <alignment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6" fontId="0" fillId="0" borderId="5" xfId="0" applyNumberFormat="1" applyBorder="1">
      <alignment vertical="center"/>
    </xf>
    <xf numFmtId="176" fontId="0" fillId="0" borderId="5" xfId="0" applyNumberFormat="1" applyBorder="1" applyAlignment="1">
      <alignment horizontal="right" vertical="center"/>
    </xf>
    <xf numFmtId="0" fontId="0" fillId="0" borderId="7" xfId="0" applyBorder="1">
      <alignment vertical="center"/>
    </xf>
    <xf numFmtId="3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176" fontId="16" fillId="0" borderId="5" xfId="0" applyNumberFormat="1" applyFont="1" applyBorder="1">
      <alignment vertical="center"/>
    </xf>
    <xf numFmtId="176" fontId="23" fillId="0" borderId="5" xfId="0" applyNumberFormat="1" applyFont="1" applyBorder="1">
      <alignment vertical="center"/>
    </xf>
    <xf numFmtId="176" fontId="16" fillId="0" borderId="7" xfId="0" applyNumberFormat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3" fontId="25" fillId="0" borderId="5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 shrinkToFit="1"/>
    </xf>
    <xf numFmtId="0" fontId="12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176" fontId="16" fillId="0" borderId="0" xfId="0" applyNumberFormat="1" applyFont="1" applyFill="1">
      <alignment vertical="center"/>
    </xf>
    <xf numFmtId="49" fontId="13" fillId="0" borderId="5" xfId="1" applyNumberFormat="1" applyFont="1" applyFill="1" applyBorder="1" applyAlignment="1">
      <alignment horizontal="left"/>
    </xf>
    <xf numFmtId="0" fontId="13" fillId="0" borderId="5" xfId="1" applyFont="1" applyFill="1" applyBorder="1" applyAlignment="1">
      <alignment vertical="center"/>
    </xf>
    <xf numFmtId="0" fontId="13" fillId="0" borderId="5" xfId="1" applyFont="1" applyFill="1" applyBorder="1" applyAlignment="1">
      <alignment horizontal="center" vertical="center"/>
    </xf>
    <xf numFmtId="0" fontId="13" fillId="0" borderId="5" xfId="1" applyFont="1" applyFill="1" applyBorder="1" applyAlignment="1">
      <alignment horizontal="left" vertical="center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38" fontId="0" fillId="0" borderId="5" xfId="0" applyNumberFormat="1" applyFill="1" applyBorder="1">
      <alignment vertical="center"/>
    </xf>
    <xf numFmtId="0" fontId="0" fillId="0" borderId="7" xfId="0" applyFill="1" applyBorder="1" applyAlignment="1">
      <alignment horizontal="center" vertical="center"/>
    </xf>
    <xf numFmtId="0" fontId="16" fillId="0" borderId="5" xfId="0" applyFont="1" applyFill="1" applyBorder="1">
      <alignment vertical="center"/>
    </xf>
    <xf numFmtId="0" fontId="3" fillId="0" borderId="4" xfId="0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 shrinkToFit="1"/>
    </xf>
    <xf numFmtId="176" fontId="15" fillId="0" borderId="5" xfId="0" applyNumberFormat="1" applyFont="1" applyFill="1" applyBorder="1" applyAlignment="1">
      <alignment horizontal="center" vertical="center"/>
    </xf>
    <xf numFmtId="0" fontId="22" fillId="0" borderId="5" xfId="1" applyFont="1" applyFill="1" applyBorder="1" applyAlignment="1">
      <alignment horizontal="center" vertical="center"/>
    </xf>
    <xf numFmtId="176" fontId="15" fillId="0" borderId="5" xfId="0" applyNumberFormat="1" applyFont="1" applyFill="1" applyBorder="1" applyAlignment="1"/>
    <xf numFmtId="0" fontId="12" fillId="0" borderId="5" xfId="1" applyFill="1" applyBorder="1" applyAlignment="1">
      <alignment horizontal="left"/>
    </xf>
    <xf numFmtId="0" fontId="3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0" fontId="8" fillId="0" borderId="9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>
      <alignment vertical="center"/>
    </xf>
    <xf numFmtId="0" fontId="8" fillId="0" borderId="5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0" fontId="8" fillId="0" borderId="1" xfId="0" applyFont="1" applyFill="1" applyBorder="1" applyAlignment="1">
      <alignment horizontal="left" vertical="center"/>
    </xf>
    <xf numFmtId="3" fontId="0" fillId="0" borderId="6" xfId="0" applyNumberFormat="1" applyFill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center" vertical="center"/>
    </xf>
    <xf numFmtId="176" fontId="0" fillId="0" borderId="6" xfId="0" applyNumberFormat="1" applyFill="1" applyBorder="1">
      <alignment vertical="center"/>
    </xf>
    <xf numFmtId="0" fontId="8" fillId="0" borderId="6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76" fontId="10" fillId="4" borderId="1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176" fontId="15" fillId="0" borderId="9" xfId="0" applyNumberFormat="1" applyFont="1" applyFill="1" applyBorder="1" applyAlignment="1">
      <alignment horizontal="center" vertical="center"/>
    </xf>
    <xf numFmtId="0" fontId="22" fillId="0" borderId="9" xfId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left" vertical="center" shrinkToFit="1"/>
    </xf>
    <xf numFmtId="3" fontId="15" fillId="0" borderId="5" xfId="0" applyNumberFormat="1" applyFont="1" applyFill="1" applyBorder="1" applyAlignment="1">
      <alignment horizontal="center" vertical="center"/>
    </xf>
    <xf numFmtId="0" fontId="13" fillId="0" borderId="5" xfId="1" applyFont="1" applyFill="1" applyBorder="1" applyAlignment="1">
      <alignment horizontal="left"/>
    </xf>
    <xf numFmtId="0" fontId="17" fillId="0" borderId="5" xfId="1" applyFont="1" applyFill="1" applyBorder="1" applyAlignment="1">
      <alignment horizontal="left"/>
    </xf>
    <xf numFmtId="0" fontId="12" fillId="0" borderId="5" xfId="1" applyFill="1" applyBorder="1" applyAlignment="1">
      <alignment horizontal="center" vertical="center"/>
    </xf>
    <xf numFmtId="176" fontId="0" fillId="0" borderId="5" xfId="0" applyNumberFormat="1" applyFill="1" applyBorder="1" applyAlignment="1"/>
    <xf numFmtId="49" fontId="8" fillId="0" borderId="5" xfId="0" applyNumberFormat="1" applyFont="1" applyFill="1" applyBorder="1" applyAlignment="1">
      <alignment horizontal="left" vertical="center"/>
    </xf>
    <xf numFmtId="3" fontId="16" fillId="0" borderId="5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176" fontId="16" fillId="0" borderId="5" xfId="0" applyNumberFormat="1" applyFont="1" applyFill="1" applyBorder="1">
      <alignment vertical="center"/>
    </xf>
    <xf numFmtId="176" fontId="16" fillId="0" borderId="7" xfId="0" applyNumberFormat="1" applyFont="1" applyFill="1" applyBorder="1">
      <alignment vertical="center"/>
    </xf>
    <xf numFmtId="0" fontId="15" fillId="0" borderId="5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 shrinkToFit="1"/>
    </xf>
    <xf numFmtId="0" fontId="0" fillId="0" borderId="5" xfId="0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176" fontId="0" fillId="0" borderId="1" xfId="0" applyNumberFormat="1" applyFill="1" applyBorder="1" applyAlignment="1"/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right" vertical="center"/>
    </xf>
    <xf numFmtId="0" fontId="0" fillId="0" borderId="1" xfId="0" applyFill="1" applyBorder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0" fillId="0" borderId="16" xfId="0" applyNumberFormat="1" applyBorder="1">
      <alignment vertical="center"/>
    </xf>
    <xf numFmtId="0" fontId="8" fillId="0" borderId="8" xfId="0" applyFont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27" fillId="7" borderId="4" xfId="0" applyFont="1" applyFill="1" applyBorder="1">
      <alignment vertical="center"/>
    </xf>
    <xf numFmtId="3" fontId="0" fillId="7" borderId="5" xfId="0" applyNumberFormat="1" applyFill="1" applyBorder="1" applyAlignment="1">
      <alignment horizontal="center" vertical="center"/>
    </xf>
    <xf numFmtId="182" fontId="25" fillId="7" borderId="5" xfId="0" applyNumberFormat="1" applyFont="1" applyFill="1" applyBorder="1" applyAlignment="1">
      <alignment horizontal="right" vertical="center"/>
    </xf>
    <xf numFmtId="0" fontId="0" fillId="7" borderId="5" xfId="0" applyFill="1" applyBorder="1" applyAlignment="1">
      <alignment horizontal="right" vertical="center"/>
    </xf>
    <xf numFmtId="176" fontId="0" fillId="0" borderId="5" xfId="0" applyNumberFormat="1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25" fillId="7" borderId="5" xfId="0" applyFont="1" applyFill="1" applyBorder="1" applyAlignment="1">
      <alignment vertical="center"/>
    </xf>
    <xf numFmtId="49" fontId="0" fillId="0" borderId="5" xfId="0" applyNumberFormat="1" applyFill="1" applyBorder="1" applyAlignment="1">
      <alignment vertical="center" shrinkToFit="1"/>
    </xf>
    <xf numFmtId="176" fontId="28" fillId="1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right" vertical="center"/>
    </xf>
    <xf numFmtId="0" fontId="25" fillId="0" borderId="5" xfId="0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horizontal="right" vertical="center"/>
    </xf>
    <xf numFmtId="3" fontId="21" fillId="0" borderId="18" xfId="0" applyNumberFormat="1" applyFont="1" applyFill="1" applyBorder="1" applyAlignment="1">
      <alignment horizontal="left" vertical="center"/>
    </xf>
    <xf numFmtId="182" fontId="25" fillId="4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8" fillId="9" borderId="7" xfId="0" applyNumberFormat="1" applyFont="1" applyFill="1" applyBorder="1" applyAlignment="1">
      <alignment horizontal="center" vertical="center"/>
    </xf>
    <xf numFmtId="3" fontId="28" fillId="9" borderId="17" xfId="0" applyNumberFormat="1" applyFont="1" applyFill="1" applyBorder="1" applyAlignment="1">
      <alignment horizontal="center" vertical="center"/>
    </xf>
    <xf numFmtId="3" fontId="28" fillId="9" borderId="18" xfId="0" applyNumberFormat="1" applyFont="1" applyFill="1" applyBorder="1" applyAlignment="1">
      <alignment horizontal="center" vertical="center"/>
    </xf>
    <xf numFmtId="3" fontId="26" fillId="8" borderId="2" xfId="0" applyNumberFormat="1" applyFont="1" applyFill="1" applyBorder="1" applyAlignment="1">
      <alignment horizontal="center" vertical="center"/>
    </xf>
    <xf numFmtId="3" fontId="26" fillId="8" borderId="3" xfId="0" applyNumberFormat="1" applyFont="1" applyFill="1" applyBorder="1" applyAlignment="1">
      <alignment horizontal="center" vertical="center"/>
    </xf>
    <xf numFmtId="3" fontId="26" fillId="8" borderId="4" xfId="0" applyNumberFormat="1" applyFont="1" applyFill="1" applyBorder="1" applyAlignment="1">
      <alignment horizontal="center" vertical="center"/>
    </xf>
    <xf numFmtId="3" fontId="26" fillId="8" borderId="11" xfId="0" applyNumberFormat="1" applyFont="1" applyFill="1" applyBorder="1" applyAlignment="1">
      <alignment horizontal="center" vertical="center"/>
    </xf>
    <xf numFmtId="3" fontId="26" fillId="8" borderId="15" xfId="0" applyNumberFormat="1" applyFont="1" applyFill="1" applyBorder="1" applyAlignment="1">
      <alignment horizontal="center" vertical="center"/>
    </xf>
    <xf numFmtId="3" fontId="26" fillId="8" borderId="14" xfId="0" applyNumberFormat="1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AF933BDC-AAC5-462D-B128-98C0DB94DADA}"/>
  </cellStyles>
  <dxfs count="0"/>
  <tableStyles count="0" defaultTableStyle="TableStyleMedium9" defaultPivotStyle="PivotStyleMedium9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R114"/>
  <sheetViews>
    <sheetView tabSelected="1" zoomScale="85" zoomScaleNormal="85" workbookViewId="0">
      <pane xSplit="10" ySplit="8" topLeftCell="M72" activePane="bottomRight" state="frozen"/>
      <selection activeCell="J28" sqref="J28"/>
      <selection pane="topRight" activeCell="J28" sqref="J28"/>
      <selection pane="bottomLeft" activeCell="J28" sqref="J28"/>
      <selection pane="bottomRight" activeCell="R83" sqref="R83"/>
    </sheetView>
  </sheetViews>
  <sheetFormatPr defaultColWidth="10.5" defaultRowHeight="13.5" customHeight="1" x14ac:dyDescent="0.15"/>
  <cols>
    <col min="1" max="1" width="9.5" customWidth="1"/>
    <col min="2" max="2" width="7.875" style="43" customWidth="1"/>
    <col min="3" max="3" width="13.125" customWidth="1"/>
    <col min="4" max="4" width="13.25" customWidth="1"/>
    <col min="5" max="5" width="42.125" customWidth="1"/>
    <col min="6" max="6" width="6.625" style="43" customWidth="1"/>
    <col min="7" max="7" width="9.25" style="43" customWidth="1"/>
    <col min="8" max="8" width="10.25" style="43" customWidth="1"/>
    <col min="9" max="9" width="6.375" style="14" customWidth="1"/>
    <col min="10" max="10" width="45.625" customWidth="1"/>
    <col min="11" max="11" width="19.875" customWidth="1"/>
    <col min="12" max="12" width="7.375" style="43" customWidth="1"/>
    <col min="13" max="13" width="15.25" style="43" customWidth="1"/>
    <col min="14" max="14" width="7.125" customWidth="1"/>
    <col min="15" max="15" width="14.75" style="14" customWidth="1"/>
    <col min="16" max="16" width="25.625" style="20" customWidth="1"/>
    <col min="17" max="17" width="17.375" style="20" customWidth="1"/>
  </cols>
  <sheetData>
    <row r="2" spans="1:18" ht="20.100000000000001" customHeight="1" x14ac:dyDescent="0.15">
      <c r="B2" s="207" t="s">
        <v>0</v>
      </c>
      <c r="C2" s="207"/>
      <c r="D2" s="207"/>
      <c r="E2" s="46" t="s">
        <v>60</v>
      </c>
      <c r="F2" s="32"/>
      <c r="G2" s="208" t="s">
        <v>1</v>
      </c>
      <c r="H2" s="209"/>
      <c r="I2" s="210"/>
      <c r="J2" s="62">
        <f>SUM(H:H)</f>
        <v>855019</v>
      </c>
      <c r="K2" s="21"/>
      <c r="L2" s="32"/>
      <c r="M2" s="32"/>
      <c r="N2" s="21"/>
      <c r="O2" s="22"/>
      <c r="P2" s="29"/>
      <c r="Q2" s="29"/>
      <c r="R2" s="21"/>
    </row>
    <row r="3" spans="1:18" ht="20.100000000000001" customHeight="1" x14ac:dyDescent="0.15">
      <c r="B3" s="207" t="s">
        <v>2</v>
      </c>
      <c r="C3" s="207"/>
      <c r="D3" s="207"/>
      <c r="E3" s="46" t="s">
        <v>64</v>
      </c>
      <c r="F3" s="32"/>
      <c r="G3" s="32"/>
      <c r="H3" s="32"/>
      <c r="I3" s="22"/>
      <c r="J3" s="21"/>
      <c r="K3" s="21"/>
      <c r="L3" s="32"/>
      <c r="M3" s="32"/>
      <c r="N3" s="21"/>
      <c r="O3" s="22"/>
      <c r="P3" s="29"/>
      <c r="Q3" s="29"/>
      <c r="R3" s="21"/>
    </row>
    <row r="4" spans="1:18" ht="20.100000000000001" customHeight="1" x14ac:dyDescent="0.15">
      <c r="B4" s="207" t="s">
        <v>3</v>
      </c>
      <c r="C4" s="207"/>
      <c r="D4" s="207"/>
      <c r="E4" s="46">
        <v>167149</v>
      </c>
      <c r="F4" s="32"/>
      <c r="G4" s="32"/>
      <c r="H4" s="32"/>
      <c r="I4" s="22"/>
      <c r="J4" s="221" t="s">
        <v>92</v>
      </c>
      <c r="K4" s="220" t="s">
        <v>127</v>
      </c>
      <c r="L4" s="32"/>
      <c r="M4" s="32"/>
      <c r="N4" s="21"/>
      <c r="O4" s="22"/>
      <c r="P4" s="29"/>
      <c r="Q4" s="29"/>
      <c r="R4" s="21"/>
    </row>
    <row r="5" spans="1:18" ht="20.100000000000001" customHeight="1" x14ac:dyDescent="0.15">
      <c r="B5" s="207" t="s">
        <v>4</v>
      </c>
      <c r="C5" s="207"/>
      <c r="D5" s="207"/>
      <c r="E5" s="47">
        <v>43594</v>
      </c>
      <c r="F5" s="32"/>
      <c r="G5" s="32"/>
      <c r="H5" s="32"/>
      <c r="I5" s="35"/>
      <c r="J5" s="222"/>
      <c r="K5" s="220"/>
      <c r="L5" s="32"/>
      <c r="M5" s="32"/>
      <c r="N5" s="21"/>
      <c r="O5" s="22"/>
      <c r="P5" s="29"/>
      <c r="Q5" s="29"/>
      <c r="R5" s="21"/>
    </row>
    <row r="6" spans="1:18" ht="20.100000000000001" customHeight="1" x14ac:dyDescent="0.15">
      <c r="B6" s="207" t="s">
        <v>5</v>
      </c>
      <c r="C6" s="207"/>
      <c r="D6" s="207"/>
      <c r="E6" s="47">
        <v>43595</v>
      </c>
      <c r="F6" s="32"/>
      <c r="G6" s="32"/>
      <c r="H6" s="191"/>
      <c r="I6" s="191"/>
      <c r="J6" s="192"/>
      <c r="K6" s="21"/>
      <c r="L6" s="32"/>
      <c r="M6" s="32"/>
      <c r="N6" s="21"/>
      <c r="O6" s="22"/>
      <c r="P6" s="29"/>
      <c r="Q6" s="29"/>
      <c r="R6" s="21"/>
    </row>
    <row r="7" spans="1:18" ht="13.5" customHeight="1" x14ac:dyDescent="0.15">
      <c r="B7" s="32"/>
      <c r="C7" s="21"/>
      <c r="D7" s="21"/>
      <c r="E7" s="21"/>
      <c r="F7" s="32"/>
      <c r="G7" s="32"/>
      <c r="H7" s="32"/>
      <c r="I7" s="22"/>
      <c r="J7" s="21"/>
      <c r="K7" s="21"/>
      <c r="L7" s="32"/>
      <c r="M7" s="32"/>
      <c r="N7" s="21"/>
      <c r="O7" s="22"/>
      <c r="P7" s="29"/>
      <c r="Q7" s="29"/>
      <c r="R7" s="21"/>
    </row>
    <row r="8" spans="1:18" s="43" customFormat="1" ht="19.5" customHeight="1" x14ac:dyDescent="0.15">
      <c r="A8" s="52" t="s">
        <v>65</v>
      </c>
      <c r="B8" s="51" t="s">
        <v>6</v>
      </c>
      <c r="C8" s="23" t="s">
        <v>7</v>
      </c>
      <c r="D8" s="23" t="s">
        <v>8</v>
      </c>
      <c r="E8" s="28" t="s">
        <v>9</v>
      </c>
      <c r="F8" s="28" t="s">
        <v>10</v>
      </c>
      <c r="G8" s="28" t="s">
        <v>11</v>
      </c>
      <c r="H8" s="24" t="s">
        <v>12</v>
      </c>
      <c r="I8" s="24" t="s">
        <v>13</v>
      </c>
      <c r="J8" s="28" t="s">
        <v>14</v>
      </c>
      <c r="K8" s="28" t="s">
        <v>15</v>
      </c>
      <c r="L8" s="28" t="s">
        <v>16</v>
      </c>
      <c r="M8" s="23" t="s">
        <v>17</v>
      </c>
      <c r="N8" s="23" t="s">
        <v>18</v>
      </c>
      <c r="O8" s="28" t="s">
        <v>19</v>
      </c>
      <c r="P8" s="30" t="s">
        <v>20</v>
      </c>
      <c r="Q8" s="31" t="s">
        <v>21</v>
      </c>
      <c r="R8" s="32"/>
    </row>
    <row r="9" spans="1:18" s="43" customFormat="1" ht="19.5" customHeight="1" x14ac:dyDescent="0.15">
      <c r="A9" s="52"/>
      <c r="B9" s="51"/>
      <c r="C9" s="214" t="s">
        <v>134</v>
      </c>
      <c r="D9" s="215"/>
      <c r="E9" s="216"/>
      <c r="F9" s="28"/>
      <c r="G9" s="28"/>
      <c r="H9" s="24"/>
      <c r="I9" s="24"/>
      <c r="J9" s="28"/>
      <c r="K9" s="28"/>
      <c r="L9" s="28"/>
      <c r="M9" s="23"/>
      <c r="N9" s="23"/>
      <c r="O9" s="28"/>
      <c r="P9" s="30"/>
      <c r="Q9" s="31"/>
      <c r="R9" s="32"/>
    </row>
    <row r="10" spans="1:18" s="43" customFormat="1" ht="19.5" customHeight="1" x14ac:dyDescent="0.15">
      <c r="A10" s="52"/>
      <c r="B10" s="51"/>
      <c r="C10" s="23"/>
      <c r="D10" s="23"/>
      <c r="E10" s="28"/>
      <c r="F10" s="28"/>
      <c r="G10" s="28"/>
      <c r="H10" s="24"/>
      <c r="I10" s="24"/>
      <c r="J10" s="28"/>
      <c r="K10" s="28"/>
      <c r="L10" s="28"/>
      <c r="M10" s="23"/>
      <c r="N10" s="23"/>
      <c r="O10" s="28"/>
      <c r="P10" s="30"/>
      <c r="Q10" s="31"/>
      <c r="R10" s="32"/>
    </row>
    <row r="11" spans="1:18" s="43" customFormat="1" ht="18" customHeight="1" x14ac:dyDescent="0.15">
      <c r="A11" s="54">
        <v>2</v>
      </c>
      <c r="B11" s="53">
        <v>1</v>
      </c>
      <c r="C11" s="70" t="s">
        <v>50</v>
      </c>
      <c r="D11" s="70" t="s">
        <v>50</v>
      </c>
      <c r="E11" s="66" t="s">
        <v>101</v>
      </c>
      <c r="F11" s="74">
        <v>3</v>
      </c>
      <c r="G11" s="81">
        <v>21000</v>
      </c>
      <c r="H11" s="69">
        <f t="shared" ref="H11:H57" si="0">F11*G11</f>
        <v>63000</v>
      </c>
      <c r="I11" s="75"/>
      <c r="J11" s="76" t="s">
        <v>22</v>
      </c>
      <c r="K11" s="26"/>
      <c r="L11" s="33"/>
      <c r="M11" s="30">
        <v>43567</v>
      </c>
      <c r="N11" s="31"/>
      <c r="O11" s="30">
        <v>43594</v>
      </c>
      <c r="P11" s="30">
        <v>43593</v>
      </c>
      <c r="Q11" s="36">
        <v>43594</v>
      </c>
      <c r="R11" s="35"/>
    </row>
    <row r="12" spans="1:18" s="43" customFormat="1" ht="18" customHeight="1" x14ac:dyDescent="0.15">
      <c r="A12" s="54">
        <v>2</v>
      </c>
      <c r="B12" s="53">
        <f>+B11+1</f>
        <v>2</v>
      </c>
      <c r="C12" s="70" t="s">
        <v>50</v>
      </c>
      <c r="D12" s="70" t="s">
        <v>50</v>
      </c>
      <c r="E12" s="66" t="s">
        <v>102</v>
      </c>
      <c r="F12" s="74">
        <v>3</v>
      </c>
      <c r="G12" s="81">
        <v>6000</v>
      </c>
      <c r="H12" s="69">
        <f t="shared" si="0"/>
        <v>18000</v>
      </c>
      <c r="I12" s="77"/>
      <c r="J12" s="78" t="s">
        <v>23</v>
      </c>
      <c r="K12" s="26"/>
      <c r="L12" s="33"/>
      <c r="M12" s="30">
        <v>43567</v>
      </c>
      <c r="N12" s="31"/>
      <c r="O12" s="30">
        <v>43594</v>
      </c>
      <c r="P12" s="30">
        <v>43593</v>
      </c>
      <c r="Q12" s="36">
        <v>43594</v>
      </c>
      <c r="R12" s="35"/>
    </row>
    <row r="13" spans="1:18" s="43" customFormat="1" ht="18" customHeight="1" x14ac:dyDescent="0.15">
      <c r="A13" s="54">
        <v>2</v>
      </c>
      <c r="B13" s="53">
        <f t="shared" ref="B13:B57" si="1">+B12+1</f>
        <v>3</v>
      </c>
      <c r="C13" s="70" t="s">
        <v>50</v>
      </c>
      <c r="D13" s="70" t="s">
        <v>50</v>
      </c>
      <c r="E13" s="66" t="s">
        <v>103</v>
      </c>
      <c r="F13" s="74">
        <v>3</v>
      </c>
      <c r="G13" s="82">
        <v>2800</v>
      </c>
      <c r="H13" s="69">
        <f t="shared" si="0"/>
        <v>8400</v>
      </c>
      <c r="I13" s="77"/>
      <c r="J13" s="79" t="s">
        <v>24</v>
      </c>
      <c r="K13" s="26"/>
      <c r="L13" s="33"/>
      <c r="M13" s="30">
        <v>43567</v>
      </c>
      <c r="N13" s="31"/>
      <c r="O13" s="30">
        <v>43594</v>
      </c>
      <c r="P13" s="30">
        <v>43593</v>
      </c>
      <c r="Q13" s="36">
        <v>43594</v>
      </c>
      <c r="R13" s="35"/>
    </row>
    <row r="14" spans="1:18" s="43" customFormat="1" ht="18" customHeight="1" x14ac:dyDescent="0.15">
      <c r="A14" s="54">
        <v>2</v>
      </c>
      <c r="B14" s="53">
        <f t="shared" si="1"/>
        <v>4</v>
      </c>
      <c r="C14" s="70" t="s">
        <v>50</v>
      </c>
      <c r="D14" s="70" t="s">
        <v>50</v>
      </c>
      <c r="E14" s="66" t="s">
        <v>104</v>
      </c>
      <c r="F14" s="74">
        <v>3</v>
      </c>
      <c r="G14" s="83">
        <v>7000</v>
      </c>
      <c r="H14" s="69">
        <f t="shared" si="0"/>
        <v>21000</v>
      </c>
      <c r="I14" s="80"/>
      <c r="J14" s="78" t="s">
        <v>27</v>
      </c>
      <c r="K14" s="26"/>
      <c r="L14" s="33"/>
      <c r="M14" s="30">
        <v>43567</v>
      </c>
      <c r="N14" s="31"/>
      <c r="O14" s="30">
        <v>43594</v>
      </c>
      <c r="P14" s="30">
        <v>43593</v>
      </c>
      <c r="Q14" s="36">
        <v>43594</v>
      </c>
      <c r="R14" s="35"/>
    </row>
    <row r="15" spans="1:18" s="43" customFormat="1" ht="18" customHeight="1" x14ac:dyDescent="0.15">
      <c r="A15" s="54">
        <v>2</v>
      </c>
      <c r="B15" s="53">
        <f t="shared" si="1"/>
        <v>5</v>
      </c>
      <c r="C15" s="70" t="s">
        <v>50</v>
      </c>
      <c r="D15" s="70" t="s">
        <v>50</v>
      </c>
      <c r="E15" s="66" t="s">
        <v>105</v>
      </c>
      <c r="F15" s="74">
        <v>3</v>
      </c>
      <c r="G15" s="83">
        <v>8500</v>
      </c>
      <c r="H15" s="69">
        <f t="shared" si="0"/>
        <v>25500</v>
      </c>
      <c r="I15" s="80"/>
      <c r="J15" s="76" t="s">
        <v>26</v>
      </c>
      <c r="K15" s="26"/>
      <c r="L15" s="33"/>
      <c r="M15" s="30">
        <v>43567</v>
      </c>
      <c r="N15" s="31"/>
      <c r="O15" s="30">
        <v>43594</v>
      </c>
      <c r="P15" s="30">
        <v>43593</v>
      </c>
      <c r="Q15" s="36">
        <v>43594</v>
      </c>
      <c r="R15" s="35"/>
    </row>
    <row r="16" spans="1:18" s="43" customFormat="1" ht="18" customHeight="1" x14ac:dyDescent="0.15">
      <c r="A16" s="54">
        <v>2</v>
      </c>
      <c r="B16" s="53">
        <f t="shared" si="1"/>
        <v>6</v>
      </c>
      <c r="C16" s="70" t="s">
        <v>50</v>
      </c>
      <c r="D16" s="70" t="s">
        <v>50</v>
      </c>
      <c r="E16" s="66" t="s">
        <v>106</v>
      </c>
      <c r="F16" s="74">
        <v>3</v>
      </c>
      <c r="G16" s="83">
        <v>6200</v>
      </c>
      <c r="H16" s="69">
        <f t="shared" si="0"/>
        <v>18600</v>
      </c>
      <c r="I16" s="80"/>
      <c r="J16" s="78" t="s">
        <v>25</v>
      </c>
      <c r="K16" s="26"/>
      <c r="L16" s="33"/>
      <c r="M16" s="30">
        <v>43567</v>
      </c>
      <c r="N16" s="31"/>
      <c r="O16" s="30">
        <v>43594</v>
      </c>
      <c r="P16" s="30">
        <v>43593</v>
      </c>
      <c r="Q16" s="36">
        <v>43594</v>
      </c>
      <c r="R16" s="35"/>
    </row>
    <row r="17" spans="1:18" s="43" customFormat="1" ht="18" customHeight="1" x14ac:dyDescent="0.15">
      <c r="A17" s="54">
        <v>2</v>
      </c>
      <c r="B17" s="53">
        <f t="shared" si="1"/>
        <v>7</v>
      </c>
      <c r="C17" s="70" t="s">
        <v>50</v>
      </c>
      <c r="D17" s="70" t="s">
        <v>50</v>
      </c>
      <c r="E17" s="66" t="s">
        <v>107</v>
      </c>
      <c r="F17" s="74">
        <v>3</v>
      </c>
      <c r="G17" s="83">
        <v>6000</v>
      </c>
      <c r="H17" s="69">
        <f t="shared" si="0"/>
        <v>18000</v>
      </c>
      <c r="I17" s="80"/>
      <c r="J17" s="78" t="s">
        <v>29</v>
      </c>
      <c r="K17" s="26"/>
      <c r="L17" s="33"/>
      <c r="M17" s="30">
        <v>43567</v>
      </c>
      <c r="N17" s="31"/>
      <c r="O17" s="30">
        <v>43594</v>
      </c>
      <c r="P17" s="30">
        <v>43593</v>
      </c>
      <c r="Q17" s="36">
        <v>43594</v>
      </c>
      <c r="R17" s="35"/>
    </row>
    <row r="18" spans="1:18" s="43" customFormat="1" ht="18" customHeight="1" x14ac:dyDescent="0.15">
      <c r="A18" s="54">
        <v>2</v>
      </c>
      <c r="B18" s="53">
        <f t="shared" si="1"/>
        <v>8</v>
      </c>
      <c r="C18" s="70" t="s">
        <v>50</v>
      </c>
      <c r="D18" s="70" t="s">
        <v>50</v>
      </c>
      <c r="E18" s="66" t="s">
        <v>108</v>
      </c>
      <c r="F18" s="74">
        <v>3</v>
      </c>
      <c r="G18" s="83">
        <v>6000</v>
      </c>
      <c r="H18" s="69">
        <f t="shared" si="0"/>
        <v>18000</v>
      </c>
      <c r="I18" s="80"/>
      <c r="J18" s="78" t="s">
        <v>28</v>
      </c>
      <c r="K18" s="26"/>
      <c r="L18" s="33"/>
      <c r="M18" s="30">
        <v>43567</v>
      </c>
      <c r="N18" s="31"/>
      <c r="O18" s="30">
        <v>43594</v>
      </c>
      <c r="P18" s="30">
        <v>43593</v>
      </c>
      <c r="Q18" s="36">
        <v>43594</v>
      </c>
      <c r="R18" s="35"/>
    </row>
    <row r="19" spans="1:18" s="43" customFormat="1" ht="18" customHeight="1" x14ac:dyDescent="0.15">
      <c r="A19" s="54">
        <v>2</v>
      </c>
      <c r="B19" s="53">
        <f t="shared" si="1"/>
        <v>9</v>
      </c>
      <c r="C19" s="70" t="s">
        <v>50</v>
      </c>
      <c r="D19" s="70" t="s">
        <v>50</v>
      </c>
      <c r="E19" s="66" t="s">
        <v>109</v>
      </c>
      <c r="F19" s="71">
        <v>6</v>
      </c>
      <c r="G19" s="84">
        <v>17500</v>
      </c>
      <c r="H19" s="71">
        <f t="shared" si="0"/>
        <v>105000</v>
      </c>
      <c r="I19" s="72"/>
      <c r="J19" s="73" t="s">
        <v>99</v>
      </c>
      <c r="K19" s="26"/>
      <c r="L19" s="33"/>
      <c r="M19" s="30">
        <v>43567</v>
      </c>
      <c r="N19" s="31"/>
      <c r="O19" s="30">
        <v>43594</v>
      </c>
      <c r="P19" s="30">
        <v>43594</v>
      </c>
      <c r="Q19" s="36">
        <v>43594</v>
      </c>
      <c r="R19" s="35"/>
    </row>
    <row r="20" spans="1:18" s="43" customFormat="1" ht="18" customHeight="1" x14ac:dyDescent="0.15">
      <c r="A20" s="54"/>
      <c r="B20" s="53">
        <f t="shared" si="1"/>
        <v>10</v>
      </c>
      <c r="C20" s="70" t="s">
        <v>50</v>
      </c>
      <c r="D20" s="70" t="s">
        <v>50</v>
      </c>
      <c r="E20" s="66" t="s">
        <v>110</v>
      </c>
      <c r="F20" s="71">
        <v>6</v>
      </c>
      <c r="G20" s="84">
        <v>13000</v>
      </c>
      <c r="H20" s="71">
        <f t="shared" ref="H20" si="2">F20*G20</f>
        <v>78000</v>
      </c>
      <c r="I20" s="72"/>
      <c r="J20" s="73" t="s">
        <v>138</v>
      </c>
      <c r="K20" s="26"/>
      <c r="L20" s="33"/>
      <c r="M20" s="30">
        <v>43567</v>
      </c>
      <c r="N20" s="31"/>
      <c r="O20" s="30">
        <v>43594</v>
      </c>
      <c r="P20" s="30">
        <v>43594</v>
      </c>
      <c r="Q20" s="36">
        <v>43594</v>
      </c>
      <c r="R20" s="35"/>
    </row>
    <row r="21" spans="1:18" s="132" customFormat="1" ht="18" customHeight="1" x14ac:dyDescent="0.15">
      <c r="A21" s="54">
        <v>2</v>
      </c>
      <c r="B21" s="53">
        <f>+B20+1</f>
        <v>11</v>
      </c>
      <c r="C21" s="28" t="s">
        <v>30</v>
      </c>
      <c r="D21" s="28" t="s">
        <v>30</v>
      </c>
      <c r="E21" s="40" t="s">
        <v>31</v>
      </c>
      <c r="F21" s="41">
        <v>120</v>
      </c>
      <c r="G21" s="41">
        <v>19</v>
      </c>
      <c r="H21" s="38">
        <f t="shared" ref="H21:H38" si="3">F21*G21</f>
        <v>2280</v>
      </c>
      <c r="I21" s="8"/>
      <c r="J21" s="39" t="s">
        <v>32</v>
      </c>
      <c r="K21" s="126"/>
      <c r="L21" s="127"/>
      <c r="M21" s="30">
        <v>43567</v>
      </c>
      <c r="N21" s="129"/>
      <c r="O21" s="128"/>
      <c r="P21" s="128">
        <v>43593</v>
      </c>
      <c r="Q21" s="130">
        <v>43593</v>
      </c>
      <c r="R21" s="131"/>
    </row>
    <row r="22" spans="1:18" s="132" customFormat="1" ht="18" customHeight="1" x14ac:dyDescent="0.15">
      <c r="A22" s="54">
        <v>2</v>
      </c>
      <c r="B22" s="53">
        <f t="shared" si="1"/>
        <v>12</v>
      </c>
      <c r="C22" s="1" t="s">
        <v>30</v>
      </c>
      <c r="D22" s="1" t="s">
        <v>30</v>
      </c>
      <c r="E22" s="37" t="s">
        <v>33</v>
      </c>
      <c r="F22" s="9">
        <v>45</v>
      </c>
      <c r="G22" s="38">
        <v>90</v>
      </c>
      <c r="H22" s="38">
        <f t="shared" si="3"/>
        <v>4050</v>
      </c>
      <c r="I22" s="4"/>
      <c r="J22" s="37" t="s">
        <v>34</v>
      </c>
      <c r="K22" s="126"/>
      <c r="L22" s="127"/>
      <c r="M22" s="30">
        <v>43567</v>
      </c>
      <c r="N22" s="129"/>
      <c r="O22" s="128"/>
      <c r="P22" s="128">
        <v>43593</v>
      </c>
      <c r="Q22" s="130">
        <v>43593</v>
      </c>
      <c r="R22" s="131"/>
    </row>
    <row r="23" spans="1:18" s="132" customFormat="1" ht="18" customHeight="1" x14ac:dyDescent="0.15">
      <c r="A23" s="54">
        <v>2</v>
      </c>
      <c r="B23" s="53">
        <f t="shared" si="1"/>
        <v>13</v>
      </c>
      <c r="C23" s="1" t="s">
        <v>30</v>
      </c>
      <c r="D23" s="1" t="s">
        <v>30</v>
      </c>
      <c r="E23" s="143" t="s">
        <v>77</v>
      </c>
      <c r="F23" s="144">
        <v>3</v>
      </c>
      <c r="G23" s="133">
        <v>15960</v>
      </c>
      <c r="H23" s="38">
        <f t="shared" si="3"/>
        <v>47880</v>
      </c>
      <c r="I23" s="4"/>
      <c r="J23" s="48" t="s">
        <v>67</v>
      </c>
      <c r="K23" s="126"/>
      <c r="L23" s="127"/>
      <c r="M23" s="30">
        <v>43567</v>
      </c>
      <c r="N23" s="129"/>
      <c r="O23" s="128"/>
      <c r="P23" s="128">
        <v>43593</v>
      </c>
      <c r="Q23" s="130">
        <v>43593</v>
      </c>
      <c r="R23" s="131"/>
    </row>
    <row r="24" spans="1:18" s="132" customFormat="1" ht="18" customHeight="1" x14ac:dyDescent="0.15">
      <c r="A24" s="54">
        <v>2</v>
      </c>
      <c r="B24" s="53">
        <f t="shared" si="1"/>
        <v>14</v>
      </c>
      <c r="C24" s="1" t="s">
        <v>30</v>
      </c>
      <c r="D24" s="1" t="s">
        <v>30</v>
      </c>
      <c r="E24" s="145" t="s">
        <v>66</v>
      </c>
      <c r="F24" s="146">
        <v>3</v>
      </c>
      <c r="G24" s="101">
        <v>52030</v>
      </c>
      <c r="H24" s="38">
        <f t="shared" si="3"/>
        <v>156090</v>
      </c>
      <c r="I24" s="25"/>
      <c r="J24" s="45" t="s">
        <v>35</v>
      </c>
      <c r="K24" s="126"/>
      <c r="L24" s="127"/>
      <c r="M24" s="30">
        <v>43567</v>
      </c>
      <c r="N24" s="129"/>
      <c r="O24" s="128"/>
      <c r="P24" s="128">
        <v>43593</v>
      </c>
      <c r="Q24" s="130">
        <v>43593</v>
      </c>
      <c r="R24" s="131"/>
    </row>
    <row r="25" spans="1:18" s="132" customFormat="1" ht="18" customHeight="1" x14ac:dyDescent="0.15">
      <c r="A25" s="54">
        <v>2</v>
      </c>
      <c r="B25" s="53">
        <f t="shared" si="1"/>
        <v>15</v>
      </c>
      <c r="C25" s="1" t="s">
        <v>30</v>
      </c>
      <c r="D25" s="1" t="s">
        <v>30</v>
      </c>
      <c r="E25" s="40" t="s">
        <v>36</v>
      </c>
      <c r="F25" s="41">
        <v>6</v>
      </c>
      <c r="G25" s="38">
        <v>75</v>
      </c>
      <c r="H25" s="38">
        <f t="shared" si="3"/>
        <v>450</v>
      </c>
      <c r="I25" s="4"/>
      <c r="J25" s="37" t="s">
        <v>37</v>
      </c>
      <c r="K25" s="126"/>
      <c r="L25" s="127"/>
      <c r="M25" s="30">
        <v>43567</v>
      </c>
      <c r="N25" s="129"/>
      <c r="O25" s="128"/>
      <c r="P25" s="128">
        <v>43593</v>
      </c>
      <c r="Q25" s="130">
        <v>43593</v>
      </c>
      <c r="R25" s="131"/>
    </row>
    <row r="26" spans="1:18" s="132" customFormat="1" ht="18" customHeight="1" x14ac:dyDescent="0.15">
      <c r="A26" s="54">
        <v>2</v>
      </c>
      <c r="B26" s="53">
        <f t="shared" si="1"/>
        <v>16</v>
      </c>
      <c r="C26" s="1" t="s">
        <v>30</v>
      </c>
      <c r="D26" s="1" t="s">
        <v>30</v>
      </c>
      <c r="E26" s="40" t="s">
        <v>53</v>
      </c>
      <c r="F26" s="41">
        <v>6</v>
      </c>
      <c r="G26" s="38">
        <v>160</v>
      </c>
      <c r="H26" s="38">
        <f t="shared" si="3"/>
        <v>960</v>
      </c>
      <c r="I26" s="4"/>
      <c r="J26" s="37" t="s">
        <v>38</v>
      </c>
      <c r="K26" s="126"/>
      <c r="L26" s="127"/>
      <c r="M26" s="30">
        <v>43567</v>
      </c>
      <c r="N26" s="129"/>
      <c r="O26" s="128"/>
      <c r="P26" s="128">
        <v>43593</v>
      </c>
      <c r="Q26" s="130">
        <v>43593</v>
      </c>
      <c r="R26" s="131"/>
    </row>
    <row r="27" spans="1:18" s="132" customFormat="1" ht="18" customHeight="1" x14ac:dyDescent="0.15">
      <c r="A27" s="54">
        <v>2</v>
      </c>
      <c r="B27" s="53">
        <f t="shared" si="1"/>
        <v>17</v>
      </c>
      <c r="C27" s="1" t="s">
        <v>30</v>
      </c>
      <c r="D27" s="1" t="s">
        <v>30</v>
      </c>
      <c r="E27" s="40" t="s">
        <v>54</v>
      </c>
      <c r="F27" s="41">
        <v>6</v>
      </c>
      <c r="G27" s="38">
        <v>190</v>
      </c>
      <c r="H27" s="38">
        <f t="shared" si="3"/>
        <v>1140</v>
      </c>
      <c r="I27" s="4"/>
      <c r="J27" s="37" t="s">
        <v>55</v>
      </c>
      <c r="K27" s="126"/>
      <c r="L27" s="127"/>
      <c r="M27" s="30">
        <v>43567</v>
      </c>
      <c r="N27" s="129"/>
      <c r="O27" s="128"/>
      <c r="P27" s="128">
        <v>43593</v>
      </c>
      <c r="Q27" s="130">
        <v>43593</v>
      </c>
      <c r="R27" s="131"/>
    </row>
    <row r="28" spans="1:18" s="132" customFormat="1" ht="18" customHeight="1" x14ac:dyDescent="0.15">
      <c r="A28" s="54">
        <v>2</v>
      </c>
      <c r="B28" s="53">
        <f t="shared" si="1"/>
        <v>18</v>
      </c>
      <c r="C28" s="1" t="s">
        <v>30</v>
      </c>
      <c r="D28" s="1" t="s">
        <v>30</v>
      </c>
      <c r="E28" s="40" t="s">
        <v>39</v>
      </c>
      <c r="F28" s="41">
        <v>30</v>
      </c>
      <c r="G28" s="38">
        <v>13</v>
      </c>
      <c r="H28" s="38">
        <f t="shared" si="3"/>
        <v>390</v>
      </c>
      <c r="I28" s="4"/>
      <c r="J28" s="37" t="s">
        <v>40</v>
      </c>
      <c r="K28" s="126"/>
      <c r="L28" s="127"/>
      <c r="M28" s="30">
        <v>43567</v>
      </c>
      <c r="N28" s="129"/>
      <c r="O28" s="128"/>
      <c r="P28" s="128">
        <v>43593</v>
      </c>
      <c r="Q28" s="130">
        <v>43593</v>
      </c>
      <c r="R28" s="131"/>
    </row>
    <row r="29" spans="1:18" s="132" customFormat="1" ht="18" customHeight="1" x14ac:dyDescent="0.15">
      <c r="A29" s="54">
        <v>2</v>
      </c>
      <c r="B29" s="53">
        <f t="shared" si="1"/>
        <v>19</v>
      </c>
      <c r="C29" s="1" t="s">
        <v>30</v>
      </c>
      <c r="D29" s="1" t="s">
        <v>30</v>
      </c>
      <c r="E29" s="40" t="s">
        <v>41</v>
      </c>
      <c r="F29" s="41">
        <v>30</v>
      </c>
      <c r="G29" s="38">
        <v>12</v>
      </c>
      <c r="H29" s="38">
        <f t="shared" si="3"/>
        <v>360</v>
      </c>
      <c r="I29" s="4"/>
      <c r="J29" s="37" t="s">
        <v>42</v>
      </c>
      <c r="K29" s="126"/>
      <c r="L29" s="127"/>
      <c r="M29" s="30">
        <v>43567</v>
      </c>
      <c r="N29" s="129"/>
      <c r="O29" s="128"/>
      <c r="P29" s="128">
        <v>43593</v>
      </c>
      <c r="Q29" s="130">
        <v>43593</v>
      </c>
      <c r="R29" s="131"/>
    </row>
    <row r="30" spans="1:18" s="132" customFormat="1" ht="18" customHeight="1" x14ac:dyDescent="0.15">
      <c r="A30" s="54">
        <v>2</v>
      </c>
      <c r="B30" s="53">
        <f t="shared" si="1"/>
        <v>20</v>
      </c>
      <c r="C30" s="1" t="s">
        <v>30</v>
      </c>
      <c r="D30" s="1" t="s">
        <v>30</v>
      </c>
      <c r="E30" s="40" t="s">
        <v>43</v>
      </c>
      <c r="F30" s="41">
        <v>30</v>
      </c>
      <c r="G30" s="38">
        <v>12</v>
      </c>
      <c r="H30" s="38">
        <f t="shared" si="3"/>
        <v>360</v>
      </c>
      <c r="I30" s="4"/>
      <c r="J30" s="37" t="s">
        <v>44</v>
      </c>
      <c r="K30" s="126"/>
      <c r="L30" s="127"/>
      <c r="M30" s="30">
        <v>43567</v>
      </c>
      <c r="N30" s="129"/>
      <c r="O30" s="128"/>
      <c r="P30" s="128">
        <v>43593</v>
      </c>
      <c r="Q30" s="130">
        <v>43593</v>
      </c>
      <c r="R30" s="131"/>
    </row>
    <row r="31" spans="1:18" s="132" customFormat="1" ht="18" customHeight="1" x14ac:dyDescent="0.15">
      <c r="A31" s="54">
        <v>2</v>
      </c>
      <c r="B31" s="53">
        <f t="shared" si="1"/>
        <v>21</v>
      </c>
      <c r="C31" s="1" t="s">
        <v>30</v>
      </c>
      <c r="D31" s="1" t="s">
        <v>30</v>
      </c>
      <c r="E31" s="40" t="s">
        <v>56</v>
      </c>
      <c r="F31" s="41">
        <v>30</v>
      </c>
      <c r="G31" s="38">
        <v>11</v>
      </c>
      <c r="H31" s="38">
        <f t="shared" si="3"/>
        <v>330</v>
      </c>
      <c r="I31" s="4"/>
      <c r="J31" s="37" t="s">
        <v>57</v>
      </c>
      <c r="K31" s="126"/>
      <c r="L31" s="127"/>
      <c r="M31" s="30">
        <v>43567</v>
      </c>
      <c r="N31" s="129"/>
      <c r="O31" s="128"/>
      <c r="P31" s="128">
        <v>43593</v>
      </c>
      <c r="Q31" s="130">
        <v>43593</v>
      </c>
      <c r="R31" s="131"/>
    </row>
    <row r="32" spans="1:18" s="132" customFormat="1" ht="18" customHeight="1" x14ac:dyDescent="0.15">
      <c r="A32" s="54">
        <v>2</v>
      </c>
      <c r="B32" s="53">
        <f t="shared" si="1"/>
        <v>22</v>
      </c>
      <c r="C32" s="1" t="s">
        <v>30</v>
      </c>
      <c r="D32" s="1" t="s">
        <v>30</v>
      </c>
      <c r="E32" s="40" t="s">
        <v>45</v>
      </c>
      <c r="F32" s="41">
        <v>60</v>
      </c>
      <c r="G32" s="38">
        <v>10</v>
      </c>
      <c r="H32" s="38">
        <f t="shared" si="3"/>
        <v>600</v>
      </c>
      <c r="I32" s="4"/>
      <c r="J32" s="37" t="s">
        <v>46</v>
      </c>
      <c r="K32" s="126"/>
      <c r="L32" s="127"/>
      <c r="M32" s="30">
        <v>43567</v>
      </c>
      <c r="N32" s="129"/>
      <c r="O32" s="128"/>
      <c r="P32" s="128">
        <v>43593</v>
      </c>
      <c r="Q32" s="130">
        <v>43593</v>
      </c>
      <c r="R32" s="131"/>
    </row>
    <row r="33" spans="1:18" s="132" customFormat="1" ht="18" customHeight="1" x14ac:dyDescent="0.15">
      <c r="A33" s="54">
        <v>2</v>
      </c>
      <c r="B33" s="53">
        <f>+B32+1</f>
        <v>23</v>
      </c>
      <c r="C33" s="1" t="s">
        <v>30</v>
      </c>
      <c r="D33" s="1" t="s">
        <v>30</v>
      </c>
      <c r="E33" s="40" t="s">
        <v>58</v>
      </c>
      <c r="F33" s="41">
        <v>30</v>
      </c>
      <c r="G33" s="38">
        <v>20</v>
      </c>
      <c r="H33" s="38">
        <f t="shared" si="3"/>
        <v>600</v>
      </c>
      <c r="I33" s="4"/>
      <c r="J33" s="37" t="s">
        <v>59</v>
      </c>
      <c r="K33" s="126"/>
      <c r="L33" s="127"/>
      <c r="M33" s="30">
        <v>43567</v>
      </c>
      <c r="N33" s="129"/>
      <c r="O33" s="128"/>
      <c r="P33" s="128">
        <v>43593</v>
      </c>
      <c r="Q33" s="130">
        <v>43593</v>
      </c>
      <c r="R33" s="131"/>
    </row>
    <row r="34" spans="1:18" s="132" customFormat="1" ht="18" customHeight="1" x14ac:dyDescent="0.15">
      <c r="A34" s="54">
        <v>2</v>
      </c>
      <c r="B34" s="53">
        <f>+B33+1</f>
        <v>24</v>
      </c>
      <c r="C34" s="147" t="s">
        <v>30</v>
      </c>
      <c r="D34" s="147" t="s">
        <v>30</v>
      </c>
      <c r="E34" s="100" t="s">
        <v>76</v>
      </c>
      <c r="F34" s="101">
        <v>24</v>
      </c>
      <c r="G34" s="133">
        <v>78</v>
      </c>
      <c r="H34" s="133">
        <f t="shared" si="3"/>
        <v>1872</v>
      </c>
      <c r="I34" s="148"/>
      <c r="J34" s="149" t="s">
        <v>75</v>
      </c>
      <c r="K34" s="126"/>
      <c r="L34" s="127"/>
      <c r="M34" s="30">
        <v>43567</v>
      </c>
      <c r="N34" s="129"/>
      <c r="O34" s="128"/>
      <c r="P34" s="128">
        <v>43593</v>
      </c>
      <c r="Q34" s="130">
        <v>43593</v>
      </c>
      <c r="R34" s="131"/>
    </row>
    <row r="35" spans="1:18" s="132" customFormat="1" ht="18" customHeight="1" x14ac:dyDescent="0.15">
      <c r="A35" s="54">
        <v>2</v>
      </c>
      <c r="B35" s="53">
        <f>+B34+1</f>
        <v>25</v>
      </c>
      <c r="C35" s="147" t="s">
        <v>30</v>
      </c>
      <c r="D35" s="147" t="s">
        <v>30</v>
      </c>
      <c r="E35" s="100" t="s">
        <v>71</v>
      </c>
      <c r="F35" s="101">
        <v>12</v>
      </c>
      <c r="G35" s="133">
        <v>26</v>
      </c>
      <c r="H35" s="133">
        <f t="shared" si="3"/>
        <v>312</v>
      </c>
      <c r="I35" s="148"/>
      <c r="J35" s="149" t="s">
        <v>72</v>
      </c>
      <c r="K35" s="126"/>
      <c r="L35" s="127"/>
      <c r="M35" s="30">
        <v>43567</v>
      </c>
      <c r="N35" s="129"/>
      <c r="O35" s="128"/>
      <c r="P35" s="128">
        <v>43593</v>
      </c>
      <c r="Q35" s="130">
        <v>43593</v>
      </c>
      <c r="R35" s="131"/>
    </row>
    <row r="36" spans="1:18" s="132" customFormat="1" ht="18" customHeight="1" x14ac:dyDescent="0.15">
      <c r="A36" s="54">
        <v>2</v>
      </c>
      <c r="B36" s="53">
        <f t="shared" si="1"/>
        <v>26</v>
      </c>
      <c r="C36" s="147" t="s">
        <v>30</v>
      </c>
      <c r="D36" s="147" t="s">
        <v>30</v>
      </c>
      <c r="E36" s="100" t="s">
        <v>73</v>
      </c>
      <c r="F36" s="101">
        <v>24</v>
      </c>
      <c r="G36" s="133">
        <v>32</v>
      </c>
      <c r="H36" s="133">
        <f t="shared" si="3"/>
        <v>768</v>
      </c>
      <c r="I36" s="148"/>
      <c r="J36" s="149" t="s">
        <v>74</v>
      </c>
      <c r="K36" s="126"/>
      <c r="L36" s="127"/>
      <c r="M36" s="30">
        <v>43567</v>
      </c>
      <c r="N36" s="129"/>
      <c r="O36" s="128"/>
      <c r="P36" s="128">
        <v>43593</v>
      </c>
      <c r="Q36" s="130">
        <v>43593</v>
      </c>
      <c r="R36" s="131"/>
    </row>
    <row r="37" spans="1:18" s="132" customFormat="1" ht="18" customHeight="1" x14ac:dyDescent="0.15">
      <c r="A37" s="54">
        <v>2</v>
      </c>
      <c r="B37" s="53">
        <f>+B36+1</f>
        <v>27</v>
      </c>
      <c r="C37" s="147" t="s">
        <v>30</v>
      </c>
      <c r="D37" s="147" t="s">
        <v>30</v>
      </c>
      <c r="E37" s="100" t="s">
        <v>61</v>
      </c>
      <c r="F37" s="101">
        <v>6</v>
      </c>
      <c r="G37" s="133">
        <v>190</v>
      </c>
      <c r="H37" s="133">
        <f t="shared" si="3"/>
        <v>1140</v>
      </c>
      <c r="I37" s="148"/>
      <c r="J37" s="149" t="s">
        <v>63</v>
      </c>
      <c r="K37" s="126"/>
      <c r="L37" s="127"/>
      <c r="M37" s="30">
        <v>43567</v>
      </c>
      <c r="N37" s="129"/>
      <c r="O37" s="128"/>
      <c r="P37" s="128">
        <v>43593</v>
      </c>
      <c r="Q37" s="130">
        <v>43593</v>
      </c>
      <c r="R37" s="131"/>
    </row>
    <row r="38" spans="1:18" s="132" customFormat="1" ht="18" customHeight="1" x14ac:dyDescent="0.15">
      <c r="A38" s="54">
        <v>2</v>
      </c>
      <c r="B38" s="53">
        <f t="shared" si="1"/>
        <v>28</v>
      </c>
      <c r="C38" s="150" t="s">
        <v>30</v>
      </c>
      <c r="D38" s="150" t="s">
        <v>30</v>
      </c>
      <c r="E38" s="151" t="s">
        <v>62</v>
      </c>
      <c r="F38" s="152">
        <v>6</v>
      </c>
      <c r="G38" s="153">
        <v>190</v>
      </c>
      <c r="H38" s="153">
        <f t="shared" si="3"/>
        <v>1140</v>
      </c>
      <c r="I38" s="154"/>
      <c r="J38" s="155" t="s">
        <v>63</v>
      </c>
      <c r="K38" s="126"/>
      <c r="L38" s="127"/>
      <c r="M38" s="30">
        <v>43567</v>
      </c>
      <c r="N38" s="129"/>
      <c r="O38" s="128"/>
      <c r="P38" s="128">
        <v>43593</v>
      </c>
      <c r="Q38" s="130">
        <v>43593</v>
      </c>
      <c r="R38" s="131"/>
    </row>
    <row r="39" spans="1:18" s="132" customFormat="1" ht="18" customHeight="1" x14ac:dyDescent="0.15">
      <c r="A39" s="54"/>
      <c r="B39" s="98"/>
      <c r="C39" s="114"/>
      <c r="D39" s="114"/>
      <c r="E39" s="139"/>
      <c r="F39" s="140"/>
      <c r="G39" s="108"/>
      <c r="H39" s="108"/>
      <c r="I39" s="141"/>
      <c r="J39" s="142"/>
      <c r="K39" s="106"/>
      <c r="L39" s="127"/>
      <c r="M39" s="128"/>
      <c r="N39" s="129"/>
      <c r="O39" s="128"/>
      <c r="P39" s="128"/>
      <c r="Q39" s="130"/>
      <c r="R39" s="131"/>
    </row>
    <row r="40" spans="1:18" s="132" customFormat="1" ht="18" customHeight="1" x14ac:dyDescent="0.15">
      <c r="A40" s="156"/>
      <c r="B40" s="157"/>
      <c r="C40" s="158"/>
      <c r="D40" s="158"/>
      <c r="E40" s="159">
        <f>SUM(H11:H39)</f>
        <v>594222</v>
      </c>
      <c r="F40" s="160"/>
      <c r="G40" s="161"/>
      <c r="H40" s="42"/>
      <c r="I40" s="136"/>
      <c r="J40" s="137"/>
      <c r="K40" s="126"/>
      <c r="L40" s="127"/>
      <c r="M40" s="128"/>
      <c r="N40" s="129"/>
      <c r="O40" s="128"/>
      <c r="P40" s="128"/>
      <c r="Q40" s="130"/>
      <c r="R40" s="131"/>
    </row>
    <row r="41" spans="1:18" s="132" customFormat="1" ht="18" customHeight="1" x14ac:dyDescent="0.15">
      <c r="A41" s="115"/>
      <c r="B41" s="165"/>
      <c r="C41" s="166"/>
      <c r="D41" s="166"/>
      <c r="E41" s="167"/>
      <c r="F41" s="122"/>
      <c r="G41" s="123"/>
      <c r="H41" s="122"/>
      <c r="I41" s="124"/>
      <c r="J41" s="125"/>
      <c r="K41" s="126"/>
      <c r="L41" s="127"/>
      <c r="M41" s="128"/>
      <c r="N41" s="129"/>
      <c r="O41" s="128"/>
      <c r="P41" s="128"/>
      <c r="Q41" s="130"/>
      <c r="R41" s="131"/>
    </row>
    <row r="42" spans="1:18" s="132" customFormat="1" ht="18" customHeight="1" x14ac:dyDescent="0.15">
      <c r="A42" s="115"/>
      <c r="B42" s="165"/>
      <c r="C42" s="166"/>
      <c r="D42" s="166"/>
      <c r="E42" s="167"/>
      <c r="F42" s="122"/>
      <c r="G42" s="123"/>
      <c r="H42" s="122"/>
      <c r="I42" s="124"/>
      <c r="J42" s="125"/>
      <c r="K42" s="126"/>
      <c r="L42" s="127"/>
      <c r="M42" s="128"/>
      <c r="N42" s="129"/>
      <c r="O42" s="128"/>
      <c r="P42" s="128"/>
      <c r="Q42" s="130"/>
      <c r="R42" s="131"/>
    </row>
    <row r="43" spans="1:18" s="132" customFormat="1" ht="18" customHeight="1" x14ac:dyDescent="0.15">
      <c r="A43" s="104"/>
      <c r="B43" s="162"/>
      <c r="C43" s="217" t="s">
        <v>135</v>
      </c>
      <c r="D43" s="218"/>
      <c r="E43" s="219"/>
      <c r="F43" s="163"/>
      <c r="G43" s="164"/>
      <c r="H43" s="163"/>
      <c r="I43" s="124"/>
      <c r="J43" s="125"/>
      <c r="K43" s="126"/>
      <c r="L43" s="127"/>
      <c r="M43" s="128"/>
      <c r="N43" s="129"/>
      <c r="O43" s="128"/>
      <c r="P43" s="128"/>
      <c r="Q43" s="130"/>
      <c r="R43" s="131"/>
    </row>
    <row r="44" spans="1:18" s="132" customFormat="1" ht="18" customHeight="1" x14ac:dyDescent="0.15">
      <c r="A44" s="115"/>
      <c r="B44" s="119"/>
      <c r="C44" s="120"/>
      <c r="D44" s="120"/>
      <c r="E44" s="121"/>
      <c r="F44" s="122"/>
      <c r="G44" s="123"/>
      <c r="H44" s="122"/>
      <c r="I44" s="124"/>
      <c r="J44" s="125"/>
      <c r="K44" s="126"/>
      <c r="L44" s="127"/>
      <c r="M44" s="128"/>
      <c r="N44" s="129"/>
      <c r="O44" s="128"/>
      <c r="P44" s="128"/>
      <c r="Q44" s="130"/>
      <c r="R44" s="131"/>
    </row>
    <row r="45" spans="1:18" s="43" customFormat="1" ht="18" customHeight="1" x14ac:dyDescent="0.15">
      <c r="A45" s="54">
        <v>1</v>
      </c>
      <c r="B45" s="53">
        <f>+B38+1</f>
        <v>29</v>
      </c>
      <c r="C45" s="168" t="s">
        <v>78</v>
      </c>
      <c r="D45" s="168" t="s">
        <v>78</v>
      </c>
      <c r="E45" s="110" t="s">
        <v>93</v>
      </c>
      <c r="F45" s="112">
        <v>12</v>
      </c>
      <c r="G45" s="112">
        <v>2802</v>
      </c>
      <c r="H45" s="122">
        <f t="shared" si="0"/>
        <v>33624</v>
      </c>
      <c r="I45" s="124"/>
      <c r="J45" s="169" t="s">
        <v>79</v>
      </c>
      <c r="K45" s="26"/>
      <c r="L45" s="33"/>
      <c r="M45" s="30">
        <v>43567</v>
      </c>
      <c r="N45" s="31"/>
      <c r="O45" s="30"/>
      <c r="P45" s="128">
        <v>43593</v>
      </c>
      <c r="Q45" s="130">
        <v>43593</v>
      </c>
      <c r="R45" s="35"/>
    </row>
    <row r="46" spans="1:18" s="43" customFormat="1" ht="18" customHeight="1" x14ac:dyDescent="0.15">
      <c r="A46" s="54">
        <v>1</v>
      </c>
      <c r="B46" s="53">
        <f t="shared" si="1"/>
        <v>30</v>
      </c>
      <c r="C46" s="168" t="s">
        <v>78</v>
      </c>
      <c r="D46" s="168" t="s">
        <v>78</v>
      </c>
      <c r="E46" s="169" t="s">
        <v>80</v>
      </c>
      <c r="F46" s="112">
        <v>6</v>
      </c>
      <c r="G46" s="112">
        <v>4085</v>
      </c>
      <c r="H46" s="122">
        <f t="shared" si="0"/>
        <v>24510</v>
      </c>
      <c r="I46" s="124"/>
      <c r="J46" s="169" t="s">
        <v>81</v>
      </c>
      <c r="K46" s="26"/>
      <c r="L46" s="33"/>
      <c r="M46" s="30">
        <v>43567</v>
      </c>
      <c r="N46" s="31"/>
      <c r="O46" s="30"/>
      <c r="P46" s="128">
        <v>43593</v>
      </c>
      <c r="Q46" s="130">
        <v>43593</v>
      </c>
      <c r="R46" s="35"/>
    </row>
    <row r="47" spans="1:18" s="43" customFormat="1" ht="18" customHeight="1" x14ac:dyDescent="0.15">
      <c r="A47" s="54">
        <v>1</v>
      </c>
      <c r="B47" s="53">
        <f t="shared" si="1"/>
        <v>31</v>
      </c>
      <c r="C47" s="168" t="s">
        <v>78</v>
      </c>
      <c r="D47" s="168" t="s">
        <v>78</v>
      </c>
      <c r="E47" s="169" t="s">
        <v>82</v>
      </c>
      <c r="F47" s="112">
        <v>24</v>
      </c>
      <c r="G47" s="112">
        <v>29</v>
      </c>
      <c r="H47" s="122">
        <f>F47*G47</f>
        <v>696</v>
      </c>
      <c r="I47" s="124"/>
      <c r="J47" s="169" t="s">
        <v>83</v>
      </c>
      <c r="K47" s="26"/>
      <c r="L47" s="33"/>
      <c r="M47" s="30">
        <v>43567</v>
      </c>
      <c r="N47" s="31"/>
      <c r="O47" s="30"/>
      <c r="P47" s="128">
        <v>43593</v>
      </c>
      <c r="Q47" s="130">
        <v>43593</v>
      </c>
      <c r="R47" s="35"/>
    </row>
    <row r="48" spans="1:18" s="43" customFormat="1" ht="18" customHeight="1" x14ac:dyDescent="0.15">
      <c r="A48" s="54">
        <v>1</v>
      </c>
      <c r="B48" s="53">
        <f>+B47+1</f>
        <v>32</v>
      </c>
      <c r="C48" s="168" t="s">
        <v>78</v>
      </c>
      <c r="D48" s="168" t="s">
        <v>78</v>
      </c>
      <c r="E48" s="111" t="s">
        <v>97</v>
      </c>
      <c r="F48" s="112">
        <v>3</v>
      </c>
      <c r="G48" s="112">
        <v>32000</v>
      </c>
      <c r="H48" s="122">
        <f>F48*G48</f>
        <v>96000</v>
      </c>
      <c r="I48" s="124"/>
      <c r="J48" s="113" t="s">
        <v>98</v>
      </c>
      <c r="K48" s="26"/>
      <c r="L48" s="33"/>
      <c r="M48" s="30">
        <v>43567</v>
      </c>
      <c r="N48" s="31"/>
      <c r="O48" s="30"/>
      <c r="P48" s="128">
        <v>43593</v>
      </c>
      <c r="Q48" s="130">
        <v>43593</v>
      </c>
      <c r="R48" s="35"/>
    </row>
    <row r="49" spans="1:18" s="43" customFormat="1" ht="18" customHeight="1" x14ac:dyDescent="0.15">
      <c r="A49" s="54">
        <v>1</v>
      </c>
      <c r="B49" s="53">
        <f>+B48+1</f>
        <v>33</v>
      </c>
      <c r="C49" s="168" t="s">
        <v>78</v>
      </c>
      <c r="D49" s="168" t="s">
        <v>78</v>
      </c>
      <c r="E49" s="111" t="s">
        <v>84</v>
      </c>
      <c r="F49" s="65">
        <v>1</v>
      </c>
      <c r="G49" s="112">
        <v>479</v>
      </c>
      <c r="H49" s="122">
        <f t="shared" ref="H49:H54" si="4">F49*G49</f>
        <v>479</v>
      </c>
      <c r="I49" s="124"/>
      <c r="J49" s="113" t="s">
        <v>85</v>
      </c>
      <c r="K49" s="26"/>
      <c r="L49" s="33"/>
      <c r="M49" s="30">
        <v>43567</v>
      </c>
      <c r="N49" s="31"/>
      <c r="O49" s="30"/>
      <c r="P49" s="128">
        <v>43593</v>
      </c>
      <c r="Q49" s="130">
        <v>43593</v>
      </c>
      <c r="R49" s="35"/>
    </row>
    <row r="50" spans="1:18" s="43" customFormat="1" ht="18" customHeight="1" x14ac:dyDescent="0.15">
      <c r="A50" s="54">
        <v>1</v>
      </c>
      <c r="B50" s="53">
        <f t="shared" si="1"/>
        <v>34</v>
      </c>
      <c r="C50" s="168" t="s">
        <v>78</v>
      </c>
      <c r="D50" s="168" t="s">
        <v>78</v>
      </c>
      <c r="E50" s="111" t="s">
        <v>86</v>
      </c>
      <c r="F50" s="65">
        <v>1</v>
      </c>
      <c r="G50" s="112">
        <v>1980</v>
      </c>
      <c r="H50" s="122">
        <f t="shared" si="4"/>
        <v>1980</v>
      </c>
      <c r="I50" s="124"/>
      <c r="J50" s="113" t="s">
        <v>87</v>
      </c>
      <c r="K50" s="26"/>
      <c r="L50" s="33"/>
      <c r="M50" s="30">
        <v>43567</v>
      </c>
      <c r="N50" s="31"/>
      <c r="O50" s="30"/>
      <c r="P50" s="128">
        <v>43593</v>
      </c>
      <c r="Q50" s="130">
        <v>43593</v>
      </c>
      <c r="R50" s="35"/>
    </row>
    <row r="51" spans="1:18" s="43" customFormat="1" ht="18" customHeight="1" x14ac:dyDescent="0.15">
      <c r="A51" s="54">
        <v>1</v>
      </c>
      <c r="B51" s="53">
        <f t="shared" si="1"/>
        <v>35</v>
      </c>
      <c r="C51" s="112" t="s">
        <v>78</v>
      </c>
      <c r="D51" s="112" t="s">
        <v>78</v>
      </c>
      <c r="E51" s="170" t="s">
        <v>88</v>
      </c>
      <c r="F51" s="171">
        <v>3</v>
      </c>
      <c r="G51" s="171">
        <v>546</v>
      </c>
      <c r="H51" s="108">
        <f t="shared" si="4"/>
        <v>1638</v>
      </c>
      <c r="I51" s="172"/>
      <c r="J51" s="170" t="s">
        <v>89</v>
      </c>
      <c r="K51" s="26"/>
      <c r="L51" s="33"/>
      <c r="M51" s="30">
        <v>43567</v>
      </c>
      <c r="N51" s="31"/>
      <c r="O51" s="30"/>
      <c r="P51" s="128">
        <v>43593</v>
      </c>
      <c r="Q51" s="130">
        <v>43593</v>
      </c>
      <c r="R51" s="35"/>
    </row>
    <row r="52" spans="1:18" s="43" customFormat="1" ht="18" customHeight="1" x14ac:dyDescent="0.15">
      <c r="A52" s="54">
        <v>1</v>
      </c>
      <c r="B52" s="53">
        <f t="shared" si="1"/>
        <v>36</v>
      </c>
      <c r="C52" s="114" t="s">
        <v>78</v>
      </c>
      <c r="D52" s="114" t="s">
        <v>78</v>
      </c>
      <c r="E52" s="173" t="s">
        <v>100</v>
      </c>
      <c r="F52" s="115">
        <v>6</v>
      </c>
      <c r="G52" s="116">
        <v>3304</v>
      </c>
      <c r="H52" s="116">
        <f>F52*G52</f>
        <v>19824</v>
      </c>
      <c r="I52" s="117"/>
      <c r="J52" s="118" t="s">
        <v>94</v>
      </c>
      <c r="K52" s="26"/>
      <c r="L52" s="33"/>
      <c r="M52" s="30">
        <v>43567</v>
      </c>
      <c r="N52" s="31"/>
      <c r="O52" s="30"/>
      <c r="P52" s="128">
        <v>43593</v>
      </c>
      <c r="Q52" s="130">
        <v>43593</v>
      </c>
      <c r="R52" s="35"/>
    </row>
    <row r="53" spans="1:18" s="43" customFormat="1" ht="18" customHeight="1" x14ac:dyDescent="0.15">
      <c r="A53" s="54">
        <v>1</v>
      </c>
      <c r="B53" s="53">
        <f t="shared" si="1"/>
        <v>37</v>
      </c>
      <c r="C53" s="174" t="s">
        <v>78</v>
      </c>
      <c r="D53" s="174" t="s">
        <v>78</v>
      </c>
      <c r="E53" s="118" t="s">
        <v>96</v>
      </c>
      <c r="F53" s="175">
        <v>12</v>
      </c>
      <c r="G53" s="176">
        <v>579</v>
      </c>
      <c r="H53" s="176">
        <f t="shared" ref="H53" si="5">F53*G53</f>
        <v>6948</v>
      </c>
      <c r="I53" s="177"/>
      <c r="J53" s="118" t="s">
        <v>95</v>
      </c>
      <c r="K53" s="26"/>
      <c r="L53" s="33"/>
      <c r="M53" s="30">
        <v>43567</v>
      </c>
      <c r="N53" s="31"/>
      <c r="O53" s="30"/>
      <c r="P53" s="128">
        <v>43593</v>
      </c>
      <c r="Q53" s="130">
        <v>43593</v>
      </c>
      <c r="R53" s="35"/>
    </row>
    <row r="54" spans="1:18" s="43" customFormat="1" ht="18" customHeight="1" x14ac:dyDescent="0.15">
      <c r="A54" s="54">
        <v>1</v>
      </c>
      <c r="B54" s="53">
        <f>+B53+1</f>
        <v>38</v>
      </c>
      <c r="C54" s="178" t="s">
        <v>78</v>
      </c>
      <c r="D54" s="178" t="s">
        <v>78</v>
      </c>
      <c r="E54" s="179" t="s">
        <v>90</v>
      </c>
      <c r="F54" s="63">
        <v>1</v>
      </c>
      <c r="G54" s="108">
        <v>762</v>
      </c>
      <c r="H54" s="108">
        <f t="shared" si="4"/>
        <v>762</v>
      </c>
      <c r="I54" s="141"/>
      <c r="J54" s="180" t="s">
        <v>91</v>
      </c>
      <c r="K54" s="26"/>
      <c r="L54" s="33"/>
      <c r="M54" s="30">
        <v>43567</v>
      </c>
      <c r="N54" s="31"/>
      <c r="O54" s="30"/>
      <c r="P54" s="128">
        <v>43593</v>
      </c>
      <c r="Q54" s="130">
        <v>43593</v>
      </c>
      <c r="R54" s="35"/>
    </row>
    <row r="55" spans="1:18" s="43" customFormat="1" ht="18" customHeight="1" x14ac:dyDescent="0.15">
      <c r="A55" s="54">
        <v>1</v>
      </c>
      <c r="B55" s="53">
        <f>+B54+1</f>
        <v>39</v>
      </c>
      <c r="C55" s="181" t="s">
        <v>30</v>
      </c>
      <c r="D55" s="181" t="s">
        <v>30</v>
      </c>
      <c r="E55" s="182" t="s">
        <v>68</v>
      </c>
      <c r="F55" s="101">
        <v>6</v>
      </c>
      <c r="G55" s="101">
        <v>840</v>
      </c>
      <c r="H55" s="133">
        <f t="shared" si="0"/>
        <v>5040</v>
      </c>
      <c r="I55" s="183"/>
      <c r="J55" s="184" t="s">
        <v>51</v>
      </c>
      <c r="K55" s="26"/>
      <c r="L55" s="33"/>
      <c r="M55" s="30">
        <v>43567</v>
      </c>
      <c r="N55" s="31"/>
      <c r="O55" s="30"/>
      <c r="P55" s="128">
        <v>43593</v>
      </c>
      <c r="Q55" s="130">
        <v>43593</v>
      </c>
      <c r="R55" s="35"/>
    </row>
    <row r="56" spans="1:18" s="43" customFormat="1" ht="18" customHeight="1" x14ac:dyDescent="0.15">
      <c r="A56" s="54">
        <v>1</v>
      </c>
      <c r="B56" s="53">
        <f t="shared" si="1"/>
        <v>40</v>
      </c>
      <c r="C56" s="181" t="s">
        <v>30</v>
      </c>
      <c r="D56" s="181" t="s">
        <v>30</v>
      </c>
      <c r="E56" s="182" t="s">
        <v>69</v>
      </c>
      <c r="F56" s="101">
        <v>12</v>
      </c>
      <c r="G56" s="101">
        <v>465</v>
      </c>
      <c r="H56" s="133">
        <f t="shared" si="0"/>
        <v>5580</v>
      </c>
      <c r="I56" s="183"/>
      <c r="J56" s="184" t="s">
        <v>51</v>
      </c>
      <c r="K56" s="26"/>
      <c r="L56" s="33"/>
      <c r="M56" s="30">
        <v>43567</v>
      </c>
      <c r="N56" s="31"/>
      <c r="O56" s="30"/>
      <c r="P56" s="128">
        <v>43593</v>
      </c>
      <c r="Q56" s="130">
        <v>43593</v>
      </c>
      <c r="R56" s="32"/>
    </row>
    <row r="57" spans="1:18" s="43" customFormat="1" ht="18" customHeight="1" x14ac:dyDescent="0.15">
      <c r="A57" s="54">
        <v>1</v>
      </c>
      <c r="B57" s="53">
        <f t="shared" si="1"/>
        <v>41</v>
      </c>
      <c r="C57" s="147" t="s">
        <v>30</v>
      </c>
      <c r="D57" s="147" t="s">
        <v>30</v>
      </c>
      <c r="E57" s="185" t="s">
        <v>70</v>
      </c>
      <c r="F57" s="144">
        <v>6</v>
      </c>
      <c r="G57" s="133">
        <v>320</v>
      </c>
      <c r="H57" s="133">
        <f t="shared" si="0"/>
        <v>1920</v>
      </c>
      <c r="I57" s="186"/>
      <c r="J57" s="187" t="s">
        <v>52</v>
      </c>
      <c r="K57" s="26"/>
      <c r="L57" s="33"/>
      <c r="M57" s="30">
        <v>43567</v>
      </c>
      <c r="N57" s="31"/>
      <c r="O57" s="30"/>
      <c r="P57" s="128">
        <v>43593</v>
      </c>
      <c r="Q57" s="130">
        <v>43593</v>
      </c>
      <c r="R57" s="32"/>
    </row>
    <row r="58" spans="1:18" s="43" customFormat="1" ht="18" customHeight="1" x14ac:dyDescent="0.15">
      <c r="A58" s="115"/>
      <c r="B58" s="53"/>
      <c r="C58" s="1"/>
      <c r="D58" s="1"/>
      <c r="E58" s="44"/>
      <c r="F58" s="9"/>
      <c r="G58" s="133"/>
      <c r="H58" s="38"/>
      <c r="I58" s="6"/>
      <c r="J58" s="45"/>
      <c r="K58" s="26"/>
      <c r="L58" s="33"/>
      <c r="M58" s="30"/>
      <c r="N58" s="31"/>
      <c r="O58" s="30"/>
      <c r="P58" s="30"/>
      <c r="Q58" s="36"/>
      <c r="R58" s="32"/>
    </row>
    <row r="59" spans="1:18" s="43" customFormat="1" ht="18" customHeight="1" x14ac:dyDescent="0.15">
      <c r="A59" s="55"/>
      <c r="B59" s="53"/>
      <c r="C59" s="1"/>
      <c r="D59" s="1"/>
      <c r="E59" s="61">
        <f>SUM(H45:H58)</f>
        <v>199001</v>
      </c>
      <c r="F59" s="41"/>
      <c r="G59" s="38"/>
      <c r="I59" s="58"/>
      <c r="J59" s="60"/>
      <c r="K59" s="59"/>
      <c r="L59" s="33"/>
      <c r="M59" s="30"/>
      <c r="N59" s="31"/>
      <c r="O59" s="30"/>
      <c r="P59" s="30"/>
      <c r="Q59" s="36"/>
      <c r="R59" s="32"/>
    </row>
    <row r="60" spans="1:18" s="43" customFormat="1" ht="18" customHeight="1" x14ac:dyDescent="0.15">
      <c r="A60" s="55"/>
      <c r="B60" s="53"/>
      <c r="C60" s="1"/>
      <c r="D60" s="1"/>
      <c r="E60" s="188"/>
      <c r="F60" s="41"/>
      <c r="G60" s="38"/>
      <c r="I60" s="58"/>
      <c r="J60" s="60"/>
      <c r="K60" s="59"/>
      <c r="L60" s="33"/>
      <c r="M60" s="30"/>
      <c r="N60" s="31"/>
      <c r="O60" s="30"/>
      <c r="P60" s="30"/>
      <c r="Q60" s="36"/>
      <c r="R60" s="32"/>
    </row>
    <row r="61" spans="1:18" s="43" customFormat="1" ht="18" customHeight="1" x14ac:dyDescent="0.15">
      <c r="A61" s="55"/>
      <c r="B61" s="53"/>
      <c r="C61" s="1"/>
      <c r="D61" s="1"/>
      <c r="E61" s="40"/>
      <c r="F61" s="134"/>
      <c r="G61" s="135"/>
      <c r="H61" s="135"/>
      <c r="I61" s="189"/>
      <c r="J61" s="190"/>
      <c r="K61" s="106"/>
      <c r="L61" s="33"/>
      <c r="M61" s="30"/>
      <c r="N61" s="31"/>
      <c r="O61" s="30"/>
      <c r="P61" s="30"/>
      <c r="Q61" s="36"/>
      <c r="R61" s="32"/>
    </row>
    <row r="62" spans="1:18" s="43" customFormat="1" ht="18" customHeight="1" x14ac:dyDescent="0.15">
      <c r="A62" s="55"/>
      <c r="B62" s="53"/>
      <c r="C62" s="217" t="s">
        <v>136</v>
      </c>
      <c r="D62" s="218"/>
      <c r="E62" s="218"/>
      <c r="F62" s="138"/>
      <c r="G62" s="67"/>
      <c r="H62" s="67"/>
      <c r="I62" s="90"/>
      <c r="J62" s="60"/>
      <c r="K62" s="106"/>
      <c r="L62" s="33"/>
      <c r="M62" s="30"/>
      <c r="N62" s="31"/>
      <c r="O62" s="30"/>
      <c r="P62" s="30"/>
      <c r="Q62" s="36"/>
      <c r="R62" s="32"/>
    </row>
    <row r="63" spans="1:18" s="43" customFormat="1" ht="18" customHeight="1" x14ac:dyDescent="0.15">
      <c r="A63" s="55"/>
      <c r="B63" s="53"/>
      <c r="C63" s="104"/>
      <c r="D63" s="105"/>
      <c r="E63" s="106"/>
      <c r="F63" s="107"/>
      <c r="G63" s="108"/>
      <c r="H63" s="103"/>
      <c r="I63" s="177"/>
      <c r="J63" s="118"/>
      <c r="K63" s="106"/>
      <c r="L63" s="33"/>
      <c r="M63" s="30"/>
      <c r="N63" s="31"/>
      <c r="O63" s="30"/>
      <c r="P63" s="30"/>
      <c r="Q63" s="36"/>
      <c r="R63" s="32"/>
    </row>
    <row r="64" spans="1:18" s="43" customFormat="1" ht="18" customHeight="1" x14ac:dyDescent="0.15">
      <c r="A64" s="54">
        <v>5</v>
      </c>
      <c r="B64" s="53">
        <f>+B57+1</f>
        <v>42</v>
      </c>
      <c r="C64" s="104" t="s">
        <v>111</v>
      </c>
      <c r="D64" s="105" t="s">
        <v>112</v>
      </c>
      <c r="E64" s="106" t="s">
        <v>113</v>
      </c>
      <c r="F64" s="107">
        <v>3</v>
      </c>
      <c r="G64" s="108">
        <v>10610</v>
      </c>
      <c r="H64" s="103">
        <f t="shared" ref="H64:H75" si="6">F64*G64</f>
        <v>31830</v>
      </c>
      <c r="I64" s="109"/>
      <c r="J64" s="85" t="s">
        <v>137</v>
      </c>
      <c r="K64" s="106"/>
      <c r="L64" s="33"/>
      <c r="M64" s="30">
        <v>43567</v>
      </c>
      <c r="N64" s="31"/>
      <c r="O64" s="30">
        <v>43593</v>
      </c>
      <c r="P64" s="30">
        <v>43592</v>
      </c>
      <c r="Q64" s="36">
        <v>43592</v>
      </c>
      <c r="R64" s="32"/>
    </row>
    <row r="65" spans="1:18" s="43" customFormat="1" ht="18" customHeight="1" x14ac:dyDescent="0.15">
      <c r="A65" s="54">
        <v>5</v>
      </c>
      <c r="B65" s="53">
        <f>+B64+1</f>
        <v>43</v>
      </c>
      <c r="C65" s="70" t="s">
        <v>50</v>
      </c>
      <c r="D65" s="70" t="s">
        <v>50</v>
      </c>
      <c r="E65" s="100" t="s">
        <v>132</v>
      </c>
      <c r="F65" s="41">
        <v>3</v>
      </c>
      <c r="G65" s="38">
        <v>4800</v>
      </c>
      <c r="H65" s="68">
        <f t="shared" si="6"/>
        <v>14400</v>
      </c>
      <c r="I65" s="58"/>
      <c r="J65" s="60" t="s">
        <v>133</v>
      </c>
      <c r="L65" s="33"/>
      <c r="M65" s="30">
        <v>43567</v>
      </c>
      <c r="N65" s="31"/>
      <c r="O65" s="30">
        <v>43594</v>
      </c>
      <c r="P65" s="30">
        <v>43593</v>
      </c>
      <c r="Q65" s="36">
        <v>43594</v>
      </c>
      <c r="R65" s="32"/>
    </row>
    <row r="66" spans="1:18" s="43" customFormat="1" ht="18" customHeight="1" x14ac:dyDescent="0.15">
      <c r="A66" s="54">
        <v>5</v>
      </c>
      <c r="B66" s="53">
        <f t="shared" ref="B66:B75" si="7">+B65+1</f>
        <v>44</v>
      </c>
      <c r="C66" s="88" t="s">
        <v>78</v>
      </c>
      <c r="D66" s="88" t="s">
        <v>78</v>
      </c>
      <c r="E66" s="100" t="s">
        <v>129</v>
      </c>
      <c r="F66" s="101">
        <v>3</v>
      </c>
      <c r="G66" s="102">
        <v>54</v>
      </c>
      <c r="H66" s="68">
        <f t="shared" si="6"/>
        <v>162</v>
      </c>
      <c r="I66" s="87"/>
      <c r="J66" s="60" t="s">
        <v>131</v>
      </c>
      <c r="K66" s="59"/>
      <c r="L66" s="33"/>
      <c r="M66" s="30">
        <v>43567</v>
      </c>
      <c r="N66" s="31"/>
      <c r="O66" s="30"/>
      <c r="P66" s="128">
        <v>43593</v>
      </c>
      <c r="Q66" s="130">
        <v>43593</v>
      </c>
      <c r="R66" s="32"/>
    </row>
    <row r="67" spans="1:18" s="43" customFormat="1" ht="18" customHeight="1" x14ac:dyDescent="0.15">
      <c r="A67" s="54">
        <v>5</v>
      </c>
      <c r="B67" s="53">
        <f t="shared" si="7"/>
        <v>45</v>
      </c>
      <c r="C67" s="88" t="s">
        <v>78</v>
      </c>
      <c r="D67" s="88" t="s">
        <v>78</v>
      </c>
      <c r="E67" s="100" t="s">
        <v>128</v>
      </c>
      <c r="F67" s="101">
        <v>3</v>
      </c>
      <c r="G67" s="102">
        <v>280</v>
      </c>
      <c r="H67" s="68">
        <f t="shared" si="6"/>
        <v>840</v>
      </c>
      <c r="I67" s="87"/>
      <c r="J67" s="60" t="s">
        <v>130</v>
      </c>
      <c r="K67" s="59"/>
      <c r="L67" s="33"/>
      <c r="M67" s="30">
        <v>43567</v>
      </c>
      <c r="N67" s="31"/>
      <c r="O67" s="30"/>
      <c r="P67" s="128">
        <v>43593</v>
      </c>
      <c r="Q67" s="130">
        <v>43593</v>
      </c>
      <c r="R67" s="32"/>
    </row>
    <row r="68" spans="1:18" s="43" customFormat="1" ht="18" customHeight="1" x14ac:dyDescent="0.15">
      <c r="A68" s="54">
        <v>5</v>
      </c>
      <c r="B68" s="53">
        <f t="shared" si="7"/>
        <v>46</v>
      </c>
      <c r="C68" s="50" t="s">
        <v>117</v>
      </c>
      <c r="D68" s="1" t="s">
        <v>30</v>
      </c>
      <c r="E68" s="40" t="s">
        <v>118</v>
      </c>
      <c r="F68" s="41">
        <v>6</v>
      </c>
      <c r="G68" s="86">
        <v>158</v>
      </c>
      <c r="H68" s="68">
        <f t="shared" si="6"/>
        <v>948</v>
      </c>
      <c r="I68" s="87"/>
      <c r="J68" s="60" t="s">
        <v>114</v>
      </c>
      <c r="K68" s="59"/>
      <c r="L68" s="33"/>
      <c r="M68" s="30">
        <v>43567</v>
      </c>
      <c r="N68" s="31"/>
      <c r="O68" s="30"/>
      <c r="P68" s="128">
        <v>43593</v>
      </c>
      <c r="Q68" s="130">
        <v>43593</v>
      </c>
      <c r="R68" s="32"/>
    </row>
    <row r="69" spans="1:18" s="43" customFormat="1" ht="18" customHeight="1" x14ac:dyDescent="0.15">
      <c r="A69" s="54">
        <v>5</v>
      </c>
      <c r="B69" s="53">
        <f t="shared" si="7"/>
        <v>47</v>
      </c>
      <c r="C69" s="50" t="s">
        <v>117</v>
      </c>
      <c r="D69" s="1" t="s">
        <v>30</v>
      </c>
      <c r="E69" s="40" t="s">
        <v>115</v>
      </c>
      <c r="F69" s="41">
        <v>6</v>
      </c>
      <c r="G69" s="86">
        <v>148</v>
      </c>
      <c r="H69" s="68">
        <f t="shared" si="6"/>
        <v>888</v>
      </c>
      <c r="I69" s="87"/>
      <c r="J69" s="60" t="s">
        <v>116</v>
      </c>
      <c r="K69" s="59"/>
      <c r="L69" s="33"/>
      <c r="M69" s="30">
        <v>43567</v>
      </c>
      <c r="N69" s="31"/>
      <c r="O69" s="30"/>
      <c r="P69" s="128">
        <v>43593</v>
      </c>
      <c r="Q69" s="130">
        <v>43593</v>
      </c>
      <c r="R69" s="32"/>
    </row>
    <row r="70" spans="1:18" s="43" customFormat="1" ht="18" customHeight="1" x14ac:dyDescent="0.15">
      <c r="A70" s="54">
        <v>5</v>
      </c>
      <c r="B70" s="53">
        <f t="shared" si="7"/>
        <v>48</v>
      </c>
      <c r="C70" s="88" t="s">
        <v>78</v>
      </c>
      <c r="D70" s="88" t="s">
        <v>78</v>
      </c>
      <c r="E70" s="89" t="s">
        <v>119</v>
      </c>
      <c r="F70" s="63">
        <v>1</v>
      </c>
      <c r="G70" s="90">
        <v>940</v>
      </c>
      <c r="H70" s="4">
        <f t="shared" si="6"/>
        <v>940</v>
      </c>
      <c r="I70" s="91"/>
      <c r="J70" s="92" t="s">
        <v>120</v>
      </c>
      <c r="K70" s="59"/>
      <c r="L70" s="33"/>
      <c r="M70" s="30">
        <v>43567</v>
      </c>
      <c r="N70" s="31"/>
      <c r="O70" s="30"/>
      <c r="P70" s="128">
        <v>43593</v>
      </c>
      <c r="Q70" s="130">
        <v>43593</v>
      </c>
      <c r="R70" s="32"/>
    </row>
    <row r="71" spans="1:18" s="43" customFormat="1" ht="18" customHeight="1" x14ac:dyDescent="0.15">
      <c r="A71" s="54">
        <v>5</v>
      </c>
      <c r="B71" s="53">
        <f t="shared" si="7"/>
        <v>49</v>
      </c>
      <c r="C71" s="93" t="s">
        <v>78</v>
      </c>
      <c r="D71" s="93" t="s">
        <v>78</v>
      </c>
      <c r="E71" s="94" t="s">
        <v>121</v>
      </c>
      <c r="F71" s="64">
        <v>1</v>
      </c>
      <c r="G71" s="95">
        <v>570</v>
      </c>
      <c r="H71" s="96">
        <f t="shared" si="6"/>
        <v>570</v>
      </c>
      <c r="I71" s="97"/>
      <c r="J71" s="94" t="s">
        <v>122</v>
      </c>
      <c r="K71" s="59"/>
      <c r="L71" s="33"/>
      <c r="M71" s="30">
        <v>43567</v>
      </c>
      <c r="N71" s="31"/>
      <c r="O71" s="30"/>
      <c r="P71" s="128">
        <v>43593</v>
      </c>
      <c r="Q71" s="130">
        <v>43593</v>
      </c>
      <c r="R71" s="32"/>
    </row>
    <row r="72" spans="1:18" s="43" customFormat="1" ht="18" customHeight="1" x14ac:dyDescent="0.15">
      <c r="A72" s="54">
        <v>5</v>
      </c>
      <c r="B72" s="53">
        <f t="shared" si="7"/>
        <v>50</v>
      </c>
      <c r="C72" s="93" t="s">
        <v>78</v>
      </c>
      <c r="D72" s="93" t="s">
        <v>78</v>
      </c>
      <c r="E72" s="40" t="s">
        <v>123</v>
      </c>
      <c r="F72" s="41">
        <v>6</v>
      </c>
      <c r="G72" s="86">
        <v>270</v>
      </c>
      <c r="H72" s="68">
        <f t="shared" si="6"/>
        <v>1620</v>
      </c>
      <c r="I72" s="87"/>
      <c r="J72" s="60" t="s">
        <v>124</v>
      </c>
      <c r="K72" s="59"/>
      <c r="L72" s="33"/>
      <c r="M72" s="30">
        <v>43567</v>
      </c>
      <c r="N72" s="31"/>
      <c r="O72" s="30"/>
      <c r="P72" s="128">
        <v>43593</v>
      </c>
      <c r="Q72" s="130">
        <v>43593</v>
      </c>
      <c r="R72" s="32"/>
    </row>
    <row r="73" spans="1:18" s="43" customFormat="1" ht="18" customHeight="1" x14ac:dyDescent="0.15">
      <c r="A73" s="54">
        <v>5</v>
      </c>
      <c r="B73" s="53">
        <f t="shared" si="7"/>
        <v>51</v>
      </c>
      <c r="C73" s="93" t="s">
        <v>78</v>
      </c>
      <c r="D73" s="93" t="s">
        <v>78</v>
      </c>
      <c r="E73" s="99" t="s">
        <v>125</v>
      </c>
      <c r="F73" s="41">
        <v>6</v>
      </c>
      <c r="G73" s="86">
        <v>780</v>
      </c>
      <c r="H73" s="68">
        <f t="shared" si="6"/>
        <v>4680</v>
      </c>
      <c r="I73" s="87"/>
      <c r="J73" s="60" t="s">
        <v>126</v>
      </c>
      <c r="K73" s="59"/>
      <c r="L73" s="33"/>
      <c r="M73" s="30">
        <v>43567</v>
      </c>
      <c r="N73" s="31"/>
      <c r="O73" s="30"/>
      <c r="P73" s="128">
        <v>43593</v>
      </c>
      <c r="Q73" s="130">
        <v>43593</v>
      </c>
      <c r="R73" s="32"/>
    </row>
    <row r="74" spans="1:18" s="43" customFormat="1" ht="18" customHeight="1" x14ac:dyDescent="0.15">
      <c r="A74" s="54">
        <v>5</v>
      </c>
      <c r="B74" s="53">
        <f t="shared" si="7"/>
        <v>52</v>
      </c>
      <c r="C74" s="93" t="s">
        <v>78</v>
      </c>
      <c r="D74" s="93" t="s">
        <v>78</v>
      </c>
      <c r="E74" s="193" t="s">
        <v>139</v>
      </c>
      <c r="F74" s="41">
        <v>8</v>
      </c>
      <c r="G74" s="86">
        <v>190</v>
      </c>
      <c r="H74" s="68">
        <f t="shared" si="6"/>
        <v>1520</v>
      </c>
      <c r="I74" s="87"/>
      <c r="J74" s="60" t="s">
        <v>140</v>
      </c>
      <c r="K74" s="59"/>
      <c r="L74" s="33"/>
      <c r="M74" s="30">
        <v>43597</v>
      </c>
      <c r="N74" s="31"/>
      <c r="O74" s="30"/>
      <c r="P74" s="128">
        <v>43600</v>
      </c>
      <c r="Q74" s="130">
        <v>43600</v>
      </c>
      <c r="R74" s="32"/>
    </row>
    <row r="75" spans="1:18" s="43" customFormat="1" ht="18" customHeight="1" x14ac:dyDescent="0.15">
      <c r="A75" s="54">
        <v>5</v>
      </c>
      <c r="B75" s="53">
        <f t="shared" si="7"/>
        <v>53</v>
      </c>
      <c r="C75" s="93" t="s">
        <v>78</v>
      </c>
      <c r="D75" s="93" t="s">
        <v>78</v>
      </c>
      <c r="E75" s="193" t="s">
        <v>141</v>
      </c>
      <c r="F75" s="41">
        <v>8</v>
      </c>
      <c r="G75" s="86">
        <v>220</v>
      </c>
      <c r="H75" s="68">
        <f t="shared" si="6"/>
        <v>1760</v>
      </c>
      <c r="I75" s="87"/>
      <c r="J75" s="60" t="s">
        <v>142</v>
      </c>
      <c r="K75" s="59"/>
      <c r="L75" s="33"/>
      <c r="M75" s="30">
        <v>43597</v>
      </c>
      <c r="N75" s="31"/>
      <c r="O75" s="30"/>
      <c r="P75" s="128">
        <v>43600</v>
      </c>
      <c r="Q75" s="130">
        <v>43600</v>
      </c>
      <c r="R75" s="32"/>
    </row>
    <row r="76" spans="1:18" s="43" customFormat="1" ht="18" customHeight="1" x14ac:dyDescent="0.15">
      <c r="A76" s="55"/>
      <c r="B76" s="98"/>
      <c r="C76" s="93"/>
      <c r="D76" s="93"/>
      <c r="E76" s="99"/>
      <c r="F76" s="41"/>
      <c r="G76" s="86"/>
      <c r="H76" s="68"/>
      <c r="I76" s="87"/>
      <c r="J76" s="60"/>
      <c r="K76" s="59"/>
      <c r="L76" s="33"/>
      <c r="M76" s="30"/>
      <c r="N76" s="31"/>
      <c r="O76" s="30"/>
      <c r="P76" s="30"/>
      <c r="Q76" s="36"/>
      <c r="R76" s="32"/>
    </row>
    <row r="77" spans="1:18" s="43" customFormat="1" ht="18" customHeight="1" x14ac:dyDescent="0.15">
      <c r="A77" s="55"/>
      <c r="B77" s="53"/>
      <c r="C77" s="1"/>
      <c r="D77" s="1"/>
      <c r="E77" s="61">
        <f>SUM(H64:H76)</f>
        <v>60158</v>
      </c>
      <c r="F77" s="41"/>
      <c r="G77" s="38"/>
      <c r="H77" s="38"/>
      <c r="I77" s="4"/>
      <c r="J77" s="37"/>
      <c r="K77" s="27"/>
      <c r="L77" s="33"/>
      <c r="M77" s="30"/>
      <c r="N77" s="31"/>
      <c r="O77" s="34"/>
      <c r="P77" s="30"/>
      <c r="Q77" s="36"/>
      <c r="R77" s="32"/>
    </row>
    <row r="78" spans="1:18" s="43" customFormat="1" ht="18" customHeight="1" x14ac:dyDescent="0.15">
      <c r="A78" s="55"/>
      <c r="B78" s="53"/>
      <c r="C78" s="1"/>
      <c r="D78" s="1"/>
      <c r="E78" s="40"/>
      <c r="F78" s="41"/>
      <c r="G78" s="38"/>
      <c r="H78" s="38"/>
      <c r="I78" s="4"/>
      <c r="J78" s="37"/>
      <c r="K78" s="26"/>
      <c r="L78" s="33"/>
      <c r="M78" s="30"/>
      <c r="N78" s="31"/>
      <c r="O78" s="34"/>
      <c r="P78" s="30"/>
      <c r="Q78" s="36"/>
      <c r="R78" s="32"/>
    </row>
    <row r="79" spans="1:18" s="43" customFormat="1" ht="18" customHeight="1" x14ac:dyDescent="0.15">
      <c r="A79" s="55"/>
      <c r="B79" s="194"/>
      <c r="C79" s="211" t="s">
        <v>143</v>
      </c>
      <c r="D79" s="212"/>
      <c r="E79" s="213"/>
      <c r="F79" s="195"/>
      <c r="G79" s="196"/>
      <c r="H79" s="197"/>
      <c r="I79" s="198"/>
      <c r="J79" s="199"/>
      <c r="K79" s="26"/>
      <c r="L79" s="33"/>
      <c r="M79" s="30"/>
      <c r="N79" s="31"/>
      <c r="O79" s="34"/>
      <c r="P79" s="30"/>
      <c r="Q79" s="36"/>
      <c r="R79" s="32"/>
    </row>
    <row r="80" spans="1:18" s="132" customFormat="1" ht="18" customHeight="1" x14ac:dyDescent="0.15">
      <c r="A80" s="115"/>
      <c r="B80" s="53">
        <f>+B75+1</f>
        <v>54</v>
      </c>
      <c r="C80" s="112" t="s">
        <v>30</v>
      </c>
      <c r="D80" s="112" t="s">
        <v>30</v>
      </c>
      <c r="E80" s="205" t="s">
        <v>144</v>
      </c>
      <c r="F80" s="206">
        <v>3</v>
      </c>
      <c r="G80" s="202">
        <v>168</v>
      </c>
      <c r="H80" s="197">
        <f t="shared" ref="H80:H82" si="8">F80*G80</f>
        <v>504</v>
      </c>
      <c r="I80" s="117"/>
      <c r="J80" s="203" t="s">
        <v>147</v>
      </c>
      <c r="K80" s="126"/>
      <c r="L80" s="127"/>
      <c r="M80" s="128">
        <v>43602</v>
      </c>
      <c r="N80" s="129"/>
      <c r="O80" s="204"/>
      <c r="P80" s="128" t="s">
        <v>148</v>
      </c>
      <c r="Q80" s="130"/>
      <c r="R80" s="191"/>
    </row>
    <row r="81" spans="1:18" s="132" customFormat="1" ht="18" customHeight="1" x14ac:dyDescent="0.15">
      <c r="A81" s="115"/>
      <c r="B81" s="53">
        <f t="shared" ref="B81" si="9">+B80+1</f>
        <v>55</v>
      </c>
      <c r="C81" s="112" t="s">
        <v>30</v>
      </c>
      <c r="D81" s="112" t="s">
        <v>30</v>
      </c>
      <c r="E81" s="205" t="s">
        <v>145</v>
      </c>
      <c r="F81" s="206">
        <v>3</v>
      </c>
      <c r="G81" s="202">
        <v>378</v>
      </c>
      <c r="H81" s="197">
        <f t="shared" si="8"/>
        <v>1134</v>
      </c>
      <c r="I81" s="117"/>
      <c r="J81" s="203" t="s">
        <v>146</v>
      </c>
      <c r="K81" s="126"/>
      <c r="L81" s="127"/>
      <c r="M81" s="128">
        <v>43602</v>
      </c>
      <c r="N81" s="129"/>
      <c r="O81" s="204"/>
      <c r="P81" s="128" t="s">
        <v>148</v>
      </c>
      <c r="Q81" s="130"/>
      <c r="R81" s="191"/>
    </row>
    <row r="82" spans="1:18" s="43" customFormat="1" ht="18" customHeight="1" x14ac:dyDescent="0.15">
      <c r="A82" s="55"/>
      <c r="B82" s="194"/>
      <c r="C82" s="112"/>
      <c r="D82" s="112"/>
      <c r="E82" s="200"/>
      <c r="F82" s="108"/>
      <c r="G82" s="197"/>
      <c r="H82" s="197">
        <f t="shared" si="8"/>
        <v>0</v>
      </c>
      <c r="I82" s="172"/>
      <c r="J82" s="180"/>
      <c r="K82" s="26"/>
      <c r="L82" s="33"/>
      <c r="M82" s="30"/>
      <c r="N82" s="31"/>
      <c r="O82" s="34"/>
      <c r="P82" s="30"/>
      <c r="Q82" s="36"/>
      <c r="R82" s="32"/>
    </row>
    <row r="83" spans="1:18" s="43" customFormat="1" ht="18" customHeight="1" x14ac:dyDescent="0.15">
      <c r="A83" s="55"/>
      <c r="B83" s="194"/>
      <c r="C83" s="194"/>
      <c r="D83" s="194"/>
      <c r="E83" s="201">
        <f>SUM(H80:H82)</f>
        <v>1638</v>
      </c>
      <c r="F83" s="195"/>
      <c r="G83" s="196"/>
      <c r="H83" s="197"/>
      <c r="I83" s="198"/>
      <c r="J83" s="199"/>
      <c r="K83" s="26"/>
      <c r="L83" s="33"/>
      <c r="M83" s="30"/>
      <c r="N83" s="31"/>
      <c r="O83" s="34"/>
      <c r="P83" s="30"/>
      <c r="Q83" s="36"/>
      <c r="R83" s="32"/>
    </row>
    <row r="84" spans="1:18" s="43" customFormat="1" ht="18" customHeight="1" x14ac:dyDescent="0.15">
      <c r="A84" s="55"/>
      <c r="B84" s="53"/>
      <c r="C84" s="1"/>
      <c r="D84" s="1"/>
      <c r="E84" s="40"/>
      <c r="F84" s="41"/>
      <c r="G84" s="38"/>
      <c r="H84" s="38"/>
      <c r="I84" s="4"/>
      <c r="J84" s="37"/>
      <c r="K84" s="26"/>
      <c r="L84" s="33"/>
      <c r="M84" s="30"/>
      <c r="N84" s="31"/>
      <c r="O84" s="34"/>
      <c r="P84" s="30"/>
      <c r="Q84" s="36"/>
      <c r="R84" s="32"/>
    </row>
    <row r="85" spans="1:18" s="43" customFormat="1" ht="18" customHeight="1" x14ac:dyDescent="0.15">
      <c r="A85" s="55"/>
      <c r="B85" s="53"/>
      <c r="C85" s="1"/>
      <c r="D85" s="1"/>
      <c r="E85" s="40"/>
      <c r="F85" s="41"/>
      <c r="G85" s="38"/>
      <c r="H85" s="38"/>
      <c r="I85" s="4"/>
      <c r="J85" s="37"/>
      <c r="K85" s="26"/>
      <c r="L85" s="33"/>
      <c r="M85" s="30"/>
      <c r="N85" s="31"/>
      <c r="O85" s="34"/>
      <c r="P85" s="30"/>
      <c r="Q85" s="36"/>
      <c r="R85" s="32"/>
    </row>
    <row r="86" spans="1:18" s="43" customFormat="1" ht="18" customHeight="1" x14ac:dyDescent="0.15">
      <c r="A86" s="55"/>
      <c r="B86" s="53"/>
      <c r="C86" s="1"/>
      <c r="D86" s="1"/>
      <c r="E86" s="40"/>
      <c r="F86" s="41"/>
      <c r="G86" s="38"/>
      <c r="H86" s="38"/>
      <c r="I86" s="4"/>
      <c r="J86" s="37"/>
      <c r="K86" s="26"/>
      <c r="L86" s="33"/>
      <c r="M86" s="30"/>
      <c r="N86" s="31"/>
      <c r="O86" s="34"/>
      <c r="P86" s="30"/>
      <c r="Q86" s="36"/>
      <c r="R86" s="32"/>
    </row>
    <row r="87" spans="1:18" s="43" customFormat="1" ht="18" customHeight="1" x14ac:dyDescent="0.15">
      <c r="A87" s="55"/>
      <c r="B87" s="53"/>
      <c r="C87" s="1"/>
      <c r="D87" s="1"/>
      <c r="E87" s="40"/>
      <c r="F87" s="41"/>
      <c r="G87" s="38"/>
      <c r="H87" s="38"/>
      <c r="I87" s="4"/>
      <c r="J87" s="37"/>
      <c r="K87" s="26"/>
      <c r="L87" s="33"/>
      <c r="M87" s="30"/>
      <c r="N87" s="31"/>
      <c r="O87" s="34"/>
      <c r="P87" s="30"/>
      <c r="Q87" s="36"/>
      <c r="R87" s="32"/>
    </row>
    <row r="88" spans="1:18" s="43" customFormat="1" ht="18" customHeight="1" x14ac:dyDescent="0.15">
      <c r="A88" s="55"/>
      <c r="B88" s="53"/>
      <c r="C88" s="1"/>
      <c r="D88" s="1"/>
      <c r="E88" s="3" t="s">
        <v>47</v>
      </c>
      <c r="F88" s="38"/>
      <c r="G88" s="38">
        <v>1500</v>
      </c>
      <c r="H88" s="38">
        <f>F88*G88</f>
        <v>0</v>
      </c>
      <c r="I88" s="4"/>
      <c r="J88" s="37"/>
      <c r="K88" s="26"/>
      <c r="L88" s="33"/>
      <c r="M88" s="30"/>
      <c r="N88" s="31"/>
      <c r="O88" s="34"/>
      <c r="P88" s="30"/>
      <c r="Q88" s="36"/>
      <c r="R88" s="32"/>
    </row>
    <row r="89" spans="1:18" s="43" customFormat="1" ht="18" customHeight="1" x14ac:dyDescent="0.15">
      <c r="A89" s="55"/>
      <c r="B89" s="53"/>
      <c r="C89" s="1"/>
      <c r="D89" s="1"/>
      <c r="E89" s="3" t="s">
        <v>48</v>
      </c>
      <c r="F89" s="38"/>
      <c r="G89" s="38">
        <v>5000</v>
      </c>
      <c r="H89" s="38">
        <f>F89*G89</f>
        <v>0</v>
      </c>
      <c r="I89" s="4"/>
      <c r="J89" s="37"/>
      <c r="K89" s="26"/>
      <c r="L89" s="33"/>
      <c r="M89" s="30"/>
      <c r="N89" s="31"/>
      <c r="O89" s="34"/>
      <c r="P89" s="30"/>
      <c r="Q89" s="36"/>
      <c r="R89" s="32"/>
    </row>
    <row r="90" spans="1:18" s="43" customFormat="1" ht="18" customHeight="1" x14ac:dyDescent="0.15">
      <c r="A90" s="55"/>
      <c r="B90" s="53"/>
      <c r="C90" s="1"/>
      <c r="D90" s="1"/>
      <c r="E90" s="3" t="s">
        <v>49</v>
      </c>
      <c r="F90" s="38"/>
      <c r="G90" s="38">
        <v>5000</v>
      </c>
      <c r="H90" s="38">
        <f>F90*G90</f>
        <v>0</v>
      </c>
      <c r="I90" s="4"/>
      <c r="J90" s="37"/>
      <c r="K90" s="26"/>
      <c r="L90" s="33"/>
      <c r="M90" s="30"/>
      <c r="N90" s="31"/>
      <c r="O90" s="34"/>
      <c r="P90" s="30"/>
      <c r="Q90" s="36"/>
      <c r="R90" s="32"/>
    </row>
    <row r="91" spans="1:18" s="43" customFormat="1" ht="18" customHeight="1" x14ac:dyDescent="0.15">
      <c r="A91" s="55"/>
      <c r="B91" s="53"/>
      <c r="C91" s="1"/>
      <c r="D91" s="1"/>
      <c r="E91" s="40"/>
      <c r="F91" s="41"/>
      <c r="G91" s="38"/>
      <c r="H91" s="38"/>
      <c r="I91" s="4"/>
      <c r="J91" s="37"/>
      <c r="K91" s="26"/>
      <c r="L91" s="33"/>
      <c r="M91" s="30"/>
      <c r="N91" s="31"/>
      <c r="O91" s="34"/>
      <c r="P91" s="30"/>
      <c r="Q91" s="36"/>
      <c r="R91" s="32"/>
    </row>
    <row r="92" spans="1:18" s="43" customFormat="1" ht="18" customHeight="1" x14ac:dyDescent="0.15">
      <c r="A92" s="55"/>
      <c r="B92" s="53"/>
      <c r="C92" s="1"/>
      <c r="D92" s="1"/>
      <c r="E92" s="40"/>
      <c r="F92" s="41"/>
      <c r="G92" s="38"/>
      <c r="H92" s="38"/>
      <c r="I92" s="4"/>
      <c r="J92" s="37"/>
      <c r="K92" s="26"/>
      <c r="L92" s="33"/>
      <c r="M92" s="30"/>
      <c r="N92" s="31"/>
      <c r="O92" s="34"/>
      <c r="P92" s="30"/>
      <c r="Q92" s="36"/>
      <c r="R92" s="32"/>
    </row>
    <row r="93" spans="1:18" s="43" customFormat="1" ht="18" customHeight="1" x14ac:dyDescent="0.15">
      <c r="A93" s="55"/>
      <c r="B93" s="53"/>
      <c r="C93" s="1"/>
      <c r="D93" s="1"/>
      <c r="E93" s="40"/>
      <c r="F93" s="41"/>
      <c r="G93" s="38"/>
      <c r="H93" s="38"/>
      <c r="I93" s="4"/>
      <c r="J93" s="37"/>
      <c r="K93" s="26"/>
      <c r="L93" s="33"/>
      <c r="M93" s="30"/>
      <c r="N93" s="31"/>
      <c r="O93" s="34"/>
      <c r="P93" s="30"/>
      <c r="Q93" s="36"/>
      <c r="R93" s="32"/>
    </row>
    <row r="94" spans="1:18" s="43" customFormat="1" ht="18" customHeight="1" x14ac:dyDescent="0.15">
      <c r="A94" s="55"/>
      <c r="B94" s="53"/>
      <c r="C94" s="1"/>
      <c r="D94" s="1"/>
      <c r="E94" s="40"/>
      <c r="F94" s="41"/>
      <c r="G94" s="38"/>
      <c r="H94" s="38"/>
      <c r="I94" s="4"/>
      <c r="J94" s="37"/>
      <c r="K94" s="26"/>
      <c r="L94" s="2"/>
      <c r="M94" s="13"/>
      <c r="N94" s="5"/>
      <c r="O94" s="7"/>
      <c r="P94" s="13"/>
      <c r="Q94" s="10"/>
    </row>
    <row r="95" spans="1:18" s="43" customFormat="1" ht="18" customHeight="1" x14ac:dyDescent="0.15">
      <c r="A95" s="55"/>
      <c r="B95" s="53"/>
      <c r="C95" s="1"/>
      <c r="D95" s="1"/>
      <c r="E95" s="40"/>
      <c r="F95" s="41"/>
      <c r="G95" s="38"/>
      <c r="H95" s="38"/>
      <c r="I95" s="4"/>
      <c r="J95" s="37"/>
      <c r="K95" s="26"/>
      <c r="L95" s="2"/>
      <c r="M95" s="13"/>
      <c r="N95" s="5"/>
      <c r="O95" s="7"/>
      <c r="P95" s="13"/>
      <c r="Q95" s="10"/>
    </row>
    <row r="96" spans="1:18" s="43" customFormat="1" ht="18" customHeight="1" x14ac:dyDescent="0.15">
      <c r="A96" s="55"/>
      <c r="B96" s="53"/>
      <c r="C96" s="1"/>
      <c r="D96" s="1"/>
      <c r="E96" s="40"/>
      <c r="F96" s="41"/>
      <c r="G96" s="38"/>
      <c r="H96" s="38"/>
      <c r="I96" s="4"/>
      <c r="J96" s="37"/>
      <c r="K96" s="26"/>
      <c r="L96" s="2"/>
      <c r="M96" s="13"/>
      <c r="N96" s="5"/>
      <c r="O96" s="7"/>
      <c r="P96" s="13"/>
      <c r="Q96" s="10"/>
    </row>
    <row r="97" spans="1:17" s="43" customFormat="1" ht="18" customHeight="1" x14ac:dyDescent="0.15">
      <c r="A97" s="55"/>
      <c r="B97" s="53"/>
      <c r="C97" s="1"/>
      <c r="D97" s="1"/>
      <c r="E97" s="40"/>
      <c r="F97" s="41"/>
      <c r="G97" s="38"/>
      <c r="H97" s="38"/>
      <c r="I97" s="4"/>
      <c r="J97" s="37"/>
      <c r="K97" s="26"/>
      <c r="L97" s="2"/>
      <c r="M97" s="13"/>
      <c r="N97" s="5"/>
      <c r="O97" s="7"/>
      <c r="P97" s="13"/>
      <c r="Q97" s="10"/>
    </row>
    <row r="98" spans="1:17" s="43" customFormat="1" ht="18" customHeight="1" x14ac:dyDescent="0.15">
      <c r="A98" s="55"/>
      <c r="B98" s="56"/>
      <c r="C98" s="1"/>
      <c r="D98" s="1"/>
      <c r="E98" s="3"/>
      <c r="F98" s="38"/>
      <c r="G98" s="38"/>
      <c r="H98" s="38"/>
      <c r="I98" s="8"/>
      <c r="J98" s="2"/>
      <c r="K98" s="3"/>
      <c r="L98" s="2"/>
      <c r="M98" s="13"/>
      <c r="N98" s="5"/>
      <c r="O98" s="7"/>
      <c r="P98" s="13"/>
      <c r="Q98" s="10"/>
    </row>
    <row r="99" spans="1:17" s="43" customFormat="1" ht="18" customHeight="1" x14ac:dyDescent="0.15">
      <c r="A99" s="55"/>
      <c r="B99" s="56"/>
      <c r="C99" s="9"/>
      <c r="D99" s="9"/>
      <c r="E99" s="3"/>
      <c r="F99" s="38"/>
      <c r="G99" s="38"/>
      <c r="H99" s="38"/>
      <c r="I99" s="6"/>
      <c r="J99" s="2"/>
      <c r="K99" s="3"/>
      <c r="L99" s="2"/>
      <c r="M99" s="13"/>
      <c r="N99" s="5"/>
      <c r="O99" s="7"/>
      <c r="P99" s="13"/>
      <c r="Q99" s="10"/>
    </row>
    <row r="100" spans="1:17" ht="18" customHeight="1" x14ac:dyDescent="0.15">
      <c r="A100" s="57"/>
      <c r="B100" s="56"/>
      <c r="C100" s="9"/>
      <c r="D100" s="9"/>
      <c r="E100" s="3"/>
      <c r="F100" s="38"/>
      <c r="G100" s="38"/>
      <c r="H100" s="38"/>
      <c r="I100" s="8"/>
      <c r="J100" s="2"/>
      <c r="K100" s="3"/>
      <c r="L100" s="2"/>
      <c r="M100" s="13"/>
      <c r="N100" s="5"/>
      <c r="O100" s="7"/>
      <c r="P100" s="13"/>
      <c r="Q100" s="10"/>
    </row>
    <row r="101" spans="1:17" ht="18" customHeight="1" x14ac:dyDescent="0.15">
      <c r="A101" s="57"/>
      <c r="B101" s="56"/>
      <c r="C101" s="9"/>
      <c r="D101" s="9"/>
      <c r="E101" s="3"/>
      <c r="F101" s="38"/>
      <c r="G101" s="38"/>
      <c r="H101" s="38"/>
      <c r="I101" s="8"/>
      <c r="J101" s="2"/>
      <c r="K101" s="3"/>
      <c r="L101" s="2"/>
      <c r="M101" s="13"/>
      <c r="N101" s="5"/>
      <c r="O101" s="7"/>
      <c r="P101" s="13"/>
      <c r="Q101" s="10"/>
    </row>
    <row r="102" spans="1:17" ht="18" customHeight="1" x14ac:dyDescent="0.15">
      <c r="A102" s="57"/>
      <c r="B102" s="56"/>
      <c r="C102" s="9"/>
      <c r="D102" s="9"/>
      <c r="E102" s="3"/>
      <c r="F102" s="38"/>
      <c r="G102" s="38"/>
      <c r="H102" s="38"/>
      <c r="I102" s="8"/>
      <c r="J102" s="2"/>
      <c r="K102" s="3"/>
      <c r="L102" s="2"/>
      <c r="M102" s="13"/>
      <c r="N102" s="5"/>
      <c r="O102" s="7"/>
      <c r="P102" s="13"/>
      <c r="Q102" s="10"/>
    </row>
    <row r="103" spans="1:17" ht="18" customHeight="1" x14ac:dyDescent="0.15">
      <c r="A103" s="57"/>
      <c r="B103" s="56"/>
      <c r="C103" s="1"/>
      <c r="D103" s="1"/>
      <c r="E103" s="3"/>
      <c r="F103" s="38"/>
      <c r="G103" s="38"/>
      <c r="H103" s="38"/>
      <c r="I103" s="8"/>
      <c r="J103" s="3"/>
      <c r="K103" s="3"/>
      <c r="L103" s="2"/>
      <c r="M103" s="13"/>
      <c r="N103" s="5"/>
      <c r="O103" s="7"/>
      <c r="P103" s="13"/>
      <c r="Q103" s="10"/>
    </row>
    <row r="104" spans="1:17" ht="18" customHeight="1" x14ac:dyDescent="0.15">
      <c r="A104" s="57"/>
      <c r="B104" s="56"/>
      <c r="C104" s="1"/>
      <c r="D104" s="1"/>
      <c r="E104" s="3"/>
      <c r="F104" s="38"/>
      <c r="G104" s="38"/>
      <c r="H104" s="38"/>
      <c r="I104" s="8"/>
      <c r="J104" s="2"/>
      <c r="K104" s="3"/>
      <c r="L104" s="2"/>
      <c r="M104" s="13"/>
      <c r="N104" s="5"/>
      <c r="O104" s="7"/>
      <c r="P104" s="13"/>
      <c r="Q104" s="10"/>
    </row>
    <row r="105" spans="1:17" ht="13.5" customHeight="1" x14ac:dyDescent="0.15">
      <c r="M105" s="19"/>
      <c r="P105" s="15"/>
      <c r="Q105" s="16"/>
    </row>
    <row r="106" spans="1:17" ht="13.5" customHeight="1" x14ac:dyDescent="0.15">
      <c r="M106" s="19"/>
      <c r="P106" s="15"/>
      <c r="Q106" s="16"/>
    </row>
    <row r="107" spans="1:17" ht="13.5" customHeight="1" x14ac:dyDescent="0.15">
      <c r="C107" s="11"/>
      <c r="D107" s="11"/>
      <c r="E107" s="17"/>
      <c r="G107" s="42"/>
      <c r="H107" s="42"/>
      <c r="I107" s="12"/>
      <c r="M107" s="19"/>
      <c r="P107" s="15"/>
      <c r="Q107" s="16"/>
    </row>
    <row r="108" spans="1:17" ht="13.5" customHeight="1" x14ac:dyDescent="0.15">
      <c r="C108" s="11"/>
      <c r="D108" s="11"/>
      <c r="E108" s="18"/>
      <c r="G108" s="42"/>
      <c r="H108" s="42"/>
      <c r="I108" s="12"/>
      <c r="M108" s="19"/>
      <c r="P108" s="15"/>
    </row>
    <row r="109" spans="1:17" ht="13.5" customHeight="1" x14ac:dyDescent="0.15">
      <c r="C109" s="11"/>
      <c r="D109" s="11"/>
      <c r="E109" s="17"/>
      <c r="F109" s="49"/>
      <c r="G109" s="42"/>
      <c r="H109" s="42"/>
      <c r="I109" s="12"/>
      <c r="P109" s="15"/>
    </row>
    <row r="110" spans="1:17" ht="13.5" customHeight="1" x14ac:dyDescent="0.15">
      <c r="P110" s="15"/>
    </row>
    <row r="111" spans="1:17" ht="13.5" customHeight="1" x14ac:dyDescent="0.15">
      <c r="P111" s="15"/>
    </row>
    <row r="112" spans="1:17" ht="13.5" customHeight="1" x14ac:dyDescent="0.15">
      <c r="P112" s="15"/>
    </row>
    <row r="113" spans="16:16" ht="13.5" customHeight="1" x14ac:dyDescent="0.15">
      <c r="P113" s="15"/>
    </row>
    <row r="114" spans="16:16" ht="13.5" customHeight="1" x14ac:dyDescent="0.15">
      <c r="P114" s="15"/>
    </row>
  </sheetData>
  <autoFilter ref="B8:O76" xr:uid="{00000000-0009-0000-0000-000000000000}"/>
  <mergeCells count="12">
    <mergeCell ref="C79:E79"/>
    <mergeCell ref="C9:E9"/>
    <mergeCell ref="C43:E43"/>
    <mergeCell ref="C62:E62"/>
    <mergeCell ref="K4:K5"/>
    <mergeCell ref="J4:J5"/>
    <mergeCell ref="B6:D6"/>
    <mergeCell ref="B2:D2"/>
    <mergeCell ref="G2:I2"/>
    <mergeCell ref="B3:D3"/>
    <mergeCell ref="B4:D4"/>
    <mergeCell ref="B5:D5"/>
  </mergeCells>
  <phoneticPr fontId="7"/>
  <dataValidations count="1">
    <dataValidation allowBlank="1" showInputMessage="1" showErrorMessage="1" sqref="J25:J40 J59:J62 J65:J69 J72:J78 J84:J9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0.5" defaultRowHeight="13.5" customHeight="1" x14ac:dyDescent="0.15"/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5" defaultRowHeight="13.5" customHeight="1" x14ac:dyDescent="0.15"/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(2連ﾋﾟｯﾁ変更TYPE) (3SET) </vt:lpstr>
      <vt:lpstr>Sheet2</vt:lpstr>
      <vt:lpstr>Sheet3</vt:lpstr>
      <vt:lpstr>'(2連ﾋﾟｯﾁ変更TYPE) (3SET)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moriwaki</dc:creator>
  <cp:lastModifiedBy>shinohara</cp:lastModifiedBy>
  <dcterms:created xsi:type="dcterms:W3CDTF">2016-04-26T04:36:34Z</dcterms:created>
  <dcterms:modified xsi:type="dcterms:W3CDTF">2019-08-16T05:38:13Z</dcterms:modified>
</cp:coreProperties>
</file>