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18EE1B9-C50B-429E-A658-BBC61863C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30922) " sheetId="12" r:id="rId1"/>
    <sheet name="Sheet1" sheetId="13" r:id="rId2"/>
    <sheet name="Sheet2" sheetId="2" r:id="rId3"/>
    <sheet name="Sheet3" sheetId="3" r:id="rId4"/>
  </sheets>
  <definedNames>
    <definedName name="_xlnm._FilterDatabase" localSheetId="0">'発注 (20230922)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2" l="1"/>
  <c r="I15" i="12"/>
  <c r="I12" i="12"/>
  <c r="I13" i="12"/>
  <c r="I14" i="12"/>
  <c r="I11" i="12" l="1"/>
  <c r="C11" i="12"/>
  <c r="I10" i="12"/>
  <c r="C12" i="12" l="1"/>
  <c r="C13" i="12" s="1"/>
  <c r="C14" i="12" s="1"/>
  <c r="C15" i="12" s="1"/>
  <c r="I25" i="12" l="1"/>
  <c r="I24" i="12"/>
  <c r="I23" i="12"/>
  <c r="K2" i="12" l="1"/>
</calcChain>
</file>

<file path=xl/sharedStrings.xml><?xml version="1.0" encoding="utf-8"?>
<sst xmlns="http://schemas.openxmlformats.org/spreadsheetml/2006/main" count="62" uniqueCount="46">
  <si>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</si>
  <si>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</si>
  <si>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</si>
  <si>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</si>
  <si>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</si>
  <si>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</si>
  <si>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</si>
  <si>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</si>
  <si>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</si>
  <si>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</si>
  <si>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</si>
  <si>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</si>
  <si>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</si>
  <si>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</si>
  <si>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</si>
  <si>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</si>
  <si>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</si>
  <si>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</si>
  <si>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</si>
  <si>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</si>
  <si>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</si>
  <si>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</si>
  <si>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</si>
  <si>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</si>
  <si>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</si>
  <si>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</si>
  <si>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蛇の目</t>
    <rPh sb="0" eb="1">
      <t>ジャ</t>
    </rPh>
    <rPh sb="2" eb="3">
      <t>メ</t>
    </rPh>
    <phoneticPr fontId="11"/>
  </si>
  <si>
    <t>10日目</t>
    <rPh sb="2" eb="3">
      <t>ヒ</t>
    </rPh>
    <rPh sb="3" eb="4">
      <t>メ</t>
    </rPh>
    <phoneticPr fontId="11"/>
  </si>
  <si>
    <t>千葉</t>
    <rPh sb="0" eb="2">
      <t>チバ</t>
    </rPh>
    <phoneticPr fontId="10"/>
  </si>
  <si>
    <t>安住電機様</t>
    <rPh sb="0" eb="5">
      <t>アズミデンキサマ</t>
    </rPh>
    <phoneticPr fontId="10"/>
  </si>
  <si>
    <t>1.5ｶ月</t>
    <rPh sb="4" eb="5">
      <t>ゲツ</t>
    </rPh>
    <phoneticPr fontId="11"/>
  </si>
  <si>
    <t>B仕様ｵﾌﾟｼｮﾝSW付</t>
    <phoneticPr fontId="11"/>
  </si>
  <si>
    <t>SRO-SWB-NO</t>
    <phoneticPr fontId="11"/>
  </si>
  <si>
    <t>SRO-COM2</t>
    <phoneticPr fontId="11"/>
  </si>
  <si>
    <t>JR3403N用　強化ばね　1式（2本）</t>
    <rPh sb="7" eb="8">
      <t>ヨウ</t>
    </rPh>
    <rPh sb="9" eb="11">
      <t>キョウカ</t>
    </rPh>
    <rPh sb="15" eb="16">
      <t>シキ</t>
    </rPh>
    <rPh sb="18" eb="19">
      <t>ホン</t>
    </rPh>
    <phoneticPr fontId="11"/>
  </si>
  <si>
    <t>SRO-IOS</t>
    <phoneticPr fontId="11"/>
  </si>
  <si>
    <t>Ｎo.209238</t>
    <phoneticPr fontId="10"/>
  </si>
  <si>
    <r>
      <t>SETB0188-A01　JR3404</t>
    </r>
    <r>
      <rPr>
        <b/>
        <sz val="19.95"/>
        <color rgb="FFFF0000"/>
        <rFont val="ＭＳ Ｐゴシック"/>
        <family val="3"/>
        <charset val="128"/>
        <scheme val="minor"/>
      </rPr>
      <t>両持ち</t>
    </r>
    <r>
      <rPr>
        <sz val="19.95"/>
        <color theme="1"/>
        <rFont val="ＭＳ Ｐゴシック"/>
        <family val="3"/>
        <charset val="128"/>
        <scheme val="minor"/>
      </rPr>
      <t>+SV70+SVC720F+配電BOX</t>
    </r>
    <rPh sb="19" eb="20">
      <t>リョウ</t>
    </rPh>
    <rPh sb="20" eb="21">
      <t>モ</t>
    </rPh>
    <phoneticPr fontId="10"/>
  </si>
  <si>
    <r>
      <t>JR3404両持ち　　　SRS-S404W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6" eb="8">
      <t>リョウモ</t>
    </rPh>
    <rPh sb="23" eb="25">
      <t>ガイブ</t>
    </rPh>
    <phoneticPr fontId="11"/>
  </si>
  <si>
    <r>
      <rPr>
        <b/>
        <sz val="11"/>
        <color indexed="8"/>
        <rFont val="ＭＳ Ｐゴシック"/>
        <family val="3"/>
        <charset val="128"/>
      </rPr>
      <t>JR3404</t>
    </r>
    <r>
      <rPr>
        <b/>
        <sz val="11"/>
        <color rgb="FF0070C0"/>
        <rFont val="ＭＳ Ｐゴシック"/>
        <family val="3"/>
        <charset val="128"/>
      </rPr>
      <t>両持ち　</t>
    </r>
    <r>
      <rPr>
        <b/>
        <sz val="11"/>
        <color indexed="8"/>
        <rFont val="ＭＳ Ｐゴシック"/>
        <family val="3"/>
        <charset val="128"/>
      </rPr>
      <t>　</t>
    </r>
    <r>
      <rPr>
        <sz val="11"/>
        <color theme="1"/>
        <rFont val="ＭＳ Ｐゴシック"/>
        <family val="3"/>
        <charset val="128"/>
        <scheme val="minor"/>
      </rPr>
      <t>　 4軸ﾛﾎﾞｯﾄ (外部ｽｲｯﾁ仕様)　</t>
    </r>
    <rPh sb="6" eb="8">
      <t>リョウモ</t>
    </rPh>
    <phoneticPr fontId="11"/>
  </si>
  <si>
    <r>
      <t xml:space="preserve">I/O-1増設 </t>
    </r>
    <r>
      <rPr>
        <b/>
        <sz val="11"/>
        <color indexed="10"/>
        <rFont val="ＭＳ Ｐゴシック"/>
        <family val="3"/>
        <charset val="128"/>
      </rPr>
      <t>JR3300-I/O-1</t>
    </r>
    <phoneticPr fontId="11"/>
  </si>
  <si>
    <t>SRO-IO1</t>
    <phoneticPr fontId="11"/>
  </si>
  <si>
    <r>
      <t>I/O-S増設</t>
    </r>
    <r>
      <rPr>
        <b/>
        <sz val="11"/>
        <color indexed="10"/>
        <rFont val="ＭＳ Ｐゴシック"/>
        <family val="3"/>
        <charset val="128"/>
      </rPr>
      <t>　JR3300-I/O-S</t>
    </r>
    <phoneticPr fontId="11"/>
  </si>
  <si>
    <r>
      <t>COM2増設</t>
    </r>
    <r>
      <rPr>
        <b/>
        <sz val="11"/>
        <color indexed="10"/>
        <rFont val="ＭＳ Ｐゴシック"/>
        <family val="3"/>
        <charset val="128"/>
      </rPr>
      <t>　JR3300-COM2</t>
    </r>
    <phoneticPr fontId="11"/>
  </si>
  <si>
    <t>荷造り運賃</t>
    <rPh sb="0" eb="2">
      <t>ニヅク</t>
    </rPh>
    <rPh sb="3" eb="5">
      <t>ウンチン</t>
    </rPh>
    <phoneticPr fontId="11"/>
  </si>
  <si>
    <t>組立課へ組立指示、在庫引当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</si>
</sst>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9.95"/>
      <color rgb="FFFF0000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3" fillId="0" borderId="5" xfId="3" applyBorder="1" applyAlignment="1">
      <alignment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5" xfId="3" applyBorder="1" applyAlignment="1">
      <alignment horizontal="center" vertical="center"/>
    </xf>
    <xf numFmtId="176" fontId="0" fillId="0" borderId="5" xfId="0" applyNumberFormat="1" applyBorder="1" applyAlignment="1"/>
    <xf numFmtId="0" fontId="9" fillId="0" borderId="0" xfId="0" applyFont="1">
      <alignment vertical="center"/>
    </xf>
    <xf numFmtId="49" fontId="0" fillId="0" borderId="5" xfId="0" applyNumberForma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8" fontId="0" fillId="0" borderId="5" xfId="0" applyNumberFormat="1" applyBorder="1" applyAlignment="1">
      <alignment horizontal="right" vertical="center"/>
    </xf>
    <xf numFmtId="3" fontId="9" fillId="0" borderId="5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6" fontId="12" fillId="0" borderId="5" xfId="0" applyNumberFormat="1" applyFont="1" applyBorder="1" applyAlignment="1"/>
    <xf numFmtId="179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vertical="center" shrinkToFit="1"/>
    </xf>
    <xf numFmtId="0" fontId="20" fillId="0" borderId="5" xfId="3" applyFont="1" applyBorder="1" applyAlignment="1">
      <alignment vertical="center"/>
    </xf>
    <xf numFmtId="180" fontId="0" fillId="0" borderId="5" xfId="0" applyNumberFormat="1" applyBorder="1">
      <alignment vertical="center"/>
    </xf>
    <xf numFmtId="38" fontId="0" fillId="0" borderId="5" xfId="0" applyNumberFormat="1" applyBorder="1">
      <alignment vertical="center"/>
    </xf>
    <xf numFmtId="3" fontId="2" fillId="3" borderId="5" xfId="0" applyNumberFormat="1" applyFont="1" applyFill="1" applyBorder="1" applyAlignment="1">
      <alignment horizontal="center" vertical="center"/>
    </xf>
    <xf numFmtId="5" fontId="17" fillId="3" borderId="5" xfId="0" applyNumberFormat="1" applyFont="1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0" fontId="18" fillId="0" borderId="5" xfId="3" applyFont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22" fillId="0" borderId="5" xfId="3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3" fillId="0" borderId="7" xfId="3" applyBorder="1" applyAlignment="1">
      <alignment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9" fillId="0" borderId="8" xfId="3" applyFon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5" fontId="12" fillId="0" borderId="5" xfId="0" applyNumberFormat="1" applyFont="1" applyBorder="1" applyAlignment="1">
      <alignment horizontal="center" vertical="center"/>
    </xf>
    <xf numFmtId="0" fontId="13" fillId="0" borderId="9" xfId="3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13" fillId="0" borderId="9" xfId="3" applyBorder="1" applyAlignment="1">
      <alignment horizontal="left" vertical="center"/>
    </xf>
    <xf numFmtId="5" fontId="12" fillId="0" borderId="7" xfId="0" applyNumberFormat="1" applyFont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left" vertical="center" shrinkToFit="1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FFC000"/>
  </sheetPr>
  <dimension ref="A2:R28"/>
  <sheetViews>
    <sheetView tabSelected="1" zoomScale="81" zoomScaleNormal="81" workbookViewId="0">
      <pane xSplit="11" ySplit="8" topLeftCell="Q9" activePane="bottomRight" state="frozen"/>
      <selection activeCell="D26" sqref="D26"/>
      <selection pane="topRight" activeCell="D26" sqref="D26"/>
      <selection pane="bottomLeft" activeCell="D26" sqref="D26"/>
      <selection pane="bottomRight" activeCell="R11" sqref="R11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30" customWidth="1"/>
    <col min="18" max="18" width="19.375" style="30" customWidth="1"/>
  </cols>
  <sheetData>
    <row r="2" spans="1:18" ht="20.100000000000001" customHeight="1" x14ac:dyDescent="0.15">
      <c r="C2" s="81" t="s">
        <v>0</v>
      </c>
      <c r="D2" s="81"/>
      <c r="E2" s="81"/>
      <c r="F2" s="21" t="s">
        <v>29</v>
      </c>
      <c r="H2" s="82" t="s">
        <v>1</v>
      </c>
      <c r="I2" s="83"/>
      <c r="J2" s="84"/>
      <c r="K2" s="11">
        <f>SUM(I:I)</f>
        <v>965500</v>
      </c>
    </row>
    <row r="3" spans="1:18" ht="20.100000000000001" customHeight="1" x14ac:dyDescent="0.15">
      <c r="C3" s="81" t="s">
        <v>2</v>
      </c>
      <c r="D3" s="81"/>
      <c r="E3" s="81"/>
      <c r="F3" s="9" t="s">
        <v>28</v>
      </c>
    </row>
    <row r="4" spans="1:18" ht="20.100000000000001" customHeight="1" x14ac:dyDescent="0.15">
      <c r="C4" s="81" t="s">
        <v>3</v>
      </c>
      <c r="D4" s="81"/>
      <c r="E4" s="81"/>
      <c r="F4" s="9" t="s">
        <v>36</v>
      </c>
      <c r="H4" s="85" t="s">
        <v>37</v>
      </c>
      <c r="I4" s="85"/>
      <c r="J4" s="85"/>
      <c r="K4" s="85"/>
      <c r="L4" s="33"/>
    </row>
    <row r="5" spans="1:18" ht="20.100000000000001" customHeight="1" x14ac:dyDescent="0.15">
      <c r="C5" s="81" t="s">
        <v>4</v>
      </c>
      <c r="D5" s="81"/>
      <c r="E5" s="81"/>
      <c r="F5" s="10">
        <v>45232</v>
      </c>
      <c r="H5" s="85"/>
      <c r="I5" s="85"/>
      <c r="J5" s="85"/>
      <c r="K5" s="85"/>
    </row>
    <row r="6" spans="1:18" ht="20.100000000000001" customHeight="1" x14ac:dyDescent="0.15">
      <c r="C6" s="81" t="s">
        <v>5</v>
      </c>
      <c r="D6" s="81"/>
      <c r="E6" s="81"/>
      <c r="F6" s="10">
        <v>45233</v>
      </c>
      <c r="I6" s="35"/>
    </row>
    <row r="8" spans="1:18" s="3" customFormat="1" ht="19.5" customHeight="1" x14ac:dyDescent="0.15">
      <c r="B8" s="41" t="s">
        <v>25</v>
      </c>
      <c r="C8" s="4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4" t="s">
        <v>17</v>
      </c>
      <c r="O8" s="4" t="s">
        <v>18</v>
      </c>
      <c r="P8" s="1" t="s">
        <v>19</v>
      </c>
      <c r="Q8" s="14" t="s">
        <v>20</v>
      </c>
      <c r="R8" s="8" t="s">
        <v>21</v>
      </c>
    </row>
    <row r="9" spans="1:18" s="3" customFormat="1" ht="19.5" customHeight="1" x14ac:dyDescent="0.15">
      <c r="C9" s="4"/>
      <c r="D9" s="4"/>
      <c r="E9" s="4"/>
      <c r="F9" s="6"/>
      <c r="G9" s="18"/>
      <c r="H9" s="18"/>
      <c r="I9" s="18"/>
      <c r="J9" s="13"/>
      <c r="K9" s="19"/>
      <c r="L9" s="59"/>
      <c r="M9" s="59"/>
      <c r="N9" s="60"/>
      <c r="O9" s="26"/>
      <c r="P9" s="59"/>
      <c r="Q9" s="60"/>
      <c r="R9" s="61"/>
    </row>
    <row r="10" spans="1:18" s="3" customFormat="1" ht="19.5" customHeight="1" x14ac:dyDescent="0.15">
      <c r="A10" s="23" t="s">
        <v>30</v>
      </c>
      <c r="B10" s="52">
        <v>1</v>
      </c>
      <c r="C10" s="25">
        <v>1</v>
      </c>
      <c r="D10" s="25" t="s">
        <v>26</v>
      </c>
      <c r="E10" s="25" t="s">
        <v>26</v>
      </c>
      <c r="F10" s="66" t="s">
        <v>39</v>
      </c>
      <c r="G10" s="23">
        <v>1</v>
      </c>
      <c r="H10" s="39">
        <v>905000</v>
      </c>
      <c r="I10" s="69">
        <f t="shared" ref="I10:I14" si="0">G10*H10</f>
        <v>905000</v>
      </c>
      <c r="J10" s="24"/>
      <c r="K10" s="57" t="s">
        <v>38</v>
      </c>
      <c r="L10" s="23"/>
      <c r="M10" s="23"/>
      <c r="N10" s="45">
        <v>45194</v>
      </c>
      <c r="O10" s="25"/>
      <c r="P10" s="29">
        <v>45232</v>
      </c>
      <c r="Q10" s="45"/>
      <c r="R10" s="27">
        <v>45229</v>
      </c>
    </row>
    <row r="11" spans="1:18" s="3" customFormat="1" ht="19.5" customHeight="1" x14ac:dyDescent="0.15">
      <c r="A11" s="23" t="s">
        <v>30</v>
      </c>
      <c r="B11" s="52">
        <v>1</v>
      </c>
      <c r="C11" s="25">
        <f t="shared" ref="C11:C14" si="1">+C10+1</f>
        <v>2</v>
      </c>
      <c r="D11" s="53" t="s">
        <v>26</v>
      </c>
      <c r="E11" s="53" t="s">
        <v>26</v>
      </c>
      <c r="F11" s="28" t="s">
        <v>31</v>
      </c>
      <c r="G11" s="31">
        <v>1</v>
      </c>
      <c r="H11" s="31">
        <v>40000</v>
      </c>
      <c r="I11" s="67">
        <f t="shared" si="0"/>
        <v>40000</v>
      </c>
      <c r="J11" s="54"/>
      <c r="K11" s="58" t="s">
        <v>32</v>
      </c>
      <c r="L11" s="23"/>
      <c r="M11" s="23"/>
      <c r="N11" s="45">
        <v>45194</v>
      </c>
      <c r="O11" s="25"/>
      <c r="P11" s="29">
        <v>45232</v>
      </c>
      <c r="Q11" s="45"/>
      <c r="R11" s="27">
        <v>45229</v>
      </c>
    </row>
    <row r="12" spans="1:18" s="3" customFormat="1" ht="19.5" customHeight="1" x14ac:dyDescent="0.15">
      <c r="A12" s="23"/>
      <c r="B12" s="55">
        <v>4</v>
      </c>
      <c r="C12" s="25">
        <f>+C11+1</f>
        <v>3</v>
      </c>
      <c r="D12" s="53" t="s">
        <v>26</v>
      </c>
      <c r="E12" s="53" t="s">
        <v>26</v>
      </c>
      <c r="F12" s="28" t="s">
        <v>43</v>
      </c>
      <c r="G12" s="31">
        <v>1</v>
      </c>
      <c r="H12" s="31">
        <v>2000</v>
      </c>
      <c r="I12" s="67">
        <f t="shared" si="0"/>
        <v>2000</v>
      </c>
      <c r="J12" s="54"/>
      <c r="K12" s="28" t="s">
        <v>33</v>
      </c>
      <c r="L12" s="56" t="s">
        <v>45</v>
      </c>
      <c r="M12" s="23"/>
      <c r="N12" s="45"/>
      <c r="O12" s="25"/>
      <c r="P12" s="29"/>
      <c r="Q12" s="45"/>
      <c r="R12" s="65"/>
    </row>
    <row r="13" spans="1:18" s="3" customFormat="1" ht="19.5" customHeight="1" x14ac:dyDescent="0.15">
      <c r="A13" s="23"/>
      <c r="B13" s="75">
        <v>5</v>
      </c>
      <c r="C13" s="25">
        <f t="shared" si="1"/>
        <v>4</v>
      </c>
      <c r="D13" s="53" t="s">
        <v>26</v>
      </c>
      <c r="E13" s="53" t="s">
        <v>26</v>
      </c>
      <c r="F13" s="28" t="s">
        <v>42</v>
      </c>
      <c r="G13" s="31">
        <v>1</v>
      </c>
      <c r="H13" s="68">
        <v>3500</v>
      </c>
      <c r="I13" s="67">
        <f t="shared" si="0"/>
        <v>3500</v>
      </c>
      <c r="J13" s="54"/>
      <c r="K13" s="28" t="s">
        <v>35</v>
      </c>
      <c r="L13" s="56" t="s">
        <v>45</v>
      </c>
      <c r="M13" s="23"/>
      <c r="N13" s="45"/>
      <c r="O13" s="25"/>
      <c r="P13" s="29"/>
      <c r="Q13" s="45"/>
      <c r="R13" s="65"/>
    </row>
    <row r="14" spans="1:18" s="3" customFormat="1" ht="19.5" customHeight="1" x14ac:dyDescent="0.15">
      <c r="A14" s="23"/>
      <c r="B14" s="55">
        <v>4</v>
      </c>
      <c r="C14" s="25">
        <f t="shared" si="1"/>
        <v>5</v>
      </c>
      <c r="D14" s="53" t="s">
        <v>26</v>
      </c>
      <c r="E14" s="53" t="s">
        <v>26</v>
      </c>
      <c r="F14" s="28" t="s">
        <v>40</v>
      </c>
      <c r="G14" s="31">
        <v>1</v>
      </c>
      <c r="H14" s="31">
        <v>3000</v>
      </c>
      <c r="I14" s="67">
        <f t="shared" si="0"/>
        <v>3000</v>
      </c>
      <c r="J14" s="54"/>
      <c r="K14" s="28" t="s">
        <v>41</v>
      </c>
      <c r="L14" s="56" t="s">
        <v>45</v>
      </c>
      <c r="M14" s="23"/>
      <c r="N14" s="45"/>
      <c r="O14" s="25"/>
      <c r="P14" s="29"/>
      <c r="Q14" s="45"/>
      <c r="R14" s="65"/>
    </row>
    <row r="15" spans="1:18" s="3" customFormat="1" ht="19.5" customHeight="1" x14ac:dyDescent="0.15">
      <c r="A15" s="42" t="s">
        <v>27</v>
      </c>
      <c r="B15" s="76">
        <v>1</v>
      </c>
      <c r="C15" s="25">
        <f>+C14+1</f>
        <v>6</v>
      </c>
      <c r="D15" s="53" t="s">
        <v>26</v>
      </c>
      <c r="E15" s="53" t="s">
        <v>26</v>
      </c>
      <c r="F15" s="73" t="s">
        <v>44</v>
      </c>
      <c r="G15" s="31">
        <v>1</v>
      </c>
      <c r="H15" s="31">
        <v>12000</v>
      </c>
      <c r="I15" s="74">
        <f t="shared" ref="I15" si="2">G15*H15</f>
        <v>12000</v>
      </c>
      <c r="J15" s="44"/>
      <c r="K15" s="77" t="s">
        <v>34</v>
      </c>
      <c r="L15" s="62"/>
      <c r="M15" s="63"/>
      <c r="N15" s="45">
        <v>45194</v>
      </c>
      <c r="O15" s="25"/>
      <c r="P15" s="29">
        <v>45232</v>
      </c>
      <c r="Q15" s="43"/>
      <c r="R15" s="64"/>
    </row>
    <row r="16" spans="1:18" s="3" customFormat="1" ht="19.5" customHeight="1" x14ac:dyDescent="0.15">
      <c r="B16" s="41"/>
      <c r="C16" s="25"/>
      <c r="D16" s="23"/>
      <c r="E16" s="70"/>
      <c r="F16" s="37"/>
      <c r="G16" s="71"/>
      <c r="H16" s="72"/>
      <c r="I16" s="72"/>
      <c r="J16" s="32"/>
      <c r="K16" s="46"/>
      <c r="L16" s="47"/>
      <c r="M16" s="25"/>
      <c r="N16" s="45"/>
      <c r="O16" s="25"/>
      <c r="P16" s="29"/>
      <c r="Q16" s="29"/>
      <c r="R16" s="27"/>
    </row>
    <row r="17" spans="2:18" s="3" customFormat="1" ht="19.5" customHeight="1" x14ac:dyDescent="0.15">
      <c r="B17" s="23"/>
      <c r="C17" s="25"/>
      <c r="D17" s="25"/>
      <c r="E17" s="25"/>
      <c r="F17" s="34"/>
      <c r="G17" s="23"/>
      <c r="H17" s="38"/>
      <c r="I17" s="48"/>
      <c r="J17" s="24"/>
      <c r="K17" s="22"/>
      <c r="L17" s="49"/>
      <c r="M17" s="25"/>
      <c r="N17" s="45"/>
      <c r="O17" s="25"/>
      <c r="P17" s="29"/>
      <c r="Q17" s="29"/>
      <c r="R17" s="27"/>
    </row>
    <row r="18" spans="2:18" s="3" customFormat="1" ht="19.5" customHeight="1" x14ac:dyDescent="0.15">
      <c r="B18" s="23"/>
      <c r="C18" s="25"/>
      <c r="D18" s="25"/>
      <c r="E18" s="50"/>
      <c r="F18" s="51">
        <f>SUM(I10:I16)</f>
        <v>965500</v>
      </c>
      <c r="G18" s="23"/>
      <c r="H18" s="38"/>
      <c r="I18" s="48"/>
      <c r="J18" s="24"/>
      <c r="K18" s="22"/>
      <c r="L18" s="49"/>
      <c r="M18" s="25"/>
      <c r="N18" s="45"/>
      <c r="O18" s="25"/>
      <c r="P18" s="29"/>
      <c r="Q18" s="29"/>
      <c r="R18" s="27"/>
    </row>
    <row r="19" spans="2:18" s="3" customFormat="1" ht="19.5" customHeight="1" x14ac:dyDescent="0.15">
      <c r="B19" s="23"/>
      <c r="C19" s="25"/>
      <c r="D19" s="25"/>
      <c r="E19" s="25"/>
      <c r="F19" s="37"/>
      <c r="G19" s="36"/>
      <c r="H19" s="18"/>
      <c r="I19" s="18"/>
      <c r="J19" s="13"/>
      <c r="K19" s="19"/>
      <c r="L19" s="1"/>
      <c r="M19" s="1"/>
      <c r="N19" s="14"/>
      <c r="O19" s="4"/>
      <c r="P19" s="2"/>
      <c r="Q19" s="45"/>
      <c r="R19" s="65"/>
    </row>
    <row r="20" spans="2:18" s="3" customFormat="1" ht="19.5" customHeight="1" x14ac:dyDescent="0.15">
      <c r="B20" s="23"/>
      <c r="C20" s="25"/>
      <c r="D20" s="25"/>
      <c r="E20" s="25"/>
      <c r="F20" s="37"/>
      <c r="G20" s="36"/>
      <c r="H20" s="18"/>
      <c r="I20" s="18"/>
      <c r="J20" s="13"/>
      <c r="K20" s="19"/>
      <c r="L20" s="1"/>
      <c r="M20" s="1"/>
      <c r="N20" s="14"/>
      <c r="O20" s="4"/>
      <c r="P20" s="2"/>
      <c r="Q20" s="45"/>
      <c r="R20" s="65"/>
    </row>
    <row r="21" spans="2:18" s="3" customFormat="1" ht="19.5" customHeight="1" x14ac:dyDescent="0.15">
      <c r="B21" s="23"/>
      <c r="C21" s="25"/>
      <c r="D21" s="25"/>
      <c r="E21" s="25"/>
      <c r="F21" s="37"/>
      <c r="G21" s="36"/>
      <c r="H21" s="18"/>
      <c r="I21" s="18"/>
      <c r="J21" s="13"/>
      <c r="K21" s="19"/>
      <c r="L21" s="1"/>
      <c r="M21" s="1"/>
      <c r="N21" s="14"/>
      <c r="O21" s="4"/>
      <c r="P21" s="2"/>
      <c r="Q21" s="45"/>
      <c r="R21" s="65"/>
    </row>
    <row r="22" spans="2:18" ht="18" customHeight="1" x14ac:dyDescent="0.15">
      <c r="B22" s="23"/>
      <c r="C22" s="1"/>
      <c r="D22" s="4"/>
      <c r="E22" s="4"/>
      <c r="F22" s="15"/>
      <c r="G22" s="16"/>
      <c r="H22" s="16"/>
      <c r="I22" s="18"/>
      <c r="J22" s="2"/>
      <c r="K22" s="15"/>
      <c r="L22" s="6"/>
      <c r="M22" s="1"/>
      <c r="N22" s="14"/>
      <c r="O22" s="20"/>
      <c r="P22" s="2"/>
      <c r="Q22" s="45"/>
      <c r="R22" s="27"/>
    </row>
    <row r="23" spans="2:18" ht="18" customHeight="1" x14ac:dyDescent="0.15">
      <c r="B23" s="23"/>
      <c r="C23" s="1"/>
      <c r="D23" s="1"/>
      <c r="E23" s="1"/>
      <c r="F23" s="6" t="s">
        <v>22</v>
      </c>
      <c r="G23" s="18"/>
      <c r="H23" s="18"/>
      <c r="I23" s="18">
        <f>G23*H23</f>
        <v>0</v>
      </c>
      <c r="J23" s="13"/>
      <c r="K23" s="15" t="s">
        <v>23</v>
      </c>
      <c r="L23" s="20"/>
      <c r="M23" s="1"/>
      <c r="N23" s="14"/>
      <c r="O23" s="20"/>
      <c r="P23" s="2"/>
      <c r="Q23" s="45"/>
      <c r="R23" s="65"/>
    </row>
    <row r="24" spans="2:18" ht="18" customHeight="1" x14ac:dyDescent="0.15">
      <c r="B24" s="23"/>
      <c r="C24" s="1"/>
      <c r="D24" s="4"/>
      <c r="E24" s="4"/>
      <c r="F24" s="6" t="s">
        <v>23</v>
      </c>
      <c r="G24" s="18"/>
      <c r="H24" s="18">
        <v>5000</v>
      </c>
      <c r="I24" s="18">
        <f>G24*H24</f>
        <v>0</v>
      </c>
      <c r="J24" s="13"/>
      <c r="K24" s="15" t="s">
        <v>24</v>
      </c>
      <c r="L24" s="20"/>
      <c r="M24" s="1"/>
      <c r="N24" s="1"/>
      <c r="O24" s="20"/>
      <c r="P24" s="2"/>
      <c r="Q24" s="65"/>
      <c r="R24" s="65"/>
    </row>
    <row r="25" spans="2:18" ht="18" customHeight="1" x14ac:dyDescent="0.15">
      <c r="B25" s="23"/>
      <c r="C25" s="1"/>
      <c r="D25" s="4"/>
      <c r="E25" s="4"/>
      <c r="F25" s="6" t="s">
        <v>24</v>
      </c>
      <c r="G25" s="18"/>
      <c r="H25" s="18"/>
      <c r="I25" s="18">
        <f>G25*H25</f>
        <v>0</v>
      </c>
      <c r="J25" s="13"/>
      <c r="K25" s="5"/>
      <c r="L25" s="20"/>
      <c r="M25" s="1"/>
      <c r="N25" s="1"/>
      <c r="O25" s="20"/>
      <c r="P25" s="2"/>
      <c r="Q25" s="65"/>
      <c r="R25" s="65"/>
    </row>
    <row r="26" spans="2:18" ht="18" customHeight="1" x14ac:dyDescent="0.15">
      <c r="B26" s="23"/>
      <c r="C26" s="1"/>
      <c r="D26" s="4"/>
      <c r="E26" s="4"/>
      <c r="F26" s="78"/>
      <c r="G26" s="79"/>
      <c r="H26" s="79"/>
      <c r="I26" s="80"/>
      <c r="J26" s="7"/>
      <c r="K26" s="17"/>
      <c r="L26" s="20"/>
      <c r="M26" s="1"/>
      <c r="N26" s="1"/>
      <c r="O26" s="20"/>
      <c r="P26" s="2"/>
      <c r="Q26" s="65"/>
      <c r="R26" s="65"/>
    </row>
    <row r="27" spans="2:18" ht="18" customHeight="1" x14ac:dyDescent="0.15"/>
    <row r="28" spans="2:18" ht="18" customHeight="1" x14ac:dyDescent="0.15"/>
  </sheetData>
  <autoFilter ref="C8:P28" xr:uid="{00000000-0009-0000-0000-000003000000}"/>
  <mergeCells count="8">
    <mergeCell ref="F26:I26"/>
    <mergeCell ref="C6:E6"/>
    <mergeCell ref="C2:E2"/>
    <mergeCell ref="H2:J2"/>
    <mergeCell ref="C3:E3"/>
    <mergeCell ref="C4:E4"/>
    <mergeCell ref="H4:K5"/>
    <mergeCell ref="C5:E5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/>
  </sheetViews>
  <sheetFormatPr defaultRowHeight="13.5" x14ac:dyDescent="0.15"/>
  <sheetData/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発注 (20230922) </vt:lpstr>
      <vt:lpstr>Sheet1</vt:lpstr>
      <vt:lpstr>Sheet2</vt:lpstr>
      <vt:lpstr>Sheet3</vt:lpstr>
      <vt:lpstr>'発注 (20230922)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2023-10-30T07:25:09Z</dcterms:modified>
</cp:coreProperties>
</file>