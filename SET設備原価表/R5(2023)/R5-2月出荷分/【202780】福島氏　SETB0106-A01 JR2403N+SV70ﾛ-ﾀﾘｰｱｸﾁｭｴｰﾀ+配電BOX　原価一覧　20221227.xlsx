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出荷済み\R5-2月出荷分\"/>
    </mc:Choice>
  </mc:AlternateContent>
  <xr:revisionPtr revIDLastSave="0" documentId="13_ncr:1_{5447C9B4-B460-4979-A3B4-CD800844C2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発注 (20221228) " sheetId="12" r:id="rId1"/>
    <sheet name="Sheet1" sheetId="13" r:id="rId2"/>
    <sheet name="Sheet2" sheetId="2" r:id="rId3"/>
    <sheet name="Sheet3" sheetId="3" r:id="rId4"/>
  </sheets>
  <definedNames>
    <definedName name="_xlnm._FilterDatabase" localSheetId="0">'発注 (20221228) 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9" i="12" l="1"/>
  <c r="I158" i="12"/>
  <c r="I155" i="12" l="1"/>
  <c r="I157" i="12"/>
  <c r="I163" i="12" l="1"/>
  <c r="I164" i="12"/>
  <c r="I165" i="12"/>
  <c r="I166" i="12"/>
  <c r="I167" i="12"/>
  <c r="I168" i="12"/>
  <c r="I169" i="12"/>
  <c r="I151" i="12"/>
  <c r="I139" i="12"/>
  <c r="I161" i="12"/>
  <c r="I160" i="12"/>
  <c r="I159" i="12"/>
  <c r="I156" i="12"/>
  <c r="I138" i="12"/>
  <c r="I137" i="12"/>
  <c r="I136" i="12"/>
  <c r="I147" i="12"/>
  <c r="I141" i="12"/>
  <c r="I145" i="12"/>
  <c r="I89" i="12"/>
  <c r="I88" i="12"/>
  <c r="I87" i="12"/>
  <c r="I86" i="12"/>
  <c r="I85" i="12"/>
  <c r="I84" i="12"/>
  <c r="I153" i="12"/>
  <c r="I144" i="12"/>
  <c r="I135" i="12"/>
  <c r="I122" i="12"/>
  <c r="I116" i="12"/>
  <c r="I115" i="12"/>
  <c r="I114" i="12"/>
  <c r="I113" i="12"/>
  <c r="I118" i="12"/>
  <c r="I117" i="12"/>
  <c r="I112" i="12"/>
  <c r="I111" i="12"/>
  <c r="I110" i="12"/>
  <c r="I120" i="12"/>
  <c r="I121" i="12"/>
  <c r="I61" i="12"/>
  <c r="I83" i="12"/>
  <c r="I82" i="12"/>
  <c r="I80" i="12"/>
  <c r="I79" i="12"/>
  <c r="I78" i="12"/>
  <c r="I77" i="12"/>
  <c r="I76" i="12"/>
  <c r="I75" i="12"/>
  <c r="I74" i="12"/>
  <c r="I59" i="12"/>
  <c r="I56" i="12"/>
  <c r="I55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C12" i="12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I177" i="12"/>
  <c r="I176" i="12"/>
  <c r="I175" i="12"/>
  <c r="I150" i="12"/>
  <c r="I148" i="12"/>
  <c r="I143" i="12"/>
  <c r="I142" i="12"/>
  <c r="I140" i="12"/>
  <c r="I125" i="12"/>
  <c r="I124" i="12"/>
  <c r="I102" i="12"/>
  <c r="I101" i="12"/>
  <c r="I100" i="12"/>
  <c r="I99" i="12"/>
  <c r="I98" i="12"/>
  <c r="I97" i="12"/>
  <c r="I96" i="12"/>
  <c r="I81" i="12"/>
  <c r="I73" i="12"/>
  <c r="I58" i="12"/>
  <c r="I57" i="12"/>
  <c r="I54" i="12"/>
  <c r="I53" i="12"/>
  <c r="I52" i="12"/>
  <c r="I51" i="12"/>
  <c r="F173" i="12" l="1"/>
  <c r="F91" i="12"/>
  <c r="F64" i="12"/>
  <c r="C54" i="12"/>
  <c r="C55" i="12" s="1"/>
  <c r="C56" i="12" s="1"/>
  <c r="C57" i="12" s="1"/>
  <c r="C58" i="12" s="1"/>
  <c r="C59" i="12" s="1"/>
  <c r="F127" i="12"/>
  <c r="K2" i="12"/>
  <c r="F104" i="12"/>
  <c r="C61" i="12" l="1"/>
  <c r="C73" i="12" l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6" i="12" s="1"/>
  <c r="C97" i="12" s="1"/>
  <c r="C98" i="12" s="1"/>
  <c r="C99" i="12" s="1"/>
  <c r="C100" i="12" s="1"/>
  <c r="C101" i="12" s="1"/>
  <c r="C102" i="12" s="1"/>
  <c r="C110" i="12" l="1"/>
  <c r="C111" i="12" s="1"/>
  <c r="C112" i="12" s="1"/>
  <c r="C113" i="12" s="1"/>
  <c r="C114" i="12" s="1"/>
  <c r="C115" i="12" s="1"/>
  <c r="C116" i="12" s="1"/>
  <c r="C117" i="12" s="1"/>
  <c r="C118" i="12" s="1"/>
  <c r="C120" i="12" s="1"/>
  <c r="C121" i="12" s="1"/>
  <c r="C122" i="12" s="1"/>
  <c r="C124" i="12" s="1"/>
  <c r="C125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7" i="12" l="1"/>
  <c r="C148" i="12" s="1"/>
  <c r="C150" i="12" s="1"/>
  <c r="C151" i="12" l="1"/>
  <c r="C153" i="12" s="1"/>
  <c r="C155" i="12" l="1"/>
  <c r="C156" i="12" s="1"/>
  <c r="C157" i="12" s="1"/>
  <c r="C158" i="12" l="1"/>
  <c r="C159" i="12"/>
  <c r="C160" i="12" s="1"/>
  <c r="C161" i="12" s="1"/>
  <c r="C163" i="12" l="1"/>
  <c r="C164" i="12" s="1"/>
  <c r="C165" i="12" s="1"/>
  <c r="C166" i="12" s="1"/>
  <c r="C167" i="12" s="1"/>
  <c r="C168" i="12" s="1"/>
  <c r="C169" i="12" s="1"/>
</calcChain>
</file>

<file path=xl/sharedStrings.xml><?xml version="1.0" encoding="utf-8"?>
<sst xmlns="http://schemas.openxmlformats.org/spreadsheetml/2006/main" count="650" uniqueCount="294">
  <si>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</si>
  <si>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</si>
  <si>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</si>
  <si>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</si>
  <si>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</si>
  <si>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</si>
  <si>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</si>
  <si>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</si>
  <si>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</si>
  <si>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</si>
  <si>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</si>
  <si>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</si>
  <si>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</si>
  <si>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</si>
  <si>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</si>
  <si>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</si>
  <si>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</si>
  <si>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</si>
  <si>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</si>
  <si>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</si>
  <si>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</si>
  <si>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</si>
  <si>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</si>
  <si>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</si>
  <si>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VTUB3.2-W-10</t>
  </si>
  <si>
    <t>ﾏｰｸﾁｭｰﾌﾞ</t>
  </si>
  <si>
    <t>運送費</t>
  </si>
  <si>
    <t>設計費</t>
  </si>
  <si>
    <t>組立調整費</t>
  </si>
  <si>
    <t>ミスミ</t>
    <phoneticPr fontId="14"/>
  </si>
  <si>
    <t>F1.25-M3</t>
    <phoneticPr fontId="14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</si>
  <si>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4"/>
  </si>
  <si>
    <t>PUT6-10-B</t>
    <phoneticPr fontId="14"/>
  </si>
  <si>
    <t>配電部分</t>
    <rPh sb="0" eb="2">
      <t>ハイデン</t>
    </rPh>
    <rPh sb="2" eb="4">
      <t>ブブン</t>
    </rPh>
    <phoneticPr fontId="12"/>
  </si>
  <si>
    <t>セットカラー　止めねじ固定</t>
    <phoneticPr fontId="12"/>
  </si>
  <si>
    <t>SCB4-20</t>
    <phoneticPr fontId="12"/>
  </si>
  <si>
    <t>BVHVU6-3</t>
    <phoneticPr fontId="14"/>
  </si>
  <si>
    <t>MNCNL6-M5</t>
    <phoneticPr fontId="14"/>
  </si>
  <si>
    <t>MNCNL4-M5</t>
    <phoneticPr fontId="14"/>
  </si>
  <si>
    <t>Dsubコネクタハーネス</t>
    <phoneticPr fontId="14"/>
  </si>
  <si>
    <t>MWS-DS37A-HT37</t>
    <phoneticPr fontId="14"/>
  </si>
  <si>
    <t>Dsubコネクタ端子台</t>
    <rPh sb="8" eb="10">
      <t>タンシ</t>
    </rPh>
    <rPh sb="10" eb="11">
      <t>ダイ</t>
    </rPh>
    <phoneticPr fontId="14"/>
  </si>
  <si>
    <t>DINレール</t>
    <phoneticPr fontId="14"/>
  </si>
  <si>
    <t>SLBNR4</t>
    <phoneticPr fontId="14"/>
  </si>
  <si>
    <t>M4ﾅｯﾄ</t>
    <phoneticPr fontId="14"/>
  </si>
  <si>
    <t>漏電ブレーカ</t>
    <rPh sb="0" eb="2">
      <t>ロウデン</t>
    </rPh>
    <phoneticPr fontId="14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</si>
  <si>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14"/>
  </si>
  <si>
    <t>NA3GH-24-2-8</t>
    <phoneticPr fontId="14"/>
  </si>
  <si>
    <t>NA3GH UL規格 横巻きシールドセンサー用(２芯）</t>
    <rPh sb="25" eb="26">
      <t>シン</t>
    </rPh>
    <phoneticPr fontId="14"/>
  </si>
  <si>
    <t>NA3GH UL規格 横巻きシールドセンサー用(３芯）</t>
    <rPh sb="25" eb="26">
      <t>シン</t>
    </rPh>
    <phoneticPr fontId="14"/>
  </si>
  <si>
    <t>PC-2005-M</t>
    <phoneticPr fontId="14"/>
  </si>
  <si>
    <t>差込み型ピン端子　オス（１００個入り）</t>
    <rPh sb="15" eb="16">
      <t>コ</t>
    </rPh>
    <rPh sb="16" eb="17">
      <t>イ</t>
    </rPh>
    <phoneticPr fontId="14"/>
  </si>
  <si>
    <t>PC-2005-F</t>
    <phoneticPr fontId="14"/>
  </si>
  <si>
    <t>差込み型ピン端子　メス（１００個入り）</t>
    <phoneticPr fontId="14"/>
  </si>
  <si>
    <t>ハンドバルブ　φ6</t>
    <phoneticPr fontId="14"/>
  </si>
  <si>
    <t>UJDST4-W</t>
    <phoneticPr fontId="14"/>
  </si>
  <si>
    <t>ﾜﾝﾀｯﾁ継手異径ﾕﾆｵﾝｽﾄﾚｰﾄ</t>
    <rPh sb="5" eb="7">
      <t>ツギテ</t>
    </rPh>
    <rPh sb="7" eb="8">
      <t>イ</t>
    </rPh>
    <rPh sb="8" eb="9">
      <t>ケイ</t>
    </rPh>
    <phoneticPr fontId="14"/>
  </si>
  <si>
    <t>USSTL4</t>
    <phoneticPr fontId="14"/>
  </si>
  <si>
    <t>ﾜﾝﾀｯﾁ継手ﾕﾆｵﾝｽﾄﾚｰﾄ</t>
    <rPh sb="5" eb="7">
      <t>ツギテ</t>
    </rPh>
    <phoneticPr fontId="14"/>
  </si>
  <si>
    <t>R03J-JSP-F-2-3</t>
    <phoneticPr fontId="14"/>
  </si>
  <si>
    <t>R03ｺﾈｸﾀ ﾊｰﾈｽ</t>
    <phoneticPr fontId="14"/>
  </si>
  <si>
    <t>TBS-22</t>
    <phoneticPr fontId="14"/>
  </si>
  <si>
    <t>浸け置きﾕﾆｯﾄ</t>
    <rPh sb="0" eb="1">
      <t>ツ</t>
    </rPh>
    <rPh sb="2" eb="3">
      <t>オ</t>
    </rPh>
    <phoneticPr fontId="14"/>
  </si>
  <si>
    <t>CRKB4-8</t>
    <phoneticPr fontId="14"/>
  </si>
  <si>
    <t>樹脂付ローレットボルト</t>
    <rPh sb="0" eb="2">
      <t>ジュシ</t>
    </rPh>
    <rPh sb="2" eb="3">
      <t>ツキ</t>
    </rPh>
    <phoneticPr fontId="14"/>
  </si>
  <si>
    <t>CHNS4</t>
    <phoneticPr fontId="14"/>
  </si>
  <si>
    <t>蝶ﾅｯﾄ</t>
    <phoneticPr fontId="14"/>
  </si>
  <si>
    <t>RSCB4-15</t>
    <phoneticPr fontId="14"/>
  </si>
  <si>
    <t>六角ﾎﾞﾙﾄ</t>
    <phoneticPr fontId="14"/>
  </si>
  <si>
    <t>アズワン</t>
    <phoneticPr fontId="14"/>
  </si>
  <si>
    <r>
      <t xml:space="preserve">5-079-04　   </t>
    </r>
    <r>
      <rPr>
        <b/>
        <sz val="11"/>
        <color indexed="10"/>
        <rFont val="ＭＳ Ｐゴシック"/>
        <family val="3"/>
        <charset val="128"/>
      </rPr>
      <t>在庫使用の為発注せず</t>
    </r>
    <phoneticPr fontId="14"/>
  </si>
  <si>
    <t>PUT4-10-B</t>
    <phoneticPr fontId="14"/>
  </si>
  <si>
    <t>ﾉｽﾞﾙ位置合わせ冶具　</t>
    <phoneticPr fontId="12"/>
  </si>
  <si>
    <t>ミニチュアワンタッチ継手　エルボ</t>
    <phoneticPr fontId="12"/>
  </si>
  <si>
    <t>ワンタッチ継手　Ｙタイプ</t>
    <phoneticPr fontId="12"/>
  </si>
  <si>
    <t>USYL6</t>
    <phoneticPr fontId="12"/>
  </si>
  <si>
    <t>押え板</t>
    <phoneticPr fontId="14"/>
  </si>
  <si>
    <t>ASFCS-A27-B14-T0.3-D4.5-E6-C6-P15</t>
    <phoneticPr fontId="14"/>
  </si>
  <si>
    <t>SCB4-5</t>
    <phoneticPr fontId="14"/>
  </si>
  <si>
    <t>SCB4-10</t>
    <phoneticPr fontId="12"/>
  </si>
  <si>
    <t>SCB4-12</t>
    <phoneticPr fontId="12"/>
  </si>
  <si>
    <t>在庫使用</t>
    <rPh sb="0" eb="2">
      <t>ザイコ</t>
    </rPh>
    <rPh sb="2" eb="4">
      <t>シヨウ</t>
    </rPh>
    <phoneticPr fontId="12"/>
  </si>
  <si>
    <t>1日間</t>
    <rPh sb="1" eb="2">
      <t>ヒ</t>
    </rPh>
    <rPh sb="2" eb="3">
      <t>カン</t>
    </rPh>
    <phoneticPr fontId="12"/>
  </si>
  <si>
    <t>3日間</t>
    <rPh sb="1" eb="2">
      <t>ヒ</t>
    </rPh>
    <rPh sb="2" eb="3">
      <t>カン</t>
    </rPh>
    <phoneticPr fontId="12"/>
  </si>
  <si>
    <t>8日間</t>
    <rPh sb="1" eb="2">
      <t>ヒ</t>
    </rPh>
    <rPh sb="2" eb="3">
      <t>カン</t>
    </rPh>
    <phoneticPr fontId="12"/>
  </si>
  <si>
    <t>2日間</t>
    <rPh sb="1" eb="2">
      <t>ヒ</t>
    </rPh>
    <rPh sb="2" eb="3">
      <t>カン</t>
    </rPh>
    <phoneticPr fontId="12"/>
  </si>
  <si>
    <t>ﾏｰｶｰﾋﾟﾝ</t>
    <phoneticPr fontId="14"/>
  </si>
  <si>
    <t>リブ</t>
    <phoneticPr fontId="14"/>
  </si>
  <si>
    <t>ＳＭＣ</t>
    <phoneticPr fontId="14"/>
  </si>
  <si>
    <t>制御機材</t>
    <rPh sb="0" eb="2">
      <t>セイギョ</t>
    </rPh>
    <rPh sb="2" eb="4">
      <t>キザイ</t>
    </rPh>
    <phoneticPr fontId="14"/>
  </si>
  <si>
    <t>ロータリシリンダ</t>
    <phoneticPr fontId="14"/>
  </si>
  <si>
    <t>AW10-M5BG-A</t>
    <phoneticPr fontId="14"/>
  </si>
  <si>
    <t>レギュレータ</t>
    <phoneticPr fontId="14"/>
  </si>
  <si>
    <t>電磁弁</t>
    <rPh sb="0" eb="3">
      <t>デンジベン</t>
    </rPh>
    <phoneticPr fontId="14"/>
  </si>
  <si>
    <t>リード線</t>
    <rPh sb="3" eb="4">
      <t>セン</t>
    </rPh>
    <phoneticPr fontId="14"/>
  </si>
  <si>
    <t>AS1201F-M5-04A</t>
    <phoneticPr fontId="14"/>
  </si>
  <si>
    <t>スピコン</t>
    <phoneticPr fontId="14"/>
  </si>
  <si>
    <t xml:space="preserve">SCB4-8  </t>
    <phoneticPr fontId="14"/>
  </si>
  <si>
    <t>モノタロウなら8日間</t>
    <rPh sb="8" eb="9">
      <t>ヒ</t>
    </rPh>
    <rPh sb="9" eb="10">
      <t>カン</t>
    </rPh>
    <phoneticPr fontId="12"/>
  </si>
  <si>
    <t>meviy</t>
    <phoneticPr fontId="14"/>
  </si>
  <si>
    <t>MVSHM-3N02050005013-JPA25G7CB111AA</t>
    <phoneticPr fontId="14"/>
  </si>
  <si>
    <t>SETA0010-Z04位置決めベース</t>
    <phoneticPr fontId="14"/>
  </si>
  <si>
    <t>MVSHM-3N03002003003-JPA25GYD1111AA</t>
    <phoneticPr fontId="14"/>
  </si>
  <si>
    <t>SETA0010-Z02角度切替ベース</t>
    <phoneticPr fontId="14"/>
  </si>
  <si>
    <t>MVSHM-3N02050002004-JPA25GP0K111AA</t>
    <phoneticPr fontId="14"/>
  </si>
  <si>
    <t>SETA0010-Z03角度切替ブラケット</t>
    <phoneticPr fontId="14"/>
  </si>
  <si>
    <t>JTDA-SUD-A27-B12-T2-X6-Y6-M4-L15-MA4</t>
    <phoneticPr fontId="14"/>
  </si>
  <si>
    <t>シム</t>
    <phoneticPr fontId="14"/>
  </si>
  <si>
    <t>六角穴付きﾎﾞﾙﾄ　M4×5mm　　　　6本</t>
    <rPh sb="21" eb="22">
      <t>ホン</t>
    </rPh>
    <phoneticPr fontId="14"/>
  </si>
  <si>
    <t>在庫使用</t>
    <rPh sb="0" eb="2">
      <t>ザイコ</t>
    </rPh>
    <rPh sb="2" eb="4">
      <t>シヨウ</t>
    </rPh>
    <phoneticPr fontId="14"/>
  </si>
  <si>
    <t xml:space="preserve">SPWF4 </t>
    <phoneticPr fontId="14"/>
  </si>
  <si>
    <t>ワッシャ　　平座金　　M4×8mm　　　4個</t>
    <rPh sb="21" eb="22">
      <t>コ</t>
    </rPh>
    <phoneticPr fontId="14"/>
  </si>
  <si>
    <t>3日目</t>
    <rPh sb="1" eb="2">
      <t>ヒ</t>
    </rPh>
    <rPh sb="2" eb="3">
      <t>メ</t>
    </rPh>
    <phoneticPr fontId="14"/>
  </si>
  <si>
    <t>1日目</t>
    <rPh sb="1" eb="2">
      <t>ヒ</t>
    </rPh>
    <rPh sb="2" eb="3">
      <t>メ</t>
    </rPh>
    <phoneticPr fontId="14"/>
  </si>
  <si>
    <t>在庫使用　　　6個</t>
    <phoneticPr fontId="14"/>
  </si>
  <si>
    <t>2日目</t>
    <rPh sb="1" eb="2">
      <t>ヒ</t>
    </rPh>
    <rPh sb="2" eb="3">
      <t>メ</t>
    </rPh>
    <phoneticPr fontId="14"/>
  </si>
  <si>
    <t>RACW30-40-10</t>
    <phoneticPr fontId="12"/>
  </si>
  <si>
    <t>JPLRS4-P5.0-B7.0</t>
    <phoneticPr fontId="12"/>
  </si>
  <si>
    <t>MS3-10</t>
    <phoneticPr fontId="12"/>
  </si>
  <si>
    <t xml:space="preserve">SCB5-8   </t>
    <phoneticPr fontId="12"/>
  </si>
  <si>
    <t>六角穴付ボルト</t>
    <phoneticPr fontId="12"/>
  </si>
  <si>
    <t>SCB5-12</t>
    <phoneticPr fontId="12"/>
  </si>
  <si>
    <t>SETB0075-X02　RA取付板</t>
    <phoneticPr fontId="12"/>
  </si>
  <si>
    <t>CBSST8-16</t>
    <phoneticPr fontId="12"/>
  </si>
  <si>
    <t xml:space="preserve">SCB5-10 </t>
    <phoneticPr fontId="12"/>
  </si>
  <si>
    <t>SETB0075-X03　シャフトホルダ変換板</t>
    <phoneticPr fontId="12"/>
  </si>
  <si>
    <t>MS3-6</t>
    <phoneticPr fontId="12"/>
  </si>
  <si>
    <t>SSTHS10M-MB</t>
    <phoneticPr fontId="12"/>
  </si>
  <si>
    <t>CBSST5-16</t>
    <phoneticPr fontId="12"/>
  </si>
  <si>
    <t>SETB0075-X04 セットカラー固定ﾌﾞﾗｹｯﾄ</t>
    <phoneticPr fontId="12"/>
  </si>
  <si>
    <t>CBSST5-12</t>
    <phoneticPr fontId="12"/>
  </si>
  <si>
    <t>SETB0075-Y05  補強ﾌﾞﾛｯｸ</t>
    <phoneticPr fontId="12"/>
  </si>
  <si>
    <t>SETB0075-Y06　ﾊﾞﾙﾌﾞﾎﾙﾀﾞｰﾌﾞﾗｹｯﾄ</t>
    <phoneticPr fontId="12"/>
  </si>
  <si>
    <t xml:space="preserve">MS3-10 </t>
    <phoneticPr fontId="12"/>
  </si>
  <si>
    <t>ノックピン</t>
    <phoneticPr fontId="12"/>
  </si>
  <si>
    <t xml:space="preserve">SCB4-10 </t>
    <phoneticPr fontId="12"/>
  </si>
  <si>
    <t>SCB4-16</t>
    <phoneticPr fontId="12"/>
  </si>
  <si>
    <t xml:space="preserve">SCB6-10 </t>
    <phoneticPr fontId="12"/>
  </si>
  <si>
    <t>MS3-35</t>
    <phoneticPr fontId="12"/>
  </si>
  <si>
    <t>SETB0075-Y07 ｶﾑﾌｧﾛｱ固定ﾌﾞﾛｯｸ</t>
    <phoneticPr fontId="12"/>
  </si>
  <si>
    <t>C-CFA5-13</t>
    <phoneticPr fontId="12"/>
  </si>
  <si>
    <t>CFBRA5-40</t>
    <phoneticPr fontId="12"/>
  </si>
  <si>
    <t>SBCB5-10</t>
    <phoneticPr fontId="12"/>
  </si>
  <si>
    <t>SFB3-8</t>
    <phoneticPr fontId="12"/>
  </si>
  <si>
    <t>PSSFGW10-44-M5-N5-WRC11-Y4</t>
    <phoneticPr fontId="12"/>
  </si>
  <si>
    <t xml:space="preserve">MVBLK-AMW-2GL-8WK59    </t>
    <phoneticPr fontId="12"/>
  </si>
  <si>
    <t xml:space="preserve"> SETB0047-Y04　SV51、SV70、SV91、SV97用ホルダ(P=25)</t>
    <rPh sb="33" eb="34">
      <t>ヨウ</t>
    </rPh>
    <phoneticPr fontId="14"/>
  </si>
  <si>
    <t>低頭六角穴付ボルト</t>
    <phoneticPr fontId="12"/>
  </si>
  <si>
    <t>MVBLK-AMW-2UH-4X1XW</t>
    <phoneticPr fontId="12"/>
  </si>
  <si>
    <t>8日目</t>
    <rPh sb="1" eb="2">
      <t>ヒ</t>
    </rPh>
    <rPh sb="2" eb="3">
      <t>メ</t>
    </rPh>
    <phoneticPr fontId="14"/>
  </si>
  <si>
    <t>MVBLK-AMW-2UH-KS44C</t>
    <phoneticPr fontId="12"/>
  </si>
  <si>
    <t>MVBLK-AMW-2UH-LT9DG</t>
    <phoneticPr fontId="12"/>
  </si>
  <si>
    <t>MVBLK-AMW-2UH-AZWZ7</t>
    <phoneticPr fontId="12"/>
  </si>
  <si>
    <t>MVBLK-AMW-2UH-KM5D8</t>
    <phoneticPr fontId="12"/>
  </si>
  <si>
    <t>MVBLK-AMW-2UH-D2WFZ</t>
    <phoneticPr fontId="12"/>
  </si>
  <si>
    <t>SUNCO</t>
    <phoneticPr fontId="12"/>
  </si>
  <si>
    <t>シャフト　両端めねじタイプ</t>
    <phoneticPr fontId="12"/>
  </si>
  <si>
    <t>円形支柱－両端めねじ</t>
    <phoneticPr fontId="12"/>
  </si>
  <si>
    <t>5日目</t>
    <rPh sb="1" eb="2">
      <t>ヒ</t>
    </rPh>
    <rPh sb="2" eb="3">
      <t>メ</t>
    </rPh>
    <phoneticPr fontId="14"/>
  </si>
  <si>
    <t>カムフォロア　頭部六角穴付　フラットタイプ</t>
    <phoneticPr fontId="12"/>
  </si>
  <si>
    <t>カムフォロア用ブラケット</t>
    <phoneticPr fontId="12"/>
  </si>
  <si>
    <t>六角穴付ボタンボルト　－ステンレス</t>
    <phoneticPr fontId="12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</si>
  <si>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2"/>
  </si>
  <si>
    <r>
      <t xml:space="preserve">ノックピン　　　　 4　本　　　    </t>
    </r>
    <r>
      <rPr>
        <sz val="11"/>
        <color rgb="FFFF0000"/>
        <rFont val="ＭＳ Ｐゴシック"/>
        <family val="3"/>
        <charset val="128"/>
        <scheme val="minor"/>
      </rPr>
      <t>まとめて発注　　</t>
    </r>
    <rPh sb="12" eb="13">
      <t>ホン</t>
    </rPh>
    <phoneticPr fontId="12"/>
  </si>
  <si>
    <r>
      <t xml:space="preserve"> ノックピン    14本    </t>
    </r>
    <r>
      <rPr>
        <sz val="11"/>
        <color rgb="FFFF0000"/>
        <rFont val="ＭＳ Ｐゴシック"/>
        <family val="3"/>
        <charset val="128"/>
        <scheme val="minor"/>
      </rPr>
      <t>まとめて発注</t>
    </r>
    <rPh sb="12" eb="13">
      <t>ホン</t>
    </rPh>
    <rPh sb="21" eb="23">
      <t>ハッチュウ</t>
    </rPh>
    <phoneticPr fontId="12"/>
  </si>
  <si>
    <t>シャフトホルダ　-ブラケット型スタンダードタイプ</t>
    <phoneticPr fontId="12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</si>
  <si>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2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</si>
  <si>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5本　　  社内在庫使用</t>
    </r>
    <rPh sb="10" eb="11">
      <t>ホン</t>
    </rPh>
    <phoneticPr fontId="12"/>
  </si>
  <si>
    <r>
      <t xml:space="preserve">六角穴付ボルト </t>
    </r>
    <r>
      <rPr>
        <sz val="11"/>
        <color rgb="FFFF0000"/>
        <rFont val="ＭＳ Ｐゴシック"/>
        <family val="3"/>
        <charset val="128"/>
        <scheme val="minor"/>
      </rPr>
      <t xml:space="preserve"> 6本　  社内在庫使用</t>
    </r>
    <rPh sb="10" eb="11">
      <t>ホン</t>
    </rPh>
    <phoneticPr fontId="12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</si>
  <si>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4本　  社内在庫使用</t>
    </r>
    <rPh sb="10" eb="11">
      <t>ホン</t>
    </rPh>
    <phoneticPr fontId="12"/>
  </si>
  <si>
    <r>
      <t xml:space="preserve">六角穴付ボルト 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rPh sb="11" eb="12">
      <t>ホン</t>
    </rPh>
    <phoneticPr fontId="12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</si>
  <si>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2"/>
  </si>
  <si>
    <t>A8110</t>
    <phoneticPr fontId="14"/>
  </si>
  <si>
    <t>汎用3芯OAタップ 4ヶ口</t>
    <phoneticPr fontId="14"/>
  </si>
  <si>
    <r>
      <t>1</t>
    </r>
    <r>
      <rPr>
        <sz val="11"/>
        <color rgb="FFFF0000"/>
        <rFont val="ＭＳ Ｐゴシック"/>
        <family val="3"/>
        <charset val="128"/>
        <scheme val="minor"/>
      </rPr>
      <t>.25-5</t>
    </r>
    <phoneticPr fontId="14"/>
  </si>
  <si>
    <t xml:space="preserve">漏電ブレーカ　ｶﾊﾞｰ  1セット </t>
    <phoneticPr fontId="14"/>
  </si>
  <si>
    <t xml:space="preserve">SYJ3240-5MOZE-M5  </t>
    <phoneticPr fontId="14"/>
  </si>
  <si>
    <t>https://www.monotaro.com/p/5685/0394/</t>
    <phoneticPr fontId="12"/>
  </si>
  <si>
    <t>https://www.monotaro.com/g/00231808/?t.mpn=msqb10r-m9nz</t>
    <phoneticPr fontId="12"/>
  </si>
  <si>
    <t>SY100-30-4A</t>
    <phoneticPr fontId="14"/>
  </si>
  <si>
    <t>MSQB10R-M9N</t>
    <phoneticPr fontId="14"/>
  </si>
  <si>
    <t>SCB4-5</t>
    <phoneticPr fontId="12"/>
  </si>
  <si>
    <t>六角穴付ボタンボルト　</t>
    <phoneticPr fontId="12"/>
  </si>
  <si>
    <t>sunco</t>
    <phoneticPr fontId="14"/>
  </si>
  <si>
    <t>CSH-SUS-M3-12</t>
    <phoneticPr fontId="12"/>
  </si>
  <si>
    <t>六角穴付きボルト ステンレス</t>
    <phoneticPr fontId="12"/>
  </si>
  <si>
    <t>CNYW6-6</t>
    <phoneticPr fontId="12"/>
  </si>
  <si>
    <t>チェリック</t>
    <phoneticPr fontId="12"/>
  </si>
  <si>
    <t>BSLG6</t>
    <phoneticPr fontId="12"/>
  </si>
  <si>
    <t>ワンタッチ継手　ブラインドプラグ</t>
    <phoneticPr fontId="12"/>
  </si>
  <si>
    <t>ワンタッチ継手 R（PT）付二重Y型 CNYW</t>
    <phoneticPr fontId="12"/>
  </si>
  <si>
    <t xml:space="preserve">六角穴付ボタンボルト </t>
    <phoneticPr fontId="12"/>
  </si>
  <si>
    <t>CSHBT-SUS-M4-6</t>
    <phoneticPr fontId="12"/>
  </si>
  <si>
    <t>カッチンダクト固定用</t>
    <rPh sb="7" eb="9">
      <t>コテイ</t>
    </rPh>
    <rPh sb="9" eb="10">
      <t>ヨウ</t>
    </rPh>
    <phoneticPr fontId="12"/>
  </si>
  <si>
    <t>SPWF4</t>
    <phoneticPr fontId="12"/>
  </si>
  <si>
    <t>平座金</t>
    <phoneticPr fontId="12"/>
  </si>
  <si>
    <t xml:space="preserve">APMTS-N1-T1 </t>
    <phoneticPr fontId="14"/>
  </si>
  <si>
    <t>ねじ変換継手</t>
    <phoneticPr fontId="14"/>
  </si>
  <si>
    <r>
      <t>ﾐﾆｶｯﾌﾟ（30cc）</t>
    </r>
    <r>
      <rPr>
        <sz val="11"/>
        <color rgb="FFFF0000"/>
        <rFont val="ＭＳ Ｐゴシック"/>
        <family val="3"/>
        <charset val="128"/>
        <scheme val="minor"/>
      </rPr>
      <t>　 在庫使用</t>
    </r>
    <phoneticPr fontId="14"/>
  </si>
  <si>
    <t>済み</t>
    <rPh sb="0" eb="1">
      <t>ズ</t>
    </rPh>
    <phoneticPr fontId="12"/>
  </si>
  <si>
    <t>出荷依頼項目NO.</t>
    <rPh sb="0" eb="4">
      <t>シュッカイライ</t>
    </rPh>
    <rPh sb="4" eb="6">
      <t>コウモク</t>
    </rPh>
    <phoneticPr fontId="12"/>
  </si>
  <si>
    <t>福島</t>
    <rPh sb="0" eb="2">
      <t>フクシマ</t>
    </rPh>
    <phoneticPr fontId="12"/>
  </si>
  <si>
    <t>SETB0106-A01　JR2403N+SV70ﾛ-ﾀﾘｰｱｸﾁｭｴｰﾀ+配電BOX</t>
    <phoneticPr fontId="12"/>
  </si>
  <si>
    <t>AETTS10-117-SC46.5-M3-N3</t>
    <phoneticPr fontId="12"/>
  </si>
  <si>
    <t>SETB0106-Y08 ｶﾑﾌｧﾛｱｶﾞｲﾄﾞ</t>
    <phoneticPr fontId="12"/>
  </si>
  <si>
    <t>SETB0106-Y09 右側ｶﾞｲﾄﾞｶﾊﾞｰ</t>
    <phoneticPr fontId="12"/>
  </si>
  <si>
    <t xml:space="preserve">SCB4-12 </t>
    <phoneticPr fontId="12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</si>
  <si>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3×2=6本　  社内在庫使用</t>
    </r>
    <rPh sb="14" eb="15">
      <t>ホン</t>
    </rPh>
    <phoneticPr fontId="12"/>
  </si>
  <si>
    <t>六角穴付皿ボルト　　7×2=14本</t>
    <phoneticPr fontId="12"/>
  </si>
  <si>
    <r>
      <t xml:space="preserve">ノックピン       4×2=8本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Ph sb="17" eb="18">
      <t>ホン</t>
    </rPh>
    <phoneticPr fontId="12"/>
  </si>
  <si>
    <t>SETB0106-Y10 左側ｶﾞｲﾄﾞｶﾊﾞｰ</t>
    <phoneticPr fontId="12"/>
  </si>
  <si>
    <t>SETB0106-Y11 上部ｶﾞｲﾄﾞｶﾊﾞｰ</t>
    <rPh sb="13" eb="14">
      <t>ウエ</t>
    </rPh>
    <rPh sb="14" eb="15">
      <t>ブ</t>
    </rPh>
    <phoneticPr fontId="12"/>
  </si>
  <si>
    <t>SBCB3-4</t>
    <phoneticPr fontId="12"/>
  </si>
  <si>
    <t>SETB0106-Z02 電磁弁+レギュラーﾕﾆｯﾄ取付板金</t>
    <phoneticPr fontId="12"/>
  </si>
  <si>
    <t>電磁弁ﾕﾆｯﾄ部分</t>
    <rPh sb="0" eb="3">
      <t>デンジベン</t>
    </rPh>
    <rPh sb="7" eb="9">
      <t>ブブン</t>
    </rPh>
    <phoneticPr fontId="12"/>
  </si>
  <si>
    <r>
      <t>六角穴付ボル</t>
    </r>
    <r>
      <rPr>
        <sz val="11"/>
        <rFont val="ＭＳ Ｐゴシック"/>
        <family val="3"/>
        <charset val="128"/>
        <scheme val="minor"/>
      </rPr>
      <t xml:space="preserve">ト  　2本　  </t>
    </r>
    <phoneticPr fontId="12"/>
  </si>
  <si>
    <t>SSCMW10</t>
    <phoneticPr fontId="12"/>
  </si>
  <si>
    <t xml:space="preserve"> ノックピン     11　本　　　   </t>
    <phoneticPr fontId="12"/>
  </si>
  <si>
    <r>
      <t>ノックピン  6本　　　</t>
    </r>
    <r>
      <rPr>
        <sz val="11"/>
        <color rgb="FFFF0000"/>
        <rFont val="ＭＳ Ｐゴシック"/>
        <family val="3"/>
        <charset val="128"/>
        <scheme val="minor"/>
      </rPr>
      <t>　    まとめて発注　　　　　　</t>
    </r>
    <r>
      <rPr>
        <sz val="11"/>
        <color theme="1"/>
        <rFont val="ＭＳ Ｐゴシック"/>
        <family val="3"/>
        <charset val="128"/>
        <scheme val="minor"/>
      </rPr>
      <t>　　　　</t>
    </r>
    <rPh sb="8" eb="9">
      <t>ホン</t>
    </rPh>
    <phoneticPr fontId="12"/>
  </si>
  <si>
    <r>
      <t>六角穴付ボルト  　</t>
    </r>
    <r>
      <rPr>
        <sz val="11"/>
        <color rgb="FFFF0000"/>
        <rFont val="ＭＳ Ｐゴシック"/>
        <family val="3"/>
        <charset val="128"/>
        <scheme val="minor"/>
      </rPr>
      <t xml:space="preserve">2本　 </t>
    </r>
    <phoneticPr fontId="12"/>
  </si>
  <si>
    <t>SETB0106-Y01　ﾂｰﾙ取付板</t>
    <phoneticPr fontId="12"/>
  </si>
  <si>
    <t>MVBLK-AMN-34E-4UESX</t>
    <phoneticPr fontId="12"/>
  </si>
  <si>
    <t>MVSHM-3N02050-34E-AKNL2</t>
  </si>
  <si>
    <t>MVSHM-3N03002-34E-RNS59</t>
    <phoneticPr fontId="12"/>
  </si>
  <si>
    <t>MVBLK-AMW-34E-Z87AW</t>
    <phoneticPr fontId="12"/>
  </si>
  <si>
    <t>MVSHM-3N02006-34E-2RPD7</t>
    <phoneticPr fontId="12"/>
  </si>
  <si>
    <t>MVSHM-3N02006-34E-ZP6EL</t>
    <phoneticPr fontId="12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</si>
  <si>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 xml:space="preserve">　2本  </t>
    </r>
    <rPh sb="13" eb="14">
      <t>ホン</t>
    </rPh>
    <phoneticPr fontId="12"/>
  </si>
  <si>
    <t>ノックピン　－プラス公差－　2本</t>
    <rPh sb="15" eb="16">
      <t>ホン</t>
    </rPh>
    <phoneticPr fontId="12"/>
  </si>
  <si>
    <r>
      <t>ノックピン　－プラス公差－　1本　</t>
    </r>
    <r>
      <rPr>
        <sz val="11"/>
        <color rgb="FFFF0000"/>
        <rFont val="ＭＳ Ｐゴシック"/>
        <family val="3"/>
        <charset val="128"/>
        <scheme val="minor"/>
      </rPr>
      <t>まとめて発注</t>
    </r>
    <rPh sb="15" eb="16">
      <t>ホン</t>
    </rPh>
    <rPh sb="21" eb="23">
      <t>ハッチュウ</t>
    </rPh>
    <phoneticPr fontId="12"/>
  </si>
  <si>
    <t>SETB0106-Z01　カップ受け板金1</t>
    <phoneticPr fontId="12"/>
  </si>
  <si>
    <t>SETB0106-Z03　カップ受け板金2</t>
    <phoneticPr fontId="12"/>
  </si>
  <si>
    <t>日産ﾈｼﾞ</t>
    <phoneticPr fontId="14"/>
  </si>
  <si>
    <t>ﾐｽﾐ</t>
    <phoneticPr fontId="14"/>
  </si>
  <si>
    <t>CSHSM-SUS-M3-5</t>
    <phoneticPr fontId="14"/>
  </si>
  <si>
    <t>小頭ﾈｼﾞ</t>
    <phoneticPr fontId="14"/>
  </si>
  <si>
    <t>浸け置きカップ</t>
    <rPh sb="0" eb="1">
      <t>ツ</t>
    </rPh>
    <rPh sb="2" eb="3">
      <t>オ</t>
    </rPh>
    <phoneticPr fontId="14"/>
  </si>
  <si>
    <t>SUNCO</t>
    <phoneticPr fontId="14"/>
  </si>
  <si>
    <t>CSPCSA-SUS-M4-8</t>
    <phoneticPr fontId="14"/>
  </si>
  <si>
    <t>皿ﾈｼﾞ</t>
    <phoneticPr fontId="14"/>
  </si>
  <si>
    <t>捨て打ちBOX</t>
    <rPh sb="0" eb="1">
      <t>ス</t>
    </rPh>
    <rPh sb="2" eb="3">
      <t>ウ</t>
    </rPh>
    <phoneticPr fontId="14"/>
  </si>
  <si>
    <t>FNT3</t>
    <phoneticPr fontId="14"/>
  </si>
  <si>
    <t>袋ﾅｯﾄ</t>
    <phoneticPr fontId="14"/>
  </si>
  <si>
    <t>KBXS100-100</t>
    <phoneticPr fontId="14"/>
  </si>
  <si>
    <t>金属BOX</t>
    <phoneticPr fontId="14"/>
  </si>
  <si>
    <t>MVSHM-3N03054-33U-TS97K</t>
    <phoneticPr fontId="14"/>
  </si>
  <si>
    <t>SSTT0329金属BOX受皿</t>
    <phoneticPr fontId="14"/>
  </si>
  <si>
    <t>MVSHM-3N02052-34E-99FFC</t>
    <phoneticPr fontId="12"/>
  </si>
  <si>
    <t>MVSHM-3N02050-34E-FLG51</t>
    <phoneticPr fontId="12"/>
  </si>
  <si>
    <t>RSAUW-K-1453-P11-191023-0045</t>
    <phoneticPr fontId="14"/>
  </si>
  <si>
    <t>制御BOX</t>
    <rPh sb="0" eb="2">
      <t>セイギョ</t>
    </rPh>
    <phoneticPr fontId="14"/>
  </si>
  <si>
    <t>MWS-B3102</t>
    <phoneticPr fontId="14"/>
  </si>
  <si>
    <t>3VC-3</t>
    <phoneticPr fontId="14"/>
  </si>
  <si>
    <t>電源コード</t>
    <rPh sb="0" eb="2">
      <t>デンゲン</t>
    </rPh>
    <phoneticPr fontId="14"/>
  </si>
  <si>
    <t>MKS9L-10P</t>
    <phoneticPr fontId="14"/>
  </si>
  <si>
    <t>MKBシリーズ　止め金具【10個入り】</t>
    <phoneticPr fontId="14"/>
  </si>
  <si>
    <t>NA3GH-24-3-10</t>
    <phoneticPr fontId="14"/>
  </si>
  <si>
    <t>1日目</t>
    <rPh sb="1" eb="3">
      <t>ヒメ</t>
    </rPh>
    <phoneticPr fontId="14"/>
  </si>
  <si>
    <t>タキゲン</t>
    <phoneticPr fontId="14"/>
  </si>
  <si>
    <t>C-30-SG-30X90A-EP-UL</t>
    <phoneticPr fontId="14"/>
  </si>
  <si>
    <t>グロメット</t>
    <phoneticPr fontId="14"/>
  </si>
  <si>
    <t>AYSK15-10</t>
    <phoneticPr fontId="14"/>
  </si>
  <si>
    <t>ゴム足</t>
    <rPh sb="2" eb="3">
      <t>アシ</t>
    </rPh>
    <phoneticPr fontId="14"/>
  </si>
  <si>
    <t>3日目</t>
    <rPh sb="1" eb="2">
      <t>ヒ</t>
    </rPh>
    <rPh sb="2" eb="3">
      <t>メ</t>
    </rPh>
    <phoneticPr fontId="1"/>
  </si>
  <si>
    <t>六角穴付ボルト　　4本 在庫使用</t>
    <rPh sb="10" eb="11">
      <t>ホン</t>
    </rPh>
    <phoneticPr fontId="14"/>
  </si>
  <si>
    <t>配線ダクト（側片折り取り可能）　1本　　カッチンダクト</t>
    <rPh sb="17" eb="18">
      <t>ホン</t>
    </rPh>
    <phoneticPr fontId="14"/>
  </si>
  <si>
    <t>KV-0.5-BE-10</t>
    <phoneticPr fontId="14"/>
  </si>
  <si>
    <t>KV-0.75-Y-10</t>
    <phoneticPr fontId="14"/>
  </si>
  <si>
    <t>単芯電線　　0.75　AGW18　黄色</t>
    <rPh sb="0" eb="1">
      <t>タン</t>
    </rPh>
    <rPh sb="1" eb="2">
      <t>シン</t>
    </rPh>
    <rPh sb="2" eb="4">
      <t>デンセン</t>
    </rPh>
    <rPh sb="17" eb="19">
      <t>キイロ</t>
    </rPh>
    <phoneticPr fontId="14"/>
  </si>
  <si>
    <t>KV-0.75-GN-10</t>
    <phoneticPr fontId="14"/>
  </si>
  <si>
    <t>単芯電線　　0.75　AGW18　緑色</t>
    <rPh sb="0" eb="1">
      <t>タン</t>
    </rPh>
    <rPh sb="1" eb="2">
      <t>シン</t>
    </rPh>
    <rPh sb="2" eb="4">
      <t>デンセン</t>
    </rPh>
    <rPh sb="17" eb="19">
      <t>ミドリイロ</t>
    </rPh>
    <phoneticPr fontId="14"/>
  </si>
  <si>
    <t>Dsub9　オス　コネクタハーネス　#4-40ショートねじ</t>
    <phoneticPr fontId="14"/>
  </si>
  <si>
    <r>
      <t>配電ＢＯＸ 　　</t>
    </r>
    <r>
      <rPr>
        <b/>
        <sz val="11"/>
        <color rgb="FFFF0000"/>
        <rFont val="ＭＳ Ｐゴシック"/>
        <family val="3"/>
        <charset val="128"/>
        <scheme val="minor"/>
      </rPr>
      <t>在庫使用</t>
    </r>
    <rPh sb="0" eb="2">
      <t>ハイデン</t>
    </rPh>
    <rPh sb="8" eb="10">
      <t>ザイコ</t>
    </rPh>
    <rPh sb="10" eb="12">
      <t>シヨウ</t>
    </rPh>
    <phoneticPr fontId="14"/>
  </si>
  <si>
    <t>単芯電線　　0.5　AGW20　青色　1本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rPh sb="20" eb="21">
      <t>ホン</t>
    </rPh>
    <phoneticPr fontId="14"/>
  </si>
  <si>
    <t>BDR-342</t>
    <phoneticPr fontId="14"/>
  </si>
  <si>
    <t>BDR-362</t>
    <phoneticPr fontId="12"/>
  </si>
  <si>
    <t>コモン端子台　1個</t>
    <rPh sb="3" eb="5">
      <t>タンシ</t>
    </rPh>
    <rPh sb="5" eb="6">
      <t>ダイ</t>
    </rPh>
    <rPh sb="8" eb="9">
      <t>コ</t>
    </rPh>
    <phoneticPr fontId="14"/>
  </si>
  <si>
    <r>
      <t>配電ＢＯＸ　 　</t>
    </r>
    <r>
      <rPr>
        <b/>
        <sz val="11"/>
        <color rgb="FFFF0000"/>
        <rFont val="ＭＳ Ｐゴシック"/>
        <family val="3"/>
        <charset val="128"/>
        <scheme val="minor"/>
      </rPr>
      <t>在庫使用</t>
    </r>
    <rPh sb="0" eb="2">
      <t>ハイデン</t>
    </rPh>
    <phoneticPr fontId="14"/>
  </si>
  <si>
    <t>旭東電気株式会社</t>
    <phoneticPr fontId="12"/>
  </si>
  <si>
    <r>
      <t>低頭六角穴付ボルト  1　本　</t>
    </r>
    <r>
      <rPr>
        <sz val="11"/>
        <color rgb="FFFF0000"/>
        <rFont val="ＭＳ Ｐゴシック"/>
        <family val="3"/>
        <charset val="128"/>
        <scheme val="minor"/>
      </rPr>
      <t xml:space="preserve">　まとめて発注　　 </t>
    </r>
    <phoneticPr fontId="12"/>
  </si>
  <si>
    <r>
      <t xml:space="preserve">低頭六角穴付ボルト  </t>
    </r>
    <r>
      <rPr>
        <sz val="11"/>
        <color rgb="FFFF0000"/>
        <rFont val="ＭＳ Ｐゴシック"/>
        <family val="3"/>
        <charset val="128"/>
        <scheme val="minor"/>
      </rPr>
      <t xml:space="preserve"> 2本　</t>
    </r>
    <phoneticPr fontId="12"/>
  </si>
  <si>
    <t>Ｎo.202780</t>
    <phoneticPr fontId="12"/>
  </si>
  <si>
    <r>
      <t>E</t>
    </r>
    <r>
      <rPr>
        <sz val="11"/>
        <color theme="1"/>
        <rFont val="ＭＳ Ｐゴシック"/>
        <family val="3"/>
        <charset val="128"/>
        <scheme val="minor"/>
      </rPr>
      <t>BS-32FB-10A</t>
    </r>
    <r>
      <rPr>
        <sz val="11"/>
        <color indexed="8"/>
        <rFont val="ＭＳ Ｐゴシック"/>
        <family val="3"/>
        <charset val="128"/>
      </rPr>
      <t xml:space="preserve"> </t>
    </r>
    <phoneticPr fontId="14"/>
  </si>
  <si>
    <t>MRB-375</t>
    <phoneticPr fontId="14"/>
  </si>
  <si>
    <t>PDDJ-PS-JS-37-2</t>
    <phoneticPr fontId="14"/>
  </si>
  <si>
    <t>PDDU-PT-MS-9-2-02S</t>
    <phoneticPr fontId="14"/>
  </si>
  <si>
    <t xml:space="preserve">エアチューブ  </t>
    <phoneticPr fontId="14"/>
  </si>
  <si>
    <t>https://www.monotaro.com/p/2822/6536/?t.q=sy100-30-4a</t>
    <phoneticPr fontId="12"/>
  </si>
  <si>
    <t>モノタロウなら1日間</t>
    <rPh sb="8" eb="9">
      <t>ヒ</t>
    </rPh>
    <rPh sb="9" eb="10">
      <t>カン</t>
    </rPh>
    <phoneticPr fontId="12"/>
  </si>
  <si>
    <t>モノタロウ</t>
    <phoneticPr fontId="14"/>
  </si>
  <si>
    <t>アメリカン電機</t>
    <rPh sb="5" eb="7">
      <t>デンキ</t>
    </rPh>
    <phoneticPr fontId="14"/>
  </si>
  <si>
    <t>送料</t>
    <rPh sb="0" eb="2">
      <t>ソウリョウ</t>
    </rPh>
    <phoneticPr fontId="12"/>
  </si>
  <si>
    <r>
      <t>1</t>
    </r>
    <r>
      <rPr>
        <sz val="11"/>
        <color theme="1"/>
        <rFont val="ＭＳ Ｐゴシック"/>
        <family val="3"/>
        <charset val="128"/>
        <scheme val="minor"/>
      </rPr>
      <t>/23・仙台営業所着</t>
    </r>
    <rPh sb="5" eb="7">
      <t>センダイ</t>
    </rPh>
    <rPh sb="7" eb="11">
      <t>エイギョウショチャク</t>
    </rPh>
    <phoneticPr fontId="12"/>
  </si>
  <si>
    <t>全1/19ミスミ分仙台着</t>
    <rPh sb="0" eb="1">
      <t>ゼン</t>
    </rPh>
    <rPh sb="8" eb="9">
      <t>ブン</t>
    </rPh>
    <rPh sb="9" eb="11">
      <t>センダイ</t>
    </rPh>
    <rPh sb="11" eb="12">
      <t>ツ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</si>
</sst>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0_ ;[Red]\-0\ "/>
  </numFmts>
  <fonts count="29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1" fillId="0" borderId="0">
      <alignment vertical="center"/>
    </xf>
    <xf numFmtId="0" fontId="16" fillId="0" borderId="0">
      <alignment vertical="center"/>
    </xf>
  </cellStyleXfs>
  <cellXfs count="28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49" fontId="5" fillId="0" borderId="1" xfId="0" applyNumberFormat="1" applyFont="1" applyBorder="1" applyAlignment="1">
      <alignment vertical="center" shrinkToFit="1"/>
    </xf>
    <xf numFmtId="0" fontId="9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right" vertical="center"/>
    </xf>
    <xf numFmtId="3" fontId="13" fillId="0" borderId="9" xfId="0" applyNumberFormat="1" applyFont="1" applyBorder="1" applyAlignment="1">
      <alignment horizontal="center" vertical="center"/>
    </xf>
    <xf numFmtId="0" fontId="13" fillId="0" borderId="9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176" fontId="13" fillId="0" borderId="11" xfId="0" applyNumberFormat="1" applyFont="1" applyBorder="1">
      <alignment vertical="center"/>
    </xf>
    <xf numFmtId="3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3" fontId="0" fillId="0" borderId="10" xfId="0" applyNumberFormat="1" applyBorder="1" applyAlignment="1">
      <alignment horizontal="center" vertical="center"/>
    </xf>
    <xf numFmtId="0" fontId="11" fillId="0" borderId="9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6" fontId="13" fillId="0" borderId="9" xfId="0" applyNumberFormat="1" applyFont="1" applyBorder="1" applyAlignment="1">
      <alignment horizontal="center" vertical="center"/>
    </xf>
    <xf numFmtId="0" fontId="16" fillId="0" borderId="9" xfId="3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56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56" fontId="0" fillId="0" borderId="15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7" fillId="0" borderId="9" xfId="0" applyFont="1" applyBorder="1">
      <alignment vertical="center"/>
    </xf>
    <xf numFmtId="0" fontId="16" fillId="0" borderId="9" xfId="3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11" xfId="0" applyBorder="1">
      <alignment vertical="center"/>
    </xf>
    <xf numFmtId="3" fontId="17" fillId="0" borderId="9" xfId="0" applyNumberFormat="1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7" fillId="5" borderId="9" xfId="0" applyFont="1" applyFill="1" applyBorder="1">
      <alignment vertical="center"/>
    </xf>
    <xf numFmtId="0" fontId="22" fillId="0" borderId="9" xfId="0" applyFont="1" applyBorder="1" applyAlignment="1">
      <alignment horizontal="center" vertical="center"/>
    </xf>
    <xf numFmtId="176" fontId="0" fillId="0" borderId="9" xfId="0" applyNumberFormat="1" applyBorder="1" applyAlignment="1"/>
    <xf numFmtId="0" fontId="0" fillId="0" borderId="9" xfId="0" applyBorder="1" applyAlignment="1">
      <alignment horizontal="left" vertical="center" shrinkToFit="1"/>
    </xf>
    <xf numFmtId="3" fontId="16" fillId="0" borderId="9" xfId="0" applyNumberFormat="1" applyFont="1" applyBorder="1" applyAlignment="1">
      <alignment horizontal="center" vertical="center"/>
    </xf>
    <xf numFmtId="176" fontId="16" fillId="0" borderId="9" xfId="0" applyNumberFormat="1" applyFont="1" applyBorder="1" applyAlignment="1"/>
    <xf numFmtId="0" fontId="16" fillId="0" borderId="11" xfId="0" applyFont="1" applyBorder="1" applyAlignment="1">
      <alignment horizontal="left" vertical="center" shrinkToFit="1"/>
    </xf>
    <xf numFmtId="0" fontId="0" fillId="5" borderId="9" xfId="0" applyFill="1" applyBorder="1" applyAlignment="1">
      <alignment horizontal="center" vertical="center"/>
    </xf>
    <xf numFmtId="49" fontId="17" fillId="0" borderId="9" xfId="0" applyNumberFormat="1" applyFont="1" applyBorder="1" applyAlignment="1">
      <alignment horizontal="left" vertical="center"/>
    </xf>
    <xf numFmtId="0" fontId="16" fillId="0" borderId="9" xfId="3" applyBorder="1" applyAlignment="1">
      <alignment horizontal="left" vertical="center"/>
    </xf>
    <xf numFmtId="176" fontId="0" fillId="0" borderId="11" xfId="0" applyNumberFormat="1" applyBorder="1" applyAlignment="1"/>
    <xf numFmtId="0" fontId="17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5" borderId="17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 shrinkToFit="1"/>
    </xf>
    <xf numFmtId="176" fontId="13" fillId="0" borderId="12" xfId="0" applyNumberFormat="1" applyFont="1" applyBorder="1" applyAlignment="1">
      <alignment horizontal="center" vertical="center"/>
    </xf>
    <xf numFmtId="176" fontId="13" fillId="0" borderId="13" xfId="0" applyNumberFormat="1" applyFont="1" applyBorder="1" applyAlignment="1"/>
    <xf numFmtId="0" fontId="11" fillId="0" borderId="9" xfId="0" applyFont="1" applyBorder="1" applyAlignment="1">
      <alignment horizontal="left" vertical="center" shrinkToFit="1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49" fontId="5" fillId="0" borderId="2" xfId="0" applyNumberFormat="1" applyFont="1" applyBorder="1" applyAlignment="1">
      <alignment vertical="center" shrinkToFit="1"/>
    </xf>
    <xf numFmtId="176" fontId="0" fillId="0" borderId="6" xfId="0" applyNumberFormat="1" applyBorder="1" applyAlignment="1">
      <alignment horizontal="center" vertical="center"/>
    </xf>
    <xf numFmtId="0" fontId="11" fillId="0" borderId="11" xfId="0" applyFont="1" applyBorder="1">
      <alignment vertical="center"/>
    </xf>
    <xf numFmtId="0" fontId="19" fillId="8" borderId="1" xfId="0" applyFont="1" applyFill="1" applyBorder="1" applyAlignment="1">
      <alignment vertical="center" shrinkToFit="1"/>
    </xf>
    <xf numFmtId="3" fontId="0" fillId="8" borderId="9" xfId="0" applyNumberFormat="1" applyFill="1" applyBorder="1" applyAlignment="1">
      <alignment horizontal="center" vertical="center"/>
    </xf>
    <xf numFmtId="49" fontId="0" fillId="8" borderId="9" xfId="0" applyNumberFormat="1" applyFill="1" applyBorder="1" applyAlignment="1">
      <alignment horizontal="left" vertical="center"/>
    </xf>
    <xf numFmtId="0" fontId="17" fillId="8" borderId="9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3" fontId="21" fillId="8" borderId="9" xfId="0" applyNumberFormat="1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9" xfId="0" applyFont="1" applyFill="1" applyBorder="1" applyAlignment="1">
      <alignment horizontal="left" vertical="center"/>
    </xf>
    <xf numFmtId="0" fontId="21" fillId="8" borderId="9" xfId="0" applyFont="1" applyFill="1" applyBorder="1" applyAlignment="1">
      <alignment horizontal="center" vertical="center"/>
    </xf>
    <xf numFmtId="176" fontId="21" fillId="8" borderId="9" xfId="0" applyNumberFormat="1" applyFont="1" applyFill="1" applyBorder="1" applyAlignment="1">
      <alignment horizontal="center" vertical="center"/>
    </xf>
    <xf numFmtId="176" fontId="21" fillId="8" borderId="11" xfId="0" applyNumberFormat="1" applyFont="1" applyFill="1" applyBorder="1">
      <alignment vertical="center"/>
    </xf>
    <xf numFmtId="0" fontId="27" fillId="8" borderId="9" xfId="3" applyFont="1" applyFill="1" applyBorder="1" applyAlignment="1">
      <alignment horizontal="center" vertical="center"/>
    </xf>
    <xf numFmtId="3" fontId="19" fillId="8" borderId="9" xfId="0" applyNumberFormat="1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176" fontId="19" fillId="8" borderId="9" xfId="0" applyNumberFormat="1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vertical="center" wrapText="1"/>
    </xf>
    <xf numFmtId="0" fontId="19" fillId="8" borderId="11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left" vertical="center"/>
    </xf>
    <xf numFmtId="0" fontId="21" fillId="8" borderId="11" xfId="0" applyFont="1" applyFill="1" applyBorder="1">
      <alignment vertical="center"/>
    </xf>
    <xf numFmtId="0" fontId="27" fillId="8" borderId="11" xfId="0" applyFont="1" applyFill="1" applyBorder="1">
      <alignment vertical="center"/>
    </xf>
    <xf numFmtId="49" fontId="11" fillId="0" borderId="9" xfId="0" applyNumberFormat="1" applyFont="1" applyBorder="1" applyAlignment="1">
      <alignment horizontal="left" vertical="center"/>
    </xf>
    <xf numFmtId="180" fontId="16" fillId="0" borderId="9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176" fontId="17" fillId="0" borderId="9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27" fillId="8" borderId="9" xfId="3" applyFont="1" applyFill="1" applyBorder="1"/>
    <xf numFmtId="176" fontId="27" fillId="8" borderId="9" xfId="0" applyNumberFormat="1" applyFont="1" applyFill="1" applyBorder="1" applyAlignment="1">
      <alignment horizontal="center" vertical="center"/>
    </xf>
    <xf numFmtId="176" fontId="27" fillId="8" borderId="11" xfId="0" applyNumberFormat="1" applyFont="1" applyFill="1" applyBorder="1" applyAlignment="1"/>
    <xf numFmtId="0" fontId="27" fillId="8" borderId="9" xfId="3" applyFont="1" applyFill="1" applyBorder="1" applyAlignment="1">
      <alignment vertical="center"/>
    </xf>
    <xf numFmtId="49" fontId="0" fillId="0" borderId="9" xfId="0" applyNumberForma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176" fontId="16" fillId="0" borderId="9" xfId="0" applyNumberFormat="1" applyFont="1" applyBorder="1" applyAlignment="1">
      <alignment horizontal="center" vertical="center"/>
    </xf>
    <xf numFmtId="38" fontId="0" fillId="0" borderId="9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24" fillId="0" borderId="9" xfId="3" applyFont="1" applyBorder="1" applyAlignment="1">
      <alignment horizontal="center" vertical="center"/>
    </xf>
    <xf numFmtId="176" fontId="22" fillId="0" borderId="9" xfId="0" applyNumberFormat="1" applyFont="1" applyBorder="1" applyAlignment="1">
      <alignment horizontal="center" vertical="center"/>
    </xf>
    <xf numFmtId="182" fontId="0" fillId="0" borderId="9" xfId="0" applyNumberFormat="1" applyBorder="1" applyAlignment="1">
      <alignment horizontal="center" vertical="center"/>
    </xf>
    <xf numFmtId="182" fontId="17" fillId="8" borderId="9" xfId="0" applyNumberFormat="1" applyFont="1" applyFill="1" applyBorder="1" applyAlignment="1">
      <alignment horizontal="center" vertical="center"/>
    </xf>
    <xf numFmtId="38" fontId="17" fillId="8" borderId="9" xfId="0" applyNumberFormat="1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21" fillId="8" borderId="1" xfId="0" applyNumberFormat="1" applyFont="1" applyFill="1" applyBorder="1" applyAlignment="1">
      <alignment horizontal="center" vertical="center"/>
    </xf>
    <xf numFmtId="38" fontId="17" fillId="0" borderId="9" xfId="0" applyNumberFormat="1" applyFont="1" applyBorder="1" applyAlignment="1">
      <alignment horizontal="center" vertical="center"/>
    </xf>
    <xf numFmtId="0" fontId="16" fillId="0" borderId="12" xfId="3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20" xfId="0" applyBorder="1" applyAlignment="1">
      <alignment vertical="center" shrinkToFit="1"/>
    </xf>
    <xf numFmtId="176" fontId="7" fillId="0" borderId="9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6" fontId="26" fillId="0" borderId="17" xfId="0" applyNumberFormat="1" applyFont="1" applyBorder="1" applyAlignment="1">
      <alignment horizontal="center" vertical="center"/>
    </xf>
    <xf numFmtId="181" fontId="17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56" fontId="11" fillId="0" borderId="9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 shrinkToFit="1"/>
    </xf>
    <xf numFmtId="0" fontId="19" fillId="8" borderId="9" xfId="0" applyFont="1" applyFill="1" applyBorder="1">
      <alignment vertical="center"/>
    </xf>
    <xf numFmtId="38" fontId="19" fillId="8" borderId="9" xfId="0" applyNumberFormat="1" applyFont="1" applyFill="1" applyBorder="1" applyAlignment="1">
      <alignment horizontal="center" vertical="center"/>
    </xf>
    <xf numFmtId="38" fontId="19" fillId="8" borderId="14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49" fontId="15" fillId="0" borderId="9" xfId="0" applyNumberFormat="1" applyFont="1" applyBorder="1" applyAlignment="1">
      <alignment horizontal="left" vertical="center"/>
    </xf>
    <xf numFmtId="38" fontId="0" fillId="0" borderId="9" xfId="0" applyNumberFormat="1" applyBorder="1" applyAlignment="1">
      <alignment horizontal="right" vertical="center"/>
    </xf>
    <xf numFmtId="3" fontId="0" fillId="0" borderId="20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3" fontId="0" fillId="0" borderId="21" xfId="0" applyNumberFormat="1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176" fontId="7" fillId="0" borderId="17" xfId="0" applyNumberFormat="1" applyFont="1" applyBorder="1" applyAlignment="1">
      <alignment horizontal="center" vertical="center"/>
    </xf>
    <xf numFmtId="176" fontId="0" fillId="0" borderId="18" xfId="0" applyNumberFormat="1" applyBorder="1" applyAlignment="1"/>
    <xf numFmtId="0" fontId="0" fillId="0" borderId="10" xfId="0" applyBorder="1" applyAlignment="1">
      <alignment horizontal="left" vertical="center"/>
    </xf>
    <xf numFmtId="176" fontId="0" fillId="0" borderId="9" xfId="0" applyNumberFormat="1" applyBorder="1" applyAlignment="1">
      <alignment horizontal="right" vertical="center"/>
    </xf>
    <xf numFmtId="3" fontId="0" fillId="5" borderId="9" xfId="0" applyNumberForma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left" vertical="center"/>
    </xf>
    <xf numFmtId="38" fontId="17" fillId="0" borderId="9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3" fontId="11" fillId="0" borderId="9" xfId="0" applyNumberFormat="1" applyFont="1" applyBorder="1" applyAlignment="1">
      <alignment horizontal="left" vertical="center"/>
    </xf>
    <xf numFmtId="0" fontId="0" fillId="10" borderId="9" xfId="0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7" fillId="10" borderId="9" xfId="0" applyFont="1" applyFill="1" applyBorder="1" applyAlignment="1">
      <alignment horizontal="center" vertical="center"/>
    </xf>
    <xf numFmtId="176" fontId="24" fillId="0" borderId="9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3" fontId="11" fillId="0" borderId="9" xfId="0" applyNumberFormat="1" applyFont="1" applyBorder="1" applyAlignment="1">
      <alignment horizontal="center" vertical="center"/>
    </xf>
    <xf numFmtId="49" fontId="19" fillId="8" borderId="9" xfId="0" applyNumberFormat="1" applyFont="1" applyFill="1" applyBorder="1" applyAlignment="1">
      <alignment horizontal="left" vertical="center"/>
    </xf>
    <xf numFmtId="176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3" fontId="0" fillId="11" borderId="9" xfId="0" applyNumberFormat="1" applyFill="1" applyBorder="1" applyAlignment="1">
      <alignment horizontal="center" vertical="center"/>
    </xf>
    <xf numFmtId="49" fontId="11" fillId="11" borderId="9" xfId="0" applyNumberFormat="1" applyFont="1" applyFill="1" applyBorder="1" applyAlignment="1">
      <alignment horizontal="left" vertical="center"/>
    </xf>
    <xf numFmtId="176" fontId="0" fillId="11" borderId="9" xfId="0" applyNumberFormat="1" applyFill="1" applyBorder="1" applyAlignment="1">
      <alignment horizontal="center" vertical="center"/>
    </xf>
    <xf numFmtId="176" fontId="11" fillId="11" borderId="9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 shrinkToFit="1"/>
    </xf>
    <xf numFmtId="49" fontId="17" fillId="11" borderId="9" xfId="0" applyNumberFormat="1" applyFont="1" applyFill="1" applyBorder="1" applyAlignment="1">
      <alignment horizontal="left" vertical="center"/>
    </xf>
    <xf numFmtId="49" fontId="11" fillId="11" borderId="9" xfId="0" applyNumberFormat="1" applyFont="1" applyFill="1" applyBorder="1" applyAlignment="1">
      <alignment horizontal="left" vertical="center" wrapText="1"/>
    </xf>
    <xf numFmtId="0" fontId="20" fillId="8" borderId="11" xfId="3" applyFont="1" applyFill="1" applyBorder="1" applyAlignment="1">
      <alignment horizontal="left" vertical="center"/>
    </xf>
    <xf numFmtId="0" fontId="19" fillId="8" borderId="11" xfId="0" applyFont="1" applyFill="1" applyBorder="1">
      <alignment vertical="center"/>
    </xf>
    <xf numFmtId="0" fontId="1" fillId="0" borderId="0" xfId="2">
      <alignment vertical="center"/>
    </xf>
    <xf numFmtId="176" fontId="17" fillId="0" borderId="9" xfId="0" applyNumberFormat="1" applyFont="1" applyBorder="1">
      <alignment vertical="center"/>
    </xf>
    <xf numFmtId="49" fontId="11" fillId="8" borderId="9" xfId="0" applyNumberFormat="1" applyFont="1" applyFill="1" applyBorder="1" applyAlignment="1">
      <alignment horizontal="left" vertical="center"/>
    </xf>
    <xf numFmtId="0" fontId="17" fillId="11" borderId="9" xfId="0" applyFont="1" applyFill="1" applyBorder="1" applyAlignment="1">
      <alignment horizontal="center" vertical="center"/>
    </xf>
    <xf numFmtId="3" fontId="11" fillId="11" borderId="9" xfId="0" applyNumberFormat="1" applyFont="1" applyFill="1" applyBorder="1" applyAlignment="1">
      <alignment horizontal="left" vertical="center"/>
    </xf>
    <xf numFmtId="0" fontId="0" fillId="11" borderId="9" xfId="0" applyFill="1" applyBorder="1" applyAlignment="1">
      <alignment horizontal="center" vertical="center"/>
    </xf>
    <xf numFmtId="0" fontId="27" fillId="0" borderId="9" xfId="3" applyFont="1" applyBorder="1" applyAlignment="1">
      <alignment horizontal="left" vertical="center" wrapText="1"/>
    </xf>
    <xf numFmtId="178" fontId="11" fillId="0" borderId="9" xfId="0" applyNumberFormat="1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3" fontId="20" fillId="8" borderId="12" xfId="0" applyNumberFormat="1" applyFon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13" xfId="0" applyFont="1" applyFill="1" applyBorder="1" applyAlignment="1">
      <alignment horizontal="center" vertical="center"/>
    </xf>
    <xf numFmtId="176" fontId="19" fillId="0" borderId="9" xfId="0" applyNumberFormat="1" applyFont="1" applyBorder="1" applyAlignment="1">
      <alignment horizontal="center" vertical="center"/>
    </xf>
    <xf numFmtId="56" fontId="11" fillId="0" borderId="0" xfId="0" applyNumberFormat="1" applyFont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11" fillId="10" borderId="9" xfId="0" applyFont="1" applyFill="1" applyBorder="1">
      <alignment vertical="center"/>
    </xf>
    <xf numFmtId="0" fontId="11" fillId="10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49" fontId="11" fillId="13" borderId="9" xfId="0" applyNumberFormat="1" applyFont="1" applyFill="1" applyBorder="1" applyAlignment="1">
      <alignment horizontal="left" vertical="center"/>
    </xf>
    <xf numFmtId="176" fontId="0" fillId="13" borderId="9" xfId="0" applyNumberFormat="1" applyFill="1" applyBorder="1" applyAlignment="1">
      <alignment horizontal="center" vertical="center"/>
    </xf>
    <xf numFmtId="176" fontId="11" fillId="13" borderId="9" xfId="0" applyNumberFormat="1" applyFont="1" applyFill="1" applyBorder="1" applyAlignment="1">
      <alignment horizontal="center" vertical="center"/>
    </xf>
    <xf numFmtId="182" fontId="17" fillId="0" borderId="9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3" fontId="13" fillId="0" borderId="9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38" fontId="13" fillId="0" borderId="9" xfId="0" applyNumberFormat="1" applyFont="1" applyBorder="1" applyAlignment="1">
      <alignment horizontal="center" vertical="center"/>
    </xf>
    <xf numFmtId="181" fontId="13" fillId="0" borderId="9" xfId="0" applyNumberFormat="1" applyFont="1" applyBorder="1" applyAlignment="1">
      <alignment horizontal="center" vertical="center"/>
    </xf>
    <xf numFmtId="181" fontId="19" fillId="8" borderId="12" xfId="0" applyNumberFormat="1" applyFont="1" applyFill="1" applyBorder="1" applyAlignment="1">
      <alignment horizontal="center" vertical="center"/>
    </xf>
    <xf numFmtId="181" fontId="17" fillId="5" borderId="9" xfId="0" applyNumberFormat="1" applyFont="1" applyFill="1" applyBorder="1" applyAlignment="1">
      <alignment horizontal="center" vertical="center"/>
    </xf>
    <xf numFmtId="38" fontId="17" fillId="11" borderId="9" xfId="0" applyNumberFormat="1" applyFont="1" applyFill="1" applyBorder="1" applyAlignment="1">
      <alignment horizontal="center" vertical="center"/>
    </xf>
    <xf numFmtId="38" fontId="0" fillId="10" borderId="9" xfId="0" applyNumberForma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/>
    </xf>
    <xf numFmtId="38" fontId="13" fillId="0" borderId="11" xfId="0" applyNumberFormat="1" applyFont="1" applyBorder="1" applyAlignment="1">
      <alignment horizontal="center" vertical="center"/>
    </xf>
    <xf numFmtId="176" fontId="19" fillId="8" borderId="12" xfId="0" applyNumberFormat="1" applyFont="1" applyFill="1" applyBorder="1" applyAlignment="1">
      <alignment horizontal="center" vertical="center"/>
    </xf>
    <xf numFmtId="181" fontId="17" fillId="11" borderId="9" xfId="0" applyNumberFormat="1" applyFont="1" applyFill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176" fontId="0" fillId="0" borderId="11" xfId="0" applyNumberFormat="1" applyBorder="1" applyAlignment="1">
      <alignment horizontal="left" vertical="center"/>
    </xf>
    <xf numFmtId="3" fontId="27" fillId="0" borderId="9" xfId="0" applyNumberFormat="1" applyFont="1" applyBorder="1" applyAlignment="1">
      <alignment horizontal="center" vertical="center"/>
    </xf>
    <xf numFmtId="0" fontId="27" fillId="0" borderId="9" xfId="0" applyFont="1" applyBorder="1">
      <alignment vertical="center"/>
    </xf>
    <xf numFmtId="0" fontId="27" fillId="0" borderId="9" xfId="0" applyFont="1" applyBorder="1" applyAlignment="1">
      <alignment horizontal="center" vertical="center"/>
    </xf>
    <xf numFmtId="176" fontId="27" fillId="0" borderId="9" xfId="0" applyNumberFormat="1" applyFont="1" applyBorder="1" applyAlignment="1">
      <alignment horizontal="center" vertical="center"/>
    </xf>
    <xf numFmtId="176" fontId="27" fillId="0" borderId="11" xfId="0" applyNumberFormat="1" applyFont="1" applyBorder="1">
      <alignment vertical="center"/>
    </xf>
    <xf numFmtId="0" fontId="20" fillId="0" borderId="11" xfId="3" applyFont="1" applyBorder="1" applyAlignment="1">
      <alignment horizontal="left" vertical="center"/>
    </xf>
    <xf numFmtId="0" fontId="19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3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176" fontId="21" fillId="0" borderId="9" xfId="0" applyNumberFormat="1" applyFont="1" applyBorder="1" applyAlignment="1">
      <alignment horizontal="center" vertical="center"/>
    </xf>
    <xf numFmtId="176" fontId="21" fillId="0" borderId="11" xfId="0" applyNumberFormat="1" applyFont="1" applyBorder="1">
      <alignment vertical="center"/>
    </xf>
    <xf numFmtId="0" fontId="21" fillId="0" borderId="9" xfId="0" applyFont="1" applyBorder="1">
      <alignment vertical="center"/>
    </xf>
    <xf numFmtId="0" fontId="27" fillId="0" borderId="9" xfId="3" applyFont="1" applyBorder="1" applyAlignment="1">
      <alignment horizontal="left" vertical="center"/>
    </xf>
    <xf numFmtId="0" fontId="16" fillId="0" borderId="11" xfId="3" applyBorder="1" applyAlignment="1">
      <alignment horizontal="left" vertical="center"/>
    </xf>
    <xf numFmtId="0" fontId="17" fillId="0" borderId="9" xfId="0" applyFont="1" applyBorder="1" applyAlignment="1">
      <alignment vertical="center" wrapText="1"/>
    </xf>
    <xf numFmtId="176" fontId="17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28" fillId="8" borderId="9" xfId="0" applyFont="1" applyFill="1" applyBorder="1">
      <alignment vertical="center"/>
    </xf>
    <xf numFmtId="3" fontId="0" fillId="7" borderId="9" xfId="0" applyNumberForma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13" fillId="0" borderId="9" xfId="3" applyFont="1" applyBorder="1" applyAlignment="1">
      <alignment horizontal="left" vertical="center"/>
    </xf>
    <xf numFmtId="0" fontId="17" fillId="0" borderId="11" xfId="0" applyFont="1" applyBorder="1">
      <alignment vertical="center"/>
    </xf>
    <xf numFmtId="0" fontId="16" fillId="0" borderId="9" xfId="0" applyFont="1" applyBorder="1" applyAlignment="1">
      <alignment horizontal="left" vertical="center" shrinkToFit="1"/>
    </xf>
    <xf numFmtId="0" fontId="16" fillId="0" borderId="9" xfId="0" applyFont="1" applyBorder="1">
      <alignment vertical="center"/>
    </xf>
    <xf numFmtId="176" fontId="17" fillId="0" borderId="1" xfId="0" applyNumberFormat="1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16" fillId="8" borderId="9" xfId="0" applyFont="1" applyFill="1" applyBorder="1">
      <alignment vertical="center"/>
    </xf>
    <xf numFmtId="0" fontId="1" fillId="0" borderId="9" xfId="2" applyBorder="1">
      <alignment vertical="center"/>
    </xf>
    <xf numFmtId="56" fontId="0" fillId="0" borderId="12" xfId="0" applyNumberForma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7" fillId="3" borderId="8" xfId="0" applyNumberFormat="1" applyFont="1" applyFill="1" applyBorder="1" applyAlignment="1">
      <alignment horizontal="center" vertical="center"/>
    </xf>
    <xf numFmtId="176" fontId="7" fillId="3" borderId="18" xfId="0" applyNumberFormat="1" applyFont="1" applyFill="1" applyBorder="1" applyAlignment="1">
      <alignment horizontal="center" vertical="center"/>
    </xf>
    <xf numFmtId="176" fontId="7" fillId="3" borderId="19" xfId="0" applyNumberFormat="1" applyFont="1" applyFill="1" applyBorder="1" applyAlignment="1">
      <alignment horizontal="center" vertical="center"/>
    </xf>
    <xf numFmtId="3" fontId="2" fillId="2" borderId="9" xfId="0" applyNumberFormat="1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3" fontId="23" fillId="7" borderId="11" xfId="0" applyNumberFormat="1" applyFont="1" applyFill="1" applyBorder="1" applyAlignment="1">
      <alignment horizontal="center" vertical="center"/>
    </xf>
    <xf numFmtId="3" fontId="23" fillId="7" borderId="16" xfId="0" applyNumberFormat="1" applyFont="1" applyFill="1" applyBorder="1" applyAlignment="1">
      <alignment horizontal="center" vertical="center"/>
    </xf>
    <xf numFmtId="3" fontId="23" fillId="7" borderId="14" xfId="0" applyNumberFormat="1" applyFont="1" applyFill="1" applyBorder="1" applyAlignment="1">
      <alignment horizontal="center" vertical="center"/>
    </xf>
    <xf numFmtId="176" fontId="26" fillId="6" borderId="11" xfId="0" applyNumberFormat="1" applyFont="1" applyFill="1" applyBorder="1" applyAlignment="1">
      <alignment horizontal="center" vertical="center"/>
    </xf>
    <xf numFmtId="176" fontId="26" fillId="6" borderId="16" xfId="0" applyNumberFormat="1" applyFont="1" applyFill="1" applyBorder="1" applyAlignment="1">
      <alignment horizontal="center" vertical="center"/>
    </xf>
    <xf numFmtId="176" fontId="26" fillId="6" borderId="14" xfId="0" applyNumberFormat="1" applyFont="1" applyFill="1" applyBorder="1" applyAlignment="1">
      <alignment horizontal="center" vertical="center"/>
    </xf>
    <xf numFmtId="3" fontId="18" fillId="2" borderId="12" xfId="0" applyNumberFormat="1" applyFont="1" applyFill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 shrinkToFit="1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p/2822/6536/?t.q=sy100-30-4a" TargetMode="External"/><Relationship Id="rId2" Type="http://schemas.openxmlformats.org/officeDocument/2006/relationships/hyperlink" Target="https://www.monotaro.com/p/5685/0394/" TargetMode="External"/><Relationship Id="rId1" Type="http://schemas.openxmlformats.org/officeDocument/2006/relationships/hyperlink" Target="https://www.monotaro.com/g/00231808/?t.mpn=msqb10r-m9nz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5B11-EA03-4D9F-B7D5-933EB783FCD2}">
  <sheetPr>
    <tabColor rgb="FFFFC000"/>
  </sheetPr>
  <dimension ref="A2:S180"/>
  <sheetViews>
    <sheetView tabSelected="1" zoomScale="81" zoomScaleNormal="81" workbookViewId="0">
      <pane xSplit="11" ySplit="8" topLeftCell="Q9" activePane="bottomRight" state="frozen"/>
      <selection activeCell="D26" sqref="D26"/>
      <selection pane="topRight" activeCell="D26" sqref="D26"/>
      <selection pane="bottomLeft" activeCell="D26" sqref="D26"/>
      <selection pane="bottomRight" activeCell="R13" sqref="R13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71.5" customWidth="1"/>
    <col min="7" max="7" width="10.875" style="3" customWidth="1"/>
    <col min="8" max="9" width="12.125" style="3" customWidth="1"/>
    <col min="10" max="10" width="7.125" style="12" customWidth="1"/>
    <col min="11" max="11" width="50.5" customWidth="1"/>
    <col min="12" max="12" width="45.1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53" customWidth="1"/>
    <col min="18" max="18" width="19.375" style="53" customWidth="1"/>
  </cols>
  <sheetData>
    <row r="2" spans="1:18" ht="20.100000000000001" customHeight="1" x14ac:dyDescent="0.15">
      <c r="C2" s="265" t="s">
        <v>0</v>
      </c>
      <c r="D2" s="265"/>
      <c r="E2" s="265"/>
      <c r="F2" s="29" t="s">
        <v>278</v>
      </c>
      <c r="H2" s="284" t="s">
        <v>1</v>
      </c>
      <c r="I2" s="285"/>
      <c r="J2" s="286"/>
      <c r="K2" s="11">
        <f>SUM(I:I)</f>
        <v>247535</v>
      </c>
    </row>
    <row r="3" spans="1:18" ht="20.100000000000001" customHeight="1" x14ac:dyDescent="0.15">
      <c r="C3" s="265" t="s">
        <v>2</v>
      </c>
      <c r="D3" s="265"/>
      <c r="E3" s="265"/>
      <c r="F3" s="9" t="s">
        <v>201</v>
      </c>
    </row>
    <row r="4" spans="1:18" ht="20.100000000000001" customHeight="1" x14ac:dyDescent="0.15">
      <c r="C4" s="265" t="s">
        <v>3</v>
      </c>
      <c r="D4" s="265"/>
      <c r="E4" s="265"/>
      <c r="F4" s="9" t="s">
        <v>281</v>
      </c>
      <c r="H4" s="287" t="s">
        <v>202</v>
      </c>
      <c r="I4" s="287"/>
      <c r="J4" s="287"/>
      <c r="K4" s="287"/>
      <c r="L4" s="115"/>
    </row>
    <row r="5" spans="1:18" ht="20.100000000000001" customHeight="1" x14ac:dyDescent="0.15">
      <c r="C5" s="265" t="s">
        <v>4</v>
      </c>
      <c r="D5" s="265"/>
      <c r="E5" s="265"/>
      <c r="F5" s="10">
        <v>44946</v>
      </c>
      <c r="H5" s="287"/>
      <c r="I5" s="287"/>
      <c r="J5" s="287"/>
      <c r="K5" s="287"/>
    </row>
    <row r="6" spans="1:18" ht="20.100000000000001" customHeight="1" x14ac:dyDescent="0.15">
      <c r="C6" s="265" t="s">
        <v>5</v>
      </c>
      <c r="D6" s="265"/>
      <c r="E6" s="265"/>
      <c r="F6" s="10">
        <v>44949</v>
      </c>
      <c r="I6" s="121"/>
    </row>
    <row r="8" spans="1:18" s="3" customFormat="1" ht="19.5" customHeight="1" x14ac:dyDescent="0.15">
      <c r="B8" s="199" t="s">
        <v>200</v>
      </c>
      <c r="C8" s="198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5" t="s">
        <v>17</v>
      </c>
      <c r="O8" s="4" t="s">
        <v>18</v>
      </c>
      <c r="P8" s="1" t="s">
        <v>19</v>
      </c>
      <c r="Q8" s="15" t="s">
        <v>20</v>
      </c>
      <c r="R8" s="8" t="s">
        <v>21</v>
      </c>
    </row>
    <row r="9" spans="1:18" s="3" customFormat="1" ht="19.5" customHeight="1" x14ac:dyDescent="0.15">
      <c r="C9" s="4"/>
      <c r="D9" s="4"/>
      <c r="E9" s="4"/>
      <c r="F9" s="6"/>
      <c r="G9" s="24"/>
      <c r="H9" s="24"/>
      <c r="I9" s="24"/>
      <c r="J9" s="13"/>
      <c r="K9" s="25"/>
      <c r="L9" s="1"/>
      <c r="M9" s="1"/>
      <c r="N9" s="15"/>
      <c r="O9" s="4"/>
      <c r="P9" s="1"/>
      <c r="Q9" s="15"/>
      <c r="R9" s="8"/>
    </row>
    <row r="10" spans="1:18" ht="18" customHeight="1" x14ac:dyDescent="0.15">
      <c r="C10" s="266" t="s">
        <v>22</v>
      </c>
      <c r="D10" s="267"/>
      <c r="E10" s="267"/>
      <c r="F10" s="268"/>
      <c r="G10" s="18"/>
      <c r="H10" s="18"/>
      <c r="I10" s="24"/>
      <c r="J10" s="13"/>
      <c r="K10" s="16"/>
      <c r="L10" s="6"/>
      <c r="M10" s="5"/>
      <c r="N10" s="15"/>
      <c r="O10" s="8"/>
      <c r="P10" s="8"/>
      <c r="Q10" s="15"/>
      <c r="R10" s="14"/>
    </row>
    <row r="11" spans="1:18" ht="18" customHeight="1" x14ac:dyDescent="0.15">
      <c r="A11" s="115"/>
      <c r="C11" s="31"/>
      <c r="D11" s="41"/>
      <c r="E11" s="41"/>
      <c r="F11" s="111"/>
      <c r="G11" s="59"/>
      <c r="H11" s="59"/>
      <c r="I11" s="59"/>
      <c r="J11" s="74"/>
      <c r="K11" s="67"/>
      <c r="L11" s="148"/>
      <c r="M11" s="36"/>
      <c r="N11" s="52"/>
      <c r="O11" s="32"/>
      <c r="P11" s="52"/>
      <c r="Q11" s="52"/>
      <c r="R11" s="48"/>
    </row>
    <row r="12" spans="1:18" ht="18" customHeight="1" x14ac:dyDescent="0.15">
      <c r="A12" s="209" t="s">
        <v>158</v>
      </c>
      <c r="B12" s="206">
        <v>4</v>
      </c>
      <c r="C12" s="251">
        <f t="shared" ref="C12" si="0">C11+1</f>
        <v>1</v>
      </c>
      <c r="D12" s="250" t="s">
        <v>29</v>
      </c>
      <c r="E12" s="41" t="s">
        <v>29</v>
      </c>
      <c r="F12" s="111" t="s">
        <v>203</v>
      </c>
      <c r="G12" s="178">
        <v>1</v>
      </c>
      <c r="H12" s="59">
        <v>1150</v>
      </c>
      <c r="I12" s="59">
        <f t="shared" ref="I12:I14" si="1">G12*H12</f>
        <v>1150</v>
      </c>
      <c r="J12" s="66"/>
      <c r="K12" s="82" t="s">
        <v>157</v>
      </c>
      <c r="L12" s="148"/>
      <c r="M12" s="36"/>
      <c r="N12" s="52"/>
      <c r="O12" s="32"/>
      <c r="P12" s="52"/>
      <c r="Q12" s="52">
        <v>44945</v>
      </c>
      <c r="R12" s="196" t="s">
        <v>293</v>
      </c>
    </row>
    <row r="13" spans="1:18" ht="18" customHeight="1" x14ac:dyDescent="0.15">
      <c r="A13" s="209" t="s">
        <v>83</v>
      </c>
      <c r="B13" s="206">
        <v>4</v>
      </c>
      <c r="C13" s="251">
        <f>C12+1</f>
        <v>2</v>
      </c>
      <c r="D13" s="250" t="s">
        <v>88</v>
      </c>
      <c r="E13" s="41" t="s">
        <v>89</v>
      </c>
      <c r="F13" s="111" t="s">
        <v>180</v>
      </c>
      <c r="G13" s="59">
        <v>1</v>
      </c>
      <c r="H13" s="59">
        <v>31930</v>
      </c>
      <c r="I13" s="59">
        <f t="shared" si="1"/>
        <v>31930</v>
      </c>
      <c r="J13" s="66"/>
      <c r="K13" s="67" t="s">
        <v>90</v>
      </c>
      <c r="L13" s="189" t="s">
        <v>178</v>
      </c>
      <c r="M13" s="36"/>
      <c r="N13" s="52">
        <v>44931</v>
      </c>
      <c r="O13" s="32"/>
      <c r="P13" s="52">
        <v>44946</v>
      </c>
      <c r="Q13" s="143" t="s">
        <v>292</v>
      </c>
      <c r="R13" s="48"/>
    </row>
    <row r="14" spans="1:18" ht="18" customHeight="1" x14ac:dyDescent="0.15">
      <c r="A14" s="168" t="s">
        <v>113</v>
      </c>
      <c r="B14" s="206">
        <v>4</v>
      </c>
      <c r="C14" s="251">
        <f t="shared" ref="C14" si="2">C13+1</f>
        <v>3</v>
      </c>
      <c r="D14" s="250" t="s">
        <v>88</v>
      </c>
      <c r="E14" s="41" t="s">
        <v>89</v>
      </c>
      <c r="F14" s="111" t="s">
        <v>95</v>
      </c>
      <c r="G14" s="36">
        <v>2</v>
      </c>
      <c r="H14" s="123">
        <v>600</v>
      </c>
      <c r="I14" s="123">
        <f t="shared" si="1"/>
        <v>1200</v>
      </c>
      <c r="J14" s="37"/>
      <c r="K14" s="67" t="s">
        <v>96</v>
      </c>
      <c r="L14" s="148"/>
      <c r="M14" s="36"/>
      <c r="N14" s="52">
        <v>44931</v>
      </c>
      <c r="O14" s="32"/>
      <c r="P14" s="52">
        <v>44946</v>
      </c>
      <c r="Q14" s="143" t="s">
        <v>292</v>
      </c>
      <c r="R14" s="48"/>
    </row>
    <row r="15" spans="1:18" ht="18" customHeight="1" x14ac:dyDescent="0.15">
      <c r="A15" s="209" t="s">
        <v>112</v>
      </c>
      <c r="B15" s="206">
        <v>4</v>
      </c>
      <c r="C15" s="251">
        <f>C14+1</f>
        <v>4</v>
      </c>
      <c r="D15" s="250" t="s">
        <v>29</v>
      </c>
      <c r="E15" s="41" t="s">
        <v>29</v>
      </c>
      <c r="F15" s="111" t="s">
        <v>144</v>
      </c>
      <c r="G15" s="59">
        <v>1</v>
      </c>
      <c r="H15" s="59">
        <v>1910</v>
      </c>
      <c r="I15" s="59">
        <f t="shared" ref="I15:I45" si="3">G15*H15</f>
        <v>1910</v>
      </c>
      <c r="J15" s="66"/>
      <c r="K15" s="82" t="s">
        <v>156</v>
      </c>
      <c r="L15" s="148"/>
      <c r="M15" s="36"/>
      <c r="N15" s="52">
        <v>44931</v>
      </c>
      <c r="O15" s="32"/>
      <c r="P15" s="52"/>
      <c r="Q15" s="52">
        <v>44945</v>
      </c>
      <c r="R15" s="48"/>
    </row>
    <row r="16" spans="1:18" ht="18" customHeight="1" x14ac:dyDescent="0.15">
      <c r="A16" s="209" t="s">
        <v>112</v>
      </c>
      <c r="B16" s="206">
        <v>4</v>
      </c>
      <c r="C16" s="251">
        <f t="shared" ref="C16:C45" si="4">C15+1</f>
        <v>5</v>
      </c>
      <c r="D16" s="250" t="s">
        <v>29</v>
      </c>
      <c r="E16" s="41" t="s">
        <v>29</v>
      </c>
      <c r="F16" s="111" t="s">
        <v>116</v>
      </c>
      <c r="G16" s="59">
        <v>2</v>
      </c>
      <c r="H16" s="59">
        <v>1520</v>
      </c>
      <c r="I16" s="59">
        <f t="shared" si="3"/>
        <v>3040</v>
      </c>
      <c r="J16" s="66"/>
      <c r="K16" s="67" t="s">
        <v>87</v>
      </c>
      <c r="L16" s="148"/>
      <c r="M16" s="36"/>
      <c r="N16" s="52">
        <v>44931</v>
      </c>
      <c r="O16" s="32"/>
      <c r="P16" s="52"/>
      <c r="Q16" s="52">
        <v>44945</v>
      </c>
      <c r="R16" s="48"/>
    </row>
    <row r="17" spans="1:18" ht="18" customHeight="1" x14ac:dyDescent="0.15">
      <c r="A17" s="209" t="s">
        <v>84</v>
      </c>
      <c r="B17" s="206">
        <v>4</v>
      </c>
      <c r="C17" s="251">
        <f t="shared" si="4"/>
        <v>6</v>
      </c>
      <c r="D17" s="180" t="s">
        <v>99</v>
      </c>
      <c r="E17" s="180" t="s">
        <v>29</v>
      </c>
      <c r="F17" s="181" t="s">
        <v>145</v>
      </c>
      <c r="G17" s="182">
        <v>1</v>
      </c>
      <c r="H17" s="182">
        <v>8216</v>
      </c>
      <c r="I17" s="171">
        <f t="shared" si="3"/>
        <v>8216</v>
      </c>
      <c r="J17" s="66"/>
      <c r="K17" s="44" t="s">
        <v>146</v>
      </c>
      <c r="L17" s="148"/>
      <c r="M17" s="36"/>
      <c r="N17" s="52">
        <v>45288</v>
      </c>
      <c r="O17" s="32"/>
      <c r="P17" s="52"/>
      <c r="Q17" s="52">
        <v>44946</v>
      </c>
      <c r="R17" s="48">
        <v>44946</v>
      </c>
    </row>
    <row r="18" spans="1:18" ht="18" customHeight="1" x14ac:dyDescent="0.15">
      <c r="A18" s="168" t="s">
        <v>113</v>
      </c>
      <c r="B18" s="206">
        <v>4</v>
      </c>
      <c r="C18" s="251">
        <f t="shared" si="4"/>
        <v>7</v>
      </c>
      <c r="D18" s="62" t="s">
        <v>29</v>
      </c>
      <c r="E18" s="62" t="s">
        <v>29</v>
      </c>
      <c r="F18" s="72" t="s">
        <v>136</v>
      </c>
      <c r="G18" s="114">
        <v>10</v>
      </c>
      <c r="H18" s="59">
        <v>27</v>
      </c>
      <c r="I18" s="171">
        <f t="shared" si="3"/>
        <v>270</v>
      </c>
      <c r="J18" s="66"/>
      <c r="K18" s="82" t="s">
        <v>215</v>
      </c>
      <c r="L18" s="148"/>
      <c r="M18" s="36"/>
      <c r="N18" s="52">
        <v>44931</v>
      </c>
      <c r="O18" s="32"/>
      <c r="P18" s="52"/>
      <c r="Q18" s="52">
        <v>44945</v>
      </c>
      <c r="R18" s="48"/>
    </row>
    <row r="19" spans="1:18" ht="18" customHeight="1" x14ac:dyDescent="0.15">
      <c r="A19" s="168" t="s">
        <v>113</v>
      </c>
      <c r="B19" s="206">
        <v>4</v>
      </c>
      <c r="C19" s="251">
        <f t="shared" si="4"/>
        <v>8</v>
      </c>
      <c r="D19" s="41" t="s">
        <v>29</v>
      </c>
      <c r="E19" s="41" t="s">
        <v>29</v>
      </c>
      <c r="F19" s="111" t="s">
        <v>137</v>
      </c>
      <c r="G19" s="59">
        <v>1</v>
      </c>
      <c r="H19" s="178">
        <v>212</v>
      </c>
      <c r="I19" s="171">
        <f t="shared" si="3"/>
        <v>212</v>
      </c>
      <c r="J19" s="66"/>
      <c r="K19" s="82" t="s">
        <v>120</v>
      </c>
      <c r="L19" s="148"/>
      <c r="M19" s="36"/>
      <c r="N19" s="52">
        <v>44931</v>
      </c>
      <c r="O19" s="32"/>
      <c r="P19" s="52"/>
      <c r="Q19" s="52">
        <v>44945</v>
      </c>
      <c r="R19" s="48"/>
    </row>
    <row r="20" spans="1:18" ht="18" customHeight="1" x14ac:dyDescent="0.15">
      <c r="A20" s="168" t="s">
        <v>113</v>
      </c>
      <c r="B20" s="206">
        <v>4</v>
      </c>
      <c r="C20" s="251">
        <f t="shared" si="4"/>
        <v>9</v>
      </c>
      <c r="D20" s="41" t="s">
        <v>29</v>
      </c>
      <c r="E20" s="41" t="s">
        <v>29</v>
      </c>
      <c r="F20" s="111" t="s">
        <v>138</v>
      </c>
      <c r="G20" s="178">
        <v>4</v>
      </c>
      <c r="H20" s="59">
        <v>169</v>
      </c>
      <c r="I20" s="171">
        <f t="shared" si="3"/>
        <v>676</v>
      </c>
      <c r="J20" s="66"/>
      <c r="K20" s="82" t="s">
        <v>134</v>
      </c>
      <c r="L20" s="148"/>
      <c r="M20" s="36"/>
      <c r="N20" s="52">
        <v>44931</v>
      </c>
      <c r="O20" s="32"/>
      <c r="P20" s="52"/>
      <c r="Q20" s="52">
        <v>44945</v>
      </c>
      <c r="R20" s="48"/>
    </row>
    <row r="21" spans="1:18" ht="18" customHeight="1" x14ac:dyDescent="0.15">
      <c r="A21" s="209" t="s">
        <v>149</v>
      </c>
      <c r="B21" s="206">
        <v>4</v>
      </c>
      <c r="C21" s="251">
        <f t="shared" si="4"/>
        <v>10</v>
      </c>
      <c r="D21" s="180" t="s">
        <v>99</v>
      </c>
      <c r="E21" s="180" t="s">
        <v>29</v>
      </c>
      <c r="F21" s="181" t="s">
        <v>148</v>
      </c>
      <c r="G21" s="182">
        <v>1</v>
      </c>
      <c r="H21" s="182">
        <v>6380</v>
      </c>
      <c r="I21" s="59">
        <f t="shared" si="3"/>
        <v>6380</v>
      </c>
      <c r="J21" s="74"/>
      <c r="K21" s="82" t="s">
        <v>122</v>
      </c>
      <c r="L21" s="148"/>
      <c r="M21" s="36"/>
      <c r="N21" s="52">
        <v>45288</v>
      </c>
      <c r="O21" s="32"/>
      <c r="P21" s="52"/>
      <c r="Q21" s="52">
        <v>44946</v>
      </c>
      <c r="R21" s="48">
        <v>44946</v>
      </c>
    </row>
    <row r="22" spans="1:18" ht="18" customHeight="1" x14ac:dyDescent="0.15">
      <c r="A22" s="168" t="s">
        <v>113</v>
      </c>
      <c r="B22" s="206">
        <v>4</v>
      </c>
      <c r="C22" s="251">
        <f t="shared" si="4"/>
        <v>11</v>
      </c>
      <c r="D22" s="41" t="s">
        <v>29</v>
      </c>
      <c r="E22" s="41" t="s">
        <v>29</v>
      </c>
      <c r="F22" s="111" t="s">
        <v>123</v>
      </c>
      <c r="G22" s="59">
        <v>2</v>
      </c>
      <c r="H22" s="59">
        <v>144</v>
      </c>
      <c r="I22" s="59">
        <f t="shared" si="3"/>
        <v>288</v>
      </c>
      <c r="J22" s="74"/>
      <c r="K22" s="82" t="s">
        <v>147</v>
      </c>
      <c r="L22" s="148"/>
      <c r="M22" s="36"/>
      <c r="N22" s="52">
        <v>44931</v>
      </c>
      <c r="O22" s="32"/>
      <c r="P22" s="52"/>
      <c r="Q22" s="52">
        <v>44945</v>
      </c>
      <c r="R22" s="48"/>
    </row>
    <row r="23" spans="1:18" ht="18" customHeight="1" x14ac:dyDescent="0.15">
      <c r="A23" s="168" t="s">
        <v>113</v>
      </c>
      <c r="B23" s="206">
        <v>4</v>
      </c>
      <c r="C23" s="251">
        <f t="shared" si="4"/>
        <v>12</v>
      </c>
      <c r="D23" s="41" t="s">
        <v>29</v>
      </c>
      <c r="E23" s="41" t="s">
        <v>29</v>
      </c>
      <c r="F23" s="111" t="s">
        <v>118</v>
      </c>
      <c r="G23" s="59">
        <v>50</v>
      </c>
      <c r="H23" s="59">
        <v>19</v>
      </c>
      <c r="I23" s="59">
        <f t="shared" si="3"/>
        <v>950</v>
      </c>
      <c r="J23" s="74"/>
      <c r="K23" s="82" t="s">
        <v>217</v>
      </c>
      <c r="L23" s="148"/>
      <c r="M23" s="36"/>
      <c r="N23" s="52">
        <v>44931</v>
      </c>
      <c r="O23" s="32"/>
      <c r="P23" s="52"/>
      <c r="Q23" s="52">
        <v>44945</v>
      </c>
      <c r="R23" s="48"/>
    </row>
    <row r="24" spans="1:18" ht="18" customHeight="1" x14ac:dyDescent="0.15">
      <c r="A24" s="168" t="s">
        <v>113</v>
      </c>
      <c r="B24" s="206">
        <v>4</v>
      </c>
      <c r="C24" s="251">
        <f t="shared" si="4"/>
        <v>13</v>
      </c>
      <c r="D24" s="41" t="s">
        <v>29</v>
      </c>
      <c r="E24" s="41" t="s">
        <v>29</v>
      </c>
      <c r="F24" s="177" t="s">
        <v>124</v>
      </c>
      <c r="G24" s="105"/>
      <c r="H24" s="178">
        <v>23</v>
      </c>
      <c r="I24" s="59">
        <f t="shared" si="3"/>
        <v>0</v>
      </c>
      <c r="J24" s="74"/>
      <c r="K24" s="82" t="s">
        <v>170</v>
      </c>
      <c r="L24" s="148"/>
      <c r="M24" s="36"/>
      <c r="N24" s="52"/>
      <c r="O24" s="32"/>
      <c r="P24" s="52"/>
      <c r="Q24" s="52"/>
      <c r="R24" s="48"/>
    </row>
    <row r="25" spans="1:18" ht="18" customHeight="1" x14ac:dyDescent="0.15">
      <c r="A25" s="209" t="s">
        <v>149</v>
      </c>
      <c r="B25" s="206">
        <v>4</v>
      </c>
      <c r="C25" s="251">
        <f t="shared" si="4"/>
        <v>14</v>
      </c>
      <c r="D25" s="180" t="s">
        <v>99</v>
      </c>
      <c r="E25" s="180" t="s">
        <v>29</v>
      </c>
      <c r="F25" s="181" t="s">
        <v>151</v>
      </c>
      <c r="G25" s="182">
        <v>1</v>
      </c>
      <c r="H25" s="182">
        <v>6397</v>
      </c>
      <c r="I25" s="59">
        <f t="shared" si="3"/>
        <v>6397</v>
      </c>
      <c r="J25" s="74"/>
      <c r="K25" s="82" t="s">
        <v>125</v>
      </c>
      <c r="L25" s="148"/>
      <c r="M25" s="36"/>
      <c r="N25" s="52">
        <v>45288</v>
      </c>
      <c r="O25" s="32"/>
      <c r="P25" s="52"/>
      <c r="Q25" s="52">
        <v>44946</v>
      </c>
      <c r="R25" s="48">
        <v>44946</v>
      </c>
    </row>
    <row r="26" spans="1:18" ht="18" customHeight="1" x14ac:dyDescent="0.15">
      <c r="A26" s="168" t="s">
        <v>113</v>
      </c>
      <c r="B26" s="206">
        <v>4</v>
      </c>
      <c r="C26" s="251">
        <f t="shared" si="4"/>
        <v>15</v>
      </c>
      <c r="D26" s="41" t="s">
        <v>29</v>
      </c>
      <c r="E26" s="41" t="s">
        <v>29</v>
      </c>
      <c r="F26" s="211" t="s">
        <v>128</v>
      </c>
      <c r="G26" s="212"/>
      <c r="H26" s="59">
        <v>86</v>
      </c>
      <c r="I26" s="59">
        <f t="shared" si="3"/>
        <v>0</v>
      </c>
      <c r="J26" s="74"/>
      <c r="K26" s="82" t="s">
        <v>279</v>
      </c>
      <c r="L26" s="148"/>
      <c r="M26" s="36"/>
      <c r="N26" s="52"/>
      <c r="O26" s="32"/>
      <c r="P26" s="52"/>
      <c r="Q26" s="52"/>
      <c r="R26" s="48"/>
    </row>
    <row r="27" spans="1:18" ht="18" customHeight="1" x14ac:dyDescent="0.15">
      <c r="A27" s="168" t="s">
        <v>113</v>
      </c>
      <c r="B27" s="206">
        <v>4</v>
      </c>
      <c r="C27" s="251">
        <f t="shared" si="4"/>
        <v>16</v>
      </c>
      <c r="D27" s="41" t="s">
        <v>29</v>
      </c>
      <c r="E27" s="41" t="s">
        <v>29</v>
      </c>
      <c r="F27" s="211" t="s">
        <v>126</v>
      </c>
      <c r="G27" s="212"/>
      <c r="H27" s="59">
        <v>219</v>
      </c>
      <c r="I27" s="59">
        <f t="shared" si="3"/>
        <v>0</v>
      </c>
      <c r="J27" s="74"/>
      <c r="K27" s="82" t="s">
        <v>229</v>
      </c>
      <c r="L27" s="148"/>
      <c r="M27" s="36"/>
      <c r="N27" s="52"/>
      <c r="O27" s="32"/>
      <c r="P27" s="52"/>
      <c r="Q27" s="52"/>
      <c r="R27" s="48"/>
    </row>
    <row r="28" spans="1:18" ht="18" customHeight="1" x14ac:dyDescent="0.15">
      <c r="A28" s="168" t="s">
        <v>113</v>
      </c>
      <c r="B28" s="206">
        <v>4</v>
      </c>
      <c r="C28" s="251">
        <f t="shared" si="4"/>
        <v>17</v>
      </c>
      <c r="D28" s="41" t="s">
        <v>29</v>
      </c>
      <c r="E28" s="41" t="s">
        <v>29</v>
      </c>
      <c r="F28" s="211" t="s">
        <v>118</v>
      </c>
      <c r="G28" s="212"/>
      <c r="H28" s="59">
        <v>19</v>
      </c>
      <c r="I28" s="59">
        <f t="shared" si="3"/>
        <v>0</v>
      </c>
      <c r="J28" s="74"/>
      <c r="K28" s="82" t="s">
        <v>163</v>
      </c>
      <c r="L28" s="148"/>
      <c r="M28" s="36"/>
      <c r="N28" s="52"/>
      <c r="O28" s="32"/>
      <c r="P28" s="52"/>
      <c r="Q28" s="52"/>
      <c r="R28" s="48"/>
    </row>
    <row r="29" spans="1:18" ht="18" customHeight="1" x14ac:dyDescent="0.15">
      <c r="A29" s="168" t="s">
        <v>113</v>
      </c>
      <c r="B29" s="206">
        <v>4</v>
      </c>
      <c r="C29" s="251">
        <f t="shared" si="4"/>
        <v>18</v>
      </c>
      <c r="D29" s="41" t="s">
        <v>29</v>
      </c>
      <c r="E29" s="41" t="s">
        <v>29</v>
      </c>
      <c r="F29" s="177" t="s">
        <v>80</v>
      </c>
      <c r="G29" s="105"/>
      <c r="H29" s="59">
        <v>27</v>
      </c>
      <c r="I29" s="59">
        <f t="shared" si="3"/>
        <v>0</v>
      </c>
      <c r="J29" s="74"/>
      <c r="K29" s="82" t="s">
        <v>169</v>
      </c>
      <c r="L29" s="148"/>
      <c r="M29" s="36"/>
      <c r="N29" s="52"/>
      <c r="O29" s="32"/>
      <c r="P29" s="52"/>
      <c r="Q29" s="52"/>
      <c r="R29" s="48"/>
    </row>
    <row r="30" spans="1:18" ht="18" customHeight="1" x14ac:dyDescent="0.15">
      <c r="A30" s="168" t="s">
        <v>113</v>
      </c>
      <c r="B30" s="206">
        <v>4</v>
      </c>
      <c r="C30" s="251">
        <f t="shared" si="4"/>
        <v>19</v>
      </c>
      <c r="D30" s="41" t="s">
        <v>29</v>
      </c>
      <c r="E30" s="41" t="s">
        <v>29</v>
      </c>
      <c r="F30" s="72" t="s">
        <v>121</v>
      </c>
      <c r="G30" s="114">
        <v>10</v>
      </c>
      <c r="H30" s="59">
        <v>23</v>
      </c>
      <c r="I30" s="59">
        <f t="shared" si="3"/>
        <v>230</v>
      </c>
      <c r="J30" s="74"/>
      <c r="K30" s="82" t="s">
        <v>219</v>
      </c>
      <c r="L30" s="148"/>
      <c r="M30" s="36"/>
      <c r="N30" s="52">
        <v>44931</v>
      </c>
      <c r="O30" s="32"/>
      <c r="P30" s="52"/>
      <c r="Q30" s="52">
        <v>44945</v>
      </c>
      <c r="R30" s="48"/>
    </row>
    <row r="31" spans="1:18" ht="18" customHeight="1" x14ac:dyDescent="0.15">
      <c r="A31" s="209" t="s">
        <v>112</v>
      </c>
      <c r="B31" s="206">
        <v>4</v>
      </c>
      <c r="C31" s="251">
        <f t="shared" si="4"/>
        <v>20</v>
      </c>
      <c r="D31" s="41" t="s">
        <v>29</v>
      </c>
      <c r="E31" s="41" t="s">
        <v>29</v>
      </c>
      <c r="F31" s="111" t="s">
        <v>127</v>
      </c>
      <c r="G31" s="59">
        <v>1</v>
      </c>
      <c r="H31" s="59">
        <v>2010</v>
      </c>
      <c r="I31" s="59">
        <f t="shared" si="3"/>
        <v>2010</v>
      </c>
      <c r="J31" s="74"/>
      <c r="K31" s="82" t="s">
        <v>165</v>
      </c>
      <c r="L31" s="148"/>
      <c r="M31" s="36"/>
      <c r="N31" s="52">
        <v>44931</v>
      </c>
      <c r="O31" s="32"/>
      <c r="P31" s="52"/>
      <c r="Q31" s="52">
        <v>44945</v>
      </c>
      <c r="R31" s="48"/>
    </row>
    <row r="32" spans="1:18" ht="18" customHeight="1" x14ac:dyDescent="0.15">
      <c r="A32" s="209" t="s">
        <v>149</v>
      </c>
      <c r="B32" s="206">
        <v>4</v>
      </c>
      <c r="C32" s="251">
        <f t="shared" si="4"/>
        <v>21</v>
      </c>
      <c r="D32" s="180" t="s">
        <v>99</v>
      </c>
      <c r="E32" s="180" t="s">
        <v>29</v>
      </c>
      <c r="F32" s="181" t="s">
        <v>152</v>
      </c>
      <c r="G32" s="182">
        <v>1</v>
      </c>
      <c r="H32" s="182">
        <v>5771</v>
      </c>
      <c r="I32" s="59">
        <f t="shared" si="3"/>
        <v>5771</v>
      </c>
      <c r="J32" s="74"/>
      <c r="K32" s="82" t="s">
        <v>129</v>
      </c>
      <c r="L32" s="148"/>
      <c r="M32" s="36"/>
      <c r="N32" s="52">
        <v>45288</v>
      </c>
      <c r="O32" s="32"/>
      <c r="P32" s="52"/>
      <c r="Q32" s="52">
        <v>44946</v>
      </c>
      <c r="R32" s="48">
        <v>44946</v>
      </c>
    </row>
    <row r="33" spans="1:18" ht="18" customHeight="1" x14ac:dyDescent="0.15">
      <c r="A33" s="168" t="s">
        <v>113</v>
      </c>
      <c r="B33" s="206">
        <v>4</v>
      </c>
      <c r="C33" s="251">
        <f t="shared" si="4"/>
        <v>22</v>
      </c>
      <c r="D33" s="41" t="s">
        <v>29</v>
      </c>
      <c r="E33" s="41" t="s">
        <v>29</v>
      </c>
      <c r="F33" s="111" t="s">
        <v>130</v>
      </c>
      <c r="G33" s="59">
        <v>1</v>
      </c>
      <c r="H33" s="178">
        <v>220</v>
      </c>
      <c r="I33" s="59">
        <f t="shared" si="3"/>
        <v>220</v>
      </c>
      <c r="J33" s="74"/>
      <c r="K33" s="184" t="s">
        <v>147</v>
      </c>
      <c r="L33" s="148"/>
      <c r="M33" s="36"/>
      <c r="N33" s="52">
        <v>44931</v>
      </c>
      <c r="O33" s="32"/>
      <c r="P33" s="52"/>
      <c r="Q33" s="52">
        <v>44945</v>
      </c>
      <c r="R33" s="48"/>
    </row>
    <row r="34" spans="1:18" ht="18" customHeight="1" x14ac:dyDescent="0.15">
      <c r="A34" s="168" t="s">
        <v>113</v>
      </c>
      <c r="B34" s="206">
        <v>4</v>
      </c>
      <c r="C34" s="251">
        <f t="shared" si="4"/>
        <v>23</v>
      </c>
      <c r="D34" s="41" t="s">
        <v>29</v>
      </c>
      <c r="E34" s="41" t="s">
        <v>29</v>
      </c>
      <c r="F34" s="177" t="s">
        <v>80</v>
      </c>
      <c r="G34" s="105"/>
      <c r="H34" s="59">
        <v>27</v>
      </c>
      <c r="I34" s="59">
        <f t="shared" si="3"/>
        <v>0</v>
      </c>
      <c r="J34" s="74"/>
      <c r="K34" s="82" t="s">
        <v>168</v>
      </c>
      <c r="L34" s="148"/>
      <c r="M34" s="36"/>
      <c r="N34" s="52"/>
      <c r="O34" s="32"/>
      <c r="P34" s="52"/>
      <c r="Q34" s="52"/>
      <c r="R34" s="48"/>
    </row>
    <row r="35" spans="1:18" ht="18" customHeight="1" x14ac:dyDescent="0.15">
      <c r="A35" s="168" t="s">
        <v>113</v>
      </c>
      <c r="B35" s="206">
        <v>4</v>
      </c>
      <c r="C35" s="251">
        <f t="shared" si="4"/>
        <v>24</v>
      </c>
      <c r="D35" s="250" t="s">
        <v>29</v>
      </c>
      <c r="E35" s="41" t="s">
        <v>29</v>
      </c>
      <c r="F35" s="111" t="s">
        <v>216</v>
      </c>
      <c r="G35" s="59">
        <v>1</v>
      </c>
      <c r="H35" s="59">
        <v>530</v>
      </c>
      <c r="I35" s="59">
        <f t="shared" si="3"/>
        <v>530</v>
      </c>
      <c r="J35" s="74"/>
      <c r="K35" s="82" t="s">
        <v>34</v>
      </c>
      <c r="L35" s="148"/>
      <c r="M35" s="36"/>
      <c r="N35" s="52">
        <v>44931</v>
      </c>
      <c r="O35" s="32"/>
      <c r="P35" s="52"/>
      <c r="Q35" s="52">
        <v>44945</v>
      </c>
      <c r="R35" s="48"/>
    </row>
    <row r="36" spans="1:18" ht="18" customHeight="1" x14ac:dyDescent="0.15">
      <c r="A36" s="209" t="s">
        <v>149</v>
      </c>
      <c r="B36" s="206">
        <v>4</v>
      </c>
      <c r="C36" s="251">
        <f t="shared" si="4"/>
        <v>25</v>
      </c>
      <c r="D36" s="180" t="s">
        <v>99</v>
      </c>
      <c r="E36" s="180" t="s">
        <v>29</v>
      </c>
      <c r="F36" s="181" t="s">
        <v>154</v>
      </c>
      <c r="G36" s="182">
        <v>1</v>
      </c>
      <c r="H36" s="182">
        <v>6289</v>
      </c>
      <c r="I36" s="59">
        <f t="shared" si="3"/>
        <v>6289</v>
      </c>
      <c r="J36" s="74"/>
      <c r="K36" s="82" t="s">
        <v>131</v>
      </c>
      <c r="L36" s="148"/>
      <c r="M36" s="36"/>
      <c r="N36" s="52">
        <v>45288</v>
      </c>
      <c r="O36" s="32"/>
      <c r="P36" s="52"/>
      <c r="Q36" s="52">
        <v>44946</v>
      </c>
      <c r="R36" s="48">
        <v>44946</v>
      </c>
    </row>
    <row r="37" spans="1:18" ht="18" customHeight="1" x14ac:dyDescent="0.15">
      <c r="A37" s="209" t="s">
        <v>149</v>
      </c>
      <c r="B37" s="206">
        <v>4</v>
      </c>
      <c r="C37" s="251">
        <f t="shared" si="4"/>
        <v>26</v>
      </c>
      <c r="D37" s="180" t="s">
        <v>99</v>
      </c>
      <c r="E37" s="180" t="s">
        <v>29</v>
      </c>
      <c r="F37" s="186" t="s">
        <v>150</v>
      </c>
      <c r="G37" s="183">
        <v>1</v>
      </c>
      <c r="H37" s="182">
        <v>4957</v>
      </c>
      <c r="I37" s="59">
        <f t="shared" si="3"/>
        <v>4957</v>
      </c>
      <c r="J37" s="74"/>
      <c r="K37" s="82" t="s">
        <v>132</v>
      </c>
      <c r="L37" s="148"/>
      <c r="M37" s="36"/>
      <c r="N37" s="52">
        <v>45288</v>
      </c>
      <c r="O37" s="32"/>
      <c r="P37" s="52"/>
      <c r="Q37" s="52">
        <v>44946</v>
      </c>
      <c r="R37" s="48">
        <v>44946</v>
      </c>
    </row>
    <row r="38" spans="1:18" ht="18" customHeight="1" x14ac:dyDescent="0.15">
      <c r="A38" s="168" t="s">
        <v>113</v>
      </c>
      <c r="B38" s="206">
        <v>4</v>
      </c>
      <c r="C38" s="251">
        <f t="shared" si="4"/>
        <v>27</v>
      </c>
      <c r="D38" s="41" t="s">
        <v>29</v>
      </c>
      <c r="E38" s="41" t="s">
        <v>29</v>
      </c>
      <c r="F38" s="211" t="s">
        <v>133</v>
      </c>
      <c r="G38" s="213"/>
      <c r="H38" s="59">
        <v>19</v>
      </c>
      <c r="I38" s="59">
        <f t="shared" si="3"/>
        <v>0</v>
      </c>
      <c r="J38" s="74"/>
      <c r="K38" s="82" t="s">
        <v>218</v>
      </c>
      <c r="L38" s="148"/>
      <c r="M38" s="36"/>
      <c r="N38" s="52"/>
      <c r="O38" s="32"/>
      <c r="P38" s="52"/>
      <c r="Q38" s="52"/>
      <c r="R38" s="48"/>
    </row>
    <row r="39" spans="1:18" ht="18" customHeight="1" x14ac:dyDescent="0.15">
      <c r="A39" s="168" t="s">
        <v>113</v>
      </c>
      <c r="B39" s="206">
        <v>4</v>
      </c>
      <c r="C39" s="251">
        <f t="shared" si="4"/>
        <v>28</v>
      </c>
      <c r="D39" s="41" t="s">
        <v>29</v>
      </c>
      <c r="E39" s="41" t="s">
        <v>29</v>
      </c>
      <c r="F39" s="177" t="s">
        <v>135</v>
      </c>
      <c r="G39" s="105"/>
      <c r="H39" s="59">
        <v>23</v>
      </c>
      <c r="I39" s="59">
        <f t="shared" si="3"/>
        <v>0</v>
      </c>
      <c r="J39" s="74"/>
      <c r="K39" s="82" t="s">
        <v>167</v>
      </c>
      <c r="L39" s="148"/>
      <c r="M39" s="36"/>
      <c r="N39" s="52"/>
      <c r="O39" s="32"/>
      <c r="P39" s="52"/>
      <c r="Q39" s="52"/>
      <c r="R39" s="48"/>
    </row>
    <row r="40" spans="1:18" ht="18" customHeight="1" x14ac:dyDescent="0.15">
      <c r="A40" s="209" t="s">
        <v>149</v>
      </c>
      <c r="B40" s="206">
        <v>4</v>
      </c>
      <c r="C40" s="251">
        <f t="shared" si="4"/>
        <v>29</v>
      </c>
      <c r="D40" s="180" t="s">
        <v>99</v>
      </c>
      <c r="E40" s="180" t="s">
        <v>29</v>
      </c>
      <c r="F40" s="181" t="s">
        <v>224</v>
      </c>
      <c r="G40" s="182">
        <v>1</v>
      </c>
      <c r="H40" s="59">
        <v>16372</v>
      </c>
      <c r="I40" s="59">
        <f t="shared" si="3"/>
        <v>16372</v>
      </c>
      <c r="J40" s="74"/>
      <c r="K40" s="82" t="s">
        <v>220</v>
      </c>
      <c r="L40" s="148"/>
      <c r="M40" s="36"/>
      <c r="N40" s="52">
        <v>45288</v>
      </c>
      <c r="O40" s="32"/>
      <c r="P40" s="52"/>
      <c r="Q40" s="52">
        <v>44946</v>
      </c>
      <c r="R40" s="48">
        <v>44946</v>
      </c>
    </row>
    <row r="41" spans="1:18" ht="18" customHeight="1" x14ac:dyDescent="0.15">
      <c r="A41" s="209" t="s">
        <v>115</v>
      </c>
      <c r="B41" s="206">
        <v>4</v>
      </c>
      <c r="C41" s="251">
        <f t="shared" si="4"/>
        <v>30</v>
      </c>
      <c r="D41" s="41" t="s">
        <v>29</v>
      </c>
      <c r="E41" s="41" t="s">
        <v>29</v>
      </c>
      <c r="F41" s="111" t="s">
        <v>117</v>
      </c>
      <c r="G41" s="59">
        <v>2</v>
      </c>
      <c r="H41" s="59">
        <v>1260</v>
      </c>
      <c r="I41" s="59">
        <f t="shared" si="3"/>
        <v>2520</v>
      </c>
      <c r="J41" s="66"/>
      <c r="K41" s="67" t="s">
        <v>86</v>
      </c>
      <c r="L41" s="148"/>
      <c r="M41" s="36"/>
      <c r="N41" s="52">
        <v>44931</v>
      </c>
      <c r="O41" s="32"/>
      <c r="P41" s="52"/>
      <c r="Q41" s="52">
        <v>44945</v>
      </c>
      <c r="R41" s="48"/>
    </row>
    <row r="42" spans="1:18" ht="18" customHeight="1" x14ac:dyDescent="0.15">
      <c r="A42" s="168" t="s">
        <v>113</v>
      </c>
      <c r="B42" s="206">
        <v>4</v>
      </c>
      <c r="C42" s="251">
        <f t="shared" si="4"/>
        <v>31</v>
      </c>
      <c r="D42" s="41" t="s">
        <v>29</v>
      </c>
      <c r="E42" s="41" t="s">
        <v>29</v>
      </c>
      <c r="F42" s="211" t="s">
        <v>118</v>
      </c>
      <c r="G42" s="212"/>
      <c r="H42" s="59">
        <v>19</v>
      </c>
      <c r="I42" s="59">
        <f t="shared" si="3"/>
        <v>0</v>
      </c>
      <c r="J42" s="74"/>
      <c r="K42" s="82" t="s">
        <v>164</v>
      </c>
      <c r="L42" s="148"/>
      <c r="M42" s="36"/>
      <c r="N42" s="52"/>
      <c r="O42" s="32"/>
      <c r="P42" s="52"/>
      <c r="Q42" s="52"/>
      <c r="R42" s="48"/>
    </row>
    <row r="43" spans="1:18" ht="18" customHeight="1" x14ac:dyDescent="0.15">
      <c r="A43" s="168" t="s">
        <v>113</v>
      </c>
      <c r="B43" s="206">
        <v>4</v>
      </c>
      <c r="C43" s="251">
        <f t="shared" si="4"/>
        <v>32</v>
      </c>
      <c r="D43" s="41" t="s">
        <v>29</v>
      </c>
      <c r="E43" s="41" t="s">
        <v>29</v>
      </c>
      <c r="F43" s="177" t="s">
        <v>119</v>
      </c>
      <c r="G43" s="105"/>
      <c r="H43" s="59">
        <v>23</v>
      </c>
      <c r="I43" s="59">
        <f t="shared" si="3"/>
        <v>0</v>
      </c>
      <c r="J43" s="74"/>
      <c r="K43" s="82" t="s">
        <v>169</v>
      </c>
      <c r="L43" s="148"/>
      <c r="M43" s="36"/>
      <c r="N43" s="52"/>
      <c r="O43" s="32"/>
      <c r="P43" s="52"/>
      <c r="Q43" s="52"/>
      <c r="R43" s="48"/>
    </row>
    <row r="44" spans="1:18" ht="18" customHeight="1" x14ac:dyDescent="0.15">
      <c r="A44" s="168" t="s">
        <v>113</v>
      </c>
      <c r="B44" s="206">
        <v>4</v>
      </c>
      <c r="C44" s="251">
        <f t="shared" si="4"/>
        <v>33</v>
      </c>
      <c r="D44" s="41" t="s">
        <v>29</v>
      </c>
      <c r="E44" s="41" t="s">
        <v>29</v>
      </c>
      <c r="F44" s="177" t="s">
        <v>121</v>
      </c>
      <c r="G44" s="105"/>
      <c r="H44" s="59">
        <v>23</v>
      </c>
      <c r="I44" s="59">
        <f t="shared" si="3"/>
        <v>0</v>
      </c>
      <c r="J44" s="74"/>
      <c r="K44" s="82" t="s">
        <v>171</v>
      </c>
      <c r="L44" s="148"/>
      <c r="M44" s="36"/>
      <c r="N44" s="52"/>
      <c r="O44" s="32"/>
      <c r="P44" s="52"/>
      <c r="Q44" s="52"/>
      <c r="R44" s="48"/>
    </row>
    <row r="45" spans="1:18" ht="18" customHeight="1" x14ac:dyDescent="0.15">
      <c r="A45" s="168" t="s">
        <v>113</v>
      </c>
      <c r="B45" s="206">
        <v>4</v>
      </c>
      <c r="C45" s="251">
        <f t="shared" si="4"/>
        <v>34</v>
      </c>
      <c r="D45" s="41" t="s">
        <v>29</v>
      </c>
      <c r="E45" s="41" t="s">
        <v>29</v>
      </c>
      <c r="F45" s="72" t="s">
        <v>128</v>
      </c>
      <c r="G45" s="114">
        <v>4</v>
      </c>
      <c r="H45" s="59">
        <v>70</v>
      </c>
      <c r="I45" s="59">
        <f t="shared" si="3"/>
        <v>280</v>
      </c>
      <c r="J45" s="74"/>
      <c r="K45" s="184" t="s">
        <v>280</v>
      </c>
      <c r="L45" s="148"/>
      <c r="M45" s="36"/>
      <c r="N45" s="52">
        <v>44931</v>
      </c>
      <c r="O45" s="32"/>
      <c r="P45" s="52"/>
      <c r="Q45" s="52">
        <v>44945</v>
      </c>
      <c r="R45" s="48"/>
    </row>
    <row r="46" spans="1:18" ht="18" customHeight="1" x14ac:dyDescent="0.15">
      <c r="A46" s="209" t="s">
        <v>149</v>
      </c>
      <c r="B46" s="206">
        <v>4</v>
      </c>
      <c r="C46" s="251">
        <f>C45+1</f>
        <v>35</v>
      </c>
      <c r="D46" s="180" t="s">
        <v>99</v>
      </c>
      <c r="E46" s="180" t="s">
        <v>29</v>
      </c>
      <c r="F46" s="181" t="s">
        <v>153</v>
      </c>
      <c r="G46" s="183">
        <v>2</v>
      </c>
      <c r="H46" s="182">
        <v>4896</v>
      </c>
      <c r="I46" s="171">
        <f t="shared" ref="I46:I50" si="5">G46*H46</f>
        <v>9792</v>
      </c>
      <c r="J46" s="66"/>
      <c r="K46" s="82" t="s">
        <v>139</v>
      </c>
      <c r="L46" s="148"/>
      <c r="M46" s="36"/>
      <c r="N46" s="52">
        <v>45288</v>
      </c>
      <c r="O46" s="32"/>
      <c r="P46" s="52"/>
      <c r="Q46" s="52">
        <v>44946</v>
      </c>
      <c r="R46" s="48">
        <v>44946</v>
      </c>
    </row>
    <row r="47" spans="1:18" ht="18" customHeight="1" x14ac:dyDescent="0.15">
      <c r="A47" s="168" t="s">
        <v>113</v>
      </c>
      <c r="B47" s="206">
        <v>4</v>
      </c>
      <c r="C47" s="251">
        <f t="shared" ref="C47:C50" si="6">C46+1</f>
        <v>36</v>
      </c>
      <c r="D47" s="41" t="s">
        <v>29</v>
      </c>
      <c r="E47" s="41" t="s">
        <v>29</v>
      </c>
      <c r="F47" s="111" t="s">
        <v>140</v>
      </c>
      <c r="G47" s="178">
        <v>2</v>
      </c>
      <c r="H47" s="59">
        <v>1740</v>
      </c>
      <c r="I47" s="171">
        <f t="shared" si="5"/>
        <v>3480</v>
      </c>
      <c r="J47" s="66"/>
      <c r="K47" s="82" t="s">
        <v>159</v>
      </c>
      <c r="L47" s="148"/>
      <c r="M47" s="36"/>
      <c r="N47" s="52">
        <v>44931</v>
      </c>
      <c r="O47" s="32"/>
      <c r="P47" s="52"/>
      <c r="Q47" s="52">
        <v>44945</v>
      </c>
      <c r="R47" s="48"/>
    </row>
    <row r="48" spans="1:18" ht="18" customHeight="1" x14ac:dyDescent="0.15">
      <c r="A48" s="209" t="s">
        <v>158</v>
      </c>
      <c r="B48" s="206">
        <v>4</v>
      </c>
      <c r="C48" s="251">
        <f t="shared" si="6"/>
        <v>37</v>
      </c>
      <c r="D48" s="41" t="s">
        <v>29</v>
      </c>
      <c r="E48" s="41" t="s">
        <v>29</v>
      </c>
      <c r="F48" s="111" t="s">
        <v>141</v>
      </c>
      <c r="G48" s="59">
        <v>2</v>
      </c>
      <c r="H48" s="59">
        <v>3500</v>
      </c>
      <c r="I48" s="171">
        <f t="shared" si="5"/>
        <v>7000</v>
      </c>
      <c r="J48" s="66"/>
      <c r="K48" s="82" t="s">
        <v>160</v>
      </c>
      <c r="L48" s="148"/>
      <c r="M48" s="36"/>
      <c r="N48" s="52">
        <v>44931</v>
      </c>
      <c r="O48" s="32"/>
      <c r="P48" s="52"/>
      <c r="Q48" s="52">
        <v>44945</v>
      </c>
      <c r="R48" s="48"/>
    </row>
    <row r="49" spans="1:18" ht="18" customHeight="1" x14ac:dyDescent="0.15">
      <c r="A49" s="168" t="s">
        <v>113</v>
      </c>
      <c r="B49" s="206">
        <v>4</v>
      </c>
      <c r="C49" s="251">
        <f t="shared" si="6"/>
        <v>38</v>
      </c>
      <c r="D49" s="41" t="s">
        <v>29</v>
      </c>
      <c r="E49" s="41" t="s">
        <v>29</v>
      </c>
      <c r="F49" s="111" t="s">
        <v>142</v>
      </c>
      <c r="G49" s="59">
        <v>4</v>
      </c>
      <c r="H49" s="59">
        <v>36</v>
      </c>
      <c r="I49" s="171">
        <f t="shared" si="5"/>
        <v>144</v>
      </c>
      <c r="J49" s="66"/>
      <c r="K49" s="82" t="s">
        <v>161</v>
      </c>
      <c r="L49" s="148"/>
      <c r="M49" s="36"/>
      <c r="N49" s="52">
        <v>44931</v>
      </c>
      <c r="O49" s="32"/>
      <c r="P49" s="52"/>
      <c r="Q49" s="52">
        <v>44945</v>
      </c>
      <c r="R49" s="48"/>
    </row>
    <row r="50" spans="1:18" ht="18" customHeight="1" x14ac:dyDescent="0.15">
      <c r="A50" s="168" t="s">
        <v>113</v>
      </c>
      <c r="B50" s="206">
        <v>4</v>
      </c>
      <c r="C50" s="251">
        <f t="shared" si="6"/>
        <v>39</v>
      </c>
      <c r="D50" s="41" t="s">
        <v>29</v>
      </c>
      <c r="E50" s="41" t="s">
        <v>29</v>
      </c>
      <c r="F50" s="177" t="s">
        <v>135</v>
      </c>
      <c r="G50" s="105"/>
      <c r="H50" s="59">
        <v>23</v>
      </c>
      <c r="I50" s="171">
        <f t="shared" si="5"/>
        <v>0</v>
      </c>
      <c r="J50" s="66"/>
      <c r="K50" s="82" t="s">
        <v>166</v>
      </c>
      <c r="L50" s="148"/>
      <c r="M50" s="36"/>
      <c r="N50" s="52"/>
      <c r="O50" s="32"/>
      <c r="P50" s="52"/>
      <c r="Q50" s="52"/>
      <c r="R50" s="48"/>
    </row>
    <row r="51" spans="1:18" ht="18" customHeight="1" x14ac:dyDescent="0.15">
      <c r="A51" s="209" t="s">
        <v>149</v>
      </c>
      <c r="B51" s="206">
        <v>4</v>
      </c>
      <c r="C51" s="251">
        <f>C50+1</f>
        <v>40</v>
      </c>
      <c r="D51" s="180" t="s">
        <v>99</v>
      </c>
      <c r="E51" s="180" t="s">
        <v>29</v>
      </c>
      <c r="F51" s="186" t="s">
        <v>221</v>
      </c>
      <c r="G51" s="182">
        <v>4</v>
      </c>
      <c r="H51" s="59">
        <v>4093</v>
      </c>
      <c r="I51" s="171">
        <f t="shared" ref="I51:I58" si="7">G51*H51</f>
        <v>16372</v>
      </c>
      <c r="J51" s="66"/>
      <c r="K51" s="111" t="s">
        <v>204</v>
      </c>
      <c r="L51" s="148"/>
      <c r="M51" s="36"/>
      <c r="N51" s="52">
        <v>45288</v>
      </c>
      <c r="O51" s="32"/>
      <c r="P51" s="52"/>
      <c r="Q51" s="52">
        <v>44946</v>
      </c>
      <c r="R51" s="48">
        <v>44946</v>
      </c>
    </row>
    <row r="52" spans="1:18" ht="18" customHeight="1" x14ac:dyDescent="0.15">
      <c r="A52" s="209" t="s">
        <v>112</v>
      </c>
      <c r="B52" s="206">
        <v>4</v>
      </c>
      <c r="C52" s="251">
        <f t="shared" ref="C52:C83" si="8">C51+1</f>
        <v>41</v>
      </c>
      <c r="D52" s="180" t="s">
        <v>99</v>
      </c>
      <c r="E52" s="180" t="s">
        <v>29</v>
      </c>
      <c r="F52" s="181" t="s">
        <v>225</v>
      </c>
      <c r="G52" s="182">
        <v>1</v>
      </c>
      <c r="H52" s="59">
        <v>4580</v>
      </c>
      <c r="I52" s="59">
        <f t="shared" si="7"/>
        <v>4580</v>
      </c>
      <c r="J52" s="66"/>
      <c r="K52" s="111" t="s">
        <v>205</v>
      </c>
      <c r="L52" s="148"/>
      <c r="M52" s="36"/>
      <c r="N52" s="52">
        <v>45288</v>
      </c>
      <c r="O52" s="32"/>
      <c r="P52" s="52"/>
      <c r="Q52" s="52">
        <v>44946</v>
      </c>
      <c r="R52" s="48">
        <v>44946</v>
      </c>
    </row>
    <row r="53" spans="1:18" ht="18" customHeight="1" x14ac:dyDescent="0.15">
      <c r="A53" s="209" t="s">
        <v>112</v>
      </c>
      <c r="B53" s="206">
        <v>4</v>
      </c>
      <c r="C53" s="251">
        <f t="shared" si="8"/>
        <v>42</v>
      </c>
      <c r="D53" s="180" t="s">
        <v>99</v>
      </c>
      <c r="E53" s="180" t="s">
        <v>29</v>
      </c>
      <c r="F53" s="181" t="s">
        <v>226</v>
      </c>
      <c r="G53" s="182">
        <v>1</v>
      </c>
      <c r="H53" s="59">
        <v>4580</v>
      </c>
      <c r="I53" s="59">
        <f t="shared" si="7"/>
        <v>4580</v>
      </c>
      <c r="J53" s="66"/>
      <c r="K53" s="82" t="s">
        <v>210</v>
      </c>
      <c r="L53" s="148"/>
      <c r="M53" s="36"/>
      <c r="N53" s="52">
        <v>45288</v>
      </c>
      <c r="O53" s="32"/>
      <c r="P53" s="52"/>
      <c r="Q53" s="52">
        <v>44946</v>
      </c>
      <c r="R53" s="48">
        <v>44946</v>
      </c>
    </row>
    <row r="54" spans="1:18" ht="18" customHeight="1" x14ac:dyDescent="0.15">
      <c r="A54" s="168" t="s">
        <v>113</v>
      </c>
      <c r="B54" s="206">
        <v>4</v>
      </c>
      <c r="C54" s="251">
        <f t="shared" si="8"/>
        <v>43</v>
      </c>
      <c r="D54" s="41" t="s">
        <v>29</v>
      </c>
      <c r="E54" s="41" t="s">
        <v>29</v>
      </c>
      <c r="F54" s="211" t="s">
        <v>133</v>
      </c>
      <c r="G54" s="213"/>
      <c r="H54" s="59">
        <v>19</v>
      </c>
      <c r="I54" s="59">
        <f t="shared" si="7"/>
        <v>0</v>
      </c>
      <c r="J54" s="74"/>
      <c r="K54" s="82" t="s">
        <v>209</v>
      </c>
      <c r="L54" s="148"/>
      <c r="M54" s="36"/>
      <c r="N54" s="52"/>
      <c r="O54" s="32"/>
      <c r="P54" s="52"/>
      <c r="Q54" s="52"/>
      <c r="R54" s="48"/>
    </row>
    <row r="55" spans="1:18" ht="18" customHeight="1" x14ac:dyDescent="0.15">
      <c r="A55" s="168" t="s">
        <v>113</v>
      </c>
      <c r="B55" s="206">
        <v>4</v>
      </c>
      <c r="C55" s="251">
        <f t="shared" si="8"/>
        <v>44</v>
      </c>
      <c r="D55" s="41" t="s">
        <v>29</v>
      </c>
      <c r="E55" s="41" t="s">
        <v>29</v>
      </c>
      <c r="F55" s="177" t="s">
        <v>206</v>
      </c>
      <c r="G55" s="105"/>
      <c r="H55" s="59">
        <v>23</v>
      </c>
      <c r="I55" s="171">
        <f t="shared" si="7"/>
        <v>0</v>
      </c>
      <c r="J55" s="66"/>
      <c r="K55" s="82" t="s">
        <v>207</v>
      </c>
      <c r="L55" s="148"/>
      <c r="M55" s="36"/>
      <c r="N55" s="52"/>
      <c r="O55" s="32"/>
      <c r="P55" s="52"/>
      <c r="Q55" s="52"/>
      <c r="R55" s="48"/>
    </row>
    <row r="56" spans="1:18" ht="18" customHeight="1" x14ac:dyDescent="0.15">
      <c r="A56" s="168" t="s">
        <v>113</v>
      </c>
      <c r="B56" s="206">
        <v>4</v>
      </c>
      <c r="C56" s="251">
        <f t="shared" si="8"/>
        <v>45</v>
      </c>
      <c r="D56" s="41" t="s">
        <v>29</v>
      </c>
      <c r="E56" s="41" t="s">
        <v>29</v>
      </c>
      <c r="F56" s="177" t="s">
        <v>35</v>
      </c>
      <c r="G56" s="105"/>
      <c r="H56" s="59">
        <v>27</v>
      </c>
      <c r="I56" s="59">
        <f t="shared" ref="I56" si="9">G56*H56</f>
        <v>0</v>
      </c>
      <c r="J56" s="66"/>
      <c r="K56" s="82" t="s">
        <v>162</v>
      </c>
      <c r="L56" s="148"/>
      <c r="M56" s="36"/>
      <c r="N56" s="52"/>
      <c r="O56" s="32"/>
      <c r="P56" s="52"/>
      <c r="Q56" s="52"/>
      <c r="R56" s="48"/>
    </row>
    <row r="57" spans="1:18" ht="18" customHeight="1" x14ac:dyDescent="0.15">
      <c r="A57" s="168" t="s">
        <v>113</v>
      </c>
      <c r="B57" s="206">
        <v>4</v>
      </c>
      <c r="C57" s="251">
        <f t="shared" si="8"/>
        <v>46</v>
      </c>
      <c r="D57" s="41" t="s">
        <v>29</v>
      </c>
      <c r="E57" s="41" t="s">
        <v>29</v>
      </c>
      <c r="F57" s="111" t="s">
        <v>143</v>
      </c>
      <c r="G57" s="178">
        <v>14</v>
      </c>
      <c r="H57" s="59">
        <v>54</v>
      </c>
      <c r="I57" s="59">
        <f t="shared" si="7"/>
        <v>756</v>
      </c>
      <c r="J57" s="66"/>
      <c r="K57" s="82" t="s">
        <v>208</v>
      </c>
      <c r="L57" s="148"/>
      <c r="M57" s="36"/>
      <c r="N57" s="52">
        <v>44931</v>
      </c>
      <c r="O57" s="32"/>
      <c r="P57" s="52"/>
      <c r="Q57" s="52">
        <v>44945</v>
      </c>
      <c r="R57" s="48"/>
    </row>
    <row r="58" spans="1:18" ht="18" customHeight="1" x14ac:dyDescent="0.15">
      <c r="A58" s="209" t="s">
        <v>112</v>
      </c>
      <c r="B58" s="206">
        <v>4</v>
      </c>
      <c r="C58" s="251">
        <f>C57+1</f>
        <v>47</v>
      </c>
      <c r="D58" s="180" t="s">
        <v>99</v>
      </c>
      <c r="E58" s="180" t="s">
        <v>29</v>
      </c>
      <c r="F58" s="181" t="s">
        <v>222</v>
      </c>
      <c r="G58" s="182">
        <v>1</v>
      </c>
      <c r="H58" s="59">
        <v>2250</v>
      </c>
      <c r="I58" s="59">
        <f t="shared" si="7"/>
        <v>2250</v>
      </c>
      <c r="J58" s="66"/>
      <c r="K58" s="111" t="s">
        <v>211</v>
      </c>
      <c r="L58" s="148"/>
      <c r="M58" s="36"/>
      <c r="N58" s="52">
        <v>45288</v>
      </c>
      <c r="O58" s="32"/>
      <c r="P58" s="52"/>
      <c r="Q58" s="52">
        <v>44946</v>
      </c>
      <c r="R58" s="48">
        <v>44946</v>
      </c>
    </row>
    <row r="59" spans="1:18" ht="18" customHeight="1" x14ac:dyDescent="0.15">
      <c r="A59" s="168" t="s">
        <v>113</v>
      </c>
      <c r="B59" s="206"/>
      <c r="C59" s="251">
        <f>C58+1</f>
        <v>48</v>
      </c>
      <c r="D59" s="41" t="s">
        <v>29</v>
      </c>
      <c r="E59" s="41" t="s">
        <v>29</v>
      </c>
      <c r="F59" s="111" t="s">
        <v>212</v>
      </c>
      <c r="G59" s="178">
        <v>4</v>
      </c>
      <c r="H59" s="59">
        <v>60</v>
      </c>
      <c r="I59" s="59">
        <f t="shared" ref="I59" si="10">G59*H59</f>
        <v>240</v>
      </c>
      <c r="J59" s="66"/>
      <c r="K59" s="82" t="s">
        <v>182</v>
      </c>
      <c r="L59" s="148"/>
      <c r="M59" s="36"/>
      <c r="N59" s="52">
        <v>44931</v>
      </c>
      <c r="O59" s="32"/>
      <c r="P59" s="52"/>
      <c r="Q59" s="52"/>
      <c r="R59" s="48"/>
    </row>
    <row r="60" spans="1:18" ht="18" customHeight="1" x14ac:dyDescent="0.15">
      <c r="A60" s="166"/>
      <c r="B60" s="199"/>
      <c r="C60" s="31"/>
      <c r="D60" s="41"/>
      <c r="E60" s="41"/>
      <c r="F60" s="111"/>
      <c r="G60" s="59"/>
      <c r="H60" s="59"/>
      <c r="I60" s="59"/>
      <c r="J60" s="66"/>
      <c r="K60" s="67"/>
      <c r="L60" s="148"/>
      <c r="M60" s="36"/>
      <c r="N60" s="52"/>
      <c r="O60" s="32"/>
      <c r="P60" s="36"/>
      <c r="Q60" s="52"/>
      <c r="R60" s="48"/>
    </row>
    <row r="61" spans="1:18" ht="18" customHeight="1" x14ac:dyDescent="0.15">
      <c r="A61" s="209" t="s">
        <v>113</v>
      </c>
      <c r="B61" s="206">
        <v>4</v>
      </c>
      <c r="C61" s="252">
        <f>C59+1</f>
        <v>49</v>
      </c>
      <c r="D61" s="62" t="s">
        <v>29</v>
      </c>
      <c r="E61" s="62" t="s">
        <v>29</v>
      </c>
      <c r="F61" s="113" t="s">
        <v>196</v>
      </c>
      <c r="G61" s="170">
        <v>1</v>
      </c>
      <c r="H61" s="170">
        <v>960</v>
      </c>
      <c r="I61" s="162">
        <f t="shared" ref="I61" si="11">G61*H61</f>
        <v>960</v>
      </c>
      <c r="J61" s="162"/>
      <c r="K61" s="113" t="s">
        <v>197</v>
      </c>
      <c r="L61" s="6"/>
      <c r="M61" s="5"/>
      <c r="N61" s="15">
        <v>44931</v>
      </c>
      <c r="O61" s="8"/>
      <c r="P61" s="47"/>
      <c r="Q61" s="15">
        <v>44945</v>
      </c>
      <c r="R61" s="14"/>
    </row>
    <row r="62" spans="1:18" ht="18" customHeight="1" x14ac:dyDescent="0.15">
      <c r="A62" s="166"/>
      <c r="B62" s="199"/>
      <c r="C62" s="31"/>
      <c r="D62" s="41"/>
      <c r="E62" s="41"/>
      <c r="F62" s="111"/>
      <c r="G62" s="59"/>
      <c r="H62" s="59"/>
      <c r="I62" s="59"/>
      <c r="J62" s="66"/>
      <c r="K62" s="67"/>
      <c r="L62" s="148"/>
      <c r="M62" s="36"/>
      <c r="N62" s="52"/>
      <c r="O62" s="32"/>
      <c r="P62" s="36"/>
      <c r="Q62" s="52"/>
      <c r="R62" s="48"/>
    </row>
    <row r="63" spans="1:18" ht="18" customHeight="1" x14ac:dyDescent="0.15">
      <c r="A63" s="166"/>
      <c r="B63" s="199"/>
      <c r="C63" s="31"/>
      <c r="D63" s="41"/>
      <c r="E63" s="41"/>
      <c r="F63" s="111"/>
      <c r="G63" s="59"/>
      <c r="H63" s="59"/>
      <c r="I63" s="59"/>
      <c r="J63" s="66"/>
      <c r="K63" s="67"/>
      <c r="L63" s="148"/>
      <c r="M63" s="36"/>
      <c r="N63" s="52"/>
      <c r="O63" s="32"/>
      <c r="P63" s="36"/>
      <c r="Q63" s="52"/>
      <c r="R63" s="48"/>
    </row>
    <row r="64" spans="1:18" ht="18" customHeight="1" x14ac:dyDescent="0.15">
      <c r="A64" s="166"/>
      <c r="B64" s="199"/>
      <c r="C64" s="31"/>
      <c r="D64" s="41"/>
      <c r="E64" s="41"/>
      <c r="F64" s="269">
        <f>SUM(I11:I61)</f>
        <v>151952</v>
      </c>
      <c r="G64" s="270"/>
      <c r="H64" s="270"/>
      <c r="I64" s="271"/>
      <c r="J64" s="66"/>
      <c r="K64" s="67"/>
      <c r="L64" s="148"/>
      <c r="M64" s="36"/>
      <c r="N64" s="52"/>
      <c r="O64" s="32"/>
      <c r="P64" s="36"/>
      <c r="Q64" s="52"/>
      <c r="R64" s="48"/>
    </row>
    <row r="65" spans="1:18" ht="18" customHeight="1" x14ac:dyDescent="0.15">
      <c r="A65" s="166"/>
      <c r="B65" s="199"/>
      <c r="C65" s="31"/>
      <c r="D65" s="41"/>
      <c r="E65" s="41"/>
      <c r="F65" s="111"/>
      <c r="G65" s="59"/>
      <c r="H65" s="59"/>
      <c r="I65" s="59"/>
      <c r="J65" s="66"/>
      <c r="K65" s="67"/>
      <c r="L65" s="148"/>
      <c r="M65" s="36"/>
      <c r="N65" s="52"/>
      <c r="O65" s="32"/>
      <c r="P65" s="36"/>
      <c r="Q65" s="52"/>
      <c r="R65" s="48"/>
    </row>
    <row r="66" spans="1:18" ht="18" customHeight="1" x14ac:dyDescent="0.15">
      <c r="A66" s="166"/>
      <c r="B66" s="199"/>
      <c r="C66" s="31"/>
      <c r="D66" s="41"/>
      <c r="E66" s="41"/>
      <c r="F66" s="111"/>
      <c r="G66" s="59"/>
      <c r="H66" s="59"/>
      <c r="I66" s="59"/>
      <c r="J66" s="66"/>
      <c r="K66" s="67"/>
      <c r="L66" s="148"/>
      <c r="M66" s="36"/>
      <c r="N66" s="52"/>
      <c r="O66" s="32"/>
      <c r="P66" s="36"/>
      <c r="Q66" s="52"/>
      <c r="R66" s="48"/>
    </row>
    <row r="67" spans="1:18" ht="18" customHeight="1" x14ac:dyDescent="0.15">
      <c r="A67" s="166"/>
      <c r="B67" s="199"/>
      <c r="C67" s="31"/>
      <c r="D67" s="41"/>
      <c r="E67" s="41"/>
      <c r="F67" s="111"/>
      <c r="G67" s="59"/>
      <c r="H67" s="59"/>
      <c r="I67" s="59"/>
      <c r="J67" s="66"/>
      <c r="K67" s="67"/>
      <c r="L67" s="148"/>
      <c r="M67" s="36"/>
      <c r="N67" s="52"/>
      <c r="O67" s="32"/>
      <c r="P67" s="36"/>
      <c r="Q67" s="52"/>
      <c r="R67" s="48"/>
    </row>
    <row r="68" spans="1:18" ht="18" customHeight="1" x14ac:dyDescent="0.15">
      <c r="A68" s="166"/>
      <c r="B68" s="199"/>
      <c r="C68" s="31"/>
      <c r="D68" s="41"/>
      <c r="E68" s="41"/>
      <c r="F68" s="111"/>
      <c r="G68" s="59"/>
      <c r="H68" s="59"/>
      <c r="I68" s="59"/>
      <c r="J68" s="66"/>
      <c r="K68" s="67"/>
      <c r="L68" s="148"/>
      <c r="M68" s="36"/>
      <c r="N68" s="52"/>
      <c r="O68" s="32"/>
      <c r="P68" s="36"/>
      <c r="Q68" s="52"/>
      <c r="R68" s="48"/>
    </row>
    <row r="69" spans="1:18" ht="18" customHeight="1" x14ac:dyDescent="0.15">
      <c r="A69" s="166"/>
      <c r="B69" s="199"/>
      <c r="C69" s="31"/>
      <c r="D69" s="41"/>
      <c r="E69" s="41"/>
      <c r="F69" s="111"/>
      <c r="G69" s="59"/>
      <c r="H69" s="59"/>
      <c r="I69" s="59"/>
      <c r="J69" s="66"/>
      <c r="K69" s="67"/>
      <c r="L69" s="148"/>
      <c r="M69" s="36"/>
      <c r="N69" s="52"/>
      <c r="O69" s="32"/>
      <c r="P69" s="36"/>
      <c r="Q69" s="52"/>
      <c r="R69" s="48"/>
    </row>
    <row r="70" spans="1:18" ht="18" customHeight="1" x14ac:dyDescent="0.15">
      <c r="A70" s="166"/>
      <c r="B70" s="199"/>
      <c r="C70" s="31"/>
      <c r="D70" s="41"/>
      <c r="E70" s="41"/>
      <c r="F70" s="111"/>
      <c r="G70" s="59"/>
      <c r="H70" s="59"/>
      <c r="I70" s="59"/>
      <c r="J70" s="66"/>
      <c r="K70" s="67"/>
      <c r="L70" s="148"/>
      <c r="M70" s="36"/>
      <c r="N70" s="52"/>
      <c r="O70" s="32"/>
      <c r="P70" s="36"/>
      <c r="Q70" s="52"/>
      <c r="R70" s="48"/>
    </row>
    <row r="71" spans="1:18" ht="18" customHeight="1" x14ac:dyDescent="0.15">
      <c r="A71" s="166"/>
      <c r="B71" s="199"/>
      <c r="C71" s="266" t="s">
        <v>214</v>
      </c>
      <c r="D71" s="267"/>
      <c r="E71" s="267"/>
      <c r="F71" s="268"/>
      <c r="G71" s="59"/>
      <c r="H71" s="59"/>
      <c r="I71" s="59"/>
      <c r="J71" s="66"/>
      <c r="K71" s="67"/>
      <c r="L71" s="148"/>
      <c r="M71" s="36"/>
      <c r="N71" s="52"/>
      <c r="O71" s="32"/>
      <c r="P71" s="36"/>
      <c r="Q71" s="52"/>
      <c r="R71" s="48"/>
    </row>
    <row r="72" spans="1:18" ht="18" customHeight="1" x14ac:dyDescent="0.15">
      <c r="A72" s="166"/>
      <c r="B72" s="199"/>
      <c r="C72" s="31"/>
      <c r="D72" s="41"/>
      <c r="E72" s="41"/>
      <c r="F72" s="111"/>
      <c r="G72" s="59"/>
      <c r="H72" s="59"/>
      <c r="I72" s="59"/>
      <c r="J72" s="66"/>
      <c r="K72" s="67"/>
      <c r="L72" s="148"/>
      <c r="M72" s="36"/>
      <c r="N72" s="52"/>
      <c r="O72" s="32"/>
      <c r="P72" s="36"/>
      <c r="Q72" s="52"/>
      <c r="R72" s="48"/>
    </row>
    <row r="73" spans="1:18" ht="18" customHeight="1" x14ac:dyDescent="0.15">
      <c r="A73" s="209" t="s">
        <v>112</v>
      </c>
      <c r="B73" s="206">
        <v>4</v>
      </c>
      <c r="C73" s="251">
        <f>C61+1</f>
        <v>50</v>
      </c>
      <c r="D73" s="180" t="s">
        <v>99</v>
      </c>
      <c r="E73" s="180" t="s">
        <v>29</v>
      </c>
      <c r="F73" s="181" t="s">
        <v>223</v>
      </c>
      <c r="G73" s="182">
        <v>1</v>
      </c>
      <c r="H73" s="114">
        <v>4380</v>
      </c>
      <c r="I73" s="59">
        <f>G73*H73</f>
        <v>4380</v>
      </c>
      <c r="J73" s="66"/>
      <c r="K73" s="82" t="s">
        <v>213</v>
      </c>
      <c r="L73" s="148"/>
      <c r="M73" s="36"/>
      <c r="N73" s="52">
        <v>45288</v>
      </c>
      <c r="O73" s="32"/>
      <c r="P73" s="36"/>
      <c r="Q73" s="52">
        <v>44946</v>
      </c>
      <c r="R73" s="48">
        <v>44946</v>
      </c>
    </row>
    <row r="74" spans="1:18" ht="18" customHeight="1" x14ac:dyDescent="0.15">
      <c r="A74" s="168" t="s">
        <v>113</v>
      </c>
      <c r="B74" s="206">
        <v>4</v>
      </c>
      <c r="C74" s="251">
        <f t="shared" si="8"/>
        <v>51</v>
      </c>
      <c r="D74" s="41" t="s">
        <v>88</v>
      </c>
      <c r="E74" s="41" t="s">
        <v>89</v>
      </c>
      <c r="F74" s="149" t="s">
        <v>91</v>
      </c>
      <c r="G74" s="59">
        <v>1</v>
      </c>
      <c r="H74" s="59">
        <v>3040</v>
      </c>
      <c r="I74" s="59">
        <f t="shared" ref="I74:I76" si="12">G74*H74</f>
        <v>3040</v>
      </c>
      <c r="J74" s="66"/>
      <c r="K74" s="67" t="s">
        <v>92</v>
      </c>
      <c r="L74" s="148"/>
      <c r="M74" s="36"/>
      <c r="N74" s="52">
        <v>44931</v>
      </c>
      <c r="O74" s="32"/>
      <c r="P74" s="52">
        <v>44946</v>
      </c>
      <c r="Q74" s="143" t="s">
        <v>292</v>
      </c>
      <c r="R74" s="48"/>
    </row>
    <row r="75" spans="1:18" ht="18" customHeight="1" x14ac:dyDescent="0.15">
      <c r="A75" s="168" t="s">
        <v>113</v>
      </c>
      <c r="B75" s="206">
        <v>4</v>
      </c>
      <c r="C75" s="251">
        <f t="shared" si="8"/>
        <v>52</v>
      </c>
      <c r="D75" s="41" t="s">
        <v>29</v>
      </c>
      <c r="E75" s="41" t="s">
        <v>29</v>
      </c>
      <c r="F75" s="111" t="s">
        <v>37</v>
      </c>
      <c r="G75" s="36">
        <v>3</v>
      </c>
      <c r="H75" s="123">
        <v>270</v>
      </c>
      <c r="I75" s="123">
        <f t="shared" si="12"/>
        <v>810</v>
      </c>
      <c r="J75" s="66"/>
      <c r="K75" s="82" t="s">
        <v>73</v>
      </c>
      <c r="L75" s="148"/>
      <c r="M75" s="36"/>
      <c r="N75" s="52">
        <v>44931</v>
      </c>
      <c r="O75" s="32"/>
      <c r="P75" s="36"/>
      <c r="Q75" s="52">
        <v>44945</v>
      </c>
      <c r="R75" s="48"/>
    </row>
    <row r="76" spans="1:18" ht="18" customHeight="1" x14ac:dyDescent="0.15">
      <c r="A76" s="168" t="s">
        <v>113</v>
      </c>
      <c r="B76" s="206">
        <v>4</v>
      </c>
      <c r="C76" s="251">
        <f t="shared" si="8"/>
        <v>53</v>
      </c>
      <c r="D76" s="41" t="s">
        <v>29</v>
      </c>
      <c r="E76" s="41" t="s">
        <v>29</v>
      </c>
      <c r="F76" s="72" t="s">
        <v>181</v>
      </c>
      <c r="G76" s="114">
        <v>10</v>
      </c>
      <c r="H76" s="114">
        <v>27</v>
      </c>
      <c r="I76" s="59">
        <f t="shared" si="12"/>
        <v>270</v>
      </c>
      <c r="J76" s="66"/>
      <c r="K76" s="82" t="s">
        <v>227</v>
      </c>
      <c r="L76" s="148"/>
      <c r="M76" s="36"/>
      <c r="N76" s="52">
        <v>44931</v>
      </c>
      <c r="O76" s="32"/>
      <c r="P76" s="36"/>
      <c r="Q76" s="52">
        <v>44945</v>
      </c>
      <c r="R76" s="48"/>
    </row>
    <row r="77" spans="1:18" ht="18" customHeight="1" x14ac:dyDescent="0.15">
      <c r="A77" s="168" t="s">
        <v>113</v>
      </c>
      <c r="B77" s="206">
        <v>4</v>
      </c>
      <c r="C77" s="251">
        <f t="shared" si="8"/>
        <v>54</v>
      </c>
      <c r="D77" s="41" t="s">
        <v>29</v>
      </c>
      <c r="E77" s="41" t="s">
        <v>29</v>
      </c>
      <c r="F77" s="177" t="s">
        <v>79</v>
      </c>
      <c r="G77" s="105"/>
      <c r="H77" s="59">
        <v>27</v>
      </c>
      <c r="I77" s="59">
        <f t="shared" ref="I77:I80" si="13">G77*H77</f>
        <v>0</v>
      </c>
      <c r="J77" s="66"/>
      <c r="K77" s="82" t="s">
        <v>162</v>
      </c>
      <c r="L77" s="148"/>
      <c r="M77" s="36"/>
      <c r="N77" s="52"/>
      <c r="O77" s="32"/>
      <c r="P77" s="36"/>
      <c r="Q77" s="52"/>
      <c r="R77" s="48"/>
    </row>
    <row r="78" spans="1:18" ht="18" customHeight="1" x14ac:dyDescent="0.15">
      <c r="A78" s="208" t="s">
        <v>98</v>
      </c>
      <c r="B78" s="206">
        <v>4</v>
      </c>
      <c r="C78" s="251">
        <f t="shared" si="8"/>
        <v>55</v>
      </c>
      <c r="D78" s="41" t="s">
        <v>88</v>
      </c>
      <c r="E78" s="176" t="s">
        <v>89</v>
      </c>
      <c r="F78" s="111" t="s">
        <v>176</v>
      </c>
      <c r="G78" s="59">
        <v>1</v>
      </c>
      <c r="H78" s="59">
        <v>6100</v>
      </c>
      <c r="I78" s="59">
        <f t="shared" si="13"/>
        <v>6100</v>
      </c>
      <c r="J78" s="66"/>
      <c r="K78" s="67" t="s">
        <v>93</v>
      </c>
      <c r="L78" s="189" t="s">
        <v>177</v>
      </c>
      <c r="M78" s="21"/>
      <c r="N78" s="52">
        <v>44931</v>
      </c>
      <c r="O78" s="197"/>
      <c r="P78" s="52">
        <v>44946</v>
      </c>
      <c r="Q78" s="143" t="s">
        <v>292</v>
      </c>
      <c r="R78" s="48"/>
    </row>
    <row r="79" spans="1:18" ht="18" customHeight="1" x14ac:dyDescent="0.15">
      <c r="A79" s="208" t="s">
        <v>288</v>
      </c>
      <c r="B79" s="206">
        <v>4</v>
      </c>
      <c r="C79" s="251">
        <f t="shared" si="8"/>
        <v>56</v>
      </c>
      <c r="D79" s="41" t="s">
        <v>88</v>
      </c>
      <c r="E79" s="176" t="s">
        <v>89</v>
      </c>
      <c r="F79" s="111" t="s">
        <v>179</v>
      </c>
      <c r="G79" s="59">
        <v>2</v>
      </c>
      <c r="H79" s="59">
        <v>60</v>
      </c>
      <c r="I79" s="59">
        <f t="shared" si="13"/>
        <v>120</v>
      </c>
      <c r="J79" s="66"/>
      <c r="K79" s="67" t="s">
        <v>94</v>
      </c>
      <c r="L79" s="189" t="s">
        <v>287</v>
      </c>
      <c r="M79" s="21"/>
      <c r="N79" s="52">
        <v>44931</v>
      </c>
      <c r="O79" s="197"/>
      <c r="P79" s="52">
        <v>44946</v>
      </c>
      <c r="Q79" s="143" t="s">
        <v>292</v>
      </c>
      <c r="R79" s="196" t="s">
        <v>199</v>
      </c>
    </row>
    <row r="80" spans="1:18" ht="18" customHeight="1" x14ac:dyDescent="0.15">
      <c r="A80" s="168" t="s">
        <v>113</v>
      </c>
      <c r="B80" s="206">
        <v>4</v>
      </c>
      <c r="C80" s="251">
        <f t="shared" si="8"/>
        <v>57</v>
      </c>
      <c r="D80" s="41" t="s">
        <v>29</v>
      </c>
      <c r="E80" s="41" t="s">
        <v>29</v>
      </c>
      <c r="F80" s="111" t="s">
        <v>38</v>
      </c>
      <c r="G80" s="36">
        <v>2</v>
      </c>
      <c r="H80" s="123">
        <v>270</v>
      </c>
      <c r="I80" s="123">
        <f t="shared" si="13"/>
        <v>540</v>
      </c>
      <c r="J80" s="66"/>
      <c r="K80" s="82" t="s">
        <v>73</v>
      </c>
      <c r="L80" s="148"/>
      <c r="M80" s="36"/>
      <c r="N80" s="52">
        <v>44931</v>
      </c>
      <c r="O80" s="32"/>
      <c r="P80" s="36"/>
      <c r="Q80" s="52">
        <v>44945</v>
      </c>
      <c r="R80" s="48"/>
    </row>
    <row r="81" spans="1:18" ht="18" customHeight="1" x14ac:dyDescent="0.15">
      <c r="A81" s="168" t="s">
        <v>113</v>
      </c>
      <c r="B81" s="206">
        <v>4</v>
      </c>
      <c r="C81" s="251">
        <f t="shared" si="8"/>
        <v>58</v>
      </c>
      <c r="D81" s="176" t="s">
        <v>183</v>
      </c>
      <c r="E81" s="41" t="s">
        <v>29</v>
      </c>
      <c r="F81" s="111" t="s">
        <v>184</v>
      </c>
      <c r="G81" s="59">
        <v>2</v>
      </c>
      <c r="H81" s="114">
        <v>118</v>
      </c>
      <c r="I81" s="59">
        <f t="shared" ref="I81:I89" si="14">G81*H81</f>
        <v>236</v>
      </c>
      <c r="J81" s="66"/>
      <c r="K81" s="82" t="s">
        <v>185</v>
      </c>
      <c r="L81" s="148"/>
      <c r="M81" s="36"/>
      <c r="N81" s="52">
        <v>44931</v>
      </c>
      <c r="O81" s="32"/>
      <c r="P81" s="36"/>
      <c r="Q81" s="52">
        <v>44945</v>
      </c>
      <c r="R81" s="48"/>
    </row>
    <row r="82" spans="1:18" ht="18" customHeight="1" x14ac:dyDescent="0.15">
      <c r="A82" s="168" t="s">
        <v>113</v>
      </c>
      <c r="B82" s="206">
        <v>5</v>
      </c>
      <c r="C82" s="207">
        <f t="shared" si="8"/>
        <v>59</v>
      </c>
      <c r="D82" s="41" t="s">
        <v>29</v>
      </c>
      <c r="E82" s="41" t="s">
        <v>29</v>
      </c>
      <c r="F82" s="120" t="s">
        <v>65</v>
      </c>
      <c r="G82" s="36">
        <v>2</v>
      </c>
      <c r="H82" s="127">
        <v>71</v>
      </c>
      <c r="I82" s="123">
        <f t="shared" si="14"/>
        <v>142</v>
      </c>
      <c r="J82" s="37"/>
      <c r="K82" s="32" t="s">
        <v>66</v>
      </c>
      <c r="L82" s="260"/>
      <c r="M82" s="36"/>
      <c r="N82" s="52">
        <v>44931</v>
      </c>
      <c r="O82" s="32"/>
      <c r="P82" s="36"/>
      <c r="Q82" s="143">
        <v>44945</v>
      </c>
      <c r="R82" s="48"/>
    </row>
    <row r="83" spans="1:18" ht="18" customHeight="1" x14ac:dyDescent="0.15">
      <c r="A83" s="168" t="s">
        <v>113</v>
      </c>
      <c r="B83" s="206">
        <v>5</v>
      </c>
      <c r="C83" s="207">
        <f t="shared" si="8"/>
        <v>60</v>
      </c>
      <c r="D83" s="41" t="s">
        <v>29</v>
      </c>
      <c r="E83" s="41" t="s">
        <v>29</v>
      </c>
      <c r="F83" s="120" t="s">
        <v>67</v>
      </c>
      <c r="G83" s="36">
        <v>2</v>
      </c>
      <c r="H83" s="127">
        <v>30</v>
      </c>
      <c r="I83" s="123">
        <f t="shared" si="14"/>
        <v>60</v>
      </c>
      <c r="J83" s="37"/>
      <c r="K83" s="32" t="s">
        <v>68</v>
      </c>
      <c r="L83" s="189"/>
      <c r="M83" s="36"/>
      <c r="N83" s="52">
        <v>44931</v>
      </c>
      <c r="O83" s="32"/>
      <c r="P83" s="36"/>
      <c r="Q83" s="205">
        <v>44945</v>
      </c>
      <c r="R83" s="56"/>
    </row>
    <row r="84" spans="1:18" ht="18" customHeight="1" x14ac:dyDescent="0.15">
      <c r="A84" s="209" t="s">
        <v>82</v>
      </c>
      <c r="B84" s="206">
        <v>5</v>
      </c>
      <c r="C84" s="210">
        <f t="shared" ref="C84:C89" si="15">+C83+1</f>
        <v>61</v>
      </c>
      <c r="D84" s="68" t="s">
        <v>29</v>
      </c>
      <c r="E84" s="68" t="s">
        <v>29</v>
      </c>
      <c r="F84" s="259" t="s">
        <v>36</v>
      </c>
      <c r="G84" s="112">
        <v>1</v>
      </c>
      <c r="H84" s="122">
        <v>860</v>
      </c>
      <c r="I84" s="24">
        <f t="shared" si="14"/>
        <v>860</v>
      </c>
      <c r="J84" s="69"/>
      <c r="K84" s="70" t="s">
        <v>54</v>
      </c>
      <c r="L84" s="6"/>
      <c r="M84" s="21"/>
      <c r="N84" s="261"/>
      <c r="O84" s="47"/>
      <c r="P84" s="261"/>
      <c r="Q84" s="15"/>
      <c r="R84" s="48"/>
    </row>
    <row r="85" spans="1:18" ht="18" customHeight="1" x14ac:dyDescent="0.15">
      <c r="A85" s="209" t="s">
        <v>82</v>
      </c>
      <c r="B85" s="206">
        <v>5</v>
      </c>
      <c r="C85" s="210">
        <f t="shared" si="15"/>
        <v>62</v>
      </c>
      <c r="D85" s="68" t="s">
        <v>29</v>
      </c>
      <c r="E85" s="68" t="s">
        <v>29</v>
      </c>
      <c r="F85" s="35" t="s">
        <v>75</v>
      </c>
      <c r="G85" s="39">
        <v>1</v>
      </c>
      <c r="H85" s="49">
        <v>270</v>
      </c>
      <c r="I85" s="24">
        <f t="shared" si="14"/>
        <v>270</v>
      </c>
      <c r="J85" s="40"/>
      <c r="K85" s="35" t="s">
        <v>74</v>
      </c>
      <c r="L85" s="6"/>
      <c r="M85" s="5"/>
      <c r="N85" s="52">
        <v>44931</v>
      </c>
      <c r="O85" s="8"/>
      <c r="P85" s="52"/>
      <c r="Q85" s="15">
        <v>44945</v>
      </c>
      <c r="R85" s="48"/>
    </row>
    <row r="86" spans="1:18" ht="18" customHeight="1" x14ac:dyDescent="0.15">
      <c r="A86" s="209" t="s">
        <v>82</v>
      </c>
      <c r="B86" s="206">
        <v>5</v>
      </c>
      <c r="C86" s="210">
        <f t="shared" si="15"/>
        <v>63</v>
      </c>
      <c r="D86" s="39" t="s">
        <v>187</v>
      </c>
      <c r="E86" s="68" t="s">
        <v>29</v>
      </c>
      <c r="F86" s="169" t="s">
        <v>186</v>
      </c>
      <c r="G86" s="39">
        <v>1</v>
      </c>
      <c r="H86" s="39">
        <v>622</v>
      </c>
      <c r="I86" s="24">
        <f t="shared" si="14"/>
        <v>622</v>
      </c>
      <c r="J86" s="37"/>
      <c r="K86" s="82" t="s">
        <v>190</v>
      </c>
      <c r="L86" s="6"/>
      <c r="M86" s="5"/>
      <c r="N86" s="15">
        <v>44931</v>
      </c>
      <c r="O86" s="8"/>
      <c r="P86" s="52"/>
      <c r="Q86" s="55">
        <v>44945</v>
      </c>
      <c r="R86" s="14"/>
    </row>
    <row r="87" spans="1:18" ht="18" customHeight="1" x14ac:dyDescent="0.15">
      <c r="A87" s="209" t="s">
        <v>82</v>
      </c>
      <c r="B87" s="206">
        <v>5</v>
      </c>
      <c r="C87" s="210">
        <f t="shared" si="15"/>
        <v>64</v>
      </c>
      <c r="D87" s="68" t="s">
        <v>29</v>
      </c>
      <c r="E87" s="68" t="s">
        <v>29</v>
      </c>
      <c r="F87" s="44" t="s">
        <v>188</v>
      </c>
      <c r="G87" s="36">
        <v>2</v>
      </c>
      <c r="H87" s="36">
        <v>120</v>
      </c>
      <c r="I87" s="24">
        <f t="shared" si="14"/>
        <v>240</v>
      </c>
      <c r="J87" s="33"/>
      <c r="K87" s="44" t="s">
        <v>189</v>
      </c>
      <c r="L87" s="6"/>
      <c r="M87" s="5"/>
      <c r="N87" s="52">
        <v>44931</v>
      </c>
      <c r="O87" s="8"/>
      <c r="P87" s="52"/>
      <c r="Q87" s="15">
        <v>44945</v>
      </c>
      <c r="R87" s="48"/>
    </row>
    <row r="88" spans="1:18" ht="18" customHeight="1" x14ac:dyDescent="0.15">
      <c r="A88" s="209" t="s">
        <v>82</v>
      </c>
      <c r="B88" s="206">
        <v>5</v>
      </c>
      <c r="C88" s="210">
        <f>+C87+1</f>
        <v>65</v>
      </c>
      <c r="D88" s="65" t="s">
        <v>29</v>
      </c>
      <c r="E88" s="65" t="s">
        <v>29</v>
      </c>
      <c r="F88" s="73" t="s">
        <v>55</v>
      </c>
      <c r="G88" s="58">
        <v>2</v>
      </c>
      <c r="H88" s="58">
        <v>250</v>
      </c>
      <c r="I88" s="59">
        <f t="shared" si="14"/>
        <v>500</v>
      </c>
      <c r="J88" s="74"/>
      <c r="K88" s="73" t="s">
        <v>56</v>
      </c>
      <c r="L88" s="6"/>
      <c r="M88" s="5"/>
      <c r="N88" s="52">
        <v>44931</v>
      </c>
      <c r="O88" s="8"/>
      <c r="P88" s="52"/>
      <c r="Q88" s="15">
        <v>44945</v>
      </c>
      <c r="R88" s="48"/>
    </row>
    <row r="89" spans="1:18" ht="18" customHeight="1" x14ac:dyDescent="0.15">
      <c r="A89" s="209" t="s">
        <v>82</v>
      </c>
      <c r="B89" s="206">
        <v>5</v>
      </c>
      <c r="C89" s="210">
        <f t="shared" si="15"/>
        <v>66</v>
      </c>
      <c r="D89" s="65" t="s">
        <v>29</v>
      </c>
      <c r="E89" s="65" t="s">
        <v>29</v>
      </c>
      <c r="F89" s="73" t="s">
        <v>57</v>
      </c>
      <c r="G89" s="58">
        <v>2</v>
      </c>
      <c r="H89" s="58">
        <v>200</v>
      </c>
      <c r="I89" s="59">
        <f t="shared" si="14"/>
        <v>400</v>
      </c>
      <c r="J89" s="74"/>
      <c r="K89" s="73" t="s">
        <v>58</v>
      </c>
      <c r="L89" s="6"/>
      <c r="M89" s="5"/>
      <c r="N89" s="52">
        <v>44931</v>
      </c>
      <c r="O89" s="8"/>
      <c r="P89" s="52"/>
      <c r="Q89" s="15">
        <v>44945</v>
      </c>
      <c r="R89" s="48"/>
    </row>
    <row r="90" spans="1:18" ht="18" customHeight="1" x14ac:dyDescent="0.15">
      <c r="C90" s="137"/>
      <c r="D90" s="4"/>
      <c r="E90" s="4"/>
      <c r="F90" s="172"/>
      <c r="G90" s="173"/>
      <c r="H90" s="174"/>
      <c r="I90" s="175"/>
      <c r="J90" s="86"/>
      <c r="K90" s="22"/>
      <c r="L90" s="6"/>
      <c r="M90" s="5"/>
      <c r="N90" s="15"/>
      <c r="O90" s="8"/>
      <c r="P90" s="8"/>
      <c r="Q90" s="15"/>
      <c r="R90" s="14"/>
    </row>
    <row r="91" spans="1:18" ht="18" customHeight="1" x14ac:dyDescent="0.15">
      <c r="C91" s="17"/>
      <c r="D91" s="4"/>
      <c r="E91" s="7"/>
      <c r="F91" s="269">
        <f>SUM(I72:I89)</f>
        <v>18590</v>
      </c>
      <c r="G91" s="270"/>
      <c r="H91" s="270"/>
      <c r="I91" s="271"/>
      <c r="J91" s="23"/>
      <c r="K91" s="22"/>
      <c r="L91" s="6"/>
      <c r="M91" s="5"/>
      <c r="N91" s="15"/>
      <c r="O91" s="8"/>
      <c r="P91" s="8"/>
      <c r="Q91" s="15"/>
      <c r="R91" s="14"/>
    </row>
    <row r="92" spans="1:18" ht="18" customHeight="1" x14ac:dyDescent="0.15">
      <c r="C92" s="17"/>
      <c r="D92" s="43"/>
      <c r="E92" s="134"/>
      <c r="F92" s="155"/>
      <c r="G92" s="155"/>
      <c r="H92" s="155"/>
      <c r="I92" s="155"/>
      <c r="J92" s="156"/>
      <c r="K92" s="157"/>
      <c r="L92" s="6"/>
      <c r="M92" s="5"/>
      <c r="N92" s="15"/>
      <c r="O92" s="8"/>
      <c r="P92" s="8"/>
      <c r="Q92" s="15"/>
      <c r="R92" s="14"/>
    </row>
    <row r="93" spans="1:18" ht="18" customHeight="1" x14ac:dyDescent="0.15">
      <c r="C93" s="17"/>
      <c r="D93" s="153"/>
      <c r="E93" s="60"/>
      <c r="F93" s="136"/>
      <c r="G93" s="136"/>
      <c r="H93" s="136"/>
      <c r="I93" s="136"/>
      <c r="J93" s="66"/>
      <c r="K93" s="42"/>
      <c r="L93" s="154"/>
      <c r="M93" s="5"/>
      <c r="N93" s="15"/>
      <c r="O93" s="8"/>
      <c r="P93" s="8"/>
      <c r="Q93" s="15"/>
      <c r="R93" s="14"/>
    </row>
    <row r="94" spans="1:18" s="3" customFormat="1" ht="19.5" customHeight="1" x14ac:dyDescent="0.15">
      <c r="C94" s="4"/>
      <c r="D94" s="151"/>
      <c r="E94" s="151"/>
      <c r="F94" s="135"/>
      <c r="G94" s="130"/>
      <c r="H94" s="130"/>
      <c r="I94" s="130"/>
      <c r="J94" s="20"/>
      <c r="K94" s="152"/>
      <c r="L94" s="1"/>
      <c r="M94" s="1"/>
      <c r="N94" s="15"/>
      <c r="O94" s="4"/>
      <c r="P94" s="1"/>
      <c r="Q94" s="15"/>
      <c r="R94" s="8"/>
    </row>
    <row r="95" spans="1:18" ht="18" customHeight="1" x14ac:dyDescent="0.15">
      <c r="C95" s="45"/>
      <c r="D95" s="272" t="s">
        <v>72</v>
      </c>
      <c r="E95" s="272"/>
      <c r="F95" s="272"/>
      <c r="G95" s="46"/>
      <c r="H95" s="24"/>
      <c r="I95" s="24"/>
      <c r="J95" s="7"/>
      <c r="K95" s="22"/>
      <c r="L95" s="6"/>
      <c r="M95" s="5"/>
      <c r="N95" s="15"/>
      <c r="O95" s="8"/>
      <c r="P95" s="8"/>
      <c r="Q95" s="15"/>
      <c r="R95" s="14"/>
    </row>
    <row r="96" spans="1:18" ht="18" customHeight="1" x14ac:dyDescent="0.15">
      <c r="A96" s="168" t="s">
        <v>112</v>
      </c>
      <c r="B96" s="206">
        <v>5</v>
      </c>
      <c r="C96" s="258">
        <f>C89+1</f>
        <v>67</v>
      </c>
      <c r="D96" s="180" t="s">
        <v>99</v>
      </c>
      <c r="E96" s="180" t="s">
        <v>29</v>
      </c>
      <c r="F96" s="185" t="s">
        <v>100</v>
      </c>
      <c r="G96" s="192">
        <v>1</v>
      </c>
      <c r="H96" s="222">
        <v>1536</v>
      </c>
      <c r="I96" s="132">
        <f t="shared" ref="I96:I102" si="16">G96*H96</f>
        <v>1536</v>
      </c>
      <c r="J96" s="162"/>
      <c r="K96" s="57" t="s">
        <v>101</v>
      </c>
      <c r="L96" s="71"/>
      <c r="M96" s="5"/>
      <c r="N96" s="15">
        <v>45288</v>
      </c>
      <c r="O96" s="8"/>
      <c r="P96" s="52"/>
      <c r="Q96" s="52">
        <v>44946</v>
      </c>
      <c r="R96" s="48">
        <v>44946</v>
      </c>
    </row>
    <row r="97" spans="1:18" ht="18" customHeight="1" x14ac:dyDescent="0.15">
      <c r="A97" s="168" t="s">
        <v>112</v>
      </c>
      <c r="B97" s="206">
        <v>5</v>
      </c>
      <c r="C97" s="251">
        <f t="shared" ref="C97:C102" si="17">+C96+1</f>
        <v>68</v>
      </c>
      <c r="D97" s="180" t="s">
        <v>99</v>
      </c>
      <c r="E97" s="180" t="s">
        <v>29</v>
      </c>
      <c r="F97" s="185" t="s">
        <v>102</v>
      </c>
      <c r="G97" s="192">
        <v>1</v>
      </c>
      <c r="H97" s="222">
        <v>1488</v>
      </c>
      <c r="I97" s="132">
        <f t="shared" si="16"/>
        <v>1488</v>
      </c>
      <c r="J97" s="162"/>
      <c r="K97" s="57" t="s">
        <v>103</v>
      </c>
      <c r="L97" s="71"/>
      <c r="M97" s="5"/>
      <c r="N97" s="15">
        <v>45288</v>
      </c>
      <c r="O97" s="8"/>
      <c r="P97" s="52"/>
      <c r="Q97" s="52">
        <v>44946</v>
      </c>
      <c r="R97" s="48">
        <v>44946</v>
      </c>
    </row>
    <row r="98" spans="1:18" ht="18" customHeight="1" x14ac:dyDescent="0.15">
      <c r="A98" s="168" t="s">
        <v>112</v>
      </c>
      <c r="B98" s="206">
        <v>5</v>
      </c>
      <c r="C98" s="251">
        <f t="shared" si="17"/>
        <v>69</v>
      </c>
      <c r="D98" s="180" t="s">
        <v>99</v>
      </c>
      <c r="E98" s="180" t="s">
        <v>29</v>
      </c>
      <c r="F98" s="185" t="s">
        <v>104</v>
      </c>
      <c r="G98" s="192">
        <v>1</v>
      </c>
      <c r="H98" s="222">
        <v>1312</v>
      </c>
      <c r="I98" s="132">
        <f t="shared" si="16"/>
        <v>1312</v>
      </c>
      <c r="J98" s="162"/>
      <c r="K98" s="57" t="s">
        <v>105</v>
      </c>
      <c r="L98" s="71"/>
      <c r="M98" s="5"/>
      <c r="N98" s="143">
        <v>45288</v>
      </c>
      <c r="O98" s="8"/>
      <c r="P98" s="52"/>
      <c r="Q98" s="52">
        <v>44946</v>
      </c>
      <c r="R98" s="48">
        <v>44946</v>
      </c>
    </row>
    <row r="99" spans="1:18" ht="18" customHeight="1" x14ac:dyDescent="0.15">
      <c r="A99" s="168" t="s">
        <v>112</v>
      </c>
      <c r="B99" s="206">
        <v>5</v>
      </c>
      <c r="C99" s="251">
        <f t="shared" si="17"/>
        <v>70</v>
      </c>
      <c r="D99" s="41" t="s">
        <v>29</v>
      </c>
      <c r="E99" s="41" t="s">
        <v>29</v>
      </c>
      <c r="F99" s="111" t="s">
        <v>106</v>
      </c>
      <c r="G99" s="36">
        <v>1</v>
      </c>
      <c r="H99" s="223">
        <v>930</v>
      </c>
      <c r="I99" s="123">
        <f t="shared" si="16"/>
        <v>930</v>
      </c>
      <c r="J99" s="37"/>
      <c r="K99" s="32" t="s">
        <v>76</v>
      </c>
      <c r="L99" s="71"/>
      <c r="M99" s="5"/>
      <c r="N99" s="52">
        <v>44931</v>
      </c>
      <c r="O99" s="8"/>
      <c r="P99" s="8"/>
      <c r="Q99" s="52">
        <v>44945</v>
      </c>
      <c r="R99" s="48"/>
    </row>
    <row r="100" spans="1:18" ht="18" customHeight="1" x14ac:dyDescent="0.15">
      <c r="A100" s="168" t="s">
        <v>113</v>
      </c>
      <c r="B100" s="206">
        <v>5</v>
      </c>
      <c r="C100" s="251">
        <f t="shared" si="17"/>
        <v>71</v>
      </c>
      <c r="D100" s="41" t="s">
        <v>29</v>
      </c>
      <c r="E100" s="41" t="s">
        <v>29</v>
      </c>
      <c r="F100" s="111" t="s">
        <v>77</v>
      </c>
      <c r="G100" s="36">
        <v>1</v>
      </c>
      <c r="H100" s="223">
        <v>750</v>
      </c>
      <c r="I100" s="123">
        <f t="shared" si="16"/>
        <v>750</v>
      </c>
      <c r="J100" s="37"/>
      <c r="K100" s="32" t="s">
        <v>107</v>
      </c>
      <c r="L100" s="71"/>
      <c r="M100" s="5"/>
      <c r="N100" s="52">
        <v>44931</v>
      </c>
      <c r="O100" s="8"/>
      <c r="P100" s="8"/>
      <c r="Q100" s="52">
        <v>44945</v>
      </c>
      <c r="R100" s="48"/>
    </row>
    <row r="101" spans="1:18" ht="18" customHeight="1" x14ac:dyDescent="0.15">
      <c r="A101" s="168" t="s">
        <v>113</v>
      </c>
      <c r="B101" s="206">
        <v>5</v>
      </c>
      <c r="C101" s="251">
        <f t="shared" si="17"/>
        <v>72</v>
      </c>
      <c r="D101" s="103" t="s">
        <v>29</v>
      </c>
      <c r="E101" s="103" t="s">
        <v>29</v>
      </c>
      <c r="F101" s="145" t="s">
        <v>78</v>
      </c>
      <c r="G101" s="107"/>
      <c r="H101" s="146">
        <v>48</v>
      </c>
      <c r="I101" s="146">
        <f t="shared" si="16"/>
        <v>0</v>
      </c>
      <c r="J101" s="107"/>
      <c r="K101" s="145" t="s">
        <v>108</v>
      </c>
      <c r="L101" s="90" t="s">
        <v>109</v>
      </c>
      <c r="M101" s="5"/>
      <c r="N101" s="52"/>
      <c r="O101" s="8"/>
      <c r="P101" s="8"/>
      <c r="Q101" s="52"/>
      <c r="R101" s="48"/>
    </row>
    <row r="102" spans="1:18" ht="18" customHeight="1" x14ac:dyDescent="0.15">
      <c r="A102" s="168" t="s">
        <v>113</v>
      </c>
      <c r="B102" s="206">
        <v>5</v>
      </c>
      <c r="C102" s="251">
        <f t="shared" si="17"/>
        <v>73</v>
      </c>
      <c r="D102" s="103" t="s">
        <v>29</v>
      </c>
      <c r="E102" s="103" t="s">
        <v>29</v>
      </c>
      <c r="F102" s="145" t="s">
        <v>110</v>
      </c>
      <c r="G102" s="107"/>
      <c r="H102" s="146">
        <v>92</v>
      </c>
      <c r="I102" s="147">
        <f t="shared" si="16"/>
        <v>0</v>
      </c>
      <c r="J102" s="107"/>
      <c r="K102" s="145" t="s">
        <v>111</v>
      </c>
      <c r="L102" s="90" t="s">
        <v>109</v>
      </c>
      <c r="M102" s="5"/>
      <c r="N102" s="52"/>
      <c r="O102" s="8"/>
      <c r="P102" s="8"/>
      <c r="Q102" s="52"/>
      <c r="R102" s="48"/>
    </row>
    <row r="103" spans="1:18" ht="18" customHeight="1" x14ac:dyDescent="0.15">
      <c r="B103" s="30"/>
      <c r="C103" s="31"/>
      <c r="D103" s="4"/>
      <c r="E103" s="4"/>
      <c r="F103" s="87"/>
      <c r="G103" s="88"/>
      <c r="H103" s="88"/>
      <c r="I103" s="124"/>
      <c r="J103" s="23"/>
      <c r="K103" s="25"/>
      <c r="L103" s="6"/>
      <c r="M103" s="5"/>
      <c r="N103" s="54"/>
      <c r="O103" s="8"/>
      <c r="P103" s="8"/>
      <c r="Q103" s="54"/>
      <c r="R103" s="56"/>
    </row>
    <row r="104" spans="1:18" ht="18" customHeight="1" x14ac:dyDescent="0.15">
      <c r="C104" s="1"/>
      <c r="D104" s="4"/>
      <c r="E104" s="4"/>
      <c r="F104" s="273">
        <f>SUM(I96:I102)</f>
        <v>6016</v>
      </c>
      <c r="G104" s="274"/>
      <c r="H104" s="274"/>
      <c r="I104" s="275"/>
      <c r="J104" s="7"/>
      <c r="K104" s="22"/>
      <c r="L104" s="6"/>
      <c r="M104" s="5"/>
      <c r="N104" s="15"/>
      <c r="O104" s="8"/>
      <c r="P104" s="8"/>
      <c r="Q104" s="15"/>
      <c r="R104" s="14"/>
    </row>
    <row r="105" spans="1:18" ht="18" customHeight="1" x14ac:dyDescent="0.15">
      <c r="C105" s="1"/>
      <c r="D105" s="4"/>
      <c r="E105" s="4"/>
      <c r="F105" s="83"/>
      <c r="G105" s="84"/>
      <c r="H105" s="84"/>
      <c r="I105" s="85"/>
      <c r="J105" s="86"/>
      <c r="K105" s="22"/>
      <c r="L105" s="6"/>
      <c r="M105" s="5"/>
      <c r="N105" s="15"/>
      <c r="O105" s="8"/>
      <c r="P105" s="8"/>
      <c r="Q105" s="15"/>
      <c r="R105" s="14"/>
    </row>
    <row r="106" spans="1:18" ht="18" customHeight="1" x14ac:dyDescent="0.15">
      <c r="C106" s="1"/>
      <c r="D106" s="4"/>
      <c r="E106" s="4"/>
      <c r="F106" s="83"/>
      <c r="G106" s="84"/>
      <c r="H106" s="84"/>
      <c r="I106" s="85"/>
      <c r="J106" s="86"/>
      <c r="K106" s="22"/>
      <c r="L106" s="6"/>
      <c r="M106" s="5"/>
      <c r="N106" s="15"/>
      <c r="O106" s="8"/>
      <c r="P106" s="8"/>
      <c r="Q106" s="15"/>
      <c r="R106" s="14"/>
    </row>
    <row r="107" spans="1:18" ht="18" customHeight="1" x14ac:dyDescent="0.15">
      <c r="C107" s="1"/>
      <c r="D107" s="4"/>
      <c r="E107" s="4"/>
      <c r="F107" s="83"/>
      <c r="G107" s="84"/>
      <c r="H107" s="84"/>
      <c r="I107" s="85"/>
      <c r="J107" s="86"/>
      <c r="K107" s="22"/>
      <c r="L107" s="6"/>
      <c r="M107" s="5"/>
      <c r="N107" s="15"/>
      <c r="O107" s="8"/>
      <c r="P107" s="8"/>
      <c r="Q107" s="15"/>
      <c r="R107" s="14"/>
    </row>
    <row r="108" spans="1:18" ht="18" customHeight="1" x14ac:dyDescent="0.15">
      <c r="C108" s="1"/>
      <c r="D108" s="4"/>
      <c r="E108" s="4"/>
      <c r="F108" s="28"/>
      <c r="G108" s="24"/>
      <c r="H108" s="24"/>
      <c r="I108" s="24"/>
      <c r="J108" s="23"/>
      <c r="K108" s="25"/>
      <c r="L108" s="6"/>
      <c r="M108" s="5"/>
      <c r="N108" s="15"/>
      <c r="O108" s="8"/>
      <c r="P108" s="8"/>
      <c r="Q108" s="15"/>
      <c r="R108" s="14"/>
    </row>
    <row r="109" spans="1:18" ht="18" customHeight="1" x14ac:dyDescent="0.15">
      <c r="C109" s="76"/>
      <c r="D109" s="276" t="s">
        <v>62</v>
      </c>
      <c r="E109" s="277"/>
      <c r="F109" s="278"/>
      <c r="G109" s="36"/>
      <c r="H109" s="36"/>
      <c r="I109" s="37"/>
      <c r="J109" s="37"/>
      <c r="K109" s="36"/>
      <c r="L109" s="6"/>
      <c r="M109" s="5"/>
      <c r="N109" s="15"/>
      <c r="O109" s="8"/>
      <c r="P109" s="8"/>
      <c r="Q109" s="15"/>
      <c r="R109" s="14"/>
    </row>
    <row r="110" spans="1:18" ht="18" customHeight="1" x14ac:dyDescent="0.15">
      <c r="A110" s="168" t="s">
        <v>115</v>
      </c>
      <c r="B110" s="206">
        <v>5</v>
      </c>
      <c r="C110" s="251">
        <f>+C102+1</f>
        <v>74</v>
      </c>
      <c r="D110" s="91" t="s">
        <v>69</v>
      </c>
      <c r="E110" s="91" t="s">
        <v>29</v>
      </c>
      <c r="F110" s="92" t="s">
        <v>70</v>
      </c>
      <c r="G110" s="93"/>
      <c r="H110" s="128">
        <v>1800</v>
      </c>
      <c r="I110" s="129">
        <f t="shared" ref="I110:I116" si="18">G110*H110</f>
        <v>0</v>
      </c>
      <c r="J110" s="94"/>
      <c r="K110" s="191" t="s">
        <v>198</v>
      </c>
      <c r="L110" s="90" t="s">
        <v>114</v>
      </c>
      <c r="M110" s="5"/>
      <c r="N110" s="165"/>
      <c r="O110" s="8"/>
      <c r="P110" s="8"/>
      <c r="Q110" s="15"/>
      <c r="R110" s="56"/>
    </row>
    <row r="111" spans="1:18" ht="18" customHeight="1" x14ac:dyDescent="0.15">
      <c r="A111" s="168" t="s">
        <v>113</v>
      </c>
      <c r="B111" s="206">
        <v>5</v>
      </c>
      <c r="C111" s="251">
        <f t="shared" ref="C111:C122" si="19">+C110+1</f>
        <v>75</v>
      </c>
      <c r="D111" s="41" t="s">
        <v>29</v>
      </c>
      <c r="E111" s="41" t="s">
        <v>29</v>
      </c>
      <c r="F111" s="120" t="s">
        <v>65</v>
      </c>
      <c r="G111" s="36">
        <v>1</v>
      </c>
      <c r="H111" s="127">
        <v>71</v>
      </c>
      <c r="I111" s="123">
        <f t="shared" si="18"/>
        <v>71</v>
      </c>
      <c r="J111" s="37"/>
      <c r="K111" s="32" t="s">
        <v>66</v>
      </c>
      <c r="L111" s="144"/>
      <c r="M111" s="5"/>
      <c r="N111" s="165">
        <v>44931</v>
      </c>
      <c r="O111" s="8"/>
      <c r="P111" s="8"/>
      <c r="Q111" s="15">
        <v>44945</v>
      </c>
      <c r="R111" s="56"/>
    </row>
    <row r="112" spans="1:18" ht="18" customHeight="1" x14ac:dyDescent="0.15">
      <c r="A112" s="168" t="s">
        <v>113</v>
      </c>
      <c r="B112" s="206">
        <v>5</v>
      </c>
      <c r="C112" s="251">
        <f t="shared" si="19"/>
        <v>76</v>
      </c>
      <c r="D112" s="36" t="s">
        <v>29</v>
      </c>
      <c r="E112" s="36" t="s">
        <v>29</v>
      </c>
      <c r="F112" s="50" t="s">
        <v>63</v>
      </c>
      <c r="G112" s="65">
        <v>1</v>
      </c>
      <c r="H112" s="125">
        <v>70</v>
      </c>
      <c r="I112" s="126">
        <f t="shared" si="18"/>
        <v>70</v>
      </c>
      <c r="J112" s="37"/>
      <c r="K112" s="50" t="s">
        <v>64</v>
      </c>
      <c r="L112" s="144"/>
      <c r="M112" s="5"/>
      <c r="N112" s="165">
        <v>44931</v>
      </c>
      <c r="O112" s="8"/>
      <c r="P112" s="8"/>
      <c r="Q112" s="15">
        <v>44945</v>
      </c>
      <c r="R112" s="56"/>
    </row>
    <row r="113" spans="1:18" ht="18" customHeight="1" x14ac:dyDescent="0.15">
      <c r="A113" s="168" t="s">
        <v>113</v>
      </c>
      <c r="B113" s="206">
        <v>5</v>
      </c>
      <c r="C113" s="251">
        <f t="shared" si="19"/>
        <v>77</v>
      </c>
      <c r="D113" s="41" t="s">
        <v>232</v>
      </c>
      <c r="E113" s="41" t="s">
        <v>233</v>
      </c>
      <c r="F113" s="217" t="s">
        <v>234</v>
      </c>
      <c r="G113" s="219">
        <v>2</v>
      </c>
      <c r="H113" s="218">
        <v>98</v>
      </c>
      <c r="I113" s="225">
        <f t="shared" si="18"/>
        <v>196</v>
      </c>
      <c r="J113" s="215"/>
      <c r="K113" s="38" t="s">
        <v>235</v>
      </c>
      <c r="L113" s="216" t="s">
        <v>236</v>
      </c>
      <c r="M113" s="5"/>
      <c r="N113" s="165">
        <v>44931</v>
      </c>
      <c r="O113" s="8"/>
      <c r="P113" s="8"/>
      <c r="Q113" s="15">
        <v>44945</v>
      </c>
      <c r="R113" s="56"/>
    </row>
    <row r="114" spans="1:18" ht="18" customHeight="1" x14ac:dyDescent="0.15">
      <c r="A114" s="168" t="s">
        <v>113</v>
      </c>
      <c r="B114" s="206">
        <v>5</v>
      </c>
      <c r="C114" s="251">
        <f t="shared" si="19"/>
        <v>78</v>
      </c>
      <c r="D114" s="41" t="s">
        <v>237</v>
      </c>
      <c r="E114" s="41" t="s">
        <v>233</v>
      </c>
      <c r="F114" s="217" t="s">
        <v>238</v>
      </c>
      <c r="G114" s="219">
        <v>2</v>
      </c>
      <c r="H114" s="218">
        <v>119</v>
      </c>
      <c r="I114" s="225">
        <f t="shared" si="18"/>
        <v>238</v>
      </c>
      <c r="J114" s="215"/>
      <c r="K114" s="38" t="s">
        <v>239</v>
      </c>
      <c r="L114" s="216" t="s">
        <v>240</v>
      </c>
      <c r="M114" s="5"/>
      <c r="N114" s="165">
        <v>44931</v>
      </c>
      <c r="O114" s="8"/>
      <c r="P114" s="8"/>
      <c r="Q114" s="15">
        <v>44945</v>
      </c>
      <c r="R114" s="56"/>
    </row>
    <row r="115" spans="1:18" ht="18" customHeight="1" x14ac:dyDescent="0.15">
      <c r="A115" s="168" t="s">
        <v>113</v>
      </c>
      <c r="B115" s="206">
        <v>5</v>
      </c>
      <c r="C115" s="251">
        <f t="shared" si="19"/>
        <v>79</v>
      </c>
      <c r="D115" s="41" t="s">
        <v>233</v>
      </c>
      <c r="E115" s="41" t="s">
        <v>233</v>
      </c>
      <c r="F115" s="217" t="s">
        <v>241</v>
      </c>
      <c r="G115" s="219">
        <v>2</v>
      </c>
      <c r="H115" s="218">
        <v>40</v>
      </c>
      <c r="I115" s="225">
        <f t="shared" si="18"/>
        <v>80</v>
      </c>
      <c r="J115" s="215"/>
      <c r="K115" s="38" t="s">
        <v>242</v>
      </c>
      <c r="L115" s="216" t="s">
        <v>236</v>
      </c>
      <c r="M115" s="5"/>
      <c r="N115" s="165">
        <v>44931</v>
      </c>
      <c r="O115" s="8"/>
      <c r="P115" s="8"/>
      <c r="Q115" s="15">
        <v>44945</v>
      </c>
      <c r="R115" s="56"/>
    </row>
    <row r="116" spans="1:18" ht="18" customHeight="1" x14ac:dyDescent="0.15">
      <c r="A116" s="168" t="s">
        <v>113</v>
      </c>
      <c r="B116" s="206">
        <v>5</v>
      </c>
      <c r="C116" s="251">
        <f t="shared" si="19"/>
        <v>80</v>
      </c>
      <c r="D116" s="41" t="s">
        <v>233</v>
      </c>
      <c r="E116" s="41" t="s">
        <v>233</v>
      </c>
      <c r="F116" s="217" t="s">
        <v>243</v>
      </c>
      <c r="G116" s="219">
        <v>1</v>
      </c>
      <c r="H116" s="218">
        <v>5140</v>
      </c>
      <c r="I116" s="225">
        <f t="shared" si="18"/>
        <v>5140</v>
      </c>
      <c r="J116" s="215"/>
      <c r="K116" s="38" t="s">
        <v>244</v>
      </c>
      <c r="L116" s="216" t="s">
        <v>240</v>
      </c>
      <c r="M116" s="5"/>
      <c r="N116" s="165">
        <v>44931</v>
      </c>
      <c r="O116" s="8"/>
      <c r="P116" s="8"/>
      <c r="Q116" s="15">
        <v>44945</v>
      </c>
      <c r="R116" s="56"/>
    </row>
    <row r="117" spans="1:18" ht="18" customHeight="1" x14ac:dyDescent="0.15">
      <c r="A117" s="168" t="s">
        <v>113</v>
      </c>
      <c r="B117" s="206">
        <v>4</v>
      </c>
      <c r="C117" s="251">
        <f t="shared" si="19"/>
        <v>81</v>
      </c>
      <c r="D117" s="41" t="s">
        <v>29</v>
      </c>
      <c r="E117" s="41" t="s">
        <v>29</v>
      </c>
      <c r="F117" s="111" t="s">
        <v>126</v>
      </c>
      <c r="G117" s="59">
        <v>3</v>
      </c>
      <c r="H117" s="59">
        <v>219</v>
      </c>
      <c r="I117" s="59">
        <f t="shared" ref="I117:I118" si="20">G117*H117</f>
        <v>657</v>
      </c>
      <c r="J117" s="74"/>
      <c r="K117" s="82" t="s">
        <v>228</v>
      </c>
      <c r="L117" s="144"/>
      <c r="M117" s="5"/>
      <c r="N117" s="165">
        <v>44931</v>
      </c>
      <c r="O117" s="8"/>
      <c r="P117" s="8"/>
      <c r="Q117" s="15">
        <v>44945</v>
      </c>
      <c r="R117" s="56"/>
    </row>
    <row r="118" spans="1:18" ht="18" customHeight="1" x14ac:dyDescent="0.15">
      <c r="A118" s="168" t="s">
        <v>113</v>
      </c>
      <c r="B118" s="206">
        <v>5</v>
      </c>
      <c r="C118" s="251">
        <f t="shared" si="19"/>
        <v>82</v>
      </c>
      <c r="D118" s="41" t="s">
        <v>29</v>
      </c>
      <c r="E118" s="41" t="s">
        <v>29</v>
      </c>
      <c r="F118" s="111" t="s">
        <v>67</v>
      </c>
      <c r="G118" s="36">
        <v>1</v>
      </c>
      <c r="H118" s="127">
        <v>30</v>
      </c>
      <c r="I118" s="123">
        <f t="shared" si="20"/>
        <v>30</v>
      </c>
      <c r="J118" s="37"/>
      <c r="K118" s="32" t="s">
        <v>68</v>
      </c>
      <c r="L118" s="144"/>
      <c r="M118" s="5"/>
      <c r="N118" s="165">
        <v>44931</v>
      </c>
      <c r="O118" s="8"/>
      <c r="P118" s="8"/>
      <c r="Q118" s="15">
        <v>44945</v>
      </c>
      <c r="R118" s="56"/>
    </row>
    <row r="119" spans="1:18" ht="18" customHeight="1" x14ac:dyDescent="0.15">
      <c r="A119" s="36"/>
      <c r="B119" s="199"/>
      <c r="C119" s="31"/>
      <c r="D119" s="41"/>
      <c r="E119" s="41"/>
      <c r="F119" s="120"/>
      <c r="G119" s="75"/>
      <c r="H119" s="214"/>
      <c r="I119" s="132"/>
      <c r="J119" s="162"/>
      <c r="K119" s="111"/>
      <c r="L119" s="144"/>
      <c r="M119" s="5"/>
      <c r="N119" s="165"/>
      <c r="O119" s="8"/>
      <c r="P119" s="8"/>
      <c r="Q119" s="15"/>
      <c r="R119" s="56"/>
    </row>
    <row r="120" spans="1:18" ht="18" customHeight="1" x14ac:dyDescent="0.15">
      <c r="A120" s="209" t="s">
        <v>83</v>
      </c>
      <c r="B120" s="206">
        <v>6</v>
      </c>
      <c r="C120" s="251">
        <f>+C118+1</f>
        <v>83</v>
      </c>
      <c r="D120" s="180" t="s">
        <v>99</v>
      </c>
      <c r="E120" s="180" t="s">
        <v>29</v>
      </c>
      <c r="F120" s="193" t="s">
        <v>248</v>
      </c>
      <c r="G120" s="194">
        <v>1</v>
      </c>
      <c r="H120" s="194">
        <v>2580</v>
      </c>
      <c r="I120" s="59">
        <f t="shared" ref="I120:I121" si="21">G120*H120</f>
        <v>2580</v>
      </c>
      <c r="J120" s="37"/>
      <c r="K120" s="179" t="s">
        <v>230</v>
      </c>
      <c r="L120" s="6"/>
      <c r="M120" s="5"/>
      <c r="N120" s="165">
        <v>45288</v>
      </c>
      <c r="O120" s="8"/>
      <c r="P120" s="8"/>
      <c r="Q120" s="15">
        <v>44946</v>
      </c>
      <c r="R120" s="56">
        <v>44946</v>
      </c>
    </row>
    <row r="121" spans="1:18" ht="18" customHeight="1" x14ac:dyDescent="0.15">
      <c r="A121" s="209" t="s">
        <v>83</v>
      </c>
      <c r="B121" s="206">
        <v>7</v>
      </c>
      <c r="C121" s="251">
        <f t="shared" si="19"/>
        <v>84</v>
      </c>
      <c r="D121" s="180" t="s">
        <v>99</v>
      </c>
      <c r="E121" s="180" t="s">
        <v>29</v>
      </c>
      <c r="F121" s="193" t="s">
        <v>247</v>
      </c>
      <c r="G121" s="194">
        <v>1</v>
      </c>
      <c r="H121" s="194">
        <v>2650</v>
      </c>
      <c r="I121" s="59">
        <f t="shared" si="21"/>
        <v>2650</v>
      </c>
      <c r="J121" s="37"/>
      <c r="K121" s="179" t="s">
        <v>231</v>
      </c>
      <c r="L121" s="6"/>
      <c r="M121" s="5"/>
      <c r="N121" s="165">
        <v>45288</v>
      </c>
      <c r="O121" s="8"/>
      <c r="P121" s="8"/>
      <c r="Q121" s="15">
        <v>44946</v>
      </c>
      <c r="R121" s="56">
        <v>44946</v>
      </c>
    </row>
    <row r="122" spans="1:18" ht="18" customHeight="1" x14ac:dyDescent="0.15">
      <c r="A122" s="209" t="s">
        <v>83</v>
      </c>
      <c r="B122" s="206">
        <v>8</v>
      </c>
      <c r="C122" s="251">
        <f t="shared" si="19"/>
        <v>85</v>
      </c>
      <c r="D122" s="180" t="s">
        <v>99</v>
      </c>
      <c r="E122" s="180" t="s">
        <v>29</v>
      </c>
      <c r="F122" s="185" t="s">
        <v>245</v>
      </c>
      <c r="G122" s="227">
        <v>1</v>
      </c>
      <c r="H122" s="222">
        <v>3130</v>
      </c>
      <c r="I122" s="225">
        <f>G122*H122</f>
        <v>3130</v>
      </c>
      <c r="J122" s="215"/>
      <c r="K122" s="113" t="s">
        <v>246</v>
      </c>
      <c r="L122" s="216" t="s">
        <v>240</v>
      </c>
      <c r="M122" s="5"/>
      <c r="N122" s="165">
        <v>45288</v>
      </c>
      <c r="O122" s="8"/>
      <c r="P122" s="8"/>
      <c r="Q122" s="15">
        <v>44946</v>
      </c>
      <c r="R122" s="56">
        <v>44946</v>
      </c>
    </row>
    <row r="123" spans="1:18" ht="18" customHeight="1" x14ac:dyDescent="0.15">
      <c r="A123" s="166"/>
      <c r="B123" s="199"/>
      <c r="C123" s="31"/>
      <c r="D123" s="41"/>
      <c r="E123" s="41"/>
      <c r="F123" s="167"/>
      <c r="G123" s="36"/>
      <c r="H123" s="36"/>
      <c r="I123" s="59"/>
      <c r="J123" s="37"/>
      <c r="K123" s="166"/>
      <c r="L123" s="6"/>
      <c r="M123" s="5"/>
      <c r="N123" s="165"/>
      <c r="O123" s="8"/>
      <c r="P123" s="8"/>
      <c r="Q123" s="15"/>
      <c r="R123" s="56"/>
    </row>
    <row r="124" spans="1:18" ht="18" customHeight="1" x14ac:dyDescent="0.15">
      <c r="A124" s="209" t="s">
        <v>113</v>
      </c>
      <c r="B124" s="206">
        <v>5</v>
      </c>
      <c r="C124" s="251">
        <f>+C122+1</f>
        <v>86</v>
      </c>
      <c r="D124" s="68" t="s">
        <v>29</v>
      </c>
      <c r="E124" s="68" t="s">
        <v>29</v>
      </c>
      <c r="F124" s="256" t="s">
        <v>71</v>
      </c>
      <c r="G124" s="112">
        <v>1</v>
      </c>
      <c r="H124" s="122">
        <v>690</v>
      </c>
      <c r="I124" s="122">
        <f>G124*H124</f>
        <v>690</v>
      </c>
      <c r="J124" s="69"/>
      <c r="K124" s="255" t="s">
        <v>286</v>
      </c>
      <c r="L124" s="144"/>
      <c r="M124" s="5"/>
      <c r="N124" s="165">
        <v>44931</v>
      </c>
      <c r="O124" s="8"/>
      <c r="P124" s="8"/>
      <c r="Q124" s="15">
        <v>44945</v>
      </c>
      <c r="R124" s="56"/>
    </row>
    <row r="125" spans="1:18" ht="18" customHeight="1" x14ac:dyDescent="0.15">
      <c r="A125" s="209" t="s">
        <v>113</v>
      </c>
      <c r="B125" s="206">
        <v>5</v>
      </c>
      <c r="C125" s="251">
        <f t="shared" ref="C125" si="22">+C124+1</f>
        <v>87</v>
      </c>
      <c r="D125" s="68" t="s">
        <v>29</v>
      </c>
      <c r="E125" s="68" t="s">
        <v>29</v>
      </c>
      <c r="F125" s="256" t="s">
        <v>32</v>
      </c>
      <c r="G125" s="112">
        <v>1</v>
      </c>
      <c r="H125" s="122">
        <v>990</v>
      </c>
      <c r="I125" s="122">
        <f>G125*H125</f>
        <v>990</v>
      </c>
      <c r="J125" s="69"/>
      <c r="K125" s="255" t="s">
        <v>286</v>
      </c>
      <c r="L125" s="144"/>
      <c r="M125" s="5"/>
      <c r="N125" s="165">
        <v>44931</v>
      </c>
      <c r="O125" s="8"/>
      <c r="P125" s="8"/>
      <c r="Q125" s="15">
        <v>44945</v>
      </c>
      <c r="R125" s="56"/>
    </row>
    <row r="126" spans="1:18" ht="18" customHeight="1" x14ac:dyDescent="0.15">
      <c r="A126" s="32"/>
      <c r="B126" s="32"/>
      <c r="C126" s="36"/>
      <c r="D126" s="68"/>
      <c r="E126" s="68"/>
      <c r="F126" s="42"/>
      <c r="G126" s="36"/>
      <c r="H126" s="59"/>
      <c r="I126" s="59"/>
      <c r="J126" s="37"/>
      <c r="K126" s="38"/>
      <c r="L126" s="6"/>
      <c r="M126" s="5"/>
      <c r="N126" s="15"/>
      <c r="O126" s="8"/>
      <c r="P126" s="8"/>
      <c r="Q126" s="15"/>
      <c r="R126" s="14"/>
    </row>
    <row r="127" spans="1:18" ht="18" customHeight="1" x14ac:dyDescent="0.15">
      <c r="A127" s="32"/>
      <c r="B127" s="32"/>
      <c r="C127" s="36"/>
      <c r="D127" s="77"/>
      <c r="E127" s="77"/>
      <c r="F127" s="279">
        <f>SUM(I110:I126)</f>
        <v>16522</v>
      </c>
      <c r="G127" s="280"/>
      <c r="H127" s="280"/>
      <c r="I127" s="281"/>
      <c r="J127" s="63"/>
      <c r="K127" s="64"/>
      <c r="L127" s="6"/>
      <c r="M127" s="5"/>
      <c r="N127" s="15"/>
      <c r="O127" s="8"/>
      <c r="P127" s="8"/>
      <c r="Q127" s="15"/>
      <c r="R127" s="14"/>
    </row>
    <row r="128" spans="1:18" ht="18" customHeight="1" x14ac:dyDescent="0.15">
      <c r="A128" s="32"/>
      <c r="B128" s="32"/>
      <c r="C128" s="36"/>
      <c r="D128" s="138"/>
      <c r="E128" s="138"/>
      <c r="F128" s="139"/>
      <c r="G128" s="140"/>
      <c r="H128" s="141"/>
      <c r="I128" s="59"/>
      <c r="J128" s="36"/>
      <c r="K128" s="57"/>
      <c r="L128" s="154"/>
      <c r="M128" s="5"/>
      <c r="N128" s="15"/>
      <c r="O128" s="8"/>
      <c r="P128" s="8"/>
      <c r="Q128" s="15"/>
      <c r="R128" s="14"/>
    </row>
    <row r="129" spans="1:18" ht="18" customHeight="1" x14ac:dyDescent="0.15">
      <c r="A129" s="32"/>
      <c r="B129" s="32"/>
      <c r="C129" s="36"/>
      <c r="D129" s="138"/>
      <c r="E129" s="138"/>
      <c r="F129" s="139"/>
      <c r="G129" s="140"/>
      <c r="H129" s="141"/>
      <c r="I129" s="59"/>
      <c r="J129" s="36"/>
      <c r="K129" s="57"/>
      <c r="L129" s="154"/>
      <c r="M129" s="5"/>
      <c r="N129" s="15"/>
      <c r="O129" s="8"/>
      <c r="P129" s="8"/>
      <c r="Q129" s="15"/>
      <c r="R129" s="14"/>
    </row>
    <row r="130" spans="1:18" ht="18" customHeight="1" x14ac:dyDescent="0.15">
      <c r="A130" s="32"/>
      <c r="B130" s="32"/>
      <c r="C130" s="36"/>
      <c r="D130" s="138"/>
      <c r="E130" s="138"/>
      <c r="F130" s="139"/>
      <c r="G130" s="140"/>
      <c r="H130" s="141"/>
      <c r="I130" s="59"/>
      <c r="J130" s="36"/>
      <c r="K130" s="57"/>
      <c r="L130" s="154"/>
      <c r="M130" s="5"/>
      <c r="N130" s="15"/>
      <c r="O130" s="8"/>
      <c r="P130" s="8"/>
      <c r="Q130" s="15"/>
      <c r="R130" s="14"/>
    </row>
    <row r="131" spans="1:18" ht="18" customHeight="1" x14ac:dyDescent="0.15">
      <c r="A131" s="32"/>
      <c r="B131" s="32"/>
      <c r="C131" s="36"/>
      <c r="D131" s="159"/>
      <c r="E131" s="159"/>
      <c r="F131" s="160"/>
      <c r="G131" s="221"/>
      <c r="H131" s="71"/>
      <c r="I131" s="59"/>
      <c r="J131" s="63"/>
      <c r="K131" s="64"/>
      <c r="L131" s="154"/>
      <c r="M131" s="5"/>
      <c r="N131" s="15"/>
      <c r="O131" s="8"/>
      <c r="P131" s="8"/>
      <c r="Q131" s="15"/>
      <c r="R131" s="14"/>
    </row>
    <row r="132" spans="1:18" ht="18" customHeight="1" x14ac:dyDescent="0.15">
      <c r="A132" s="32"/>
      <c r="B132" s="32"/>
      <c r="C132" s="36"/>
      <c r="D132" s="138"/>
      <c r="E132" s="138"/>
      <c r="F132" s="139"/>
      <c r="G132" s="140"/>
      <c r="H132" s="141"/>
      <c r="I132" s="59"/>
      <c r="J132" s="36"/>
      <c r="K132" s="57"/>
      <c r="L132" s="154"/>
      <c r="M132" s="5"/>
      <c r="N132" s="15"/>
      <c r="O132" s="8"/>
      <c r="P132" s="8"/>
      <c r="Q132" s="15"/>
      <c r="R132" s="14"/>
    </row>
    <row r="133" spans="1:18" ht="18" customHeight="1" x14ac:dyDescent="0.15">
      <c r="A133" s="32"/>
      <c r="B133" s="32"/>
      <c r="C133" s="36"/>
      <c r="D133" s="41"/>
      <c r="E133" s="41"/>
      <c r="F133" s="79"/>
      <c r="G133" s="59"/>
      <c r="H133" s="59"/>
      <c r="I133" s="59"/>
      <c r="J133" s="66"/>
      <c r="K133" s="67"/>
      <c r="L133" s="154"/>
      <c r="M133" s="5"/>
      <c r="N133" s="15"/>
      <c r="O133" s="8"/>
      <c r="P133" s="8"/>
      <c r="Q133" s="15"/>
      <c r="R133" s="14"/>
    </row>
    <row r="134" spans="1:18" ht="18" customHeight="1" x14ac:dyDescent="0.15">
      <c r="A134" s="32"/>
      <c r="B134" s="32"/>
      <c r="C134" s="142"/>
      <c r="D134" s="282" t="s">
        <v>33</v>
      </c>
      <c r="E134" s="283"/>
      <c r="F134" s="283"/>
      <c r="G134" s="78"/>
      <c r="H134" s="130"/>
      <c r="I134" s="130"/>
      <c r="J134" s="19"/>
      <c r="K134" s="27"/>
      <c r="L134" s="6"/>
      <c r="M134" s="5"/>
      <c r="N134" s="15"/>
      <c r="O134" s="8"/>
      <c r="P134" s="8"/>
      <c r="Q134" s="15"/>
      <c r="R134" s="14"/>
    </row>
    <row r="135" spans="1:18" ht="18" customHeight="1" x14ac:dyDescent="0.15">
      <c r="A135" s="168" t="s">
        <v>158</v>
      </c>
      <c r="B135" s="206">
        <v>5</v>
      </c>
      <c r="C135" s="251">
        <f>+C125+1</f>
        <v>88</v>
      </c>
      <c r="D135" s="41" t="s">
        <v>29</v>
      </c>
      <c r="E135" s="41" t="s">
        <v>29</v>
      </c>
      <c r="F135" s="120" t="s">
        <v>249</v>
      </c>
      <c r="G135" s="36">
        <v>1</v>
      </c>
      <c r="H135" s="150">
        <v>15260</v>
      </c>
      <c r="I135" s="150">
        <f t="shared" ref="I135:I139" si="23">G135*H135</f>
        <v>15260</v>
      </c>
      <c r="J135" s="37"/>
      <c r="K135" s="32" t="s">
        <v>250</v>
      </c>
      <c r="L135" s="6"/>
      <c r="M135" s="5"/>
      <c r="N135" s="52">
        <v>44931</v>
      </c>
      <c r="O135" s="8"/>
      <c r="P135" s="52"/>
      <c r="Q135" s="15">
        <v>44945</v>
      </c>
      <c r="R135" s="48"/>
    </row>
    <row r="136" spans="1:18" ht="18" customHeight="1" x14ac:dyDescent="0.15">
      <c r="A136" s="168" t="s">
        <v>263</v>
      </c>
      <c r="B136" s="206"/>
      <c r="C136" s="252">
        <f>+C135+1</f>
        <v>89</v>
      </c>
      <c r="D136" s="41" t="s">
        <v>258</v>
      </c>
      <c r="E136" s="41" t="s">
        <v>29</v>
      </c>
      <c r="F136" s="120" t="s">
        <v>259</v>
      </c>
      <c r="G136" s="36">
        <v>3</v>
      </c>
      <c r="H136" s="150">
        <v>154</v>
      </c>
      <c r="I136" s="150">
        <f t="shared" si="23"/>
        <v>462</v>
      </c>
      <c r="J136" s="37"/>
      <c r="K136" s="32" t="s">
        <v>260</v>
      </c>
      <c r="L136" s="6"/>
      <c r="M136" s="5"/>
      <c r="N136" s="52">
        <v>44931</v>
      </c>
      <c r="O136" s="8"/>
      <c r="P136" s="52"/>
      <c r="Q136" s="15">
        <v>44945</v>
      </c>
      <c r="R136" s="48"/>
    </row>
    <row r="137" spans="1:18" ht="18" customHeight="1" x14ac:dyDescent="0.15">
      <c r="A137" s="168" t="s">
        <v>263</v>
      </c>
      <c r="B137" s="206"/>
      <c r="C137" s="252">
        <f t="shared" ref="C137:C145" si="24">+C136+1</f>
        <v>90</v>
      </c>
      <c r="D137" s="41" t="s">
        <v>29</v>
      </c>
      <c r="E137" s="41" t="s">
        <v>29</v>
      </c>
      <c r="F137" s="120" t="s">
        <v>261</v>
      </c>
      <c r="G137" s="36">
        <v>4</v>
      </c>
      <c r="H137" s="150">
        <v>260</v>
      </c>
      <c r="I137" s="150">
        <f t="shared" si="23"/>
        <v>1040</v>
      </c>
      <c r="J137" s="37"/>
      <c r="K137" s="32" t="s">
        <v>262</v>
      </c>
      <c r="L137" s="6"/>
      <c r="M137" s="5"/>
      <c r="N137" s="52">
        <v>44931</v>
      </c>
      <c r="O137" s="8"/>
      <c r="P137" s="52"/>
      <c r="Q137" s="15">
        <v>44945</v>
      </c>
      <c r="R137" s="48"/>
    </row>
    <row r="138" spans="1:18" ht="18" customHeight="1" x14ac:dyDescent="0.15">
      <c r="A138" s="209" t="s">
        <v>82</v>
      </c>
      <c r="B138" s="206">
        <v>5</v>
      </c>
      <c r="C138" s="252">
        <f t="shared" si="24"/>
        <v>91</v>
      </c>
      <c r="D138" s="201" t="s">
        <v>23</v>
      </c>
      <c r="E138" s="201" t="s">
        <v>23</v>
      </c>
      <c r="F138" s="202" t="s">
        <v>97</v>
      </c>
      <c r="G138" s="220"/>
      <c r="H138" s="224">
        <v>25</v>
      </c>
      <c r="I138" s="226">
        <f t="shared" si="23"/>
        <v>0</v>
      </c>
      <c r="J138" s="203"/>
      <c r="K138" s="202" t="s">
        <v>264</v>
      </c>
      <c r="L138" s="6"/>
      <c r="M138" s="5"/>
      <c r="N138" s="52"/>
      <c r="O138" s="8"/>
      <c r="P138" s="52"/>
      <c r="Q138" s="15"/>
      <c r="R138" s="48"/>
    </row>
    <row r="139" spans="1:18" ht="18" customHeight="1" x14ac:dyDescent="0.15">
      <c r="A139" s="209" t="s">
        <v>85</v>
      </c>
      <c r="B139" s="206">
        <v>5</v>
      </c>
      <c r="C139" s="252">
        <f t="shared" si="24"/>
        <v>92</v>
      </c>
      <c r="D139" s="41" t="s">
        <v>29</v>
      </c>
      <c r="E139" s="41" t="s">
        <v>29</v>
      </c>
      <c r="F139" s="169" t="s">
        <v>285</v>
      </c>
      <c r="G139" s="75">
        <v>1</v>
      </c>
      <c r="H139" s="58">
        <v>1502</v>
      </c>
      <c r="I139" s="158">
        <f t="shared" si="23"/>
        <v>1502</v>
      </c>
      <c r="J139" s="60"/>
      <c r="K139" s="148" t="s">
        <v>271</v>
      </c>
      <c r="L139" s="6"/>
      <c r="M139" s="5"/>
      <c r="N139" s="52">
        <v>44931</v>
      </c>
      <c r="O139" s="8"/>
      <c r="P139" s="52"/>
      <c r="Q139" s="15">
        <v>44945</v>
      </c>
      <c r="R139" s="48"/>
    </row>
    <row r="140" spans="1:18" ht="18" customHeight="1" x14ac:dyDescent="0.15">
      <c r="A140" s="209" t="s">
        <v>85</v>
      </c>
      <c r="B140" s="206">
        <v>5</v>
      </c>
      <c r="C140" s="252">
        <f t="shared" si="24"/>
        <v>93</v>
      </c>
      <c r="D140" s="41" t="s">
        <v>29</v>
      </c>
      <c r="E140" s="41" t="s">
        <v>29</v>
      </c>
      <c r="F140" s="113" t="s">
        <v>284</v>
      </c>
      <c r="G140" s="75">
        <v>1</v>
      </c>
      <c r="H140" s="58">
        <v>4059</v>
      </c>
      <c r="I140" s="59">
        <f t="shared" ref="I140:I169" si="25">G140*H140</f>
        <v>4059</v>
      </c>
      <c r="J140" s="60"/>
      <c r="K140" s="32" t="s">
        <v>39</v>
      </c>
      <c r="L140" s="44"/>
      <c r="M140" s="5"/>
      <c r="N140" s="52">
        <v>44931</v>
      </c>
      <c r="O140" s="8"/>
      <c r="P140" s="52"/>
      <c r="Q140" s="15">
        <v>44945</v>
      </c>
      <c r="R140" s="48"/>
    </row>
    <row r="141" spans="1:18" ht="18" customHeight="1" x14ac:dyDescent="0.15">
      <c r="A141" s="209" t="s">
        <v>83</v>
      </c>
      <c r="B141" s="206">
        <v>5</v>
      </c>
      <c r="C141" s="252">
        <f t="shared" si="24"/>
        <v>94</v>
      </c>
      <c r="D141" s="41" t="s">
        <v>29</v>
      </c>
      <c r="E141" s="41" t="s">
        <v>29</v>
      </c>
      <c r="F141" s="57" t="s">
        <v>59</v>
      </c>
      <c r="G141" s="75">
        <v>1</v>
      </c>
      <c r="H141" s="132">
        <v>3480</v>
      </c>
      <c r="I141" s="123">
        <f>G141*H141</f>
        <v>3480</v>
      </c>
      <c r="J141" s="37"/>
      <c r="K141" s="32" t="s">
        <v>60</v>
      </c>
      <c r="L141" s="44"/>
      <c r="M141" s="5"/>
      <c r="N141" s="52">
        <v>44931</v>
      </c>
      <c r="O141" s="8"/>
      <c r="P141" s="52"/>
      <c r="Q141" s="15">
        <v>44945</v>
      </c>
      <c r="R141" s="48"/>
    </row>
    <row r="142" spans="1:18" ht="18" customHeight="1" x14ac:dyDescent="0.15">
      <c r="A142" s="209" t="s">
        <v>82</v>
      </c>
      <c r="B142" s="206">
        <v>5</v>
      </c>
      <c r="C142" s="252">
        <f t="shared" si="24"/>
        <v>95</v>
      </c>
      <c r="D142" s="41" t="s">
        <v>29</v>
      </c>
      <c r="E142" s="41" t="s">
        <v>29</v>
      </c>
      <c r="F142" s="113" t="s">
        <v>40</v>
      </c>
      <c r="G142" s="75">
        <v>1</v>
      </c>
      <c r="H142" s="58">
        <v>4570</v>
      </c>
      <c r="I142" s="59">
        <f t="shared" si="25"/>
        <v>4570</v>
      </c>
      <c r="J142" s="60"/>
      <c r="K142" s="32" t="s">
        <v>41</v>
      </c>
      <c r="L142" s="44"/>
      <c r="M142" s="5"/>
      <c r="N142" s="52">
        <v>44931</v>
      </c>
      <c r="O142" s="8"/>
      <c r="P142" s="52"/>
      <c r="Q142" s="15">
        <v>44945</v>
      </c>
      <c r="R142" s="48"/>
    </row>
    <row r="143" spans="1:18" ht="18" customHeight="1" x14ac:dyDescent="0.15">
      <c r="A143" s="209" t="s">
        <v>82</v>
      </c>
      <c r="B143" s="206">
        <v>5</v>
      </c>
      <c r="C143" s="252">
        <f t="shared" si="24"/>
        <v>96</v>
      </c>
      <c r="D143" s="62" t="s">
        <v>29</v>
      </c>
      <c r="E143" s="62" t="s">
        <v>29</v>
      </c>
      <c r="F143" s="113" t="s">
        <v>251</v>
      </c>
      <c r="G143" s="75">
        <v>1</v>
      </c>
      <c r="H143" s="58">
        <v>3853</v>
      </c>
      <c r="I143" s="59">
        <f t="shared" si="25"/>
        <v>3853</v>
      </c>
      <c r="J143" s="61"/>
      <c r="K143" s="44" t="s">
        <v>276</v>
      </c>
      <c r="L143" s="179"/>
      <c r="M143" s="5"/>
      <c r="N143" s="52">
        <v>44931</v>
      </c>
      <c r="O143" s="8"/>
      <c r="P143" s="52"/>
      <c r="Q143" s="15">
        <v>44945</v>
      </c>
      <c r="R143" s="48"/>
    </row>
    <row r="144" spans="1:18" ht="18" customHeight="1" x14ac:dyDescent="0.15">
      <c r="A144" s="209" t="s">
        <v>83</v>
      </c>
      <c r="B144" s="206">
        <v>5</v>
      </c>
      <c r="C144" s="252">
        <f t="shared" si="24"/>
        <v>97</v>
      </c>
      <c r="D144" s="41" t="s">
        <v>29</v>
      </c>
      <c r="E144" s="41" t="s">
        <v>29</v>
      </c>
      <c r="F144" s="113" t="s">
        <v>283</v>
      </c>
      <c r="G144" s="36">
        <v>1</v>
      </c>
      <c r="H144" s="58">
        <v>1134</v>
      </c>
      <c r="I144" s="60">
        <f t="shared" si="25"/>
        <v>1134</v>
      </c>
      <c r="J144" s="229"/>
      <c r="K144" s="32" t="s">
        <v>42</v>
      </c>
      <c r="L144" s="44"/>
      <c r="M144" s="5"/>
      <c r="N144" s="52">
        <v>44931</v>
      </c>
      <c r="O144" s="8"/>
      <c r="P144" s="52"/>
      <c r="Q144" s="15">
        <v>44945</v>
      </c>
      <c r="R144" s="48"/>
    </row>
    <row r="145" spans="1:18" ht="18" customHeight="1" x14ac:dyDescent="0.15">
      <c r="A145" s="209" t="s">
        <v>82</v>
      </c>
      <c r="B145" s="206">
        <v>5</v>
      </c>
      <c r="C145" s="252">
        <f t="shared" si="24"/>
        <v>98</v>
      </c>
      <c r="D145" s="41" t="s">
        <v>29</v>
      </c>
      <c r="E145" s="41" t="s">
        <v>29</v>
      </c>
      <c r="F145" s="245" t="s">
        <v>254</v>
      </c>
      <c r="G145" s="75">
        <v>1</v>
      </c>
      <c r="H145" s="114">
        <v>672</v>
      </c>
      <c r="I145" s="150">
        <f t="shared" si="25"/>
        <v>672</v>
      </c>
      <c r="J145" s="246"/>
      <c r="K145" s="57" t="s">
        <v>255</v>
      </c>
      <c r="L145" s="6"/>
      <c r="M145" s="5"/>
      <c r="N145" s="52">
        <v>44931</v>
      </c>
      <c r="O145" s="8"/>
      <c r="P145" s="52"/>
      <c r="Q145" s="15">
        <v>44945</v>
      </c>
      <c r="R145" s="48"/>
    </row>
    <row r="146" spans="1:18" ht="18" customHeight="1" x14ac:dyDescent="0.15">
      <c r="A146" s="166"/>
      <c r="B146" s="199"/>
      <c r="C146" s="51"/>
      <c r="D146" s="238"/>
      <c r="E146" s="238"/>
      <c r="F146" s="228"/>
      <c r="G146" s="239"/>
      <c r="H146" s="239"/>
      <c r="I146" s="240"/>
      <c r="J146" s="241"/>
      <c r="K146" s="242"/>
      <c r="L146" s="144"/>
      <c r="M146" s="5"/>
      <c r="N146" s="15"/>
      <c r="O146" s="8"/>
      <c r="P146" s="52"/>
      <c r="Q146" s="55"/>
      <c r="R146" s="14"/>
    </row>
    <row r="147" spans="1:18" ht="18" customHeight="1" x14ac:dyDescent="0.15">
      <c r="A147" s="209" t="s">
        <v>82</v>
      </c>
      <c r="B147" s="206">
        <v>5</v>
      </c>
      <c r="C147" s="252">
        <f>+C145+1</f>
        <v>99</v>
      </c>
      <c r="D147" s="41" t="s">
        <v>29</v>
      </c>
      <c r="E147" s="41" t="s">
        <v>29</v>
      </c>
      <c r="F147" s="89" t="s">
        <v>256</v>
      </c>
      <c r="G147" s="36">
        <v>1</v>
      </c>
      <c r="H147" s="59">
        <v>4160</v>
      </c>
      <c r="I147" s="60">
        <f t="shared" ref="I147" si="26">G147*H147</f>
        <v>4160</v>
      </c>
      <c r="J147" s="247"/>
      <c r="K147" s="42" t="s">
        <v>49</v>
      </c>
      <c r="L147" s="144"/>
      <c r="M147" s="5"/>
      <c r="N147" s="15">
        <v>44931</v>
      </c>
      <c r="O147" s="8"/>
      <c r="P147" s="52"/>
      <c r="Q147" s="55">
        <v>44945</v>
      </c>
      <c r="R147" s="14"/>
    </row>
    <row r="148" spans="1:18" ht="18" customHeight="1" x14ac:dyDescent="0.15">
      <c r="A148" s="209" t="s">
        <v>82</v>
      </c>
      <c r="B148" s="206">
        <v>5</v>
      </c>
      <c r="C148" s="252">
        <f>+C147+1</f>
        <v>100</v>
      </c>
      <c r="D148" s="65" t="s">
        <v>290</v>
      </c>
      <c r="E148" s="65" t="s">
        <v>289</v>
      </c>
      <c r="F148" s="35" t="s">
        <v>172</v>
      </c>
      <c r="G148" s="59">
        <v>1</v>
      </c>
      <c r="H148" s="59">
        <v>2090</v>
      </c>
      <c r="I148" s="59">
        <f t="shared" si="25"/>
        <v>2090</v>
      </c>
      <c r="J148" s="66"/>
      <c r="K148" s="82" t="s">
        <v>173</v>
      </c>
      <c r="L148" s="6"/>
      <c r="M148" s="5"/>
      <c r="N148" s="52">
        <v>44931</v>
      </c>
      <c r="O148" s="8"/>
      <c r="P148" s="52"/>
      <c r="Q148" s="15">
        <v>44945</v>
      </c>
      <c r="R148" s="48"/>
    </row>
    <row r="149" spans="1:18" ht="18" customHeight="1" x14ac:dyDescent="0.15">
      <c r="A149" s="209"/>
      <c r="B149" s="206"/>
      <c r="C149" s="252"/>
      <c r="D149" s="65" t="s">
        <v>290</v>
      </c>
      <c r="E149" s="65" t="s">
        <v>289</v>
      </c>
      <c r="F149" s="35" t="s">
        <v>291</v>
      </c>
      <c r="G149" s="59">
        <v>1</v>
      </c>
      <c r="H149" s="59">
        <v>500</v>
      </c>
      <c r="I149" s="59">
        <f t="shared" si="25"/>
        <v>500</v>
      </c>
      <c r="J149" s="74"/>
      <c r="K149" s="82"/>
      <c r="L149" s="6"/>
      <c r="M149" s="5"/>
      <c r="N149" s="52"/>
      <c r="O149" s="8"/>
      <c r="P149" s="52"/>
      <c r="Q149" s="15">
        <v>44945</v>
      </c>
      <c r="R149" s="48"/>
    </row>
    <row r="150" spans="1:18" ht="18" customHeight="1" x14ac:dyDescent="0.15">
      <c r="A150" s="209" t="s">
        <v>82</v>
      </c>
      <c r="B150" s="206">
        <v>5</v>
      </c>
      <c r="C150" s="252">
        <f>+C148+1</f>
        <v>101</v>
      </c>
      <c r="D150" s="41" t="s">
        <v>29</v>
      </c>
      <c r="E150" s="41" t="s">
        <v>29</v>
      </c>
      <c r="F150" s="253" t="s">
        <v>282</v>
      </c>
      <c r="G150" s="36">
        <v>1</v>
      </c>
      <c r="H150" s="59">
        <v>4225</v>
      </c>
      <c r="I150" s="59">
        <f t="shared" si="25"/>
        <v>4225</v>
      </c>
      <c r="J150" s="37"/>
      <c r="K150" s="42" t="s">
        <v>45</v>
      </c>
      <c r="L150" s="6"/>
      <c r="M150" s="5"/>
      <c r="N150" s="52">
        <v>44931</v>
      </c>
      <c r="O150" s="8"/>
      <c r="P150" s="52"/>
      <c r="Q150" s="15">
        <v>44945</v>
      </c>
      <c r="R150" s="48"/>
    </row>
    <row r="151" spans="1:18" ht="18" customHeight="1" x14ac:dyDescent="0.15">
      <c r="A151" s="209" t="s">
        <v>82</v>
      </c>
      <c r="B151" s="206"/>
      <c r="C151" s="252">
        <f t="shared" ref="C151:C169" si="27">+C150+1</f>
        <v>102</v>
      </c>
      <c r="D151" s="103" t="s">
        <v>29</v>
      </c>
      <c r="E151" s="103" t="s">
        <v>29</v>
      </c>
      <c r="F151" s="188" t="s">
        <v>61</v>
      </c>
      <c r="G151" s="104"/>
      <c r="H151" s="146">
        <v>229</v>
      </c>
      <c r="I151" s="146">
        <f>G151*H151</f>
        <v>0</v>
      </c>
      <c r="J151" s="107"/>
      <c r="K151" s="145" t="s">
        <v>175</v>
      </c>
      <c r="L151" s="90" t="s">
        <v>81</v>
      </c>
      <c r="M151" s="5"/>
      <c r="N151" s="54"/>
      <c r="O151" s="8"/>
      <c r="P151" s="52"/>
      <c r="Q151" s="165"/>
      <c r="R151" s="56"/>
    </row>
    <row r="152" spans="1:18" ht="18" customHeight="1" x14ac:dyDescent="0.15">
      <c r="A152" s="36"/>
      <c r="B152" s="199"/>
      <c r="C152" s="51"/>
      <c r="D152" s="163"/>
      <c r="E152" s="163"/>
      <c r="F152" s="243"/>
      <c r="G152" s="236"/>
      <c r="H152" s="204"/>
      <c r="I152" s="204"/>
      <c r="J152" s="164"/>
      <c r="K152" s="237"/>
      <c r="L152" s="144"/>
      <c r="M152" s="5"/>
      <c r="N152" s="15"/>
      <c r="O152" s="8"/>
      <c r="P152" s="52"/>
      <c r="Q152" s="55"/>
      <c r="R152" s="14"/>
    </row>
    <row r="153" spans="1:18" ht="18" customHeight="1" x14ac:dyDescent="0.15">
      <c r="A153" s="209" t="s">
        <v>82</v>
      </c>
      <c r="B153" s="206">
        <v>5</v>
      </c>
      <c r="C153" s="252">
        <f>+C151+1</f>
        <v>103</v>
      </c>
      <c r="D153" s="62" t="s">
        <v>29</v>
      </c>
      <c r="E153" s="62" t="s">
        <v>29</v>
      </c>
      <c r="F153" s="72" t="s">
        <v>252</v>
      </c>
      <c r="G153" s="75">
        <v>1</v>
      </c>
      <c r="H153" s="161">
        <v>772</v>
      </c>
      <c r="I153" s="161">
        <f t="shared" si="25"/>
        <v>772</v>
      </c>
      <c r="J153" s="162"/>
      <c r="K153" s="57" t="s">
        <v>253</v>
      </c>
      <c r="L153" s="6"/>
      <c r="M153" s="5"/>
      <c r="N153" s="52">
        <v>44931</v>
      </c>
      <c r="O153" s="8"/>
      <c r="P153" s="52"/>
      <c r="Q153" s="15">
        <v>44945</v>
      </c>
      <c r="R153" s="48">
        <v>44945</v>
      </c>
    </row>
    <row r="154" spans="1:18" ht="18" customHeight="1" x14ac:dyDescent="0.15">
      <c r="A154" s="36"/>
      <c r="B154" s="199"/>
      <c r="C154" s="51"/>
      <c r="D154" s="163"/>
      <c r="E154" s="163"/>
      <c r="F154" s="235"/>
      <c r="G154" s="236"/>
      <c r="H154" s="204"/>
      <c r="I154" s="204"/>
      <c r="J154" s="164"/>
      <c r="K154" s="237"/>
      <c r="L154" s="144"/>
      <c r="M154" s="5"/>
      <c r="N154" s="52"/>
      <c r="O154" s="8"/>
      <c r="P154" s="52"/>
      <c r="Q154" s="15"/>
      <c r="R154" s="48"/>
    </row>
    <row r="155" spans="1:18" ht="18" customHeight="1" x14ac:dyDescent="0.15">
      <c r="A155" s="168" t="s">
        <v>257</v>
      </c>
      <c r="B155" s="206"/>
      <c r="C155" s="252">
        <f>+C153+1</f>
        <v>104</v>
      </c>
      <c r="D155" s="103" t="s">
        <v>29</v>
      </c>
      <c r="E155" s="103" t="s">
        <v>29</v>
      </c>
      <c r="F155" s="249" t="s">
        <v>274</v>
      </c>
      <c r="G155" s="104"/>
      <c r="H155" s="104">
        <v>1058</v>
      </c>
      <c r="I155" s="190">
        <f>G155*H155</f>
        <v>0</v>
      </c>
      <c r="J155" s="248"/>
      <c r="K155" s="57" t="s">
        <v>265</v>
      </c>
      <c r="L155" s="179" t="s">
        <v>277</v>
      </c>
      <c r="M155" s="5"/>
      <c r="N155" s="52"/>
      <c r="O155" s="8"/>
      <c r="P155" s="52"/>
      <c r="Q155" s="15"/>
      <c r="R155" s="48"/>
    </row>
    <row r="156" spans="1:18" ht="18" customHeight="1" x14ac:dyDescent="0.15">
      <c r="A156" s="168" t="s">
        <v>257</v>
      </c>
      <c r="B156" s="206"/>
      <c r="C156" s="252">
        <f t="shared" ref="C156:C161" si="28">+C155+1</f>
        <v>105</v>
      </c>
      <c r="D156" s="103" t="s">
        <v>29</v>
      </c>
      <c r="E156" s="103" t="s">
        <v>29</v>
      </c>
      <c r="F156" s="249" t="s">
        <v>275</v>
      </c>
      <c r="G156" s="104"/>
      <c r="H156" s="104">
        <v>1232</v>
      </c>
      <c r="I156" s="190">
        <f>G156*H156</f>
        <v>0</v>
      </c>
      <c r="J156" s="248"/>
      <c r="K156" s="57" t="s">
        <v>265</v>
      </c>
      <c r="L156" s="179" t="s">
        <v>277</v>
      </c>
      <c r="M156" s="5"/>
      <c r="N156" s="54"/>
      <c r="O156" s="8"/>
      <c r="P156" s="52"/>
      <c r="Q156" s="165"/>
      <c r="R156" s="56"/>
    </row>
    <row r="157" spans="1:18" ht="18" customHeight="1" x14ac:dyDescent="0.15">
      <c r="A157" s="166" t="s">
        <v>85</v>
      </c>
      <c r="B157" s="200">
        <v>5</v>
      </c>
      <c r="C157" s="252">
        <f t="shared" si="28"/>
        <v>106</v>
      </c>
      <c r="D157" s="34" t="s">
        <v>155</v>
      </c>
      <c r="E157" s="68" t="s">
        <v>29</v>
      </c>
      <c r="F157" s="35" t="s">
        <v>192</v>
      </c>
      <c r="G157" s="39">
        <v>20</v>
      </c>
      <c r="H157" s="49">
        <v>51</v>
      </c>
      <c r="I157" s="59">
        <f>G157*H157</f>
        <v>1020</v>
      </c>
      <c r="J157" s="40"/>
      <c r="K157" s="35" t="s">
        <v>191</v>
      </c>
      <c r="L157" s="44" t="s">
        <v>193</v>
      </c>
      <c r="M157" s="5"/>
      <c r="N157" s="54">
        <v>44931</v>
      </c>
      <c r="O157" s="8"/>
      <c r="P157" s="52"/>
      <c r="Q157" s="165">
        <v>44945</v>
      </c>
      <c r="R157" s="56"/>
    </row>
    <row r="158" spans="1:18" ht="18" customHeight="1" x14ac:dyDescent="0.15">
      <c r="A158" s="166" t="s">
        <v>82</v>
      </c>
      <c r="B158" s="200">
        <v>5</v>
      </c>
      <c r="C158" s="252">
        <f t="shared" si="28"/>
        <v>107</v>
      </c>
      <c r="D158" s="41" t="s">
        <v>29</v>
      </c>
      <c r="E158" s="41" t="s">
        <v>29</v>
      </c>
      <c r="F158" s="35" t="s">
        <v>194</v>
      </c>
      <c r="G158" s="39">
        <v>6</v>
      </c>
      <c r="H158" s="49">
        <v>92</v>
      </c>
      <c r="I158" s="59">
        <f t="shared" ref="I158" si="29">G158*H158</f>
        <v>552</v>
      </c>
      <c r="J158" s="40"/>
      <c r="K158" s="35" t="s">
        <v>195</v>
      </c>
      <c r="L158" s="32"/>
      <c r="M158" s="5"/>
      <c r="N158" s="54">
        <v>44931</v>
      </c>
      <c r="O158" s="8"/>
      <c r="P158" s="52"/>
      <c r="Q158" s="165">
        <v>44945</v>
      </c>
      <c r="R158" s="56"/>
    </row>
    <row r="159" spans="1:18" ht="18" customHeight="1" x14ac:dyDescent="0.15">
      <c r="A159" s="168" t="s">
        <v>257</v>
      </c>
      <c r="B159" s="206"/>
      <c r="C159" s="51">
        <f>+C157+1</f>
        <v>107</v>
      </c>
      <c r="D159" s="95" t="s">
        <v>29</v>
      </c>
      <c r="E159" s="95" t="s">
        <v>29</v>
      </c>
      <c r="F159" s="108" t="s">
        <v>266</v>
      </c>
      <c r="G159" s="104"/>
      <c r="H159" s="104">
        <v>1463</v>
      </c>
      <c r="I159" s="60">
        <f t="shared" ref="I159:I160" si="30">G159*H159</f>
        <v>0</v>
      </c>
      <c r="J159" s="229"/>
      <c r="K159" s="44" t="s">
        <v>273</v>
      </c>
      <c r="L159" s="179" t="s">
        <v>272</v>
      </c>
      <c r="M159" s="5"/>
      <c r="N159" s="54"/>
      <c r="O159" s="8"/>
      <c r="P159" s="52"/>
      <c r="Q159" s="165"/>
      <c r="R159" s="56"/>
    </row>
    <row r="160" spans="1:18" ht="18" customHeight="1" x14ac:dyDescent="0.15">
      <c r="A160" s="168" t="s">
        <v>257</v>
      </c>
      <c r="B160" s="206"/>
      <c r="C160" s="51">
        <f t="shared" si="28"/>
        <v>108</v>
      </c>
      <c r="D160" s="103" t="s">
        <v>29</v>
      </c>
      <c r="E160" s="103" t="s">
        <v>29</v>
      </c>
      <c r="F160" s="108" t="s">
        <v>267</v>
      </c>
      <c r="G160" s="104"/>
      <c r="H160" s="104">
        <v>2207</v>
      </c>
      <c r="I160" s="60">
        <f t="shared" si="30"/>
        <v>0</v>
      </c>
      <c r="J160" s="229"/>
      <c r="K160" s="32" t="s">
        <v>268</v>
      </c>
      <c r="L160" s="179" t="s">
        <v>272</v>
      </c>
      <c r="M160" s="5"/>
      <c r="N160" s="54"/>
      <c r="O160" s="8"/>
      <c r="P160" s="52"/>
      <c r="Q160" s="165"/>
      <c r="R160" s="56"/>
    </row>
    <row r="161" spans="1:19" ht="18" customHeight="1" x14ac:dyDescent="0.15">
      <c r="A161" s="168" t="s">
        <v>257</v>
      </c>
      <c r="B161" s="206"/>
      <c r="C161" s="51">
        <f t="shared" si="28"/>
        <v>109</v>
      </c>
      <c r="D161" s="103" t="s">
        <v>29</v>
      </c>
      <c r="E161" s="103" t="s">
        <v>29</v>
      </c>
      <c r="F161" s="108" t="s">
        <v>269</v>
      </c>
      <c r="G161" s="104"/>
      <c r="H161" s="104">
        <v>2207</v>
      </c>
      <c r="I161" s="60">
        <f>G161*H161</f>
        <v>0</v>
      </c>
      <c r="J161" s="229"/>
      <c r="K161" s="32" t="s">
        <v>270</v>
      </c>
      <c r="L161" s="179" t="s">
        <v>272</v>
      </c>
      <c r="M161" s="5"/>
      <c r="N161" s="54"/>
      <c r="O161" s="8"/>
      <c r="P161" s="52"/>
      <c r="Q161" s="165"/>
      <c r="R161" s="56"/>
    </row>
    <row r="162" spans="1:19" ht="18" customHeight="1" x14ac:dyDescent="0.15">
      <c r="A162" s="166"/>
      <c r="B162" s="199"/>
      <c r="C162" s="51"/>
      <c r="D162" s="65"/>
      <c r="E162" s="65"/>
      <c r="F162" s="73"/>
      <c r="G162" s="58"/>
      <c r="H162" s="58"/>
      <c r="I162" s="59"/>
      <c r="J162" s="74"/>
      <c r="K162" s="244"/>
      <c r="L162" s="6"/>
      <c r="M162" s="5"/>
      <c r="N162" s="54"/>
      <c r="O162" s="8"/>
      <c r="P162" s="52"/>
      <c r="Q162" s="165"/>
      <c r="R162" s="56"/>
    </row>
    <row r="163" spans="1:19" ht="18" customHeight="1" x14ac:dyDescent="0.15">
      <c r="A163" s="36"/>
      <c r="B163" s="200">
        <v>5</v>
      </c>
      <c r="C163" s="51">
        <f>+C161+1</f>
        <v>110</v>
      </c>
      <c r="D163" s="103" t="s">
        <v>29</v>
      </c>
      <c r="E163" s="103" t="s">
        <v>29</v>
      </c>
      <c r="F163" s="187" t="s">
        <v>174</v>
      </c>
      <c r="G163" s="104"/>
      <c r="H163" s="105">
        <v>508</v>
      </c>
      <c r="I163" s="131">
        <f t="shared" si="25"/>
        <v>0</v>
      </c>
      <c r="J163" s="107"/>
      <c r="K163" s="108" t="s">
        <v>46</v>
      </c>
      <c r="L163" s="90" t="s">
        <v>81</v>
      </c>
      <c r="M163" s="5"/>
      <c r="N163" s="52"/>
      <c r="O163" s="8"/>
      <c r="P163" s="52"/>
      <c r="Q163" s="15"/>
      <c r="R163" s="48"/>
    </row>
    <row r="164" spans="1:19" ht="18" customHeight="1" x14ac:dyDescent="0.15">
      <c r="A164" s="36" t="s">
        <v>85</v>
      </c>
      <c r="B164" s="200">
        <v>5</v>
      </c>
      <c r="C164" s="252">
        <f t="shared" si="27"/>
        <v>111</v>
      </c>
      <c r="D164" s="62" t="s">
        <v>29</v>
      </c>
      <c r="E164" s="62" t="s">
        <v>29</v>
      </c>
      <c r="F164" s="254" t="s">
        <v>47</v>
      </c>
      <c r="G164" s="75">
        <v>1</v>
      </c>
      <c r="H164" s="114">
        <v>5104</v>
      </c>
      <c r="I164" s="257">
        <f t="shared" si="25"/>
        <v>5104</v>
      </c>
      <c r="J164" s="162"/>
      <c r="K164" s="113" t="s">
        <v>48</v>
      </c>
      <c r="L164" s="144"/>
      <c r="M164" s="5"/>
      <c r="N164" s="15">
        <v>44931</v>
      </c>
      <c r="O164" s="8"/>
      <c r="P164" s="52"/>
      <c r="Q164" s="55">
        <v>44945</v>
      </c>
      <c r="R164" s="14"/>
    </row>
    <row r="165" spans="1:19" ht="18" customHeight="1" x14ac:dyDescent="0.15">
      <c r="A165" s="36"/>
      <c r="B165" s="200">
        <v>5</v>
      </c>
      <c r="C165" s="51">
        <f t="shared" si="27"/>
        <v>112</v>
      </c>
      <c r="D165" s="95" t="s">
        <v>29</v>
      </c>
      <c r="E165" s="95" t="s">
        <v>29</v>
      </c>
      <c r="F165" s="109" t="s">
        <v>50</v>
      </c>
      <c r="G165" s="99"/>
      <c r="H165" s="100">
        <v>1098</v>
      </c>
      <c r="I165" s="131">
        <f t="shared" si="25"/>
        <v>0</v>
      </c>
      <c r="J165" s="96"/>
      <c r="K165" s="98" t="s">
        <v>51</v>
      </c>
      <c r="L165" s="90" t="s">
        <v>81</v>
      </c>
      <c r="M165" s="5"/>
      <c r="N165" s="15"/>
      <c r="O165" s="8"/>
      <c r="P165" s="52"/>
      <c r="Q165" s="55"/>
      <c r="R165" s="14"/>
    </row>
    <row r="166" spans="1:19" ht="18" customHeight="1" x14ac:dyDescent="0.15">
      <c r="A166" s="36"/>
      <c r="B166" s="200">
        <v>5</v>
      </c>
      <c r="C166" s="51">
        <f t="shared" si="27"/>
        <v>113</v>
      </c>
      <c r="D166" s="95" t="s">
        <v>29</v>
      </c>
      <c r="E166" s="95" t="s">
        <v>29</v>
      </c>
      <c r="F166" s="110" t="s">
        <v>52</v>
      </c>
      <c r="G166" s="99"/>
      <c r="H166" s="100">
        <v>1098</v>
      </c>
      <c r="I166" s="131">
        <f t="shared" si="25"/>
        <v>0</v>
      </c>
      <c r="J166" s="96"/>
      <c r="K166" s="98" t="s">
        <v>53</v>
      </c>
      <c r="L166" s="90" t="s">
        <v>81</v>
      </c>
      <c r="M166" s="5"/>
      <c r="N166" s="15"/>
      <c r="O166" s="8"/>
      <c r="P166" s="52"/>
      <c r="Q166" s="55"/>
      <c r="R166" s="14"/>
    </row>
    <row r="167" spans="1:19" ht="18" customHeight="1" x14ac:dyDescent="0.15">
      <c r="A167" s="36"/>
      <c r="B167" s="200">
        <v>5</v>
      </c>
      <c r="C167" s="51">
        <f t="shared" si="27"/>
        <v>114</v>
      </c>
      <c r="D167" s="95" t="s">
        <v>29</v>
      </c>
      <c r="E167" s="95" t="s">
        <v>29</v>
      </c>
      <c r="F167" s="98" t="s">
        <v>30</v>
      </c>
      <c r="G167" s="99"/>
      <c r="H167" s="102">
        <v>403</v>
      </c>
      <c r="I167" s="131">
        <f t="shared" si="25"/>
        <v>0</v>
      </c>
      <c r="J167" s="101"/>
      <c r="K167" s="97" t="s">
        <v>31</v>
      </c>
      <c r="L167" s="90" t="s">
        <v>81</v>
      </c>
      <c r="M167" s="5"/>
      <c r="N167" s="15"/>
      <c r="O167" s="8"/>
      <c r="P167" s="52"/>
      <c r="Q167" s="55"/>
      <c r="R167" s="14"/>
    </row>
    <row r="168" spans="1:19" ht="18" customHeight="1" x14ac:dyDescent="0.15">
      <c r="A168" s="36"/>
      <c r="B168" s="200">
        <v>5</v>
      </c>
      <c r="C168" s="51">
        <f t="shared" si="27"/>
        <v>115</v>
      </c>
      <c r="D168" s="95" t="s">
        <v>29</v>
      </c>
      <c r="E168" s="95" t="s">
        <v>29</v>
      </c>
      <c r="F168" s="106" t="s">
        <v>43</v>
      </c>
      <c r="G168" s="99"/>
      <c r="H168" s="100">
        <v>19</v>
      </c>
      <c r="I168" s="131">
        <f t="shared" si="25"/>
        <v>0</v>
      </c>
      <c r="J168" s="100"/>
      <c r="K168" s="97" t="s">
        <v>44</v>
      </c>
      <c r="L168" s="90" t="s">
        <v>81</v>
      </c>
      <c r="M168" s="36"/>
      <c r="N168" s="52"/>
      <c r="O168" s="32"/>
      <c r="P168" s="36"/>
      <c r="Q168" s="52"/>
      <c r="R168" s="48"/>
    </row>
    <row r="169" spans="1:19" ht="18" customHeight="1" x14ac:dyDescent="0.15">
      <c r="A169" s="36"/>
      <c r="B169" s="200">
        <v>5</v>
      </c>
      <c r="C169" s="51">
        <f t="shared" si="27"/>
        <v>116</v>
      </c>
      <c r="D169" s="99" t="s">
        <v>23</v>
      </c>
      <c r="E169" s="99" t="s">
        <v>23</v>
      </c>
      <c r="F169" s="116" t="s">
        <v>24</v>
      </c>
      <c r="G169" s="117"/>
      <c r="H169" s="102">
        <v>622</v>
      </c>
      <c r="I169" s="131">
        <f t="shared" si="25"/>
        <v>0</v>
      </c>
      <c r="J169" s="118"/>
      <c r="K169" s="119" t="s">
        <v>25</v>
      </c>
      <c r="L169" s="90" t="s">
        <v>81</v>
      </c>
      <c r="M169" s="5"/>
      <c r="N169" s="165"/>
      <c r="O169" s="8"/>
      <c r="P169" s="52"/>
      <c r="Q169" s="54"/>
      <c r="R169" s="56"/>
    </row>
    <row r="170" spans="1:19" ht="18" customHeight="1" x14ac:dyDescent="0.15">
      <c r="A170" s="36"/>
      <c r="B170" s="199"/>
      <c r="C170" s="51"/>
      <c r="D170" s="230"/>
      <c r="E170" s="230"/>
      <c r="F170" s="231"/>
      <c r="G170" s="232"/>
      <c r="H170" s="233"/>
      <c r="I170" s="233"/>
      <c r="J170" s="234"/>
      <c r="K170" s="231"/>
      <c r="L170" s="144"/>
      <c r="M170" s="5"/>
      <c r="N170" s="165"/>
      <c r="O170" s="8"/>
      <c r="P170" s="52"/>
      <c r="Q170" s="54"/>
      <c r="R170" s="56"/>
    </row>
    <row r="171" spans="1:19" ht="18" customHeight="1" x14ac:dyDescent="0.15">
      <c r="A171" s="36"/>
      <c r="B171" s="199"/>
      <c r="C171" s="51"/>
      <c r="D171" s="230"/>
      <c r="E171" s="230"/>
      <c r="F171" s="231"/>
      <c r="G171" s="232"/>
      <c r="H171" s="233"/>
      <c r="I171" s="233"/>
      <c r="J171" s="234"/>
      <c r="K171" s="231"/>
      <c r="L171" s="144"/>
      <c r="M171" s="36"/>
      <c r="N171" s="52"/>
      <c r="O171" s="32"/>
      <c r="P171" s="36"/>
      <c r="Q171" s="52"/>
      <c r="R171" s="48"/>
      <c r="S171" s="115"/>
    </row>
    <row r="172" spans="1:19" ht="18" customHeight="1" x14ac:dyDescent="0.15">
      <c r="A172" s="166"/>
      <c r="B172" s="199"/>
      <c r="C172" s="51"/>
      <c r="D172" s="166"/>
      <c r="E172" s="75"/>
      <c r="F172" s="195"/>
      <c r="G172" s="80"/>
      <c r="H172" s="133"/>
      <c r="I172" s="49"/>
      <c r="J172" s="81"/>
      <c r="K172" s="42"/>
      <c r="L172" s="32"/>
      <c r="M172" s="5"/>
      <c r="N172" s="15"/>
      <c r="O172" s="8"/>
      <c r="P172" s="8"/>
      <c r="Q172" s="15"/>
      <c r="R172" s="14"/>
    </row>
    <row r="173" spans="1:19" ht="18" customHeight="1" x14ac:dyDescent="0.15">
      <c r="C173" s="1"/>
      <c r="D173" s="4"/>
      <c r="E173" s="4"/>
      <c r="F173" s="273">
        <f>SUM(I135:I172)</f>
        <v>54455</v>
      </c>
      <c r="G173" s="274"/>
      <c r="H173" s="274"/>
      <c r="I173" s="275"/>
      <c r="J173" s="7"/>
      <c r="K173" s="22"/>
      <c r="L173" s="6"/>
      <c r="M173" s="5"/>
      <c r="N173" s="15"/>
      <c r="O173" s="8"/>
      <c r="P173" s="8"/>
      <c r="Q173" s="15"/>
      <c r="R173" s="14"/>
    </row>
    <row r="174" spans="1:19" ht="18" customHeight="1" x14ac:dyDescent="0.15">
      <c r="C174" s="1"/>
      <c r="D174" s="4"/>
      <c r="E174" s="4"/>
      <c r="F174" s="16"/>
      <c r="G174" s="18"/>
      <c r="H174" s="18"/>
      <c r="I174" s="24"/>
      <c r="J174" s="2"/>
      <c r="K174" s="16"/>
      <c r="L174" s="6"/>
      <c r="M174" s="1"/>
      <c r="N174" s="15"/>
      <c r="O174" s="26"/>
      <c r="P174" s="1"/>
      <c r="Q174" s="15"/>
      <c r="R174" s="14"/>
    </row>
    <row r="175" spans="1:19" ht="18" customHeight="1" x14ac:dyDescent="0.15">
      <c r="C175" s="1"/>
      <c r="D175" s="1"/>
      <c r="E175" s="1"/>
      <c r="F175" s="6" t="s">
        <v>26</v>
      </c>
      <c r="G175" s="24"/>
      <c r="H175" s="24"/>
      <c r="I175" s="24">
        <f>G175*H175</f>
        <v>0</v>
      </c>
      <c r="J175" s="13"/>
      <c r="K175" s="16" t="s">
        <v>27</v>
      </c>
      <c r="L175" s="26"/>
      <c r="M175" s="1"/>
      <c r="N175" s="15"/>
      <c r="O175" s="26"/>
      <c r="P175" s="1"/>
      <c r="Q175" s="15"/>
      <c r="R175" s="8"/>
    </row>
    <row r="176" spans="1:19" ht="18" customHeight="1" x14ac:dyDescent="0.15">
      <c r="C176" s="1"/>
      <c r="D176" s="4"/>
      <c r="E176" s="4"/>
      <c r="F176" s="6" t="s">
        <v>27</v>
      </c>
      <c r="G176" s="24"/>
      <c r="H176" s="24">
        <v>5000</v>
      </c>
      <c r="I176" s="24">
        <f>G176*H176</f>
        <v>0</v>
      </c>
      <c r="J176" s="13"/>
      <c r="K176" s="16" t="s">
        <v>28</v>
      </c>
      <c r="L176" s="26"/>
      <c r="M176" s="1"/>
      <c r="N176" s="1"/>
      <c r="O176" s="26"/>
      <c r="P176" s="1"/>
      <c r="Q176" s="8"/>
      <c r="R176" s="8"/>
    </row>
    <row r="177" spans="3:12" ht="18" customHeight="1" x14ac:dyDescent="0.15">
      <c r="C177" s="1"/>
      <c r="D177" s="4"/>
      <c r="E177" s="4"/>
      <c r="F177" s="6" t="s">
        <v>28</v>
      </c>
      <c r="G177" s="24"/>
      <c r="H177" s="24"/>
      <c r="I177" s="24">
        <f>G177*H177</f>
        <v>0</v>
      </c>
      <c r="J177" s="13"/>
      <c r="K177" s="5"/>
      <c r="L177" s="26"/>
    </row>
    <row r="178" spans="3:12" ht="18" customHeight="1" x14ac:dyDescent="0.15">
      <c r="C178" s="1"/>
      <c r="D178" s="4"/>
      <c r="E178" s="4"/>
      <c r="F178" s="262"/>
      <c r="G178" s="263"/>
      <c r="H178" s="263"/>
      <c r="I178" s="264"/>
      <c r="J178" s="7"/>
      <c r="K178" s="22"/>
    </row>
    <row r="179" spans="3:12" ht="18" customHeight="1" x14ac:dyDescent="0.15"/>
    <row r="180" spans="3:12" ht="18" customHeight="1" x14ac:dyDescent="0.15"/>
  </sheetData>
  <autoFilter ref="C8:P180" xr:uid="{00000000-0009-0000-0000-000003000000}"/>
  <mergeCells count="18">
    <mergeCell ref="C2:E2"/>
    <mergeCell ref="H2:J2"/>
    <mergeCell ref="C3:E3"/>
    <mergeCell ref="C4:E4"/>
    <mergeCell ref="H4:K5"/>
    <mergeCell ref="C5:E5"/>
    <mergeCell ref="F178:I178"/>
    <mergeCell ref="C6:E6"/>
    <mergeCell ref="C10:F10"/>
    <mergeCell ref="F91:I91"/>
    <mergeCell ref="D95:F95"/>
    <mergeCell ref="F104:I104"/>
    <mergeCell ref="D109:F109"/>
    <mergeCell ref="C71:F71"/>
    <mergeCell ref="F64:I64"/>
    <mergeCell ref="F127:I127"/>
    <mergeCell ref="D134:F134"/>
    <mergeCell ref="F173:I173"/>
  </mergeCells>
  <phoneticPr fontId="12"/>
  <dataValidations disablePrompts="1" count="2">
    <dataValidation allowBlank="1" showInputMessage="1" showErrorMessage="1" sqref="K90:K93" xr:uid="{32560032-A421-4F8E-BAA0-1CD21AA3C806}"/>
    <dataValidation imeMode="hiragana" allowBlank="1" showInputMessage="1" showErrorMessage="1" sqref="K112" xr:uid="{C6982341-15BB-4B41-B06C-7BEC40DD4085}"/>
  </dataValidations>
  <hyperlinks>
    <hyperlink ref="L13" r:id="rId1" xr:uid="{7AD3E64C-CFE2-4F23-8EBC-622482E6EF49}"/>
    <hyperlink ref="L78" r:id="rId2" xr:uid="{661AD120-9F6D-4C94-9CC3-42F2940D0D43}"/>
    <hyperlink ref="L79" r:id="rId3" xr:uid="{F25D2879-3458-47CB-9E2F-087A2F633F63}"/>
  </hyperlinks>
  <printOptions gridLines="1"/>
  <pageMargins left="0.2" right="0.2" top="0.75" bottom="0.75" header="0.3" footer="0.3"/>
  <pageSetup orientation="landscape" r:id="rId4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/>
  </sheetViews>
  <sheetFormatPr defaultRowHeight="13.5" x14ac:dyDescent="0.15"/>
  <sheetData/>
  <phoneticPr fontId="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12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12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発注 (20221228) </vt:lpstr>
      <vt:lpstr>Sheet1</vt:lpstr>
      <vt:lpstr>Sheet2</vt:lpstr>
      <vt:lpstr>Sheet3</vt:lpstr>
      <vt:lpstr>'発注 (20221228)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2023-02-08T00:32:57Z</dcterms:modified>
</cp:coreProperties>
</file>