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3369A8B-3005-4389-85D2-7A4A3EDA54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原価表!$B$9:$O$45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6" i="1"/>
  <c r="H27" i="1"/>
  <c r="H28" i="1"/>
  <c r="H29" i="1"/>
  <c r="H30" i="1"/>
  <c r="H31" i="1"/>
  <c r="H32" i="1"/>
  <c r="H33" i="1"/>
  <c r="H34" i="1"/>
  <c r="H35" i="1"/>
  <c r="H36" i="1"/>
  <c r="H37" i="1"/>
  <c r="H11" i="1"/>
  <c r="H12" i="1"/>
  <c r="H13" i="1"/>
  <c r="H14" i="1"/>
  <c r="H15" i="1"/>
  <c r="H40" i="1"/>
  <c r="H42" i="1"/>
  <c r="H41" i="1"/>
  <c r="H39" i="1"/>
  <c r="H38" i="1"/>
  <c r="H44" i="1"/>
  <c r="H45" i="1"/>
  <c r="H25" i="1" l="1"/>
  <c r="H24" i="1"/>
  <c r="H23" i="1"/>
  <c r="H22" i="1"/>
  <c r="H21" i="1"/>
  <c r="H20" i="1"/>
  <c r="H16" i="1"/>
  <c r="H10" i="1"/>
  <c r="J2" i="1" l="1"/>
</calcChain>
</file>

<file path=xl/sharedStrings.xml><?xml version="1.0" encoding="utf-8"?>
<sst xmlns="http://schemas.openxmlformats.org/spreadsheetml/2006/main" count="206" uniqueCount="99">
  <si>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</si>
  <si>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</si>
  <si>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</si>
  <si>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</si>
  <si>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</si>
  <si>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</si>
  <si>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</si>
  <si>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</si>
  <si>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</si>
  <si>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</si>
  <si>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</si>
  <si>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</si>
  <si>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</si>
  <si>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</si>
  <si>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</si>
  <si>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</si>
  <si>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</si>
  <si>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</si>
  <si>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</si>
  <si>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</si>
  <si>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</si>
  <si>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</si>
  <si>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</si>
  <si>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6"/>
  </si>
  <si>
    <t>ヒロセ電機</t>
    <rPh sb="3" eb="5">
      <t>デンキ</t>
    </rPh>
    <phoneticPr fontId="6"/>
  </si>
  <si>
    <t>コネクト</t>
    <phoneticPr fontId="6"/>
  </si>
  <si>
    <t>オムロン</t>
    <phoneticPr fontId="6"/>
  </si>
  <si>
    <t>コネクタ</t>
    <phoneticPr fontId="1"/>
  </si>
  <si>
    <t>日本省力技研</t>
    <rPh sb="0" eb="4">
      <t>ニホンショウリョク</t>
    </rPh>
    <rPh sb="4" eb="6">
      <t>ギケン</t>
    </rPh>
    <phoneticPr fontId="6"/>
  </si>
  <si>
    <t>RM15QPS-4PA</t>
    <phoneticPr fontId="6"/>
  </si>
  <si>
    <t>JR-AS00-361-01A</t>
    <phoneticPr fontId="1"/>
  </si>
  <si>
    <t>Mixer base</t>
  </si>
  <si>
    <t>JR-AS00-361-02改A</t>
    <phoneticPr fontId="1"/>
  </si>
  <si>
    <t>Mixer back plate</t>
    <phoneticPr fontId="1"/>
  </si>
  <si>
    <t>JR-AS00-361-03改A</t>
    <phoneticPr fontId="1"/>
  </si>
  <si>
    <t>Motor driver base</t>
    <phoneticPr fontId="1"/>
  </si>
  <si>
    <t>JR-AS00-361-04A</t>
    <phoneticPr fontId="1"/>
  </si>
  <si>
    <t>Mixer cover</t>
    <phoneticPr fontId="1"/>
  </si>
  <si>
    <t>JR-AS00-361-06A</t>
    <phoneticPr fontId="1"/>
  </si>
  <si>
    <t>Shaft joint</t>
    <phoneticPr fontId="1"/>
  </si>
  <si>
    <t>JR-AS00-361-07B</t>
    <phoneticPr fontId="1"/>
  </si>
  <si>
    <t>Mixer socket</t>
    <phoneticPr fontId="1"/>
  </si>
  <si>
    <t>モーター</t>
    <phoneticPr fontId="6"/>
  </si>
  <si>
    <t>ソケット</t>
    <phoneticPr fontId="6"/>
  </si>
  <si>
    <t>ミニパワーリレー</t>
    <phoneticPr fontId="6"/>
  </si>
  <si>
    <t>オリエンタルモーター</t>
    <phoneticPr fontId="6"/>
  </si>
  <si>
    <t>BLM230-A2</t>
    <phoneticPr fontId="6"/>
  </si>
  <si>
    <t>PYFZ-08</t>
    <phoneticPr fontId="6"/>
  </si>
  <si>
    <t>MY2N</t>
    <phoneticPr fontId="6"/>
  </si>
  <si>
    <t>BMUD30-A2</t>
    <phoneticPr fontId="6"/>
  </si>
  <si>
    <t>モーターコントローラー</t>
    <phoneticPr fontId="1"/>
  </si>
  <si>
    <t>MSSFS4-4</t>
  </si>
  <si>
    <t>株式会社啓愛社</t>
    <rPh sb="0" eb="4">
      <t>カブシキカイシャ</t>
    </rPh>
    <rPh sb="4" eb="7">
      <t>ケイアイシャ</t>
    </rPh>
    <phoneticPr fontId="1"/>
  </si>
  <si>
    <t>ｵﾘﾑﾍﾞｸｽﾀ</t>
    <phoneticPr fontId="6"/>
  </si>
  <si>
    <t>PLCﾛｰﾀﾞｰﾊｰﾈｽ</t>
  </si>
  <si>
    <t>ミネベアからの支給品</t>
    <rPh sb="7" eb="10">
      <t>シキュウヒン</t>
    </rPh>
    <phoneticPr fontId="1"/>
  </si>
  <si>
    <t>最悪、営業所在庫使用</t>
    <rPh sb="0" eb="2">
      <t>サイアク</t>
    </rPh>
    <rPh sb="3" eb="6">
      <t>エイギョウショ</t>
    </rPh>
    <rPh sb="6" eb="8">
      <t>ザイコ</t>
    </rPh>
    <rPh sb="8" eb="10">
      <t>シヨウ</t>
    </rPh>
    <phoneticPr fontId="1"/>
  </si>
  <si>
    <t>納期8日</t>
    <rPh sb="0" eb="2">
      <t>ノウキ</t>
    </rPh>
    <phoneticPr fontId="1"/>
  </si>
  <si>
    <t>納期1日</t>
    <rPh sb="0" eb="2">
      <t>ノウキ</t>
    </rPh>
    <rPh sb="3" eb="4">
      <t>ニチ</t>
    </rPh>
    <phoneticPr fontId="1"/>
  </si>
  <si>
    <t>納期1日</t>
    <phoneticPr fontId="1"/>
  </si>
  <si>
    <t>納期1日</t>
    <rPh sb="0" eb="2">
      <t>ノウキ</t>
    </rPh>
    <phoneticPr fontId="1"/>
  </si>
  <si>
    <t>共用ソケット</t>
    <rPh sb="0" eb="2">
      <t>キョウヨウ</t>
    </rPh>
    <phoneticPr fontId="1"/>
  </si>
  <si>
    <t>納期3日</t>
    <rPh sb="0" eb="2">
      <t>ノウキ</t>
    </rPh>
    <rPh sb="3" eb="4">
      <t>ニチ</t>
    </rPh>
    <phoneticPr fontId="1"/>
  </si>
  <si>
    <t>発注願います。</t>
    <rPh sb="0" eb="3">
      <t>ハッチュウネガ</t>
    </rPh>
    <phoneticPr fontId="1"/>
  </si>
  <si>
    <t>WEB発注済</t>
    <rPh sb="3" eb="6">
      <t>ハッチュウスミ</t>
    </rPh>
    <phoneticPr fontId="1"/>
  </si>
  <si>
    <t>DA-C8-J10-F1-1R</t>
  </si>
  <si>
    <t>DB-15SS</t>
  </si>
  <si>
    <t>DB-15SP</t>
  </si>
  <si>
    <t>MY2N-D2 DC24</t>
  </si>
  <si>
    <t>NSDJ-PT-SB-37-2.5</t>
  </si>
  <si>
    <t>ｺﾈｸﾀ</t>
  </si>
  <si>
    <t>RELAY</t>
  </si>
  <si>
    <t>SLSBWF7-32</t>
  </si>
  <si>
    <t>SCB5-10</t>
  </si>
  <si>
    <t>SCB4-6</t>
  </si>
  <si>
    <t>SCB4-15</t>
  </si>
  <si>
    <t>SCB4-10</t>
  </si>
  <si>
    <t>SCB3-6</t>
  </si>
  <si>
    <t>SCB3-5</t>
  </si>
  <si>
    <t>SCB3-20</t>
  </si>
  <si>
    <t>OA-W-15M-07</t>
  </si>
  <si>
    <t>NOOS4-10</t>
  </si>
  <si>
    <t>CPS20-8-8</t>
  </si>
  <si>
    <t>MISUMI</t>
    <phoneticPr fontId="6"/>
  </si>
  <si>
    <t>ﾛｯｶｸｼﾁｭｳ SLSBWF</t>
  </si>
  <si>
    <t>ﾈｼﾞ CB SCB BCB SBCB GUTB</t>
  </si>
  <si>
    <t>ﾊﾝﾖｳｹｰﾌﾞﾙｸﾗﾝﾌﾟ</t>
  </si>
  <si>
    <t>ﾉﾌﾞ</t>
  </si>
  <si>
    <t>ﾛｯｶｸｱﾅﾂｷﾄﾞﾒﾈｼﾞﾋﾗｻｷ</t>
  </si>
  <si>
    <t>ｶｯﾌﾟﾘﾝｸﾞ CPS</t>
  </si>
  <si>
    <t>発注不可</t>
    <rPh sb="0" eb="4">
      <t>ハッチュウフカ</t>
    </rPh>
    <phoneticPr fontId="1"/>
  </si>
  <si>
    <t>MVSHM-3N02002-3EZ-3GCBA</t>
  </si>
  <si>
    <t>TKR-TWE1</t>
  </si>
  <si>
    <t>DNR274-1000</t>
  </si>
  <si>
    <t>ADR-341-JP</t>
  </si>
  <si>
    <t>ｱｸｾｻﾘｰ ﾌﾟﾘﾝﾄｷﾊﾞﾝTKRｼﾘｰｽﾞ</t>
  </si>
  <si>
    <t>ﾃﾞｨﾝﾚｰﾙ(DNR274)</t>
  </si>
  <si>
    <t>ﾊｲｾﾝﾀﾞｸﾄ</t>
  </si>
  <si>
    <t>■SETA0160-Z01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</si>
</sst>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9" fillId="0" borderId="0" xfId="0" applyNumberFormat="1" applyFont="1">
      <alignment vertical="center"/>
    </xf>
    <xf numFmtId="178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80" fontId="0" fillId="0" borderId="1" xfId="0" applyNumberFormat="1" applyBorder="1">
      <alignment vertical="center"/>
    </xf>
    <xf numFmtId="3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3" fontId="16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5"/>
  <sheetViews>
    <sheetView tabSelected="1" topLeftCell="A4" zoomScale="70" zoomScaleNormal="70" workbookViewId="0">
      <pane xSplit="8" topLeftCell="K1" activePane="topRight" state="frozen"/>
      <selection pane="topRight" activeCell="Q21" sqref="Q21:Q25"/>
    </sheetView>
  </sheetViews>
  <sheetFormatPr defaultColWidth="9" defaultRowHeight="13.5" x14ac:dyDescent="0.15"/>
  <cols>
    <col min="1" max="1" width="2.625" customWidth="1"/>
    <col min="2" max="2" width="24.25" style="3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bestFit="1" customWidth="1"/>
    <col min="9" max="9" width="8.875" style="4" customWidth="1"/>
    <col min="10" max="10" width="35.25" bestFit="1" customWidth="1"/>
    <col min="11" max="11" width="47.875" customWidth="1"/>
    <col min="12" max="12" width="28.125" style="3" customWidth="1"/>
    <col min="13" max="13" width="13.75" style="32" customWidth="1"/>
    <col min="14" max="14" width="6.375" customWidth="1"/>
    <col min="15" max="15" width="13.25" style="4" customWidth="1"/>
    <col min="16" max="16" width="14.5" style="5" customWidth="1"/>
    <col min="17" max="17" width="15.625" style="32" customWidth="1"/>
  </cols>
  <sheetData>
    <row r="2" spans="2:17" ht="20.100000000000001" customHeight="1" x14ac:dyDescent="0.15">
      <c r="B2" s="58" t="s">
        <v>11</v>
      </c>
      <c r="C2" s="58"/>
      <c r="D2" s="58"/>
      <c r="E2" s="1" t="s">
        <v>52</v>
      </c>
      <c r="G2" s="59" t="s">
        <v>15</v>
      </c>
      <c r="H2" s="60"/>
      <c r="I2" s="61"/>
      <c r="J2" s="2">
        <f>SUM(H:H)</f>
        <v>168447</v>
      </c>
    </row>
    <row r="3" spans="2:17" ht="20.100000000000001" customHeight="1" x14ac:dyDescent="0.15">
      <c r="B3" s="58" t="s">
        <v>10</v>
      </c>
      <c r="C3" s="58"/>
      <c r="D3" s="58"/>
      <c r="E3" s="6" t="s">
        <v>22</v>
      </c>
      <c r="P3" s="31"/>
    </row>
    <row r="4" spans="2:17" ht="20.100000000000001" customHeight="1" x14ac:dyDescent="0.15">
      <c r="B4" s="58" t="s">
        <v>12</v>
      </c>
      <c r="C4" s="58"/>
      <c r="D4" s="58"/>
      <c r="E4" s="6">
        <v>206549</v>
      </c>
      <c r="I4" s="20"/>
      <c r="J4" s="4"/>
      <c r="K4" s="24"/>
      <c r="L4" s="22"/>
    </row>
    <row r="5" spans="2:17" ht="20.100000000000001" customHeight="1" x14ac:dyDescent="0.15">
      <c r="B5" s="58" t="s">
        <v>13</v>
      </c>
      <c r="C5" s="58"/>
      <c r="D5" s="58"/>
      <c r="E5" s="7">
        <v>45104</v>
      </c>
      <c r="G5" s="3"/>
      <c r="I5" s="28"/>
      <c r="J5" s="20"/>
      <c r="K5" s="26"/>
      <c r="L5" s="21"/>
    </row>
    <row r="6" spans="2:17" ht="20.100000000000001" customHeight="1" x14ac:dyDescent="0.15">
      <c r="B6" s="58" t="s">
        <v>14</v>
      </c>
      <c r="C6" s="58"/>
      <c r="D6" s="58"/>
      <c r="E6" s="7">
        <v>45110</v>
      </c>
      <c r="I6" s="29"/>
      <c r="J6" s="21"/>
      <c r="K6" s="25"/>
      <c r="L6" s="23"/>
    </row>
    <row r="7" spans="2:17" ht="20.100000000000001" customHeight="1" x14ac:dyDescent="0.15">
      <c r="B7" s="8"/>
      <c r="C7" s="8"/>
      <c r="D7" s="8"/>
      <c r="E7" s="19"/>
      <c r="J7" s="20"/>
      <c r="L7" s="20"/>
    </row>
    <row r="9" spans="2:17" s="3" customFormat="1" ht="19.7" customHeight="1" x14ac:dyDescent="0.15">
      <c r="B9" s="9" t="s">
        <v>4</v>
      </c>
      <c r="C9" s="9" t="s">
        <v>9</v>
      </c>
      <c r="D9" s="9" t="s">
        <v>5</v>
      </c>
      <c r="E9" s="10" t="s">
        <v>8</v>
      </c>
      <c r="F9" s="10" t="s">
        <v>0</v>
      </c>
      <c r="G9" s="10" t="s">
        <v>1</v>
      </c>
      <c r="H9" s="11" t="s">
        <v>2</v>
      </c>
      <c r="I9" s="11" t="s">
        <v>18</v>
      </c>
      <c r="J9" s="10" t="s">
        <v>3</v>
      </c>
      <c r="K9" s="10" t="s">
        <v>17</v>
      </c>
      <c r="L9" s="10" t="s">
        <v>16</v>
      </c>
      <c r="M9" s="13" t="s">
        <v>6</v>
      </c>
      <c r="N9" s="9" t="s">
        <v>19</v>
      </c>
      <c r="O9" s="10" t="s">
        <v>7</v>
      </c>
      <c r="P9" s="12" t="s">
        <v>20</v>
      </c>
      <c r="Q9" s="13" t="s">
        <v>21</v>
      </c>
    </row>
    <row r="10" spans="2:17" s="3" customFormat="1" ht="19.7" customHeight="1" x14ac:dyDescent="0.15">
      <c r="B10" s="9">
        <v>1</v>
      </c>
      <c r="C10" s="10" t="s">
        <v>26</v>
      </c>
      <c r="D10" s="9" t="s">
        <v>23</v>
      </c>
      <c r="E10" s="39" t="s">
        <v>47</v>
      </c>
      <c r="F10" s="16">
        <v>16</v>
      </c>
      <c r="G10" s="16">
        <v>250</v>
      </c>
      <c r="H10" s="30">
        <f t="shared" ref="H10:H15" si="0">F10*G10</f>
        <v>4000</v>
      </c>
      <c r="I10" s="11"/>
      <c r="J10" s="39" t="s">
        <v>61</v>
      </c>
      <c r="K10" s="41" t="s">
        <v>63</v>
      </c>
      <c r="L10" s="9" t="s">
        <v>58</v>
      </c>
      <c r="M10" s="13">
        <v>45089</v>
      </c>
      <c r="N10" s="9"/>
      <c r="O10" s="40">
        <v>45104</v>
      </c>
      <c r="P10" s="12"/>
      <c r="Q10" s="13">
        <v>45099</v>
      </c>
    </row>
    <row r="11" spans="2:17" s="49" customFormat="1" ht="19.7" customHeight="1" x14ac:dyDescent="0.15">
      <c r="B11" s="44">
        <v>1</v>
      </c>
      <c r="C11" s="42" t="s">
        <v>83</v>
      </c>
      <c r="D11" s="42" t="s">
        <v>83</v>
      </c>
      <c r="E11" s="17" t="s">
        <v>69</v>
      </c>
      <c r="F11" s="17">
        <v>1</v>
      </c>
      <c r="G11" s="17">
        <v>5295</v>
      </c>
      <c r="H11" s="18">
        <f t="shared" si="0"/>
        <v>5295</v>
      </c>
      <c r="I11" s="45"/>
      <c r="J11" s="17" t="s">
        <v>54</v>
      </c>
      <c r="K11" s="44" t="s">
        <v>64</v>
      </c>
      <c r="L11" s="44" t="s">
        <v>57</v>
      </c>
      <c r="M11" s="46">
        <v>45096</v>
      </c>
      <c r="N11" s="44"/>
      <c r="O11" s="47">
        <v>45104</v>
      </c>
      <c r="P11" s="48"/>
      <c r="Q11" s="46">
        <v>45096</v>
      </c>
    </row>
    <row r="12" spans="2:17" s="49" customFormat="1" ht="19.7" customHeight="1" x14ac:dyDescent="0.15">
      <c r="B12" s="44">
        <v>1</v>
      </c>
      <c r="C12" s="42" t="s">
        <v>83</v>
      </c>
      <c r="D12" s="42" t="s">
        <v>83</v>
      </c>
      <c r="E12" s="17" t="s">
        <v>68</v>
      </c>
      <c r="F12" s="17">
        <v>16</v>
      </c>
      <c r="G12" s="17">
        <v>1708</v>
      </c>
      <c r="H12" s="18">
        <f t="shared" si="0"/>
        <v>27328</v>
      </c>
      <c r="I12" s="50"/>
      <c r="J12" s="17" t="s">
        <v>71</v>
      </c>
      <c r="K12" s="44" t="s">
        <v>64</v>
      </c>
      <c r="L12" s="44" t="s">
        <v>59</v>
      </c>
      <c r="M12" s="46">
        <v>45089</v>
      </c>
      <c r="N12" s="44"/>
      <c r="O12" s="47">
        <v>45104</v>
      </c>
      <c r="P12" s="48"/>
      <c r="Q12" s="46">
        <v>45089</v>
      </c>
    </row>
    <row r="13" spans="2:17" s="49" customFormat="1" ht="19.7" customHeight="1" x14ac:dyDescent="0.15">
      <c r="B13" s="44">
        <v>1</v>
      </c>
      <c r="C13" s="42" t="s">
        <v>83</v>
      </c>
      <c r="D13" s="42" t="s">
        <v>83</v>
      </c>
      <c r="E13" s="17" t="s">
        <v>67</v>
      </c>
      <c r="F13" s="17">
        <v>2</v>
      </c>
      <c r="G13" s="17">
        <v>188</v>
      </c>
      <c r="H13" s="18">
        <f t="shared" si="0"/>
        <v>376</v>
      </c>
      <c r="I13" s="51"/>
      <c r="J13" s="17" t="s">
        <v>70</v>
      </c>
      <c r="K13" s="44" t="s">
        <v>64</v>
      </c>
      <c r="L13" s="44" t="s">
        <v>59</v>
      </c>
      <c r="M13" s="46">
        <v>45089</v>
      </c>
      <c r="N13" s="44"/>
      <c r="O13" s="47">
        <v>45104</v>
      </c>
      <c r="P13" s="48"/>
      <c r="Q13" s="46">
        <v>45089</v>
      </c>
    </row>
    <row r="14" spans="2:17" s="49" customFormat="1" ht="19.7" customHeight="1" x14ac:dyDescent="0.15">
      <c r="B14" s="44">
        <v>1</v>
      </c>
      <c r="C14" s="42" t="s">
        <v>83</v>
      </c>
      <c r="D14" s="42" t="s">
        <v>83</v>
      </c>
      <c r="E14" s="17" t="s">
        <v>66</v>
      </c>
      <c r="F14" s="17">
        <v>2</v>
      </c>
      <c r="G14" s="17">
        <v>199</v>
      </c>
      <c r="H14" s="18">
        <f t="shared" si="0"/>
        <v>398</v>
      </c>
      <c r="I14" s="51"/>
      <c r="J14" s="17" t="s">
        <v>70</v>
      </c>
      <c r="K14" s="44" t="s">
        <v>64</v>
      </c>
      <c r="L14" s="44" t="s">
        <v>60</v>
      </c>
      <c r="M14" s="46">
        <v>45089</v>
      </c>
      <c r="N14" s="44"/>
      <c r="O14" s="47">
        <v>45104</v>
      </c>
      <c r="P14" s="48"/>
      <c r="Q14" s="46">
        <v>45089</v>
      </c>
    </row>
    <row r="15" spans="2:17" s="49" customFormat="1" ht="19.7" customHeight="1" x14ac:dyDescent="0.15">
      <c r="B15" s="44">
        <v>1</v>
      </c>
      <c r="C15" s="42" t="s">
        <v>83</v>
      </c>
      <c r="D15" s="42" t="s">
        <v>83</v>
      </c>
      <c r="E15" s="17" t="s">
        <v>65</v>
      </c>
      <c r="F15" s="17">
        <v>4</v>
      </c>
      <c r="G15" s="17">
        <v>528</v>
      </c>
      <c r="H15" s="18">
        <f t="shared" si="0"/>
        <v>2112</v>
      </c>
      <c r="I15" s="50"/>
      <c r="J15" s="17" t="s">
        <v>70</v>
      </c>
      <c r="K15" s="44" t="s">
        <v>64</v>
      </c>
      <c r="L15" s="44" t="s">
        <v>58</v>
      </c>
      <c r="M15" s="46">
        <v>45089</v>
      </c>
      <c r="N15" s="44"/>
      <c r="O15" s="47">
        <v>45104</v>
      </c>
      <c r="P15" s="48"/>
      <c r="Q15" s="46">
        <v>45089</v>
      </c>
    </row>
    <row r="16" spans="2:17" s="49" customFormat="1" ht="19.7" customHeight="1" x14ac:dyDescent="0.15">
      <c r="B16" s="44">
        <v>1</v>
      </c>
      <c r="C16" s="42" t="s">
        <v>83</v>
      </c>
      <c r="D16" s="42" t="s">
        <v>83</v>
      </c>
      <c r="E16" s="17" t="s">
        <v>91</v>
      </c>
      <c r="F16" s="17">
        <v>1</v>
      </c>
      <c r="G16" s="17">
        <v>5070</v>
      </c>
      <c r="H16" s="18">
        <f t="shared" ref="H16:H19" si="1">F16*G16</f>
        <v>5070</v>
      </c>
      <c r="I16" s="42"/>
      <c r="J16" s="55" t="s">
        <v>98</v>
      </c>
      <c r="K16" s="44" t="s">
        <v>64</v>
      </c>
      <c r="L16" s="44"/>
      <c r="M16" s="46">
        <v>45091</v>
      </c>
      <c r="N16" s="44"/>
      <c r="O16" s="47"/>
      <c r="P16" s="48"/>
      <c r="Q16" s="46">
        <v>45100</v>
      </c>
    </row>
    <row r="17" spans="2:17" s="49" customFormat="1" ht="19.7" customHeight="1" x14ac:dyDescent="0.15">
      <c r="B17" s="44">
        <v>1</v>
      </c>
      <c r="C17" s="42" t="s">
        <v>83</v>
      </c>
      <c r="D17" s="42" t="s">
        <v>83</v>
      </c>
      <c r="E17" s="17" t="s">
        <v>92</v>
      </c>
      <c r="F17" s="17">
        <v>1</v>
      </c>
      <c r="G17" s="17">
        <v>251</v>
      </c>
      <c r="H17" s="18">
        <f t="shared" si="1"/>
        <v>251</v>
      </c>
      <c r="I17" s="42"/>
      <c r="J17" s="17" t="s">
        <v>95</v>
      </c>
      <c r="K17" s="44" t="s">
        <v>64</v>
      </c>
      <c r="L17" s="44"/>
      <c r="M17" s="46">
        <v>45091</v>
      </c>
      <c r="N17" s="44"/>
      <c r="O17" s="47"/>
      <c r="P17" s="48"/>
      <c r="Q17" s="46">
        <v>45100</v>
      </c>
    </row>
    <row r="18" spans="2:17" s="49" customFormat="1" ht="19.7" customHeight="1" x14ac:dyDescent="0.15">
      <c r="B18" s="44">
        <v>1</v>
      </c>
      <c r="C18" s="42" t="s">
        <v>83</v>
      </c>
      <c r="D18" s="42" t="s">
        <v>83</v>
      </c>
      <c r="E18" s="17" t="s">
        <v>93</v>
      </c>
      <c r="F18" s="17">
        <v>1</v>
      </c>
      <c r="G18" s="17">
        <v>958</v>
      </c>
      <c r="H18" s="18">
        <f t="shared" si="1"/>
        <v>958</v>
      </c>
      <c r="I18" s="42"/>
      <c r="J18" s="17" t="s">
        <v>96</v>
      </c>
      <c r="K18" s="44" t="s">
        <v>64</v>
      </c>
      <c r="L18" s="44"/>
      <c r="M18" s="46">
        <v>45091</v>
      </c>
      <c r="N18" s="44"/>
      <c r="O18" s="47"/>
      <c r="P18" s="48"/>
      <c r="Q18" s="46">
        <v>45100</v>
      </c>
    </row>
    <row r="19" spans="2:17" s="49" customFormat="1" ht="19.7" customHeight="1" x14ac:dyDescent="0.15">
      <c r="B19" s="44">
        <v>1</v>
      </c>
      <c r="C19" s="42" t="s">
        <v>83</v>
      </c>
      <c r="D19" s="42" t="s">
        <v>83</v>
      </c>
      <c r="E19" s="17" t="s">
        <v>94</v>
      </c>
      <c r="F19" s="17">
        <v>1</v>
      </c>
      <c r="G19" s="17">
        <v>1367</v>
      </c>
      <c r="H19" s="18">
        <f t="shared" si="1"/>
        <v>1367</v>
      </c>
      <c r="I19" s="42"/>
      <c r="J19" s="17" t="s">
        <v>97</v>
      </c>
      <c r="K19" s="44" t="s">
        <v>64</v>
      </c>
      <c r="L19" s="44"/>
      <c r="M19" s="46">
        <v>45091</v>
      </c>
      <c r="N19" s="44"/>
      <c r="O19" s="47"/>
      <c r="P19" s="48"/>
      <c r="Q19" s="46">
        <v>45100</v>
      </c>
    </row>
    <row r="20" spans="2:17" s="49" customFormat="1" ht="19.7" customHeight="1" x14ac:dyDescent="0.15">
      <c r="B20" s="52">
        <v>2</v>
      </c>
      <c r="C20" s="42" t="s">
        <v>25</v>
      </c>
      <c r="D20" s="42" t="s">
        <v>25</v>
      </c>
      <c r="E20" s="17" t="s">
        <v>30</v>
      </c>
      <c r="F20" s="17">
        <v>2</v>
      </c>
      <c r="G20" s="18">
        <v>5800</v>
      </c>
      <c r="H20" s="18">
        <f t="shared" ref="H20:H37" si="2">G20*F20</f>
        <v>11600</v>
      </c>
      <c r="I20" s="56"/>
      <c r="J20" s="17" t="s">
        <v>31</v>
      </c>
      <c r="K20" s="57" t="s">
        <v>63</v>
      </c>
      <c r="L20" s="52"/>
      <c r="M20" s="46">
        <v>45089</v>
      </c>
      <c r="N20" s="44"/>
      <c r="O20" s="47">
        <v>45104</v>
      </c>
      <c r="P20" s="48"/>
      <c r="Q20" s="46">
        <v>45104</v>
      </c>
    </row>
    <row r="21" spans="2:17" s="3" customFormat="1" ht="19.7" customHeight="1" x14ac:dyDescent="0.15">
      <c r="B21" s="38">
        <v>2</v>
      </c>
      <c r="C21" s="42" t="s">
        <v>25</v>
      </c>
      <c r="D21" s="42" t="s">
        <v>25</v>
      </c>
      <c r="E21" s="17" t="s">
        <v>32</v>
      </c>
      <c r="F21" s="17">
        <v>2</v>
      </c>
      <c r="G21" s="18">
        <v>8800</v>
      </c>
      <c r="H21" s="18">
        <f t="shared" si="2"/>
        <v>17600</v>
      </c>
      <c r="I21" s="27"/>
      <c r="J21" s="17" t="s">
        <v>33</v>
      </c>
      <c r="K21" s="41" t="s">
        <v>63</v>
      </c>
      <c r="L21" s="38"/>
      <c r="M21" s="13">
        <v>45089</v>
      </c>
      <c r="N21" s="9"/>
      <c r="O21" s="40">
        <v>45104</v>
      </c>
      <c r="P21" s="12"/>
      <c r="Q21" s="46">
        <v>45104</v>
      </c>
    </row>
    <row r="22" spans="2:17" s="3" customFormat="1" ht="19.7" customHeight="1" x14ac:dyDescent="0.15">
      <c r="B22" s="38">
        <v>2</v>
      </c>
      <c r="C22" s="42" t="s">
        <v>25</v>
      </c>
      <c r="D22" s="42" t="s">
        <v>25</v>
      </c>
      <c r="E22" s="17" t="s">
        <v>34</v>
      </c>
      <c r="F22" s="17">
        <v>2</v>
      </c>
      <c r="G22" s="18">
        <v>2000</v>
      </c>
      <c r="H22" s="18">
        <f t="shared" si="2"/>
        <v>4000</v>
      </c>
      <c r="I22" s="27"/>
      <c r="J22" s="17" t="s">
        <v>35</v>
      </c>
      <c r="K22" s="41" t="s">
        <v>63</v>
      </c>
      <c r="L22" s="38"/>
      <c r="M22" s="13">
        <v>45089</v>
      </c>
      <c r="N22" s="9"/>
      <c r="O22" s="40">
        <v>45104</v>
      </c>
      <c r="P22" s="12"/>
      <c r="Q22" s="46">
        <v>45104</v>
      </c>
    </row>
    <row r="23" spans="2:17" s="3" customFormat="1" ht="19.7" customHeight="1" x14ac:dyDescent="0.15">
      <c r="B23" s="38">
        <v>2</v>
      </c>
      <c r="C23" s="42" t="s">
        <v>25</v>
      </c>
      <c r="D23" s="42" t="s">
        <v>25</v>
      </c>
      <c r="E23" s="17" t="s">
        <v>36</v>
      </c>
      <c r="F23" s="17">
        <v>2</v>
      </c>
      <c r="G23" s="18">
        <v>7000</v>
      </c>
      <c r="H23" s="18">
        <f t="shared" si="2"/>
        <v>14000</v>
      </c>
      <c r="I23" s="27"/>
      <c r="J23" s="17" t="s">
        <v>37</v>
      </c>
      <c r="K23" s="41" t="s">
        <v>63</v>
      </c>
      <c r="L23" s="38"/>
      <c r="M23" s="13">
        <v>45089</v>
      </c>
      <c r="N23" s="9"/>
      <c r="O23" s="40">
        <v>45104</v>
      </c>
      <c r="P23" s="12"/>
      <c r="Q23" s="46">
        <v>45104</v>
      </c>
    </row>
    <row r="24" spans="2:17" s="3" customFormat="1" ht="19.7" customHeight="1" x14ac:dyDescent="0.15">
      <c r="B24" s="38">
        <v>2</v>
      </c>
      <c r="C24" s="42" t="s">
        <v>25</v>
      </c>
      <c r="D24" s="42" t="s">
        <v>25</v>
      </c>
      <c r="E24" s="17" t="s">
        <v>38</v>
      </c>
      <c r="F24" s="17">
        <v>2</v>
      </c>
      <c r="G24" s="18">
        <v>10000</v>
      </c>
      <c r="H24" s="18">
        <f t="shared" si="2"/>
        <v>20000</v>
      </c>
      <c r="I24" s="27"/>
      <c r="J24" s="17" t="s">
        <v>39</v>
      </c>
      <c r="K24" s="41" t="s">
        <v>63</v>
      </c>
      <c r="L24" s="38"/>
      <c r="M24" s="13">
        <v>45089</v>
      </c>
      <c r="N24" s="9"/>
      <c r="O24" s="40">
        <v>45104</v>
      </c>
      <c r="P24" s="12"/>
      <c r="Q24" s="46">
        <v>45104</v>
      </c>
    </row>
    <row r="25" spans="2:17" s="3" customFormat="1" ht="19.7" customHeight="1" x14ac:dyDescent="0.15">
      <c r="B25" s="38">
        <v>2</v>
      </c>
      <c r="C25" s="42" t="s">
        <v>25</v>
      </c>
      <c r="D25" s="42" t="s">
        <v>25</v>
      </c>
      <c r="E25" s="17" t="s">
        <v>40</v>
      </c>
      <c r="F25" s="17">
        <v>2</v>
      </c>
      <c r="G25" s="18">
        <v>17500</v>
      </c>
      <c r="H25" s="18">
        <f t="shared" si="2"/>
        <v>35000</v>
      </c>
      <c r="I25" s="27"/>
      <c r="J25" s="17" t="s">
        <v>41</v>
      </c>
      <c r="K25" s="41" t="s">
        <v>63</v>
      </c>
      <c r="L25" s="38"/>
      <c r="M25" s="13">
        <v>45089</v>
      </c>
      <c r="N25" s="9"/>
      <c r="O25" s="40">
        <v>45104</v>
      </c>
      <c r="P25" s="12"/>
      <c r="Q25" s="46">
        <v>45104</v>
      </c>
    </row>
    <row r="26" spans="2:17" s="49" customFormat="1" ht="19.7" customHeight="1" x14ac:dyDescent="0.15">
      <c r="B26" s="52">
        <v>2</v>
      </c>
      <c r="C26" s="42" t="s">
        <v>83</v>
      </c>
      <c r="D26" s="42" t="s">
        <v>83</v>
      </c>
      <c r="E26" s="17" t="s">
        <v>82</v>
      </c>
      <c r="F26" s="17">
        <v>2</v>
      </c>
      <c r="G26" s="17">
        <v>1910</v>
      </c>
      <c r="H26" s="18">
        <f t="shared" si="2"/>
        <v>3820</v>
      </c>
      <c r="I26" s="53"/>
      <c r="J26" s="17" t="s">
        <v>89</v>
      </c>
      <c r="K26" s="44" t="s">
        <v>64</v>
      </c>
      <c r="L26" s="52"/>
      <c r="M26" s="46">
        <v>45089</v>
      </c>
      <c r="N26" s="44"/>
      <c r="O26" s="47">
        <v>45104</v>
      </c>
      <c r="P26" s="48"/>
      <c r="Q26" s="46">
        <v>45089</v>
      </c>
    </row>
    <row r="27" spans="2:17" s="49" customFormat="1" ht="19.7" customHeight="1" x14ac:dyDescent="0.15">
      <c r="B27" s="52">
        <v>2</v>
      </c>
      <c r="C27" s="42" t="s">
        <v>83</v>
      </c>
      <c r="D27" s="42" t="s">
        <v>83</v>
      </c>
      <c r="E27" s="17" t="s">
        <v>51</v>
      </c>
      <c r="F27" s="17">
        <v>2</v>
      </c>
      <c r="G27" s="17">
        <v>155</v>
      </c>
      <c r="H27" s="18">
        <f t="shared" si="2"/>
        <v>310</v>
      </c>
      <c r="I27" s="53"/>
      <c r="J27" s="17" t="s">
        <v>88</v>
      </c>
      <c r="K27" s="44" t="s">
        <v>64</v>
      </c>
      <c r="L27" s="52"/>
      <c r="M27" s="46">
        <v>45089</v>
      </c>
      <c r="N27" s="44"/>
      <c r="O27" s="47">
        <v>45104</v>
      </c>
      <c r="P27" s="48"/>
      <c r="Q27" s="46">
        <v>45089</v>
      </c>
    </row>
    <row r="28" spans="2:17" s="49" customFormat="1" ht="19.7" customHeight="1" x14ac:dyDescent="0.15">
      <c r="B28" s="52">
        <v>2</v>
      </c>
      <c r="C28" s="42" t="s">
        <v>83</v>
      </c>
      <c r="D28" s="42" t="s">
        <v>83</v>
      </c>
      <c r="E28" s="17" t="s">
        <v>81</v>
      </c>
      <c r="F28" s="17">
        <v>2</v>
      </c>
      <c r="G28" s="17">
        <v>473</v>
      </c>
      <c r="H28" s="18">
        <f t="shared" si="2"/>
        <v>946</v>
      </c>
      <c r="I28" s="53"/>
      <c r="J28" s="17" t="s">
        <v>87</v>
      </c>
      <c r="K28" s="44" t="s">
        <v>64</v>
      </c>
      <c r="L28" s="52"/>
      <c r="M28" s="46">
        <v>45089</v>
      </c>
      <c r="N28" s="44"/>
      <c r="O28" s="47">
        <v>45104</v>
      </c>
      <c r="P28" s="48"/>
      <c r="Q28" s="46">
        <v>45089</v>
      </c>
    </row>
    <row r="29" spans="2:17" s="49" customFormat="1" ht="19.7" customHeight="1" x14ac:dyDescent="0.15">
      <c r="B29" s="52">
        <v>2</v>
      </c>
      <c r="C29" s="42" t="s">
        <v>83</v>
      </c>
      <c r="D29" s="42" t="s">
        <v>83</v>
      </c>
      <c r="E29" s="17" t="s">
        <v>80</v>
      </c>
      <c r="F29" s="17">
        <v>2</v>
      </c>
      <c r="G29" s="17">
        <v>198</v>
      </c>
      <c r="H29" s="18">
        <f t="shared" si="2"/>
        <v>396</v>
      </c>
      <c r="I29" s="53"/>
      <c r="J29" s="17" t="s">
        <v>86</v>
      </c>
      <c r="K29" s="44" t="s">
        <v>64</v>
      </c>
      <c r="L29" s="52"/>
      <c r="M29" s="46">
        <v>45089</v>
      </c>
      <c r="N29" s="44"/>
      <c r="O29" s="47">
        <v>45104</v>
      </c>
      <c r="P29" s="48"/>
      <c r="Q29" s="46">
        <v>45089</v>
      </c>
    </row>
    <row r="30" spans="2:17" s="49" customFormat="1" ht="19.7" customHeight="1" x14ac:dyDescent="0.15">
      <c r="B30" s="52">
        <v>2</v>
      </c>
      <c r="C30" s="42" t="s">
        <v>83</v>
      </c>
      <c r="D30" s="42" t="s">
        <v>83</v>
      </c>
      <c r="E30" s="17" t="s">
        <v>79</v>
      </c>
      <c r="F30" s="17">
        <v>2</v>
      </c>
      <c r="G30" s="17">
        <v>212</v>
      </c>
      <c r="H30" s="18">
        <f t="shared" si="2"/>
        <v>424</v>
      </c>
      <c r="I30" s="54"/>
      <c r="J30" s="17" t="s">
        <v>85</v>
      </c>
      <c r="K30" s="44" t="s">
        <v>64</v>
      </c>
      <c r="L30" s="52"/>
      <c r="M30" s="46">
        <v>45089</v>
      </c>
      <c r="N30" s="44"/>
      <c r="O30" s="47">
        <v>45104</v>
      </c>
      <c r="P30" s="48"/>
      <c r="Q30" s="46">
        <v>45089</v>
      </c>
    </row>
    <row r="31" spans="2:17" s="49" customFormat="1" ht="19.7" customHeight="1" x14ac:dyDescent="0.15">
      <c r="B31" s="52">
        <v>2</v>
      </c>
      <c r="C31" s="42" t="s">
        <v>83</v>
      </c>
      <c r="D31" s="42" t="s">
        <v>83</v>
      </c>
      <c r="E31" s="17" t="s">
        <v>78</v>
      </c>
      <c r="F31" s="17">
        <v>8</v>
      </c>
      <c r="G31" s="17">
        <v>198</v>
      </c>
      <c r="H31" s="18">
        <f t="shared" si="2"/>
        <v>1584</v>
      </c>
      <c r="I31" s="54"/>
      <c r="J31" s="17" t="s">
        <v>85</v>
      </c>
      <c r="K31" s="44" t="s">
        <v>64</v>
      </c>
      <c r="L31" s="52"/>
      <c r="M31" s="46">
        <v>45089</v>
      </c>
      <c r="N31" s="44"/>
      <c r="O31" s="47">
        <v>45104</v>
      </c>
      <c r="P31" s="48"/>
      <c r="Q31" s="46">
        <v>45089</v>
      </c>
    </row>
    <row r="32" spans="2:17" s="49" customFormat="1" ht="19.7" customHeight="1" x14ac:dyDescent="0.15">
      <c r="B32" s="52">
        <v>2</v>
      </c>
      <c r="C32" s="42" t="s">
        <v>83</v>
      </c>
      <c r="D32" s="42" t="s">
        <v>83</v>
      </c>
      <c r="E32" s="17" t="s">
        <v>77</v>
      </c>
      <c r="F32" s="17">
        <v>4</v>
      </c>
      <c r="G32" s="17">
        <v>198</v>
      </c>
      <c r="H32" s="18">
        <f t="shared" si="2"/>
        <v>792</v>
      </c>
      <c r="I32" s="54"/>
      <c r="J32" s="17" t="s">
        <v>85</v>
      </c>
      <c r="K32" s="44" t="s">
        <v>64</v>
      </c>
      <c r="L32" s="42"/>
      <c r="M32" s="46">
        <v>45089</v>
      </c>
      <c r="N32" s="44"/>
      <c r="O32" s="47">
        <v>45104</v>
      </c>
      <c r="P32" s="48"/>
      <c r="Q32" s="46">
        <v>45089</v>
      </c>
    </row>
    <row r="33" spans="2:17" s="49" customFormat="1" ht="19.7" customHeight="1" x14ac:dyDescent="0.15">
      <c r="B33" s="52">
        <v>2</v>
      </c>
      <c r="C33" s="42" t="s">
        <v>83</v>
      </c>
      <c r="D33" s="42" t="s">
        <v>83</v>
      </c>
      <c r="E33" s="17" t="s">
        <v>76</v>
      </c>
      <c r="F33" s="17">
        <v>4</v>
      </c>
      <c r="G33" s="17">
        <v>212</v>
      </c>
      <c r="H33" s="18">
        <f t="shared" si="2"/>
        <v>848</v>
      </c>
      <c r="I33" s="54"/>
      <c r="J33" s="17" t="s">
        <v>85</v>
      </c>
      <c r="K33" s="44" t="s">
        <v>64</v>
      </c>
      <c r="L33" s="42"/>
      <c r="M33" s="46">
        <v>45089</v>
      </c>
      <c r="N33" s="44"/>
      <c r="O33" s="47">
        <v>45104</v>
      </c>
      <c r="P33" s="48"/>
      <c r="Q33" s="46">
        <v>45089</v>
      </c>
    </row>
    <row r="34" spans="2:17" s="49" customFormat="1" ht="19.7" customHeight="1" x14ac:dyDescent="0.15">
      <c r="B34" s="52">
        <v>2</v>
      </c>
      <c r="C34" s="42" t="s">
        <v>83</v>
      </c>
      <c r="D34" s="42" t="s">
        <v>83</v>
      </c>
      <c r="E34" s="17" t="s">
        <v>75</v>
      </c>
      <c r="F34" s="17">
        <v>8</v>
      </c>
      <c r="G34" s="17">
        <v>226</v>
      </c>
      <c r="H34" s="18">
        <f t="shared" si="2"/>
        <v>1808</v>
      </c>
      <c r="I34" s="54"/>
      <c r="J34" s="17" t="s">
        <v>85</v>
      </c>
      <c r="K34" s="44" t="s">
        <v>64</v>
      </c>
      <c r="L34" s="42"/>
      <c r="M34" s="46">
        <v>45089</v>
      </c>
      <c r="N34" s="44"/>
      <c r="O34" s="47">
        <v>45104</v>
      </c>
      <c r="P34" s="48"/>
      <c r="Q34" s="46">
        <v>45089</v>
      </c>
    </row>
    <row r="35" spans="2:17" s="49" customFormat="1" ht="19.7" customHeight="1" x14ac:dyDescent="0.15">
      <c r="B35" s="52">
        <v>2</v>
      </c>
      <c r="C35" s="42" t="s">
        <v>83</v>
      </c>
      <c r="D35" s="42" t="s">
        <v>83</v>
      </c>
      <c r="E35" s="17" t="s">
        <v>74</v>
      </c>
      <c r="F35" s="17">
        <v>16</v>
      </c>
      <c r="G35" s="17">
        <v>23</v>
      </c>
      <c r="H35" s="18">
        <f t="shared" si="2"/>
        <v>368</v>
      </c>
      <c r="I35" s="54"/>
      <c r="J35" s="17" t="s">
        <v>85</v>
      </c>
      <c r="K35" s="44" t="s">
        <v>64</v>
      </c>
      <c r="L35" s="42"/>
      <c r="M35" s="46">
        <v>45089</v>
      </c>
      <c r="N35" s="44"/>
      <c r="O35" s="47">
        <v>45104</v>
      </c>
      <c r="P35" s="48"/>
      <c r="Q35" s="46">
        <v>45089</v>
      </c>
    </row>
    <row r="36" spans="2:17" s="49" customFormat="1" ht="19.7" customHeight="1" x14ac:dyDescent="0.15">
      <c r="B36" s="52">
        <v>2</v>
      </c>
      <c r="C36" s="42" t="s">
        <v>83</v>
      </c>
      <c r="D36" s="42" t="s">
        <v>83</v>
      </c>
      <c r="E36" s="17" t="s">
        <v>73</v>
      </c>
      <c r="F36" s="17">
        <v>12</v>
      </c>
      <c r="G36" s="17">
        <v>23</v>
      </c>
      <c r="H36" s="18">
        <f t="shared" si="2"/>
        <v>276</v>
      </c>
      <c r="I36" s="54"/>
      <c r="J36" s="17" t="s">
        <v>85</v>
      </c>
      <c r="K36" s="44" t="s">
        <v>64</v>
      </c>
      <c r="L36" s="42"/>
      <c r="M36" s="46">
        <v>45089</v>
      </c>
      <c r="N36" s="44"/>
      <c r="O36" s="47">
        <v>45104</v>
      </c>
      <c r="P36" s="48"/>
      <c r="Q36" s="46">
        <v>45089</v>
      </c>
    </row>
    <row r="37" spans="2:17" s="3" customFormat="1" ht="19.7" customHeight="1" x14ac:dyDescent="0.15">
      <c r="B37" s="38">
        <v>2</v>
      </c>
      <c r="C37" s="10" t="s">
        <v>83</v>
      </c>
      <c r="D37" s="10" t="s">
        <v>83</v>
      </c>
      <c r="E37" s="15" t="s">
        <v>72</v>
      </c>
      <c r="F37" s="15">
        <v>4</v>
      </c>
      <c r="G37" s="15">
        <v>750</v>
      </c>
      <c r="H37" s="18">
        <f t="shared" si="2"/>
        <v>3000</v>
      </c>
      <c r="I37" s="16"/>
      <c r="J37" s="15" t="s">
        <v>84</v>
      </c>
      <c r="K37" s="9" t="s">
        <v>64</v>
      </c>
      <c r="L37" s="10"/>
      <c r="M37" s="13">
        <v>45096</v>
      </c>
      <c r="N37" s="9"/>
      <c r="O37" s="40">
        <v>45104</v>
      </c>
      <c r="P37" s="12"/>
      <c r="Q37" s="13">
        <v>45096</v>
      </c>
    </row>
    <row r="38" spans="2:17" s="3" customFormat="1" ht="19.7" customHeight="1" x14ac:dyDescent="0.15">
      <c r="B38" s="38">
        <v>2</v>
      </c>
      <c r="C38" s="10" t="s">
        <v>26</v>
      </c>
      <c r="D38" s="10" t="s">
        <v>23</v>
      </c>
      <c r="E38" s="34" t="s">
        <v>48</v>
      </c>
      <c r="F38" s="15">
        <v>2</v>
      </c>
      <c r="G38" s="30">
        <v>730</v>
      </c>
      <c r="H38" s="18">
        <f t="shared" ref="H38:H39" si="3">G38*F38</f>
        <v>1460</v>
      </c>
      <c r="I38" s="14"/>
      <c r="J38" s="15" t="s">
        <v>44</v>
      </c>
      <c r="K38" s="41" t="s">
        <v>63</v>
      </c>
      <c r="L38" s="10" t="s">
        <v>62</v>
      </c>
      <c r="M38" s="13">
        <v>45089</v>
      </c>
      <c r="N38" s="9"/>
      <c r="O38" s="40">
        <v>45104</v>
      </c>
      <c r="P38" s="12"/>
      <c r="Q38" s="13">
        <v>45099</v>
      </c>
    </row>
    <row r="39" spans="2:17" s="3" customFormat="1" ht="19.7" customHeight="1" x14ac:dyDescent="0.15">
      <c r="B39" s="38">
        <v>2</v>
      </c>
      <c r="C39" s="10" t="s">
        <v>26</v>
      </c>
      <c r="D39" s="10" t="s">
        <v>23</v>
      </c>
      <c r="E39" s="34" t="s">
        <v>47</v>
      </c>
      <c r="F39" s="15">
        <v>2</v>
      </c>
      <c r="G39" s="30">
        <v>250</v>
      </c>
      <c r="H39" s="18">
        <f t="shared" si="3"/>
        <v>500</v>
      </c>
      <c r="I39" s="14"/>
      <c r="J39" s="15" t="s">
        <v>43</v>
      </c>
      <c r="K39" s="41" t="s">
        <v>63</v>
      </c>
      <c r="L39" s="10" t="s">
        <v>62</v>
      </c>
      <c r="M39" s="13">
        <v>45089</v>
      </c>
      <c r="N39" s="9"/>
      <c r="O39" s="40">
        <v>45104</v>
      </c>
      <c r="P39" s="12"/>
      <c r="Q39" s="13">
        <v>45099</v>
      </c>
    </row>
    <row r="40" spans="2:17" s="3" customFormat="1" ht="19.7" customHeight="1" x14ac:dyDescent="0.15">
      <c r="B40" s="38">
        <v>2</v>
      </c>
      <c r="C40" s="10" t="s">
        <v>24</v>
      </c>
      <c r="D40" s="10" t="s">
        <v>28</v>
      </c>
      <c r="E40" s="34" t="s">
        <v>29</v>
      </c>
      <c r="F40" s="15">
        <v>2</v>
      </c>
      <c r="G40" s="30">
        <v>1280</v>
      </c>
      <c r="H40" s="18">
        <f>G40*F40</f>
        <v>2560</v>
      </c>
      <c r="I40" s="14"/>
      <c r="J40" s="17" t="s">
        <v>27</v>
      </c>
      <c r="K40" s="41" t="s">
        <v>63</v>
      </c>
      <c r="L40" s="36" t="s">
        <v>56</v>
      </c>
      <c r="M40" s="43" t="s">
        <v>90</v>
      </c>
      <c r="N40" s="9"/>
      <c r="O40" s="40">
        <v>45104</v>
      </c>
      <c r="P40" s="12"/>
      <c r="Q40" s="13"/>
    </row>
    <row r="41" spans="2:17" s="3" customFormat="1" ht="19.7" customHeight="1" x14ac:dyDescent="0.15">
      <c r="B41" s="38">
        <v>2</v>
      </c>
      <c r="C41" s="10" t="s">
        <v>45</v>
      </c>
      <c r="D41" s="10" t="s">
        <v>53</v>
      </c>
      <c r="E41" s="34" t="s">
        <v>46</v>
      </c>
      <c r="F41" s="15">
        <v>0</v>
      </c>
      <c r="G41" s="30">
        <v>0</v>
      </c>
      <c r="H41" s="18">
        <f>G41*F41</f>
        <v>0</v>
      </c>
      <c r="I41" s="14"/>
      <c r="J41" s="15" t="s">
        <v>42</v>
      </c>
      <c r="K41" s="36"/>
      <c r="L41" s="36" t="s">
        <v>55</v>
      </c>
      <c r="M41" s="13"/>
      <c r="N41" s="9"/>
      <c r="O41" s="40">
        <v>45104</v>
      </c>
      <c r="P41" s="12"/>
      <c r="Q41" s="13"/>
    </row>
    <row r="42" spans="2:17" s="3" customFormat="1" ht="19.7" customHeight="1" x14ac:dyDescent="0.15">
      <c r="B42" s="38">
        <v>2</v>
      </c>
      <c r="C42" s="10" t="s">
        <v>45</v>
      </c>
      <c r="D42" s="10" t="s">
        <v>53</v>
      </c>
      <c r="E42" s="34" t="s">
        <v>49</v>
      </c>
      <c r="F42" s="15">
        <v>0</v>
      </c>
      <c r="G42" s="37">
        <v>0</v>
      </c>
      <c r="H42" s="18">
        <f>G42*F42</f>
        <v>0</v>
      </c>
      <c r="I42" s="14"/>
      <c r="J42" s="15" t="s">
        <v>50</v>
      </c>
      <c r="K42" s="36"/>
      <c r="L42" s="36" t="s">
        <v>55</v>
      </c>
      <c r="M42" s="13"/>
      <c r="N42" s="9"/>
      <c r="O42" s="40">
        <v>45104</v>
      </c>
      <c r="P42" s="12"/>
      <c r="Q42" s="13"/>
    </row>
    <row r="43" spans="2:17" s="3" customFormat="1" ht="19.7" customHeight="1" x14ac:dyDescent="0.15">
      <c r="B43" s="9"/>
      <c r="C43" s="15"/>
      <c r="D43" s="15"/>
      <c r="E43" s="15"/>
      <c r="F43" s="15"/>
      <c r="G43" s="30"/>
      <c r="H43" s="30"/>
      <c r="I43" s="35"/>
      <c r="J43" s="15"/>
      <c r="K43" s="10"/>
      <c r="L43" s="10"/>
      <c r="M43" s="13"/>
      <c r="N43" s="9"/>
      <c r="O43" s="10"/>
      <c r="P43" s="12"/>
      <c r="Q43" s="13"/>
    </row>
    <row r="44" spans="2:17" s="3" customFormat="1" ht="19.7" customHeight="1" x14ac:dyDescent="0.15">
      <c r="B44" s="9"/>
      <c r="C44" s="15"/>
      <c r="D44" s="15"/>
      <c r="E44" s="15"/>
      <c r="F44" s="15"/>
      <c r="G44" s="30"/>
      <c r="H44" s="30">
        <f t="shared" ref="H44:H45" si="4">F44*G44</f>
        <v>0</v>
      </c>
      <c r="I44" s="35"/>
      <c r="J44" s="15"/>
      <c r="K44" s="10"/>
      <c r="L44" s="10"/>
      <c r="M44" s="13"/>
      <c r="N44" s="9"/>
      <c r="O44" s="10"/>
      <c r="P44" s="12"/>
      <c r="Q44" s="13"/>
    </row>
    <row r="45" spans="2:17" s="3" customFormat="1" ht="19.7" customHeight="1" x14ac:dyDescent="0.15">
      <c r="B45" s="9"/>
      <c r="C45" s="9"/>
      <c r="D45" s="9"/>
      <c r="E45" s="10"/>
      <c r="F45" s="10"/>
      <c r="G45" s="10"/>
      <c r="H45" s="30">
        <f t="shared" si="4"/>
        <v>0</v>
      </c>
      <c r="I45" s="11"/>
      <c r="J45" s="10"/>
      <c r="K45" s="10"/>
      <c r="L45" s="10"/>
      <c r="M45" s="13"/>
      <c r="N45" s="9"/>
      <c r="O45" s="10"/>
      <c r="P45" s="12"/>
      <c r="Q45" s="13"/>
    </row>
  </sheetData>
  <autoFilter ref="B9:O45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3" t="s">
        <v>11</v>
      </c>
      <c r="B1" s="1" t="s">
        <v>52</v>
      </c>
    </row>
    <row r="2" spans="1:2" ht="17.25" x14ac:dyDescent="0.15">
      <c r="A2" s="33" t="s">
        <v>10</v>
      </c>
      <c r="B2" s="6" t="s">
        <v>22</v>
      </c>
    </row>
    <row r="3" spans="1:2" ht="17.25" x14ac:dyDescent="0.15">
      <c r="A3" s="33" t="s">
        <v>12</v>
      </c>
      <c r="B3" s="6">
        <v>201045</v>
      </c>
    </row>
    <row r="4" spans="1:2" ht="17.25" x14ac:dyDescent="0.15">
      <c r="A4" s="33" t="s">
        <v>13</v>
      </c>
      <c r="B4" s="7">
        <v>44946</v>
      </c>
    </row>
    <row r="5" spans="1:2" ht="17.25" x14ac:dyDescent="0.15">
      <c r="A5" s="33" t="s">
        <v>14</v>
      </c>
      <c r="B5" s="7">
        <v>45056</v>
      </c>
    </row>
  </sheetData>
  <phoneticPr fontId="15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2023-06-27T05:18:05Z</dcterms:modified>
</cp:coreProperties>
</file>