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0074227B-57FD-46CD-8EE6-AA4C33F6BF29}" xr6:coauthVersionLast="47" xr6:coauthVersionMax="47" xr10:uidLastSave="{00000000-0000-0000-0000-000000000000}"/>
  <bookViews>
    <workbookView xWindow="1476" yWindow="1008" windowWidth="19416" windowHeight="10416" xr2:uid="{00000000-000D-0000-FFFF-FFFF00000000}"/>
  </bookViews>
  <sheets>
    <sheet name="20230428" sheetId="12" r:id="rId1"/>
    <sheet name="Sheet1" sheetId="13" r:id="rId2"/>
    <sheet name="Sheet2" sheetId="2" r:id="rId3"/>
    <sheet name="Sheet3" sheetId="3" r:id="rId4"/>
  </sheets>
  <definedNames>
    <definedName name="_xlnm._FilterDatabase" localSheetId="0">'20230428'!$C$8:$P$8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9" i="12" l="1"/>
  <c r="I17" i="12"/>
  <c r="I15" i="12"/>
  <c r="I12" i="12"/>
  <c r="I11" i="12"/>
  <c r="I14" i="12"/>
  <c r="I13" i="12"/>
  <c r="I10" i="12"/>
  <c r="I24" i="12"/>
  <c r="I23" i="12"/>
  <c r="I22" i="12"/>
  <c r="K2" i="12" l="1"/>
</calcChain>
</file>

<file path=xl/sharedStrings.xml><?xml version="1.0" encoding="utf-8"?>
<sst xmlns="http://schemas.openxmlformats.org/spreadsheetml/2006/main" count="71" uniqueCount="54">
  <si>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</si>
  <si>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</si>
  <si>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</si>
  <si>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</si>
  <si>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</si>
  <si>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</si>
  <si>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</si>
  <si>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</si>
  <si>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</si>
  <si>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</si>
  <si>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</si>
  <si>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</si>
  <si>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</si>
  <si>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</si>
  <si>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</si>
  <si>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</si>
  <si>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</si>
  <si>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</si>
  <si>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</si>
  <si>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</si>
  <si>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</si>
  <si>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</si>
  <si>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運送費</t>
  </si>
  <si>
    <t>設計費</t>
  </si>
  <si>
    <t>組立調整費</t>
  </si>
  <si>
    <t>出荷依頼項目NO.</t>
    <rPh sb="0" eb="4">
      <t>シュッカイライ</t>
    </rPh>
    <rPh sb="4" eb="6">
      <t>コウモク</t>
    </rPh>
    <phoneticPr fontId="9"/>
  </si>
  <si>
    <t>図面NO.　SETB-0150-A01</t>
    <rPh sb="0" eb="2">
      <t>ズメン</t>
    </rPh>
    <phoneticPr fontId="9"/>
  </si>
  <si>
    <t>ｹｼｰﾙ</t>
    <phoneticPr fontId="9"/>
  </si>
  <si>
    <t>Axend (ﾕｰｻﾞｰ：Cirtekﾌｨﾘﾋﾟﾝ)様　</t>
    <phoneticPr fontId="9"/>
  </si>
  <si>
    <t>Ｎo.207216</t>
    <phoneticPr fontId="9"/>
  </si>
  <si>
    <t>SETB0150-X06-2　ﾜｰｸ治具　Type1</t>
    <phoneticPr fontId="9"/>
  </si>
  <si>
    <t>meviy</t>
    <phoneticPr fontId="9"/>
  </si>
  <si>
    <t>ﾐｽﾐ</t>
    <phoneticPr fontId="9"/>
  </si>
  <si>
    <t>MVBLK-AMW-3FM-3W45Y</t>
    <phoneticPr fontId="9"/>
  </si>
  <si>
    <t>MS3-10</t>
    <phoneticPr fontId="9"/>
  </si>
  <si>
    <t>MS3-6</t>
    <phoneticPr fontId="9"/>
  </si>
  <si>
    <t>CBSST3-5</t>
    <phoneticPr fontId="9"/>
  </si>
  <si>
    <t>６日目</t>
    <rPh sb="1" eb="2">
      <t>ヒ</t>
    </rPh>
    <rPh sb="2" eb="3">
      <t>メ</t>
    </rPh>
    <phoneticPr fontId="9"/>
  </si>
  <si>
    <t>8日目</t>
    <rPh sb="1" eb="2">
      <t>ヒ</t>
    </rPh>
    <rPh sb="2" eb="3">
      <t>メ</t>
    </rPh>
    <phoneticPr fontId="9"/>
  </si>
  <si>
    <t>SETB0150-X09-1 ﾜｰｸ位置決め部品</t>
    <phoneticPr fontId="9"/>
  </si>
  <si>
    <t>MVBLK-SUB-3FX-S1RR9</t>
    <phoneticPr fontId="9"/>
  </si>
  <si>
    <t>1日目</t>
    <rPh sb="1" eb="2">
      <t>ヒ</t>
    </rPh>
    <rPh sb="2" eb="3">
      <t>メ</t>
    </rPh>
    <phoneticPr fontId="9"/>
  </si>
  <si>
    <t xml:space="preserve"> ノックピン　　24本</t>
    <rPh sb="10" eb="11">
      <t>ホン</t>
    </rPh>
    <phoneticPr fontId="9"/>
  </si>
  <si>
    <t xml:space="preserve"> ノックピン　2×2本</t>
    <rPh sb="10" eb="11">
      <t>ホン</t>
    </rPh>
    <phoneticPr fontId="9"/>
  </si>
  <si>
    <t xml:space="preserve"> 低頭六角穴付ボルト　 　2×2本</t>
    <rPh sb="16" eb="17">
      <t>ホン</t>
    </rPh>
    <phoneticPr fontId="9"/>
  </si>
  <si>
    <t>WP43D4E59300</t>
    <phoneticPr fontId="9"/>
  </si>
  <si>
    <t>WP43D4E69B00</t>
    <phoneticPr fontId="9"/>
  </si>
  <si>
    <t>①</t>
    <phoneticPr fontId="9"/>
  </si>
  <si>
    <t>MedusaNGA 01 ﾘｰﾄﾞﾌﾚｰﾑd治具　</t>
    <phoneticPr fontId="9"/>
  </si>
  <si>
    <t>AXA卓上ﾛﾎﾞｯﾄ ﾜｰｸ MedusaNGA 01 ﾘｰﾄﾞﾌﾚｰﾑd治具　</t>
    <rPh sb="0" eb="5">
      <t>チサチタクジョウ</t>
    </rPh>
    <phoneticPr fontId="9"/>
  </si>
  <si>
    <t>2日目</t>
    <rPh sb="1" eb="2">
      <t>ヒ</t>
    </rPh>
    <rPh sb="2" eb="3">
      <t>メ</t>
    </rPh>
    <phoneticPr fontId="9"/>
  </si>
  <si>
    <t>RBFMFA0.5-209-39</t>
    <phoneticPr fontId="9"/>
  </si>
  <si>
    <t xml:space="preserve">ﾌｯｿｺﾞﾑｼｰﾄ ｼｰﾙﾂｷ RBFMFA </t>
    <phoneticPr fontId="9"/>
  </si>
  <si>
    <t>WP43DB99D100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</si>
</sst>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</numFmts>
  <fonts count="15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6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8998382518997772"/>
        <bgColor indexed="64"/>
      </patternFill>
    </fill>
    <fill>
      <patternFill patternType="solid">
        <fgColor rgb="FFFFFF9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</cellStyleXfs>
  <cellXfs count="7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8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6" fontId="0" fillId="0" borderId="8" xfId="0" applyNumberFormat="1" applyBorder="1" applyAlignment="1"/>
    <xf numFmtId="0" fontId="8" fillId="0" borderId="0" xfId="0" applyFont="1">
      <alignment vertical="center"/>
    </xf>
    <xf numFmtId="0" fontId="0" fillId="0" borderId="8" xfId="0" applyBorder="1" applyAlignment="1">
      <alignment vertical="center" shrinkToFit="1"/>
    </xf>
    <xf numFmtId="3" fontId="0" fillId="0" borderId="7" xfId="0" applyNumberForma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8" fillId="0" borderId="8" xfId="3" applyBorder="1" applyAlignment="1">
      <alignment horizontal="center" vertical="center"/>
    </xf>
    <xf numFmtId="3" fontId="8" fillId="0" borderId="8" xfId="3" applyNumberFormat="1" applyBorder="1" applyAlignment="1">
      <alignment horizontal="center" vertical="center"/>
    </xf>
    <xf numFmtId="0" fontId="8" fillId="0" borderId="9" xfId="3" applyBorder="1" applyAlignment="1">
      <alignment horizontal="center" vertical="center"/>
    </xf>
    <xf numFmtId="0" fontId="8" fillId="0" borderId="8" xfId="3" applyBorder="1">
      <alignment vertical="center"/>
    </xf>
    <xf numFmtId="0" fontId="8" fillId="0" borderId="8" xfId="3" applyBorder="1" applyAlignment="1">
      <alignment horizontal="left" vertical="center"/>
    </xf>
    <xf numFmtId="49" fontId="8" fillId="0" borderId="8" xfId="3" applyNumberFormat="1" applyBorder="1" applyAlignment="1">
      <alignment horizontal="left" vertical="center"/>
    </xf>
    <xf numFmtId="0" fontId="0" fillId="0" borderId="7" xfId="0" applyBorder="1" applyAlignment="1">
      <alignment horizontal="left" vertical="center" shrinkToFit="1"/>
    </xf>
    <xf numFmtId="49" fontId="8" fillId="0" borderId="10" xfId="3" applyNumberFormat="1" applyBorder="1" applyAlignment="1">
      <alignment horizontal="left" vertical="center"/>
    </xf>
    <xf numFmtId="0" fontId="8" fillId="0" borderId="13" xfId="3" applyBorder="1" applyAlignment="1">
      <alignment horizontal="center" vertical="center"/>
    </xf>
    <xf numFmtId="38" fontId="8" fillId="0" borderId="10" xfId="3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8" fillId="0" borderId="8" xfId="0" applyFont="1" applyBorder="1" applyAlignment="1">
      <alignment vertical="center" shrinkToFit="1"/>
    </xf>
    <xf numFmtId="0" fontId="8" fillId="0" borderId="8" xfId="0" applyFont="1" applyBorder="1" applyAlignment="1">
      <alignment horizontal="center" vertical="center"/>
    </xf>
    <xf numFmtId="0" fontId="8" fillId="0" borderId="10" xfId="3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6" fillId="0" borderId="8" xfId="0" applyNumberFormat="1" applyFont="1" applyBorder="1">
      <alignment vertical="center"/>
    </xf>
    <xf numFmtId="176" fontId="0" fillId="0" borderId="8" xfId="0" applyNumberFormat="1" applyBorder="1">
      <alignment vertical="center"/>
    </xf>
    <xf numFmtId="176" fontId="14" fillId="6" borderId="8" xfId="0" applyNumberFormat="1" applyFont="1" applyFill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 vertical="center" shrinkToFit="1"/>
    </xf>
    <xf numFmtId="0" fontId="8" fillId="0" borderId="0" xfId="0" applyFont="1" applyAlignment="1">
      <alignment horizontal="center" vertical="center"/>
    </xf>
  </cellXfs>
  <cellStyles count="5">
    <cellStyle name="ハイパーリンク" xfId="2" xr:uid="{00000000-0005-0000-0000-000000000000}"/>
    <cellStyle name="標準" xfId="0" builtinId="0"/>
    <cellStyle name="標準 2" xfId="4" xr:uid="{C2CBC382-4BC1-4D3B-B64A-4DC2C10C5618}"/>
    <cellStyle name="標準 3" xfId="3" xr:uid="{1B9717F3-D5E1-4047-8E84-2BA2544C8F2B}"/>
    <cellStyle name="表示済みのハイパーリンク" xfId="1" xr:uid="{00000000-0005-0000-0000-000003000000}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00B5-EE36-4172-912D-1EAD2DE8984B}">
  <sheetPr>
    <tabColor rgb="FFFFC000"/>
  </sheetPr>
  <dimension ref="A2:R28"/>
  <sheetViews>
    <sheetView tabSelected="1" zoomScale="85" zoomScaleNormal="85" workbookViewId="0">
      <pane xSplit="11" ySplit="8" topLeftCell="L9" activePane="bottomRight" state="frozen"/>
      <selection activeCell="D26" sqref="D26"/>
      <selection pane="topRight" activeCell="D26" sqref="D26"/>
      <selection pane="bottomLeft" activeCell="D26" sqref="D26"/>
      <selection pane="bottomRight" activeCell="F13" sqref="F13"/>
    </sheetView>
  </sheetViews>
  <sheetFormatPr defaultColWidth="11.77734375" defaultRowHeight="13.5" customHeight="1" x14ac:dyDescent="0.2"/>
  <cols>
    <col min="1" max="1" width="18.6640625" customWidth="1"/>
    <col min="2" max="2" width="17" customWidth="1"/>
    <col min="3" max="3" width="6.21875" style="3" customWidth="1"/>
    <col min="4" max="4" width="15.21875" customWidth="1"/>
    <col min="5" max="5" width="15.44140625" customWidth="1"/>
    <col min="6" max="6" width="66.44140625" customWidth="1"/>
    <col min="7" max="7" width="7.77734375" style="3" customWidth="1"/>
    <col min="8" max="8" width="9.6640625" style="3" customWidth="1"/>
    <col min="9" max="9" width="9.33203125" style="3" customWidth="1"/>
    <col min="10" max="10" width="7.109375" style="12" customWidth="1"/>
    <col min="11" max="11" width="44.88671875" customWidth="1"/>
    <col min="12" max="12" width="26.21875" customWidth="1"/>
    <col min="13" max="13" width="8.109375" style="3" customWidth="1"/>
    <col min="14" max="14" width="17" style="3" customWidth="1"/>
    <col min="15" max="15" width="7.88671875" customWidth="1"/>
    <col min="16" max="16" width="16.33203125" style="3" customWidth="1"/>
    <col min="17" max="17" width="17.88671875" style="24" customWidth="1"/>
    <col min="18" max="18" width="19.33203125" style="24" customWidth="1"/>
  </cols>
  <sheetData>
    <row r="2" spans="1:18" ht="20.100000000000001" customHeight="1" x14ac:dyDescent="0.2">
      <c r="C2" s="61" t="s">
        <v>0</v>
      </c>
      <c r="D2" s="61"/>
      <c r="E2" s="61"/>
      <c r="F2" s="21" t="s">
        <v>28</v>
      </c>
      <c r="H2" s="66" t="s">
        <v>1</v>
      </c>
      <c r="I2" s="67"/>
      <c r="J2" s="68"/>
      <c r="K2" s="11">
        <f>SUM(I:I)</f>
        <v>41870</v>
      </c>
    </row>
    <row r="3" spans="1:18" ht="20.100000000000001" customHeight="1" x14ac:dyDescent="0.2">
      <c r="C3" s="61" t="s">
        <v>2</v>
      </c>
      <c r="D3" s="61"/>
      <c r="E3" s="61"/>
      <c r="F3" s="9" t="s">
        <v>27</v>
      </c>
    </row>
    <row r="4" spans="1:18" ht="20.100000000000001" customHeight="1" x14ac:dyDescent="0.2">
      <c r="C4" s="61" t="s">
        <v>3</v>
      </c>
      <c r="D4" s="61"/>
      <c r="E4" s="61"/>
      <c r="F4" s="9" t="s">
        <v>29</v>
      </c>
      <c r="G4" s="70" t="s">
        <v>47</v>
      </c>
      <c r="H4" s="69" t="s">
        <v>48</v>
      </c>
      <c r="I4" s="69"/>
      <c r="J4" s="69"/>
      <c r="K4" s="69"/>
      <c r="L4" s="27"/>
    </row>
    <row r="5" spans="1:18" ht="20.100000000000001" customHeight="1" x14ac:dyDescent="0.2">
      <c r="C5" s="61" t="s">
        <v>4</v>
      </c>
      <c r="D5" s="61"/>
      <c r="E5" s="61"/>
      <c r="F5" s="10">
        <v>45135</v>
      </c>
      <c r="G5" s="70"/>
      <c r="H5" s="69"/>
      <c r="I5" s="69"/>
      <c r="J5" s="69"/>
      <c r="K5" s="69"/>
    </row>
    <row r="6" spans="1:18" ht="20.100000000000001" customHeight="1" x14ac:dyDescent="0.2">
      <c r="C6" s="61" t="s">
        <v>5</v>
      </c>
      <c r="D6" s="61"/>
      <c r="E6" s="61"/>
      <c r="F6" s="10">
        <v>45135</v>
      </c>
      <c r="H6" s="62" t="s">
        <v>26</v>
      </c>
      <c r="I6" s="62"/>
      <c r="J6" s="62"/>
      <c r="K6" s="62"/>
    </row>
    <row r="8" spans="1:18" s="3" customFormat="1" ht="19.5" customHeight="1" x14ac:dyDescent="0.2">
      <c r="B8" s="30" t="s">
        <v>25</v>
      </c>
      <c r="C8" s="29" t="s">
        <v>6</v>
      </c>
      <c r="D8" s="4" t="s">
        <v>7</v>
      </c>
      <c r="E8" s="4" t="s">
        <v>8</v>
      </c>
      <c r="F8" s="1" t="s">
        <v>9</v>
      </c>
      <c r="G8" s="1" t="s">
        <v>10</v>
      </c>
      <c r="H8" s="1" t="s">
        <v>11</v>
      </c>
      <c r="I8" s="2" t="s">
        <v>12</v>
      </c>
      <c r="J8" s="2" t="s">
        <v>13</v>
      </c>
      <c r="K8" s="1" t="s">
        <v>14</v>
      </c>
      <c r="L8" s="1" t="s">
        <v>15</v>
      </c>
      <c r="M8" s="1" t="s">
        <v>16</v>
      </c>
      <c r="N8" s="15" t="s">
        <v>17</v>
      </c>
      <c r="O8" s="4" t="s">
        <v>18</v>
      </c>
      <c r="P8" s="1" t="s">
        <v>19</v>
      </c>
      <c r="Q8" s="15" t="s">
        <v>20</v>
      </c>
      <c r="R8" s="8" t="s">
        <v>21</v>
      </c>
    </row>
    <row r="9" spans="1:18" s="3" customFormat="1" ht="19.5" customHeight="1" x14ac:dyDescent="0.2">
      <c r="C9" s="63" t="s">
        <v>49</v>
      </c>
      <c r="D9" s="64"/>
      <c r="E9" s="64"/>
      <c r="F9" s="65"/>
      <c r="G9" s="18"/>
      <c r="H9" s="18"/>
      <c r="I9" s="18"/>
      <c r="J9" s="13"/>
      <c r="K9" s="19"/>
      <c r="L9" s="1"/>
      <c r="M9" s="1"/>
      <c r="N9" s="15"/>
      <c r="O9" s="4"/>
      <c r="P9" s="1"/>
      <c r="Q9" s="15"/>
      <c r="R9" s="8"/>
    </row>
    <row r="10" spans="1:18" s="3" customFormat="1" ht="19.5" customHeight="1" x14ac:dyDescent="0.2">
      <c r="A10" s="45" t="s">
        <v>38</v>
      </c>
      <c r="B10" s="43">
        <v>1</v>
      </c>
      <c r="C10" s="41"/>
      <c r="D10" s="32" t="s">
        <v>31</v>
      </c>
      <c r="E10" s="32" t="s">
        <v>32</v>
      </c>
      <c r="F10" s="35" t="s">
        <v>33</v>
      </c>
      <c r="G10" s="31">
        <v>1</v>
      </c>
      <c r="H10" s="32">
        <v>24338</v>
      </c>
      <c r="I10" s="18">
        <f t="shared" ref="I10:I14" si="0">G10*H10</f>
        <v>24338</v>
      </c>
      <c r="J10" s="33"/>
      <c r="K10" s="35" t="s">
        <v>30</v>
      </c>
      <c r="L10" s="31" t="s">
        <v>46</v>
      </c>
      <c r="M10" s="31"/>
      <c r="N10" s="15">
        <v>45120</v>
      </c>
      <c r="O10" s="4"/>
      <c r="P10" s="48">
        <v>45134</v>
      </c>
      <c r="Q10" s="15"/>
      <c r="R10" s="8"/>
    </row>
    <row r="11" spans="1:18" s="3" customFormat="1" ht="19.5" customHeight="1" x14ac:dyDescent="0.2">
      <c r="A11" s="45" t="s">
        <v>41</v>
      </c>
      <c r="B11" s="43"/>
      <c r="C11" s="41"/>
      <c r="D11" s="32" t="s">
        <v>32</v>
      </c>
      <c r="E11" s="32" t="s">
        <v>32</v>
      </c>
      <c r="F11" s="38" t="s">
        <v>34</v>
      </c>
      <c r="G11" s="46">
        <v>24</v>
      </c>
      <c r="H11" s="40">
        <v>44</v>
      </c>
      <c r="I11" s="18">
        <f t="shared" ref="I11" si="1">G11*H11</f>
        <v>1056</v>
      </c>
      <c r="J11" s="39"/>
      <c r="K11" s="34" t="s">
        <v>42</v>
      </c>
      <c r="L11" s="31" t="s">
        <v>45</v>
      </c>
      <c r="M11" s="31"/>
      <c r="N11" s="15">
        <v>45120</v>
      </c>
      <c r="O11" s="4"/>
      <c r="P11" s="48">
        <v>45132</v>
      </c>
      <c r="Q11" s="15"/>
      <c r="R11" s="8"/>
    </row>
    <row r="12" spans="1:18" s="3" customFormat="1" ht="19.5" customHeight="1" x14ac:dyDescent="0.2">
      <c r="A12" s="22"/>
      <c r="B12" s="43"/>
      <c r="C12" s="41"/>
      <c r="D12" s="32"/>
      <c r="E12" s="32"/>
      <c r="F12" s="35"/>
      <c r="G12" s="31"/>
      <c r="H12" s="40"/>
      <c r="I12" s="18">
        <f t="shared" ref="I12" si="2">G12*H12</f>
        <v>0</v>
      </c>
      <c r="J12" s="33"/>
      <c r="K12" s="35"/>
      <c r="L12" s="31"/>
      <c r="M12" s="31"/>
      <c r="N12" s="15"/>
      <c r="O12" s="4"/>
      <c r="P12" s="1"/>
      <c r="Q12" s="15"/>
      <c r="R12" s="8"/>
    </row>
    <row r="13" spans="1:18" s="3" customFormat="1" ht="19.5" customHeight="1" x14ac:dyDescent="0.2">
      <c r="A13" s="45" t="s">
        <v>37</v>
      </c>
      <c r="B13" s="43">
        <v>1</v>
      </c>
      <c r="C13" s="41"/>
      <c r="D13" s="32" t="s">
        <v>32</v>
      </c>
      <c r="E13" s="32" t="s">
        <v>32</v>
      </c>
      <c r="F13" s="36" t="s">
        <v>40</v>
      </c>
      <c r="G13" s="31">
        <v>2</v>
      </c>
      <c r="H13" s="32">
        <v>6356</v>
      </c>
      <c r="I13" s="18">
        <f t="shared" si="0"/>
        <v>12712</v>
      </c>
      <c r="J13" s="33"/>
      <c r="K13" s="35" t="s">
        <v>39</v>
      </c>
      <c r="L13" s="31" t="s">
        <v>46</v>
      </c>
      <c r="M13" s="31"/>
      <c r="N13" s="15">
        <v>45120</v>
      </c>
      <c r="O13" s="4"/>
      <c r="P13" s="48">
        <v>45134</v>
      </c>
      <c r="Q13" s="15"/>
      <c r="R13" s="8"/>
    </row>
    <row r="14" spans="1:18" s="3" customFormat="1" ht="19.5" customHeight="1" x14ac:dyDescent="0.2">
      <c r="A14" s="45" t="s">
        <v>41</v>
      </c>
      <c r="B14" s="43">
        <v>1</v>
      </c>
      <c r="C14" s="42"/>
      <c r="D14" s="32" t="s">
        <v>32</v>
      </c>
      <c r="E14" s="32" t="s">
        <v>32</v>
      </c>
      <c r="F14" s="38" t="s">
        <v>35</v>
      </c>
      <c r="G14" s="46">
        <v>30</v>
      </c>
      <c r="H14" s="40">
        <v>19</v>
      </c>
      <c r="I14" s="18">
        <f t="shared" si="0"/>
        <v>570</v>
      </c>
      <c r="J14" s="39"/>
      <c r="K14" s="34" t="s">
        <v>43</v>
      </c>
      <c r="L14" s="31" t="s">
        <v>45</v>
      </c>
      <c r="M14" s="31"/>
      <c r="N14" s="15">
        <v>45120</v>
      </c>
      <c r="O14" s="4"/>
      <c r="P14" s="48">
        <v>45132</v>
      </c>
      <c r="Q14" s="15"/>
      <c r="R14" s="8"/>
    </row>
    <row r="15" spans="1:18" s="3" customFormat="1" ht="19.5" customHeight="1" x14ac:dyDescent="0.2">
      <c r="A15" s="45" t="s">
        <v>41</v>
      </c>
      <c r="B15" s="43">
        <v>1</v>
      </c>
      <c r="C15" s="23"/>
      <c r="D15" s="32" t="s">
        <v>32</v>
      </c>
      <c r="E15" s="32" t="s">
        <v>32</v>
      </c>
      <c r="F15" s="44" t="s">
        <v>36</v>
      </c>
      <c r="G15" s="25">
        <v>8</v>
      </c>
      <c r="H15" s="40">
        <v>56</v>
      </c>
      <c r="I15" s="18">
        <f t="shared" ref="I15" si="3">G15*H15</f>
        <v>448</v>
      </c>
      <c r="J15" s="26"/>
      <c r="K15" s="34" t="s">
        <v>44</v>
      </c>
      <c r="L15" s="47" t="s">
        <v>45</v>
      </c>
      <c r="M15" s="1"/>
      <c r="N15" s="15">
        <v>45120</v>
      </c>
      <c r="O15" s="4"/>
      <c r="P15" s="48">
        <v>45132</v>
      </c>
      <c r="Q15" s="15"/>
      <c r="R15" s="8"/>
    </row>
    <row r="16" spans="1:18" s="3" customFormat="1" ht="19.5" customHeight="1" x14ac:dyDescent="0.2">
      <c r="C16" s="23"/>
      <c r="D16" s="23"/>
      <c r="E16" s="23"/>
      <c r="F16" s="28"/>
      <c r="G16" s="25"/>
      <c r="H16" s="25"/>
      <c r="J16" s="26"/>
      <c r="K16" s="37"/>
      <c r="L16" s="1"/>
      <c r="M16" s="1"/>
      <c r="N16" s="15"/>
      <c r="O16" s="4"/>
      <c r="P16" s="1"/>
      <c r="Q16" s="15"/>
      <c r="R16" s="8"/>
    </row>
    <row r="17" spans="1:18" s="3" customFormat="1" ht="19.5" customHeight="1" x14ac:dyDescent="0.2">
      <c r="A17" s="71" t="s">
        <v>50</v>
      </c>
      <c r="B17" s="43">
        <v>1</v>
      </c>
      <c r="C17" s="23"/>
      <c r="D17" s="32" t="s">
        <v>32</v>
      </c>
      <c r="E17" s="32" t="s">
        <v>32</v>
      </c>
      <c r="F17" s="44" t="s">
        <v>51</v>
      </c>
      <c r="G17" s="25">
        <v>2</v>
      </c>
      <c r="H17" s="25">
        <v>1373</v>
      </c>
      <c r="I17" s="18">
        <f t="shared" ref="I17" si="4">G17*H17</f>
        <v>2746</v>
      </c>
      <c r="J17" s="26"/>
      <c r="K17" s="72" t="s">
        <v>52</v>
      </c>
      <c r="L17" s="73" t="s">
        <v>53</v>
      </c>
      <c r="M17" s="1"/>
      <c r="N17" s="15">
        <v>45145</v>
      </c>
      <c r="O17" s="4"/>
      <c r="P17" s="48">
        <v>45147</v>
      </c>
      <c r="Q17" s="15"/>
      <c r="R17" s="8"/>
    </row>
    <row r="18" spans="1:18" s="3" customFormat="1" ht="19.5" customHeight="1" x14ac:dyDescent="0.2">
      <c r="C18" s="23"/>
      <c r="D18" s="23"/>
      <c r="E18" s="23"/>
      <c r="F18" s="28"/>
      <c r="G18" s="25"/>
      <c r="H18" s="25"/>
      <c r="J18" s="26"/>
      <c r="K18" s="37"/>
      <c r="L18" s="1"/>
      <c r="M18" s="1"/>
      <c r="N18" s="15"/>
      <c r="O18" s="4"/>
      <c r="P18" s="1"/>
      <c r="Q18" s="15"/>
      <c r="R18" s="8"/>
    </row>
    <row r="19" spans="1:18" s="3" customFormat="1" ht="19.5" customHeight="1" x14ac:dyDescent="0.2">
      <c r="C19" s="23"/>
      <c r="D19" s="23"/>
      <c r="E19" s="23"/>
      <c r="F19" s="57">
        <f>SUM(I10:I17)</f>
        <v>41870</v>
      </c>
      <c r="G19" s="25"/>
      <c r="H19" s="25"/>
      <c r="I19" s="25"/>
      <c r="J19" s="26"/>
      <c r="K19" s="37"/>
      <c r="L19" s="1"/>
      <c r="M19" s="1"/>
      <c r="N19" s="15"/>
      <c r="O19" s="4"/>
      <c r="P19" s="1"/>
      <c r="Q19" s="15"/>
      <c r="R19" s="8"/>
    </row>
    <row r="20" spans="1:18" ht="18" customHeight="1" x14ac:dyDescent="0.2">
      <c r="C20" s="1"/>
      <c r="D20" s="4"/>
      <c r="E20" s="49"/>
      <c r="F20" s="55"/>
      <c r="G20" s="55"/>
      <c r="H20" s="55"/>
      <c r="I20" s="55"/>
      <c r="J20" s="56"/>
      <c r="K20" s="50"/>
      <c r="L20" s="6"/>
      <c r="M20" s="5"/>
      <c r="N20" s="15"/>
      <c r="O20" s="8"/>
      <c r="P20" s="8"/>
      <c r="Q20" s="15"/>
      <c r="R20" s="14"/>
    </row>
    <row r="21" spans="1:18" ht="18" customHeight="1" x14ac:dyDescent="0.2">
      <c r="C21" s="1"/>
      <c r="D21" s="4"/>
      <c r="E21" s="4"/>
      <c r="F21" s="51"/>
      <c r="G21" s="52"/>
      <c r="H21" s="52"/>
      <c r="I21" s="53"/>
      <c r="J21" s="54"/>
      <c r="K21" s="16"/>
      <c r="L21" s="6"/>
      <c r="M21" s="5"/>
      <c r="N21" s="15"/>
      <c r="O21" s="8"/>
      <c r="P21" s="8"/>
      <c r="Q21" s="15"/>
      <c r="R21" s="14"/>
    </row>
    <row r="22" spans="1:18" ht="18" customHeight="1" x14ac:dyDescent="0.2">
      <c r="C22" s="1"/>
      <c r="D22" s="1"/>
      <c r="E22" s="1"/>
      <c r="F22" s="6" t="s">
        <v>22</v>
      </c>
      <c r="G22" s="18"/>
      <c r="H22" s="18"/>
      <c r="I22" s="18">
        <f>G22*H22</f>
        <v>0</v>
      </c>
      <c r="J22" s="13"/>
      <c r="K22" s="16" t="s">
        <v>23</v>
      </c>
      <c r="L22" s="20"/>
      <c r="M22" s="1"/>
      <c r="N22" s="15"/>
      <c r="O22" s="20"/>
      <c r="P22" s="1"/>
      <c r="Q22" s="15"/>
      <c r="R22" s="14"/>
    </row>
    <row r="23" spans="1:18" ht="18" customHeight="1" x14ac:dyDescent="0.2">
      <c r="C23" s="1"/>
      <c r="D23" s="4"/>
      <c r="E23" s="4"/>
      <c r="F23" s="6" t="s">
        <v>23</v>
      </c>
      <c r="G23" s="18"/>
      <c r="H23" s="18">
        <v>5000</v>
      </c>
      <c r="I23" s="18">
        <f>G23*H23</f>
        <v>0</v>
      </c>
      <c r="J23" s="13"/>
      <c r="K23" s="16" t="s">
        <v>24</v>
      </c>
      <c r="L23" s="20"/>
      <c r="M23" s="1"/>
      <c r="N23" s="15"/>
      <c r="O23" s="20"/>
      <c r="P23" s="1"/>
      <c r="Q23" s="15"/>
      <c r="R23" s="8"/>
    </row>
    <row r="24" spans="1:18" ht="18" customHeight="1" x14ac:dyDescent="0.2">
      <c r="C24" s="1"/>
      <c r="D24" s="4"/>
      <c r="E24" s="4"/>
      <c r="F24" s="6" t="s">
        <v>24</v>
      </c>
      <c r="G24" s="18"/>
      <c r="H24" s="18"/>
      <c r="I24" s="18">
        <f>G24*H24</f>
        <v>0</v>
      </c>
      <c r="J24" s="13"/>
      <c r="K24" s="5"/>
      <c r="L24" s="20"/>
      <c r="M24" s="1"/>
      <c r="N24" s="1"/>
      <c r="O24" s="20"/>
      <c r="P24" s="1"/>
      <c r="Q24" s="8"/>
      <c r="R24" s="8"/>
    </row>
    <row r="25" spans="1:18" ht="18" customHeight="1" x14ac:dyDescent="0.2">
      <c r="C25" s="1"/>
      <c r="D25" s="4"/>
      <c r="E25" s="4"/>
      <c r="F25" s="58"/>
      <c r="G25" s="59"/>
      <c r="H25" s="59"/>
      <c r="I25" s="60"/>
      <c r="J25" s="7"/>
      <c r="K25" s="17"/>
    </row>
    <row r="26" spans="1:18" ht="18" customHeight="1" x14ac:dyDescent="0.2"/>
    <row r="27" spans="1:18" ht="18" customHeight="1" x14ac:dyDescent="0.2"/>
    <row r="28" spans="1:18" ht="18" customHeight="1" x14ac:dyDescent="0.2"/>
  </sheetData>
  <autoFilter ref="C8:P28" xr:uid="{00000000-0009-0000-0000-000003000000}"/>
  <mergeCells count="11">
    <mergeCell ref="F25:I25"/>
    <mergeCell ref="C6:E6"/>
    <mergeCell ref="H6:K6"/>
    <mergeCell ref="C9:F9"/>
    <mergeCell ref="C2:E2"/>
    <mergeCell ref="H2:J2"/>
    <mergeCell ref="C3:E3"/>
    <mergeCell ref="C4:E4"/>
    <mergeCell ref="H4:K5"/>
    <mergeCell ref="C5:E5"/>
    <mergeCell ref="G4:G5"/>
  </mergeCells>
  <phoneticPr fontId="9"/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BC676-B54A-494E-955F-116A03425A63}">
  <dimension ref="A1"/>
  <sheetViews>
    <sheetView workbookViewId="0"/>
  </sheetViews>
  <sheetFormatPr defaultRowHeight="13.2" x14ac:dyDescent="0.2"/>
  <sheetData/>
  <phoneticPr fontId="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7" sqref="D7"/>
    </sheetView>
  </sheetViews>
  <sheetFormatPr defaultColWidth="11.77734375" defaultRowHeight="13.5" customHeight="1" x14ac:dyDescent="0.2"/>
  <sheetData/>
  <phoneticPr fontId="9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C33" sqref="C33"/>
    </sheetView>
  </sheetViews>
  <sheetFormatPr defaultColWidth="11.77734375" defaultRowHeight="13.5" customHeight="1" x14ac:dyDescent="0.2"/>
  <sheetData/>
  <phoneticPr fontId="9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20230428</vt:lpstr>
      <vt:lpstr>Sheet1</vt:lpstr>
      <vt:lpstr>Sheet2</vt:lpstr>
      <vt:lpstr>Sheet3</vt:lpstr>
      <vt:lpstr>'20230428'!_FilterDatabase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齋藤 秀昭</cp:lastModifiedBy>
  <dcterms:created xsi:type="dcterms:W3CDTF">2016-05-16T08:05:24Z</dcterms:created>
  <dcterms:modified xsi:type="dcterms:W3CDTF">2023-08-07T04:27:28Z</dcterms:modified>
</cp:coreProperties>
</file>