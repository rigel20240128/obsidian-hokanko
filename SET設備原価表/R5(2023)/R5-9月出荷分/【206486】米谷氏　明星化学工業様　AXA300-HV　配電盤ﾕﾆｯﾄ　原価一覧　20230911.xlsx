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Desktop\大阪　米谷氏　AXA300用配電盤ﾕﾆｯﾄ20230911\"/>
    </mc:Choice>
  </mc:AlternateContent>
  <xr:revisionPtr revIDLastSave="0" documentId="13_ncr:1_{11083437-3A10-49F1-8D35-1CD0239FF20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原価表  20230713 (1式)" sheetId="6" r:id="rId1"/>
  </sheets>
  <definedNames>
    <definedName name="_xlnm._FilterDatabase" localSheetId="0" hidden="1">'原価表  20230713 (1式)'!$D$9:$Q$29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6" l="1"/>
  <c r="D18" i="6"/>
  <c r="D19" i="6"/>
  <c r="D20" i="6"/>
  <c r="D21" i="6"/>
  <c r="D22" i="6"/>
  <c r="D23" i="6" s="1"/>
  <c r="J18" i="6"/>
  <c r="J17" i="6"/>
  <c r="J23" i="6"/>
  <c r="D15" i="6"/>
  <c r="D16" i="6" s="1"/>
  <c r="J15" i="6" l="1"/>
  <c r="J16" i="6"/>
  <c r="J22" i="6"/>
  <c r="J21" i="6"/>
  <c r="J20" i="6"/>
  <c r="J19" i="6"/>
  <c r="G27" i="6" s="1"/>
  <c r="J14" i="6"/>
  <c r="J51" i="6"/>
  <c r="J50" i="6"/>
  <c r="J49" i="6"/>
  <c r="J48" i="6"/>
  <c r="J47" i="6"/>
  <c r="J46" i="6"/>
  <c r="L2" i="6" l="1"/>
</calcChain>
</file>

<file path=xl/sharedStrings.xml><?xml version="1.0" encoding="utf-8"?>
<sst xmlns="http://schemas.openxmlformats.org/spreadsheetml/2006/main" count="88" uniqueCount="57">
  <si>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</si>
  <si>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</si>
  <si>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</si>
  <si>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</si>
  <si>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</si>
  <si>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</si>
  <si>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</si>
  <si>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</si>
  <si>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</si>
  <si>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</si>
  <si>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</si>
  <si>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</si>
  <si>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</si>
  <si>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</si>
  <si>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</si>
  <si>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</si>
  <si>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</si>
  <si>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</si>
  <si>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</si>
  <si>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</si>
  <si>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</si>
  <si>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</si>
  <si>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</si>
  <si>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t>MWS-DS37A-HT37</t>
    <phoneticPr fontId="2"/>
  </si>
  <si>
    <t>DINレール</t>
    <phoneticPr fontId="2"/>
  </si>
  <si>
    <t>コモン端子台</t>
    <rPh sb="3" eb="5">
      <t>タンシ</t>
    </rPh>
    <rPh sb="5" eb="6">
      <t>ダイ</t>
    </rPh>
    <phoneticPr fontId="2"/>
  </si>
  <si>
    <t>Dsubコネクタハーネス</t>
    <phoneticPr fontId="2"/>
  </si>
  <si>
    <t>meviy</t>
    <phoneticPr fontId="2"/>
  </si>
  <si>
    <t>Dsubコネクタ端子台</t>
    <rPh sb="8" eb="10">
      <t>タンシ</t>
    </rPh>
    <rPh sb="10" eb="11">
      <t>ダイ</t>
    </rPh>
    <phoneticPr fontId="2"/>
  </si>
  <si>
    <t>配電ﾕﾆｯﾄ</t>
    <rPh sb="0" eb="2">
      <t>ハイデン</t>
    </rPh>
    <phoneticPr fontId="2"/>
  </si>
  <si>
    <t>3日目</t>
    <rPh sb="1" eb="2">
      <t>ヒ</t>
    </rPh>
    <rPh sb="2" eb="3">
      <t>メ</t>
    </rPh>
    <phoneticPr fontId="8"/>
  </si>
  <si>
    <t>1日目</t>
    <rPh sb="1" eb="2">
      <t>ヒ</t>
    </rPh>
    <rPh sb="2" eb="3">
      <t>メ</t>
    </rPh>
    <phoneticPr fontId="8"/>
  </si>
  <si>
    <t>NCLA5-10-10</t>
    <phoneticPr fontId="8"/>
  </si>
  <si>
    <t>金属カラー　　並級</t>
    <phoneticPr fontId="8"/>
  </si>
  <si>
    <t>六角穴付ボルト－ステンレス　4本</t>
    <rPh sb="15" eb="16">
      <t>ホン</t>
    </rPh>
    <phoneticPr fontId="8"/>
  </si>
  <si>
    <t>2日目</t>
    <rPh sb="1" eb="2">
      <t>ヒ</t>
    </rPh>
    <rPh sb="2" eb="3">
      <t>メ</t>
    </rPh>
    <phoneticPr fontId="8"/>
  </si>
  <si>
    <t>出荷依頼項目NO.</t>
    <rPh sb="0" eb="2">
      <t>シュッカ</t>
    </rPh>
    <rPh sb="2" eb="4">
      <t>イライ</t>
    </rPh>
    <rPh sb="4" eb="6">
      <t>コウモク</t>
    </rPh>
    <phoneticPr fontId="8"/>
  </si>
  <si>
    <t>SCB5-18</t>
    <phoneticPr fontId="8"/>
  </si>
  <si>
    <t>MVSHM-3N03002-3DD-41Y7L</t>
    <phoneticPr fontId="8"/>
  </si>
  <si>
    <t>MWI-COM-P10N10</t>
    <phoneticPr fontId="2"/>
  </si>
  <si>
    <t>SETB0150-Z03 電磁弁+レギュラーﾕﾆｯﾄ取付板金</t>
    <phoneticPr fontId="8"/>
  </si>
  <si>
    <t>明星化学工業様</t>
    <phoneticPr fontId="2"/>
  </si>
  <si>
    <t>米谷(齋藤）</t>
    <rPh sb="0" eb="2">
      <t>ヨネタニ</t>
    </rPh>
    <rPh sb="3" eb="5">
      <t>サイトウ</t>
    </rPh>
    <phoneticPr fontId="2"/>
  </si>
  <si>
    <t>AXA300-HV+BEATRUM+配電盤ﾕﾆｯﾄ　原価一覧　20230911</t>
    <rPh sb="18" eb="20">
      <t>ハイデン</t>
    </rPh>
    <rPh sb="20" eb="21">
      <t>バン</t>
    </rPh>
    <phoneticPr fontId="2"/>
  </si>
  <si>
    <t>PDDJ-PS-JS-37-1</t>
    <phoneticPr fontId="2"/>
  </si>
  <si>
    <t>MRB-350</t>
    <phoneticPr fontId="2"/>
  </si>
  <si>
    <t>TKR-TWE1</t>
    <phoneticPr fontId="2"/>
  </si>
  <si>
    <t>DINレール止め金具</t>
    <phoneticPr fontId="8"/>
  </si>
  <si>
    <t>1.日目</t>
    <rPh sb="2" eb="3">
      <t>ヒ</t>
    </rPh>
    <rPh sb="3" eb="4">
      <t>メ</t>
    </rPh>
    <phoneticPr fontId="8"/>
  </si>
  <si>
    <t>ﾀｶﾁ電機工業</t>
    <rPh sb="3" eb="5">
      <t>デンキ</t>
    </rPh>
    <rPh sb="5" eb="7">
      <t>コウギョウ</t>
    </rPh>
    <phoneticPr fontId="2"/>
  </si>
  <si>
    <t>206486</t>
    <phoneticPr fontId="2"/>
  </si>
  <si>
    <t>SCB4-8</t>
    <phoneticPr fontId="8"/>
  </si>
  <si>
    <t>六角穴付ボルト－ステンレス　6本</t>
    <rPh sb="15" eb="16">
      <t>ホン</t>
    </rPh>
    <phoneticPr fontId="8"/>
  </si>
  <si>
    <t>SPWF4</t>
    <phoneticPr fontId="8"/>
  </si>
  <si>
    <t>平座金－単品販売－</t>
    <phoneticPr fontId="8"/>
  </si>
  <si>
    <t>WP43E4351500　　大阪営業所へ直送</t>
    <phoneticPr fontId="8"/>
  </si>
  <si>
    <r>
      <rPr>
        <sz val="11"/>
        <color theme="9" tint="-0.499984740745262"/>
        <rFont val="ＭＳ Ｐゴシック"/>
        <family val="3"/>
        <charset val="128"/>
        <scheme val="minor"/>
      </rPr>
      <t>WP43E4317600</t>
    </r>
    <r>
      <rPr>
        <sz val="11"/>
        <color theme="1"/>
        <rFont val="ＭＳ Ｐゴシック"/>
        <family val="3"/>
        <charset val="128"/>
        <scheme val="minor"/>
      </rPr>
      <t>　　大阪営業所へ直送</t>
    </r>
    <rPh sb="14" eb="19">
      <t>オオサカエイギョウショ</t>
    </rPh>
    <rPh sb="20" eb="22">
      <t>チョクソウ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</si>
</sst>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6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1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9" fillId="0" borderId="1" xfId="0" applyNumberFormat="1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12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7" fillId="0" borderId="1" xfId="1" applyFont="1" applyBorder="1" applyAlignment="1">
      <alignment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76" fontId="11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2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13" fillId="0" borderId="2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8" xfId="0" applyBorder="1" applyAlignment="1">
      <alignment horizontal="center" vertical="center"/>
    </xf>
    <xf numFmtId="3" fontId="14" fillId="0" borderId="1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8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38" fontId="12" fillId="7" borderId="11" xfId="0" applyNumberFormat="1" applyFont="1" applyFill="1" applyBorder="1" applyAlignment="1">
      <alignment horizontal="left" vertical="center" shrinkToFit="1"/>
    </xf>
    <xf numFmtId="38" fontId="12" fillId="7" borderId="12" xfId="0" applyNumberFormat="1" applyFont="1" applyFill="1" applyBorder="1" applyAlignment="1">
      <alignment horizontal="left" vertical="center" shrinkToFit="1"/>
    </xf>
    <xf numFmtId="38" fontId="12" fillId="7" borderId="4" xfId="0" applyNumberFormat="1" applyFont="1" applyFill="1" applyBorder="1" applyAlignment="1">
      <alignment horizontal="left" vertical="center" shrinkToFit="1"/>
    </xf>
    <xf numFmtId="38" fontId="12" fillId="7" borderId="13" xfId="0" applyNumberFormat="1" applyFont="1" applyFill="1" applyBorder="1" applyAlignment="1">
      <alignment horizontal="left" vertical="center" shrinkToFit="1"/>
    </xf>
    <xf numFmtId="0" fontId="15" fillId="5" borderId="1" xfId="0" applyFont="1" applyFill="1" applyBorder="1" applyAlignment="1">
      <alignment horizontal="center" vertical="center"/>
    </xf>
    <xf numFmtId="0" fontId="7" fillId="8" borderId="2" xfId="1" applyFont="1" applyFill="1" applyBorder="1" applyAlignment="1">
      <alignment horizontal="center" vertical="center"/>
    </xf>
    <xf numFmtId="0" fontId="7" fillId="8" borderId="9" xfId="1" applyFont="1" applyFill="1" applyBorder="1" applyAlignment="1">
      <alignment horizontal="center" vertical="center"/>
    </xf>
    <xf numFmtId="0" fontId="7" fillId="8" borderId="10" xfId="1" applyFont="1" applyFill="1" applyBorder="1" applyAlignment="1">
      <alignment horizontal="center" vertical="center"/>
    </xf>
    <xf numFmtId="182" fontId="0" fillId="0" borderId="2" xfId="0" applyNumberFormat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0" fontId="6" fillId="0" borderId="1" xfId="1" applyFill="1" applyBorder="1" applyAlignment="1">
      <alignment horizontal="right" vertical="center"/>
    </xf>
    <xf numFmtId="183" fontId="0" fillId="0" borderId="3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2"/>
  <sheetViews>
    <sheetView tabSelected="1" zoomScale="82" zoomScaleNormal="82" workbookViewId="0">
      <pane xSplit="12" ySplit="9" topLeftCell="M10" activePane="bottomRight" state="frozen"/>
      <selection pane="topRight" activeCell="K1" sqref="K1"/>
      <selection pane="bottomLeft" activeCell="A9" sqref="A9"/>
      <selection pane="bottomRight" activeCell="G4" sqref="G4"/>
    </sheetView>
  </sheetViews>
  <sheetFormatPr defaultRowHeight="13.2" x14ac:dyDescent="0.2"/>
  <cols>
    <col min="3" max="3" width="17.21875" customWidth="1"/>
    <col min="4" max="4" width="18.109375" style="3" customWidth="1"/>
    <col min="5" max="5" width="14.33203125" bestFit="1" customWidth="1"/>
    <col min="6" max="6" width="13.109375" bestFit="1" customWidth="1"/>
    <col min="7" max="7" width="52.33203125" customWidth="1"/>
    <col min="8" max="8" width="6.21875" style="3" customWidth="1"/>
    <col min="9" max="10" width="9.88671875" style="8" bestFit="1" customWidth="1"/>
    <col min="11" max="11" width="5.77734375" style="8" customWidth="1"/>
    <col min="12" max="12" width="49" customWidth="1"/>
    <col min="13" max="13" width="41.6640625" customWidth="1"/>
    <col min="14" max="14" width="46.88671875" style="3" customWidth="1"/>
    <col min="15" max="15" width="13.77734375" style="10" customWidth="1"/>
    <col min="16" max="16" width="6.33203125" customWidth="1"/>
    <col min="17" max="17" width="13.21875" style="8" customWidth="1"/>
    <col min="18" max="18" width="14.44140625" style="12" customWidth="1"/>
    <col min="19" max="19" width="15.6640625" style="13" customWidth="1"/>
  </cols>
  <sheetData>
    <row r="2" spans="1:19" ht="20.100000000000001" customHeight="1" x14ac:dyDescent="0.2">
      <c r="D2" s="67" t="s">
        <v>11</v>
      </c>
      <c r="E2" s="67"/>
      <c r="F2" s="67"/>
      <c r="G2" s="9" t="s">
        <v>41</v>
      </c>
      <c r="I2" s="68" t="s">
        <v>15</v>
      </c>
      <c r="J2" s="69"/>
      <c r="K2" s="70"/>
      <c r="L2" s="7">
        <f>SUM(J:J)</f>
        <v>24509</v>
      </c>
    </row>
    <row r="3" spans="1:19" ht="20.100000000000001" customHeight="1" x14ac:dyDescent="0.2">
      <c r="D3" s="67" t="s">
        <v>10</v>
      </c>
      <c r="E3" s="67"/>
      <c r="F3" s="67"/>
      <c r="G3" s="5" t="s">
        <v>42</v>
      </c>
    </row>
    <row r="4" spans="1:19" ht="20.100000000000001" customHeight="1" x14ac:dyDescent="0.2">
      <c r="D4" s="67" t="s">
        <v>12</v>
      </c>
      <c r="E4" s="67"/>
      <c r="F4" s="67"/>
      <c r="G4" s="50" t="s">
        <v>50</v>
      </c>
      <c r="J4" s="53"/>
      <c r="L4" s="71" t="s">
        <v>43</v>
      </c>
      <c r="M4" s="72"/>
    </row>
    <row r="5" spans="1:19" ht="20.100000000000001" customHeight="1" x14ac:dyDescent="0.2">
      <c r="D5" s="67" t="s">
        <v>13</v>
      </c>
      <c r="E5" s="67"/>
      <c r="F5" s="67"/>
      <c r="G5" s="6">
        <v>45184</v>
      </c>
      <c r="I5" s="75"/>
      <c r="L5" s="73"/>
      <c r="M5" s="74"/>
    </row>
    <row r="6" spans="1:19" ht="20.100000000000001" customHeight="1" x14ac:dyDescent="0.2">
      <c r="D6" s="67" t="s">
        <v>14</v>
      </c>
      <c r="E6" s="67"/>
      <c r="F6" s="67"/>
      <c r="G6" s="6">
        <v>45184</v>
      </c>
      <c r="I6" s="75"/>
      <c r="L6" s="15"/>
      <c r="M6" s="20"/>
    </row>
    <row r="7" spans="1:19" ht="20.100000000000001" customHeight="1" x14ac:dyDescent="0.2">
      <c r="D7" s="17"/>
      <c r="E7" s="17"/>
      <c r="F7" s="17"/>
      <c r="G7" s="16"/>
      <c r="L7" s="15"/>
      <c r="M7" s="20"/>
      <c r="N7" s="18"/>
    </row>
    <row r="9" spans="1:19" s="3" customFormat="1" ht="19.649999999999999" customHeight="1" x14ac:dyDescent="0.2">
      <c r="C9" s="1" t="s">
        <v>36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8" t="s">
        <v>1</v>
      </c>
      <c r="J9" s="54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649999999999999" customHeight="1" x14ac:dyDescent="0.2">
      <c r="A10" s="47"/>
      <c r="B10" s="60"/>
      <c r="C10" s="1"/>
      <c r="D10" s="34"/>
      <c r="E10" s="34"/>
      <c r="F10" s="34"/>
      <c r="G10" s="34"/>
      <c r="H10" s="1"/>
      <c r="I10" s="28"/>
      <c r="J10" s="54"/>
      <c r="K10" s="2"/>
      <c r="L10" s="1"/>
      <c r="M10" s="1"/>
      <c r="N10" s="1"/>
      <c r="O10" s="11"/>
      <c r="P10" s="4"/>
      <c r="Q10" s="1"/>
      <c r="R10" s="11"/>
      <c r="S10" s="14"/>
    </row>
    <row r="11" spans="1:19" s="3" customFormat="1" ht="19.649999999999999" customHeight="1" x14ac:dyDescent="0.2">
      <c r="A11" s="47"/>
      <c r="B11" s="60"/>
      <c r="C11" s="1"/>
      <c r="D11" s="4"/>
      <c r="E11" s="4"/>
      <c r="F11" s="4"/>
      <c r="G11" s="26"/>
      <c r="H11" s="1"/>
      <c r="I11" s="21"/>
      <c r="J11" s="55"/>
      <c r="K11" s="2"/>
      <c r="L11" s="25"/>
      <c r="M11" s="22"/>
      <c r="N11" s="4"/>
      <c r="O11" s="11"/>
      <c r="P11" s="4"/>
      <c r="Q11" s="19"/>
      <c r="R11" s="19"/>
      <c r="S11" s="14"/>
    </row>
    <row r="12" spans="1:19" s="3" customFormat="1" ht="19.649999999999999" customHeight="1" x14ac:dyDescent="0.2">
      <c r="A12" s="47"/>
      <c r="B12" s="60"/>
      <c r="C12" s="1"/>
      <c r="D12" s="4"/>
      <c r="E12" s="4"/>
      <c r="F12" s="4"/>
      <c r="G12" s="26"/>
      <c r="H12" s="1"/>
      <c r="I12" s="21"/>
      <c r="J12" s="55"/>
      <c r="K12" s="2"/>
      <c r="L12" s="25"/>
      <c r="M12" s="22"/>
      <c r="N12" s="4"/>
      <c r="O12" s="11"/>
      <c r="P12" s="4"/>
      <c r="Q12" s="19"/>
      <c r="R12" s="19"/>
      <c r="S12" s="14"/>
    </row>
    <row r="13" spans="1:19" s="3" customFormat="1" ht="19.649999999999999" customHeight="1" x14ac:dyDescent="0.2">
      <c r="A13" s="47"/>
      <c r="B13" s="60"/>
      <c r="C13" s="1"/>
      <c r="D13" s="76" t="s">
        <v>29</v>
      </c>
      <c r="E13" s="77"/>
      <c r="F13" s="77"/>
      <c r="G13" s="78"/>
      <c r="H13" s="1"/>
      <c r="I13" s="21"/>
      <c r="J13" s="55"/>
      <c r="K13" s="2"/>
      <c r="L13" s="25"/>
      <c r="M13" s="22"/>
      <c r="N13" s="4"/>
      <c r="O13" s="11"/>
      <c r="P13" s="4"/>
      <c r="Q13" s="19"/>
      <c r="R13" s="19"/>
      <c r="S13" s="14"/>
    </row>
    <row r="14" spans="1:19" s="3" customFormat="1" ht="19.649999999999999" customHeight="1" x14ac:dyDescent="0.2">
      <c r="A14" s="88" t="s">
        <v>30</v>
      </c>
      <c r="B14" s="89"/>
      <c r="C14" s="66">
        <v>8</v>
      </c>
      <c r="D14" s="4">
        <v>1</v>
      </c>
      <c r="E14" s="49" t="s">
        <v>27</v>
      </c>
      <c r="F14" s="49" t="s">
        <v>22</v>
      </c>
      <c r="G14" s="65" t="s">
        <v>38</v>
      </c>
      <c r="H14" s="64">
        <v>1</v>
      </c>
      <c r="I14" s="63">
        <v>6780</v>
      </c>
      <c r="J14" s="44">
        <f t="shared" ref="J14:J22" si="0">H14*I14</f>
        <v>6780</v>
      </c>
      <c r="K14" s="2"/>
      <c r="L14" s="25" t="s">
        <v>40</v>
      </c>
      <c r="M14" s="22" t="s">
        <v>56</v>
      </c>
      <c r="N14" s="4"/>
      <c r="O14" s="11">
        <v>45180</v>
      </c>
      <c r="P14" s="4"/>
      <c r="Q14" s="19"/>
      <c r="R14" s="19">
        <v>45184</v>
      </c>
      <c r="S14" s="14"/>
    </row>
    <row r="15" spans="1:19" s="3" customFormat="1" ht="19.649999999999999" customHeight="1" x14ac:dyDescent="0.2">
      <c r="A15" s="90" t="s">
        <v>48</v>
      </c>
      <c r="B15" s="91"/>
      <c r="C15" s="66">
        <v>8</v>
      </c>
      <c r="D15" s="4">
        <f>+D14+1</f>
        <v>2</v>
      </c>
      <c r="E15" s="39" t="s">
        <v>22</v>
      </c>
      <c r="F15" s="39" t="s">
        <v>22</v>
      </c>
      <c r="G15" s="95" t="s">
        <v>32</v>
      </c>
      <c r="H15" s="80">
        <v>6</v>
      </c>
      <c r="I15" s="81">
        <v>270</v>
      </c>
      <c r="J15" s="44">
        <f t="shared" si="0"/>
        <v>1620</v>
      </c>
      <c r="K15" s="2"/>
      <c r="L15" s="25" t="s">
        <v>33</v>
      </c>
      <c r="M15" s="22" t="s">
        <v>55</v>
      </c>
      <c r="N15" s="4"/>
      <c r="O15" s="11">
        <v>45180</v>
      </c>
      <c r="P15" s="4"/>
      <c r="Q15" s="19"/>
      <c r="R15" s="19">
        <v>45184</v>
      </c>
      <c r="S15" s="14"/>
    </row>
    <row r="16" spans="1:19" s="3" customFormat="1" ht="19.649999999999999" customHeight="1" x14ac:dyDescent="0.2">
      <c r="A16" s="90" t="s">
        <v>31</v>
      </c>
      <c r="B16" s="91"/>
      <c r="C16" s="66">
        <v>8</v>
      </c>
      <c r="D16" s="4">
        <f>+D15+1</f>
        <v>3</v>
      </c>
      <c r="E16" s="39" t="s">
        <v>22</v>
      </c>
      <c r="F16" s="39" t="s">
        <v>22</v>
      </c>
      <c r="G16" s="95" t="s">
        <v>37</v>
      </c>
      <c r="H16" s="80">
        <v>10</v>
      </c>
      <c r="I16" s="81">
        <v>29</v>
      </c>
      <c r="J16" s="44">
        <f t="shared" si="0"/>
        <v>290</v>
      </c>
      <c r="K16" s="2"/>
      <c r="L16" s="37" t="s">
        <v>52</v>
      </c>
      <c r="M16" s="22" t="s">
        <v>55</v>
      </c>
      <c r="N16" s="4"/>
      <c r="O16" s="11">
        <v>45180</v>
      </c>
      <c r="P16" s="4"/>
      <c r="Q16" s="19"/>
      <c r="R16" s="19">
        <v>45184</v>
      </c>
      <c r="S16" s="14"/>
    </row>
    <row r="17" spans="1:19" s="3" customFormat="1" ht="19.649999999999999" customHeight="1" x14ac:dyDescent="0.2">
      <c r="A17" s="90" t="s">
        <v>31</v>
      </c>
      <c r="B17" s="91"/>
      <c r="C17" s="66">
        <v>9</v>
      </c>
      <c r="D17" s="4">
        <f t="shared" ref="D17:D23" si="1">+D16+1</f>
        <v>4</v>
      </c>
      <c r="E17" s="39" t="s">
        <v>22</v>
      </c>
      <c r="F17" s="39" t="s">
        <v>22</v>
      </c>
      <c r="G17" s="95" t="s">
        <v>51</v>
      </c>
      <c r="H17" s="80">
        <v>10</v>
      </c>
      <c r="I17" s="81">
        <v>25</v>
      </c>
      <c r="J17" s="44">
        <f t="shared" si="0"/>
        <v>250</v>
      </c>
      <c r="K17" s="2"/>
      <c r="L17" s="37" t="s">
        <v>34</v>
      </c>
      <c r="M17" s="22" t="s">
        <v>55</v>
      </c>
      <c r="N17" s="4"/>
      <c r="O17" s="11">
        <v>45180</v>
      </c>
      <c r="P17" s="4"/>
      <c r="Q17" s="19"/>
      <c r="R17" s="19">
        <v>45184</v>
      </c>
      <c r="S17" s="14"/>
    </row>
    <row r="18" spans="1:19" s="3" customFormat="1" ht="19.649999999999999" customHeight="1" x14ac:dyDescent="0.2">
      <c r="A18" s="90" t="s">
        <v>31</v>
      </c>
      <c r="B18" s="91"/>
      <c r="C18" s="66">
        <v>9</v>
      </c>
      <c r="D18" s="4">
        <f t="shared" si="1"/>
        <v>5</v>
      </c>
      <c r="E18" s="39" t="s">
        <v>22</v>
      </c>
      <c r="F18" s="39" t="s">
        <v>22</v>
      </c>
      <c r="G18" s="95" t="s">
        <v>53</v>
      </c>
      <c r="H18" s="80">
        <v>4</v>
      </c>
      <c r="I18" s="81">
        <v>92</v>
      </c>
      <c r="J18" s="44">
        <f t="shared" si="0"/>
        <v>368</v>
      </c>
      <c r="K18" s="2"/>
      <c r="L18" s="37" t="s">
        <v>54</v>
      </c>
      <c r="M18" s="22" t="s">
        <v>55</v>
      </c>
      <c r="N18" s="4"/>
      <c r="O18" s="11">
        <v>45180</v>
      </c>
      <c r="P18" s="4"/>
      <c r="Q18" s="19"/>
      <c r="R18" s="19">
        <v>45184</v>
      </c>
      <c r="S18" s="14"/>
    </row>
    <row r="19" spans="1:19" s="3" customFormat="1" ht="19.649999999999999" customHeight="1" x14ac:dyDescent="0.2">
      <c r="A19" s="90" t="s">
        <v>35</v>
      </c>
      <c r="B19" s="91"/>
      <c r="C19" s="66">
        <v>10</v>
      </c>
      <c r="D19" s="4">
        <f t="shared" si="1"/>
        <v>6</v>
      </c>
      <c r="E19" s="4" t="s">
        <v>22</v>
      </c>
      <c r="F19" s="4" t="s">
        <v>22</v>
      </c>
      <c r="G19" s="98" t="s">
        <v>44</v>
      </c>
      <c r="H19" s="82">
        <v>1</v>
      </c>
      <c r="I19" s="83">
        <v>4120</v>
      </c>
      <c r="J19" s="56">
        <f t="shared" si="0"/>
        <v>4120</v>
      </c>
      <c r="K19" s="30"/>
      <c r="L19" s="25" t="s">
        <v>26</v>
      </c>
      <c r="M19" s="22" t="s">
        <v>55</v>
      </c>
      <c r="N19" s="4"/>
      <c r="O19" s="11">
        <v>45180</v>
      </c>
      <c r="P19" s="4"/>
      <c r="Q19" s="19"/>
      <c r="R19" s="19">
        <v>45184</v>
      </c>
      <c r="S19" s="14"/>
    </row>
    <row r="20" spans="1:19" s="3" customFormat="1" ht="19.649999999999999" customHeight="1" x14ac:dyDescent="0.2">
      <c r="A20" s="90" t="s">
        <v>31</v>
      </c>
      <c r="B20" s="91"/>
      <c r="C20" s="66">
        <v>11</v>
      </c>
      <c r="D20" s="4">
        <f t="shared" si="1"/>
        <v>7</v>
      </c>
      <c r="E20" s="4" t="s">
        <v>22</v>
      </c>
      <c r="F20" s="4" t="s">
        <v>22</v>
      </c>
      <c r="G20" s="97" t="s">
        <v>23</v>
      </c>
      <c r="H20" s="82">
        <v>1</v>
      </c>
      <c r="I20" s="83">
        <v>5117</v>
      </c>
      <c r="J20" s="56">
        <f t="shared" si="0"/>
        <v>5117</v>
      </c>
      <c r="K20" s="30"/>
      <c r="L20" s="25" t="s">
        <v>28</v>
      </c>
      <c r="M20" s="22" t="s">
        <v>55</v>
      </c>
      <c r="N20" s="4"/>
      <c r="O20" s="11">
        <v>45180</v>
      </c>
      <c r="P20" s="4"/>
      <c r="Q20" s="19"/>
      <c r="R20" s="19">
        <v>45184</v>
      </c>
      <c r="S20" s="14"/>
    </row>
    <row r="21" spans="1:19" s="3" customFormat="1" ht="19.649999999999999" customHeight="1" x14ac:dyDescent="0.2">
      <c r="A21" s="90" t="s">
        <v>31</v>
      </c>
      <c r="B21" s="91"/>
      <c r="C21" s="66">
        <v>12</v>
      </c>
      <c r="D21" s="4">
        <f t="shared" si="1"/>
        <v>8</v>
      </c>
      <c r="E21" s="4" t="s">
        <v>22</v>
      </c>
      <c r="F21" s="4" t="s">
        <v>22</v>
      </c>
      <c r="G21" s="97" t="s">
        <v>39</v>
      </c>
      <c r="H21" s="82">
        <v>1</v>
      </c>
      <c r="I21" s="83">
        <v>4239</v>
      </c>
      <c r="J21" s="56">
        <f t="shared" si="0"/>
        <v>4239</v>
      </c>
      <c r="K21" s="51"/>
      <c r="L21" s="25" t="s">
        <v>25</v>
      </c>
      <c r="M21" s="22" t="s">
        <v>55</v>
      </c>
      <c r="N21" s="4"/>
      <c r="O21" s="11">
        <v>45180</v>
      </c>
      <c r="P21" s="4"/>
      <c r="Q21" s="19"/>
      <c r="R21" s="19">
        <v>45184</v>
      </c>
      <c r="S21" s="14"/>
    </row>
    <row r="22" spans="1:19" s="3" customFormat="1" ht="19.649999999999999" customHeight="1" x14ac:dyDescent="0.2">
      <c r="A22" s="90" t="s">
        <v>30</v>
      </c>
      <c r="B22" s="91"/>
      <c r="C22" s="66">
        <v>13</v>
      </c>
      <c r="D22" s="4">
        <f t="shared" si="1"/>
        <v>9</v>
      </c>
      <c r="E22" s="4" t="s">
        <v>22</v>
      </c>
      <c r="F22" s="4" t="s">
        <v>22</v>
      </c>
      <c r="G22" s="97" t="s">
        <v>45</v>
      </c>
      <c r="H22" s="82">
        <v>1</v>
      </c>
      <c r="I22" s="83">
        <v>1474</v>
      </c>
      <c r="J22" s="56">
        <f t="shared" si="0"/>
        <v>1474</v>
      </c>
      <c r="K22" s="27"/>
      <c r="L22" s="25" t="s">
        <v>24</v>
      </c>
      <c r="M22" s="22" t="s">
        <v>55</v>
      </c>
      <c r="N22" s="4"/>
      <c r="O22" s="11">
        <v>45180</v>
      </c>
      <c r="P22" s="4"/>
      <c r="Q22" s="19"/>
      <c r="R22" s="19">
        <v>45184</v>
      </c>
      <c r="S22" s="14"/>
    </row>
    <row r="23" spans="1:19" s="3" customFormat="1" ht="19.649999999999999" customHeight="1" x14ac:dyDescent="0.2">
      <c r="A23" s="90" t="s">
        <v>31</v>
      </c>
      <c r="B23" s="91"/>
      <c r="C23" s="66">
        <v>14</v>
      </c>
      <c r="D23" s="4">
        <f t="shared" si="1"/>
        <v>10</v>
      </c>
      <c r="E23" s="4" t="s">
        <v>49</v>
      </c>
      <c r="F23" s="4" t="s">
        <v>22</v>
      </c>
      <c r="G23" s="96" t="s">
        <v>46</v>
      </c>
      <c r="H23" s="84">
        <v>1</v>
      </c>
      <c r="I23" s="85">
        <v>251</v>
      </c>
      <c r="J23" s="79">
        <f>H23*I23</f>
        <v>251</v>
      </c>
      <c r="K23" s="52"/>
      <c r="L23" s="33" t="s">
        <v>47</v>
      </c>
      <c r="M23" s="22" t="s">
        <v>55</v>
      </c>
      <c r="N23" s="4"/>
      <c r="O23" s="11">
        <v>45180</v>
      </c>
      <c r="P23" s="4"/>
      <c r="Q23" s="19"/>
      <c r="R23" s="19">
        <v>45184</v>
      </c>
      <c r="S23" s="14"/>
    </row>
    <row r="24" spans="1:19" s="3" customFormat="1" ht="19.649999999999999" customHeight="1" x14ac:dyDescent="0.2">
      <c r="A24" s="92"/>
      <c r="B24" s="93"/>
      <c r="C24" s="94"/>
      <c r="D24" s="61"/>
      <c r="E24" s="4"/>
      <c r="F24" s="4"/>
      <c r="G24" s="86"/>
      <c r="H24" s="80"/>
      <c r="I24" s="87"/>
      <c r="J24" s="36"/>
      <c r="K24" s="62"/>
      <c r="L24" s="24"/>
      <c r="M24" s="22"/>
      <c r="N24" s="4"/>
      <c r="O24" s="11"/>
      <c r="P24" s="4"/>
      <c r="Q24" s="19"/>
      <c r="R24" s="19"/>
      <c r="S24" s="14"/>
    </row>
    <row r="25" spans="1:19" s="3" customFormat="1" ht="19.649999999999999" customHeight="1" x14ac:dyDescent="0.2">
      <c r="A25" s="47"/>
      <c r="B25" s="60"/>
      <c r="C25" s="1"/>
      <c r="D25" s="61"/>
      <c r="E25" s="4"/>
      <c r="F25" s="45"/>
      <c r="G25" s="24"/>
      <c r="H25" s="46"/>
      <c r="I25" s="57"/>
      <c r="J25" s="44"/>
      <c r="K25" s="36"/>
      <c r="L25" s="35"/>
      <c r="M25" s="22"/>
      <c r="N25" s="4"/>
      <c r="O25" s="11"/>
      <c r="P25" s="4"/>
      <c r="Q25" s="19"/>
      <c r="R25" s="19"/>
      <c r="S25" s="14"/>
    </row>
    <row r="26" spans="1:19" s="3" customFormat="1" ht="19.649999999999999" customHeight="1" x14ac:dyDescent="0.2">
      <c r="A26" s="47"/>
      <c r="B26" s="60"/>
      <c r="C26" s="1"/>
      <c r="D26" s="4"/>
      <c r="E26" s="4"/>
      <c r="F26" s="45"/>
      <c r="G26" s="24"/>
      <c r="H26" s="46"/>
      <c r="I26" s="57"/>
      <c r="J26" s="56"/>
      <c r="K26" s="36"/>
      <c r="L26" s="35"/>
      <c r="M26" s="22"/>
      <c r="N26" s="4"/>
      <c r="O26" s="11"/>
      <c r="P26" s="4"/>
      <c r="Q26" s="19"/>
      <c r="R26" s="19"/>
      <c r="S26" s="14"/>
    </row>
    <row r="27" spans="1:19" s="3" customFormat="1" ht="19.649999999999999" customHeight="1" x14ac:dyDescent="0.2">
      <c r="A27" s="47"/>
      <c r="B27" s="60"/>
      <c r="C27" s="1"/>
      <c r="D27" s="4"/>
      <c r="E27" s="32"/>
      <c r="F27" s="4"/>
      <c r="G27" s="31">
        <f>SUM(J14:J25)</f>
        <v>24509</v>
      </c>
      <c r="H27" s="46"/>
      <c r="I27" s="57"/>
      <c r="J27" s="56"/>
      <c r="K27" s="36"/>
      <c r="L27" s="35"/>
      <c r="M27" s="22"/>
      <c r="N27" s="4"/>
      <c r="O27" s="11"/>
      <c r="P27" s="4"/>
      <c r="Q27" s="19"/>
      <c r="R27" s="19"/>
      <c r="S27" s="14"/>
    </row>
    <row r="28" spans="1:19" s="3" customFormat="1" ht="19.649999999999999" customHeight="1" x14ac:dyDescent="0.2">
      <c r="A28" s="47"/>
      <c r="B28" s="60"/>
      <c r="C28" s="1"/>
      <c r="D28" s="4"/>
      <c r="E28" s="32"/>
      <c r="F28" s="38"/>
      <c r="G28" s="24"/>
      <c r="H28" s="46"/>
      <c r="I28" s="57"/>
      <c r="J28" s="56"/>
      <c r="K28" s="36"/>
      <c r="L28" s="35"/>
      <c r="M28" s="22"/>
      <c r="N28" s="4"/>
      <c r="O28" s="11"/>
      <c r="P28" s="4"/>
      <c r="Q28" s="19"/>
      <c r="R28" s="19"/>
      <c r="S28" s="14"/>
    </row>
    <row r="29" spans="1:19" s="3" customFormat="1" ht="19.649999999999999" customHeight="1" x14ac:dyDescent="0.2">
      <c r="A29" s="47"/>
      <c r="B29" s="60"/>
      <c r="C29" s="1"/>
      <c r="D29" s="4"/>
      <c r="E29" s="4"/>
      <c r="F29" s="45"/>
      <c r="G29" s="24"/>
      <c r="H29" s="46"/>
      <c r="I29" s="57"/>
      <c r="J29" s="44"/>
      <c r="K29" s="36"/>
      <c r="L29" s="35"/>
      <c r="M29" s="22"/>
      <c r="N29" s="4"/>
      <c r="O29" s="11"/>
      <c r="P29" s="4"/>
      <c r="Q29" s="19"/>
      <c r="R29" s="19"/>
      <c r="S29" s="14"/>
    </row>
    <row r="30" spans="1:19" s="3" customFormat="1" ht="19.649999999999999" customHeight="1" x14ac:dyDescent="0.2">
      <c r="A30" s="47"/>
      <c r="B30" s="60"/>
      <c r="C30" s="1"/>
      <c r="D30" s="4"/>
      <c r="E30" s="4"/>
      <c r="F30" s="4"/>
      <c r="G30" s="26"/>
      <c r="H30" s="40"/>
      <c r="I30" s="58"/>
      <c r="J30" s="56"/>
      <c r="K30" s="41"/>
      <c r="L30" s="42"/>
      <c r="M30" s="25"/>
      <c r="N30" s="4"/>
      <c r="O30" s="11"/>
      <c r="P30" s="4"/>
      <c r="Q30" s="19"/>
      <c r="R30" s="19"/>
      <c r="S30" s="14"/>
    </row>
    <row r="31" spans="1:19" s="3" customFormat="1" ht="19.649999999999999" customHeight="1" x14ac:dyDescent="0.2">
      <c r="A31" s="47"/>
      <c r="B31" s="60"/>
      <c r="C31" s="1"/>
      <c r="D31" s="4"/>
      <c r="E31" s="4"/>
      <c r="F31" s="4"/>
      <c r="G31" s="37"/>
      <c r="H31" s="1"/>
      <c r="I31" s="56"/>
      <c r="J31" s="56"/>
      <c r="K31" s="2"/>
      <c r="L31" s="25"/>
      <c r="M31" s="22"/>
      <c r="N31" s="4"/>
      <c r="O31" s="11"/>
      <c r="P31" s="4"/>
      <c r="Q31" s="19"/>
      <c r="R31" s="19"/>
      <c r="S31" s="14"/>
    </row>
    <row r="32" spans="1:19" s="3" customFormat="1" ht="19.649999999999999" customHeight="1" x14ac:dyDescent="0.2">
      <c r="A32" s="47"/>
      <c r="B32" s="60"/>
      <c r="C32" s="1"/>
      <c r="D32" s="4"/>
      <c r="E32" s="4"/>
      <c r="F32" s="4"/>
      <c r="G32" s="43"/>
      <c r="H32" s="1"/>
      <c r="I32" s="56"/>
      <c r="J32" s="56"/>
      <c r="K32" s="2"/>
      <c r="L32" s="25"/>
      <c r="M32" s="22"/>
      <c r="N32" s="4"/>
      <c r="O32" s="11"/>
      <c r="P32" s="4"/>
      <c r="Q32" s="19"/>
      <c r="R32" s="19"/>
      <c r="S32" s="14"/>
    </row>
    <row r="33" spans="1:19" s="3" customFormat="1" ht="19.649999999999999" customHeight="1" x14ac:dyDescent="0.2">
      <c r="A33" s="47"/>
      <c r="B33" s="47"/>
      <c r="C33" s="1"/>
      <c r="D33" s="4"/>
      <c r="E33" s="4"/>
      <c r="F33" s="4"/>
      <c r="G33" s="26"/>
      <c r="H33" s="1"/>
      <c r="I33" s="21"/>
      <c r="J33" s="55"/>
      <c r="K33" s="2"/>
      <c r="L33" s="25"/>
      <c r="M33" s="25"/>
      <c r="N33" s="4"/>
      <c r="O33" s="11"/>
      <c r="P33" s="11"/>
      <c r="Q33" s="11"/>
      <c r="R33" s="19"/>
      <c r="S33" s="14"/>
    </row>
    <row r="34" spans="1:19" s="3" customFormat="1" ht="19.649999999999999" customHeight="1" x14ac:dyDescent="0.2">
      <c r="A34" s="47"/>
      <c r="B34" s="47"/>
      <c r="C34" s="1"/>
      <c r="D34" s="4"/>
      <c r="E34" s="4"/>
      <c r="F34" s="4"/>
      <c r="G34" s="24"/>
      <c r="H34" s="1"/>
      <c r="I34" s="56"/>
      <c r="J34" s="55"/>
      <c r="K34" s="27"/>
      <c r="L34" s="25"/>
      <c r="M34" s="25"/>
      <c r="N34" s="4"/>
      <c r="O34" s="11"/>
      <c r="P34" s="11"/>
      <c r="Q34" s="11"/>
      <c r="R34" s="19"/>
      <c r="S34" s="14"/>
    </row>
    <row r="35" spans="1:19" s="3" customFormat="1" ht="19.649999999999999" customHeight="1" x14ac:dyDescent="0.2">
      <c r="A35" s="47"/>
      <c r="B35" s="47"/>
      <c r="C35" s="1"/>
      <c r="D35" s="4"/>
      <c r="E35" s="4"/>
      <c r="F35" s="4"/>
      <c r="G35" s="24"/>
      <c r="H35" s="1"/>
      <c r="I35" s="56"/>
      <c r="J35" s="56"/>
      <c r="K35" s="27"/>
      <c r="L35" s="25"/>
      <c r="M35" s="25"/>
      <c r="N35" s="4"/>
      <c r="O35" s="11"/>
      <c r="P35" s="4"/>
      <c r="Q35" s="19"/>
      <c r="R35" s="19"/>
      <c r="S35" s="14"/>
    </row>
    <row r="36" spans="1:19" s="3" customFormat="1" ht="19.649999999999999" customHeight="1" x14ac:dyDescent="0.2">
      <c r="A36" s="47"/>
      <c r="B36" s="47"/>
      <c r="C36" s="1"/>
      <c r="D36" s="4"/>
      <c r="E36" s="4"/>
      <c r="F36" s="4"/>
      <c r="G36" s="24"/>
      <c r="H36" s="1"/>
      <c r="I36" s="56"/>
      <c r="J36" s="55"/>
      <c r="K36" s="27"/>
      <c r="L36" s="25"/>
      <c r="M36" s="25"/>
      <c r="N36" s="4"/>
      <c r="O36" s="11"/>
      <c r="P36" s="4"/>
      <c r="Q36" s="19"/>
      <c r="R36" s="19"/>
      <c r="S36" s="14"/>
    </row>
    <row r="37" spans="1:19" s="3" customFormat="1" ht="19.649999999999999" customHeight="1" x14ac:dyDescent="0.2">
      <c r="A37" s="47"/>
      <c r="B37" s="47"/>
      <c r="C37" s="1"/>
      <c r="D37" s="4"/>
      <c r="E37" s="4"/>
      <c r="F37" s="4"/>
      <c r="G37" s="24"/>
      <c r="H37" s="1"/>
      <c r="I37" s="56"/>
      <c r="J37" s="55"/>
      <c r="K37" s="27"/>
      <c r="L37" s="25"/>
      <c r="M37" s="25"/>
      <c r="N37" s="4"/>
      <c r="O37" s="11"/>
      <c r="P37" s="4"/>
      <c r="Q37" s="19"/>
      <c r="R37" s="19"/>
      <c r="S37" s="14"/>
    </row>
    <row r="38" spans="1:19" s="3" customFormat="1" ht="19.649999999999999" customHeight="1" x14ac:dyDescent="0.2">
      <c r="A38" s="47"/>
      <c r="B38" s="47"/>
      <c r="C38" s="1"/>
      <c r="D38" s="4"/>
      <c r="E38" s="4"/>
      <c r="F38" s="4"/>
      <c r="G38" s="24"/>
      <c r="H38" s="1"/>
      <c r="I38" s="56"/>
      <c r="J38" s="55"/>
      <c r="K38" s="27"/>
      <c r="L38" s="25"/>
      <c r="M38" s="25"/>
      <c r="N38" s="4"/>
      <c r="O38" s="11"/>
      <c r="P38" s="4"/>
      <c r="Q38" s="19"/>
      <c r="R38" s="19"/>
      <c r="S38" s="14"/>
    </row>
    <row r="39" spans="1:19" s="3" customFormat="1" ht="19.649999999999999" customHeight="1" x14ac:dyDescent="0.2">
      <c r="A39" s="47"/>
      <c r="B39" s="47"/>
      <c r="C39" s="1"/>
      <c r="D39" s="4"/>
      <c r="E39" s="4"/>
      <c r="F39" s="4"/>
      <c r="G39" s="26"/>
      <c r="H39" s="1"/>
      <c r="I39" s="21"/>
      <c r="J39" s="55"/>
      <c r="K39" s="2"/>
      <c r="L39" s="25"/>
      <c r="M39" s="25"/>
      <c r="N39" s="4"/>
      <c r="O39" s="11"/>
      <c r="P39" s="4"/>
      <c r="Q39" s="19"/>
      <c r="R39" s="19"/>
      <c r="S39" s="14"/>
    </row>
    <row r="40" spans="1:19" s="3" customFormat="1" ht="19.649999999999999" customHeight="1" x14ac:dyDescent="0.2">
      <c r="A40" s="47"/>
      <c r="B40" s="47"/>
      <c r="C40" s="1"/>
      <c r="D40" s="4"/>
      <c r="E40" s="4"/>
      <c r="F40" s="4"/>
      <c r="G40" s="26"/>
      <c r="H40" s="1"/>
      <c r="I40" s="21"/>
      <c r="J40" s="55"/>
      <c r="K40" s="2"/>
      <c r="L40" s="25"/>
      <c r="M40" s="25"/>
      <c r="N40" s="4"/>
      <c r="O40" s="11"/>
      <c r="P40" s="4"/>
      <c r="Q40" s="19"/>
      <c r="R40" s="19"/>
      <c r="S40" s="14"/>
    </row>
    <row r="41" spans="1:19" ht="19.649999999999999" customHeight="1" x14ac:dyDescent="0.2">
      <c r="A41" s="47"/>
      <c r="B41" s="47"/>
      <c r="C41" s="1"/>
      <c r="D41" s="4"/>
      <c r="E41" s="1"/>
      <c r="F41" s="1"/>
      <c r="G41" s="26"/>
      <c r="H41" s="1"/>
      <c r="I41" s="21"/>
      <c r="J41" s="55"/>
      <c r="K41" s="2"/>
      <c r="L41" s="25"/>
      <c r="M41" s="24"/>
      <c r="N41" s="4"/>
      <c r="O41" s="11"/>
      <c r="P41" s="4"/>
      <c r="Q41" s="19"/>
      <c r="R41" s="19"/>
      <c r="S41" s="14"/>
    </row>
    <row r="42" spans="1:19" ht="19.649999999999999" customHeight="1" x14ac:dyDescent="0.2">
      <c r="A42" s="47"/>
      <c r="B42" s="47"/>
      <c r="C42" s="1"/>
      <c r="D42" s="4"/>
      <c r="E42" s="4"/>
      <c r="F42" s="4"/>
      <c r="G42" s="23"/>
      <c r="H42" s="1"/>
      <c r="I42" s="21"/>
      <c r="J42" s="56"/>
      <c r="K42" s="2"/>
      <c r="L42" s="25"/>
      <c r="M42" s="25"/>
      <c r="N42" s="4"/>
      <c r="O42" s="11"/>
      <c r="P42" s="4"/>
      <c r="Q42" s="19"/>
      <c r="R42" s="19"/>
      <c r="S42" s="14"/>
    </row>
    <row r="43" spans="1:19" ht="19.649999999999999" customHeight="1" x14ac:dyDescent="0.2">
      <c r="A43" s="47"/>
      <c r="B43" s="47"/>
      <c r="C43" s="1"/>
      <c r="D43" s="4"/>
      <c r="E43" s="4"/>
      <c r="F43" s="4"/>
      <c r="G43" s="26"/>
      <c r="H43" s="1"/>
      <c r="I43" s="21"/>
      <c r="J43" s="55"/>
      <c r="K43" s="2"/>
      <c r="L43" s="25"/>
      <c r="M43" s="24"/>
      <c r="N43" s="4"/>
      <c r="O43" s="11"/>
      <c r="P43" s="4"/>
      <c r="Q43" s="19"/>
      <c r="R43" s="29"/>
      <c r="S43" s="14"/>
    </row>
    <row r="44" spans="1:19" ht="19.649999999999999" customHeight="1" x14ac:dyDescent="0.2">
      <c r="A44" s="47"/>
      <c r="B44" s="47"/>
      <c r="C44" s="1"/>
      <c r="D44" s="4"/>
      <c r="E44" s="4"/>
      <c r="F44" s="4"/>
      <c r="G44" s="26"/>
      <c r="H44" s="1"/>
      <c r="I44" s="21"/>
      <c r="J44" s="55"/>
      <c r="K44" s="2"/>
      <c r="L44" s="25"/>
      <c r="M44" s="24"/>
      <c r="N44" s="4"/>
      <c r="O44" s="11"/>
      <c r="P44" s="4"/>
      <c r="Q44" s="19"/>
      <c r="R44" s="19"/>
      <c r="S44" s="14"/>
    </row>
    <row r="45" spans="1:19" ht="19.649999999999999" customHeight="1" x14ac:dyDescent="0.2">
      <c r="A45" s="47"/>
      <c r="B45" s="47"/>
      <c r="C45" s="1"/>
      <c r="D45" s="4"/>
      <c r="E45" s="4"/>
      <c r="F45" s="4"/>
      <c r="G45" s="26"/>
      <c r="H45" s="1"/>
      <c r="I45" s="21"/>
      <c r="J45" s="55"/>
      <c r="K45" s="2"/>
      <c r="L45" s="25"/>
      <c r="M45" s="24"/>
      <c r="N45" s="4"/>
      <c r="O45" s="11"/>
      <c r="P45" s="4"/>
      <c r="Q45" s="19"/>
      <c r="R45" s="19"/>
      <c r="S45" s="14"/>
    </row>
    <row r="46" spans="1:19" ht="19.649999999999999" customHeight="1" x14ac:dyDescent="0.2">
      <c r="A46" s="47"/>
      <c r="B46" s="47"/>
      <c r="C46" s="1"/>
      <c r="D46" s="4"/>
      <c r="E46" s="4"/>
      <c r="F46" s="4"/>
      <c r="G46" s="26"/>
      <c r="H46" s="1"/>
      <c r="I46" s="21"/>
      <c r="J46" s="55">
        <f t="shared" ref="J46:J51" si="2">H46*I46</f>
        <v>0</v>
      </c>
      <c r="K46" s="2"/>
      <c r="L46" s="25"/>
      <c r="M46" s="24"/>
      <c r="N46" s="4"/>
      <c r="O46" s="11"/>
      <c r="P46" s="4"/>
      <c r="Q46" s="19"/>
      <c r="R46" s="19"/>
      <c r="S46" s="14"/>
    </row>
    <row r="47" spans="1:19" ht="19.649999999999999" customHeight="1" x14ac:dyDescent="0.2">
      <c r="A47" s="47"/>
      <c r="B47" s="47"/>
      <c r="C47" s="1"/>
      <c r="D47" s="4"/>
      <c r="E47" s="4"/>
      <c r="F47" s="4"/>
      <c r="G47" s="26"/>
      <c r="H47" s="1"/>
      <c r="I47" s="21"/>
      <c r="J47" s="55">
        <f t="shared" si="2"/>
        <v>0</v>
      </c>
      <c r="K47" s="2"/>
      <c r="L47" s="25"/>
      <c r="M47" s="24"/>
      <c r="N47" s="4"/>
      <c r="O47" s="11"/>
      <c r="P47" s="4"/>
      <c r="Q47" s="19"/>
      <c r="R47" s="19"/>
      <c r="S47" s="14"/>
    </row>
    <row r="48" spans="1:19" ht="19.649999999999999" customHeight="1" x14ac:dyDescent="0.2">
      <c r="A48" s="47"/>
      <c r="B48" s="47"/>
      <c r="C48" s="1"/>
      <c r="D48" s="4"/>
      <c r="E48" s="4"/>
      <c r="F48" s="4"/>
      <c r="G48" s="26"/>
      <c r="H48" s="1"/>
      <c r="I48" s="21"/>
      <c r="J48" s="55">
        <f t="shared" si="2"/>
        <v>0</v>
      </c>
      <c r="K48" s="2"/>
      <c r="L48" s="25"/>
      <c r="M48" s="24"/>
      <c r="N48" s="4"/>
      <c r="O48" s="11"/>
      <c r="P48" s="4"/>
      <c r="Q48" s="19"/>
      <c r="R48" s="19"/>
      <c r="S48" s="14"/>
    </row>
    <row r="49" spans="1:19" ht="19.649999999999999" customHeight="1" x14ac:dyDescent="0.2">
      <c r="A49" s="47"/>
      <c r="B49" s="47"/>
      <c r="C49" s="48"/>
      <c r="D49" s="4"/>
      <c r="E49" s="4"/>
      <c r="F49" s="4"/>
      <c r="G49" s="26"/>
      <c r="H49" s="1"/>
      <c r="I49" s="21"/>
      <c r="J49" s="55">
        <f t="shared" si="2"/>
        <v>0</v>
      </c>
      <c r="K49" s="2"/>
      <c r="L49" s="25"/>
      <c r="M49" s="24"/>
      <c r="N49" s="4"/>
      <c r="O49" s="11"/>
      <c r="P49" s="4"/>
      <c r="Q49" s="19"/>
      <c r="R49" s="19"/>
      <c r="S49" s="14"/>
    </row>
    <row r="50" spans="1:19" ht="19.649999999999999" customHeight="1" x14ac:dyDescent="0.2">
      <c r="A50" s="47"/>
      <c r="B50" s="47"/>
      <c r="C50" s="48"/>
      <c r="D50" s="4"/>
      <c r="E50" s="4"/>
      <c r="F50" s="4"/>
      <c r="G50" s="26"/>
      <c r="H50" s="1"/>
      <c r="I50" s="21"/>
      <c r="J50" s="55">
        <f t="shared" si="2"/>
        <v>0</v>
      </c>
      <c r="K50" s="2"/>
      <c r="L50" s="25"/>
      <c r="M50" s="24"/>
      <c r="N50" s="4"/>
      <c r="O50" s="11"/>
      <c r="P50" s="4"/>
      <c r="Q50" s="19"/>
      <c r="R50" s="19"/>
      <c r="S50" s="14"/>
    </row>
    <row r="51" spans="1:19" ht="19.649999999999999" customHeight="1" x14ac:dyDescent="0.2">
      <c r="A51" s="47"/>
      <c r="B51" s="47"/>
      <c r="C51" s="48"/>
      <c r="D51" s="4"/>
      <c r="E51" s="4"/>
      <c r="F51" s="4"/>
      <c r="G51" s="26"/>
      <c r="H51" s="1"/>
      <c r="I51" s="21"/>
      <c r="J51" s="55">
        <f t="shared" si="2"/>
        <v>0</v>
      </c>
      <c r="K51" s="2"/>
      <c r="L51" s="25"/>
      <c r="M51" s="24"/>
      <c r="N51" s="4"/>
      <c r="O51" s="11"/>
      <c r="P51" s="4"/>
      <c r="Q51" s="19"/>
      <c r="R51" s="19"/>
      <c r="S51" s="14"/>
    </row>
    <row r="52" spans="1:19" x14ac:dyDescent="0.2">
      <c r="J52" s="59"/>
    </row>
  </sheetData>
  <autoFilter ref="D9:Q29" xr:uid="{00000000-0009-0000-0000-000000000000}"/>
  <mergeCells count="9">
    <mergeCell ref="D6:F6"/>
    <mergeCell ref="I5:I6"/>
    <mergeCell ref="D13:G13"/>
    <mergeCell ref="D2:F2"/>
    <mergeCell ref="I2:K2"/>
    <mergeCell ref="D3:F3"/>
    <mergeCell ref="D4:F4"/>
    <mergeCell ref="L4:M5"/>
    <mergeCell ref="D5:F5"/>
  </mergeCells>
  <phoneticPr fontId="8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  20230713 (1式)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2018-06-15T01:25:43Z</cp:lastPrinted>
  <dcterms:created xsi:type="dcterms:W3CDTF">2011-12-13T06:48:43Z</dcterms:created>
  <dcterms:modified xsi:type="dcterms:W3CDTF">2023-09-11T05:57:02Z</dcterms:modified>
</cp:coreProperties>
</file>