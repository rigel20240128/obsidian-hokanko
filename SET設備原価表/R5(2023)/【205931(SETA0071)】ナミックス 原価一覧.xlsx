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1DC01295-355D-41A8-B2A0-EBF94E1F8A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Sheet1!$B$8:$O$22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3" i="1"/>
  <c r="H14" i="1"/>
  <c r="H16" i="1"/>
  <c r="H17" i="1"/>
  <c r="H18" i="1"/>
  <c r="H19" i="1"/>
  <c r="H20" i="1"/>
  <c r="H15" i="1"/>
  <c r="H21" i="1"/>
  <c r="H22" i="1"/>
  <c r="J2" i="1" l="1"/>
</calcChain>
</file>

<file path=xl/sharedStrings.xml><?xml version="1.0" encoding="utf-8"?>
<sst xmlns="http://schemas.openxmlformats.org/spreadsheetml/2006/main" count="73" uniqueCount="48">
  <si>
    <t>数量</t>
  </si>
  <si>
    <t>単価</t>
  </si>
  <si>
    <t>金額</t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</si>
  <si>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</si>
  <si>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</si>
  <si>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</si>
  <si>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</si>
  <si>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</si>
  <si>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</si>
  <si>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</si>
  <si>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</si>
  <si>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</si>
  <si>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</si>
  <si>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</si>
  <si>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</si>
  <si>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</si>
  <si>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</si>
  <si>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</si>
  <si>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</si>
  <si>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</si>
  <si>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</si>
  <si>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中村</t>
    <rPh sb="0" eb="2">
      <t>ナカムラ</t>
    </rPh>
    <phoneticPr fontId="1"/>
  </si>
  <si>
    <t>ナミックス</t>
    <phoneticPr fontId="1"/>
  </si>
  <si>
    <t>128929-X01</t>
    <phoneticPr fontId="1"/>
  </si>
  <si>
    <t>128929-Y01</t>
    <phoneticPr fontId="1"/>
  </si>
  <si>
    <t>128929-Y02</t>
    <phoneticPr fontId="1"/>
  </si>
  <si>
    <t>MVBLK-AMW-3CA-LY9GP</t>
  </si>
  <si>
    <t>MVBLK-AMW-3CA-WLL3T</t>
  </si>
  <si>
    <t>MVBLK-AMW-3CA-ZZMSR</t>
  </si>
  <si>
    <t>MISUMI</t>
    <phoneticPr fontId="1"/>
  </si>
  <si>
    <t>PYC-A1 FOR MY</t>
    <phoneticPr fontId="1"/>
  </si>
  <si>
    <t>PYFZ-08</t>
    <phoneticPr fontId="1"/>
  </si>
  <si>
    <t>設計費</t>
    <rPh sb="0" eb="3">
      <t>セッケイヒ</t>
    </rPh>
    <phoneticPr fontId="1"/>
  </si>
  <si>
    <t>組立費</t>
    <rPh sb="0" eb="3">
      <t>クミタテヒ</t>
    </rPh>
    <phoneticPr fontId="1"/>
  </si>
  <si>
    <t>機材在庫にて対応</t>
    <rPh sb="0" eb="2">
      <t>キザイ</t>
    </rPh>
    <rPh sb="2" eb="4">
      <t>ザイコ</t>
    </rPh>
    <rPh sb="6" eb="8">
      <t>タイオウ</t>
    </rPh>
    <phoneticPr fontId="1"/>
  </si>
  <si>
    <t>MY2N-D2-Y DC24</t>
  </si>
  <si>
    <t>UL1007-20AWG-BE-10</t>
  </si>
  <si>
    <t>DE-C8-J9-B51R</t>
  </si>
  <si>
    <t>HD-15SP</t>
  </si>
  <si>
    <t>DC-C8-J13-B51R</t>
  </si>
  <si>
    <t>DB-37SP</t>
  </si>
  <si>
    <t>MRB-80</t>
  </si>
  <si>
    <t>DINﾚｰﾙ</t>
  </si>
  <si>
    <t>ｺﾈｸﾀ</t>
  </si>
  <si>
    <t>DSUBﾌｰﾄﾞ</t>
  </si>
  <si>
    <t>DSUBｺﾈｸﾀ(ｺｳﾐﾂﾄﾞ)</t>
  </si>
  <si>
    <t>UL1007</t>
  </si>
  <si>
    <t>RELAY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</si>
</sst>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 shrinkToFit="1"/>
    </xf>
    <xf numFmtId="176" fontId="0" fillId="0" borderId="0" xfId="0" applyNumberFormat="1">
      <alignment vertical="center"/>
    </xf>
    <xf numFmtId="180" fontId="0" fillId="0" borderId="0" xfId="0" applyNumberFormat="1">
      <alignment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8" fontId="7" fillId="0" borderId="1" xfId="0" applyNumberFormat="1" applyFont="1" applyBorder="1" applyAlignment="1">
      <alignment horizontal="right" vertical="center"/>
    </xf>
    <xf numFmtId="38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79" fontId="0" fillId="0" borderId="1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>
      <alignment vertical="center"/>
    </xf>
    <xf numFmtId="180" fontId="5" fillId="0" borderId="1" xfId="0" applyNumberFormat="1" applyFont="1" applyBorder="1" applyAlignment="1">
      <alignment horizontal="right" vertical="center"/>
    </xf>
    <xf numFmtId="176" fontId="5" fillId="0" borderId="2" xfId="0" applyNumberFormat="1" applyFont="1" applyBorder="1">
      <alignment vertical="center"/>
    </xf>
    <xf numFmtId="0" fontId="7" fillId="0" borderId="1" xfId="0" applyFont="1" applyBorder="1" applyAlignment="1">
      <alignment horizontal="left" vertical="center"/>
    </xf>
    <xf numFmtId="181" fontId="7" fillId="0" borderId="1" xfId="0" applyNumberFormat="1" applyFon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177" fontId="0" fillId="0" borderId="0" xfId="0" applyNumberFormat="1" applyAlignment="1">
      <alignment horizontal="center" vertical="center"/>
    </xf>
    <xf numFmtId="176" fontId="5" fillId="0" borderId="0" xfId="0" applyNumberFormat="1" applyFont="1">
      <alignment vertical="center"/>
    </xf>
    <xf numFmtId="0" fontId="0" fillId="0" borderId="1" xfId="0" applyBorder="1">
      <alignment vertical="center"/>
    </xf>
    <xf numFmtId="3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38" fontId="0" fillId="3" borderId="1" xfId="0" applyNumberFormat="1" applyFill="1" applyBorder="1" applyAlignment="1">
      <alignment horizontal="right" vertical="center"/>
    </xf>
    <xf numFmtId="38" fontId="5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2"/>
  <sheetViews>
    <sheetView tabSelected="1" zoomScale="85" zoomScaleNormal="85" workbookViewId="0">
      <pane ySplit="8" topLeftCell="A9" activePane="bottomLeft" state="frozen"/>
      <selection pane="bottomLeft" activeCell="A20" sqref="A20"/>
    </sheetView>
  </sheetViews>
  <sheetFormatPr defaultRowHeight="13.5" x14ac:dyDescent="0.15"/>
  <cols>
    <col min="1" max="1" width="2.625" customWidth="1"/>
    <col min="2" max="2" width="5.125" style="1" customWidth="1"/>
    <col min="3" max="3" width="20.625" customWidth="1"/>
    <col min="4" max="4" width="20.75" customWidth="1"/>
    <col min="5" max="5" width="75.75" customWidth="1"/>
    <col min="6" max="6" width="6.25" style="10" customWidth="1"/>
    <col min="7" max="8" width="11.625" customWidth="1"/>
    <col min="9" max="9" width="5.75" style="5" customWidth="1"/>
    <col min="10" max="10" width="45.75" customWidth="1"/>
    <col min="11" max="11" width="35.75" customWidth="1"/>
    <col min="12" max="12" width="55.75" style="1" customWidth="1"/>
    <col min="13" max="13" width="13.75" style="1" customWidth="1"/>
    <col min="14" max="14" width="6.375" customWidth="1"/>
    <col min="15" max="15" width="13.25" style="5" customWidth="1"/>
    <col min="16" max="16" width="14.5" style="6" customWidth="1"/>
    <col min="17" max="17" width="15.625" style="7" customWidth="1"/>
  </cols>
  <sheetData>
    <row r="2" spans="2:17" ht="20.100000000000001" customHeight="1" x14ac:dyDescent="0.15">
      <c r="B2" s="41" t="s">
        <v>10</v>
      </c>
      <c r="C2" s="41"/>
      <c r="D2" s="41"/>
      <c r="E2" s="8" t="s">
        <v>22</v>
      </c>
      <c r="G2" s="42" t="s">
        <v>14</v>
      </c>
      <c r="H2" s="43"/>
      <c r="I2" s="44"/>
      <c r="J2" s="4">
        <f>SUM(H:H)</f>
        <v>56712</v>
      </c>
    </row>
    <row r="3" spans="2:17" ht="20.100000000000001" customHeight="1" x14ac:dyDescent="0.15">
      <c r="B3" s="41" t="s">
        <v>9</v>
      </c>
      <c r="C3" s="41"/>
      <c r="D3" s="41"/>
      <c r="E3" s="2" t="s">
        <v>21</v>
      </c>
    </row>
    <row r="4" spans="2:17" ht="20.100000000000001" customHeight="1" x14ac:dyDescent="0.15">
      <c r="B4" s="41" t="s">
        <v>11</v>
      </c>
      <c r="C4" s="41"/>
      <c r="D4" s="41"/>
      <c r="E4" s="8">
        <v>205931</v>
      </c>
    </row>
    <row r="5" spans="2:17" ht="20.100000000000001" customHeight="1" x14ac:dyDescent="0.15">
      <c r="B5" s="41" t="s">
        <v>12</v>
      </c>
      <c r="C5" s="41"/>
      <c r="D5" s="41"/>
      <c r="E5" s="3"/>
    </row>
    <row r="6" spans="2:17" ht="20.100000000000001" customHeight="1" x14ac:dyDescent="0.15">
      <c r="B6" s="41" t="s">
        <v>13</v>
      </c>
      <c r="C6" s="41"/>
      <c r="D6" s="41"/>
      <c r="E6" s="3">
        <v>45169</v>
      </c>
    </row>
    <row r="8" spans="2:17" s="1" customFormat="1" ht="19.7" customHeight="1" x14ac:dyDescent="0.15">
      <c r="B8" s="11" t="s">
        <v>3</v>
      </c>
      <c r="C8" s="11" t="s">
        <v>8</v>
      </c>
      <c r="D8" s="11" t="s">
        <v>4</v>
      </c>
      <c r="E8" s="12" t="s">
        <v>7</v>
      </c>
      <c r="F8" s="13" t="s">
        <v>0</v>
      </c>
      <c r="G8" s="12" t="s">
        <v>1</v>
      </c>
      <c r="H8" s="14" t="s">
        <v>2</v>
      </c>
      <c r="I8" s="14" t="s">
        <v>17</v>
      </c>
      <c r="J8" s="12"/>
      <c r="K8" s="12" t="s">
        <v>16</v>
      </c>
      <c r="L8" s="12" t="s">
        <v>15</v>
      </c>
      <c r="M8" s="11" t="s">
        <v>5</v>
      </c>
      <c r="N8" s="11" t="s">
        <v>18</v>
      </c>
      <c r="O8" s="12" t="s">
        <v>6</v>
      </c>
      <c r="P8" s="15" t="s">
        <v>19</v>
      </c>
      <c r="Q8" s="16" t="s">
        <v>20</v>
      </c>
    </row>
    <row r="9" spans="2:17" s="1" customFormat="1" ht="19.7" customHeight="1" x14ac:dyDescent="0.15">
      <c r="B9" s="11">
        <v>5</v>
      </c>
      <c r="C9" s="11" t="s">
        <v>29</v>
      </c>
      <c r="D9" s="11" t="s">
        <v>29</v>
      </c>
      <c r="E9" s="33" t="s">
        <v>40</v>
      </c>
      <c r="F9" s="33">
        <v>1</v>
      </c>
      <c r="G9" s="33">
        <v>418</v>
      </c>
      <c r="H9" s="18">
        <f t="shared" ref="H9:H14" si="0">F9*G9</f>
        <v>418</v>
      </c>
      <c r="I9" s="12"/>
      <c r="J9" s="33" t="s">
        <v>43</v>
      </c>
      <c r="K9" s="19"/>
      <c r="L9" s="12"/>
      <c r="M9" s="20"/>
      <c r="N9" s="11"/>
      <c r="O9" s="12"/>
      <c r="P9" s="21"/>
      <c r="Q9" s="16">
        <v>45075</v>
      </c>
    </row>
    <row r="10" spans="2:17" s="1" customFormat="1" ht="19.7" customHeight="1" x14ac:dyDescent="0.15">
      <c r="B10" s="11">
        <v>5</v>
      </c>
      <c r="C10" s="11" t="s">
        <v>29</v>
      </c>
      <c r="D10" s="11" t="s">
        <v>29</v>
      </c>
      <c r="E10" s="33" t="s">
        <v>39</v>
      </c>
      <c r="F10" s="33">
        <v>1</v>
      </c>
      <c r="G10" s="33">
        <v>578</v>
      </c>
      <c r="H10" s="18">
        <f t="shared" si="0"/>
        <v>578</v>
      </c>
      <c r="I10" s="29"/>
      <c r="J10" s="33" t="s">
        <v>44</v>
      </c>
      <c r="K10" s="19"/>
      <c r="L10" s="12"/>
      <c r="M10" s="11"/>
      <c r="N10" s="11"/>
      <c r="O10" s="12"/>
      <c r="P10" s="15"/>
      <c r="Q10" s="16">
        <v>45075</v>
      </c>
    </row>
    <row r="11" spans="2:17" s="1" customFormat="1" ht="19.7" customHeight="1" x14ac:dyDescent="0.15">
      <c r="B11" s="11">
        <v>5</v>
      </c>
      <c r="C11" s="11" t="s">
        <v>29</v>
      </c>
      <c r="D11" s="11" t="s">
        <v>29</v>
      </c>
      <c r="E11" s="33" t="s">
        <v>38</v>
      </c>
      <c r="F11" s="33">
        <v>1</v>
      </c>
      <c r="G11" s="33">
        <v>296</v>
      </c>
      <c r="H11" s="18">
        <f t="shared" si="0"/>
        <v>296</v>
      </c>
      <c r="I11" s="12"/>
      <c r="J11" s="33" t="s">
        <v>45</v>
      </c>
      <c r="K11" s="22"/>
      <c r="L11" s="12"/>
      <c r="M11" s="20"/>
      <c r="N11" s="11"/>
      <c r="O11" s="12"/>
      <c r="P11" s="21"/>
      <c r="Q11" s="16">
        <v>45075</v>
      </c>
    </row>
    <row r="12" spans="2:17" s="1" customFormat="1" ht="19.7" customHeight="1" x14ac:dyDescent="0.15">
      <c r="B12" s="11">
        <v>5</v>
      </c>
      <c r="C12" s="11" t="s">
        <v>29</v>
      </c>
      <c r="D12" s="11" t="s">
        <v>29</v>
      </c>
      <c r="E12" s="33" t="s">
        <v>37</v>
      </c>
      <c r="F12" s="33">
        <v>1</v>
      </c>
      <c r="G12" s="33">
        <v>568</v>
      </c>
      <c r="H12" s="18">
        <f t="shared" si="0"/>
        <v>568</v>
      </c>
      <c r="I12" s="29"/>
      <c r="J12" s="33" t="s">
        <v>44</v>
      </c>
      <c r="K12" s="19"/>
      <c r="L12" s="12"/>
      <c r="M12" s="11"/>
      <c r="N12" s="11"/>
      <c r="O12" s="12"/>
      <c r="P12" s="15"/>
      <c r="Q12" s="16">
        <v>45075</v>
      </c>
    </row>
    <row r="13" spans="2:17" s="1" customFormat="1" ht="19.7" customHeight="1" x14ac:dyDescent="0.15">
      <c r="B13" s="11">
        <v>5</v>
      </c>
      <c r="C13" s="11" t="s">
        <v>29</v>
      </c>
      <c r="D13" s="11" t="s">
        <v>29</v>
      </c>
      <c r="E13" s="33" t="s">
        <v>36</v>
      </c>
      <c r="F13" s="33">
        <v>1</v>
      </c>
      <c r="G13" s="33">
        <v>1546</v>
      </c>
      <c r="H13" s="18">
        <f t="shared" si="0"/>
        <v>1546</v>
      </c>
      <c r="I13" s="12"/>
      <c r="J13" s="33" t="s">
        <v>46</v>
      </c>
      <c r="K13" s="22"/>
      <c r="L13" s="12"/>
      <c r="M13" s="20"/>
      <c r="N13" s="11"/>
      <c r="O13" s="12"/>
      <c r="P13" s="21"/>
      <c r="Q13" s="16">
        <v>45075</v>
      </c>
    </row>
    <row r="14" spans="2:17" s="1" customFormat="1" ht="19.7" customHeight="1" x14ac:dyDescent="0.15">
      <c r="B14" s="11">
        <v>5</v>
      </c>
      <c r="C14" s="11" t="s">
        <v>29</v>
      </c>
      <c r="D14" s="11" t="s">
        <v>29</v>
      </c>
      <c r="E14" s="33" t="s">
        <v>35</v>
      </c>
      <c r="F14" s="33">
        <v>1</v>
      </c>
      <c r="G14" s="33">
        <v>2465</v>
      </c>
      <c r="H14" s="18">
        <f t="shared" si="0"/>
        <v>2465</v>
      </c>
      <c r="I14" s="12"/>
      <c r="J14" s="33" t="s">
        <v>47</v>
      </c>
      <c r="K14" s="22"/>
      <c r="L14" s="12"/>
      <c r="M14" s="20"/>
      <c r="N14" s="11"/>
      <c r="O14" s="12"/>
      <c r="P14" s="21"/>
      <c r="Q14" s="16">
        <v>45075</v>
      </c>
    </row>
    <row r="15" spans="2:17" s="1" customFormat="1" ht="19.7" customHeight="1" x14ac:dyDescent="0.15">
      <c r="B15" s="11">
        <v>5</v>
      </c>
      <c r="C15" s="34" t="s">
        <v>29</v>
      </c>
      <c r="D15" s="34" t="s">
        <v>29</v>
      </c>
      <c r="E15" s="35" t="s">
        <v>31</v>
      </c>
      <c r="F15" s="36">
        <v>0</v>
      </c>
      <c r="G15" s="37">
        <v>0</v>
      </c>
      <c r="H15" s="38">
        <f t="shared" ref="H15:H22" si="1">F15*G15</f>
        <v>0</v>
      </c>
      <c r="I15" s="39"/>
      <c r="J15" s="40" t="s">
        <v>34</v>
      </c>
      <c r="K15" s="22"/>
      <c r="L15" s="12"/>
      <c r="M15" s="20"/>
      <c r="N15" s="11"/>
      <c r="O15" s="12"/>
      <c r="P15" s="21"/>
      <c r="Q15" s="16"/>
    </row>
    <row r="16" spans="2:17" s="1" customFormat="1" ht="19.7" customHeight="1" x14ac:dyDescent="0.15">
      <c r="B16" s="11">
        <v>5</v>
      </c>
      <c r="C16" s="34" t="s">
        <v>29</v>
      </c>
      <c r="D16" s="34" t="s">
        <v>29</v>
      </c>
      <c r="E16" s="35" t="s">
        <v>30</v>
      </c>
      <c r="F16" s="36">
        <v>0</v>
      </c>
      <c r="G16" s="37">
        <v>0</v>
      </c>
      <c r="H16" s="38">
        <f t="shared" si="1"/>
        <v>0</v>
      </c>
      <c r="I16" s="39"/>
      <c r="J16" s="40" t="s">
        <v>34</v>
      </c>
      <c r="K16" s="22"/>
      <c r="L16" s="12"/>
      <c r="M16" s="20"/>
      <c r="N16" s="11"/>
      <c r="O16" s="12"/>
      <c r="P16" s="21"/>
      <c r="Q16" s="16"/>
    </row>
    <row r="17" spans="2:17" s="1" customFormat="1" ht="19.7" customHeight="1" x14ac:dyDescent="0.15">
      <c r="B17" s="11">
        <v>5</v>
      </c>
      <c r="C17" s="11" t="s">
        <v>29</v>
      </c>
      <c r="D17" s="11" t="s">
        <v>29</v>
      </c>
      <c r="E17" s="33" t="s">
        <v>41</v>
      </c>
      <c r="F17" s="33">
        <v>1</v>
      </c>
      <c r="G17" s="33">
        <v>935</v>
      </c>
      <c r="H17" s="18">
        <f t="shared" si="1"/>
        <v>935</v>
      </c>
      <c r="I17" s="29"/>
      <c r="J17" s="33" t="s">
        <v>42</v>
      </c>
      <c r="K17" s="26"/>
      <c r="L17" s="12"/>
      <c r="M17" s="11"/>
      <c r="N17" s="11"/>
      <c r="O17" s="12"/>
      <c r="P17" s="15"/>
      <c r="Q17" s="16">
        <v>45075</v>
      </c>
    </row>
    <row r="18" spans="2:17" s="1" customFormat="1" ht="19.7" customHeight="1" x14ac:dyDescent="0.15">
      <c r="B18" s="11">
        <v>6</v>
      </c>
      <c r="C18" s="11" t="s">
        <v>29</v>
      </c>
      <c r="D18" s="11" t="s">
        <v>29</v>
      </c>
      <c r="E18" s="33" t="s">
        <v>28</v>
      </c>
      <c r="F18" s="33">
        <v>1</v>
      </c>
      <c r="G18" s="33">
        <v>8460</v>
      </c>
      <c r="H18" s="18">
        <f t="shared" si="1"/>
        <v>8460</v>
      </c>
      <c r="I18" s="29"/>
      <c r="J18" s="23" t="s">
        <v>23</v>
      </c>
      <c r="K18" s="19"/>
      <c r="L18" s="29"/>
      <c r="M18" s="20"/>
      <c r="N18" s="11"/>
      <c r="O18" s="12"/>
      <c r="P18" s="21"/>
      <c r="Q18" s="16">
        <v>45075</v>
      </c>
    </row>
    <row r="19" spans="2:17" s="1" customFormat="1" ht="19.7" customHeight="1" x14ac:dyDescent="0.15">
      <c r="B19" s="11">
        <v>5</v>
      </c>
      <c r="C19" s="11" t="s">
        <v>29</v>
      </c>
      <c r="D19" s="11" t="s">
        <v>29</v>
      </c>
      <c r="E19" s="33" t="s">
        <v>26</v>
      </c>
      <c r="F19" s="33">
        <v>1</v>
      </c>
      <c r="G19" s="33">
        <v>5274</v>
      </c>
      <c r="H19" s="18">
        <f t="shared" si="1"/>
        <v>5274</v>
      </c>
      <c r="I19" s="29"/>
      <c r="J19" s="23" t="s">
        <v>24</v>
      </c>
      <c r="K19" s="19"/>
      <c r="L19" s="29"/>
      <c r="M19" s="20"/>
      <c r="N19" s="11"/>
      <c r="O19" s="12"/>
      <c r="P19" s="21"/>
      <c r="Q19" s="16">
        <v>45075</v>
      </c>
    </row>
    <row r="20" spans="2:17" s="1" customFormat="1" ht="19.7" customHeight="1" x14ac:dyDescent="0.15">
      <c r="B20" s="11">
        <v>5</v>
      </c>
      <c r="C20" s="11" t="s">
        <v>29</v>
      </c>
      <c r="D20" s="11" t="s">
        <v>29</v>
      </c>
      <c r="E20" s="33" t="s">
        <v>27</v>
      </c>
      <c r="F20" s="33">
        <v>1</v>
      </c>
      <c r="G20" s="33">
        <v>6172</v>
      </c>
      <c r="H20" s="18">
        <f t="shared" si="1"/>
        <v>6172</v>
      </c>
      <c r="I20" s="29"/>
      <c r="J20" s="23" t="s">
        <v>25</v>
      </c>
      <c r="K20" s="19"/>
      <c r="L20" s="29"/>
      <c r="M20" s="20"/>
      <c r="N20" s="11"/>
      <c r="O20" s="12"/>
      <c r="P20" s="21"/>
      <c r="Q20" s="16">
        <v>45075</v>
      </c>
    </row>
    <row r="21" spans="2:17" s="1" customFormat="1" ht="19.7" customHeight="1" x14ac:dyDescent="0.15">
      <c r="B21" s="11"/>
      <c r="C21" s="11"/>
      <c r="D21" s="11"/>
      <c r="E21" s="23" t="s">
        <v>32</v>
      </c>
      <c r="F21" s="27">
        <v>3</v>
      </c>
      <c r="G21" s="28">
        <v>5000</v>
      </c>
      <c r="H21" s="18">
        <f t="shared" si="1"/>
        <v>15000</v>
      </c>
      <c r="I21" s="29"/>
      <c r="J21" s="23"/>
      <c r="K21" s="19"/>
      <c r="L21" s="29"/>
      <c r="M21" s="20"/>
      <c r="N21" s="11"/>
      <c r="O21" s="12"/>
      <c r="P21" s="21"/>
      <c r="Q21" s="16"/>
    </row>
    <row r="22" spans="2:17" s="1" customFormat="1" ht="19.7" customHeight="1" x14ac:dyDescent="0.15">
      <c r="B22" s="11"/>
      <c r="C22" s="11"/>
      <c r="D22" s="11"/>
      <c r="E22" s="23" t="s">
        <v>33</v>
      </c>
      <c r="F22" s="24">
        <v>3</v>
      </c>
      <c r="G22" s="17">
        <v>5000</v>
      </c>
      <c r="H22" s="18">
        <f t="shared" si="1"/>
        <v>15000</v>
      </c>
      <c r="I22" s="25"/>
      <c r="J22" s="30"/>
      <c r="K22" s="12"/>
      <c r="L22" s="12"/>
      <c r="M22" s="11"/>
      <c r="N22" s="11"/>
      <c r="O22" s="12"/>
      <c r="P22" s="15"/>
      <c r="Q22" s="16"/>
    </row>
    <row r="26" spans="2:17" x14ac:dyDescent="0.15">
      <c r="M26" s="31"/>
    </row>
    <row r="28" spans="2:17" x14ac:dyDescent="0.15">
      <c r="M28" s="31"/>
    </row>
    <row r="30" spans="2:17" x14ac:dyDescent="0.15">
      <c r="H30" s="9"/>
    </row>
    <row r="31" spans="2:17" x14ac:dyDescent="0.15">
      <c r="H31" s="9"/>
    </row>
    <row r="32" spans="2:17" x14ac:dyDescent="0.15">
      <c r="H32" s="9"/>
    </row>
    <row r="33" spans="8:8" x14ac:dyDescent="0.15">
      <c r="H33" s="9"/>
    </row>
    <row r="34" spans="8:8" x14ac:dyDescent="0.15">
      <c r="H34" s="9"/>
    </row>
    <row r="35" spans="8:8" x14ac:dyDescent="0.15">
      <c r="H35" s="9"/>
    </row>
    <row r="36" spans="8:8" x14ac:dyDescent="0.15">
      <c r="H36" s="9"/>
    </row>
    <row r="37" spans="8:8" x14ac:dyDescent="0.15">
      <c r="H37" s="9"/>
    </row>
    <row r="38" spans="8:8" x14ac:dyDescent="0.15">
      <c r="H38" s="9"/>
    </row>
    <row r="39" spans="8:8" x14ac:dyDescent="0.15">
      <c r="H39" s="9"/>
    </row>
    <row r="40" spans="8:8" x14ac:dyDescent="0.15">
      <c r="H40" s="9"/>
    </row>
    <row r="41" spans="8:8" x14ac:dyDescent="0.15">
      <c r="H41" s="32"/>
    </row>
    <row r="42" spans="8:8" x14ac:dyDescent="0.15">
      <c r="H42" s="9"/>
    </row>
    <row r="43" spans="8:8" x14ac:dyDescent="0.15">
      <c r="H43" s="9"/>
    </row>
    <row r="44" spans="8:8" x14ac:dyDescent="0.15">
      <c r="H44" s="9"/>
    </row>
    <row r="45" spans="8:8" x14ac:dyDescent="0.15">
      <c r="H45" s="9"/>
    </row>
    <row r="46" spans="8:8" x14ac:dyDescent="0.15">
      <c r="H46" s="9"/>
    </row>
    <row r="47" spans="8:8" x14ac:dyDescent="0.15">
      <c r="H47" s="9"/>
    </row>
    <row r="48" spans="8:8" x14ac:dyDescent="0.15">
      <c r="H48" s="9"/>
    </row>
    <row r="49" spans="8:8" x14ac:dyDescent="0.15">
      <c r="H49" s="9"/>
    </row>
    <row r="50" spans="8:8" x14ac:dyDescent="0.15">
      <c r="H50" s="9"/>
    </row>
    <row r="52" spans="8:8" x14ac:dyDescent="0.15">
      <c r="H52" s="9"/>
    </row>
  </sheetData>
  <autoFilter ref="B8:O22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2013-11-12T01:42:54Z</cp:lastPrinted>
  <dcterms:created xsi:type="dcterms:W3CDTF">2011-12-13T06:48:43Z</dcterms:created>
  <dcterms:modified xsi:type="dcterms:W3CDTF">2023-05-29T02:58:40Z</dcterms:modified>
</cp:coreProperties>
</file>