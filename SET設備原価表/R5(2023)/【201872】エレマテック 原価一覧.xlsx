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8C7B3B4-72AC-44B2-BA42-1C909319D1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<sst xmlns="http://schemas.openxmlformats.org/spreadsheetml/2006/main" count="70" uniqueCount="41">
  <si>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</si>
  <si>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</si>
  <si>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</si>
  <si>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</si>
  <si>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</si>
  <si>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</si>
  <si>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</si>
  <si>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</si>
  <si>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</si>
  <si>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</si>
  <si>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</si>
  <si>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</si>
  <si>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</si>
  <si>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</si>
  <si>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</si>
  <si>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</si>
  <si>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</si>
  <si>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</si>
  <si>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</si>
  <si>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</si>
  <si>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</si>
  <si>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</si>
  <si>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</si>
  <si>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</si>
  <si>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</si>
  <si>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</si>
  <si>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</si>
  <si>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</si>
  <si>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</si>
  <si>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</si>
  <si>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</si>
  <si>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</si>
  <si>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</si>
  <si>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</si>
  <si>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</si>
  <si>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</si>
  <si>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</si>
  <si>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</si>
  <si>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</si>
  <si>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【201447-8】の在庫使用</t>
    <rPh sb="11" eb="13">
      <t>ザイコ</t>
    </rPh>
    <rPh sb="13" eb="15">
      <t>シヨウ</t>
    </rPh>
    <phoneticPr fontId="2"/>
  </si>
  <si>
    <t>在庫</t>
    <rPh sb="0" eb="2">
      <t>ザイコ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</si>
</sst>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3" fontId="0" fillId="3" borderId="2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0" fillId="4" borderId="2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4" borderId="1" xfId="0" applyFont="1" applyFill="1" applyBorder="1">
      <alignment vertical="center"/>
    </xf>
    <xf numFmtId="3" fontId="6" fillId="4" borderId="1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2"/>
  <sheetViews>
    <sheetView tabSelected="1" zoomScaleNormal="100" workbookViewId="0">
      <pane xSplit="10" ySplit="9" topLeftCell="O10" activePane="bottomRight" state="frozen"/>
      <selection pane="topRight" activeCell="K1" sqref="K1"/>
      <selection pane="bottomLeft" activeCell="A9" sqref="A9"/>
      <selection pane="bottomRight" activeCell="Q19" sqref="Q19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1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9" customWidth="1"/>
  </cols>
  <sheetData>
    <row r="2" spans="2:17" ht="20.100000000000001" customHeight="1" x14ac:dyDescent="0.15">
      <c r="B2" s="64" t="s">
        <v>11</v>
      </c>
      <c r="C2" s="64"/>
      <c r="D2" s="64"/>
      <c r="E2" s="2" t="s">
        <v>23</v>
      </c>
      <c r="G2" s="65" t="s">
        <v>15</v>
      </c>
      <c r="H2" s="66"/>
      <c r="I2" s="67"/>
      <c r="J2" s="3">
        <f>SUM(H:H)</f>
        <v>103168</v>
      </c>
    </row>
    <row r="3" spans="2:17" ht="20.100000000000001" customHeight="1" x14ac:dyDescent="0.15">
      <c r="B3" s="64" t="s">
        <v>10</v>
      </c>
      <c r="C3" s="64"/>
      <c r="D3" s="64"/>
      <c r="E3" s="7" t="s">
        <v>22</v>
      </c>
    </row>
    <row r="4" spans="2:17" ht="20.100000000000001" customHeight="1" x14ac:dyDescent="0.15">
      <c r="B4" s="64" t="s">
        <v>12</v>
      </c>
      <c r="C4" s="64"/>
      <c r="D4" s="64"/>
      <c r="E4" s="7">
        <v>201872</v>
      </c>
      <c r="J4" s="8"/>
    </row>
    <row r="5" spans="2:17" ht="20.100000000000001" customHeight="1" x14ac:dyDescent="0.15">
      <c r="B5" s="64" t="s">
        <v>13</v>
      </c>
      <c r="C5" s="64"/>
      <c r="D5" s="64"/>
      <c r="E5" s="9"/>
      <c r="J5" s="8"/>
    </row>
    <row r="6" spans="2:17" ht="20.100000000000001" customHeight="1" x14ac:dyDescent="0.15">
      <c r="B6" s="64" t="s">
        <v>14</v>
      </c>
      <c r="C6" s="64"/>
      <c r="D6" s="64"/>
      <c r="E6" s="9">
        <v>44588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2" t="s">
        <v>1</v>
      </c>
      <c r="H9" s="33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33</v>
      </c>
      <c r="D10" s="13" t="s">
        <v>33</v>
      </c>
      <c r="E10" s="18" t="s">
        <v>34</v>
      </c>
      <c r="F10" s="20">
        <v>2</v>
      </c>
      <c r="G10" s="32">
        <v>8500</v>
      </c>
      <c r="H10" s="33">
        <f>F10*G10</f>
        <v>17000</v>
      </c>
      <c r="I10" s="15"/>
      <c r="J10" s="18"/>
      <c r="K10" s="35"/>
      <c r="L10" s="14"/>
      <c r="M10" s="16">
        <v>44889</v>
      </c>
      <c r="N10" s="13"/>
      <c r="O10" s="28">
        <v>44904</v>
      </c>
      <c r="P10" s="16">
        <v>44904</v>
      </c>
      <c r="Q10" s="17">
        <v>44902</v>
      </c>
    </row>
    <row r="11" spans="2:17" s="4" customFormat="1" ht="19.7" customHeight="1" x14ac:dyDescent="0.15">
      <c r="B11" s="13">
        <v>1</v>
      </c>
      <c r="C11" s="13" t="s">
        <v>33</v>
      </c>
      <c r="D11" s="13" t="s">
        <v>33</v>
      </c>
      <c r="E11" s="22" t="s">
        <v>35</v>
      </c>
      <c r="F11" s="20">
        <v>2</v>
      </c>
      <c r="G11" s="30">
        <v>5500</v>
      </c>
      <c r="H11" s="33">
        <f t="shared" ref="H11:H14" si="0">F11*G11</f>
        <v>11000</v>
      </c>
      <c r="I11" s="21"/>
      <c r="J11" s="23"/>
      <c r="K11" s="35"/>
      <c r="L11" s="14"/>
      <c r="M11" s="16">
        <v>44889</v>
      </c>
      <c r="N11" s="13"/>
      <c r="O11" s="28">
        <v>44904</v>
      </c>
      <c r="P11" s="16">
        <v>44904</v>
      </c>
      <c r="Q11" s="17">
        <v>44902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2" t="s">
        <v>37</v>
      </c>
      <c r="F12" s="20">
        <v>2</v>
      </c>
      <c r="G12" s="30">
        <v>9780</v>
      </c>
      <c r="H12" s="33">
        <f t="shared" si="0"/>
        <v>19560</v>
      </c>
      <c r="I12" s="21"/>
      <c r="J12" s="23" t="s">
        <v>24</v>
      </c>
      <c r="K12" s="35"/>
      <c r="L12" s="14"/>
      <c r="M12" s="16">
        <v>44889</v>
      </c>
      <c r="N12" s="13"/>
      <c r="O12" s="28">
        <v>44904</v>
      </c>
      <c r="P12" s="16">
        <v>44904</v>
      </c>
      <c r="Q12" s="17">
        <v>44903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2" t="s">
        <v>30</v>
      </c>
      <c r="F13" s="20">
        <v>0</v>
      </c>
      <c r="G13" s="32">
        <v>140</v>
      </c>
      <c r="H13" s="33">
        <f t="shared" si="0"/>
        <v>0</v>
      </c>
      <c r="I13" s="19"/>
      <c r="J13" s="23" t="s">
        <v>39</v>
      </c>
      <c r="K13" s="14" t="s">
        <v>40</v>
      </c>
      <c r="L13" s="14"/>
      <c r="M13" s="16"/>
      <c r="N13" s="13"/>
      <c r="O13" s="14"/>
      <c r="P13" s="16"/>
      <c r="Q13" s="17"/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5" t="s">
        <v>38</v>
      </c>
      <c r="F14" s="20">
        <v>2</v>
      </c>
      <c r="G14" s="32">
        <v>137</v>
      </c>
      <c r="H14" s="33">
        <f t="shared" si="0"/>
        <v>274</v>
      </c>
      <c r="I14" s="26"/>
      <c r="J14" s="25" t="s">
        <v>25</v>
      </c>
      <c r="K14" s="14" t="s">
        <v>36</v>
      </c>
      <c r="L14" s="14"/>
      <c r="M14" s="16"/>
      <c r="N14" s="13"/>
      <c r="O14" s="14"/>
      <c r="P14" s="16"/>
      <c r="Q14" s="17">
        <v>44897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5" t="s">
        <v>29</v>
      </c>
      <c r="F15" s="20">
        <v>0.5</v>
      </c>
      <c r="G15" s="32">
        <v>5000</v>
      </c>
      <c r="H15" s="33">
        <f t="shared" ref="H15:H16" si="1">F15*G15</f>
        <v>2500</v>
      </c>
      <c r="I15" s="26"/>
      <c r="J15" s="25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5" t="s">
        <v>28</v>
      </c>
      <c r="F16" s="20">
        <v>1</v>
      </c>
      <c r="G16" s="32">
        <v>5000</v>
      </c>
      <c r="H16" s="33">
        <f t="shared" si="1"/>
        <v>5000</v>
      </c>
      <c r="I16" s="26"/>
      <c r="J16" s="25"/>
      <c r="K16" s="14"/>
      <c r="L16" s="14"/>
      <c r="M16" s="16"/>
      <c r="N16" s="13"/>
      <c r="O16" s="14"/>
      <c r="P16" s="16"/>
      <c r="Q16" s="17"/>
    </row>
    <row r="17" spans="2:17" s="57" customFormat="1" ht="19.7" customHeight="1" x14ac:dyDescent="0.15">
      <c r="B17" s="47">
        <v>2</v>
      </c>
      <c r="C17" s="47" t="s">
        <v>33</v>
      </c>
      <c r="D17" s="47" t="s">
        <v>33</v>
      </c>
      <c r="E17" s="48" t="s">
        <v>34</v>
      </c>
      <c r="F17" s="49">
        <v>2</v>
      </c>
      <c r="G17" s="50">
        <v>8500</v>
      </c>
      <c r="H17" s="51">
        <f>F17*G17</f>
        <v>17000</v>
      </c>
      <c r="I17" s="52"/>
      <c r="J17" s="48"/>
      <c r="K17" s="53"/>
      <c r="L17" s="54"/>
      <c r="M17" s="55">
        <v>44943</v>
      </c>
      <c r="N17" s="47"/>
      <c r="O17" s="54"/>
      <c r="P17" s="55">
        <v>44967</v>
      </c>
      <c r="Q17" s="56">
        <v>44956</v>
      </c>
    </row>
    <row r="18" spans="2:17" s="57" customFormat="1" ht="19.7" customHeight="1" x14ac:dyDescent="0.15">
      <c r="B18" s="47">
        <v>2</v>
      </c>
      <c r="C18" s="47" t="s">
        <v>33</v>
      </c>
      <c r="D18" s="47" t="s">
        <v>33</v>
      </c>
      <c r="E18" s="58" t="s">
        <v>35</v>
      </c>
      <c r="F18" s="49">
        <v>2</v>
      </c>
      <c r="G18" s="59">
        <v>5500</v>
      </c>
      <c r="H18" s="51">
        <f t="shared" ref="H18:H21" si="2">F18*G18</f>
        <v>11000</v>
      </c>
      <c r="I18" s="60"/>
      <c r="J18" s="61"/>
      <c r="K18" s="53"/>
      <c r="L18" s="54"/>
      <c r="M18" s="55">
        <v>44943</v>
      </c>
      <c r="N18" s="47"/>
      <c r="O18" s="54"/>
      <c r="P18" s="55">
        <v>44967</v>
      </c>
      <c r="Q18" s="56">
        <v>44956</v>
      </c>
    </row>
    <row r="19" spans="2:17" s="57" customFormat="1" ht="19.7" customHeight="1" x14ac:dyDescent="0.15">
      <c r="B19" s="47">
        <v>2</v>
      </c>
      <c r="C19" s="47" t="s">
        <v>31</v>
      </c>
      <c r="D19" s="47" t="s">
        <v>32</v>
      </c>
      <c r="E19" s="58" t="s">
        <v>37</v>
      </c>
      <c r="F19" s="49">
        <v>2</v>
      </c>
      <c r="G19" s="59">
        <v>9780</v>
      </c>
      <c r="H19" s="51">
        <f t="shared" si="2"/>
        <v>19560</v>
      </c>
      <c r="I19" s="60"/>
      <c r="J19" s="61" t="s">
        <v>24</v>
      </c>
      <c r="K19" s="53"/>
      <c r="L19" s="54"/>
      <c r="M19" s="55">
        <v>44943</v>
      </c>
      <c r="N19" s="47"/>
      <c r="O19" s="54"/>
      <c r="P19" s="55"/>
      <c r="Q19" s="56"/>
    </row>
    <row r="20" spans="2:17" s="43" customFormat="1" ht="19.7" customHeight="1" x14ac:dyDescent="0.15">
      <c r="B20" s="36">
        <v>2</v>
      </c>
      <c r="C20" s="36" t="s">
        <v>31</v>
      </c>
      <c r="D20" s="36" t="s">
        <v>32</v>
      </c>
      <c r="E20" s="44" t="s">
        <v>30</v>
      </c>
      <c r="F20" s="37">
        <v>0</v>
      </c>
      <c r="G20" s="38">
        <v>140</v>
      </c>
      <c r="H20" s="39">
        <f t="shared" si="2"/>
        <v>0</v>
      </c>
      <c r="I20" s="46"/>
      <c r="J20" s="45" t="s">
        <v>39</v>
      </c>
      <c r="K20" s="40" t="s">
        <v>40</v>
      </c>
      <c r="L20" s="40"/>
      <c r="M20" s="41"/>
      <c r="N20" s="36"/>
      <c r="O20" s="40"/>
      <c r="P20" s="41"/>
      <c r="Q20" s="42"/>
    </row>
    <row r="21" spans="2:17" s="57" customFormat="1" ht="19.7" customHeight="1" x14ac:dyDescent="0.15">
      <c r="B21" s="47">
        <v>2</v>
      </c>
      <c r="C21" s="47" t="s">
        <v>26</v>
      </c>
      <c r="D21" s="47" t="s">
        <v>26</v>
      </c>
      <c r="E21" s="62" t="s">
        <v>38</v>
      </c>
      <c r="F21" s="49">
        <v>2</v>
      </c>
      <c r="G21" s="50">
        <v>137</v>
      </c>
      <c r="H21" s="51">
        <f t="shared" si="2"/>
        <v>274</v>
      </c>
      <c r="I21" s="63"/>
      <c r="J21" s="62" t="s">
        <v>25</v>
      </c>
      <c r="K21" s="54" t="s">
        <v>36</v>
      </c>
      <c r="L21" s="54"/>
      <c r="M21" s="55"/>
      <c r="N21" s="47"/>
      <c r="O21" s="54"/>
      <c r="P21" s="55"/>
      <c r="Q21" s="56">
        <v>44945</v>
      </c>
    </row>
    <row r="22" spans="2:17" s="4" customFormat="1" ht="19.7" customHeight="1" x14ac:dyDescent="0.15">
      <c r="B22" s="13"/>
      <c r="C22" s="27"/>
      <c r="D22" s="27"/>
      <c r="E22" s="24"/>
      <c r="F22" s="24"/>
      <c r="G22" s="32"/>
      <c r="H22" s="32"/>
      <c r="I22" s="19"/>
      <c r="J22" s="34"/>
      <c r="K22" s="13"/>
      <c r="L22" s="13"/>
      <c r="M22" s="16"/>
      <c r="N22" s="13"/>
      <c r="O22" s="28"/>
      <c r="P22" s="28"/>
      <c r="Q22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2023-01-30T07:33:16Z</dcterms:modified>
</cp:coreProperties>
</file>