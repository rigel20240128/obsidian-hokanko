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Sv-ap\data\製品管理部(機材)出荷管理課・資材調達課\機材・資材調達課(ﾛﾎﾞｯﾄ部品手配)\"/>
    </mc:Choice>
  </mc:AlternateContent>
  <xr:revisionPtr revIDLastSave="0" documentId="13_ncr:1_{F63B26A0-B8BC-4027-A6DF-7A850A75C5D5}" xr6:coauthVersionLast="47" xr6:coauthVersionMax="47" xr10:uidLastSave="{00000000-0000-0000-0000-000000000000}"/>
  <bookViews>
    <workbookView showHorizontalScroll="0" showVerticalScroll="0" showSheetTabs="0" xWindow="-120" yWindow="-120" windowWidth="29040" windowHeight="15840" xr2:uid="{00000000-000D-0000-FFFF-FFFF00000000}"/>
  </bookViews>
  <sheets>
    <sheet name="原価表" sheetId="1" r:id="rId1"/>
  </sheets>
  <definedNames>
    <definedName name="_xlnm._FilterDatabase" localSheetId="0" hidden="1">原価表!$B$9:$O$17</definedName>
  </definedNames>
  <calcPr calcId="18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6" i="1" l="1"/>
  <c r="H15" i="1"/>
  <c r="H11" i="1"/>
  <c r="H12" i="1"/>
  <c r="H13" i="1"/>
  <c r="H14" i="1"/>
  <c r="H10" i="1"/>
  <c r="J2" i="1" l="1"/>
</calcChain>
</file>

<file path=xl/sharedStrings.xml><?xml version="1.0" encoding="utf-8"?>
<sst xmlns="http://schemas.openxmlformats.org/spreadsheetml/2006/main" count="49" uniqueCount="40">
  <si>
    <t>数量</t>
  </si>
  <si>
    <t>単価</t>
  </si>
  <si>
    <t>金額</t>
  </si>
  <si>
    <t>詳細</t>
    <rPh sb="0" eb="2">
      <t>ショウサイ</t>
    </rPh>
    <phoneticPr fontId="3"/>
  </si>
  <si>
    <t>見積り分類</t>
    <rPh sb="0" eb="2">
      <t>ミツモ</t>
    </rPh>
    <rPh sb="3" eb="5">
      <t>ブンルイ</t>
    </rPh>
    <phoneticPr fontId="2"/>
  </si>
  <si>
    <t>仕入先</t>
    <rPh sb="0" eb="2">
      <t>シイレ</t>
    </rPh>
    <rPh sb="2" eb="3">
      <t>サキ</t>
    </rPh>
    <phoneticPr fontId="2"/>
  </si>
  <si>
    <t>発注日</t>
    <rPh sb="0" eb="2">
      <t>ハッチュウ</t>
    </rPh>
    <rPh sb="2" eb="3">
      <t>ヒ</t>
    </rPh>
    <phoneticPr fontId="2"/>
  </si>
  <si>
    <t>納期</t>
    <rPh sb="0" eb="2">
      <t>ノウ</t>
    </rPh>
    <phoneticPr fontId="2"/>
  </si>
  <si>
    <t>品名 / 型式</t>
    <rPh sb="0" eb="2">
      <t>ヒンメイ</t>
    </rPh>
    <rPh sb="5" eb="7">
      <t>カタシキ</t>
    </rPh>
    <phoneticPr fontId="3"/>
  </si>
  <si>
    <t>メーカー</t>
    <phoneticPr fontId="2"/>
  </si>
  <si>
    <t>担当営業</t>
    <rPh sb="0" eb="2">
      <t>タントウ</t>
    </rPh>
    <rPh sb="2" eb="4">
      <t>エイギョウ</t>
    </rPh>
    <phoneticPr fontId="2"/>
  </si>
  <si>
    <t>お客先名</t>
    <rPh sb="1" eb="3">
      <t>キャクサキ</t>
    </rPh>
    <rPh sb="3" eb="4">
      <t>メイ</t>
    </rPh>
    <phoneticPr fontId="2"/>
  </si>
  <si>
    <t>受注番号</t>
    <rPh sb="0" eb="2">
      <t>ジュチュウ</t>
    </rPh>
    <rPh sb="2" eb="4">
      <t>バンゴウ</t>
    </rPh>
    <phoneticPr fontId="2"/>
  </si>
  <si>
    <t>希望納期</t>
    <rPh sb="0" eb="2">
      <t>キボウ</t>
    </rPh>
    <rPh sb="2" eb="4">
      <t>ノウ</t>
    </rPh>
    <phoneticPr fontId="2"/>
  </si>
  <si>
    <t>最終納品</t>
    <rPh sb="0" eb="2">
      <t>サイシュウ</t>
    </rPh>
    <rPh sb="2" eb="4">
      <t>ノウヒン</t>
    </rPh>
    <phoneticPr fontId="2"/>
  </si>
  <si>
    <t>合計金額</t>
    <rPh sb="0" eb="2">
      <t>ゴウケイ</t>
    </rPh>
    <rPh sb="2" eb="4">
      <t>キンガク</t>
    </rPh>
    <phoneticPr fontId="2"/>
  </si>
  <si>
    <t>技術分類</t>
    <rPh sb="0" eb="2">
      <t>ギジュツ</t>
    </rPh>
    <rPh sb="2" eb="4">
      <t>ブンルイ</t>
    </rPh>
    <phoneticPr fontId="2"/>
  </si>
  <si>
    <t>備考</t>
    <rPh sb="0" eb="2">
      <t>ビコウ</t>
    </rPh>
    <phoneticPr fontId="2"/>
  </si>
  <si>
    <t>分類合計</t>
    <rPh sb="0" eb="2">
      <t>ブンルイ</t>
    </rPh>
    <rPh sb="2" eb="4">
      <t>ゴウケイ</t>
    </rPh>
    <phoneticPr fontId="2"/>
  </si>
  <si>
    <t>発注</t>
    <rPh sb="0" eb="2">
      <t>ハッチュウ</t>
    </rPh>
    <phoneticPr fontId="2"/>
  </si>
  <si>
    <t>入荷予定日</t>
    <rPh sb="0" eb="2">
      <t>ニュウカ</t>
    </rPh>
    <rPh sb="2" eb="4">
      <t>ヨテイ</t>
    </rPh>
    <rPh sb="4" eb="5">
      <t>ヒ</t>
    </rPh>
    <phoneticPr fontId="2"/>
  </si>
  <si>
    <t>入荷日</t>
    <rPh sb="0" eb="2">
      <t>ニュウカ</t>
    </rPh>
    <rPh sb="2" eb="3">
      <t>ビ</t>
    </rPh>
    <phoneticPr fontId="2"/>
  </si>
  <si>
    <t>関口</t>
    <rPh sb="0" eb="2">
      <t>セキグチ</t>
    </rPh>
    <phoneticPr fontId="2"/>
  </si>
  <si>
    <t>エレマテック</t>
    <phoneticPr fontId="2"/>
  </si>
  <si>
    <t>真空ｴｼﾞｪｸﾀ</t>
    <rPh sb="0" eb="2">
      <t>シンクウ</t>
    </rPh>
    <phoneticPr fontId="2"/>
  </si>
  <si>
    <t>Oﾘﾝｸﾞ</t>
    <phoneticPr fontId="2"/>
  </si>
  <si>
    <t>MISUMI</t>
    <phoneticPr fontId="2"/>
  </si>
  <si>
    <t>SET</t>
    <phoneticPr fontId="2"/>
  </si>
  <si>
    <t>組立費</t>
    <rPh sb="0" eb="3">
      <t>クミタテヒ</t>
    </rPh>
    <phoneticPr fontId="2"/>
  </si>
  <si>
    <t>設計・手配費</t>
    <rPh sb="0" eb="2">
      <t>セッケイ</t>
    </rPh>
    <rPh sb="3" eb="5">
      <t>テハイ</t>
    </rPh>
    <rPh sb="5" eb="6">
      <t>ヒ</t>
    </rPh>
    <phoneticPr fontId="2"/>
  </si>
  <si>
    <t>KQ2H06-M5N</t>
  </si>
  <si>
    <t>SMC</t>
    <phoneticPr fontId="2"/>
  </si>
  <si>
    <t>制御機材</t>
    <rPh sb="0" eb="4">
      <t>セイギョキザイ</t>
    </rPh>
    <phoneticPr fontId="2"/>
  </si>
  <si>
    <t>CONNECT</t>
    <phoneticPr fontId="2"/>
  </si>
  <si>
    <t>■NV-S-Z01A(ﾉｽﾞﾙﾊﾞｷｭｰﾑﾍﾞｰｽ)</t>
    <phoneticPr fontId="2"/>
  </si>
  <si>
    <t>■NV-S-Z02A(ﾉｽﾞﾙﾊﾞｷｭｰﾑﾄｯﾌﾟ)</t>
    <phoneticPr fontId="2"/>
  </si>
  <si>
    <t>Web発注済み</t>
    <rPh sb="3" eb="6">
      <t>ハッチュウス</t>
    </rPh>
    <phoneticPr fontId="2"/>
  </si>
  <si>
    <t>ZK2A10J5NL2A-06-B</t>
    <phoneticPr fontId="2"/>
  </si>
  <si>
    <t>NSSK32</t>
    <phoneticPr fontId="2"/>
  </si>
  <si>
    <t>10個入り1袋</t>
    <rPh sb="2" eb="3">
      <t>コ</t>
    </rPh>
    <rPh sb="3" eb="4">
      <t>イ</t>
    </rPh>
    <rPh sb="6" eb="7">
      <t>フクロ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</si>
</sst>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#,##0_);[Red]\(#,##0\)"/>
    <numFmt numFmtId="177" formatCode="yyyy&quot;年&quot;m&quot;月&quot;d&quot;日&quot;;@"/>
    <numFmt numFmtId="178" formatCode="m/d;@"/>
    <numFmt numFmtId="179" formatCode="m&quot;月&quot;d&quot;日&quot;;@"/>
    <numFmt numFmtId="180" formatCode="0_ ;[Red]\-0\ "/>
  </numFmts>
  <fonts count="8" x14ac:knownFonts="1">
    <font>
      <sz val="11"/>
      <color theme="1"/>
      <name val="ＭＳ Ｐゴシック"/>
      <family val="3"/>
      <charset val="128"/>
      <scheme val="minor"/>
    </font>
    <font>
      <sz val="11"/>
      <color indexed="8"/>
      <name val="ＭＳ Ｐゴシック"/>
      <family val="3"/>
      <charset val="128"/>
    </font>
    <font>
      <sz val="6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4"/>
      <color indexed="8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sz val="11"/>
      <name val="ＭＳ Ｐゴシック"/>
      <family val="3"/>
      <charset val="128"/>
      <scheme val="minor"/>
    </font>
    <font>
      <b/>
      <sz val="11"/>
      <color rgb="FFFF0000"/>
      <name val="ＭＳ Ｐ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</borders>
  <cellStyleXfs count="1">
    <xf numFmtId="0" fontId="0" fillId="0" borderId="0">
      <alignment vertical="center"/>
    </xf>
  </cellStyleXfs>
  <cellXfs count="40">
    <xf numFmtId="0" fontId="0" fillId="0" borderId="0" xfId="0">
      <alignment vertical="center"/>
    </xf>
    <xf numFmtId="0" fontId="0" fillId="0" borderId="0" xfId="0" applyAlignment="1">
      <alignment horizontal="right" vertical="center"/>
    </xf>
    <xf numFmtId="0" fontId="4" fillId="0" borderId="1" xfId="0" applyFont="1" applyBorder="1" applyAlignment="1">
      <alignment horizontal="center" vertical="center" shrinkToFit="1"/>
    </xf>
    <xf numFmtId="176" fontId="5" fillId="0" borderId="1" xfId="0" applyNumberFormat="1" applyFont="1" applyBorder="1">
      <alignment vertical="center"/>
    </xf>
    <xf numFmtId="0" fontId="0" fillId="0" borderId="0" xfId="0" applyAlignment="1">
      <alignment horizontal="center" vertical="center"/>
    </xf>
    <xf numFmtId="179" fontId="0" fillId="0" borderId="0" xfId="0" applyNumberFormat="1" applyAlignment="1">
      <alignment horizontal="center" vertical="center"/>
    </xf>
    <xf numFmtId="179" fontId="0" fillId="0" borderId="0" xfId="0" applyNumberFormat="1">
      <alignment vertical="center"/>
    </xf>
    <xf numFmtId="0" fontId="4" fillId="0" borderId="1" xfId="0" applyFont="1" applyBorder="1" applyAlignment="1">
      <alignment horizontal="center" vertical="center"/>
    </xf>
    <xf numFmtId="38" fontId="0" fillId="0" borderId="0" xfId="0" applyNumberFormat="1">
      <alignment vertical="center"/>
    </xf>
    <xf numFmtId="177" fontId="4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77" fontId="4" fillId="0" borderId="0" xfId="0" applyNumberFormat="1" applyFont="1" applyAlignment="1">
      <alignment horizontal="center" vertical="center"/>
    </xf>
    <xf numFmtId="180" fontId="0" fillId="0" borderId="0" xfId="0" applyNumberFormat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79" fontId="0" fillId="0" borderId="1" xfId="0" applyNumberFormat="1" applyBorder="1" applyAlignment="1">
      <alignment horizontal="center" vertical="center"/>
    </xf>
    <xf numFmtId="178" fontId="0" fillId="0" borderId="1" xfId="0" applyNumberForma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right" vertical="center"/>
    </xf>
    <xf numFmtId="0" fontId="6" fillId="0" borderId="2" xfId="0" applyFont="1" applyBorder="1" applyAlignment="1">
      <alignment horizontal="center" vertical="center"/>
    </xf>
    <xf numFmtId="0" fontId="6" fillId="0" borderId="1" xfId="0" applyFont="1" applyBorder="1">
      <alignment vertical="center"/>
    </xf>
    <xf numFmtId="0" fontId="6" fillId="0" borderId="1" xfId="0" applyFont="1" applyBorder="1" applyAlignment="1">
      <alignment horizontal="left" vertical="center"/>
    </xf>
    <xf numFmtId="0" fontId="0" fillId="0" borderId="1" xfId="0" applyBorder="1">
      <alignment vertical="center"/>
    </xf>
    <xf numFmtId="0" fontId="0" fillId="0" borderId="1" xfId="0" applyBorder="1" applyAlignment="1"/>
    <xf numFmtId="0" fontId="0" fillId="0" borderId="1" xfId="0" applyBorder="1" applyAlignment="1">
      <alignment horizontal="right" vertical="center"/>
    </xf>
    <xf numFmtId="3" fontId="6" fillId="0" borderId="1" xfId="0" applyNumberFormat="1" applyFont="1" applyBorder="1" applyAlignment="1">
      <alignment horizontal="center" vertical="center"/>
    </xf>
    <xf numFmtId="56" fontId="0" fillId="0" borderId="1" xfId="0" applyNumberFormat="1" applyBorder="1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3" fontId="6" fillId="0" borderId="1" xfId="0" applyNumberFormat="1" applyFont="1" applyBorder="1" applyAlignment="1">
      <alignment horizontal="right" vertical="center"/>
    </xf>
    <xf numFmtId="3" fontId="0" fillId="0" borderId="0" xfId="0" applyNumberFormat="1" applyAlignment="1">
      <alignment horizontal="right" vertical="center"/>
    </xf>
    <xf numFmtId="3" fontId="0" fillId="0" borderId="1" xfId="0" applyNumberFormat="1" applyBorder="1" applyAlignment="1">
      <alignment horizontal="right" vertical="center"/>
    </xf>
    <xf numFmtId="3" fontId="0" fillId="0" borderId="2" xfId="0" applyNumberFormat="1" applyBorder="1" applyAlignment="1">
      <alignment horizontal="right" vertical="center"/>
    </xf>
    <xf numFmtId="49" fontId="1" fillId="0" borderId="5" xfId="0" applyNumberFormat="1" applyFont="1" applyBorder="1">
      <alignment vertical="center"/>
    </xf>
    <xf numFmtId="0" fontId="0" fillId="0" borderId="1" xfId="0" applyBorder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Q17"/>
  <sheetViews>
    <sheetView tabSelected="1" zoomScale="90" zoomScaleNormal="90" workbookViewId="0">
      <pane xSplit="10" ySplit="9" topLeftCell="N10" activePane="bottomRight" state="frozen"/>
      <selection pane="topRight" activeCell="K1" sqref="K1"/>
      <selection pane="bottomLeft" activeCell="A9" sqref="A9"/>
      <selection pane="bottomRight" activeCell="Q12" sqref="Q12"/>
    </sheetView>
  </sheetViews>
  <sheetFormatPr defaultColWidth="9" defaultRowHeight="13.5" x14ac:dyDescent="0.15"/>
  <cols>
    <col min="1" max="1" width="2.625" customWidth="1"/>
    <col min="2" max="2" width="20.125" style="4" bestFit="1" customWidth="1"/>
    <col min="3" max="3" width="14.375" bestFit="1" customWidth="1"/>
    <col min="4" max="4" width="13.125" bestFit="1" customWidth="1"/>
    <col min="5" max="5" width="40.625" customWidth="1"/>
    <col min="6" max="6" width="6.25" customWidth="1"/>
    <col min="7" max="8" width="9.875" style="30" bestFit="1" customWidth="1"/>
    <col min="9" max="9" width="7.5" style="1" customWidth="1"/>
    <col min="10" max="10" width="35.25" bestFit="1" customWidth="1"/>
    <col min="11" max="11" width="34.625" bestFit="1" customWidth="1"/>
    <col min="12" max="12" width="11" style="4" customWidth="1"/>
    <col min="13" max="13" width="13.75" style="5" customWidth="1"/>
    <col min="14" max="14" width="6.375" customWidth="1"/>
    <col min="15" max="15" width="26.25" style="1" customWidth="1"/>
    <col min="16" max="16" width="27.5" style="6" customWidth="1"/>
    <col min="17" max="17" width="15.625" style="28" customWidth="1"/>
  </cols>
  <sheetData>
    <row r="2" spans="2:17" ht="20.100000000000001" customHeight="1" x14ac:dyDescent="0.15">
      <c r="B2" s="36" t="s">
        <v>11</v>
      </c>
      <c r="C2" s="36"/>
      <c r="D2" s="36"/>
      <c r="E2" s="2" t="s">
        <v>23</v>
      </c>
      <c r="G2" s="37" t="s">
        <v>15</v>
      </c>
      <c r="H2" s="38"/>
      <c r="I2" s="39"/>
      <c r="J2" s="3">
        <f>SUM(H:H)</f>
        <v>215236</v>
      </c>
    </row>
    <row r="3" spans="2:17" ht="20.100000000000001" customHeight="1" x14ac:dyDescent="0.15">
      <c r="B3" s="36" t="s">
        <v>10</v>
      </c>
      <c r="C3" s="36"/>
      <c r="D3" s="36"/>
      <c r="E3" s="7" t="s">
        <v>22</v>
      </c>
    </row>
    <row r="4" spans="2:17" ht="20.100000000000001" customHeight="1" x14ac:dyDescent="0.15">
      <c r="B4" s="36" t="s">
        <v>12</v>
      </c>
      <c r="C4" s="36"/>
      <c r="D4" s="36"/>
      <c r="E4" s="7">
        <v>205176</v>
      </c>
      <c r="J4" s="8"/>
    </row>
    <row r="5" spans="2:17" ht="20.100000000000001" customHeight="1" x14ac:dyDescent="0.15">
      <c r="B5" s="36" t="s">
        <v>13</v>
      </c>
      <c r="C5" s="36"/>
      <c r="D5" s="36"/>
      <c r="E5" s="9"/>
      <c r="J5" s="8"/>
    </row>
    <row r="6" spans="2:17" ht="20.100000000000001" customHeight="1" x14ac:dyDescent="0.15">
      <c r="B6" s="36" t="s">
        <v>14</v>
      </c>
      <c r="C6" s="36"/>
      <c r="D6" s="36"/>
      <c r="E6" s="9">
        <v>45061</v>
      </c>
      <c r="J6" s="8"/>
    </row>
    <row r="7" spans="2:17" ht="20.100000000000001" customHeight="1" x14ac:dyDescent="0.15">
      <c r="B7" s="10"/>
      <c r="C7" s="10"/>
      <c r="D7" s="10"/>
      <c r="E7" s="11"/>
      <c r="J7" s="8"/>
      <c r="L7" s="12"/>
    </row>
    <row r="9" spans="2:17" s="4" customFormat="1" ht="19.7" customHeight="1" x14ac:dyDescent="0.15">
      <c r="B9" s="13" t="s">
        <v>4</v>
      </c>
      <c r="C9" s="13" t="s">
        <v>9</v>
      </c>
      <c r="D9" s="13" t="s">
        <v>5</v>
      </c>
      <c r="E9" s="14" t="s">
        <v>8</v>
      </c>
      <c r="F9" s="14" t="s">
        <v>0</v>
      </c>
      <c r="G9" s="31" t="s">
        <v>1</v>
      </c>
      <c r="H9" s="32" t="s">
        <v>2</v>
      </c>
      <c r="I9" s="15" t="s">
        <v>18</v>
      </c>
      <c r="J9" s="14" t="s">
        <v>3</v>
      </c>
      <c r="K9" s="14" t="s">
        <v>17</v>
      </c>
      <c r="L9" s="14" t="s">
        <v>16</v>
      </c>
      <c r="M9" s="16" t="s">
        <v>6</v>
      </c>
      <c r="N9" s="13" t="s">
        <v>19</v>
      </c>
      <c r="O9" s="14" t="s">
        <v>7</v>
      </c>
      <c r="P9" s="16" t="s">
        <v>20</v>
      </c>
      <c r="Q9" s="17" t="s">
        <v>21</v>
      </c>
    </row>
    <row r="10" spans="2:17" s="4" customFormat="1" ht="19.7" customHeight="1" x14ac:dyDescent="0.15">
      <c r="B10" s="13">
        <v>1</v>
      </c>
      <c r="C10" s="13" t="s">
        <v>33</v>
      </c>
      <c r="D10" s="13" t="s">
        <v>33</v>
      </c>
      <c r="E10" s="34" t="s">
        <v>34</v>
      </c>
      <c r="F10" s="19">
        <v>8</v>
      </c>
      <c r="G10" s="31">
        <v>8500</v>
      </c>
      <c r="H10" s="32">
        <f>F10*G10</f>
        <v>68000</v>
      </c>
      <c r="I10" s="15"/>
      <c r="J10" s="15"/>
      <c r="K10" s="35"/>
      <c r="L10" s="14"/>
      <c r="M10" s="16">
        <v>45026</v>
      </c>
      <c r="N10" s="13"/>
      <c r="O10" s="27">
        <v>45041</v>
      </c>
      <c r="P10" s="16"/>
      <c r="Q10" s="17">
        <v>45042</v>
      </c>
    </row>
    <row r="11" spans="2:17" s="4" customFormat="1" ht="19.7" customHeight="1" x14ac:dyDescent="0.15">
      <c r="B11" s="13">
        <v>1</v>
      </c>
      <c r="C11" s="13" t="s">
        <v>33</v>
      </c>
      <c r="D11" s="13" t="s">
        <v>33</v>
      </c>
      <c r="E11" s="21" t="s">
        <v>35</v>
      </c>
      <c r="F11" s="19">
        <v>8</v>
      </c>
      <c r="G11" s="29">
        <v>5500</v>
      </c>
      <c r="H11" s="32">
        <f t="shared" ref="H11:H14" si="0">F11*G11</f>
        <v>44000</v>
      </c>
      <c r="I11" s="20"/>
      <c r="J11" s="20"/>
      <c r="K11" s="35"/>
      <c r="L11" s="14"/>
      <c r="M11" s="16">
        <v>45026</v>
      </c>
      <c r="N11" s="13"/>
      <c r="O11" s="27">
        <v>45041</v>
      </c>
      <c r="P11" s="16"/>
      <c r="Q11" s="17">
        <v>45042</v>
      </c>
    </row>
    <row r="12" spans="2:17" s="4" customFormat="1" ht="19.7" customHeight="1" x14ac:dyDescent="0.15">
      <c r="B12" s="13">
        <v>1</v>
      </c>
      <c r="C12" s="13" t="s">
        <v>31</v>
      </c>
      <c r="D12" s="13" t="s">
        <v>32</v>
      </c>
      <c r="E12" s="21" t="s">
        <v>37</v>
      </c>
      <c r="F12" s="19">
        <v>8</v>
      </c>
      <c r="G12" s="29">
        <v>9780</v>
      </c>
      <c r="H12" s="32">
        <f t="shared" si="0"/>
        <v>78240</v>
      </c>
      <c r="I12" s="20"/>
      <c r="J12" s="22" t="s">
        <v>24</v>
      </c>
      <c r="K12" s="35"/>
      <c r="L12" s="14"/>
      <c r="M12" s="16">
        <v>45026</v>
      </c>
      <c r="N12" s="13"/>
      <c r="O12" s="27">
        <v>45041</v>
      </c>
      <c r="P12" s="16">
        <v>45041</v>
      </c>
      <c r="Q12" s="17">
        <v>45040</v>
      </c>
    </row>
    <row r="13" spans="2:17" s="4" customFormat="1" ht="19.7" customHeight="1" x14ac:dyDescent="0.15">
      <c r="B13" s="13">
        <v>1</v>
      </c>
      <c r="C13" s="13" t="s">
        <v>31</v>
      </c>
      <c r="D13" s="13" t="s">
        <v>32</v>
      </c>
      <c r="E13" s="21" t="s">
        <v>30</v>
      </c>
      <c r="F13" s="19">
        <v>10</v>
      </c>
      <c r="G13" s="31">
        <v>140</v>
      </c>
      <c r="H13" s="32">
        <f t="shared" si="0"/>
        <v>1400</v>
      </c>
      <c r="I13" s="18"/>
      <c r="J13" s="22" t="s">
        <v>39</v>
      </c>
      <c r="K13" s="35"/>
      <c r="L13" s="14"/>
      <c r="M13" s="16">
        <v>45026</v>
      </c>
      <c r="N13" s="13"/>
      <c r="O13" s="27">
        <v>45041</v>
      </c>
      <c r="P13" s="16">
        <v>45041</v>
      </c>
      <c r="Q13" s="17">
        <v>45040</v>
      </c>
    </row>
    <row r="14" spans="2:17" s="4" customFormat="1" ht="19.7" customHeight="1" x14ac:dyDescent="0.15">
      <c r="B14" s="13">
        <v>1</v>
      </c>
      <c r="C14" s="13" t="s">
        <v>26</v>
      </c>
      <c r="D14" s="13" t="s">
        <v>26</v>
      </c>
      <c r="E14" s="24" t="s">
        <v>38</v>
      </c>
      <c r="F14" s="19">
        <v>8</v>
      </c>
      <c r="G14" s="31">
        <v>137</v>
      </c>
      <c r="H14" s="32">
        <f t="shared" si="0"/>
        <v>1096</v>
      </c>
      <c r="I14" s="25"/>
      <c r="J14" s="24" t="s">
        <v>25</v>
      </c>
      <c r="K14" s="14" t="s">
        <v>36</v>
      </c>
      <c r="L14" s="14"/>
      <c r="M14" s="16"/>
      <c r="N14" s="13"/>
      <c r="O14" s="14"/>
      <c r="P14" s="16"/>
      <c r="Q14" s="17">
        <v>45028</v>
      </c>
    </row>
    <row r="15" spans="2:17" s="4" customFormat="1" ht="19.7" customHeight="1" x14ac:dyDescent="0.15">
      <c r="B15" s="13">
        <v>1</v>
      </c>
      <c r="C15" s="13" t="s">
        <v>27</v>
      </c>
      <c r="D15" s="13" t="s">
        <v>27</v>
      </c>
      <c r="E15" s="24" t="s">
        <v>29</v>
      </c>
      <c r="F15" s="19">
        <v>0.5</v>
      </c>
      <c r="G15" s="31">
        <v>5000</v>
      </c>
      <c r="H15" s="32">
        <f t="shared" ref="H15:H16" si="1">F15*G15</f>
        <v>2500</v>
      </c>
      <c r="I15" s="25"/>
      <c r="J15" s="24"/>
      <c r="K15" s="14"/>
      <c r="L15" s="14"/>
      <c r="M15" s="16"/>
      <c r="N15" s="13"/>
      <c r="O15" s="14"/>
      <c r="P15" s="16"/>
      <c r="Q15" s="17"/>
    </row>
    <row r="16" spans="2:17" s="4" customFormat="1" ht="19.7" customHeight="1" x14ac:dyDescent="0.15">
      <c r="B16" s="13">
        <v>1</v>
      </c>
      <c r="C16" s="13" t="s">
        <v>27</v>
      </c>
      <c r="D16" s="13" t="s">
        <v>27</v>
      </c>
      <c r="E16" s="24" t="s">
        <v>28</v>
      </c>
      <c r="F16" s="19">
        <v>4</v>
      </c>
      <c r="G16" s="31">
        <v>5000</v>
      </c>
      <c r="H16" s="32">
        <f t="shared" si="1"/>
        <v>20000</v>
      </c>
      <c r="I16" s="25"/>
      <c r="J16" s="24"/>
      <c r="K16" s="14"/>
      <c r="L16" s="14"/>
      <c r="M16" s="16"/>
      <c r="N16" s="13"/>
      <c r="O16" s="14"/>
      <c r="P16" s="16"/>
      <c r="Q16" s="17"/>
    </row>
    <row r="17" spans="2:17" s="4" customFormat="1" ht="19.7" customHeight="1" x14ac:dyDescent="0.15">
      <c r="B17" s="13"/>
      <c r="C17" s="26"/>
      <c r="D17" s="26"/>
      <c r="E17" s="23"/>
      <c r="F17" s="23"/>
      <c r="G17" s="31"/>
      <c r="H17" s="31"/>
      <c r="I17" s="18"/>
      <c r="J17" s="33"/>
      <c r="K17" s="13"/>
      <c r="L17" s="13"/>
      <c r="M17" s="16"/>
      <c r="N17" s="13"/>
      <c r="O17" s="27"/>
      <c r="P17" s="27"/>
      <c r="Q17" s="17"/>
    </row>
  </sheetData>
  <autoFilter ref="B9:O17" xr:uid="{00000000-0009-0000-0000-000000000000}"/>
  <mergeCells count="6">
    <mergeCell ref="B6:D6"/>
    <mergeCell ref="G2:I2"/>
    <mergeCell ref="B2:D2"/>
    <mergeCell ref="B3:D3"/>
    <mergeCell ref="B4:D4"/>
    <mergeCell ref="B5:D5"/>
  </mergeCells>
  <phoneticPr fontId="2"/>
  <pageMargins left="0.2" right="0.2" top="0.36" bottom="0.41" header="0.3" footer="0.3"/>
  <pageSetup paperSize="9" scale="7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原価表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SATOH</dc:creator>
  <cp:lastModifiedBy>shinohara</cp:lastModifiedBy>
  <cp:lastPrinted>2021-05-10T06:26:28Z</cp:lastPrinted>
  <dcterms:created xsi:type="dcterms:W3CDTF">2011-12-13T06:48:43Z</dcterms:created>
  <dcterms:modified xsi:type="dcterms:W3CDTF">2023-04-26T02:48:50Z</dcterms:modified>
</cp:coreProperties>
</file>