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24226"/>
  <mc:AlternateContent xmlns:mc="http://schemas.openxmlformats.org/markup-compatibility/2006">
    <mc:Choice Requires="x15">
      <x15ac:absPath xmlns:x15ac="http://schemas.microsoft.com/office/spreadsheetml/2010/11/ac" url="\\Sv-ap\data\製品管理部(機材)出荷管理課・資材調達課\機材・資材調達課(ﾛﾎﾞｯﾄ部品手配)\"/>
    </mc:Choice>
  </mc:AlternateContent>
  <xr:revisionPtr revIDLastSave="0" documentId="13_ncr:1_{AF39E7F0-27A2-4B3C-A12F-713A906C010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原価表" sheetId="1" r:id="rId1"/>
    <sheet name="表紙" sheetId="2" r:id="rId2"/>
  </sheets>
  <definedNames>
    <definedName name="_xlnm._FilterDatabase" localSheetId="0" hidden="1">原価表!$B$9:$O$34</definedName>
  </definedNames>
  <calcPr calcId="18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07" i="1" l="1"/>
  <c r="H108" i="1"/>
  <c r="H109" i="1"/>
  <c r="H110" i="1"/>
  <c r="H111" i="1"/>
  <c r="H112" i="1"/>
  <c r="H98" i="1"/>
  <c r="H105" i="1"/>
  <c r="H104" i="1"/>
  <c r="H103" i="1"/>
  <c r="H102" i="1"/>
  <c r="H101" i="1"/>
  <c r="H100" i="1"/>
  <c r="H99" i="1"/>
  <c r="H22" i="1"/>
  <c r="H23" i="1"/>
  <c r="H71" i="1"/>
  <c r="H72" i="1"/>
  <c r="H73" i="1"/>
  <c r="H74" i="1"/>
  <c r="H75" i="1"/>
  <c r="H25" i="1" l="1"/>
  <c r="H95" i="1"/>
  <c r="H94" i="1"/>
  <c r="H93" i="1"/>
  <c r="H92" i="1"/>
  <c r="H91" i="1"/>
  <c r="H90" i="1"/>
  <c r="H89" i="1"/>
  <c r="H24" i="1"/>
  <c r="H20" i="1"/>
  <c r="H21" i="1"/>
  <c r="H19" i="1"/>
  <c r="H88" i="1"/>
  <c r="H87" i="1"/>
  <c r="H86" i="1"/>
  <c r="H13" i="1" l="1"/>
  <c r="H69" i="1"/>
  <c r="H68" i="1"/>
  <c r="H10" i="1" l="1"/>
  <c r="H11" i="1"/>
  <c r="H12" i="1"/>
  <c r="H14" i="1"/>
  <c r="H70" i="1" l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26" i="1"/>
  <c r="H84" i="1"/>
  <c r="H85" i="1"/>
  <c r="H16" i="1"/>
  <c r="H18" i="1"/>
  <c r="H83" i="1"/>
  <c r="H82" i="1"/>
  <c r="H81" i="1"/>
  <c r="H80" i="1"/>
  <c r="H79" i="1"/>
  <c r="H78" i="1"/>
  <c r="H77" i="1"/>
  <c r="H76" i="1"/>
  <c r="J2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松丸Ｍ</author>
  </authors>
  <commentList>
    <comment ref="K20" authorId="0" shapeId="0" xr:uid="{EADF1EB3-C4C4-42F7-8B24-85CD2784896B}">
      <text>
        <r>
          <rPr>
            <b/>
            <sz val="22"/>
            <color indexed="81"/>
            <rFont val="MS P ゴシック"/>
            <family val="3"/>
            <charset val="128"/>
          </rPr>
          <t>松丸Ｍ:</t>
        </r>
        <r>
          <rPr>
            <sz val="22"/>
            <color indexed="81"/>
            <rFont val="MS P ゴシック"/>
            <family val="3"/>
            <charset val="128"/>
          </rPr>
          <t xml:space="preserve">
入荷後、ﾐｽﾐ（秋田）へ転送お願い致します。</t>
        </r>
      </text>
    </comment>
  </commentList>
</comments>
</file>

<file path=xl/sharedStrings.xml><?xml version="1.0" encoding="utf-8"?>
<sst xmlns="http://schemas.openxmlformats.org/spreadsheetml/2006/main" count="440" uniqueCount="223">
  <si>
    <t>数量</t>
  </si>
  <si>
    <t>単価</t>
  </si>
  <si>
    <t>金額</t>
  </si>
  <si>
    <t>詳細</t>
    <rPh sb="0" eb="2">
      <t>ショウサイ</t>
    </rPh>
    <phoneticPr fontId="2"/>
  </si>
  <si>
    <t>見積り分類</t>
    <rPh sb="0" eb="2">
      <t>ミツモ</t>
    </rPh>
    <rPh sb="3" eb="5">
      <t>ブンルイ</t>
    </rPh>
    <phoneticPr fontId="1"/>
  </si>
  <si>
    <t>仕入先</t>
    <rPh sb="0" eb="2">
      <t>シイレ</t>
    </rPh>
    <rPh sb="2" eb="3">
      <t>サキ</t>
    </rPh>
    <phoneticPr fontId="1"/>
  </si>
  <si>
    <t>発注日</t>
    <rPh sb="0" eb="2">
      <t>ハッチュウ</t>
    </rPh>
    <rPh sb="2" eb="3">
      <t>ヒ</t>
    </rPh>
    <phoneticPr fontId="1"/>
  </si>
  <si>
    <t>納期</t>
    <rPh sb="0" eb="2">
      <t>ノウ</t>
    </rPh>
    <phoneticPr fontId="1"/>
  </si>
  <si>
    <t>品名 / 型式</t>
    <rPh sb="0" eb="2">
      <t>ヒンメイ</t>
    </rPh>
    <rPh sb="5" eb="7">
      <t>カタシキ</t>
    </rPh>
    <phoneticPr fontId="2"/>
  </si>
  <si>
    <t>メーカー</t>
    <phoneticPr fontId="1"/>
  </si>
  <si>
    <t>担当営業</t>
    <rPh sb="0" eb="2">
      <t>タントウ</t>
    </rPh>
    <rPh sb="2" eb="4">
      <t>エイギョウ</t>
    </rPh>
    <phoneticPr fontId="1"/>
  </si>
  <si>
    <t>お客先名</t>
    <rPh sb="1" eb="3">
      <t>キャクサキ</t>
    </rPh>
    <rPh sb="3" eb="4">
      <t>メイ</t>
    </rPh>
    <phoneticPr fontId="1"/>
  </si>
  <si>
    <t>受注番号</t>
    <rPh sb="0" eb="2">
      <t>ジュチュウ</t>
    </rPh>
    <rPh sb="2" eb="4">
      <t>バンゴウ</t>
    </rPh>
    <phoneticPr fontId="1"/>
  </si>
  <si>
    <t>希望納期</t>
    <rPh sb="0" eb="2">
      <t>キボウ</t>
    </rPh>
    <rPh sb="2" eb="4">
      <t>ノウ</t>
    </rPh>
    <phoneticPr fontId="1"/>
  </si>
  <si>
    <t>最終納品</t>
    <rPh sb="0" eb="2">
      <t>サイシュウ</t>
    </rPh>
    <rPh sb="2" eb="4">
      <t>ノウヒン</t>
    </rPh>
    <phoneticPr fontId="1"/>
  </si>
  <si>
    <t>合計金額</t>
    <rPh sb="0" eb="2">
      <t>ゴウケイ</t>
    </rPh>
    <rPh sb="2" eb="4">
      <t>キンガク</t>
    </rPh>
    <phoneticPr fontId="1"/>
  </si>
  <si>
    <t>技術分類</t>
    <rPh sb="0" eb="2">
      <t>ギジュツ</t>
    </rPh>
    <rPh sb="2" eb="4">
      <t>ブンルイ</t>
    </rPh>
    <phoneticPr fontId="1"/>
  </si>
  <si>
    <t>備考</t>
    <rPh sb="0" eb="2">
      <t>ビコウ</t>
    </rPh>
    <phoneticPr fontId="1"/>
  </si>
  <si>
    <t>分類合計</t>
    <rPh sb="0" eb="2">
      <t>ブンルイ</t>
    </rPh>
    <rPh sb="2" eb="4">
      <t>ゴウケイ</t>
    </rPh>
    <phoneticPr fontId="1"/>
  </si>
  <si>
    <t>発注</t>
    <rPh sb="0" eb="2">
      <t>ハッチュウ</t>
    </rPh>
    <phoneticPr fontId="1"/>
  </si>
  <si>
    <t>入荷予定日</t>
    <rPh sb="0" eb="2">
      <t>ニュウカ</t>
    </rPh>
    <rPh sb="2" eb="4">
      <t>ヨテイ</t>
    </rPh>
    <rPh sb="4" eb="5">
      <t>ヒ</t>
    </rPh>
    <phoneticPr fontId="1"/>
  </si>
  <si>
    <t>入荷日</t>
    <rPh sb="0" eb="2">
      <t>ニュウカ</t>
    </rPh>
    <rPh sb="2" eb="3">
      <t>ビ</t>
    </rPh>
    <phoneticPr fontId="1"/>
  </si>
  <si>
    <t>原田</t>
    <rPh sb="0" eb="2">
      <t>ハラダ</t>
    </rPh>
    <phoneticPr fontId="1"/>
  </si>
  <si>
    <t>制御機材</t>
    <rPh sb="0" eb="2">
      <t>セイギョ</t>
    </rPh>
    <rPh sb="2" eb="4">
      <t>キザイ</t>
    </rPh>
    <phoneticPr fontId="7"/>
  </si>
  <si>
    <t>ヒロセ電機</t>
    <rPh sb="3" eb="5">
      <t>デンキ</t>
    </rPh>
    <phoneticPr fontId="7"/>
  </si>
  <si>
    <t>アズワン</t>
    <phoneticPr fontId="7"/>
  </si>
  <si>
    <t>ミスミ</t>
    <phoneticPr fontId="7"/>
  </si>
  <si>
    <t>コネクト</t>
    <phoneticPr fontId="7"/>
  </si>
  <si>
    <t>日本省力技術研究所</t>
    <phoneticPr fontId="7"/>
  </si>
  <si>
    <t>SSHH-SUS-M4-5</t>
    <phoneticPr fontId="1"/>
  </si>
  <si>
    <t>止めネジ</t>
    <rPh sb="0" eb="1">
      <t>ト</t>
    </rPh>
    <phoneticPr fontId="1"/>
  </si>
  <si>
    <t>3P-W-3</t>
    <phoneticPr fontId="1"/>
  </si>
  <si>
    <t>電源ケーブル</t>
    <rPh sb="0" eb="2">
      <t>デンゲン</t>
    </rPh>
    <phoneticPr fontId="1"/>
  </si>
  <si>
    <t>JR-AS00-361-05C</t>
    <phoneticPr fontId="7"/>
  </si>
  <si>
    <t>Mixer joint</t>
    <phoneticPr fontId="1"/>
  </si>
  <si>
    <t>JR-AS00-361-21A</t>
    <phoneticPr fontId="1"/>
  </si>
  <si>
    <t>XY base</t>
    <phoneticPr fontId="1"/>
  </si>
  <si>
    <t>JR-AS00-361-22A</t>
    <phoneticPr fontId="1"/>
  </si>
  <si>
    <t>XY base2</t>
    <phoneticPr fontId="1"/>
  </si>
  <si>
    <t>JR-AS00-361-23A</t>
    <phoneticPr fontId="1"/>
  </si>
  <si>
    <t>Pallet base</t>
    <phoneticPr fontId="1"/>
  </si>
  <si>
    <t>JR-AS15-202-04A</t>
    <phoneticPr fontId="1"/>
  </si>
  <si>
    <t>ﾜﾆｽｶｯﾌﾟﾍﾞｰｽ</t>
    <phoneticPr fontId="1"/>
  </si>
  <si>
    <t>JR-AS15-202-05A</t>
    <phoneticPr fontId="1"/>
  </si>
  <si>
    <t>カップポール</t>
    <phoneticPr fontId="1"/>
  </si>
  <si>
    <t>JR-AS15-202-06A</t>
    <phoneticPr fontId="1"/>
  </si>
  <si>
    <t>ﾃﾌﾛﾝ止め板</t>
    <rPh sb="6" eb="7">
      <t>イタ</t>
    </rPh>
    <phoneticPr fontId="1"/>
  </si>
  <si>
    <t>1-2957-01</t>
    <phoneticPr fontId="1"/>
  </si>
  <si>
    <t>カップ</t>
    <phoneticPr fontId="1"/>
  </si>
  <si>
    <t>PTFEシート</t>
    <phoneticPr fontId="7"/>
  </si>
  <si>
    <t>低頭六角穴付ボルト</t>
    <phoneticPr fontId="7"/>
  </si>
  <si>
    <t>位置決めピン</t>
    <rPh sb="0" eb="3">
      <t>イチキ</t>
    </rPh>
    <phoneticPr fontId="7"/>
  </si>
  <si>
    <t>薄板ばね</t>
    <rPh sb="0" eb="2">
      <t>ウスイタ</t>
    </rPh>
    <phoneticPr fontId="7"/>
  </si>
  <si>
    <t>ノックピンマイナス公差</t>
    <rPh sb="9" eb="11">
      <t>コウサ</t>
    </rPh>
    <phoneticPr fontId="7"/>
  </si>
  <si>
    <t>温度調節コントローラー</t>
    <rPh sb="0" eb="2">
      <t>オンド</t>
    </rPh>
    <rPh sb="2" eb="4">
      <t>チョウセツ</t>
    </rPh>
    <phoneticPr fontId="7"/>
  </si>
  <si>
    <t>カバーパネル</t>
    <phoneticPr fontId="7"/>
  </si>
  <si>
    <t>六角支柱</t>
    <rPh sb="0" eb="2">
      <t>ロッカク</t>
    </rPh>
    <rPh sb="2" eb="4">
      <t>シチュウ</t>
    </rPh>
    <phoneticPr fontId="7"/>
  </si>
  <si>
    <t>クロスローラ</t>
    <phoneticPr fontId="7"/>
  </si>
  <si>
    <t>ニチアス</t>
    <phoneticPr fontId="7"/>
  </si>
  <si>
    <t>9000-300X300X1.0</t>
    <phoneticPr fontId="7"/>
  </si>
  <si>
    <t>CBSSTH4-8</t>
    <phoneticPr fontId="7"/>
  </si>
  <si>
    <t>CFPNLA4-P6-L2-B2-ML8</t>
    <phoneticPr fontId="7"/>
  </si>
  <si>
    <t>IBNC-T0.2-H8-L50-A4.5-X4-P10</t>
    <phoneticPr fontId="7"/>
  </si>
  <si>
    <t>MSH4-10</t>
    <phoneticPr fontId="7"/>
  </si>
  <si>
    <t>MTCS</t>
    <phoneticPr fontId="7"/>
  </si>
  <si>
    <t>PAAL4H-80-80-2-F55-G55-N4</t>
    <phoneticPr fontId="7"/>
  </si>
  <si>
    <t>SLSBRK7-25</t>
    <phoneticPr fontId="7"/>
  </si>
  <si>
    <t>XYSPG80</t>
    <phoneticPr fontId="7"/>
  </si>
  <si>
    <t>ID-200N特426</t>
    <rPh sb="7" eb="8">
      <t>トク</t>
    </rPh>
    <phoneticPr fontId="1"/>
  </si>
  <si>
    <t>2液混合吐出装置</t>
    <rPh sb="1" eb="2">
      <t>エキ</t>
    </rPh>
    <rPh sb="2" eb="4">
      <t>コンゴウ</t>
    </rPh>
    <rPh sb="4" eb="6">
      <t>トシュツ</t>
    </rPh>
    <rPh sb="6" eb="8">
      <t>ソウチ</t>
    </rPh>
    <phoneticPr fontId="7"/>
  </si>
  <si>
    <t>小型簡易密閉タンク(プレート付、ヒーターなし)</t>
    <rPh sb="0" eb="2">
      <t>コガタ</t>
    </rPh>
    <rPh sb="2" eb="4">
      <t>カンイ</t>
    </rPh>
    <rPh sb="4" eb="6">
      <t>ミッペイ</t>
    </rPh>
    <rPh sb="14" eb="15">
      <t>ツキ</t>
    </rPh>
    <phoneticPr fontId="1"/>
  </si>
  <si>
    <t>除湿機(乾燥剤ユニット)</t>
    <rPh sb="0" eb="2">
      <t>ジョシツ</t>
    </rPh>
    <rPh sb="4" eb="7">
      <t>カンソウザイ</t>
    </rPh>
    <phoneticPr fontId="1"/>
  </si>
  <si>
    <t>乾燥剤ユニット</t>
    <phoneticPr fontId="1"/>
  </si>
  <si>
    <t>タンク</t>
    <phoneticPr fontId="1"/>
  </si>
  <si>
    <t>MGP-0020P-1</t>
    <phoneticPr fontId="1"/>
  </si>
  <si>
    <t>2型スペアギヤポンプ</t>
    <rPh sb="1" eb="2">
      <t>カタ</t>
    </rPh>
    <phoneticPr fontId="1"/>
  </si>
  <si>
    <t>MC-146-AFA</t>
    <phoneticPr fontId="1"/>
  </si>
  <si>
    <t>ミキサーカートリッジ</t>
    <phoneticPr fontId="1"/>
  </si>
  <si>
    <t>JR-AS50-610-10</t>
    <phoneticPr fontId="1"/>
  </si>
  <si>
    <t>Base1</t>
    <phoneticPr fontId="1"/>
  </si>
  <si>
    <t>JR-AS50-610-21</t>
    <phoneticPr fontId="1"/>
  </si>
  <si>
    <t>Connector Cover Joint</t>
    <phoneticPr fontId="1"/>
  </si>
  <si>
    <t>JR-AS50-610-20</t>
    <phoneticPr fontId="1"/>
  </si>
  <si>
    <t>Connector Cover</t>
    <phoneticPr fontId="1"/>
  </si>
  <si>
    <t>JR-AS50-610-22</t>
    <phoneticPr fontId="1"/>
  </si>
  <si>
    <t>Angle Base</t>
    <phoneticPr fontId="1"/>
  </si>
  <si>
    <t>JR-AS50-610-23</t>
    <phoneticPr fontId="1"/>
  </si>
  <si>
    <t>Angle Base2</t>
    <phoneticPr fontId="1"/>
  </si>
  <si>
    <t>位置決めピン</t>
    <phoneticPr fontId="1"/>
  </si>
  <si>
    <t>AFPBA4-P6.90-L5-B1.5</t>
    <phoneticPr fontId="7"/>
  </si>
  <si>
    <t>JR-AS50-622-01</t>
    <phoneticPr fontId="1"/>
  </si>
  <si>
    <t>BASE1</t>
    <phoneticPr fontId="1"/>
  </si>
  <si>
    <t>支柱クランプ</t>
    <rPh sb="0" eb="2">
      <t>シチュウ</t>
    </rPh>
    <phoneticPr fontId="7"/>
  </si>
  <si>
    <t>スタンドブラケット</t>
    <phoneticPr fontId="7"/>
  </si>
  <si>
    <t>ブラケット</t>
    <phoneticPr fontId="7"/>
  </si>
  <si>
    <t>四角ナット</t>
    <rPh sb="0" eb="2">
      <t>シカク</t>
    </rPh>
    <phoneticPr fontId="7"/>
  </si>
  <si>
    <t>シャフト</t>
    <phoneticPr fontId="7"/>
  </si>
  <si>
    <t>AQMW10</t>
    <phoneticPr fontId="7"/>
  </si>
  <si>
    <t>CLHNM10</t>
    <phoneticPr fontId="7"/>
  </si>
  <si>
    <t>JTABS-SUD-A30-B20-T2-X10-Y3.5-G13-M3-L18-V8-S6-W8-NA4-CC1</t>
    <phoneticPr fontId="7"/>
  </si>
  <si>
    <t>NSQ4</t>
    <phoneticPr fontId="7"/>
  </si>
  <si>
    <t>PSSFG10-400</t>
    <phoneticPr fontId="7"/>
  </si>
  <si>
    <t>センサー</t>
    <phoneticPr fontId="7"/>
  </si>
  <si>
    <t>ケーブル</t>
    <phoneticPr fontId="7"/>
  </si>
  <si>
    <t>パナソニック</t>
    <phoneticPr fontId="7"/>
  </si>
  <si>
    <t>ライト</t>
    <phoneticPr fontId="7"/>
  </si>
  <si>
    <t>EX-L212-J</t>
    <phoneticPr fontId="7"/>
  </si>
  <si>
    <t>CN-24A-C2</t>
    <phoneticPr fontId="7"/>
  </si>
  <si>
    <t>片リブブラケット</t>
    <rPh sb="0" eb="1">
      <t>カタ</t>
    </rPh>
    <phoneticPr fontId="7"/>
  </si>
  <si>
    <t>アルミフレーム</t>
    <phoneticPr fontId="7"/>
  </si>
  <si>
    <t>アジャスタパッド</t>
    <phoneticPr fontId="7"/>
  </si>
  <si>
    <t>HBLFSL5-C-SSP</t>
    <phoneticPr fontId="7"/>
  </si>
  <si>
    <t>HFS5-2020-260</t>
    <phoneticPr fontId="7"/>
  </si>
  <si>
    <t>HFS5-2020-300-TPW</t>
    <phoneticPr fontId="7"/>
  </si>
  <si>
    <t>HFS5-2020-360</t>
    <phoneticPr fontId="7"/>
  </si>
  <si>
    <t>JTAAS-SUD-A300-B200-T2-X10-Y10-G180-N4-L280-S10-W180-NA4-CC2</t>
    <phoneticPr fontId="7"/>
  </si>
  <si>
    <t>NFJNS5-30</t>
    <phoneticPr fontId="7"/>
  </si>
  <si>
    <t>液面センサー</t>
    <rPh sb="0" eb="2">
      <t>エキメン</t>
    </rPh>
    <phoneticPr fontId="7"/>
  </si>
  <si>
    <t>オムロン</t>
    <phoneticPr fontId="7"/>
  </si>
  <si>
    <t>EE-SPX613</t>
    <phoneticPr fontId="7"/>
  </si>
  <si>
    <t>パトライト</t>
    <phoneticPr fontId="7"/>
  </si>
  <si>
    <t>Dsub15ピン　オス</t>
    <phoneticPr fontId="7"/>
  </si>
  <si>
    <t>Dsub15ピン　メス</t>
    <phoneticPr fontId="7"/>
  </si>
  <si>
    <t>LR4-302LJBA-RYG</t>
    <phoneticPr fontId="7"/>
  </si>
  <si>
    <t>DB-15SP</t>
    <phoneticPr fontId="7"/>
  </si>
  <si>
    <t>DB-15SS</t>
    <phoneticPr fontId="7"/>
  </si>
  <si>
    <t>Dsub15ピン　フード</t>
    <phoneticPr fontId="7"/>
  </si>
  <si>
    <t>ハーフピッチMILソケット</t>
    <phoneticPr fontId="7"/>
  </si>
  <si>
    <t>XM2S-1511</t>
    <phoneticPr fontId="7"/>
  </si>
  <si>
    <t>HIF6-40D-1.27R</t>
    <phoneticPr fontId="7"/>
  </si>
  <si>
    <t>押しボタン</t>
    <rPh sb="0" eb="1">
      <t>オ</t>
    </rPh>
    <phoneticPr fontId="7"/>
  </si>
  <si>
    <t>マスターケーブル</t>
    <phoneticPr fontId="7"/>
  </si>
  <si>
    <t>プラグハウジング</t>
    <phoneticPr fontId="7"/>
  </si>
  <si>
    <t>ソケットハウジング</t>
    <phoneticPr fontId="7"/>
  </si>
  <si>
    <t xml:space="preserve">	SUS株式会社</t>
    <phoneticPr fontId="7"/>
  </si>
  <si>
    <t>AIO-M104</t>
    <phoneticPr fontId="7"/>
  </si>
  <si>
    <t>MAST-SFL-BGR-20-1</t>
    <phoneticPr fontId="7"/>
  </si>
  <si>
    <t>172168-1-20P</t>
    <phoneticPr fontId="7"/>
  </si>
  <si>
    <t>172166-1-20P</t>
    <phoneticPr fontId="7"/>
  </si>
  <si>
    <t>172164-1-20P</t>
    <phoneticPr fontId="7"/>
  </si>
  <si>
    <t>1-480318-0-20P</t>
    <phoneticPr fontId="7"/>
  </si>
  <si>
    <t>172170-1-20P</t>
    <phoneticPr fontId="7"/>
  </si>
  <si>
    <t>サーミスタ</t>
    <phoneticPr fontId="7"/>
  </si>
  <si>
    <t>温調コントローラー</t>
    <rPh sb="0" eb="2">
      <t>オンチョウ</t>
    </rPh>
    <phoneticPr fontId="7"/>
  </si>
  <si>
    <t>MSEN0.32-1000</t>
    <phoneticPr fontId="7"/>
  </si>
  <si>
    <t>コネクタ</t>
    <phoneticPr fontId="1"/>
  </si>
  <si>
    <t>日本省力技研</t>
    <rPh sb="0" eb="4">
      <t>ニホンショウリョク</t>
    </rPh>
    <rPh sb="4" eb="6">
      <t>ギケン</t>
    </rPh>
    <phoneticPr fontId="7"/>
  </si>
  <si>
    <t>RM15QPS-4PA</t>
    <phoneticPr fontId="7"/>
  </si>
  <si>
    <t>JR-AS00-361-01A</t>
    <phoneticPr fontId="1"/>
  </si>
  <si>
    <t>Mixer base</t>
  </si>
  <si>
    <t>JR-AS00-361-02改A</t>
    <phoneticPr fontId="1"/>
  </si>
  <si>
    <t>Mixer back plate</t>
    <phoneticPr fontId="1"/>
  </si>
  <si>
    <t>JR-AS00-361-03改A</t>
    <phoneticPr fontId="1"/>
  </si>
  <si>
    <t>Motor driver base</t>
    <phoneticPr fontId="1"/>
  </si>
  <si>
    <t>JR-AS00-361-04A</t>
    <phoneticPr fontId="1"/>
  </si>
  <si>
    <t>Mixer cover</t>
    <phoneticPr fontId="1"/>
  </si>
  <si>
    <t>JR-AS00-361-05C</t>
    <phoneticPr fontId="1"/>
  </si>
  <si>
    <t>JR-AS00-361-06A</t>
    <phoneticPr fontId="1"/>
  </si>
  <si>
    <t>Shaft joint</t>
    <phoneticPr fontId="1"/>
  </si>
  <si>
    <t>JR-AS00-361-07B</t>
    <phoneticPr fontId="1"/>
  </si>
  <si>
    <t>Mixer socket</t>
    <phoneticPr fontId="1"/>
  </si>
  <si>
    <t>モーター</t>
    <phoneticPr fontId="7"/>
  </si>
  <si>
    <t>ソケット</t>
    <phoneticPr fontId="7"/>
  </si>
  <si>
    <t>ミニパワーリレー</t>
    <phoneticPr fontId="7"/>
  </si>
  <si>
    <t>オリエンタルモーター</t>
    <phoneticPr fontId="7"/>
  </si>
  <si>
    <t>BLM230-A2</t>
    <phoneticPr fontId="7"/>
  </si>
  <si>
    <t>PYFZ-08</t>
    <phoneticPr fontId="7"/>
  </si>
  <si>
    <t>MY2N</t>
    <phoneticPr fontId="7"/>
  </si>
  <si>
    <t>BMUD30-A2</t>
    <phoneticPr fontId="7"/>
  </si>
  <si>
    <t>モーターコントローラー</t>
    <phoneticPr fontId="1"/>
  </si>
  <si>
    <t>ケーブルグラウンド</t>
    <phoneticPr fontId="7"/>
  </si>
  <si>
    <t>アジャスター</t>
    <phoneticPr fontId="7"/>
  </si>
  <si>
    <t>温度センサ</t>
    <rPh sb="0" eb="2">
      <t>オンド</t>
    </rPh>
    <phoneticPr fontId="7"/>
  </si>
  <si>
    <t>ヒーター</t>
    <phoneticPr fontId="7"/>
  </si>
  <si>
    <t>ローレットノブ</t>
    <phoneticPr fontId="7"/>
  </si>
  <si>
    <t>カップリング</t>
    <phoneticPr fontId="7"/>
  </si>
  <si>
    <t>六角穴止めネジ</t>
    <rPh sb="0" eb="2">
      <t>ロッカク</t>
    </rPh>
    <rPh sb="2" eb="3">
      <t>アナ</t>
    </rPh>
    <rPh sb="3" eb="4">
      <t>ト</t>
    </rPh>
    <phoneticPr fontId="7"/>
  </si>
  <si>
    <t>六角ネジ</t>
    <rPh sb="0" eb="2">
      <t>ロッカク</t>
    </rPh>
    <phoneticPr fontId="7"/>
  </si>
  <si>
    <t>OA-W-15M-07</t>
    <phoneticPr fontId="7"/>
  </si>
  <si>
    <t>XCRS60</t>
    <phoneticPr fontId="7"/>
  </si>
  <si>
    <t>SLSBWF7-32</t>
    <phoneticPr fontId="7"/>
  </si>
  <si>
    <t>MSNDM6-1</t>
    <phoneticPr fontId="7"/>
  </si>
  <si>
    <t>MCHK5-30-V100-W40</t>
    <phoneticPr fontId="7"/>
  </si>
  <si>
    <t>NOOS4-10</t>
    <phoneticPr fontId="7"/>
  </si>
  <si>
    <t>CPS20-8-8</t>
    <phoneticPr fontId="7"/>
  </si>
  <si>
    <t>MSSFS4-4</t>
  </si>
  <si>
    <t>SCB3-5</t>
    <phoneticPr fontId="7"/>
  </si>
  <si>
    <t>SCB3-6</t>
    <phoneticPr fontId="7"/>
  </si>
  <si>
    <t>SCB3-20</t>
    <phoneticPr fontId="7"/>
  </si>
  <si>
    <t>SCB4-6</t>
    <phoneticPr fontId="7"/>
  </si>
  <si>
    <t>SCB4-10</t>
    <phoneticPr fontId="7"/>
  </si>
  <si>
    <t>SCB4-15</t>
    <phoneticPr fontId="7"/>
  </si>
  <si>
    <t>SCB5-10</t>
    <phoneticPr fontId="7"/>
  </si>
  <si>
    <t>株式会社啓愛社</t>
    <rPh sb="0" eb="4">
      <t>カブシキカイシャ</t>
    </rPh>
    <rPh sb="4" eb="7">
      <t>ケイアイシャ</t>
    </rPh>
    <phoneticPr fontId="1"/>
  </si>
  <si>
    <t>ｵﾘﾑﾍﾞｸｽﾀ</t>
    <phoneticPr fontId="7"/>
  </si>
  <si>
    <t>価格改定</t>
    <rPh sb="0" eb="4">
      <t>カカクカイテイ</t>
    </rPh>
    <phoneticPr fontId="1"/>
  </si>
  <si>
    <t>EX-L212</t>
  </si>
  <si>
    <t>5559-02P</t>
  </si>
  <si>
    <t>5559-04P</t>
  </si>
  <si>
    <t>5559-06P</t>
  </si>
  <si>
    <t>5559-08P</t>
  </si>
  <si>
    <t>5559-10P</t>
  </si>
  <si>
    <t>5558TL</t>
  </si>
  <si>
    <t>MISUMI</t>
    <phoneticPr fontId="1"/>
  </si>
  <si>
    <t>ﾄｸﾁｭｳ ﾊｰﾈｽ   (%WRFH)</t>
  </si>
  <si>
    <t>ﾋﾞｰﾑｾﾝｻ EX</t>
  </si>
  <si>
    <t>5559ｼﾘｰｽﾞ</t>
  </si>
  <si>
    <t>5558ｼﾘｰｽﾞ</t>
  </si>
  <si>
    <t>%WRFH-4050-230105-3-1B</t>
    <phoneticPr fontId="1"/>
  </si>
  <si>
    <r>
      <t xml:space="preserve">%WRFH-4050-221025-7-1B  </t>
    </r>
    <r>
      <rPr>
        <sz val="11"/>
        <color rgb="FFFF0000"/>
        <rFont val="ＭＳ Ｐゴシック"/>
        <family val="3"/>
        <charset val="128"/>
        <scheme val="minor"/>
      </rPr>
      <t xml:space="preserve"> ※キャンセル済</t>
    </r>
    <rPh sb="31" eb="32">
      <t>スミ</t>
    </rPh>
    <phoneticPr fontId="1"/>
  </si>
  <si>
    <t>価格改定 ミネベアより拝借,オリムベクスタ発注品は入荷次第、ミネベアへ返却</t>
    <rPh sb="0" eb="4">
      <t>カカクカイテイ</t>
    </rPh>
    <phoneticPr fontId="1"/>
  </si>
  <si>
    <t>未定</t>
    <rPh sb="0" eb="2">
      <t>ミテイ</t>
    </rPh>
    <phoneticPr fontId="1"/>
  </si>
  <si>
    <t>キーエンス</t>
    <phoneticPr fontId="1"/>
  </si>
  <si>
    <t>パナソニック</t>
    <phoneticPr fontId="1"/>
  </si>
  <si>
    <t>EX-L212</t>
    <phoneticPr fontId="1"/>
  </si>
  <si>
    <t>2/20キャンセル</t>
    <phoneticPr fontId="1"/>
  </si>
  <si>
    <t>FS-N41N</t>
    <phoneticPr fontId="1"/>
  </si>
  <si>
    <t>FS-N42N</t>
    <phoneticPr fontId="1"/>
  </si>
  <si>
    <t>FU-95</t>
    <phoneticPr fontId="1"/>
  </si>
  <si>
    <t>出精値引き</t>
    <rPh sb="0" eb="4">
      <t>シュッセイネビ</t>
    </rPh>
    <phoneticPr fontId="1"/>
  </si>
  <si>
    <t>制御機材発注分より変更　見積№18339393</t>
    <rPh sb="0" eb="4">
      <t>セイギョキザイ</t>
    </rPh>
    <rPh sb="4" eb="7">
      <t>ハッチュウブン</t>
    </rPh>
    <rPh sb="9" eb="11">
      <t>ヘンコウ</t>
    </rPh>
    <rPh sb="12" eb="15">
      <t>ミツモリナンバー</t>
    </rPh>
    <phoneticPr fontId="1"/>
  </si>
  <si>
    <t>ライト発注分より変更　見積№WQ5643354C00</t>
    <rPh sb="3" eb="6">
      <t>ハッチュウブン</t>
    </rPh>
    <rPh sb="8" eb="10">
      <t>ヘンコウ</t>
    </rPh>
    <rPh sb="11" eb="14">
      <t>ミツモリナンバー</t>
    </rPh>
    <phoneticPr fontId="1"/>
  </si>
  <si>
    <t>納期未定の為キャンセル</t>
    <rPh sb="0" eb="4">
      <t>ノウキミテイ</t>
    </rPh>
    <rPh sb="5" eb="6">
      <t>タメ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</si>
</sst>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#,##0_);[Red]\(#,##0\)"/>
    <numFmt numFmtId="177" formatCode="yyyy&quot;年&quot;m&quot;月&quot;d&quot;日&quot;;@"/>
    <numFmt numFmtId="178" formatCode="m/d;@"/>
    <numFmt numFmtId="179" formatCode="m&quot;月&quot;d&quot;日&quot;;@"/>
    <numFmt numFmtId="180" formatCode="#,##0_ "/>
  </numFmts>
  <fonts count="28">
    <font>
      <sz val="11"/>
      <color theme="1"/>
      <name val="ＭＳ Ｐゴシック"/>
      <family val="3"/>
      <charset val="128"/>
      <scheme val="minor"/>
    </font>
    <font>
      <sz val="6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4"/>
      <color indexed="8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sz val="11"/>
      <color rgb="FFFF0000"/>
      <name val="ＭＳ Ｐゴシック"/>
      <family val="3"/>
      <charset val="128"/>
      <scheme val="minor"/>
    </font>
    <font>
      <sz val="11"/>
      <name val="ＭＳ Ｐゴシック"/>
      <family val="3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theme="1"/>
      <name val="ＭＳ Ｐゴシック"/>
      <family val="3"/>
      <charset val="128"/>
      <scheme val="minor"/>
    </font>
    <font>
      <sz val="11"/>
      <color rgb="FF333333"/>
      <name val="ＭＳ Ｐゴシック"/>
      <family val="3"/>
      <charset val="128"/>
      <scheme val="minor"/>
    </font>
    <font>
      <b/>
      <sz val="11"/>
      <color rgb="FFFF0000"/>
      <name val="ＭＳ Ｐゴシック"/>
      <family val="3"/>
      <charset val="128"/>
      <scheme val="minor"/>
    </font>
    <font>
      <b/>
      <sz val="11"/>
      <color theme="1"/>
      <name val="ＭＳ Ｐゴシック"/>
      <family val="3"/>
      <charset val="128"/>
      <scheme val="minor"/>
    </font>
    <font>
      <b/>
      <sz val="14"/>
      <color theme="1"/>
      <name val="ＭＳ Ｐゴシック"/>
      <family val="3"/>
      <charset val="128"/>
      <scheme val="minor"/>
    </font>
    <font>
      <b/>
      <sz val="14"/>
      <color theme="4"/>
      <name val="ＭＳ Ｐゴシック"/>
      <family val="3"/>
      <charset val="128"/>
      <scheme val="minor"/>
    </font>
    <font>
      <b/>
      <u/>
      <sz val="16"/>
      <color rgb="FFFF0000"/>
      <name val="ＭＳ Ｐゴシック"/>
      <family val="3"/>
      <charset val="128"/>
      <scheme val="minor"/>
    </font>
    <font>
      <b/>
      <sz val="16"/>
      <color rgb="FFFF0000"/>
      <name val="ＭＳ Ｐゴシック"/>
      <family val="3"/>
      <charset val="128"/>
      <scheme val="minor"/>
    </font>
    <font>
      <b/>
      <sz val="20"/>
      <color rgb="FFFF0000"/>
      <name val="ＭＳ Ｐゴシック"/>
      <family val="3"/>
      <charset val="128"/>
      <scheme val="minor"/>
    </font>
    <font>
      <b/>
      <sz val="12"/>
      <color theme="1"/>
      <name val="ＭＳ Ｐゴシック"/>
      <family val="3"/>
      <charset val="128"/>
      <scheme val="minor"/>
    </font>
    <font>
      <sz val="11"/>
      <color rgb="FF333333"/>
      <name val="メイリオ"/>
      <family val="3"/>
      <charset val="128"/>
    </font>
    <font>
      <sz val="11"/>
      <color rgb="FF333333"/>
      <name val="ＭＳ Ｐゴシック"/>
      <family val="3"/>
      <charset val="128"/>
    </font>
    <font>
      <b/>
      <sz val="22"/>
      <color indexed="81"/>
      <name val="MS P ゴシック"/>
      <family val="3"/>
      <charset val="128"/>
    </font>
    <font>
      <sz val="22"/>
      <color indexed="81"/>
      <name val="MS P ゴシック"/>
      <family val="3"/>
      <charset val="128"/>
    </font>
    <font>
      <strike/>
      <sz val="11"/>
      <color rgb="FFFF0000"/>
      <name val="ＭＳ Ｐゴシック"/>
      <family val="3"/>
      <charset val="128"/>
      <scheme val="minor"/>
    </font>
    <font>
      <sz val="6"/>
      <name val="ＭＳ Ｐゴシック"/>
      <family val="3"/>
      <charset val="128"/>
      <scheme val="minor"/>
    </font>
    <font>
      <sz val="8"/>
      <color rgb="FFFF0000"/>
      <name val="ＭＳ Ｐゴシック"/>
      <family val="3"/>
      <charset val="128"/>
      <scheme val="minor"/>
    </font>
    <font>
      <strike/>
      <sz val="11"/>
      <color theme="1"/>
      <name val="ＭＳ Ｐゴシック"/>
      <family val="3"/>
      <charset val="128"/>
      <scheme val="minor"/>
    </font>
    <font>
      <strike/>
      <sz val="11"/>
      <color rgb="FF333333"/>
      <name val="ＭＳ Ｐゴシック"/>
      <family val="3"/>
      <charset val="128"/>
      <scheme val="minor"/>
    </font>
    <font>
      <strike/>
      <sz val="11"/>
      <name val="ＭＳ Ｐゴシック"/>
      <family val="3"/>
      <charset val="128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79">
    <xf numFmtId="0" fontId="0" fillId="0" borderId="0" xfId="0">
      <alignment vertical="center"/>
    </xf>
    <xf numFmtId="0" fontId="3" fillId="0" borderId="1" xfId="0" applyFont="1" applyBorder="1" applyAlignment="1">
      <alignment horizontal="center" vertical="center" shrinkToFit="1"/>
    </xf>
    <xf numFmtId="176" fontId="4" fillId="0" borderId="1" xfId="0" applyNumberFormat="1" applyFont="1" applyBorder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right" vertical="center"/>
    </xf>
    <xf numFmtId="179" fontId="0" fillId="0" borderId="0" xfId="0" applyNumberFormat="1">
      <alignment vertical="center"/>
    </xf>
    <xf numFmtId="0" fontId="3" fillId="0" borderId="1" xfId="0" applyFont="1" applyBorder="1" applyAlignment="1">
      <alignment horizontal="center" vertical="center"/>
    </xf>
    <xf numFmtId="177" fontId="3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79" fontId="0" fillId="0" borderId="1" xfId="0" applyNumberFormat="1" applyBorder="1" applyAlignment="1">
      <alignment horizontal="center" vertical="center"/>
    </xf>
    <xf numFmtId="178" fontId="0" fillId="0" borderId="1" xfId="0" applyNumberForma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right" vertical="center"/>
    </xf>
    <xf numFmtId="3" fontId="5" fillId="0" borderId="1" xfId="0" applyNumberFormat="1" applyFont="1" applyBorder="1" applyAlignment="1">
      <alignment horizontal="center" vertical="center"/>
    </xf>
    <xf numFmtId="178" fontId="0" fillId="3" borderId="1" xfId="0" applyNumberFormat="1" applyFill="1" applyBorder="1" applyAlignment="1">
      <alignment horizontal="center" vertical="center"/>
    </xf>
    <xf numFmtId="0" fontId="0" fillId="3" borderId="1" xfId="0" applyFill="1" applyBorder="1">
      <alignment vertical="center"/>
    </xf>
    <xf numFmtId="0" fontId="9" fillId="3" borderId="1" xfId="0" applyFont="1" applyFill="1" applyBorder="1">
      <alignment vertical="center"/>
    </xf>
    <xf numFmtId="176" fontId="0" fillId="3" borderId="1" xfId="0" applyNumberFormat="1" applyFill="1" applyBorder="1">
      <alignment vertical="center"/>
    </xf>
    <xf numFmtId="177" fontId="3" fillId="0" borderId="0" xfId="0" applyNumberFormat="1" applyFont="1" applyAlignment="1">
      <alignment horizontal="center" vertical="center"/>
    </xf>
    <xf numFmtId="38" fontId="0" fillId="0" borderId="0" xfId="0" applyNumberFormat="1">
      <alignment vertical="center"/>
    </xf>
    <xf numFmtId="38" fontId="10" fillId="0" borderId="0" xfId="0" applyNumberFormat="1" applyFont="1">
      <alignment vertical="center"/>
    </xf>
    <xf numFmtId="0" fontId="10" fillId="0" borderId="1" xfId="0" applyFont="1" applyBorder="1" applyAlignment="1">
      <alignment horizontal="right" vertical="center"/>
    </xf>
    <xf numFmtId="5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3" fillId="0" borderId="0" xfId="0" applyFont="1">
      <alignment vertical="center"/>
    </xf>
    <xf numFmtId="0" fontId="11" fillId="0" borderId="0" xfId="0" applyFont="1">
      <alignment vertical="center"/>
    </xf>
    <xf numFmtId="0" fontId="14" fillId="0" borderId="0" xfId="0" applyFont="1">
      <alignment vertical="center"/>
    </xf>
    <xf numFmtId="0" fontId="15" fillId="0" borderId="1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176" fontId="0" fillId="0" borderId="1" xfId="0" applyNumberFormat="1" applyBorder="1">
      <alignment vertical="center"/>
    </xf>
    <xf numFmtId="179" fontId="12" fillId="0" borderId="0" xfId="0" applyNumberFormat="1" applyFont="1">
      <alignment vertical="center"/>
    </xf>
    <xf numFmtId="0" fontId="8" fillId="0" borderId="1" xfId="0" applyFont="1" applyBorder="1">
      <alignment vertical="center"/>
    </xf>
    <xf numFmtId="0" fontId="18" fillId="0" borderId="1" xfId="0" applyFont="1" applyBorder="1">
      <alignment vertical="center"/>
    </xf>
    <xf numFmtId="0" fontId="19" fillId="0" borderId="1" xfId="0" applyFont="1" applyBorder="1">
      <alignment vertical="center"/>
    </xf>
    <xf numFmtId="179" fontId="0" fillId="0" borderId="1" xfId="0" applyNumberFormat="1" applyBorder="1">
      <alignment vertical="center"/>
    </xf>
    <xf numFmtId="178" fontId="0" fillId="0" borderId="0" xfId="0" applyNumberFormat="1" applyAlignment="1">
      <alignment horizontal="center" vertical="center"/>
    </xf>
    <xf numFmtId="176" fontId="5" fillId="0" borderId="1" xfId="0" applyNumberFormat="1" applyFont="1" applyBorder="1">
      <alignment vertical="center"/>
    </xf>
    <xf numFmtId="180" fontId="5" fillId="0" borderId="1" xfId="0" applyNumberFormat="1" applyFont="1" applyBorder="1">
      <alignment vertical="center"/>
    </xf>
    <xf numFmtId="3" fontId="0" fillId="3" borderId="1" xfId="0" applyNumberForma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15" fillId="3" borderId="1" xfId="0" applyFont="1" applyFill="1" applyBorder="1" applyAlignment="1">
      <alignment horizontal="center" vertical="center"/>
    </xf>
    <xf numFmtId="56" fontId="0" fillId="3" borderId="1" xfId="0" applyNumberFormat="1" applyFill="1" applyBorder="1" applyAlignment="1">
      <alignment horizontal="right" vertical="center"/>
    </xf>
    <xf numFmtId="179" fontId="0" fillId="3" borderId="1" xfId="0" applyNumberFormat="1" applyFill="1" applyBorder="1">
      <alignment vertical="center"/>
    </xf>
    <xf numFmtId="0" fontId="0" fillId="3" borderId="0" xfId="0" applyFill="1">
      <alignment vertical="center"/>
    </xf>
    <xf numFmtId="0" fontId="0" fillId="3" borderId="1" xfId="0" applyFill="1" applyBorder="1" applyAlignment="1">
      <alignment horizontal="right" vertical="center"/>
    </xf>
    <xf numFmtId="0" fontId="22" fillId="3" borderId="1" xfId="0" applyFont="1" applyFill="1" applyBorder="1">
      <alignment vertical="center"/>
    </xf>
    <xf numFmtId="0" fontId="3" fillId="2" borderId="1" xfId="0" applyFont="1" applyFill="1" applyBorder="1" applyAlignment="1">
      <alignment horizontal="center" vertical="center"/>
    </xf>
    <xf numFmtId="56" fontId="0" fillId="0" borderId="1" xfId="0" applyNumberFormat="1" applyBorder="1" applyAlignment="1">
      <alignment horizontal="right" vertical="center"/>
    </xf>
    <xf numFmtId="0" fontId="10" fillId="3" borderId="1" xfId="0" applyFont="1" applyFill="1" applyBorder="1" applyAlignment="1">
      <alignment horizontal="right" vertical="center"/>
    </xf>
    <xf numFmtId="3" fontId="24" fillId="0" borderId="1" xfId="0" applyNumberFormat="1" applyFont="1" applyBorder="1" applyAlignment="1">
      <alignment horizontal="center" vertical="center" wrapText="1"/>
    </xf>
    <xf numFmtId="0" fontId="6" fillId="3" borderId="1" xfId="0" applyFont="1" applyFill="1" applyBorder="1">
      <alignment vertical="center"/>
    </xf>
    <xf numFmtId="0" fontId="6" fillId="0" borderId="1" xfId="0" applyFont="1" applyBorder="1">
      <alignment vertical="center"/>
    </xf>
    <xf numFmtId="3" fontId="5" fillId="4" borderId="1" xfId="0" applyNumberFormat="1" applyFont="1" applyFill="1" applyBorder="1" applyAlignment="1">
      <alignment horizontal="center" vertical="center"/>
    </xf>
    <xf numFmtId="178" fontId="6" fillId="0" borderId="1" xfId="0" applyNumberFormat="1" applyFont="1" applyBorder="1" applyAlignment="1">
      <alignment horizontal="center" vertical="center"/>
    </xf>
    <xf numFmtId="0" fontId="6" fillId="0" borderId="0" xfId="0" applyFont="1">
      <alignment vertical="center"/>
    </xf>
    <xf numFmtId="3" fontId="6" fillId="0" borderId="1" xfId="0" applyNumberFormat="1" applyFont="1" applyBorder="1" applyAlignment="1">
      <alignment horizontal="center" vertical="center"/>
    </xf>
    <xf numFmtId="176" fontId="6" fillId="0" borderId="1" xfId="0" applyNumberFormat="1" applyFont="1" applyBorder="1">
      <alignment vertical="center"/>
    </xf>
    <xf numFmtId="0" fontId="6" fillId="0" borderId="1" xfId="0" applyFont="1" applyBorder="1" applyAlignment="1">
      <alignment horizontal="right" vertical="center"/>
    </xf>
    <xf numFmtId="3" fontId="25" fillId="4" borderId="1" xfId="0" applyNumberFormat="1" applyFont="1" applyFill="1" applyBorder="1" applyAlignment="1">
      <alignment horizontal="center" vertical="center"/>
    </xf>
    <xf numFmtId="0" fontId="25" fillId="4" borderId="1" xfId="0" applyFont="1" applyFill="1" applyBorder="1">
      <alignment vertical="center"/>
    </xf>
    <xf numFmtId="176" fontId="25" fillId="4" borderId="1" xfId="0" applyNumberFormat="1" applyFont="1" applyFill="1" applyBorder="1">
      <alignment vertical="center"/>
    </xf>
    <xf numFmtId="0" fontId="25" fillId="4" borderId="1" xfId="0" applyFont="1" applyFill="1" applyBorder="1" applyAlignment="1">
      <alignment horizontal="right" vertical="center"/>
    </xf>
    <xf numFmtId="0" fontId="25" fillId="4" borderId="1" xfId="0" applyFont="1" applyFill="1" applyBorder="1" applyAlignment="1">
      <alignment horizontal="center" vertical="center"/>
    </xf>
    <xf numFmtId="178" fontId="25" fillId="4" borderId="1" xfId="0" applyNumberFormat="1" applyFont="1" applyFill="1" applyBorder="1" applyAlignment="1">
      <alignment horizontal="center" vertical="center"/>
    </xf>
    <xf numFmtId="178" fontId="22" fillId="4" borderId="1" xfId="0" applyNumberFormat="1" applyFont="1" applyFill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6" fillId="4" borderId="1" xfId="0" applyFont="1" applyFill="1" applyBorder="1">
      <alignment vertical="center"/>
    </xf>
    <xf numFmtId="0" fontId="27" fillId="4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178" fontId="10" fillId="3" borderId="1" xfId="0" applyNumberFormat="1" applyFont="1" applyFill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Q113"/>
  <sheetViews>
    <sheetView tabSelected="1" zoomScale="85" zoomScaleNormal="85" workbookViewId="0">
      <pane xSplit="8" topLeftCell="L1" activePane="topRight" state="frozen"/>
      <selection pane="topRight" activeCell="E2" sqref="E2:E6"/>
    </sheetView>
  </sheetViews>
  <sheetFormatPr defaultColWidth="9" defaultRowHeight="13.5"/>
  <cols>
    <col min="1" max="1" width="2.625" customWidth="1"/>
    <col min="2" max="2" width="20.125" style="3" bestFit="1" customWidth="1"/>
    <col min="3" max="4" width="19.25" bestFit="1" customWidth="1"/>
    <col min="5" max="5" width="56" customWidth="1"/>
    <col min="6" max="6" width="6.25" customWidth="1"/>
    <col min="7" max="7" width="20.5" customWidth="1"/>
    <col min="8" max="8" width="11.875" bestFit="1" customWidth="1"/>
    <col min="9" max="9" width="8.875" style="4" customWidth="1"/>
    <col min="10" max="10" width="35.25" bestFit="1" customWidth="1"/>
    <col min="11" max="11" width="47.875" customWidth="1"/>
    <col min="12" max="12" width="28.125" style="3" customWidth="1"/>
    <col min="13" max="13" width="13.75" style="41" customWidth="1"/>
    <col min="14" max="14" width="6.375" customWidth="1"/>
    <col min="15" max="15" width="13.25" style="4" customWidth="1"/>
    <col min="16" max="16" width="14.5" style="5" customWidth="1"/>
    <col min="17" max="17" width="15.625" style="41" customWidth="1"/>
  </cols>
  <sheetData>
    <row r="2" spans="2:17" ht="20.100000000000001" customHeight="1">
      <c r="B2" s="74" t="s">
        <v>11</v>
      </c>
      <c r="C2" s="74"/>
      <c r="D2" s="74"/>
      <c r="E2" s="1" t="s">
        <v>193</v>
      </c>
      <c r="G2" s="75" t="s">
        <v>15</v>
      </c>
      <c r="H2" s="76"/>
      <c r="I2" s="77"/>
      <c r="J2" s="2">
        <f>SUM(H:H)</f>
        <v>2199659</v>
      </c>
    </row>
    <row r="3" spans="2:17" ht="20.100000000000001" customHeight="1">
      <c r="B3" s="74" t="s">
        <v>10</v>
      </c>
      <c r="C3" s="74"/>
      <c r="D3" s="74"/>
      <c r="E3" s="6" t="s">
        <v>22</v>
      </c>
      <c r="P3" s="36"/>
    </row>
    <row r="4" spans="2:17" ht="20.100000000000001" customHeight="1">
      <c r="B4" s="74" t="s">
        <v>12</v>
      </c>
      <c r="C4" s="74"/>
      <c r="D4" s="74"/>
      <c r="E4" s="6">
        <v>201045</v>
      </c>
      <c r="I4" s="23"/>
      <c r="J4" s="4"/>
      <c r="K4" s="29"/>
      <c r="L4" s="27"/>
    </row>
    <row r="5" spans="2:17" ht="20.100000000000001" customHeight="1">
      <c r="B5" s="74" t="s">
        <v>13</v>
      </c>
      <c r="C5" s="74"/>
      <c r="D5" s="74"/>
      <c r="E5" s="7">
        <v>44946</v>
      </c>
      <c r="G5" s="3"/>
      <c r="I5" s="33"/>
      <c r="J5" s="23"/>
      <c r="K5" s="31"/>
      <c r="L5" s="24"/>
    </row>
    <row r="6" spans="2:17" ht="20.100000000000001" customHeight="1">
      <c r="B6" s="74" t="s">
        <v>14</v>
      </c>
      <c r="C6" s="74"/>
      <c r="D6" s="74"/>
      <c r="E6" s="7">
        <v>45056</v>
      </c>
      <c r="I6" s="34"/>
      <c r="J6" s="24"/>
      <c r="K6" s="30"/>
      <c r="L6" s="28"/>
    </row>
    <row r="7" spans="2:17" ht="20.100000000000001" customHeight="1">
      <c r="B7" s="8"/>
      <c r="C7" s="8"/>
      <c r="D7" s="8"/>
      <c r="E7" s="22"/>
      <c r="J7" s="23"/>
      <c r="L7" s="23"/>
    </row>
    <row r="9" spans="2:17" s="3" customFormat="1" ht="19.7" customHeight="1">
      <c r="B9" s="9" t="s">
        <v>4</v>
      </c>
      <c r="C9" s="9" t="s">
        <v>9</v>
      </c>
      <c r="D9" s="9" t="s">
        <v>5</v>
      </c>
      <c r="E9" s="10" t="s">
        <v>8</v>
      </c>
      <c r="F9" s="10" t="s">
        <v>0</v>
      </c>
      <c r="G9" s="10" t="s">
        <v>1</v>
      </c>
      <c r="H9" s="11" t="s">
        <v>2</v>
      </c>
      <c r="I9" s="11" t="s">
        <v>18</v>
      </c>
      <c r="J9" s="10" t="s">
        <v>3</v>
      </c>
      <c r="K9" s="10" t="s">
        <v>17</v>
      </c>
      <c r="L9" s="10" t="s">
        <v>16</v>
      </c>
      <c r="M9" s="13" t="s">
        <v>6</v>
      </c>
      <c r="N9" s="9" t="s">
        <v>19</v>
      </c>
      <c r="O9" s="10" t="s">
        <v>7</v>
      </c>
      <c r="P9" s="12" t="s">
        <v>20</v>
      </c>
      <c r="Q9" s="13" t="s">
        <v>21</v>
      </c>
    </row>
    <row r="10" spans="2:17" s="3" customFormat="1" ht="19.7" customHeight="1">
      <c r="B10" s="9">
        <v>2</v>
      </c>
      <c r="C10" s="15" t="s">
        <v>28</v>
      </c>
      <c r="D10" s="15" t="s">
        <v>28</v>
      </c>
      <c r="E10" s="15" t="s">
        <v>68</v>
      </c>
      <c r="F10" s="19">
        <v>1</v>
      </c>
      <c r="G10" s="21">
        <v>1254400</v>
      </c>
      <c r="H10" s="21">
        <f t="shared" ref="H10:H25" si="0">G10*F10</f>
        <v>1254400</v>
      </c>
      <c r="I10" s="19"/>
      <c r="J10" s="19" t="s">
        <v>69</v>
      </c>
      <c r="K10" s="10"/>
      <c r="L10" s="12"/>
      <c r="M10" s="13">
        <v>44897</v>
      </c>
      <c r="N10" s="26"/>
      <c r="O10" s="13">
        <v>44581</v>
      </c>
      <c r="P10" s="18">
        <v>44963</v>
      </c>
      <c r="Q10" s="13">
        <v>44963</v>
      </c>
    </row>
    <row r="11" spans="2:17" s="3" customFormat="1" ht="19.7" customHeight="1">
      <c r="B11" s="9">
        <v>2</v>
      </c>
      <c r="C11" s="15" t="s">
        <v>28</v>
      </c>
      <c r="D11" s="15" t="s">
        <v>28</v>
      </c>
      <c r="E11" s="15" t="s">
        <v>70</v>
      </c>
      <c r="F11" s="19">
        <v>2</v>
      </c>
      <c r="G11" s="21">
        <v>78400</v>
      </c>
      <c r="H11" s="21">
        <f t="shared" si="0"/>
        <v>156800</v>
      </c>
      <c r="I11" s="19"/>
      <c r="J11" s="19" t="s">
        <v>73</v>
      </c>
      <c r="K11" s="10"/>
      <c r="L11" s="12"/>
      <c r="M11" s="13">
        <v>44897</v>
      </c>
      <c r="N11" s="26"/>
      <c r="O11" s="13">
        <v>44581</v>
      </c>
      <c r="P11" s="18">
        <v>44963</v>
      </c>
      <c r="Q11" s="13">
        <v>44963</v>
      </c>
    </row>
    <row r="12" spans="2:17" s="3" customFormat="1" ht="19.7" customHeight="1">
      <c r="B12" s="9">
        <v>2</v>
      </c>
      <c r="C12" s="15" t="s">
        <v>28</v>
      </c>
      <c r="D12" s="15" t="s">
        <v>28</v>
      </c>
      <c r="E12" s="15" t="s">
        <v>71</v>
      </c>
      <c r="F12" s="19">
        <v>2</v>
      </c>
      <c r="G12" s="21">
        <v>960</v>
      </c>
      <c r="H12" s="21">
        <f t="shared" si="0"/>
        <v>1920</v>
      </c>
      <c r="I12" s="19"/>
      <c r="J12" s="19" t="s">
        <v>72</v>
      </c>
      <c r="K12" s="10"/>
      <c r="L12" s="12"/>
      <c r="M12" s="13">
        <v>44897</v>
      </c>
      <c r="N12" s="26"/>
      <c r="O12" s="13">
        <v>44581</v>
      </c>
      <c r="P12" s="18">
        <v>44963</v>
      </c>
      <c r="Q12" s="13">
        <v>44963</v>
      </c>
    </row>
    <row r="13" spans="2:17" s="3" customFormat="1" ht="19.7" customHeight="1">
      <c r="B13" s="9">
        <v>2</v>
      </c>
      <c r="C13" s="15" t="s">
        <v>28</v>
      </c>
      <c r="D13" s="15" t="s">
        <v>28</v>
      </c>
      <c r="E13" s="15" t="s">
        <v>74</v>
      </c>
      <c r="F13" s="19">
        <v>2</v>
      </c>
      <c r="G13" s="21">
        <v>68000</v>
      </c>
      <c r="H13" s="21">
        <f t="shared" si="0"/>
        <v>136000</v>
      </c>
      <c r="I13" s="19"/>
      <c r="J13" s="19" t="s">
        <v>75</v>
      </c>
      <c r="K13" s="10"/>
      <c r="L13" s="12"/>
      <c r="M13" s="13">
        <v>44897</v>
      </c>
      <c r="N13" s="26"/>
      <c r="O13" s="13">
        <v>44581</v>
      </c>
      <c r="P13" s="18">
        <v>44963</v>
      </c>
      <c r="Q13" s="13">
        <v>44963</v>
      </c>
    </row>
    <row r="14" spans="2:17" s="3" customFormat="1" ht="19.7" customHeight="1">
      <c r="B14" s="9">
        <v>2</v>
      </c>
      <c r="C14" s="15" t="s">
        <v>28</v>
      </c>
      <c r="D14" s="15" t="s">
        <v>28</v>
      </c>
      <c r="E14" s="15" t="s">
        <v>76</v>
      </c>
      <c r="F14" s="19">
        <v>2</v>
      </c>
      <c r="G14" s="21">
        <v>30400</v>
      </c>
      <c r="H14" s="21">
        <f t="shared" si="0"/>
        <v>60800</v>
      </c>
      <c r="I14" s="19"/>
      <c r="J14" s="19" t="s">
        <v>77</v>
      </c>
      <c r="K14" s="10"/>
      <c r="L14" s="12"/>
      <c r="M14" s="13">
        <v>44897</v>
      </c>
      <c r="N14" s="26"/>
      <c r="O14" s="13">
        <v>44581</v>
      </c>
      <c r="P14" s="18">
        <v>44963</v>
      </c>
      <c r="Q14" s="13">
        <v>44963</v>
      </c>
    </row>
    <row r="15" spans="2:17" s="71" customFormat="1" ht="19.7" customHeight="1">
      <c r="B15" s="64">
        <v>3</v>
      </c>
      <c r="C15" s="65" t="s">
        <v>104</v>
      </c>
      <c r="D15" s="65" t="s">
        <v>105</v>
      </c>
      <c r="E15" s="65" t="s">
        <v>106</v>
      </c>
      <c r="F15" s="65">
        <v>1</v>
      </c>
      <c r="G15" s="66"/>
      <c r="H15" s="66"/>
      <c r="I15" s="67"/>
      <c r="J15" s="65" t="s">
        <v>102</v>
      </c>
      <c r="K15" s="58" t="s">
        <v>215</v>
      </c>
      <c r="L15" s="68"/>
      <c r="M15" s="69">
        <v>44897</v>
      </c>
      <c r="N15" s="64"/>
      <c r="O15" s="69">
        <v>44581</v>
      </c>
      <c r="P15" s="70" t="s">
        <v>211</v>
      </c>
      <c r="Q15" s="69"/>
    </row>
    <row r="16" spans="2:17" s="3" customFormat="1" ht="19.7" customHeight="1">
      <c r="B16" s="9">
        <v>3</v>
      </c>
      <c r="C16" s="15" t="s">
        <v>104</v>
      </c>
      <c r="D16" s="15" t="s">
        <v>105</v>
      </c>
      <c r="E16" s="15" t="s">
        <v>107</v>
      </c>
      <c r="F16" s="15">
        <v>2</v>
      </c>
      <c r="G16" s="35">
        <v>1240</v>
      </c>
      <c r="H16" s="35">
        <f t="shared" si="0"/>
        <v>2480</v>
      </c>
      <c r="I16" s="16"/>
      <c r="J16" s="15" t="s">
        <v>103</v>
      </c>
      <c r="K16" s="9"/>
      <c r="L16" s="10"/>
      <c r="M16" s="13">
        <v>44897</v>
      </c>
      <c r="N16" s="9"/>
      <c r="O16" s="13">
        <v>44581</v>
      </c>
      <c r="P16" s="13">
        <v>44917</v>
      </c>
      <c r="Q16" s="13">
        <v>44917</v>
      </c>
    </row>
    <row r="17" spans="2:17" s="71" customFormat="1" ht="19.7" customHeight="1">
      <c r="B17" s="64">
        <v>3</v>
      </c>
      <c r="C17" s="65" t="s">
        <v>118</v>
      </c>
      <c r="D17" s="65" t="s">
        <v>23</v>
      </c>
      <c r="E17" s="72" t="s">
        <v>119</v>
      </c>
      <c r="F17" s="65">
        <v>2</v>
      </c>
      <c r="G17" s="66"/>
      <c r="H17" s="66"/>
      <c r="I17" s="73"/>
      <c r="J17" s="65" t="s">
        <v>117</v>
      </c>
      <c r="K17" s="58" t="s">
        <v>215</v>
      </c>
      <c r="L17" s="68"/>
      <c r="M17" s="69">
        <v>44897</v>
      </c>
      <c r="N17" s="64"/>
      <c r="O17" s="69">
        <v>44581</v>
      </c>
      <c r="P17" s="70" t="s">
        <v>211</v>
      </c>
      <c r="Q17" s="70" t="s">
        <v>222</v>
      </c>
    </row>
    <row r="18" spans="2:17" s="3" customFormat="1" ht="19.7" customHeight="1">
      <c r="B18" s="9">
        <v>3</v>
      </c>
      <c r="C18" s="19" t="s">
        <v>25</v>
      </c>
      <c r="D18" s="19" t="s">
        <v>23</v>
      </c>
      <c r="E18" s="56" t="s">
        <v>47</v>
      </c>
      <c r="F18" s="19">
        <v>1</v>
      </c>
      <c r="G18" s="21">
        <v>10840</v>
      </c>
      <c r="H18" s="21">
        <f t="shared" si="0"/>
        <v>10840</v>
      </c>
      <c r="I18" s="14"/>
      <c r="J18" s="19" t="s">
        <v>48</v>
      </c>
      <c r="K18" s="17" t="s">
        <v>195</v>
      </c>
      <c r="L18" s="10"/>
      <c r="M18" s="13">
        <v>44897</v>
      </c>
      <c r="N18" s="9"/>
      <c r="O18" s="13">
        <v>44581</v>
      </c>
      <c r="P18" s="13"/>
      <c r="Q18" s="13">
        <v>44942</v>
      </c>
    </row>
    <row r="19" spans="2:17" s="3" customFormat="1" ht="19.7" customHeight="1">
      <c r="B19" s="9">
        <v>3</v>
      </c>
      <c r="C19" s="15" t="s">
        <v>118</v>
      </c>
      <c r="D19" s="15" t="s">
        <v>23</v>
      </c>
      <c r="E19" s="57" t="s">
        <v>128</v>
      </c>
      <c r="F19" s="15">
        <v>2</v>
      </c>
      <c r="G19" s="35">
        <v>440</v>
      </c>
      <c r="H19" s="21">
        <f t="shared" si="0"/>
        <v>880</v>
      </c>
      <c r="I19" s="14"/>
      <c r="J19" s="15" t="s">
        <v>126</v>
      </c>
      <c r="K19" s="17" t="s">
        <v>195</v>
      </c>
      <c r="L19" s="10"/>
      <c r="M19" s="13">
        <v>44897</v>
      </c>
      <c r="N19" s="9"/>
      <c r="O19" s="13">
        <v>44581</v>
      </c>
      <c r="P19" s="13"/>
      <c r="Q19" s="13">
        <v>44942</v>
      </c>
    </row>
    <row r="20" spans="2:17" s="3" customFormat="1" ht="19.7" customHeight="1">
      <c r="B20" s="9">
        <v>3</v>
      </c>
      <c r="C20" s="15" t="s">
        <v>24</v>
      </c>
      <c r="D20" s="15" t="s">
        <v>23</v>
      </c>
      <c r="E20" s="57" t="s">
        <v>129</v>
      </c>
      <c r="F20" s="15">
        <v>1</v>
      </c>
      <c r="G20" s="35">
        <v>240</v>
      </c>
      <c r="H20" s="35">
        <f t="shared" si="0"/>
        <v>240</v>
      </c>
      <c r="I20" s="14"/>
      <c r="J20" s="15" t="s">
        <v>127</v>
      </c>
      <c r="K20" s="9"/>
      <c r="L20" s="10"/>
      <c r="M20" s="13">
        <v>44897</v>
      </c>
      <c r="N20" s="9"/>
      <c r="O20" s="13">
        <v>44581</v>
      </c>
      <c r="P20" s="13"/>
      <c r="Q20" s="13">
        <v>44942</v>
      </c>
    </row>
    <row r="21" spans="2:17" s="3" customFormat="1" ht="19.7" customHeight="1">
      <c r="B21" s="9">
        <v>3</v>
      </c>
      <c r="C21" s="15" t="s">
        <v>24</v>
      </c>
      <c r="D21" s="15" t="s">
        <v>146</v>
      </c>
      <c r="E21" s="57" t="s">
        <v>147</v>
      </c>
      <c r="F21" s="15">
        <v>1</v>
      </c>
      <c r="G21" s="35">
        <v>1280</v>
      </c>
      <c r="H21" s="21">
        <f t="shared" si="0"/>
        <v>1280</v>
      </c>
      <c r="I21" s="14"/>
      <c r="J21" s="19" t="s">
        <v>145</v>
      </c>
      <c r="K21" s="9"/>
      <c r="L21" s="10"/>
      <c r="M21" s="13">
        <v>44897</v>
      </c>
      <c r="N21" s="9"/>
      <c r="O21" s="13">
        <v>44581</v>
      </c>
      <c r="P21" s="13">
        <v>44963</v>
      </c>
      <c r="Q21" s="18">
        <v>44963</v>
      </c>
    </row>
    <row r="22" spans="2:17" s="3" customFormat="1" ht="19.7" customHeight="1">
      <c r="B22" s="9">
        <v>3</v>
      </c>
      <c r="C22" s="15" t="s">
        <v>164</v>
      </c>
      <c r="D22" s="15" t="s">
        <v>194</v>
      </c>
      <c r="E22" s="57" t="s">
        <v>165</v>
      </c>
      <c r="F22" s="15">
        <v>1</v>
      </c>
      <c r="G22" s="42">
        <v>8960</v>
      </c>
      <c r="H22" s="21">
        <f t="shared" si="0"/>
        <v>8960</v>
      </c>
      <c r="I22" s="14"/>
      <c r="J22" s="15" t="s">
        <v>161</v>
      </c>
      <c r="K22" s="17" t="s">
        <v>195</v>
      </c>
      <c r="L22" s="10"/>
      <c r="M22" s="13">
        <v>44897</v>
      </c>
      <c r="N22" s="9"/>
      <c r="O22" s="13">
        <v>44581</v>
      </c>
      <c r="P22" s="13">
        <v>44578</v>
      </c>
      <c r="Q22" s="18">
        <v>44943</v>
      </c>
    </row>
    <row r="23" spans="2:17" s="3" customFormat="1" ht="19.7" customHeight="1">
      <c r="B23" s="9">
        <v>3</v>
      </c>
      <c r="C23" s="15" t="s">
        <v>164</v>
      </c>
      <c r="D23" s="15" t="s">
        <v>194</v>
      </c>
      <c r="E23" s="57" t="s">
        <v>168</v>
      </c>
      <c r="F23" s="15">
        <v>1</v>
      </c>
      <c r="G23" s="43">
        <v>11760</v>
      </c>
      <c r="H23" s="21">
        <f t="shared" si="0"/>
        <v>11760</v>
      </c>
      <c r="I23" s="14"/>
      <c r="J23" s="15" t="s">
        <v>169</v>
      </c>
      <c r="K23" s="55" t="s">
        <v>210</v>
      </c>
      <c r="L23" s="10"/>
      <c r="M23" s="13">
        <v>44897</v>
      </c>
      <c r="N23" s="9"/>
      <c r="O23" s="13">
        <v>44581</v>
      </c>
      <c r="P23" s="78">
        <v>44678</v>
      </c>
      <c r="Q23" s="18">
        <v>45043</v>
      </c>
    </row>
    <row r="24" spans="2:17" s="3" customFormat="1" ht="19.7" customHeight="1">
      <c r="B24" s="9">
        <v>3</v>
      </c>
      <c r="C24" s="15" t="s">
        <v>118</v>
      </c>
      <c r="D24" s="15" t="s">
        <v>23</v>
      </c>
      <c r="E24" s="57" t="s">
        <v>166</v>
      </c>
      <c r="F24" s="15">
        <v>1</v>
      </c>
      <c r="G24" s="35">
        <v>250</v>
      </c>
      <c r="H24" s="21">
        <f t="shared" si="0"/>
        <v>250</v>
      </c>
      <c r="I24" s="14"/>
      <c r="J24" s="15" t="s">
        <v>162</v>
      </c>
      <c r="K24" s="9"/>
      <c r="L24" s="10"/>
      <c r="M24" s="13">
        <v>44897</v>
      </c>
      <c r="N24" s="9"/>
      <c r="O24" s="13">
        <v>44581</v>
      </c>
      <c r="P24" s="13"/>
      <c r="Q24" s="13">
        <v>44942</v>
      </c>
    </row>
    <row r="25" spans="2:17" s="3" customFormat="1" ht="19.7" customHeight="1">
      <c r="B25" s="9">
        <v>3</v>
      </c>
      <c r="C25" s="15" t="s">
        <v>118</v>
      </c>
      <c r="D25" s="15" t="s">
        <v>23</v>
      </c>
      <c r="E25" s="57" t="s">
        <v>167</v>
      </c>
      <c r="F25" s="15">
        <v>1</v>
      </c>
      <c r="G25" s="35">
        <v>730</v>
      </c>
      <c r="H25" s="21">
        <f t="shared" si="0"/>
        <v>730</v>
      </c>
      <c r="I25" s="14"/>
      <c r="J25" s="15" t="s">
        <v>163</v>
      </c>
      <c r="K25" s="9"/>
      <c r="L25" s="10"/>
      <c r="M25" s="13">
        <v>44897</v>
      </c>
      <c r="N25" s="9"/>
      <c r="O25" s="13">
        <v>44581</v>
      </c>
      <c r="P25" s="13"/>
      <c r="Q25" s="13">
        <v>44942</v>
      </c>
    </row>
    <row r="26" spans="2:17" s="3" customFormat="1" ht="19.7" customHeight="1">
      <c r="B26" s="9">
        <v>3</v>
      </c>
      <c r="C26" s="15" t="s">
        <v>58</v>
      </c>
      <c r="D26" s="15" t="s">
        <v>26</v>
      </c>
      <c r="E26" s="15" t="s">
        <v>59</v>
      </c>
      <c r="F26" s="15">
        <v>1</v>
      </c>
      <c r="G26" s="35">
        <v>2014</v>
      </c>
      <c r="H26" s="21">
        <f t="shared" ref="H26:H67" si="1">F26*G26</f>
        <v>2014</v>
      </c>
      <c r="I26" s="14"/>
      <c r="J26" s="15" t="s">
        <v>49</v>
      </c>
      <c r="K26" s="17"/>
      <c r="L26" s="10"/>
      <c r="M26" s="13"/>
      <c r="N26" s="9"/>
      <c r="O26" s="13">
        <v>44581</v>
      </c>
      <c r="P26" s="13">
        <v>44578</v>
      </c>
      <c r="Q26" s="13">
        <v>44943</v>
      </c>
    </row>
    <row r="27" spans="2:17" s="3" customFormat="1" ht="19.7" customHeight="1">
      <c r="B27" s="9">
        <v>3</v>
      </c>
      <c r="C27" s="15" t="s">
        <v>26</v>
      </c>
      <c r="D27" s="15" t="s">
        <v>26</v>
      </c>
      <c r="E27" s="37" t="s">
        <v>60</v>
      </c>
      <c r="F27" s="15">
        <v>2</v>
      </c>
      <c r="G27" s="35">
        <v>110</v>
      </c>
      <c r="H27" s="21">
        <f t="shared" si="1"/>
        <v>220</v>
      </c>
      <c r="I27" s="16"/>
      <c r="J27" s="15" t="s">
        <v>50</v>
      </c>
      <c r="K27" s="17"/>
      <c r="L27" s="10"/>
      <c r="M27" s="13"/>
      <c r="N27" s="9"/>
      <c r="O27" s="13">
        <v>44581</v>
      </c>
      <c r="P27" s="13">
        <v>44578</v>
      </c>
      <c r="Q27" s="13">
        <v>44943</v>
      </c>
    </row>
    <row r="28" spans="2:17" s="3" customFormat="1" ht="19.7" customHeight="1">
      <c r="B28" s="9">
        <v>3</v>
      </c>
      <c r="C28" s="15" t="s">
        <v>26</v>
      </c>
      <c r="D28" s="15" t="s">
        <v>26</v>
      </c>
      <c r="E28" s="37" t="s">
        <v>61</v>
      </c>
      <c r="F28" s="15">
        <v>2</v>
      </c>
      <c r="G28" s="35">
        <v>1680</v>
      </c>
      <c r="H28" s="21">
        <f t="shared" si="1"/>
        <v>3360</v>
      </c>
      <c r="I28" s="16"/>
      <c r="J28" s="15" t="s">
        <v>51</v>
      </c>
      <c r="K28" s="17"/>
      <c r="L28" s="10"/>
      <c r="M28" s="13"/>
      <c r="N28" s="9"/>
      <c r="O28" s="13">
        <v>44581</v>
      </c>
      <c r="P28" s="13">
        <v>44578</v>
      </c>
      <c r="Q28" s="13">
        <v>44943</v>
      </c>
    </row>
    <row r="29" spans="2:17" s="3" customFormat="1" ht="19.7" customHeight="1">
      <c r="B29" s="9">
        <v>3</v>
      </c>
      <c r="C29" s="15" t="s">
        <v>26</v>
      </c>
      <c r="D29" s="15" t="s">
        <v>26</v>
      </c>
      <c r="E29" s="37" t="s">
        <v>62</v>
      </c>
      <c r="F29" s="15">
        <v>1</v>
      </c>
      <c r="G29" s="35">
        <v>1256</v>
      </c>
      <c r="H29" s="21">
        <f t="shared" si="1"/>
        <v>1256</v>
      </c>
      <c r="I29" s="16"/>
      <c r="J29" s="15" t="s">
        <v>52</v>
      </c>
      <c r="K29" s="17"/>
      <c r="L29" s="10"/>
      <c r="M29" s="13"/>
      <c r="N29" s="9"/>
      <c r="O29" s="13">
        <v>44581</v>
      </c>
      <c r="P29" s="13">
        <v>44578</v>
      </c>
      <c r="Q29" s="13">
        <v>44943</v>
      </c>
    </row>
    <row r="30" spans="2:17" s="3" customFormat="1" ht="19.7" customHeight="1">
      <c r="B30" s="9">
        <v>3</v>
      </c>
      <c r="C30" s="15" t="s">
        <v>26</v>
      </c>
      <c r="D30" s="15" t="s">
        <v>26</v>
      </c>
      <c r="E30" s="37" t="s">
        <v>63</v>
      </c>
      <c r="F30" s="15">
        <v>2</v>
      </c>
      <c r="G30" s="35">
        <v>150</v>
      </c>
      <c r="H30" s="21">
        <f t="shared" si="1"/>
        <v>300</v>
      </c>
      <c r="I30" s="14"/>
      <c r="J30" s="15" t="s">
        <v>53</v>
      </c>
      <c r="K30" s="17"/>
      <c r="L30" s="10"/>
      <c r="M30" s="13"/>
      <c r="N30" s="9"/>
      <c r="O30" s="13">
        <v>44581</v>
      </c>
      <c r="P30" s="13">
        <v>44578</v>
      </c>
      <c r="Q30" s="13">
        <v>44943</v>
      </c>
    </row>
    <row r="31" spans="2:17" s="3" customFormat="1" ht="19.7" customHeight="1">
      <c r="B31" s="9">
        <v>3</v>
      </c>
      <c r="C31" s="15" t="s">
        <v>26</v>
      </c>
      <c r="D31" s="15" t="s">
        <v>26</v>
      </c>
      <c r="E31" s="37" t="s">
        <v>64</v>
      </c>
      <c r="F31" s="15">
        <v>1</v>
      </c>
      <c r="G31" s="35">
        <v>32640</v>
      </c>
      <c r="H31" s="21">
        <f t="shared" si="1"/>
        <v>32640</v>
      </c>
      <c r="I31" s="14"/>
      <c r="J31" s="15" t="s">
        <v>54</v>
      </c>
      <c r="K31" s="17"/>
      <c r="L31" s="10"/>
      <c r="M31" s="13"/>
      <c r="N31" s="9"/>
      <c r="O31" s="13">
        <v>44581</v>
      </c>
      <c r="P31" s="13">
        <v>44578</v>
      </c>
      <c r="Q31" s="13">
        <v>44943</v>
      </c>
    </row>
    <row r="32" spans="2:17" s="3" customFormat="1" ht="19.7" customHeight="1">
      <c r="B32" s="9">
        <v>3</v>
      </c>
      <c r="C32" s="15" t="s">
        <v>26</v>
      </c>
      <c r="D32" s="15" t="s">
        <v>26</v>
      </c>
      <c r="E32" s="37" t="s">
        <v>65</v>
      </c>
      <c r="F32" s="15">
        <v>1</v>
      </c>
      <c r="G32" s="35">
        <v>2240</v>
      </c>
      <c r="H32" s="21">
        <f t="shared" si="1"/>
        <v>2240</v>
      </c>
      <c r="I32" s="14"/>
      <c r="J32" s="15" t="s">
        <v>55</v>
      </c>
      <c r="K32" s="17"/>
      <c r="L32" s="10"/>
      <c r="M32" s="13"/>
      <c r="N32" s="9"/>
      <c r="O32" s="13">
        <v>44581</v>
      </c>
      <c r="P32" s="13">
        <v>44578</v>
      </c>
      <c r="Q32" s="13">
        <v>44943</v>
      </c>
    </row>
    <row r="33" spans="2:17" s="3" customFormat="1" ht="19.7" customHeight="1">
      <c r="B33" s="9">
        <v>3</v>
      </c>
      <c r="C33" s="15" t="s">
        <v>26</v>
      </c>
      <c r="D33" s="15" t="s">
        <v>26</v>
      </c>
      <c r="E33" s="37" t="s">
        <v>66</v>
      </c>
      <c r="F33" s="15">
        <v>4</v>
      </c>
      <c r="G33" s="35">
        <v>440</v>
      </c>
      <c r="H33" s="21">
        <f t="shared" si="1"/>
        <v>1760</v>
      </c>
      <c r="I33" s="14"/>
      <c r="J33" s="15" t="s">
        <v>56</v>
      </c>
      <c r="K33" s="17"/>
      <c r="L33" s="10"/>
      <c r="M33" s="13"/>
      <c r="N33" s="9"/>
      <c r="O33" s="13">
        <v>44581</v>
      </c>
      <c r="P33" s="13">
        <v>44578</v>
      </c>
      <c r="Q33" s="13">
        <v>44943</v>
      </c>
    </row>
    <row r="34" spans="2:17" ht="19.7" customHeight="1">
      <c r="B34" s="9">
        <v>3</v>
      </c>
      <c r="C34" s="15" t="s">
        <v>26</v>
      </c>
      <c r="D34" s="15" t="s">
        <v>26</v>
      </c>
      <c r="E34" s="37" t="s">
        <v>67</v>
      </c>
      <c r="F34" s="15">
        <v>1</v>
      </c>
      <c r="G34" s="35">
        <v>69660</v>
      </c>
      <c r="H34" s="21">
        <f t="shared" si="1"/>
        <v>69660</v>
      </c>
      <c r="I34" s="16"/>
      <c r="J34" s="15" t="s">
        <v>57</v>
      </c>
      <c r="K34" s="17"/>
      <c r="L34" s="10"/>
      <c r="M34" s="13"/>
      <c r="N34" s="15"/>
      <c r="O34" s="13">
        <v>44581</v>
      </c>
      <c r="P34" s="13">
        <v>44578</v>
      </c>
      <c r="Q34" s="13">
        <v>44943</v>
      </c>
    </row>
    <row r="35" spans="2:17" ht="19.7" customHeight="1">
      <c r="B35" s="9">
        <v>3</v>
      </c>
      <c r="C35" s="15" t="s">
        <v>26</v>
      </c>
      <c r="D35" s="15" t="s">
        <v>26</v>
      </c>
      <c r="E35" s="15" t="s">
        <v>89</v>
      </c>
      <c r="F35" s="15">
        <v>6</v>
      </c>
      <c r="G35" s="35">
        <v>530</v>
      </c>
      <c r="H35" s="21">
        <f t="shared" si="1"/>
        <v>3180</v>
      </c>
      <c r="I35" s="16"/>
      <c r="J35" s="15" t="s">
        <v>88</v>
      </c>
      <c r="K35" s="17"/>
      <c r="L35" s="10"/>
      <c r="M35" s="13"/>
      <c r="N35" s="15"/>
      <c r="O35" s="13">
        <v>44581</v>
      </c>
      <c r="P35" s="13">
        <v>44578</v>
      </c>
      <c r="Q35" s="13">
        <v>44943</v>
      </c>
    </row>
    <row r="36" spans="2:17" ht="19.7" customHeight="1">
      <c r="B36" s="9">
        <v>3</v>
      </c>
      <c r="C36" s="15" t="s">
        <v>26</v>
      </c>
      <c r="D36" s="15" t="s">
        <v>26</v>
      </c>
      <c r="E36" s="37" t="s">
        <v>97</v>
      </c>
      <c r="F36" s="15">
        <v>2</v>
      </c>
      <c r="G36" s="35">
        <v>950</v>
      </c>
      <c r="H36" s="21">
        <f t="shared" si="1"/>
        <v>1900</v>
      </c>
      <c r="I36" s="16"/>
      <c r="J36" s="15" t="s">
        <v>92</v>
      </c>
      <c r="K36" s="17"/>
      <c r="L36" s="10"/>
      <c r="M36" s="13"/>
      <c r="N36" s="15"/>
      <c r="O36" s="13">
        <v>44581</v>
      </c>
      <c r="P36" s="13">
        <v>44578</v>
      </c>
      <c r="Q36" s="13">
        <v>44943</v>
      </c>
    </row>
    <row r="37" spans="2:17" ht="19.7" customHeight="1">
      <c r="B37" s="9">
        <v>3</v>
      </c>
      <c r="C37" s="15" t="s">
        <v>26</v>
      </c>
      <c r="D37" s="15" t="s">
        <v>26</v>
      </c>
      <c r="E37" s="37" t="s">
        <v>98</v>
      </c>
      <c r="F37" s="15">
        <v>2</v>
      </c>
      <c r="G37" s="35">
        <v>2870</v>
      </c>
      <c r="H37" s="21">
        <f t="shared" si="1"/>
        <v>5740</v>
      </c>
      <c r="I37" s="16"/>
      <c r="J37" s="15" t="s">
        <v>93</v>
      </c>
      <c r="K37" s="17"/>
      <c r="L37" s="10"/>
      <c r="M37" s="13"/>
      <c r="N37" s="15"/>
      <c r="O37" s="13">
        <v>44581</v>
      </c>
      <c r="P37" s="13">
        <v>44578</v>
      </c>
      <c r="Q37" s="13">
        <v>44943</v>
      </c>
    </row>
    <row r="38" spans="2:17" ht="19.7" customHeight="1">
      <c r="B38" s="9">
        <v>3</v>
      </c>
      <c r="C38" s="15" t="s">
        <v>26</v>
      </c>
      <c r="D38" s="15" t="s">
        <v>26</v>
      </c>
      <c r="E38" s="37" t="s">
        <v>99</v>
      </c>
      <c r="F38" s="15">
        <v>2</v>
      </c>
      <c r="G38" s="35">
        <v>2290</v>
      </c>
      <c r="H38" s="21">
        <f t="shared" si="1"/>
        <v>4580</v>
      </c>
      <c r="I38" s="16"/>
      <c r="J38" s="15" t="s">
        <v>94</v>
      </c>
      <c r="K38" s="17"/>
      <c r="L38" s="10"/>
      <c r="M38" s="13"/>
      <c r="N38" s="15"/>
      <c r="O38" s="13">
        <v>44581</v>
      </c>
      <c r="P38" s="13">
        <v>44578</v>
      </c>
      <c r="Q38" s="13">
        <v>44943</v>
      </c>
    </row>
    <row r="39" spans="2:17" ht="19.7" customHeight="1">
      <c r="B39" s="9">
        <v>3</v>
      </c>
      <c r="C39" s="15" t="s">
        <v>26</v>
      </c>
      <c r="D39" s="15" t="s">
        <v>26</v>
      </c>
      <c r="E39" s="37" t="s">
        <v>100</v>
      </c>
      <c r="F39" s="37">
        <v>8</v>
      </c>
      <c r="G39" s="35">
        <v>180</v>
      </c>
      <c r="H39" s="21">
        <f t="shared" si="1"/>
        <v>1440</v>
      </c>
      <c r="I39" s="16"/>
      <c r="J39" s="15" t="s">
        <v>95</v>
      </c>
      <c r="K39" s="17"/>
      <c r="L39" s="10"/>
      <c r="M39" s="13"/>
      <c r="N39" s="15"/>
      <c r="O39" s="13">
        <v>44581</v>
      </c>
      <c r="P39" s="13">
        <v>44578</v>
      </c>
      <c r="Q39" s="13">
        <v>44943</v>
      </c>
    </row>
    <row r="40" spans="2:17" ht="19.7" customHeight="1">
      <c r="B40" s="9">
        <v>3</v>
      </c>
      <c r="C40" s="15" t="s">
        <v>26</v>
      </c>
      <c r="D40" s="15" t="s">
        <v>26</v>
      </c>
      <c r="E40" s="37" t="s">
        <v>101</v>
      </c>
      <c r="F40" s="15">
        <v>2</v>
      </c>
      <c r="G40" s="35">
        <v>1260</v>
      </c>
      <c r="H40" s="21">
        <f t="shared" si="1"/>
        <v>2520</v>
      </c>
      <c r="I40" s="16"/>
      <c r="J40" s="15" t="s">
        <v>96</v>
      </c>
      <c r="K40" s="17"/>
      <c r="L40" s="10"/>
      <c r="M40" s="13"/>
      <c r="N40" s="15"/>
      <c r="O40" s="13">
        <v>44581</v>
      </c>
      <c r="P40" s="13">
        <v>44578</v>
      </c>
      <c r="Q40" s="13">
        <v>44943</v>
      </c>
    </row>
    <row r="41" spans="2:17" ht="19.7" customHeight="1">
      <c r="B41" s="9">
        <v>3</v>
      </c>
      <c r="C41" s="15" t="s">
        <v>26</v>
      </c>
      <c r="D41" s="15" t="s">
        <v>26</v>
      </c>
      <c r="E41" s="39" t="s">
        <v>111</v>
      </c>
      <c r="F41" s="15">
        <v>12</v>
      </c>
      <c r="G41" s="35">
        <v>207</v>
      </c>
      <c r="H41" s="21">
        <f t="shared" si="1"/>
        <v>2484</v>
      </c>
      <c r="I41" s="16"/>
      <c r="J41" s="15" t="s">
        <v>108</v>
      </c>
      <c r="K41" s="17"/>
      <c r="L41" s="10"/>
      <c r="M41" s="13"/>
      <c r="N41" s="15"/>
      <c r="O41" s="13">
        <v>44581</v>
      </c>
      <c r="P41" s="13">
        <v>44578</v>
      </c>
      <c r="Q41" s="13">
        <v>44943</v>
      </c>
    </row>
    <row r="42" spans="2:17" ht="19.7" customHeight="1">
      <c r="B42" s="9">
        <v>3</v>
      </c>
      <c r="C42" s="15" t="s">
        <v>26</v>
      </c>
      <c r="D42" s="15" t="s">
        <v>26</v>
      </c>
      <c r="E42" s="37" t="s">
        <v>112</v>
      </c>
      <c r="F42" s="15">
        <v>2</v>
      </c>
      <c r="G42" s="35">
        <v>250</v>
      </c>
      <c r="H42" s="21">
        <f t="shared" si="1"/>
        <v>500</v>
      </c>
      <c r="I42" s="16"/>
      <c r="J42" s="15" t="s">
        <v>109</v>
      </c>
      <c r="K42" s="17"/>
      <c r="L42" s="10"/>
      <c r="M42" s="13"/>
      <c r="N42" s="15"/>
      <c r="O42" s="13">
        <v>44581</v>
      </c>
      <c r="P42" s="13">
        <v>44578</v>
      </c>
      <c r="Q42" s="13">
        <v>44943</v>
      </c>
    </row>
    <row r="43" spans="2:17" ht="19.7" customHeight="1">
      <c r="B43" s="9">
        <v>3</v>
      </c>
      <c r="C43" s="15" t="s">
        <v>26</v>
      </c>
      <c r="D43" s="15" t="s">
        <v>26</v>
      </c>
      <c r="E43" s="37" t="s">
        <v>113</v>
      </c>
      <c r="F43" s="15">
        <v>4</v>
      </c>
      <c r="G43" s="35">
        <v>500</v>
      </c>
      <c r="H43" s="21">
        <f t="shared" si="1"/>
        <v>2000</v>
      </c>
      <c r="I43" s="16"/>
      <c r="J43" s="15" t="s">
        <v>109</v>
      </c>
      <c r="K43" s="17"/>
      <c r="L43" s="10"/>
      <c r="M43" s="13"/>
      <c r="N43" s="15"/>
      <c r="O43" s="13">
        <v>44581</v>
      </c>
      <c r="P43" s="13">
        <v>44578</v>
      </c>
      <c r="Q43" s="13">
        <v>44943</v>
      </c>
    </row>
    <row r="44" spans="2:17" ht="19.7" customHeight="1">
      <c r="B44" s="9">
        <v>3</v>
      </c>
      <c r="C44" s="15" t="s">
        <v>26</v>
      </c>
      <c r="D44" s="15" t="s">
        <v>26</v>
      </c>
      <c r="E44" s="37" t="s">
        <v>114</v>
      </c>
      <c r="F44" s="15">
        <v>2</v>
      </c>
      <c r="G44" s="35">
        <v>160</v>
      </c>
      <c r="H44" s="21">
        <f t="shared" si="1"/>
        <v>320</v>
      </c>
      <c r="I44" s="16"/>
      <c r="J44" s="15" t="s">
        <v>109</v>
      </c>
      <c r="K44" s="17"/>
      <c r="L44" s="10"/>
      <c r="M44" s="13"/>
      <c r="N44" s="15"/>
      <c r="O44" s="13">
        <v>44581</v>
      </c>
      <c r="P44" s="13">
        <v>44578</v>
      </c>
      <c r="Q44" s="13">
        <v>44943</v>
      </c>
    </row>
    <row r="45" spans="2:17" ht="19.7" customHeight="1">
      <c r="B45" s="9">
        <v>3</v>
      </c>
      <c r="C45" s="15" t="s">
        <v>26</v>
      </c>
      <c r="D45" s="15" t="s">
        <v>26</v>
      </c>
      <c r="E45" s="37" t="s">
        <v>115</v>
      </c>
      <c r="F45" s="37">
        <v>2</v>
      </c>
      <c r="G45" s="35">
        <v>3310</v>
      </c>
      <c r="H45" s="21">
        <f t="shared" si="1"/>
        <v>6620</v>
      </c>
      <c r="I45" s="16"/>
      <c r="J45" s="15" t="s">
        <v>94</v>
      </c>
      <c r="K45" s="17"/>
      <c r="L45" s="10"/>
      <c r="M45" s="13"/>
      <c r="N45" s="15"/>
      <c r="O45" s="13">
        <v>44581</v>
      </c>
      <c r="P45" s="13">
        <v>44578</v>
      </c>
      <c r="Q45" s="13">
        <v>44943</v>
      </c>
    </row>
    <row r="46" spans="2:17" ht="19.7" customHeight="1">
      <c r="B46" s="9">
        <v>3</v>
      </c>
      <c r="C46" s="15" t="s">
        <v>26</v>
      </c>
      <c r="D46" s="15" t="s">
        <v>26</v>
      </c>
      <c r="E46" s="37" t="s">
        <v>116</v>
      </c>
      <c r="F46" s="15">
        <v>4</v>
      </c>
      <c r="G46" s="35">
        <v>340</v>
      </c>
      <c r="H46" s="21">
        <f t="shared" si="1"/>
        <v>1360</v>
      </c>
      <c r="I46" s="25"/>
      <c r="J46" s="15" t="s">
        <v>110</v>
      </c>
      <c r="K46" s="17"/>
      <c r="L46" s="10"/>
      <c r="M46" s="13"/>
      <c r="N46" s="15"/>
      <c r="O46" s="13">
        <v>44581</v>
      </c>
      <c r="P46" s="13">
        <v>44578</v>
      </c>
      <c r="Q46" s="13">
        <v>44943</v>
      </c>
    </row>
    <row r="47" spans="2:17" ht="19.7" customHeight="1">
      <c r="B47" s="9">
        <v>3</v>
      </c>
      <c r="C47" s="15" t="s">
        <v>26</v>
      </c>
      <c r="D47" s="15" t="s">
        <v>26</v>
      </c>
      <c r="E47" s="37" t="s">
        <v>123</v>
      </c>
      <c r="F47" s="15">
        <v>1</v>
      </c>
      <c r="G47" s="35">
        <v>13738</v>
      </c>
      <c r="H47" s="21">
        <f t="shared" si="1"/>
        <v>13738</v>
      </c>
      <c r="I47" s="16"/>
      <c r="J47" s="15" t="s">
        <v>120</v>
      </c>
      <c r="K47" s="17"/>
      <c r="L47" s="10"/>
      <c r="M47" s="13"/>
      <c r="N47" s="15"/>
      <c r="O47" s="13">
        <v>44581</v>
      </c>
      <c r="P47" s="13">
        <v>44578</v>
      </c>
      <c r="Q47" s="13">
        <v>44943</v>
      </c>
    </row>
    <row r="48" spans="2:17" ht="19.7" customHeight="1">
      <c r="B48" s="9">
        <v>3</v>
      </c>
      <c r="C48" s="15" t="s">
        <v>26</v>
      </c>
      <c r="D48" s="15" t="s">
        <v>26</v>
      </c>
      <c r="E48" s="37" t="s">
        <v>124</v>
      </c>
      <c r="F48" s="15">
        <v>1</v>
      </c>
      <c r="G48" s="35">
        <v>188</v>
      </c>
      <c r="H48" s="21">
        <f t="shared" si="1"/>
        <v>188</v>
      </c>
      <c r="I48" s="16"/>
      <c r="J48" s="15" t="s">
        <v>121</v>
      </c>
      <c r="K48" s="17"/>
      <c r="L48" s="10"/>
      <c r="M48" s="13"/>
      <c r="N48" s="15"/>
      <c r="O48" s="13">
        <v>44581</v>
      </c>
      <c r="P48" s="13">
        <v>44578</v>
      </c>
      <c r="Q48" s="13">
        <v>44943</v>
      </c>
    </row>
    <row r="49" spans="2:17" ht="19.7" customHeight="1">
      <c r="B49" s="9">
        <v>3</v>
      </c>
      <c r="C49" s="15" t="s">
        <v>26</v>
      </c>
      <c r="D49" s="15" t="s">
        <v>26</v>
      </c>
      <c r="E49" s="37" t="s">
        <v>125</v>
      </c>
      <c r="F49" s="15">
        <v>1</v>
      </c>
      <c r="G49" s="35">
        <v>199</v>
      </c>
      <c r="H49" s="21">
        <f t="shared" si="1"/>
        <v>199</v>
      </c>
      <c r="I49" s="16"/>
      <c r="J49" s="15" t="s">
        <v>122</v>
      </c>
      <c r="K49" s="17"/>
      <c r="L49" s="10"/>
      <c r="M49" s="13"/>
      <c r="N49" s="15"/>
      <c r="O49" s="13">
        <v>44581</v>
      </c>
      <c r="P49" s="13">
        <v>44578</v>
      </c>
      <c r="Q49" s="13">
        <v>44943</v>
      </c>
    </row>
    <row r="50" spans="2:17" ht="19.7" customHeight="1">
      <c r="B50" s="9">
        <v>3</v>
      </c>
      <c r="C50" s="15" t="s">
        <v>134</v>
      </c>
      <c r="D50" s="15" t="s">
        <v>26</v>
      </c>
      <c r="E50" s="15" t="s">
        <v>135</v>
      </c>
      <c r="F50" s="15">
        <v>1</v>
      </c>
      <c r="G50" s="35">
        <v>3549</v>
      </c>
      <c r="H50" s="21">
        <f t="shared" si="1"/>
        <v>3549</v>
      </c>
      <c r="I50" s="16"/>
      <c r="J50" s="15" t="s">
        <v>130</v>
      </c>
      <c r="K50" s="17"/>
      <c r="L50" s="10"/>
      <c r="M50" s="13"/>
      <c r="N50" s="15"/>
      <c r="O50" s="13">
        <v>44581</v>
      </c>
      <c r="P50" s="13">
        <v>44578</v>
      </c>
      <c r="Q50" s="13">
        <v>44943</v>
      </c>
    </row>
    <row r="51" spans="2:17" ht="19.7" customHeight="1">
      <c r="B51" s="9">
        <v>3</v>
      </c>
      <c r="C51" s="15" t="s">
        <v>26</v>
      </c>
      <c r="D51" s="15" t="s">
        <v>26</v>
      </c>
      <c r="E51" s="15" t="s">
        <v>136</v>
      </c>
      <c r="F51" s="15">
        <v>2</v>
      </c>
      <c r="G51" s="35">
        <v>1238</v>
      </c>
      <c r="H51" s="21">
        <f t="shared" si="1"/>
        <v>2476</v>
      </c>
      <c r="I51" s="16"/>
      <c r="J51" s="15" t="s">
        <v>131</v>
      </c>
      <c r="K51" s="17"/>
      <c r="L51" s="10"/>
      <c r="M51" s="13"/>
      <c r="N51" s="15"/>
      <c r="O51" s="13">
        <v>44581</v>
      </c>
      <c r="P51" s="13">
        <v>44578</v>
      </c>
      <c r="Q51" s="13">
        <v>44943</v>
      </c>
    </row>
    <row r="52" spans="2:17" ht="19.7" customHeight="1">
      <c r="B52" s="9">
        <v>3</v>
      </c>
      <c r="C52" s="15" t="s">
        <v>26</v>
      </c>
      <c r="D52" s="15" t="s">
        <v>26</v>
      </c>
      <c r="E52" s="15" t="s">
        <v>137</v>
      </c>
      <c r="F52" s="15">
        <v>1</v>
      </c>
      <c r="G52" s="35">
        <v>1792</v>
      </c>
      <c r="H52" s="21">
        <f t="shared" si="1"/>
        <v>1792</v>
      </c>
      <c r="I52" s="16"/>
      <c r="J52" s="15" t="s">
        <v>132</v>
      </c>
      <c r="K52" s="17"/>
      <c r="L52" s="10"/>
      <c r="M52" s="13"/>
      <c r="N52" s="15"/>
      <c r="O52" s="13">
        <v>44581</v>
      </c>
      <c r="P52" s="13">
        <v>44578</v>
      </c>
      <c r="Q52" s="13">
        <v>44943</v>
      </c>
    </row>
    <row r="53" spans="2:17" ht="19.7" customHeight="1">
      <c r="B53" s="9">
        <v>3</v>
      </c>
      <c r="C53" s="15" t="s">
        <v>26</v>
      </c>
      <c r="D53" s="15" t="s">
        <v>26</v>
      </c>
      <c r="E53" s="15" t="s">
        <v>138</v>
      </c>
      <c r="F53" s="15">
        <v>1</v>
      </c>
      <c r="G53" s="35">
        <v>1507</v>
      </c>
      <c r="H53" s="21">
        <f t="shared" si="1"/>
        <v>1507</v>
      </c>
      <c r="I53" s="16"/>
      <c r="J53" s="15" t="s">
        <v>132</v>
      </c>
      <c r="K53" s="17"/>
      <c r="L53" s="10"/>
      <c r="M53" s="13"/>
      <c r="N53" s="15"/>
      <c r="O53" s="13">
        <v>44581</v>
      </c>
      <c r="P53" s="13">
        <v>44578</v>
      </c>
      <c r="Q53" s="13">
        <v>44943</v>
      </c>
    </row>
    <row r="54" spans="2:17" ht="19.7" customHeight="1">
      <c r="B54" s="9">
        <v>3</v>
      </c>
      <c r="C54" s="15" t="s">
        <v>26</v>
      </c>
      <c r="D54" s="15" t="s">
        <v>26</v>
      </c>
      <c r="E54" s="15" t="s">
        <v>139</v>
      </c>
      <c r="F54" s="15">
        <v>1</v>
      </c>
      <c r="G54" s="35">
        <v>560</v>
      </c>
      <c r="H54" s="21">
        <f t="shared" si="1"/>
        <v>560</v>
      </c>
      <c r="I54" s="16"/>
      <c r="J54" s="15" t="s">
        <v>132</v>
      </c>
      <c r="K54" s="17"/>
      <c r="L54" s="10"/>
      <c r="M54" s="13"/>
      <c r="N54" s="15"/>
      <c r="O54" s="13">
        <v>44581</v>
      </c>
      <c r="P54" s="13">
        <v>44578</v>
      </c>
      <c r="Q54" s="13">
        <v>44943</v>
      </c>
    </row>
    <row r="55" spans="2:17" ht="19.7" customHeight="1">
      <c r="B55" s="9">
        <v>3</v>
      </c>
      <c r="C55" s="15" t="s">
        <v>26</v>
      </c>
      <c r="D55" s="15" t="s">
        <v>26</v>
      </c>
      <c r="E55" s="15" t="s">
        <v>140</v>
      </c>
      <c r="F55" s="15">
        <v>1</v>
      </c>
      <c r="G55" s="35">
        <v>973</v>
      </c>
      <c r="H55" s="21">
        <f t="shared" si="1"/>
        <v>973</v>
      </c>
      <c r="I55" s="16"/>
      <c r="J55" s="15" t="s">
        <v>133</v>
      </c>
      <c r="K55" s="17"/>
      <c r="L55" s="10"/>
      <c r="M55" s="13"/>
      <c r="N55" s="15"/>
      <c r="O55" s="13">
        <v>44581</v>
      </c>
      <c r="P55" s="13">
        <v>44578</v>
      </c>
      <c r="Q55" s="13">
        <v>44943</v>
      </c>
    </row>
    <row r="56" spans="2:17" s="60" customFormat="1" ht="19.7" customHeight="1">
      <c r="B56" s="61">
        <v>3</v>
      </c>
      <c r="C56" s="57" t="s">
        <v>26</v>
      </c>
      <c r="D56" s="57" t="s">
        <v>26</v>
      </c>
      <c r="E56" s="57" t="s">
        <v>141</v>
      </c>
      <c r="F56" s="57">
        <v>1</v>
      </c>
      <c r="G56" s="62">
        <v>1396</v>
      </c>
      <c r="H56" s="62">
        <f t="shared" si="1"/>
        <v>1396</v>
      </c>
      <c r="I56" s="63"/>
      <c r="J56" s="57" t="s">
        <v>133</v>
      </c>
      <c r="K56" s="61"/>
      <c r="L56" s="14"/>
      <c r="M56" s="59"/>
      <c r="N56" s="57"/>
      <c r="O56" s="59"/>
      <c r="P56" s="59"/>
      <c r="Q56" s="59"/>
    </row>
    <row r="57" spans="2:17" ht="19.7" customHeight="1">
      <c r="B57" s="9">
        <v>3</v>
      </c>
      <c r="C57" s="19" t="s">
        <v>26</v>
      </c>
      <c r="D57" s="19" t="s">
        <v>26</v>
      </c>
      <c r="E57" s="20" t="s">
        <v>144</v>
      </c>
      <c r="F57" s="19">
        <v>1</v>
      </c>
      <c r="G57" s="21">
        <v>1000</v>
      </c>
      <c r="H57" s="21">
        <f t="shared" si="1"/>
        <v>1000</v>
      </c>
      <c r="I57" s="16"/>
      <c r="J57" s="19" t="s">
        <v>142</v>
      </c>
      <c r="K57" s="17"/>
      <c r="L57" s="10"/>
      <c r="M57" s="13"/>
      <c r="N57" s="15"/>
      <c r="O57" s="13">
        <v>44581</v>
      </c>
      <c r="P57" s="13">
        <v>44578</v>
      </c>
      <c r="Q57" s="13">
        <v>44943</v>
      </c>
    </row>
    <row r="58" spans="2:17" ht="19.7" customHeight="1">
      <c r="B58" s="9">
        <v>3</v>
      </c>
      <c r="C58" s="15" t="s">
        <v>26</v>
      </c>
      <c r="D58" s="15" t="s">
        <v>26</v>
      </c>
      <c r="E58" s="15" t="s">
        <v>64</v>
      </c>
      <c r="F58" s="38">
        <v>1</v>
      </c>
      <c r="G58" s="35">
        <v>32640</v>
      </c>
      <c r="H58" s="21">
        <f t="shared" si="1"/>
        <v>32640</v>
      </c>
      <c r="I58" s="16"/>
      <c r="J58" s="15" t="s">
        <v>143</v>
      </c>
      <c r="K58" s="17"/>
      <c r="L58" s="10"/>
      <c r="M58" s="13"/>
      <c r="N58" s="15"/>
      <c r="O58" s="13">
        <v>44581</v>
      </c>
      <c r="P58" s="13">
        <v>44578</v>
      </c>
      <c r="Q58" s="13">
        <v>44943</v>
      </c>
    </row>
    <row r="59" spans="2:17" ht="19.7" customHeight="1">
      <c r="B59" s="9">
        <v>3</v>
      </c>
      <c r="C59" s="15" t="s">
        <v>26</v>
      </c>
      <c r="D59" s="15" t="s">
        <v>26</v>
      </c>
      <c r="E59" s="15" t="s">
        <v>178</v>
      </c>
      <c r="F59" s="15">
        <v>1</v>
      </c>
      <c r="G59" s="35">
        <v>198</v>
      </c>
      <c r="H59" s="21">
        <f t="shared" si="1"/>
        <v>198</v>
      </c>
      <c r="I59" s="16"/>
      <c r="J59" s="15" t="s">
        <v>170</v>
      </c>
      <c r="K59" s="17"/>
      <c r="L59" s="10"/>
      <c r="M59" s="13"/>
      <c r="N59" s="15"/>
      <c r="O59" s="13">
        <v>44581</v>
      </c>
      <c r="P59" s="13">
        <v>44578</v>
      </c>
      <c r="Q59" s="13">
        <v>44943</v>
      </c>
    </row>
    <row r="60" spans="2:17" ht="19.7" customHeight="1">
      <c r="B60" s="9">
        <v>3</v>
      </c>
      <c r="C60" s="15" t="s">
        <v>26</v>
      </c>
      <c r="D60" s="15" t="s">
        <v>26</v>
      </c>
      <c r="E60" s="15" t="s">
        <v>179</v>
      </c>
      <c r="F60" s="15">
        <v>1</v>
      </c>
      <c r="G60" s="35">
        <v>12320</v>
      </c>
      <c r="H60" s="21">
        <f t="shared" si="1"/>
        <v>12320</v>
      </c>
      <c r="I60" s="16"/>
      <c r="J60" s="15" t="s">
        <v>171</v>
      </c>
      <c r="K60" s="17"/>
      <c r="L60" s="10"/>
      <c r="M60" s="13"/>
      <c r="N60" s="15"/>
      <c r="O60" s="13">
        <v>44581</v>
      </c>
      <c r="P60" s="13">
        <v>44578</v>
      </c>
      <c r="Q60" s="13">
        <v>44943</v>
      </c>
    </row>
    <row r="61" spans="2:17" ht="19.7" customHeight="1">
      <c r="B61" s="9">
        <v>3</v>
      </c>
      <c r="C61" s="15" t="s">
        <v>26</v>
      </c>
      <c r="D61" s="15" t="s">
        <v>26</v>
      </c>
      <c r="E61" s="15" t="s">
        <v>180</v>
      </c>
      <c r="F61" s="15">
        <v>2</v>
      </c>
      <c r="G61" s="35">
        <v>710</v>
      </c>
      <c r="H61" s="21">
        <f t="shared" si="1"/>
        <v>1420</v>
      </c>
      <c r="I61" s="16"/>
      <c r="J61" s="15" t="s">
        <v>56</v>
      </c>
      <c r="K61" s="17"/>
      <c r="L61" s="10"/>
      <c r="M61" s="13"/>
      <c r="N61" s="15"/>
      <c r="O61" s="13">
        <v>44581</v>
      </c>
      <c r="P61" s="13">
        <v>44578</v>
      </c>
      <c r="Q61" s="13">
        <v>44943</v>
      </c>
    </row>
    <row r="62" spans="2:17" ht="19.7" customHeight="1">
      <c r="B62" s="9">
        <v>3</v>
      </c>
      <c r="C62" s="15" t="s">
        <v>26</v>
      </c>
      <c r="D62" s="15" t="s">
        <v>26</v>
      </c>
      <c r="E62" s="15" t="s">
        <v>181</v>
      </c>
      <c r="F62" s="15">
        <v>1</v>
      </c>
      <c r="G62" s="35">
        <v>1632</v>
      </c>
      <c r="H62" s="21">
        <f t="shared" si="1"/>
        <v>1632</v>
      </c>
      <c r="I62" s="16"/>
      <c r="J62" s="15" t="s">
        <v>172</v>
      </c>
      <c r="K62" s="17"/>
      <c r="L62" s="10"/>
      <c r="M62" s="13"/>
      <c r="N62" s="15"/>
      <c r="O62" s="13">
        <v>44581</v>
      </c>
      <c r="P62" s="13">
        <v>44578</v>
      </c>
      <c r="Q62" s="13">
        <v>44943</v>
      </c>
    </row>
    <row r="63" spans="2:17" ht="19.7" customHeight="1">
      <c r="B63" s="9">
        <v>3</v>
      </c>
      <c r="C63" s="15" t="s">
        <v>26</v>
      </c>
      <c r="D63" s="15" t="s">
        <v>26</v>
      </c>
      <c r="E63" s="15" t="s">
        <v>182</v>
      </c>
      <c r="F63" s="15">
        <v>1</v>
      </c>
      <c r="G63" s="35">
        <v>2950</v>
      </c>
      <c r="H63" s="21">
        <f t="shared" si="1"/>
        <v>2950</v>
      </c>
      <c r="I63" s="16"/>
      <c r="J63" s="15" t="s">
        <v>173</v>
      </c>
      <c r="K63" s="17"/>
      <c r="L63" s="10"/>
      <c r="M63" s="13"/>
      <c r="N63" s="15"/>
      <c r="O63" s="13">
        <v>44581</v>
      </c>
      <c r="P63" s="13">
        <v>44578</v>
      </c>
      <c r="Q63" s="13">
        <v>44943</v>
      </c>
    </row>
    <row r="64" spans="2:17" ht="19.7" customHeight="1">
      <c r="B64" s="9">
        <v>3</v>
      </c>
      <c r="C64" s="15" t="s">
        <v>26</v>
      </c>
      <c r="D64" s="15" t="s">
        <v>26</v>
      </c>
      <c r="E64" s="15" t="s">
        <v>183</v>
      </c>
      <c r="F64" s="15">
        <v>1</v>
      </c>
      <c r="G64" s="35">
        <v>450</v>
      </c>
      <c r="H64" s="21">
        <f t="shared" si="1"/>
        <v>450</v>
      </c>
      <c r="I64" s="16"/>
      <c r="J64" s="15" t="s">
        <v>174</v>
      </c>
      <c r="K64" s="17"/>
      <c r="L64" s="10"/>
      <c r="M64" s="13"/>
      <c r="N64" s="15"/>
      <c r="O64" s="13">
        <v>44581</v>
      </c>
      <c r="P64" s="13">
        <v>44578</v>
      </c>
      <c r="Q64" s="13">
        <v>44943</v>
      </c>
    </row>
    <row r="65" spans="2:17" ht="19.7" customHeight="1">
      <c r="B65" s="9">
        <v>3</v>
      </c>
      <c r="C65" s="15" t="s">
        <v>26</v>
      </c>
      <c r="D65" s="15" t="s">
        <v>26</v>
      </c>
      <c r="E65" s="15" t="s">
        <v>184</v>
      </c>
      <c r="F65" s="15">
        <v>1</v>
      </c>
      <c r="G65" s="35">
        <v>1820</v>
      </c>
      <c r="H65" s="21">
        <f t="shared" si="1"/>
        <v>1820</v>
      </c>
      <c r="I65" s="16"/>
      <c r="J65" s="15" t="s">
        <v>175</v>
      </c>
      <c r="K65" s="17"/>
      <c r="L65" s="10"/>
      <c r="M65" s="13"/>
      <c r="N65" s="15"/>
      <c r="O65" s="13">
        <v>44581</v>
      </c>
      <c r="P65" s="13">
        <v>44578</v>
      </c>
      <c r="Q65" s="13">
        <v>44943</v>
      </c>
    </row>
    <row r="66" spans="2:17" ht="19.7" customHeight="1">
      <c r="B66" s="9">
        <v>3</v>
      </c>
      <c r="C66" s="15" t="s">
        <v>26</v>
      </c>
      <c r="D66" s="15" t="s">
        <v>26</v>
      </c>
      <c r="E66" t="s">
        <v>185</v>
      </c>
      <c r="F66" s="15">
        <v>1</v>
      </c>
      <c r="G66" s="35">
        <v>151</v>
      </c>
      <c r="H66" s="21">
        <f t="shared" si="1"/>
        <v>151</v>
      </c>
      <c r="I66" s="16"/>
      <c r="J66" s="15" t="s">
        <v>176</v>
      </c>
      <c r="K66" s="17"/>
      <c r="L66" s="10"/>
      <c r="M66" s="13"/>
      <c r="N66" s="15"/>
      <c r="O66" s="13">
        <v>44581</v>
      </c>
      <c r="P66" s="13">
        <v>44578</v>
      </c>
      <c r="Q66" s="13">
        <v>44943</v>
      </c>
    </row>
    <row r="67" spans="2:17" ht="19.7" customHeight="1">
      <c r="B67" s="9">
        <v>3</v>
      </c>
      <c r="C67" s="15" t="s">
        <v>26</v>
      </c>
      <c r="D67" s="15" t="s">
        <v>26</v>
      </c>
      <c r="E67" s="15" t="s">
        <v>186</v>
      </c>
      <c r="F67" s="15">
        <v>4</v>
      </c>
      <c r="G67" s="35">
        <v>198</v>
      </c>
      <c r="H67" s="21">
        <f t="shared" si="1"/>
        <v>792</v>
      </c>
      <c r="I67" s="25"/>
      <c r="J67" s="15" t="s">
        <v>177</v>
      </c>
      <c r="K67" s="17"/>
      <c r="L67" s="10"/>
      <c r="M67" s="13"/>
      <c r="N67" s="15"/>
      <c r="O67" s="13">
        <v>44581</v>
      </c>
      <c r="P67" s="13">
        <v>44578</v>
      </c>
      <c r="Q67" s="13">
        <v>44943</v>
      </c>
    </row>
    <row r="68" spans="2:17" ht="19.7" customHeight="1">
      <c r="B68" s="9">
        <v>3</v>
      </c>
      <c r="C68" s="15" t="s">
        <v>26</v>
      </c>
      <c r="D68" s="15" t="s">
        <v>26</v>
      </c>
      <c r="E68" s="15" t="s">
        <v>187</v>
      </c>
      <c r="F68" s="15">
        <v>2</v>
      </c>
      <c r="G68" s="35">
        <v>198</v>
      </c>
      <c r="H68" s="21">
        <f>G68*F68</f>
        <v>396</v>
      </c>
      <c r="I68" s="25"/>
      <c r="J68" s="15" t="s">
        <v>177</v>
      </c>
      <c r="K68" s="9"/>
      <c r="L68" s="10"/>
      <c r="M68" s="13"/>
      <c r="N68" s="15"/>
      <c r="O68" s="13">
        <v>44581</v>
      </c>
      <c r="P68" s="13">
        <v>44578</v>
      </c>
      <c r="Q68" s="13">
        <v>44943</v>
      </c>
    </row>
    <row r="69" spans="2:17" ht="19.7" customHeight="1">
      <c r="B69" s="9">
        <v>3</v>
      </c>
      <c r="C69" s="15" t="s">
        <v>26</v>
      </c>
      <c r="D69" s="15" t="s">
        <v>26</v>
      </c>
      <c r="E69" s="15" t="s">
        <v>188</v>
      </c>
      <c r="F69" s="15">
        <v>1</v>
      </c>
      <c r="G69" s="35">
        <v>212</v>
      </c>
      <c r="H69" s="21">
        <f>G69*F69</f>
        <v>212</v>
      </c>
      <c r="I69" s="25"/>
      <c r="J69" s="15" t="s">
        <v>177</v>
      </c>
      <c r="K69" s="9"/>
      <c r="L69" s="10"/>
      <c r="M69" s="13"/>
      <c r="N69" s="15"/>
      <c r="O69" s="13">
        <v>44581</v>
      </c>
      <c r="P69" s="13">
        <v>44578</v>
      </c>
      <c r="Q69" s="13">
        <v>44943</v>
      </c>
    </row>
    <row r="70" spans="2:17" ht="19.7" customHeight="1">
      <c r="B70" s="9">
        <v>3</v>
      </c>
      <c r="C70" s="15" t="s">
        <v>26</v>
      </c>
      <c r="D70" s="15" t="s">
        <v>26</v>
      </c>
      <c r="E70" s="15" t="s">
        <v>189</v>
      </c>
      <c r="F70" s="15">
        <v>8</v>
      </c>
      <c r="G70" s="35">
        <v>212</v>
      </c>
      <c r="H70" s="35">
        <f>F70*G70</f>
        <v>1696</v>
      </c>
      <c r="I70" s="25"/>
      <c r="J70" s="15" t="s">
        <v>177</v>
      </c>
      <c r="K70" s="17"/>
      <c r="L70" s="10"/>
      <c r="M70" s="13"/>
      <c r="N70" s="15"/>
      <c r="O70" s="13">
        <v>44581</v>
      </c>
      <c r="P70" s="13">
        <v>44578</v>
      </c>
      <c r="Q70" s="13">
        <v>44943</v>
      </c>
    </row>
    <row r="71" spans="2:17" ht="19.7" customHeight="1">
      <c r="B71" s="9">
        <v>3</v>
      </c>
      <c r="C71" s="15" t="s">
        <v>26</v>
      </c>
      <c r="D71" s="15" t="s">
        <v>26</v>
      </c>
      <c r="E71" s="15" t="s">
        <v>190</v>
      </c>
      <c r="F71" s="15">
        <v>2</v>
      </c>
      <c r="G71" s="35">
        <v>212</v>
      </c>
      <c r="H71" s="35">
        <f t="shared" ref="H71:H75" si="2">F71*G71</f>
        <v>424</v>
      </c>
      <c r="I71" s="25"/>
      <c r="J71" s="15" t="s">
        <v>177</v>
      </c>
      <c r="K71" s="17"/>
      <c r="L71" s="10"/>
      <c r="M71" s="13"/>
      <c r="N71" s="15"/>
      <c r="O71" s="13">
        <v>44581</v>
      </c>
      <c r="P71" s="13">
        <v>44578</v>
      </c>
      <c r="Q71" s="13">
        <v>44943</v>
      </c>
    </row>
    <row r="72" spans="2:17" ht="19.7" customHeight="1">
      <c r="B72" s="9">
        <v>3</v>
      </c>
      <c r="C72" s="15" t="s">
        <v>26</v>
      </c>
      <c r="D72" s="15" t="s">
        <v>26</v>
      </c>
      <c r="E72" s="15" t="s">
        <v>191</v>
      </c>
      <c r="F72" s="15">
        <v>4</v>
      </c>
      <c r="G72" s="35">
        <v>226</v>
      </c>
      <c r="H72" s="35">
        <f t="shared" si="2"/>
        <v>904</v>
      </c>
      <c r="I72" s="25"/>
      <c r="J72" s="15" t="s">
        <v>177</v>
      </c>
      <c r="K72" s="17"/>
      <c r="L72" s="10"/>
      <c r="M72" s="13"/>
      <c r="N72" s="15"/>
      <c r="O72" s="13">
        <v>44581</v>
      </c>
      <c r="P72" s="13">
        <v>44578</v>
      </c>
      <c r="Q72" s="13">
        <v>44943</v>
      </c>
    </row>
    <row r="73" spans="2:17" ht="19.7" customHeight="1">
      <c r="B73" s="9">
        <v>3</v>
      </c>
      <c r="C73" s="15" t="s">
        <v>26</v>
      </c>
      <c r="D73" s="15" t="s">
        <v>26</v>
      </c>
      <c r="E73" s="15" t="s">
        <v>192</v>
      </c>
      <c r="F73" s="15">
        <v>6</v>
      </c>
      <c r="G73" s="35">
        <v>212</v>
      </c>
      <c r="H73" s="35">
        <f t="shared" si="2"/>
        <v>1272</v>
      </c>
      <c r="I73" s="25"/>
      <c r="J73" s="15" t="s">
        <v>177</v>
      </c>
      <c r="K73" s="17"/>
      <c r="L73" s="10"/>
      <c r="M73" s="13"/>
      <c r="N73" s="15"/>
      <c r="O73" s="13">
        <v>44581</v>
      </c>
      <c r="P73" s="13">
        <v>44578</v>
      </c>
      <c r="Q73" s="13">
        <v>44943</v>
      </c>
    </row>
    <row r="74" spans="2:17" ht="19.7" customHeight="1">
      <c r="B74" s="9">
        <v>3</v>
      </c>
      <c r="C74" s="19" t="s">
        <v>26</v>
      </c>
      <c r="D74" s="19" t="s">
        <v>26</v>
      </c>
      <c r="E74" s="15" t="s">
        <v>29</v>
      </c>
      <c r="F74" s="19">
        <v>2</v>
      </c>
      <c r="G74" s="21">
        <v>244</v>
      </c>
      <c r="H74" s="35">
        <f t="shared" si="2"/>
        <v>488</v>
      </c>
      <c r="I74" s="25"/>
      <c r="J74" s="19" t="s">
        <v>30</v>
      </c>
      <c r="K74" s="17"/>
      <c r="L74" s="10"/>
      <c r="M74" s="13"/>
      <c r="N74" s="15"/>
      <c r="O74" s="13">
        <v>44581</v>
      </c>
      <c r="P74" s="13">
        <v>44578</v>
      </c>
      <c r="Q74" s="13">
        <v>44943</v>
      </c>
    </row>
    <row r="75" spans="2:17" ht="19.7" customHeight="1">
      <c r="B75" s="9">
        <v>3</v>
      </c>
      <c r="C75" s="19" t="s">
        <v>26</v>
      </c>
      <c r="D75" s="19" t="s">
        <v>26</v>
      </c>
      <c r="E75" s="15" t="s">
        <v>31</v>
      </c>
      <c r="F75" s="19">
        <v>1</v>
      </c>
      <c r="G75" s="21">
        <v>704</v>
      </c>
      <c r="H75" s="35">
        <f t="shared" si="2"/>
        <v>704</v>
      </c>
      <c r="I75" s="25"/>
      <c r="J75" s="19" t="s">
        <v>32</v>
      </c>
      <c r="K75" s="17"/>
      <c r="L75" s="10"/>
      <c r="M75" s="13"/>
      <c r="N75" s="15"/>
      <c r="O75" s="13">
        <v>44581</v>
      </c>
      <c r="P75" s="13">
        <v>44578</v>
      </c>
      <c r="Q75" s="13">
        <v>44943</v>
      </c>
    </row>
    <row r="76" spans="2:17" ht="19.7" customHeight="1">
      <c r="B76" s="9">
        <v>3</v>
      </c>
      <c r="C76" s="19" t="s">
        <v>27</v>
      </c>
      <c r="D76" s="19" t="s">
        <v>27</v>
      </c>
      <c r="E76" s="19" t="s">
        <v>33</v>
      </c>
      <c r="F76" s="19">
        <v>1</v>
      </c>
      <c r="G76" s="21">
        <v>6300</v>
      </c>
      <c r="H76" s="21">
        <f t="shared" ref="H76:H112" si="3">G76*F76</f>
        <v>6300</v>
      </c>
      <c r="I76" s="32"/>
      <c r="J76" s="19" t="s">
        <v>34</v>
      </c>
      <c r="K76" s="9"/>
      <c r="L76" s="10"/>
      <c r="M76" s="13">
        <v>44897</v>
      </c>
      <c r="N76" s="15"/>
      <c r="O76" s="13">
        <v>44581</v>
      </c>
      <c r="P76" s="13">
        <v>44578</v>
      </c>
      <c r="Q76" s="13">
        <v>44942</v>
      </c>
    </row>
    <row r="77" spans="2:17" ht="19.7" customHeight="1">
      <c r="B77" s="9">
        <v>3</v>
      </c>
      <c r="C77" s="19" t="s">
        <v>27</v>
      </c>
      <c r="D77" s="19" t="s">
        <v>27</v>
      </c>
      <c r="E77" s="19" t="s">
        <v>35</v>
      </c>
      <c r="F77" s="19">
        <v>1</v>
      </c>
      <c r="G77" s="21">
        <v>5000</v>
      </c>
      <c r="H77" s="21">
        <f t="shared" si="3"/>
        <v>5000</v>
      </c>
      <c r="I77" s="32"/>
      <c r="J77" s="19" t="s">
        <v>36</v>
      </c>
      <c r="K77" s="9"/>
      <c r="L77" s="10"/>
      <c r="M77" s="13">
        <v>44897</v>
      </c>
      <c r="N77" s="15"/>
      <c r="O77" s="13">
        <v>44581</v>
      </c>
      <c r="P77" s="13">
        <v>44578</v>
      </c>
      <c r="Q77" s="13">
        <v>44942</v>
      </c>
    </row>
    <row r="78" spans="2:17" ht="19.7" customHeight="1">
      <c r="B78" s="9">
        <v>3</v>
      </c>
      <c r="C78" s="19" t="s">
        <v>27</v>
      </c>
      <c r="D78" s="19" t="s">
        <v>27</v>
      </c>
      <c r="E78" s="19" t="s">
        <v>37</v>
      </c>
      <c r="F78" s="19">
        <v>1</v>
      </c>
      <c r="G78" s="21">
        <v>4500</v>
      </c>
      <c r="H78" s="21">
        <f t="shared" si="3"/>
        <v>4500</v>
      </c>
      <c r="I78" s="32"/>
      <c r="J78" s="19" t="s">
        <v>38</v>
      </c>
      <c r="K78" s="9"/>
      <c r="L78" s="10"/>
      <c r="M78" s="13">
        <v>44897</v>
      </c>
      <c r="N78" s="15"/>
      <c r="O78" s="13">
        <v>44581</v>
      </c>
      <c r="P78" s="13">
        <v>44578</v>
      </c>
      <c r="Q78" s="13">
        <v>44942</v>
      </c>
    </row>
    <row r="79" spans="2:17" ht="19.7" customHeight="1">
      <c r="B79" s="9">
        <v>3</v>
      </c>
      <c r="C79" s="19" t="s">
        <v>27</v>
      </c>
      <c r="D79" s="19" t="s">
        <v>27</v>
      </c>
      <c r="E79" s="19" t="s">
        <v>39</v>
      </c>
      <c r="F79" s="19">
        <v>1</v>
      </c>
      <c r="G79" s="21">
        <v>9500</v>
      </c>
      <c r="H79" s="21">
        <f t="shared" si="3"/>
        <v>9500</v>
      </c>
      <c r="I79" s="32"/>
      <c r="J79" s="19" t="s">
        <v>40</v>
      </c>
      <c r="K79" s="9"/>
      <c r="L79" s="10"/>
      <c r="M79" s="13">
        <v>44897</v>
      </c>
      <c r="N79" s="15"/>
      <c r="O79" s="13">
        <v>44581</v>
      </c>
      <c r="P79" s="13">
        <v>44578</v>
      </c>
      <c r="Q79" s="13">
        <v>44942</v>
      </c>
    </row>
    <row r="80" spans="2:17" ht="19.7" customHeight="1">
      <c r="B80" s="9">
        <v>3</v>
      </c>
      <c r="C80" s="19" t="s">
        <v>27</v>
      </c>
      <c r="D80" s="19" t="s">
        <v>27</v>
      </c>
      <c r="E80" s="19" t="s">
        <v>41</v>
      </c>
      <c r="F80" s="19">
        <v>1</v>
      </c>
      <c r="G80" s="21">
        <v>4500</v>
      </c>
      <c r="H80" s="21">
        <f t="shared" si="3"/>
        <v>4500</v>
      </c>
      <c r="I80" s="32"/>
      <c r="J80" s="19" t="s">
        <v>42</v>
      </c>
      <c r="K80" s="9"/>
      <c r="L80" s="10"/>
      <c r="M80" s="13">
        <v>44897</v>
      </c>
      <c r="N80" s="15"/>
      <c r="O80" s="13">
        <v>44581</v>
      </c>
      <c r="P80" s="13">
        <v>44578</v>
      </c>
      <c r="Q80" s="13">
        <v>44942</v>
      </c>
    </row>
    <row r="81" spans="2:17" ht="19.7" customHeight="1">
      <c r="B81" s="9">
        <v>3</v>
      </c>
      <c r="C81" s="19" t="s">
        <v>27</v>
      </c>
      <c r="D81" s="19" t="s">
        <v>27</v>
      </c>
      <c r="E81" s="19" t="s">
        <v>43</v>
      </c>
      <c r="F81" s="19">
        <v>1</v>
      </c>
      <c r="G81" s="21">
        <v>2600</v>
      </c>
      <c r="H81" s="21">
        <f t="shared" si="3"/>
        <v>2600</v>
      </c>
      <c r="I81" s="32"/>
      <c r="J81" s="19" t="s">
        <v>44</v>
      </c>
      <c r="K81" s="9"/>
      <c r="L81" s="10"/>
      <c r="M81" s="13">
        <v>44897</v>
      </c>
      <c r="N81" s="15"/>
      <c r="O81" s="13">
        <v>44581</v>
      </c>
      <c r="P81" s="13">
        <v>44578</v>
      </c>
      <c r="Q81" s="13">
        <v>44942</v>
      </c>
    </row>
    <row r="82" spans="2:17" ht="19.7" customHeight="1">
      <c r="B82" s="9">
        <v>3</v>
      </c>
      <c r="C82" s="19" t="s">
        <v>27</v>
      </c>
      <c r="D82" s="19" t="s">
        <v>27</v>
      </c>
      <c r="E82" s="19" t="s">
        <v>45</v>
      </c>
      <c r="F82" s="19">
        <v>1</v>
      </c>
      <c r="G82" s="21">
        <v>1200</v>
      </c>
      <c r="H82" s="21">
        <f t="shared" si="3"/>
        <v>1200</v>
      </c>
      <c r="I82" s="32"/>
      <c r="J82" s="19" t="s">
        <v>46</v>
      </c>
      <c r="K82" s="9"/>
      <c r="L82" s="10"/>
      <c r="M82" s="13">
        <v>44897</v>
      </c>
      <c r="N82" s="15"/>
      <c r="O82" s="13">
        <v>44581</v>
      </c>
      <c r="P82" s="13">
        <v>44578</v>
      </c>
      <c r="Q82" s="13">
        <v>44942</v>
      </c>
    </row>
    <row r="83" spans="2:17" ht="19.7" customHeight="1">
      <c r="B83" s="9">
        <v>3</v>
      </c>
      <c r="C83" s="19" t="s">
        <v>27</v>
      </c>
      <c r="D83" s="19" t="s">
        <v>27</v>
      </c>
      <c r="E83" s="19" t="s">
        <v>78</v>
      </c>
      <c r="F83" s="19">
        <v>1</v>
      </c>
      <c r="G83" s="21">
        <v>43000</v>
      </c>
      <c r="H83" s="21">
        <f t="shared" si="3"/>
        <v>43000</v>
      </c>
      <c r="I83" s="32"/>
      <c r="J83" s="19" t="s">
        <v>79</v>
      </c>
      <c r="K83" s="9"/>
      <c r="L83" s="10"/>
      <c r="M83" s="13">
        <v>44897</v>
      </c>
      <c r="N83" s="15"/>
      <c r="O83" s="13">
        <v>44581</v>
      </c>
      <c r="P83" s="13">
        <v>44578</v>
      </c>
      <c r="Q83" s="13">
        <v>44942</v>
      </c>
    </row>
    <row r="84" spans="2:17" ht="19.7" customHeight="1">
      <c r="B84" s="9">
        <v>3</v>
      </c>
      <c r="C84" s="19" t="s">
        <v>27</v>
      </c>
      <c r="D84" s="19" t="s">
        <v>27</v>
      </c>
      <c r="E84" s="19" t="s">
        <v>82</v>
      </c>
      <c r="F84" s="19">
        <v>3</v>
      </c>
      <c r="G84" s="21">
        <v>12000</v>
      </c>
      <c r="H84" s="21">
        <f t="shared" si="3"/>
        <v>36000</v>
      </c>
      <c r="I84" s="32"/>
      <c r="J84" s="19" t="s">
        <v>83</v>
      </c>
      <c r="K84" s="9"/>
      <c r="L84" s="10"/>
      <c r="M84" s="13">
        <v>44897</v>
      </c>
      <c r="N84" s="15"/>
      <c r="O84" s="13">
        <v>44581</v>
      </c>
      <c r="P84" s="13">
        <v>44578</v>
      </c>
      <c r="Q84" s="13">
        <v>44942</v>
      </c>
    </row>
    <row r="85" spans="2:17" ht="19.7" customHeight="1">
      <c r="B85" s="9">
        <v>3</v>
      </c>
      <c r="C85" s="19" t="s">
        <v>27</v>
      </c>
      <c r="D85" s="19" t="s">
        <v>27</v>
      </c>
      <c r="E85" s="19" t="s">
        <v>80</v>
      </c>
      <c r="F85" s="19">
        <v>1</v>
      </c>
      <c r="G85" s="21">
        <v>1500</v>
      </c>
      <c r="H85" s="21">
        <f t="shared" si="3"/>
        <v>1500</v>
      </c>
      <c r="I85" s="32"/>
      <c r="J85" s="19" t="s">
        <v>81</v>
      </c>
      <c r="K85" s="9"/>
      <c r="L85" s="10"/>
      <c r="M85" s="13">
        <v>44897</v>
      </c>
      <c r="N85" s="15"/>
      <c r="O85" s="13">
        <v>44581</v>
      </c>
      <c r="P85" s="13">
        <v>44578</v>
      </c>
      <c r="Q85" s="13">
        <v>44942</v>
      </c>
    </row>
    <row r="86" spans="2:17" ht="19.7" customHeight="1">
      <c r="B86" s="9">
        <v>3</v>
      </c>
      <c r="C86" s="19" t="s">
        <v>27</v>
      </c>
      <c r="D86" s="19" t="s">
        <v>27</v>
      </c>
      <c r="E86" s="19" t="s">
        <v>84</v>
      </c>
      <c r="F86" s="19">
        <v>1</v>
      </c>
      <c r="G86" s="21">
        <v>2300</v>
      </c>
      <c r="H86" s="21">
        <f t="shared" si="3"/>
        <v>2300</v>
      </c>
      <c r="I86" s="32"/>
      <c r="J86" s="19" t="s">
        <v>85</v>
      </c>
      <c r="K86" s="9"/>
      <c r="L86" s="10"/>
      <c r="M86" s="13">
        <v>44897</v>
      </c>
      <c r="N86" s="15"/>
      <c r="O86" s="13">
        <v>44581</v>
      </c>
      <c r="P86" s="13">
        <v>44578</v>
      </c>
      <c r="Q86" s="13">
        <v>44942</v>
      </c>
    </row>
    <row r="87" spans="2:17" ht="19.7" customHeight="1">
      <c r="B87" s="9">
        <v>3</v>
      </c>
      <c r="C87" s="19" t="s">
        <v>27</v>
      </c>
      <c r="D87" s="19" t="s">
        <v>27</v>
      </c>
      <c r="E87" s="19" t="s">
        <v>86</v>
      </c>
      <c r="F87" s="19">
        <v>1</v>
      </c>
      <c r="G87" s="21">
        <v>9000</v>
      </c>
      <c r="H87" s="21">
        <f t="shared" si="3"/>
        <v>9000</v>
      </c>
      <c r="I87" s="32"/>
      <c r="J87" s="19" t="s">
        <v>87</v>
      </c>
      <c r="K87" s="9"/>
      <c r="L87" s="10"/>
      <c r="M87" s="13">
        <v>44897</v>
      </c>
      <c r="N87" s="15"/>
      <c r="O87" s="13">
        <v>44581</v>
      </c>
      <c r="P87" s="13">
        <v>44578</v>
      </c>
      <c r="Q87" s="13">
        <v>44942</v>
      </c>
    </row>
    <row r="88" spans="2:17" ht="19.7" customHeight="1">
      <c r="B88" s="9">
        <v>3</v>
      </c>
      <c r="C88" s="19" t="s">
        <v>27</v>
      </c>
      <c r="D88" s="19" t="s">
        <v>27</v>
      </c>
      <c r="E88" s="19" t="s">
        <v>90</v>
      </c>
      <c r="F88" s="19">
        <v>2</v>
      </c>
      <c r="G88" s="21">
        <v>4200</v>
      </c>
      <c r="H88" s="21">
        <f t="shared" si="3"/>
        <v>8400</v>
      </c>
      <c r="I88" s="32"/>
      <c r="J88" s="19" t="s">
        <v>91</v>
      </c>
      <c r="K88" s="9"/>
      <c r="L88" s="10"/>
      <c r="M88" s="13">
        <v>44897</v>
      </c>
      <c r="N88" s="15"/>
      <c r="O88" s="13">
        <v>44581</v>
      </c>
      <c r="P88" s="13">
        <v>44578</v>
      </c>
      <c r="Q88" s="13">
        <v>44942</v>
      </c>
    </row>
    <row r="89" spans="2:17" ht="19.7" customHeight="1">
      <c r="B89" s="9">
        <v>3</v>
      </c>
      <c r="C89" s="19" t="s">
        <v>27</v>
      </c>
      <c r="D89" s="19" t="s">
        <v>27</v>
      </c>
      <c r="E89" s="19" t="s">
        <v>148</v>
      </c>
      <c r="F89" s="19">
        <v>1</v>
      </c>
      <c r="G89" s="21">
        <v>5800</v>
      </c>
      <c r="H89" s="21">
        <f t="shared" si="3"/>
        <v>5800</v>
      </c>
      <c r="I89" s="32"/>
      <c r="J89" s="19" t="s">
        <v>149</v>
      </c>
      <c r="K89" s="9"/>
      <c r="L89" s="10"/>
      <c r="M89" s="13">
        <v>44897</v>
      </c>
      <c r="N89" s="15"/>
      <c r="O89" s="13">
        <v>44581</v>
      </c>
      <c r="P89" s="13">
        <v>44578</v>
      </c>
      <c r="Q89" s="13">
        <v>44942</v>
      </c>
    </row>
    <row r="90" spans="2:17" ht="19.7" customHeight="1">
      <c r="B90" s="9">
        <v>3</v>
      </c>
      <c r="C90" s="19" t="s">
        <v>27</v>
      </c>
      <c r="D90" s="19" t="s">
        <v>27</v>
      </c>
      <c r="E90" s="19" t="s">
        <v>150</v>
      </c>
      <c r="F90" s="19">
        <v>1</v>
      </c>
      <c r="G90" s="21">
        <v>8800</v>
      </c>
      <c r="H90" s="21">
        <f t="shared" si="3"/>
        <v>8800</v>
      </c>
      <c r="I90" s="32"/>
      <c r="J90" s="19" t="s">
        <v>151</v>
      </c>
      <c r="K90" s="9"/>
      <c r="L90" s="10"/>
      <c r="M90" s="13">
        <v>44897</v>
      </c>
      <c r="N90" s="15"/>
      <c r="O90" s="13">
        <v>44581</v>
      </c>
      <c r="P90" s="13">
        <v>44578</v>
      </c>
      <c r="Q90" s="13">
        <v>44942</v>
      </c>
    </row>
    <row r="91" spans="2:17" ht="19.7" customHeight="1">
      <c r="B91" s="9">
        <v>3</v>
      </c>
      <c r="C91" s="19" t="s">
        <v>27</v>
      </c>
      <c r="D91" s="19" t="s">
        <v>27</v>
      </c>
      <c r="E91" s="19" t="s">
        <v>152</v>
      </c>
      <c r="F91" s="19">
        <v>1</v>
      </c>
      <c r="G91" s="21">
        <v>2000</v>
      </c>
      <c r="H91" s="21">
        <f t="shared" si="3"/>
        <v>2000</v>
      </c>
      <c r="I91" s="32"/>
      <c r="J91" s="19" t="s">
        <v>153</v>
      </c>
      <c r="K91" s="9"/>
      <c r="L91" s="10"/>
      <c r="M91" s="13">
        <v>44897</v>
      </c>
      <c r="N91" s="15"/>
      <c r="O91" s="13">
        <v>44581</v>
      </c>
      <c r="P91" s="13">
        <v>44578</v>
      </c>
      <c r="Q91" s="13">
        <v>44942</v>
      </c>
    </row>
    <row r="92" spans="2:17" ht="19.7" customHeight="1">
      <c r="B92" s="9">
        <v>3</v>
      </c>
      <c r="C92" s="19" t="s">
        <v>27</v>
      </c>
      <c r="D92" s="19" t="s">
        <v>27</v>
      </c>
      <c r="E92" s="19" t="s">
        <v>154</v>
      </c>
      <c r="F92" s="19">
        <v>1</v>
      </c>
      <c r="G92" s="21">
        <v>7000</v>
      </c>
      <c r="H92" s="21">
        <f t="shared" si="3"/>
        <v>7000</v>
      </c>
      <c r="I92" s="32"/>
      <c r="J92" s="19" t="s">
        <v>155</v>
      </c>
      <c r="K92" s="9"/>
      <c r="L92" s="10"/>
      <c r="M92" s="13">
        <v>44897</v>
      </c>
      <c r="N92" s="15"/>
      <c r="O92" s="13">
        <v>44581</v>
      </c>
      <c r="P92" s="13">
        <v>44578</v>
      </c>
      <c r="Q92" s="13">
        <v>44942</v>
      </c>
    </row>
    <row r="93" spans="2:17" ht="19.7" customHeight="1">
      <c r="B93" s="9">
        <v>3</v>
      </c>
      <c r="C93" s="19" t="s">
        <v>27</v>
      </c>
      <c r="D93" s="19" t="s">
        <v>27</v>
      </c>
      <c r="E93" s="19" t="s">
        <v>156</v>
      </c>
      <c r="F93" s="19">
        <v>1</v>
      </c>
      <c r="G93" s="21">
        <v>6300</v>
      </c>
      <c r="H93" s="21">
        <f t="shared" si="3"/>
        <v>6300</v>
      </c>
      <c r="I93" s="32"/>
      <c r="J93" s="19" t="s">
        <v>34</v>
      </c>
      <c r="K93" s="9"/>
      <c r="L93" s="10"/>
      <c r="M93" s="13">
        <v>44897</v>
      </c>
      <c r="N93" s="15"/>
      <c r="O93" s="13">
        <v>44581</v>
      </c>
      <c r="P93" s="13">
        <v>44578</v>
      </c>
      <c r="Q93" s="13">
        <v>44942</v>
      </c>
    </row>
    <row r="94" spans="2:17" ht="19.7" customHeight="1">
      <c r="B94" s="9">
        <v>3</v>
      </c>
      <c r="C94" s="19" t="s">
        <v>27</v>
      </c>
      <c r="D94" s="19" t="s">
        <v>27</v>
      </c>
      <c r="E94" s="19" t="s">
        <v>157</v>
      </c>
      <c r="F94" s="19">
        <v>1</v>
      </c>
      <c r="G94" s="21">
        <v>10000</v>
      </c>
      <c r="H94" s="21">
        <f t="shared" si="3"/>
        <v>10000</v>
      </c>
      <c r="I94" s="32"/>
      <c r="J94" s="19" t="s">
        <v>158</v>
      </c>
      <c r="K94" s="15"/>
      <c r="L94" s="10"/>
      <c r="M94" s="13">
        <v>44897</v>
      </c>
      <c r="N94" s="15"/>
      <c r="O94" s="13">
        <v>44581</v>
      </c>
      <c r="P94" s="13">
        <v>44578</v>
      </c>
      <c r="Q94" s="13">
        <v>44942</v>
      </c>
    </row>
    <row r="95" spans="2:17" ht="19.7" customHeight="1">
      <c r="B95" s="9">
        <v>3</v>
      </c>
      <c r="C95" s="19" t="s">
        <v>27</v>
      </c>
      <c r="D95" s="19" t="s">
        <v>27</v>
      </c>
      <c r="E95" s="19" t="s">
        <v>159</v>
      </c>
      <c r="F95" s="19">
        <v>1</v>
      </c>
      <c r="G95" s="21">
        <v>17500</v>
      </c>
      <c r="H95" s="21">
        <f t="shared" si="3"/>
        <v>17500</v>
      </c>
      <c r="I95" s="32"/>
      <c r="J95" s="19" t="s">
        <v>160</v>
      </c>
      <c r="K95" s="15"/>
      <c r="L95" s="10"/>
      <c r="M95" s="13">
        <v>44897</v>
      </c>
      <c r="N95" s="15"/>
      <c r="O95" s="13">
        <v>44581</v>
      </c>
      <c r="P95" s="13">
        <v>44578</v>
      </c>
      <c r="Q95" s="13">
        <v>44942</v>
      </c>
    </row>
    <row r="96" spans="2:17" ht="19.5" customHeight="1">
      <c r="B96" s="9">
        <v>3</v>
      </c>
      <c r="C96" s="19"/>
      <c r="D96" s="19"/>
      <c r="E96" s="19"/>
      <c r="F96" s="19"/>
      <c r="G96" s="21"/>
      <c r="H96" s="21"/>
      <c r="I96" s="32"/>
      <c r="J96" s="19"/>
      <c r="K96" s="15"/>
      <c r="L96" s="10"/>
      <c r="M96" s="13"/>
      <c r="N96" s="15"/>
      <c r="O96" s="16"/>
      <c r="P96" s="40"/>
      <c r="Q96" s="13"/>
    </row>
    <row r="97" spans="2:17" s="49" customFormat="1" ht="19.5" customHeight="1">
      <c r="B97" s="44">
        <v>3</v>
      </c>
      <c r="C97" s="45" t="s">
        <v>203</v>
      </c>
      <c r="D97" s="45" t="s">
        <v>203</v>
      </c>
      <c r="E97" s="51" t="s">
        <v>209</v>
      </c>
      <c r="F97" s="19">
        <v>1</v>
      </c>
      <c r="G97" s="54">
        <v>0</v>
      </c>
      <c r="H97" s="21">
        <v>0</v>
      </c>
      <c r="I97" s="46"/>
      <c r="J97" s="19" t="s">
        <v>204</v>
      </c>
      <c r="K97" s="45"/>
      <c r="L97" s="45"/>
      <c r="M97" s="18">
        <v>44907</v>
      </c>
      <c r="N97" s="19"/>
      <c r="O97" s="47">
        <v>44571</v>
      </c>
      <c r="P97" s="48"/>
      <c r="Q97" s="18"/>
    </row>
    <row r="98" spans="2:17" ht="19.5" customHeight="1">
      <c r="B98" s="9">
        <v>3</v>
      </c>
      <c r="C98" s="10" t="s">
        <v>203</v>
      </c>
      <c r="D98" s="10" t="s">
        <v>203</v>
      </c>
      <c r="E98" s="15" t="s">
        <v>208</v>
      </c>
      <c r="F98" s="15">
        <v>1</v>
      </c>
      <c r="G98" s="15">
        <v>24400</v>
      </c>
      <c r="H98" s="35">
        <f t="shared" si="3"/>
        <v>24400</v>
      </c>
      <c r="I98" s="32"/>
      <c r="J98" s="15" t="s">
        <v>204</v>
      </c>
      <c r="K98" s="10"/>
      <c r="L98" s="10"/>
      <c r="M98" s="13"/>
      <c r="N98" s="15"/>
      <c r="O98" s="53"/>
      <c r="P98" s="40">
        <v>44957</v>
      </c>
      <c r="Q98" s="13">
        <v>44957</v>
      </c>
    </row>
    <row r="99" spans="2:17" s="49" customFormat="1" ht="19.5" customHeight="1">
      <c r="B99" s="44">
        <v>3</v>
      </c>
      <c r="C99" s="45" t="s">
        <v>203</v>
      </c>
      <c r="D99" s="45" t="s">
        <v>203</v>
      </c>
      <c r="E99" s="19" t="s">
        <v>196</v>
      </c>
      <c r="F99" s="19">
        <v>1</v>
      </c>
      <c r="G99" s="19">
        <v>17467</v>
      </c>
      <c r="H99" s="21">
        <f t="shared" si="3"/>
        <v>17467</v>
      </c>
      <c r="I99" s="46"/>
      <c r="J99" s="19" t="s">
        <v>205</v>
      </c>
      <c r="K99" s="19"/>
      <c r="L99" s="45"/>
      <c r="M99" s="18">
        <v>44908</v>
      </c>
      <c r="N99" s="19"/>
      <c r="O99" s="47">
        <v>44571</v>
      </c>
      <c r="P99" s="48"/>
      <c r="Q99" s="18">
        <v>44936</v>
      </c>
    </row>
    <row r="100" spans="2:17" s="49" customFormat="1" ht="19.5" customHeight="1">
      <c r="B100" s="44">
        <v>3</v>
      </c>
      <c r="C100" s="45" t="s">
        <v>203</v>
      </c>
      <c r="D100" s="45" t="s">
        <v>203</v>
      </c>
      <c r="E100" s="19" t="s">
        <v>197</v>
      </c>
      <c r="F100" s="19">
        <v>8</v>
      </c>
      <c r="G100" s="19">
        <v>74</v>
      </c>
      <c r="H100" s="21">
        <f t="shared" si="3"/>
        <v>592</v>
      </c>
      <c r="I100" s="46"/>
      <c r="J100" s="19" t="s">
        <v>206</v>
      </c>
      <c r="K100" s="19"/>
      <c r="L100" s="45"/>
      <c r="M100" s="18">
        <v>44909</v>
      </c>
      <c r="N100" s="19"/>
      <c r="O100" s="47">
        <v>44571</v>
      </c>
      <c r="P100" s="48"/>
      <c r="Q100" s="18">
        <v>44936</v>
      </c>
    </row>
    <row r="101" spans="2:17" s="49" customFormat="1" ht="19.5" customHeight="1">
      <c r="B101" s="44">
        <v>3</v>
      </c>
      <c r="C101" s="45" t="s">
        <v>203</v>
      </c>
      <c r="D101" s="45" t="s">
        <v>203</v>
      </c>
      <c r="E101" s="19" t="s">
        <v>198</v>
      </c>
      <c r="F101" s="19">
        <v>7</v>
      </c>
      <c r="G101" s="19">
        <v>84</v>
      </c>
      <c r="H101" s="21">
        <f t="shared" si="3"/>
        <v>588</v>
      </c>
      <c r="I101" s="46"/>
      <c r="J101" s="19" t="s">
        <v>206</v>
      </c>
      <c r="K101" s="19"/>
      <c r="L101" s="45"/>
      <c r="M101" s="18">
        <v>44910</v>
      </c>
      <c r="N101" s="19"/>
      <c r="O101" s="47">
        <v>44571</v>
      </c>
      <c r="P101" s="48"/>
      <c r="Q101" s="18">
        <v>44936</v>
      </c>
    </row>
    <row r="102" spans="2:17" s="49" customFormat="1" ht="19.5" customHeight="1">
      <c r="B102" s="44">
        <v>3</v>
      </c>
      <c r="C102" s="45" t="s">
        <v>203</v>
      </c>
      <c r="D102" s="45" t="s">
        <v>203</v>
      </c>
      <c r="E102" s="19" t="s">
        <v>199</v>
      </c>
      <c r="F102" s="19">
        <v>8</v>
      </c>
      <c r="G102" s="19">
        <v>77</v>
      </c>
      <c r="H102" s="21">
        <f t="shared" si="3"/>
        <v>616</v>
      </c>
      <c r="I102" s="46"/>
      <c r="J102" s="19" t="s">
        <v>206</v>
      </c>
      <c r="K102" s="19"/>
      <c r="L102" s="45"/>
      <c r="M102" s="18">
        <v>44911</v>
      </c>
      <c r="N102" s="19"/>
      <c r="O102" s="47">
        <v>44571</v>
      </c>
      <c r="P102" s="48"/>
      <c r="Q102" s="18">
        <v>44936</v>
      </c>
    </row>
    <row r="103" spans="2:17" s="49" customFormat="1" ht="19.5" customHeight="1">
      <c r="B103" s="44">
        <v>3</v>
      </c>
      <c r="C103" s="45" t="s">
        <v>203</v>
      </c>
      <c r="D103" s="45" t="s">
        <v>203</v>
      </c>
      <c r="E103" s="19" t="s">
        <v>200</v>
      </c>
      <c r="F103" s="19">
        <v>7</v>
      </c>
      <c r="G103" s="19">
        <v>84</v>
      </c>
      <c r="H103" s="21">
        <f t="shared" si="3"/>
        <v>588</v>
      </c>
      <c r="I103" s="50"/>
      <c r="J103" s="19" t="s">
        <v>206</v>
      </c>
      <c r="K103" s="19"/>
      <c r="L103" s="45"/>
      <c r="M103" s="18">
        <v>44912</v>
      </c>
      <c r="N103" s="19"/>
      <c r="O103" s="47">
        <v>44571</v>
      </c>
      <c r="P103" s="48"/>
      <c r="Q103" s="18">
        <v>44936</v>
      </c>
    </row>
    <row r="104" spans="2:17" s="49" customFormat="1" ht="19.5" customHeight="1">
      <c r="B104" s="44">
        <v>3</v>
      </c>
      <c r="C104" s="45" t="s">
        <v>203</v>
      </c>
      <c r="D104" s="45" t="s">
        <v>203</v>
      </c>
      <c r="E104" s="19" t="s">
        <v>201</v>
      </c>
      <c r="F104" s="19">
        <v>6</v>
      </c>
      <c r="G104" s="19">
        <v>98</v>
      </c>
      <c r="H104" s="21">
        <f t="shared" si="3"/>
        <v>588</v>
      </c>
      <c r="I104" s="50"/>
      <c r="J104" s="19" t="s">
        <v>206</v>
      </c>
      <c r="K104" s="19"/>
      <c r="L104" s="45"/>
      <c r="M104" s="18">
        <v>44913</v>
      </c>
      <c r="N104" s="19"/>
      <c r="O104" s="47">
        <v>44571</v>
      </c>
      <c r="P104" s="48"/>
      <c r="Q104" s="18">
        <v>44936</v>
      </c>
    </row>
    <row r="105" spans="2:17" s="49" customFormat="1" ht="19.5" customHeight="1">
      <c r="B105" s="44">
        <v>3</v>
      </c>
      <c r="C105" s="45" t="s">
        <v>203</v>
      </c>
      <c r="D105" s="45" t="s">
        <v>203</v>
      </c>
      <c r="E105" s="19" t="s">
        <v>202</v>
      </c>
      <c r="F105" s="19">
        <v>1</v>
      </c>
      <c r="G105" s="19">
        <v>909</v>
      </c>
      <c r="H105" s="21">
        <f t="shared" si="3"/>
        <v>909</v>
      </c>
      <c r="I105" s="50"/>
      <c r="J105" s="19" t="s">
        <v>207</v>
      </c>
      <c r="K105" s="19"/>
      <c r="L105" s="45"/>
      <c r="M105" s="18">
        <v>44914</v>
      </c>
      <c r="N105" s="19"/>
      <c r="O105" s="47">
        <v>44571</v>
      </c>
      <c r="P105" s="48"/>
      <c r="Q105" s="18">
        <v>44936</v>
      </c>
    </row>
    <row r="106" spans="2:17" s="49" customFormat="1" ht="19.5" customHeight="1">
      <c r="B106" s="44"/>
      <c r="C106" s="45"/>
      <c r="D106" s="45"/>
      <c r="E106" s="19"/>
      <c r="F106" s="19"/>
      <c r="G106" s="19"/>
      <c r="H106" s="21"/>
      <c r="I106" s="50"/>
      <c r="J106" s="19"/>
      <c r="K106" s="19"/>
      <c r="L106" s="45"/>
      <c r="M106" s="18"/>
      <c r="N106" s="19"/>
      <c r="O106" s="47"/>
      <c r="P106" s="48"/>
      <c r="Q106" s="18"/>
    </row>
    <row r="107" spans="2:17" s="49" customFormat="1" ht="19.5" customHeight="1">
      <c r="B107" s="44"/>
      <c r="C107" s="45" t="s">
        <v>213</v>
      </c>
      <c r="D107" s="45" t="s">
        <v>203</v>
      </c>
      <c r="E107" s="19" t="s">
        <v>214</v>
      </c>
      <c r="F107" s="19">
        <v>1</v>
      </c>
      <c r="G107" s="19">
        <v>21430</v>
      </c>
      <c r="H107" s="21">
        <f t="shared" si="3"/>
        <v>21430</v>
      </c>
      <c r="I107" s="50"/>
      <c r="J107" s="19"/>
      <c r="K107" s="19" t="s">
        <v>221</v>
      </c>
      <c r="L107" s="45"/>
      <c r="M107" s="18">
        <v>44977</v>
      </c>
      <c r="N107" s="19"/>
      <c r="O107" s="47">
        <v>44985</v>
      </c>
      <c r="P107" s="48">
        <v>44979</v>
      </c>
      <c r="Q107" s="18">
        <v>44979</v>
      </c>
    </row>
    <row r="108" spans="2:17" s="49" customFormat="1" ht="19.5" customHeight="1">
      <c r="B108" s="44"/>
      <c r="C108" s="45" t="s">
        <v>212</v>
      </c>
      <c r="D108" s="45" t="s">
        <v>212</v>
      </c>
      <c r="E108" s="19" t="s">
        <v>216</v>
      </c>
      <c r="F108" s="19">
        <v>1</v>
      </c>
      <c r="G108" s="19">
        <v>19600</v>
      </c>
      <c r="H108" s="21">
        <f t="shared" si="3"/>
        <v>19600</v>
      </c>
      <c r="I108" s="50"/>
      <c r="J108" s="19"/>
      <c r="K108" s="19" t="s">
        <v>220</v>
      </c>
      <c r="L108" s="45"/>
      <c r="M108" s="18">
        <v>44977</v>
      </c>
      <c r="N108" s="19"/>
      <c r="O108" s="47">
        <v>44985</v>
      </c>
      <c r="P108" s="48">
        <v>44979</v>
      </c>
      <c r="Q108" s="18">
        <v>44979</v>
      </c>
    </row>
    <row r="109" spans="2:17" s="49" customFormat="1" ht="19.5" customHeight="1">
      <c r="B109" s="44"/>
      <c r="C109" s="45" t="s">
        <v>212</v>
      </c>
      <c r="D109" s="45" t="s">
        <v>212</v>
      </c>
      <c r="E109" s="19" t="s">
        <v>217</v>
      </c>
      <c r="F109" s="19">
        <v>1</v>
      </c>
      <c r="G109" s="19">
        <v>19600</v>
      </c>
      <c r="H109" s="21">
        <f t="shared" si="3"/>
        <v>19600</v>
      </c>
      <c r="I109" s="50"/>
      <c r="J109" s="19"/>
      <c r="K109" s="19" t="s">
        <v>220</v>
      </c>
      <c r="L109" s="45"/>
      <c r="M109" s="18">
        <v>44977</v>
      </c>
      <c r="N109" s="19"/>
      <c r="O109" s="47">
        <v>44985</v>
      </c>
      <c r="P109" s="48">
        <v>44979</v>
      </c>
      <c r="Q109" s="18">
        <v>44979</v>
      </c>
    </row>
    <row r="110" spans="2:17" s="49" customFormat="1" ht="19.5" customHeight="1">
      <c r="B110" s="44"/>
      <c r="C110" s="45" t="s">
        <v>212</v>
      </c>
      <c r="D110" s="45" t="s">
        <v>212</v>
      </c>
      <c r="E110" s="19" t="s">
        <v>218</v>
      </c>
      <c r="F110" s="19">
        <v>2</v>
      </c>
      <c r="G110" s="19">
        <v>21800</v>
      </c>
      <c r="H110" s="21">
        <f t="shared" si="3"/>
        <v>43600</v>
      </c>
      <c r="I110" s="50"/>
      <c r="J110" s="19"/>
      <c r="K110" s="19" t="s">
        <v>220</v>
      </c>
      <c r="L110" s="45"/>
      <c r="M110" s="18">
        <v>44977</v>
      </c>
      <c r="N110" s="19"/>
      <c r="O110" s="47">
        <v>44985</v>
      </c>
      <c r="P110" s="48">
        <v>44979</v>
      </c>
      <c r="Q110" s="18">
        <v>44979</v>
      </c>
    </row>
    <row r="111" spans="2:17" s="49" customFormat="1" ht="19.5" customHeight="1">
      <c r="B111" s="44"/>
      <c r="C111" s="45" t="s">
        <v>212</v>
      </c>
      <c r="D111" s="45" t="s">
        <v>212</v>
      </c>
      <c r="E111" s="19" t="s">
        <v>219</v>
      </c>
      <c r="F111" s="19">
        <v>1</v>
      </c>
      <c r="G111" s="19">
        <v>-22800</v>
      </c>
      <c r="H111" s="21">
        <f t="shared" si="3"/>
        <v>-22800</v>
      </c>
      <c r="I111" s="50"/>
      <c r="J111" s="19"/>
      <c r="K111" s="19" t="s">
        <v>220</v>
      </c>
      <c r="L111" s="45"/>
      <c r="M111" s="18">
        <v>44977</v>
      </c>
      <c r="N111" s="19"/>
      <c r="O111" s="47">
        <v>44985</v>
      </c>
      <c r="P111" s="48">
        <v>44979</v>
      </c>
      <c r="Q111" s="18">
        <v>44979</v>
      </c>
    </row>
    <row r="112" spans="2:17" s="49" customFormat="1" ht="19.5" customHeight="1">
      <c r="B112" s="44"/>
      <c r="C112" s="45"/>
      <c r="D112" s="45"/>
      <c r="E112" s="19"/>
      <c r="F112" s="19"/>
      <c r="G112" s="19"/>
      <c r="H112" s="21">
        <f t="shared" si="3"/>
        <v>0</v>
      </c>
      <c r="I112" s="50"/>
      <c r="J112" s="19"/>
      <c r="K112" s="19"/>
      <c r="L112" s="45"/>
      <c r="M112" s="18">
        <v>44977</v>
      </c>
      <c r="N112" s="19"/>
      <c r="O112" s="47">
        <v>44985</v>
      </c>
      <c r="P112" s="48">
        <v>44979</v>
      </c>
      <c r="Q112" s="18">
        <v>44979</v>
      </c>
    </row>
    <row r="113" spans="2:17" s="49" customFormat="1" ht="19.5" customHeight="1">
      <c r="B113" s="45"/>
      <c r="C113" s="19"/>
      <c r="D113" s="19"/>
      <c r="E113" s="19"/>
      <c r="F113" s="19"/>
      <c r="G113" s="19"/>
      <c r="H113" s="19"/>
      <c r="I113" s="50"/>
      <c r="J113" s="19"/>
      <c r="K113" s="19"/>
      <c r="L113" s="45"/>
      <c r="M113" s="18"/>
      <c r="N113" s="19"/>
      <c r="O113" s="50"/>
      <c r="P113" s="48"/>
      <c r="Q113" s="18"/>
    </row>
  </sheetData>
  <autoFilter ref="B9:O31" xr:uid="{00000000-0009-0000-0000-000000000000}"/>
  <mergeCells count="6">
    <mergeCell ref="B6:D6"/>
    <mergeCell ref="G2:I2"/>
    <mergeCell ref="B2:D2"/>
    <mergeCell ref="B3:D3"/>
    <mergeCell ref="B4:D4"/>
    <mergeCell ref="B5:D5"/>
  </mergeCells>
  <phoneticPr fontId="1"/>
  <pageMargins left="0.2" right="0.2" top="0.36" bottom="0.41" header="0.3" footer="0.3"/>
  <pageSetup paperSize="9" scale="70"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82EC8B-E8F8-40AD-A086-F847B08F753B}">
  <dimension ref="A1:B5"/>
  <sheetViews>
    <sheetView view="pageBreakPreview" zoomScaleNormal="100" zoomScaleSheetLayoutView="100" workbookViewId="0">
      <selection activeCell="F15" sqref="F14:F15"/>
    </sheetView>
  </sheetViews>
  <sheetFormatPr defaultRowHeight="13.5"/>
  <cols>
    <col min="1" max="1" width="12.125" bestFit="1" customWidth="1"/>
    <col min="2" max="2" width="20.75" bestFit="1" customWidth="1"/>
  </cols>
  <sheetData>
    <row r="1" spans="1:2" ht="17.25">
      <c r="A1" s="52" t="s">
        <v>11</v>
      </c>
      <c r="B1" s="1" t="s">
        <v>193</v>
      </c>
    </row>
    <row r="2" spans="1:2" ht="17.25">
      <c r="A2" s="52" t="s">
        <v>10</v>
      </c>
      <c r="B2" s="6" t="s">
        <v>22</v>
      </c>
    </row>
    <row r="3" spans="1:2" ht="17.25">
      <c r="A3" s="52" t="s">
        <v>12</v>
      </c>
      <c r="B3" s="6">
        <v>201045</v>
      </c>
    </row>
    <row r="4" spans="1:2" ht="17.25">
      <c r="A4" s="52" t="s">
        <v>13</v>
      </c>
      <c r="B4" s="7">
        <v>44946</v>
      </c>
    </row>
    <row r="5" spans="1:2" ht="17.25">
      <c r="A5" s="52" t="s">
        <v>14</v>
      </c>
      <c r="B5" s="7">
        <v>45056</v>
      </c>
    </row>
  </sheetData>
  <phoneticPr fontId="23"/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40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原価表</vt:lpstr>
      <vt:lpstr>表紙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SATOH</dc:creator>
  <cp:lastModifiedBy>shinohara</cp:lastModifiedBy>
  <cp:lastPrinted>2023-01-10T11:04:14Z</cp:lastPrinted>
  <dcterms:created xsi:type="dcterms:W3CDTF">2011-12-13T06:48:43Z</dcterms:created>
  <dcterms:modified xsi:type="dcterms:W3CDTF">2023-04-27T02:18:44Z</dcterms:modified>
</cp:coreProperties>
</file>