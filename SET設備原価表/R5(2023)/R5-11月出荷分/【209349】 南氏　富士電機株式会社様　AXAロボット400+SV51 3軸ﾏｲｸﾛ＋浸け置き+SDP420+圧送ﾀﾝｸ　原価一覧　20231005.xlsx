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53DA9EB6-8856-46DD-B65B-31E575E1F2A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(20231003) " sheetId="12" r:id="rId1"/>
    <sheet name="Sheet1" sheetId="13" r:id="rId2"/>
    <sheet name="Sheet2" sheetId="2" r:id="rId3"/>
    <sheet name="Sheet3" sheetId="3" r:id="rId4"/>
  </sheets>
  <definedNames>
    <definedName name="_xlnm._FilterDatabase" localSheetId="0">'(20231003) '!$C$8:$P$8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6" i="12" l="1"/>
  <c r="I108" i="12"/>
  <c r="C108" i="12"/>
  <c r="I68" i="12"/>
  <c r="I128" i="12"/>
  <c r="F130" i="12" s="1"/>
  <c r="I119" i="12"/>
  <c r="I89" i="12" l="1"/>
  <c r="I122" i="12" l="1"/>
  <c r="I121" i="12"/>
  <c r="I118" i="12"/>
  <c r="I117" i="12"/>
  <c r="I116" i="12"/>
  <c r="I106" i="12"/>
  <c r="I105" i="12"/>
  <c r="I107" i="12"/>
  <c r="I26" i="12"/>
  <c r="I27" i="12"/>
  <c r="C11" i="12"/>
  <c r="C12" i="12" s="1"/>
  <c r="C17" i="12" s="1"/>
  <c r="C18" i="12" s="1"/>
  <c r="C19" i="12" s="1"/>
  <c r="C20" i="12" s="1"/>
  <c r="C21" i="12" s="1"/>
  <c r="C22" i="12" s="1"/>
  <c r="C24" i="12" s="1"/>
  <c r="C25" i="12" s="1"/>
  <c r="C26" i="12" s="1"/>
  <c r="C27" i="12" s="1"/>
  <c r="C28" i="12" s="1"/>
  <c r="C30" i="12" s="1"/>
  <c r="I25" i="12"/>
  <c r="F124" i="12" l="1"/>
  <c r="I34" i="12"/>
  <c r="I104" i="12"/>
  <c r="I103" i="12"/>
  <c r="I102" i="12"/>
  <c r="I101" i="12"/>
  <c r="I100" i="12"/>
  <c r="I98" i="12"/>
  <c r="I97" i="12"/>
  <c r="I96" i="12"/>
  <c r="I94" i="12"/>
  <c r="I91" i="12"/>
  <c r="I87" i="12"/>
  <c r="I85" i="12"/>
  <c r="I75" i="12"/>
  <c r="I74" i="12"/>
  <c r="I69" i="12"/>
  <c r="I50" i="12"/>
  <c r="I49" i="12"/>
  <c r="I48" i="12"/>
  <c r="I44" i="12"/>
  <c r="I43" i="12"/>
  <c r="I38" i="12"/>
  <c r="I32" i="12"/>
  <c r="I31" i="12"/>
  <c r="I30" i="12"/>
  <c r="I28" i="12"/>
  <c r="I24" i="12"/>
  <c r="I22" i="12"/>
  <c r="I21" i="12"/>
  <c r="I19" i="12"/>
  <c r="I18" i="12"/>
  <c r="I17" i="12"/>
  <c r="I95" i="12"/>
  <c r="I92" i="12"/>
  <c r="I88" i="12"/>
  <c r="I86" i="12"/>
  <c r="I73" i="12"/>
  <c r="I70" i="12"/>
  <c r="I52" i="12"/>
  <c r="I51" i="12"/>
  <c r="I46" i="12"/>
  <c r="I45" i="12"/>
  <c r="I41" i="12"/>
  <c r="I40" i="12"/>
  <c r="I39" i="12"/>
  <c r="I20" i="12"/>
  <c r="I36" i="12"/>
  <c r="I35" i="12"/>
  <c r="C31" i="12"/>
  <c r="C32" i="12" s="1"/>
  <c r="C34" i="12" s="1"/>
  <c r="C35" i="12" s="1"/>
  <c r="C36" i="12" s="1"/>
  <c r="C38" i="12" s="1"/>
  <c r="C39" i="12" s="1"/>
  <c r="C40" i="12" s="1"/>
  <c r="C41" i="12" s="1"/>
  <c r="C43" i="12" s="1"/>
  <c r="C44" i="12" s="1"/>
  <c r="C45" i="12" s="1"/>
  <c r="C46" i="12" s="1"/>
  <c r="C48" i="12" s="1"/>
  <c r="C49" i="12" s="1"/>
  <c r="C50" i="12" s="1"/>
  <c r="C51" i="12" s="1"/>
  <c r="C52" i="12" s="1"/>
  <c r="C59" i="12" s="1"/>
  <c r="F111" i="12" l="1"/>
  <c r="F54" i="12"/>
  <c r="I135" i="12"/>
  <c r="I134" i="12"/>
  <c r="I133" i="12"/>
  <c r="I78" i="12"/>
  <c r="I77" i="12"/>
  <c r="I72" i="12"/>
  <c r="I71" i="12"/>
  <c r="I60" i="12"/>
  <c r="I59" i="12"/>
  <c r="F80" i="12" l="1"/>
  <c r="F62" i="12"/>
  <c r="K2" i="12"/>
  <c r="C60" i="12" l="1"/>
  <c r="C67" i="12" s="1"/>
  <c r="C69" i="12" l="1"/>
  <c r="C70" i="12" l="1"/>
  <c r="C71" i="12"/>
  <c r="C72" i="12" s="1"/>
  <c r="C73" i="12" s="1"/>
  <c r="C74" i="12" s="1"/>
  <c r="C75" i="12" s="1"/>
  <c r="C77" i="12" s="1"/>
  <c r="C78" i="12" s="1"/>
  <c r="C85" i="12" l="1"/>
  <c r="C86" i="12" s="1"/>
  <c r="C87" i="12" l="1"/>
  <c r="C88" i="12" s="1"/>
  <c r="C89" i="12" s="1"/>
  <c r="C91" i="12" s="1"/>
  <c r="C92" i="12" s="1"/>
  <c r="C94" i="12" s="1"/>
  <c r="C95" i="12" s="1"/>
  <c r="C96" i="12" s="1"/>
  <c r="C97" i="12" s="1"/>
  <c r="C98" i="12" s="1"/>
  <c r="C100" i="12" s="1"/>
  <c r="C101" i="12" s="1"/>
  <c r="C102" i="12" s="1"/>
  <c r="C103" i="12" s="1"/>
  <c r="C104" i="12" s="1"/>
  <c r="C105" i="12" s="1"/>
  <c r="C106" i="12" s="1"/>
  <c r="C107" i="12" s="1"/>
  <c r="C117" i="12" l="1"/>
  <c r="C118" i="12" s="1"/>
  <c r="C119" i="12" s="1"/>
  <c r="C121" i="12" s="1"/>
  <c r="C122" i="12" s="1"/>
  <c r="C128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F10" authorId="0" shapeId="0" xr:uid="{EE06C258-884F-44FE-A6CB-1E6E4F321916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社内在庫確認依頼　
在庫無い場合発注依頼</t>
        </r>
      </text>
    </comment>
    <comment ref="F11" authorId="0" shapeId="0" xr:uid="{EDC1D74D-4631-4F8C-97F2-25412A111931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社内在庫確認依頼　
在庫無い場合発注依頼</t>
        </r>
      </text>
    </comment>
    <comment ref="F12" authorId="0" shapeId="0" xr:uid="{AD2F4313-2369-4FB0-9B20-DB58E47FD0BE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社内在庫確認依頼　
在庫無い場合発注依頼</t>
        </r>
      </text>
    </comment>
  </commentList>
</comments>
</file>

<file path=xl/sharedStrings.xml><?xml version="1.0" encoding="utf-8"?>
<sst xmlns="http://schemas.openxmlformats.org/spreadsheetml/2006/main" count="450" uniqueCount="187">
  <si>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</si>
  <si>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</si>
  <si>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</si>
  <si>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</si>
  <si>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</si>
  <si>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</si>
  <si>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</si>
  <si>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</si>
  <si>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</si>
  <si>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</si>
  <si>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</si>
  <si>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</si>
  <si>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</si>
  <si>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</si>
  <si>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</si>
  <si>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</si>
  <si>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</si>
  <si>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</si>
  <si>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</si>
  <si>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</si>
  <si>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</si>
  <si>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</si>
  <si>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</si>
  <si>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運送費</t>
  </si>
  <si>
    <t>設計費</t>
  </si>
  <si>
    <t>組立調整費</t>
  </si>
  <si>
    <t>ミスミ</t>
    <phoneticPr fontId="12"/>
  </si>
  <si>
    <t>PUT6-10-B</t>
    <phoneticPr fontId="12"/>
  </si>
  <si>
    <t>浸け置きﾕﾆｯﾄ</t>
    <rPh sb="0" eb="1">
      <t>ツ</t>
    </rPh>
    <rPh sb="2" eb="3">
      <t>オ</t>
    </rPh>
    <phoneticPr fontId="12"/>
  </si>
  <si>
    <t>CRKB4-8</t>
    <phoneticPr fontId="12"/>
  </si>
  <si>
    <t>樹脂付ローレットボルト</t>
    <rPh sb="0" eb="2">
      <t>ジュシ</t>
    </rPh>
    <rPh sb="2" eb="3">
      <t>ツキ</t>
    </rPh>
    <phoneticPr fontId="12"/>
  </si>
  <si>
    <t>CHNS4</t>
    <phoneticPr fontId="12"/>
  </si>
  <si>
    <t>RSCB4-15</t>
    <phoneticPr fontId="12"/>
  </si>
  <si>
    <t>PUT4-10-B</t>
    <phoneticPr fontId="12"/>
  </si>
  <si>
    <t>ﾉｽﾞﾙ位置合わせ冶具　</t>
    <phoneticPr fontId="10"/>
  </si>
  <si>
    <t>SCB4-12</t>
    <phoneticPr fontId="10"/>
  </si>
  <si>
    <t>3日間</t>
    <rPh sb="1" eb="2">
      <t>ヒ</t>
    </rPh>
    <rPh sb="2" eb="3">
      <t>カン</t>
    </rPh>
    <phoneticPr fontId="10"/>
  </si>
  <si>
    <t>8日間</t>
    <rPh sb="1" eb="2">
      <t>ヒ</t>
    </rPh>
    <rPh sb="2" eb="3">
      <t>カン</t>
    </rPh>
    <phoneticPr fontId="10"/>
  </si>
  <si>
    <t>meviy</t>
    <phoneticPr fontId="12"/>
  </si>
  <si>
    <t xml:space="preserve">SPWF4 </t>
    <phoneticPr fontId="12"/>
  </si>
  <si>
    <t>3日目</t>
    <rPh sb="1" eb="2">
      <t>ヒ</t>
    </rPh>
    <rPh sb="2" eb="3">
      <t>メ</t>
    </rPh>
    <phoneticPr fontId="12"/>
  </si>
  <si>
    <t>1日目</t>
    <rPh sb="1" eb="2">
      <t>ヒ</t>
    </rPh>
    <rPh sb="2" eb="3">
      <t>メ</t>
    </rPh>
    <phoneticPr fontId="12"/>
  </si>
  <si>
    <t xml:space="preserve">MS3-10 </t>
    <phoneticPr fontId="10"/>
  </si>
  <si>
    <t>SCB4-16</t>
    <phoneticPr fontId="10"/>
  </si>
  <si>
    <t>8日目</t>
    <rPh sb="1" eb="2">
      <t>ヒ</t>
    </rPh>
    <rPh sb="2" eb="3">
      <t>メ</t>
    </rPh>
    <phoneticPr fontId="12"/>
  </si>
  <si>
    <t>出荷依頼項目NO.</t>
    <rPh sb="0" eb="4">
      <t>シュッカイライ</t>
    </rPh>
    <rPh sb="4" eb="6">
      <t>コウモク</t>
    </rPh>
    <phoneticPr fontId="10"/>
  </si>
  <si>
    <t>SET</t>
  </si>
  <si>
    <t>専用PCｺﾝﾄﾛｰﾗ ﾓﾆﾀｰ ｷｰﾎﾞｰﾄﾞ &amp; ﾏｳｽ【ﾛﾎﾞｯﾄ付属品】</t>
    <rPh sb="35" eb="38">
      <t>フゾクヒン</t>
    </rPh>
    <phoneticPr fontId="12"/>
  </si>
  <si>
    <t>PCｿﾌﾄ 外部ｽｲｯﾁ 含む【ﾛﾎﾞｯﾄ付属品】</t>
  </si>
  <si>
    <t>SCB4-8</t>
    <phoneticPr fontId="10"/>
  </si>
  <si>
    <t>エアチューブ  在庫使用</t>
    <phoneticPr fontId="12"/>
  </si>
  <si>
    <t>AXA卓上ﾛﾎﾞｯﾄ</t>
    <rPh sb="0" eb="5">
      <t>チサチタクジョウ</t>
    </rPh>
    <phoneticPr fontId="10"/>
  </si>
  <si>
    <t>蝶ﾅｯﾄ　　2本</t>
    <rPh sb="7" eb="8">
      <t>ホン</t>
    </rPh>
    <phoneticPr fontId="12"/>
  </si>
  <si>
    <t>六角ﾎﾞﾙﾄ　2本</t>
    <rPh sb="8" eb="9">
      <t>ホン</t>
    </rPh>
    <phoneticPr fontId="12"/>
  </si>
  <si>
    <t>AXAロボット400+SV51 3軸ﾏｲｸﾛ＋浸け置き+SDP420+圧送ﾀﾝｸ　原価一覧　20230816</t>
    <phoneticPr fontId="10"/>
  </si>
  <si>
    <t>南</t>
    <rPh sb="0" eb="1">
      <t>ミナミ</t>
    </rPh>
    <phoneticPr fontId="10"/>
  </si>
  <si>
    <t>富士電機株式会社様　</t>
    <phoneticPr fontId="10"/>
  </si>
  <si>
    <t>ﾜｰｸ治具　(井桁ﾀｲﾌﾟ）</t>
    <rPh sb="3" eb="5">
      <t>ジグ</t>
    </rPh>
    <rPh sb="7" eb="9">
      <t>イゲタ</t>
    </rPh>
    <phoneticPr fontId="10"/>
  </si>
  <si>
    <t>図面NO.　SETB-0181-A01</t>
    <rPh sb="0" eb="2">
      <t>ズメン</t>
    </rPh>
    <phoneticPr fontId="10"/>
  </si>
  <si>
    <t>SETB0181-Y01　SV5916 ﾊﾞﾙﾌﾞﾎﾙﾀﾞ 変換板</t>
    <phoneticPr fontId="10"/>
  </si>
  <si>
    <t>DBS4-3-6</t>
    <phoneticPr fontId="10"/>
  </si>
  <si>
    <t xml:space="preserve">MS4-10 </t>
    <phoneticPr fontId="10"/>
  </si>
  <si>
    <t>APMTS-N1-T1</t>
    <phoneticPr fontId="10"/>
  </si>
  <si>
    <t>MCLPTK6-1</t>
    <phoneticPr fontId="10"/>
  </si>
  <si>
    <t>SV5916</t>
    <phoneticPr fontId="10"/>
  </si>
  <si>
    <t>SET</t>
    <phoneticPr fontId="10"/>
  </si>
  <si>
    <t xml:space="preserve">N18G-75L </t>
    <phoneticPr fontId="10"/>
  </si>
  <si>
    <t>SETB0181-Y02　3軸ﾏｲｸﾛ受けﾌﾞﾗｹｯﾄ</t>
    <phoneticPr fontId="10"/>
  </si>
  <si>
    <r>
      <t>薄型XYZ軸リニアボールガイド　</t>
    </r>
    <r>
      <rPr>
        <b/>
        <sz val="11"/>
        <color rgb="FFFF0000"/>
        <rFont val="ＭＳ Ｐゴシック"/>
        <family val="3"/>
        <charset val="128"/>
        <scheme val="minor"/>
      </rPr>
      <t>組直しType</t>
    </r>
    <phoneticPr fontId="10"/>
  </si>
  <si>
    <t>SETB0181-Y03　SV59MD+SV5916ﾌﾞﾗｹｯﾄ</t>
    <phoneticPr fontId="10"/>
  </si>
  <si>
    <t>SCB3-10</t>
    <phoneticPr fontId="10"/>
  </si>
  <si>
    <t>六角穴付ボル  　　　　4本  社内在庫使用</t>
    <rPh sb="13" eb="14">
      <t>ホン</t>
    </rPh>
    <rPh sb="16" eb="18">
      <t>シャナイ</t>
    </rPh>
    <rPh sb="18" eb="20">
      <t>ザイコ</t>
    </rPh>
    <rPh sb="20" eb="22">
      <t>シヨウ</t>
    </rPh>
    <phoneticPr fontId="10"/>
  </si>
  <si>
    <t>SETB0181-Y04　HVｶﾒﾗﾌﾞﾗｹｯﾄ</t>
    <phoneticPr fontId="10"/>
  </si>
  <si>
    <t>ﾛﾎﾞｯﾄ固定用</t>
    <rPh sb="5" eb="7">
      <t>コテイ</t>
    </rPh>
    <rPh sb="7" eb="8">
      <t>ヨウ</t>
    </rPh>
    <phoneticPr fontId="10"/>
  </si>
  <si>
    <t>MS2-6</t>
    <phoneticPr fontId="10"/>
  </si>
  <si>
    <t>SCB4-6</t>
    <phoneticPr fontId="10"/>
  </si>
  <si>
    <t>六角穴付ボル  　　　　2本  社内在庫使用</t>
    <rPh sb="13" eb="14">
      <t>ホン</t>
    </rPh>
    <rPh sb="16" eb="18">
      <t>シャナイ</t>
    </rPh>
    <rPh sb="18" eb="20">
      <t>ザイコ</t>
    </rPh>
    <rPh sb="20" eb="22">
      <t>シヨウ</t>
    </rPh>
    <phoneticPr fontId="10"/>
  </si>
  <si>
    <t>SCB4-10</t>
    <phoneticPr fontId="10"/>
  </si>
  <si>
    <t>SETB0181-Y05　左固定ﾌﾞﾗｹｯﾄ</t>
    <phoneticPr fontId="10"/>
  </si>
  <si>
    <t>CSHSM-ST-M4-20</t>
    <phoneticPr fontId="10"/>
  </si>
  <si>
    <t>六角穴付ボル  　　　　3本  社内在庫使用</t>
    <rPh sb="13" eb="14">
      <t>ホン</t>
    </rPh>
    <rPh sb="16" eb="18">
      <t>シャナイ</t>
    </rPh>
    <rPh sb="18" eb="20">
      <t>ザイコ</t>
    </rPh>
    <rPh sb="20" eb="22">
      <t>シヨウ</t>
    </rPh>
    <phoneticPr fontId="10"/>
  </si>
  <si>
    <t>SETB0181-Y06　右固定ﾌﾞﾗｹｯﾄ</t>
    <phoneticPr fontId="10"/>
  </si>
  <si>
    <t>AETGS8-24-SC5-M4-N4</t>
    <phoneticPr fontId="10"/>
  </si>
  <si>
    <t>APNA4-P2.00-L0-B10.0-E2.3</t>
    <phoneticPr fontId="12"/>
  </si>
  <si>
    <t>ワッシャ　　平座金　　　　　1個</t>
    <rPh sb="15" eb="16">
      <t>コ</t>
    </rPh>
    <phoneticPr fontId="12"/>
  </si>
  <si>
    <t xml:space="preserve"> ノックピン    3本   +4本</t>
    <rPh sb="11" eb="12">
      <t>ホン</t>
    </rPh>
    <rPh sb="17" eb="18">
      <t>ホン</t>
    </rPh>
    <phoneticPr fontId="10"/>
  </si>
  <si>
    <t>SETB-0012-Z05 カップホルダー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</si>
  <si>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10本　+　4本　+3本　+4本</t>
    </r>
    <r>
      <rPr>
        <sz val="11"/>
        <color theme="1"/>
        <rFont val="ＭＳ Ｐゴシック"/>
        <family val="3"/>
        <charset val="128"/>
        <scheme val="minor"/>
      </rPr>
      <t>　　+8本　</t>
    </r>
    <rPh sb="17" eb="18">
      <t>ホン</t>
    </rPh>
    <rPh sb="21" eb="22">
      <t>ホン</t>
    </rPh>
    <rPh sb="25" eb="26">
      <t>ホン</t>
    </rPh>
    <rPh sb="30" eb="31">
      <t>ホン</t>
    </rPh>
    <phoneticPr fontId="10"/>
  </si>
  <si>
    <t>MS3-20</t>
    <phoneticPr fontId="10"/>
  </si>
  <si>
    <t>ノックピン　　　  6本　　　　　</t>
    <phoneticPr fontId="10"/>
  </si>
  <si>
    <t>六角穴付ボル  　　　　6本  社内在庫使用</t>
    <rPh sb="13" eb="14">
      <t>ホン</t>
    </rPh>
    <rPh sb="16" eb="18">
      <t>シャナイ</t>
    </rPh>
    <rPh sb="18" eb="20">
      <t>ザイコ</t>
    </rPh>
    <rPh sb="20" eb="22">
      <t>シヨウ</t>
    </rPh>
    <phoneticPr fontId="10"/>
  </si>
  <si>
    <t>SETB0181-X02　300角万能ﾜｰｸ冶具ﾚｰﾙ①</t>
    <phoneticPr fontId="10"/>
  </si>
  <si>
    <t>六角穴付ボル  　　　　4本×2  社内在庫使用</t>
    <rPh sb="13" eb="14">
      <t>ホン</t>
    </rPh>
    <rPh sb="18" eb="20">
      <t>シャナイ</t>
    </rPh>
    <rPh sb="20" eb="22">
      <t>ザイコ</t>
    </rPh>
    <rPh sb="22" eb="24">
      <t>シヨウ</t>
    </rPh>
    <phoneticPr fontId="10"/>
  </si>
  <si>
    <t>SVCN24</t>
    <phoneticPr fontId="10"/>
  </si>
  <si>
    <t>ASFFS-A44-B10-T0.3-Q4.5-E10-C4.3-P24</t>
    <phoneticPr fontId="10"/>
  </si>
  <si>
    <t>CBSTSR4-5</t>
    <phoneticPr fontId="10"/>
  </si>
  <si>
    <t>SETB0181-X04　固定ﾌﾞﾛｯｸ先端:</t>
    <phoneticPr fontId="10"/>
  </si>
  <si>
    <t>KBBS4-10</t>
    <phoneticPr fontId="10"/>
  </si>
  <si>
    <t>MVBLK-AMW-3H1-ER1SJ</t>
    <phoneticPr fontId="10"/>
  </si>
  <si>
    <t>MVBLK-AMW-3H1-EY1R6</t>
    <phoneticPr fontId="10"/>
  </si>
  <si>
    <t>MVBLK-AMW-3H1-RMXX2</t>
    <phoneticPr fontId="10"/>
  </si>
  <si>
    <t>MVSHM-3N03002-3H1-HFX6W</t>
    <phoneticPr fontId="10"/>
  </si>
  <si>
    <t>MVBLK-AMW-3H1-KHDN1</t>
    <phoneticPr fontId="10"/>
  </si>
  <si>
    <t>MVBLK-AMW-3H1-88AN2</t>
    <phoneticPr fontId="10"/>
  </si>
  <si>
    <t>MVBLK-POW-3H1-SPSYN</t>
    <phoneticPr fontId="10"/>
  </si>
  <si>
    <t>6日間</t>
    <rPh sb="1" eb="2">
      <t>ヒ</t>
    </rPh>
    <rPh sb="2" eb="3">
      <t>カン</t>
    </rPh>
    <phoneticPr fontId="10"/>
  </si>
  <si>
    <t>角シム　フリー指定タイプ　切欠き穴タイプ　(2個×4）×2　</t>
    <rPh sb="23" eb="24">
      <t>コ</t>
    </rPh>
    <phoneticPr fontId="10"/>
  </si>
  <si>
    <t>超極低頭ボルト　六角穴タイプ　4個×4　+　2個×4</t>
    <rPh sb="16" eb="17">
      <t>コ</t>
    </rPh>
    <phoneticPr fontId="10"/>
  </si>
  <si>
    <t>リニアガイドクランパー 中　2個×2</t>
    <rPh sb="15" eb="16">
      <t>コ</t>
    </rPh>
    <phoneticPr fontId="10"/>
  </si>
  <si>
    <t>小径頭ボルト　－スタンダード　2個×4</t>
    <rPh sb="16" eb="17">
      <t>コ</t>
    </rPh>
    <phoneticPr fontId="10"/>
  </si>
  <si>
    <t>MVSHM-ZZ99000000000-JPA243U9A111AB</t>
    <phoneticPr fontId="10"/>
  </si>
  <si>
    <t>4日間</t>
    <rPh sb="1" eb="2">
      <t>ヒ</t>
    </rPh>
    <rPh sb="2" eb="3">
      <t>カン</t>
    </rPh>
    <phoneticPr fontId="10"/>
  </si>
  <si>
    <t>アズワン</t>
  </si>
  <si>
    <t>石鍋</t>
  </si>
  <si>
    <t xml:space="preserve">5-079-04　   </t>
  </si>
  <si>
    <t>ﾐﾆｶｯﾌﾟ（30cc）　</t>
  </si>
  <si>
    <t>位置決めピン　高硬度ステンレス　ツバ付テーパ　－おねじ－</t>
    <phoneticPr fontId="10"/>
  </si>
  <si>
    <t>六角穴付きボルト（キャップスクリュー）（小頭）</t>
    <phoneticPr fontId="10"/>
  </si>
  <si>
    <t>円形支柱－片端おねじ片端めねじ</t>
    <phoneticPr fontId="10"/>
  </si>
  <si>
    <t>駿河精機</t>
    <phoneticPr fontId="10"/>
  </si>
  <si>
    <t>チューブ用継手　ナット・スリーブ一体型　エルボ</t>
    <phoneticPr fontId="10"/>
  </si>
  <si>
    <t>ねじ変換継手</t>
    <phoneticPr fontId="10"/>
  </si>
  <si>
    <t>ノックピン　プラス公差　端部形状</t>
    <phoneticPr fontId="10"/>
  </si>
  <si>
    <t>段付ボルト</t>
    <phoneticPr fontId="10"/>
  </si>
  <si>
    <t>六角穴付ボルト  2本　  社内在庫使用</t>
    <rPh sb="10" eb="11">
      <t>ホン</t>
    </rPh>
    <phoneticPr fontId="10"/>
  </si>
  <si>
    <t>TLC</t>
    <phoneticPr fontId="10"/>
  </si>
  <si>
    <t xml:space="preserve">SV5916 バルブホルダ </t>
    <phoneticPr fontId="10"/>
  </si>
  <si>
    <t>SDP420ｺﾝﾄﾛｰﾗ</t>
    <phoneticPr fontId="10"/>
  </si>
  <si>
    <t>SV51ﾊﾞﾙﾌﾞ</t>
    <phoneticPr fontId="10"/>
  </si>
  <si>
    <t>圧送ﾀﾝｸｾｯﾄ</t>
    <rPh sb="0" eb="2">
      <t>アッソウ</t>
    </rPh>
    <phoneticPr fontId="10"/>
  </si>
  <si>
    <t>ﾘｷｯﾄｼｽﾃﾑ</t>
    <phoneticPr fontId="10"/>
  </si>
  <si>
    <t>圧送ﾀﾝｸｾｯﾄ　　ℓﾀｲﾌﾟ</t>
    <phoneticPr fontId="10"/>
  </si>
  <si>
    <t>AXA400-HV</t>
    <phoneticPr fontId="10"/>
  </si>
  <si>
    <t>AXELIAｼﾘｰｽﾞAXA-HV（400角）</t>
    <phoneticPr fontId="10"/>
  </si>
  <si>
    <t>SETB0181-X05　固定ﾌﾞﾛｯｸ先端　2</t>
    <phoneticPr fontId="10"/>
  </si>
  <si>
    <t>KBBS4-8</t>
    <phoneticPr fontId="10"/>
  </si>
  <si>
    <t>SETB0181-X06　固定ﾌﾞﾛｯｸ先端　3</t>
    <phoneticPr fontId="10"/>
  </si>
  <si>
    <t>MVBLK-POW-3H2-M9C17</t>
    <phoneticPr fontId="10"/>
  </si>
  <si>
    <t>MVBLK-POW-3H2-DTS85</t>
    <phoneticPr fontId="10"/>
  </si>
  <si>
    <t>PHNRF6-20-SC5</t>
    <phoneticPr fontId="10"/>
  </si>
  <si>
    <t>SFB3-8</t>
    <phoneticPr fontId="10"/>
  </si>
  <si>
    <t>SFB4-8</t>
    <phoneticPr fontId="10"/>
  </si>
  <si>
    <t>樹脂円形支柱ー片端／ーめねじ</t>
    <phoneticPr fontId="10"/>
  </si>
  <si>
    <t>樹脂カラー　ザグリ穴タイプ</t>
    <phoneticPr fontId="10"/>
  </si>
  <si>
    <t>六角穴付皿ボルト　－ステンレス</t>
    <phoneticPr fontId="10"/>
  </si>
  <si>
    <t>ﾜｰｸ治具　(井桁ﾀｲﾌﾟ） ﾜｰｸ受け</t>
    <rPh sb="3" eb="5">
      <t>ジグ</t>
    </rPh>
    <rPh sb="7" eb="9">
      <t>イゲタ</t>
    </rPh>
    <rPh sb="18" eb="19">
      <t>ウ</t>
    </rPh>
    <phoneticPr fontId="10"/>
  </si>
  <si>
    <t>Ｎo.209349</t>
    <phoneticPr fontId="10"/>
  </si>
  <si>
    <t>BSS73-40C</t>
    <phoneticPr fontId="10"/>
  </si>
  <si>
    <t>FWZJM-D10-V6-PM4-H3.5-T19</t>
    <phoneticPr fontId="10"/>
  </si>
  <si>
    <r>
      <t>SETB0181-X03</t>
    </r>
    <r>
      <rPr>
        <b/>
        <sz val="11"/>
        <color rgb="FFFF0000"/>
        <rFont val="ＭＳ Ｐゴシック"/>
        <family val="3"/>
        <charset val="128"/>
        <scheme val="minor"/>
      </rPr>
      <t>-2</t>
    </r>
    <r>
      <rPr>
        <sz val="11"/>
        <rFont val="ＭＳ Ｐゴシック"/>
        <family val="3"/>
        <charset val="128"/>
        <scheme val="minor"/>
      </rPr>
      <t>　300角万能ﾜｰｸ冶具ﾚｰﾙ②_7040</t>
    </r>
    <phoneticPr fontId="10"/>
  </si>
  <si>
    <t>MVBLK-AMW-3JJ-H2PSD</t>
    <phoneticPr fontId="10"/>
  </si>
  <si>
    <t>小径頭ボルト　－スタンダード　2個×2×2</t>
    <rPh sb="16" eb="17">
      <t>コ</t>
    </rPh>
    <phoneticPr fontId="10"/>
  </si>
  <si>
    <t>MVSHM-3N02050-3JK-YWK9T</t>
    <phoneticPr fontId="10"/>
  </si>
  <si>
    <t>SETB0181-Z04 ｶｯﾌﾟﾎﾙﾀﾞｰﾍﾞｰｽＬ字ﾌﾞﾗｹｯﾄ</t>
    <phoneticPr fontId="10"/>
  </si>
  <si>
    <t>MVSHM-3N02052-3JK-7S3MG</t>
    <phoneticPr fontId="10"/>
  </si>
  <si>
    <t>SETB0181-Z05　ｶｯﾌﾟﾎﾙﾀﾞｰＬ字ﾌﾞﾗｹｯﾄ</t>
    <phoneticPr fontId="10"/>
  </si>
  <si>
    <r>
      <t>SETB0181-X01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rFont val="ＭＳ Ｐゴシック"/>
        <family val="3"/>
        <charset val="128"/>
        <scheme val="minor"/>
      </rPr>
      <t>　300角万能ﾜｰｸ冶具ﾍﾞｰｽ:</t>
    </r>
    <phoneticPr fontId="10"/>
  </si>
  <si>
    <t>MVBLK-AMW-3JK-114TN</t>
    <phoneticPr fontId="10"/>
  </si>
  <si>
    <t>六角穴付ボル  　　　　4本×2+1本  社内在庫使用</t>
    <rPh sb="13" eb="14">
      <t>ホン</t>
    </rPh>
    <rPh sb="18" eb="19">
      <t>ホン</t>
    </rPh>
    <rPh sb="21" eb="23">
      <t>シャナイ</t>
    </rPh>
    <rPh sb="23" eb="25">
      <t>ザイコ</t>
    </rPh>
    <rPh sb="25" eb="27">
      <t>シヨウ</t>
    </rPh>
    <phoneticPr fontId="10"/>
  </si>
  <si>
    <r>
      <t>SETB0181-X07</t>
    </r>
    <r>
      <rPr>
        <b/>
        <sz val="11"/>
        <color rgb="FFFF0000"/>
        <rFont val="ＭＳ Ｐゴシック"/>
        <family val="3"/>
        <charset val="128"/>
      </rPr>
      <t>-1</t>
    </r>
    <r>
      <rPr>
        <sz val="11"/>
        <color rgb="FF000000"/>
        <rFont val="ＭＳ Ｐゴシック"/>
        <family val="3"/>
        <charset val="128"/>
      </rPr>
      <t>　ﾜｰｸ毎受け板</t>
    </r>
    <phoneticPr fontId="10"/>
  </si>
  <si>
    <t>MVSHM-3N03004-3JK-AD7HL</t>
  </si>
  <si>
    <r>
      <t>SDP420⇒</t>
    </r>
    <r>
      <rPr>
        <b/>
        <sz val="11"/>
        <color rgb="FFFF0000"/>
        <rFont val="ＭＳ Ｐゴシック"/>
        <family val="3"/>
        <charset val="128"/>
        <scheme val="minor"/>
      </rPr>
      <t>SVC720V</t>
    </r>
    <phoneticPr fontId="10"/>
  </si>
  <si>
    <t xml:space="preserve"> ノックピン    4本   まとめて発注</t>
    <rPh sb="11" eb="12">
      <t>ホン</t>
    </rPh>
    <rPh sb="19" eb="21">
      <t>ハッチュウ</t>
    </rPh>
    <phoneticPr fontId="10"/>
  </si>
  <si>
    <t>ノックピン　　　  4本　　  まとめて発注　　　　</t>
    <phoneticPr fontId="10"/>
  </si>
  <si>
    <t>ノックピン　　　  3本　　　  まとめて発注　　　</t>
    <phoneticPr fontId="10"/>
  </si>
  <si>
    <t>ノックピン　　　  4本　　　  まとめて発注　　　　　</t>
    <phoneticPr fontId="10"/>
  </si>
  <si>
    <t>金属ノズル　　 12本/PACK</t>
    <phoneticPr fontId="10"/>
  </si>
  <si>
    <t>日産ﾈｼﾞ</t>
    <rPh sb="0" eb="2">
      <t>ニッサン</t>
    </rPh>
    <phoneticPr fontId="12"/>
  </si>
  <si>
    <t>7日目</t>
    <rPh sb="1" eb="2">
      <t>ヒ</t>
    </rPh>
    <rPh sb="2" eb="3">
      <t>メ</t>
    </rPh>
    <phoneticPr fontId="12"/>
  </si>
  <si>
    <t>角シム　フリー指定タイプ　切欠き穴タイプ　2個×4　まとめて発注</t>
    <rPh sb="22" eb="23">
      <t>コ</t>
    </rPh>
    <rPh sb="30" eb="32">
      <t>ハッチュウ</t>
    </rPh>
    <phoneticPr fontId="10"/>
  </si>
  <si>
    <t>超極低頭ボルト　六角穴タイプ　2個×4　まとめて発注</t>
    <rPh sb="16" eb="17">
      <t>コ</t>
    </rPh>
    <rPh sb="24" eb="26">
      <t>ハッチュウ</t>
    </rPh>
    <phoneticPr fontId="10"/>
  </si>
  <si>
    <t>ノックピン　　　  8本　　　まとめて発注　　　</t>
    <phoneticPr fontId="10"/>
  </si>
  <si>
    <t>ワッシャ　　平座金　　　　　1個　　まとめて発注</t>
    <rPh sb="15" eb="16">
      <t>コ</t>
    </rPh>
    <phoneticPr fontId="12"/>
  </si>
  <si>
    <t>納期</t>
    <rPh sb="0" eb="2">
      <t>ノウキ</t>
    </rPh>
    <phoneticPr fontId="10"/>
  </si>
  <si>
    <t>ミスミ</t>
  </si>
  <si>
    <t xml:space="preserve">PACK10-CIMRS4-6-0.1 </t>
    <phoneticPr fontId="10"/>
  </si>
  <si>
    <t>ｼﾑ PACK10-CIMRS</t>
    <phoneticPr fontId="10"/>
  </si>
  <si>
    <t>PDDU-PT-MS-9-3-02S</t>
    <phoneticPr fontId="12"/>
  </si>
  <si>
    <t>Dsub9　オス　コネクタハーネス　#4-40ショートねじ</t>
    <phoneticPr fontId="12"/>
  </si>
  <si>
    <t>2日目</t>
    <rPh sb="1" eb="2">
      <t>ヒ</t>
    </rPh>
    <rPh sb="2" eb="3">
      <t>メ</t>
    </rPh>
    <phoneticPr fontId="12"/>
  </si>
  <si>
    <t>コントローラ用配線</t>
    <rPh sb="6" eb="7">
      <t>ヨウ</t>
    </rPh>
    <rPh sb="7" eb="9">
      <t>ハイセン</t>
    </rPh>
    <phoneticPr fontId="10"/>
  </si>
  <si>
    <t>送料</t>
    <rPh sb="0" eb="2">
      <t>ソウリョウ</t>
    </rPh>
    <phoneticPr fontId="10"/>
  </si>
  <si>
    <t>10/24・仙台営業所着</t>
    <rPh sb="6" eb="11">
      <t>センダイエイギョウショ</t>
    </rPh>
    <rPh sb="11" eb="12">
      <t>チャク</t>
    </rPh>
    <phoneticPr fontId="10"/>
  </si>
  <si>
    <t>meviy</t>
  </si>
  <si>
    <t>MVBLK-AMW-3H1-LJ1Z2-E</t>
    <phoneticPr fontId="10"/>
  </si>
  <si>
    <t>WP43F16A6E00</t>
    <phoneticPr fontId="10"/>
  </si>
  <si>
    <r>
      <rPr>
        <sz val="11"/>
        <color rgb="FFFF0000"/>
        <rFont val="ＭＳ Ｐゴシック"/>
        <family val="3"/>
        <charset val="128"/>
        <scheme val="minor"/>
      </rPr>
      <t>間違えMVBLK-AMW-3JJ-H2PSD</t>
    </r>
    <r>
      <rPr>
        <sz val="11"/>
        <rFont val="ＭＳ Ｐゴシック"/>
        <family val="3"/>
        <charset val="128"/>
        <scheme val="minor"/>
      </rPr>
      <t>⇒次回</t>
    </r>
    <r>
      <rPr>
        <b/>
        <sz val="11"/>
        <color rgb="FF00B0F0"/>
        <rFont val="ＭＳ Ｐゴシック"/>
        <family val="3"/>
        <charset val="128"/>
        <scheme val="minor"/>
      </rPr>
      <t>MVBLK-AMW-3H1-LJ1Z2</t>
    </r>
    <rPh sb="0" eb="2">
      <t>マチガ</t>
    </rPh>
    <rPh sb="23" eb="25">
      <t>ジカイ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</si>
</sst>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0_ ;[Red]\-0\ "/>
  </numFmts>
  <fonts count="27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rgb="FF00B0F0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9" fillId="0" borderId="0">
      <alignment vertical="center"/>
    </xf>
    <xf numFmtId="0" fontId="13" fillId="0" borderId="0">
      <alignment vertical="center"/>
    </xf>
  </cellStyleXfs>
  <cellXfs count="23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3" fontId="0" fillId="0" borderId="11" xfId="0" applyNumberFormat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0" fontId="13" fillId="0" borderId="10" xfId="3" applyBorder="1" applyAlignment="1">
      <alignment vertical="center"/>
    </xf>
    <xf numFmtId="56" fontId="0" fillId="0" borderId="1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4" fillId="0" borderId="10" xfId="0" applyFont="1" applyBorder="1">
      <alignment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0" fontId="0" fillId="5" borderId="12" xfId="0" applyFill="1" applyBorder="1" applyAlignment="1">
      <alignment horizontal="center" vertical="center"/>
    </xf>
    <xf numFmtId="0" fontId="14" fillId="5" borderId="10" xfId="0" applyFont="1" applyFill="1" applyBorder="1">
      <alignment vertical="center"/>
    </xf>
    <xf numFmtId="176" fontId="0" fillId="0" borderId="10" xfId="0" applyNumberFormat="1" applyBorder="1" applyAlignment="1"/>
    <xf numFmtId="0" fontId="0" fillId="0" borderId="10" xfId="0" applyBorder="1" applyAlignment="1">
      <alignment horizontal="left" vertical="center" shrinkToFit="1"/>
    </xf>
    <xf numFmtId="3" fontId="13" fillId="0" borderId="10" xfId="0" applyNumberFormat="1" applyFont="1" applyBorder="1" applyAlignment="1">
      <alignment horizontal="center" vertical="center"/>
    </xf>
    <xf numFmtId="176" fontId="0" fillId="0" borderId="12" xfId="0" applyNumberFormat="1" applyBorder="1" applyAlignment="1"/>
    <xf numFmtId="0" fontId="13" fillId="0" borderId="10" xfId="0" applyFont="1" applyBorder="1" applyAlignment="1">
      <alignment horizontal="left" vertical="center" shrinkToFit="1"/>
    </xf>
    <xf numFmtId="3" fontId="0" fillId="5" borderId="17" xfId="0" applyNumberForma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vertical="center" shrinkToFit="1"/>
    </xf>
    <xf numFmtId="0" fontId="9" fillId="0" borderId="10" xfId="0" applyFont="1" applyBorder="1" applyAlignment="1">
      <alignment horizontal="left" vertical="center" shrinkToFit="1"/>
    </xf>
    <xf numFmtId="3" fontId="15" fillId="8" borderId="10" xfId="0" applyNumberFormat="1" applyFont="1" applyFill="1" applyBorder="1" applyAlignment="1">
      <alignment horizontal="center" vertical="center"/>
    </xf>
    <xf numFmtId="176" fontId="15" fillId="8" borderId="10" xfId="0" applyNumberFormat="1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49" fontId="9" fillId="0" borderId="10" xfId="0" applyNumberFormat="1" applyFont="1" applyBorder="1" applyAlignment="1">
      <alignment horizontal="left" vertical="center"/>
    </xf>
    <xf numFmtId="176" fontId="13" fillId="0" borderId="10" xfId="0" applyNumberFormat="1" applyFont="1" applyBorder="1" applyAlignment="1">
      <alignment horizontal="center" vertical="center"/>
    </xf>
    <xf numFmtId="38" fontId="0" fillId="0" borderId="10" xfId="0" applyNumberFormat="1" applyBorder="1" applyAlignment="1">
      <alignment horizontal="center" vertical="center"/>
    </xf>
    <xf numFmtId="176" fontId="17" fillId="0" borderId="10" xfId="0" applyNumberFormat="1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4" fillId="0" borderId="10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20" xfId="0" applyBorder="1" applyAlignment="1">
      <alignment vertical="center" shrinkToFit="1"/>
    </xf>
    <xf numFmtId="176" fontId="7" fillId="0" borderId="1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6" fontId="20" fillId="0" borderId="17" xfId="0" applyNumberFormat="1" applyFont="1" applyBorder="1" applyAlignment="1">
      <alignment horizontal="center" vertical="center"/>
    </xf>
    <xf numFmtId="181" fontId="1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0" borderId="1" xfId="0" applyFont="1" applyBorder="1" applyAlignment="1">
      <alignment vertical="center" shrinkToFit="1"/>
    </xf>
    <xf numFmtId="0" fontId="15" fillId="8" borderId="10" xfId="0" applyFont="1" applyFill="1" applyBorder="1">
      <alignment vertical="center"/>
    </xf>
    <xf numFmtId="38" fontId="15" fillId="8" borderId="15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vertical="center" shrinkToFit="1"/>
    </xf>
    <xf numFmtId="3" fontId="0" fillId="0" borderId="20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shrinkToFit="1"/>
    </xf>
    <xf numFmtId="3" fontId="0" fillId="0" borderId="21" xfId="0" applyNumberFormat="1" applyBorder="1" applyAlignment="1">
      <alignment horizontal="center" vertical="center"/>
    </xf>
    <xf numFmtId="0" fontId="0" fillId="0" borderId="8" xfId="0" applyBorder="1" applyAlignment="1">
      <alignment vertical="center" shrinkToFit="1"/>
    </xf>
    <xf numFmtId="176" fontId="7" fillId="0" borderId="17" xfId="0" applyNumberFormat="1" applyFont="1" applyBorder="1" applyAlignment="1">
      <alignment horizontal="center" vertical="center"/>
    </xf>
    <xf numFmtId="176" fontId="0" fillId="0" borderId="18" xfId="0" applyNumberFormat="1" applyBorder="1" applyAlignment="1"/>
    <xf numFmtId="0" fontId="0" fillId="0" borderId="11" xfId="0" applyBorder="1" applyAlignment="1">
      <alignment horizontal="left" vertical="center"/>
    </xf>
    <xf numFmtId="0" fontId="14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49" fontId="15" fillId="8" borderId="10" xfId="0" applyNumberFormat="1" applyFont="1" applyFill="1" applyBorder="1" applyAlignment="1">
      <alignment horizontal="left" vertical="center"/>
    </xf>
    <xf numFmtId="3" fontId="0" fillId="10" borderId="10" xfId="0" applyNumberFormat="1" applyFill="1" applyBorder="1" applyAlignment="1">
      <alignment horizontal="center" vertical="center"/>
    </xf>
    <xf numFmtId="0" fontId="1" fillId="0" borderId="0" xfId="2">
      <alignment vertical="center"/>
    </xf>
    <xf numFmtId="3" fontId="0" fillId="0" borderId="8" xfId="0" applyNumberFormat="1" applyBorder="1" applyAlignment="1">
      <alignment horizontal="center" vertical="center"/>
    </xf>
    <xf numFmtId="0" fontId="9" fillId="0" borderId="10" xfId="4" applyBorder="1" applyAlignment="1">
      <alignment horizontal="center" vertical="center"/>
    </xf>
    <xf numFmtId="3" fontId="9" fillId="0" borderId="10" xfId="4" applyNumberFormat="1" applyBorder="1" applyAlignment="1">
      <alignment horizontal="center" vertical="center"/>
    </xf>
    <xf numFmtId="0" fontId="9" fillId="0" borderId="12" xfId="4" applyBorder="1" applyAlignment="1">
      <alignment horizontal="center" vertical="center"/>
    </xf>
    <xf numFmtId="0" fontId="9" fillId="0" borderId="10" xfId="4" applyBorder="1">
      <alignment vertical="center"/>
    </xf>
    <xf numFmtId="0" fontId="9" fillId="0" borderId="10" xfId="4" applyBorder="1" applyAlignment="1">
      <alignment horizontal="left" vertical="center"/>
    </xf>
    <xf numFmtId="0" fontId="0" fillId="0" borderId="8" xfId="0" applyBorder="1" applyAlignment="1">
      <alignment horizontal="left" vertical="center" shrinkToFit="1"/>
    </xf>
    <xf numFmtId="0" fontId="9" fillId="0" borderId="23" xfId="4" applyBorder="1" applyAlignment="1">
      <alignment horizontal="center" vertical="center"/>
    </xf>
    <xf numFmtId="49" fontId="9" fillId="9" borderId="10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vertical="center" shrinkToFit="1"/>
    </xf>
    <xf numFmtId="176" fontId="13" fillId="0" borderId="10" xfId="0" applyNumberFormat="1" applyFont="1" applyBorder="1" applyAlignment="1"/>
    <xf numFmtId="3" fontId="5" fillId="0" borderId="2" xfId="0" applyNumberFormat="1" applyFont="1" applyBorder="1" applyAlignment="1">
      <alignment horizontal="center" vertical="center"/>
    </xf>
    <xf numFmtId="3" fontId="9" fillId="0" borderId="12" xfId="4" applyNumberFormat="1" applyBorder="1" applyAlignment="1">
      <alignment horizontal="center" vertical="center"/>
    </xf>
    <xf numFmtId="38" fontId="9" fillId="0" borderId="17" xfId="4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6" fontId="15" fillId="8" borderId="12" xfId="0" applyNumberFormat="1" applyFont="1" applyFill="1" applyBorder="1" applyAlignment="1"/>
    <xf numFmtId="0" fontId="15" fillId="8" borderId="10" xfId="0" applyFont="1" applyFill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/>
    </xf>
    <xf numFmtId="176" fontId="14" fillId="0" borderId="10" xfId="0" applyNumberFormat="1" applyFont="1" applyBorder="1" applyAlignment="1">
      <alignment horizontal="center" vertical="center"/>
    </xf>
    <xf numFmtId="176" fontId="14" fillId="0" borderId="10" xfId="0" applyNumberFormat="1" applyFont="1" applyBorder="1" applyAlignment="1"/>
    <xf numFmtId="0" fontId="14" fillId="0" borderId="10" xfId="0" applyFont="1" applyBorder="1" applyAlignment="1">
      <alignment horizontal="left" vertical="center" shrinkToFit="1"/>
    </xf>
    <xf numFmtId="176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vertical="center" shrinkToFit="1"/>
    </xf>
    <xf numFmtId="176" fontId="15" fillId="8" borderId="10" xfId="0" applyNumberFormat="1" applyFont="1" applyFill="1" applyBorder="1" applyAlignment="1"/>
    <xf numFmtId="3" fontId="14" fillId="0" borderId="10" xfId="0" applyNumberFormat="1" applyFont="1" applyBorder="1" applyAlignment="1">
      <alignment horizontal="center" vertical="center"/>
    </xf>
    <xf numFmtId="0" fontId="14" fillId="0" borderId="10" xfId="4" applyFont="1" applyBorder="1" applyAlignment="1">
      <alignment horizontal="left" vertical="center"/>
    </xf>
    <xf numFmtId="181" fontId="14" fillId="0" borderId="10" xfId="4" applyNumberFormat="1" applyFont="1" applyBorder="1" applyAlignment="1">
      <alignment horizontal="center" vertical="center"/>
    </xf>
    <xf numFmtId="0" fontId="14" fillId="0" borderId="10" xfId="4" applyFont="1" applyBorder="1" applyAlignment="1">
      <alignment horizontal="center" vertical="center"/>
    </xf>
    <xf numFmtId="0" fontId="15" fillId="8" borderId="10" xfId="4" applyFont="1" applyFill="1" applyBorder="1" applyAlignment="1">
      <alignment horizontal="left" vertical="center"/>
    </xf>
    <xf numFmtId="181" fontId="15" fillId="8" borderId="10" xfId="4" applyNumberFormat="1" applyFont="1" applyFill="1" applyBorder="1" applyAlignment="1">
      <alignment horizontal="center" vertical="center"/>
    </xf>
    <xf numFmtId="0" fontId="15" fillId="8" borderId="10" xfId="4" applyFont="1" applyFill="1" applyBorder="1" applyAlignment="1">
      <alignment horizontal="center" vertical="center"/>
    </xf>
    <xf numFmtId="0" fontId="0" fillId="0" borderId="3" xfId="0" applyBorder="1" applyAlignment="1">
      <alignment vertical="center" shrinkToFit="1"/>
    </xf>
    <xf numFmtId="0" fontId="1" fillId="0" borderId="10" xfId="2" applyBorder="1">
      <alignment vertical="center"/>
    </xf>
    <xf numFmtId="49" fontId="0" fillId="0" borderId="10" xfId="0" applyNumberFormat="1" applyBorder="1" applyAlignment="1">
      <alignment horizontal="left" vertical="center"/>
    </xf>
    <xf numFmtId="0" fontId="13" fillId="0" borderId="10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38" fontId="15" fillId="8" borderId="10" xfId="0" applyNumberFormat="1" applyFont="1" applyFill="1" applyBorder="1" applyAlignment="1">
      <alignment horizontal="center" vertical="center"/>
    </xf>
    <xf numFmtId="3" fontId="9" fillId="9" borderId="10" xfId="0" applyNumberFormat="1" applyFont="1" applyFill="1" applyBorder="1" applyAlignment="1">
      <alignment horizontal="center" vertical="center"/>
    </xf>
    <xf numFmtId="176" fontId="9" fillId="9" borderId="10" xfId="0" applyNumberFormat="1" applyFont="1" applyFill="1" applyBorder="1" applyAlignment="1">
      <alignment horizontal="center" vertical="center"/>
    </xf>
    <xf numFmtId="176" fontId="0" fillId="9" borderId="10" xfId="0" applyNumberForma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76" fontId="0" fillId="0" borderId="11" xfId="0" applyNumberFormat="1" applyBorder="1">
      <alignment vertical="center"/>
    </xf>
    <xf numFmtId="49" fontId="5" fillId="0" borderId="3" xfId="0" applyNumberFormat="1" applyFont="1" applyBorder="1" applyAlignment="1">
      <alignment vertical="center" shrinkToFit="1"/>
    </xf>
    <xf numFmtId="176" fontId="0" fillId="0" borderId="5" xfId="0" applyNumberFormat="1" applyBorder="1" applyAlignment="1"/>
    <xf numFmtId="38" fontId="14" fillId="0" borderId="15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 shrinkToFit="1"/>
    </xf>
    <xf numFmtId="179" fontId="0" fillId="0" borderId="1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178" fontId="0" fillId="0" borderId="15" xfId="0" applyNumberFormat="1" applyBorder="1" applyAlignment="1">
      <alignment horizontal="center" vertical="center"/>
    </xf>
    <xf numFmtId="178" fontId="0" fillId="0" borderId="28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9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3" fontId="9" fillId="13" borderId="10" xfId="4" applyNumberFormat="1" applyFill="1" applyBorder="1" applyAlignment="1">
      <alignment horizontal="center" vertical="center"/>
    </xf>
    <xf numFmtId="0" fontId="9" fillId="13" borderId="10" xfId="4" applyFill="1" applyBorder="1" applyAlignment="1">
      <alignment horizontal="left" vertical="center"/>
    </xf>
    <xf numFmtId="49" fontId="9" fillId="13" borderId="10" xfId="4" applyNumberFormat="1" applyFill="1" applyBorder="1" applyAlignment="1">
      <alignment horizontal="left" vertical="center"/>
    </xf>
    <xf numFmtId="3" fontId="9" fillId="13" borderId="17" xfId="4" applyNumberFormat="1" applyFill="1" applyBorder="1" applyAlignment="1">
      <alignment horizontal="center" vertical="center"/>
    </xf>
    <xf numFmtId="49" fontId="9" fillId="13" borderId="17" xfId="4" applyNumberFormat="1" applyFill="1" applyBorder="1" applyAlignment="1">
      <alignment horizontal="left" vertical="center"/>
    </xf>
    <xf numFmtId="0" fontId="9" fillId="13" borderId="10" xfId="4" applyFill="1" applyBorder="1" applyAlignment="1">
      <alignment horizontal="center" vertical="center"/>
    </xf>
    <xf numFmtId="0" fontId="9" fillId="13" borderId="17" xfId="4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182" fontId="0" fillId="0" borderId="10" xfId="0" applyNumberForma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9" fillId="0" borderId="10" xfId="3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82" fontId="14" fillId="0" borderId="10" xfId="0" applyNumberFormat="1" applyFont="1" applyBorder="1" applyAlignment="1">
      <alignment horizontal="center" vertical="center"/>
    </xf>
    <xf numFmtId="180" fontId="13" fillId="0" borderId="10" xfId="0" applyNumberFormat="1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0" fillId="8" borderId="1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 shrinkToFit="1"/>
    </xf>
    <xf numFmtId="3" fontId="0" fillId="5" borderId="13" xfId="0" applyNumberForma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left" vertical="center"/>
    </xf>
    <xf numFmtId="0" fontId="14" fillId="5" borderId="13" xfId="0" applyFont="1" applyFill="1" applyBorder="1" applyAlignment="1">
      <alignment horizontal="center" vertical="center"/>
    </xf>
    <xf numFmtId="0" fontId="13" fillId="5" borderId="13" xfId="3" applyFill="1" applyBorder="1" applyAlignment="1">
      <alignment horizontal="center" vertical="center"/>
    </xf>
    <xf numFmtId="176" fontId="0" fillId="5" borderId="13" xfId="0" applyNumberFormat="1" applyFill="1" applyBorder="1" applyAlignment="1">
      <alignment horizontal="center" vertical="center"/>
    </xf>
    <xf numFmtId="176" fontId="0" fillId="5" borderId="13" xfId="0" applyNumberFormat="1" applyFill="1" applyBorder="1">
      <alignment vertical="center"/>
    </xf>
    <xf numFmtId="0" fontId="0" fillId="5" borderId="13" xfId="0" applyFill="1" applyBorder="1" applyAlignment="1">
      <alignment vertical="center" shrinkToFit="1"/>
    </xf>
    <xf numFmtId="0" fontId="5" fillId="0" borderId="10" xfId="0" applyFont="1" applyBorder="1" applyAlignment="1">
      <alignment horizontal="left" vertical="center"/>
    </xf>
    <xf numFmtId="0" fontId="9" fillId="8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181" fontId="0" fillId="0" borderId="10" xfId="0" applyNumberFormat="1" applyBorder="1">
      <alignment vertical="center"/>
    </xf>
    <xf numFmtId="177" fontId="9" fillId="0" borderId="10" xfId="0" applyNumberFormat="1" applyFont="1" applyBorder="1" applyAlignment="1">
      <alignment horizontal="center" vertical="center"/>
    </xf>
    <xf numFmtId="176" fontId="20" fillId="6" borderId="12" xfId="0" applyNumberFormat="1" applyFont="1" applyFill="1" applyBorder="1" applyAlignment="1">
      <alignment horizontal="center" vertical="center"/>
    </xf>
    <xf numFmtId="176" fontId="20" fillId="6" borderId="16" xfId="0" applyNumberFormat="1" applyFont="1" applyFill="1" applyBorder="1" applyAlignment="1">
      <alignment horizontal="center" vertical="center"/>
    </xf>
    <xf numFmtId="176" fontId="20" fillId="6" borderId="15" xfId="0" applyNumberFormat="1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176" fontId="7" fillId="3" borderId="8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6" fontId="7" fillId="3" borderId="9" xfId="0" applyNumberFormat="1" applyFont="1" applyFill="1" applyBorder="1" applyAlignment="1">
      <alignment horizontal="center" vertical="center"/>
    </xf>
    <xf numFmtId="176" fontId="7" fillId="3" borderId="18" xfId="0" applyNumberFormat="1" applyFont="1" applyFill="1" applyBorder="1" applyAlignment="1">
      <alignment horizontal="center" vertical="center"/>
    </xf>
    <xf numFmtId="176" fontId="7" fillId="3" borderId="19" xfId="0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/>
    </xf>
    <xf numFmtId="3" fontId="18" fillId="7" borderId="12" xfId="0" applyNumberFormat="1" applyFont="1" applyFill="1" applyBorder="1" applyAlignment="1">
      <alignment horizontal="center" vertical="center"/>
    </xf>
    <xf numFmtId="3" fontId="18" fillId="7" borderId="16" xfId="0" applyNumberFormat="1" applyFont="1" applyFill="1" applyBorder="1" applyAlignment="1">
      <alignment horizontal="center" vertical="center"/>
    </xf>
    <xf numFmtId="3" fontId="18" fillId="7" borderId="15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2" fillId="8" borderId="22" xfId="0" applyFont="1" applyFill="1" applyBorder="1" applyAlignment="1">
      <alignment horizontal="center" vertical="center"/>
    </xf>
    <xf numFmtId="0" fontId="18" fillId="11" borderId="23" xfId="0" applyFont="1" applyFill="1" applyBorder="1" applyAlignment="1">
      <alignment horizontal="center" vertical="center" wrapText="1"/>
    </xf>
    <xf numFmtId="0" fontId="18" fillId="11" borderId="24" xfId="0" applyFont="1" applyFill="1" applyBorder="1" applyAlignment="1">
      <alignment horizontal="center" vertical="center" wrapText="1"/>
    </xf>
    <xf numFmtId="0" fontId="18" fillId="11" borderId="25" xfId="0" applyFont="1" applyFill="1" applyBorder="1" applyAlignment="1">
      <alignment horizontal="center" vertical="center" wrapText="1"/>
    </xf>
    <xf numFmtId="0" fontId="18" fillId="11" borderId="14" xfId="0" applyFont="1" applyFill="1" applyBorder="1" applyAlignment="1">
      <alignment horizontal="center" vertical="center" wrapText="1"/>
    </xf>
    <xf numFmtId="0" fontId="18" fillId="11" borderId="26" xfId="0" applyFont="1" applyFill="1" applyBorder="1" applyAlignment="1">
      <alignment horizontal="center" vertical="center" wrapText="1"/>
    </xf>
    <xf numFmtId="0" fontId="18" fillId="11" borderId="2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9" fillId="16" borderId="10" xfId="0" applyFont="1" applyFill="1" applyBorder="1" applyAlignment="1">
      <alignment horizontal="center" vertical="center"/>
    </xf>
    <xf numFmtId="3" fontId="14" fillId="17" borderId="10" xfId="0" applyNumberFormat="1" applyFont="1" applyFill="1" applyBorder="1" applyAlignment="1">
      <alignment horizontal="center" vertical="center"/>
    </xf>
    <xf numFmtId="0" fontId="14" fillId="17" borderId="10" xfId="4" applyFont="1" applyFill="1" applyBorder="1" applyAlignment="1">
      <alignment horizontal="left" vertical="center"/>
    </xf>
    <xf numFmtId="181" fontId="14" fillId="17" borderId="10" xfId="4" applyNumberFormat="1" applyFont="1" applyFill="1" applyBorder="1" applyAlignment="1">
      <alignment horizontal="center" vertical="center"/>
    </xf>
    <xf numFmtId="0" fontId="14" fillId="17" borderId="10" xfId="4" applyFont="1" applyFill="1" applyBorder="1" applyAlignment="1">
      <alignment horizontal="center" vertical="center"/>
    </xf>
    <xf numFmtId="176" fontId="0" fillId="17" borderId="10" xfId="0" applyNumberFormat="1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9" fillId="0" borderId="1" xfId="0" applyFont="1" applyBorder="1" applyAlignment="1">
      <alignment vertical="center" shrinkToFit="1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139"/>
  <sheetViews>
    <sheetView tabSelected="1" zoomScale="85" zoomScaleNormal="85" workbookViewId="0">
      <pane xSplit="11" ySplit="8" topLeftCell="L96" activePane="bottomRight" state="frozen"/>
      <selection activeCell="D26" sqref="D26"/>
      <selection pane="topRight" activeCell="D26" sqref="D26"/>
      <selection pane="bottomLeft" activeCell="D26" sqref="D26"/>
      <selection pane="bottomRight" activeCell="G75" sqref="G75"/>
    </sheetView>
  </sheetViews>
  <sheetFormatPr defaultColWidth="11.77734375" defaultRowHeight="13.5" customHeight="1"/>
  <cols>
    <col min="1" max="1" width="18.6640625" customWidth="1"/>
    <col min="2" max="2" width="17" customWidth="1"/>
    <col min="3" max="3" width="6.21875" style="3" customWidth="1"/>
    <col min="4" max="4" width="15.21875" customWidth="1"/>
    <col min="5" max="5" width="15.44140625" customWidth="1"/>
    <col min="6" max="6" width="51.44140625" customWidth="1"/>
    <col min="7" max="7" width="7.77734375" style="3" customWidth="1"/>
    <col min="8" max="8" width="9.6640625" style="3" customWidth="1"/>
    <col min="9" max="9" width="9.33203125" style="3" customWidth="1"/>
    <col min="10" max="10" width="7.109375" style="12" customWidth="1"/>
    <col min="11" max="11" width="44.88671875" customWidth="1"/>
    <col min="12" max="12" width="26.21875" customWidth="1"/>
    <col min="13" max="13" width="8.109375" style="3" customWidth="1"/>
    <col min="14" max="14" width="17" style="3" customWidth="1"/>
    <col min="15" max="15" width="7.88671875" customWidth="1"/>
    <col min="16" max="16" width="17.88671875" style="3" customWidth="1"/>
    <col min="17" max="17" width="17.88671875" style="40" customWidth="1"/>
    <col min="18" max="18" width="19.33203125" style="40" customWidth="1"/>
  </cols>
  <sheetData>
    <row r="2" spans="1:18" ht="20.100000000000001" customHeight="1">
      <c r="C2" s="202" t="s">
        <v>0</v>
      </c>
      <c r="D2" s="202"/>
      <c r="E2" s="202"/>
      <c r="F2" s="26" t="s">
        <v>56</v>
      </c>
      <c r="H2" s="214" t="s">
        <v>1</v>
      </c>
      <c r="I2" s="215"/>
      <c r="J2" s="216"/>
      <c r="K2" s="11">
        <f>SUM(I:I)</f>
        <v>381036</v>
      </c>
    </row>
    <row r="3" spans="1:18" ht="20.100000000000001" customHeight="1">
      <c r="C3" s="202" t="s">
        <v>2</v>
      </c>
      <c r="D3" s="202"/>
      <c r="E3" s="202"/>
      <c r="F3" s="9" t="s">
        <v>55</v>
      </c>
    </row>
    <row r="4" spans="1:18" ht="20.100000000000001" customHeight="1">
      <c r="C4" s="202" t="s">
        <v>3</v>
      </c>
      <c r="D4" s="202"/>
      <c r="E4" s="202"/>
      <c r="F4" s="9" t="s">
        <v>146</v>
      </c>
      <c r="G4" s="217"/>
      <c r="H4" s="218" t="s">
        <v>54</v>
      </c>
      <c r="I4" s="219"/>
      <c r="J4" s="219"/>
      <c r="K4" s="219"/>
      <c r="L4" s="220"/>
    </row>
    <row r="5" spans="1:18" ht="20.100000000000001" customHeight="1">
      <c r="C5" s="202" t="s">
        <v>4</v>
      </c>
      <c r="D5" s="202"/>
      <c r="E5" s="202"/>
      <c r="F5" s="10">
        <v>45223</v>
      </c>
      <c r="G5" s="217"/>
      <c r="H5" s="221"/>
      <c r="I5" s="222"/>
      <c r="J5" s="222"/>
      <c r="K5" s="222"/>
      <c r="L5" s="223"/>
    </row>
    <row r="6" spans="1:18" ht="20.100000000000001" customHeight="1">
      <c r="C6" s="202" t="s">
        <v>5</v>
      </c>
      <c r="D6" s="202"/>
      <c r="E6" s="202"/>
      <c r="F6" s="10">
        <v>45224</v>
      </c>
      <c r="H6" s="213" t="s">
        <v>58</v>
      </c>
      <c r="I6" s="213"/>
      <c r="J6" s="213"/>
      <c r="K6" s="213"/>
    </row>
    <row r="8" spans="1:18" s="3" customFormat="1" ht="19.5" customHeight="1">
      <c r="A8" s="84" t="s">
        <v>173</v>
      </c>
      <c r="B8" s="131" t="s">
        <v>45</v>
      </c>
      <c r="C8" s="90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5" t="s">
        <v>17</v>
      </c>
      <c r="O8" s="4" t="s">
        <v>18</v>
      </c>
      <c r="P8" s="1" t="s">
        <v>19</v>
      </c>
      <c r="Q8" s="15" t="s">
        <v>20</v>
      </c>
      <c r="R8" s="8" t="s">
        <v>21</v>
      </c>
    </row>
    <row r="9" spans="1:18" s="3" customFormat="1" ht="19.5" customHeight="1">
      <c r="C9" s="203" t="s">
        <v>51</v>
      </c>
      <c r="D9" s="204"/>
      <c r="E9" s="204"/>
      <c r="F9" s="205"/>
      <c r="G9" s="22"/>
      <c r="H9" s="22"/>
      <c r="I9" s="22"/>
      <c r="J9" s="13"/>
      <c r="K9" s="23"/>
      <c r="L9" s="1"/>
      <c r="M9" s="1"/>
      <c r="N9" s="15"/>
      <c r="O9" s="4"/>
      <c r="P9" s="1"/>
      <c r="Q9" s="15"/>
      <c r="R9" s="8"/>
    </row>
    <row r="10" spans="1:18" s="3" customFormat="1" ht="19.5" customHeight="1">
      <c r="A10" s="29"/>
      <c r="B10" s="161">
        <v>1</v>
      </c>
      <c r="C10" s="104">
        <v>1</v>
      </c>
      <c r="D10" s="154" t="s">
        <v>46</v>
      </c>
      <c r="E10" s="154" t="s">
        <v>46</v>
      </c>
      <c r="F10" s="155" t="s">
        <v>132</v>
      </c>
      <c r="G10" s="159">
        <v>1</v>
      </c>
      <c r="H10" s="92">
        <v>0</v>
      </c>
      <c r="I10" s="102">
        <v>0</v>
      </c>
      <c r="J10" s="93"/>
      <c r="K10" s="95" t="s">
        <v>133</v>
      </c>
      <c r="L10" s="91"/>
      <c r="M10" s="91"/>
      <c r="N10" s="15"/>
      <c r="O10" s="4"/>
      <c r="P10" s="1"/>
      <c r="Q10" s="15"/>
      <c r="R10" s="14">
        <v>45215</v>
      </c>
    </row>
    <row r="11" spans="1:18" s="3" customFormat="1" ht="19.5" customHeight="1">
      <c r="A11" s="29"/>
      <c r="B11" s="161">
        <v>1</v>
      </c>
      <c r="C11" s="27">
        <f t="shared" ref="C11:C12" si="0">C10+1</f>
        <v>2</v>
      </c>
      <c r="D11" s="154" t="s">
        <v>46</v>
      </c>
      <c r="E11" s="154" t="s">
        <v>46</v>
      </c>
      <c r="F11" s="156" t="s">
        <v>47</v>
      </c>
      <c r="G11" s="159">
        <v>1</v>
      </c>
      <c r="H11" s="92">
        <v>0</v>
      </c>
      <c r="I11" s="92">
        <v>0</v>
      </c>
      <c r="J11" s="93"/>
      <c r="K11" s="95"/>
      <c r="L11" s="91"/>
      <c r="M11" s="91"/>
      <c r="N11" s="15"/>
      <c r="O11" s="4"/>
      <c r="P11" s="1"/>
      <c r="Q11" s="15"/>
      <c r="R11" s="8"/>
    </row>
    <row r="12" spans="1:18" s="3" customFormat="1" ht="19.5" customHeight="1">
      <c r="A12" s="29"/>
      <c r="B12" s="161">
        <v>1</v>
      </c>
      <c r="C12" s="27">
        <f t="shared" si="0"/>
        <v>3</v>
      </c>
      <c r="D12" s="157" t="s">
        <v>46</v>
      </c>
      <c r="E12" s="157" t="s">
        <v>46</v>
      </c>
      <c r="F12" s="158" t="s">
        <v>48</v>
      </c>
      <c r="G12" s="160">
        <v>1</v>
      </c>
      <c r="H12" s="103">
        <v>0</v>
      </c>
      <c r="I12" s="103">
        <v>0</v>
      </c>
      <c r="J12" s="97"/>
      <c r="K12" s="94"/>
      <c r="L12" s="91"/>
      <c r="M12" s="91"/>
      <c r="N12" s="15"/>
      <c r="O12" s="4"/>
      <c r="P12" s="1"/>
      <c r="Q12" s="15"/>
      <c r="R12" s="8"/>
    </row>
    <row r="13" spans="1:18" s="3" customFormat="1" ht="19.5" customHeight="1">
      <c r="A13" s="29"/>
      <c r="B13" s="131"/>
      <c r="C13" s="32"/>
      <c r="D13" s="32"/>
      <c r="E13" s="32"/>
      <c r="F13" s="75"/>
      <c r="G13" s="42"/>
      <c r="H13" s="42"/>
      <c r="I13" s="42"/>
      <c r="J13" s="46"/>
      <c r="K13" s="96"/>
      <c r="L13" s="1"/>
      <c r="M13" s="1"/>
      <c r="N13" s="15"/>
      <c r="O13" s="4"/>
      <c r="P13" s="1"/>
      <c r="Q13" s="15"/>
      <c r="R13" s="8"/>
    </row>
    <row r="14" spans="1:18" s="3" customFormat="1" ht="19.5" customHeight="1">
      <c r="A14" s="29"/>
      <c r="B14" s="131"/>
      <c r="C14" s="32"/>
      <c r="D14" s="32"/>
      <c r="E14" s="32"/>
      <c r="F14" s="75"/>
      <c r="G14" s="42"/>
      <c r="H14" s="42"/>
      <c r="I14" s="42"/>
      <c r="J14" s="46"/>
      <c r="K14" s="96"/>
      <c r="L14" s="1"/>
      <c r="M14" s="1"/>
      <c r="N14" s="15"/>
      <c r="O14" s="4"/>
      <c r="P14" s="1"/>
      <c r="Q14" s="15"/>
      <c r="R14" s="8"/>
    </row>
    <row r="15" spans="1:18" s="3" customFormat="1" ht="19.5" customHeight="1">
      <c r="A15" s="29"/>
      <c r="B15" s="131"/>
      <c r="C15" s="32"/>
      <c r="D15" s="32"/>
      <c r="E15" s="32"/>
      <c r="F15" s="75"/>
      <c r="G15" s="42"/>
      <c r="H15" s="42"/>
      <c r="I15" s="42"/>
      <c r="J15" s="46"/>
      <c r="K15" s="96"/>
      <c r="L15" s="1"/>
      <c r="M15" s="1"/>
      <c r="N15" s="15"/>
      <c r="O15" s="4"/>
      <c r="P15" s="1"/>
      <c r="Q15" s="15"/>
      <c r="R15" s="8"/>
    </row>
    <row r="16" spans="1:18" ht="18" customHeight="1">
      <c r="A16" s="29"/>
      <c r="B16" s="131"/>
      <c r="C16" s="203" t="s">
        <v>22</v>
      </c>
      <c r="D16" s="204"/>
      <c r="E16" s="204"/>
      <c r="F16" s="205"/>
      <c r="G16" s="67"/>
      <c r="H16" s="67"/>
      <c r="I16" s="62"/>
      <c r="J16" s="19"/>
      <c r="K16" s="16"/>
      <c r="L16" s="6"/>
      <c r="M16" s="5"/>
      <c r="N16" s="15"/>
      <c r="O16" s="8"/>
      <c r="P16" s="8"/>
      <c r="Q16" s="15"/>
      <c r="R16" s="14"/>
    </row>
    <row r="17" spans="1:18" ht="18" customHeight="1">
      <c r="A17" s="84" t="s">
        <v>44</v>
      </c>
      <c r="B17" s="162">
        <v>2</v>
      </c>
      <c r="C17" s="27">
        <f>C12+1</f>
        <v>4</v>
      </c>
      <c r="D17" s="88" t="s">
        <v>38</v>
      </c>
      <c r="E17" s="88" t="s">
        <v>26</v>
      </c>
      <c r="F17" s="58" t="s">
        <v>98</v>
      </c>
      <c r="G17" s="117">
        <v>1</v>
      </c>
      <c r="H17" s="42">
        <v>7754</v>
      </c>
      <c r="I17" s="42">
        <f t="shared" ref="I17:I19" si="1">G17*H17</f>
        <v>7754</v>
      </c>
      <c r="J17" s="46"/>
      <c r="K17" s="54" t="s">
        <v>59</v>
      </c>
      <c r="L17" s="75"/>
      <c r="M17" s="29"/>
      <c r="N17" s="39">
        <v>45204</v>
      </c>
      <c r="O17" s="28"/>
      <c r="P17" s="39"/>
      <c r="Q17" s="191" t="s">
        <v>182</v>
      </c>
      <c r="R17" s="37"/>
    </row>
    <row r="18" spans="1:18" ht="18" customHeight="1">
      <c r="A18" s="29" t="s">
        <v>41</v>
      </c>
      <c r="B18" s="162">
        <v>2</v>
      </c>
      <c r="C18" s="27">
        <f t="shared" ref="C18:C28" si="2">C17+1</f>
        <v>5</v>
      </c>
      <c r="D18" s="32" t="s">
        <v>26</v>
      </c>
      <c r="E18" s="32" t="s">
        <v>26</v>
      </c>
      <c r="F18" s="58" t="s">
        <v>60</v>
      </c>
      <c r="G18" s="117">
        <v>2</v>
      </c>
      <c r="H18" s="42">
        <v>460</v>
      </c>
      <c r="I18" s="42">
        <f t="shared" si="1"/>
        <v>920</v>
      </c>
      <c r="J18" s="46"/>
      <c r="K18" s="54" t="s">
        <v>123</v>
      </c>
      <c r="L18" s="75"/>
      <c r="M18" s="29"/>
      <c r="N18" s="39">
        <v>45204</v>
      </c>
      <c r="O18" s="28"/>
      <c r="P18" s="39"/>
      <c r="Q18" s="191" t="s">
        <v>182</v>
      </c>
      <c r="R18" s="37"/>
    </row>
    <row r="19" spans="1:18" ht="18" customHeight="1">
      <c r="A19" s="29" t="s">
        <v>41</v>
      </c>
      <c r="B19" s="162">
        <v>2</v>
      </c>
      <c r="C19" s="27">
        <f t="shared" si="2"/>
        <v>6</v>
      </c>
      <c r="D19" s="32" t="s">
        <v>26</v>
      </c>
      <c r="E19" s="32" t="s">
        <v>26</v>
      </c>
      <c r="F19" s="58" t="s">
        <v>61</v>
      </c>
      <c r="G19" s="117">
        <v>2</v>
      </c>
      <c r="H19" s="42">
        <v>319</v>
      </c>
      <c r="I19" s="42">
        <f t="shared" si="1"/>
        <v>638</v>
      </c>
      <c r="J19" s="46"/>
      <c r="K19" s="54" t="s">
        <v>122</v>
      </c>
      <c r="L19" s="75"/>
      <c r="M19" s="29"/>
      <c r="N19" s="39">
        <v>45204</v>
      </c>
      <c r="O19" s="28"/>
      <c r="P19" s="39"/>
      <c r="Q19" s="191" t="s">
        <v>182</v>
      </c>
      <c r="R19" s="37"/>
    </row>
    <row r="20" spans="1:18" ht="18" customHeight="1">
      <c r="A20" s="29" t="s">
        <v>41</v>
      </c>
      <c r="B20" s="162">
        <v>2</v>
      </c>
      <c r="C20" s="27">
        <f t="shared" si="2"/>
        <v>7</v>
      </c>
      <c r="D20" s="55" t="s">
        <v>26</v>
      </c>
      <c r="E20" s="55" t="s">
        <v>26</v>
      </c>
      <c r="F20" s="87" t="s">
        <v>43</v>
      </c>
      <c r="G20" s="56"/>
      <c r="H20" s="56">
        <v>27</v>
      </c>
      <c r="I20" s="56">
        <f t="shared" ref="I20:I34" si="3">G20*H20</f>
        <v>0</v>
      </c>
      <c r="J20" s="111"/>
      <c r="K20" s="112" t="s">
        <v>124</v>
      </c>
      <c r="L20" s="118" t="s">
        <v>73</v>
      </c>
      <c r="M20" s="29"/>
      <c r="N20" s="39"/>
      <c r="O20" s="28"/>
      <c r="P20" s="39"/>
      <c r="Q20" s="39"/>
      <c r="R20" s="37"/>
    </row>
    <row r="21" spans="1:18" ht="18" customHeight="1">
      <c r="A21" s="29" t="s">
        <v>41</v>
      </c>
      <c r="B21" s="162">
        <v>2</v>
      </c>
      <c r="C21" s="27">
        <f t="shared" si="2"/>
        <v>8</v>
      </c>
      <c r="D21" s="32" t="s">
        <v>26</v>
      </c>
      <c r="E21" s="32" t="s">
        <v>26</v>
      </c>
      <c r="F21" s="58" t="s">
        <v>62</v>
      </c>
      <c r="G21" s="117">
        <v>1</v>
      </c>
      <c r="H21" s="42">
        <v>1070</v>
      </c>
      <c r="I21" s="42">
        <f t="shared" si="3"/>
        <v>1070</v>
      </c>
      <c r="J21" s="46"/>
      <c r="K21" s="54" t="s">
        <v>121</v>
      </c>
      <c r="L21" s="75"/>
      <c r="M21" s="29"/>
      <c r="N21" s="39">
        <v>45204</v>
      </c>
      <c r="O21" s="28"/>
      <c r="P21" s="39"/>
      <c r="Q21" s="191" t="s">
        <v>182</v>
      </c>
      <c r="R21" s="37"/>
    </row>
    <row r="22" spans="1:18" ht="18" customHeight="1">
      <c r="A22" s="29" t="s">
        <v>41</v>
      </c>
      <c r="B22" s="162">
        <v>2</v>
      </c>
      <c r="C22" s="27">
        <f t="shared" si="2"/>
        <v>9</v>
      </c>
      <c r="D22" s="32" t="s">
        <v>26</v>
      </c>
      <c r="E22" s="32" t="s">
        <v>26</v>
      </c>
      <c r="F22" s="58" t="s">
        <v>63</v>
      </c>
      <c r="G22" s="117">
        <v>1</v>
      </c>
      <c r="H22" s="42">
        <v>1360</v>
      </c>
      <c r="I22" s="42">
        <f t="shared" si="3"/>
        <v>1360</v>
      </c>
      <c r="J22" s="46"/>
      <c r="K22" s="54" t="s">
        <v>120</v>
      </c>
      <c r="L22" s="75"/>
      <c r="M22" s="29"/>
      <c r="N22" s="39">
        <v>45204</v>
      </c>
      <c r="O22" s="28"/>
      <c r="P22" s="39"/>
      <c r="Q22" s="191" t="s">
        <v>182</v>
      </c>
      <c r="R22" s="37"/>
    </row>
    <row r="23" spans="1:18" ht="18" customHeight="1">
      <c r="A23" s="29"/>
      <c r="B23" s="131"/>
      <c r="C23" s="27"/>
      <c r="D23" s="32"/>
      <c r="E23" s="32"/>
      <c r="F23" s="58"/>
      <c r="G23" s="117"/>
      <c r="H23" s="42"/>
      <c r="I23" s="42"/>
      <c r="J23" s="46"/>
      <c r="K23" s="54"/>
      <c r="L23" s="75"/>
      <c r="M23" s="29"/>
      <c r="N23" s="39"/>
      <c r="O23" s="28"/>
      <c r="P23" s="39"/>
      <c r="Q23" s="39"/>
      <c r="R23" s="37"/>
    </row>
    <row r="24" spans="1:18" ht="18" customHeight="1">
      <c r="A24" s="84"/>
      <c r="B24" s="162">
        <v>2</v>
      </c>
      <c r="C24" s="27">
        <f>C22+1</f>
        <v>10</v>
      </c>
      <c r="D24" s="134" t="s">
        <v>65</v>
      </c>
      <c r="E24" s="134" t="s">
        <v>65</v>
      </c>
      <c r="F24" s="98" t="s">
        <v>64</v>
      </c>
      <c r="G24" s="135">
        <v>1</v>
      </c>
      <c r="H24" s="136"/>
      <c r="I24" s="42">
        <f t="shared" si="3"/>
        <v>0</v>
      </c>
      <c r="J24" s="46"/>
      <c r="K24" s="54" t="s">
        <v>126</v>
      </c>
      <c r="L24" s="75"/>
      <c r="M24" s="29"/>
      <c r="N24" s="39"/>
      <c r="O24" s="28"/>
      <c r="P24" s="39"/>
      <c r="Q24" s="39"/>
      <c r="R24" s="37"/>
    </row>
    <row r="25" spans="1:18" ht="18" customHeight="1">
      <c r="A25" s="84"/>
      <c r="B25" s="162">
        <v>2</v>
      </c>
      <c r="C25" s="27">
        <f t="shared" si="2"/>
        <v>11</v>
      </c>
      <c r="D25" s="134" t="s">
        <v>65</v>
      </c>
      <c r="E25" s="134" t="s">
        <v>65</v>
      </c>
      <c r="F25" s="98" t="s">
        <v>161</v>
      </c>
      <c r="G25" s="135">
        <v>1</v>
      </c>
      <c r="H25" s="136"/>
      <c r="I25" s="42">
        <f t="shared" si="3"/>
        <v>0</v>
      </c>
      <c r="J25" s="46"/>
      <c r="K25" s="54" t="s">
        <v>127</v>
      </c>
      <c r="L25" s="75"/>
      <c r="M25" s="29"/>
      <c r="N25" s="39"/>
      <c r="O25" s="28"/>
      <c r="P25" s="39"/>
      <c r="Q25" s="39"/>
      <c r="R25" s="37"/>
    </row>
    <row r="26" spans="1:18" ht="18" customHeight="1">
      <c r="A26" s="84"/>
      <c r="B26" s="162">
        <v>2</v>
      </c>
      <c r="C26" s="27">
        <f t="shared" si="2"/>
        <v>12</v>
      </c>
      <c r="D26" s="134" t="s">
        <v>65</v>
      </c>
      <c r="E26" s="134" t="s">
        <v>65</v>
      </c>
      <c r="F26" s="98" t="s">
        <v>128</v>
      </c>
      <c r="G26" s="135">
        <v>1</v>
      </c>
      <c r="H26" s="136"/>
      <c r="I26" s="42">
        <f t="shared" si="3"/>
        <v>0</v>
      </c>
      <c r="J26" s="46"/>
      <c r="K26" s="54" t="s">
        <v>128</v>
      </c>
      <c r="L26" s="75"/>
      <c r="M26" s="29"/>
      <c r="N26" s="39"/>
      <c r="O26" s="28"/>
      <c r="P26" s="39"/>
      <c r="Q26" s="39"/>
      <c r="R26" s="37"/>
    </row>
    <row r="27" spans="1:18" ht="18" customHeight="1">
      <c r="A27" s="84"/>
      <c r="B27" s="162">
        <v>2</v>
      </c>
      <c r="C27" s="27">
        <f t="shared" si="2"/>
        <v>13</v>
      </c>
      <c r="D27" s="134" t="s">
        <v>130</v>
      </c>
      <c r="E27" s="134" t="s">
        <v>65</v>
      </c>
      <c r="F27" s="98" t="s">
        <v>129</v>
      </c>
      <c r="G27" s="135">
        <v>1</v>
      </c>
      <c r="H27" s="136"/>
      <c r="I27" s="42">
        <f t="shared" si="3"/>
        <v>0</v>
      </c>
      <c r="J27" s="46"/>
      <c r="K27" s="54" t="s">
        <v>131</v>
      </c>
      <c r="L27" s="75"/>
      <c r="M27" s="29"/>
      <c r="N27" s="39"/>
      <c r="O27" s="28"/>
      <c r="P27" s="39"/>
      <c r="Q27" s="39"/>
      <c r="R27" s="37"/>
    </row>
    <row r="28" spans="1:18" ht="18" customHeight="1">
      <c r="A28" s="84"/>
      <c r="B28" s="162">
        <v>2</v>
      </c>
      <c r="C28" s="27">
        <f t="shared" si="2"/>
        <v>14</v>
      </c>
      <c r="D28" s="134" t="s">
        <v>125</v>
      </c>
      <c r="E28" s="134" t="s">
        <v>65</v>
      </c>
      <c r="F28" s="98" t="s">
        <v>66</v>
      </c>
      <c r="G28" s="135">
        <v>1</v>
      </c>
      <c r="H28" s="136"/>
      <c r="I28" s="42">
        <f t="shared" si="3"/>
        <v>0</v>
      </c>
      <c r="J28" s="46"/>
      <c r="K28" s="54" t="s">
        <v>166</v>
      </c>
      <c r="L28" s="75"/>
      <c r="M28" s="29"/>
      <c r="N28" s="39"/>
      <c r="O28" s="28"/>
      <c r="P28" s="39"/>
      <c r="Q28" s="39"/>
      <c r="R28" s="37"/>
    </row>
    <row r="29" spans="1:18" ht="18" customHeight="1">
      <c r="A29" s="84"/>
      <c r="B29" s="131"/>
      <c r="C29" s="101"/>
      <c r="D29" s="32"/>
      <c r="E29" s="32"/>
      <c r="F29" s="58"/>
      <c r="G29" s="117"/>
      <c r="H29" s="42"/>
      <c r="I29" s="42"/>
      <c r="J29" s="46"/>
      <c r="K29" s="54"/>
      <c r="L29" s="75"/>
      <c r="M29" s="29"/>
      <c r="N29" s="39"/>
      <c r="O29" s="28"/>
      <c r="P29" s="39"/>
      <c r="Q29" s="39"/>
      <c r="R29" s="37"/>
    </row>
    <row r="30" spans="1:18" ht="18" customHeight="1">
      <c r="A30" s="84" t="s">
        <v>44</v>
      </c>
      <c r="B30" s="162">
        <v>2</v>
      </c>
      <c r="C30" s="27">
        <f>C28+1</f>
        <v>15</v>
      </c>
      <c r="D30" s="88" t="s">
        <v>38</v>
      </c>
      <c r="E30" s="88" t="s">
        <v>26</v>
      </c>
      <c r="F30" s="58" t="s">
        <v>99</v>
      </c>
      <c r="G30" s="117">
        <v>1</v>
      </c>
      <c r="H30" s="42">
        <v>6995</v>
      </c>
      <c r="I30" s="42">
        <f t="shared" si="3"/>
        <v>6995</v>
      </c>
      <c r="J30" s="46"/>
      <c r="K30" s="54" t="s">
        <v>67</v>
      </c>
      <c r="L30" s="75"/>
      <c r="M30" s="29"/>
      <c r="N30" s="39">
        <v>45204</v>
      </c>
      <c r="O30" s="28"/>
      <c r="P30" s="39"/>
      <c r="Q30" s="191" t="s">
        <v>182</v>
      </c>
      <c r="R30" s="37"/>
    </row>
    <row r="31" spans="1:18" ht="18" customHeight="1">
      <c r="A31" s="29" t="s">
        <v>41</v>
      </c>
      <c r="B31" s="162">
        <v>2</v>
      </c>
      <c r="C31" s="27">
        <f t="shared" ref="C31:C32" si="4">C30+1</f>
        <v>16</v>
      </c>
      <c r="D31" s="32" t="s">
        <v>26</v>
      </c>
      <c r="E31" s="32" t="s">
        <v>26</v>
      </c>
      <c r="F31" s="58" t="s">
        <v>42</v>
      </c>
      <c r="G31" s="117">
        <v>30</v>
      </c>
      <c r="H31" s="42">
        <v>19</v>
      </c>
      <c r="I31" s="42">
        <f t="shared" si="3"/>
        <v>570</v>
      </c>
      <c r="J31" s="49"/>
      <c r="K31" s="54" t="s">
        <v>87</v>
      </c>
      <c r="L31" s="75"/>
      <c r="M31" s="29"/>
      <c r="N31" s="39">
        <v>45204</v>
      </c>
      <c r="O31" s="28"/>
      <c r="P31" s="39"/>
      <c r="Q31" s="191" t="s">
        <v>182</v>
      </c>
      <c r="R31" s="37"/>
    </row>
    <row r="32" spans="1:18" ht="18" customHeight="1">
      <c r="A32" s="84" t="s">
        <v>40</v>
      </c>
      <c r="B32" s="162">
        <v>2</v>
      </c>
      <c r="C32" s="27">
        <f t="shared" si="4"/>
        <v>17</v>
      </c>
      <c r="D32" s="86" t="s">
        <v>119</v>
      </c>
      <c r="E32" s="32" t="s">
        <v>26</v>
      </c>
      <c r="F32" s="58" t="s">
        <v>147</v>
      </c>
      <c r="G32" s="117">
        <v>1</v>
      </c>
      <c r="H32" s="42">
        <v>62780</v>
      </c>
      <c r="I32" s="42">
        <f t="shared" si="3"/>
        <v>62780</v>
      </c>
      <c r="J32" s="46"/>
      <c r="K32" s="54" t="s">
        <v>68</v>
      </c>
      <c r="L32" s="75"/>
      <c r="M32" s="29"/>
      <c r="N32" s="39">
        <v>45204</v>
      </c>
      <c r="O32" s="28"/>
      <c r="P32" s="39"/>
      <c r="Q32" s="191" t="s">
        <v>182</v>
      </c>
      <c r="R32" s="37"/>
    </row>
    <row r="33" spans="1:18" ht="18" customHeight="1">
      <c r="A33" s="84"/>
      <c r="B33" s="131"/>
      <c r="C33" s="101"/>
      <c r="D33" s="32"/>
      <c r="E33" s="32"/>
      <c r="F33" s="58"/>
      <c r="G33" s="117"/>
      <c r="H33" s="42"/>
      <c r="I33" s="42"/>
      <c r="J33" s="46"/>
      <c r="K33" s="54"/>
      <c r="L33" s="75"/>
      <c r="M33" s="29"/>
      <c r="N33" s="39"/>
      <c r="O33" s="28"/>
      <c r="P33" s="39"/>
      <c r="Q33" s="39"/>
      <c r="R33" s="37"/>
    </row>
    <row r="34" spans="1:18" ht="18" customHeight="1">
      <c r="A34" s="84" t="s">
        <v>44</v>
      </c>
      <c r="B34" s="162">
        <v>2</v>
      </c>
      <c r="C34" s="27">
        <f>C32+1</f>
        <v>18</v>
      </c>
      <c r="D34" s="88" t="s">
        <v>38</v>
      </c>
      <c r="E34" s="88" t="s">
        <v>26</v>
      </c>
      <c r="F34" s="58" t="s">
        <v>100</v>
      </c>
      <c r="G34" s="117">
        <v>1</v>
      </c>
      <c r="H34" s="42">
        <v>9464</v>
      </c>
      <c r="I34" s="42">
        <f t="shared" si="3"/>
        <v>9464</v>
      </c>
      <c r="J34" s="46"/>
      <c r="K34" s="54" t="s">
        <v>69</v>
      </c>
      <c r="L34" s="75"/>
      <c r="M34" s="29"/>
      <c r="N34" s="39">
        <v>45204</v>
      </c>
      <c r="O34" s="28"/>
      <c r="P34" s="39"/>
      <c r="Q34" s="191" t="s">
        <v>182</v>
      </c>
      <c r="R34" s="37"/>
    </row>
    <row r="35" spans="1:18" ht="18" customHeight="1">
      <c r="A35" s="29" t="s">
        <v>41</v>
      </c>
      <c r="B35" s="162">
        <v>2</v>
      </c>
      <c r="C35" s="27">
        <f t="shared" ref="C35:C36" si="5">C34+1</f>
        <v>19</v>
      </c>
      <c r="D35" s="55" t="s">
        <v>26</v>
      </c>
      <c r="E35" s="55" t="s">
        <v>26</v>
      </c>
      <c r="F35" s="87" t="s">
        <v>42</v>
      </c>
      <c r="G35" s="56"/>
      <c r="H35" s="56">
        <v>19</v>
      </c>
      <c r="I35" s="56">
        <f t="shared" ref="I35:I36" si="6">G35*H35</f>
        <v>0</v>
      </c>
      <c r="J35" s="111"/>
      <c r="K35" s="112" t="s">
        <v>165</v>
      </c>
      <c r="L35" s="75"/>
      <c r="M35" s="29"/>
      <c r="N35" s="39"/>
      <c r="O35" s="28"/>
      <c r="P35" s="39"/>
      <c r="Q35" s="39"/>
      <c r="R35" s="37"/>
    </row>
    <row r="36" spans="1:18" ht="18" customHeight="1">
      <c r="A36" s="29" t="s">
        <v>41</v>
      </c>
      <c r="B36" s="162">
        <v>2</v>
      </c>
      <c r="C36" s="27">
        <f t="shared" si="5"/>
        <v>20</v>
      </c>
      <c r="D36" s="32" t="s">
        <v>26</v>
      </c>
      <c r="E36" s="32" t="s">
        <v>26</v>
      </c>
      <c r="F36" s="113" t="s">
        <v>70</v>
      </c>
      <c r="G36" s="114">
        <v>10</v>
      </c>
      <c r="H36" s="114">
        <v>25</v>
      </c>
      <c r="I36" s="114">
        <f t="shared" si="6"/>
        <v>250</v>
      </c>
      <c r="J36" s="115"/>
      <c r="K36" s="116" t="s">
        <v>71</v>
      </c>
      <c r="L36" s="75"/>
      <c r="M36" s="29"/>
      <c r="N36" s="39">
        <v>45204</v>
      </c>
      <c r="O36" s="28"/>
      <c r="P36" s="39"/>
      <c r="Q36" s="191" t="s">
        <v>182</v>
      </c>
      <c r="R36" s="37"/>
    </row>
    <row r="37" spans="1:18" ht="18" customHeight="1">
      <c r="A37" s="84"/>
      <c r="B37" s="131"/>
      <c r="C37" s="101"/>
      <c r="D37" s="32"/>
      <c r="E37" s="32"/>
      <c r="F37" s="58"/>
      <c r="G37" s="117"/>
      <c r="H37" s="42"/>
      <c r="I37" s="42"/>
      <c r="J37" s="46"/>
      <c r="K37" s="54"/>
      <c r="L37" s="75"/>
      <c r="M37" s="29"/>
      <c r="N37" s="39"/>
      <c r="O37" s="28"/>
      <c r="P37" s="39"/>
      <c r="Q37" s="39"/>
      <c r="R37" s="37"/>
    </row>
    <row r="38" spans="1:18" ht="18" customHeight="1">
      <c r="A38" s="84" t="s">
        <v>40</v>
      </c>
      <c r="B38" s="162">
        <v>2</v>
      </c>
      <c r="C38" s="27">
        <f>C36+1</f>
        <v>21</v>
      </c>
      <c r="D38" s="88" t="s">
        <v>38</v>
      </c>
      <c r="E38" s="88" t="s">
        <v>26</v>
      </c>
      <c r="F38" s="58" t="s">
        <v>101</v>
      </c>
      <c r="G38" s="117">
        <v>1</v>
      </c>
      <c r="H38" s="42">
        <v>2820</v>
      </c>
      <c r="I38" s="42">
        <f t="shared" ref="I38" si="7">G38*H38</f>
        <v>2820</v>
      </c>
      <c r="J38" s="46"/>
      <c r="K38" s="54" t="s">
        <v>72</v>
      </c>
      <c r="L38" s="75"/>
      <c r="M38" s="29"/>
      <c r="N38" s="39">
        <v>45204</v>
      </c>
      <c r="O38" s="28"/>
      <c r="P38" s="39"/>
      <c r="Q38" s="191" t="s">
        <v>182</v>
      </c>
      <c r="R38" s="37"/>
    </row>
    <row r="39" spans="1:18" ht="18" customHeight="1">
      <c r="A39" s="29" t="s">
        <v>41</v>
      </c>
      <c r="B39" s="162">
        <v>2</v>
      </c>
      <c r="C39" s="27">
        <f t="shared" ref="C39:C41" si="8">C38+1</f>
        <v>22</v>
      </c>
      <c r="D39" s="32" t="s">
        <v>26</v>
      </c>
      <c r="E39" s="32" t="s">
        <v>26</v>
      </c>
      <c r="F39" s="113" t="s">
        <v>74</v>
      </c>
      <c r="G39" s="114">
        <v>7</v>
      </c>
      <c r="H39" s="114">
        <v>104</v>
      </c>
      <c r="I39" s="42">
        <f t="shared" ref="I39:I40" si="9">G39*H39</f>
        <v>728</v>
      </c>
      <c r="J39" s="49"/>
      <c r="K39" s="54" t="s">
        <v>85</v>
      </c>
      <c r="L39" s="75"/>
      <c r="M39" s="29"/>
      <c r="N39" s="39">
        <v>45204</v>
      </c>
      <c r="O39" s="28"/>
      <c r="P39" s="39"/>
      <c r="Q39" s="191" t="s">
        <v>182</v>
      </c>
      <c r="R39" s="37"/>
    </row>
    <row r="40" spans="1:18" ht="18" customHeight="1">
      <c r="A40" s="29" t="s">
        <v>41</v>
      </c>
      <c r="B40" s="162">
        <v>2</v>
      </c>
      <c r="C40" s="27">
        <f t="shared" si="8"/>
        <v>23</v>
      </c>
      <c r="D40" s="120" t="s">
        <v>26</v>
      </c>
      <c r="E40" s="120" t="s">
        <v>26</v>
      </c>
      <c r="F40" s="113" t="s">
        <v>75</v>
      </c>
      <c r="G40" s="114">
        <v>10</v>
      </c>
      <c r="H40" s="114">
        <v>25</v>
      </c>
      <c r="I40" s="114">
        <f t="shared" si="9"/>
        <v>250</v>
      </c>
      <c r="J40" s="115"/>
      <c r="K40" s="116" t="s">
        <v>76</v>
      </c>
      <c r="L40" s="75"/>
      <c r="M40" s="29"/>
      <c r="N40" s="39">
        <v>45204</v>
      </c>
      <c r="O40" s="28"/>
      <c r="P40" s="39"/>
      <c r="Q40" s="191" t="s">
        <v>182</v>
      </c>
      <c r="R40" s="37"/>
    </row>
    <row r="41" spans="1:18" ht="18" customHeight="1">
      <c r="A41" s="29" t="s">
        <v>41</v>
      </c>
      <c r="B41" s="162">
        <v>2</v>
      </c>
      <c r="C41" s="27">
        <f t="shared" si="8"/>
        <v>24</v>
      </c>
      <c r="D41" s="55" t="s">
        <v>26</v>
      </c>
      <c r="E41" s="55" t="s">
        <v>26</v>
      </c>
      <c r="F41" s="87" t="s">
        <v>77</v>
      </c>
      <c r="G41" s="56"/>
      <c r="H41" s="56">
        <v>27</v>
      </c>
      <c r="I41" s="56">
        <f t="shared" ref="I41" si="10">G41*H41</f>
        <v>0</v>
      </c>
      <c r="J41" s="119"/>
      <c r="K41" s="112" t="s">
        <v>76</v>
      </c>
      <c r="L41" s="75"/>
      <c r="M41" s="29"/>
      <c r="N41" s="39"/>
      <c r="O41" s="28"/>
      <c r="P41" s="39"/>
      <c r="Q41" s="39"/>
      <c r="R41" s="37"/>
    </row>
    <row r="42" spans="1:18" ht="18" customHeight="1">
      <c r="A42" s="84"/>
      <c r="B42" s="131"/>
      <c r="C42" s="101"/>
      <c r="D42" s="32"/>
      <c r="E42" s="32"/>
      <c r="F42" s="58"/>
      <c r="G42" s="117"/>
      <c r="H42" s="42"/>
      <c r="I42" s="42"/>
      <c r="J42" s="46"/>
      <c r="K42" s="54"/>
      <c r="L42" s="75"/>
      <c r="M42" s="29"/>
      <c r="N42" s="39"/>
      <c r="O42" s="28"/>
      <c r="P42" s="39"/>
      <c r="Q42" s="39"/>
      <c r="R42" s="37"/>
    </row>
    <row r="43" spans="1:18" ht="18" customHeight="1">
      <c r="A43" s="84" t="s">
        <v>44</v>
      </c>
      <c r="B43" s="162">
        <v>2</v>
      </c>
      <c r="C43" s="27">
        <f>C41+1</f>
        <v>25</v>
      </c>
      <c r="D43" s="88" t="s">
        <v>38</v>
      </c>
      <c r="E43" s="88" t="s">
        <v>26</v>
      </c>
      <c r="F43" s="58" t="s">
        <v>102</v>
      </c>
      <c r="G43" s="117">
        <v>1</v>
      </c>
      <c r="H43" s="42">
        <v>9142</v>
      </c>
      <c r="I43" s="42">
        <f t="shared" ref="I43:I44" si="11">G43*H43</f>
        <v>9142</v>
      </c>
      <c r="J43" s="46"/>
      <c r="K43" s="54" t="s">
        <v>78</v>
      </c>
      <c r="L43" s="75"/>
      <c r="M43" s="29"/>
      <c r="N43" s="39">
        <v>45204</v>
      </c>
      <c r="O43" s="28"/>
      <c r="P43" s="39"/>
      <c r="Q43" s="191" t="s">
        <v>182</v>
      </c>
      <c r="R43" s="37"/>
    </row>
    <row r="44" spans="1:18" ht="18" customHeight="1">
      <c r="A44" s="29" t="s">
        <v>41</v>
      </c>
      <c r="B44" s="162">
        <v>2</v>
      </c>
      <c r="C44" s="27">
        <f t="shared" ref="C44" si="12">C43+1</f>
        <v>26</v>
      </c>
      <c r="D44" s="86" t="s">
        <v>167</v>
      </c>
      <c r="E44" s="32" t="s">
        <v>26</v>
      </c>
      <c r="F44" s="58" t="s">
        <v>79</v>
      </c>
      <c r="G44" s="117">
        <v>3</v>
      </c>
      <c r="H44" s="42">
        <v>157</v>
      </c>
      <c r="I44" s="42">
        <f t="shared" si="11"/>
        <v>471</v>
      </c>
      <c r="J44" s="46"/>
      <c r="K44" s="54" t="s">
        <v>117</v>
      </c>
      <c r="L44" s="75"/>
      <c r="M44" s="29"/>
      <c r="N44" s="39">
        <v>45204</v>
      </c>
      <c r="O44" s="28"/>
      <c r="P44" s="39"/>
      <c r="Q44" s="191" t="s">
        <v>182</v>
      </c>
      <c r="R44" s="37"/>
    </row>
    <row r="45" spans="1:18" ht="18" customHeight="1">
      <c r="A45" s="29" t="s">
        <v>41</v>
      </c>
      <c r="B45" s="162">
        <v>2</v>
      </c>
      <c r="C45" s="27">
        <f t="shared" ref="C45:C46" si="13">C44+1</f>
        <v>27</v>
      </c>
      <c r="D45" s="55" t="s">
        <v>26</v>
      </c>
      <c r="E45" s="55" t="s">
        <v>26</v>
      </c>
      <c r="F45" s="87" t="s">
        <v>42</v>
      </c>
      <c r="G45" s="56"/>
      <c r="H45" s="56">
        <v>19</v>
      </c>
      <c r="I45" s="56">
        <f t="shared" ref="I45:I46" si="14">G45*H45</f>
        <v>0</v>
      </c>
      <c r="J45" s="111"/>
      <c r="K45" s="112" t="s">
        <v>164</v>
      </c>
      <c r="L45" s="75"/>
      <c r="M45" s="29"/>
      <c r="N45" s="39"/>
      <c r="O45" s="28"/>
      <c r="P45" s="39"/>
      <c r="Q45" s="39"/>
      <c r="R45" s="37"/>
    </row>
    <row r="46" spans="1:18" ht="18" customHeight="1">
      <c r="A46" s="29" t="s">
        <v>41</v>
      </c>
      <c r="B46" s="162">
        <v>2</v>
      </c>
      <c r="C46" s="27">
        <f t="shared" si="13"/>
        <v>28</v>
      </c>
      <c r="D46" s="55" t="s">
        <v>26</v>
      </c>
      <c r="E46" s="55" t="s">
        <v>26</v>
      </c>
      <c r="F46" s="87" t="s">
        <v>35</v>
      </c>
      <c r="G46" s="56"/>
      <c r="H46" s="56">
        <v>27</v>
      </c>
      <c r="I46" s="56">
        <f t="shared" si="14"/>
        <v>0</v>
      </c>
      <c r="J46" s="119"/>
      <c r="K46" s="112" t="s">
        <v>80</v>
      </c>
      <c r="L46" s="75"/>
      <c r="M46" s="29"/>
      <c r="N46" s="39"/>
      <c r="O46" s="28"/>
      <c r="P46" s="39"/>
      <c r="Q46" s="39"/>
      <c r="R46" s="37"/>
    </row>
    <row r="47" spans="1:18" ht="18" customHeight="1">
      <c r="A47" s="84"/>
      <c r="B47" s="131"/>
      <c r="C47" s="101"/>
      <c r="D47" s="32"/>
      <c r="E47" s="32"/>
      <c r="F47" s="58"/>
      <c r="G47" s="117"/>
      <c r="H47" s="42"/>
      <c r="I47" s="42"/>
      <c r="J47" s="46"/>
      <c r="K47" s="54"/>
      <c r="L47" s="75"/>
      <c r="M47" s="29"/>
      <c r="N47" s="39"/>
      <c r="O47" s="28"/>
      <c r="P47" s="39"/>
      <c r="Q47" s="39"/>
      <c r="R47" s="37"/>
    </row>
    <row r="48" spans="1:18" ht="18" customHeight="1">
      <c r="A48" s="84" t="s">
        <v>44</v>
      </c>
      <c r="B48" s="162">
        <v>2</v>
      </c>
      <c r="C48" s="27">
        <f>C46+1</f>
        <v>29</v>
      </c>
      <c r="D48" s="88" t="s">
        <v>38</v>
      </c>
      <c r="E48" s="88" t="s">
        <v>26</v>
      </c>
      <c r="F48" s="58" t="s">
        <v>103</v>
      </c>
      <c r="G48" s="117">
        <v>1</v>
      </c>
      <c r="H48" s="42">
        <v>10856</v>
      </c>
      <c r="I48" s="42">
        <f t="shared" ref="I48:I50" si="15">G48*H48</f>
        <v>10856</v>
      </c>
      <c r="J48" s="46"/>
      <c r="K48" s="54" t="s">
        <v>81</v>
      </c>
      <c r="L48" s="75"/>
      <c r="M48" s="29"/>
      <c r="N48" s="39">
        <v>45204</v>
      </c>
      <c r="O48" s="28"/>
      <c r="P48" s="39"/>
      <c r="Q48" s="191" t="s">
        <v>182</v>
      </c>
      <c r="R48" s="37"/>
    </row>
    <row r="49" spans="1:18" ht="18" customHeight="1">
      <c r="A49" s="84" t="s">
        <v>168</v>
      </c>
      <c r="B49" s="162">
        <v>2</v>
      </c>
      <c r="C49" s="27">
        <f t="shared" ref="C49:C50" si="16">C48+1</f>
        <v>30</v>
      </c>
      <c r="D49" s="32" t="s">
        <v>26</v>
      </c>
      <c r="E49" s="32" t="s">
        <v>26</v>
      </c>
      <c r="F49" s="58" t="s">
        <v>82</v>
      </c>
      <c r="G49" s="117">
        <v>3</v>
      </c>
      <c r="H49" s="42">
        <v>1200</v>
      </c>
      <c r="I49" s="42">
        <f t="shared" si="15"/>
        <v>3600</v>
      </c>
      <c r="J49" s="46"/>
      <c r="K49" s="54" t="s">
        <v>118</v>
      </c>
      <c r="L49" s="75"/>
      <c r="M49" s="29"/>
      <c r="N49" s="39">
        <v>45204</v>
      </c>
      <c r="O49" s="28"/>
      <c r="P49" s="39"/>
      <c r="Q49" s="191" t="s">
        <v>182</v>
      </c>
      <c r="R49" s="37"/>
    </row>
    <row r="50" spans="1:18" ht="18" customHeight="1">
      <c r="A50" s="29" t="s">
        <v>41</v>
      </c>
      <c r="B50" s="162">
        <v>2</v>
      </c>
      <c r="C50" s="27">
        <f t="shared" si="16"/>
        <v>31</v>
      </c>
      <c r="D50" s="86" t="s">
        <v>167</v>
      </c>
      <c r="E50" s="32" t="s">
        <v>26</v>
      </c>
      <c r="F50" s="58" t="s">
        <v>79</v>
      </c>
      <c r="G50" s="117">
        <v>3</v>
      </c>
      <c r="H50" s="42">
        <v>157</v>
      </c>
      <c r="I50" s="42">
        <f t="shared" si="15"/>
        <v>471</v>
      </c>
      <c r="J50" s="46"/>
      <c r="K50" s="54" t="s">
        <v>117</v>
      </c>
      <c r="L50" s="75"/>
      <c r="M50" s="29"/>
      <c r="N50" s="39">
        <v>45204</v>
      </c>
      <c r="O50" s="28"/>
      <c r="P50" s="39"/>
      <c r="Q50" s="191" t="s">
        <v>182</v>
      </c>
      <c r="R50" s="37"/>
    </row>
    <row r="51" spans="1:18" ht="18" customHeight="1">
      <c r="A51" s="29" t="s">
        <v>41</v>
      </c>
      <c r="B51" s="162">
        <v>2</v>
      </c>
      <c r="C51" s="27">
        <f t="shared" ref="C51:C52" si="17">C50+1</f>
        <v>32</v>
      </c>
      <c r="D51" s="55" t="s">
        <v>26</v>
      </c>
      <c r="E51" s="55" t="s">
        <v>26</v>
      </c>
      <c r="F51" s="87" t="s">
        <v>42</v>
      </c>
      <c r="G51" s="56"/>
      <c r="H51" s="56">
        <v>19</v>
      </c>
      <c r="I51" s="56">
        <f t="shared" ref="I51:I52" si="18">G51*H51</f>
        <v>0</v>
      </c>
      <c r="J51" s="111"/>
      <c r="K51" s="112" t="s">
        <v>163</v>
      </c>
      <c r="L51" s="75"/>
      <c r="M51" s="29"/>
      <c r="N51" s="39"/>
      <c r="O51" s="28"/>
      <c r="P51" s="39"/>
      <c r="Q51" s="39"/>
      <c r="R51" s="37"/>
    </row>
    <row r="52" spans="1:18" ht="18" customHeight="1">
      <c r="A52" s="29" t="s">
        <v>41</v>
      </c>
      <c r="B52" s="162">
        <v>2</v>
      </c>
      <c r="C52" s="27">
        <f t="shared" si="17"/>
        <v>33</v>
      </c>
      <c r="D52" s="55" t="s">
        <v>26</v>
      </c>
      <c r="E52" s="55" t="s">
        <v>26</v>
      </c>
      <c r="F52" s="87" t="s">
        <v>35</v>
      </c>
      <c r="G52" s="56"/>
      <c r="H52" s="56">
        <v>27</v>
      </c>
      <c r="I52" s="56">
        <f t="shared" si="18"/>
        <v>0</v>
      </c>
      <c r="J52" s="119"/>
      <c r="K52" s="112" t="s">
        <v>80</v>
      </c>
      <c r="L52" s="75"/>
      <c r="M52" s="29"/>
      <c r="N52" s="39"/>
      <c r="O52" s="28"/>
      <c r="P52" s="39"/>
      <c r="Q52" s="39"/>
      <c r="R52" s="37"/>
    </row>
    <row r="53" spans="1:18" ht="18" customHeight="1">
      <c r="A53" s="84"/>
      <c r="B53" s="131"/>
      <c r="C53" s="101"/>
      <c r="D53" s="32"/>
      <c r="E53" s="32"/>
      <c r="F53" s="58"/>
      <c r="G53" s="117"/>
      <c r="H53" s="42"/>
      <c r="I53" s="42"/>
      <c r="J53" s="46"/>
      <c r="K53" s="54"/>
      <c r="L53" s="75"/>
      <c r="M53" s="29"/>
      <c r="N53" s="39"/>
      <c r="O53" s="28"/>
      <c r="P53" s="39"/>
      <c r="Q53" s="39"/>
      <c r="R53" s="37"/>
    </row>
    <row r="54" spans="1:18" ht="18" customHeight="1">
      <c r="A54" s="84"/>
      <c r="B54" s="131"/>
      <c r="C54" s="105"/>
      <c r="D54" s="4"/>
      <c r="E54" s="7"/>
      <c r="F54" s="206">
        <f>SUM(I17:I52)</f>
        <v>120139</v>
      </c>
      <c r="G54" s="207"/>
      <c r="H54" s="207"/>
      <c r="I54" s="208"/>
      <c r="J54" s="21"/>
      <c r="K54" s="20"/>
      <c r="L54" s="6"/>
      <c r="M54" s="5"/>
      <c r="N54" s="15"/>
      <c r="O54" s="8"/>
      <c r="P54" s="8"/>
      <c r="Q54" s="109"/>
      <c r="R54" s="37"/>
    </row>
    <row r="55" spans="1:18" ht="18" customHeight="1">
      <c r="A55" s="84"/>
      <c r="B55" s="131"/>
      <c r="C55" s="105"/>
      <c r="D55" s="34"/>
      <c r="E55" s="64"/>
      <c r="F55" s="80"/>
      <c r="G55" s="80"/>
      <c r="H55" s="80"/>
      <c r="I55" s="80"/>
      <c r="J55" s="81"/>
      <c r="K55" s="82"/>
      <c r="L55" s="6"/>
      <c r="M55" s="5"/>
      <c r="N55" s="15"/>
      <c r="O55" s="8"/>
      <c r="P55" s="8"/>
      <c r="Q55" s="109"/>
      <c r="R55" s="37"/>
    </row>
    <row r="56" spans="1:18" ht="18" customHeight="1">
      <c r="A56" s="84"/>
      <c r="B56" s="131"/>
      <c r="C56" s="105"/>
      <c r="D56" s="78"/>
      <c r="E56" s="43"/>
      <c r="F56" s="66"/>
      <c r="G56" s="66"/>
      <c r="H56" s="66"/>
      <c r="I56" s="66"/>
      <c r="J56" s="46"/>
      <c r="K56" s="33"/>
      <c r="L56" s="79"/>
      <c r="M56" s="5"/>
      <c r="N56" s="15"/>
      <c r="O56" s="8"/>
      <c r="P56" s="8"/>
      <c r="Q56" s="109"/>
      <c r="R56" s="37"/>
    </row>
    <row r="57" spans="1:18" s="3" customFormat="1" ht="19.5" customHeight="1">
      <c r="A57" s="84"/>
      <c r="B57" s="131"/>
      <c r="C57" s="4"/>
      <c r="D57" s="76"/>
      <c r="E57" s="76"/>
      <c r="F57" s="65"/>
      <c r="G57" s="62"/>
      <c r="H57" s="62"/>
      <c r="I57" s="62"/>
      <c r="J57" s="19"/>
      <c r="K57" s="77"/>
      <c r="L57" s="1"/>
      <c r="M57" s="1"/>
      <c r="N57" s="149"/>
      <c r="O57" s="34"/>
      <c r="P57" s="150"/>
      <c r="Q57" s="151"/>
      <c r="R57" s="110"/>
    </row>
    <row r="58" spans="1:18" ht="18" customHeight="1">
      <c r="A58" s="84"/>
      <c r="B58" s="131"/>
      <c r="C58" s="106"/>
      <c r="D58" s="209" t="s">
        <v>34</v>
      </c>
      <c r="E58" s="209"/>
      <c r="F58" s="209"/>
      <c r="G58" s="36"/>
      <c r="H58" s="22"/>
      <c r="I58" s="22"/>
      <c r="J58" s="7"/>
      <c r="K58" s="20"/>
      <c r="L58" s="6"/>
      <c r="M58" s="144"/>
      <c r="N58" s="143"/>
      <c r="O58" s="110"/>
      <c r="P58" s="110"/>
      <c r="Q58" s="143"/>
      <c r="R58" s="145"/>
    </row>
    <row r="59" spans="1:18" ht="18" customHeight="1">
      <c r="A59" s="84" t="s">
        <v>40</v>
      </c>
      <c r="B59" s="163">
        <v>3</v>
      </c>
      <c r="C59" s="27">
        <f>+C52+1</f>
        <v>34</v>
      </c>
      <c r="D59" s="120" t="s">
        <v>26</v>
      </c>
      <c r="E59" s="120" t="s">
        <v>26</v>
      </c>
      <c r="F59" s="41" t="s">
        <v>83</v>
      </c>
      <c r="G59" s="83">
        <v>1</v>
      </c>
      <c r="H59" s="63">
        <v>870</v>
      </c>
      <c r="I59" s="63">
        <f t="shared" ref="I59:I60" si="19">G59*H59</f>
        <v>870</v>
      </c>
      <c r="J59" s="83"/>
      <c r="K59" s="41" t="s">
        <v>116</v>
      </c>
      <c r="L59" s="99"/>
      <c r="M59" s="144"/>
      <c r="N59" s="39">
        <v>45204</v>
      </c>
      <c r="O59" s="110"/>
      <c r="P59" s="110"/>
      <c r="Q59" s="191" t="s">
        <v>182</v>
      </c>
      <c r="R59" s="145"/>
    </row>
    <row r="60" spans="1:18" ht="18" customHeight="1">
      <c r="A60" s="29" t="s">
        <v>41</v>
      </c>
      <c r="B60" s="163">
        <v>3</v>
      </c>
      <c r="C60" s="27">
        <f t="shared" ref="C60" si="20">+C59+1</f>
        <v>35</v>
      </c>
      <c r="D60" s="120" t="s">
        <v>26</v>
      </c>
      <c r="E60" s="120" t="s">
        <v>26</v>
      </c>
      <c r="F60" s="41" t="s">
        <v>39</v>
      </c>
      <c r="G60" s="83">
        <v>5</v>
      </c>
      <c r="H60" s="63">
        <v>92</v>
      </c>
      <c r="I60" s="141">
        <f t="shared" si="19"/>
        <v>460</v>
      </c>
      <c r="J60" s="83"/>
      <c r="K60" s="41" t="s">
        <v>84</v>
      </c>
      <c r="L60" s="99"/>
      <c r="M60" s="144"/>
      <c r="N60" s="39">
        <v>45204</v>
      </c>
      <c r="O60" s="110"/>
      <c r="P60" s="110"/>
      <c r="Q60" s="191" t="s">
        <v>182</v>
      </c>
      <c r="R60" s="145"/>
    </row>
    <row r="61" spans="1:18" ht="18" customHeight="1">
      <c r="A61" s="84"/>
      <c r="B61" s="131"/>
      <c r="C61" s="27"/>
      <c r="D61" s="4"/>
      <c r="E61" s="4"/>
      <c r="F61" s="58"/>
      <c r="G61" s="117"/>
      <c r="H61" s="42"/>
      <c r="I61" s="42"/>
      <c r="J61" s="21"/>
      <c r="K61" s="23"/>
      <c r="L61" s="6"/>
      <c r="M61" s="144"/>
      <c r="N61" s="39"/>
      <c r="O61" s="110"/>
      <c r="P61" s="110"/>
      <c r="Q61" s="39"/>
      <c r="R61" s="145"/>
    </row>
    <row r="62" spans="1:18" ht="18" customHeight="1">
      <c r="A62" s="84"/>
      <c r="B62" s="131"/>
      <c r="C62" s="1"/>
      <c r="D62" s="4"/>
      <c r="E62" s="4"/>
      <c r="F62" s="206">
        <f>SUM(I59:I61)</f>
        <v>1330</v>
      </c>
      <c r="G62" s="207"/>
      <c r="H62" s="207"/>
      <c r="I62" s="208"/>
      <c r="J62" s="138"/>
      <c r="K62" s="82"/>
      <c r="L62" s="6"/>
      <c r="M62" s="144"/>
      <c r="N62" s="143"/>
      <c r="O62" s="110"/>
      <c r="P62" s="110"/>
      <c r="Q62" s="143"/>
      <c r="R62" s="145"/>
    </row>
    <row r="63" spans="1:18" ht="18" customHeight="1">
      <c r="A63" s="84"/>
      <c r="B63" s="131"/>
      <c r="C63" s="1"/>
      <c r="D63" s="4"/>
      <c r="E63" s="137"/>
      <c r="F63" s="66"/>
      <c r="G63" s="66"/>
      <c r="H63" s="66"/>
      <c r="I63" s="66"/>
      <c r="J63" s="43"/>
      <c r="K63" s="33"/>
      <c r="L63" s="79"/>
      <c r="M63" s="144"/>
      <c r="N63" s="143"/>
      <c r="O63" s="110"/>
      <c r="P63" s="110"/>
      <c r="Q63" s="143"/>
      <c r="R63" s="145"/>
    </row>
    <row r="64" spans="1:18" ht="18" customHeight="1">
      <c r="A64" s="84"/>
      <c r="B64" s="131"/>
      <c r="C64" s="1"/>
      <c r="D64" s="4"/>
      <c r="E64" s="137"/>
      <c r="F64" s="66"/>
      <c r="G64" s="66"/>
      <c r="H64" s="66"/>
      <c r="I64" s="66"/>
      <c r="J64" s="43"/>
      <c r="K64" s="33"/>
      <c r="L64" s="79"/>
      <c r="M64" s="144"/>
      <c r="N64" s="143"/>
      <c r="O64" s="110"/>
      <c r="P64" s="110"/>
      <c r="Q64" s="143"/>
      <c r="R64" s="145"/>
    </row>
    <row r="65" spans="1:18" ht="18" customHeight="1">
      <c r="A65" s="84"/>
      <c r="B65" s="131"/>
      <c r="C65" s="1"/>
      <c r="D65" s="4"/>
      <c r="E65" s="4"/>
      <c r="F65" s="139"/>
      <c r="G65" s="62"/>
      <c r="H65" s="62"/>
      <c r="I65" s="62"/>
      <c r="J65" s="140"/>
      <c r="K65" s="77"/>
      <c r="L65" s="6"/>
      <c r="M65" s="144"/>
      <c r="N65" s="143"/>
      <c r="O65" s="110"/>
      <c r="P65" s="110"/>
      <c r="Q65" s="143"/>
      <c r="R65" s="145"/>
    </row>
    <row r="66" spans="1:18" ht="18" customHeight="1">
      <c r="A66" s="84"/>
      <c r="B66" s="131"/>
      <c r="C66" s="107"/>
      <c r="D66" s="210" t="s">
        <v>28</v>
      </c>
      <c r="E66" s="211"/>
      <c r="F66" s="212"/>
      <c r="G66" s="29"/>
      <c r="H66" s="29"/>
      <c r="I66" s="30"/>
      <c r="J66" s="30"/>
      <c r="K66" s="29"/>
      <c r="L66" s="6"/>
      <c r="M66" s="144"/>
      <c r="N66" s="143"/>
      <c r="O66" s="110"/>
      <c r="P66" s="110"/>
      <c r="Q66" s="143"/>
      <c r="R66" s="146"/>
    </row>
    <row r="67" spans="1:18" ht="18" customHeight="1">
      <c r="A67" s="84" t="s">
        <v>41</v>
      </c>
      <c r="B67" s="163">
        <v>3</v>
      </c>
      <c r="C67" s="27">
        <f>+C60+1</f>
        <v>36</v>
      </c>
      <c r="D67" s="86" t="s">
        <v>112</v>
      </c>
      <c r="E67" s="86" t="s">
        <v>113</v>
      </c>
      <c r="F67" s="58" t="s">
        <v>114</v>
      </c>
      <c r="G67" s="168">
        <v>1</v>
      </c>
      <c r="H67" s="169">
        <v>2000</v>
      </c>
      <c r="I67" s="63">
        <v>2000</v>
      </c>
      <c r="J67" s="83"/>
      <c r="K67" s="58" t="s">
        <v>115</v>
      </c>
      <c r="L67" s="89"/>
      <c r="M67" s="144"/>
      <c r="N67" s="143">
        <v>45204</v>
      </c>
      <c r="O67" s="110"/>
      <c r="P67" s="191" t="s">
        <v>182</v>
      </c>
      <c r="Q67" s="143"/>
      <c r="R67" s="145"/>
    </row>
    <row r="68" spans="1:18" ht="18" customHeight="1">
      <c r="A68" s="84"/>
      <c r="B68" s="163"/>
      <c r="C68" s="27"/>
      <c r="D68" s="86" t="s">
        <v>112</v>
      </c>
      <c r="E68" s="86" t="s">
        <v>113</v>
      </c>
      <c r="F68" s="58" t="s">
        <v>181</v>
      </c>
      <c r="G68" s="168">
        <v>1</v>
      </c>
      <c r="H68" s="169">
        <v>1000</v>
      </c>
      <c r="I68" s="42">
        <f t="shared" ref="I68:I72" si="21">G68*H68</f>
        <v>1000</v>
      </c>
      <c r="J68" s="83"/>
      <c r="K68" s="58"/>
      <c r="L68" s="89"/>
      <c r="M68" s="142"/>
      <c r="N68" s="143">
        <v>45204</v>
      </c>
      <c r="O68" s="110"/>
      <c r="P68" s="110"/>
      <c r="Q68" s="191" t="s">
        <v>182</v>
      </c>
      <c r="R68" s="145"/>
    </row>
    <row r="69" spans="1:18" ht="18" customHeight="1">
      <c r="A69" s="84" t="s">
        <v>36</v>
      </c>
      <c r="B69" s="163">
        <v>3</v>
      </c>
      <c r="C69" s="27">
        <f t="shared" ref="C69" si="22">+C67+1</f>
        <v>37</v>
      </c>
      <c r="D69" s="88" t="s">
        <v>38</v>
      </c>
      <c r="E69" s="88" t="s">
        <v>26</v>
      </c>
      <c r="F69" s="58" t="s">
        <v>154</v>
      </c>
      <c r="G69" s="168">
        <v>1</v>
      </c>
      <c r="H69" s="169">
        <v>3230</v>
      </c>
      <c r="I69" s="42">
        <f t="shared" si="21"/>
        <v>3230</v>
      </c>
      <c r="J69" s="83"/>
      <c r="K69" s="58" t="s">
        <v>153</v>
      </c>
      <c r="L69" s="128"/>
      <c r="M69" s="142"/>
      <c r="N69" s="39">
        <v>45204</v>
      </c>
      <c r="O69" s="110"/>
      <c r="P69" s="110"/>
      <c r="Q69" s="191" t="s">
        <v>182</v>
      </c>
      <c r="R69" s="145"/>
    </row>
    <row r="70" spans="1:18" ht="18" customHeight="1">
      <c r="A70" s="29" t="s">
        <v>41</v>
      </c>
      <c r="B70" s="163">
        <v>3</v>
      </c>
      <c r="C70" s="27">
        <f t="shared" ref="C70" si="23">C67+1</f>
        <v>37</v>
      </c>
      <c r="D70" s="55" t="s">
        <v>26</v>
      </c>
      <c r="E70" s="55" t="s">
        <v>26</v>
      </c>
      <c r="F70" s="87" t="s">
        <v>74</v>
      </c>
      <c r="G70" s="56"/>
      <c r="H70" s="56">
        <v>169</v>
      </c>
      <c r="I70" s="56">
        <f t="shared" si="21"/>
        <v>0</v>
      </c>
      <c r="J70" s="111"/>
      <c r="K70" s="112" t="s">
        <v>162</v>
      </c>
      <c r="L70" s="127"/>
      <c r="M70" s="144"/>
      <c r="N70" s="143"/>
      <c r="O70" s="110"/>
      <c r="P70" s="110"/>
      <c r="Q70" s="143"/>
      <c r="R70" s="145"/>
    </row>
    <row r="71" spans="1:18" ht="18" customHeight="1">
      <c r="A71" s="29" t="s">
        <v>41</v>
      </c>
      <c r="B71" s="163">
        <v>3</v>
      </c>
      <c r="C71" s="27">
        <f>+C67+1</f>
        <v>37</v>
      </c>
      <c r="D71" s="32" t="s">
        <v>26</v>
      </c>
      <c r="E71" s="32" t="s">
        <v>26</v>
      </c>
      <c r="F71" s="58" t="s">
        <v>31</v>
      </c>
      <c r="G71" s="29">
        <v>2</v>
      </c>
      <c r="H71" s="165">
        <v>72</v>
      </c>
      <c r="I71" s="60">
        <f t="shared" si="21"/>
        <v>144</v>
      </c>
      <c r="J71" s="30"/>
      <c r="K71" s="35" t="s">
        <v>52</v>
      </c>
      <c r="L71" s="72"/>
      <c r="M71" s="144"/>
      <c r="N71" s="39">
        <v>45204</v>
      </c>
      <c r="O71" s="110"/>
      <c r="P71" s="110"/>
      <c r="Q71" s="191" t="s">
        <v>182</v>
      </c>
      <c r="R71" s="145"/>
    </row>
    <row r="72" spans="1:18" ht="18" customHeight="1">
      <c r="A72" s="29" t="s">
        <v>41</v>
      </c>
      <c r="B72" s="163">
        <v>3</v>
      </c>
      <c r="C72" s="27">
        <f t="shared" ref="C72:C78" si="24">+C71+1</f>
        <v>38</v>
      </c>
      <c r="D72" s="29" t="s">
        <v>26</v>
      </c>
      <c r="E72" s="29" t="s">
        <v>26</v>
      </c>
      <c r="F72" s="38" t="s">
        <v>29</v>
      </c>
      <c r="G72" s="166">
        <v>4</v>
      </c>
      <c r="H72" s="167">
        <v>70</v>
      </c>
      <c r="I72" s="61">
        <f t="shared" si="21"/>
        <v>280</v>
      </c>
      <c r="J72" s="30"/>
      <c r="K72" s="38" t="s">
        <v>30</v>
      </c>
      <c r="L72" s="72"/>
      <c r="M72" s="144"/>
      <c r="N72" s="39">
        <v>45204</v>
      </c>
      <c r="O72" s="110"/>
      <c r="P72" s="110"/>
      <c r="Q72" s="191" t="s">
        <v>182</v>
      </c>
      <c r="R72" s="145"/>
    </row>
    <row r="73" spans="1:18" ht="18" customHeight="1">
      <c r="A73" s="29" t="s">
        <v>41</v>
      </c>
      <c r="B73" s="163">
        <v>3</v>
      </c>
      <c r="C73" s="27">
        <f t="shared" si="24"/>
        <v>39</v>
      </c>
      <c r="D73" s="32" t="s">
        <v>26</v>
      </c>
      <c r="E73" s="32" t="s">
        <v>26</v>
      </c>
      <c r="F73" s="58" t="s">
        <v>32</v>
      </c>
      <c r="G73" s="29">
        <v>2</v>
      </c>
      <c r="H73" s="165">
        <v>31</v>
      </c>
      <c r="I73" s="60">
        <f t="shared" ref="I73:I75" si="25">G73*H73</f>
        <v>62</v>
      </c>
      <c r="J73" s="30"/>
      <c r="K73" s="35" t="s">
        <v>53</v>
      </c>
      <c r="L73" s="6"/>
      <c r="M73" s="144"/>
      <c r="N73" s="39">
        <v>45204</v>
      </c>
      <c r="O73" s="110"/>
      <c r="P73" s="110"/>
      <c r="Q73" s="191" t="s">
        <v>182</v>
      </c>
      <c r="R73" s="145"/>
    </row>
    <row r="74" spans="1:18" ht="18" customHeight="1">
      <c r="A74" s="84" t="s">
        <v>36</v>
      </c>
      <c r="B74" s="163">
        <v>3</v>
      </c>
      <c r="C74" s="27">
        <f t="shared" si="24"/>
        <v>40</v>
      </c>
      <c r="D74" s="88" t="s">
        <v>38</v>
      </c>
      <c r="E74" s="88" t="s">
        <v>26</v>
      </c>
      <c r="F74" s="38" t="s">
        <v>152</v>
      </c>
      <c r="G74" s="166">
        <v>1</v>
      </c>
      <c r="H74" s="167">
        <v>3300</v>
      </c>
      <c r="I74" s="42">
        <f t="shared" si="25"/>
        <v>3300</v>
      </c>
      <c r="J74" s="30"/>
      <c r="K74" s="38" t="s">
        <v>155</v>
      </c>
      <c r="L74" s="6"/>
      <c r="M74" s="144"/>
      <c r="N74" s="39">
        <v>45204</v>
      </c>
      <c r="O74" s="110"/>
      <c r="P74" s="110"/>
      <c r="Q74" s="191" t="s">
        <v>182</v>
      </c>
      <c r="R74" s="145"/>
    </row>
    <row r="75" spans="1:18" ht="18" customHeight="1">
      <c r="A75" s="84" t="s">
        <v>111</v>
      </c>
      <c r="B75" s="163">
        <v>3</v>
      </c>
      <c r="C75" s="27">
        <f t="shared" si="24"/>
        <v>41</v>
      </c>
      <c r="D75" s="88" t="s">
        <v>38</v>
      </c>
      <c r="E75" s="88" t="s">
        <v>26</v>
      </c>
      <c r="F75" s="38" t="s">
        <v>110</v>
      </c>
      <c r="G75" s="166">
        <v>1</v>
      </c>
      <c r="H75" s="167">
        <v>4500</v>
      </c>
      <c r="I75" s="42">
        <f t="shared" si="25"/>
        <v>4500</v>
      </c>
      <c r="J75" s="30"/>
      <c r="K75" s="38" t="s">
        <v>86</v>
      </c>
      <c r="L75" s="6"/>
      <c r="M75" s="144"/>
      <c r="N75" s="39">
        <v>45204</v>
      </c>
      <c r="O75" s="110"/>
      <c r="P75" s="110"/>
      <c r="Q75" s="191" t="s">
        <v>182</v>
      </c>
      <c r="R75" s="145"/>
    </row>
    <row r="76" spans="1:18" ht="18" customHeight="1">
      <c r="A76" s="29"/>
      <c r="B76" s="131"/>
      <c r="C76" s="27"/>
      <c r="D76" s="32"/>
      <c r="E76" s="32"/>
      <c r="F76" s="129"/>
      <c r="G76" s="168"/>
      <c r="H76" s="169"/>
      <c r="I76" s="63"/>
      <c r="J76" s="83"/>
      <c r="K76" s="58"/>
      <c r="L76" s="72"/>
      <c r="M76" s="144"/>
      <c r="N76" s="143"/>
      <c r="O76" s="110"/>
      <c r="P76" s="110"/>
      <c r="Q76" s="143"/>
      <c r="R76" s="145"/>
    </row>
    <row r="77" spans="1:18" ht="18" customHeight="1">
      <c r="A77" s="84" t="s">
        <v>41</v>
      </c>
      <c r="B77" s="163">
        <v>3</v>
      </c>
      <c r="C77" s="27">
        <f>+C75+1</f>
        <v>42</v>
      </c>
      <c r="D77" s="48" t="s">
        <v>26</v>
      </c>
      <c r="E77" s="48" t="s">
        <v>26</v>
      </c>
      <c r="F77" s="130" t="s">
        <v>33</v>
      </c>
      <c r="G77" s="170">
        <v>1</v>
      </c>
      <c r="H77" s="59">
        <v>830</v>
      </c>
      <c r="I77" s="59">
        <f>G77*H77</f>
        <v>830</v>
      </c>
      <c r="J77" s="100"/>
      <c r="K77" s="50" t="s">
        <v>50</v>
      </c>
      <c r="L77" s="99"/>
      <c r="M77" s="144"/>
      <c r="N77" s="39">
        <v>45204</v>
      </c>
      <c r="O77" s="110"/>
      <c r="P77" s="110"/>
      <c r="Q77" s="191" t="s">
        <v>182</v>
      </c>
      <c r="R77" s="145"/>
    </row>
    <row r="78" spans="1:18" ht="18" customHeight="1">
      <c r="A78" s="84" t="s">
        <v>41</v>
      </c>
      <c r="B78" s="163">
        <v>3</v>
      </c>
      <c r="C78" s="27">
        <f t="shared" si="24"/>
        <v>43</v>
      </c>
      <c r="D78" s="48" t="s">
        <v>26</v>
      </c>
      <c r="E78" s="48" t="s">
        <v>26</v>
      </c>
      <c r="F78" s="130" t="s">
        <v>27</v>
      </c>
      <c r="G78" s="170">
        <v>1</v>
      </c>
      <c r="H78" s="59">
        <v>1350</v>
      </c>
      <c r="I78" s="59">
        <f>G78*H78</f>
        <v>1350</v>
      </c>
      <c r="J78" s="100"/>
      <c r="K78" s="50" t="s">
        <v>50</v>
      </c>
      <c r="L78" s="99"/>
      <c r="M78" s="144"/>
      <c r="N78" s="39">
        <v>45204</v>
      </c>
      <c r="O78" s="110"/>
      <c r="P78" s="110"/>
      <c r="Q78" s="191" t="s">
        <v>182</v>
      </c>
      <c r="R78" s="145"/>
    </row>
    <row r="79" spans="1:18" ht="18" customHeight="1">
      <c r="A79" s="30"/>
      <c r="B79" s="131"/>
      <c r="C79" s="29"/>
      <c r="D79" s="48"/>
      <c r="E79" s="48"/>
      <c r="F79" s="33"/>
      <c r="G79" s="29"/>
      <c r="H79" s="42"/>
      <c r="I79" s="42"/>
      <c r="J79" s="30"/>
      <c r="K79" s="31"/>
      <c r="L79" s="6"/>
      <c r="M79" s="144"/>
      <c r="N79" s="143"/>
      <c r="O79" s="110"/>
      <c r="P79" s="110"/>
      <c r="Q79" s="143"/>
      <c r="R79" s="147"/>
    </row>
    <row r="80" spans="1:18" ht="18" customHeight="1">
      <c r="A80" s="30"/>
      <c r="B80" s="131"/>
      <c r="C80" s="29"/>
      <c r="D80" s="51"/>
      <c r="E80" s="51"/>
      <c r="F80" s="192">
        <f>SUM(I67:I78)</f>
        <v>16696</v>
      </c>
      <c r="G80" s="193"/>
      <c r="H80" s="193"/>
      <c r="I80" s="194"/>
      <c r="J80" s="44"/>
      <c r="K80" s="45"/>
      <c r="L80" s="6"/>
      <c r="M80" s="144"/>
      <c r="N80" s="143"/>
      <c r="O80" s="110"/>
      <c r="P80" s="110"/>
      <c r="Q80" s="143"/>
      <c r="R80" s="148"/>
    </row>
    <row r="81" spans="1:18" ht="18" customHeight="1">
      <c r="A81" s="30"/>
      <c r="B81" s="131"/>
      <c r="C81" s="29"/>
      <c r="D81" s="68"/>
      <c r="E81" s="68"/>
      <c r="F81" s="69"/>
      <c r="G81" s="70"/>
      <c r="H81" s="71"/>
      <c r="I81" s="42"/>
      <c r="J81" s="29"/>
      <c r="K81" s="41"/>
      <c r="L81" s="79"/>
      <c r="M81" s="5"/>
      <c r="N81" s="152"/>
      <c r="O81" s="153"/>
      <c r="P81" s="153"/>
      <c r="Q81" s="152"/>
      <c r="R81" s="14"/>
    </row>
    <row r="82" spans="1:18" ht="18" customHeight="1">
      <c r="A82" s="30"/>
      <c r="B82" s="131"/>
      <c r="C82" s="29"/>
      <c r="D82" s="68"/>
      <c r="E82" s="68"/>
      <c r="F82" s="69"/>
      <c r="G82" s="70"/>
      <c r="H82" s="71"/>
      <c r="I82" s="42"/>
      <c r="J82" s="29"/>
      <c r="K82" s="41"/>
      <c r="L82" s="79"/>
      <c r="M82" s="5"/>
      <c r="N82" s="15"/>
      <c r="O82" s="8"/>
      <c r="P82" s="8"/>
      <c r="Q82" s="15"/>
      <c r="R82" s="14"/>
    </row>
    <row r="83" spans="1:18" ht="18" customHeight="1">
      <c r="A83" s="30"/>
      <c r="B83" s="131"/>
      <c r="C83" s="29"/>
      <c r="D83" s="32"/>
      <c r="E83" s="32"/>
      <c r="F83" s="53"/>
      <c r="G83" s="42"/>
      <c r="H83" s="42"/>
      <c r="I83" s="42"/>
      <c r="J83" s="46"/>
      <c r="K83" s="47"/>
      <c r="L83" s="79"/>
      <c r="M83" s="5"/>
      <c r="N83" s="15"/>
      <c r="O83" s="8"/>
      <c r="P83" s="8"/>
      <c r="Q83" s="15"/>
      <c r="R83" s="14"/>
    </row>
    <row r="84" spans="1:18" ht="18" customHeight="1">
      <c r="A84" s="30"/>
      <c r="B84" s="131"/>
      <c r="C84" s="108"/>
      <c r="D84" s="195" t="s">
        <v>57</v>
      </c>
      <c r="E84" s="195"/>
      <c r="F84" s="195"/>
      <c r="G84" s="52"/>
      <c r="H84" s="62"/>
      <c r="I84" s="62"/>
      <c r="J84" s="18"/>
      <c r="K84" s="25"/>
      <c r="L84" s="6"/>
      <c r="M84" s="5"/>
      <c r="N84" s="15"/>
      <c r="O84" s="8"/>
      <c r="P84" s="8"/>
      <c r="Q84" s="15"/>
      <c r="R84" s="14"/>
    </row>
    <row r="85" spans="1:18" ht="18" customHeight="1">
      <c r="A85" s="84" t="s">
        <v>37</v>
      </c>
      <c r="B85" s="164">
        <v>4</v>
      </c>
      <c r="C85" s="27">
        <f>+C78+1</f>
        <v>44</v>
      </c>
      <c r="D85" s="88" t="s">
        <v>38</v>
      </c>
      <c r="E85" s="88" t="s">
        <v>26</v>
      </c>
      <c r="F85" s="121" t="s">
        <v>157</v>
      </c>
      <c r="G85" s="122">
        <v>1</v>
      </c>
      <c r="H85" s="123">
        <v>33669</v>
      </c>
      <c r="I85" s="42">
        <f t="shared" ref="I85" si="26">G85*H85</f>
        <v>33669</v>
      </c>
      <c r="J85" s="30"/>
      <c r="K85" s="41" t="s">
        <v>156</v>
      </c>
      <c r="L85" s="6"/>
      <c r="M85" s="5"/>
      <c r="N85" s="39">
        <v>45204</v>
      </c>
      <c r="O85" s="8"/>
      <c r="P85" s="8"/>
      <c r="Q85" s="191" t="s">
        <v>182</v>
      </c>
      <c r="R85" s="37"/>
    </row>
    <row r="86" spans="1:18" ht="18" customHeight="1">
      <c r="A86" s="29" t="s">
        <v>41</v>
      </c>
      <c r="B86" s="164">
        <v>4</v>
      </c>
      <c r="C86" s="27">
        <f t="shared" ref="C86:C87" si="27">C85+1</f>
        <v>45</v>
      </c>
      <c r="D86" s="55" t="s">
        <v>26</v>
      </c>
      <c r="E86" s="55" t="s">
        <v>26</v>
      </c>
      <c r="F86" s="87" t="s">
        <v>42</v>
      </c>
      <c r="G86" s="56"/>
      <c r="H86" s="56">
        <v>19</v>
      </c>
      <c r="I86" s="56">
        <f t="shared" ref="I86:I87" si="28">G86*H86</f>
        <v>0</v>
      </c>
      <c r="J86" s="111"/>
      <c r="K86" s="112" t="s">
        <v>171</v>
      </c>
      <c r="L86" s="6"/>
      <c r="M86" s="5"/>
      <c r="N86" s="39"/>
      <c r="O86" s="8"/>
      <c r="P86" s="8"/>
      <c r="Q86" s="39"/>
      <c r="R86" s="37"/>
    </row>
    <row r="87" spans="1:18" ht="18" customHeight="1">
      <c r="A87" s="84" t="s">
        <v>41</v>
      </c>
      <c r="B87" s="164">
        <v>4</v>
      </c>
      <c r="C87" s="27">
        <f t="shared" si="27"/>
        <v>46</v>
      </c>
      <c r="D87" s="48" t="s">
        <v>26</v>
      </c>
      <c r="E87" s="48" t="s">
        <v>26</v>
      </c>
      <c r="F87" s="121" t="s">
        <v>88</v>
      </c>
      <c r="G87" s="122">
        <v>6</v>
      </c>
      <c r="H87" s="123">
        <v>119</v>
      </c>
      <c r="I87" s="42">
        <f t="shared" si="28"/>
        <v>714</v>
      </c>
      <c r="J87" s="30"/>
      <c r="K87" s="116" t="s">
        <v>89</v>
      </c>
      <c r="L87" s="6"/>
      <c r="M87" s="5"/>
      <c r="N87" s="39">
        <v>45204</v>
      </c>
      <c r="O87" s="8"/>
      <c r="P87" s="8"/>
      <c r="Q87" s="191" t="s">
        <v>182</v>
      </c>
      <c r="R87" s="37"/>
    </row>
    <row r="88" spans="1:18" ht="18" customHeight="1">
      <c r="A88" s="29" t="s">
        <v>41</v>
      </c>
      <c r="B88" s="164">
        <v>4</v>
      </c>
      <c r="C88" s="27">
        <f t="shared" ref="C88" si="29">C87+1</f>
        <v>47</v>
      </c>
      <c r="D88" s="55" t="s">
        <v>26</v>
      </c>
      <c r="E88" s="55" t="s">
        <v>26</v>
      </c>
      <c r="F88" s="87" t="s">
        <v>35</v>
      </c>
      <c r="G88" s="56"/>
      <c r="H88" s="56">
        <v>27</v>
      </c>
      <c r="I88" s="56">
        <f t="shared" ref="I88:I89" si="30">G88*H88</f>
        <v>0</v>
      </c>
      <c r="J88" s="119"/>
      <c r="K88" s="112" t="s">
        <v>90</v>
      </c>
      <c r="L88" s="6"/>
      <c r="M88" s="5"/>
      <c r="N88" s="39"/>
      <c r="O88" s="8"/>
      <c r="P88" s="8"/>
      <c r="Q88" s="39"/>
      <c r="R88" s="37"/>
    </row>
    <row r="89" spans="1:18" ht="18" customHeight="1">
      <c r="A89" s="29" t="s">
        <v>41</v>
      </c>
      <c r="B89" s="164">
        <v>4</v>
      </c>
      <c r="C89" s="27">
        <f t="shared" ref="C89" si="31">+C88+1</f>
        <v>48</v>
      </c>
      <c r="D89" s="55" t="s">
        <v>26</v>
      </c>
      <c r="E89" s="55" t="s">
        <v>26</v>
      </c>
      <c r="F89" s="73" t="s">
        <v>39</v>
      </c>
      <c r="G89" s="57"/>
      <c r="H89" s="133">
        <v>92</v>
      </c>
      <c r="I89" s="74">
        <f t="shared" si="30"/>
        <v>0</v>
      </c>
      <c r="J89" s="57"/>
      <c r="K89" s="73" t="s">
        <v>172</v>
      </c>
      <c r="L89" s="6"/>
      <c r="M89" s="5"/>
      <c r="N89" s="39"/>
      <c r="O89" s="8"/>
      <c r="P89" s="8"/>
      <c r="Q89" s="39"/>
      <c r="R89" s="37"/>
    </row>
    <row r="90" spans="1:18" ht="18" customHeight="1">
      <c r="A90" s="84"/>
      <c r="B90" s="131"/>
      <c r="C90" s="85"/>
      <c r="D90" s="32"/>
      <c r="E90" s="32"/>
      <c r="F90" s="121"/>
      <c r="G90" s="122"/>
      <c r="H90" s="123"/>
      <c r="I90" s="60"/>
      <c r="J90" s="30"/>
      <c r="K90" s="41"/>
      <c r="L90" s="6"/>
      <c r="M90" s="5"/>
      <c r="N90" s="39"/>
      <c r="O90" s="8"/>
      <c r="P90" s="8"/>
      <c r="Q90" s="39"/>
      <c r="R90" s="37"/>
    </row>
    <row r="91" spans="1:18" ht="18" customHeight="1">
      <c r="A91" s="84" t="s">
        <v>37</v>
      </c>
      <c r="B91" s="164">
        <v>4</v>
      </c>
      <c r="C91" s="27">
        <f>+C89+1</f>
        <v>49</v>
      </c>
      <c r="D91" s="88" t="s">
        <v>38</v>
      </c>
      <c r="E91" s="88" t="s">
        <v>26</v>
      </c>
      <c r="F91" s="121" t="s">
        <v>186</v>
      </c>
      <c r="G91" s="122">
        <v>2</v>
      </c>
      <c r="H91" s="123">
        <v>16381</v>
      </c>
      <c r="I91" s="42">
        <f t="shared" ref="I91" si="32">G91*H91</f>
        <v>32762</v>
      </c>
      <c r="J91" s="30"/>
      <c r="K91" s="41" t="s">
        <v>91</v>
      </c>
      <c r="L91" s="6"/>
      <c r="M91" s="5"/>
      <c r="N91" s="39">
        <v>45204</v>
      </c>
      <c r="O91" s="8"/>
      <c r="P91" s="8"/>
      <c r="Q91" s="191" t="s">
        <v>182</v>
      </c>
      <c r="R91" s="37"/>
    </row>
    <row r="92" spans="1:18" ht="18" customHeight="1">
      <c r="A92" s="29" t="s">
        <v>41</v>
      </c>
      <c r="B92" s="164">
        <v>4</v>
      </c>
      <c r="C92" s="27">
        <f t="shared" ref="C92" si="33">C91+1</f>
        <v>50</v>
      </c>
      <c r="D92" s="55" t="s">
        <v>26</v>
      </c>
      <c r="E92" s="55" t="s">
        <v>26</v>
      </c>
      <c r="F92" s="87" t="s">
        <v>49</v>
      </c>
      <c r="G92" s="56"/>
      <c r="H92" s="56">
        <v>27</v>
      </c>
      <c r="I92" s="56">
        <f t="shared" ref="I92" si="34">G92*H92</f>
        <v>0</v>
      </c>
      <c r="J92" s="119"/>
      <c r="K92" s="112" t="s">
        <v>158</v>
      </c>
      <c r="L92" s="6"/>
      <c r="M92" s="5"/>
      <c r="N92" s="39"/>
      <c r="O92" s="8"/>
      <c r="P92" s="8"/>
      <c r="Q92" s="39"/>
      <c r="R92" s="37"/>
    </row>
    <row r="93" spans="1:18" ht="18" customHeight="1">
      <c r="A93" s="84"/>
      <c r="B93" s="131"/>
      <c r="C93" s="85"/>
      <c r="D93" s="32"/>
      <c r="E93" s="32"/>
      <c r="F93" s="121"/>
      <c r="G93" s="122"/>
      <c r="H93" s="123"/>
      <c r="I93" s="60"/>
      <c r="J93" s="30"/>
      <c r="K93" s="41"/>
      <c r="L93" s="6"/>
      <c r="M93" s="5"/>
      <c r="N93" s="39"/>
      <c r="O93" s="8"/>
      <c r="P93" s="8"/>
      <c r="Q93" s="39"/>
      <c r="R93" s="37"/>
    </row>
    <row r="94" spans="1:18" ht="18" customHeight="1">
      <c r="A94" s="84" t="s">
        <v>37</v>
      </c>
      <c r="B94" s="164">
        <v>4</v>
      </c>
      <c r="C94" s="27">
        <f>+C92+1</f>
        <v>51</v>
      </c>
      <c r="D94" s="88" t="s">
        <v>38</v>
      </c>
      <c r="E94" s="88" t="s">
        <v>26</v>
      </c>
      <c r="F94" s="121" t="s">
        <v>150</v>
      </c>
      <c r="G94" s="122">
        <v>2</v>
      </c>
      <c r="H94" s="123">
        <v>16381</v>
      </c>
      <c r="I94" s="42">
        <f t="shared" ref="I94" si="35">G94*H94</f>
        <v>32762</v>
      </c>
      <c r="J94" s="30"/>
      <c r="K94" s="41" t="s">
        <v>149</v>
      </c>
      <c r="L94" s="6"/>
      <c r="M94" s="5"/>
      <c r="N94" s="39">
        <v>45204</v>
      </c>
      <c r="O94" s="8"/>
      <c r="P94" s="8"/>
      <c r="Q94" s="191" t="s">
        <v>182</v>
      </c>
      <c r="R94" s="37"/>
    </row>
    <row r="95" spans="1:18" ht="18" customHeight="1">
      <c r="A95" s="29" t="s">
        <v>41</v>
      </c>
      <c r="B95" s="164">
        <v>4</v>
      </c>
      <c r="C95" s="27">
        <f>C94+1</f>
        <v>52</v>
      </c>
      <c r="D95" s="55" t="s">
        <v>26</v>
      </c>
      <c r="E95" s="55" t="s">
        <v>26</v>
      </c>
      <c r="F95" s="87" t="s">
        <v>49</v>
      </c>
      <c r="G95" s="56"/>
      <c r="H95" s="56">
        <v>27</v>
      </c>
      <c r="I95" s="56">
        <f t="shared" ref="I95:I98" si="36">G95*H95</f>
        <v>0</v>
      </c>
      <c r="J95" s="119"/>
      <c r="K95" s="112" t="s">
        <v>92</v>
      </c>
      <c r="L95" s="6"/>
      <c r="M95" s="5"/>
      <c r="N95" s="39"/>
      <c r="O95" s="8"/>
      <c r="P95" s="8"/>
      <c r="Q95" s="39"/>
      <c r="R95" s="37"/>
    </row>
    <row r="96" spans="1:18" ht="18" customHeight="1">
      <c r="A96" s="29" t="s">
        <v>41</v>
      </c>
      <c r="B96" s="164">
        <v>4</v>
      </c>
      <c r="C96" s="27">
        <f t="shared" ref="C96:C98" si="37">C95+1</f>
        <v>53</v>
      </c>
      <c r="D96" s="120" t="s">
        <v>26</v>
      </c>
      <c r="E96" s="120" t="s">
        <v>26</v>
      </c>
      <c r="F96" s="121" t="s">
        <v>93</v>
      </c>
      <c r="G96" s="122">
        <v>4</v>
      </c>
      <c r="H96" s="123">
        <v>6510</v>
      </c>
      <c r="I96" s="42">
        <f t="shared" si="36"/>
        <v>26040</v>
      </c>
      <c r="J96" s="30"/>
      <c r="K96" s="41" t="s">
        <v>108</v>
      </c>
      <c r="L96" s="6"/>
      <c r="M96" s="5"/>
      <c r="N96" s="39">
        <v>45204</v>
      </c>
      <c r="O96" s="8"/>
      <c r="P96" s="8"/>
      <c r="Q96" s="191" t="s">
        <v>182</v>
      </c>
      <c r="R96" s="37"/>
    </row>
    <row r="97" spans="1:18" ht="18" customHeight="1">
      <c r="A97" s="29" t="s">
        <v>41</v>
      </c>
      <c r="B97" s="164">
        <v>4</v>
      </c>
      <c r="C97" s="27">
        <f t="shared" si="37"/>
        <v>54</v>
      </c>
      <c r="D97" s="120" t="s">
        <v>26</v>
      </c>
      <c r="E97" s="120" t="s">
        <v>26</v>
      </c>
      <c r="F97" s="121" t="s">
        <v>94</v>
      </c>
      <c r="G97" s="122">
        <v>16</v>
      </c>
      <c r="H97" s="123">
        <v>600</v>
      </c>
      <c r="I97" s="42">
        <f t="shared" si="36"/>
        <v>9600</v>
      </c>
      <c r="J97" s="30"/>
      <c r="K97" s="41" t="s">
        <v>106</v>
      </c>
      <c r="L97" s="6"/>
      <c r="M97" s="5"/>
      <c r="N97" s="39">
        <v>45204</v>
      </c>
      <c r="O97" s="8"/>
      <c r="P97" s="8"/>
      <c r="Q97" s="191" t="s">
        <v>182</v>
      </c>
      <c r="R97" s="37"/>
    </row>
    <row r="98" spans="1:18" ht="18" customHeight="1">
      <c r="A98" s="29" t="s">
        <v>41</v>
      </c>
      <c r="B98" s="164">
        <v>4</v>
      </c>
      <c r="C98" s="27">
        <f t="shared" si="37"/>
        <v>55</v>
      </c>
      <c r="D98" s="120" t="s">
        <v>26</v>
      </c>
      <c r="E98" s="120" t="s">
        <v>26</v>
      </c>
      <c r="F98" s="121" t="s">
        <v>95</v>
      </c>
      <c r="G98" s="122">
        <v>24</v>
      </c>
      <c r="H98" s="123">
        <v>230</v>
      </c>
      <c r="I98" s="42">
        <f t="shared" si="36"/>
        <v>5520</v>
      </c>
      <c r="J98" s="30"/>
      <c r="K98" s="41" t="s">
        <v>107</v>
      </c>
      <c r="L98" s="6"/>
      <c r="M98" s="5"/>
      <c r="N98" s="39">
        <v>45204</v>
      </c>
      <c r="O98" s="8"/>
      <c r="P98" s="8"/>
      <c r="Q98" s="191" t="s">
        <v>182</v>
      </c>
      <c r="R98" s="37"/>
    </row>
    <row r="99" spans="1:18" ht="18" customHeight="1">
      <c r="A99" s="84"/>
      <c r="B99" s="131"/>
      <c r="C99" s="85"/>
      <c r="D99" s="32"/>
      <c r="E99" s="32"/>
      <c r="F99" s="121"/>
      <c r="G99" s="122"/>
      <c r="H99" s="123"/>
      <c r="I99" s="60"/>
      <c r="J99" s="30"/>
      <c r="K99" s="41"/>
      <c r="L99" s="6"/>
      <c r="M99" s="5"/>
      <c r="N99" s="39"/>
      <c r="O99" s="8"/>
      <c r="P99" s="8"/>
      <c r="Q99" s="39"/>
      <c r="R99" s="37"/>
    </row>
    <row r="100" spans="1:18" ht="18" customHeight="1">
      <c r="A100" s="84" t="s">
        <v>105</v>
      </c>
      <c r="B100" s="164">
        <v>4</v>
      </c>
      <c r="C100" s="27">
        <f>+C98+1</f>
        <v>56</v>
      </c>
      <c r="D100" s="88" t="s">
        <v>38</v>
      </c>
      <c r="E100" s="88" t="s">
        <v>26</v>
      </c>
      <c r="F100" s="121" t="s">
        <v>104</v>
      </c>
      <c r="G100" s="122">
        <v>4</v>
      </c>
      <c r="H100" s="123">
        <v>3195</v>
      </c>
      <c r="I100" s="42">
        <f t="shared" ref="I100:I104" si="38">G100*H100</f>
        <v>12780</v>
      </c>
      <c r="J100" s="30"/>
      <c r="K100" s="41" t="s">
        <v>96</v>
      </c>
      <c r="L100" s="6"/>
      <c r="M100" s="5"/>
      <c r="N100" s="39">
        <v>45204</v>
      </c>
      <c r="O100" s="8"/>
      <c r="P100" s="8"/>
      <c r="Q100" s="191" t="s">
        <v>182</v>
      </c>
      <c r="R100" s="37"/>
    </row>
    <row r="101" spans="1:18" ht="18" customHeight="1">
      <c r="A101" s="29" t="s">
        <v>41</v>
      </c>
      <c r="B101" s="164">
        <v>4</v>
      </c>
      <c r="C101" s="27">
        <f>+C100+1</f>
        <v>57</v>
      </c>
      <c r="D101" s="120" t="s">
        <v>26</v>
      </c>
      <c r="E101" s="120" t="s">
        <v>26</v>
      </c>
      <c r="F101" s="121" t="s">
        <v>97</v>
      </c>
      <c r="G101" s="122">
        <v>8</v>
      </c>
      <c r="H101" s="123">
        <v>220</v>
      </c>
      <c r="I101" s="42">
        <f t="shared" si="38"/>
        <v>1760</v>
      </c>
      <c r="J101" s="30"/>
      <c r="K101" s="41" t="s">
        <v>109</v>
      </c>
      <c r="L101" s="6"/>
      <c r="M101" s="5"/>
      <c r="N101" s="39">
        <v>45204</v>
      </c>
      <c r="O101" s="8"/>
      <c r="P101" s="8"/>
      <c r="Q101" s="191" t="s">
        <v>182</v>
      </c>
      <c r="R101" s="37"/>
    </row>
    <row r="102" spans="1:18" ht="18" customHeight="1">
      <c r="A102" s="29" t="s">
        <v>41</v>
      </c>
      <c r="B102" s="164">
        <v>4</v>
      </c>
      <c r="C102" s="27">
        <f t="shared" ref="C102:C108" si="39">+C101+1</f>
        <v>58</v>
      </c>
      <c r="D102" s="120" t="s">
        <v>26</v>
      </c>
      <c r="E102" s="120" t="s">
        <v>26</v>
      </c>
      <c r="F102" s="121" t="s">
        <v>93</v>
      </c>
      <c r="G102" s="122">
        <v>4</v>
      </c>
      <c r="H102" s="123">
        <v>6510</v>
      </c>
      <c r="I102" s="42">
        <f t="shared" si="38"/>
        <v>26040</v>
      </c>
      <c r="J102" s="30"/>
      <c r="K102" s="41" t="s">
        <v>108</v>
      </c>
      <c r="L102" s="6"/>
      <c r="M102" s="5"/>
      <c r="N102" s="39">
        <v>45204</v>
      </c>
      <c r="O102" s="8"/>
      <c r="P102" s="8"/>
      <c r="Q102" s="191" t="s">
        <v>182</v>
      </c>
      <c r="R102" s="37"/>
    </row>
    <row r="103" spans="1:18" ht="18" customHeight="1">
      <c r="A103" s="29" t="s">
        <v>41</v>
      </c>
      <c r="B103" s="164">
        <v>4</v>
      </c>
      <c r="C103" s="27">
        <f t="shared" si="39"/>
        <v>59</v>
      </c>
      <c r="D103" s="55" t="s">
        <v>26</v>
      </c>
      <c r="E103" s="55" t="s">
        <v>26</v>
      </c>
      <c r="F103" s="124" t="s">
        <v>94</v>
      </c>
      <c r="G103" s="125"/>
      <c r="H103" s="126">
        <v>600</v>
      </c>
      <c r="I103" s="56">
        <f t="shared" si="38"/>
        <v>0</v>
      </c>
      <c r="J103" s="57"/>
      <c r="K103" s="73" t="s">
        <v>169</v>
      </c>
      <c r="L103" s="6"/>
      <c r="M103" s="5"/>
      <c r="N103" s="39"/>
      <c r="O103" s="8"/>
      <c r="P103" s="8"/>
      <c r="Q103" s="39"/>
      <c r="R103" s="37"/>
    </row>
    <row r="104" spans="1:18" ht="18" customHeight="1">
      <c r="A104" s="29" t="s">
        <v>41</v>
      </c>
      <c r="B104" s="164">
        <v>4</v>
      </c>
      <c r="C104" s="27">
        <f t="shared" si="39"/>
        <v>60</v>
      </c>
      <c r="D104" s="55" t="s">
        <v>26</v>
      </c>
      <c r="E104" s="55" t="s">
        <v>26</v>
      </c>
      <c r="F104" s="124" t="s">
        <v>95</v>
      </c>
      <c r="G104" s="125"/>
      <c r="H104" s="126">
        <v>230</v>
      </c>
      <c r="I104" s="56">
        <f t="shared" si="38"/>
        <v>0</v>
      </c>
      <c r="J104" s="57"/>
      <c r="K104" s="73" t="s">
        <v>170</v>
      </c>
      <c r="L104" s="6"/>
      <c r="M104" s="5"/>
      <c r="N104" s="39"/>
      <c r="O104" s="8"/>
      <c r="P104" s="8"/>
      <c r="Q104" s="39"/>
      <c r="R104" s="37"/>
    </row>
    <row r="105" spans="1:18" ht="18" customHeight="1">
      <c r="A105" s="84" t="s">
        <v>105</v>
      </c>
      <c r="B105" s="164">
        <v>4</v>
      </c>
      <c r="C105" s="27">
        <f t="shared" si="39"/>
        <v>61</v>
      </c>
      <c r="D105" s="88" t="s">
        <v>38</v>
      </c>
      <c r="E105" s="88" t="s">
        <v>26</v>
      </c>
      <c r="F105" s="121" t="s">
        <v>137</v>
      </c>
      <c r="G105" s="122">
        <v>2</v>
      </c>
      <c r="H105" s="123">
        <v>4489</v>
      </c>
      <c r="I105" s="42">
        <f t="shared" ref="I105:I108" si="40">G105*H105</f>
        <v>8978</v>
      </c>
      <c r="J105" s="83"/>
      <c r="K105" s="41" t="s">
        <v>134</v>
      </c>
      <c r="L105" s="6"/>
      <c r="M105" s="5"/>
      <c r="N105" s="39">
        <v>45204</v>
      </c>
      <c r="O105" s="8"/>
      <c r="P105" s="8"/>
      <c r="Q105" s="191" t="s">
        <v>182</v>
      </c>
      <c r="R105" s="37"/>
    </row>
    <row r="106" spans="1:18" ht="18" customHeight="1">
      <c r="A106" s="84" t="s">
        <v>105</v>
      </c>
      <c r="B106" s="164">
        <v>4</v>
      </c>
      <c r="C106" s="27">
        <f t="shared" si="39"/>
        <v>62</v>
      </c>
      <c r="D106" s="88" t="s">
        <v>38</v>
      </c>
      <c r="E106" s="88" t="s">
        <v>26</v>
      </c>
      <c r="F106" s="121" t="s">
        <v>138</v>
      </c>
      <c r="G106" s="122">
        <v>2</v>
      </c>
      <c r="H106" s="123">
        <v>4489</v>
      </c>
      <c r="I106" s="42">
        <f t="shared" si="40"/>
        <v>8978</v>
      </c>
      <c r="J106" s="83"/>
      <c r="K106" s="41" t="s">
        <v>136</v>
      </c>
      <c r="L106" s="6"/>
      <c r="M106" s="5"/>
      <c r="N106" s="39">
        <v>45204</v>
      </c>
      <c r="O106" s="8"/>
      <c r="P106" s="8"/>
      <c r="Q106" s="191" t="s">
        <v>182</v>
      </c>
      <c r="R106" s="37"/>
    </row>
    <row r="107" spans="1:18" ht="18" customHeight="1">
      <c r="A107" s="29" t="s">
        <v>41</v>
      </c>
      <c r="B107" s="164">
        <v>4</v>
      </c>
      <c r="C107" s="27">
        <f t="shared" si="39"/>
        <v>63</v>
      </c>
      <c r="D107" s="120" t="s">
        <v>26</v>
      </c>
      <c r="E107" s="120" t="s">
        <v>26</v>
      </c>
      <c r="F107" s="121" t="s">
        <v>135</v>
      </c>
      <c r="G107" s="122">
        <v>8</v>
      </c>
      <c r="H107" s="123">
        <v>220</v>
      </c>
      <c r="I107" s="42">
        <f t="shared" si="40"/>
        <v>1760</v>
      </c>
      <c r="J107" s="30"/>
      <c r="K107" s="41" t="s">
        <v>151</v>
      </c>
      <c r="L107" s="6"/>
      <c r="M107" s="5"/>
      <c r="N107" s="39">
        <v>45204</v>
      </c>
      <c r="O107" s="8"/>
      <c r="P107" s="8"/>
      <c r="Q107" s="191" t="s">
        <v>182</v>
      </c>
      <c r="R107" s="37"/>
    </row>
    <row r="108" spans="1:18" ht="18" customHeight="1">
      <c r="A108" s="225" t="s">
        <v>111</v>
      </c>
      <c r="B108" s="164"/>
      <c r="C108" s="27">
        <f t="shared" si="39"/>
        <v>64</v>
      </c>
      <c r="D108" s="226" t="s">
        <v>183</v>
      </c>
      <c r="E108" s="226" t="s">
        <v>174</v>
      </c>
      <c r="F108" s="227" t="s">
        <v>184</v>
      </c>
      <c r="G108" s="228">
        <v>2</v>
      </c>
      <c r="H108" s="229">
        <v>8184</v>
      </c>
      <c r="I108" s="230">
        <f t="shared" si="40"/>
        <v>16368</v>
      </c>
      <c r="J108" s="231"/>
      <c r="K108" s="41"/>
      <c r="L108" s="232" t="s">
        <v>185</v>
      </c>
      <c r="M108" s="5"/>
      <c r="N108" s="39">
        <v>45226</v>
      </c>
      <c r="O108" s="8"/>
      <c r="P108" s="8">
        <v>45233</v>
      </c>
      <c r="Q108" s="8">
        <v>45233</v>
      </c>
      <c r="R108" s="37"/>
    </row>
    <row r="109" spans="1:18" ht="18" customHeight="1">
      <c r="A109" s="29"/>
      <c r="B109" s="164"/>
      <c r="C109" s="224"/>
      <c r="D109" s="120"/>
      <c r="E109" s="120"/>
      <c r="F109" s="121"/>
      <c r="G109" s="122"/>
      <c r="H109" s="123"/>
      <c r="I109" s="42"/>
      <c r="J109" s="30"/>
      <c r="K109" s="41"/>
      <c r="L109" s="6"/>
      <c r="M109" s="5"/>
      <c r="N109" s="39"/>
      <c r="O109" s="8"/>
      <c r="P109" s="8"/>
      <c r="Q109" s="191"/>
      <c r="R109" s="37"/>
    </row>
    <row r="110" spans="1:18" ht="18" customHeight="1">
      <c r="A110" s="84"/>
      <c r="B110" s="131"/>
      <c r="C110" s="132"/>
      <c r="D110" s="32"/>
      <c r="E110" s="32"/>
      <c r="F110" s="121"/>
      <c r="G110" s="122"/>
      <c r="H110" s="123"/>
      <c r="I110" s="60"/>
      <c r="J110" s="30"/>
      <c r="K110" s="41"/>
      <c r="L110" s="6"/>
      <c r="M110" s="5"/>
      <c r="N110" s="39"/>
      <c r="O110" s="8"/>
      <c r="P110" s="8"/>
      <c r="Q110" s="39"/>
      <c r="R110" s="37"/>
    </row>
    <row r="111" spans="1:18" ht="18" customHeight="1">
      <c r="A111" s="84"/>
      <c r="B111" s="131"/>
      <c r="C111" s="1"/>
      <c r="D111" s="4"/>
      <c r="E111" s="4"/>
      <c r="F111" s="196">
        <f>SUM(I85:I110)</f>
        <v>217731</v>
      </c>
      <c r="G111" s="197"/>
      <c r="H111" s="197"/>
      <c r="I111" s="198"/>
      <c r="J111" s="7"/>
      <c r="K111" s="20"/>
      <c r="L111" s="6"/>
      <c r="M111" s="5"/>
      <c r="N111" s="15"/>
      <c r="O111" s="8"/>
      <c r="P111" s="8"/>
      <c r="Q111" s="15"/>
      <c r="R111" s="14"/>
    </row>
    <row r="112" spans="1:18" ht="18" customHeight="1">
      <c r="A112" s="84"/>
      <c r="B112" s="131"/>
      <c r="C112" s="1"/>
      <c r="D112" s="4"/>
      <c r="E112" s="4"/>
      <c r="F112" s="16"/>
      <c r="G112" s="17"/>
      <c r="H112" s="17"/>
      <c r="I112" s="22"/>
      <c r="J112" s="2"/>
      <c r="K112" s="16"/>
      <c r="L112" s="6"/>
      <c r="M112" s="5"/>
      <c r="N112" s="15"/>
      <c r="O112" s="8"/>
      <c r="P112" s="8"/>
      <c r="Q112" s="15"/>
      <c r="R112" s="14"/>
    </row>
    <row r="113" spans="1:18" ht="18" customHeight="1">
      <c r="A113" s="84"/>
      <c r="B113" s="131"/>
      <c r="C113" s="1"/>
      <c r="D113" s="4"/>
      <c r="E113" s="4"/>
      <c r="F113" s="16"/>
      <c r="G113" s="17"/>
      <c r="H113" s="17"/>
      <c r="I113" s="22"/>
      <c r="J113" s="2"/>
      <c r="K113" s="16"/>
      <c r="L113" s="6"/>
      <c r="M113" s="5"/>
      <c r="N113" s="15"/>
      <c r="O113" s="8"/>
      <c r="P113" s="8"/>
      <c r="Q113" s="15"/>
      <c r="R113" s="14"/>
    </row>
    <row r="114" spans="1:18" ht="18" customHeight="1">
      <c r="A114" s="84"/>
      <c r="B114" s="131"/>
      <c r="C114" s="1"/>
      <c r="D114" s="4"/>
      <c r="E114" s="4"/>
      <c r="F114" s="16"/>
      <c r="G114" s="17"/>
      <c r="H114" s="17"/>
      <c r="I114" s="22"/>
      <c r="J114" s="2"/>
      <c r="K114" s="16"/>
      <c r="L114" s="6"/>
      <c r="M114" s="5"/>
      <c r="N114" s="15"/>
      <c r="O114" s="8"/>
      <c r="P114" s="8"/>
      <c r="Q114" s="15"/>
      <c r="R114" s="14"/>
    </row>
    <row r="115" spans="1:18" ht="18" customHeight="1">
      <c r="A115" s="84"/>
      <c r="B115" s="131"/>
      <c r="C115" s="1"/>
      <c r="D115" s="195" t="s">
        <v>145</v>
      </c>
      <c r="E115" s="195"/>
      <c r="F115" s="195"/>
      <c r="G115" s="17"/>
      <c r="H115" s="17"/>
      <c r="I115" s="22"/>
      <c r="J115" s="2"/>
      <c r="K115" s="16"/>
      <c r="L115" s="6"/>
      <c r="M115" s="5"/>
      <c r="N115" s="15"/>
      <c r="O115" s="8"/>
      <c r="P115" s="8"/>
      <c r="Q115" s="15"/>
      <c r="R115" s="14"/>
    </row>
    <row r="116" spans="1:18" ht="18" customHeight="1">
      <c r="A116" s="84" t="s">
        <v>36</v>
      </c>
      <c r="B116" s="164">
        <v>4</v>
      </c>
      <c r="C116" s="27">
        <f>+C108+1</f>
        <v>65</v>
      </c>
      <c r="D116" s="88" t="s">
        <v>38</v>
      </c>
      <c r="E116" s="88" t="s">
        <v>26</v>
      </c>
      <c r="F116" s="16" t="s">
        <v>160</v>
      </c>
      <c r="G116" s="17">
        <v>1</v>
      </c>
      <c r="H116" s="17">
        <v>7770</v>
      </c>
      <c r="I116" s="42">
        <f t="shared" ref="I116:I122" si="41">G116*H116</f>
        <v>7770</v>
      </c>
      <c r="J116" s="2"/>
      <c r="K116" s="16" t="s">
        <v>159</v>
      </c>
      <c r="L116" s="6"/>
      <c r="M116" s="5"/>
      <c r="N116" s="39">
        <v>45204</v>
      </c>
      <c r="O116" s="8"/>
      <c r="P116" s="8"/>
      <c r="Q116" s="191" t="s">
        <v>182</v>
      </c>
      <c r="R116" s="14"/>
    </row>
    <row r="117" spans="1:18" ht="18" customHeight="1">
      <c r="A117" s="84" t="s">
        <v>36</v>
      </c>
      <c r="B117" s="164">
        <v>4</v>
      </c>
      <c r="C117" s="27">
        <f>+C116+1</f>
        <v>66</v>
      </c>
      <c r="D117" s="120" t="s">
        <v>26</v>
      </c>
      <c r="E117" s="120" t="s">
        <v>26</v>
      </c>
      <c r="F117" s="16" t="s">
        <v>148</v>
      </c>
      <c r="G117" s="17">
        <v>4</v>
      </c>
      <c r="H117" s="17">
        <v>800</v>
      </c>
      <c r="I117" s="42">
        <f t="shared" si="41"/>
        <v>3200</v>
      </c>
      <c r="J117" s="2"/>
      <c r="K117" s="16" t="s">
        <v>143</v>
      </c>
      <c r="L117" s="6"/>
      <c r="M117" s="5"/>
      <c r="N117" s="39">
        <v>45204</v>
      </c>
      <c r="O117" s="8"/>
      <c r="P117" s="8"/>
      <c r="Q117" s="191" t="s">
        <v>182</v>
      </c>
      <c r="R117" s="14"/>
    </row>
    <row r="118" spans="1:18" ht="18" customHeight="1">
      <c r="A118" s="84" t="s">
        <v>36</v>
      </c>
      <c r="B118" s="164">
        <v>4</v>
      </c>
      <c r="C118" s="27">
        <f>+C117+1</f>
        <v>67</v>
      </c>
      <c r="D118" s="120" t="s">
        <v>26</v>
      </c>
      <c r="E118" s="120" t="s">
        <v>26</v>
      </c>
      <c r="F118" s="16" t="s">
        <v>139</v>
      </c>
      <c r="G118" s="17">
        <v>7</v>
      </c>
      <c r="H118" s="17">
        <v>1340</v>
      </c>
      <c r="I118" s="42">
        <f t="shared" si="41"/>
        <v>9380</v>
      </c>
      <c r="J118" s="2"/>
      <c r="K118" s="16" t="s">
        <v>142</v>
      </c>
      <c r="L118" s="6"/>
      <c r="M118" s="5"/>
      <c r="N118" s="39">
        <v>45204</v>
      </c>
      <c r="O118" s="8"/>
      <c r="P118" s="8"/>
      <c r="Q118" s="191" t="s">
        <v>182</v>
      </c>
      <c r="R118" s="14"/>
    </row>
    <row r="119" spans="1:18" ht="18" customHeight="1">
      <c r="A119" s="174" t="s">
        <v>41</v>
      </c>
      <c r="B119" s="171">
        <v>14</v>
      </c>
      <c r="C119" s="32">
        <f t="shared" ref="C119" si="42">+C118+1</f>
        <v>68</v>
      </c>
      <c r="D119" s="48" t="s">
        <v>174</v>
      </c>
      <c r="E119" s="48" t="s">
        <v>174</v>
      </c>
      <c r="F119" s="189" t="s">
        <v>175</v>
      </c>
      <c r="G119" s="190">
        <v>2</v>
      </c>
      <c r="H119" s="29">
        <v>880</v>
      </c>
      <c r="I119" s="172">
        <f t="shared" si="41"/>
        <v>1760</v>
      </c>
      <c r="J119" s="30"/>
      <c r="K119" s="173" t="s">
        <v>176</v>
      </c>
      <c r="L119" s="6"/>
      <c r="M119" s="5"/>
      <c r="N119" s="39">
        <v>45204</v>
      </c>
      <c r="O119" s="8"/>
      <c r="P119" s="8"/>
      <c r="Q119" s="191" t="s">
        <v>182</v>
      </c>
      <c r="R119" s="14"/>
    </row>
    <row r="120" spans="1:18" ht="18" customHeight="1">
      <c r="A120" s="84"/>
      <c r="B120" s="131"/>
      <c r="C120" s="27"/>
      <c r="D120" s="120"/>
      <c r="E120" s="120"/>
      <c r="F120" s="16"/>
      <c r="G120" s="17"/>
      <c r="H120" s="17"/>
      <c r="I120" s="42"/>
      <c r="J120" s="2"/>
      <c r="K120" s="16"/>
      <c r="L120" s="6"/>
      <c r="M120" s="5"/>
      <c r="N120" s="15"/>
      <c r="O120" s="8"/>
      <c r="P120" s="8"/>
      <c r="Q120" s="15"/>
      <c r="R120" s="14"/>
    </row>
    <row r="121" spans="1:18" ht="18" customHeight="1">
      <c r="A121" s="29" t="s">
        <v>41</v>
      </c>
      <c r="B121" s="164">
        <v>4</v>
      </c>
      <c r="C121" s="101">
        <f>+C119+1</f>
        <v>69</v>
      </c>
      <c r="D121" s="120" t="s">
        <v>26</v>
      </c>
      <c r="E121" s="120" t="s">
        <v>26</v>
      </c>
      <c r="F121" s="16" t="s">
        <v>140</v>
      </c>
      <c r="G121" s="17">
        <v>7</v>
      </c>
      <c r="H121" s="17">
        <v>82</v>
      </c>
      <c r="I121" s="42">
        <f t="shared" si="41"/>
        <v>574</v>
      </c>
      <c r="J121" s="2"/>
      <c r="K121" s="16" t="s">
        <v>144</v>
      </c>
      <c r="L121" s="6"/>
      <c r="M121" s="5"/>
      <c r="N121" s="39">
        <v>45204</v>
      </c>
      <c r="O121" s="8"/>
      <c r="P121" s="8"/>
      <c r="Q121" s="191" t="s">
        <v>182</v>
      </c>
      <c r="R121" s="14"/>
    </row>
    <row r="122" spans="1:18" ht="18" customHeight="1">
      <c r="A122" s="29" t="s">
        <v>41</v>
      </c>
      <c r="B122" s="164">
        <v>4</v>
      </c>
      <c r="C122" s="27">
        <f t="shared" ref="C122" si="43">+C121+1</f>
        <v>70</v>
      </c>
      <c r="D122" s="120" t="s">
        <v>26</v>
      </c>
      <c r="E122" s="120" t="s">
        <v>26</v>
      </c>
      <c r="F122" s="16" t="s">
        <v>141</v>
      </c>
      <c r="G122" s="17">
        <v>4</v>
      </c>
      <c r="H122" s="17">
        <v>104</v>
      </c>
      <c r="I122" s="42">
        <f t="shared" si="41"/>
        <v>416</v>
      </c>
      <c r="J122" s="2"/>
      <c r="K122" s="16" t="s">
        <v>144</v>
      </c>
      <c r="L122" s="6"/>
      <c r="M122" s="5"/>
      <c r="N122" s="39">
        <v>45204</v>
      </c>
      <c r="O122" s="8"/>
      <c r="P122" s="8"/>
      <c r="Q122" s="191" t="s">
        <v>182</v>
      </c>
      <c r="R122" s="14"/>
    </row>
    <row r="123" spans="1:18" ht="18" customHeight="1">
      <c r="A123" s="84"/>
      <c r="B123" s="131"/>
      <c r="C123" s="1"/>
      <c r="D123" s="4"/>
      <c r="E123" s="4"/>
      <c r="F123" s="16"/>
      <c r="G123" s="17"/>
      <c r="H123" s="17"/>
      <c r="I123" s="22"/>
      <c r="J123" s="2"/>
      <c r="K123" s="16"/>
      <c r="L123" s="6"/>
      <c r="M123" s="5"/>
      <c r="N123" s="15"/>
      <c r="O123" s="8"/>
      <c r="P123" s="8"/>
      <c r="Q123" s="15"/>
      <c r="R123" s="14"/>
    </row>
    <row r="124" spans="1:18" ht="18" customHeight="1">
      <c r="A124" s="84"/>
      <c r="B124" s="131"/>
      <c r="C124" s="1"/>
      <c r="D124" s="4"/>
      <c r="E124" s="4"/>
      <c r="F124" s="196">
        <f>SUM(I116:I123)</f>
        <v>23100</v>
      </c>
      <c r="G124" s="197"/>
      <c r="H124" s="197"/>
      <c r="I124" s="198"/>
      <c r="J124" s="2"/>
      <c r="K124" s="16"/>
      <c r="L124" s="6"/>
      <c r="M124" s="5"/>
      <c r="N124" s="15"/>
      <c r="O124" s="8"/>
      <c r="P124" s="8"/>
      <c r="Q124" s="15"/>
      <c r="R124" s="14"/>
    </row>
    <row r="125" spans="1:18" ht="18" customHeight="1">
      <c r="A125" s="84"/>
      <c r="B125" s="131"/>
      <c r="C125" s="1"/>
      <c r="D125" s="34"/>
      <c r="E125" s="34"/>
      <c r="F125" s="176"/>
      <c r="G125" s="177"/>
      <c r="H125" s="177"/>
      <c r="I125" s="178"/>
      <c r="J125" s="107"/>
      <c r="K125" s="176"/>
      <c r="L125" s="179"/>
      <c r="M125" s="5"/>
      <c r="N125" s="15"/>
      <c r="O125" s="8"/>
      <c r="P125" s="8"/>
      <c r="Q125" s="15"/>
      <c r="R125" s="14"/>
    </row>
    <row r="126" spans="1:18" ht="18" customHeight="1">
      <c r="A126" s="84"/>
      <c r="B126" s="131"/>
      <c r="C126" s="2"/>
      <c r="D126" s="32"/>
      <c r="E126" s="32"/>
      <c r="F126" s="187"/>
      <c r="G126" s="132"/>
      <c r="H126" s="132"/>
      <c r="I126" s="42"/>
      <c r="J126" s="29"/>
      <c r="K126" s="187"/>
      <c r="L126" s="75"/>
      <c r="M126" s="175"/>
      <c r="N126" s="15"/>
      <c r="O126" s="8"/>
      <c r="P126" s="8"/>
      <c r="Q126" s="15"/>
      <c r="R126" s="14"/>
    </row>
    <row r="127" spans="1:18" ht="18" customHeight="1">
      <c r="A127" s="84"/>
      <c r="B127" s="131"/>
      <c r="C127" s="2"/>
      <c r="D127" s="195" t="s">
        <v>180</v>
      </c>
      <c r="E127" s="195"/>
      <c r="F127" s="195"/>
      <c r="G127" s="132"/>
      <c r="H127" s="132"/>
      <c r="I127" s="42"/>
      <c r="J127" s="29"/>
      <c r="K127" s="187"/>
      <c r="L127" s="75"/>
      <c r="M127" s="175"/>
      <c r="N127" s="15"/>
      <c r="O127" s="8"/>
      <c r="P127" s="8"/>
      <c r="Q127" s="15"/>
      <c r="R127" s="14"/>
    </row>
    <row r="128" spans="1:18" ht="18" customHeight="1">
      <c r="A128" s="188" t="s">
        <v>179</v>
      </c>
      <c r="B128" s="161">
        <v>1</v>
      </c>
      <c r="C128" s="101">
        <f>+C122+1</f>
        <v>71</v>
      </c>
      <c r="D128" s="180" t="s">
        <v>26</v>
      </c>
      <c r="E128" s="180" t="s">
        <v>26</v>
      </c>
      <c r="F128" s="181" t="s">
        <v>177</v>
      </c>
      <c r="G128" s="182">
        <v>1</v>
      </c>
      <c r="H128" s="183">
        <v>2040</v>
      </c>
      <c r="I128" s="184">
        <f>G128*H128</f>
        <v>2040</v>
      </c>
      <c r="J128" s="185"/>
      <c r="K128" s="186" t="s">
        <v>178</v>
      </c>
      <c r="L128" s="127"/>
      <c r="M128" s="5"/>
      <c r="N128" s="39">
        <v>45204</v>
      </c>
      <c r="O128" s="8"/>
      <c r="P128" s="8"/>
      <c r="Q128" s="191" t="s">
        <v>182</v>
      </c>
      <c r="R128" s="14"/>
    </row>
    <row r="129" spans="1:18" ht="18" customHeight="1">
      <c r="A129" s="84"/>
      <c r="B129" s="131"/>
      <c r="C129" s="1"/>
      <c r="D129" s="4"/>
      <c r="E129" s="4"/>
      <c r="F129" s="16"/>
      <c r="G129" s="17"/>
      <c r="H129" s="17"/>
      <c r="I129" s="22"/>
      <c r="J129" s="2"/>
      <c r="K129" s="16"/>
      <c r="L129" s="6"/>
      <c r="M129" s="5"/>
      <c r="N129" s="15"/>
      <c r="O129" s="8"/>
      <c r="P129" s="8"/>
      <c r="Q129" s="15"/>
      <c r="R129" s="14"/>
    </row>
    <row r="130" spans="1:18" ht="18" customHeight="1">
      <c r="A130" s="84"/>
      <c r="B130" s="131"/>
      <c r="C130" s="1"/>
      <c r="D130" s="4"/>
      <c r="E130" s="4"/>
      <c r="F130" s="196">
        <f>SUM(I128:I129)</f>
        <v>2040</v>
      </c>
      <c r="G130" s="197"/>
      <c r="H130" s="197"/>
      <c r="I130" s="198"/>
      <c r="J130" s="2"/>
      <c r="K130" s="16"/>
      <c r="L130" s="6"/>
      <c r="M130" s="5"/>
      <c r="N130" s="15"/>
      <c r="O130" s="8"/>
      <c r="P130" s="8"/>
      <c r="Q130" s="15"/>
      <c r="R130" s="14"/>
    </row>
    <row r="131" spans="1:18" ht="18" customHeight="1">
      <c r="A131" s="84"/>
      <c r="B131" s="131"/>
      <c r="C131" s="1"/>
      <c r="D131" s="4"/>
      <c r="E131" s="4"/>
      <c r="F131" s="16"/>
      <c r="G131" s="17"/>
      <c r="H131" s="17"/>
      <c r="I131" s="22"/>
      <c r="J131" s="2"/>
      <c r="K131" s="16"/>
      <c r="L131" s="6"/>
      <c r="M131" s="5"/>
      <c r="N131" s="15"/>
      <c r="O131" s="8"/>
      <c r="P131" s="8"/>
      <c r="Q131" s="15"/>
      <c r="R131" s="14"/>
    </row>
    <row r="132" spans="1:18" ht="18" customHeight="1">
      <c r="A132" s="84"/>
      <c r="B132" s="131"/>
      <c r="C132" s="1"/>
      <c r="D132" s="4"/>
      <c r="E132" s="4"/>
      <c r="F132" s="16"/>
      <c r="G132" s="17"/>
      <c r="H132" s="17"/>
      <c r="I132" s="22"/>
      <c r="J132" s="2"/>
      <c r="K132" s="16"/>
      <c r="L132" s="6"/>
      <c r="M132" s="5"/>
      <c r="N132" s="15"/>
      <c r="O132" s="8"/>
      <c r="P132" s="8"/>
      <c r="Q132" s="15"/>
      <c r="R132" s="14"/>
    </row>
    <row r="133" spans="1:18" ht="18" customHeight="1">
      <c r="A133" s="84"/>
      <c r="B133" s="131"/>
      <c r="C133" s="1"/>
      <c r="D133" s="1"/>
      <c r="E133" s="1"/>
      <c r="F133" s="6" t="s">
        <v>23</v>
      </c>
      <c r="G133" s="22"/>
      <c r="H133" s="22"/>
      <c r="I133" s="22">
        <f>G133*H133</f>
        <v>0</v>
      </c>
      <c r="J133" s="13"/>
      <c r="K133" s="16" t="s">
        <v>24</v>
      </c>
      <c r="L133" s="24"/>
      <c r="M133" s="1"/>
      <c r="N133" s="15"/>
      <c r="O133" s="24"/>
      <c r="P133" s="1"/>
      <c r="Q133" s="15"/>
      <c r="R133" s="14"/>
    </row>
    <row r="134" spans="1:18" ht="18" customHeight="1">
      <c r="A134" s="84"/>
      <c r="B134" s="131"/>
      <c r="C134" s="1"/>
      <c r="D134" s="4"/>
      <c r="E134" s="4"/>
      <c r="F134" s="6" t="s">
        <v>24</v>
      </c>
      <c r="G134" s="22"/>
      <c r="H134" s="22">
        <v>5000</v>
      </c>
      <c r="I134" s="22">
        <f>G134*H134</f>
        <v>0</v>
      </c>
      <c r="J134" s="13"/>
      <c r="K134" s="16" t="s">
        <v>25</v>
      </c>
      <c r="L134" s="24"/>
      <c r="M134" s="1"/>
      <c r="N134" s="15"/>
      <c r="O134" s="24"/>
      <c r="P134" s="1"/>
      <c r="Q134" s="15"/>
      <c r="R134" s="8"/>
    </row>
    <row r="135" spans="1:18" ht="18" customHeight="1">
      <c r="A135" s="84"/>
      <c r="B135" s="131"/>
      <c r="C135" s="1"/>
      <c r="D135" s="4"/>
      <c r="E135" s="4"/>
      <c r="F135" s="6" t="s">
        <v>25</v>
      </c>
      <c r="G135" s="22"/>
      <c r="H135" s="22"/>
      <c r="I135" s="22">
        <f>G135*H135</f>
        <v>0</v>
      </c>
      <c r="J135" s="13"/>
      <c r="K135" s="5"/>
      <c r="L135" s="24"/>
      <c r="M135" s="1"/>
      <c r="N135" s="1"/>
      <c r="O135" s="24"/>
      <c r="P135" s="1"/>
      <c r="Q135" s="8"/>
      <c r="R135" s="8"/>
    </row>
    <row r="136" spans="1:18" ht="18" customHeight="1">
      <c r="A136" s="84"/>
      <c r="B136" s="131"/>
      <c r="C136" s="1"/>
      <c r="D136" s="4"/>
      <c r="E136" s="4"/>
      <c r="F136" s="199"/>
      <c r="G136" s="200"/>
      <c r="H136" s="200"/>
      <c r="I136" s="201"/>
      <c r="J136" s="7"/>
      <c r="K136" s="20"/>
    </row>
    <row r="137" spans="1:18" ht="18" customHeight="1"/>
    <row r="138" spans="1:18" ht="18" customHeight="1"/>
    <row r="139" spans="1:18" ht="18" customHeight="1"/>
  </sheetData>
  <autoFilter ref="C8:P139" xr:uid="{00000000-0009-0000-0000-000003000000}"/>
  <mergeCells count="23">
    <mergeCell ref="C2:E2"/>
    <mergeCell ref="H2:J2"/>
    <mergeCell ref="C3:E3"/>
    <mergeCell ref="C4:E4"/>
    <mergeCell ref="C5:E5"/>
    <mergeCell ref="G4:G5"/>
    <mergeCell ref="H4:L5"/>
    <mergeCell ref="F80:I80"/>
    <mergeCell ref="D84:F84"/>
    <mergeCell ref="F111:I111"/>
    <mergeCell ref="F136:I136"/>
    <mergeCell ref="C6:E6"/>
    <mergeCell ref="C16:F16"/>
    <mergeCell ref="F54:I54"/>
    <mergeCell ref="D58:F58"/>
    <mergeCell ref="F62:I62"/>
    <mergeCell ref="D66:F66"/>
    <mergeCell ref="H6:K6"/>
    <mergeCell ref="C9:F9"/>
    <mergeCell ref="F124:I124"/>
    <mergeCell ref="D115:F115"/>
    <mergeCell ref="F130:I130"/>
    <mergeCell ref="D127:F127"/>
  </mergeCells>
  <phoneticPr fontId="10"/>
  <dataValidations count="2">
    <dataValidation imeMode="hiragana" allowBlank="1" showInputMessage="1" showErrorMessage="1" sqref="K72 K74:K75" xr:uid="{CC80232E-C09F-4CA3-8ADF-B0351E3E97A2}"/>
    <dataValidation allowBlank="1" showInputMessage="1" showErrorMessage="1" sqref="K54:K56" xr:uid="{DEFB5C0D-959F-4B7B-836C-C4801E60D51D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C676-B54A-494E-955F-116A03425A63}">
  <dimension ref="A1"/>
  <sheetViews>
    <sheetView workbookViewId="0"/>
  </sheetViews>
  <sheetFormatPr defaultRowHeight="13.2"/>
  <sheetData/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7734375" defaultRowHeight="13.5" customHeight="1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33" sqref="C33"/>
    </sheetView>
  </sheetViews>
  <sheetFormatPr defaultColWidth="11.77734375" defaultRowHeight="13.5" customHeight="1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(20231003) </vt:lpstr>
      <vt:lpstr>Sheet1</vt:lpstr>
      <vt:lpstr>Sheet2</vt:lpstr>
      <vt:lpstr>Sheet3</vt:lpstr>
      <vt:lpstr>'(20231003)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dcterms:created xsi:type="dcterms:W3CDTF">2016-05-16T08:05:24Z</dcterms:created>
  <dcterms:modified xsi:type="dcterms:W3CDTF">2023-10-30T01:12:58Z</dcterms:modified>
</cp:coreProperties>
</file>