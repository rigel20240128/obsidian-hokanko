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0DE90426-E097-4466-B59C-67C80A6931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770、202771　4set (20230106) " sheetId="12" r:id="rId1"/>
    <sheet name="Sheet1" sheetId="13" r:id="rId2"/>
    <sheet name="Sheet2" sheetId="2" r:id="rId3"/>
    <sheet name="Sheet3" sheetId="3" r:id="rId4"/>
  </sheets>
  <definedNames>
    <definedName name="_xlnm._FilterDatabase" localSheetId="0">'202770、202771　4set (20230106) 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7" i="12" l="1"/>
  <c r="C108" i="12" s="1"/>
  <c r="C109" i="12" s="1"/>
  <c r="I107" i="12"/>
  <c r="I21" i="12"/>
  <c r="C17" i="12"/>
  <c r="I147" i="12" l="1"/>
  <c r="I131" i="12"/>
  <c r="I135" i="12"/>
  <c r="I124" i="12"/>
  <c r="I20" i="12" l="1"/>
  <c r="I19" i="12"/>
  <c r="I155" i="12" l="1"/>
  <c r="I154" i="12"/>
  <c r="I153" i="12"/>
  <c r="I148" i="12"/>
  <c r="I146" i="12"/>
  <c r="I145" i="12"/>
  <c r="I144" i="12"/>
  <c r="I143" i="12"/>
  <c r="I142" i="12"/>
  <c r="I141" i="12"/>
  <c r="I140" i="12"/>
  <c r="I139" i="12"/>
  <c r="I138" i="12"/>
  <c r="I137" i="12"/>
  <c r="I136" i="12"/>
  <c r="I134" i="12"/>
  <c r="I133" i="12"/>
  <c r="I132" i="12"/>
  <c r="I130" i="12"/>
  <c r="I129" i="12"/>
  <c r="I128" i="12"/>
  <c r="I127" i="12"/>
  <c r="I126" i="12"/>
  <c r="I125" i="12"/>
  <c r="I123" i="12"/>
  <c r="I114" i="12"/>
  <c r="I113" i="12"/>
  <c r="I111" i="12"/>
  <c r="I110" i="12"/>
  <c r="I109" i="12"/>
  <c r="I108" i="12"/>
  <c r="I106" i="12"/>
  <c r="I105" i="12"/>
  <c r="I104" i="12"/>
  <c r="I103" i="12"/>
  <c r="I102" i="12"/>
  <c r="I101" i="12"/>
  <c r="I100" i="12"/>
  <c r="I99" i="12"/>
  <c r="I98" i="12"/>
  <c r="I90" i="12"/>
  <c r="I89" i="12"/>
  <c r="I88" i="12"/>
  <c r="I87" i="12"/>
  <c r="I86" i="12"/>
  <c r="I85" i="12"/>
  <c r="I84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18" i="12"/>
  <c r="I17" i="12"/>
  <c r="C18" i="12"/>
  <c r="C19" i="12" s="1"/>
  <c r="C20" i="12" l="1"/>
  <c r="F92" i="12"/>
  <c r="F151" i="12"/>
  <c r="F79" i="12"/>
  <c r="F117" i="12"/>
  <c r="K2" i="12"/>
  <c r="C21" i="12" l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84" i="12" s="1"/>
  <c r="C85" i="12" s="1"/>
  <c r="C86" i="12" s="1"/>
  <c r="C87" i="12" s="1"/>
  <c r="C88" i="12" s="1"/>
  <c r="C89" i="12" s="1"/>
  <c r="C90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10" i="12" s="1"/>
  <c r="C111" i="12" s="1"/>
  <c r="C113" i="12" s="1"/>
  <c r="C114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l="1"/>
  <c r="C142" i="12" s="1"/>
  <c r="C143" i="12" s="1"/>
  <c r="C144" i="12" s="1"/>
  <c r="C145" i="12" l="1"/>
  <c r="C146" i="12" l="1"/>
  <c r="C147" i="12" s="1"/>
  <c r="C148" i="12" l="1"/>
  <c r="C149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G34" authorId="0" shapeId="0" xr:uid="{DC4BD75A-0C0F-4544-A7AA-EFFB58F7E9BC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G40" authorId="0" shapeId="0" xr:uid="{0768F992-CFC6-4FFC-98A1-BE1641E6CBDD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G49" authorId="0" shapeId="0" xr:uid="{C5057380-5657-4D95-A158-C7283CA7937D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G50" authorId="0" shapeId="0" xr:uid="{75AC8696-3839-492C-829E-17572F175DE6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G59" authorId="0" shapeId="0" xr:uid="{A096F4B2-40A8-42B6-BD60-136134AC15A8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G69" authorId="0" shapeId="0" xr:uid="{AD7D744C-ABBE-42F6-BD27-595463E34FCA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F98" authorId="0" shapeId="0" xr:uid="{EBA6D8B9-0DDE-4354-8CB1-8A1960B428C5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F130" authorId="0" shapeId="0" xr:uid="{7791E71E-E596-4D72-86E7-C9080AC92540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4台分</t>
        </r>
      </text>
    </comment>
    <comment ref="F131" authorId="0" shapeId="0" xr:uid="{10EC0F02-F42A-47D3-99C0-2B6B85654CA5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F146" authorId="0" shapeId="0" xr:uid="{F8E6A4F4-9F35-4E92-BE94-87BB2F7052C7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F147" authorId="0" shapeId="0" xr:uid="{0B81A97E-1BB5-46A5-B7BE-F275688D75BC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F148" authorId="0" shapeId="0" xr:uid="{B40950F7-6896-4497-8CA3-D72CD881DACE}">
      <text>
        <r>
          <rPr>
            <b/>
            <sz val="9"/>
            <color indexed="81"/>
            <rFont val="MS P ゴシック"/>
            <family val="3"/>
            <charset val="128"/>
          </rPr>
          <t>齋藤 秀昭:4台分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<sst xmlns="http://schemas.openxmlformats.org/spreadsheetml/2006/main" count="619" uniqueCount="290">
  <si>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</si>
  <si>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</si>
  <si>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</si>
  <si>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</si>
  <si>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</si>
  <si>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</si>
  <si>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</si>
  <si>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</si>
  <si>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</si>
  <si>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</si>
  <si>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</si>
  <si>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</si>
  <si>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</si>
  <si>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</si>
  <si>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</si>
  <si>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</si>
  <si>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</si>
  <si>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</si>
  <si>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</si>
  <si>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</si>
  <si>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</si>
  <si>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</si>
  <si>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</si>
  <si>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</si>
  <si>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VTUB3.2-W-10</t>
  </si>
  <si>
    <t>ﾏｰｸﾁｭｰﾌﾞ</t>
  </si>
  <si>
    <t>運送費</t>
  </si>
  <si>
    <t>設計費</t>
  </si>
  <si>
    <t>組立調整費</t>
  </si>
  <si>
    <t>ミスミ</t>
    <phoneticPr fontId="13"/>
  </si>
  <si>
    <t>F1.25-M3</t>
    <phoneticPr fontId="13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</si>
  <si>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3"/>
  </si>
  <si>
    <t>PUT6-10-B</t>
    <phoneticPr fontId="13"/>
  </si>
  <si>
    <t>配電部分</t>
    <rPh sb="0" eb="2">
      <t>ハイデン</t>
    </rPh>
    <rPh sb="2" eb="4">
      <t>ブブン</t>
    </rPh>
    <phoneticPr fontId="11"/>
  </si>
  <si>
    <t>セットカラー　止めねじ固定</t>
    <phoneticPr fontId="11"/>
  </si>
  <si>
    <t>SCB4-20</t>
    <phoneticPr fontId="11"/>
  </si>
  <si>
    <t>BVHVU6-3</t>
    <phoneticPr fontId="13"/>
  </si>
  <si>
    <t>MNCNL6-M5</t>
    <phoneticPr fontId="13"/>
  </si>
  <si>
    <t>MNCNL4-M5</t>
    <phoneticPr fontId="13"/>
  </si>
  <si>
    <t xml:space="preserve">配電BOX </t>
    <phoneticPr fontId="13"/>
  </si>
  <si>
    <t>MWS-DS37A-HT37</t>
    <phoneticPr fontId="13"/>
  </si>
  <si>
    <t>Dsubコネクタ端子台</t>
    <rPh sb="8" eb="10">
      <t>タンシ</t>
    </rPh>
    <rPh sb="10" eb="11">
      <t>ダイ</t>
    </rPh>
    <phoneticPr fontId="13"/>
  </si>
  <si>
    <t>コモン端子台</t>
    <rPh sb="3" eb="5">
      <t>タンシ</t>
    </rPh>
    <rPh sb="5" eb="6">
      <t>ダイ</t>
    </rPh>
    <phoneticPr fontId="13"/>
  </si>
  <si>
    <t>DINレール</t>
    <phoneticPr fontId="13"/>
  </si>
  <si>
    <t>SLBNR4</t>
    <phoneticPr fontId="13"/>
  </si>
  <si>
    <t>M4ﾅｯﾄ</t>
    <phoneticPr fontId="13"/>
  </si>
  <si>
    <t>漏電ブレーカ</t>
    <rPh sb="0" eb="2">
      <t>ロウデン</t>
    </rPh>
    <phoneticPr fontId="13"/>
  </si>
  <si>
    <t>3M-3</t>
    <phoneticPr fontId="13"/>
  </si>
  <si>
    <t>ACコード(プラグ）</t>
    <phoneticPr fontId="13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</si>
  <si>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13"/>
  </si>
  <si>
    <t>NA3GH UL規格 横巻きシールドセンサー用(２芯）</t>
    <rPh sb="25" eb="26">
      <t>シン</t>
    </rPh>
    <phoneticPr fontId="13"/>
  </si>
  <si>
    <t>NA3GH UL規格 横巻きシールドセンサー用(３芯）</t>
    <rPh sb="25" eb="26">
      <t>シン</t>
    </rPh>
    <phoneticPr fontId="13"/>
  </si>
  <si>
    <t>PC-2005-M</t>
    <phoneticPr fontId="13"/>
  </si>
  <si>
    <t>差込み型ピン端子　オス（１００個入り）</t>
    <rPh sb="15" eb="16">
      <t>コ</t>
    </rPh>
    <rPh sb="16" eb="17">
      <t>イ</t>
    </rPh>
    <phoneticPr fontId="13"/>
  </si>
  <si>
    <t>PC-2005-F</t>
    <phoneticPr fontId="13"/>
  </si>
  <si>
    <t>差込み型ピン端子　メス（１００個入り）</t>
    <phoneticPr fontId="13"/>
  </si>
  <si>
    <t>USSTL4</t>
    <phoneticPr fontId="13"/>
  </si>
  <si>
    <t>TBS-22</t>
    <phoneticPr fontId="13"/>
  </si>
  <si>
    <t>浸け置きﾕﾆｯﾄ</t>
    <rPh sb="0" eb="1">
      <t>ツ</t>
    </rPh>
    <rPh sb="2" eb="3">
      <t>オ</t>
    </rPh>
    <phoneticPr fontId="13"/>
  </si>
  <si>
    <t>CRKB4-8</t>
    <phoneticPr fontId="13"/>
  </si>
  <si>
    <t>樹脂付ローレットボルト</t>
    <rPh sb="0" eb="2">
      <t>ジュシ</t>
    </rPh>
    <rPh sb="2" eb="3">
      <t>ツキ</t>
    </rPh>
    <phoneticPr fontId="13"/>
  </si>
  <si>
    <t>CHNS4</t>
    <phoneticPr fontId="13"/>
  </si>
  <si>
    <t>RSCB4-15</t>
    <phoneticPr fontId="13"/>
  </si>
  <si>
    <t>PUT4-10-B</t>
    <phoneticPr fontId="13"/>
  </si>
  <si>
    <t>ﾉｽﾞﾙ位置合わせ冶具　</t>
    <phoneticPr fontId="11"/>
  </si>
  <si>
    <t>押え板</t>
    <phoneticPr fontId="13"/>
  </si>
  <si>
    <t>ASFCS-A27-B14-T0.3-D4.5-E6-C6-P15</t>
    <phoneticPr fontId="13"/>
  </si>
  <si>
    <t>SCB4-5</t>
    <phoneticPr fontId="13"/>
  </si>
  <si>
    <t>SCB4-12</t>
    <phoneticPr fontId="11"/>
  </si>
  <si>
    <t>在庫使用</t>
    <rPh sb="0" eb="2">
      <t>ザイコ</t>
    </rPh>
    <rPh sb="2" eb="4">
      <t>シヨウ</t>
    </rPh>
    <phoneticPr fontId="11"/>
  </si>
  <si>
    <t xml:space="preserve">FSAWM-K-P11-1086-181203-0241 </t>
    <phoneticPr fontId="11"/>
  </si>
  <si>
    <t xml:space="preserve">HDV-2 </t>
    <phoneticPr fontId="13"/>
  </si>
  <si>
    <t>1日間</t>
    <rPh sb="1" eb="2">
      <t>ヒ</t>
    </rPh>
    <rPh sb="2" eb="3">
      <t>カン</t>
    </rPh>
    <phoneticPr fontId="11"/>
  </si>
  <si>
    <t>3日間</t>
    <rPh sb="1" eb="2">
      <t>ヒ</t>
    </rPh>
    <rPh sb="2" eb="3">
      <t>カン</t>
    </rPh>
    <phoneticPr fontId="11"/>
  </si>
  <si>
    <t>8日間</t>
    <rPh sb="1" eb="2">
      <t>ヒ</t>
    </rPh>
    <rPh sb="2" eb="3">
      <t>カン</t>
    </rPh>
    <phoneticPr fontId="11"/>
  </si>
  <si>
    <t>2日間</t>
    <rPh sb="1" eb="2">
      <t>ヒ</t>
    </rPh>
    <rPh sb="2" eb="3">
      <t>カン</t>
    </rPh>
    <phoneticPr fontId="11"/>
  </si>
  <si>
    <t>ＳＭＣ</t>
    <phoneticPr fontId="13"/>
  </si>
  <si>
    <t>制御機材</t>
    <rPh sb="0" eb="2">
      <t>セイギョ</t>
    </rPh>
    <rPh sb="2" eb="4">
      <t>キザイ</t>
    </rPh>
    <phoneticPr fontId="13"/>
  </si>
  <si>
    <t>ロータリシリンダ</t>
    <phoneticPr fontId="13"/>
  </si>
  <si>
    <t>AW10-M5BG-A</t>
    <phoneticPr fontId="13"/>
  </si>
  <si>
    <t>レギュレータ</t>
    <phoneticPr fontId="13"/>
  </si>
  <si>
    <t>電磁弁</t>
    <rPh sb="0" eb="3">
      <t>デンジベン</t>
    </rPh>
    <phoneticPr fontId="13"/>
  </si>
  <si>
    <t>AS1201F-M5-04A</t>
    <phoneticPr fontId="13"/>
  </si>
  <si>
    <t>モノタロウなら3日間</t>
    <rPh sb="8" eb="9">
      <t>ヒ</t>
    </rPh>
    <rPh sb="9" eb="10">
      <t>カン</t>
    </rPh>
    <phoneticPr fontId="11"/>
  </si>
  <si>
    <t>モノタロウなら8日間</t>
    <rPh sb="8" eb="9">
      <t>ヒ</t>
    </rPh>
    <rPh sb="9" eb="10">
      <t>カン</t>
    </rPh>
    <phoneticPr fontId="11"/>
  </si>
  <si>
    <t>meviy</t>
    <phoneticPr fontId="13"/>
  </si>
  <si>
    <t>MVSHM-3N02050005013-JPA25G7CB111AA</t>
    <phoneticPr fontId="13"/>
  </si>
  <si>
    <t>SETA0010-Z04位置決めベース</t>
    <phoneticPr fontId="13"/>
  </si>
  <si>
    <t>MVSHM-3N03002003003-JPA25GYD1111AA</t>
    <phoneticPr fontId="13"/>
  </si>
  <si>
    <t>SETA0010-Z02角度切替ベース</t>
    <phoneticPr fontId="13"/>
  </si>
  <si>
    <t>MVSHM-3N02050002004-JPA25GP0K111AA</t>
    <phoneticPr fontId="13"/>
  </si>
  <si>
    <t>SETA0010-Z03角度切替ブラケット</t>
    <phoneticPr fontId="13"/>
  </si>
  <si>
    <t>JTDA-SUD-A27-B12-T2-X6-Y6-M4-L15-MA4</t>
    <phoneticPr fontId="13"/>
  </si>
  <si>
    <t>シム</t>
    <phoneticPr fontId="13"/>
  </si>
  <si>
    <t>六角穴付きﾎﾞﾙﾄ　M4×5mm　　　　6本</t>
    <rPh sb="21" eb="22">
      <t>ホン</t>
    </rPh>
    <phoneticPr fontId="13"/>
  </si>
  <si>
    <t>在庫使用</t>
    <rPh sb="0" eb="2">
      <t>ザイコ</t>
    </rPh>
    <rPh sb="2" eb="4">
      <t>シヨウ</t>
    </rPh>
    <phoneticPr fontId="13"/>
  </si>
  <si>
    <t xml:space="preserve">SPWF4 </t>
    <phoneticPr fontId="13"/>
  </si>
  <si>
    <t>ワッシャ　　平座金　　M4×8mm　　　4個</t>
    <rPh sb="21" eb="22">
      <t>コ</t>
    </rPh>
    <phoneticPr fontId="13"/>
  </si>
  <si>
    <t>3日目</t>
    <rPh sb="1" eb="2">
      <t>ヒ</t>
    </rPh>
    <rPh sb="2" eb="3">
      <t>メ</t>
    </rPh>
    <phoneticPr fontId="13"/>
  </si>
  <si>
    <t>1日目</t>
    <rPh sb="1" eb="2">
      <t>ヒ</t>
    </rPh>
    <rPh sb="2" eb="3">
      <t>メ</t>
    </rPh>
    <phoneticPr fontId="13"/>
  </si>
  <si>
    <t>2日目</t>
    <rPh sb="1" eb="2">
      <t>ヒ</t>
    </rPh>
    <rPh sb="2" eb="3">
      <t>メ</t>
    </rPh>
    <phoneticPr fontId="13"/>
  </si>
  <si>
    <t>RACW30-40-10</t>
    <phoneticPr fontId="11"/>
  </si>
  <si>
    <t>SETB0075-X01　ﾂｰﾙ取付板</t>
    <phoneticPr fontId="11"/>
  </si>
  <si>
    <t>JPLRS4-P5.0-B7.0</t>
    <phoneticPr fontId="11"/>
  </si>
  <si>
    <t>MS3-10</t>
    <phoneticPr fontId="11"/>
  </si>
  <si>
    <t xml:space="preserve">SCB5-8   </t>
    <phoneticPr fontId="11"/>
  </si>
  <si>
    <t>SCB5-12</t>
    <phoneticPr fontId="11"/>
  </si>
  <si>
    <t>SETB0075-X02　RA取付板</t>
    <phoneticPr fontId="11"/>
  </si>
  <si>
    <t>CBSST8-16</t>
    <phoneticPr fontId="11"/>
  </si>
  <si>
    <t xml:space="preserve">SCB5-10 </t>
    <phoneticPr fontId="11"/>
  </si>
  <si>
    <t>SETB0075-X03　シャフトホルダ変換板</t>
    <phoneticPr fontId="11"/>
  </si>
  <si>
    <t>MS3-6</t>
    <phoneticPr fontId="11"/>
  </si>
  <si>
    <t>SSTHS10M-MB</t>
    <phoneticPr fontId="11"/>
  </si>
  <si>
    <t>CBSST5-16</t>
    <phoneticPr fontId="11"/>
  </si>
  <si>
    <t>SETB0075-X04 セットカラー固定ﾌﾞﾗｹｯﾄ</t>
    <phoneticPr fontId="11"/>
  </si>
  <si>
    <t>CBSST5-12</t>
    <phoneticPr fontId="11"/>
  </si>
  <si>
    <t>SETB0075-Y05  補強ﾌﾞﾛｯｸ</t>
    <phoneticPr fontId="11"/>
  </si>
  <si>
    <t>SETB0075-Y06　ﾊﾞﾙﾌﾞﾎﾙﾀﾞｰﾌﾞﾗｹｯﾄ</t>
    <phoneticPr fontId="11"/>
  </si>
  <si>
    <t xml:space="preserve">MS3-10 </t>
    <phoneticPr fontId="11"/>
  </si>
  <si>
    <t xml:space="preserve">SCB4-10 </t>
    <phoneticPr fontId="11"/>
  </si>
  <si>
    <t>SCB4-16</t>
    <phoneticPr fontId="11"/>
  </si>
  <si>
    <t xml:space="preserve">SCB6-10 </t>
    <phoneticPr fontId="11"/>
  </si>
  <si>
    <t>MS3-35</t>
    <phoneticPr fontId="11"/>
  </si>
  <si>
    <t>SETB0075-Y07 ｶﾑﾌｧﾛｱ固定ﾌﾞﾛｯｸ</t>
    <phoneticPr fontId="11"/>
  </si>
  <si>
    <t>C-CFA5-13</t>
    <phoneticPr fontId="11"/>
  </si>
  <si>
    <t>CFBRA5-40</t>
    <phoneticPr fontId="11"/>
  </si>
  <si>
    <t>SBCB5-10</t>
    <phoneticPr fontId="11"/>
  </si>
  <si>
    <t>SETB0075-Y08 ｶﾑﾌｧﾛｱｶﾞｲﾄﾞ</t>
    <phoneticPr fontId="11"/>
  </si>
  <si>
    <t>SETB0075-Y09 右側ｶﾞｲﾄﾞｶﾊﾞｰ</t>
    <phoneticPr fontId="11"/>
  </si>
  <si>
    <t>CSHCS-SUS-M3-4</t>
    <phoneticPr fontId="11"/>
  </si>
  <si>
    <t>SFB3-8</t>
    <phoneticPr fontId="11"/>
  </si>
  <si>
    <t>AETTS10-93-SC46.5-M3-N3</t>
    <phoneticPr fontId="11"/>
  </si>
  <si>
    <t>PSSFGW10-44-M5-N5-WRC11-Y4</t>
    <phoneticPr fontId="11"/>
  </si>
  <si>
    <t xml:space="preserve">MVBLK-AMW-2GL-8WK59    </t>
    <phoneticPr fontId="11"/>
  </si>
  <si>
    <t xml:space="preserve"> SETB0047-Y04　SV51、SV70、SV91、SV97用ホルダ(P=25)</t>
    <rPh sb="33" eb="34">
      <t>ヨウ</t>
    </rPh>
    <phoneticPr fontId="13"/>
  </si>
  <si>
    <t>MVSHM-3N02006011031-2UH-DFW1R</t>
    <phoneticPr fontId="11"/>
  </si>
  <si>
    <t>SETB0075-Y10 左側ｶﾞｲﾄﾞｶﾊﾞｰ</t>
    <phoneticPr fontId="11"/>
  </si>
  <si>
    <t>MVSHM-3N02006011031-2UH-4UG7Z</t>
    <phoneticPr fontId="11"/>
  </si>
  <si>
    <t>MVBLK-AMW-2UH-4X1XW</t>
    <phoneticPr fontId="11"/>
  </si>
  <si>
    <t>8日目</t>
    <rPh sb="1" eb="2">
      <t>ヒ</t>
    </rPh>
    <rPh sb="2" eb="3">
      <t>メ</t>
    </rPh>
    <phoneticPr fontId="13"/>
  </si>
  <si>
    <t>MVBLK-AMW-2UH-KS44C</t>
    <phoneticPr fontId="11"/>
  </si>
  <si>
    <t>MVBLK-AMW-2UH-LT9DG</t>
    <phoneticPr fontId="11"/>
  </si>
  <si>
    <t>MVBLK-AMW-2UH-AZWZ7</t>
    <phoneticPr fontId="11"/>
  </si>
  <si>
    <t>MVBLK-AMW-2UH-KM5D8</t>
    <phoneticPr fontId="11"/>
  </si>
  <si>
    <t>MVBLK-AMW-2UH-M913F</t>
    <phoneticPr fontId="11"/>
  </si>
  <si>
    <t>MVBLK-AMW-2UH-D2WFZ</t>
    <phoneticPr fontId="11"/>
  </si>
  <si>
    <t>MVBLK-AMW-2UH-KB7YY</t>
    <phoneticPr fontId="11"/>
  </si>
  <si>
    <t>SUNCO</t>
    <phoneticPr fontId="11"/>
  </si>
  <si>
    <t>シャフト　両端めねじタイプ</t>
    <phoneticPr fontId="11"/>
  </si>
  <si>
    <t>5日目</t>
    <rPh sb="1" eb="2">
      <t>ヒ</t>
    </rPh>
    <rPh sb="2" eb="3">
      <t>メ</t>
    </rPh>
    <phoneticPr fontId="13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</si>
  <si>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1"/>
  </si>
  <si>
    <r>
      <t xml:space="preserve">ノックピン       8本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Ph sb="13" eb="14">
      <t>ホン</t>
    </rPh>
    <phoneticPr fontId="11"/>
  </si>
  <si>
    <r>
      <t xml:space="preserve">ノックピン　　　　 4　本　　　    </t>
    </r>
    <r>
      <rPr>
        <sz val="11"/>
        <color rgb="FFFF0000"/>
        <rFont val="ＭＳ Ｐゴシック"/>
        <family val="3"/>
        <charset val="128"/>
        <scheme val="minor"/>
      </rPr>
      <t>まとめて発注　　</t>
    </r>
    <rPh sb="12" eb="13">
      <t>ホン</t>
    </rPh>
    <phoneticPr fontId="11"/>
  </si>
  <si>
    <r>
      <t xml:space="preserve"> ノックピン     11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　</t>
    </r>
    <phoneticPr fontId="11"/>
  </si>
  <si>
    <r>
      <t xml:space="preserve"> ノックピン    14本    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2" eb="13">
      <t>ホン</t>
    </rPh>
    <rPh sb="21" eb="23">
      <t>ハッチュウ</t>
    </rPh>
    <phoneticPr fontId="11"/>
  </si>
  <si>
    <r>
      <t xml:space="preserve">低頭六角穴付ボルト  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</t>
    </r>
    <phoneticPr fontId="11"/>
  </si>
  <si>
    <t>シャフトホルダ　-ブラケット型スタンダードタイプ</t>
    <phoneticPr fontId="11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</si>
  <si>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1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</si>
  <si>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</si>
  <si>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5本　　  社内在庫使用</t>
    </r>
    <rPh sb="10" eb="11">
      <t>ホン</t>
    </rPh>
    <phoneticPr fontId="11"/>
  </si>
  <si>
    <r>
      <t xml:space="preserve">六角穴付ボルト </t>
    </r>
    <r>
      <rPr>
        <sz val="11"/>
        <color rgb="FFFF0000"/>
        <rFont val="ＭＳ Ｐゴシック"/>
        <family val="3"/>
        <charset val="128"/>
        <scheme val="minor"/>
      </rPr>
      <t xml:space="preserve"> 6本　  社内在庫使用</t>
    </r>
    <rPh sb="10" eb="11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</si>
  <si>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4本　  社内在庫使用</t>
    </r>
    <rPh sb="10" eb="11">
      <t>ホン</t>
    </rPh>
    <phoneticPr fontId="11"/>
  </si>
  <si>
    <r>
      <t xml:space="preserve">六角穴付ボルト 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rPh sb="11" eb="12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</si>
  <si>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1"/>
  </si>
  <si>
    <t>止め金具　　　　　　2個</t>
    <rPh sb="0" eb="1">
      <t>ト</t>
    </rPh>
    <rPh sb="2" eb="4">
      <t>カナグ</t>
    </rPh>
    <rPh sb="11" eb="12">
      <t>コ</t>
    </rPh>
    <phoneticPr fontId="13"/>
  </si>
  <si>
    <t>A8110</t>
    <phoneticPr fontId="13"/>
  </si>
  <si>
    <t>汎用3芯OAタップ 4ヶ口</t>
    <phoneticPr fontId="13"/>
  </si>
  <si>
    <r>
      <t>1</t>
    </r>
    <r>
      <rPr>
        <sz val="11"/>
        <color rgb="FFFF0000"/>
        <rFont val="ＭＳ Ｐゴシック"/>
        <family val="3"/>
        <charset val="128"/>
        <scheme val="minor"/>
      </rPr>
      <t>.25-5</t>
    </r>
    <phoneticPr fontId="13"/>
  </si>
  <si>
    <t xml:space="preserve">漏電ブレーカ　ｶﾊﾞｰ  1セット </t>
    <phoneticPr fontId="13"/>
  </si>
  <si>
    <t xml:space="preserve">SYJ3240-5MOZE-M5  </t>
    <phoneticPr fontId="13"/>
  </si>
  <si>
    <t>https://www.monotaro.com/p/5685/0394/</t>
    <phoneticPr fontId="11"/>
  </si>
  <si>
    <t>https://www.monotaro.com/g/00231808/?t.mpn=msqb10r-m9nz</t>
    <phoneticPr fontId="11"/>
  </si>
  <si>
    <t>SY100-30-4A</t>
    <phoneticPr fontId="13"/>
  </si>
  <si>
    <t>MSQB10R-M9N</t>
    <phoneticPr fontId="13"/>
  </si>
  <si>
    <t>SETB0075-Z01 電磁弁+レギュラーﾕﾆｯﾄ取付板金</t>
    <phoneticPr fontId="11"/>
  </si>
  <si>
    <t>MVSHM-3N03002011027-2UK-1UMGD</t>
    <phoneticPr fontId="13"/>
  </si>
  <si>
    <t>SCB4-5</t>
    <phoneticPr fontId="11"/>
  </si>
  <si>
    <t>SBCB5-8</t>
    <phoneticPr fontId="11"/>
  </si>
  <si>
    <t>sunco</t>
    <phoneticPr fontId="13"/>
  </si>
  <si>
    <t>CSH-SUS-M3-12</t>
    <phoneticPr fontId="11"/>
  </si>
  <si>
    <t>CNYW6-6</t>
    <phoneticPr fontId="11"/>
  </si>
  <si>
    <t>チェリック</t>
    <phoneticPr fontId="11"/>
  </si>
  <si>
    <t>BSLG6</t>
    <phoneticPr fontId="11"/>
  </si>
  <si>
    <t>ワンタッチ継手 R（PT）付二重Y型 CNYW</t>
    <phoneticPr fontId="11"/>
  </si>
  <si>
    <t>カッチンダクト固定用</t>
    <rPh sb="7" eb="9">
      <t>コテイ</t>
    </rPh>
    <rPh sb="9" eb="10">
      <t>ヨウ</t>
    </rPh>
    <phoneticPr fontId="11"/>
  </si>
  <si>
    <t>モノタロウ</t>
    <phoneticPr fontId="11"/>
  </si>
  <si>
    <t xml:space="preserve">APMTS-N1-T1 </t>
    <phoneticPr fontId="13"/>
  </si>
  <si>
    <t>ねじ変換継手</t>
    <phoneticPr fontId="13"/>
  </si>
  <si>
    <t>出荷依頼項目NO.</t>
    <rPh sb="0" eb="4">
      <t>シュッカイライ</t>
    </rPh>
    <rPh sb="4" eb="6">
      <t>コウモク</t>
    </rPh>
    <phoneticPr fontId="11"/>
  </si>
  <si>
    <t>旭東電気様　</t>
    <phoneticPr fontId="11"/>
  </si>
  <si>
    <t>AXAロボット400+SV70ﾛｰﾀﾘｰｱｸﾁｭｴﾀｰ＋浸け置き+SVC720F　</t>
    <phoneticPr fontId="11"/>
  </si>
  <si>
    <t>福島</t>
    <rPh sb="0" eb="2">
      <t>フクシマ</t>
    </rPh>
    <phoneticPr fontId="11"/>
  </si>
  <si>
    <t>AETTS8-93-SC46.5-M3-N3</t>
    <phoneticPr fontId="11"/>
  </si>
  <si>
    <t>SSCMW10</t>
    <phoneticPr fontId="11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</si>
  <si>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1"/>
  </si>
  <si>
    <t>六角穴付皿ボルト　  2本　×2SET　</t>
    <phoneticPr fontId="11"/>
  </si>
  <si>
    <t>六角穴付皿ボルト　  9本　×2SET　</t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</si>
  <si>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-Y11 上部ｶﾞｲﾄﾞｶﾊﾞｰ</t>
    </r>
    <rPh sb="13" eb="14">
      <t>ウエ</t>
    </rPh>
    <rPh sb="14" eb="15">
      <t>ブ</t>
    </rPh>
    <phoneticPr fontId="11"/>
  </si>
  <si>
    <t>MVSHM-3N02054-37F-R3R62</t>
    <phoneticPr fontId="11"/>
  </si>
  <si>
    <t>日産ﾈｼﾞ</t>
    <phoneticPr fontId="13"/>
  </si>
  <si>
    <t>ﾐｽﾐ</t>
    <phoneticPr fontId="13"/>
  </si>
  <si>
    <t>浸け置きカップ</t>
    <rPh sb="0" eb="1">
      <t>ツ</t>
    </rPh>
    <rPh sb="2" eb="3">
      <t>オ</t>
    </rPh>
    <phoneticPr fontId="13"/>
  </si>
  <si>
    <t>SUNCO</t>
    <phoneticPr fontId="13"/>
  </si>
  <si>
    <t>捨て打ちBOX</t>
    <rPh sb="0" eb="1">
      <t>ス</t>
    </rPh>
    <rPh sb="2" eb="3">
      <t>ウ</t>
    </rPh>
    <phoneticPr fontId="13"/>
  </si>
  <si>
    <t>KBXS100-100</t>
    <phoneticPr fontId="13"/>
  </si>
  <si>
    <t>金属BOX</t>
    <phoneticPr fontId="13"/>
  </si>
  <si>
    <t>ノックピン　－プラス公差－　2本</t>
    <rPh sb="15" eb="16">
      <t>ホン</t>
    </rPh>
    <phoneticPr fontId="11"/>
  </si>
  <si>
    <t>MVSHM-3N02050-34E-FLG51</t>
    <phoneticPr fontId="11"/>
  </si>
  <si>
    <t>SETB0106-Z01　カップ受け板金1</t>
    <phoneticPr fontId="11"/>
  </si>
  <si>
    <t>MVSHM-3N03054-33U-TS97K</t>
    <phoneticPr fontId="13"/>
  </si>
  <si>
    <t>SSTT0329金属BOX受皿</t>
    <phoneticPr fontId="13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</si>
  <si>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-Z03　カップ受け板金2</t>
    </r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</si>
  <si>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1"/>
  </si>
  <si>
    <t>MVSHM-3N02052-37F-TF1BL</t>
    <phoneticPr fontId="11"/>
  </si>
  <si>
    <t>MVSHM-3N02052-37F-UF7PA</t>
    <phoneticPr fontId="11"/>
  </si>
  <si>
    <t>CSHCS-SUS-M4-5</t>
    <phoneticPr fontId="13"/>
  </si>
  <si>
    <t>図面NO.　SETB-0128-A01</t>
    <rPh sb="0" eb="2">
      <t>ズメン</t>
    </rPh>
    <phoneticPr fontId="11"/>
  </si>
  <si>
    <t>SET</t>
  </si>
  <si>
    <t>専用PCｺﾝﾄﾛｰﾗ ﾓﾆﾀｰ ｷｰﾎﾞｰﾄﾞ &amp; ﾏｳｽ【ﾛﾎﾞｯﾄ付属品】</t>
    <rPh sb="35" eb="38">
      <t>フゾクヒン</t>
    </rPh>
    <phoneticPr fontId="13"/>
  </si>
  <si>
    <t>PCｿﾌﾄ 外部ｽｲｯﾁ 含む【ﾛﾎﾞｯﾄ付属品】</t>
  </si>
  <si>
    <t>AXA400-SV</t>
    <phoneticPr fontId="11"/>
  </si>
  <si>
    <t>AXELIAｼﾘｰｽﾞAXA-SV（400角）</t>
    <phoneticPr fontId="11"/>
  </si>
  <si>
    <t>SCB4-8</t>
    <phoneticPr fontId="11"/>
  </si>
  <si>
    <r>
      <t>六角穴付ボルト  2</t>
    </r>
    <r>
      <rPr>
        <sz val="11"/>
        <color rgb="FFFF0000"/>
        <rFont val="ＭＳ Ｐゴシック"/>
        <family val="3"/>
        <charset val="128"/>
        <scheme val="minor"/>
      </rPr>
      <t>本　  社内在庫使用</t>
    </r>
    <rPh sb="10" eb="11">
      <t>ホン</t>
    </rPh>
    <phoneticPr fontId="11"/>
  </si>
  <si>
    <t>MVSHM-3N03000-39A-5BMUM</t>
    <phoneticPr fontId="11"/>
  </si>
  <si>
    <t>SETZJ-JF0010-07 AXAｶﾒﾗSV固定用ﾌﾞﾗｹｯﾄ</t>
    <phoneticPr fontId="11"/>
  </si>
  <si>
    <t>低頭六角穴付ボルト 2本+1本</t>
    <rPh sb="11" eb="12">
      <t>ホン</t>
    </rPh>
    <rPh sb="14" eb="15">
      <t>ホン</t>
    </rPh>
    <phoneticPr fontId="11"/>
  </si>
  <si>
    <t>低頭六角穴付ボルト　1本</t>
    <rPh sb="11" eb="12">
      <t>ホン</t>
    </rPh>
    <phoneticPr fontId="11"/>
  </si>
  <si>
    <t>アメリカン電機</t>
    <rPh sb="5" eb="7">
      <t>デンキ</t>
    </rPh>
    <phoneticPr fontId="13"/>
  </si>
  <si>
    <t>モノタロウ</t>
    <phoneticPr fontId="13"/>
  </si>
  <si>
    <t>EBS-32FB-10A</t>
    <phoneticPr fontId="13"/>
  </si>
  <si>
    <t>MWS-B3102</t>
    <phoneticPr fontId="13"/>
  </si>
  <si>
    <t>MRB-280</t>
    <phoneticPr fontId="13"/>
  </si>
  <si>
    <t>PDDU-PT-MS-9-2-02S</t>
    <phoneticPr fontId="13"/>
  </si>
  <si>
    <t>Dsub9　オス　コネクタハーネス　#4-40ショートねじ</t>
    <phoneticPr fontId="13"/>
  </si>
  <si>
    <t>Dsubコネクタハーネス　M2.6ショートネジ</t>
    <phoneticPr fontId="13"/>
  </si>
  <si>
    <t>PDDJ-PS-JS-37-2</t>
    <phoneticPr fontId="13"/>
  </si>
  <si>
    <t>ハンドバルブ　φ6　　　1個</t>
    <rPh sb="13" eb="14">
      <t>コ</t>
    </rPh>
    <phoneticPr fontId="13"/>
  </si>
  <si>
    <t>KV-0.5-BK-10</t>
    <phoneticPr fontId="13"/>
  </si>
  <si>
    <t>KV-0.5-R-10</t>
    <phoneticPr fontId="13"/>
  </si>
  <si>
    <t>単芯電線　黒色</t>
    <rPh sb="0" eb="1">
      <t>タン</t>
    </rPh>
    <rPh sb="1" eb="2">
      <t>シン</t>
    </rPh>
    <rPh sb="2" eb="4">
      <t>デンセン</t>
    </rPh>
    <rPh sb="5" eb="6">
      <t>クロ</t>
    </rPh>
    <rPh sb="6" eb="7">
      <t>イロ</t>
    </rPh>
    <phoneticPr fontId="13"/>
  </si>
  <si>
    <t>単芯電線　赤色</t>
    <rPh sb="0" eb="1">
      <t>タン</t>
    </rPh>
    <rPh sb="1" eb="2">
      <t>シン</t>
    </rPh>
    <rPh sb="2" eb="4">
      <t>デンセン</t>
    </rPh>
    <rPh sb="5" eb="6">
      <t>アカ</t>
    </rPh>
    <rPh sb="6" eb="7">
      <t>イロ</t>
    </rPh>
    <phoneticPr fontId="13"/>
  </si>
  <si>
    <t>1日目</t>
    <rPh sb="1" eb="3">
      <t>ヒメ</t>
    </rPh>
    <phoneticPr fontId="13"/>
  </si>
  <si>
    <t>BDR-342</t>
    <phoneticPr fontId="13"/>
  </si>
  <si>
    <t>配線ダクト（側片折り取り可能）　1本　　カッチンダクト</t>
    <rPh sb="17" eb="18">
      <t>ホン</t>
    </rPh>
    <phoneticPr fontId="13"/>
  </si>
  <si>
    <t>BCBFS4-6</t>
    <phoneticPr fontId="11"/>
  </si>
  <si>
    <t>六角穴付ボタンボルト　フランジ付タイプ-単品　4個</t>
    <rPh sb="24" eb="25">
      <t>コ</t>
    </rPh>
    <phoneticPr fontId="11"/>
  </si>
  <si>
    <t>ノックピン　－プラス公差－　１本</t>
    <rPh sb="15" eb="16">
      <t>ホン</t>
    </rPh>
    <phoneticPr fontId="11"/>
  </si>
  <si>
    <t>ノックピン　4本</t>
    <rPh sb="7" eb="8">
      <t>ホン</t>
    </rPh>
    <phoneticPr fontId="11"/>
  </si>
  <si>
    <t>6日目</t>
    <rPh sb="1" eb="2">
      <t>ヒ</t>
    </rPh>
    <rPh sb="2" eb="3">
      <t>メ</t>
    </rPh>
    <phoneticPr fontId="13"/>
  </si>
  <si>
    <t>六角穴付ボタンボルト　６本</t>
    <rPh sb="12" eb="13">
      <t>ホン</t>
    </rPh>
    <phoneticPr fontId="11"/>
  </si>
  <si>
    <t>六角穴付きボルト ステンレス　２本</t>
    <rPh sb="16" eb="17">
      <t>ホン</t>
    </rPh>
    <phoneticPr fontId="11"/>
  </si>
  <si>
    <t>https://www.monotaro.com/p/3343/6225/?t.q=%83%7E%83j%83J%83b%83v</t>
    <phoneticPr fontId="13"/>
  </si>
  <si>
    <r>
      <t>ﾐﾆｶｯﾌﾟ（30cc）</t>
    </r>
    <r>
      <rPr>
        <sz val="11"/>
        <color rgb="FFFF0000"/>
        <rFont val="ＭＳ Ｐゴシック"/>
        <family val="3"/>
        <charset val="128"/>
        <scheme val="minor"/>
      </rPr>
      <t xml:space="preserve">　 </t>
    </r>
    <phoneticPr fontId="13"/>
  </si>
  <si>
    <t>NO.30　　　　　　　　　　　ｱｽﾞﾜﾝ型番　5-079-04　</t>
    <rPh sb="21" eb="23">
      <t>カタバン</t>
    </rPh>
    <phoneticPr fontId="13"/>
  </si>
  <si>
    <t>マルエム</t>
    <phoneticPr fontId="13"/>
  </si>
  <si>
    <t>https://www.monotaro.com/p/1026/1684/?t.mpn=a8110</t>
    <phoneticPr fontId="11"/>
  </si>
  <si>
    <t>Ｎo.202770、202771</t>
    <phoneticPr fontId="11"/>
  </si>
  <si>
    <t xml:space="preserve">4set </t>
    <phoneticPr fontId="11"/>
  </si>
  <si>
    <t>エアチューブ  在庫使用</t>
    <phoneticPr fontId="13"/>
  </si>
  <si>
    <t>AXA卓上ﾛﾎﾞｯﾄ</t>
    <rPh sb="0" eb="5">
      <t>チサチタクジョウ</t>
    </rPh>
    <phoneticPr fontId="11"/>
  </si>
  <si>
    <t>円形支柱－両端めねじ　2本</t>
    <rPh sb="12" eb="13">
      <t>ホン</t>
    </rPh>
    <phoneticPr fontId="11"/>
  </si>
  <si>
    <t>円形支柱－両端めねじ　1本</t>
    <rPh sb="12" eb="13">
      <t>ホン</t>
    </rPh>
    <phoneticPr fontId="11"/>
  </si>
  <si>
    <t>ﾏｰｶｰﾋﾟﾝ　2本</t>
    <rPh sb="9" eb="10">
      <t>ホン</t>
    </rPh>
    <phoneticPr fontId="13"/>
  </si>
  <si>
    <t>低頭六角穴付ボルト　2本</t>
    <rPh sb="11" eb="12">
      <t>ホン</t>
    </rPh>
    <phoneticPr fontId="11"/>
  </si>
  <si>
    <t>六角穴付ボルト　2本</t>
    <rPh sb="9" eb="10">
      <t>ホン</t>
    </rPh>
    <phoneticPr fontId="11"/>
  </si>
  <si>
    <t>カムフォロア　頭部六角穴付　フラットタイプ　2個</t>
    <rPh sb="23" eb="24">
      <t>コ</t>
    </rPh>
    <phoneticPr fontId="11"/>
  </si>
  <si>
    <t>カムフォロア用ブラケット　2個</t>
    <rPh sb="14" eb="15">
      <t>コ</t>
    </rPh>
    <phoneticPr fontId="11"/>
  </si>
  <si>
    <t>六角穴付ボタンボルト　－ステンレス　4本</t>
    <rPh sb="19" eb="20">
      <t>ホン</t>
    </rPh>
    <phoneticPr fontId="11"/>
  </si>
  <si>
    <t>リブ　　2個</t>
    <rPh sb="5" eb="6">
      <t>コ</t>
    </rPh>
    <phoneticPr fontId="13"/>
  </si>
  <si>
    <t>リード線　2本</t>
    <rPh sb="3" eb="4">
      <t>セン</t>
    </rPh>
    <rPh sb="6" eb="7">
      <t>ホン</t>
    </rPh>
    <phoneticPr fontId="13"/>
  </si>
  <si>
    <t>スピコン　　2個</t>
    <rPh sb="7" eb="8">
      <t>コ</t>
    </rPh>
    <phoneticPr fontId="13"/>
  </si>
  <si>
    <t>ミニチュアワンタッチ継手　エルボ　　2個</t>
    <rPh sb="19" eb="20">
      <t>コ</t>
    </rPh>
    <phoneticPr fontId="11"/>
  </si>
  <si>
    <t>ミニチュアワンタッチ継手　エルボ　3個</t>
    <rPh sb="18" eb="19">
      <t>コ</t>
    </rPh>
    <phoneticPr fontId="11"/>
  </si>
  <si>
    <t>蝶ﾅｯﾄ　　2本</t>
    <rPh sb="7" eb="8">
      <t>ホン</t>
    </rPh>
    <phoneticPr fontId="13"/>
  </si>
  <si>
    <t>小頭ﾈｼﾞ　　4個</t>
    <rPh sb="8" eb="9">
      <t>コ</t>
    </rPh>
    <phoneticPr fontId="13"/>
  </si>
  <si>
    <t>皿ﾈｼﾞ　　2個</t>
    <rPh sb="7" eb="8">
      <t>コ</t>
    </rPh>
    <phoneticPr fontId="13"/>
  </si>
  <si>
    <t>袋ﾅｯﾄ　4個</t>
    <rPh sb="6" eb="7">
      <t>コ</t>
    </rPh>
    <phoneticPr fontId="13"/>
  </si>
  <si>
    <t>六角ﾎﾞﾙﾄ　2本</t>
    <rPh sb="8" eb="9">
      <t>ホン</t>
    </rPh>
    <phoneticPr fontId="13"/>
  </si>
  <si>
    <t>ワンタッチ継手　ブラインドプラグ　3個</t>
    <rPh sb="18" eb="19">
      <t>コ</t>
    </rPh>
    <phoneticPr fontId="11"/>
  </si>
  <si>
    <t>ﾜﾝﾀｯﾁ継手ﾕﾆｵﾝｽﾄﾚｰﾄ　2個</t>
    <rPh sb="5" eb="7">
      <t>ツギテ</t>
    </rPh>
    <rPh sb="18" eb="19">
      <t>コ</t>
    </rPh>
    <phoneticPr fontId="13"/>
  </si>
  <si>
    <t>PLSBWRK7-25</t>
    <phoneticPr fontId="11"/>
  </si>
  <si>
    <t>六角支柱－片端おねじ片端めねじ　2本</t>
    <rPh sb="17" eb="18">
      <t>ホン</t>
    </rPh>
    <phoneticPr fontId="11"/>
  </si>
  <si>
    <t>CSHSM-SUS-M3-5　　AXAでは次回から発注しない</t>
    <rPh sb="21" eb="23">
      <t>ジカイ</t>
    </rPh>
    <rPh sb="25" eb="27">
      <t>ハッチュウ</t>
    </rPh>
    <phoneticPr fontId="13"/>
  </si>
  <si>
    <t>FNT3　　AXAでは次回から発注しない</t>
    <phoneticPr fontId="13"/>
  </si>
  <si>
    <t>AFPSA4-P3.2-L3-B5</t>
    <phoneticPr fontId="11"/>
  </si>
  <si>
    <t>位置決めピン　高硬度ステンレス　小頭テーパ　－圧入－</t>
    <phoneticPr fontId="11"/>
  </si>
  <si>
    <t>WP43AB6B4500</t>
    <phoneticPr fontId="11"/>
  </si>
  <si>
    <t>SS300SB-24-1P-40  次回は発注する</t>
    <rPh sb="18" eb="20">
      <t>ジカイ</t>
    </rPh>
    <rPh sb="21" eb="23">
      <t>ハッチュウ</t>
    </rPh>
    <phoneticPr fontId="13"/>
  </si>
  <si>
    <t>NA3GH-24-3-40　  次回は発注する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</si>
</sst>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3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18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0" fillId="0" borderId="0">
      <alignment vertical="center"/>
    </xf>
    <xf numFmtId="0" fontId="15" fillId="0" borderId="0">
      <alignment vertical="center"/>
    </xf>
  </cellStyleXfs>
  <cellXfs count="28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49" fontId="5" fillId="0" borderId="1" xfId="0" applyNumberFormat="1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right" vertical="center"/>
    </xf>
    <xf numFmtId="0" fontId="12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176" fontId="12" fillId="0" borderId="12" xfId="0" applyNumberFormat="1" applyFont="1" applyBorder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3" fontId="0" fillId="0" borderId="11" xfId="0" applyNumberForma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0" fontId="15" fillId="0" borderId="10" xfId="3" applyBorder="1" applyAlignment="1">
      <alignment vertical="center"/>
    </xf>
    <xf numFmtId="56" fontId="0" fillId="0" borderId="1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6" fillId="0" borderId="10" xfId="0" applyFont="1" applyBorder="1">
      <alignment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0" fontId="0" fillId="0" borderId="12" xfId="0" applyBorder="1">
      <alignment vertical="center"/>
    </xf>
    <xf numFmtId="176" fontId="0" fillId="0" borderId="12" xfId="0" applyNumberFormat="1" applyBorder="1">
      <alignment vertical="center"/>
    </xf>
    <xf numFmtId="3" fontId="16" fillId="0" borderId="10" xfId="0" applyNumberFormat="1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6" fillId="5" borderId="10" xfId="0" applyFont="1" applyFill="1" applyBorder="1">
      <alignment vertical="center"/>
    </xf>
    <xf numFmtId="0" fontId="21" fillId="0" borderId="10" xfId="0" applyFont="1" applyBorder="1" applyAlignment="1">
      <alignment horizontal="center" vertical="center"/>
    </xf>
    <xf numFmtId="176" fontId="0" fillId="0" borderId="10" xfId="0" applyNumberFormat="1" applyBorder="1" applyAlignment="1"/>
    <xf numFmtId="0" fontId="0" fillId="0" borderId="10" xfId="0" applyBorder="1" applyAlignment="1">
      <alignment horizontal="left" vertical="center" shrinkToFit="1"/>
    </xf>
    <xf numFmtId="3" fontId="15" fillId="0" borderId="10" xfId="0" applyNumberFormat="1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5" fillId="0" borderId="10" xfId="3" applyBorder="1" applyAlignment="1">
      <alignment horizontal="left" vertical="center"/>
    </xf>
    <xf numFmtId="176" fontId="0" fillId="0" borderId="12" xfId="0" applyNumberFormat="1" applyBorder="1" applyAlignment="1"/>
    <xf numFmtId="0" fontId="16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 shrinkToFit="1"/>
    </xf>
    <xf numFmtId="3" fontId="0" fillId="5" borderId="17" xfId="0" applyNumberForma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vertical="center" shrinkToFit="1"/>
    </xf>
    <xf numFmtId="0" fontId="10" fillId="0" borderId="10" xfId="0" applyFont="1" applyBorder="1" applyAlignment="1">
      <alignment horizontal="left" vertical="center" shrinkToFit="1"/>
    </xf>
    <xf numFmtId="176" fontId="7" fillId="0" borderId="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49" fontId="5" fillId="0" borderId="2" xfId="0" applyNumberFormat="1" applyFont="1" applyBorder="1" applyAlignment="1">
      <alignment vertical="center" shrinkToFit="1"/>
    </xf>
    <xf numFmtId="176" fontId="0" fillId="0" borderId="7" xfId="0" applyNumberFormat="1" applyBorder="1" applyAlignment="1">
      <alignment horizontal="center" vertical="center"/>
    </xf>
    <xf numFmtId="0" fontId="18" fillId="8" borderId="1" xfId="0" applyFont="1" applyFill="1" applyBorder="1" applyAlignment="1">
      <alignment vertical="center" shrinkToFit="1"/>
    </xf>
    <xf numFmtId="3" fontId="18" fillId="8" borderId="10" xfId="0" applyNumberFormat="1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176" fontId="18" fillId="8" borderId="10" xfId="0" applyNumberFormat="1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left" vertical="center"/>
    </xf>
    <xf numFmtId="49" fontId="10" fillId="0" borderId="10" xfId="0" applyNumberFormat="1" applyFont="1" applyBorder="1" applyAlignment="1">
      <alignment horizontal="left" vertical="center"/>
    </xf>
    <xf numFmtId="180" fontId="15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0" fillId="0" borderId="0" xfId="0" applyFont="1">
      <alignment vertical="center"/>
    </xf>
    <xf numFmtId="49" fontId="0" fillId="0" borderId="10" xfId="0" applyNumberFormat="1" applyBorder="1" applyAlignment="1">
      <alignment horizontal="left" vertical="center"/>
    </xf>
    <xf numFmtId="176" fontId="15" fillId="0" borderId="10" xfId="0" applyNumberFormat="1" applyFont="1" applyBorder="1" applyAlignment="1">
      <alignment horizontal="center" vertical="center"/>
    </xf>
    <xf numFmtId="38" fontId="0" fillId="0" borderId="10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21" fillId="0" borderId="10" xfId="0" applyNumberFormat="1" applyFont="1" applyBorder="1" applyAlignment="1">
      <alignment horizontal="center" vertical="center"/>
    </xf>
    <xf numFmtId="176" fontId="0" fillId="8" borderId="10" xfId="0" applyNumberForma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6" fillId="0" borderId="10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20" xfId="0" applyBorder="1" applyAlignment="1">
      <alignment vertical="center" shrinkToFit="1"/>
    </xf>
    <xf numFmtId="176" fontId="7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6" fontId="24" fillId="0" borderId="17" xfId="0" applyNumberFormat="1" applyFont="1" applyBorder="1" applyAlignment="1">
      <alignment horizontal="center" vertical="center"/>
    </xf>
    <xf numFmtId="181" fontId="16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56" fontId="10" fillId="0" borderId="10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shrinkToFit="1"/>
    </xf>
    <xf numFmtId="0" fontId="18" fillId="8" borderId="10" xfId="0" applyFont="1" applyFill="1" applyBorder="1">
      <alignment vertical="center"/>
    </xf>
    <xf numFmtId="38" fontId="18" fillId="8" borderId="10" xfId="0" applyNumberFormat="1" applyFont="1" applyFill="1" applyBorder="1" applyAlignment="1">
      <alignment horizontal="center" vertical="center"/>
    </xf>
    <xf numFmtId="38" fontId="18" fillId="8" borderId="15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 shrinkToFit="1"/>
    </xf>
    <xf numFmtId="3" fontId="0" fillId="0" borderId="20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3" fontId="0" fillId="0" borderId="21" xfId="0" applyNumberFormat="1" applyBorder="1" applyAlignment="1">
      <alignment horizontal="center" vertical="center"/>
    </xf>
    <xf numFmtId="0" fontId="0" fillId="0" borderId="8" xfId="0" applyBorder="1" applyAlignment="1">
      <alignment vertical="center" shrinkToFit="1"/>
    </xf>
    <xf numFmtId="176" fontId="7" fillId="0" borderId="17" xfId="0" applyNumberFormat="1" applyFont="1" applyBorder="1" applyAlignment="1">
      <alignment horizontal="center" vertical="center"/>
    </xf>
    <xf numFmtId="176" fontId="0" fillId="0" borderId="18" xfId="0" applyNumberFormat="1" applyBorder="1" applyAlignment="1"/>
    <xf numFmtId="0" fontId="0" fillId="0" borderId="11" xfId="0" applyBorder="1" applyAlignment="1">
      <alignment horizontal="left" vertical="center"/>
    </xf>
    <xf numFmtId="0" fontId="16" fillId="0" borderId="12" xfId="0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176" fontId="23" fillId="0" borderId="10" xfId="0" applyNumberFormat="1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3" fontId="0" fillId="11" borderId="10" xfId="0" applyNumberForma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 shrinkToFit="1"/>
    </xf>
    <xf numFmtId="0" fontId="19" fillId="8" borderId="12" xfId="3" applyFont="1" applyFill="1" applyBorder="1" applyAlignment="1">
      <alignment horizontal="left" vertical="center"/>
    </xf>
    <xf numFmtId="0" fontId="1" fillId="0" borderId="0" xfId="2">
      <alignment vertical="center"/>
    </xf>
    <xf numFmtId="178" fontId="10" fillId="0" borderId="10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5" fillId="0" borderId="10" xfId="0" applyFont="1" applyBorder="1">
      <alignment vertical="center"/>
    </xf>
    <xf numFmtId="176" fontId="15" fillId="0" borderId="12" xfId="0" applyNumberFormat="1" applyFont="1" applyBorder="1" applyAlignment="1"/>
    <xf numFmtId="38" fontId="12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3" fontId="12" fillId="0" borderId="10" xfId="0" applyNumberFormat="1" applyFont="1" applyBorder="1" applyAlignment="1">
      <alignment horizontal="left" vertical="center"/>
    </xf>
    <xf numFmtId="183" fontId="16" fillId="0" borderId="10" xfId="0" applyNumberFormat="1" applyFont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2" fillId="12" borderId="10" xfId="0" applyFont="1" applyFill="1" applyBorder="1" applyAlignment="1">
      <alignment horizontal="center" vertical="center"/>
    </xf>
    <xf numFmtId="0" fontId="10" fillId="0" borderId="10" xfId="4" applyBorder="1" applyAlignment="1">
      <alignment horizontal="center" vertical="center"/>
    </xf>
    <xf numFmtId="3" fontId="10" fillId="0" borderId="10" xfId="4" applyNumberFormat="1" applyBorder="1" applyAlignment="1">
      <alignment horizontal="center" vertical="center"/>
    </xf>
    <xf numFmtId="0" fontId="10" fillId="0" borderId="12" xfId="4" applyBorder="1" applyAlignment="1">
      <alignment horizontal="center" vertical="center"/>
    </xf>
    <xf numFmtId="0" fontId="10" fillId="0" borderId="10" xfId="4" applyBorder="1">
      <alignment vertical="center"/>
    </xf>
    <xf numFmtId="0" fontId="10" fillId="0" borderId="10" xfId="4" applyBorder="1" applyAlignment="1">
      <alignment horizontal="left" vertical="center"/>
    </xf>
    <xf numFmtId="49" fontId="10" fillId="0" borderId="10" xfId="4" applyNumberFormat="1" applyBorder="1" applyAlignment="1">
      <alignment horizontal="left" vertical="center"/>
    </xf>
    <xf numFmtId="0" fontId="0" fillId="0" borderId="8" xfId="0" applyBorder="1" applyAlignment="1">
      <alignment horizontal="left" vertical="center" shrinkToFit="1"/>
    </xf>
    <xf numFmtId="3" fontId="10" fillId="0" borderId="17" xfId="4" applyNumberFormat="1" applyBorder="1" applyAlignment="1">
      <alignment horizontal="center" vertical="center"/>
    </xf>
    <xf numFmtId="49" fontId="10" fillId="0" borderId="17" xfId="4" applyNumberFormat="1" applyBorder="1" applyAlignment="1">
      <alignment horizontal="left" vertical="center"/>
    </xf>
    <xf numFmtId="0" fontId="10" fillId="0" borderId="24" xfId="4" applyBorder="1" applyAlignment="1">
      <alignment horizontal="center" vertical="center"/>
    </xf>
    <xf numFmtId="49" fontId="10" fillId="10" borderId="10" xfId="0" applyNumberFormat="1" applyFont="1" applyFill="1" applyBorder="1" applyAlignment="1">
      <alignment horizontal="left" vertical="center"/>
    </xf>
    <xf numFmtId="49" fontId="14" fillId="10" borderId="10" xfId="0" applyNumberFormat="1" applyFont="1" applyFill="1" applyBorder="1" applyAlignment="1">
      <alignment horizontal="left" vertical="center"/>
    </xf>
    <xf numFmtId="49" fontId="16" fillId="10" borderId="10" xfId="0" applyNumberFormat="1" applyFont="1" applyFill="1" applyBorder="1" applyAlignment="1">
      <alignment horizontal="left" vertical="center"/>
    </xf>
    <xf numFmtId="49" fontId="10" fillId="10" borderId="10" xfId="0" applyNumberFormat="1" applyFont="1" applyFill="1" applyBorder="1" applyAlignment="1">
      <alignment horizontal="left" vertical="center" wrapText="1"/>
    </xf>
    <xf numFmtId="0" fontId="10" fillId="10" borderId="10" xfId="0" applyFont="1" applyFill="1" applyBorder="1">
      <alignment vertical="center"/>
    </xf>
    <xf numFmtId="0" fontId="16" fillId="10" borderId="10" xfId="0" applyFont="1" applyFill="1" applyBorder="1" applyAlignment="1">
      <alignment horizontal="left" vertical="center"/>
    </xf>
    <xf numFmtId="0" fontId="15" fillId="10" borderId="10" xfId="3" applyFill="1" applyBorder="1" applyAlignment="1">
      <alignment vertical="center"/>
    </xf>
    <xf numFmtId="49" fontId="12" fillId="10" borderId="10" xfId="0" applyNumberFormat="1" applyFont="1" applyFill="1" applyBorder="1" applyAlignment="1">
      <alignment horizontal="left" vertical="center"/>
    </xf>
    <xf numFmtId="3" fontId="10" fillId="10" borderId="10" xfId="0" applyNumberFormat="1" applyFont="1" applyFill="1" applyBorder="1" applyAlignment="1">
      <alignment horizontal="left" vertical="center"/>
    </xf>
    <xf numFmtId="176" fontId="16" fillId="0" borderId="10" xfId="0" applyNumberFormat="1" applyFont="1" applyBorder="1" applyAlignment="1">
      <alignment horizontal="center" vertical="center"/>
    </xf>
    <xf numFmtId="0" fontId="12" fillId="10" borderId="10" xfId="0" applyFont="1" applyFill="1" applyBorder="1">
      <alignment vertical="center"/>
    </xf>
    <xf numFmtId="0" fontId="15" fillId="10" borderId="10" xfId="3" applyFill="1" applyBorder="1" applyAlignment="1">
      <alignment horizontal="left" vertical="center"/>
    </xf>
    <xf numFmtId="0" fontId="16" fillId="10" borderId="10" xfId="4" applyFont="1" applyFill="1" applyBorder="1" applyAlignment="1">
      <alignment horizontal="left" vertical="center"/>
    </xf>
    <xf numFmtId="0" fontId="10" fillId="10" borderId="10" xfId="0" applyFont="1" applyFill="1" applyBorder="1" applyAlignment="1">
      <alignment vertical="center" shrinkToFit="1"/>
    </xf>
    <xf numFmtId="0" fontId="16" fillId="10" borderId="12" xfId="0" applyFont="1" applyFill="1" applyBorder="1">
      <alignment vertical="center"/>
    </xf>
    <xf numFmtId="0" fontId="16" fillId="0" borderId="1" xfId="0" applyFont="1" applyBorder="1" applyAlignment="1">
      <alignment vertical="center" shrinkToFit="1"/>
    </xf>
    <xf numFmtId="176" fontId="16" fillId="0" borderId="12" xfId="0" applyNumberFormat="1" applyFont="1" applyBorder="1">
      <alignment vertical="center"/>
    </xf>
    <xf numFmtId="0" fontId="15" fillId="10" borderId="10" xfId="0" applyFont="1" applyFill="1" applyBorder="1">
      <alignment vertical="center"/>
    </xf>
    <xf numFmtId="0" fontId="16" fillId="0" borderId="12" xfId="0" applyFont="1" applyBorder="1" applyAlignment="1">
      <alignment horizontal="left" vertical="center"/>
    </xf>
    <xf numFmtId="0" fontId="15" fillId="10" borderId="10" xfId="0" applyFont="1" applyFill="1" applyBorder="1" applyAlignment="1">
      <alignment horizontal="left" vertical="center"/>
    </xf>
    <xf numFmtId="3" fontId="15" fillId="0" borderId="12" xfId="0" applyNumberFormat="1" applyFont="1" applyBorder="1" applyAlignment="1">
      <alignment horizontal="center" vertical="center"/>
    </xf>
    <xf numFmtId="182" fontId="16" fillId="0" borderId="10" xfId="0" applyNumberFormat="1" applyFont="1" applyBorder="1" applyAlignment="1">
      <alignment horizontal="center" vertical="center"/>
    </xf>
    <xf numFmtId="176" fontId="15" fillId="0" borderId="12" xfId="0" applyNumberFormat="1" applyFont="1" applyBorder="1">
      <alignment vertical="center"/>
    </xf>
    <xf numFmtId="176" fontId="15" fillId="0" borderId="10" xfId="0" applyNumberFormat="1" applyFont="1" applyBorder="1" applyAlignment="1"/>
    <xf numFmtId="3" fontId="5" fillId="0" borderId="2" xfId="0" applyNumberFormat="1" applyFont="1" applyBorder="1" applyAlignment="1">
      <alignment horizontal="center" vertical="center"/>
    </xf>
    <xf numFmtId="176" fontId="16" fillId="12" borderId="10" xfId="0" applyNumberFormat="1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176" fontId="10" fillId="13" borderId="10" xfId="0" applyNumberFormat="1" applyFont="1" applyFill="1" applyBorder="1" applyAlignment="1">
      <alignment horizontal="center" vertical="center"/>
    </xf>
    <xf numFmtId="176" fontId="0" fillId="13" borderId="10" xfId="0" applyNumberFormat="1" applyFill="1" applyBorder="1" applyAlignment="1">
      <alignment horizontal="center" vertical="center"/>
    </xf>
    <xf numFmtId="176" fontId="16" fillId="13" borderId="10" xfId="0" applyNumberFormat="1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16" fillId="13" borderId="10" xfId="0" applyFont="1" applyFill="1" applyBorder="1" applyAlignment="1">
      <alignment horizontal="center" vertical="center"/>
    </xf>
    <xf numFmtId="0" fontId="10" fillId="13" borderId="10" xfId="4" applyFill="1" applyBorder="1" applyAlignment="1">
      <alignment horizontal="center" vertical="center"/>
    </xf>
    <xf numFmtId="0" fontId="10" fillId="13" borderId="17" xfId="4" applyFill="1" applyBorder="1" applyAlignment="1">
      <alignment horizontal="center" vertical="center"/>
    </xf>
    <xf numFmtId="0" fontId="21" fillId="13" borderId="10" xfId="0" applyFont="1" applyFill="1" applyBorder="1" applyAlignment="1">
      <alignment horizontal="center" vertical="center"/>
    </xf>
    <xf numFmtId="181" fontId="12" fillId="13" borderId="10" xfId="0" applyNumberFormat="1" applyFont="1" applyFill="1" applyBorder="1" applyAlignment="1">
      <alignment horizontal="center" vertical="center"/>
    </xf>
    <xf numFmtId="181" fontId="16" fillId="13" borderId="10" xfId="0" applyNumberFormat="1" applyFont="1" applyFill="1" applyBorder="1" applyAlignment="1">
      <alignment horizontal="center" vertical="center"/>
    </xf>
    <xf numFmtId="180" fontId="15" fillId="13" borderId="10" xfId="0" applyNumberFormat="1" applyFont="1" applyFill="1" applyBorder="1" applyAlignment="1">
      <alignment horizontal="center" vertical="center"/>
    </xf>
    <xf numFmtId="181" fontId="16" fillId="13" borderId="10" xfId="4" applyNumberFormat="1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5" fillId="13" borderId="10" xfId="3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5" fillId="0" borderId="13" xfId="3" applyBorder="1"/>
    <xf numFmtId="176" fontId="15" fillId="0" borderId="13" xfId="0" applyNumberFormat="1" applyFont="1" applyBorder="1" applyAlignment="1">
      <alignment horizontal="center" vertical="center"/>
    </xf>
    <xf numFmtId="0" fontId="15" fillId="0" borderId="13" xfId="3" applyBorder="1" applyAlignment="1">
      <alignment horizontal="center" vertical="center"/>
    </xf>
    <xf numFmtId="176" fontId="15" fillId="0" borderId="14" xfId="0" applyNumberFormat="1" applyFont="1" applyBorder="1" applyAlignment="1"/>
    <xf numFmtId="0" fontId="15" fillId="0" borderId="13" xfId="3" applyBorder="1" applyAlignment="1">
      <alignment vertical="center"/>
    </xf>
    <xf numFmtId="0" fontId="30" fillId="10" borderId="10" xfId="0" applyFont="1" applyFill="1" applyBorder="1">
      <alignment vertical="center"/>
    </xf>
    <xf numFmtId="3" fontId="10" fillId="0" borderId="12" xfId="4" applyNumberFormat="1" applyBorder="1" applyAlignment="1">
      <alignment horizontal="center" vertical="center"/>
    </xf>
    <xf numFmtId="38" fontId="10" fillId="0" borderId="17" xfId="4" applyNumberFormat="1" applyBorder="1" applyAlignment="1">
      <alignment horizontal="center" vertical="center"/>
    </xf>
    <xf numFmtId="176" fontId="0" fillId="12" borderId="10" xfId="0" applyNumberForma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176" fontId="10" fillId="12" borderId="10" xfId="0" applyNumberFormat="1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176" fontId="18" fillId="8" borderId="12" xfId="0" applyNumberFormat="1" applyFont="1" applyFill="1" applyBorder="1">
      <alignment vertical="center"/>
    </xf>
    <xf numFmtId="0" fontId="18" fillId="8" borderId="10" xfId="0" applyFont="1" applyFill="1" applyBorder="1" applyAlignment="1">
      <alignment vertical="center" wrapText="1"/>
    </xf>
    <xf numFmtId="176" fontId="10" fillId="0" borderId="10" xfId="0" applyNumberFormat="1" applyFont="1" applyBorder="1" applyAlignment="1">
      <alignment horizontal="center" vertical="center"/>
    </xf>
    <xf numFmtId="176" fontId="10" fillId="0" borderId="10" xfId="0" applyNumberFormat="1" applyFont="1" applyBorder="1" applyAlignment="1"/>
    <xf numFmtId="0" fontId="10" fillId="13" borderId="10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0" fontId="18" fillId="8" borderId="12" xfId="0" applyFont="1" applyFill="1" applyBorder="1">
      <alignment vertical="center"/>
    </xf>
    <xf numFmtId="0" fontId="19" fillId="8" borderId="12" xfId="0" applyFont="1" applyFill="1" applyBorder="1">
      <alignment vertical="center"/>
    </xf>
    <xf numFmtId="3" fontId="19" fillId="8" borderId="10" xfId="0" applyNumberFormat="1" applyFont="1" applyFill="1" applyBorder="1" applyAlignment="1">
      <alignment horizontal="center" vertical="center"/>
    </xf>
    <xf numFmtId="0" fontId="19" fillId="8" borderId="10" xfId="0" applyFont="1" applyFill="1" applyBorder="1">
      <alignment vertical="center"/>
    </xf>
    <xf numFmtId="180" fontId="19" fillId="8" borderId="10" xfId="0" applyNumberFormat="1" applyFont="1" applyFill="1" applyBorder="1" applyAlignment="1">
      <alignment horizontal="center" vertical="center"/>
    </xf>
    <xf numFmtId="176" fontId="19" fillId="8" borderId="10" xfId="0" applyNumberFormat="1" applyFont="1" applyFill="1" applyBorder="1" applyAlignment="1">
      <alignment horizontal="center" vertical="center"/>
    </xf>
    <xf numFmtId="176" fontId="18" fillId="8" borderId="1" xfId="0" applyNumberFormat="1" applyFont="1" applyFill="1" applyBorder="1" applyAlignment="1">
      <alignment horizontal="center" vertical="center"/>
    </xf>
    <xf numFmtId="176" fontId="19" fillId="8" borderId="10" xfId="0" applyNumberFormat="1" applyFont="1" applyFill="1" applyBorder="1" applyAlignment="1"/>
    <xf numFmtId="0" fontId="19" fillId="8" borderId="12" xfId="0" applyFont="1" applyFill="1" applyBorder="1" applyAlignment="1">
      <alignment horizontal="left" vertical="center" shrinkToFit="1"/>
    </xf>
    <xf numFmtId="0" fontId="19" fillId="8" borderId="10" xfId="3" applyFont="1" applyFill="1" applyBorder="1"/>
    <xf numFmtId="176" fontId="19" fillId="8" borderId="12" xfId="0" applyNumberFormat="1" applyFont="1" applyFill="1" applyBorder="1" applyAlignment="1"/>
    <xf numFmtId="0" fontId="19" fillId="8" borderId="10" xfId="3" applyFont="1" applyFill="1" applyBorder="1" applyAlignment="1">
      <alignment vertical="center"/>
    </xf>
    <xf numFmtId="38" fontId="0" fillId="12" borderId="10" xfId="0" applyNumberFormat="1" applyFill="1" applyBorder="1" applyAlignment="1">
      <alignment horizontal="center" vertical="center"/>
    </xf>
    <xf numFmtId="38" fontId="16" fillId="12" borderId="10" xfId="0" applyNumberFormat="1" applyFont="1" applyFill="1" applyBorder="1" applyAlignment="1">
      <alignment horizontal="center" vertical="center"/>
    </xf>
    <xf numFmtId="38" fontId="18" fillId="12" borderId="10" xfId="0" applyNumberFormat="1" applyFont="1" applyFill="1" applyBorder="1" applyAlignment="1">
      <alignment horizontal="center" vertical="center"/>
    </xf>
    <xf numFmtId="183" fontId="16" fillId="12" borderId="10" xfId="0" applyNumberFormat="1" applyFont="1" applyFill="1" applyBorder="1" applyAlignment="1">
      <alignment horizontal="center" vertical="center"/>
    </xf>
    <xf numFmtId="183" fontId="0" fillId="12" borderId="10" xfId="0" applyNumberFormat="1" applyFill="1" applyBorder="1" applyAlignment="1">
      <alignment horizontal="center" vertical="center"/>
    </xf>
    <xf numFmtId="0" fontId="23" fillId="12" borderId="10" xfId="3" applyFont="1" applyFill="1" applyBorder="1" applyAlignment="1">
      <alignment horizontal="center" vertical="center"/>
    </xf>
    <xf numFmtId="38" fontId="12" fillId="12" borderId="10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176" fontId="15" fillId="12" borderId="10" xfId="0" applyNumberFormat="1" applyFont="1" applyFill="1" applyBorder="1" applyAlignment="1">
      <alignment horizontal="center" vertical="center"/>
    </xf>
    <xf numFmtId="0" fontId="16" fillId="12" borderId="10" xfId="4" applyFont="1" applyFill="1" applyBorder="1" applyAlignment="1">
      <alignment horizontal="center" vertical="center"/>
    </xf>
    <xf numFmtId="0" fontId="15" fillId="12" borderId="10" xfId="3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176" fontId="12" fillId="12" borderId="1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49" fontId="25" fillId="10" borderId="10" xfId="0" applyNumberFormat="1" applyFont="1" applyFill="1" applyBorder="1" applyAlignment="1">
      <alignment horizontal="left" vertical="center"/>
    </xf>
    <xf numFmtId="3" fontId="0" fillId="16" borderId="10" xfId="0" applyNumberFormat="1" applyFill="1" applyBorder="1" applyAlignment="1">
      <alignment horizontal="center" vertical="center"/>
    </xf>
    <xf numFmtId="49" fontId="10" fillId="16" borderId="10" xfId="0" applyNumberFormat="1" applyFont="1" applyFill="1" applyBorder="1" applyAlignment="1">
      <alignment horizontal="left" vertical="center"/>
    </xf>
    <xf numFmtId="0" fontId="16" fillId="16" borderId="10" xfId="0" applyFont="1" applyFill="1" applyBorder="1" applyAlignment="1">
      <alignment horizontal="center" vertical="center"/>
    </xf>
    <xf numFmtId="183" fontId="16" fillId="16" borderId="10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vertical="center" shrinkToFit="1"/>
    </xf>
    <xf numFmtId="0" fontId="16" fillId="17" borderId="12" xfId="0" applyFont="1" applyFill="1" applyBorder="1">
      <alignment vertical="center"/>
    </xf>
    <xf numFmtId="176" fontId="24" fillId="6" borderId="12" xfId="0" applyNumberFormat="1" applyFont="1" applyFill="1" applyBorder="1" applyAlignment="1">
      <alignment horizontal="center" vertical="center"/>
    </xf>
    <xf numFmtId="176" fontId="24" fillId="6" borderId="16" xfId="0" applyNumberFormat="1" applyFont="1" applyFill="1" applyBorder="1" applyAlignment="1">
      <alignment horizontal="center" vertical="center"/>
    </xf>
    <xf numFmtId="176" fontId="24" fillId="6" borderId="15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7" fillId="3" borderId="8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7" fillId="3" borderId="9" xfId="0" applyNumberFormat="1" applyFont="1" applyFill="1" applyBorder="1" applyAlignment="1">
      <alignment horizontal="center" vertical="center"/>
    </xf>
    <xf numFmtId="176" fontId="7" fillId="3" borderId="18" xfId="0" applyNumberFormat="1" applyFont="1" applyFill="1" applyBorder="1" applyAlignment="1">
      <alignment horizontal="center" vertical="center"/>
    </xf>
    <xf numFmtId="176" fontId="7" fillId="3" borderId="19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3" fontId="22" fillId="7" borderId="12" xfId="0" applyNumberFormat="1" applyFont="1" applyFill="1" applyBorder="1" applyAlignment="1">
      <alignment horizontal="center" vertical="center"/>
    </xf>
    <xf numFmtId="3" fontId="22" fillId="7" borderId="16" xfId="0" applyNumberFormat="1" applyFont="1" applyFill="1" applyBorder="1" applyAlignment="1">
      <alignment horizontal="center" vertical="center"/>
    </xf>
    <xf numFmtId="3" fontId="22" fillId="7" borderId="1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9" fillId="8" borderId="22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3343/6225/?t.q=%83%7E%83j%83J%83b%83v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monotaro.com/g/00231808/?t.mpn=msqb10r-m9nz" TargetMode="External"/><Relationship Id="rId1" Type="http://schemas.openxmlformats.org/officeDocument/2006/relationships/hyperlink" Target="https://www.monotaro.com/p/5685/0394/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notaro.com/p/1026/1684/?t.mpn=a811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159"/>
  <sheetViews>
    <sheetView tabSelected="1" zoomScale="85" zoomScaleNormal="85" workbookViewId="0">
      <pane xSplit="11" ySplit="8" topLeftCell="N96" activePane="bottomRight" state="frozen"/>
      <selection activeCell="D26" sqref="D26"/>
      <selection pane="topRight" activeCell="D26" sqref="D26"/>
      <selection pane="bottomLeft" activeCell="D26" sqref="D26"/>
      <selection pane="bottomRight" activeCell="R108" sqref="R108"/>
    </sheetView>
  </sheetViews>
  <sheetFormatPr defaultColWidth="11.75" defaultRowHeight="13.5" customHeight="1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43.25" customWidth="1"/>
    <col min="7" max="7" width="7.75" style="3" customWidth="1"/>
    <col min="8" max="8" width="9.625" style="3" customWidth="1"/>
    <col min="9" max="9" width="9.375" style="3" customWidth="1"/>
    <col min="10" max="10" width="7.125" style="12" customWidth="1"/>
    <col min="11" max="11" width="44.875" customWidth="1"/>
    <col min="12" max="12" width="26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48" customWidth="1"/>
    <col min="18" max="18" width="19.375" style="48" customWidth="1"/>
  </cols>
  <sheetData>
    <row r="2" spans="1:18" ht="20.100000000000001" customHeight="1">
      <c r="C2" s="271" t="s">
        <v>0</v>
      </c>
      <c r="D2" s="271"/>
      <c r="E2" s="271"/>
      <c r="F2" s="28" t="s">
        <v>189</v>
      </c>
      <c r="H2" s="283" t="s">
        <v>1</v>
      </c>
      <c r="I2" s="284"/>
      <c r="J2" s="285"/>
      <c r="K2" s="11">
        <f>SUM(I:I)</f>
        <v>892056</v>
      </c>
    </row>
    <row r="3" spans="1:18" ht="20.100000000000001" customHeight="1">
      <c r="C3" s="271" t="s">
        <v>2</v>
      </c>
      <c r="D3" s="271"/>
      <c r="E3" s="271"/>
      <c r="F3" s="9" t="s">
        <v>191</v>
      </c>
    </row>
    <row r="4" spans="1:18" ht="20.100000000000001" customHeight="1">
      <c r="C4" s="271" t="s">
        <v>3</v>
      </c>
      <c r="D4" s="271"/>
      <c r="E4" s="271"/>
      <c r="F4" s="9" t="s">
        <v>257</v>
      </c>
      <c r="G4" s="287" t="s">
        <v>258</v>
      </c>
      <c r="H4" s="286" t="s">
        <v>190</v>
      </c>
      <c r="I4" s="286"/>
      <c r="J4" s="286"/>
      <c r="K4" s="286"/>
      <c r="L4" s="87"/>
    </row>
    <row r="5" spans="1:18" ht="20.100000000000001" customHeight="1">
      <c r="C5" s="271" t="s">
        <v>4</v>
      </c>
      <c r="D5" s="271"/>
      <c r="E5" s="271"/>
      <c r="F5" s="10">
        <v>44959</v>
      </c>
      <c r="G5" s="287"/>
      <c r="H5" s="286"/>
      <c r="I5" s="286"/>
      <c r="J5" s="286"/>
      <c r="K5" s="286"/>
    </row>
    <row r="6" spans="1:18" ht="20.100000000000001" customHeight="1">
      <c r="C6" s="271" t="s">
        <v>5</v>
      </c>
      <c r="D6" s="271"/>
      <c r="E6" s="271"/>
      <c r="F6" s="10">
        <v>44960</v>
      </c>
      <c r="H6" s="282" t="s">
        <v>216</v>
      </c>
      <c r="I6" s="282"/>
      <c r="J6" s="282"/>
      <c r="K6" s="282"/>
    </row>
    <row r="8" spans="1:18" s="3" customFormat="1" ht="19.5" customHeight="1">
      <c r="B8" s="136" t="s">
        <v>188</v>
      </c>
      <c r="C8" s="135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1:18" s="3" customFormat="1" ht="19.5" customHeight="1">
      <c r="C9" s="272" t="s">
        <v>260</v>
      </c>
      <c r="D9" s="273"/>
      <c r="E9" s="273"/>
      <c r="F9" s="274"/>
      <c r="G9" s="23"/>
      <c r="H9" s="23"/>
      <c r="I9" s="23"/>
      <c r="J9" s="13"/>
      <c r="K9" s="24"/>
      <c r="L9" s="1"/>
      <c r="M9" s="1"/>
      <c r="N9" s="15"/>
      <c r="O9" s="4"/>
      <c r="P9" s="1"/>
      <c r="Q9" s="15"/>
      <c r="R9" s="8"/>
    </row>
    <row r="10" spans="1:18" s="3" customFormat="1" ht="19.5" customHeight="1">
      <c r="A10" s="34"/>
      <c r="B10" s="251">
        <v>1</v>
      </c>
      <c r="C10" s="210"/>
      <c r="D10" s="149" t="s">
        <v>217</v>
      </c>
      <c r="E10" s="149" t="s">
        <v>217</v>
      </c>
      <c r="F10" s="152" t="s">
        <v>220</v>
      </c>
      <c r="G10" s="190">
        <v>4</v>
      </c>
      <c r="H10" s="149">
        <v>0</v>
      </c>
      <c r="I10" s="207">
        <v>0</v>
      </c>
      <c r="J10" s="150"/>
      <c r="K10" s="152" t="s">
        <v>221</v>
      </c>
      <c r="L10" s="148"/>
      <c r="M10" s="148"/>
      <c r="N10" s="15"/>
      <c r="O10" s="4"/>
      <c r="P10" s="1"/>
      <c r="Q10" s="15"/>
      <c r="R10" s="8"/>
    </row>
    <row r="11" spans="1:18" s="3" customFormat="1" ht="19.5" customHeight="1">
      <c r="A11" s="34"/>
      <c r="B11" s="251">
        <v>1</v>
      </c>
      <c r="C11" s="210"/>
      <c r="D11" s="149" t="s">
        <v>217</v>
      </c>
      <c r="E11" s="149" t="s">
        <v>217</v>
      </c>
      <c r="F11" s="153" t="s">
        <v>218</v>
      </c>
      <c r="G11" s="190">
        <v>4</v>
      </c>
      <c r="H11" s="149">
        <v>0</v>
      </c>
      <c r="I11" s="149">
        <v>0</v>
      </c>
      <c r="J11" s="150"/>
      <c r="K11" s="152"/>
      <c r="L11" s="148"/>
      <c r="M11" s="148"/>
      <c r="N11" s="15"/>
      <c r="O11" s="4"/>
      <c r="P11" s="1"/>
      <c r="Q11" s="15"/>
      <c r="R11" s="8"/>
    </row>
    <row r="12" spans="1:18" s="3" customFormat="1" ht="19.5" customHeight="1">
      <c r="A12" s="34"/>
      <c r="B12" s="251">
        <v>1</v>
      </c>
      <c r="C12" s="211"/>
      <c r="D12" s="155" t="s">
        <v>217</v>
      </c>
      <c r="E12" s="155" t="s">
        <v>217</v>
      </c>
      <c r="F12" s="156" t="s">
        <v>219</v>
      </c>
      <c r="G12" s="191">
        <v>4</v>
      </c>
      <c r="H12" s="208">
        <v>0</v>
      </c>
      <c r="I12" s="208">
        <v>0</v>
      </c>
      <c r="J12" s="157"/>
      <c r="K12" s="151"/>
      <c r="L12" s="148"/>
      <c r="M12" s="148"/>
      <c r="N12" s="15"/>
      <c r="O12" s="4"/>
      <c r="P12" s="1"/>
      <c r="Q12" s="15"/>
      <c r="R12" s="8"/>
    </row>
    <row r="13" spans="1:18" s="3" customFormat="1" ht="19.5" customHeight="1">
      <c r="C13" s="39"/>
      <c r="D13" s="39"/>
      <c r="E13" s="39"/>
      <c r="F13" s="109"/>
      <c r="G13" s="52"/>
      <c r="H13" s="52"/>
      <c r="I13" s="52"/>
      <c r="J13" s="60"/>
      <c r="K13" s="154"/>
      <c r="L13" s="1"/>
      <c r="M13" s="1"/>
      <c r="N13" s="15"/>
      <c r="O13" s="4"/>
      <c r="P13" s="1"/>
      <c r="Q13" s="15"/>
      <c r="R13" s="8"/>
    </row>
    <row r="14" spans="1:18" s="3" customFormat="1" ht="19.5" customHeight="1">
      <c r="C14" s="39"/>
      <c r="D14" s="39"/>
      <c r="E14" s="39"/>
      <c r="F14" s="109"/>
      <c r="G14" s="52"/>
      <c r="H14" s="52"/>
      <c r="I14" s="52"/>
      <c r="J14" s="60"/>
      <c r="K14" s="154"/>
      <c r="L14" s="1"/>
      <c r="M14" s="1"/>
      <c r="N14" s="15"/>
      <c r="O14" s="4"/>
      <c r="P14" s="1"/>
      <c r="Q14" s="15"/>
      <c r="R14" s="8"/>
    </row>
    <row r="15" spans="1:18" s="3" customFormat="1" ht="19.5" customHeight="1">
      <c r="C15" s="39"/>
      <c r="D15" s="39"/>
      <c r="E15" s="39"/>
      <c r="F15" s="109"/>
      <c r="G15" s="52"/>
      <c r="H15" s="52"/>
      <c r="I15" s="52"/>
      <c r="J15" s="60"/>
      <c r="K15" s="154"/>
      <c r="L15" s="1"/>
      <c r="M15" s="1"/>
      <c r="N15" s="15"/>
      <c r="O15" s="4"/>
      <c r="P15" s="1"/>
      <c r="Q15" s="15"/>
      <c r="R15" s="8"/>
    </row>
    <row r="16" spans="1:18" ht="18" customHeight="1">
      <c r="C16" s="272" t="s">
        <v>22</v>
      </c>
      <c r="D16" s="273"/>
      <c r="E16" s="273"/>
      <c r="F16" s="274"/>
      <c r="G16" s="99"/>
      <c r="H16" s="99"/>
      <c r="I16" s="94"/>
      <c r="J16" s="19"/>
      <c r="K16" s="16"/>
      <c r="L16" s="6"/>
      <c r="M16" s="5"/>
      <c r="N16" s="15"/>
      <c r="O16" s="8"/>
      <c r="P16" s="8"/>
      <c r="Q16" s="15"/>
      <c r="R16" s="14"/>
    </row>
    <row r="17" spans="1:18" ht="18" customHeight="1">
      <c r="A17" s="145" t="s">
        <v>139</v>
      </c>
      <c r="B17" s="147">
        <v>3</v>
      </c>
      <c r="C17" s="182">
        <f>C15+1</f>
        <v>1</v>
      </c>
      <c r="D17" s="39" t="s">
        <v>29</v>
      </c>
      <c r="E17" s="39" t="s">
        <v>29</v>
      </c>
      <c r="F17" s="158" t="s">
        <v>131</v>
      </c>
      <c r="G17" s="185">
        <v>8</v>
      </c>
      <c r="H17" s="209">
        <v>924</v>
      </c>
      <c r="I17" s="52">
        <f t="shared" ref="I17:I77" si="0">G17*H17</f>
        <v>7392</v>
      </c>
      <c r="J17" s="60"/>
      <c r="K17" s="71" t="s">
        <v>261</v>
      </c>
      <c r="L17" s="109"/>
      <c r="M17" s="34"/>
      <c r="N17" s="47">
        <v>44932</v>
      </c>
      <c r="O17" s="31"/>
      <c r="P17" s="47"/>
      <c r="Q17" s="47">
        <v>44960</v>
      </c>
      <c r="R17" s="45">
        <v>44960</v>
      </c>
    </row>
    <row r="18" spans="1:18" ht="18" customHeight="1">
      <c r="A18" s="145" t="s">
        <v>139</v>
      </c>
      <c r="B18" s="147">
        <v>3</v>
      </c>
      <c r="C18" s="30">
        <f t="shared" ref="C18:C69" si="1">C17+1</f>
        <v>2</v>
      </c>
      <c r="D18" s="39" t="s">
        <v>29</v>
      </c>
      <c r="E18" s="39" t="s">
        <v>29</v>
      </c>
      <c r="F18" s="158" t="s">
        <v>192</v>
      </c>
      <c r="G18" s="185">
        <v>4</v>
      </c>
      <c r="H18" s="209">
        <v>1120</v>
      </c>
      <c r="I18" s="52">
        <f t="shared" si="0"/>
        <v>4480</v>
      </c>
      <c r="J18" s="60"/>
      <c r="K18" s="71" t="s">
        <v>262</v>
      </c>
      <c r="L18" s="109"/>
      <c r="M18" s="34"/>
      <c r="N18" s="47">
        <v>44932</v>
      </c>
      <c r="O18" s="31"/>
      <c r="P18" s="47"/>
      <c r="Q18" s="47">
        <v>44960</v>
      </c>
      <c r="R18" s="45">
        <v>44960</v>
      </c>
    </row>
    <row r="19" spans="1:18" ht="18" customHeight="1">
      <c r="A19" s="120" t="s">
        <v>99</v>
      </c>
      <c r="B19" s="147">
        <v>3</v>
      </c>
      <c r="C19" s="30">
        <f>C18+1</f>
        <v>3</v>
      </c>
      <c r="D19" s="39" t="s">
        <v>29</v>
      </c>
      <c r="E19" s="39" t="s">
        <v>29</v>
      </c>
      <c r="F19" s="127" t="s">
        <v>222</v>
      </c>
      <c r="G19" s="81"/>
      <c r="H19" s="209">
        <v>27</v>
      </c>
      <c r="I19" s="52">
        <f t="shared" ref="I19:I21" si="2">G19*H19</f>
        <v>0</v>
      </c>
      <c r="J19" s="65"/>
      <c r="K19" s="71" t="s">
        <v>223</v>
      </c>
      <c r="L19" s="109"/>
      <c r="M19" s="34"/>
      <c r="N19" s="47"/>
      <c r="O19" s="31"/>
      <c r="P19" s="47"/>
      <c r="Q19" s="47"/>
      <c r="R19" s="45"/>
    </row>
    <row r="20" spans="1:18" ht="18" customHeight="1">
      <c r="A20" s="145" t="s">
        <v>98</v>
      </c>
      <c r="B20" s="147">
        <v>3</v>
      </c>
      <c r="C20" s="30">
        <f t="shared" si="1"/>
        <v>4</v>
      </c>
      <c r="D20" s="129" t="s">
        <v>85</v>
      </c>
      <c r="E20" s="129" t="s">
        <v>29</v>
      </c>
      <c r="F20" s="158" t="s">
        <v>224</v>
      </c>
      <c r="G20" s="185">
        <v>4</v>
      </c>
      <c r="H20" s="209">
        <v>1680</v>
      </c>
      <c r="I20" s="52">
        <f t="shared" si="2"/>
        <v>6720</v>
      </c>
      <c r="J20" s="65"/>
      <c r="K20" s="71" t="s">
        <v>225</v>
      </c>
      <c r="L20" s="109"/>
      <c r="M20" s="34"/>
      <c r="N20" s="47">
        <v>44932</v>
      </c>
      <c r="O20" s="31"/>
      <c r="P20" s="47"/>
      <c r="Q20" s="47">
        <v>44960</v>
      </c>
      <c r="R20" s="45">
        <v>44960</v>
      </c>
    </row>
    <row r="21" spans="1:18" ht="18" customHeight="1">
      <c r="A21" s="145" t="s">
        <v>100</v>
      </c>
      <c r="B21" s="147">
        <v>3</v>
      </c>
      <c r="C21" s="30">
        <f t="shared" si="1"/>
        <v>5</v>
      </c>
      <c r="D21" s="39" t="s">
        <v>29</v>
      </c>
      <c r="E21" s="39" t="s">
        <v>29</v>
      </c>
      <c r="F21" s="158" t="s">
        <v>281</v>
      </c>
      <c r="G21" s="185">
        <v>8</v>
      </c>
      <c r="H21" s="209">
        <v>369</v>
      </c>
      <c r="I21" s="52">
        <f t="shared" si="2"/>
        <v>2952</v>
      </c>
      <c r="J21" s="65"/>
      <c r="K21" s="71" t="s">
        <v>282</v>
      </c>
      <c r="L21" s="109"/>
      <c r="M21" s="34"/>
      <c r="N21" s="47">
        <v>44932</v>
      </c>
      <c r="O21" s="31"/>
      <c r="P21" s="47"/>
      <c r="Q21" s="47">
        <v>44960</v>
      </c>
      <c r="R21" s="45">
        <v>44960</v>
      </c>
    </row>
    <row r="22" spans="1:18" ht="18" customHeight="1">
      <c r="A22" s="145" t="s">
        <v>139</v>
      </c>
      <c r="B22" s="147">
        <v>3</v>
      </c>
      <c r="C22" s="30">
        <f t="shared" si="1"/>
        <v>6</v>
      </c>
      <c r="D22" s="129" t="s">
        <v>85</v>
      </c>
      <c r="E22" s="129" t="s">
        <v>29</v>
      </c>
      <c r="F22" s="158" t="s">
        <v>146</v>
      </c>
      <c r="G22" s="186">
        <v>4</v>
      </c>
      <c r="H22" s="209">
        <v>13064</v>
      </c>
      <c r="I22" s="52">
        <f t="shared" si="0"/>
        <v>52256</v>
      </c>
      <c r="J22" s="65"/>
      <c r="K22" s="71" t="s">
        <v>102</v>
      </c>
      <c r="L22" s="109"/>
      <c r="M22" s="34"/>
      <c r="N22" s="47">
        <v>44932</v>
      </c>
      <c r="O22" s="31"/>
      <c r="P22" s="47"/>
      <c r="Q22" s="47">
        <v>44960</v>
      </c>
      <c r="R22" s="45">
        <v>44960</v>
      </c>
    </row>
    <row r="23" spans="1:18" ht="18" customHeight="1">
      <c r="A23" s="145" t="s">
        <v>100</v>
      </c>
      <c r="B23" s="147">
        <v>3</v>
      </c>
      <c r="C23" s="30">
        <f t="shared" si="1"/>
        <v>7</v>
      </c>
      <c r="D23" s="39" t="s">
        <v>29</v>
      </c>
      <c r="E23" s="39" t="s">
        <v>29</v>
      </c>
      <c r="F23" s="158" t="s">
        <v>103</v>
      </c>
      <c r="G23" s="186">
        <v>8</v>
      </c>
      <c r="H23" s="209">
        <v>1254</v>
      </c>
      <c r="I23" s="52">
        <f t="shared" si="0"/>
        <v>10032</v>
      </c>
      <c r="J23" s="60"/>
      <c r="K23" s="71" t="s">
        <v>263</v>
      </c>
      <c r="L23" s="109"/>
      <c r="M23" s="34"/>
      <c r="N23" s="47">
        <v>44932</v>
      </c>
      <c r="O23" s="31"/>
      <c r="P23" s="47"/>
      <c r="Q23" s="47">
        <v>44960</v>
      </c>
      <c r="R23" s="45">
        <v>44960</v>
      </c>
    </row>
    <row r="24" spans="1:18" ht="18" customHeight="1">
      <c r="A24" s="120" t="s">
        <v>99</v>
      </c>
      <c r="B24" s="147">
        <v>3</v>
      </c>
      <c r="C24" s="30">
        <f t="shared" si="1"/>
        <v>8</v>
      </c>
      <c r="D24" s="39" t="s">
        <v>29</v>
      </c>
      <c r="E24" s="39" t="s">
        <v>29</v>
      </c>
      <c r="F24" s="127" t="s">
        <v>104</v>
      </c>
      <c r="G24" s="93"/>
      <c r="H24" s="209">
        <v>19</v>
      </c>
      <c r="I24" s="52">
        <f t="shared" si="0"/>
        <v>0</v>
      </c>
      <c r="J24" s="65"/>
      <c r="K24" s="71" t="s">
        <v>154</v>
      </c>
      <c r="L24" s="109"/>
      <c r="M24" s="34"/>
      <c r="N24" s="47">
        <v>44932</v>
      </c>
      <c r="O24" s="31"/>
      <c r="P24" s="47"/>
      <c r="Q24" s="47"/>
      <c r="R24" s="45"/>
    </row>
    <row r="25" spans="1:18" ht="18" customHeight="1">
      <c r="A25" s="120" t="s">
        <v>99</v>
      </c>
      <c r="B25" s="147">
        <v>3</v>
      </c>
      <c r="C25" s="30">
        <f t="shared" si="1"/>
        <v>9</v>
      </c>
      <c r="D25" s="39" t="s">
        <v>29</v>
      </c>
      <c r="E25" s="39" t="s">
        <v>29</v>
      </c>
      <c r="F25" s="127" t="s">
        <v>105</v>
      </c>
      <c r="G25" s="81"/>
      <c r="H25" s="209">
        <v>23</v>
      </c>
      <c r="I25" s="52">
        <f t="shared" si="0"/>
        <v>0</v>
      </c>
      <c r="J25" s="65"/>
      <c r="K25" s="71" t="s">
        <v>161</v>
      </c>
      <c r="L25" s="109"/>
      <c r="M25" s="34"/>
      <c r="N25" s="47"/>
      <c r="O25" s="31"/>
      <c r="P25" s="47"/>
      <c r="Q25" s="47"/>
      <c r="R25" s="45"/>
    </row>
    <row r="26" spans="1:18" ht="18" customHeight="1">
      <c r="A26" s="120" t="s">
        <v>99</v>
      </c>
      <c r="B26" s="147">
        <v>3</v>
      </c>
      <c r="C26" s="30">
        <f t="shared" si="1"/>
        <v>10</v>
      </c>
      <c r="D26" s="39" t="s">
        <v>29</v>
      </c>
      <c r="E26" s="39" t="s">
        <v>29</v>
      </c>
      <c r="F26" s="127" t="s">
        <v>106</v>
      </c>
      <c r="G26" s="81"/>
      <c r="H26" s="209">
        <v>23</v>
      </c>
      <c r="I26" s="52">
        <f t="shared" si="0"/>
        <v>0</v>
      </c>
      <c r="J26" s="65"/>
      <c r="K26" s="71" t="s">
        <v>163</v>
      </c>
      <c r="L26" s="109"/>
      <c r="M26" s="34"/>
      <c r="N26" s="47"/>
      <c r="O26" s="31"/>
      <c r="P26" s="47"/>
      <c r="Q26" s="47"/>
      <c r="R26" s="45"/>
    </row>
    <row r="27" spans="1:18" ht="18" customHeight="1">
      <c r="A27" s="120" t="s">
        <v>99</v>
      </c>
      <c r="B27" s="147">
        <v>3</v>
      </c>
      <c r="C27" s="30">
        <f t="shared" si="1"/>
        <v>11</v>
      </c>
      <c r="D27" s="39" t="s">
        <v>29</v>
      </c>
      <c r="E27" s="39" t="s">
        <v>29</v>
      </c>
      <c r="F27" s="160" t="s">
        <v>113</v>
      </c>
      <c r="G27" s="187">
        <v>16</v>
      </c>
      <c r="H27" s="209">
        <v>32</v>
      </c>
      <c r="I27" s="52">
        <f t="shared" si="0"/>
        <v>512</v>
      </c>
      <c r="J27" s="65"/>
      <c r="K27" s="130" t="s">
        <v>226</v>
      </c>
      <c r="L27" s="109"/>
      <c r="M27" s="34"/>
      <c r="N27" s="47">
        <v>44932</v>
      </c>
      <c r="O27" s="31"/>
      <c r="P27" s="47"/>
      <c r="Q27" s="47">
        <v>44960</v>
      </c>
      <c r="R27" s="45">
        <v>44960</v>
      </c>
    </row>
    <row r="28" spans="1:18" ht="18" customHeight="1">
      <c r="A28" s="145" t="s">
        <v>139</v>
      </c>
      <c r="B28" s="147">
        <v>3</v>
      </c>
      <c r="C28" s="30">
        <f t="shared" si="1"/>
        <v>12</v>
      </c>
      <c r="D28" s="129" t="s">
        <v>85</v>
      </c>
      <c r="E28" s="129" t="s">
        <v>29</v>
      </c>
      <c r="F28" s="158" t="s">
        <v>138</v>
      </c>
      <c r="G28" s="186">
        <v>4</v>
      </c>
      <c r="H28" s="209">
        <v>5434</v>
      </c>
      <c r="I28" s="52">
        <f t="shared" si="0"/>
        <v>21736</v>
      </c>
      <c r="J28" s="65"/>
      <c r="K28" s="71" t="s">
        <v>107</v>
      </c>
      <c r="L28" s="109"/>
      <c r="M28" s="34"/>
      <c r="N28" s="47">
        <v>44932</v>
      </c>
      <c r="O28" s="31"/>
      <c r="P28" s="47"/>
      <c r="Q28" s="47">
        <v>44960</v>
      </c>
      <c r="R28" s="45">
        <v>44960</v>
      </c>
    </row>
    <row r="29" spans="1:18" ht="18" customHeight="1">
      <c r="A29" s="120" t="s">
        <v>99</v>
      </c>
      <c r="B29" s="147">
        <v>3</v>
      </c>
      <c r="C29" s="30">
        <f t="shared" si="1"/>
        <v>13</v>
      </c>
      <c r="D29" s="39" t="s">
        <v>29</v>
      </c>
      <c r="E29" s="39" t="s">
        <v>29</v>
      </c>
      <c r="F29" s="158" t="s">
        <v>108</v>
      </c>
      <c r="G29" s="186">
        <v>8</v>
      </c>
      <c r="H29" s="209">
        <v>69</v>
      </c>
      <c r="I29" s="52">
        <f t="shared" si="0"/>
        <v>552</v>
      </c>
      <c r="J29" s="65"/>
      <c r="K29" s="71" t="s">
        <v>264</v>
      </c>
      <c r="L29" s="109"/>
      <c r="M29" s="34"/>
      <c r="N29" s="47">
        <v>44932</v>
      </c>
      <c r="O29" s="31"/>
      <c r="P29" s="47"/>
      <c r="Q29" s="47">
        <v>44960</v>
      </c>
      <c r="R29" s="45">
        <v>44960</v>
      </c>
    </row>
    <row r="30" spans="1:18" ht="18" customHeight="1">
      <c r="A30" s="120" t="s">
        <v>99</v>
      </c>
      <c r="B30" s="147">
        <v>3</v>
      </c>
      <c r="C30" s="30">
        <f t="shared" si="1"/>
        <v>14</v>
      </c>
      <c r="D30" s="39" t="s">
        <v>29</v>
      </c>
      <c r="E30" s="39" t="s">
        <v>29</v>
      </c>
      <c r="F30" s="127" t="s">
        <v>104</v>
      </c>
      <c r="G30" s="81"/>
      <c r="H30" s="209">
        <v>19</v>
      </c>
      <c r="I30" s="52">
        <f t="shared" si="0"/>
        <v>0</v>
      </c>
      <c r="J30" s="65"/>
      <c r="K30" s="71" t="s">
        <v>153</v>
      </c>
      <c r="L30" s="109"/>
      <c r="M30" s="34"/>
      <c r="N30" s="47">
        <v>44932</v>
      </c>
      <c r="O30" s="31"/>
      <c r="P30" s="47"/>
      <c r="Q30" s="47"/>
      <c r="R30" s="45"/>
    </row>
    <row r="31" spans="1:18" ht="18" customHeight="1">
      <c r="A31" s="120" t="s">
        <v>99</v>
      </c>
      <c r="B31" s="147">
        <v>3</v>
      </c>
      <c r="C31" s="30">
        <f t="shared" si="1"/>
        <v>15</v>
      </c>
      <c r="D31" s="39" t="s">
        <v>29</v>
      </c>
      <c r="E31" s="39" t="s">
        <v>29</v>
      </c>
      <c r="F31" s="127" t="s">
        <v>109</v>
      </c>
      <c r="G31" s="81"/>
      <c r="H31" s="212">
        <v>23</v>
      </c>
      <c r="I31" s="52">
        <f t="shared" si="0"/>
        <v>0</v>
      </c>
      <c r="J31" s="65"/>
      <c r="K31" s="71" t="s">
        <v>162</v>
      </c>
      <c r="L31" s="109"/>
      <c r="M31" s="34"/>
      <c r="N31" s="47"/>
      <c r="O31" s="31"/>
      <c r="P31" s="47"/>
      <c r="Q31" s="47"/>
      <c r="R31" s="45"/>
    </row>
    <row r="32" spans="1:18" ht="18" customHeight="1">
      <c r="A32" s="145" t="s">
        <v>139</v>
      </c>
      <c r="B32" s="147">
        <v>3</v>
      </c>
      <c r="C32" s="30">
        <f t="shared" si="1"/>
        <v>16</v>
      </c>
      <c r="D32" s="129" t="s">
        <v>85</v>
      </c>
      <c r="E32" s="129" t="s">
        <v>29</v>
      </c>
      <c r="F32" s="158" t="s">
        <v>141</v>
      </c>
      <c r="G32" s="186">
        <v>4</v>
      </c>
      <c r="H32" s="209">
        <v>5448</v>
      </c>
      <c r="I32" s="52">
        <f t="shared" si="0"/>
        <v>21792</v>
      </c>
      <c r="J32" s="65"/>
      <c r="K32" s="71" t="s">
        <v>110</v>
      </c>
      <c r="L32" s="109"/>
      <c r="M32" s="34"/>
      <c r="N32" s="47">
        <v>44932</v>
      </c>
      <c r="O32" s="31"/>
      <c r="P32" s="47"/>
      <c r="Q32" s="47">
        <v>44960</v>
      </c>
      <c r="R32" s="45">
        <v>44960</v>
      </c>
    </row>
    <row r="33" spans="1:18" ht="18" customHeight="1">
      <c r="A33" s="120" t="s">
        <v>99</v>
      </c>
      <c r="B33" s="147">
        <v>3</v>
      </c>
      <c r="C33" s="30">
        <f t="shared" si="1"/>
        <v>17</v>
      </c>
      <c r="D33" s="39" t="s">
        <v>29</v>
      </c>
      <c r="E33" s="39" t="s">
        <v>29</v>
      </c>
      <c r="F33" s="127" t="s">
        <v>113</v>
      </c>
      <c r="G33" s="81"/>
      <c r="H33" s="209">
        <v>70</v>
      </c>
      <c r="I33" s="52">
        <f t="shared" si="0"/>
        <v>0</v>
      </c>
      <c r="J33" s="65"/>
      <c r="K33" s="71" t="s">
        <v>155</v>
      </c>
      <c r="L33" s="109"/>
      <c r="M33" s="34"/>
      <c r="N33" s="47">
        <v>44932</v>
      </c>
      <c r="O33" s="31"/>
      <c r="P33" s="47"/>
      <c r="Q33" s="47"/>
      <c r="R33" s="45"/>
    </row>
    <row r="34" spans="1:18" ht="18" customHeight="1">
      <c r="A34" s="120" t="s">
        <v>99</v>
      </c>
      <c r="B34" s="147">
        <v>3</v>
      </c>
      <c r="C34" s="30">
        <f t="shared" si="1"/>
        <v>18</v>
      </c>
      <c r="D34" s="39" t="s">
        <v>29</v>
      </c>
      <c r="E34" s="39" t="s">
        <v>29</v>
      </c>
      <c r="F34" s="158" t="s">
        <v>111</v>
      </c>
      <c r="G34" s="186">
        <v>4</v>
      </c>
      <c r="H34" s="209">
        <v>169</v>
      </c>
      <c r="I34" s="52">
        <f t="shared" si="0"/>
        <v>676</v>
      </c>
      <c r="J34" s="65"/>
      <c r="K34" s="71" t="s">
        <v>247</v>
      </c>
      <c r="L34" s="109"/>
      <c r="M34" s="34"/>
      <c r="N34" s="47">
        <v>44932</v>
      </c>
      <c r="O34" s="31"/>
      <c r="P34" s="47"/>
      <c r="Q34" s="47">
        <v>44960</v>
      </c>
      <c r="R34" s="45">
        <v>44960</v>
      </c>
    </row>
    <row r="35" spans="1:18" ht="18" customHeight="1">
      <c r="A35" s="120" t="s">
        <v>99</v>
      </c>
      <c r="B35" s="147">
        <v>3</v>
      </c>
      <c r="C35" s="30">
        <f t="shared" si="1"/>
        <v>19</v>
      </c>
      <c r="D35" s="39" t="s">
        <v>29</v>
      </c>
      <c r="E35" s="39" t="s">
        <v>29</v>
      </c>
      <c r="F35" s="127" t="s">
        <v>104</v>
      </c>
      <c r="G35" s="81"/>
      <c r="H35" s="209">
        <v>19</v>
      </c>
      <c r="I35" s="52">
        <f t="shared" si="0"/>
        <v>0</v>
      </c>
      <c r="J35" s="65"/>
      <c r="K35" s="71" t="s">
        <v>152</v>
      </c>
      <c r="L35" s="109"/>
      <c r="M35" s="34"/>
      <c r="N35" s="47">
        <v>44932</v>
      </c>
      <c r="O35" s="31"/>
      <c r="P35" s="47"/>
      <c r="Q35" s="47"/>
      <c r="R35" s="45"/>
    </row>
    <row r="36" spans="1:18" ht="18" customHeight="1">
      <c r="A36" s="120" t="s">
        <v>99</v>
      </c>
      <c r="B36" s="147">
        <v>3</v>
      </c>
      <c r="C36" s="30">
        <f t="shared" si="1"/>
        <v>20</v>
      </c>
      <c r="D36" s="39" t="s">
        <v>29</v>
      </c>
      <c r="E36" s="39" t="s">
        <v>29</v>
      </c>
      <c r="F36" s="127" t="s">
        <v>68</v>
      </c>
      <c r="G36" s="81"/>
      <c r="H36" s="209">
        <v>27</v>
      </c>
      <c r="I36" s="52">
        <f t="shared" si="0"/>
        <v>0</v>
      </c>
      <c r="J36" s="65"/>
      <c r="K36" s="71" t="s">
        <v>161</v>
      </c>
      <c r="L36" s="109"/>
      <c r="M36" s="34"/>
      <c r="N36" s="47"/>
      <c r="O36" s="31"/>
      <c r="P36" s="47"/>
      <c r="Q36" s="47"/>
      <c r="R36" s="45"/>
    </row>
    <row r="37" spans="1:18" ht="18" customHeight="1">
      <c r="A37" s="120" t="s">
        <v>99</v>
      </c>
      <c r="B37" s="147">
        <v>3</v>
      </c>
      <c r="C37" s="30">
        <f t="shared" si="1"/>
        <v>21</v>
      </c>
      <c r="D37" s="39" t="s">
        <v>29</v>
      </c>
      <c r="E37" s="39" t="s">
        <v>29</v>
      </c>
      <c r="F37" s="127" t="s">
        <v>106</v>
      </c>
      <c r="G37" s="81"/>
      <c r="H37" s="209">
        <v>23</v>
      </c>
      <c r="I37" s="52">
        <f t="shared" si="0"/>
        <v>0</v>
      </c>
      <c r="J37" s="65"/>
      <c r="K37" s="71" t="s">
        <v>158</v>
      </c>
      <c r="L37" s="109"/>
      <c r="M37" s="34"/>
      <c r="N37" s="47"/>
      <c r="O37" s="31"/>
      <c r="P37" s="47"/>
      <c r="Q37" s="47"/>
      <c r="R37" s="45"/>
    </row>
    <row r="38" spans="1:18" ht="18" customHeight="1">
      <c r="A38" s="145" t="s">
        <v>149</v>
      </c>
      <c r="B38" s="147">
        <v>3</v>
      </c>
      <c r="C38" s="30">
        <f t="shared" si="1"/>
        <v>22</v>
      </c>
      <c r="D38" s="39" t="s">
        <v>29</v>
      </c>
      <c r="E38" s="39" t="s">
        <v>29</v>
      </c>
      <c r="F38" s="158" t="s">
        <v>112</v>
      </c>
      <c r="G38" s="186">
        <v>4</v>
      </c>
      <c r="H38" s="209">
        <v>2110</v>
      </c>
      <c r="I38" s="52">
        <f t="shared" si="0"/>
        <v>8440</v>
      </c>
      <c r="J38" s="65"/>
      <c r="K38" s="71" t="s">
        <v>156</v>
      </c>
      <c r="L38" s="109"/>
      <c r="M38" s="34"/>
      <c r="N38" s="47">
        <v>44932</v>
      </c>
      <c r="O38" s="31"/>
      <c r="P38" s="47"/>
      <c r="Q38" s="47">
        <v>44960</v>
      </c>
      <c r="R38" s="45">
        <v>44960</v>
      </c>
    </row>
    <row r="39" spans="1:18" ht="18" customHeight="1">
      <c r="A39" s="145" t="s">
        <v>139</v>
      </c>
      <c r="B39" s="147">
        <v>3</v>
      </c>
      <c r="C39" s="30">
        <f t="shared" si="1"/>
        <v>23</v>
      </c>
      <c r="D39" s="129" t="s">
        <v>85</v>
      </c>
      <c r="E39" s="129" t="s">
        <v>29</v>
      </c>
      <c r="F39" s="158" t="s">
        <v>142</v>
      </c>
      <c r="G39" s="186">
        <v>4</v>
      </c>
      <c r="H39" s="209">
        <v>4916</v>
      </c>
      <c r="I39" s="52">
        <f t="shared" si="0"/>
        <v>19664</v>
      </c>
      <c r="J39" s="65"/>
      <c r="K39" s="71" t="s">
        <v>114</v>
      </c>
      <c r="L39" s="109"/>
      <c r="M39" s="34"/>
      <c r="N39" s="47">
        <v>44932</v>
      </c>
      <c r="O39" s="31"/>
      <c r="P39" s="47"/>
      <c r="Q39" s="47">
        <v>44960</v>
      </c>
      <c r="R39" s="45">
        <v>44960</v>
      </c>
    </row>
    <row r="40" spans="1:18" ht="18" customHeight="1">
      <c r="A40" s="120" t="s">
        <v>99</v>
      </c>
      <c r="B40" s="147">
        <v>3</v>
      </c>
      <c r="C40" s="30">
        <f t="shared" si="1"/>
        <v>24</v>
      </c>
      <c r="D40" s="39" t="s">
        <v>29</v>
      </c>
      <c r="E40" s="39" t="s">
        <v>29</v>
      </c>
      <c r="F40" s="158" t="s">
        <v>115</v>
      </c>
      <c r="G40" s="186">
        <v>4</v>
      </c>
      <c r="H40" s="212">
        <v>70</v>
      </c>
      <c r="I40" s="52">
        <f t="shared" si="0"/>
        <v>280</v>
      </c>
      <c r="J40" s="65"/>
      <c r="K40" s="130" t="s">
        <v>227</v>
      </c>
      <c r="L40" s="109"/>
      <c r="M40" s="34"/>
      <c r="N40" s="47">
        <v>44932</v>
      </c>
      <c r="O40" s="31"/>
      <c r="P40" s="47"/>
      <c r="Q40" s="47">
        <v>44960</v>
      </c>
      <c r="R40" s="45">
        <v>44960</v>
      </c>
    </row>
    <row r="41" spans="1:18" ht="18" customHeight="1">
      <c r="A41" s="120" t="s">
        <v>99</v>
      </c>
      <c r="B41" s="147">
        <v>3</v>
      </c>
      <c r="C41" s="30">
        <f t="shared" si="1"/>
        <v>25</v>
      </c>
      <c r="D41" s="39" t="s">
        <v>29</v>
      </c>
      <c r="E41" s="39" t="s">
        <v>29</v>
      </c>
      <c r="F41" s="127" t="s">
        <v>68</v>
      </c>
      <c r="G41" s="81"/>
      <c r="H41" s="209">
        <v>27</v>
      </c>
      <c r="I41" s="52">
        <f t="shared" si="0"/>
        <v>0</v>
      </c>
      <c r="J41" s="65"/>
      <c r="K41" s="71" t="s">
        <v>160</v>
      </c>
      <c r="L41" s="109"/>
      <c r="M41" s="34"/>
      <c r="N41" s="47">
        <v>44932</v>
      </c>
      <c r="O41" s="31"/>
      <c r="P41" s="47"/>
      <c r="Q41" s="47"/>
      <c r="R41" s="45"/>
    </row>
    <row r="42" spans="1:18" ht="18" customHeight="1">
      <c r="A42" s="120" t="s">
        <v>99</v>
      </c>
      <c r="B42" s="147">
        <v>3</v>
      </c>
      <c r="C42" s="30">
        <f t="shared" si="1"/>
        <v>26</v>
      </c>
      <c r="D42" s="39" t="s">
        <v>29</v>
      </c>
      <c r="E42" s="39" t="s">
        <v>29</v>
      </c>
      <c r="F42" s="158" t="s">
        <v>193</v>
      </c>
      <c r="G42" s="186">
        <v>4</v>
      </c>
      <c r="H42" s="209">
        <v>560</v>
      </c>
      <c r="I42" s="52">
        <f t="shared" si="0"/>
        <v>2240</v>
      </c>
      <c r="J42" s="65"/>
      <c r="K42" s="71" t="s">
        <v>34</v>
      </c>
      <c r="L42" s="109"/>
      <c r="M42" s="34"/>
      <c r="N42" s="47">
        <v>44932</v>
      </c>
      <c r="O42" s="31"/>
      <c r="P42" s="47"/>
      <c r="Q42" s="47">
        <v>44960</v>
      </c>
      <c r="R42" s="45">
        <v>44960</v>
      </c>
    </row>
    <row r="43" spans="1:18" ht="18" customHeight="1">
      <c r="A43" s="145" t="s">
        <v>139</v>
      </c>
      <c r="B43" s="147">
        <v>3</v>
      </c>
      <c r="C43" s="30">
        <f t="shared" si="1"/>
        <v>27</v>
      </c>
      <c r="D43" s="129" t="s">
        <v>85</v>
      </c>
      <c r="E43" s="129" t="s">
        <v>29</v>
      </c>
      <c r="F43" s="158" t="s">
        <v>145</v>
      </c>
      <c r="G43" s="186">
        <v>4</v>
      </c>
      <c r="H43" s="209">
        <v>5350</v>
      </c>
      <c r="I43" s="52">
        <f t="shared" si="0"/>
        <v>21400</v>
      </c>
      <c r="J43" s="65"/>
      <c r="K43" s="71" t="s">
        <v>116</v>
      </c>
      <c r="L43" s="109"/>
      <c r="M43" s="34"/>
      <c r="N43" s="47">
        <v>44932</v>
      </c>
      <c r="O43" s="31"/>
      <c r="P43" s="47"/>
      <c r="Q43" s="47">
        <v>44960</v>
      </c>
      <c r="R43" s="45">
        <v>44960</v>
      </c>
    </row>
    <row r="44" spans="1:18" ht="18" customHeight="1">
      <c r="A44" s="145" t="s">
        <v>139</v>
      </c>
      <c r="B44" s="147">
        <v>3</v>
      </c>
      <c r="C44" s="30">
        <f t="shared" si="1"/>
        <v>28</v>
      </c>
      <c r="D44" s="129" t="s">
        <v>85</v>
      </c>
      <c r="E44" s="129" t="s">
        <v>29</v>
      </c>
      <c r="F44" s="161" t="s">
        <v>140</v>
      </c>
      <c r="G44" s="185">
        <v>4</v>
      </c>
      <c r="H44" s="209">
        <v>4221</v>
      </c>
      <c r="I44" s="52">
        <f t="shared" si="0"/>
        <v>16884</v>
      </c>
      <c r="J44" s="65"/>
      <c r="K44" s="71" t="s">
        <v>117</v>
      </c>
      <c r="L44" s="109"/>
      <c r="M44" s="34"/>
      <c r="N44" s="47">
        <v>44932</v>
      </c>
      <c r="O44" s="31"/>
      <c r="P44" s="47"/>
      <c r="Q44" s="47">
        <v>44960</v>
      </c>
      <c r="R44" s="45">
        <v>44960</v>
      </c>
    </row>
    <row r="45" spans="1:18" ht="18" customHeight="1">
      <c r="A45" s="120" t="s">
        <v>99</v>
      </c>
      <c r="B45" s="147">
        <v>3</v>
      </c>
      <c r="C45" s="30">
        <f t="shared" si="1"/>
        <v>29</v>
      </c>
      <c r="D45" s="39" t="s">
        <v>29</v>
      </c>
      <c r="E45" s="39" t="s">
        <v>29</v>
      </c>
      <c r="F45" s="158" t="s">
        <v>118</v>
      </c>
      <c r="G45" s="185">
        <v>180</v>
      </c>
      <c r="H45" s="209">
        <v>19</v>
      </c>
      <c r="I45" s="52">
        <f t="shared" si="0"/>
        <v>3420</v>
      </c>
      <c r="J45" s="65"/>
      <c r="K45" s="71" t="s">
        <v>194</v>
      </c>
      <c r="L45" s="109"/>
      <c r="M45" s="34"/>
      <c r="N45" s="47">
        <v>44932</v>
      </c>
      <c r="O45" s="31"/>
      <c r="P45" s="47"/>
      <c r="Q45" s="47">
        <v>44960</v>
      </c>
      <c r="R45" s="45">
        <v>44960</v>
      </c>
    </row>
    <row r="46" spans="1:18" ht="18" customHeight="1">
      <c r="A46" s="120" t="s">
        <v>99</v>
      </c>
      <c r="B46" s="147">
        <v>3</v>
      </c>
      <c r="C46" s="30">
        <f t="shared" si="1"/>
        <v>30</v>
      </c>
      <c r="D46" s="39" t="s">
        <v>29</v>
      </c>
      <c r="E46" s="39" t="s">
        <v>29</v>
      </c>
      <c r="F46" s="127" t="s">
        <v>119</v>
      </c>
      <c r="G46" s="81"/>
      <c r="H46" s="209">
        <v>23</v>
      </c>
      <c r="I46" s="52">
        <f t="shared" si="0"/>
        <v>0</v>
      </c>
      <c r="J46" s="65"/>
      <c r="K46" s="71" t="s">
        <v>159</v>
      </c>
      <c r="L46" s="109"/>
      <c r="M46" s="34"/>
      <c r="N46" s="47"/>
      <c r="O46" s="31"/>
      <c r="P46" s="47"/>
      <c r="Q46" s="47"/>
      <c r="R46" s="45"/>
    </row>
    <row r="47" spans="1:18" ht="18" customHeight="1">
      <c r="A47" s="145" t="s">
        <v>74</v>
      </c>
      <c r="B47" s="147">
        <v>3</v>
      </c>
      <c r="C47" s="30">
        <f t="shared" si="1"/>
        <v>31</v>
      </c>
      <c r="D47" s="129" t="s">
        <v>85</v>
      </c>
      <c r="E47" s="129" t="s">
        <v>29</v>
      </c>
      <c r="F47" s="158" t="s">
        <v>133</v>
      </c>
      <c r="G47" s="185">
        <v>4</v>
      </c>
      <c r="H47" s="209">
        <v>6993</v>
      </c>
      <c r="I47" s="121">
        <f t="shared" si="0"/>
        <v>27972</v>
      </c>
      <c r="J47" s="60"/>
      <c r="K47" s="42" t="s">
        <v>134</v>
      </c>
      <c r="L47" s="109"/>
      <c r="M47" s="34"/>
      <c r="N47" s="47">
        <v>44932</v>
      </c>
      <c r="O47" s="31"/>
      <c r="P47" s="47"/>
      <c r="Q47" s="47">
        <v>44960</v>
      </c>
      <c r="R47" s="45">
        <v>44960</v>
      </c>
    </row>
    <row r="48" spans="1:18" ht="18" customHeight="1">
      <c r="A48" s="120" t="s">
        <v>99</v>
      </c>
      <c r="B48" s="147">
        <v>3</v>
      </c>
      <c r="C48" s="30">
        <f t="shared" si="1"/>
        <v>32</v>
      </c>
      <c r="D48" s="39" t="s">
        <v>29</v>
      </c>
      <c r="E48" s="39" t="s">
        <v>29</v>
      </c>
      <c r="F48" s="127" t="s">
        <v>120</v>
      </c>
      <c r="G48" s="81"/>
      <c r="H48" s="209">
        <v>27</v>
      </c>
      <c r="I48" s="121">
        <f t="shared" si="0"/>
        <v>0</v>
      </c>
      <c r="J48" s="60"/>
      <c r="K48" s="71" t="s">
        <v>158</v>
      </c>
      <c r="L48" s="109"/>
      <c r="M48" s="34"/>
      <c r="N48" s="47"/>
      <c r="O48" s="31"/>
      <c r="P48" s="47"/>
      <c r="Q48" s="47"/>
      <c r="R48" s="45"/>
    </row>
    <row r="49" spans="1:18" ht="18" customHeight="1">
      <c r="A49" s="120" t="s">
        <v>99</v>
      </c>
      <c r="B49" s="147">
        <v>3</v>
      </c>
      <c r="C49" s="30">
        <f t="shared" si="1"/>
        <v>33</v>
      </c>
      <c r="D49" s="39" t="s">
        <v>29</v>
      </c>
      <c r="E49" s="39" t="s">
        <v>29</v>
      </c>
      <c r="F49" s="158" t="s">
        <v>121</v>
      </c>
      <c r="G49" s="186">
        <v>10</v>
      </c>
      <c r="H49" s="212">
        <v>23</v>
      </c>
      <c r="I49" s="121">
        <f t="shared" si="0"/>
        <v>230</v>
      </c>
      <c r="J49" s="60"/>
      <c r="K49" s="71" t="s">
        <v>265</v>
      </c>
      <c r="L49" s="109"/>
      <c r="M49" s="34"/>
      <c r="N49" s="47">
        <v>44932</v>
      </c>
      <c r="O49" s="31"/>
      <c r="P49" s="47"/>
      <c r="Q49" s="47">
        <v>44960</v>
      </c>
      <c r="R49" s="45">
        <v>44960</v>
      </c>
    </row>
    <row r="50" spans="1:18" ht="18" customHeight="1">
      <c r="A50" s="120" t="s">
        <v>99</v>
      </c>
      <c r="B50" s="147">
        <v>3</v>
      </c>
      <c r="C50" s="30">
        <f t="shared" si="1"/>
        <v>34</v>
      </c>
      <c r="D50" s="39" t="s">
        <v>29</v>
      </c>
      <c r="E50" s="39" t="s">
        <v>29</v>
      </c>
      <c r="F50" s="158" t="s">
        <v>122</v>
      </c>
      <c r="G50" s="186">
        <v>16</v>
      </c>
      <c r="H50" s="209">
        <v>56</v>
      </c>
      <c r="I50" s="121">
        <f t="shared" si="0"/>
        <v>896</v>
      </c>
      <c r="J50" s="60"/>
      <c r="K50" s="71" t="s">
        <v>248</v>
      </c>
      <c r="L50" s="109"/>
      <c r="M50" s="34"/>
      <c r="N50" s="47">
        <v>44932</v>
      </c>
      <c r="O50" s="31"/>
      <c r="P50" s="47"/>
      <c r="Q50" s="47">
        <v>44960</v>
      </c>
      <c r="R50" s="45">
        <v>44960</v>
      </c>
    </row>
    <row r="51" spans="1:18" ht="18" customHeight="1">
      <c r="A51" s="145" t="s">
        <v>139</v>
      </c>
      <c r="B51" s="147">
        <v>3</v>
      </c>
      <c r="C51" s="30">
        <f t="shared" si="1"/>
        <v>35</v>
      </c>
      <c r="D51" s="129" t="s">
        <v>85</v>
      </c>
      <c r="E51" s="129" t="s">
        <v>29</v>
      </c>
      <c r="F51" s="158" t="s">
        <v>143</v>
      </c>
      <c r="G51" s="185">
        <v>8</v>
      </c>
      <c r="H51" s="209">
        <v>4351</v>
      </c>
      <c r="I51" s="121">
        <f t="shared" si="0"/>
        <v>34808</v>
      </c>
      <c r="J51" s="60"/>
      <c r="K51" s="71" t="s">
        <v>123</v>
      </c>
      <c r="L51" s="109"/>
      <c r="M51" s="34"/>
      <c r="N51" s="47">
        <v>44932</v>
      </c>
      <c r="O51" s="31"/>
      <c r="P51" s="47"/>
      <c r="Q51" s="47">
        <v>44960</v>
      </c>
      <c r="R51" s="45">
        <v>44960</v>
      </c>
    </row>
    <row r="52" spans="1:18" ht="18" customHeight="1">
      <c r="A52" s="120" t="s">
        <v>99</v>
      </c>
      <c r="B52" s="147">
        <v>3</v>
      </c>
      <c r="C52" s="30">
        <f t="shared" si="1"/>
        <v>36</v>
      </c>
      <c r="D52" s="39" t="s">
        <v>29</v>
      </c>
      <c r="E52" s="39" t="s">
        <v>29</v>
      </c>
      <c r="F52" s="158" t="s">
        <v>124</v>
      </c>
      <c r="G52" s="185">
        <v>8</v>
      </c>
      <c r="H52" s="209">
        <v>870</v>
      </c>
      <c r="I52" s="121">
        <f t="shared" si="0"/>
        <v>6960</v>
      </c>
      <c r="J52" s="60"/>
      <c r="K52" s="71" t="s">
        <v>266</v>
      </c>
      <c r="L52" s="109"/>
      <c r="M52" s="34"/>
      <c r="N52" s="47">
        <v>44932</v>
      </c>
      <c r="O52" s="31"/>
      <c r="P52" s="47"/>
      <c r="Q52" s="47">
        <v>44960</v>
      </c>
      <c r="R52" s="45">
        <v>44960</v>
      </c>
    </row>
    <row r="53" spans="1:18" ht="18" customHeight="1">
      <c r="A53" s="145" t="s">
        <v>149</v>
      </c>
      <c r="B53" s="147">
        <v>3</v>
      </c>
      <c r="C53" s="30">
        <f t="shared" si="1"/>
        <v>37</v>
      </c>
      <c r="D53" s="39" t="s">
        <v>29</v>
      </c>
      <c r="E53" s="39" t="s">
        <v>29</v>
      </c>
      <c r="F53" s="158" t="s">
        <v>125</v>
      </c>
      <c r="G53" s="186">
        <v>8</v>
      </c>
      <c r="H53" s="209">
        <v>3680</v>
      </c>
      <c r="I53" s="121">
        <f t="shared" si="0"/>
        <v>29440</v>
      </c>
      <c r="J53" s="60"/>
      <c r="K53" s="71" t="s">
        <v>267</v>
      </c>
      <c r="L53" s="109"/>
      <c r="M53" s="34"/>
      <c r="N53" s="47">
        <v>44932</v>
      </c>
      <c r="O53" s="31"/>
      <c r="P53" s="47"/>
      <c r="Q53" s="47">
        <v>44960</v>
      </c>
      <c r="R53" s="45">
        <v>44960</v>
      </c>
    </row>
    <row r="54" spans="1:18" ht="18" customHeight="1">
      <c r="A54" s="120" t="s">
        <v>99</v>
      </c>
      <c r="B54" s="147">
        <v>3</v>
      </c>
      <c r="C54" s="30">
        <f t="shared" si="1"/>
        <v>38</v>
      </c>
      <c r="D54" s="39" t="s">
        <v>29</v>
      </c>
      <c r="E54" s="39" t="s">
        <v>29</v>
      </c>
      <c r="F54" s="158" t="s">
        <v>126</v>
      </c>
      <c r="G54" s="186">
        <v>16</v>
      </c>
      <c r="H54" s="209">
        <v>36</v>
      </c>
      <c r="I54" s="121">
        <f t="shared" si="0"/>
        <v>576</v>
      </c>
      <c r="J54" s="60"/>
      <c r="K54" s="71" t="s">
        <v>268</v>
      </c>
      <c r="L54" s="109"/>
      <c r="M54" s="34"/>
      <c r="N54" s="47">
        <v>44932</v>
      </c>
      <c r="O54" s="31"/>
      <c r="P54" s="47"/>
      <c r="Q54" s="47">
        <v>44960</v>
      </c>
      <c r="R54" s="45">
        <v>44960</v>
      </c>
    </row>
    <row r="55" spans="1:18" ht="18" customHeight="1">
      <c r="A55" s="120" t="s">
        <v>99</v>
      </c>
      <c r="B55" s="147">
        <v>3</v>
      </c>
      <c r="C55" s="30">
        <f t="shared" si="1"/>
        <v>39</v>
      </c>
      <c r="D55" s="39" t="s">
        <v>29</v>
      </c>
      <c r="E55" s="39" t="s">
        <v>29</v>
      </c>
      <c r="F55" s="127" t="s">
        <v>119</v>
      </c>
      <c r="G55" s="81"/>
      <c r="H55" s="209">
        <v>23</v>
      </c>
      <c r="I55" s="121">
        <f t="shared" si="0"/>
        <v>0</v>
      </c>
      <c r="J55" s="60"/>
      <c r="K55" s="71" t="s">
        <v>157</v>
      </c>
      <c r="L55" s="109"/>
      <c r="M55" s="34"/>
      <c r="N55" s="47"/>
      <c r="O55" s="31"/>
      <c r="P55" s="47"/>
      <c r="Q55" s="47"/>
      <c r="R55" s="45"/>
    </row>
    <row r="56" spans="1:18" ht="18" customHeight="1">
      <c r="A56" s="145" t="s">
        <v>139</v>
      </c>
      <c r="B56" s="147">
        <v>3</v>
      </c>
      <c r="C56" s="30">
        <f t="shared" si="1"/>
        <v>40</v>
      </c>
      <c r="D56" s="129" t="s">
        <v>85</v>
      </c>
      <c r="E56" s="129" t="s">
        <v>29</v>
      </c>
      <c r="F56" s="161" t="s">
        <v>144</v>
      </c>
      <c r="G56" s="186">
        <v>16</v>
      </c>
      <c r="H56" s="209">
        <v>3081</v>
      </c>
      <c r="I56" s="121">
        <f t="shared" si="0"/>
        <v>49296</v>
      </c>
      <c r="J56" s="60"/>
      <c r="K56" s="84" t="s">
        <v>127</v>
      </c>
      <c r="L56" s="109"/>
      <c r="M56" s="34"/>
      <c r="N56" s="47">
        <v>44932</v>
      </c>
      <c r="O56" s="31"/>
      <c r="P56" s="47"/>
      <c r="Q56" s="47">
        <v>44960</v>
      </c>
      <c r="R56" s="45">
        <v>44960</v>
      </c>
    </row>
    <row r="57" spans="1:18" ht="18" customHeight="1">
      <c r="A57" s="145" t="s">
        <v>98</v>
      </c>
      <c r="B57" s="147">
        <v>3</v>
      </c>
      <c r="C57" s="30">
        <f t="shared" si="1"/>
        <v>41</v>
      </c>
      <c r="D57" s="129" t="s">
        <v>85</v>
      </c>
      <c r="E57" s="129" t="s">
        <v>29</v>
      </c>
      <c r="F57" s="158" t="s">
        <v>137</v>
      </c>
      <c r="G57" s="186">
        <v>4</v>
      </c>
      <c r="H57" s="209">
        <v>4180</v>
      </c>
      <c r="I57" s="52">
        <f t="shared" si="0"/>
        <v>16720</v>
      </c>
      <c r="J57" s="60"/>
      <c r="K57" s="84" t="s">
        <v>128</v>
      </c>
      <c r="L57" s="109"/>
      <c r="M57" s="34"/>
      <c r="N57" s="47">
        <v>44932</v>
      </c>
      <c r="O57" s="31"/>
      <c r="P57" s="47"/>
      <c r="Q57" s="47">
        <v>44960</v>
      </c>
      <c r="R57" s="45">
        <v>44960</v>
      </c>
    </row>
    <row r="58" spans="1:18" ht="18" customHeight="1">
      <c r="A58" s="145" t="s">
        <v>98</v>
      </c>
      <c r="B58" s="147">
        <v>3</v>
      </c>
      <c r="C58" s="30">
        <f t="shared" si="1"/>
        <v>42</v>
      </c>
      <c r="D58" s="129" t="s">
        <v>85</v>
      </c>
      <c r="E58" s="129" t="s">
        <v>29</v>
      </c>
      <c r="F58" s="158" t="s">
        <v>135</v>
      </c>
      <c r="G58" s="186">
        <v>4</v>
      </c>
      <c r="H58" s="209">
        <v>4180</v>
      </c>
      <c r="I58" s="52">
        <f t="shared" si="0"/>
        <v>16720</v>
      </c>
      <c r="J58" s="60"/>
      <c r="K58" s="71" t="s">
        <v>136</v>
      </c>
      <c r="L58" s="109"/>
      <c r="M58" s="34"/>
      <c r="N58" s="47">
        <v>44932</v>
      </c>
      <c r="O58" s="31"/>
      <c r="P58" s="47"/>
      <c r="Q58" s="47">
        <v>44960</v>
      </c>
      <c r="R58" s="45">
        <v>44960</v>
      </c>
    </row>
    <row r="59" spans="1:18" ht="18" customHeight="1">
      <c r="A59" s="120" t="s">
        <v>99</v>
      </c>
      <c r="B59" s="147">
        <v>3</v>
      </c>
      <c r="C59" s="30">
        <f t="shared" si="1"/>
        <v>43</v>
      </c>
      <c r="D59" s="126" t="s">
        <v>147</v>
      </c>
      <c r="E59" s="39" t="s">
        <v>29</v>
      </c>
      <c r="F59" s="158" t="s">
        <v>129</v>
      </c>
      <c r="G59" s="186">
        <v>20</v>
      </c>
      <c r="H59" s="209">
        <v>64</v>
      </c>
      <c r="I59" s="52">
        <f t="shared" si="0"/>
        <v>1280</v>
      </c>
      <c r="J59" s="60"/>
      <c r="K59" s="71" t="s">
        <v>195</v>
      </c>
      <c r="L59" s="109"/>
      <c r="M59" s="34"/>
      <c r="N59" s="47">
        <v>44932</v>
      </c>
      <c r="O59" s="31"/>
      <c r="P59" s="47"/>
      <c r="Q59" s="47">
        <v>44960</v>
      </c>
      <c r="R59" s="45">
        <v>44960</v>
      </c>
    </row>
    <row r="60" spans="1:18" ht="18" customHeight="1">
      <c r="A60" s="120" t="s">
        <v>99</v>
      </c>
      <c r="B60" s="147">
        <v>3</v>
      </c>
      <c r="C60" s="30">
        <f t="shared" si="1"/>
        <v>44</v>
      </c>
      <c r="D60" s="39" t="s">
        <v>29</v>
      </c>
      <c r="E60" s="39" t="s">
        <v>29</v>
      </c>
      <c r="F60" s="127" t="s">
        <v>118</v>
      </c>
      <c r="G60" s="81"/>
      <c r="H60" s="209">
        <v>19</v>
      </c>
      <c r="I60" s="52">
        <f t="shared" si="0"/>
        <v>0</v>
      </c>
      <c r="J60" s="65"/>
      <c r="K60" s="71" t="s">
        <v>151</v>
      </c>
      <c r="L60" s="109"/>
      <c r="M60" s="34"/>
      <c r="N60" s="47">
        <v>44932</v>
      </c>
      <c r="O60" s="31"/>
      <c r="P60" s="47"/>
      <c r="Q60" s="47"/>
      <c r="R60" s="45"/>
    </row>
    <row r="61" spans="1:18" ht="18" customHeight="1">
      <c r="A61" s="120" t="s">
        <v>99</v>
      </c>
      <c r="B61" s="147">
        <v>3</v>
      </c>
      <c r="C61" s="30">
        <f t="shared" si="1"/>
        <v>45</v>
      </c>
      <c r="D61" s="39" t="s">
        <v>29</v>
      </c>
      <c r="E61" s="39" t="s">
        <v>29</v>
      </c>
      <c r="F61" s="158" t="s">
        <v>130</v>
      </c>
      <c r="G61" s="186">
        <v>75</v>
      </c>
      <c r="H61" s="209">
        <v>15</v>
      </c>
      <c r="I61" s="52">
        <f t="shared" si="0"/>
        <v>1125</v>
      </c>
      <c r="J61" s="60"/>
      <c r="K61" s="71" t="s">
        <v>196</v>
      </c>
      <c r="L61" s="109"/>
      <c r="M61" s="34"/>
      <c r="N61" s="47">
        <v>44932</v>
      </c>
      <c r="O61" s="31"/>
      <c r="P61" s="47"/>
      <c r="Q61" s="47">
        <v>44960</v>
      </c>
      <c r="R61" s="45">
        <v>44960</v>
      </c>
    </row>
    <row r="62" spans="1:18" ht="18" customHeight="1">
      <c r="A62" s="120" t="s">
        <v>99</v>
      </c>
      <c r="B62" s="147">
        <v>3</v>
      </c>
      <c r="C62" s="30">
        <f t="shared" si="1"/>
        <v>46</v>
      </c>
      <c r="D62" s="39" t="s">
        <v>29</v>
      </c>
      <c r="E62" s="39" t="s">
        <v>29</v>
      </c>
      <c r="F62" s="127" t="s">
        <v>35</v>
      </c>
      <c r="G62" s="81"/>
      <c r="H62" s="209">
        <v>27</v>
      </c>
      <c r="I62" s="52">
        <f t="shared" si="0"/>
        <v>0</v>
      </c>
      <c r="J62" s="60"/>
      <c r="K62" s="71" t="s">
        <v>150</v>
      </c>
      <c r="L62" s="109"/>
      <c r="M62" s="34"/>
      <c r="N62" s="47"/>
      <c r="O62" s="31"/>
      <c r="P62" s="47"/>
      <c r="Q62" s="47"/>
      <c r="R62" s="45"/>
    </row>
    <row r="63" spans="1:18" ht="18" customHeight="1">
      <c r="A63" s="145" t="s">
        <v>98</v>
      </c>
      <c r="B63" s="147">
        <v>3</v>
      </c>
      <c r="C63" s="30">
        <f t="shared" si="1"/>
        <v>47</v>
      </c>
      <c r="D63" s="129" t="s">
        <v>85</v>
      </c>
      <c r="E63" s="129" t="s">
        <v>29</v>
      </c>
      <c r="F63" s="158" t="s">
        <v>198</v>
      </c>
      <c r="G63" s="186">
        <v>4</v>
      </c>
      <c r="H63" s="209">
        <v>2360</v>
      </c>
      <c r="I63" s="52">
        <f t="shared" si="0"/>
        <v>9440</v>
      </c>
      <c r="J63" s="60"/>
      <c r="K63" s="84" t="s">
        <v>197</v>
      </c>
      <c r="L63" s="109"/>
      <c r="M63" s="34"/>
      <c r="N63" s="47">
        <v>44932</v>
      </c>
      <c r="O63" s="31"/>
      <c r="P63" s="47"/>
      <c r="Q63" s="47">
        <v>44960</v>
      </c>
      <c r="R63" s="45">
        <v>44960</v>
      </c>
    </row>
    <row r="64" spans="1:18" ht="18" customHeight="1">
      <c r="A64" s="145" t="s">
        <v>249</v>
      </c>
      <c r="B64" s="147">
        <v>3</v>
      </c>
      <c r="C64" s="30">
        <f>C63+1</f>
        <v>48</v>
      </c>
      <c r="D64" s="39" t="s">
        <v>29</v>
      </c>
      <c r="E64" s="39" t="s">
        <v>29</v>
      </c>
      <c r="F64" s="158" t="s">
        <v>101</v>
      </c>
      <c r="G64" s="186">
        <v>8</v>
      </c>
      <c r="H64" s="209">
        <v>1600</v>
      </c>
      <c r="I64" s="52">
        <f t="shared" si="0"/>
        <v>12800</v>
      </c>
      <c r="J64" s="60"/>
      <c r="K64" s="71" t="s">
        <v>269</v>
      </c>
      <c r="L64" s="109"/>
      <c r="M64" s="34"/>
      <c r="N64" s="47">
        <v>44932</v>
      </c>
      <c r="O64" s="31"/>
      <c r="P64" s="47"/>
      <c r="Q64" s="47">
        <v>44960</v>
      </c>
      <c r="R64" s="45">
        <v>44960</v>
      </c>
    </row>
    <row r="65" spans="1:18" ht="18" customHeight="1">
      <c r="A65" s="145" t="s">
        <v>98</v>
      </c>
      <c r="B65" s="147">
        <v>3</v>
      </c>
      <c r="C65" s="30">
        <f t="shared" si="1"/>
        <v>49</v>
      </c>
      <c r="D65" s="39" t="s">
        <v>29</v>
      </c>
      <c r="E65" s="39" t="s">
        <v>29</v>
      </c>
      <c r="F65" s="158" t="s">
        <v>132</v>
      </c>
      <c r="G65" s="186">
        <v>4</v>
      </c>
      <c r="H65" s="209">
        <v>1960</v>
      </c>
      <c r="I65" s="52">
        <f t="shared" si="0"/>
        <v>7840</v>
      </c>
      <c r="J65" s="60"/>
      <c r="K65" s="71" t="s">
        <v>148</v>
      </c>
      <c r="L65" s="109"/>
      <c r="M65" s="34"/>
      <c r="N65" s="47">
        <v>44932</v>
      </c>
      <c r="O65" s="31"/>
      <c r="P65" s="47"/>
      <c r="Q65" s="47">
        <v>44960</v>
      </c>
      <c r="R65" s="45">
        <v>44960</v>
      </c>
    </row>
    <row r="66" spans="1:18" ht="18" customHeight="1">
      <c r="A66" s="145" t="s">
        <v>98</v>
      </c>
      <c r="B66" s="147">
        <v>3</v>
      </c>
      <c r="C66" s="30">
        <f t="shared" si="1"/>
        <v>50</v>
      </c>
      <c r="D66" s="129" t="s">
        <v>85</v>
      </c>
      <c r="E66" s="129" t="s">
        <v>29</v>
      </c>
      <c r="F66" s="158" t="s">
        <v>175</v>
      </c>
      <c r="G66" s="186">
        <v>4</v>
      </c>
      <c r="H66" s="183">
        <v>3660</v>
      </c>
      <c r="I66" s="52">
        <f>G66*H66</f>
        <v>14640</v>
      </c>
      <c r="J66" s="60"/>
      <c r="K66" s="71" t="s">
        <v>174</v>
      </c>
      <c r="L66" s="109"/>
      <c r="M66" s="34"/>
      <c r="N66" s="47">
        <v>44932</v>
      </c>
      <c r="O66" s="31"/>
      <c r="P66" s="47"/>
      <c r="Q66" s="47">
        <v>44960</v>
      </c>
      <c r="R66" s="45">
        <v>44960</v>
      </c>
    </row>
    <row r="67" spans="1:18" ht="18" customHeight="1">
      <c r="A67" s="120" t="s">
        <v>99</v>
      </c>
      <c r="B67" s="147">
        <v>3</v>
      </c>
      <c r="C67" s="30">
        <f t="shared" si="1"/>
        <v>51</v>
      </c>
      <c r="D67" s="39" t="s">
        <v>29</v>
      </c>
      <c r="E67" s="39" t="s">
        <v>29</v>
      </c>
      <c r="F67" s="127" t="s">
        <v>176</v>
      </c>
      <c r="G67" s="81"/>
      <c r="H67" s="209">
        <v>27</v>
      </c>
      <c r="I67" s="52">
        <f t="shared" ref="I67:I69" si="3">G67*H67</f>
        <v>0</v>
      </c>
      <c r="J67" s="60"/>
      <c r="K67" s="71" t="s">
        <v>150</v>
      </c>
      <c r="L67" s="109"/>
      <c r="M67" s="34"/>
      <c r="N67" s="47"/>
      <c r="O67" s="31"/>
      <c r="P67" s="47"/>
      <c r="Q67" s="47"/>
      <c r="R67" s="45"/>
    </row>
    <row r="68" spans="1:18" ht="18" customHeight="1">
      <c r="A68" s="120" t="s">
        <v>99</v>
      </c>
      <c r="B68" s="147">
        <v>3</v>
      </c>
      <c r="C68" s="30">
        <f t="shared" si="1"/>
        <v>52</v>
      </c>
      <c r="D68" s="39" t="s">
        <v>29</v>
      </c>
      <c r="E68" s="39" t="s">
        <v>29</v>
      </c>
      <c r="F68" s="158" t="s">
        <v>177</v>
      </c>
      <c r="G68" s="186">
        <v>24</v>
      </c>
      <c r="H68" s="183">
        <v>41</v>
      </c>
      <c r="I68" s="52">
        <f t="shared" si="3"/>
        <v>984</v>
      </c>
      <c r="J68" s="60"/>
      <c r="K68" s="71" t="s">
        <v>250</v>
      </c>
      <c r="L68" s="109"/>
      <c r="M68" s="34"/>
      <c r="N68" s="47">
        <v>44932</v>
      </c>
      <c r="O68" s="31"/>
      <c r="P68" s="47"/>
      <c r="Q68" s="47">
        <v>44960</v>
      </c>
      <c r="R68" s="45">
        <v>44960</v>
      </c>
    </row>
    <row r="69" spans="1:18" ht="18" customHeight="1">
      <c r="A69" s="120" t="s">
        <v>99</v>
      </c>
      <c r="B69" s="147">
        <v>3</v>
      </c>
      <c r="C69" s="30">
        <f t="shared" si="1"/>
        <v>53</v>
      </c>
      <c r="D69" s="126" t="s">
        <v>178</v>
      </c>
      <c r="E69" s="39" t="s">
        <v>29</v>
      </c>
      <c r="F69" s="158" t="s">
        <v>179</v>
      </c>
      <c r="G69" s="186">
        <v>10</v>
      </c>
      <c r="H69" s="183">
        <v>40</v>
      </c>
      <c r="I69" s="52">
        <f t="shared" si="3"/>
        <v>400</v>
      </c>
      <c r="J69" s="60"/>
      <c r="K69" s="71" t="s">
        <v>251</v>
      </c>
      <c r="L69" s="109"/>
      <c r="M69" s="34"/>
      <c r="N69" s="47">
        <v>44932</v>
      </c>
      <c r="O69" s="31"/>
      <c r="P69" s="47"/>
      <c r="Q69" s="47">
        <v>44960</v>
      </c>
      <c r="R69" s="45">
        <v>44960</v>
      </c>
    </row>
    <row r="70" spans="1:18" ht="18" customHeight="1">
      <c r="A70" s="162" t="s">
        <v>83</v>
      </c>
      <c r="B70" s="147">
        <v>3</v>
      </c>
      <c r="C70" s="30">
        <f>C69+1</f>
        <v>54</v>
      </c>
      <c r="D70" s="39" t="s">
        <v>76</v>
      </c>
      <c r="E70" s="39" t="s">
        <v>77</v>
      </c>
      <c r="F70" s="158" t="s">
        <v>173</v>
      </c>
      <c r="G70" s="186">
        <v>4</v>
      </c>
      <c r="H70" s="209">
        <v>31930</v>
      </c>
      <c r="I70" s="52">
        <f t="shared" si="0"/>
        <v>127720</v>
      </c>
      <c r="J70" s="60"/>
      <c r="K70" s="61" t="s">
        <v>78</v>
      </c>
      <c r="L70" s="132" t="s">
        <v>171</v>
      </c>
      <c r="M70" s="34"/>
      <c r="N70" s="47">
        <v>44936</v>
      </c>
      <c r="O70" s="31"/>
      <c r="P70" s="34"/>
      <c r="Q70" s="104">
        <v>44958</v>
      </c>
      <c r="R70" s="45">
        <v>44958</v>
      </c>
    </row>
    <row r="71" spans="1:18" ht="18" customHeight="1">
      <c r="A71" s="120" t="s">
        <v>99</v>
      </c>
      <c r="B71" s="147">
        <v>3</v>
      </c>
      <c r="C71" s="30">
        <f t="shared" ref="C71:C77" si="4">C70+1</f>
        <v>55</v>
      </c>
      <c r="D71" s="39" t="s">
        <v>76</v>
      </c>
      <c r="E71" s="39" t="s">
        <v>77</v>
      </c>
      <c r="F71" s="159" t="s">
        <v>79</v>
      </c>
      <c r="G71" s="186">
        <v>4</v>
      </c>
      <c r="H71" s="209">
        <v>3040</v>
      </c>
      <c r="I71" s="52">
        <f t="shared" si="0"/>
        <v>12160</v>
      </c>
      <c r="J71" s="60"/>
      <c r="K71" s="61" t="s">
        <v>80</v>
      </c>
      <c r="L71" s="88"/>
      <c r="M71" s="20"/>
      <c r="N71" s="47">
        <v>44936</v>
      </c>
      <c r="O71" s="134"/>
      <c r="P71" s="47"/>
      <c r="Q71" s="104">
        <v>44958</v>
      </c>
      <c r="R71" s="45">
        <v>44959</v>
      </c>
    </row>
    <row r="72" spans="1:18" ht="18" customHeight="1">
      <c r="A72" s="162" t="s">
        <v>84</v>
      </c>
      <c r="B72" s="147">
        <v>3</v>
      </c>
      <c r="C72" s="30">
        <f t="shared" si="4"/>
        <v>56</v>
      </c>
      <c r="D72" s="39" t="s">
        <v>76</v>
      </c>
      <c r="E72" s="126" t="s">
        <v>185</v>
      </c>
      <c r="F72" s="158" t="s">
        <v>169</v>
      </c>
      <c r="G72" s="186">
        <v>4</v>
      </c>
      <c r="H72" s="209">
        <v>8672</v>
      </c>
      <c r="I72" s="52">
        <f t="shared" si="0"/>
        <v>34688</v>
      </c>
      <c r="J72" s="60"/>
      <c r="K72" s="61" t="s">
        <v>81</v>
      </c>
      <c r="L72" s="132" t="s">
        <v>170</v>
      </c>
      <c r="M72" s="20"/>
      <c r="N72" s="47">
        <v>44936</v>
      </c>
      <c r="O72" s="134"/>
      <c r="P72" s="47"/>
      <c r="Q72" s="104"/>
      <c r="R72" s="45"/>
    </row>
    <row r="73" spans="1:18" ht="18" customHeight="1">
      <c r="A73" s="120" t="s">
        <v>99</v>
      </c>
      <c r="B73" s="147">
        <v>3</v>
      </c>
      <c r="C73" s="30">
        <f t="shared" si="4"/>
        <v>57</v>
      </c>
      <c r="D73" s="39" t="s">
        <v>76</v>
      </c>
      <c r="E73" s="126" t="s">
        <v>185</v>
      </c>
      <c r="F73" s="158" t="s">
        <v>172</v>
      </c>
      <c r="G73" s="186">
        <v>8</v>
      </c>
      <c r="H73" s="209">
        <v>68</v>
      </c>
      <c r="I73" s="52">
        <f t="shared" si="0"/>
        <v>544</v>
      </c>
      <c r="J73" s="60"/>
      <c r="K73" s="71" t="s">
        <v>270</v>
      </c>
      <c r="L73" s="88"/>
      <c r="M73" s="20"/>
      <c r="N73" s="47">
        <v>44936</v>
      </c>
      <c r="O73" s="134"/>
      <c r="P73" s="47"/>
      <c r="Q73" s="104"/>
      <c r="R73" s="133">
        <v>44937</v>
      </c>
    </row>
    <row r="74" spans="1:18" ht="18" customHeight="1">
      <c r="A74" s="120" t="s">
        <v>99</v>
      </c>
      <c r="B74" s="147">
        <v>3</v>
      </c>
      <c r="C74" s="30">
        <f>C73+1</f>
        <v>58</v>
      </c>
      <c r="D74" s="39" t="s">
        <v>76</v>
      </c>
      <c r="E74" s="39" t="s">
        <v>77</v>
      </c>
      <c r="F74" s="158" t="s">
        <v>82</v>
      </c>
      <c r="G74" s="188">
        <v>8</v>
      </c>
      <c r="H74" s="233">
        <v>600</v>
      </c>
      <c r="I74" s="90">
        <f t="shared" si="0"/>
        <v>4800</v>
      </c>
      <c r="J74" s="35"/>
      <c r="K74" s="71" t="s">
        <v>271</v>
      </c>
      <c r="L74" s="109"/>
      <c r="M74" s="20"/>
      <c r="N74" s="47">
        <v>44936</v>
      </c>
      <c r="O74" s="134"/>
      <c r="P74" s="47"/>
      <c r="Q74" s="104">
        <v>44958</v>
      </c>
      <c r="R74" s="45">
        <v>44959</v>
      </c>
    </row>
    <row r="75" spans="1:18" ht="18" customHeight="1">
      <c r="A75" s="120" t="s">
        <v>99</v>
      </c>
      <c r="B75" s="147">
        <v>3</v>
      </c>
      <c r="C75" s="30">
        <f t="shared" si="4"/>
        <v>59</v>
      </c>
      <c r="D75" s="39" t="s">
        <v>29</v>
      </c>
      <c r="E75" s="39" t="s">
        <v>29</v>
      </c>
      <c r="F75" s="158" t="s">
        <v>38</v>
      </c>
      <c r="G75" s="188">
        <v>8</v>
      </c>
      <c r="H75" s="233">
        <v>270</v>
      </c>
      <c r="I75" s="90">
        <f t="shared" si="0"/>
        <v>2160</v>
      </c>
      <c r="J75" s="60"/>
      <c r="K75" s="71" t="s">
        <v>272</v>
      </c>
      <c r="L75" s="109"/>
      <c r="M75" s="20"/>
      <c r="N75" s="47">
        <v>44932</v>
      </c>
      <c r="O75" s="134"/>
      <c r="P75" s="47"/>
      <c r="Q75" s="47">
        <v>44960</v>
      </c>
      <c r="R75" s="45">
        <v>44960</v>
      </c>
    </row>
    <row r="76" spans="1:18" ht="18" customHeight="1">
      <c r="A76" s="120" t="s">
        <v>99</v>
      </c>
      <c r="B76" s="147">
        <v>3</v>
      </c>
      <c r="C76" s="30">
        <f t="shared" si="4"/>
        <v>60</v>
      </c>
      <c r="D76" s="39" t="s">
        <v>29</v>
      </c>
      <c r="E76" s="39" t="s">
        <v>29</v>
      </c>
      <c r="F76" s="158" t="s">
        <v>37</v>
      </c>
      <c r="G76" s="188">
        <v>12</v>
      </c>
      <c r="H76" s="233">
        <v>230</v>
      </c>
      <c r="I76" s="90">
        <f t="shared" si="0"/>
        <v>2760</v>
      </c>
      <c r="J76" s="60"/>
      <c r="K76" s="71" t="s">
        <v>273</v>
      </c>
      <c r="L76" s="109"/>
      <c r="M76" s="20"/>
      <c r="N76" s="47">
        <v>44932</v>
      </c>
      <c r="O76" s="134"/>
      <c r="P76" s="47"/>
      <c r="Q76" s="47">
        <v>44960</v>
      </c>
      <c r="R76" s="45">
        <v>44960</v>
      </c>
    </row>
    <row r="77" spans="1:18" ht="18" customHeight="1">
      <c r="A77" s="145" t="s">
        <v>99</v>
      </c>
      <c r="B77" s="147">
        <v>3</v>
      </c>
      <c r="C77" s="30">
        <f t="shared" si="4"/>
        <v>61</v>
      </c>
      <c r="D77" s="56" t="s">
        <v>29</v>
      </c>
      <c r="E77" s="56" t="s">
        <v>29</v>
      </c>
      <c r="F77" s="163" t="s">
        <v>186</v>
      </c>
      <c r="G77" s="189">
        <v>4</v>
      </c>
      <c r="H77" s="184">
        <v>1010</v>
      </c>
      <c r="I77" s="117">
        <f t="shared" si="0"/>
        <v>4040</v>
      </c>
      <c r="J77" s="117"/>
      <c r="K77" s="86" t="s">
        <v>187</v>
      </c>
      <c r="L77" s="6"/>
      <c r="M77" s="5"/>
      <c r="N77" s="15">
        <v>44932</v>
      </c>
      <c r="O77" s="8"/>
      <c r="P77" s="44"/>
      <c r="Q77" s="15">
        <v>44960</v>
      </c>
      <c r="R77" s="14">
        <v>44960</v>
      </c>
    </row>
    <row r="78" spans="1:18" ht="18" customHeight="1">
      <c r="C78" s="17"/>
      <c r="D78" s="4"/>
      <c r="E78" s="4"/>
      <c r="F78" s="122"/>
      <c r="G78" s="123"/>
      <c r="H78" s="124"/>
      <c r="I78" s="125"/>
      <c r="J78" s="75"/>
      <c r="K78" s="21"/>
      <c r="L78" s="6"/>
      <c r="M78" s="5"/>
      <c r="N78" s="15"/>
      <c r="O78" s="8"/>
      <c r="P78" s="8"/>
      <c r="Q78" s="15"/>
      <c r="R78" s="14"/>
    </row>
    <row r="79" spans="1:18" ht="18" customHeight="1">
      <c r="C79" s="246"/>
      <c r="D79" s="4"/>
      <c r="E79" s="7"/>
      <c r="F79" s="275">
        <f>SUM(I17:I77)</f>
        <v>622427</v>
      </c>
      <c r="G79" s="276"/>
      <c r="H79" s="276"/>
      <c r="I79" s="277"/>
      <c r="J79" s="22"/>
      <c r="K79" s="21"/>
      <c r="L79" s="6"/>
      <c r="M79" s="5"/>
      <c r="N79" s="15"/>
      <c r="O79" s="8"/>
      <c r="P79" s="8"/>
      <c r="Q79" s="15"/>
      <c r="R79" s="14"/>
    </row>
    <row r="80" spans="1:18" ht="18" customHeight="1">
      <c r="C80" s="246"/>
      <c r="D80" s="41"/>
      <c r="E80" s="96"/>
      <c r="F80" s="114"/>
      <c r="G80" s="114"/>
      <c r="H80" s="114"/>
      <c r="I80" s="114"/>
      <c r="J80" s="115"/>
      <c r="K80" s="116"/>
      <c r="L80" s="6"/>
      <c r="M80" s="5"/>
      <c r="N80" s="15"/>
      <c r="O80" s="8"/>
      <c r="P80" s="8"/>
      <c r="Q80" s="15"/>
      <c r="R80" s="14"/>
    </row>
    <row r="81" spans="1:18" ht="18" customHeight="1">
      <c r="C81" s="246"/>
      <c r="D81" s="112"/>
      <c r="E81" s="53"/>
      <c r="F81" s="98"/>
      <c r="G81" s="98"/>
      <c r="H81" s="98"/>
      <c r="I81" s="98"/>
      <c r="J81" s="60"/>
      <c r="K81" s="40"/>
      <c r="L81" s="113"/>
      <c r="M81" s="5"/>
      <c r="N81" s="15"/>
      <c r="O81" s="8"/>
      <c r="P81" s="8"/>
      <c r="Q81" s="15"/>
      <c r="R81" s="14"/>
    </row>
    <row r="82" spans="1:18" s="3" customFormat="1" ht="19.5" customHeight="1">
      <c r="C82" s="4"/>
      <c r="D82" s="110"/>
      <c r="E82" s="110"/>
      <c r="F82" s="97"/>
      <c r="G82" s="94"/>
      <c r="H82" s="94"/>
      <c r="I82" s="94"/>
      <c r="J82" s="19"/>
      <c r="K82" s="111"/>
      <c r="L82" s="1"/>
      <c r="M82" s="1"/>
      <c r="N82" s="15"/>
      <c r="O82" s="4"/>
      <c r="P82" s="1"/>
      <c r="Q82" s="15"/>
      <c r="R82" s="8"/>
    </row>
    <row r="83" spans="1:18" ht="18" customHeight="1">
      <c r="C83" s="247"/>
      <c r="D83" s="278" t="s">
        <v>64</v>
      </c>
      <c r="E83" s="278"/>
      <c r="F83" s="278"/>
      <c r="G83" s="43"/>
      <c r="H83" s="23"/>
      <c r="I83" s="23"/>
      <c r="J83" s="7"/>
      <c r="K83" s="21"/>
      <c r="L83" s="6"/>
      <c r="M83" s="5"/>
      <c r="N83" s="15"/>
      <c r="O83" s="8"/>
      <c r="P83" s="8"/>
      <c r="Q83" s="15"/>
      <c r="R83" s="14"/>
    </row>
    <row r="84" spans="1:18" ht="18" customHeight="1">
      <c r="A84" s="120" t="s">
        <v>98</v>
      </c>
      <c r="B84" s="147">
        <v>3</v>
      </c>
      <c r="C84" s="248">
        <f>C77+1</f>
        <v>62</v>
      </c>
      <c r="D84" s="129" t="s">
        <v>85</v>
      </c>
      <c r="E84" s="129" t="s">
        <v>29</v>
      </c>
      <c r="F84" s="160" t="s">
        <v>86</v>
      </c>
      <c r="G84" s="189">
        <v>4</v>
      </c>
      <c r="H84" s="234">
        <v>1384</v>
      </c>
      <c r="I84" s="95">
        <f t="shared" ref="I84:I90" si="5">G84*H84</f>
        <v>5536</v>
      </c>
      <c r="J84" s="117"/>
      <c r="K84" s="51" t="s">
        <v>87</v>
      </c>
      <c r="L84" s="63"/>
      <c r="M84" s="5"/>
      <c r="N84" s="15">
        <v>44932</v>
      </c>
      <c r="O84" s="8"/>
      <c r="P84" s="47"/>
      <c r="Q84" s="47">
        <v>44960</v>
      </c>
      <c r="R84" s="45">
        <v>44960</v>
      </c>
    </row>
    <row r="85" spans="1:18" ht="18" customHeight="1">
      <c r="A85" s="120" t="s">
        <v>98</v>
      </c>
      <c r="B85" s="147">
        <v>3</v>
      </c>
      <c r="C85" s="30">
        <f t="shared" ref="C85:C90" si="6">+C84+1</f>
        <v>63</v>
      </c>
      <c r="D85" s="129" t="s">
        <v>85</v>
      </c>
      <c r="E85" s="129" t="s">
        <v>29</v>
      </c>
      <c r="F85" s="160" t="s">
        <v>88</v>
      </c>
      <c r="G85" s="189">
        <v>4</v>
      </c>
      <c r="H85" s="234">
        <v>1344</v>
      </c>
      <c r="I85" s="95">
        <f t="shared" si="5"/>
        <v>5376</v>
      </c>
      <c r="J85" s="117"/>
      <c r="K85" s="51" t="s">
        <v>89</v>
      </c>
      <c r="L85" s="63"/>
      <c r="M85" s="5"/>
      <c r="N85" s="15">
        <v>44932</v>
      </c>
      <c r="O85" s="8"/>
      <c r="P85" s="47"/>
      <c r="Q85" s="47">
        <v>44960</v>
      </c>
      <c r="R85" s="45">
        <v>44960</v>
      </c>
    </row>
    <row r="86" spans="1:18" ht="18" customHeight="1">
      <c r="A86" s="120" t="s">
        <v>98</v>
      </c>
      <c r="B86" s="147">
        <v>3</v>
      </c>
      <c r="C86" s="30">
        <f t="shared" si="6"/>
        <v>64</v>
      </c>
      <c r="D86" s="129" t="s">
        <v>85</v>
      </c>
      <c r="E86" s="129" t="s">
        <v>29</v>
      </c>
      <c r="F86" s="160" t="s">
        <v>90</v>
      </c>
      <c r="G86" s="189">
        <v>4</v>
      </c>
      <c r="H86" s="234">
        <v>1184</v>
      </c>
      <c r="I86" s="95">
        <f t="shared" si="5"/>
        <v>4736</v>
      </c>
      <c r="J86" s="117"/>
      <c r="K86" s="51" t="s">
        <v>91</v>
      </c>
      <c r="L86" s="63"/>
      <c r="M86" s="5"/>
      <c r="N86" s="104">
        <v>44932</v>
      </c>
      <c r="O86" s="8"/>
      <c r="P86" s="47"/>
      <c r="Q86" s="47">
        <v>44960</v>
      </c>
      <c r="R86" s="45">
        <v>44960</v>
      </c>
    </row>
    <row r="87" spans="1:18" ht="18" customHeight="1">
      <c r="A87" s="120" t="s">
        <v>98</v>
      </c>
      <c r="B87" s="147">
        <v>3</v>
      </c>
      <c r="C87" s="30">
        <f t="shared" si="6"/>
        <v>65</v>
      </c>
      <c r="D87" s="39" t="s">
        <v>29</v>
      </c>
      <c r="E87" s="39" t="s">
        <v>29</v>
      </c>
      <c r="F87" s="158" t="s">
        <v>92</v>
      </c>
      <c r="G87" s="188">
        <v>4</v>
      </c>
      <c r="H87" s="233">
        <v>893</v>
      </c>
      <c r="I87" s="90">
        <f t="shared" si="5"/>
        <v>3572</v>
      </c>
      <c r="J87" s="35"/>
      <c r="K87" s="31" t="s">
        <v>65</v>
      </c>
      <c r="L87" s="63"/>
      <c r="M87" s="5"/>
      <c r="N87" s="47">
        <v>44932</v>
      </c>
      <c r="O87" s="8"/>
      <c r="P87" s="8"/>
      <c r="Q87" s="47">
        <v>44960</v>
      </c>
      <c r="R87" s="45">
        <v>44960</v>
      </c>
    </row>
    <row r="88" spans="1:18" ht="18" customHeight="1">
      <c r="A88" s="120" t="s">
        <v>99</v>
      </c>
      <c r="B88" s="147">
        <v>3</v>
      </c>
      <c r="C88" s="30">
        <f t="shared" si="6"/>
        <v>66</v>
      </c>
      <c r="D88" s="39" t="s">
        <v>29</v>
      </c>
      <c r="E88" s="39" t="s">
        <v>29</v>
      </c>
      <c r="F88" s="158" t="s">
        <v>66</v>
      </c>
      <c r="G88" s="188">
        <v>4</v>
      </c>
      <c r="H88" s="233">
        <v>750</v>
      </c>
      <c r="I88" s="90">
        <f t="shared" si="5"/>
        <v>3000</v>
      </c>
      <c r="J88" s="35"/>
      <c r="K88" s="31" t="s">
        <v>93</v>
      </c>
      <c r="L88" s="63"/>
      <c r="M88" s="5"/>
      <c r="N88" s="47">
        <v>44932</v>
      </c>
      <c r="O88" s="8"/>
      <c r="P88" s="8"/>
      <c r="Q88" s="47">
        <v>44960</v>
      </c>
      <c r="R88" s="45">
        <v>44960</v>
      </c>
    </row>
    <row r="89" spans="1:18" ht="18" customHeight="1">
      <c r="A89" s="120" t="s">
        <v>99</v>
      </c>
      <c r="B89" s="147">
        <v>3</v>
      </c>
      <c r="C89" s="30">
        <f t="shared" si="6"/>
        <v>67</v>
      </c>
      <c r="D89" s="79" t="s">
        <v>29</v>
      </c>
      <c r="E89" s="79" t="s">
        <v>29</v>
      </c>
      <c r="F89" s="106" t="s">
        <v>67</v>
      </c>
      <c r="G89" s="82"/>
      <c r="H89" s="235">
        <v>48</v>
      </c>
      <c r="I89" s="107">
        <f t="shared" si="5"/>
        <v>0</v>
      </c>
      <c r="J89" s="82"/>
      <c r="K89" s="106" t="s">
        <v>94</v>
      </c>
      <c r="L89" s="78" t="s">
        <v>95</v>
      </c>
      <c r="M89" s="5"/>
      <c r="N89" s="47"/>
      <c r="O89" s="8"/>
      <c r="P89" s="8"/>
      <c r="Q89" s="47"/>
      <c r="R89" s="45"/>
    </row>
    <row r="90" spans="1:18" ht="18" customHeight="1">
      <c r="A90" s="120" t="s">
        <v>99</v>
      </c>
      <c r="B90" s="147">
        <v>3</v>
      </c>
      <c r="C90" s="30">
        <f t="shared" si="6"/>
        <v>68</v>
      </c>
      <c r="D90" s="79" t="s">
        <v>29</v>
      </c>
      <c r="E90" s="79" t="s">
        <v>29</v>
      </c>
      <c r="F90" s="106" t="s">
        <v>96</v>
      </c>
      <c r="G90" s="82"/>
      <c r="H90" s="235">
        <v>92</v>
      </c>
      <c r="I90" s="108">
        <f t="shared" si="5"/>
        <v>0</v>
      </c>
      <c r="J90" s="82"/>
      <c r="K90" s="106" t="s">
        <v>97</v>
      </c>
      <c r="L90" s="78" t="s">
        <v>95</v>
      </c>
      <c r="M90" s="5"/>
      <c r="N90" s="47"/>
      <c r="O90" s="8"/>
      <c r="P90" s="8"/>
      <c r="Q90" s="47"/>
      <c r="R90" s="45"/>
    </row>
    <row r="91" spans="1:18" ht="18" customHeight="1">
      <c r="B91" s="29"/>
      <c r="C91" s="30"/>
      <c r="D91" s="4"/>
      <c r="E91" s="4"/>
      <c r="F91" s="76"/>
      <c r="G91" s="77"/>
      <c r="H91" s="77"/>
      <c r="I91" s="91"/>
      <c r="J91" s="22"/>
      <c r="K91" s="24"/>
      <c r="L91" s="6"/>
      <c r="M91" s="5"/>
      <c r="N91" s="49"/>
      <c r="O91" s="8"/>
      <c r="P91" s="8"/>
      <c r="Q91" s="49"/>
      <c r="R91" s="50"/>
    </row>
    <row r="92" spans="1:18" ht="18" customHeight="1">
      <c r="C92" s="1"/>
      <c r="D92" s="4"/>
      <c r="E92" s="4"/>
      <c r="F92" s="265">
        <f>SUM(I84:I90)</f>
        <v>22220</v>
      </c>
      <c r="G92" s="266"/>
      <c r="H92" s="266"/>
      <c r="I92" s="267"/>
      <c r="J92" s="7"/>
      <c r="K92" s="21"/>
      <c r="L92" s="6"/>
      <c r="M92" s="5"/>
      <c r="N92" s="15"/>
      <c r="O92" s="8"/>
      <c r="P92" s="8"/>
      <c r="Q92" s="15"/>
      <c r="R92" s="14"/>
    </row>
    <row r="93" spans="1:18" ht="18" customHeight="1">
      <c r="C93" s="1"/>
      <c r="D93" s="4"/>
      <c r="E93" s="4"/>
      <c r="F93" s="72"/>
      <c r="G93" s="73"/>
      <c r="H93" s="73"/>
      <c r="I93" s="74"/>
      <c r="J93" s="75"/>
      <c r="K93" s="21"/>
      <c r="L93" s="6"/>
      <c r="M93" s="5"/>
      <c r="N93" s="15"/>
      <c r="O93" s="8"/>
      <c r="P93" s="8"/>
      <c r="Q93" s="15"/>
      <c r="R93" s="14"/>
    </row>
    <row r="94" spans="1:18" ht="18" customHeight="1">
      <c r="C94" s="1"/>
      <c r="D94" s="4"/>
      <c r="E94" s="4"/>
      <c r="F94" s="72"/>
      <c r="G94" s="73"/>
      <c r="H94" s="73"/>
      <c r="I94" s="74"/>
      <c r="J94" s="75"/>
      <c r="K94" s="21"/>
      <c r="L94" s="6"/>
      <c r="M94" s="5"/>
      <c r="N94" s="15"/>
      <c r="O94" s="8"/>
      <c r="P94" s="8"/>
      <c r="Q94" s="15"/>
      <c r="R94" s="14"/>
    </row>
    <row r="95" spans="1:18" ht="18" customHeight="1">
      <c r="C95" s="1"/>
      <c r="D95" s="4"/>
      <c r="E95" s="4"/>
      <c r="F95" s="72"/>
      <c r="G95" s="73"/>
      <c r="H95" s="73"/>
      <c r="I95" s="74"/>
      <c r="J95" s="75"/>
      <c r="K95" s="21"/>
      <c r="L95" s="6"/>
      <c r="M95" s="5"/>
      <c r="N95" s="15"/>
      <c r="O95" s="8"/>
      <c r="P95" s="8"/>
      <c r="Q95" s="15"/>
      <c r="R95" s="14"/>
    </row>
    <row r="96" spans="1:18" ht="18" customHeight="1">
      <c r="C96" s="1"/>
      <c r="D96" s="4"/>
      <c r="E96" s="4"/>
      <c r="F96" s="27"/>
      <c r="G96" s="23"/>
      <c r="H96" s="23"/>
      <c r="I96" s="23"/>
      <c r="J96" s="22"/>
      <c r="K96" s="24"/>
      <c r="L96" s="6"/>
      <c r="M96" s="5"/>
      <c r="N96" s="15"/>
      <c r="O96" s="8"/>
      <c r="P96" s="8"/>
      <c r="Q96" s="15"/>
      <c r="R96" s="14"/>
    </row>
    <row r="97" spans="1:18" ht="18" customHeight="1">
      <c r="C97" s="249"/>
      <c r="D97" s="279" t="s">
        <v>58</v>
      </c>
      <c r="E97" s="280"/>
      <c r="F97" s="281"/>
      <c r="G97" s="34"/>
      <c r="H97" s="34"/>
      <c r="I97" s="35"/>
      <c r="J97" s="35"/>
      <c r="K97" s="34"/>
      <c r="L97" s="6"/>
      <c r="M97" s="5"/>
      <c r="N97" s="15"/>
      <c r="O97" s="8"/>
      <c r="P97" s="8"/>
      <c r="Q97" s="15"/>
      <c r="R97" s="14"/>
    </row>
    <row r="98" spans="1:18" ht="18" customHeight="1">
      <c r="A98" s="145" t="s">
        <v>99</v>
      </c>
      <c r="B98" s="147">
        <v>3</v>
      </c>
      <c r="C98" s="30">
        <f>+C90+1</f>
        <v>69</v>
      </c>
      <c r="D98" s="126" t="s">
        <v>255</v>
      </c>
      <c r="E98" s="126" t="s">
        <v>229</v>
      </c>
      <c r="F98" s="158" t="s">
        <v>254</v>
      </c>
      <c r="G98" s="189">
        <v>1</v>
      </c>
      <c r="H98" s="236">
        <v>1990</v>
      </c>
      <c r="I98" s="95">
        <f t="shared" ref="I98:I107" si="7">G98*H98</f>
        <v>1990</v>
      </c>
      <c r="J98" s="117"/>
      <c r="K98" s="84" t="s">
        <v>253</v>
      </c>
      <c r="L98" s="132" t="s">
        <v>252</v>
      </c>
      <c r="M98" s="5"/>
      <c r="N98" s="118">
        <v>44936</v>
      </c>
      <c r="O98" s="8"/>
      <c r="P98" s="8"/>
      <c r="Q98" s="15"/>
      <c r="R98" s="50">
        <v>44937</v>
      </c>
    </row>
    <row r="99" spans="1:18" ht="18" customHeight="1">
      <c r="A99" s="120" t="s">
        <v>99</v>
      </c>
      <c r="B99" s="147">
        <v>3</v>
      </c>
      <c r="C99" s="30">
        <f t="shared" ref="C99:C111" si="8">+C98+1</f>
        <v>70</v>
      </c>
      <c r="D99" s="39" t="s">
        <v>29</v>
      </c>
      <c r="E99" s="39" t="s">
        <v>29</v>
      </c>
      <c r="F99" s="158" t="s">
        <v>61</v>
      </c>
      <c r="G99" s="188">
        <v>8</v>
      </c>
      <c r="H99" s="237">
        <v>72</v>
      </c>
      <c r="I99" s="90">
        <f t="shared" si="7"/>
        <v>576</v>
      </c>
      <c r="J99" s="35"/>
      <c r="K99" s="42" t="s">
        <v>274</v>
      </c>
      <c r="L99" s="105"/>
      <c r="M99" s="5"/>
      <c r="N99" s="47">
        <v>44932</v>
      </c>
      <c r="O99" s="8"/>
      <c r="P99" s="8"/>
      <c r="Q99" s="47">
        <v>44960</v>
      </c>
      <c r="R99" s="50">
        <v>44960</v>
      </c>
    </row>
    <row r="100" spans="1:18" ht="18" customHeight="1">
      <c r="A100" s="120" t="s">
        <v>99</v>
      </c>
      <c r="B100" s="147">
        <v>3</v>
      </c>
      <c r="C100" s="30">
        <f t="shared" si="8"/>
        <v>71</v>
      </c>
      <c r="D100" s="34" t="s">
        <v>29</v>
      </c>
      <c r="E100" s="34" t="s">
        <v>29</v>
      </c>
      <c r="F100" s="164" t="s">
        <v>59</v>
      </c>
      <c r="G100" s="192">
        <v>4</v>
      </c>
      <c r="H100" s="238">
        <v>70</v>
      </c>
      <c r="I100" s="92">
        <f t="shared" si="7"/>
        <v>280</v>
      </c>
      <c r="J100" s="35"/>
      <c r="K100" s="46" t="s">
        <v>60</v>
      </c>
      <c r="L100" s="105"/>
      <c r="M100" s="5"/>
      <c r="N100" s="47">
        <v>44932</v>
      </c>
      <c r="O100" s="8"/>
      <c r="P100" s="8"/>
      <c r="Q100" s="47">
        <v>44960</v>
      </c>
      <c r="R100" s="50">
        <v>44960</v>
      </c>
    </row>
    <row r="101" spans="1:18" ht="18" customHeight="1">
      <c r="A101" s="120" t="s">
        <v>99</v>
      </c>
      <c r="B101" s="147">
        <v>3</v>
      </c>
      <c r="C101" s="30">
        <f t="shared" si="8"/>
        <v>72</v>
      </c>
      <c r="D101" s="39" t="s">
        <v>199</v>
      </c>
      <c r="E101" s="39" t="s">
        <v>200</v>
      </c>
      <c r="F101" s="253" t="s">
        <v>283</v>
      </c>
      <c r="G101" s="193">
        <v>16</v>
      </c>
      <c r="H101" s="239">
        <v>102</v>
      </c>
      <c r="I101" s="141">
        <f t="shared" si="7"/>
        <v>1632</v>
      </c>
      <c r="J101" s="142"/>
      <c r="K101" s="36" t="s">
        <v>275</v>
      </c>
      <c r="L101" s="143" t="s">
        <v>201</v>
      </c>
      <c r="M101" s="5"/>
      <c r="N101" s="47">
        <v>44932</v>
      </c>
      <c r="O101" s="8"/>
      <c r="P101" s="8"/>
      <c r="Q101" s="47">
        <v>44960</v>
      </c>
      <c r="R101" s="50">
        <v>44960</v>
      </c>
    </row>
    <row r="102" spans="1:18" ht="18" customHeight="1">
      <c r="A102" s="120" t="s">
        <v>99</v>
      </c>
      <c r="B102" s="147">
        <v>3</v>
      </c>
      <c r="C102" s="30">
        <f t="shared" si="8"/>
        <v>73</v>
      </c>
      <c r="D102" s="39" t="s">
        <v>202</v>
      </c>
      <c r="E102" s="39" t="s">
        <v>200</v>
      </c>
      <c r="F102" s="165" t="s">
        <v>215</v>
      </c>
      <c r="G102" s="193">
        <v>8</v>
      </c>
      <c r="H102" s="239">
        <v>79</v>
      </c>
      <c r="I102" s="141">
        <f t="shared" si="7"/>
        <v>632</v>
      </c>
      <c r="J102" s="142"/>
      <c r="K102" s="36" t="s">
        <v>276</v>
      </c>
      <c r="L102" s="143" t="s">
        <v>203</v>
      </c>
      <c r="M102" s="5"/>
      <c r="N102" s="47">
        <v>44932</v>
      </c>
      <c r="O102" s="8"/>
      <c r="P102" s="8"/>
      <c r="Q102" s="47">
        <v>44960</v>
      </c>
      <c r="R102" s="50">
        <v>44960</v>
      </c>
    </row>
    <row r="103" spans="1:18" ht="18" customHeight="1">
      <c r="A103" s="120" t="s">
        <v>99</v>
      </c>
      <c r="B103" s="147">
        <v>3</v>
      </c>
      <c r="C103" s="30">
        <f t="shared" si="8"/>
        <v>74</v>
      </c>
      <c r="D103" s="39" t="s">
        <v>200</v>
      </c>
      <c r="E103" s="39" t="s">
        <v>200</v>
      </c>
      <c r="F103" s="253" t="s">
        <v>284</v>
      </c>
      <c r="G103" s="193">
        <v>16</v>
      </c>
      <c r="H103" s="239">
        <v>46</v>
      </c>
      <c r="I103" s="141">
        <f t="shared" si="7"/>
        <v>736</v>
      </c>
      <c r="J103" s="142"/>
      <c r="K103" s="36" t="s">
        <v>277</v>
      </c>
      <c r="L103" s="143" t="s">
        <v>201</v>
      </c>
      <c r="M103" s="5"/>
      <c r="N103" s="47">
        <v>44932</v>
      </c>
      <c r="O103" s="8"/>
      <c r="P103" s="8"/>
      <c r="Q103" s="47">
        <v>44960</v>
      </c>
      <c r="R103" s="50">
        <v>44960</v>
      </c>
    </row>
    <row r="104" spans="1:18" ht="18" customHeight="1">
      <c r="A104" s="120" t="s">
        <v>99</v>
      </c>
      <c r="B104" s="147">
        <v>3</v>
      </c>
      <c r="C104" s="30">
        <f t="shared" si="8"/>
        <v>75</v>
      </c>
      <c r="D104" s="39" t="s">
        <v>200</v>
      </c>
      <c r="E104" s="39" t="s">
        <v>200</v>
      </c>
      <c r="F104" s="165" t="s">
        <v>204</v>
      </c>
      <c r="G104" s="193">
        <v>4</v>
      </c>
      <c r="H104" s="239">
        <v>5140</v>
      </c>
      <c r="I104" s="141">
        <f t="shared" si="7"/>
        <v>20560</v>
      </c>
      <c r="J104" s="142"/>
      <c r="K104" s="36" t="s">
        <v>205</v>
      </c>
      <c r="L104" s="143" t="s">
        <v>203</v>
      </c>
      <c r="M104" s="5"/>
      <c r="N104" s="47">
        <v>44932</v>
      </c>
      <c r="O104" s="8"/>
      <c r="P104" s="8"/>
      <c r="Q104" s="47">
        <v>44960</v>
      </c>
      <c r="R104" s="50">
        <v>44960</v>
      </c>
    </row>
    <row r="105" spans="1:18" ht="18" customHeight="1">
      <c r="A105" s="120" t="s">
        <v>99</v>
      </c>
      <c r="B105" s="147">
        <v>3</v>
      </c>
      <c r="C105" s="30">
        <f t="shared" si="8"/>
        <v>76</v>
      </c>
      <c r="D105" s="39" t="s">
        <v>29</v>
      </c>
      <c r="E105" s="39" t="s">
        <v>29</v>
      </c>
      <c r="F105" s="158" t="s">
        <v>111</v>
      </c>
      <c r="G105" s="186">
        <v>8</v>
      </c>
      <c r="H105" s="209">
        <v>94</v>
      </c>
      <c r="I105" s="52">
        <f t="shared" si="7"/>
        <v>752</v>
      </c>
      <c r="J105" s="65"/>
      <c r="K105" s="71" t="s">
        <v>206</v>
      </c>
      <c r="L105" s="105"/>
      <c r="M105" s="5"/>
      <c r="N105" s="47">
        <v>44932</v>
      </c>
      <c r="O105" s="8"/>
      <c r="P105" s="8"/>
      <c r="Q105" s="47">
        <v>44960</v>
      </c>
      <c r="R105" s="50">
        <v>44960</v>
      </c>
    </row>
    <row r="106" spans="1:18" ht="18" customHeight="1">
      <c r="A106" s="120" t="s">
        <v>99</v>
      </c>
      <c r="B106" s="147">
        <v>3</v>
      </c>
      <c r="C106" s="30">
        <f t="shared" si="8"/>
        <v>77</v>
      </c>
      <c r="D106" s="39" t="s">
        <v>29</v>
      </c>
      <c r="E106" s="39" t="s">
        <v>29</v>
      </c>
      <c r="F106" s="158" t="s">
        <v>62</v>
      </c>
      <c r="G106" s="188">
        <v>8</v>
      </c>
      <c r="H106" s="237">
        <v>31</v>
      </c>
      <c r="I106" s="90">
        <f t="shared" si="7"/>
        <v>248</v>
      </c>
      <c r="J106" s="35"/>
      <c r="K106" s="42" t="s">
        <v>278</v>
      </c>
      <c r="L106" s="105"/>
      <c r="M106" s="5"/>
      <c r="N106" s="47">
        <v>44932</v>
      </c>
      <c r="O106" s="8"/>
      <c r="P106" s="8"/>
      <c r="Q106" s="47">
        <v>44960</v>
      </c>
      <c r="R106" s="50">
        <v>44960</v>
      </c>
    </row>
    <row r="107" spans="1:18" ht="18" customHeight="1">
      <c r="A107" s="145" t="s">
        <v>98</v>
      </c>
      <c r="B107" s="147">
        <v>3</v>
      </c>
      <c r="C107" s="30">
        <f t="shared" si="8"/>
        <v>78</v>
      </c>
      <c r="D107" s="254" t="s">
        <v>29</v>
      </c>
      <c r="E107" s="254" t="s">
        <v>29</v>
      </c>
      <c r="F107" s="255" t="s">
        <v>285</v>
      </c>
      <c r="G107" s="256">
        <v>16</v>
      </c>
      <c r="H107" s="257">
        <v>531</v>
      </c>
      <c r="I107" s="95">
        <f t="shared" si="7"/>
        <v>8496</v>
      </c>
      <c r="J107" s="117"/>
      <c r="K107" s="84" t="s">
        <v>286</v>
      </c>
      <c r="L107" s="173" t="s">
        <v>287</v>
      </c>
      <c r="M107" s="5"/>
      <c r="N107" s="118">
        <v>44973</v>
      </c>
      <c r="O107" s="8"/>
      <c r="P107" s="8"/>
      <c r="Q107" s="15">
        <v>44978</v>
      </c>
      <c r="R107" s="50">
        <v>44978</v>
      </c>
    </row>
    <row r="108" spans="1:18" ht="18" customHeight="1">
      <c r="A108" s="145" t="s">
        <v>73</v>
      </c>
      <c r="B108" s="147">
        <v>3</v>
      </c>
      <c r="C108" s="30">
        <f t="shared" si="8"/>
        <v>79</v>
      </c>
      <c r="D108" s="129" t="s">
        <v>85</v>
      </c>
      <c r="E108" s="129" t="s">
        <v>29</v>
      </c>
      <c r="F108" s="166" t="s">
        <v>207</v>
      </c>
      <c r="G108" s="188">
        <v>4</v>
      </c>
      <c r="H108" s="240">
        <v>2330</v>
      </c>
      <c r="I108" s="52">
        <f t="shared" ref="I108:I110" si="9">G108*H108</f>
        <v>9320</v>
      </c>
      <c r="J108" s="35"/>
      <c r="K108" s="128" t="s">
        <v>208</v>
      </c>
      <c r="L108" s="6"/>
      <c r="M108" s="5"/>
      <c r="N108" s="47">
        <v>44932</v>
      </c>
      <c r="O108" s="8"/>
      <c r="P108" s="8"/>
      <c r="Q108" s="47">
        <v>44960</v>
      </c>
      <c r="R108" s="50">
        <v>44960</v>
      </c>
    </row>
    <row r="109" spans="1:18" ht="18" customHeight="1">
      <c r="A109" s="145" t="s">
        <v>73</v>
      </c>
      <c r="B109" s="147">
        <v>3</v>
      </c>
      <c r="C109" s="30">
        <f t="shared" si="8"/>
        <v>80</v>
      </c>
      <c r="D109" s="129" t="s">
        <v>85</v>
      </c>
      <c r="E109" s="129" t="s">
        <v>29</v>
      </c>
      <c r="F109" s="166" t="s">
        <v>214</v>
      </c>
      <c r="G109" s="188">
        <v>4</v>
      </c>
      <c r="H109" s="240">
        <v>2820</v>
      </c>
      <c r="I109" s="52">
        <f t="shared" si="9"/>
        <v>11280</v>
      </c>
      <c r="J109" s="35"/>
      <c r="K109" s="128" t="s">
        <v>211</v>
      </c>
      <c r="L109" s="6"/>
      <c r="M109" s="5"/>
      <c r="N109" s="47">
        <v>44932</v>
      </c>
      <c r="O109" s="8"/>
      <c r="P109" s="8"/>
      <c r="Q109" s="47">
        <v>44960</v>
      </c>
      <c r="R109" s="50">
        <v>44960</v>
      </c>
    </row>
    <row r="110" spans="1:18" ht="18" customHeight="1">
      <c r="A110" s="145" t="s">
        <v>73</v>
      </c>
      <c r="B110" s="147">
        <v>3</v>
      </c>
      <c r="C110" s="30">
        <f t="shared" si="8"/>
        <v>81</v>
      </c>
      <c r="D110" s="129" t="s">
        <v>85</v>
      </c>
      <c r="E110" s="129" t="s">
        <v>29</v>
      </c>
      <c r="F110" s="166" t="s">
        <v>213</v>
      </c>
      <c r="G110" s="188">
        <v>4</v>
      </c>
      <c r="H110" s="240">
        <v>3530</v>
      </c>
      <c r="I110" s="52">
        <f t="shared" si="9"/>
        <v>14120</v>
      </c>
      <c r="J110" s="35"/>
      <c r="K110" s="128" t="s">
        <v>212</v>
      </c>
      <c r="L110" s="146"/>
      <c r="M110" s="5"/>
      <c r="N110" s="47">
        <v>44932</v>
      </c>
      <c r="O110" s="8"/>
      <c r="P110" s="8"/>
      <c r="Q110" s="47">
        <v>44960</v>
      </c>
      <c r="R110" s="50">
        <v>44960</v>
      </c>
    </row>
    <row r="111" spans="1:18" ht="18" customHeight="1">
      <c r="A111" s="145" t="s">
        <v>73</v>
      </c>
      <c r="B111" s="147">
        <v>3</v>
      </c>
      <c r="C111" s="30">
        <f t="shared" si="8"/>
        <v>82</v>
      </c>
      <c r="D111" s="129" t="s">
        <v>85</v>
      </c>
      <c r="E111" s="129" t="s">
        <v>29</v>
      </c>
      <c r="F111" s="160" t="s">
        <v>209</v>
      </c>
      <c r="G111" s="194">
        <v>4</v>
      </c>
      <c r="H111" s="234">
        <v>2810</v>
      </c>
      <c r="I111" s="141">
        <f>G111*H111</f>
        <v>11240</v>
      </c>
      <c r="J111" s="142"/>
      <c r="K111" s="86" t="s">
        <v>210</v>
      </c>
      <c r="L111" s="143" t="s">
        <v>203</v>
      </c>
      <c r="M111" s="5"/>
      <c r="N111" s="47">
        <v>44932</v>
      </c>
      <c r="O111" s="8"/>
      <c r="P111" s="8"/>
      <c r="Q111" s="47">
        <v>44960</v>
      </c>
      <c r="R111" s="50">
        <v>44960</v>
      </c>
    </row>
    <row r="112" spans="1:18" ht="18" customHeight="1">
      <c r="A112" s="34"/>
      <c r="B112" s="136"/>
      <c r="C112" s="30"/>
      <c r="D112" s="39"/>
      <c r="E112" s="39"/>
      <c r="F112" s="88"/>
      <c r="G112" s="66"/>
      <c r="H112" s="144"/>
      <c r="I112" s="95"/>
      <c r="J112" s="117"/>
      <c r="K112" s="84"/>
      <c r="L112" s="105"/>
      <c r="M112" s="5"/>
      <c r="N112" s="118"/>
      <c r="O112" s="8"/>
      <c r="P112" s="8"/>
      <c r="Q112" s="15"/>
      <c r="R112" s="50"/>
    </row>
    <row r="113" spans="1:18" ht="18" customHeight="1">
      <c r="A113" s="145" t="s">
        <v>99</v>
      </c>
      <c r="B113" s="147">
        <v>3</v>
      </c>
      <c r="C113" s="30">
        <f>+C111+1</f>
        <v>83</v>
      </c>
      <c r="D113" s="62" t="s">
        <v>29</v>
      </c>
      <c r="E113" s="62" t="s">
        <v>29</v>
      </c>
      <c r="F113" s="175" t="s">
        <v>63</v>
      </c>
      <c r="G113" s="195">
        <v>4</v>
      </c>
      <c r="H113" s="241">
        <v>690</v>
      </c>
      <c r="I113" s="89">
        <f>G113*H113</f>
        <v>2760</v>
      </c>
      <c r="J113" s="181"/>
      <c r="K113" s="67" t="s">
        <v>259</v>
      </c>
      <c r="L113" s="173"/>
      <c r="M113" s="5"/>
      <c r="N113" s="118"/>
      <c r="O113" s="8"/>
      <c r="P113" s="8"/>
      <c r="Q113" s="15"/>
      <c r="R113" s="50">
        <v>44960</v>
      </c>
    </row>
    <row r="114" spans="1:18" ht="18" customHeight="1">
      <c r="A114" s="145" t="s">
        <v>99</v>
      </c>
      <c r="B114" s="147">
        <v>3</v>
      </c>
      <c r="C114" s="30">
        <f t="shared" ref="C114" si="10">+C113+1</f>
        <v>84</v>
      </c>
      <c r="D114" s="62" t="s">
        <v>29</v>
      </c>
      <c r="E114" s="62" t="s">
        <v>29</v>
      </c>
      <c r="F114" s="175" t="s">
        <v>32</v>
      </c>
      <c r="G114" s="195">
        <v>4</v>
      </c>
      <c r="H114" s="241">
        <v>990</v>
      </c>
      <c r="I114" s="89">
        <f>G114*H114</f>
        <v>3960</v>
      </c>
      <c r="J114" s="181"/>
      <c r="K114" s="67" t="s">
        <v>259</v>
      </c>
      <c r="L114" s="173"/>
      <c r="M114" s="5"/>
      <c r="N114" s="118"/>
      <c r="O114" s="8"/>
      <c r="P114" s="8"/>
      <c r="Q114" s="15"/>
      <c r="R114" s="50">
        <v>44960</v>
      </c>
    </row>
    <row r="115" spans="1:18" ht="18" customHeight="1">
      <c r="A115" s="3"/>
      <c r="B115" s="138"/>
      <c r="C115" s="30"/>
      <c r="D115" s="62"/>
      <c r="E115" s="62"/>
      <c r="F115" s="139"/>
      <c r="G115" s="85"/>
      <c r="H115" s="89"/>
      <c r="I115" s="89"/>
      <c r="J115" s="140"/>
      <c r="K115" s="67"/>
      <c r="L115" s="105"/>
      <c r="M115" s="5"/>
      <c r="N115" s="118"/>
      <c r="O115" s="8"/>
      <c r="P115" s="8"/>
      <c r="Q115" s="15"/>
      <c r="R115" s="50"/>
    </row>
    <row r="116" spans="1:18" ht="18" customHeight="1">
      <c r="C116" s="34"/>
      <c r="D116" s="62"/>
      <c r="E116" s="62"/>
      <c r="F116" s="40"/>
      <c r="G116" s="34"/>
      <c r="H116" s="52"/>
      <c r="I116" s="52"/>
      <c r="J116" s="35"/>
      <c r="K116" s="36"/>
      <c r="L116" s="6"/>
      <c r="M116" s="5"/>
      <c r="N116" s="15"/>
      <c r="O116" s="8"/>
      <c r="P116" s="8"/>
      <c r="Q116" s="15"/>
      <c r="R116" s="14"/>
    </row>
    <row r="117" spans="1:18" ht="18" customHeight="1">
      <c r="C117" s="34"/>
      <c r="D117" s="68"/>
      <c r="E117" s="68"/>
      <c r="F117" s="260">
        <f>SUM(I98:I116)</f>
        <v>88582</v>
      </c>
      <c r="G117" s="261"/>
      <c r="H117" s="261"/>
      <c r="I117" s="262"/>
      <c r="J117" s="57"/>
      <c r="K117" s="58"/>
      <c r="L117" s="6"/>
      <c r="M117" s="5"/>
      <c r="N117" s="15"/>
      <c r="O117" s="8"/>
      <c r="P117" s="8"/>
      <c r="Q117" s="15"/>
      <c r="R117" s="14"/>
    </row>
    <row r="118" spans="1:18" ht="18" customHeight="1">
      <c r="C118" s="34"/>
      <c r="D118" s="100"/>
      <c r="E118" s="100"/>
      <c r="F118" s="101"/>
      <c r="G118" s="102"/>
      <c r="H118" s="103"/>
      <c r="I118" s="52"/>
      <c r="J118" s="34"/>
      <c r="K118" s="51"/>
      <c r="L118" s="113"/>
      <c r="M118" s="5"/>
      <c r="N118" s="15"/>
      <c r="O118" s="8"/>
      <c r="P118" s="8"/>
      <c r="Q118" s="15"/>
      <c r="R118" s="14"/>
    </row>
    <row r="119" spans="1:18" ht="18" customHeight="1">
      <c r="C119" s="34"/>
      <c r="D119" s="100"/>
      <c r="E119" s="100"/>
      <c r="F119" s="101"/>
      <c r="G119" s="102"/>
      <c r="H119" s="103"/>
      <c r="I119" s="52"/>
      <c r="J119" s="34"/>
      <c r="K119" s="51"/>
      <c r="L119" s="113"/>
      <c r="M119" s="5"/>
      <c r="N119" s="15"/>
      <c r="O119" s="8"/>
      <c r="P119" s="8"/>
      <c r="Q119" s="15"/>
      <c r="R119" s="14"/>
    </row>
    <row r="120" spans="1:18" ht="18" customHeight="1">
      <c r="C120" s="34"/>
      <c r="D120" s="100"/>
      <c r="E120" s="100"/>
      <c r="F120" s="101"/>
      <c r="G120" s="102"/>
      <c r="H120" s="103"/>
      <c r="I120" s="52"/>
      <c r="J120" s="34"/>
      <c r="K120" s="51"/>
      <c r="L120" s="113"/>
      <c r="M120" s="5"/>
      <c r="N120" s="15"/>
      <c r="O120" s="8"/>
      <c r="P120" s="8"/>
      <c r="Q120" s="15"/>
      <c r="R120" s="14"/>
    </row>
    <row r="121" spans="1:18" ht="18" customHeight="1">
      <c r="C121" s="34"/>
      <c r="D121" s="39"/>
      <c r="E121" s="39"/>
      <c r="F121" s="70"/>
      <c r="G121" s="52"/>
      <c r="H121" s="52"/>
      <c r="I121" s="52"/>
      <c r="J121" s="60"/>
      <c r="K121" s="61"/>
      <c r="L121" s="113"/>
      <c r="M121" s="5"/>
      <c r="N121" s="15"/>
      <c r="O121" s="8"/>
      <c r="P121" s="8"/>
      <c r="Q121" s="15"/>
      <c r="R121" s="14"/>
    </row>
    <row r="122" spans="1:18" ht="18" customHeight="1">
      <c r="C122" s="250"/>
      <c r="D122" s="263" t="s">
        <v>33</v>
      </c>
      <c r="E122" s="264"/>
      <c r="F122" s="264"/>
      <c r="G122" s="69"/>
      <c r="H122" s="94"/>
      <c r="I122" s="94"/>
      <c r="J122" s="18"/>
      <c r="K122" s="26"/>
      <c r="L122" s="6"/>
      <c r="M122" s="5"/>
      <c r="N122" s="15"/>
      <c r="O122" s="8"/>
      <c r="P122" s="8"/>
      <c r="Q122" s="15"/>
      <c r="R122" s="14"/>
    </row>
    <row r="123" spans="1:18" ht="18" customHeight="1">
      <c r="A123" s="145" t="s">
        <v>73</v>
      </c>
      <c r="B123" s="137">
        <v>2</v>
      </c>
      <c r="C123" s="30">
        <f>+C114+1</f>
        <v>85</v>
      </c>
      <c r="D123" s="129" t="s">
        <v>29</v>
      </c>
      <c r="E123" s="129" t="s">
        <v>29</v>
      </c>
      <c r="F123" s="170" t="s">
        <v>70</v>
      </c>
      <c r="G123" s="196">
        <v>4</v>
      </c>
      <c r="H123" s="242">
        <v>11950</v>
      </c>
      <c r="I123" s="90">
        <f t="shared" ref="I123:I145" si="11">G123*H123</f>
        <v>47800</v>
      </c>
      <c r="J123" s="35"/>
      <c r="K123" s="51" t="s">
        <v>39</v>
      </c>
      <c r="L123" s="6"/>
      <c r="M123" s="5"/>
      <c r="N123" s="47">
        <v>44932</v>
      </c>
      <c r="O123" s="8"/>
      <c r="P123" s="8"/>
      <c r="Q123" s="47">
        <v>44960</v>
      </c>
      <c r="R123" s="45">
        <v>44960</v>
      </c>
    </row>
    <row r="124" spans="1:18" ht="18" customHeight="1">
      <c r="A124" s="145" t="s">
        <v>75</v>
      </c>
      <c r="B124" s="137">
        <v>2</v>
      </c>
      <c r="C124" s="200">
        <f t="shared" ref="C124:C148" si="12">+C123+1</f>
        <v>86</v>
      </c>
      <c r="D124" s="39" t="s">
        <v>29</v>
      </c>
      <c r="E124" s="39" t="s">
        <v>29</v>
      </c>
      <c r="F124" s="163" t="s">
        <v>233</v>
      </c>
      <c r="G124" s="189">
        <v>4</v>
      </c>
      <c r="H124" s="243">
        <v>1502</v>
      </c>
      <c r="I124" s="52">
        <f t="shared" si="11"/>
        <v>6008</v>
      </c>
      <c r="J124" s="53"/>
      <c r="K124" s="109" t="s">
        <v>234</v>
      </c>
      <c r="L124" s="6"/>
      <c r="M124" s="5"/>
      <c r="N124" s="47">
        <v>44932</v>
      </c>
      <c r="O124" s="8"/>
      <c r="P124" s="8"/>
      <c r="Q124" s="47">
        <v>44960</v>
      </c>
      <c r="R124" s="45">
        <v>44960</v>
      </c>
    </row>
    <row r="125" spans="1:18" ht="18" customHeight="1">
      <c r="A125" s="145" t="s">
        <v>75</v>
      </c>
      <c r="B125" s="137">
        <v>2</v>
      </c>
      <c r="C125" s="200">
        <f t="shared" si="12"/>
        <v>87</v>
      </c>
      <c r="D125" s="39" t="s">
        <v>29</v>
      </c>
      <c r="E125" s="39" t="s">
        <v>29</v>
      </c>
      <c r="F125" s="163" t="s">
        <v>236</v>
      </c>
      <c r="G125" s="189">
        <v>4</v>
      </c>
      <c r="H125" s="243">
        <v>4059</v>
      </c>
      <c r="I125" s="52">
        <f t="shared" si="11"/>
        <v>16236</v>
      </c>
      <c r="J125" s="53"/>
      <c r="K125" s="42" t="s">
        <v>235</v>
      </c>
      <c r="L125" s="42"/>
      <c r="M125" s="5"/>
      <c r="N125" s="47">
        <v>44932</v>
      </c>
      <c r="O125" s="8"/>
      <c r="P125" s="8"/>
      <c r="Q125" s="47">
        <v>44960</v>
      </c>
      <c r="R125" s="45">
        <v>44960</v>
      </c>
    </row>
    <row r="126" spans="1:18" ht="18" customHeight="1">
      <c r="A126" s="145" t="s">
        <v>72</v>
      </c>
      <c r="B126" s="137">
        <v>2</v>
      </c>
      <c r="C126" s="200">
        <f t="shared" si="12"/>
        <v>88</v>
      </c>
      <c r="D126" s="39" t="s">
        <v>29</v>
      </c>
      <c r="E126" s="39" t="s">
        <v>29</v>
      </c>
      <c r="F126" s="163" t="s">
        <v>40</v>
      </c>
      <c r="G126" s="189">
        <v>4</v>
      </c>
      <c r="H126" s="243">
        <v>4512</v>
      </c>
      <c r="I126" s="52">
        <f t="shared" si="11"/>
        <v>18048</v>
      </c>
      <c r="J126" s="53"/>
      <c r="K126" s="31" t="s">
        <v>41</v>
      </c>
      <c r="L126" s="42"/>
      <c r="M126" s="5"/>
      <c r="N126" s="47">
        <v>44932</v>
      </c>
      <c r="O126" s="8"/>
      <c r="P126" s="8"/>
      <c r="Q126" s="47">
        <v>44960</v>
      </c>
      <c r="R126" s="45">
        <v>44960</v>
      </c>
    </row>
    <row r="127" spans="1:18" ht="18" customHeight="1">
      <c r="A127" s="145" t="s">
        <v>72</v>
      </c>
      <c r="B127" s="137">
        <v>2</v>
      </c>
      <c r="C127" s="200">
        <f t="shared" si="12"/>
        <v>89</v>
      </c>
      <c r="D127" s="39" t="s">
        <v>29</v>
      </c>
      <c r="E127" s="39" t="s">
        <v>29</v>
      </c>
      <c r="F127" s="163" t="s">
        <v>231</v>
      </c>
      <c r="G127" s="189">
        <v>4</v>
      </c>
      <c r="H127" s="243">
        <v>1560</v>
      </c>
      <c r="I127" s="52">
        <f t="shared" si="11"/>
        <v>6240</v>
      </c>
      <c r="J127" s="54"/>
      <c r="K127" s="31" t="s">
        <v>42</v>
      </c>
      <c r="L127" s="128"/>
      <c r="M127" s="5"/>
      <c r="N127" s="47">
        <v>44932</v>
      </c>
      <c r="O127" s="8"/>
      <c r="P127" s="8"/>
      <c r="Q127" s="47">
        <v>44960</v>
      </c>
      <c r="R127" s="45">
        <v>44960</v>
      </c>
    </row>
    <row r="128" spans="1:18" ht="18" customHeight="1">
      <c r="A128" s="145" t="s">
        <v>73</v>
      </c>
      <c r="B128" s="137">
        <v>2</v>
      </c>
      <c r="C128" s="200">
        <f t="shared" si="12"/>
        <v>90</v>
      </c>
      <c r="D128" s="39" t="s">
        <v>29</v>
      </c>
      <c r="E128" s="39" t="s">
        <v>29</v>
      </c>
      <c r="F128" s="163" t="s">
        <v>232</v>
      </c>
      <c r="G128" s="189">
        <v>4</v>
      </c>
      <c r="H128" s="243">
        <v>977</v>
      </c>
      <c r="I128" s="52">
        <f t="shared" si="11"/>
        <v>3908</v>
      </c>
      <c r="J128" s="55"/>
      <c r="K128" s="31" t="s">
        <v>43</v>
      </c>
      <c r="L128" s="42"/>
      <c r="M128" s="5"/>
      <c r="N128" s="47">
        <v>44932</v>
      </c>
      <c r="O128" s="8"/>
      <c r="P128" s="8"/>
      <c r="Q128" s="47">
        <v>44960</v>
      </c>
      <c r="R128" s="45">
        <v>44960</v>
      </c>
    </row>
    <row r="129" spans="1:18" ht="18" customHeight="1">
      <c r="A129" s="34"/>
      <c r="B129" s="137">
        <v>2</v>
      </c>
      <c r="C129" s="200">
        <f>+C128+1</f>
        <v>91</v>
      </c>
      <c r="D129" s="79" t="s">
        <v>29</v>
      </c>
      <c r="E129" s="79" t="s">
        <v>29</v>
      </c>
      <c r="F129" s="83" t="s">
        <v>30</v>
      </c>
      <c r="G129" s="80"/>
      <c r="H129" s="213">
        <v>403</v>
      </c>
      <c r="I129" s="81">
        <f t="shared" si="11"/>
        <v>0</v>
      </c>
      <c r="J129" s="214"/>
      <c r="K129" s="106" t="s">
        <v>31</v>
      </c>
      <c r="L129" s="78" t="s">
        <v>69</v>
      </c>
      <c r="M129" s="5"/>
      <c r="N129" s="47"/>
      <c r="O129" s="8"/>
      <c r="P129" s="8"/>
      <c r="Q129" s="47"/>
      <c r="R129" s="14"/>
    </row>
    <row r="130" spans="1:18" ht="18" customHeight="1">
      <c r="A130" s="145" t="s">
        <v>72</v>
      </c>
      <c r="B130" s="137">
        <v>2</v>
      </c>
      <c r="C130" s="200">
        <f t="shared" si="12"/>
        <v>92</v>
      </c>
      <c r="D130" s="56" t="s">
        <v>29</v>
      </c>
      <c r="E130" s="56" t="s">
        <v>29</v>
      </c>
      <c r="F130" s="163" t="s">
        <v>238</v>
      </c>
      <c r="G130" s="189">
        <v>1</v>
      </c>
      <c r="H130" s="184">
        <v>1248</v>
      </c>
      <c r="I130" s="167">
        <f t="shared" si="11"/>
        <v>1248</v>
      </c>
      <c r="J130" s="174"/>
      <c r="K130" s="51" t="s">
        <v>240</v>
      </c>
      <c r="L130" s="173"/>
      <c r="M130" s="5"/>
      <c r="N130" s="47">
        <v>44932</v>
      </c>
      <c r="O130" s="8"/>
      <c r="P130" s="8"/>
      <c r="Q130" s="47">
        <v>44960</v>
      </c>
      <c r="R130" s="14">
        <v>44960</v>
      </c>
    </row>
    <row r="131" spans="1:18" ht="18" customHeight="1">
      <c r="A131" s="145" t="s">
        <v>75</v>
      </c>
      <c r="B131" s="137">
        <v>3</v>
      </c>
      <c r="C131" s="200">
        <f t="shared" si="12"/>
        <v>93</v>
      </c>
      <c r="D131" s="56" t="s">
        <v>29</v>
      </c>
      <c r="E131" s="56" t="s">
        <v>29</v>
      </c>
      <c r="F131" s="163" t="s">
        <v>239</v>
      </c>
      <c r="G131" s="189">
        <v>1</v>
      </c>
      <c r="H131" s="184">
        <v>1248</v>
      </c>
      <c r="I131" s="167">
        <f t="shared" ref="I131" si="13">G131*H131</f>
        <v>1248</v>
      </c>
      <c r="J131" s="174"/>
      <c r="K131" s="51" t="s">
        <v>241</v>
      </c>
      <c r="L131" s="173"/>
      <c r="M131" s="5"/>
      <c r="N131" s="47">
        <v>44932</v>
      </c>
      <c r="O131" s="8"/>
      <c r="P131" s="8"/>
      <c r="Q131" s="47">
        <v>44960</v>
      </c>
      <c r="R131" s="14">
        <v>44960</v>
      </c>
    </row>
    <row r="132" spans="1:18" ht="18" customHeight="1">
      <c r="A132" s="34"/>
      <c r="B132" s="137">
        <v>2</v>
      </c>
      <c r="C132" s="200">
        <f t="shared" si="12"/>
        <v>94</v>
      </c>
      <c r="D132" s="79" t="s">
        <v>29</v>
      </c>
      <c r="E132" s="79" t="s">
        <v>29</v>
      </c>
      <c r="F132" s="215" t="s">
        <v>44</v>
      </c>
      <c r="G132" s="80"/>
      <c r="H132" s="81">
        <v>19</v>
      </c>
      <c r="I132" s="81">
        <f>G132*H132</f>
        <v>0</v>
      </c>
      <c r="J132" s="81"/>
      <c r="K132" s="106" t="s">
        <v>45</v>
      </c>
      <c r="L132" s="78" t="s">
        <v>69</v>
      </c>
      <c r="M132" s="5"/>
      <c r="N132" s="47"/>
      <c r="O132" s="8"/>
      <c r="P132" s="8"/>
      <c r="Q132" s="47"/>
      <c r="R132" s="14"/>
    </row>
    <row r="133" spans="1:18" ht="18" customHeight="1">
      <c r="A133" s="145" t="s">
        <v>72</v>
      </c>
      <c r="B133" s="137">
        <v>2</v>
      </c>
      <c r="C133" s="200">
        <f t="shared" si="12"/>
        <v>95</v>
      </c>
      <c r="D133" s="59" t="s">
        <v>228</v>
      </c>
      <c r="E133" s="59" t="s">
        <v>229</v>
      </c>
      <c r="F133" s="168" t="s">
        <v>165</v>
      </c>
      <c r="G133" s="185">
        <v>4</v>
      </c>
      <c r="H133" s="212">
        <v>2090</v>
      </c>
      <c r="I133" s="216">
        <f t="shared" si="11"/>
        <v>8360</v>
      </c>
      <c r="J133" s="217"/>
      <c r="K133" s="71" t="s">
        <v>166</v>
      </c>
      <c r="L133" s="132" t="s">
        <v>256</v>
      </c>
      <c r="M133" s="5"/>
      <c r="N133" s="47">
        <v>44932</v>
      </c>
      <c r="O133" s="8"/>
      <c r="P133" s="8"/>
      <c r="Q133" s="47">
        <v>44960</v>
      </c>
      <c r="R133" s="45">
        <v>44937</v>
      </c>
    </row>
    <row r="134" spans="1:18" ht="18" customHeight="1">
      <c r="A134" s="145" t="s">
        <v>72</v>
      </c>
      <c r="B134" s="137">
        <v>2</v>
      </c>
      <c r="C134" s="200">
        <f t="shared" si="12"/>
        <v>96</v>
      </c>
      <c r="D134" s="126" t="s">
        <v>29</v>
      </c>
      <c r="E134" s="126" t="s">
        <v>29</v>
      </c>
      <c r="F134" s="169" t="s">
        <v>230</v>
      </c>
      <c r="G134" s="218">
        <v>4</v>
      </c>
      <c r="H134" s="212">
        <v>3380</v>
      </c>
      <c r="I134" s="216">
        <f t="shared" si="11"/>
        <v>13520</v>
      </c>
      <c r="J134" s="219"/>
      <c r="K134" s="128" t="s">
        <v>46</v>
      </c>
      <c r="L134" s="220"/>
      <c r="M134" s="5"/>
      <c r="N134" s="47">
        <v>44932</v>
      </c>
      <c r="O134" s="8"/>
      <c r="P134" s="8"/>
      <c r="Q134" s="47">
        <v>44960</v>
      </c>
      <c r="R134" s="45">
        <v>44960</v>
      </c>
    </row>
    <row r="135" spans="1:18" ht="18" customHeight="1">
      <c r="A135" s="145" t="s">
        <v>72</v>
      </c>
      <c r="B135" s="137">
        <v>2</v>
      </c>
      <c r="C135" s="200">
        <f t="shared" si="12"/>
        <v>97</v>
      </c>
      <c r="D135" s="56" t="s">
        <v>29</v>
      </c>
      <c r="E135" s="56" t="s">
        <v>29</v>
      </c>
      <c r="F135" s="172" t="s">
        <v>57</v>
      </c>
      <c r="G135" s="189">
        <v>4</v>
      </c>
      <c r="H135" s="234">
        <v>240</v>
      </c>
      <c r="I135" s="95">
        <f>G135*H135</f>
        <v>960</v>
      </c>
      <c r="J135" s="117"/>
      <c r="K135" s="51" t="s">
        <v>168</v>
      </c>
      <c r="L135" s="220"/>
      <c r="M135" s="5"/>
      <c r="N135" s="47">
        <v>44932</v>
      </c>
      <c r="O135" s="8"/>
      <c r="P135" s="8"/>
      <c r="Q135" s="47">
        <v>44960</v>
      </c>
      <c r="R135" s="50">
        <v>44960</v>
      </c>
    </row>
    <row r="136" spans="1:18" ht="18" customHeight="1">
      <c r="A136" s="145" t="s">
        <v>72</v>
      </c>
      <c r="B136" s="137">
        <v>2</v>
      </c>
      <c r="C136" s="200">
        <f>+C135+1</f>
        <v>98</v>
      </c>
      <c r="D136" s="126" t="s">
        <v>29</v>
      </c>
      <c r="E136" s="126" t="s">
        <v>29</v>
      </c>
      <c r="F136" s="171" t="s">
        <v>47</v>
      </c>
      <c r="G136" s="218">
        <v>4</v>
      </c>
      <c r="H136" s="212">
        <v>632</v>
      </c>
      <c r="I136" s="216">
        <f t="shared" si="11"/>
        <v>2528</v>
      </c>
      <c r="J136" s="219"/>
      <c r="K136" s="42" t="s">
        <v>48</v>
      </c>
      <c r="L136" s="220"/>
      <c r="M136" s="5"/>
      <c r="N136" s="47">
        <v>44932</v>
      </c>
      <c r="O136" s="8"/>
      <c r="P136" s="8"/>
      <c r="Q136" s="47">
        <v>44960</v>
      </c>
      <c r="R136" s="45">
        <v>44960</v>
      </c>
    </row>
    <row r="137" spans="1:18" ht="18" customHeight="1">
      <c r="A137" s="34"/>
      <c r="B137" s="137">
        <v>2</v>
      </c>
      <c r="C137" s="200">
        <f t="shared" ref="C137:C139" si="14">+C136+1</f>
        <v>99</v>
      </c>
      <c r="D137" s="79" t="s">
        <v>29</v>
      </c>
      <c r="E137" s="79" t="s">
        <v>29</v>
      </c>
      <c r="F137" s="131" t="s">
        <v>167</v>
      </c>
      <c r="G137" s="80"/>
      <c r="H137" s="81">
        <v>508</v>
      </c>
      <c r="I137" s="81">
        <f t="shared" si="11"/>
        <v>0</v>
      </c>
      <c r="J137" s="82"/>
      <c r="K137" s="83" t="s">
        <v>49</v>
      </c>
      <c r="L137" s="78" t="s">
        <v>69</v>
      </c>
      <c r="M137" s="5"/>
      <c r="N137" s="47"/>
      <c r="O137" s="8"/>
      <c r="P137" s="8"/>
      <c r="Q137" s="47"/>
      <c r="R137" s="45"/>
    </row>
    <row r="138" spans="1:18" ht="18" customHeight="1">
      <c r="A138" s="145" t="s">
        <v>72</v>
      </c>
      <c r="B138" s="137">
        <v>2</v>
      </c>
      <c r="C138" s="200">
        <f t="shared" si="14"/>
        <v>100</v>
      </c>
      <c r="D138" s="56" t="s">
        <v>29</v>
      </c>
      <c r="E138" s="56" t="s">
        <v>29</v>
      </c>
      <c r="F138" s="259" t="s">
        <v>288</v>
      </c>
      <c r="G138" s="184">
        <v>1</v>
      </c>
      <c r="H138" s="183">
        <v>7297</v>
      </c>
      <c r="I138" s="167">
        <f t="shared" si="11"/>
        <v>7297</v>
      </c>
      <c r="J138" s="117"/>
      <c r="K138" s="86" t="s">
        <v>50</v>
      </c>
      <c r="L138" s="258"/>
      <c r="M138" s="5"/>
      <c r="N138" s="47"/>
      <c r="O138" s="8"/>
      <c r="P138" s="8"/>
      <c r="Q138" s="47"/>
      <c r="R138" s="45"/>
    </row>
    <row r="139" spans="1:18" ht="18" customHeight="1">
      <c r="A139" s="120" t="s">
        <v>75</v>
      </c>
      <c r="B139" s="137">
        <v>2</v>
      </c>
      <c r="C139" s="200">
        <f t="shared" si="14"/>
        <v>101</v>
      </c>
      <c r="D139" s="56" t="s">
        <v>29</v>
      </c>
      <c r="E139" s="56" t="s">
        <v>29</v>
      </c>
      <c r="F139" s="259" t="s">
        <v>289</v>
      </c>
      <c r="G139" s="184">
        <v>1</v>
      </c>
      <c r="H139" s="183">
        <v>14920</v>
      </c>
      <c r="I139" s="167">
        <f t="shared" si="11"/>
        <v>14920</v>
      </c>
      <c r="J139" s="117"/>
      <c r="K139" s="86" t="s">
        <v>51</v>
      </c>
      <c r="L139" s="258"/>
      <c r="M139" s="5"/>
      <c r="N139" s="47"/>
      <c r="O139" s="8"/>
      <c r="P139" s="8"/>
      <c r="Q139" s="47"/>
      <c r="R139" s="45"/>
    </row>
    <row r="140" spans="1:18" ht="18" customHeight="1">
      <c r="A140" s="34"/>
      <c r="B140" s="137">
        <v>2</v>
      </c>
      <c r="C140" s="200">
        <f>+C139+1</f>
        <v>102</v>
      </c>
      <c r="D140" s="79" t="s">
        <v>29</v>
      </c>
      <c r="E140" s="79" t="s">
        <v>29</v>
      </c>
      <c r="F140" s="221" t="s">
        <v>52</v>
      </c>
      <c r="G140" s="80"/>
      <c r="H140" s="81">
        <v>1098</v>
      </c>
      <c r="I140" s="81">
        <f t="shared" si="11"/>
        <v>0</v>
      </c>
      <c r="J140" s="82"/>
      <c r="K140" s="83" t="s">
        <v>53</v>
      </c>
      <c r="L140" s="78" t="s">
        <v>69</v>
      </c>
      <c r="M140" s="5"/>
      <c r="N140" s="47"/>
      <c r="O140" s="8"/>
      <c r="P140" s="8"/>
      <c r="Q140" s="47"/>
      <c r="R140" s="14"/>
    </row>
    <row r="141" spans="1:18" ht="18" customHeight="1">
      <c r="A141" s="34"/>
      <c r="B141" s="137">
        <v>2</v>
      </c>
      <c r="C141" s="200">
        <f t="shared" si="12"/>
        <v>103</v>
      </c>
      <c r="D141" s="79" t="s">
        <v>29</v>
      </c>
      <c r="E141" s="79" t="s">
        <v>29</v>
      </c>
      <c r="F141" s="222" t="s">
        <v>54</v>
      </c>
      <c r="G141" s="80"/>
      <c r="H141" s="81">
        <v>1098</v>
      </c>
      <c r="I141" s="81">
        <f t="shared" si="11"/>
        <v>0</v>
      </c>
      <c r="J141" s="82"/>
      <c r="K141" s="83" t="s">
        <v>55</v>
      </c>
      <c r="L141" s="78" t="s">
        <v>69</v>
      </c>
      <c r="M141" s="5"/>
      <c r="N141" s="47"/>
      <c r="O141" s="8"/>
      <c r="P141" s="8"/>
      <c r="Q141" s="47"/>
      <c r="R141" s="14"/>
    </row>
    <row r="142" spans="1:18" ht="18" customHeight="1">
      <c r="A142" s="119" t="s">
        <v>72</v>
      </c>
      <c r="B142" s="137">
        <v>2</v>
      </c>
      <c r="C142" s="200">
        <f t="shared" si="12"/>
        <v>104</v>
      </c>
      <c r="D142" s="223" t="s">
        <v>29</v>
      </c>
      <c r="E142" s="223" t="s">
        <v>29</v>
      </c>
      <c r="F142" s="224" t="s">
        <v>36</v>
      </c>
      <c r="G142" s="225"/>
      <c r="H142" s="226">
        <v>860</v>
      </c>
      <c r="I142" s="227">
        <f t="shared" si="11"/>
        <v>0</v>
      </c>
      <c r="J142" s="228"/>
      <c r="K142" s="229" t="s">
        <v>237</v>
      </c>
      <c r="L142" s="78" t="s">
        <v>69</v>
      </c>
      <c r="M142" s="5"/>
      <c r="N142" s="47"/>
      <c r="O142" s="8"/>
      <c r="P142" s="8"/>
      <c r="Q142" s="47"/>
      <c r="R142" s="45"/>
    </row>
    <row r="143" spans="1:18" ht="18" customHeight="1">
      <c r="A143" s="145" t="s">
        <v>72</v>
      </c>
      <c r="B143" s="137">
        <v>2</v>
      </c>
      <c r="C143" s="200">
        <f>+C142+1</f>
        <v>105</v>
      </c>
      <c r="D143" s="37" t="s">
        <v>181</v>
      </c>
      <c r="E143" s="62" t="s">
        <v>29</v>
      </c>
      <c r="F143" s="177" t="s">
        <v>180</v>
      </c>
      <c r="G143" s="197">
        <v>4</v>
      </c>
      <c r="H143" s="244">
        <v>622</v>
      </c>
      <c r="I143" s="23">
        <f t="shared" si="11"/>
        <v>2488</v>
      </c>
      <c r="J143" s="35"/>
      <c r="K143" s="71" t="s">
        <v>183</v>
      </c>
      <c r="L143" s="6"/>
      <c r="M143" s="5"/>
      <c r="N143" s="47">
        <v>44932</v>
      </c>
      <c r="O143" s="8"/>
      <c r="P143" s="8"/>
      <c r="Q143" s="47">
        <v>44960</v>
      </c>
      <c r="R143" s="14">
        <v>44960</v>
      </c>
    </row>
    <row r="144" spans="1:18" ht="18" customHeight="1">
      <c r="A144" s="145" t="s">
        <v>72</v>
      </c>
      <c r="B144" s="137">
        <v>2</v>
      </c>
      <c r="C144" s="200">
        <f t="shared" si="12"/>
        <v>106</v>
      </c>
      <c r="D144" s="62" t="s">
        <v>29</v>
      </c>
      <c r="E144" s="62" t="s">
        <v>29</v>
      </c>
      <c r="F144" s="162" t="s">
        <v>182</v>
      </c>
      <c r="G144" s="188">
        <v>12</v>
      </c>
      <c r="H144" s="240">
        <v>110</v>
      </c>
      <c r="I144" s="23">
        <f t="shared" si="11"/>
        <v>1320</v>
      </c>
      <c r="J144" s="32"/>
      <c r="K144" s="42" t="s">
        <v>279</v>
      </c>
      <c r="L144" s="6"/>
      <c r="M144" s="5"/>
      <c r="N144" s="47">
        <v>44932</v>
      </c>
      <c r="O144" s="8"/>
      <c r="P144" s="8"/>
      <c r="Q144" s="47">
        <v>44960</v>
      </c>
      <c r="R144" s="45">
        <v>44960</v>
      </c>
    </row>
    <row r="145" spans="1:18" ht="18" customHeight="1">
      <c r="A145" s="145" t="s">
        <v>72</v>
      </c>
      <c r="B145" s="137">
        <v>2</v>
      </c>
      <c r="C145" s="200">
        <f>+C144+1</f>
        <v>107</v>
      </c>
      <c r="D145" s="59" t="s">
        <v>29</v>
      </c>
      <c r="E145" s="59" t="s">
        <v>29</v>
      </c>
      <c r="F145" s="169" t="s">
        <v>56</v>
      </c>
      <c r="G145" s="198">
        <v>8</v>
      </c>
      <c r="H145" s="243">
        <v>200</v>
      </c>
      <c r="I145" s="52">
        <f t="shared" si="11"/>
        <v>1600</v>
      </c>
      <c r="J145" s="65"/>
      <c r="K145" s="64" t="s">
        <v>280</v>
      </c>
      <c r="L145" s="6"/>
      <c r="M145" s="5"/>
      <c r="N145" s="47">
        <v>44932</v>
      </c>
      <c r="O145" s="8"/>
      <c r="P145" s="8"/>
      <c r="Q145" s="47">
        <v>44960</v>
      </c>
      <c r="R145" s="45">
        <v>44960</v>
      </c>
    </row>
    <row r="146" spans="1:18" ht="18" customHeight="1">
      <c r="A146" s="145" t="s">
        <v>72</v>
      </c>
      <c r="B146" s="137">
        <v>2</v>
      </c>
      <c r="C146" s="200">
        <f>+C145+1</f>
        <v>108</v>
      </c>
      <c r="D146" s="62" t="s">
        <v>29</v>
      </c>
      <c r="E146" s="178" t="s">
        <v>29</v>
      </c>
      <c r="F146" s="160" t="s">
        <v>71</v>
      </c>
      <c r="G146" s="199">
        <v>8</v>
      </c>
      <c r="H146" s="241">
        <v>72</v>
      </c>
      <c r="I146" s="179">
        <f t="shared" ref="I146" si="15">G146*H146</f>
        <v>576</v>
      </c>
      <c r="J146" s="180"/>
      <c r="K146" s="51" t="s">
        <v>164</v>
      </c>
      <c r="L146" s="78" t="s">
        <v>69</v>
      </c>
      <c r="M146" s="5"/>
      <c r="N146" s="47">
        <v>44932</v>
      </c>
      <c r="O146" s="8"/>
      <c r="P146" s="8"/>
      <c r="Q146" s="47">
        <v>44960</v>
      </c>
      <c r="R146" s="252">
        <v>44963</v>
      </c>
    </row>
    <row r="147" spans="1:18" ht="18" customHeight="1">
      <c r="A147" s="120" t="s">
        <v>242</v>
      </c>
      <c r="B147" s="137">
        <v>2</v>
      </c>
      <c r="C147" s="200">
        <f>+C146+1</f>
        <v>109</v>
      </c>
      <c r="D147" s="56" t="s">
        <v>29</v>
      </c>
      <c r="E147" s="56" t="s">
        <v>29</v>
      </c>
      <c r="F147" s="206" t="s">
        <v>243</v>
      </c>
      <c r="G147" s="189">
        <v>1</v>
      </c>
      <c r="H147" s="184">
        <v>1700</v>
      </c>
      <c r="I147" s="167">
        <f>G147*H147</f>
        <v>1700</v>
      </c>
      <c r="J147" s="176"/>
      <c r="K147" s="51" t="s">
        <v>244</v>
      </c>
      <c r="L147" s="105"/>
      <c r="M147" s="34"/>
      <c r="N147" s="47">
        <v>44932</v>
      </c>
      <c r="O147" s="8"/>
      <c r="P147" s="8"/>
      <c r="Q147" s="47">
        <v>44960</v>
      </c>
      <c r="R147" s="45">
        <v>44960</v>
      </c>
    </row>
    <row r="148" spans="1:18" ht="18" customHeight="1">
      <c r="A148" s="145" t="s">
        <v>72</v>
      </c>
      <c r="B148" s="137">
        <v>2</v>
      </c>
      <c r="C148" s="200">
        <f t="shared" si="12"/>
        <v>110</v>
      </c>
      <c r="D148" s="56" t="s">
        <v>29</v>
      </c>
      <c r="E148" s="62" t="s">
        <v>29</v>
      </c>
      <c r="F148" s="168" t="s">
        <v>245</v>
      </c>
      <c r="G148" s="197">
        <v>20</v>
      </c>
      <c r="H148" s="245">
        <v>110</v>
      </c>
      <c r="I148" s="52">
        <f>G148*H148</f>
        <v>2200</v>
      </c>
      <c r="J148" s="38"/>
      <c r="K148" s="33" t="s">
        <v>246</v>
      </c>
      <c r="L148" s="42" t="s">
        <v>184</v>
      </c>
      <c r="M148" s="34"/>
      <c r="N148" s="47">
        <v>44932</v>
      </c>
      <c r="O148" s="8"/>
      <c r="P148" s="8"/>
      <c r="Q148" s="47">
        <v>44960</v>
      </c>
      <c r="R148" s="45">
        <v>44960</v>
      </c>
    </row>
    <row r="149" spans="1:18" ht="18" customHeight="1">
      <c r="A149" s="34"/>
      <c r="B149" s="137">
        <v>2</v>
      </c>
      <c r="C149" s="200">
        <f>+C148+1</f>
        <v>111</v>
      </c>
      <c r="D149" s="80" t="s">
        <v>23</v>
      </c>
      <c r="E149" s="80" t="s">
        <v>23</v>
      </c>
      <c r="F149" s="230" t="s">
        <v>24</v>
      </c>
      <c r="G149" s="226"/>
      <c r="H149" s="213">
        <v>622</v>
      </c>
      <c r="I149" s="226">
        <v>622</v>
      </c>
      <c r="J149" s="231"/>
      <c r="K149" s="232" t="s">
        <v>25</v>
      </c>
      <c r="L149" s="78" t="s">
        <v>69</v>
      </c>
      <c r="M149" s="34"/>
      <c r="N149" s="47"/>
      <c r="O149" s="8"/>
      <c r="P149" s="8"/>
      <c r="Q149" s="47"/>
      <c r="R149" s="45"/>
    </row>
    <row r="150" spans="1:18" ht="18" customHeight="1">
      <c r="A150" s="119"/>
      <c r="B150" s="136"/>
      <c r="C150" s="200"/>
      <c r="D150" s="66"/>
      <c r="E150" s="66"/>
      <c r="F150" s="201"/>
      <c r="G150" s="202"/>
      <c r="H150" s="203"/>
      <c r="I150" s="89"/>
      <c r="J150" s="204"/>
      <c r="K150" s="205"/>
      <c r="L150" s="132"/>
      <c r="M150" s="34"/>
      <c r="N150" s="47"/>
      <c r="O150" s="31"/>
      <c r="P150" s="34"/>
      <c r="Q150" s="47"/>
      <c r="R150" s="45"/>
    </row>
    <row r="151" spans="1:18" ht="18" customHeight="1">
      <c r="C151" s="1"/>
      <c r="D151" s="4"/>
      <c r="E151" s="4"/>
      <c r="F151" s="265">
        <f>SUM(I123:I150)</f>
        <v>158827</v>
      </c>
      <c r="G151" s="266"/>
      <c r="H151" s="266"/>
      <c r="I151" s="267"/>
      <c r="J151" s="7"/>
      <c r="K151" s="21"/>
      <c r="L151" s="6"/>
      <c r="M151" s="5"/>
      <c r="N151" s="15"/>
      <c r="O151" s="8"/>
      <c r="P151" s="8"/>
      <c r="Q151" s="15"/>
      <c r="R151" s="14"/>
    </row>
    <row r="152" spans="1:18" ht="18" customHeight="1">
      <c r="C152" s="1"/>
      <c r="D152" s="4"/>
      <c r="E152" s="4"/>
      <c r="F152" s="16"/>
      <c r="G152" s="17"/>
      <c r="H152" s="17"/>
      <c r="I152" s="23"/>
      <c r="J152" s="2"/>
      <c r="K152" s="16"/>
      <c r="L152" s="6"/>
      <c r="M152" s="5"/>
      <c r="N152" s="15"/>
      <c r="O152" s="8"/>
      <c r="P152" s="8"/>
      <c r="Q152" s="15"/>
      <c r="R152" s="14"/>
    </row>
    <row r="153" spans="1:18" ht="18" customHeight="1">
      <c r="C153" s="1"/>
      <c r="D153" s="1"/>
      <c r="E153" s="1"/>
      <c r="F153" s="6" t="s">
        <v>26</v>
      </c>
      <c r="G153" s="23"/>
      <c r="H153" s="23"/>
      <c r="I153" s="23">
        <f>G153*H153</f>
        <v>0</v>
      </c>
      <c r="J153" s="13"/>
      <c r="K153" s="16" t="s">
        <v>27</v>
      </c>
      <c r="L153" s="25"/>
      <c r="M153" s="1"/>
      <c r="N153" s="15"/>
      <c r="O153" s="25"/>
      <c r="P153" s="1"/>
      <c r="Q153" s="15"/>
      <c r="R153" s="14"/>
    </row>
    <row r="154" spans="1:18" ht="18" customHeight="1">
      <c r="C154" s="1"/>
      <c r="D154" s="4"/>
      <c r="E154" s="4"/>
      <c r="F154" s="6" t="s">
        <v>27</v>
      </c>
      <c r="G154" s="23"/>
      <c r="H154" s="23">
        <v>5000</v>
      </c>
      <c r="I154" s="23">
        <f>G154*H154</f>
        <v>0</v>
      </c>
      <c r="J154" s="13"/>
      <c r="K154" s="16" t="s">
        <v>28</v>
      </c>
      <c r="L154" s="25"/>
      <c r="M154" s="1"/>
      <c r="N154" s="15"/>
      <c r="O154" s="25"/>
      <c r="P154" s="1"/>
      <c r="Q154" s="15"/>
      <c r="R154" s="8"/>
    </row>
    <row r="155" spans="1:18" ht="18" customHeight="1">
      <c r="C155" s="1"/>
      <c r="D155" s="4"/>
      <c r="E155" s="4"/>
      <c r="F155" s="6" t="s">
        <v>28</v>
      </c>
      <c r="G155" s="23"/>
      <c r="H155" s="23"/>
      <c r="I155" s="23">
        <f>G155*H155</f>
        <v>0</v>
      </c>
      <c r="J155" s="13"/>
      <c r="K155" s="5"/>
      <c r="L155" s="25"/>
      <c r="M155" s="1"/>
      <c r="N155" s="1"/>
      <c r="O155" s="25"/>
      <c r="P155" s="1"/>
      <c r="Q155" s="8"/>
      <c r="R155" s="8"/>
    </row>
    <row r="156" spans="1:18" ht="18" customHeight="1">
      <c r="C156" s="1"/>
      <c r="D156" s="4"/>
      <c r="E156" s="4"/>
      <c r="F156" s="268"/>
      <c r="G156" s="269"/>
      <c r="H156" s="269"/>
      <c r="I156" s="270"/>
      <c r="J156" s="7"/>
      <c r="K156" s="21"/>
    </row>
    <row r="157" spans="1:18" ht="18" customHeight="1"/>
    <row r="158" spans="1:18" ht="18" customHeight="1"/>
    <row r="159" spans="1:18" ht="18" customHeight="1"/>
  </sheetData>
  <autoFilter ref="C8:P159" xr:uid="{00000000-0009-0000-0000-000003000000}"/>
  <mergeCells count="19">
    <mergeCell ref="C2:E2"/>
    <mergeCell ref="H2:J2"/>
    <mergeCell ref="C3:E3"/>
    <mergeCell ref="C4:E4"/>
    <mergeCell ref="H4:K5"/>
    <mergeCell ref="C5:E5"/>
    <mergeCell ref="G4:G5"/>
    <mergeCell ref="F117:I117"/>
    <mergeCell ref="D122:F122"/>
    <mergeCell ref="F151:I151"/>
    <mergeCell ref="F156:I156"/>
    <mergeCell ref="C6:E6"/>
    <mergeCell ref="C16:F16"/>
    <mergeCell ref="F79:I79"/>
    <mergeCell ref="D83:F83"/>
    <mergeCell ref="F92:I92"/>
    <mergeCell ref="D97:F97"/>
    <mergeCell ref="H6:K6"/>
    <mergeCell ref="C9:F9"/>
  </mergeCells>
  <phoneticPr fontId="11"/>
  <dataValidations count="2">
    <dataValidation imeMode="hiragana" allowBlank="1" showInputMessage="1" showErrorMessage="1" sqref="K100" xr:uid="{CC80232E-C09F-4CA3-8ADF-B0351E3E97A2}"/>
    <dataValidation allowBlank="1" showInputMessage="1" showErrorMessage="1" sqref="K78:K81" xr:uid="{DEFB5C0D-959F-4B7B-836C-C4801E60D51D}"/>
  </dataValidations>
  <hyperlinks>
    <hyperlink ref="L72" r:id="rId1" xr:uid="{89F91002-8DDE-4491-BFC3-8F60BAE4EFEA}"/>
    <hyperlink ref="L70" r:id="rId2" xr:uid="{E65EE257-B2CC-46AA-9AFB-06E56AF015EC}"/>
    <hyperlink ref="L98" r:id="rId3" xr:uid="{65A30703-2A0B-4590-A6F6-21196929035A}"/>
    <hyperlink ref="L133" r:id="rId4" xr:uid="{82C35D2F-D931-41FB-A55D-73C41E86A4DB}"/>
  </hyperlinks>
  <printOptions gridLines="1"/>
  <pageMargins left="0.2" right="0.2" top="0.75" bottom="0.75" header="0.3" footer="0.3"/>
  <pageSetup orientation="landscape" r:id="rId5"/>
  <headerFooter>
    <oddHeader>&amp;L&amp;C&amp;R</oddHeader>
    <oddFooter>&amp;L&amp;C&amp;R</oddFooter>
    <evenHeader>&amp;L&amp;C&amp;R</evenHeader>
    <evenFooter>&amp;L&amp;C&amp;R</evenFooter>
  </headerFooter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C676-B54A-494E-955F-116A03425A63}">
  <dimension ref="A1"/>
  <sheetViews>
    <sheetView workbookViewId="0"/>
  </sheetViews>
  <sheetFormatPr defaultRowHeight="13.5"/>
  <sheetData/>
  <phoneticPr fontId="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/>
  <sheetData/>
  <phoneticPr fontId="11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33" sqref="C33"/>
    </sheetView>
  </sheetViews>
  <sheetFormatPr defaultColWidth="11.75" defaultRowHeight="13.5" customHeight="1"/>
  <sheetData/>
  <phoneticPr fontId="11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202770、202771　4set (20230106) </vt:lpstr>
      <vt:lpstr>Sheet1</vt:lpstr>
      <vt:lpstr>Sheet2</vt:lpstr>
      <vt:lpstr>Sheet3</vt:lpstr>
      <vt:lpstr>'202770、202771　4set (20230106)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2023-02-21T05:31:26Z</dcterms:modified>
</cp:coreProperties>
</file>