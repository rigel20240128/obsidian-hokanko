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5A52CB16-082D-4647-96BF-EAE7A940B32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ETB0298-A01　20260310 ①" sheetId="19" r:id="rId1"/>
    <sheet name="元々　SETB0298-A01　20260310 ① " sheetId="20" r:id="rId2"/>
    <sheet name="Sheet3" sheetId="3" r:id="rId3"/>
  </sheets>
  <definedNames>
    <definedName name="_xlnm._FilterDatabase" localSheetId="0" hidden="1">'SETB0298-A01　20260310 ①'!$D$9:$Q$50</definedName>
    <definedName name="_xlnm._FilterDatabase" localSheetId="1" hidden="1">'元々　SETB0298-A01　20260310 ① '!$D$9:$Q$53</definedName>
    <definedName name="_xlnm.Print_Area" localSheetId="0">'SETB0298-A01　20260310 ①'!$C$1:$L$50</definedName>
    <definedName name="_xlnm.Print_Area" localSheetId="1">'元々　SETB0298-A01　20260310 ① '!$C$1:$L$53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19" l="1"/>
  <c r="D19" i="19"/>
  <c r="D20" i="19" s="1"/>
  <c r="J18" i="19"/>
  <c r="J43" i="20"/>
  <c r="J42" i="20"/>
  <c r="J41" i="20"/>
  <c r="J40" i="20"/>
  <c r="J39" i="20"/>
  <c r="J38" i="20"/>
  <c r="J37" i="20"/>
  <c r="J36" i="20"/>
  <c r="J35" i="20"/>
  <c r="J34" i="20"/>
  <c r="J33" i="20"/>
  <c r="J32" i="20"/>
  <c r="J31" i="20"/>
  <c r="J30" i="20"/>
  <c r="J29" i="20"/>
  <c r="J28" i="20"/>
  <c r="J27" i="20"/>
  <c r="J26" i="20"/>
  <c r="J25" i="20"/>
  <c r="J24" i="20"/>
  <c r="J23" i="20"/>
  <c r="J22" i="20"/>
  <c r="J21" i="20"/>
  <c r="J20" i="20"/>
  <c r="J19" i="20"/>
  <c r="J18" i="20"/>
  <c r="J17" i="20"/>
  <c r="J16" i="20"/>
  <c r="J15" i="20"/>
  <c r="J14" i="20"/>
  <c r="D14" i="20"/>
  <c r="D15" i="20" s="1"/>
  <c r="D16" i="20" s="1"/>
  <c r="D17" i="20" s="1"/>
  <c r="D18" i="20" s="1"/>
  <c r="D19" i="20" s="1"/>
  <c r="D20" i="20" s="1"/>
  <c r="D21" i="20" s="1"/>
  <c r="D22" i="20" s="1"/>
  <c r="D23" i="20" s="1"/>
  <c r="D24" i="20" s="1"/>
  <c r="D25" i="20" s="1"/>
  <c r="D26" i="20" s="1"/>
  <c r="D27" i="20" s="1"/>
  <c r="D28" i="20" s="1"/>
  <c r="D29" i="20" s="1"/>
  <c r="D30" i="20" s="1"/>
  <c r="D31" i="20" s="1"/>
  <c r="D32" i="20" s="1"/>
  <c r="D33" i="20" s="1"/>
  <c r="D34" i="20" s="1"/>
  <c r="D35" i="20" s="1"/>
  <c r="D36" i="20" s="1"/>
  <c r="D37" i="20" s="1"/>
  <c r="D38" i="20" s="1"/>
  <c r="D39" i="20" s="1"/>
  <c r="D40" i="20" s="1"/>
  <c r="D41" i="20" s="1"/>
  <c r="D42" i="20" s="1"/>
  <c r="D43" i="20" s="1"/>
  <c r="D44" i="20" s="1"/>
  <c r="J13" i="20"/>
  <c r="L2" i="20" l="1"/>
  <c r="G46" i="20"/>
  <c r="J16" i="19"/>
  <c r="J33" i="19"/>
  <c r="J34" i="19"/>
  <c r="J35" i="19"/>
  <c r="J36" i="19"/>
  <c r="J37" i="19"/>
  <c r="J38" i="19"/>
  <c r="J39" i="19"/>
  <c r="J40" i="19"/>
  <c r="J31" i="19"/>
  <c r="J30" i="19"/>
  <c r="J21" i="19" l="1"/>
  <c r="J19" i="19"/>
  <c r="J32" i="19"/>
  <c r="J14" i="19" l="1"/>
  <c r="J15" i="19"/>
  <c r="J17" i="19"/>
  <c r="J20" i="19"/>
  <c r="J22" i="19"/>
  <c r="J23" i="19"/>
  <c r="J24" i="19"/>
  <c r="J25" i="19"/>
  <c r="J26" i="19"/>
  <c r="J27" i="19"/>
  <c r="J28" i="19"/>
  <c r="J29" i="19"/>
  <c r="J13" i="19" l="1"/>
  <c r="G43" i="19" s="1"/>
  <c r="L2" i="19" l="1"/>
  <c r="G58" i="3"/>
  <c r="B121" i="3"/>
  <c r="D21" i="3"/>
  <c r="D14" i="19" l="1"/>
  <c r="D15" i="19" s="1"/>
  <c r="D16" i="19" s="1"/>
  <c r="D17" i="19" s="1"/>
  <c r="D21" i="19" l="1"/>
  <c r="D22" i="19" s="1"/>
  <c r="D23" i="19" s="1"/>
  <c r="D24" i="19" s="1"/>
  <c r="D25" i="19" s="1"/>
  <c r="D26" i="19" s="1"/>
  <c r="D27" i="19" s="1"/>
  <c r="D28" i="19" s="1"/>
  <c r="D29" i="19" s="1"/>
  <c r="D30" i="19" s="1"/>
  <c r="D31" i="19" s="1"/>
  <c r="D32" i="19" s="1"/>
  <c r="D33" i="19" s="1"/>
  <c r="D34" i="19" s="1"/>
  <c r="D35" i="19" s="1"/>
  <c r="D36" i="19" s="1"/>
  <c r="D37" i="19" s="1"/>
  <c r="D38" i="19" s="1"/>
  <c r="D39" i="19" s="1"/>
  <c r="D40" i="19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クエリ - テーブル1" description="ブック内の 'テーブル1' クエリへの接続です。" type="5" refreshedVersion="4" background="1" saveData="1">
    <dbPr connection="Provider=Microsoft.Mashup.OleDb.1;Data Source=$Workbook$;Location=テーブル1;Extended Properties=&quot;&quot;" command="SELECT * FROM [テーブル1]"/>
  </connection>
</connections>
</file>

<file path=xl/sharedStrings.xml><?xml version="1.0" encoding="utf-8"?>
<sst xmlns="http://schemas.openxmlformats.org/spreadsheetml/2006/main" count="455" uniqueCount="119">
  <si>
    <t>数量</t>
  </si>
  <si>
    <t>単価</t>
  </si>
  <si>
    <t>金額</t>
  </si>
  <si>
    <t>詳細</t>
    <rPh sb="0" eb="2">
      <t>ショウサイ</t>
    </rPh>
    <phoneticPr fontId="3"/>
  </si>
  <si>
    <t>見積り分類</t>
    <rPh sb="0" eb="2">
      <t>ミツモ</t>
    </rPh>
    <rPh sb="3" eb="5">
      <t>ブンルイ</t>
    </rPh>
    <phoneticPr fontId="2"/>
  </si>
  <si>
    <t>仕入先</t>
    <rPh sb="0" eb="2">
      <t>シイレ</t>
    </rPh>
    <rPh sb="2" eb="3">
      <t>サキ</t>
    </rPh>
    <phoneticPr fontId="2"/>
  </si>
  <si>
    <t>発注日</t>
    <rPh sb="0" eb="2">
      <t>ハッチュウ</t>
    </rPh>
    <rPh sb="2" eb="3">
      <t>ヒ</t>
    </rPh>
    <phoneticPr fontId="2"/>
  </si>
  <si>
    <t>納期</t>
    <rPh sb="0" eb="2">
      <t>ノウ</t>
    </rPh>
    <phoneticPr fontId="2"/>
  </si>
  <si>
    <t>品名 / 型式</t>
    <rPh sb="0" eb="2">
      <t>ヒンメイ</t>
    </rPh>
    <rPh sb="5" eb="7">
      <t>カタシキ</t>
    </rPh>
    <phoneticPr fontId="3"/>
  </si>
  <si>
    <t>メーカー</t>
    <phoneticPr fontId="2"/>
  </si>
  <si>
    <t>担当営業</t>
    <rPh sb="0" eb="2">
      <t>タントウ</t>
    </rPh>
    <rPh sb="2" eb="4">
      <t>エイギョウ</t>
    </rPh>
    <phoneticPr fontId="2"/>
  </si>
  <si>
    <t>お客先名</t>
    <rPh sb="1" eb="3">
      <t>キャクサキ</t>
    </rPh>
    <rPh sb="3" eb="4">
      <t>メイ</t>
    </rPh>
    <phoneticPr fontId="2"/>
  </si>
  <si>
    <t>希望納期</t>
    <rPh sb="0" eb="2">
      <t>キボウ</t>
    </rPh>
    <rPh sb="2" eb="4">
      <t>ノウ</t>
    </rPh>
    <phoneticPr fontId="2"/>
  </si>
  <si>
    <t>最終納品</t>
    <rPh sb="0" eb="2">
      <t>サイシュウ</t>
    </rPh>
    <rPh sb="2" eb="4">
      <t>ノウヒン</t>
    </rPh>
    <phoneticPr fontId="2"/>
  </si>
  <si>
    <t>合計金額</t>
    <rPh sb="0" eb="2">
      <t>ゴウケイ</t>
    </rPh>
    <rPh sb="2" eb="4">
      <t>キンガク</t>
    </rPh>
    <phoneticPr fontId="2"/>
  </si>
  <si>
    <t>技術分類</t>
    <rPh sb="0" eb="2">
      <t>ギジュツ</t>
    </rPh>
    <rPh sb="2" eb="4">
      <t>ブンルイ</t>
    </rPh>
    <phoneticPr fontId="2"/>
  </si>
  <si>
    <t>備考</t>
    <rPh sb="0" eb="2">
      <t>ビコウ</t>
    </rPh>
    <phoneticPr fontId="2"/>
  </si>
  <si>
    <t>分類合計</t>
    <rPh sb="0" eb="2">
      <t>ブンルイ</t>
    </rPh>
    <rPh sb="2" eb="4">
      <t>ゴウケイ</t>
    </rPh>
    <phoneticPr fontId="2"/>
  </si>
  <si>
    <t>発注</t>
    <rPh sb="0" eb="2">
      <t>ハッチュウ</t>
    </rPh>
    <phoneticPr fontId="2"/>
  </si>
  <si>
    <t>入荷予定日</t>
    <rPh sb="0" eb="2">
      <t>ニュウカ</t>
    </rPh>
    <rPh sb="2" eb="4">
      <t>ヨテイ</t>
    </rPh>
    <rPh sb="4" eb="5">
      <t>ヒ</t>
    </rPh>
    <phoneticPr fontId="2"/>
  </si>
  <si>
    <t>入荷日</t>
    <rPh sb="0" eb="2">
      <t>ニュウカ</t>
    </rPh>
    <rPh sb="2" eb="3">
      <t>ビ</t>
    </rPh>
    <phoneticPr fontId="2"/>
  </si>
  <si>
    <t>図面番号</t>
    <rPh sb="0" eb="1">
      <t>ズ</t>
    </rPh>
    <rPh sb="1" eb="2">
      <t>メン</t>
    </rPh>
    <rPh sb="2" eb="4">
      <t>バンゴウ</t>
    </rPh>
    <phoneticPr fontId="2"/>
  </si>
  <si>
    <t>出荷依頼項目NO.</t>
    <rPh sb="0" eb="2">
      <t>シュッカ</t>
    </rPh>
    <rPh sb="2" eb="4">
      <t>イライ</t>
    </rPh>
    <rPh sb="4" eb="6">
      <t>コウモク</t>
    </rPh>
    <phoneticPr fontId="7"/>
  </si>
  <si>
    <t>納期</t>
    <rPh sb="0" eb="2">
      <t>ノウキ</t>
    </rPh>
    <phoneticPr fontId="7"/>
  </si>
  <si>
    <t>列1</t>
  </si>
  <si>
    <t>列2</t>
  </si>
  <si>
    <t>列3</t>
  </si>
  <si>
    <t>列4</t>
  </si>
  <si>
    <t>列5</t>
  </si>
  <si>
    <t>列6</t>
  </si>
  <si>
    <t>列7</t>
  </si>
  <si>
    <t>列8</t>
  </si>
  <si>
    <t>列9</t>
  </si>
  <si>
    <t>列10</t>
  </si>
  <si>
    <t>列11</t>
  </si>
  <si>
    <t>列12</t>
  </si>
  <si>
    <t>列13</t>
  </si>
  <si>
    <t>列14</t>
  </si>
  <si>
    <t>列15</t>
  </si>
  <si>
    <t>列16</t>
  </si>
  <si>
    <t>列17</t>
  </si>
  <si>
    <t>列18</t>
  </si>
  <si>
    <t>列19</t>
  </si>
  <si>
    <t>見積もりお願い致します。</t>
    <rPh sb="0" eb="2">
      <t>ミツ</t>
    </rPh>
    <rPh sb="5" eb="6">
      <t>ネガ</t>
    </rPh>
    <rPh sb="7" eb="8">
      <t>イタ</t>
    </rPh>
    <phoneticPr fontId="8"/>
  </si>
  <si>
    <t>1日目</t>
    <rPh sb="1" eb="2">
      <t>ヒ</t>
    </rPh>
    <rPh sb="2" eb="3">
      <t>メ</t>
    </rPh>
    <phoneticPr fontId="2"/>
  </si>
  <si>
    <t>ただの引き出し</t>
    <rPh sb="3" eb="4">
      <t>ヒ</t>
    </rPh>
    <rPh sb="5" eb="6">
      <t>ダ</t>
    </rPh>
    <phoneticPr fontId="2"/>
  </si>
  <si>
    <t>足つき改造位置出し</t>
    <rPh sb="0" eb="1">
      <t>アシ</t>
    </rPh>
    <rPh sb="3" eb="5">
      <t>カイゾウ</t>
    </rPh>
    <rPh sb="5" eb="8">
      <t>イチダ</t>
    </rPh>
    <phoneticPr fontId="2"/>
  </si>
  <si>
    <t>ﾜｰｸ治具追加分</t>
    <rPh sb="3" eb="5">
      <t>ジグ</t>
    </rPh>
    <rPh sb="5" eb="7">
      <t>ツイカ</t>
    </rPh>
    <rPh sb="7" eb="8">
      <t>ブン</t>
    </rPh>
    <phoneticPr fontId="2"/>
  </si>
  <si>
    <t>岸　（齋藤）</t>
    <rPh sb="0" eb="1">
      <t>キシ</t>
    </rPh>
    <rPh sb="3" eb="5">
      <t>サイトウ</t>
    </rPh>
    <phoneticPr fontId="2"/>
  </si>
  <si>
    <t>meviy</t>
    <phoneticPr fontId="15"/>
  </si>
  <si>
    <t>ミスミ</t>
    <phoneticPr fontId="15"/>
  </si>
  <si>
    <t>8日目</t>
    <rPh sb="1" eb="2">
      <t>ヒ</t>
    </rPh>
    <rPh sb="2" eb="3">
      <t>メ</t>
    </rPh>
    <phoneticPr fontId="15"/>
  </si>
  <si>
    <t>3日目</t>
    <rPh sb="1" eb="2">
      <t>ヒ</t>
    </rPh>
    <rPh sb="2" eb="3">
      <t>メ</t>
    </rPh>
    <phoneticPr fontId="15"/>
  </si>
  <si>
    <t>1日目</t>
    <rPh sb="1" eb="2">
      <t>ヒ</t>
    </rPh>
    <rPh sb="2" eb="3">
      <t>メ</t>
    </rPh>
    <phoneticPr fontId="15"/>
  </si>
  <si>
    <t>六角穴付ボルト</t>
    <phoneticPr fontId="15"/>
  </si>
  <si>
    <t xml:space="preserve">SCB4-8 </t>
    <phoneticPr fontId="15"/>
  </si>
  <si>
    <t>SCB4-10</t>
    <phoneticPr fontId="15"/>
  </si>
  <si>
    <t>ノックピン</t>
    <phoneticPr fontId="15"/>
  </si>
  <si>
    <t>HIPN4H-150-150-10-F130-G130-Z5</t>
    <phoneticPr fontId="15"/>
  </si>
  <si>
    <t>SCB5-16</t>
    <phoneticPr fontId="15"/>
  </si>
  <si>
    <t>MPHKH-150-150-V100-W500</t>
    <phoneticPr fontId="15"/>
  </si>
  <si>
    <t xml:space="preserve">MS5-20 </t>
    <phoneticPr fontId="15"/>
  </si>
  <si>
    <t>XFPDC5-P7.95-L8-B6</t>
    <phoneticPr fontId="15"/>
  </si>
  <si>
    <t>SETB0298-X03　ﾜｰｸﾍﾞｰｽﾌﾟﾚｰﾄ</t>
    <phoneticPr fontId="15"/>
  </si>
  <si>
    <t>ALSBG8-31-M4-N4</t>
    <phoneticPr fontId="15"/>
  </si>
  <si>
    <t>ALSBG10-44-M4-N4</t>
    <phoneticPr fontId="15"/>
  </si>
  <si>
    <t xml:space="preserve">MS3-10 </t>
    <phoneticPr fontId="15"/>
  </si>
  <si>
    <t>SETGRF8-46</t>
    <phoneticPr fontId="15"/>
  </si>
  <si>
    <t>SLSBG8-50-M4-N4</t>
    <phoneticPr fontId="15"/>
  </si>
  <si>
    <t>MVBLK-AMW-4EL-XYGNF</t>
    <phoneticPr fontId="15"/>
  </si>
  <si>
    <t>ミスミ</t>
    <phoneticPr fontId="2"/>
  </si>
  <si>
    <t>ロボットケーブル　NA3UCRSB 高屈曲UL対応シールド付</t>
    <phoneticPr fontId="2"/>
  </si>
  <si>
    <t>GS300R【吉野川電線×ミスミ】超高屈曲銅合金ロボットケーブル（シールド無・有）</t>
    <phoneticPr fontId="15"/>
  </si>
  <si>
    <t>C-MSNDC8</t>
    <phoneticPr fontId="2"/>
  </si>
  <si>
    <t>Ｋ熱電対用コネクタ　【5個入り】</t>
    <phoneticPr fontId="2"/>
  </si>
  <si>
    <t>日本電測</t>
    <rPh sb="0" eb="2">
      <t>ニホン</t>
    </rPh>
    <rPh sb="2" eb="4">
      <t>デンソク</t>
    </rPh>
    <phoneticPr fontId="2"/>
  </si>
  <si>
    <t>MFMT5</t>
    <phoneticPr fontId="2"/>
  </si>
  <si>
    <t>温度センサ　丸端子シリコンタイプ</t>
    <phoneticPr fontId="2"/>
  </si>
  <si>
    <t>MSNDM6-1</t>
    <phoneticPr fontId="2"/>
  </si>
  <si>
    <t>温度センサ　ねじ取付タイプ</t>
    <phoneticPr fontId="2"/>
  </si>
  <si>
    <t>GS300RSB-AWG24-2-10</t>
    <phoneticPr fontId="15"/>
  </si>
  <si>
    <t>NA3UCRSB-20-2-5</t>
    <phoneticPr fontId="2"/>
  </si>
  <si>
    <t>六角支柱－片端おねじ片端めねじ</t>
    <phoneticPr fontId="15"/>
  </si>
  <si>
    <t>円支柱－片端おねじ片端めねじ</t>
    <rPh sb="0" eb="1">
      <t>エン</t>
    </rPh>
    <phoneticPr fontId="15"/>
  </si>
  <si>
    <t>SETB0183-X03　ｹｰﾌﾞﾙﾍﾞｱ固定1</t>
    <phoneticPr fontId="15"/>
  </si>
  <si>
    <t>CBSTNR6-6</t>
    <phoneticPr fontId="15"/>
  </si>
  <si>
    <t xml:space="preserve">CHNS4 </t>
    <phoneticPr fontId="15"/>
  </si>
  <si>
    <t>蝶ナット</t>
    <phoneticPr fontId="15"/>
  </si>
  <si>
    <t>MS3-6</t>
    <phoneticPr fontId="15"/>
  </si>
  <si>
    <t xml:space="preserve">RSCB4-15 </t>
    <phoneticPr fontId="15"/>
  </si>
  <si>
    <t>六角ボルト</t>
    <phoneticPr fontId="15"/>
  </si>
  <si>
    <t>SETB0183-X04　ｹｰﾌﾞﾙﾍﾞｱ固定2</t>
    <phoneticPr fontId="15"/>
  </si>
  <si>
    <t>SCB4-22</t>
    <phoneticPr fontId="15"/>
  </si>
  <si>
    <t>SZ14F-2-038-18</t>
    <phoneticPr fontId="15"/>
  </si>
  <si>
    <t>MVSHM-3N03002-3RW-B3DZZ</t>
    <phoneticPr fontId="15"/>
  </si>
  <si>
    <t>MVBLK-AMW-3RW-FMUWR</t>
    <phoneticPr fontId="15"/>
  </si>
  <si>
    <t>ﾌﾟﾚｰﾄﾋｰﾀ MPHKH</t>
    <phoneticPr fontId="15"/>
  </si>
  <si>
    <t>ﾀﾞﾝﾈﾂﾊﾞﾝ HIPN-H</t>
    <phoneticPr fontId="15"/>
  </si>
  <si>
    <t>ｲﾁｷﾞﾒﾋﾟﾝ XFPDC</t>
    <phoneticPr fontId="15"/>
  </si>
  <si>
    <t>　</t>
    <phoneticPr fontId="2"/>
  </si>
  <si>
    <t>ﾜｰｸﾃｰﾌﾞﾙﾕﾆｯﾄ</t>
    <phoneticPr fontId="15"/>
  </si>
  <si>
    <t>NO.230997</t>
    <phoneticPr fontId="2"/>
  </si>
  <si>
    <t>株式会社タルイシ様</t>
    <rPh sb="8" eb="9">
      <t>サマ</t>
    </rPh>
    <phoneticPr fontId="2"/>
  </si>
  <si>
    <t>MVBLK-AMN-4ER-LYTPW</t>
    <phoneticPr fontId="15"/>
  </si>
  <si>
    <r>
      <t>SETB0298-X02</t>
    </r>
    <r>
      <rPr>
        <b/>
        <sz val="11"/>
        <color rgb="FFFF0000"/>
        <rFont val="ＭＳ Ｐゴシック"/>
        <family val="3"/>
        <charset val="128"/>
        <scheme val="minor"/>
      </rPr>
      <t>-1</t>
    </r>
    <r>
      <rPr>
        <sz val="11"/>
        <color theme="1"/>
        <rFont val="ＭＳ Ｐゴシック"/>
        <family val="3"/>
        <charset val="128"/>
        <scheme val="minor"/>
      </rPr>
      <t>　ﾜｰｸ治具受けﾍﾞｰｽ</t>
    </r>
    <phoneticPr fontId="15"/>
  </si>
  <si>
    <t>ケーブルキャリア　スリットタイプ</t>
    <phoneticPr fontId="15"/>
  </si>
  <si>
    <t>①</t>
    <phoneticPr fontId="8"/>
  </si>
  <si>
    <t>【230997】① SETB0298-A01 岸氏　AXA300STEP2ﾃｽﾄ費用(ﾋｰﾀｰﾌﾟﾚｰﾄ治具含む)  原価一覧 20260119</t>
    <phoneticPr fontId="2"/>
  </si>
  <si>
    <t>超極低頭六角穴付ボルト 2+2</t>
    <phoneticPr fontId="15"/>
  </si>
  <si>
    <t>超極低頭六角穴付ボルト 2</t>
    <phoneticPr fontId="15"/>
  </si>
  <si>
    <t>ノックピン 3</t>
    <phoneticPr fontId="15"/>
  </si>
  <si>
    <t>六角穴付ボルト  4+6</t>
    <phoneticPr fontId="15"/>
  </si>
  <si>
    <t>六角穴付ボルト  6</t>
    <phoneticPr fontId="15"/>
  </si>
  <si>
    <t>ノックピン 12+2+3</t>
    <phoneticPr fontId="15"/>
  </si>
  <si>
    <t>ノックピン  2</t>
    <phoneticPr fontId="15"/>
  </si>
  <si>
    <t>NO.230997　H-SAITOU</t>
    <phoneticPr fontId="15"/>
  </si>
  <si>
    <t>AB24DDEGG8</t>
    <phoneticPr fontId="15"/>
  </si>
  <si>
    <t>東北ﾏﾃﾘｱﾙｽ</t>
    <rPh sb="0" eb="2">
      <t>トウホク</t>
    </rPh>
    <phoneticPr fontId="15"/>
  </si>
  <si>
    <t>アルミベース　10x219.5x225.4　MVBLK-AMN-4ER-LYTPW　アルマイト処理</t>
    <phoneticPr fontId="1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</si>
</sst>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 "/>
  </numFmts>
  <fonts count="23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16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b/>
      <sz val="16"/>
      <color theme="1"/>
      <name val="ＭＳ Ｐゴシック"/>
      <family val="3"/>
      <charset val="128"/>
      <scheme val="minor"/>
    </font>
    <font>
      <b/>
      <sz val="16"/>
      <color rgb="FF0070C0"/>
      <name val="ＭＳ Ｐゴシック"/>
      <family val="3"/>
      <charset val="128"/>
      <scheme val="minor"/>
    </font>
    <font>
      <sz val="20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color theme="9" tint="-0.499984740745262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b/>
      <sz val="14"/>
      <color theme="9" tint="-0.249977111117893"/>
      <name val="ＭＳ Ｐゴシック"/>
      <family val="3"/>
      <charset val="128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0" fontId="6" fillId="0" borderId="0">
      <alignment vertical="center"/>
    </xf>
    <xf numFmtId="0" fontId="6" fillId="0" borderId="0"/>
    <xf numFmtId="0" fontId="16" fillId="0" borderId="0">
      <alignment vertical="center"/>
    </xf>
  </cellStyleXfs>
  <cellXfs count="89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77" fontId="5" fillId="0" borderId="2" xfId="0" applyNumberFormat="1" applyFont="1" applyBorder="1" applyAlignment="1">
      <alignment horizontal="center" vertical="center"/>
    </xf>
    <xf numFmtId="176" fontId="4" fillId="0" borderId="2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0" fontId="5" fillId="0" borderId="2" xfId="0" applyFont="1" applyBorder="1" applyAlignment="1">
      <alignment horizontal="center" vertical="center" shrinkToFit="1"/>
    </xf>
    <xf numFmtId="179" fontId="0" fillId="0" borderId="2" xfId="0" applyNumberFormat="1" applyBorder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9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1" fillId="0" borderId="2" xfId="0" applyFont="1" applyBorder="1">
      <alignment vertical="center"/>
    </xf>
    <xf numFmtId="3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3" fontId="10" fillId="0" borderId="2" xfId="0" applyNumberFormat="1" applyFont="1" applyBorder="1" applyAlignment="1">
      <alignment horizontal="center" vertical="center"/>
    </xf>
    <xf numFmtId="0" fontId="0" fillId="0" borderId="2" xfId="0" applyBorder="1">
      <alignment vertical="center"/>
    </xf>
    <xf numFmtId="176" fontId="0" fillId="0" borderId="2" xfId="0" applyNumberForma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left" vertical="center" shrinkToFit="1"/>
    </xf>
    <xf numFmtId="38" fontId="0" fillId="0" borderId="2" xfId="0" applyNumberFormat="1" applyBorder="1" applyAlignment="1">
      <alignment horizontal="center" vertical="center"/>
    </xf>
    <xf numFmtId="0" fontId="10" fillId="0" borderId="2" xfId="0" applyFont="1" applyBorder="1" applyAlignment="1">
      <alignment horizontal="left" vertical="center"/>
    </xf>
    <xf numFmtId="176" fontId="12" fillId="3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center" vertical="center"/>
    </xf>
    <xf numFmtId="176" fontId="12" fillId="0" borderId="2" xfId="0" applyNumberFormat="1" applyFont="1" applyBorder="1" applyAlignment="1">
      <alignment horizontal="center" vertical="center"/>
    </xf>
    <xf numFmtId="38" fontId="10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3" fontId="9" fillId="5" borderId="4" xfId="0" applyNumberFormat="1" applyFont="1" applyFill="1" applyBorder="1" applyAlignment="1">
      <alignment horizontal="center" vertical="center"/>
    </xf>
    <xf numFmtId="3" fontId="9" fillId="5" borderId="3" xfId="0" applyNumberFormat="1" applyFont="1" applyFill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79" fontId="0" fillId="0" borderId="5" xfId="0" applyNumberFormat="1" applyBorder="1" applyAlignment="1">
      <alignment horizontal="center" vertical="center"/>
    </xf>
    <xf numFmtId="178" fontId="0" fillId="0" borderId="6" xfId="0" applyNumberFormat="1" applyBorder="1" applyAlignment="1">
      <alignment horizontal="center" vertical="center"/>
    </xf>
    <xf numFmtId="0" fontId="6" fillId="0" borderId="0" xfId="2"/>
    <xf numFmtId="0" fontId="0" fillId="6" borderId="0" xfId="0" applyFill="1" applyAlignment="1">
      <alignment horizontal="center" vertical="center"/>
    </xf>
    <xf numFmtId="3" fontId="9" fillId="5" borderId="1" xfId="0" applyNumberFormat="1" applyFont="1" applyFill="1" applyBorder="1" applyAlignment="1">
      <alignment horizontal="left" vertical="center"/>
    </xf>
    <xf numFmtId="180" fontId="0" fillId="0" borderId="2" xfId="0" applyNumberForma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176" fontId="10" fillId="0" borderId="2" xfId="0" applyNumberFormat="1" applyFont="1" applyBorder="1" applyAlignment="1">
      <alignment horizontal="center" vertical="center"/>
    </xf>
    <xf numFmtId="180" fontId="6" fillId="0" borderId="2" xfId="0" applyNumberFormat="1" applyFont="1" applyBorder="1" applyAlignment="1">
      <alignment horizontal="center" vertical="center"/>
    </xf>
    <xf numFmtId="176" fontId="6" fillId="0" borderId="2" xfId="0" applyNumberFormat="1" applyFont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176" fontId="0" fillId="0" borderId="2" xfId="0" applyNumberFormat="1" applyBorder="1" applyAlignment="1">
      <alignment horizontal="center"/>
    </xf>
    <xf numFmtId="176" fontId="10" fillId="0" borderId="1" xfId="0" applyNumberFormat="1" applyFont="1" applyBorder="1" applyAlignment="1">
      <alignment horizontal="center" vertical="center"/>
    </xf>
    <xf numFmtId="176" fontId="0" fillId="0" borderId="1" xfId="0" applyNumberFormat="1" applyBorder="1" applyAlignment="1"/>
    <xf numFmtId="0" fontId="10" fillId="7" borderId="2" xfId="0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79" fontId="10" fillId="0" borderId="2" xfId="0" applyNumberFormat="1" applyFont="1" applyBorder="1" applyAlignment="1">
      <alignment horizontal="center" vertical="center"/>
    </xf>
    <xf numFmtId="178" fontId="10" fillId="0" borderId="1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3" fontId="0" fillId="8" borderId="2" xfId="0" applyNumberFormat="1" applyFill="1" applyBorder="1" applyAlignment="1">
      <alignment horizontal="center" vertical="center"/>
    </xf>
    <xf numFmtId="180" fontId="6" fillId="7" borderId="2" xfId="0" applyNumberFormat="1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left" vertical="center"/>
    </xf>
    <xf numFmtId="176" fontId="10" fillId="7" borderId="2" xfId="0" applyNumberFormat="1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left" vertical="center"/>
    </xf>
    <xf numFmtId="0" fontId="6" fillId="7" borderId="2" xfId="0" applyFont="1" applyFill="1" applyBorder="1">
      <alignment vertical="center"/>
    </xf>
    <xf numFmtId="176" fontId="0" fillId="7" borderId="2" xfId="0" applyNumberFormat="1" applyFill="1" applyBorder="1" applyAlignment="1">
      <alignment horizontal="center" vertical="center"/>
    </xf>
    <xf numFmtId="49" fontId="11" fillId="7" borderId="2" xfId="0" applyNumberFormat="1" applyFont="1" applyFill="1" applyBorder="1" applyAlignment="1">
      <alignment horizontal="left" vertical="center"/>
    </xf>
    <xf numFmtId="49" fontId="10" fillId="7" borderId="2" xfId="0" applyNumberFormat="1" applyFont="1" applyFill="1" applyBorder="1" applyAlignment="1">
      <alignment horizontal="left" vertical="center"/>
    </xf>
    <xf numFmtId="180" fontId="0" fillId="7" borderId="2" xfId="0" applyNumberFormat="1" applyFill="1" applyBorder="1" applyAlignment="1">
      <alignment horizontal="center" vertical="center"/>
    </xf>
    <xf numFmtId="0" fontId="19" fillId="9" borderId="2" xfId="0" applyFont="1" applyFill="1" applyBorder="1" applyAlignment="1">
      <alignment horizontal="left" vertical="center"/>
    </xf>
    <xf numFmtId="180" fontId="19" fillId="9" borderId="2" xfId="0" applyNumberFormat="1" applyFont="1" applyFill="1" applyBorder="1" applyAlignment="1">
      <alignment horizontal="center" vertical="center"/>
    </xf>
    <xf numFmtId="3" fontId="19" fillId="9" borderId="2" xfId="0" applyNumberFormat="1" applyFont="1" applyFill="1" applyBorder="1" applyAlignment="1">
      <alignment horizontal="center" vertical="center"/>
    </xf>
    <xf numFmtId="49" fontId="20" fillId="9" borderId="2" xfId="0" applyNumberFormat="1" applyFont="1" applyFill="1" applyBorder="1" applyAlignment="1">
      <alignment horizontal="left" vertical="center"/>
    </xf>
    <xf numFmtId="176" fontId="19" fillId="9" borderId="2" xfId="0" applyNumberFormat="1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3" fontId="0" fillId="7" borderId="2" xfId="0" applyNumberFormat="1" applyFill="1" applyBorder="1" applyAlignment="1">
      <alignment horizontal="center" vertical="center"/>
    </xf>
    <xf numFmtId="38" fontId="10" fillId="7" borderId="2" xfId="0" applyNumberFormat="1" applyFont="1" applyFill="1" applyBorder="1" applyAlignment="1">
      <alignment horizontal="center" vertical="center"/>
    </xf>
    <xf numFmtId="176" fontId="6" fillId="7" borderId="2" xfId="0" applyNumberFormat="1" applyFont="1" applyFill="1" applyBorder="1" applyAlignment="1">
      <alignment horizontal="center" vertical="center"/>
    </xf>
    <xf numFmtId="3" fontId="0" fillId="7" borderId="1" xfId="0" applyNumberFormat="1" applyFill="1" applyBorder="1" applyAlignment="1">
      <alignment horizontal="center" vertical="center"/>
    </xf>
    <xf numFmtId="38" fontId="0" fillId="7" borderId="2" xfId="0" applyNumberFormat="1" applyFill="1" applyBorder="1" applyAlignment="1">
      <alignment horizontal="center" vertical="center"/>
    </xf>
    <xf numFmtId="56" fontId="0" fillId="0" borderId="2" xfId="0" applyNumberForma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14" fillId="4" borderId="0" xfId="0" applyFont="1" applyFill="1" applyAlignment="1">
      <alignment horizontal="left" vertical="center"/>
    </xf>
    <xf numFmtId="0" fontId="14" fillId="0" borderId="7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3" fontId="0" fillId="10" borderId="2" xfId="0" applyNumberForma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left" vertical="center"/>
    </xf>
    <xf numFmtId="180" fontId="6" fillId="10" borderId="2" xfId="0" applyNumberFormat="1" applyFont="1" applyFill="1" applyBorder="1" applyAlignment="1">
      <alignment horizontal="center" vertical="center"/>
    </xf>
    <xf numFmtId="176" fontId="10" fillId="10" borderId="2" xfId="0" applyNumberFormat="1" applyFont="1" applyFill="1" applyBorder="1" applyAlignment="1">
      <alignment horizontal="center" vertical="center"/>
    </xf>
    <xf numFmtId="176" fontId="6" fillId="10" borderId="2" xfId="0" applyNumberFormat="1" applyFont="1" applyFill="1" applyBorder="1" applyAlignment="1">
      <alignment horizontal="center" vertical="center"/>
    </xf>
  </cellXfs>
  <cellStyles count="4">
    <cellStyle name="標準" xfId="0" builtinId="0"/>
    <cellStyle name="標準 2" xfId="1" xr:uid="{00000000-0005-0000-0000-000002000000}"/>
    <cellStyle name="標準 3" xfId="3" xr:uid="{95C68EF4-208E-453E-A234-CD7A7873EC68}"/>
    <cellStyle name="標準_発注管理表" xfId="2" xr:uid="{00000000-0005-0000-0000-000003000000}"/>
  </cellStyles>
  <dxfs count="44">
    <dxf>
      <numFmt numFmtId="178" formatCode="m/d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79" formatCode="m&quot;月&quot;d&quot;日&quot;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79" formatCode="m&quot;月&quot;d&quot;日&quot;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76" formatCode="#,##0_);[Red]\(#,##0\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80" formatCode="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right style="thin">
          <color rgb="FF000000"/>
        </right>
        <top style="thin">
          <color rgb="FF000000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numFmt numFmtId="178" formatCode="m/d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79" formatCode="m&quot;月&quot;d&quot;日&quot;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79" formatCode="m&quot;月&quot;d&quot;日&quot;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76" formatCode="#,##0_);[Red]\(#,##0\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80" formatCode="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right style="thin">
          <color rgb="FF000000"/>
        </right>
        <top style="thin">
          <color rgb="FF000000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</dxfs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8B0E665-CA1B-43BD-AD0E-EDDC74F95FE7}" name="テーブル1192829356" displayName="テーブル1192829356" ref="A8:S50" totalsRowShown="0" dataDxfId="42" headerRowBorderDxfId="43" tableBorderDxfId="41">
  <autoFilter ref="A8:S50" xr:uid="{00000000-0009-0000-0100-00001C000000}"/>
  <tableColumns count="19">
    <tableColumn id="1" xr3:uid="{C175F509-5E89-434E-98B8-BFACBE9D1E93}" name="列1" dataDxfId="40"/>
    <tableColumn id="19" xr3:uid="{F87F0DC6-C1F3-40B0-90DE-CEE16E81F793}" name="列19" dataDxfId="39"/>
    <tableColumn id="2" xr3:uid="{ADA2BA79-3270-4BE5-9CC2-01DF661149FA}" name="列2" dataDxfId="38"/>
    <tableColumn id="3" xr3:uid="{4FAFE4BA-D3E0-483F-A233-E77D6A42C527}" name="列3" dataDxfId="37"/>
    <tableColumn id="4" xr3:uid="{73EB9C83-E9C2-495A-BD6D-FDFB1B95ABF2}" name="列4" dataDxfId="36"/>
    <tableColumn id="5" xr3:uid="{F45666FD-3491-4A3C-88F8-B5445FA43480}" name="列5" dataDxfId="35"/>
    <tableColumn id="6" xr3:uid="{902A22B7-07A6-4F85-BB20-0F652D4C0CB0}" name="列6" dataDxfId="34"/>
    <tableColumn id="7" xr3:uid="{299C3C8B-B4EC-49CA-BFA4-837A5815E85B}" name="列7" dataDxfId="33"/>
    <tableColumn id="8" xr3:uid="{BFECE7DE-9626-4B1A-98A0-299C101FD6A8}" name="列8" dataDxfId="32"/>
    <tableColumn id="9" xr3:uid="{F8755607-39FB-41EF-ACA5-8B1BC4B9B051}" name="列9" dataDxfId="31"/>
    <tableColumn id="10" xr3:uid="{FB919601-472D-49D0-B5EF-D2F6D938E758}" name="列10" dataDxfId="30"/>
    <tableColumn id="11" xr3:uid="{C1A613FA-7D67-4195-BE21-7DF7474F5E94}" name="列11" dataDxfId="29"/>
    <tableColumn id="12" xr3:uid="{BC64AB56-D67D-4036-BF5F-B19E7BBFD4CF}" name="列12" dataDxfId="28"/>
    <tableColumn id="13" xr3:uid="{C986A450-726F-4B56-A979-CEFE87D202A9}" name="列13" dataDxfId="27"/>
    <tableColumn id="14" xr3:uid="{D7FA7CB7-4817-4D13-AB17-BEFE5980230D}" name="列14" dataDxfId="26"/>
    <tableColumn id="15" xr3:uid="{14A53009-D453-4782-89AC-50687D17F1BE}" name="列15" dataDxfId="25"/>
    <tableColumn id="16" xr3:uid="{586EED41-1538-42CA-AF22-994AB0397474}" name="列16" dataDxfId="24"/>
    <tableColumn id="17" xr3:uid="{D8150880-8A4C-40EE-A29A-147EE63F784F}" name="列17" dataDxfId="23"/>
    <tableColumn id="18" xr3:uid="{3441B66A-CE95-4A2B-942F-7BA2030D5F4A}" name="列18" dataDxfId="2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C38721-AB0B-4D74-9386-0A366317B387}" name="テーブル11928293562" displayName="テーブル11928293562" ref="A8:S53" totalsRowShown="0" dataDxfId="20" headerRowBorderDxfId="21" tableBorderDxfId="19">
  <autoFilter ref="A8:S53" xr:uid="{00000000-0009-0000-0100-00001C000000}"/>
  <tableColumns count="19">
    <tableColumn id="1" xr3:uid="{2EFD6D26-EFD5-4F3B-8372-25515CD12D27}" name="列1" dataDxfId="18"/>
    <tableColumn id="19" xr3:uid="{2B806AA5-47F9-4C0B-A947-4919A29224EC}" name="列19" dataDxfId="17"/>
    <tableColumn id="2" xr3:uid="{BC9ECBA4-6B1E-4CA5-B373-CF0AC669BCD9}" name="列2" dataDxfId="16"/>
    <tableColumn id="3" xr3:uid="{C0652959-2FC6-4701-A9D9-DE45C834031A}" name="列3" dataDxfId="15"/>
    <tableColumn id="4" xr3:uid="{032080C6-8941-43BF-A8A1-EAF18E714A53}" name="列4" dataDxfId="14"/>
    <tableColumn id="5" xr3:uid="{52292710-0111-4F6E-A67D-CE01CF5E01B5}" name="列5" dataDxfId="13"/>
    <tableColumn id="6" xr3:uid="{15DCC15F-613C-4B0C-99CA-D55FBCDB9494}" name="列6" dataDxfId="12"/>
    <tableColumn id="7" xr3:uid="{A01C89FB-31D2-4F93-91C8-FE87A1691318}" name="列7" dataDxfId="11"/>
    <tableColumn id="8" xr3:uid="{F81FE96A-C412-42C0-879B-8FDD44A71854}" name="列8" dataDxfId="10"/>
    <tableColumn id="9" xr3:uid="{573D5149-0044-4069-9833-21F0AFFC3CAF}" name="列9" dataDxfId="9"/>
    <tableColumn id="10" xr3:uid="{3A2873D0-A95D-4522-80ED-C4B47633F2C6}" name="列10" dataDxfId="8"/>
    <tableColumn id="11" xr3:uid="{D9CE2B07-F9FB-4C23-AB02-9AABACB023F8}" name="列11" dataDxfId="7"/>
    <tableColumn id="12" xr3:uid="{E349880D-DD9C-44BB-BC45-6017B28ADCAC}" name="列12" dataDxfId="6"/>
    <tableColumn id="13" xr3:uid="{78216BF4-95B5-437D-A80B-57241B471FE2}" name="列13" dataDxfId="5"/>
    <tableColumn id="14" xr3:uid="{D5905795-7689-4D13-9AF3-A0041EEDE117}" name="列14" dataDxfId="4"/>
    <tableColumn id="15" xr3:uid="{CC537373-1F2F-4B36-88CB-8D6D38A825A5}" name="列15" dataDxfId="3"/>
    <tableColumn id="16" xr3:uid="{EE93A0E4-A08A-43F3-8517-94E1889AFB73}" name="列16" dataDxfId="2"/>
    <tableColumn id="17" xr3:uid="{D17FA01D-D88A-4AF7-8222-88589C9EBCC0}" name="列17" dataDxfId="1"/>
    <tableColumn id="18" xr3:uid="{5CE42E91-F2BD-4887-8E4C-48762714294F}" name="列18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C038D-735D-4614-8D2D-B89119CA7041}">
  <sheetPr>
    <tabColor theme="2" tint="-0.499984740745262"/>
  </sheetPr>
  <dimension ref="A2:S51"/>
  <sheetViews>
    <sheetView tabSelected="1" zoomScale="85" zoomScaleNormal="85" workbookViewId="0">
      <pane xSplit="12" ySplit="8" topLeftCell="N9" activePane="bottomRight" state="frozen"/>
      <selection pane="topRight" activeCell="K1" sqref="K1"/>
      <selection pane="bottomLeft" activeCell="A9" sqref="A9"/>
      <selection pane="bottomRight" activeCell="F21" sqref="F21"/>
    </sheetView>
  </sheetViews>
  <sheetFormatPr defaultRowHeight="13.2" x14ac:dyDescent="0.2"/>
  <cols>
    <col min="1" max="1" width="7.109375" customWidth="1"/>
    <col min="2" max="2" width="17.21875" customWidth="1"/>
    <col min="3" max="3" width="7.44140625" customWidth="1"/>
    <col min="4" max="4" width="6.109375" style="2" customWidth="1"/>
    <col min="5" max="5" width="12.109375" customWidth="1"/>
    <col min="6" max="6" width="13" customWidth="1"/>
    <col min="7" max="7" width="71.6640625" customWidth="1"/>
    <col min="8" max="8" width="6.109375" style="2" customWidth="1"/>
    <col min="9" max="10" width="9.88671875" style="2" bestFit="1" customWidth="1"/>
    <col min="11" max="11" width="16.5546875" style="2" customWidth="1"/>
    <col min="12" max="12" width="43.44140625" customWidth="1"/>
    <col min="13" max="13" width="22.6640625" customWidth="1"/>
    <col min="14" max="14" width="25" style="2" customWidth="1"/>
    <col min="15" max="15" width="13.88671875" style="9" customWidth="1"/>
    <col min="16" max="16" width="7.33203125" customWidth="1"/>
    <col min="17" max="17" width="13.109375" style="6" customWidth="1"/>
    <col min="18" max="18" width="18.109375" style="10" customWidth="1"/>
    <col min="19" max="19" width="15.6640625" style="11" customWidth="1"/>
  </cols>
  <sheetData>
    <row r="2" spans="1:19" ht="20.100000000000001" customHeight="1" x14ac:dyDescent="0.2">
      <c r="D2" s="77" t="s">
        <v>11</v>
      </c>
      <c r="E2" s="77"/>
      <c r="F2" s="77"/>
      <c r="G2" s="7" t="s">
        <v>102</v>
      </c>
      <c r="I2" s="78" t="s">
        <v>14</v>
      </c>
      <c r="J2" s="79"/>
      <c r="K2" s="80"/>
      <c r="L2" s="5">
        <f>SUM(J:J)</f>
        <v>124116</v>
      </c>
    </row>
    <row r="3" spans="1:19" ht="20.100000000000001" customHeight="1" x14ac:dyDescent="0.2">
      <c r="D3" s="77" t="s">
        <v>10</v>
      </c>
      <c r="E3" s="77"/>
      <c r="F3" s="77"/>
      <c r="G3" s="3" t="s">
        <v>48</v>
      </c>
      <c r="J3" s="81" t="s">
        <v>107</v>
      </c>
      <c r="K3" s="81"/>
      <c r="L3" s="81"/>
      <c r="M3" s="81"/>
    </row>
    <row r="4" spans="1:19" ht="20.100000000000001" customHeight="1" x14ac:dyDescent="0.2">
      <c r="D4" s="77" t="s">
        <v>21</v>
      </c>
      <c r="E4" s="77"/>
      <c r="F4" s="77"/>
      <c r="G4" s="3" t="s">
        <v>101</v>
      </c>
      <c r="I4" s="82" t="s">
        <v>106</v>
      </c>
      <c r="J4" s="81"/>
      <c r="K4" s="81"/>
      <c r="L4" s="81"/>
      <c r="M4" s="81"/>
    </row>
    <row r="5" spans="1:19" ht="20.100000000000001" customHeight="1" x14ac:dyDescent="0.2">
      <c r="D5" s="77" t="s">
        <v>12</v>
      </c>
      <c r="E5" s="77"/>
      <c r="F5" s="77"/>
      <c r="G5" s="4">
        <v>46102</v>
      </c>
      <c r="I5" s="83"/>
      <c r="J5" s="28"/>
    </row>
    <row r="6" spans="1:19" ht="20.100000000000001" customHeight="1" x14ac:dyDescent="0.2">
      <c r="D6" s="77" t="s">
        <v>13</v>
      </c>
      <c r="E6" s="77"/>
      <c r="F6" s="77"/>
      <c r="G6" s="4">
        <v>46104</v>
      </c>
      <c r="I6" s="37"/>
      <c r="J6" s="24" t="s">
        <v>43</v>
      </c>
    </row>
    <row r="8" spans="1:19" s="2" customFormat="1" ht="19.649999999999999" customHeight="1" x14ac:dyDescent="0.2">
      <c r="A8" s="25" t="s">
        <v>24</v>
      </c>
      <c r="B8" s="25" t="s">
        <v>42</v>
      </c>
      <c r="C8" s="25" t="s">
        <v>25</v>
      </c>
      <c r="D8" s="32" t="s">
        <v>26</v>
      </c>
      <c r="E8" s="32" t="s">
        <v>27</v>
      </c>
      <c r="F8" s="32" t="s">
        <v>28</v>
      </c>
      <c r="G8" s="25" t="s">
        <v>29</v>
      </c>
      <c r="H8" s="25" t="s">
        <v>30</v>
      </c>
      <c r="I8" s="25" t="s">
        <v>31</v>
      </c>
      <c r="J8" s="33" t="s">
        <v>32</v>
      </c>
      <c r="K8" s="33" t="s">
        <v>33</v>
      </c>
      <c r="L8" s="25" t="s">
        <v>34</v>
      </c>
      <c r="M8" s="25" t="s">
        <v>35</v>
      </c>
      <c r="N8" s="25" t="s">
        <v>36</v>
      </c>
      <c r="O8" s="34" t="s">
        <v>37</v>
      </c>
      <c r="P8" s="32" t="s">
        <v>38</v>
      </c>
      <c r="Q8" s="25" t="s">
        <v>39</v>
      </c>
      <c r="R8" s="34" t="s">
        <v>40</v>
      </c>
      <c r="S8" s="35" t="s">
        <v>41</v>
      </c>
    </row>
    <row r="9" spans="1:19" s="2" customFormat="1" ht="19.649999999999999" customHeight="1" x14ac:dyDescent="0.2">
      <c r="A9" s="14" t="s">
        <v>23</v>
      </c>
      <c r="B9" s="14"/>
      <c r="C9" s="14" t="s">
        <v>22</v>
      </c>
      <c r="D9" s="13" t="s">
        <v>4</v>
      </c>
      <c r="E9" s="13" t="s">
        <v>9</v>
      </c>
      <c r="F9" s="13" t="s">
        <v>5</v>
      </c>
      <c r="G9" s="14" t="s">
        <v>8</v>
      </c>
      <c r="H9" s="14" t="s">
        <v>0</v>
      </c>
      <c r="I9" s="14" t="s">
        <v>1</v>
      </c>
      <c r="J9" s="1" t="s">
        <v>2</v>
      </c>
      <c r="K9" s="1" t="s">
        <v>17</v>
      </c>
      <c r="L9" s="14" t="s">
        <v>3</v>
      </c>
      <c r="M9" s="14" t="s">
        <v>16</v>
      </c>
      <c r="N9" s="14" t="s">
        <v>15</v>
      </c>
      <c r="O9" s="8" t="s">
        <v>6</v>
      </c>
      <c r="P9" s="13" t="s">
        <v>18</v>
      </c>
      <c r="Q9" s="14" t="s">
        <v>7</v>
      </c>
      <c r="R9" s="8" t="s">
        <v>19</v>
      </c>
      <c r="S9" s="31" t="s">
        <v>20</v>
      </c>
    </row>
    <row r="10" spans="1:19" s="2" customFormat="1" ht="19.649999999999999" customHeight="1" x14ac:dyDescent="0.2">
      <c r="D10" s="13"/>
      <c r="E10" s="13"/>
      <c r="F10" s="13"/>
      <c r="G10" s="14"/>
      <c r="H10" s="14"/>
      <c r="I10" s="14"/>
      <c r="J10" s="1"/>
      <c r="K10" s="1"/>
      <c r="L10" s="14"/>
      <c r="M10" s="14"/>
      <c r="N10" s="14"/>
      <c r="O10" s="8"/>
      <c r="P10" s="13"/>
      <c r="Q10" s="14"/>
      <c r="R10" s="8"/>
      <c r="S10" s="31"/>
    </row>
    <row r="11" spans="1:19" s="2" customFormat="1" ht="19.649999999999999" customHeight="1" x14ac:dyDescent="0.2">
      <c r="D11" s="13"/>
      <c r="E11" s="13"/>
      <c r="F11" s="13"/>
      <c r="G11" s="15"/>
      <c r="H11" s="39"/>
      <c r="I11" s="14"/>
      <c r="J11" s="18"/>
      <c r="K11" s="1"/>
      <c r="L11" s="15"/>
      <c r="M11" s="14"/>
      <c r="N11" s="14"/>
      <c r="O11" s="8"/>
      <c r="P11" s="13"/>
      <c r="Q11" s="14"/>
      <c r="R11" s="8"/>
      <c r="S11" s="31"/>
    </row>
    <row r="12" spans="1:19" s="2" customFormat="1" ht="19.649999999999999" customHeight="1" x14ac:dyDescent="0.2">
      <c r="D12" s="13"/>
      <c r="E12" s="38" t="s">
        <v>99</v>
      </c>
      <c r="F12" s="29"/>
      <c r="G12" s="30" t="s">
        <v>100</v>
      </c>
      <c r="H12" s="39"/>
      <c r="I12" s="14"/>
      <c r="J12" s="18"/>
      <c r="K12" s="1"/>
      <c r="L12" s="15"/>
      <c r="M12" s="14"/>
      <c r="N12" s="14"/>
      <c r="O12" s="8"/>
      <c r="P12" s="13"/>
      <c r="Q12" s="14"/>
      <c r="R12" s="8"/>
      <c r="S12" s="31"/>
    </row>
    <row r="13" spans="1:19" s="2" customFormat="1" ht="19.649999999999999" customHeight="1" x14ac:dyDescent="0.2">
      <c r="A13" s="14" t="s">
        <v>44</v>
      </c>
      <c r="B13" s="69" t="s">
        <v>115</v>
      </c>
      <c r="C13" s="45"/>
      <c r="D13" s="54">
        <v>1</v>
      </c>
      <c r="E13" s="13" t="s">
        <v>50</v>
      </c>
      <c r="F13" s="13" t="s">
        <v>50</v>
      </c>
      <c r="G13" s="56" t="s">
        <v>58</v>
      </c>
      <c r="H13" s="55">
        <v>1</v>
      </c>
      <c r="I13" s="57">
        <v>3276</v>
      </c>
      <c r="J13" s="72">
        <f t="shared" ref="J13:J40" si="0">H13*I13</f>
        <v>3276</v>
      </c>
      <c r="K13" s="1"/>
      <c r="L13" s="15" t="s">
        <v>97</v>
      </c>
      <c r="M13" s="17"/>
      <c r="N13" s="76" t="s">
        <v>116</v>
      </c>
      <c r="O13" s="8">
        <v>46091</v>
      </c>
      <c r="P13" s="13"/>
      <c r="Q13" s="75">
        <v>46102</v>
      </c>
      <c r="R13" s="8">
        <v>46104</v>
      </c>
      <c r="S13" s="31"/>
    </row>
    <row r="14" spans="1:19" s="2" customFormat="1" ht="19.649999999999999" customHeight="1" x14ac:dyDescent="0.2">
      <c r="A14" s="14" t="s">
        <v>53</v>
      </c>
      <c r="B14" s="69" t="s">
        <v>115</v>
      </c>
      <c r="C14" s="45"/>
      <c r="D14" s="54">
        <f t="shared" ref="D14:D40" si="1">+D13+1</f>
        <v>2</v>
      </c>
      <c r="E14" s="13" t="s">
        <v>50</v>
      </c>
      <c r="F14" s="13" t="s">
        <v>50</v>
      </c>
      <c r="G14" s="56" t="s">
        <v>59</v>
      </c>
      <c r="H14" s="55">
        <v>4</v>
      </c>
      <c r="I14" s="57">
        <v>120</v>
      </c>
      <c r="J14" s="72">
        <f t="shared" si="0"/>
        <v>480</v>
      </c>
      <c r="K14" s="1"/>
      <c r="L14" s="20" t="s">
        <v>54</v>
      </c>
      <c r="M14" s="14"/>
      <c r="N14" s="76" t="s">
        <v>116</v>
      </c>
      <c r="O14" s="8">
        <v>46091</v>
      </c>
      <c r="P14" s="13"/>
      <c r="Q14" s="75">
        <v>46102</v>
      </c>
      <c r="R14" s="8">
        <v>46104</v>
      </c>
      <c r="S14" s="31"/>
    </row>
    <row r="15" spans="1:19" s="2" customFormat="1" ht="19.649999999999999" customHeight="1" x14ac:dyDescent="0.2">
      <c r="A15" s="14" t="s">
        <v>53</v>
      </c>
      <c r="B15" s="69" t="s">
        <v>115</v>
      </c>
      <c r="C15" s="45"/>
      <c r="D15" s="54">
        <f t="shared" si="1"/>
        <v>3</v>
      </c>
      <c r="E15" s="13" t="s">
        <v>50</v>
      </c>
      <c r="F15" s="13" t="s">
        <v>50</v>
      </c>
      <c r="G15" s="56" t="s">
        <v>60</v>
      </c>
      <c r="H15" s="55">
        <v>1</v>
      </c>
      <c r="I15" s="57">
        <v>10315</v>
      </c>
      <c r="J15" s="72">
        <f t="shared" si="0"/>
        <v>10315</v>
      </c>
      <c r="K15" s="1"/>
      <c r="L15" s="15" t="s">
        <v>96</v>
      </c>
      <c r="M15" s="14"/>
      <c r="N15" s="76" t="s">
        <v>116</v>
      </c>
      <c r="O15" s="8">
        <v>46091</v>
      </c>
      <c r="P15" s="13"/>
      <c r="Q15" s="75">
        <v>46102</v>
      </c>
      <c r="R15" s="8">
        <v>46104</v>
      </c>
      <c r="S15" s="31"/>
    </row>
    <row r="16" spans="1:19" s="2" customFormat="1" ht="19.649999999999999" customHeight="1" x14ac:dyDescent="0.2">
      <c r="A16" s="14" t="s">
        <v>53</v>
      </c>
      <c r="B16" s="69" t="s">
        <v>115</v>
      </c>
      <c r="C16" s="45"/>
      <c r="D16" s="54">
        <f t="shared" si="1"/>
        <v>4</v>
      </c>
      <c r="E16" s="13" t="s">
        <v>50</v>
      </c>
      <c r="F16" s="13" t="s">
        <v>50</v>
      </c>
      <c r="G16" s="61" t="s">
        <v>56</v>
      </c>
      <c r="H16" s="60">
        <v>10</v>
      </c>
      <c r="I16" s="60">
        <v>14</v>
      </c>
      <c r="J16" s="72">
        <f t="shared" ref="J16" si="2">H16*I16</f>
        <v>140</v>
      </c>
      <c r="K16" s="46">
        <v>4</v>
      </c>
      <c r="L16" s="20" t="s">
        <v>111</v>
      </c>
      <c r="M16" s="14"/>
      <c r="N16" s="76" t="s">
        <v>116</v>
      </c>
      <c r="O16" s="8">
        <v>46091</v>
      </c>
      <c r="P16" s="13"/>
      <c r="Q16" s="75">
        <v>46102</v>
      </c>
      <c r="R16" s="8">
        <v>46104</v>
      </c>
      <c r="S16" s="31"/>
    </row>
    <row r="17" spans="1:19" s="2" customFormat="1" ht="19.649999999999999" customHeight="1" x14ac:dyDescent="0.2">
      <c r="A17" s="14" t="s">
        <v>51</v>
      </c>
      <c r="B17" s="69" t="s">
        <v>115</v>
      </c>
      <c r="C17" s="45"/>
      <c r="D17" s="54">
        <f t="shared" si="1"/>
        <v>5</v>
      </c>
      <c r="E17" s="13" t="s">
        <v>49</v>
      </c>
      <c r="F17" s="13" t="s">
        <v>50</v>
      </c>
      <c r="G17" s="56" t="s">
        <v>103</v>
      </c>
      <c r="H17" s="55">
        <v>1</v>
      </c>
      <c r="I17" s="57">
        <v>25098</v>
      </c>
      <c r="J17" s="72">
        <f t="shared" si="0"/>
        <v>25098</v>
      </c>
      <c r="K17" s="1"/>
      <c r="L17" s="15" t="s">
        <v>104</v>
      </c>
      <c r="M17" s="14"/>
      <c r="N17" s="76" t="s">
        <v>116</v>
      </c>
      <c r="O17" s="8">
        <v>46091</v>
      </c>
      <c r="P17" s="13"/>
      <c r="Q17" s="75">
        <v>46102</v>
      </c>
      <c r="R17" s="8">
        <v>46104</v>
      </c>
      <c r="S17" s="31"/>
    </row>
    <row r="18" spans="1:19" s="2" customFormat="1" ht="19.649999999999999" customHeight="1" x14ac:dyDescent="0.2">
      <c r="A18" s="14" t="s">
        <v>52</v>
      </c>
      <c r="B18" s="69" t="s">
        <v>115</v>
      </c>
      <c r="C18" s="14"/>
      <c r="D18" s="54">
        <f t="shared" si="1"/>
        <v>6</v>
      </c>
      <c r="E18" s="84" t="s">
        <v>117</v>
      </c>
      <c r="F18" s="84" t="s">
        <v>117</v>
      </c>
      <c r="G18" s="85" t="s">
        <v>118</v>
      </c>
      <c r="H18" s="86">
        <v>1</v>
      </c>
      <c r="I18" s="87">
        <v>3800</v>
      </c>
      <c r="J18" s="88">
        <f t="shared" si="0"/>
        <v>3800</v>
      </c>
      <c r="K18" s="1"/>
      <c r="L18" s="15" t="s">
        <v>118</v>
      </c>
      <c r="M18" s="14"/>
      <c r="N18" s="76"/>
      <c r="O18" s="8">
        <v>46106</v>
      </c>
      <c r="P18" s="13"/>
      <c r="Q18" s="75">
        <v>46108</v>
      </c>
      <c r="R18" s="8">
        <v>46108</v>
      </c>
      <c r="S18" s="31"/>
    </row>
    <row r="19" spans="1:19" s="2" customFormat="1" ht="19.649999999999999" customHeight="1" x14ac:dyDescent="0.2">
      <c r="A19" s="14" t="s">
        <v>53</v>
      </c>
      <c r="B19" s="69" t="s">
        <v>115</v>
      </c>
      <c r="C19" s="45"/>
      <c r="D19" s="54">
        <f t="shared" si="1"/>
        <v>7</v>
      </c>
      <c r="E19" s="13" t="s">
        <v>75</v>
      </c>
      <c r="F19" s="13" t="s">
        <v>70</v>
      </c>
      <c r="G19" s="58" t="s">
        <v>76</v>
      </c>
      <c r="H19" s="45">
        <v>1</v>
      </c>
      <c r="I19" s="70">
        <v>3564</v>
      </c>
      <c r="J19" s="73">
        <f t="shared" si="0"/>
        <v>3564</v>
      </c>
      <c r="K19" s="1"/>
      <c r="L19" s="15" t="s">
        <v>77</v>
      </c>
      <c r="M19" s="14"/>
      <c r="N19" s="76" t="s">
        <v>116</v>
      </c>
      <c r="O19" s="8">
        <v>46091</v>
      </c>
      <c r="P19" s="13"/>
      <c r="Q19" s="75">
        <v>46102</v>
      </c>
      <c r="R19" s="8">
        <v>46104</v>
      </c>
      <c r="S19" s="31"/>
    </row>
    <row r="20" spans="1:19" s="2" customFormat="1" ht="19.649999999999999" customHeight="1" x14ac:dyDescent="0.2">
      <c r="A20" s="14" t="s">
        <v>53</v>
      </c>
      <c r="B20" s="69" t="s">
        <v>115</v>
      </c>
      <c r="C20" s="45"/>
      <c r="D20" s="54">
        <f t="shared" si="1"/>
        <v>8</v>
      </c>
      <c r="E20" s="13" t="s">
        <v>50</v>
      </c>
      <c r="F20" s="13" t="s">
        <v>50</v>
      </c>
      <c r="G20" s="56" t="s">
        <v>61</v>
      </c>
      <c r="H20" s="55">
        <v>2</v>
      </c>
      <c r="I20" s="57">
        <v>187</v>
      </c>
      <c r="J20" s="72">
        <f t="shared" si="0"/>
        <v>374</v>
      </c>
      <c r="K20" s="1"/>
      <c r="L20" s="15" t="s">
        <v>57</v>
      </c>
      <c r="M20" s="14"/>
      <c r="N20" s="76" t="s">
        <v>116</v>
      </c>
      <c r="O20" s="8">
        <v>46091</v>
      </c>
      <c r="P20" s="13"/>
      <c r="Q20" s="75">
        <v>46102</v>
      </c>
      <c r="R20" s="8">
        <v>46104</v>
      </c>
      <c r="S20" s="31"/>
    </row>
    <row r="21" spans="1:19" s="2" customFormat="1" ht="19.649999999999999" customHeight="1" x14ac:dyDescent="0.2">
      <c r="A21" s="14" t="s">
        <v>53</v>
      </c>
      <c r="B21" s="69" t="s">
        <v>115</v>
      </c>
      <c r="C21" s="45"/>
      <c r="D21" s="54">
        <f t="shared" si="1"/>
        <v>9</v>
      </c>
      <c r="E21" s="13" t="s">
        <v>70</v>
      </c>
      <c r="F21" s="13" t="s">
        <v>70</v>
      </c>
      <c r="G21" s="59" t="s">
        <v>78</v>
      </c>
      <c r="H21" s="60">
        <v>1</v>
      </c>
      <c r="I21" s="60">
        <v>2029</v>
      </c>
      <c r="J21" s="60">
        <f t="shared" si="0"/>
        <v>2029</v>
      </c>
      <c r="K21" s="48"/>
      <c r="L21" s="15" t="s">
        <v>79</v>
      </c>
      <c r="M21" s="14"/>
      <c r="N21" s="76" t="s">
        <v>116</v>
      </c>
      <c r="O21" s="8">
        <v>46091</v>
      </c>
      <c r="P21" s="13"/>
      <c r="Q21" s="75">
        <v>46102</v>
      </c>
      <c r="R21" s="8">
        <v>46104</v>
      </c>
      <c r="S21" s="31"/>
    </row>
    <row r="22" spans="1:19" s="2" customFormat="1" ht="19.649999999999999" customHeight="1" x14ac:dyDescent="0.2">
      <c r="A22" s="14" t="s">
        <v>53</v>
      </c>
      <c r="B22" s="69" t="s">
        <v>115</v>
      </c>
      <c r="C22" s="45"/>
      <c r="D22" s="54">
        <f t="shared" si="1"/>
        <v>10</v>
      </c>
      <c r="E22" s="13" t="s">
        <v>50</v>
      </c>
      <c r="F22" s="13" t="s">
        <v>50</v>
      </c>
      <c r="G22" s="56" t="s">
        <v>62</v>
      </c>
      <c r="H22" s="55">
        <v>2</v>
      </c>
      <c r="I22" s="57">
        <v>574</v>
      </c>
      <c r="J22" s="72">
        <f t="shared" si="0"/>
        <v>1148</v>
      </c>
      <c r="K22" s="1"/>
      <c r="L22" s="15" t="s">
        <v>98</v>
      </c>
      <c r="M22" s="14"/>
      <c r="N22" s="76" t="s">
        <v>116</v>
      </c>
      <c r="O22" s="8">
        <v>46091</v>
      </c>
      <c r="P22" s="13"/>
      <c r="Q22" s="75">
        <v>46102</v>
      </c>
      <c r="R22" s="8">
        <v>46104</v>
      </c>
      <c r="S22" s="31"/>
    </row>
    <row r="23" spans="1:19" s="2" customFormat="1" ht="19.649999999999999" customHeight="1" x14ac:dyDescent="0.2">
      <c r="A23" s="14" t="s">
        <v>51</v>
      </c>
      <c r="B23" s="69" t="s">
        <v>115</v>
      </c>
      <c r="C23" s="45"/>
      <c r="D23" s="54">
        <f t="shared" si="1"/>
        <v>11</v>
      </c>
      <c r="E23" s="13" t="s">
        <v>49</v>
      </c>
      <c r="F23" s="13" t="s">
        <v>50</v>
      </c>
      <c r="G23" s="56" t="s">
        <v>69</v>
      </c>
      <c r="H23" s="55">
        <v>1</v>
      </c>
      <c r="I23" s="57">
        <v>27163</v>
      </c>
      <c r="J23" s="72">
        <f t="shared" si="0"/>
        <v>27163</v>
      </c>
      <c r="K23" s="1"/>
      <c r="L23" s="15" t="s">
        <v>63</v>
      </c>
      <c r="M23" s="14"/>
      <c r="N23" s="76" t="s">
        <v>116</v>
      </c>
      <c r="O23" s="8">
        <v>46091</v>
      </c>
      <c r="P23" s="13"/>
      <c r="Q23" s="75">
        <v>46102</v>
      </c>
      <c r="R23" s="8">
        <v>46104</v>
      </c>
      <c r="S23" s="31"/>
    </row>
    <row r="24" spans="1:19" s="2" customFormat="1" ht="19.649999999999999" customHeight="1" x14ac:dyDescent="0.2">
      <c r="A24" s="14" t="s">
        <v>53</v>
      </c>
      <c r="B24" s="69" t="s">
        <v>115</v>
      </c>
      <c r="C24" s="45"/>
      <c r="D24" s="54">
        <f t="shared" si="1"/>
        <v>12</v>
      </c>
      <c r="E24" s="13" t="s">
        <v>50</v>
      </c>
      <c r="F24" s="13" t="s">
        <v>50</v>
      </c>
      <c r="G24" s="56" t="s">
        <v>64</v>
      </c>
      <c r="H24" s="55">
        <v>2</v>
      </c>
      <c r="I24" s="57">
        <v>1019</v>
      </c>
      <c r="J24" s="72">
        <f t="shared" si="0"/>
        <v>2038</v>
      </c>
      <c r="K24" s="1"/>
      <c r="L24" s="22" t="s">
        <v>82</v>
      </c>
      <c r="M24" s="14"/>
      <c r="N24" s="76" t="s">
        <v>116</v>
      </c>
      <c r="O24" s="8">
        <v>46091</v>
      </c>
      <c r="P24" s="13"/>
      <c r="Q24" s="75">
        <v>46102</v>
      </c>
      <c r="R24" s="8">
        <v>46104</v>
      </c>
      <c r="S24" s="31"/>
    </row>
    <row r="25" spans="1:19" s="2" customFormat="1" ht="19.649999999999999" customHeight="1" x14ac:dyDescent="0.2">
      <c r="A25" s="14" t="s">
        <v>53</v>
      </c>
      <c r="B25" s="69" t="s">
        <v>115</v>
      </c>
      <c r="C25" s="45"/>
      <c r="D25" s="54">
        <f t="shared" si="1"/>
        <v>13</v>
      </c>
      <c r="E25" s="13" t="s">
        <v>50</v>
      </c>
      <c r="F25" s="13" t="s">
        <v>50</v>
      </c>
      <c r="G25" s="56" t="s">
        <v>65</v>
      </c>
      <c r="H25" s="55">
        <v>4</v>
      </c>
      <c r="I25" s="57">
        <v>1079</v>
      </c>
      <c r="J25" s="72">
        <f t="shared" si="0"/>
        <v>4316</v>
      </c>
      <c r="K25" s="1"/>
      <c r="L25" s="22" t="s">
        <v>82</v>
      </c>
      <c r="M25" s="14"/>
      <c r="N25" s="76" t="s">
        <v>116</v>
      </c>
      <c r="O25" s="8">
        <v>46091</v>
      </c>
      <c r="P25" s="13"/>
      <c r="Q25" s="75">
        <v>46102</v>
      </c>
      <c r="R25" s="8">
        <v>46104</v>
      </c>
      <c r="S25" s="31"/>
    </row>
    <row r="26" spans="1:19" s="2" customFormat="1" ht="19.649999999999999" customHeight="1" x14ac:dyDescent="0.2">
      <c r="A26" s="14" t="s">
        <v>53</v>
      </c>
      <c r="B26" s="69" t="s">
        <v>115</v>
      </c>
      <c r="C26" s="45"/>
      <c r="D26" s="54">
        <f t="shared" si="1"/>
        <v>14</v>
      </c>
      <c r="E26" s="13" t="s">
        <v>50</v>
      </c>
      <c r="F26" s="13" t="s">
        <v>50</v>
      </c>
      <c r="G26" s="56" t="s">
        <v>66</v>
      </c>
      <c r="H26" s="55">
        <v>17</v>
      </c>
      <c r="I26" s="57">
        <v>41</v>
      </c>
      <c r="J26" s="72">
        <f t="shared" si="0"/>
        <v>697</v>
      </c>
      <c r="K26" s="1">
        <v>12</v>
      </c>
      <c r="L26" s="15" t="s">
        <v>113</v>
      </c>
      <c r="M26" s="14"/>
      <c r="N26" s="76" t="s">
        <v>116</v>
      </c>
      <c r="O26" s="8">
        <v>46091</v>
      </c>
      <c r="P26" s="13"/>
      <c r="Q26" s="75">
        <v>46102</v>
      </c>
      <c r="R26" s="8">
        <v>46104</v>
      </c>
      <c r="S26" s="31"/>
    </row>
    <row r="27" spans="1:19" s="2" customFormat="1" ht="19.649999999999999" customHeight="1" x14ac:dyDescent="0.2">
      <c r="A27" s="14" t="s">
        <v>53</v>
      </c>
      <c r="B27" s="69" t="s">
        <v>115</v>
      </c>
      <c r="C27" s="45"/>
      <c r="D27" s="54">
        <f t="shared" si="1"/>
        <v>15</v>
      </c>
      <c r="E27" s="13" t="s">
        <v>50</v>
      </c>
      <c r="F27" s="13" t="s">
        <v>50</v>
      </c>
      <c r="G27" s="56" t="s">
        <v>55</v>
      </c>
      <c r="H27" s="55">
        <v>8</v>
      </c>
      <c r="I27" s="57">
        <v>112</v>
      </c>
      <c r="J27" s="72">
        <f t="shared" si="0"/>
        <v>896</v>
      </c>
      <c r="K27" s="1"/>
      <c r="L27" s="15" t="s">
        <v>54</v>
      </c>
      <c r="M27" s="14"/>
      <c r="N27" s="76" t="s">
        <v>116</v>
      </c>
      <c r="O27" s="8">
        <v>46091</v>
      </c>
      <c r="P27" s="13"/>
      <c r="Q27" s="75">
        <v>46102</v>
      </c>
      <c r="R27" s="8">
        <v>46104</v>
      </c>
      <c r="S27" s="31"/>
    </row>
    <row r="28" spans="1:19" s="2" customFormat="1" ht="19.649999999999999" customHeight="1" x14ac:dyDescent="0.2">
      <c r="A28" s="14" t="s">
        <v>52</v>
      </c>
      <c r="B28" s="69" t="s">
        <v>115</v>
      </c>
      <c r="C28" s="45"/>
      <c r="D28" s="54">
        <f t="shared" si="1"/>
        <v>16</v>
      </c>
      <c r="E28" s="13" t="s">
        <v>50</v>
      </c>
      <c r="F28" s="13" t="s">
        <v>50</v>
      </c>
      <c r="G28" s="56" t="s">
        <v>67</v>
      </c>
      <c r="H28" s="55">
        <v>2</v>
      </c>
      <c r="I28" s="57">
        <v>623</v>
      </c>
      <c r="J28" s="72">
        <f t="shared" si="0"/>
        <v>1246</v>
      </c>
      <c r="K28" s="1"/>
      <c r="L28" s="22" t="s">
        <v>83</v>
      </c>
      <c r="M28" s="14"/>
      <c r="N28" s="76" t="s">
        <v>116</v>
      </c>
      <c r="O28" s="8">
        <v>46091</v>
      </c>
      <c r="P28" s="13"/>
      <c r="Q28" s="75">
        <v>46102</v>
      </c>
      <c r="R28" s="8">
        <v>46104</v>
      </c>
      <c r="S28" s="31"/>
    </row>
    <row r="29" spans="1:19" s="2" customFormat="1" ht="19.649999999999999" customHeight="1" x14ac:dyDescent="0.2">
      <c r="A29" s="14" t="s">
        <v>53</v>
      </c>
      <c r="B29" s="69" t="s">
        <v>115</v>
      </c>
      <c r="C29" s="45"/>
      <c r="D29" s="54">
        <f t="shared" si="1"/>
        <v>17</v>
      </c>
      <c r="E29" s="13" t="s">
        <v>50</v>
      </c>
      <c r="F29" s="13" t="s">
        <v>50</v>
      </c>
      <c r="G29" s="56" t="s">
        <v>68</v>
      </c>
      <c r="H29" s="55">
        <v>1</v>
      </c>
      <c r="I29" s="57">
        <v>640</v>
      </c>
      <c r="J29" s="72">
        <f t="shared" si="0"/>
        <v>640</v>
      </c>
      <c r="K29" s="1"/>
      <c r="L29" s="22" t="s">
        <v>82</v>
      </c>
      <c r="M29" s="14"/>
      <c r="N29" s="76" t="s">
        <v>116</v>
      </c>
      <c r="O29" s="8">
        <v>46091</v>
      </c>
      <c r="P29" s="13"/>
      <c r="Q29" s="75">
        <v>46102</v>
      </c>
      <c r="R29" s="8">
        <v>46104</v>
      </c>
      <c r="S29" s="31"/>
    </row>
    <row r="30" spans="1:19" s="2" customFormat="1" ht="19.649999999999999" customHeight="1" x14ac:dyDescent="0.2">
      <c r="A30" s="14" t="s">
        <v>53</v>
      </c>
      <c r="B30" s="69" t="s">
        <v>115</v>
      </c>
      <c r="C30" s="45"/>
      <c r="D30" s="54">
        <f t="shared" si="1"/>
        <v>18</v>
      </c>
      <c r="E30" s="16" t="s">
        <v>70</v>
      </c>
      <c r="F30" s="16" t="s">
        <v>70</v>
      </c>
      <c r="G30" s="62" t="s">
        <v>81</v>
      </c>
      <c r="H30" s="49">
        <v>1</v>
      </c>
      <c r="I30" s="71">
        <v>8277</v>
      </c>
      <c r="J30" s="74">
        <f t="shared" si="0"/>
        <v>8277</v>
      </c>
      <c r="K30" s="1"/>
      <c r="L30" s="12" t="s">
        <v>71</v>
      </c>
      <c r="M30" s="14"/>
      <c r="N30" s="76" t="s">
        <v>116</v>
      </c>
      <c r="O30" s="8">
        <v>46091</v>
      </c>
      <c r="P30" s="13"/>
      <c r="Q30" s="75">
        <v>46102</v>
      </c>
      <c r="R30" s="8">
        <v>46104</v>
      </c>
      <c r="S30" s="31"/>
    </row>
    <row r="31" spans="1:19" s="2" customFormat="1" ht="19.649999999999999" customHeight="1" x14ac:dyDescent="0.2">
      <c r="A31" s="14" t="s">
        <v>53</v>
      </c>
      <c r="B31" s="69" t="s">
        <v>115</v>
      </c>
      <c r="C31" s="45"/>
      <c r="D31" s="54">
        <f t="shared" si="1"/>
        <v>19</v>
      </c>
      <c r="E31" s="16" t="s">
        <v>70</v>
      </c>
      <c r="F31" s="16" t="s">
        <v>70</v>
      </c>
      <c r="G31" s="62" t="s">
        <v>80</v>
      </c>
      <c r="H31" s="49">
        <v>1</v>
      </c>
      <c r="I31" s="71">
        <v>5228</v>
      </c>
      <c r="J31" s="74">
        <f t="shared" si="0"/>
        <v>5228</v>
      </c>
      <c r="K31" s="1"/>
      <c r="L31" s="12" t="s">
        <v>72</v>
      </c>
      <c r="M31" s="14"/>
      <c r="N31" s="76" t="s">
        <v>116</v>
      </c>
      <c r="O31" s="8">
        <v>46091</v>
      </c>
      <c r="P31" s="13"/>
      <c r="Q31" s="75">
        <v>46102</v>
      </c>
      <c r="R31" s="8">
        <v>46104</v>
      </c>
      <c r="S31" s="31"/>
    </row>
    <row r="32" spans="1:19" s="2" customFormat="1" ht="19.649999999999999" customHeight="1" x14ac:dyDescent="0.2">
      <c r="A32" s="14" t="s">
        <v>53</v>
      </c>
      <c r="B32" s="69" t="s">
        <v>115</v>
      </c>
      <c r="C32" s="45"/>
      <c r="D32" s="54">
        <f t="shared" si="1"/>
        <v>20</v>
      </c>
      <c r="E32" s="13" t="s">
        <v>70</v>
      </c>
      <c r="F32" s="13" t="s">
        <v>70</v>
      </c>
      <c r="G32" s="58" t="s">
        <v>73</v>
      </c>
      <c r="H32" s="45">
        <v>1</v>
      </c>
      <c r="I32" s="70">
        <v>2860</v>
      </c>
      <c r="J32" s="73">
        <f t="shared" si="0"/>
        <v>2860</v>
      </c>
      <c r="K32" s="1"/>
      <c r="L32" s="15" t="s">
        <v>74</v>
      </c>
      <c r="M32" s="14"/>
      <c r="N32" s="76" t="s">
        <v>116</v>
      </c>
      <c r="O32" s="8">
        <v>46091</v>
      </c>
      <c r="P32" s="13"/>
      <c r="Q32" s="75">
        <v>46102</v>
      </c>
      <c r="R32" s="8">
        <v>46104</v>
      </c>
      <c r="S32" s="31"/>
    </row>
    <row r="33" spans="1:19" s="2" customFormat="1" ht="19.649999999999999" customHeight="1" x14ac:dyDescent="0.2">
      <c r="A33" s="14" t="s">
        <v>52</v>
      </c>
      <c r="B33" s="69" t="s">
        <v>115</v>
      </c>
      <c r="C33" s="45"/>
      <c r="D33" s="54">
        <f t="shared" si="1"/>
        <v>21</v>
      </c>
      <c r="E33" s="13" t="s">
        <v>49</v>
      </c>
      <c r="F33" s="13" t="s">
        <v>50</v>
      </c>
      <c r="G33" s="58" t="s">
        <v>94</v>
      </c>
      <c r="H33" s="63">
        <v>1</v>
      </c>
      <c r="I33" s="70">
        <v>2613</v>
      </c>
      <c r="J33" s="73">
        <f t="shared" si="0"/>
        <v>2613</v>
      </c>
      <c r="K33" s="1">
        <v>1</v>
      </c>
      <c r="L33" s="15" t="s">
        <v>84</v>
      </c>
      <c r="M33" s="14"/>
      <c r="N33" s="76" t="s">
        <v>116</v>
      </c>
      <c r="O33" s="8">
        <v>46091</v>
      </c>
      <c r="P33" s="13"/>
      <c r="Q33" s="75">
        <v>46102</v>
      </c>
      <c r="R33" s="8">
        <v>46104</v>
      </c>
      <c r="S33" s="31"/>
    </row>
    <row r="34" spans="1:19" s="2" customFormat="1" ht="19.649999999999999" customHeight="1" x14ac:dyDescent="0.2">
      <c r="A34" s="14" t="s">
        <v>53</v>
      </c>
      <c r="B34" s="69" t="s">
        <v>115</v>
      </c>
      <c r="C34" s="45"/>
      <c r="D34" s="54">
        <f t="shared" si="1"/>
        <v>22</v>
      </c>
      <c r="E34" s="13" t="s">
        <v>70</v>
      </c>
      <c r="F34" s="13" t="s">
        <v>70</v>
      </c>
      <c r="G34" s="58" t="s">
        <v>85</v>
      </c>
      <c r="H34" s="63">
        <v>4</v>
      </c>
      <c r="I34" s="70">
        <v>130</v>
      </c>
      <c r="J34" s="73">
        <f t="shared" si="0"/>
        <v>520</v>
      </c>
      <c r="K34" s="1">
        <v>2</v>
      </c>
      <c r="L34" s="15" t="s">
        <v>108</v>
      </c>
      <c r="M34" s="14"/>
      <c r="N34" s="76" t="s">
        <v>116</v>
      </c>
      <c r="O34" s="8">
        <v>46091</v>
      </c>
      <c r="P34" s="13"/>
      <c r="Q34" s="75">
        <v>46102</v>
      </c>
      <c r="R34" s="8">
        <v>46104</v>
      </c>
      <c r="S34" s="31"/>
    </row>
    <row r="35" spans="1:19" s="2" customFormat="1" ht="19.649999999999999" customHeight="1" x14ac:dyDescent="0.2">
      <c r="A35" s="14" t="s">
        <v>53</v>
      </c>
      <c r="B35" s="69" t="s">
        <v>115</v>
      </c>
      <c r="C35" s="45"/>
      <c r="D35" s="54">
        <f t="shared" si="1"/>
        <v>23</v>
      </c>
      <c r="E35" s="13" t="s">
        <v>70</v>
      </c>
      <c r="F35" s="13" t="s">
        <v>70</v>
      </c>
      <c r="G35" s="58" t="s">
        <v>86</v>
      </c>
      <c r="H35" s="63">
        <v>2</v>
      </c>
      <c r="I35" s="70">
        <v>83</v>
      </c>
      <c r="J35" s="73">
        <f t="shared" si="0"/>
        <v>166</v>
      </c>
      <c r="K35" s="1">
        <v>2</v>
      </c>
      <c r="L35" s="15" t="s">
        <v>87</v>
      </c>
      <c r="M35" s="14"/>
      <c r="N35" s="76" t="s">
        <v>116</v>
      </c>
      <c r="O35" s="8">
        <v>46091</v>
      </c>
      <c r="P35" s="13"/>
      <c r="Q35" s="75">
        <v>46102</v>
      </c>
      <c r="R35" s="8">
        <v>46104</v>
      </c>
      <c r="S35" s="31"/>
    </row>
    <row r="36" spans="1:19" s="2" customFormat="1" ht="19.649999999999999" customHeight="1" x14ac:dyDescent="0.2">
      <c r="A36" s="14" t="s">
        <v>53</v>
      </c>
      <c r="B36" s="69" t="s">
        <v>115</v>
      </c>
      <c r="C36" s="45"/>
      <c r="D36" s="54">
        <f t="shared" si="1"/>
        <v>24</v>
      </c>
      <c r="E36" s="13" t="s">
        <v>70</v>
      </c>
      <c r="F36" s="13" t="s">
        <v>70</v>
      </c>
      <c r="G36" s="58" t="s">
        <v>88</v>
      </c>
      <c r="H36" s="63">
        <v>2</v>
      </c>
      <c r="I36" s="70">
        <v>187</v>
      </c>
      <c r="J36" s="73">
        <f t="shared" si="0"/>
        <v>374</v>
      </c>
      <c r="K36" s="1">
        <v>2</v>
      </c>
      <c r="L36" s="15" t="s">
        <v>57</v>
      </c>
      <c r="M36" s="14"/>
      <c r="N36" s="76" t="s">
        <v>116</v>
      </c>
      <c r="O36" s="8">
        <v>46091</v>
      </c>
      <c r="P36" s="13"/>
      <c r="Q36" s="75">
        <v>46102</v>
      </c>
      <c r="R36" s="8">
        <v>46104</v>
      </c>
      <c r="S36" s="31"/>
    </row>
    <row r="37" spans="1:19" s="2" customFormat="1" ht="19.649999999999999" customHeight="1" x14ac:dyDescent="0.2">
      <c r="A37" s="14" t="s">
        <v>53</v>
      </c>
      <c r="B37" s="69" t="s">
        <v>115</v>
      </c>
      <c r="C37" s="45"/>
      <c r="D37" s="54">
        <f t="shared" si="1"/>
        <v>25</v>
      </c>
      <c r="E37" s="13" t="s">
        <v>70</v>
      </c>
      <c r="F37" s="13" t="s">
        <v>70</v>
      </c>
      <c r="G37" s="58" t="s">
        <v>89</v>
      </c>
      <c r="H37" s="63">
        <v>2</v>
      </c>
      <c r="I37" s="70">
        <v>32</v>
      </c>
      <c r="J37" s="73">
        <f t="shared" si="0"/>
        <v>64</v>
      </c>
      <c r="K37" s="1">
        <v>2</v>
      </c>
      <c r="L37" s="15" t="s">
        <v>90</v>
      </c>
      <c r="M37" s="14"/>
      <c r="N37" s="76" t="s">
        <v>116</v>
      </c>
      <c r="O37" s="8">
        <v>46091</v>
      </c>
      <c r="P37" s="13"/>
      <c r="Q37" s="75">
        <v>46102</v>
      </c>
      <c r="R37" s="8">
        <v>46104</v>
      </c>
      <c r="S37" s="31"/>
    </row>
    <row r="38" spans="1:19" s="2" customFormat="1" ht="19.649999999999999" customHeight="1" x14ac:dyDescent="0.2">
      <c r="A38" s="14" t="s">
        <v>52</v>
      </c>
      <c r="B38" s="69" t="s">
        <v>115</v>
      </c>
      <c r="C38" s="45"/>
      <c r="D38" s="54">
        <f t="shared" si="1"/>
        <v>26</v>
      </c>
      <c r="E38" s="13" t="s">
        <v>49</v>
      </c>
      <c r="F38" s="13" t="s">
        <v>50</v>
      </c>
      <c r="G38" s="58" t="s">
        <v>95</v>
      </c>
      <c r="H38" s="63">
        <v>1</v>
      </c>
      <c r="I38" s="70">
        <v>12471</v>
      </c>
      <c r="J38" s="73">
        <f t="shared" si="0"/>
        <v>12471</v>
      </c>
      <c r="K38" s="1">
        <v>1</v>
      </c>
      <c r="L38" s="15" t="s">
        <v>91</v>
      </c>
      <c r="M38" s="14"/>
      <c r="N38" s="76" t="s">
        <v>116</v>
      </c>
      <c r="O38" s="8">
        <v>46091</v>
      </c>
      <c r="P38" s="13"/>
      <c r="Q38" s="75">
        <v>46102</v>
      </c>
      <c r="R38" s="8">
        <v>46104</v>
      </c>
      <c r="S38" s="31"/>
    </row>
    <row r="39" spans="1:19" s="2" customFormat="1" ht="19.649999999999999" customHeight="1" x14ac:dyDescent="0.2">
      <c r="A39" s="14" t="s">
        <v>53</v>
      </c>
      <c r="B39" s="69" t="s">
        <v>115</v>
      </c>
      <c r="C39" s="45"/>
      <c r="D39" s="54">
        <f t="shared" si="1"/>
        <v>27</v>
      </c>
      <c r="E39" s="13" t="s">
        <v>70</v>
      </c>
      <c r="F39" s="13" t="s">
        <v>70</v>
      </c>
      <c r="G39" s="58" t="s">
        <v>92</v>
      </c>
      <c r="H39" s="63">
        <v>2</v>
      </c>
      <c r="I39" s="70">
        <v>142</v>
      </c>
      <c r="J39" s="73">
        <f t="shared" si="0"/>
        <v>284</v>
      </c>
      <c r="K39" s="1">
        <v>2</v>
      </c>
      <c r="L39" s="15" t="s">
        <v>54</v>
      </c>
      <c r="M39" s="14"/>
      <c r="N39" s="76" t="s">
        <v>116</v>
      </c>
      <c r="O39" s="8">
        <v>46091</v>
      </c>
      <c r="P39" s="13"/>
      <c r="Q39" s="75">
        <v>46102</v>
      </c>
      <c r="R39" s="8">
        <v>46104</v>
      </c>
      <c r="S39" s="31"/>
    </row>
    <row r="40" spans="1:19" s="2" customFormat="1" ht="19.649999999999999" customHeight="1" x14ac:dyDescent="0.2">
      <c r="A40" s="14" t="s">
        <v>53</v>
      </c>
      <c r="B40" s="69" t="s">
        <v>115</v>
      </c>
      <c r="C40" s="45"/>
      <c r="D40" s="54">
        <f t="shared" si="1"/>
        <v>28</v>
      </c>
      <c r="E40" s="13" t="s">
        <v>70</v>
      </c>
      <c r="F40" s="13" t="s">
        <v>70</v>
      </c>
      <c r="G40" s="58" t="s">
        <v>93</v>
      </c>
      <c r="H40" s="63">
        <v>1</v>
      </c>
      <c r="I40" s="70">
        <v>4039</v>
      </c>
      <c r="J40" s="73">
        <f t="shared" si="0"/>
        <v>4039</v>
      </c>
      <c r="K40" s="1">
        <v>1</v>
      </c>
      <c r="L40" s="15" t="s">
        <v>105</v>
      </c>
      <c r="M40" s="14"/>
      <c r="N40" s="76" t="s">
        <v>116</v>
      </c>
      <c r="O40" s="8">
        <v>46091</v>
      </c>
      <c r="P40" s="13"/>
      <c r="Q40" s="75">
        <v>46102</v>
      </c>
      <c r="R40" s="8">
        <v>46104</v>
      </c>
      <c r="S40" s="31"/>
    </row>
    <row r="41" spans="1:19" s="53" customFormat="1" ht="19.649999999999999" customHeight="1" x14ac:dyDescent="0.2">
      <c r="A41" s="40"/>
      <c r="B41" s="40"/>
      <c r="C41" s="40"/>
      <c r="D41" s="13"/>
      <c r="E41" s="16"/>
      <c r="F41" s="16"/>
      <c r="G41" s="19"/>
      <c r="H41" s="43"/>
      <c r="I41" s="42"/>
      <c r="J41" s="50"/>
      <c r="K41" s="47"/>
      <c r="L41" s="22"/>
      <c r="M41" s="27"/>
      <c r="N41" s="40"/>
      <c r="O41" s="51"/>
      <c r="P41" s="16"/>
      <c r="Q41" s="40"/>
      <c r="R41" s="51"/>
      <c r="S41" s="52"/>
    </row>
    <row r="42" spans="1:19" s="2" customFormat="1" ht="19.649999999999999" customHeight="1" x14ac:dyDescent="0.2">
      <c r="A42" s="14"/>
      <c r="B42" s="14"/>
      <c r="C42" s="14"/>
      <c r="D42" s="13"/>
      <c r="E42" s="13"/>
      <c r="F42" s="13"/>
      <c r="G42" s="19"/>
      <c r="H42" s="43"/>
      <c r="I42" s="42"/>
      <c r="J42" s="44"/>
      <c r="K42" s="1"/>
      <c r="L42" s="15"/>
      <c r="M42" s="14"/>
      <c r="N42" s="14"/>
      <c r="O42" s="8"/>
      <c r="P42" s="13"/>
      <c r="Q42" s="14"/>
      <c r="R42" s="8"/>
      <c r="S42" s="31"/>
    </row>
    <row r="43" spans="1:19" s="2" customFormat="1" ht="19.649999999999999" customHeight="1" x14ac:dyDescent="0.2">
      <c r="A43" s="14"/>
      <c r="B43" s="14"/>
      <c r="C43" s="14"/>
      <c r="D43" s="13"/>
      <c r="E43" s="13"/>
      <c r="F43" s="13"/>
      <c r="G43" s="23">
        <f>SUM(J13:J42)</f>
        <v>124116</v>
      </c>
      <c r="H43" s="39"/>
      <c r="I43" s="14"/>
      <c r="J43" s="18"/>
      <c r="K43" s="1"/>
      <c r="L43" s="15"/>
      <c r="M43" s="14"/>
      <c r="N43" s="14"/>
      <c r="O43" s="8"/>
      <c r="P43" s="13"/>
      <c r="Q43" s="14"/>
      <c r="R43" s="8"/>
      <c r="S43" s="31"/>
    </row>
    <row r="44" spans="1:19" s="2" customFormat="1" ht="19.649999999999999" customHeight="1" x14ac:dyDescent="0.2">
      <c r="A44" s="14"/>
      <c r="B44" s="14"/>
      <c r="C44" s="14"/>
      <c r="D44" s="13"/>
      <c r="E44" s="13"/>
      <c r="F44" s="13"/>
      <c r="G44" s="15"/>
      <c r="H44" s="39"/>
      <c r="I44" s="14"/>
      <c r="J44" s="18"/>
      <c r="K44" s="1"/>
      <c r="L44" s="15"/>
      <c r="M44" s="14"/>
      <c r="N44" s="14"/>
      <c r="O44" s="8"/>
      <c r="P44" s="13"/>
      <c r="Q44" s="14"/>
      <c r="R44" s="8"/>
      <c r="S44" s="31"/>
    </row>
    <row r="45" spans="1:19" s="2" customFormat="1" ht="19.649999999999999" customHeight="1" x14ac:dyDescent="0.2">
      <c r="A45" s="14"/>
      <c r="B45" s="14"/>
      <c r="C45" s="14"/>
      <c r="D45" s="13"/>
      <c r="E45" s="13"/>
      <c r="F45" s="13"/>
      <c r="G45" s="14"/>
      <c r="H45" s="14"/>
      <c r="I45" s="14"/>
      <c r="J45" s="1"/>
      <c r="K45" s="1"/>
      <c r="L45" s="14"/>
      <c r="M45" s="14"/>
      <c r="N45" s="14"/>
      <c r="O45" s="8"/>
      <c r="P45" s="13"/>
      <c r="Q45" s="14"/>
      <c r="R45" s="8"/>
      <c r="S45" s="31"/>
    </row>
    <row r="46" spans="1:19" s="2" customFormat="1" ht="19.649999999999999" customHeight="1" x14ac:dyDescent="0.2">
      <c r="A46" s="14"/>
      <c r="B46" s="14"/>
      <c r="C46" s="14"/>
      <c r="D46" s="13"/>
      <c r="E46" s="13"/>
      <c r="F46" s="13"/>
      <c r="G46" s="26"/>
      <c r="H46" s="14"/>
      <c r="I46" s="14"/>
      <c r="J46" s="1"/>
      <c r="K46" s="1"/>
      <c r="L46" s="14"/>
      <c r="M46" s="14"/>
      <c r="N46" s="14"/>
      <c r="O46" s="8"/>
      <c r="P46" s="13"/>
      <c r="Q46" s="14"/>
      <c r="R46" s="8"/>
      <c r="S46" s="31"/>
    </row>
    <row r="47" spans="1:19" s="2" customFormat="1" ht="19.649999999999999" customHeight="1" x14ac:dyDescent="0.2">
      <c r="A47" s="14"/>
      <c r="B47" s="14"/>
      <c r="C47" s="14"/>
      <c r="D47" s="13"/>
      <c r="E47" s="13"/>
      <c r="F47" s="13"/>
      <c r="G47" s="15"/>
      <c r="H47" s="39"/>
      <c r="I47" s="14"/>
      <c r="J47" s="18"/>
      <c r="K47" s="41"/>
      <c r="L47" s="15"/>
      <c r="M47" s="14"/>
      <c r="N47" s="14"/>
      <c r="O47" s="8"/>
      <c r="P47" s="13"/>
      <c r="Q47" s="14"/>
      <c r="R47" s="8"/>
      <c r="S47" s="31"/>
    </row>
    <row r="48" spans="1:19" s="2" customFormat="1" ht="19.649999999999999" customHeight="1" x14ac:dyDescent="0.2">
      <c r="A48" s="14"/>
      <c r="B48" s="14"/>
      <c r="C48" s="14"/>
      <c r="D48" s="13"/>
      <c r="E48" s="13"/>
      <c r="F48" s="13"/>
      <c r="G48" s="15"/>
      <c r="H48" s="39"/>
      <c r="I48" s="14"/>
      <c r="J48" s="18"/>
      <c r="K48" s="1"/>
      <c r="L48" s="15"/>
      <c r="M48" s="14"/>
      <c r="N48" s="14"/>
      <c r="O48" s="8"/>
      <c r="P48" s="13"/>
      <c r="Q48" s="14"/>
      <c r="R48" s="8"/>
      <c r="S48" s="31"/>
    </row>
    <row r="49" spans="1:19" s="2" customFormat="1" ht="19.649999999999999" customHeight="1" x14ac:dyDescent="0.2">
      <c r="A49" s="14"/>
      <c r="B49" s="14"/>
      <c r="C49" s="14"/>
      <c r="D49" s="13"/>
      <c r="E49" s="13"/>
      <c r="F49" s="13"/>
      <c r="G49" s="15"/>
      <c r="H49" s="39"/>
      <c r="I49" s="14"/>
      <c r="J49" s="18"/>
      <c r="K49" s="1"/>
      <c r="L49" s="15"/>
      <c r="M49" s="14"/>
      <c r="N49" s="14"/>
      <c r="O49" s="8"/>
      <c r="P49" s="13"/>
      <c r="Q49" s="14"/>
      <c r="R49" s="8"/>
      <c r="S49" s="31"/>
    </row>
    <row r="50" spans="1:19" s="2" customFormat="1" ht="19.649999999999999" customHeight="1" x14ac:dyDescent="0.2">
      <c r="A50" s="14"/>
      <c r="B50" s="14"/>
      <c r="C50" s="14"/>
      <c r="D50" s="13"/>
      <c r="E50" s="13"/>
      <c r="F50" s="13"/>
      <c r="G50" s="15"/>
      <c r="H50" s="39"/>
      <c r="I50" s="14"/>
      <c r="J50" s="18"/>
      <c r="K50" s="1"/>
      <c r="L50" s="15"/>
      <c r="M50" s="14"/>
      <c r="N50" s="14"/>
      <c r="O50" s="8"/>
      <c r="P50" s="13"/>
      <c r="Q50" s="14"/>
      <c r="R50" s="8"/>
      <c r="S50" s="31"/>
    </row>
    <row r="51" spans="1:19" s="24" customFormat="1" x14ac:dyDescent="0.2">
      <c r="A51"/>
      <c r="B51"/>
      <c r="C51"/>
      <c r="D51" s="2"/>
      <c r="E51"/>
      <c r="F51"/>
      <c r="G51"/>
      <c r="H51" s="2"/>
      <c r="I51" s="2"/>
      <c r="J51" s="36"/>
      <c r="K51" s="2"/>
      <c r="L51"/>
      <c r="M51"/>
      <c r="N51" s="2"/>
      <c r="O51" s="9"/>
      <c r="P51"/>
      <c r="Q51" s="6"/>
      <c r="R51" s="10"/>
      <c r="S51" s="11"/>
    </row>
  </sheetData>
  <mergeCells count="8">
    <mergeCell ref="D6:F6"/>
    <mergeCell ref="D2:F2"/>
    <mergeCell ref="I2:K2"/>
    <mergeCell ref="D3:F3"/>
    <mergeCell ref="J3:M4"/>
    <mergeCell ref="D4:F4"/>
    <mergeCell ref="I4:I5"/>
    <mergeCell ref="D5:F5"/>
  </mergeCells>
  <phoneticPr fontId="15"/>
  <dataValidations count="1">
    <dataValidation imeMode="hiragana" allowBlank="1" showInputMessage="1" showErrorMessage="1" sqref="L41 L21 L24:L25 L28:L29" xr:uid="{E086B355-399C-4B43-993F-D60F37904A6F}"/>
  </dataValidations>
  <pageMargins left="0" right="0" top="0" bottom="0" header="0" footer="0"/>
  <pageSetup paperSize="8" scale="65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4370D-56BC-43D1-9C61-99CF1AF9B2F7}">
  <sheetPr>
    <tabColor rgb="FF00B050"/>
  </sheetPr>
  <dimension ref="A2:S54"/>
  <sheetViews>
    <sheetView zoomScale="85" zoomScaleNormal="85" workbookViewId="0">
      <pane xSplit="12" ySplit="8" topLeftCell="M23" activePane="bottomRight" state="frozen"/>
      <selection pane="topRight" activeCell="K1" sqref="K1"/>
      <selection pane="bottomLeft" activeCell="A9" sqref="A9"/>
      <selection pane="bottomRight" activeCell="G36" sqref="G36"/>
    </sheetView>
  </sheetViews>
  <sheetFormatPr defaultRowHeight="13.2" x14ac:dyDescent="0.2"/>
  <cols>
    <col min="3" max="3" width="9.109375" customWidth="1"/>
    <col min="4" max="4" width="6.109375" style="2" customWidth="1"/>
    <col min="5" max="5" width="12.109375" customWidth="1"/>
    <col min="6" max="6" width="13" customWidth="1"/>
    <col min="7" max="7" width="71.6640625" customWidth="1"/>
    <col min="8" max="8" width="6.109375" style="2" customWidth="1"/>
    <col min="9" max="10" width="9.88671875" style="2" bestFit="1" customWidth="1"/>
    <col min="11" max="11" width="16.5546875" style="2" customWidth="1"/>
    <col min="12" max="12" width="43.44140625" customWidth="1"/>
    <col min="13" max="13" width="47.44140625" customWidth="1"/>
    <col min="14" max="14" width="30.88671875" style="2" customWidth="1"/>
    <col min="15" max="15" width="13.88671875" style="9" customWidth="1"/>
    <col min="16" max="16" width="7.33203125" customWidth="1"/>
    <col min="17" max="17" width="13.109375" style="6" customWidth="1"/>
    <col min="18" max="18" width="18.109375" style="10" customWidth="1"/>
    <col min="19" max="19" width="15.6640625" style="11" customWidth="1"/>
  </cols>
  <sheetData>
    <row r="2" spans="1:19" ht="20.100000000000001" customHeight="1" x14ac:dyDescent="0.2">
      <c r="D2" s="77" t="s">
        <v>11</v>
      </c>
      <c r="E2" s="77"/>
      <c r="F2" s="77"/>
      <c r="G2" s="7" t="s">
        <v>102</v>
      </c>
      <c r="I2" s="78" t="s">
        <v>14</v>
      </c>
      <c r="J2" s="79"/>
      <c r="K2" s="80"/>
      <c r="L2" s="5">
        <f>SUM(J:J)</f>
        <v>120316</v>
      </c>
    </row>
    <row r="3" spans="1:19" ht="20.100000000000001" customHeight="1" x14ac:dyDescent="0.2">
      <c r="D3" s="77" t="s">
        <v>10</v>
      </c>
      <c r="E3" s="77"/>
      <c r="F3" s="77"/>
      <c r="G3" s="3" t="s">
        <v>48</v>
      </c>
      <c r="J3" s="81" t="s">
        <v>107</v>
      </c>
      <c r="K3" s="81"/>
      <c r="L3" s="81"/>
      <c r="M3" s="81"/>
    </row>
    <row r="4" spans="1:19" ht="20.100000000000001" customHeight="1" x14ac:dyDescent="0.2">
      <c r="D4" s="77" t="s">
        <v>21</v>
      </c>
      <c r="E4" s="77"/>
      <c r="F4" s="77"/>
      <c r="G4" s="3" t="s">
        <v>101</v>
      </c>
      <c r="I4" s="82" t="s">
        <v>106</v>
      </c>
      <c r="J4" s="81"/>
      <c r="K4" s="81"/>
      <c r="L4" s="81"/>
      <c r="M4" s="81"/>
    </row>
    <row r="5" spans="1:19" ht="20.100000000000001" customHeight="1" x14ac:dyDescent="0.2">
      <c r="D5" s="77" t="s">
        <v>12</v>
      </c>
      <c r="E5" s="77"/>
      <c r="F5" s="77"/>
      <c r="G5" s="4">
        <v>46101</v>
      </c>
      <c r="I5" s="83"/>
      <c r="J5" s="28"/>
    </row>
    <row r="6" spans="1:19" ht="20.100000000000001" customHeight="1" x14ac:dyDescent="0.2">
      <c r="D6" s="77" t="s">
        <v>13</v>
      </c>
      <c r="E6" s="77"/>
      <c r="F6" s="77"/>
      <c r="G6" s="4">
        <v>46103</v>
      </c>
      <c r="I6" s="37"/>
      <c r="J6" s="24" t="s">
        <v>43</v>
      </c>
    </row>
    <row r="8" spans="1:19" s="2" customFormat="1" ht="19.649999999999999" customHeight="1" x14ac:dyDescent="0.2">
      <c r="A8" s="25" t="s">
        <v>24</v>
      </c>
      <c r="B8" s="25" t="s">
        <v>42</v>
      </c>
      <c r="C8" s="25" t="s">
        <v>25</v>
      </c>
      <c r="D8" s="32" t="s">
        <v>26</v>
      </c>
      <c r="E8" s="32" t="s">
        <v>27</v>
      </c>
      <c r="F8" s="32" t="s">
        <v>28</v>
      </c>
      <c r="G8" s="25" t="s">
        <v>29</v>
      </c>
      <c r="H8" s="25" t="s">
        <v>30</v>
      </c>
      <c r="I8" s="25" t="s">
        <v>31</v>
      </c>
      <c r="J8" s="33" t="s">
        <v>32</v>
      </c>
      <c r="K8" s="33" t="s">
        <v>33</v>
      </c>
      <c r="L8" s="25" t="s">
        <v>34</v>
      </c>
      <c r="M8" s="25" t="s">
        <v>35</v>
      </c>
      <c r="N8" s="25" t="s">
        <v>36</v>
      </c>
      <c r="O8" s="34" t="s">
        <v>37</v>
      </c>
      <c r="P8" s="32" t="s">
        <v>38</v>
      </c>
      <c r="Q8" s="25" t="s">
        <v>39</v>
      </c>
      <c r="R8" s="34" t="s">
        <v>40</v>
      </c>
      <c r="S8" s="35" t="s">
        <v>41</v>
      </c>
    </row>
    <row r="9" spans="1:19" s="2" customFormat="1" ht="19.649999999999999" customHeight="1" x14ac:dyDescent="0.2">
      <c r="A9" s="14" t="s">
        <v>23</v>
      </c>
      <c r="B9" s="14"/>
      <c r="C9" s="14" t="s">
        <v>22</v>
      </c>
      <c r="D9" s="13" t="s">
        <v>4</v>
      </c>
      <c r="E9" s="13" t="s">
        <v>9</v>
      </c>
      <c r="F9" s="13" t="s">
        <v>5</v>
      </c>
      <c r="G9" s="14" t="s">
        <v>8</v>
      </c>
      <c r="H9" s="14" t="s">
        <v>0</v>
      </c>
      <c r="I9" s="14" t="s">
        <v>1</v>
      </c>
      <c r="J9" s="1" t="s">
        <v>2</v>
      </c>
      <c r="K9" s="1" t="s">
        <v>17</v>
      </c>
      <c r="L9" s="14" t="s">
        <v>3</v>
      </c>
      <c r="M9" s="14" t="s">
        <v>16</v>
      </c>
      <c r="N9" s="14" t="s">
        <v>15</v>
      </c>
      <c r="O9" s="8" t="s">
        <v>6</v>
      </c>
      <c r="P9" s="13" t="s">
        <v>18</v>
      </c>
      <c r="Q9" s="14" t="s">
        <v>7</v>
      </c>
      <c r="R9" s="8" t="s">
        <v>19</v>
      </c>
      <c r="S9" s="31" t="s">
        <v>20</v>
      </c>
    </row>
    <row r="10" spans="1:19" s="2" customFormat="1" ht="19.649999999999999" customHeight="1" x14ac:dyDescent="0.2">
      <c r="D10" s="13"/>
      <c r="E10" s="13"/>
      <c r="F10" s="13"/>
      <c r="G10" s="14"/>
      <c r="H10" s="14"/>
      <c r="I10" s="14"/>
      <c r="J10" s="1"/>
      <c r="K10" s="1"/>
      <c r="L10" s="14"/>
      <c r="M10" s="14"/>
      <c r="N10" s="14"/>
      <c r="O10" s="8"/>
      <c r="P10" s="13"/>
      <c r="Q10" s="14"/>
      <c r="R10" s="8"/>
      <c r="S10" s="31"/>
    </row>
    <row r="11" spans="1:19" s="2" customFormat="1" ht="19.649999999999999" customHeight="1" x14ac:dyDescent="0.2">
      <c r="D11" s="13"/>
      <c r="E11" s="13"/>
      <c r="F11" s="13"/>
      <c r="G11" s="15"/>
      <c r="H11" s="39"/>
      <c r="I11" s="14"/>
      <c r="J11" s="18"/>
      <c r="K11" s="1"/>
      <c r="L11" s="15"/>
      <c r="M11" s="14"/>
      <c r="N11" s="14"/>
      <c r="O11" s="8"/>
      <c r="P11" s="13"/>
      <c r="Q11" s="14"/>
      <c r="R11" s="8"/>
      <c r="S11" s="31"/>
    </row>
    <row r="12" spans="1:19" s="2" customFormat="1" ht="19.649999999999999" customHeight="1" x14ac:dyDescent="0.2">
      <c r="D12" s="13"/>
      <c r="E12" s="38" t="s">
        <v>99</v>
      </c>
      <c r="F12" s="29"/>
      <c r="G12" s="30" t="s">
        <v>100</v>
      </c>
      <c r="H12" s="39"/>
      <c r="I12" s="14"/>
      <c r="J12" s="18"/>
      <c r="K12" s="1"/>
      <c r="L12" s="15"/>
      <c r="M12" s="14"/>
      <c r="N12" s="14"/>
      <c r="O12" s="8"/>
      <c r="P12" s="13"/>
      <c r="Q12" s="14"/>
      <c r="R12" s="8"/>
      <c r="S12" s="31"/>
    </row>
    <row r="13" spans="1:19" s="2" customFormat="1" ht="19.649999999999999" customHeight="1" x14ac:dyDescent="0.2">
      <c r="A13" s="14" t="s">
        <v>44</v>
      </c>
      <c r="B13" s="45"/>
      <c r="C13" s="14"/>
      <c r="D13" s="54">
        <v>1</v>
      </c>
      <c r="E13" s="13" t="s">
        <v>50</v>
      </c>
      <c r="F13" s="13" t="s">
        <v>50</v>
      </c>
      <c r="G13" s="56" t="s">
        <v>58</v>
      </c>
      <c r="H13" s="55">
        <v>1</v>
      </c>
      <c r="I13" s="57">
        <v>3276</v>
      </c>
      <c r="J13" s="44">
        <f t="shared" ref="J13:J43" si="0">H13*I13</f>
        <v>3276</v>
      </c>
      <c r="K13" s="1"/>
      <c r="L13" s="15" t="s">
        <v>97</v>
      </c>
      <c r="M13" s="17"/>
      <c r="N13" s="14"/>
      <c r="O13" s="8"/>
      <c r="P13" s="13"/>
      <c r="Q13" s="14"/>
      <c r="R13" s="8"/>
      <c r="S13" s="31"/>
    </row>
    <row r="14" spans="1:19" s="2" customFormat="1" ht="19.649999999999999" customHeight="1" x14ac:dyDescent="0.2">
      <c r="A14" s="14" t="s">
        <v>53</v>
      </c>
      <c r="B14" s="45"/>
      <c r="C14" s="14"/>
      <c r="D14" s="54">
        <f t="shared" ref="D14:D15" si="1">+D13+1</f>
        <v>2</v>
      </c>
      <c r="E14" s="13" t="s">
        <v>50</v>
      </c>
      <c r="F14" s="13" t="s">
        <v>50</v>
      </c>
      <c r="G14" s="56" t="s">
        <v>59</v>
      </c>
      <c r="H14" s="55">
        <v>4</v>
      </c>
      <c r="I14" s="57">
        <v>120</v>
      </c>
      <c r="J14" s="44">
        <f t="shared" si="0"/>
        <v>480</v>
      </c>
      <c r="K14" s="1"/>
      <c r="L14" s="20" t="s">
        <v>54</v>
      </c>
      <c r="M14" s="14"/>
      <c r="N14" s="14"/>
      <c r="O14" s="8"/>
      <c r="P14" s="13"/>
      <c r="Q14" s="14"/>
      <c r="R14" s="8"/>
      <c r="S14" s="31"/>
    </row>
    <row r="15" spans="1:19" s="2" customFormat="1" ht="19.649999999999999" customHeight="1" x14ac:dyDescent="0.2">
      <c r="A15" s="14" t="s">
        <v>53</v>
      </c>
      <c r="B15" s="45"/>
      <c r="C15" s="14"/>
      <c r="D15" s="54">
        <f t="shared" si="1"/>
        <v>3</v>
      </c>
      <c r="E15" s="13" t="s">
        <v>50</v>
      </c>
      <c r="F15" s="13" t="s">
        <v>50</v>
      </c>
      <c r="G15" s="56" t="s">
        <v>60</v>
      </c>
      <c r="H15" s="55">
        <v>1</v>
      </c>
      <c r="I15" s="57">
        <v>10315</v>
      </c>
      <c r="J15" s="44">
        <f t="shared" si="0"/>
        <v>10315</v>
      </c>
      <c r="K15" s="1"/>
      <c r="L15" s="15" t="s">
        <v>96</v>
      </c>
      <c r="M15" s="14"/>
      <c r="N15" s="14"/>
      <c r="O15" s="8"/>
      <c r="P15" s="13"/>
      <c r="Q15" s="14"/>
      <c r="R15" s="8"/>
      <c r="S15" s="31"/>
    </row>
    <row r="16" spans="1:19" s="2" customFormat="1" ht="19.649999999999999" customHeight="1" x14ac:dyDescent="0.2">
      <c r="A16" s="14" t="s">
        <v>53</v>
      </c>
      <c r="B16" s="14"/>
      <c r="C16" s="14"/>
      <c r="D16" s="54">
        <f>+D15+1</f>
        <v>4</v>
      </c>
      <c r="E16" s="13" t="s">
        <v>50</v>
      </c>
      <c r="F16" s="13" t="s">
        <v>50</v>
      </c>
      <c r="G16" s="61" t="s">
        <v>56</v>
      </c>
      <c r="H16" s="60">
        <v>10</v>
      </c>
      <c r="I16" s="60">
        <v>14</v>
      </c>
      <c r="J16" s="44">
        <f t="shared" si="0"/>
        <v>140</v>
      </c>
      <c r="K16" s="46">
        <v>4</v>
      </c>
      <c r="L16" s="20" t="s">
        <v>111</v>
      </c>
      <c r="M16" s="14"/>
      <c r="N16" s="14"/>
      <c r="O16" s="8"/>
      <c r="P16" s="13"/>
      <c r="Q16" s="14"/>
      <c r="R16" s="8"/>
      <c r="S16" s="31"/>
    </row>
    <row r="17" spans="1:19" s="2" customFormat="1" ht="19.649999999999999" customHeight="1" x14ac:dyDescent="0.2">
      <c r="A17" s="14" t="s">
        <v>51</v>
      </c>
      <c r="B17" s="45"/>
      <c r="C17" s="14"/>
      <c r="D17" s="54">
        <f t="shared" ref="D17:D20" si="2">+D16+1</f>
        <v>5</v>
      </c>
      <c r="E17" s="13" t="s">
        <v>49</v>
      </c>
      <c r="F17" s="13" t="s">
        <v>50</v>
      </c>
      <c r="G17" s="56" t="s">
        <v>103</v>
      </c>
      <c r="H17" s="55">
        <v>1</v>
      </c>
      <c r="I17" s="57">
        <v>25098</v>
      </c>
      <c r="J17" s="44">
        <f t="shared" si="0"/>
        <v>25098</v>
      </c>
      <c r="K17" s="1"/>
      <c r="L17" s="15" t="s">
        <v>104</v>
      </c>
      <c r="M17" s="14"/>
      <c r="N17" s="14"/>
      <c r="O17" s="8"/>
      <c r="P17" s="13"/>
      <c r="Q17" s="14"/>
      <c r="R17" s="8"/>
      <c r="S17" s="31"/>
    </row>
    <row r="18" spans="1:19" s="2" customFormat="1" ht="19.649999999999999" customHeight="1" x14ac:dyDescent="0.2">
      <c r="A18" s="14" t="s">
        <v>53</v>
      </c>
      <c r="B18" s="45"/>
      <c r="C18" s="14"/>
      <c r="D18" s="54">
        <f t="shared" si="2"/>
        <v>6</v>
      </c>
      <c r="E18" s="13" t="s">
        <v>75</v>
      </c>
      <c r="F18" s="13" t="s">
        <v>70</v>
      </c>
      <c r="G18" s="58" t="s">
        <v>76</v>
      </c>
      <c r="H18" s="45">
        <v>1</v>
      </c>
      <c r="I18" s="70">
        <v>3564</v>
      </c>
      <c r="J18" s="50">
        <f t="shared" si="0"/>
        <v>3564</v>
      </c>
      <c r="K18" s="1"/>
      <c r="L18" s="15" t="s">
        <v>77</v>
      </c>
      <c r="M18" s="14"/>
      <c r="N18" s="14"/>
      <c r="O18" s="8"/>
      <c r="P18" s="13"/>
      <c r="Q18" s="14"/>
      <c r="R18" s="8"/>
      <c r="S18" s="31"/>
    </row>
    <row r="19" spans="1:19" s="2" customFormat="1" ht="19.649999999999999" customHeight="1" x14ac:dyDescent="0.2">
      <c r="A19" s="14" t="s">
        <v>53</v>
      </c>
      <c r="B19" s="45"/>
      <c r="C19" s="14"/>
      <c r="D19" s="54">
        <f t="shared" si="2"/>
        <v>7</v>
      </c>
      <c r="E19" s="13" t="s">
        <v>50</v>
      </c>
      <c r="F19" s="13" t="s">
        <v>50</v>
      </c>
      <c r="G19" s="56" t="s">
        <v>61</v>
      </c>
      <c r="H19" s="55">
        <v>2</v>
      </c>
      <c r="I19" s="57">
        <v>187</v>
      </c>
      <c r="J19" s="44">
        <f t="shared" si="0"/>
        <v>374</v>
      </c>
      <c r="K19" s="1"/>
      <c r="L19" s="15" t="s">
        <v>57</v>
      </c>
      <c r="M19" s="14"/>
      <c r="N19" s="14"/>
      <c r="O19" s="8"/>
      <c r="P19" s="13"/>
      <c r="Q19" s="14"/>
      <c r="R19" s="8"/>
      <c r="S19" s="31"/>
    </row>
    <row r="20" spans="1:19" s="2" customFormat="1" ht="19.649999999999999" customHeight="1" x14ac:dyDescent="0.2">
      <c r="A20" s="14" t="s">
        <v>53</v>
      </c>
      <c r="B20" s="45"/>
      <c r="C20" s="14"/>
      <c r="D20" s="54">
        <f t="shared" si="2"/>
        <v>8</v>
      </c>
      <c r="E20" s="13" t="s">
        <v>70</v>
      </c>
      <c r="F20" s="13" t="s">
        <v>70</v>
      </c>
      <c r="G20" s="59" t="s">
        <v>78</v>
      </c>
      <c r="H20" s="60">
        <v>1</v>
      </c>
      <c r="I20" s="60">
        <v>2029</v>
      </c>
      <c r="J20" s="18">
        <f t="shared" si="0"/>
        <v>2029</v>
      </c>
      <c r="K20" s="48"/>
      <c r="L20" s="15" t="s">
        <v>79</v>
      </c>
      <c r="M20" s="14"/>
      <c r="N20" s="14"/>
      <c r="O20" s="8"/>
      <c r="P20" s="13"/>
      <c r="Q20" s="14"/>
      <c r="R20" s="8"/>
      <c r="S20" s="31"/>
    </row>
    <row r="21" spans="1:19" s="2" customFormat="1" ht="19.649999999999999" customHeight="1" x14ac:dyDescent="0.2">
      <c r="A21" s="14" t="s">
        <v>53</v>
      </c>
      <c r="B21" s="45"/>
      <c r="C21" s="14"/>
      <c r="D21" s="54">
        <f>+D20+1</f>
        <v>9</v>
      </c>
      <c r="E21" s="13" t="s">
        <v>50</v>
      </c>
      <c r="F21" s="13" t="s">
        <v>50</v>
      </c>
      <c r="G21" s="67" t="s">
        <v>56</v>
      </c>
      <c r="H21" s="68"/>
      <c r="I21" s="68">
        <v>225</v>
      </c>
      <c r="J21" s="44">
        <f t="shared" si="0"/>
        <v>0</v>
      </c>
      <c r="K21" s="46">
        <v>6</v>
      </c>
      <c r="L21" s="20" t="s">
        <v>112</v>
      </c>
      <c r="M21" s="14"/>
      <c r="N21" s="14"/>
      <c r="O21" s="8"/>
      <c r="P21" s="13"/>
      <c r="Q21" s="14"/>
      <c r="R21" s="8"/>
      <c r="S21" s="31"/>
    </row>
    <row r="22" spans="1:19" s="2" customFormat="1" ht="19.649999999999999" customHeight="1" x14ac:dyDescent="0.2">
      <c r="A22" s="14" t="s">
        <v>53</v>
      </c>
      <c r="B22" s="45"/>
      <c r="C22" s="14"/>
      <c r="D22" s="54">
        <f>+D21+1</f>
        <v>10</v>
      </c>
      <c r="E22" s="13" t="s">
        <v>50</v>
      </c>
      <c r="F22" s="13" t="s">
        <v>50</v>
      </c>
      <c r="G22" s="56" t="s">
        <v>62</v>
      </c>
      <c r="H22" s="55">
        <v>2</v>
      </c>
      <c r="I22" s="57">
        <v>574</v>
      </c>
      <c r="J22" s="44">
        <f t="shared" si="0"/>
        <v>1148</v>
      </c>
      <c r="K22" s="1"/>
      <c r="L22" s="15" t="s">
        <v>98</v>
      </c>
      <c r="M22" s="14"/>
      <c r="N22" s="14"/>
      <c r="O22" s="8"/>
      <c r="P22" s="13"/>
      <c r="Q22" s="14"/>
      <c r="R22" s="8"/>
      <c r="S22" s="31"/>
    </row>
    <row r="23" spans="1:19" s="2" customFormat="1" ht="19.649999999999999" customHeight="1" x14ac:dyDescent="0.2">
      <c r="A23" s="14" t="s">
        <v>51</v>
      </c>
      <c r="B23" s="45"/>
      <c r="C23" s="14"/>
      <c r="D23" s="54">
        <f>+D22+1</f>
        <v>11</v>
      </c>
      <c r="E23" s="13" t="s">
        <v>49</v>
      </c>
      <c r="F23" s="13" t="s">
        <v>50</v>
      </c>
      <c r="G23" s="56" t="s">
        <v>69</v>
      </c>
      <c r="H23" s="55">
        <v>1</v>
      </c>
      <c r="I23" s="57">
        <v>27163</v>
      </c>
      <c r="J23" s="44">
        <f t="shared" si="0"/>
        <v>27163</v>
      </c>
      <c r="K23" s="1"/>
      <c r="L23" s="15" t="s">
        <v>63</v>
      </c>
      <c r="M23" s="14"/>
      <c r="N23" s="14"/>
      <c r="O23" s="8"/>
      <c r="P23" s="13"/>
      <c r="Q23" s="14"/>
      <c r="R23" s="8"/>
      <c r="S23" s="31"/>
    </row>
    <row r="24" spans="1:19" s="2" customFormat="1" ht="19.649999999999999" customHeight="1" x14ac:dyDescent="0.2">
      <c r="A24" s="14" t="s">
        <v>53</v>
      </c>
      <c r="B24" s="45"/>
      <c r="C24" s="14"/>
      <c r="D24" s="54">
        <f t="shared" ref="D24:D27" si="3">+D23+1</f>
        <v>12</v>
      </c>
      <c r="E24" s="13" t="s">
        <v>50</v>
      </c>
      <c r="F24" s="13" t="s">
        <v>50</v>
      </c>
      <c r="G24" s="56" t="s">
        <v>64</v>
      </c>
      <c r="H24" s="55">
        <v>2</v>
      </c>
      <c r="I24" s="57">
        <v>1019</v>
      </c>
      <c r="J24" s="44">
        <f t="shared" si="0"/>
        <v>2038</v>
      </c>
      <c r="K24" s="1"/>
      <c r="L24" s="22" t="s">
        <v>82</v>
      </c>
      <c r="M24" s="14"/>
      <c r="N24" s="14"/>
      <c r="O24" s="8"/>
      <c r="P24" s="13"/>
      <c r="Q24" s="14"/>
      <c r="R24" s="8"/>
      <c r="S24" s="31"/>
    </row>
    <row r="25" spans="1:19" s="2" customFormat="1" ht="19.649999999999999" customHeight="1" x14ac:dyDescent="0.2">
      <c r="A25" s="14" t="s">
        <v>53</v>
      </c>
      <c r="B25" s="45"/>
      <c r="C25" s="14"/>
      <c r="D25" s="54">
        <f t="shared" si="3"/>
        <v>13</v>
      </c>
      <c r="E25" s="13" t="s">
        <v>50</v>
      </c>
      <c r="F25" s="13" t="s">
        <v>50</v>
      </c>
      <c r="G25" s="56" t="s">
        <v>65</v>
      </c>
      <c r="H25" s="55">
        <v>4</v>
      </c>
      <c r="I25" s="57">
        <v>1079</v>
      </c>
      <c r="J25" s="44">
        <f t="shared" si="0"/>
        <v>4316</v>
      </c>
      <c r="K25" s="1"/>
      <c r="L25" s="22" t="s">
        <v>82</v>
      </c>
      <c r="M25" s="14"/>
      <c r="N25" s="14"/>
      <c r="O25" s="8"/>
      <c r="P25" s="13"/>
      <c r="Q25" s="14"/>
      <c r="R25" s="8"/>
      <c r="S25" s="31"/>
    </row>
    <row r="26" spans="1:19" s="2" customFormat="1" ht="19.649999999999999" customHeight="1" x14ac:dyDescent="0.2">
      <c r="A26" s="14" t="s">
        <v>53</v>
      </c>
      <c r="B26" s="45"/>
      <c r="C26" s="14"/>
      <c r="D26" s="54">
        <f t="shared" si="3"/>
        <v>14</v>
      </c>
      <c r="E26" s="13" t="s">
        <v>50</v>
      </c>
      <c r="F26" s="13" t="s">
        <v>50</v>
      </c>
      <c r="G26" s="56" t="s">
        <v>66</v>
      </c>
      <c r="H26" s="55">
        <v>17</v>
      </c>
      <c r="I26" s="57">
        <v>41</v>
      </c>
      <c r="J26" s="44">
        <f t="shared" si="0"/>
        <v>697</v>
      </c>
      <c r="K26" s="1">
        <v>12</v>
      </c>
      <c r="L26" s="15" t="s">
        <v>113</v>
      </c>
      <c r="M26" s="14"/>
      <c r="N26" s="14"/>
      <c r="O26" s="8"/>
      <c r="P26" s="13"/>
      <c r="Q26" s="14"/>
      <c r="R26" s="8"/>
      <c r="S26" s="31"/>
    </row>
    <row r="27" spans="1:19" s="2" customFormat="1" ht="19.649999999999999" customHeight="1" x14ac:dyDescent="0.2">
      <c r="A27" s="14" t="s">
        <v>53</v>
      </c>
      <c r="B27" s="45"/>
      <c r="C27" s="14"/>
      <c r="D27" s="54">
        <f t="shared" si="3"/>
        <v>15</v>
      </c>
      <c r="E27" s="13" t="s">
        <v>50</v>
      </c>
      <c r="F27" s="13" t="s">
        <v>50</v>
      </c>
      <c r="G27" s="56" t="s">
        <v>55</v>
      </c>
      <c r="H27" s="55">
        <v>8</v>
      </c>
      <c r="I27" s="57">
        <v>112</v>
      </c>
      <c r="J27" s="44">
        <f t="shared" si="0"/>
        <v>896</v>
      </c>
      <c r="K27" s="1"/>
      <c r="L27" s="15" t="s">
        <v>54</v>
      </c>
      <c r="M27" s="14"/>
      <c r="N27" s="14"/>
      <c r="O27" s="8"/>
      <c r="P27" s="13"/>
      <c r="Q27" s="14"/>
      <c r="R27" s="8"/>
      <c r="S27" s="31"/>
    </row>
    <row r="28" spans="1:19" s="2" customFormat="1" ht="19.649999999999999" customHeight="1" x14ac:dyDescent="0.2">
      <c r="A28" s="14" t="s">
        <v>52</v>
      </c>
      <c r="B28" s="45"/>
      <c r="C28" s="14"/>
      <c r="D28" s="54">
        <f>+D27+1</f>
        <v>16</v>
      </c>
      <c r="E28" s="13" t="s">
        <v>50</v>
      </c>
      <c r="F28" s="13" t="s">
        <v>50</v>
      </c>
      <c r="G28" s="56" t="s">
        <v>67</v>
      </c>
      <c r="H28" s="55">
        <v>2</v>
      </c>
      <c r="I28" s="57">
        <v>623</v>
      </c>
      <c r="J28" s="44">
        <f t="shared" si="0"/>
        <v>1246</v>
      </c>
      <c r="K28" s="1"/>
      <c r="L28" s="22" t="s">
        <v>83</v>
      </c>
      <c r="M28" s="14"/>
      <c r="N28" s="14"/>
      <c r="O28" s="8"/>
      <c r="P28" s="13"/>
      <c r="Q28" s="14"/>
      <c r="R28" s="8"/>
      <c r="S28" s="31"/>
    </row>
    <row r="29" spans="1:19" s="2" customFormat="1" ht="19.649999999999999" customHeight="1" x14ac:dyDescent="0.2">
      <c r="A29" s="14" t="s">
        <v>53</v>
      </c>
      <c r="B29" s="45"/>
      <c r="C29" s="14"/>
      <c r="D29" s="54">
        <f t="shared" ref="D29" si="4">+D28+1</f>
        <v>17</v>
      </c>
      <c r="E29" s="13" t="s">
        <v>50</v>
      </c>
      <c r="F29" s="13" t="s">
        <v>50</v>
      </c>
      <c r="G29" s="56" t="s">
        <v>68</v>
      </c>
      <c r="H29" s="55">
        <v>1</v>
      </c>
      <c r="I29" s="57">
        <v>640</v>
      </c>
      <c r="J29" s="44">
        <f t="shared" si="0"/>
        <v>640</v>
      </c>
      <c r="K29" s="1"/>
      <c r="L29" s="22" t="s">
        <v>82</v>
      </c>
      <c r="M29" s="14"/>
      <c r="N29" s="14"/>
      <c r="O29" s="8"/>
      <c r="P29" s="13"/>
      <c r="Q29" s="14"/>
      <c r="R29" s="8"/>
      <c r="S29" s="31"/>
    </row>
    <row r="30" spans="1:19" s="2" customFormat="1" ht="19.649999999999999" customHeight="1" x14ac:dyDescent="0.2">
      <c r="A30" s="14" t="s">
        <v>53</v>
      </c>
      <c r="B30" s="14"/>
      <c r="C30" s="14"/>
      <c r="D30" s="54">
        <f>+D29+1</f>
        <v>18</v>
      </c>
      <c r="E30" s="16" t="s">
        <v>70</v>
      </c>
      <c r="F30" s="16" t="s">
        <v>70</v>
      </c>
      <c r="G30" s="62" t="s">
        <v>81</v>
      </c>
      <c r="H30" s="49">
        <v>1</v>
      </c>
      <c r="I30" s="71">
        <v>8277</v>
      </c>
      <c r="J30" s="21">
        <f t="shared" si="0"/>
        <v>8277</v>
      </c>
      <c r="K30" s="1"/>
      <c r="L30" s="12" t="s">
        <v>71</v>
      </c>
      <c r="M30" s="14"/>
      <c r="N30" s="14"/>
      <c r="O30" s="8"/>
      <c r="P30" s="13"/>
      <c r="Q30" s="14"/>
      <c r="R30" s="8"/>
      <c r="S30" s="31"/>
    </row>
    <row r="31" spans="1:19" s="2" customFormat="1" ht="19.649999999999999" customHeight="1" x14ac:dyDescent="0.2">
      <c r="A31" s="14" t="s">
        <v>53</v>
      </c>
      <c r="B31" s="14"/>
      <c r="C31" s="14"/>
      <c r="D31" s="54">
        <f t="shared" ref="D31:D44" si="5">+D30+1</f>
        <v>19</v>
      </c>
      <c r="E31" s="16" t="s">
        <v>70</v>
      </c>
      <c r="F31" s="16" t="s">
        <v>70</v>
      </c>
      <c r="G31" s="62" t="s">
        <v>80</v>
      </c>
      <c r="H31" s="49">
        <v>1</v>
      </c>
      <c r="I31" s="71">
        <v>5228</v>
      </c>
      <c r="J31" s="21">
        <f t="shared" si="0"/>
        <v>5228</v>
      </c>
      <c r="K31" s="1"/>
      <c r="L31" s="12" t="s">
        <v>72</v>
      </c>
      <c r="M31" s="14"/>
      <c r="N31" s="14"/>
      <c r="O31" s="8"/>
      <c r="P31" s="13"/>
      <c r="Q31" s="14"/>
      <c r="R31" s="8"/>
      <c r="S31" s="31"/>
    </row>
    <row r="32" spans="1:19" s="2" customFormat="1" ht="19.649999999999999" customHeight="1" x14ac:dyDescent="0.2">
      <c r="A32" s="14" t="s">
        <v>53</v>
      </c>
      <c r="B32" s="45"/>
      <c r="C32" s="14"/>
      <c r="D32" s="54">
        <f>+D31+1</f>
        <v>20</v>
      </c>
      <c r="E32" s="13" t="s">
        <v>70</v>
      </c>
      <c r="F32" s="13" t="s">
        <v>70</v>
      </c>
      <c r="G32" s="58" t="s">
        <v>73</v>
      </c>
      <c r="H32" s="45">
        <v>1</v>
      </c>
      <c r="I32" s="70">
        <v>2860</v>
      </c>
      <c r="J32" s="50">
        <f t="shared" si="0"/>
        <v>2860</v>
      </c>
      <c r="K32" s="1"/>
      <c r="L32" s="15" t="s">
        <v>74</v>
      </c>
      <c r="M32" s="14"/>
      <c r="N32" s="14"/>
      <c r="O32" s="8"/>
      <c r="P32" s="13"/>
      <c r="Q32" s="14"/>
      <c r="R32" s="8"/>
      <c r="S32" s="31"/>
    </row>
    <row r="33" spans="1:19" s="2" customFormat="1" ht="19.649999999999999" customHeight="1" x14ac:dyDescent="0.2">
      <c r="A33" s="14" t="s">
        <v>52</v>
      </c>
      <c r="B33" s="45"/>
      <c r="C33" s="14"/>
      <c r="D33" s="54">
        <f t="shared" si="5"/>
        <v>21</v>
      </c>
      <c r="E33" s="13" t="s">
        <v>49</v>
      </c>
      <c r="F33" s="13" t="s">
        <v>50</v>
      </c>
      <c r="G33" s="58" t="s">
        <v>94</v>
      </c>
      <c r="H33" s="63">
        <v>1</v>
      </c>
      <c r="I33" s="70">
        <v>2613</v>
      </c>
      <c r="J33" s="50">
        <f t="shared" si="0"/>
        <v>2613</v>
      </c>
      <c r="K33" s="1">
        <v>1</v>
      </c>
      <c r="L33" s="15" t="s">
        <v>84</v>
      </c>
      <c r="M33" s="14"/>
      <c r="N33" s="14"/>
      <c r="O33" s="8"/>
      <c r="P33" s="13"/>
      <c r="Q33" s="14"/>
      <c r="R33" s="8"/>
      <c r="S33" s="31"/>
    </row>
    <row r="34" spans="1:19" s="2" customFormat="1" ht="19.649999999999999" customHeight="1" x14ac:dyDescent="0.2">
      <c r="A34" s="14" t="s">
        <v>53</v>
      </c>
      <c r="B34" s="45"/>
      <c r="C34" s="14"/>
      <c r="D34" s="54">
        <f t="shared" si="5"/>
        <v>22</v>
      </c>
      <c r="E34" s="13" t="s">
        <v>70</v>
      </c>
      <c r="F34" s="13" t="s">
        <v>70</v>
      </c>
      <c r="G34" s="58" t="s">
        <v>85</v>
      </c>
      <c r="H34" s="63">
        <v>4</v>
      </c>
      <c r="I34" s="70">
        <v>130</v>
      </c>
      <c r="J34" s="50">
        <f t="shared" si="0"/>
        <v>520</v>
      </c>
      <c r="K34" s="1">
        <v>2</v>
      </c>
      <c r="L34" s="15" t="s">
        <v>108</v>
      </c>
      <c r="M34" s="14"/>
      <c r="N34" s="14"/>
      <c r="O34" s="8"/>
      <c r="P34" s="13"/>
      <c r="Q34" s="14"/>
      <c r="R34" s="8"/>
      <c r="S34" s="31"/>
    </row>
    <row r="35" spans="1:19" s="2" customFormat="1" ht="19.649999999999999" customHeight="1" x14ac:dyDescent="0.2">
      <c r="A35" s="14" t="s">
        <v>53</v>
      </c>
      <c r="B35" s="45"/>
      <c r="C35" s="14"/>
      <c r="D35" s="54">
        <f t="shared" si="5"/>
        <v>23</v>
      </c>
      <c r="E35" s="13" t="s">
        <v>70</v>
      </c>
      <c r="F35" s="13" t="s">
        <v>70</v>
      </c>
      <c r="G35" s="58" t="s">
        <v>86</v>
      </c>
      <c r="H35" s="63">
        <v>2</v>
      </c>
      <c r="I35" s="70">
        <v>83</v>
      </c>
      <c r="J35" s="50">
        <f t="shared" si="0"/>
        <v>166</v>
      </c>
      <c r="K35" s="1">
        <v>2</v>
      </c>
      <c r="L35" s="15" t="s">
        <v>87</v>
      </c>
      <c r="M35" s="14"/>
      <c r="N35" s="14"/>
      <c r="O35" s="8"/>
      <c r="P35" s="13"/>
      <c r="Q35" s="14"/>
      <c r="R35" s="8"/>
      <c r="S35" s="31"/>
    </row>
    <row r="36" spans="1:19" s="2" customFormat="1" ht="19.649999999999999" customHeight="1" x14ac:dyDescent="0.2">
      <c r="A36" s="14" t="s">
        <v>53</v>
      </c>
      <c r="B36" s="45"/>
      <c r="C36" s="14"/>
      <c r="D36" s="54">
        <f t="shared" si="5"/>
        <v>24</v>
      </c>
      <c r="E36" s="13" t="s">
        <v>70</v>
      </c>
      <c r="F36" s="13" t="s">
        <v>70</v>
      </c>
      <c r="G36" s="58" t="s">
        <v>88</v>
      </c>
      <c r="H36" s="63">
        <v>2</v>
      </c>
      <c r="I36" s="70">
        <v>187</v>
      </c>
      <c r="J36" s="50">
        <f t="shared" si="0"/>
        <v>374</v>
      </c>
      <c r="K36" s="1">
        <v>2</v>
      </c>
      <c r="L36" s="15" t="s">
        <v>57</v>
      </c>
      <c r="M36" s="14"/>
      <c r="N36" s="14"/>
      <c r="O36" s="8"/>
      <c r="P36" s="13"/>
      <c r="Q36" s="14"/>
      <c r="R36" s="8"/>
      <c r="S36" s="31"/>
    </row>
    <row r="37" spans="1:19" s="2" customFormat="1" ht="19.649999999999999" customHeight="1" x14ac:dyDescent="0.2">
      <c r="A37" s="14" t="s">
        <v>53</v>
      </c>
      <c r="B37" s="45"/>
      <c r="C37" s="14"/>
      <c r="D37" s="54">
        <f t="shared" si="5"/>
        <v>25</v>
      </c>
      <c r="E37" s="13" t="s">
        <v>70</v>
      </c>
      <c r="F37" s="13" t="s">
        <v>70</v>
      </c>
      <c r="G37" s="64" t="s">
        <v>66</v>
      </c>
      <c r="H37" s="65"/>
      <c r="I37" s="66">
        <v>375</v>
      </c>
      <c r="J37" s="50">
        <f t="shared" si="0"/>
        <v>0</v>
      </c>
      <c r="K37" s="1">
        <v>2</v>
      </c>
      <c r="L37" s="15" t="s">
        <v>114</v>
      </c>
      <c r="M37" s="14"/>
      <c r="N37" s="14"/>
      <c r="O37" s="8"/>
      <c r="P37" s="13"/>
      <c r="Q37" s="14"/>
      <c r="R37" s="8"/>
      <c r="S37" s="31"/>
    </row>
    <row r="38" spans="1:19" s="2" customFormat="1" ht="19.649999999999999" customHeight="1" x14ac:dyDescent="0.2">
      <c r="A38" s="14" t="s">
        <v>53</v>
      </c>
      <c r="B38" s="45"/>
      <c r="C38" s="14"/>
      <c r="D38" s="54">
        <f t="shared" si="5"/>
        <v>26</v>
      </c>
      <c r="E38" s="13" t="s">
        <v>70</v>
      </c>
      <c r="F38" s="13" t="s">
        <v>70</v>
      </c>
      <c r="G38" s="58" t="s">
        <v>89</v>
      </c>
      <c r="H38" s="63">
        <v>2</v>
      </c>
      <c r="I38" s="70">
        <v>32</v>
      </c>
      <c r="J38" s="50">
        <f t="shared" si="0"/>
        <v>64</v>
      </c>
      <c r="K38" s="1">
        <v>2</v>
      </c>
      <c r="L38" s="15" t="s">
        <v>90</v>
      </c>
      <c r="M38" s="14"/>
      <c r="N38" s="14"/>
      <c r="O38" s="8"/>
      <c r="P38" s="13"/>
      <c r="Q38" s="14"/>
      <c r="R38" s="8"/>
      <c r="S38" s="31"/>
    </row>
    <row r="39" spans="1:19" s="2" customFormat="1" ht="19.649999999999999" customHeight="1" x14ac:dyDescent="0.2">
      <c r="A39" s="14" t="s">
        <v>52</v>
      </c>
      <c r="B39" s="45"/>
      <c r="C39" s="14"/>
      <c r="D39" s="54">
        <f t="shared" si="5"/>
        <v>27</v>
      </c>
      <c r="E39" s="13" t="s">
        <v>49</v>
      </c>
      <c r="F39" s="13" t="s">
        <v>50</v>
      </c>
      <c r="G39" s="58" t="s">
        <v>95</v>
      </c>
      <c r="H39" s="63">
        <v>1</v>
      </c>
      <c r="I39" s="70">
        <v>12471</v>
      </c>
      <c r="J39" s="50">
        <f t="shared" si="0"/>
        <v>12471</v>
      </c>
      <c r="K39" s="1">
        <v>1</v>
      </c>
      <c r="L39" s="15" t="s">
        <v>91</v>
      </c>
      <c r="M39" s="14"/>
      <c r="N39" s="14"/>
      <c r="O39" s="8"/>
      <c r="P39" s="13"/>
      <c r="Q39" s="14"/>
      <c r="R39" s="8"/>
      <c r="S39" s="31"/>
    </row>
    <row r="40" spans="1:19" s="2" customFormat="1" ht="19.649999999999999" customHeight="1" x14ac:dyDescent="0.2">
      <c r="A40" s="14" t="s">
        <v>53</v>
      </c>
      <c r="B40" s="45"/>
      <c r="C40" s="14"/>
      <c r="D40" s="54">
        <f t="shared" si="5"/>
        <v>28</v>
      </c>
      <c r="E40" s="13" t="s">
        <v>70</v>
      </c>
      <c r="F40" s="13" t="s">
        <v>70</v>
      </c>
      <c r="G40" s="64" t="s">
        <v>85</v>
      </c>
      <c r="H40" s="65"/>
      <c r="I40" s="66">
        <v>260</v>
      </c>
      <c r="J40" s="50">
        <f t="shared" si="0"/>
        <v>0</v>
      </c>
      <c r="K40" s="1">
        <v>2</v>
      </c>
      <c r="L40" s="15" t="s">
        <v>109</v>
      </c>
      <c r="M40" s="14"/>
      <c r="N40" s="14"/>
      <c r="O40" s="8"/>
      <c r="P40" s="13"/>
      <c r="Q40" s="14"/>
      <c r="R40" s="8"/>
      <c r="S40" s="31"/>
    </row>
    <row r="41" spans="1:19" s="2" customFormat="1" ht="19.649999999999999" customHeight="1" x14ac:dyDescent="0.2">
      <c r="A41" s="14" t="s">
        <v>53</v>
      </c>
      <c r="B41" s="45"/>
      <c r="C41" s="14"/>
      <c r="D41" s="54">
        <f t="shared" si="5"/>
        <v>29</v>
      </c>
      <c r="E41" s="13" t="s">
        <v>70</v>
      </c>
      <c r="F41" s="13" t="s">
        <v>70</v>
      </c>
      <c r="G41" s="64" t="s">
        <v>66</v>
      </c>
      <c r="H41" s="65"/>
      <c r="I41" s="66">
        <v>375</v>
      </c>
      <c r="J41" s="50">
        <f t="shared" si="0"/>
        <v>0</v>
      </c>
      <c r="K41" s="1">
        <v>3</v>
      </c>
      <c r="L41" s="15" t="s">
        <v>110</v>
      </c>
      <c r="M41" s="14"/>
      <c r="N41" s="14"/>
      <c r="O41" s="8"/>
      <c r="P41" s="13"/>
      <c r="Q41" s="14"/>
      <c r="R41" s="8"/>
      <c r="S41" s="31"/>
    </row>
    <row r="42" spans="1:19" s="2" customFormat="1" ht="19.649999999999999" customHeight="1" x14ac:dyDescent="0.2">
      <c r="A42" s="14" t="s">
        <v>53</v>
      </c>
      <c r="B42" s="45"/>
      <c r="C42" s="14"/>
      <c r="D42" s="54">
        <f t="shared" si="5"/>
        <v>30</v>
      </c>
      <c r="E42" s="13" t="s">
        <v>70</v>
      </c>
      <c r="F42" s="13" t="s">
        <v>70</v>
      </c>
      <c r="G42" s="58" t="s">
        <v>92</v>
      </c>
      <c r="H42" s="63">
        <v>2</v>
      </c>
      <c r="I42" s="70">
        <v>142</v>
      </c>
      <c r="J42" s="50">
        <f t="shared" si="0"/>
        <v>284</v>
      </c>
      <c r="K42" s="1">
        <v>2</v>
      </c>
      <c r="L42" s="15" t="s">
        <v>54</v>
      </c>
      <c r="M42" s="14"/>
      <c r="N42" s="14"/>
      <c r="O42" s="8"/>
      <c r="P42" s="13"/>
      <c r="Q42" s="14"/>
      <c r="R42" s="8"/>
      <c r="S42" s="31"/>
    </row>
    <row r="43" spans="1:19" s="2" customFormat="1" ht="19.649999999999999" customHeight="1" x14ac:dyDescent="0.2">
      <c r="A43" s="14" t="s">
        <v>53</v>
      </c>
      <c r="B43" s="45"/>
      <c r="C43" s="14"/>
      <c r="D43" s="54">
        <f t="shared" si="5"/>
        <v>31</v>
      </c>
      <c r="E43" s="13" t="s">
        <v>70</v>
      </c>
      <c r="F43" s="13" t="s">
        <v>70</v>
      </c>
      <c r="G43" s="58" t="s">
        <v>93</v>
      </c>
      <c r="H43" s="63">
        <v>1</v>
      </c>
      <c r="I43" s="70">
        <v>4039</v>
      </c>
      <c r="J43" s="50">
        <f t="shared" si="0"/>
        <v>4039</v>
      </c>
      <c r="K43" s="1">
        <v>1</v>
      </c>
      <c r="L43" s="15" t="s">
        <v>105</v>
      </c>
      <c r="M43" s="14"/>
      <c r="N43" s="14"/>
      <c r="O43" s="8"/>
      <c r="P43" s="13"/>
      <c r="Q43" s="14"/>
      <c r="R43" s="8"/>
      <c r="S43" s="31"/>
    </row>
    <row r="44" spans="1:19" s="53" customFormat="1" ht="19.649999999999999" customHeight="1" x14ac:dyDescent="0.2">
      <c r="A44" s="40"/>
      <c r="B44" s="40"/>
      <c r="C44" s="40"/>
      <c r="D44" s="54">
        <f t="shared" si="5"/>
        <v>32</v>
      </c>
      <c r="E44" s="16"/>
      <c r="F44" s="16"/>
      <c r="G44" s="19"/>
      <c r="H44" s="43"/>
      <c r="I44" s="42"/>
      <c r="J44" s="50"/>
      <c r="K44" s="47"/>
      <c r="L44" s="22"/>
      <c r="M44" s="27"/>
      <c r="N44" s="40"/>
      <c r="O44" s="51"/>
      <c r="P44" s="16"/>
      <c r="Q44" s="40"/>
      <c r="R44" s="51"/>
      <c r="S44" s="52"/>
    </row>
    <row r="45" spans="1:19" s="2" customFormat="1" ht="19.649999999999999" customHeight="1" x14ac:dyDescent="0.2">
      <c r="A45" s="14"/>
      <c r="B45" s="14"/>
      <c r="C45" s="14"/>
      <c r="D45" s="13"/>
      <c r="E45" s="13"/>
      <c r="F45" s="13"/>
      <c r="G45" s="19"/>
      <c r="H45" s="43"/>
      <c r="I45" s="42"/>
      <c r="J45" s="44"/>
      <c r="K45" s="1"/>
      <c r="L45" s="15"/>
      <c r="M45" s="14"/>
      <c r="N45" s="14"/>
      <c r="O45" s="8"/>
      <c r="P45" s="13"/>
      <c r="Q45" s="14"/>
      <c r="R45" s="8"/>
      <c r="S45" s="31"/>
    </row>
    <row r="46" spans="1:19" s="2" customFormat="1" ht="19.649999999999999" customHeight="1" x14ac:dyDescent="0.2">
      <c r="A46" s="14"/>
      <c r="B46" s="14"/>
      <c r="C46" s="14"/>
      <c r="D46" s="13"/>
      <c r="E46" s="13"/>
      <c r="F46" s="13"/>
      <c r="G46" s="23">
        <f>SUM(J13:J45)</f>
        <v>120316</v>
      </c>
      <c r="H46" s="39"/>
      <c r="I46" s="14"/>
      <c r="J46" s="18"/>
      <c r="K46" s="1"/>
      <c r="L46" s="15"/>
      <c r="M46" s="14"/>
      <c r="N46" s="14"/>
      <c r="O46" s="8"/>
      <c r="P46" s="13"/>
      <c r="Q46" s="14"/>
      <c r="R46" s="8"/>
      <c r="S46" s="31"/>
    </row>
    <row r="47" spans="1:19" s="2" customFormat="1" ht="19.649999999999999" customHeight="1" x14ac:dyDescent="0.2">
      <c r="A47" s="14"/>
      <c r="B47" s="14"/>
      <c r="C47" s="14"/>
      <c r="D47" s="13"/>
      <c r="E47" s="13"/>
      <c r="F47" s="13"/>
      <c r="G47" s="15"/>
      <c r="H47" s="39"/>
      <c r="I47" s="14"/>
      <c r="J47" s="18"/>
      <c r="K47" s="1"/>
      <c r="L47" s="15"/>
      <c r="M47" s="14"/>
      <c r="N47" s="14"/>
      <c r="O47" s="8"/>
      <c r="P47" s="13"/>
      <c r="Q47" s="14"/>
      <c r="R47" s="8"/>
      <c r="S47" s="31"/>
    </row>
    <row r="48" spans="1:19" s="2" customFormat="1" ht="19.649999999999999" customHeight="1" x14ac:dyDescent="0.2">
      <c r="A48" s="14"/>
      <c r="B48" s="14"/>
      <c r="C48" s="14"/>
      <c r="D48" s="13"/>
      <c r="E48" s="13"/>
      <c r="F48" s="13"/>
      <c r="G48" s="14"/>
      <c r="H48" s="14"/>
      <c r="I48" s="14"/>
      <c r="J48" s="1"/>
      <c r="K48" s="1"/>
      <c r="L48" s="14"/>
      <c r="M48" s="14"/>
      <c r="N48" s="14"/>
      <c r="O48" s="8"/>
      <c r="P48" s="13"/>
      <c r="Q48" s="14"/>
      <c r="R48" s="8"/>
      <c r="S48" s="31"/>
    </row>
    <row r="49" spans="1:19" s="2" customFormat="1" ht="19.649999999999999" customHeight="1" x14ac:dyDescent="0.2">
      <c r="A49" s="14"/>
      <c r="B49" s="14"/>
      <c r="C49" s="14"/>
      <c r="D49" s="13"/>
      <c r="E49" s="13"/>
      <c r="F49" s="13"/>
      <c r="G49" s="26"/>
      <c r="H49" s="14"/>
      <c r="I49" s="14"/>
      <c r="J49" s="1"/>
      <c r="K49" s="1"/>
      <c r="L49" s="14"/>
      <c r="M49" s="14"/>
      <c r="N49" s="14"/>
      <c r="O49" s="8"/>
      <c r="P49" s="13"/>
      <c r="Q49" s="14"/>
      <c r="R49" s="8"/>
      <c r="S49" s="31"/>
    </row>
    <row r="50" spans="1:19" s="2" customFormat="1" ht="19.649999999999999" customHeight="1" x14ac:dyDescent="0.2">
      <c r="A50" s="14"/>
      <c r="B50" s="14"/>
      <c r="C50" s="14"/>
      <c r="D50" s="13"/>
      <c r="E50" s="13"/>
      <c r="F50" s="13"/>
      <c r="G50" s="15"/>
      <c r="H50" s="39"/>
      <c r="I50" s="14"/>
      <c r="J50" s="18"/>
      <c r="K50" s="41"/>
      <c r="L50" s="15"/>
      <c r="M50" s="14"/>
      <c r="N50" s="14"/>
      <c r="O50" s="8"/>
      <c r="P50" s="13"/>
      <c r="Q50" s="14"/>
      <c r="R50" s="8"/>
      <c r="S50" s="31"/>
    </row>
    <row r="51" spans="1:19" s="2" customFormat="1" ht="19.649999999999999" customHeight="1" x14ac:dyDescent="0.2">
      <c r="A51" s="14"/>
      <c r="B51" s="14"/>
      <c r="C51" s="14"/>
      <c r="D51" s="13"/>
      <c r="E51" s="13"/>
      <c r="F51" s="13"/>
      <c r="G51" s="15"/>
      <c r="H51" s="39"/>
      <c r="I51" s="14"/>
      <c r="J51" s="18"/>
      <c r="K51" s="1"/>
      <c r="L51" s="15"/>
      <c r="M51" s="14"/>
      <c r="N51" s="14"/>
      <c r="O51" s="8"/>
      <c r="P51" s="13"/>
      <c r="Q51" s="14"/>
      <c r="R51" s="8"/>
      <c r="S51" s="31"/>
    </row>
    <row r="52" spans="1:19" s="2" customFormat="1" ht="19.649999999999999" customHeight="1" x14ac:dyDescent="0.2">
      <c r="A52" s="14"/>
      <c r="B52" s="14"/>
      <c r="C52" s="14"/>
      <c r="D52" s="13"/>
      <c r="E52" s="13"/>
      <c r="F52" s="13"/>
      <c r="G52" s="15"/>
      <c r="H52" s="39"/>
      <c r="I52" s="14"/>
      <c r="J52" s="18"/>
      <c r="K52" s="1"/>
      <c r="L52" s="15"/>
      <c r="M52" s="14"/>
      <c r="N52" s="14"/>
      <c r="O52" s="8"/>
      <c r="P52" s="13"/>
      <c r="Q52" s="14"/>
      <c r="R52" s="8"/>
      <c r="S52" s="31"/>
    </row>
    <row r="53" spans="1:19" s="2" customFormat="1" ht="19.649999999999999" customHeight="1" x14ac:dyDescent="0.2">
      <c r="A53" s="14"/>
      <c r="B53" s="14"/>
      <c r="C53" s="14"/>
      <c r="D53" s="13"/>
      <c r="E53" s="13"/>
      <c r="F53" s="13"/>
      <c r="G53" s="15"/>
      <c r="H53" s="39"/>
      <c r="I53" s="14"/>
      <c r="J53" s="18"/>
      <c r="K53" s="1"/>
      <c r="L53" s="15"/>
      <c r="M53" s="14"/>
      <c r="N53" s="14"/>
      <c r="O53" s="8"/>
      <c r="P53" s="13"/>
      <c r="Q53" s="14"/>
      <c r="R53" s="8"/>
      <c r="S53" s="31"/>
    </row>
    <row r="54" spans="1:19" s="24" customFormat="1" x14ac:dyDescent="0.2">
      <c r="A54"/>
      <c r="B54"/>
      <c r="C54"/>
      <c r="D54" s="2"/>
      <c r="E54"/>
      <c r="F54"/>
      <c r="G54"/>
      <c r="H54" s="2"/>
      <c r="I54" s="2"/>
      <c r="J54" s="36"/>
      <c r="K54" s="2"/>
      <c r="L54"/>
      <c r="M54"/>
      <c r="N54" s="2"/>
      <c r="O54" s="9"/>
      <c r="P54"/>
      <c r="Q54" s="6"/>
      <c r="R54" s="10"/>
      <c r="S54" s="11"/>
    </row>
  </sheetData>
  <mergeCells count="8">
    <mergeCell ref="D6:F6"/>
    <mergeCell ref="D2:F2"/>
    <mergeCell ref="I2:K2"/>
    <mergeCell ref="D3:F3"/>
    <mergeCell ref="J3:M4"/>
    <mergeCell ref="D4:F4"/>
    <mergeCell ref="I4:I5"/>
    <mergeCell ref="D5:F5"/>
  </mergeCells>
  <phoneticPr fontId="15"/>
  <dataValidations count="1">
    <dataValidation imeMode="hiragana" allowBlank="1" showInputMessage="1" showErrorMessage="1" sqref="L44 L20 L24:L25 L28:L29" xr:uid="{A1A6BED7-19BD-4601-BBA0-61FB52ECD6BD}"/>
  </dataValidations>
  <pageMargins left="0" right="0" top="0" bottom="0" header="0" footer="0"/>
  <pageSetup paperSize="8" scale="65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121"/>
  <sheetViews>
    <sheetView topLeftCell="A109" workbookViewId="0">
      <selection activeCell="G123" sqref="G123:J123"/>
    </sheetView>
  </sheetViews>
  <sheetFormatPr defaultRowHeight="13.2" x14ac:dyDescent="0.2"/>
  <cols>
    <col min="3" max="3" width="19.88671875" customWidth="1"/>
  </cols>
  <sheetData>
    <row r="1" spans="2:7" x14ac:dyDescent="0.2">
      <c r="B1" t="s">
        <v>46</v>
      </c>
      <c r="D1" t="s">
        <v>45</v>
      </c>
      <c r="G1" t="s">
        <v>47</v>
      </c>
    </row>
    <row r="2" spans="2:7" x14ac:dyDescent="0.2">
      <c r="B2">
        <v>5914</v>
      </c>
      <c r="D2">
        <v>30500</v>
      </c>
      <c r="G2">
        <v>88326</v>
      </c>
    </row>
    <row r="3" spans="2:7" x14ac:dyDescent="0.2">
      <c r="B3">
        <v>792</v>
      </c>
      <c r="D3">
        <v>25000</v>
      </c>
      <c r="G3">
        <v>1596</v>
      </c>
    </row>
    <row r="4" spans="2:7" x14ac:dyDescent="0.2">
      <c r="B4">
        <v>3960</v>
      </c>
      <c r="D4">
        <v>25000</v>
      </c>
      <c r="G4">
        <v>1443</v>
      </c>
    </row>
    <row r="5" spans="2:7" x14ac:dyDescent="0.2">
      <c r="B5">
        <v>2376</v>
      </c>
      <c r="D5">
        <v>25000</v>
      </c>
      <c r="G5">
        <v>684</v>
      </c>
    </row>
    <row r="6" spans="2:7" x14ac:dyDescent="0.2">
      <c r="B6">
        <v>354</v>
      </c>
      <c r="D6">
        <v>13000</v>
      </c>
    </row>
    <row r="7" spans="2:7" x14ac:dyDescent="0.2">
      <c r="B7">
        <v>2376</v>
      </c>
      <c r="D7">
        <v>6500</v>
      </c>
    </row>
    <row r="8" spans="2:7" x14ac:dyDescent="0.2">
      <c r="B8">
        <v>354</v>
      </c>
      <c r="D8">
        <v>24000</v>
      </c>
      <c r="G8">
        <v>2034</v>
      </c>
    </row>
    <row r="9" spans="2:7" x14ac:dyDescent="0.2">
      <c r="B9">
        <v>4752</v>
      </c>
      <c r="D9">
        <v>13500</v>
      </c>
      <c r="G9">
        <v>67036</v>
      </c>
    </row>
    <row r="10" spans="2:7" x14ac:dyDescent="0.2">
      <c r="B10">
        <v>792</v>
      </c>
      <c r="G10">
        <v>82612</v>
      </c>
    </row>
    <row r="11" spans="2:7" x14ac:dyDescent="0.2">
      <c r="B11">
        <v>4355</v>
      </c>
      <c r="D11">
        <v>21500</v>
      </c>
      <c r="G11">
        <v>280</v>
      </c>
    </row>
    <row r="12" spans="2:7" x14ac:dyDescent="0.2">
      <c r="B12">
        <v>5226</v>
      </c>
      <c r="D12">
        <v>1080</v>
      </c>
      <c r="G12">
        <v>792</v>
      </c>
    </row>
    <row r="13" spans="2:7" x14ac:dyDescent="0.2">
      <c r="B13">
        <v>5820</v>
      </c>
      <c r="D13">
        <v>3840</v>
      </c>
      <c r="G13">
        <v>996</v>
      </c>
    </row>
    <row r="14" spans="2:7" x14ac:dyDescent="0.2">
      <c r="B14">
        <v>14697</v>
      </c>
      <c r="D14">
        <v>2380</v>
      </c>
      <c r="G14">
        <v>1120</v>
      </c>
    </row>
    <row r="15" spans="2:7" x14ac:dyDescent="0.2">
      <c r="B15">
        <v>3544</v>
      </c>
      <c r="G15">
        <v>3780</v>
      </c>
    </row>
    <row r="16" spans="2:7" x14ac:dyDescent="0.2">
      <c r="B16">
        <v>18650</v>
      </c>
      <c r="G16">
        <v>10740</v>
      </c>
    </row>
    <row r="17" spans="2:7" x14ac:dyDescent="0.2">
      <c r="B17">
        <v>1760</v>
      </c>
      <c r="D17">
        <v>2400</v>
      </c>
      <c r="G17">
        <v>1746</v>
      </c>
    </row>
    <row r="18" spans="2:7" x14ac:dyDescent="0.2">
      <c r="B18">
        <v>13160</v>
      </c>
      <c r="D18">
        <v>12000</v>
      </c>
      <c r="G18">
        <v>47364</v>
      </c>
    </row>
    <row r="19" spans="2:7" x14ac:dyDescent="0.2">
      <c r="B19">
        <v>15760</v>
      </c>
      <c r="D19">
        <v>124628</v>
      </c>
      <c r="G19">
        <v>280</v>
      </c>
    </row>
    <row r="20" spans="2:7" x14ac:dyDescent="0.2">
      <c r="B20">
        <v>17620</v>
      </c>
      <c r="G20">
        <v>996</v>
      </c>
    </row>
    <row r="21" spans="2:7" x14ac:dyDescent="0.2">
      <c r="B21">
        <v>472</v>
      </c>
      <c r="D21">
        <f>SUM(D2:D20)</f>
        <v>330328</v>
      </c>
      <c r="G21">
        <v>945</v>
      </c>
    </row>
    <row r="22" spans="2:7" x14ac:dyDescent="0.2">
      <c r="B22">
        <v>880</v>
      </c>
      <c r="G22">
        <v>1746</v>
      </c>
    </row>
    <row r="23" spans="2:7" x14ac:dyDescent="0.2">
      <c r="B23">
        <v>60000</v>
      </c>
      <c r="G23">
        <v>27140</v>
      </c>
    </row>
    <row r="24" spans="2:7" x14ac:dyDescent="0.2">
      <c r="B24">
        <v>20000</v>
      </c>
      <c r="G24">
        <v>888</v>
      </c>
    </row>
    <row r="25" spans="2:7" x14ac:dyDescent="0.2">
      <c r="B25">
        <v>368</v>
      </c>
      <c r="G25">
        <v>720</v>
      </c>
    </row>
    <row r="26" spans="2:7" x14ac:dyDescent="0.2">
      <c r="B26">
        <v>4364</v>
      </c>
      <c r="G26">
        <v>39490</v>
      </c>
    </row>
    <row r="27" spans="2:7" x14ac:dyDescent="0.2">
      <c r="B27">
        <v>23530</v>
      </c>
      <c r="G27">
        <v>720</v>
      </c>
    </row>
    <row r="28" spans="2:7" x14ac:dyDescent="0.2">
      <c r="B28">
        <v>448</v>
      </c>
      <c r="G28">
        <v>31421</v>
      </c>
    </row>
    <row r="29" spans="2:7" x14ac:dyDescent="0.2">
      <c r="B29">
        <v>37774</v>
      </c>
      <c r="G29">
        <v>280</v>
      </c>
    </row>
    <row r="30" spans="2:7" x14ac:dyDescent="0.2">
      <c r="B30">
        <v>784</v>
      </c>
      <c r="G30">
        <v>996</v>
      </c>
    </row>
    <row r="31" spans="2:7" x14ac:dyDescent="0.2">
      <c r="B31">
        <v>308</v>
      </c>
      <c r="G31">
        <v>945</v>
      </c>
    </row>
    <row r="32" spans="2:7" x14ac:dyDescent="0.2">
      <c r="B32">
        <v>561</v>
      </c>
      <c r="G32">
        <v>1608</v>
      </c>
    </row>
    <row r="33" spans="2:7" x14ac:dyDescent="0.2">
      <c r="B33">
        <v>392</v>
      </c>
      <c r="G33">
        <v>150000</v>
      </c>
    </row>
    <row r="34" spans="2:7" x14ac:dyDescent="0.2">
      <c r="B34">
        <v>304</v>
      </c>
      <c r="G34">
        <v>5076</v>
      </c>
    </row>
    <row r="35" spans="2:7" x14ac:dyDescent="0.2">
      <c r="B35">
        <v>25343</v>
      </c>
      <c r="G35">
        <v>3492</v>
      </c>
    </row>
    <row r="36" spans="2:7" x14ac:dyDescent="0.2">
      <c r="B36">
        <v>374</v>
      </c>
      <c r="G36">
        <v>90000</v>
      </c>
    </row>
    <row r="37" spans="2:7" x14ac:dyDescent="0.2">
      <c r="B37">
        <v>308</v>
      </c>
      <c r="G37">
        <v>8025</v>
      </c>
    </row>
    <row r="38" spans="2:7" x14ac:dyDescent="0.2">
      <c r="B38">
        <v>191</v>
      </c>
      <c r="G38">
        <v>20480</v>
      </c>
    </row>
    <row r="39" spans="2:7" x14ac:dyDescent="0.2">
      <c r="B39">
        <v>2646</v>
      </c>
      <c r="G39">
        <v>50000</v>
      </c>
    </row>
    <row r="40" spans="2:7" x14ac:dyDescent="0.2">
      <c r="B40">
        <v>38972</v>
      </c>
      <c r="G40">
        <v>8025</v>
      </c>
    </row>
    <row r="41" spans="2:7" x14ac:dyDescent="0.2">
      <c r="B41">
        <v>224</v>
      </c>
      <c r="G41">
        <v>20480</v>
      </c>
    </row>
    <row r="42" spans="2:7" x14ac:dyDescent="0.2">
      <c r="B42">
        <v>308</v>
      </c>
      <c r="G42">
        <v>145000</v>
      </c>
    </row>
    <row r="43" spans="2:7" x14ac:dyDescent="0.2">
      <c r="B43">
        <v>904</v>
      </c>
      <c r="G43">
        <v>8025</v>
      </c>
    </row>
    <row r="44" spans="2:7" x14ac:dyDescent="0.2">
      <c r="B44">
        <v>304</v>
      </c>
      <c r="G44">
        <v>20480</v>
      </c>
    </row>
    <row r="45" spans="2:7" x14ac:dyDescent="0.2">
      <c r="B45">
        <v>28588</v>
      </c>
      <c r="G45">
        <v>1880</v>
      </c>
    </row>
    <row r="46" spans="2:7" x14ac:dyDescent="0.2">
      <c r="B46">
        <v>224</v>
      </c>
      <c r="G46">
        <v>50000</v>
      </c>
    </row>
    <row r="47" spans="2:7" x14ac:dyDescent="0.2">
      <c r="B47">
        <v>374</v>
      </c>
      <c r="G47">
        <v>8025</v>
      </c>
    </row>
    <row r="48" spans="2:7" x14ac:dyDescent="0.2">
      <c r="B48">
        <v>374</v>
      </c>
      <c r="G48">
        <v>20480</v>
      </c>
    </row>
    <row r="49" spans="2:7" x14ac:dyDescent="0.2">
      <c r="B49">
        <v>191</v>
      </c>
      <c r="G49">
        <v>80000</v>
      </c>
    </row>
    <row r="50" spans="2:7" x14ac:dyDescent="0.2">
      <c r="B50">
        <v>904</v>
      </c>
      <c r="G50">
        <v>8025</v>
      </c>
    </row>
    <row r="51" spans="2:7" x14ac:dyDescent="0.2">
      <c r="B51">
        <v>8362</v>
      </c>
      <c r="G51">
        <v>20480</v>
      </c>
    </row>
    <row r="52" spans="2:7" x14ac:dyDescent="0.2">
      <c r="B52">
        <v>112</v>
      </c>
      <c r="G52">
        <v>1880</v>
      </c>
    </row>
    <row r="53" spans="2:7" x14ac:dyDescent="0.2">
      <c r="B53">
        <v>56</v>
      </c>
      <c r="G53">
        <v>110000</v>
      </c>
    </row>
    <row r="54" spans="2:7" x14ac:dyDescent="0.2">
      <c r="B54">
        <v>20.6</v>
      </c>
      <c r="G54">
        <v>8025</v>
      </c>
    </row>
    <row r="55" spans="2:7" x14ac:dyDescent="0.2">
      <c r="B55">
        <v>5915</v>
      </c>
      <c r="G55">
        <v>20480</v>
      </c>
    </row>
    <row r="56" spans="2:7" x14ac:dyDescent="0.2">
      <c r="B56">
        <v>56</v>
      </c>
      <c r="G56">
        <v>1880</v>
      </c>
    </row>
    <row r="57" spans="2:7" x14ac:dyDescent="0.2">
      <c r="B57">
        <v>56</v>
      </c>
    </row>
    <row r="58" spans="2:7" x14ac:dyDescent="0.2">
      <c r="B58">
        <v>20.6</v>
      </c>
      <c r="G58">
        <f>SUM(G8:G57)</f>
        <v>1186913</v>
      </c>
    </row>
    <row r="59" spans="2:7" x14ac:dyDescent="0.2">
      <c r="B59">
        <v>23106</v>
      </c>
    </row>
    <row r="60" spans="2:7" x14ac:dyDescent="0.2">
      <c r="B60">
        <v>224</v>
      </c>
    </row>
    <row r="61" spans="2:7" x14ac:dyDescent="0.2">
      <c r="B61">
        <v>112</v>
      </c>
    </row>
    <row r="62" spans="2:7" x14ac:dyDescent="0.2">
      <c r="B62">
        <v>41.2</v>
      </c>
    </row>
    <row r="63" spans="2:7" x14ac:dyDescent="0.2">
      <c r="B63">
        <v>12832</v>
      </c>
    </row>
    <row r="64" spans="2:7" x14ac:dyDescent="0.2">
      <c r="B64">
        <v>84</v>
      </c>
    </row>
    <row r="65" spans="2:2" x14ac:dyDescent="0.2">
      <c r="B65">
        <v>84</v>
      </c>
    </row>
    <row r="66" spans="2:2" x14ac:dyDescent="0.2">
      <c r="B66">
        <v>30.900000000000002</v>
      </c>
    </row>
    <row r="67" spans="2:2" x14ac:dyDescent="0.2">
      <c r="B67">
        <v>32635</v>
      </c>
    </row>
    <row r="68" spans="2:2" x14ac:dyDescent="0.2">
      <c r="B68">
        <v>560</v>
      </c>
    </row>
    <row r="69" spans="2:2" x14ac:dyDescent="0.2">
      <c r="B69">
        <v>280</v>
      </c>
    </row>
    <row r="70" spans="2:2" x14ac:dyDescent="0.2">
      <c r="B70">
        <v>103</v>
      </c>
    </row>
    <row r="71" spans="2:2" x14ac:dyDescent="0.2">
      <c r="B71">
        <v>5826</v>
      </c>
    </row>
    <row r="72" spans="2:2" x14ac:dyDescent="0.2">
      <c r="B72">
        <v>224</v>
      </c>
    </row>
    <row r="73" spans="2:2" x14ac:dyDescent="0.2">
      <c r="B73">
        <v>4136</v>
      </c>
    </row>
    <row r="74" spans="2:2" x14ac:dyDescent="0.2">
      <c r="B74">
        <v>112</v>
      </c>
    </row>
    <row r="75" spans="2:2" x14ac:dyDescent="0.2">
      <c r="B75">
        <v>4492</v>
      </c>
    </row>
    <row r="76" spans="2:2" x14ac:dyDescent="0.2">
      <c r="B76">
        <v>112</v>
      </c>
    </row>
    <row r="77" spans="2:2" x14ac:dyDescent="0.2">
      <c r="B77">
        <v>56</v>
      </c>
    </row>
    <row r="78" spans="2:2" x14ac:dyDescent="0.2">
      <c r="B78">
        <v>20.6</v>
      </c>
    </row>
    <row r="79" spans="2:2" x14ac:dyDescent="0.2">
      <c r="B79">
        <v>7294</v>
      </c>
    </row>
    <row r="80" spans="2:2" x14ac:dyDescent="0.2">
      <c r="B80">
        <v>224</v>
      </c>
    </row>
    <row r="81" spans="2:2" x14ac:dyDescent="0.2">
      <c r="B81">
        <v>4014</v>
      </c>
    </row>
    <row r="82" spans="2:2" x14ac:dyDescent="0.2">
      <c r="B82">
        <v>112</v>
      </c>
    </row>
    <row r="83" spans="2:2" x14ac:dyDescent="0.2">
      <c r="B83">
        <v>56</v>
      </c>
    </row>
    <row r="84" spans="2:2" x14ac:dyDescent="0.2">
      <c r="B84">
        <v>20.6</v>
      </c>
    </row>
    <row r="85" spans="2:2" x14ac:dyDescent="0.2">
      <c r="B85">
        <v>7539</v>
      </c>
    </row>
    <row r="86" spans="2:2" x14ac:dyDescent="0.2">
      <c r="B86">
        <v>112</v>
      </c>
    </row>
    <row r="87" spans="2:2" x14ac:dyDescent="0.2">
      <c r="B87">
        <v>56</v>
      </c>
    </row>
    <row r="88" spans="2:2" x14ac:dyDescent="0.2">
      <c r="B88">
        <v>20.6</v>
      </c>
    </row>
    <row r="89" spans="2:2" x14ac:dyDescent="0.2">
      <c r="B89">
        <v>15987</v>
      </c>
    </row>
    <row r="90" spans="2:2" x14ac:dyDescent="0.2">
      <c r="B90">
        <v>9784</v>
      </c>
    </row>
    <row r="91" spans="2:2" x14ac:dyDescent="0.2">
      <c r="B91">
        <v>224</v>
      </c>
    </row>
    <row r="92" spans="2:2" x14ac:dyDescent="0.2">
      <c r="B92">
        <v>5293</v>
      </c>
    </row>
    <row r="93" spans="2:2" x14ac:dyDescent="0.2">
      <c r="B93">
        <v>112</v>
      </c>
    </row>
    <row r="94" spans="2:2" x14ac:dyDescent="0.2">
      <c r="B94">
        <v>56</v>
      </c>
    </row>
    <row r="95" spans="2:2" x14ac:dyDescent="0.2">
      <c r="B95">
        <v>20.6</v>
      </c>
    </row>
    <row r="96" spans="2:2" x14ac:dyDescent="0.2">
      <c r="B96">
        <v>8062</v>
      </c>
    </row>
    <row r="97" spans="2:2" x14ac:dyDescent="0.2">
      <c r="B97">
        <v>112</v>
      </c>
    </row>
    <row r="98" spans="2:2" x14ac:dyDescent="0.2">
      <c r="B98">
        <v>56</v>
      </c>
    </row>
    <row r="99" spans="2:2" x14ac:dyDescent="0.2">
      <c r="B99">
        <v>20.6</v>
      </c>
    </row>
    <row r="100" spans="2:2" x14ac:dyDescent="0.2">
      <c r="B100">
        <v>13788</v>
      </c>
    </row>
    <row r="101" spans="2:2" x14ac:dyDescent="0.2">
      <c r="B101">
        <v>224</v>
      </c>
    </row>
    <row r="102" spans="2:2" x14ac:dyDescent="0.2">
      <c r="B102">
        <v>112</v>
      </c>
    </row>
    <row r="103" spans="2:2" x14ac:dyDescent="0.2">
      <c r="B103">
        <v>41.2</v>
      </c>
    </row>
    <row r="104" spans="2:2" x14ac:dyDescent="0.2">
      <c r="B104">
        <v>9073</v>
      </c>
    </row>
    <row r="105" spans="2:2" x14ac:dyDescent="0.2">
      <c r="B105">
        <v>41766</v>
      </c>
    </row>
    <row r="106" spans="2:2" x14ac:dyDescent="0.2">
      <c r="B106">
        <v>224</v>
      </c>
    </row>
    <row r="107" spans="2:2" x14ac:dyDescent="0.2">
      <c r="B107">
        <v>224</v>
      </c>
    </row>
    <row r="108" spans="2:2" x14ac:dyDescent="0.2">
      <c r="B108">
        <v>82.4</v>
      </c>
    </row>
    <row r="109" spans="2:2" x14ac:dyDescent="0.2">
      <c r="B109">
        <v>48594</v>
      </c>
    </row>
    <row r="110" spans="2:2" x14ac:dyDescent="0.2">
      <c r="B110">
        <v>112</v>
      </c>
    </row>
    <row r="111" spans="2:2" x14ac:dyDescent="0.2">
      <c r="B111">
        <v>112</v>
      </c>
    </row>
    <row r="112" spans="2:2" x14ac:dyDescent="0.2">
      <c r="B112">
        <v>41.2</v>
      </c>
    </row>
    <row r="113" spans="2:2" x14ac:dyDescent="0.2">
      <c r="B113">
        <v>5015</v>
      </c>
    </row>
    <row r="114" spans="2:2" x14ac:dyDescent="0.2">
      <c r="B114">
        <v>84</v>
      </c>
    </row>
    <row r="115" spans="2:2" x14ac:dyDescent="0.2">
      <c r="B115">
        <v>240</v>
      </c>
    </row>
    <row r="116" spans="2:2" x14ac:dyDescent="0.2">
      <c r="B116">
        <v>339</v>
      </c>
    </row>
    <row r="117" spans="2:2" x14ac:dyDescent="0.2">
      <c r="B117">
        <v>4364</v>
      </c>
    </row>
    <row r="118" spans="2:2" x14ac:dyDescent="0.2">
      <c r="B118">
        <v>23530</v>
      </c>
    </row>
    <row r="119" spans="2:2" x14ac:dyDescent="0.2">
      <c r="B119">
        <v>448</v>
      </c>
    </row>
    <row r="121" spans="2:2" x14ac:dyDescent="0.2">
      <c r="B121">
        <f>SUM(B2:B119)</f>
        <v>679934.09999999986</v>
      </c>
    </row>
  </sheetData>
  <phoneticPr fontId="2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ED990B-30BC-4F86-9BD5-38F4ECB58E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SETB0298-A01　20260310 ①</vt:lpstr>
      <vt:lpstr>元々　SETB0298-A01　20260310 ① </vt:lpstr>
      <vt:lpstr>Sheet3</vt:lpstr>
      <vt:lpstr>'SETB0298-A01　20260310 ①'!Print_Area</vt:lpstr>
      <vt:lpstr>'元々　SETB0298-A01　20260310 ①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齋藤 秀昭</cp:lastModifiedBy>
  <cp:lastPrinted>2018-12-14T00:20:12Z</cp:lastPrinted>
  <dcterms:created xsi:type="dcterms:W3CDTF">2011-12-13T06:48:43Z</dcterms:created>
  <dcterms:modified xsi:type="dcterms:W3CDTF">2026-03-25T09:16:10Z</dcterms:modified>
</cp:coreProperties>
</file>