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2609ECB-2783-4D60-A2D1-1E8AF6F22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Sheet1!$B$8:$O$13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7" i="1"/>
  <c r="H18" i="1"/>
  <c r="H20" i="1"/>
  <c r="H9" i="1"/>
  <c r="H10" i="1"/>
  <c r="H11" i="1"/>
  <c r="H12" i="1"/>
  <c r="H13" i="1"/>
  <c r="H14" i="1"/>
  <c r="H15" i="1"/>
  <c r="H16" i="1"/>
  <c r="H21" i="1"/>
  <c r="H22" i="1"/>
  <c r="H25" i="1"/>
  <c r="H24" i="1"/>
  <c r="H23" i="1"/>
  <c r="J2" i="1" l="1"/>
</calcChain>
</file>

<file path=xl/sharedStrings.xml><?xml version="1.0" encoding="utf-8"?>
<sst xmlns="http://schemas.openxmlformats.org/spreadsheetml/2006/main" count="114" uniqueCount="66">
  <si>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</si>
  <si>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</si>
  <si>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</si>
  <si>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</si>
  <si>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</si>
  <si>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</si>
  <si>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</si>
  <si>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</si>
  <si>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</si>
  <si>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</si>
  <si>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</si>
  <si>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</si>
  <si>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</si>
  <si>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</si>
  <si>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</si>
  <si>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</si>
  <si>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</si>
  <si>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</si>
  <si>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</si>
  <si>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</si>
  <si>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</si>
  <si>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日立パワーデバイス</t>
    <rPh sb="0" eb="2">
      <t>ヒタチ</t>
    </rPh>
    <phoneticPr fontId="1"/>
  </si>
  <si>
    <t>冨沢</t>
    <rPh sb="0" eb="2">
      <t>トミザワ</t>
    </rPh>
    <phoneticPr fontId="1"/>
  </si>
  <si>
    <t>詳細</t>
    <rPh sb="0" eb="2">
      <t>ショウサイ</t>
    </rPh>
    <phoneticPr fontId="1"/>
  </si>
  <si>
    <t>MISUMI</t>
    <phoneticPr fontId="1"/>
  </si>
  <si>
    <t>デアルセンス</t>
    <phoneticPr fontId="1"/>
  </si>
  <si>
    <t>■SETA0308-Z01-A(ｶｯﾌﾟﾌﾞﾛｯｸ)</t>
  </si>
  <si>
    <t>■SETA0308-Z02-A(ﾉｽﾞﾙﾊﾞｷｭｰﾑﾄｯﾌﾟ)</t>
  </si>
  <si>
    <t>■SETA0308-Z03-A(ﾌﾟﾚｰﾄ)</t>
  </si>
  <si>
    <t>5-079-01　</t>
  </si>
  <si>
    <t>AW20-01BE-D</t>
  </si>
  <si>
    <t>DCLS-D5-V2-H7-T1.6-L10</t>
  </si>
  <si>
    <t>MNCNL6-M5</t>
  </si>
  <si>
    <t>MSELL6-1</t>
  </si>
  <si>
    <t>NSSW32</t>
  </si>
  <si>
    <t>SRP6</t>
  </si>
  <si>
    <t>USYL6</t>
  </si>
  <si>
    <t>ZK2A10J5NL2A-06-B</t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</si>
  <si>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</si>
  <si>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</si>
  <si>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</si>
  <si>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MVTUP-PCN-4FT-65963</t>
  </si>
  <si>
    <t>MVSHM-3N03002-4FT-ZEGJT</t>
  </si>
  <si>
    <t>ﾏﾙｴﾑ</t>
    <phoneticPr fontId="1"/>
  </si>
  <si>
    <t>石鍋</t>
    <rPh sb="0" eb="2">
      <t>イシナベ</t>
    </rPh>
    <phoneticPr fontId="1"/>
  </si>
  <si>
    <t>真空ｴｼﾞｪｸﾀｼｽﾃﾑ</t>
    <rPh sb="0" eb="2">
      <t>シンクウ</t>
    </rPh>
    <phoneticPr fontId="1"/>
  </si>
  <si>
    <t>ﾜﾝﾀｯﾁﾂｷﾞﾃ(USYL)</t>
  </si>
  <si>
    <t>ｷｭｳﾁｬｸﾊﾟｯﾄﾞ SRP</t>
  </si>
  <si>
    <t>Oﾘﾝｸﾞ(NSSW)</t>
  </si>
  <si>
    <t>ﾜﾝﾀｯﾁﾂｷﾞﾃ(MSELL)</t>
  </si>
  <si>
    <t>ﾐﾆﾁｭｱﾜﾝﾀｯﾁﾂｷﾞﾃ (MNCNL)</t>
  </si>
  <si>
    <t>ｷﾝｿﾞｸｽﾍﾟｰｻ(DCLS)</t>
  </si>
  <si>
    <t>SMC FRLﾕﾆｯﾄ</t>
  </si>
  <si>
    <t>ﾐﾆｶｯﾌﾟ 5cc(100個入り)</t>
    <rPh sb="14" eb="15">
      <t>コ</t>
    </rPh>
    <rPh sb="15" eb="16">
      <t>イ</t>
    </rPh>
    <phoneticPr fontId="1"/>
  </si>
  <si>
    <t>該当項目なし</t>
    <rPh sb="0" eb="2">
      <t>ガイトウ</t>
    </rPh>
    <rPh sb="2" eb="4">
      <t>コウモク</t>
    </rPh>
    <phoneticPr fontId="1"/>
  </si>
  <si>
    <t>230852</t>
    <phoneticPr fontId="1"/>
  </si>
  <si>
    <t>SMC</t>
    <phoneticPr fontId="1"/>
  </si>
  <si>
    <t>ACS</t>
    <phoneticPr fontId="1"/>
  </si>
  <si>
    <t>Web発注済</t>
    <rPh sb="0" eb="5">
      <t>ウェBハッチュウ</t>
    </rPh>
    <rPh sb="5" eb="6">
      <t>スミ</t>
    </rPh>
    <phoneticPr fontId="1"/>
  </si>
  <si>
    <t>見積取得後発注願います。</t>
    <rPh sb="0" eb="5">
      <t>ミツモリシュトクゴ</t>
    </rPh>
    <rPh sb="5" eb="8">
      <t>ハッチュウネガ</t>
    </rPh>
    <phoneticPr fontId="1"/>
  </si>
  <si>
    <t>MVBLK-AMW-4FT-PCLTC</t>
  </si>
  <si>
    <t>SCB4-25</t>
  </si>
  <si>
    <t>SCB5-12</t>
  </si>
  <si>
    <t>ﾛｯｶｸｱﾅﾂｷﾎﾞﾙﾄ(SCB)</t>
  </si>
  <si>
    <t>TWSSS12-5-5.0</t>
    <phoneticPr fontId="1"/>
  </si>
  <si>
    <t>ｷﾝｿﾞｸﾜｯｼｬ (TWSSS)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</si>
</sst>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6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8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18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3" fontId="0" fillId="3" borderId="4" xfId="0" applyNumberFormat="1" applyFill="1" applyBorder="1" applyAlignment="1">
      <alignment horizontal="center" vertical="center"/>
    </xf>
    <xf numFmtId="3" fontId="0" fillId="3" borderId="1" xfId="0" applyNumberFormat="1" applyFill="1" applyBorder="1">
      <alignment vertical="center"/>
    </xf>
    <xf numFmtId="3" fontId="0" fillId="3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10" fillId="0" borderId="1" xfId="0" applyNumberFormat="1" applyFont="1" applyBorder="1" applyAlignment="1">
      <alignment horizontal="right" vertical="center"/>
    </xf>
    <xf numFmtId="56" fontId="0" fillId="0" borderId="1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3" fontId="0" fillId="3" borderId="5" xfId="0" applyNumberFormat="1" applyFill="1" applyBorder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  <xf numFmtId="3" fontId="0" fillId="3" borderId="8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10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4</xdr:col>
      <xdr:colOff>9525</xdr:colOff>
      <xdr:row>13</xdr:row>
      <xdr:rowOff>0</xdr:rowOff>
    </xdr:to>
    <xdr:pic>
      <xdr:nvPicPr>
        <xdr:cNvPr id="3578" name="図 1" descr="https://b90.yahoo.co.jp/c?yahoo_ydn_conv_io=NEvrQ8AOLDWGHWqBFMn9&amp;yahoo_ydn_conv_label=TM46FZMC38LDBDXYARI476212&amp;yahoo_ydn_conv_transaction_id=&amp;yahoo_ydn_conv_value=0&amp;r=1631847693.417853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B04EAA33-47CD-45C0-9944-3BC533BE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</xdr:colOff>
      <xdr:row>13</xdr:row>
      <xdr:rowOff>0</xdr:rowOff>
    </xdr:from>
    <xdr:to>
      <xdr:col>4</xdr:col>
      <xdr:colOff>19050</xdr:colOff>
      <xdr:row>13</xdr:row>
      <xdr:rowOff>0</xdr:rowOff>
    </xdr:to>
    <xdr:pic>
      <xdr:nvPicPr>
        <xdr:cNvPr id="3579" name="図 2" descr="https://b90.yahoo.co.jp/c?yahoo_ydn_conv_io=nA4lIUEOLDXnzX8sErh8&amp;yahoo_ydn_conv_label=Y0RL0K7Z9E30SDFHRCB717301&amp;yahoo_ydn_conv_transaction_id=&amp;yahoo_ydn_conv_value=0&amp;r=1631847693.629276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251C1CC2-7252-41D6-B9C2-DC63C7FA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13</xdr:row>
      <xdr:rowOff>0</xdr:rowOff>
    </xdr:from>
    <xdr:to>
      <xdr:col>4</xdr:col>
      <xdr:colOff>47625</xdr:colOff>
      <xdr:row>13</xdr:row>
      <xdr:rowOff>0</xdr:rowOff>
    </xdr:to>
    <xdr:pic>
      <xdr:nvPicPr>
        <xdr:cNvPr id="3580" name="図 3" descr="https://b90.yahoo.co.jp/c?yahoo_ydn_conv_io=NEvrQ8AOLDWGHWqBFMn9&amp;yahoo_ydn_conv_label=OT6RXFRIM4QEDNVWSQL476214&amp;yahoo_ydn_conv_transaction_id=&amp;yahoo_ydn_conv_value=0&amp;r=1631847704.3765597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D52C0559-E799-4FDD-8AB4-22D1B290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0</xdr:rowOff>
    </xdr:from>
    <xdr:to>
      <xdr:col>4</xdr:col>
      <xdr:colOff>66675</xdr:colOff>
      <xdr:row>13</xdr:row>
      <xdr:rowOff>0</xdr:rowOff>
    </xdr:to>
    <xdr:pic>
      <xdr:nvPicPr>
        <xdr:cNvPr id="3581" name="図 4" descr="https://b90.yahoo.co.jp/c?yahoo_ydn_conv_io=nA4lIUEOLDXnzX8sErh8&amp;yahoo_ydn_conv_label=QKRFXIFH7LWN0P7V2WI716417&amp;yahoo_ydn_conv_transaction_id=&amp;yahoo_ydn_conv_value=0&amp;r=1631847704.292744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22AEA996-35C1-4DB1-9C77-1B3E61B6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13</xdr:row>
      <xdr:rowOff>0</xdr:rowOff>
    </xdr:from>
    <xdr:to>
      <xdr:col>4</xdr:col>
      <xdr:colOff>85725</xdr:colOff>
      <xdr:row>13</xdr:row>
      <xdr:rowOff>0</xdr:rowOff>
    </xdr:to>
    <xdr:pic>
      <xdr:nvPicPr>
        <xdr:cNvPr id="3582" name="図 5" descr="https://b90.yahoo.co.jp/c?yahoo_ydn_conv_io=NEvrQ8AOLDWGHWqBFMn9&amp;yahoo_ydn_conv_label=TM46FZMC38LDBDXYARI476212&amp;yahoo_ydn_conv_transaction_id=&amp;yahoo_ydn_conv_value=0&amp;r=1631847773.825779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59627D14-44A5-4590-BFE4-ECD9423E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13</xdr:row>
      <xdr:rowOff>0</xdr:rowOff>
    </xdr:from>
    <xdr:to>
      <xdr:col>4</xdr:col>
      <xdr:colOff>104775</xdr:colOff>
      <xdr:row>13</xdr:row>
      <xdr:rowOff>0</xdr:rowOff>
    </xdr:to>
    <xdr:pic>
      <xdr:nvPicPr>
        <xdr:cNvPr id="3583" name="図 6" descr="https://b90.yahoo.co.jp/c?yahoo_ydn_conv_io=nA4lIUEOLDXnzX8sErh8&amp;yahoo_ydn_conv_label=Y0RL0K7Z9E30SDFHRCB717301&amp;yahoo_ydn_conv_transaction_id=&amp;yahoo_ydn_conv_value=0&amp;r=1631847773.852156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DE91FFD1-37EA-491B-8737-B03E68E13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13</xdr:row>
      <xdr:rowOff>0</xdr:rowOff>
    </xdr:from>
    <xdr:to>
      <xdr:col>4</xdr:col>
      <xdr:colOff>123825</xdr:colOff>
      <xdr:row>13</xdr:row>
      <xdr:rowOff>0</xdr:rowOff>
    </xdr:to>
    <xdr:pic>
      <xdr:nvPicPr>
        <xdr:cNvPr id="3584" name="図 7" descr="https://b90.yahoo.co.jp/c?yahoo_ydn_conv_io=NEvrQ8AOLDWGHWqBFMn9&amp;yahoo_ydn_conv_label=TM46FZMC38LDBDXYARI476212&amp;yahoo_ydn_conv_transaction_id=&amp;yahoo_ydn_conv_value=0&amp;r=1631847950.604559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479215DE-0B69-45EE-A945-97A5EDFF5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13</xdr:row>
      <xdr:rowOff>0</xdr:rowOff>
    </xdr:from>
    <xdr:to>
      <xdr:col>4</xdr:col>
      <xdr:colOff>152400</xdr:colOff>
      <xdr:row>13</xdr:row>
      <xdr:rowOff>0</xdr:rowOff>
    </xdr:to>
    <xdr:pic>
      <xdr:nvPicPr>
        <xdr:cNvPr id="3585" name="図 8" descr="https://b90.yahoo.co.jp/c?yahoo_ydn_conv_io=nA4lIUEOLDXnzX8sErh8&amp;yahoo_ydn_conv_label=Y0RL0K7Z9E30SDFHRCB717301&amp;yahoo_ydn_conv_transaction_id=&amp;yahoo_ydn_conv_value=0&amp;r=1631847950.7460696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E3741638-FA5F-4B0D-8AA0-0CB3EE38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13</xdr:row>
      <xdr:rowOff>0</xdr:rowOff>
    </xdr:from>
    <xdr:to>
      <xdr:col>4</xdr:col>
      <xdr:colOff>161925</xdr:colOff>
      <xdr:row>13</xdr:row>
      <xdr:rowOff>0</xdr:rowOff>
    </xdr:to>
    <xdr:pic>
      <xdr:nvPicPr>
        <xdr:cNvPr id="3586" name="図 9" descr="https://b90.yahoo.co.jp/c?yahoo_ydn_conv_io=NEvrQ8AOLDWGHWqBFMn9&amp;yahoo_ydn_conv_label=OT6RXFRIM4QEDNVWSQL476214&amp;yahoo_ydn_conv_transaction_id=&amp;yahoo_ydn_conv_value=0&amp;r=1631847984.138097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345143F4-783B-4B40-A378-7FD0C9C3E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13</xdr:row>
      <xdr:rowOff>0</xdr:rowOff>
    </xdr:from>
    <xdr:to>
      <xdr:col>4</xdr:col>
      <xdr:colOff>180975</xdr:colOff>
      <xdr:row>13</xdr:row>
      <xdr:rowOff>0</xdr:rowOff>
    </xdr:to>
    <xdr:pic>
      <xdr:nvPicPr>
        <xdr:cNvPr id="3587" name="図 10" descr="https://b90.yahoo.co.jp/c?yahoo_ydn_conv_io=nA4lIUEOLDXnzX8sErh8&amp;yahoo_ydn_conv_label=QKRFXIFH7LWN0P7V2WI716417&amp;yahoo_ydn_conv_transaction_id=&amp;yahoo_ydn_conv_value=0&amp;r=1631847984.875810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84E3375F-280F-4A59-AA85-83680F36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13</xdr:row>
      <xdr:rowOff>0</xdr:rowOff>
    </xdr:from>
    <xdr:to>
      <xdr:col>4</xdr:col>
      <xdr:colOff>200025</xdr:colOff>
      <xdr:row>13</xdr:row>
      <xdr:rowOff>0</xdr:rowOff>
    </xdr:to>
    <xdr:pic>
      <xdr:nvPicPr>
        <xdr:cNvPr id="3588" name="図 11" descr="https://b90.yahoo.co.jp/c?yahoo_ydn_conv_io=NEvrQ8AOLDWGHWqBFMn9&amp;yahoo_ydn_conv_label=TM46FZMC38LDBDXYARI476212&amp;yahoo_ydn_conv_transaction_id=&amp;yahoo_ydn_conv_value=0&amp;r=1631848001.99510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4AAF6A75-66D5-4DB9-816E-F5136EC3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13</xdr:row>
      <xdr:rowOff>0</xdr:rowOff>
    </xdr:from>
    <xdr:to>
      <xdr:col>4</xdr:col>
      <xdr:colOff>219075</xdr:colOff>
      <xdr:row>13</xdr:row>
      <xdr:rowOff>0</xdr:rowOff>
    </xdr:to>
    <xdr:pic>
      <xdr:nvPicPr>
        <xdr:cNvPr id="3589" name="図 12" descr="https://b90.yahoo.co.jp/c?yahoo_ydn_conv_io=nA4lIUEOLDXnzX8sErh8&amp;yahoo_ydn_conv_label=Y0RL0K7Z9E30SDFHRCB717301&amp;yahoo_ydn_conv_transaction_id=&amp;yahoo_ydn_conv_value=0&amp;r=1631848001.993874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23236ACC-82F4-400B-B69A-D4409349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228600</xdr:colOff>
      <xdr:row>13</xdr:row>
      <xdr:rowOff>0</xdr:rowOff>
    </xdr:from>
    <xdr:to>
      <xdr:col>4</xdr:col>
      <xdr:colOff>238125</xdr:colOff>
      <xdr:row>13</xdr:row>
      <xdr:rowOff>0</xdr:rowOff>
    </xdr:to>
    <xdr:pic>
      <xdr:nvPicPr>
        <xdr:cNvPr id="3590" name="図 13" descr="https://b90.yahoo.co.jp/c?yahoo_ydn_conv_io=NEvrQ8AOLDWGHWqBFMn9&amp;yahoo_ydn_conv_label=OT6RXFRIM4QEDNVWSQL476214&amp;yahoo_ydn_conv_transaction_id=&amp;yahoo_ydn_conv_value=0&amp;r=1631852247.595634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B48DEC4D-8E96-4CD6-ACE2-61E1433B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247650</xdr:colOff>
      <xdr:row>13</xdr:row>
      <xdr:rowOff>0</xdr:rowOff>
    </xdr:from>
    <xdr:to>
      <xdr:col>4</xdr:col>
      <xdr:colOff>257175</xdr:colOff>
      <xdr:row>13</xdr:row>
      <xdr:rowOff>0</xdr:rowOff>
    </xdr:to>
    <xdr:pic>
      <xdr:nvPicPr>
        <xdr:cNvPr id="3591" name="図 14" descr="https://b90.yahoo.co.jp/c?yahoo_ydn_conv_io=nA4lIUEOLDXnzX8sErh8&amp;yahoo_ydn_conv_label=QKRFXIFH7LWN0P7V2WI716417&amp;yahoo_ydn_conv_transaction_id=&amp;yahoo_ydn_conv_value=0&amp;r=1631852248.994636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BBCB3A77-87B3-4068-8E62-BC83C470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13</xdr:row>
      <xdr:rowOff>0</xdr:rowOff>
    </xdr:from>
    <xdr:to>
      <xdr:col>4</xdr:col>
      <xdr:colOff>276225</xdr:colOff>
      <xdr:row>13</xdr:row>
      <xdr:rowOff>0</xdr:rowOff>
    </xdr:to>
    <xdr:pic>
      <xdr:nvPicPr>
        <xdr:cNvPr id="3592" name="図 15" descr="https://b90.yahoo.co.jp/c?yahoo_ydn_conv_io=NEvrQ8AOLDWGHWqBFMn9&amp;yahoo_ydn_conv_label=TM46FZMC38LDBDXYARI476212&amp;yahoo_ydn_conv_transaction_id=&amp;yahoo_ydn_conv_value=0&amp;r=1631852258.7451906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A61B63B4-DC2E-459A-9ABB-152646C1E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13</xdr:row>
      <xdr:rowOff>0</xdr:rowOff>
    </xdr:from>
    <xdr:to>
      <xdr:col>4</xdr:col>
      <xdr:colOff>295275</xdr:colOff>
      <xdr:row>13</xdr:row>
      <xdr:rowOff>0</xdr:rowOff>
    </xdr:to>
    <xdr:pic>
      <xdr:nvPicPr>
        <xdr:cNvPr id="3593" name="図 16" descr="https://b90.yahoo.co.jp/c?yahoo_ydn_conv_io=nA4lIUEOLDXnzX8sErh8&amp;yahoo_ydn_conv_label=Y0RL0K7Z9E30SDFHRCB717301&amp;yahoo_ydn_conv_transaction_id=&amp;yahoo_ydn_conv_value=0&amp;r=1631852258.5537734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1EEA3CD2-8756-4331-9960-A38E91A4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13</xdr:row>
      <xdr:rowOff>0</xdr:rowOff>
    </xdr:from>
    <xdr:to>
      <xdr:col>4</xdr:col>
      <xdr:colOff>314325</xdr:colOff>
      <xdr:row>13</xdr:row>
      <xdr:rowOff>0</xdr:rowOff>
    </xdr:to>
    <xdr:pic>
      <xdr:nvPicPr>
        <xdr:cNvPr id="3594" name="図 17" descr="https://b90.yahoo.co.jp/c?yahoo_ydn_conv_io=NEvrQ8AOLDWGHWqBFMn9&amp;yahoo_ydn_conv_label=OT6RXFRIM4QEDNVWSQL476214&amp;yahoo_ydn_conv_transaction_id=&amp;yahoo_ydn_conv_value=0&amp;r=1631852303.92771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FDEB2B47-4950-47C6-A487-CD8A261F1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13</xdr:row>
      <xdr:rowOff>0</xdr:rowOff>
    </xdr:from>
    <xdr:to>
      <xdr:col>4</xdr:col>
      <xdr:colOff>333375</xdr:colOff>
      <xdr:row>13</xdr:row>
      <xdr:rowOff>0</xdr:rowOff>
    </xdr:to>
    <xdr:pic>
      <xdr:nvPicPr>
        <xdr:cNvPr id="3595" name="図 18" descr="https://b90.yahoo.co.jp/c?yahoo_ydn_conv_io=nA4lIUEOLDXnzX8sErh8&amp;yahoo_ydn_conv_label=QKRFXIFH7LWN0P7V2WI716417&amp;yahoo_ydn_conv_transaction_id=&amp;yahoo_ydn_conv_value=0&amp;r=1631852303.596429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7BA15C38-139D-44EC-85EF-16F6C4D07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342900</xdr:colOff>
      <xdr:row>13</xdr:row>
      <xdr:rowOff>0</xdr:rowOff>
    </xdr:from>
    <xdr:to>
      <xdr:col>4</xdr:col>
      <xdr:colOff>352425</xdr:colOff>
      <xdr:row>13</xdr:row>
      <xdr:rowOff>0</xdr:rowOff>
    </xdr:to>
    <xdr:pic>
      <xdr:nvPicPr>
        <xdr:cNvPr id="3596" name="図 19" descr="https://b90.yahoo.co.jp/c?yahoo_ydn_conv_io=NEvrQ8AOLDWGHWqBFMn9&amp;yahoo_ydn_conv_label=TM46FZMC38LDBDXYARI476212&amp;yahoo_ydn_conv_transaction_id=&amp;yahoo_ydn_conv_value=0&amp;r=1631852590.87852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48940AF6-068D-4898-981C-C9A239C58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361950</xdr:colOff>
      <xdr:row>13</xdr:row>
      <xdr:rowOff>0</xdr:rowOff>
    </xdr:from>
    <xdr:to>
      <xdr:col>4</xdr:col>
      <xdr:colOff>371475</xdr:colOff>
      <xdr:row>13</xdr:row>
      <xdr:rowOff>0</xdr:rowOff>
    </xdr:to>
    <xdr:pic>
      <xdr:nvPicPr>
        <xdr:cNvPr id="3597" name="図 20" descr="https://b90.yahoo.co.jp/c?yahoo_ydn_conv_io=nA4lIUEOLDXnzX8sErh8&amp;yahoo_ydn_conv_label=Y0RL0K7Z9E30SDFHRCB717301&amp;yahoo_ydn_conv_transaction_id=&amp;yahoo_ydn_conv_value=0&amp;r=1631852590.67755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4089AA0C-0462-4080-A27F-F889D814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381000</xdr:colOff>
      <xdr:row>13</xdr:row>
      <xdr:rowOff>0</xdr:rowOff>
    </xdr:from>
    <xdr:to>
      <xdr:col>4</xdr:col>
      <xdr:colOff>390525</xdr:colOff>
      <xdr:row>13</xdr:row>
      <xdr:rowOff>0</xdr:rowOff>
    </xdr:to>
    <xdr:pic>
      <xdr:nvPicPr>
        <xdr:cNvPr id="3598" name="図 21" descr="https://b90.yahoo.co.jp/c?yahoo_ydn_conv_io=NEvrQ8AOLDWGHWqBFMn9&amp;yahoo_ydn_conv_label=OT6RXFRIM4QEDNVWSQL476214&amp;yahoo_ydn_conv_transaction_id=&amp;yahoo_ydn_conv_value=0&amp;r=1631853635.0477585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41B77EAD-E1F0-4AE8-82DA-90A357879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400050</xdr:colOff>
      <xdr:row>13</xdr:row>
      <xdr:rowOff>0</xdr:rowOff>
    </xdr:from>
    <xdr:to>
      <xdr:col>4</xdr:col>
      <xdr:colOff>409575</xdr:colOff>
      <xdr:row>13</xdr:row>
      <xdr:rowOff>0</xdr:rowOff>
    </xdr:to>
    <xdr:pic>
      <xdr:nvPicPr>
        <xdr:cNvPr id="3599" name="図 22" descr="https://b90.yahoo.co.jp/c?yahoo_ydn_conv_io=nA4lIUEOLDXnzX8sErh8&amp;yahoo_ydn_conv_label=QKRFXIFH7LWN0P7V2WI716417&amp;yahoo_ydn_conv_transaction_id=&amp;yahoo_ydn_conv_value=0&amp;r=1631853636.693557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F86D8536-95C1-4535-B212-EFB02631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13</xdr:row>
      <xdr:rowOff>0</xdr:rowOff>
    </xdr:from>
    <xdr:to>
      <xdr:col>4</xdr:col>
      <xdr:colOff>428625</xdr:colOff>
      <xdr:row>13</xdr:row>
      <xdr:rowOff>0</xdr:rowOff>
    </xdr:to>
    <xdr:pic>
      <xdr:nvPicPr>
        <xdr:cNvPr id="3600" name="図 23" descr="https://b90.yahoo.co.jp/c?yahoo_ydn_conv_io=NEvrQ8AOLDWGHWqBFMn9&amp;yahoo_ydn_conv_label=TM46FZMC38LDBDXYARI476212&amp;yahoo_ydn_conv_transaction_id=&amp;yahoo_ydn_conv_value=0&amp;r=1631853872.6347708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A9AF03A6-CD27-4802-A7AA-335D5224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438150</xdr:colOff>
      <xdr:row>13</xdr:row>
      <xdr:rowOff>0</xdr:rowOff>
    </xdr:from>
    <xdr:to>
      <xdr:col>4</xdr:col>
      <xdr:colOff>447675</xdr:colOff>
      <xdr:row>13</xdr:row>
      <xdr:rowOff>0</xdr:rowOff>
    </xdr:to>
    <xdr:pic>
      <xdr:nvPicPr>
        <xdr:cNvPr id="3601" name="図 24" descr="https://b90.yahoo.co.jp/c?yahoo_ydn_conv_io=nA4lIUEOLDXnzX8sErh8&amp;yahoo_ydn_conv_label=Y0RL0K7Z9E30SDFHRCB717301&amp;yahoo_ydn_conv_transaction_id=&amp;yahoo_ydn_conv_value=0&amp;r=1631853872.9375484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9862F058-258D-4978-B5FB-53150806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457200</xdr:colOff>
      <xdr:row>13</xdr:row>
      <xdr:rowOff>0</xdr:rowOff>
    </xdr:from>
    <xdr:to>
      <xdr:col>4</xdr:col>
      <xdr:colOff>466725</xdr:colOff>
      <xdr:row>13</xdr:row>
      <xdr:rowOff>0</xdr:rowOff>
    </xdr:to>
    <xdr:pic>
      <xdr:nvPicPr>
        <xdr:cNvPr id="3602" name="図 25" descr="https://b90.yahoo.co.jp/c?yahoo_ydn_conv_io=NEvrQ8AOLDWGHWqBFMn9&amp;yahoo_ydn_conv_label=OT6RXFRIM4QEDNVWSQL476214&amp;yahoo_ydn_conv_transaction_id=&amp;yahoo_ydn_conv_value=0&amp;r=1631854588.5187676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3D4FCC87-A6CB-40D3-A9DE-4B7E468A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476250</xdr:colOff>
      <xdr:row>13</xdr:row>
      <xdr:rowOff>0</xdr:rowOff>
    </xdr:from>
    <xdr:to>
      <xdr:col>4</xdr:col>
      <xdr:colOff>485775</xdr:colOff>
      <xdr:row>13</xdr:row>
      <xdr:rowOff>0</xdr:rowOff>
    </xdr:to>
    <xdr:pic>
      <xdr:nvPicPr>
        <xdr:cNvPr id="3603" name="図 26" descr="https://b90.yahoo.co.jp/c?yahoo_ydn_conv_io=nA4lIUEOLDXnzX8sErh8&amp;yahoo_ydn_conv_label=QKRFXIFH7LWN0P7V2WI716417&amp;yahoo_ydn_conv_transaction_id=&amp;yahoo_ydn_conv_value=0&amp;r=1631854588.742827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5CFB11F7-C0E9-4F50-B815-854916508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504825</xdr:colOff>
      <xdr:row>13</xdr:row>
      <xdr:rowOff>0</xdr:rowOff>
    </xdr:from>
    <xdr:to>
      <xdr:col>4</xdr:col>
      <xdr:colOff>514350</xdr:colOff>
      <xdr:row>13</xdr:row>
      <xdr:rowOff>0</xdr:rowOff>
    </xdr:to>
    <xdr:pic>
      <xdr:nvPicPr>
        <xdr:cNvPr id="3604" name="図 27" descr="https://b90.yahoo.co.jp/c?yahoo_ydn_conv_io=NEvrQ8AOLDWGHWqBFMn9&amp;yahoo_ydn_conv_label=TM46FZMC38LDBDXYARI476212&amp;yahoo_ydn_conv_transaction_id=&amp;yahoo_ydn_conv_value=0&amp;r=1631854591.6790192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E65A7178-D2F1-48D5-A439-709E0E73D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514350</xdr:colOff>
      <xdr:row>13</xdr:row>
      <xdr:rowOff>0</xdr:rowOff>
    </xdr:from>
    <xdr:to>
      <xdr:col>4</xdr:col>
      <xdr:colOff>523875</xdr:colOff>
      <xdr:row>13</xdr:row>
      <xdr:rowOff>0</xdr:rowOff>
    </xdr:to>
    <xdr:pic>
      <xdr:nvPicPr>
        <xdr:cNvPr id="3605" name="図 28" descr="https://b90.yahoo.co.jp/c?yahoo_ydn_conv_io=nA4lIUEOLDXnzX8sErh8&amp;yahoo_ydn_conv_label=Y0RL0K7Z9E30SDFHRCB717301&amp;yahoo_ydn_conv_transaction_id=&amp;yahoo_ydn_conv_value=0&amp;r=1631854591.151709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021997B3-5C0E-486A-A166-2092324F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533400</xdr:colOff>
      <xdr:row>13</xdr:row>
      <xdr:rowOff>0</xdr:rowOff>
    </xdr:from>
    <xdr:to>
      <xdr:col>4</xdr:col>
      <xdr:colOff>542925</xdr:colOff>
      <xdr:row>13</xdr:row>
      <xdr:rowOff>0</xdr:rowOff>
    </xdr:to>
    <xdr:pic>
      <xdr:nvPicPr>
        <xdr:cNvPr id="3606" name="図 29" descr="https://b90.yahoo.co.jp/c?yahoo_ydn_conv_io=NEvrQ8AOLDWGHWqBFMn9&amp;yahoo_ydn_conv_label=OT6RXFRIM4QEDNVWSQL476214&amp;yahoo_ydn_conv_transaction_id=&amp;yahoo_ydn_conv_value=0&amp;r=1631854629.7738814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478699D8-45BD-4894-86AF-975DC1CD0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552450</xdr:colOff>
      <xdr:row>13</xdr:row>
      <xdr:rowOff>0</xdr:rowOff>
    </xdr:from>
    <xdr:to>
      <xdr:col>4</xdr:col>
      <xdr:colOff>561975</xdr:colOff>
      <xdr:row>13</xdr:row>
      <xdr:rowOff>0</xdr:rowOff>
    </xdr:to>
    <xdr:pic>
      <xdr:nvPicPr>
        <xdr:cNvPr id="3607" name="図 30" descr="https://b90.yahoo.co.jp/c?yahoo_ydn_conv_io=nA4lIUEOLDXnzX8sErh8&amp;yahoo_ydn_conv_label=QKRFXIFH7LWN0P7V2WI716417&amp;yahoo_ydn_conv_transaction_id=&amp;yahoo_ydn_conv_value=0&amp;r=1631854629.5732584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53AAA64A-F00A-4AE0-853A-427735D81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571500</xdr:colOff>
      <xdr:row>13</xdr:row>
      <xdr:rowOff>0</xdr:rowOff>
    </xdr:from>
    <xdr:to>
      <xdr:col>4</xdr:col>
      <xdr:colOff>581025</xdr:colOff>
      <xdr:row>13</xdr:row>
      <xdr:rowOff>0</xdr:rowOff>
    </xdr:to>
    <xdr:pic>
      <xdr:nvPicPr>
        <xdr:cNvPr id="3608" name="図 31" descr="https://b90.yahoo.co.jp/c?yahoo_ydn_conv_io=NEvrQ8AOLDWGHWqBFMn9&amp;yahoo_ydn_conv_label=TM46FZMC38LDBDXYARI476212&amp;yahoo_ydn_conv_transaction_id=&amp;yahoo_ydn_conv_value=0&amp;r=1631854908.1376614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DAEBF993-99CB-4805-96FB-01940701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590550</xdr:colOff>
      <xdr:row>13</xdr:row>
      <xdr:rowOff>0</xdr:rowOff>
    </xdr:from>
    <xdr:to>
      <xdr:col>4</xdr:col>
      <xdr:colOff>600075</xdr:colOff>
      <xdr:row>13</xdr:row>
      <xdr:rowOff>0</xdr:rowOff>
    </xdr:to>
    <xdr:pic>
      <xdr:nvPicPr>
        <xdr:cNvPr id="3609" name="図 32" descr="https://b90.yahoo.co.jp/c?yahoo_ydn_conv_io=nA4lIUEOLDXnzX8sErh8&amp;yahoo_ydn_conv_label=Y0RL0K7Z9E30SDFHRCB717301&amp;yahoo_ydn_conv_transaction_id=&amp;yahoo_ydn_conv_value=0&amp;r=1631854908.8890714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E20495EB-AD9F-430F-B8A0-7FF23F47D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609600</xdr:colOff>
      <xdr:row>13</xdr:row>
      <xdr:rowOff>0</xdr:rowOff>
    </xdr:from>
    <xdr:to>
      <xdr:col>4</xdr:col>
      <xdr:colOff>619125</xdr:colOff>
      <xdr:row>13</xdr:row>
      <xdr:rowOff>0</xdr:rowOff>
    </xdr:to>
    <xdr:pic>
      <xdr:nvPicPr>
        <xdr:cNvPr id="3610" name="図 33" descr="https://b90.yahoo.co.jp/c?yahoo_ydn_conv_io=NEvrQ8AOLDWGHWqBFMn9&amp;yahoo_ydn_conv_label=OT6RXFRIM4QEDNVWSQL476214&amp;yahoo_ydn_conv_transaction_id=&amp;yahoo_ydn_conv_value=0&amp;r=1631857057.0471704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81F0089B-A957-4D82-B069-DF0AC1794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628650</xdr:colOff>
      <xdr:row>13</xdr:row>
      <xdr:rowOff>0</xdr:rowOff>
    </xdr:from>
    <xdr:to>
      <xdr:col>4</xdr:col>
      <xdr:colOff>638175</xdr:colOff>
      <xdr:row>13</xdr:row>
      <xdr:rowOff>0</xdr:rowOff>
    </xdr:to>
    <xdr:pic>
      <xdr:nvPicPr>
        <xdr:cNvPr id="3611" name="図 34" descr="https://b90.yahoo.co.jp/c?yahoo_ydn_conv_io=nA4lIUEOLDXnzX8sErh8&amp;yahoo_ydn_conv_label=QKRFXIFH7LWN0P7V2WI716417&amp;yahoo_ydn_conv_transaction_id=&amp;yahoo_ydn_conv_value=0&amp;r=1631857057.8594632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41D5CB06-A1A9-4B91-8FC6-7BEF8963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657225</xdr:colOff>
      <xdr:row>13</xdr:row>
      <xdr:rowOff>0</xdr:rowOff>
    </xdr:from>
    <xdr:to>
      <xdr:col>4</xdr:col>
      <xdr:colOff>666750</xdr:colOff>
      <xdr:row>13</xdr:row>
      <xdr:rowOff>0</xdr:rowOff>
    </xdr:to>
    <xdr:pic>
      <xdr:nvPicPr>
        <xdr:cNvPr id="3612" name="図 35" descr="https://b90.yahoo.co.jp/c?yahoo_ydn_conv_io=NEvrQ8AOLDWGHWqBFMn9&amp;yahoo_ydn_conv_label=TM46FZMC38LDBDXYARI476212&amp;yahoo_ydn_conv_transaction_id=&amp;yahoo_ydn_conv_value=0&amp;r=1631857548.6878583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ECE445DE-0477-48C3-8621-0D1FD1D50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666750</xdr:colOff>
      <xdr:row>13</xdr:row>
      <xdr:rowOff>0</xdr:rowOff>
    </xdr:from>
    <xdr:to>
      <xdr:col>4</xdr:col>
      <xdr:colOff>676275</xdr:colOff>
      <xdr:row>13</xdr:row>
      <xdr:rowOff>0</xdr:rowOff>
    </xdr:to>
    <xdr:pic>
      <xdr:nvPicPr>
        <xdr:cNvPr id="3613" name="図 36" descr="https://b90.yahoo.co.jp/c?yahoo_ydn_conv_io=nA4lIUEOLDXnzX8sErh8&amp;yahoo_ydn_conv_label=Y0RL0K7Z9E30SDFHRCB717301&amp;yahoo_ydn_conv_transaction_id=&amp;yahoo_ydn_conv_value=0&amp;r=1631857548.1236598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66A5EBC1-2D61-421B-932A-DAFAC05D1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685800</xdr:colOff>
      <xdr:row>13</xdr:row>
      <xdr:rowOff>0</xdr:rowOff>
    </xdr:from>
    <xdr:to>
      <xdr:col>4</xdr:col>
      <xdr:colOff>695325</xdr:colOff>
      <xdr:row>13</xdr:row>
      <xdr:rowOff>0</xdr:rowOff>
    </xdr:to>
    <xdr:pic>
      <xdr:nvPicPr>
        <xdr:cNvPr id="3614" name="図 37" descr="https://b90.yahoo.co.jp/c?yahoo_ydn_conv_io=NEvrQ8AOLDWGHWqBFMn9&amp;yahoo_ydn_conv_label=TM46FZMC38LDBDXYARI476212&amp;yahoo_ydn_conv_transaction_id=&amp;yahoo_ydn_conv_value=0&amp;r=1631860798.8090841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035BDA71-C216-4CE3-828F-F1D970321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704850</xdr:colOff>
      <xdr:row>13</xdr:row>
      <xdr:rowOff>0</xdr:rowOff>
    </xdr:from>
    <xdr:to>
      <xdr:col>4</xdr:col>
      <xdr:colOff>714375</xdr:colOff>
      <xdr:row>13</xdr:row>
      <xdr:rowOff>0</xdr:rowOff>
    </xdr:to>
    <xdr:pic>
      <xdr:nvPicPr>
        <xdr:cNvPr id="3615" name="図 38" descr="https://b90.yahoo.co.jp/c?yahoo_ydn_conv_io=nA4lIUEOLDXnzX8sErh8&amp;yahoo_ydn_conv_label=Y0RL0K7Z9E30SDFHRCB717301&amp;yahoo_ydn_conv_transaction_id=&amp;yahoo_ydn_conv_value=0&amp;r=1631860798.622304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9D686479-1623-4562-B465-71EF99F9C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723900</xdr:colOff>
      <xdr:row>13</xdr:row>
      <xdr:rowOff>0</xdr:rowOff>
    </xdr:from>
    <xdr:to>
      <xdr:col>4</xdr:col>
      <xdr:colOff>733425</xdr:colOff>
      <xdr:row>13</xdr:row>
      <xdr:rowOff>0</xdr:rowOff>
    </xdr:to>
    <xdr:pic>
      <xdr:nvPicPr>
        <xdr:cNvPr id="3616" name="図 39" descr="https://b90.yahoo.co.jp/c?yahoo_ydn_conv_io=NEvrQ8AOLDWGHWqBFMn9&amp;yahoo_ydn_conv_label=TM46FZMC38LDBDXYARI476212&amp;yahoo_ydn_conv_transaction_id=&amp;yahoo_ydn_conv_value=0&amp;r=1631860819.9545648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373927D0-BBD6-4C39-B06B-E3F76521C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742950</xdr:colOff>
      <xdr:row>13</xdr:row>
      <xdr:rowOff>0</xdr:rowOff>
    </xdr:from>
    <xdr:to>
      <xdr:col>4</xdr:col>
      <xdr:colOff>752475</xdr:colOff>
      <xdr:row>13</xdr:row>
      <xdr:rowOff>0</xdr:rowOff>
    </xdr:to>
    <xdr:pic>
      <xdr:nvPicPr>
        <xdr:cNvPr id="3617" name="図 40" descr="https://b90.yahoo.co.jp/c?yahoo_ydn_conv_io=nA4lIUEOLDXnzX8sErh8&amp;yahoo_ydn_conv_label=Y0RL0K7Z9E30SDFHRCB717301&amp;yahoo_ydn_conv_transaction_id=&amp;yahoo_ydn_conv_value=0&amp;r=1631860819.2973113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96D88348-B91C-4D1D-8A0A-39E26EC1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762000</xdr:colOff>
      <xdr:row>13</xdr:row>
      <xdr:rowOff>0</xdr:rowOff>
    </xdr:from>
    <xdr:to>
      <xdr:col>4</xdr:col>
      <xdr:colOff>771525</xdr:colOff>
      <xdr:row>13</xdr:row>
      <xdr:rowOff>0</xdr:rowOff>
    </xdr:to>
    <xdr:pic>
      <xdr:nvPicPr>
        <xdr:cNvPr id="3618" name="図 41" descr="https://b90.yahoo.co.jp/c?yahoo_ydn_conv_io=NEvrQ8AOLDWGHWqBFMn9&amp;yahoo_ydn_conv_label=OT6RXFRIM4QEDNVWSQL476214&amp;yahoo_ydn_conv_transaction_id=&amp;yahoo_ydn_conv_value=0&amp;r=1631863999.7663173&amp;yclid=YJAD.1626682176.Az0z9WAAAB8XOqeRwDXjyHPOuvHwA8ODMM7t6tS3nsGc_HfuUylbPNuUO8SpjYUXPOBfNRfM29TXEpfVaVeChT_MyTttVwGWZ0XmqXKTL5ZXpuYlpVyVgOMfJhLsHKqzfEIHEs76fznCQ-lqV0peXn0xyam0NUjgOMkxes9YGDhsO8-rZEuebzU0WezQrkS7GQ&amp;nc=0">
          <a:extLst>
            <a:ext uri="{FF2B5EF4-FFF2-40B4-BE49-F238E27FC236}">
              <a16:creationId xmlns:a16="http://schemas.microsoft.com/office/drawing/2014/main" id="{D9208C8B-3962-4B51-9437-5663FB5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781050</xdr:colOff>
      <xdr:row>13</xdr:row>
      <xdr:rowOff>0</xdr:rowOff>
    </xdr:from>
    <xdr:to>
      <xdr:col>4</xdr:col>
      <xdr:colOff>790575</xdr:colOff>
      <xdr:row>13</xdr:row>
      <xdr:rowOff>0</xdr:rowOff>
    </xdr:to>
    <xdr:pic>
      <xdr:nvPicPr>
        <xdr:cNvPr id="3619" name="図 42" descr="https://b90.yahoo.co.jp/c?yahoo_ydn_conv_io=nA4lIUEOLDXnzX8sErh8&amp;yahoo_ydn_conv_label=QKRFXIFH7LWN0P7V2WI716417&amp;yahoo_ydn_conv_transaction_id=&amp;yahoo_ydn_conv_value=0&amp;r=1631863999.0861182&amp;yclid=YJAD.1626682176.Az0z9WAAAB8XOqeRwDXjyHPOuvHwA8ODMM7t6tS3nsGc_HfuUylbPNuUO8SpjYUXPOBfNRfM29TXEpfVaVeChT_MyTttVwGWZ0XmqXKTL5ZXpuYlpVyVgOMfJhLsHKqzfEIHEs76fznCQ-lqV0peXn0xyam0NUjgOMkxes9YGDhsO8-rZEuebzU0WezQrkS7GQ&amp;_impl=ytag&amp;nc=0">
          <a:extLst>
            <a:ext uri="{FF2B5EF4-FFF2-40B4-BE49-F238E27FC236}">
              <a16:creationId xmlns:a16="http://schemas.microsoft.com/office/drawing/2014/main" id="{06D28A18-D211-4071-81C1-1E015C13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396365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0"/>
  <sheetViews>
    <sheetView tabSelected="1" zoomScale="70" zoomScaleNormal="70" workbookViewId="0">
      <pane ySplit="8" topLeftCell="A9" activePane="bottomLeft" state="frozen"/>
      <selection pane="bottomLeft" activeCell="A19" sqref="A19:XFD19"/>
    </sheetView>
  </sheetViews>
  <sheetFormatPr defaultRowHeight="13.5" x14ac:dyDescent="0.15"/>
  <cols>
    <col min="1" max="1" width="2.625" customWidth="1"/>
    <col min="2" max="2" width="16.375" style="2" bestFit="1" customWidth="1"/>
    <col min="3" max="3" width="20.625" customWidth="1"/>
    <col min="4" max="4" width="20.75" customWidth="1"/>
    <col min="5" max="5" width="69.5" bestFit="1" customWidth="1"/>
    <col min="6" max="6" width="6.25" style="27" customWidth="1"/>
    <col min="7" max="8" width="11.625" style="8" customWidth="1"/>
    <col min="9" max="9" width="5.75" style="6" customWidth="1"/>
    <col min="10" max="10" width="68.625" customWidth="1"/>
    <col min="11" max="11" width="41.5" customWidth="1"/>
    <col min="12" max="12" width="37.25" style="2" customWidth="1"/>
    <col min="13" max="13" width="13.75" style="2" customWidth="1"/>
    <col min="14" max="14" width="6.375" customWidth="1"/>
    <col min="15" max="15" width="13.25" style="6" customWidth="1"/>
    <col min="16" max="16" width="20.625" style="7" customWidth="1"/>
    <col min="17" max="17" width="15.625" style="44" customWidth="1"/>
  </cols>
  <sheetData>
    <row r="2" spans="2:17" ht="20.100000000000001" customHeight="1" x14ac:dyDescent="0.15">
      <c r="B2" s="51" t="s">
        <v>10</v>
      </c>
      <c r="C2" s="51"/>
      <c r="D2" s="51"/>
      <c r="E2" s="19" t="s">
        <v>25</v>
      </c>
      <c r="G2" s="48" t="s">
        <v>14</v>
      </c>
      <c r="H2" s="49"/>
      <c r="I2" s="50"/>
      <c r="J2" s="5">
        <f>SUM(H:H)</f>
        <v>77432</v>
      </c>
    </row>
    <row r="3" spans="2:17" ht="20.100000000000001" customHeight="1" x14ac:dyDescent="0.15">
      <c r="B3" s="51" t="s">
        <v>9</v>
      </c>
      <c r="C3" s="51"/>
      <c r="D3" s="51"/>
      <c r="E3" s="20" t="s">
        <v>22</v>
      </c>
    </row>
    <row r="4" spans="2:17" ht="20.100000000000001" customHeight="1" x14ac:dyDescent="0.15">
      <c r="B4" s="51" t="s">
        <v>11</v>
      </c>
      <c r="C4" s="51"/>
      <c r="D4" s="51"/>
      <c r="E4" s="39" t="s">
        <v>55</v>
      </c>
    </row>
    <row r="5" spans="2:17" ht="20.100000000000001" customHeight="1" x14ac:dyDescent="0.15">
      <c r="B5" s="51" t="s">
        <v>12</v>
      </c>
      <c r="C5" s="51"/>
      <c r="D5" s="51"/>
      <c r="E5" s="21">
        <v>46101</v>
      </c>
    </row>
    <row r="6" spans="2:17" ht="20.100000000000001" customHeight="1" x14ac:dyDescent="0.15">
      <c r="B6" s="51" t="s">
        <v>13</v>
      </c>
      <c r="C6" s="51"/>
      <c r="D6" s="51"/>
      <c r="E6" s="21">
        <v>46114</v>
      </c>
    </row>
    <row r="8" spans="2:17" s="2" customFormat="1" ht="19.7" customHeight="1" x14ac:dyDescent="0.15">
      <c r="B8" s="3" t="s">
        <v>3</v>
      </c>
      <c r="C8" s="3" t="s">
        <v>8</v>
      </c>
      <c r="D8" s="3" t="s">
        <v>4</v>
      </c>
      <c r="E8" s="1" t="s">
        <v>7</v>
      </c>
      <c r="F8" s="24" t="s">
        <v>0</v>
      </c>
      <c r="G8" s="40" t="s">
        <v>1</v>
      </c>
      <c r="H8" s="41" t="s">
        <v>2</v>
      </c>
      <c r="I8" s="25" t="s">
        <v>17</v>
      </c>
      <c r="J8" s="1" t="s">
        <v>23</v>
      </c>
      <c r="K8" s="1" t="s">
        <v>16</v>
      </c>
      <c r="L8" s="1" t="s">
        <v>15</v>
      </c>
      <c r="M8" s="3" t="s">
        <v>5</v>
      </c>
      <c r="N8" s="3" t="s">
        <v>18</v>
      </c>
      <c r="O8" s="1" t="s">
        <v>6</v>
      </c>
      <c r="P8" s="4" t="s">
        <v>19</v>
      </c>
      <c r="Q8" s="10" t="s">
        <v>20</v>
      </c>
    </row>
    <row r="9" spans="2:17" s="12" customFormat="1" ht="19.7" customHeight="1" x14ac:dyDescent="0.15">
      <c r="B9" s="45">
        <v>1</v>
      </c>
      <c r="C9" s="35" t="s">
        <v>24</v>
      </c>
      <c r="D9" s="11" t="s">
        <v>24</v>
      </c>
      <c r="E9" s="14" t="s">
        <v>60</v>
      </c>
      <c r="F9" s="1">
        <v>1</v>
      </c>
      <c r="G9" s="34">
        <v>9998</v>
      </c>
      <c r="H9" s="42">
        <f t="shared" ref="H9:H22" si="0">F9*G9</f>
        <v>9998</v>
      </c>
      <c r="I9" s="13"/>
      <c r="J9" s="26" t="s">
        <v>26</v>
      </c>
      <c r="K9" s="13" t="s">
        <v>58</v>
      </c>
      <c r="L9" s="13"/>
      <c r="M9" s="15">
        <v>46084</v>
      </c>
      <c r="N9" s="11"/>
      <c r="O9" s="17"/>
      <c r="P9" s="17">
        <v>46097</v>
      </c>
      <c r="Q9" s="33"/>
    </row>
    <row r="10" spans="2:17" s="2" customFormat="1" ht="19.7" customHeight="1" x14ac:dyDescent="0.15">
      <c r="B10" s="46"/>
      <c r="C10" s="35" t="s">
        <v>24</v>
      </c>
      <c r="D10" s="11" t="s">
        <v>24</v>
      </c>
      <c r="E10" s="14" t="s">
        <v>41</v>
      </c>
      <c r="F10" s="1">
        <v>1</v>
      </c>
      <c r="G10" s="34">
        <v>3026</v>
      </c>
      <c r="H10" s="42">
        <f t="shared" si="0"/>
        <v>3026</v>
      </c>
      <c r="I10" s="1"/>
      <c r="J10" s="14" t="s">
        <v>27</v>
      </c>
      <c r="K10" s="13" t="s">
        <v>58</v>
      </c>
      <c r="L10" s="1"/>
      <c r="M10" s="15">
        <v>46084</v>
      </c>
      <c r="N10" s="3"/>
      <c r="O10" s="16"/>
      <c r="P10" s="17">
        <v>46097</v>
      </c>
      <c r="Q10" s="10"/>
    </row>
    <row r="11" spans="2:17" s="2" customFormat="1" ht="19.7" customHeight="1" x14ac:dyDescent="0.15">
      <c r="B11" s="46"/>
      <c r="C11" s="35" t="s">
        <v>24</v>
      </c>
      <c r="D11" s="11" t="s">
        <v>24</v>
      </c>
      <c r="E11" s="14" t="s">
        <v>42</v>
      </c>
      <c r="F11" s="1">
        <v>1</v>
      </c>
      <c r="G11" s="34">
        <v>3578</v>
      </c>
      <c r="H11" s="42">
        <f t="shared" si="0"/>
        <v>3578</v>
      </c>
      <c r="I11" s="1"/>
      <c r="J11" s="14" t="s">
        <v>28</v>
      </c>
      <c r="K11" s="13" t="s">
        <v>58</v>
      </c>
      <c r="L11" s="1"/>
      <c r="M11" s="15">
        <v>46084</v>
      </c>
      <c r="N11" s="3"/>
      <c r="O11" s="16"/>
      <c r="P11" s="17">
        <v>46097</v>
      </c>
      <c r="Q11" s="10"/>
    </row>
    <row r="12" spans="2:17" s="2" customFormat="1" ht="19.7" customHeight="1" x14ac:dyDescent="0.15">
      <c r="B12" s="46"/>
      <c r="C12" s="35" t="s">
        <v>24</v>
      </c>
      <c r="D12" s="11" t="s">
        <v>24</v>
      </c>
      <c r="E12" s="14" t="s">
        <v>30</v>
      </c>
      <c r="F12" s="1">
        <v>1</v>
      </c>
      <c r="G12" s="34">
        <v>6276</v>
      </c>
      <c r="H12" s="42">
        <f t="shared" si="0"/>
        <v>6276</v>
      </c>
      <c r="I12" s="1"/>
      <c r="J12" s="14" t="s">
        <v>52</v>
      </c>
      <c r="K12" s="13" t="s">
        <v>58</v>
      </c>
      <c r="L12" s="1"/>
      <c r="M12" s="15">
        <v>46084</v>
      </c>
      <c r="N12" s="29"/>
      <c r="O12" s="30"/>
      <c r="P12" s="17">
        <v>46097</v>
      </c>
      <c r="Q12" s="10"/>
    </row>
    <row r="13" spans="2:17" s="2" customFormat="1" ht="19.7" customHeight="1" x14ac:dyDescent="0.15">
      <c r="B13" s="46"/>
      <c r="C13" s="35" t="s">
        <v>24</v>
      </c>
      <c r="D13" s="11" t="s">
        <v>24</v>
      </c>
      <c r="E13" s="14" t="s">
        <v>32</v>
      </c>
      <c r="F13" s="1">
        <v>1</v>
      </c>
      <c r="G13" s="34">
        <v>350</v>
      </c>
      <c r="H13" s="42">
        <f t="shared" si="0"/>
        <v>350</v>
      </c>
      <c r="I13" s="1"/>
      <c r="J13" s="14" t="s">
        <v>50</v>
      </c>
      <c r="K13" s="13" t="s">
        <v>58</v>
      </c>
      <c r="L13" s="30"/>
      <c r="M13" s="15">
        <v>46084</v>
      </c>
      <c r="N13" s="3"/>
      <c r="O13" s="16"/>
      <c r="P13" s="17">
        <v>46097</v>
      </c>
      <c r="Q13" s="10"/>
    </row>
    <row r="14" spans="2:17" ht="19.5" customHeight="1" x14ac:dyDescent="0.15">
      <c r="B14" s="46"/>
      <c r="C14" s="35" t="s">
        <v>24</v>
      </c>
      <c r="D14" s="11" t="s">
        <v>24</v>
      </c>
      <c r="E14" s="14" t="s">
        <v>33</v>
      </c>
      <c r="F14" s="1">
        <v>2</v>
      </c>
      <c r="G14" s="34">
        <v>230</v>
      </c>
      <c r="H14" s="42">
        <f t="shared" si="0"/>
        <v>460</v>
      </c>
      <c r="I14" s="31"/>
      <c r="J14" s="14" t="s">
        <v>49</v>
      </c>
      <c r="K14" s="13" t="s">
        <v>58</v>
      </c>
      <c r="L14" s="1"/>
      <c r="M14" s="15">
        <v>46084</v>
      </c>
      <c r="N14" s="14"/>
      <c r="O14" s="31"/>
      <c r="P14" s="17">
        <v>46097</v>
      </c>
      <c r="Q14" s="10"/>
    </row>
    <row r="15" spans="2:17" ht="19.5" customHeight="1" x14ac:dyDescent="0.15">
      <c r="B15" s="46"/>
      <c r="C15" s="35" t="s">
        <v>24</v>
      </c>
      <c r="D15" s="11" t="s">
        <v>24</v>
      </c>
      <c r="E15" s="14" t="s">
        <v>34</v>
      </c>
      <c r="F15" s="1">
        <v>1</v>
      </c>
      <c r="G15" s="34">
        <v>160</v>
      </c>
      <c r="H15" s="42">
        <f t="shared" si="0"/>
        <v>160</v>
      </c>
      <c r="I15" s="31"/>
      <c r="J15" s="14" t="s">
        <v>48</v>
      </c>
      <c r="K15" s="13" t="s">
        <v>58</v>
      </c>
      <c r="L15" s="1"/>
      <c r="M15" s="15">
        <v>46084</v>
      </c>
      <c r="N15" s="14"/>
      <c r="O15" s="31"/>
      <c r="P15" s="17">
        <v>46097</v>
      </c>
      <c r="Q15" s="10"/>
    </row>
    <row r="16" spans="2:17" ht="19.5" customHeight="1" x14ac:dyDescent="0.15">
      <c r="B16" s="46"/>
      <c r="C16" s="35" t="s">
        <v>24</v>
      </c>
      <c r="D16" s="11" t="s">
        <v>24</v>
      </c>
      <c r="E16" s="14" t="s">
        <v>36</v>
      </c>
      <c r="F16" s="1">
        <v>1</v>
      </c>
      <c r="G16" s="34">
        <v>350</v>
      </c>
      <c r="H16" s="42">
        <f t="shared" si="0"/>
        <v>350</v>
      </c>
      <c r="I16" s="31"/>
      <c r="J16" s="14" t="s">
        <v>46</v>
      </c>
      <c r="K16" s="13" t="s">
        <v>58</v>
      </c>
      <c r="L16" s="1"/>
      <c r="M16" s="15">
        <v>46084</v>
      </c>
      <c r="N16" s="14"/>
      <c r="O16" s="31"/>
      <c r="P16" s="17">
        <v>46097</v>
      </c>
      <c r="Q16" s="10"/>
    </row>
    <row r="17" spans="2:17" ht="19.5" customHeight="1" x14ac:dyDescent="0.15">
      <c r="B17" s="46"/>
      <c r="C17" s="35" t="s">
        <v>24</v>
      </c>
      <c r="D17" s="11" t="s">
        <v>24</v>
      </c>
      <c r="E17" s="14" t="s">
        <v>61</v>
      </c>
      <c r="F17" s="1">
        <v>4</v>
      </c>
      <c r="G17" s="14">
        <v>240</v>
      </c>
      <c r="H17" s="42">
        <f t="shared" si="0"/>
        <v>960</v>
      </c>
      <c r="I17" s="31"/>
      <c r="J17" s="14" t="s">
        <v>63</v>
      </c>
      <c r="K17" s="13" t="s">
        <v>58</v>
      </c>
      <c r="L17" s="1"/>
      <c r="M17" s="15">
        <v>46084</v>
      </c>
      <c r="N17" s="14"/>
      <c r="O17" s="31"/>
      <c r="P17" s="17">
        <v>46097</v>
      </c>
      <c r="Q17" s="10"/>
    </row>
    <row r="18" spans="2:17" ht="19.5" customHeight="1" x14ac:dyDescent="0.15">
      <c r="B18" s="46"/>
      <c r="C18" s="35" t="s">
        <v>24</v>
      </c>
      <c r="D18" s="11" t="s">
        <v>24</v>
      </c>
      <c r="E18" s="14" t="s">
        <v>62</v>
      </c>
      <c r="F18" s="1">
        <v>4</v>
      </c>
      <c r="G18" s="14">
        <v>226</v>
      </c>
      <c r="H18" s="42">
        <f t="shared" si="0"/>
        <v>904</v>
      </c>
      <c r="I18" s="31"/>
      <c r="J18" s="14" t="s">
        <v>63</v>
      </c>
      <c r="K18" s="13" t="s">
        <v>58</v>
      </c>
      <c r="L18" s="1"/>
      <c r="M18" s="15">
        <v>46084</v>
      </c>
      <c r="N18" s="14"/>
      <c r="O18" s="31"/>
      <c r="P18" s="17">
        <v>46097</v>
      </c>
      <c r="Q18" s="10"/>
    </row>
    <row r="19" spans="2:17" s="56" customFormat="1" ht="19.5" customHeight="1" x14ac:dyDescent="0.15">
      <c r="B19" s="46"/>
      <c r="C19" s="35" t="s">
        <v>24</v>
      </c>
      <c r="D19" s="11" t="s">
        <v>24</v>
      </c>
      <c r="E19" s="52" t="s">
        <v>64</v>
      </c>
      <c r="F19" s="13">
        <v>4</v>
      </c>
      <c r="G19" s="52">
        <v>540</v>
      </c>
      <c r="H19" s="53">
        <f t="shared" si="0"/>
        <v>2160</v>
      </c>
      <c r="I19" s="54"/>
      <c r="J19" s="52" t="s">
        <v>65</v>
      </c>
      <c r="K19" s="13" t="s">
        <v>58</v>
      </c>
      <c r="L19" s="13"/>
      <c r="M19" s="55">
        <v>46104</v>
      </c>
      <c r="N19" s="52"/>
      <c r="O19" s="54"/>
      <c r="P19" s="17">
        <v>46106</v>
      </c>
      <c r="Q19" s="33"/>
    </row>
    <row r="20" spans="2:17" ht="19.5" customHeight="1" x14ac:dyDescent="0.15">
      <c r="B20" s="47"/>
      <c r="C20" s="35" t="s">
        <v>56</v>
      </c>
      <c r="D20" s="11" t="s">
        <v>57</v>
      </c>
      <c r="E20" s="14" t="s">
        <v>37</v>
      </c>
      <c r="F20" s="1">
        <v>1</v>
      </c>
      <c r="G20" s="34">
        <v>10760</v>
      </c>
      <c r="H20" s="42">
        <f t="shared" si="0"/>
        <v>10760</v>
      </c>
      <c r="I20" s="31"/>
      <c r="J20" s="14" t="s">
        <v>45</v>
      </c>
      <c r="K20" s="23" t="s">
        <v>59</v>
      </c>
      <c r="L20" s="1"/>
      <c r="M20" s="15">
        <v>46087</v>
      </c>
      <c r="N20" s="14"/>
      <c r="O20" s="43">
        <v>46101</v>
      </c>
      <c r="P20" s="17">
        <v>46100</v>
      </c>
      <c r="Q20" s="10">
        <v>46100</v>
      </c>
    </row>
    <row r="21" spans="2:17" s="2" customFormat="1" ht="19.7" customHeight="1" x14ac:dyDescent="0.15">
      <c r="B21" s="11">
        <v>2</v>
      </c>
      <c r="C21" s="35" t="s">
        <v>24</v>
      </c>
      <c r="D21" s="11" t="s">
        <v>24</v>
      </c>
      <c r="E21" s="14" t="s">
        <v>35</v>
      </c>
      <c r="F21" s="1">
        <v>10</v>
      </c>
      <c r="G21" s="34">
        <v>200</v>
      </c>
      <c r="H21" s="42">
        <f t="shared" si="0"/>
        <v>2000</v>
      </c>
      <c r="I21" s="31"/>
      <c r="J21" s="14" t="s">
        <v>47</v>
      </c>
      <c r="K21" s="13" t="s">
        <v>58</v>
      </c>
      <c r="L21" s="30"/>
      <c r="M21" s="15">
        <v>46084</v>
      </c>
      <c r="N21" s="3"/>
      <c r="O21" s="16"/>
      <c r="P21" s="17">
        <v>46097</v>
      </c>
      <c r="Q21" s="10"/>
    </row>
    <row r="22" spans="2:17" ht="19.5" customHeight="1" x14ac:dyDescent="0.15">
      <c r="B22" s="11">
        <v>3</v>
      </c>
      <c r="C22" s="35" t="s">
        <v>24</v>
      </c>
      <c r="D22" s="11" t="s">
        <v>24</v>
      </c>
      <c r="E22" s="14" t="s">
        <v>31</v>
      </c>
      <c r="F22" s="1">
        <v>5</v>
      </c>
      <c r="G22" s="34">
        <v>1050</v>
      </c>
      <c r="H22" s="42">
        <f t="shared" si="0"/>
        <v>5250</v>
      </c>
      <c r="I22" s="1"/>
      <c r="J22" s="14" t="s">
        <v>51</v>
      </c>
      <c r="K22" s="13" t="s">
        <v>58</v>
      </c>
      <c r="L22" s="1"/>
      <c r="M22" s="15">
        <v>46084</v>
      </c>
      <c r="N22" s="14"/>
      <c r="O22" s="31"/>
      <c r="P22" s="17">
        <v>46097</v>
      </c>
      <c r="Q22" s="10"/>
    </row>
    <row r="23" spans="2:17" s="2" customFormat="1" ht="19.7" customHeight="1" x14ac:dyDescent="0.15">
      <c r="B23" s="11">
        <v>4</v>
      </c>
      <c r="C23" s="35" t="s">
        <v>43</v>
      </c>
      <c r="D23" s="11" t="s">
        <v>44</v>
      </c>
      <c r="E23" s="14" t="s">
        <v>29</v>
      </c>
      <c r="F23" s="1">
        <v>1</v>
      </c>
      <c r="G23" s="34">
        <v>1200</v>
      </c>
      <c r="H23" s="42">
        <f>F23*G23</f>
        <v>1200</v>
      </c>
      <c r="I23" s="1"/>
      <c r="J23" s="28" t="s">
        <v>53</v>
      </c>
      <c r="K23" s="23" t="s">
        <v>59</v>
      </c>
      <c r="L23" s="1"/>
      <c r="M23" s="15">
        <v>46086</v>
      </c>
      <c r="N23" s="3"/>
      <c r="O23" s="16">
        <v>46101</v>
      </c>
      <c r="P23" s="16">
        <v>46101</v>
      </c>
      <c r="Q23" s="10">
        <v>46093</v>
      </c>
    </row>
    <row r="24" spans="2:17" ht="19.5" customHeight="1" x14ac:dyDescent="0.15">
      <c r="B24" s="45" t="s">
        <v>54</v>
      </c>
      <c r="C24" s="37" t="s">
        <v>38</v>
      </c>
      <c r="D24" s="38" t="s">
        <v>38</v>
      </c>
      <c r="E24" s="14" t="s">
        <v>39</v>
      </c>
      <c r="F24" s="24">
        <v>5</v>
      </c>
      <c r="G24" s="34">
        <v>5000</v>
      </c>
      <c r="H24" s="34">
        <f>F24*G24</f>
        <v>25000</v>
      </c>
      <c r="I24" s="31"/>
      <c r="J24" s="14"/>
      <c r="K24" s="13"/>
      <c r="L24" s="1"/>
      <c r="M24" s="1"/>
      <c r="N24" s="14"/>
      <c r="O24" s="31"/>
      <c r="P24" s="32"/>
      <c r="Q24" s="10"/>
    </row>
    <row r="25" spans="2:17" ht="19.5" customHeight="1" x14ac:dyDescent="0.15">
      <c r="B25" s="47"/>
      <c r="C25" s="11" t="s">
        <v>38</v>
      </c>
      <c r="D25" s="1" t="s">
        <v>38</v>
      </c>
      <c r="E25" s="14" t="s">
        <v>40</v>
      </c>
      <c r="F25" s="24">
        <v>1</v>
      </c>
      <c r="G25" s="34">
        <v>5000</v>
      </c>
      <c r="H25" s="34">
        <f>F25*G25</f>
        <v>5000</v>
      </c>
      <c r="I25" s="31"/>
      <c r="J25" s="14"/>
      <c r="K25" s="14"/>
      <c r="L25" s="1"/>
      <c r="M25" s="1"/>
      <c r="N25" s="14"/>
      <c r="O25" s="31"/>
      <c r="P25" s="32"/>
      <c r="Q25" s="10"/>
    </row>
    <row r="26" spans="2:17" ht="19.5" customHeight="1" x14ac:dyDescent="0.15">
      <c r="B26" s="36"/>
      <c r="C26" s="14"/>
      <c r="D26" s="14"/>
      <c r="E26" s="14"/>
      <c r="F26" s="24"/>
      <c r="G26" s="34"/>
      <c r="H26" s="34"/>
      <c r="I26" s="31"/>
      <c r="J26" s="14"/>
      <c r="K26" s="14"/>
      <c r="L26" s="1"/>
      <c r="M26" s="1"/>
      <c r="N26" s="14"/>
      <c r="O26" s="31"/>
      <c r="P26" s="32"/>
      <c r="Q26" s="10"/>
    </row>
    <row r="30" spans="2:17" x14ac:dyDescent="0.15">
      <c r="H30" s="9"/>
    </row>
  </sheetData>
  <autoFilter ref="B8:O13" xr:uid="{00000000-0009-0000-0000-000000000000}"/>
  <sortState xmlns:xlrd2="http://schemas.microsoft.com/office/spreadsheetml/2017/richdata2" ref="E12:F20">
    <sortCondition ref="E12:E20"/>
  </sortState>
  <mergeCells count="8">
    <mergeCell ref="B9:B20"/>
    <mergeCell ref="B24:B25"/>
    <mergeCell ref="G2:I2"/>
    <mergeCell ref="B6:D6"/>
    <mergeCell ref="B2:D2"/>
    <mergeCell ref="B3:D3"/>
    <mergeCell ref="B4:D4"/>
    <mergeCell ref="B5:D5"/>
  </mergeCells>
  <phoneticPr fontId="1"/>
  <dataValidations count="1">
    <dataValidation imeMode="hiragana" allowBlank="1" showInputMessage="1" showErrorMessage="1" sqref="J13 J22" xr:uid="{00000000-0002-0000-0000-000000000000}"/>
  </dataValidations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D14" sqref="D14"/>
    </sheetView>
  </sheetViews>
  <sheetFormatPr defaultRowHeight="13.5" x14ac:dyDescent="0.15"/>
  <cols>
    <col min="1" max="1" width="12.125" bestFit="1" customWidth="1"/>
    <col min="2" max="2" width="28.875" bestFit="1" customWidth="1"/>
  </cols>
  <sheetData>
    <row r="1" spans="1:2" ht="18.95" customHeight="1" x14ac:dyDescent="0.15">
      <c r="A1" s="22" t="s">
        <v>10</v>
      </c>
      <c r="B1" s="19" t="s">
        <v>21</v>
      </c>
    </row>
    <row r="2" spans="1:2" ht="18.95" customHeight="1" x14ac:dyDescent="0.15">
      <c r="A2" s="22" t="s">
        <v>9</v>
      </c>
      <c r="B2" s="20" t="s">
        <v>22</v>
      </c>
    </row>
    <row r="3" spans="1:2" ht="18.95" customHeight="1" x14ac:dyDescent="0.15">
      <c r="A3" s="22" t="s">
        <v>11</v>
      </c>
      <c r="B3" s="20">
        <v>190252</v>
      </c>
    </row>
    <row r="4" spans="1:2" ht="18.95" customHeight="1" x14ac:dyDescent="0.15">
      <c r="A4" s="22" t="s">
        <v>12</v>
      </c>
      <c r="B4" s="21">
        <v>44487</v>
      </c>
    </row>
    <row r="5" spans="1:2" ht="18.95" customHeight="1" x14ac:dyDescent="0.15">
      <c r="A5" s="22" t="s">
        <v>13</v>
      </c>
      <c r="B5" s="18"/>
    </row>
  </sheetData>
  <phoneticPr fontId="1"/>
  <pageMargins left="0.7" right="0.7" top="0.75" bottom="0.75" header="0.3" footer="0.3"/>
  <pageSetup paperSize="9" scale="2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瀬戸山 武子</cp:lastModifiedBy>
  <cp:lastPrinted>2021-10-22T00:06:03Z</cp:lastPrinted>
  <dcterms:created xsi:type="dcterms:W3CDTF">2011-12-13T06:48:43Z</dcterms:created>
  <dcterms:modified xsi:type="dcterms:W3CDTF">2026-03-24T04:54:48Z</dcterms:modified>
</cp:coreProperties>
</file>