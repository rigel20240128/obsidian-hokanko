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-setoyama\Desktop\"/>
    </mc:Choice>
  </mc:AlternateContent>
  <xr:revisionPtr revIDLastSave="0" documentId="13_ncr:1_{C589DD71-299E-4718-8AA1-D8392785E2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32205　原価表  20260508 ②" sheetId="17" r:id="rId1"/>
  </sheets>
  <definedNames>
    <definedName name="_xlnm._FilterDatabase" localSheetId="0" hidden="1">'232205　原価表  20260508 ②'!$D$9:$Q$21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7" l="1"/>
  <c r="J27" i="17"/>
  <c r="J26" i="17"/>
  <c r="J25" i="17"/>
  <c r="J24" i="17"/>
  <c r="J23" i="17"/>
  <c r="J17" i="17"/>
  <c r="J16" i="17"/>
  <c r="J15" i="17"/>
  <c r="J14" i="17"/>
  <c r="J13" i="17"/>
  <c r="D14" i="17"/>
  <c r="D15" i="17" s="1"/>
  <c r="D16" i="17" s="1"/>
  <c r="D17" i="17" s="1"/>
  <c r="G19" i="17" l="1"/>
  <c r="L2" i="17"/>
</calcChain>
</file>

<file path=xl/sharedStrings.xml><?xml version="1.0" encoding="utf-8"?>
<sst xmlns="http://schemas.openxmlformats.org/spreadsheetml/2006/main" count="67" uniqueCount="49">
  <si>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</si>
  <si>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</si>
  <si>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</si>
  <si>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</si>
  <si>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</si>
  <si>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</si>
  <si>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</si>
  <si>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</si>
  <si>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</si>
  <si>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</si>
  <si>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</si>
  <si>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</si>
  <si>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</si>
  <si>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</si>
  <si>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</si>
  <si>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</si>
  <si>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</si>
  <si>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</si>
  <si>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</si>
  <si>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</si>
  <si>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</si>
  <si>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</si>
  <si>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出荷依頼項目NO.</t>
    <rPh sb="0" eb="2">
      <t>シュッカ</t>
    </rPh>
    <rPh sb="2" eb="4">
      <t>イライ</t>
    </rPh>
    <rPh sb="4" eb="6">
      <t>コウモク</t>
    </rPh>
    <phoneticPr fontId="5"/>
  </si>
  <si>
    <t>1日目</t>
    <rPh sb="1" eb="2">
      <t>ヒ</t>
    </rPh>
    <rPh sb="2" eb="3">
      <t>メ</t>
    </rPh>
    <phoneticPr fontId="1"/>
  </si>
  <si>
    <t>ツ－ル治具部分</t>
  </si>
  <si>
    <t>モノタロウなら3日間</t>
    <rPh sb="8" eb="9">
      <t>ヒ</t>
    </rPh>
    <rPh sb="9" eb="10">
      <t>カン</t>
    </rPh>
    <phoneticPr fontId="13"/>
  </si>
  <si>
    <t>ＳＭＣ</t>
    <phoneticPr fontId="1"/>
  </si>
  <si>
    <t>MSQB10R-M9N</t>
    <phoneticPr fontId="1"/>
  </si>
  <si>
    <t>ロータリシリンダ</t>
    <phoneticPr fontId="1"/>
  </si>
  <si>
    <t>https://www.monotaro.com/g/00231808/?t.mpn=msqb10r-m9nz</t>
    <phoneticPr fontId="13"/>
  </si>
  <si>
    <t>AW10-M5BG-A</t>
    <phoneticPr fontId="1"/>
  </si>
  <si>
    <t>レギュレータ</t>
    <phoneticPr fontId="1"/>
  </si>
  <si>
    <t>モノタロウなら8日間</t>
    <rPh sb="8" eb="9">
      <t>ヒ</t>
    </rPh>
    <rPh sb="9" eb="10">
      <t>カン</t>
    </rPh>
    <phoneticPr fontId="13"/>
  </si>
  <si>
    <t xml:space="preserve">SYJ3240-5MOZE-M5  </t>
    <phoneticPr fontId="1"/>
  </si>
  <si>
    <t>電磁弁</t>
    <rPh sb="0" eb="3">
      <t>デンジベン</t>
    </rPh>
    <phoneticPr fontId="1"/>
  </si>
  <si>
    <t>https://www.monotaro.com/p/5685/0394/</t>
    <phoneticPr fontId="13"/>
  </si>
  <si>
    <t>SY100-30-4A</t>
    <phoneticPr fontId="1"/>
  </si>
  <si>
    <t>リード線　2本</t>
    <rPh sb="3" eb="4">
      <t>セン</t>
    </rPh>
    <rPh sb="6" eb="7">
      <t>ホン</t>
    </rPh>
    <phoneticPr fontId="1"/>
  </si>
  <si>
    <t>AS1201F-M5-04A</t>
    <phoneticPr fontId="1"/>
  </si>
  <si>
    <t>スピコン　　2個</t>
    <rPh sb="7" eb="8">
      <t>コ</t>
    </rPh>
    <phoneticPr fontId="1"/>
  </si>
  <si>
    <t>アドガワエレクトロニクス株式会社様</t>
    <rPh sb="16" eb="17">
      <t>サマ</t>
    </rPh>
    <phoneticPr fontId="1"/>
  </si>
  <si>
    <t>南(齋藤）</t>
    <rPh sb="0" eb="1">
      <t>ミナミ</t>
    </rPh>
    <rPh sb="2" eb="4">
      <t>サイトウ</t>
    </rPh>
    <phoneticPr fontId="1"/>
  </si>
  <si>
    <t>232205</t>
    <phoneticPr fontId="1"/>
  </si>
  <si>
    <t>SETB0327-A01　AXAﾛﾎﾞｯﾄ400+SV70ﾛｰﾀﾘｰｱｸﾁｭｴﾀｰ＋浸け置き+井桁治具+SVC720F+配電BOX　　原価一覧　20260424</t>
    <phoneticPr fontId="1"/>
  </si>
  <si>
    <t>NO.232205-1　　H-SAITOU</t>
    <phoneticPr fontId="13"/>
  </si>
  <si>
    <t>ACS株式会社</t>
    <phoneticPr fontId="1"/>
  </si>
  <si>
    <t>②</t>
    <phoneticPr fontId="5"/>
  </si>
  <si>
    <t>仙台営業所に入庫願います。</t>
    <rPh sb="0" eb="5">
      <t>センダイエイギョウショ</t>
    </rPh>
    <rPh sb="6" eb="8">
      <t>ニュウコ</t>
    </rPh>
    <rPh sb="8" eb="9">
      <t>ネガ</t>
    </rPh>
    <phoneticPr fontId="13"/>
  </si>
  <si>
    <t>6/4・仙台営業所着</t>
    <rPh sb="4" eb="9">
      <t>センダイエイギョウショ</t>
    </rPh>
    <rPh sb="9" eb="10">
      <t>チャク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</si>
</sst>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#,##0_ "/>
  </numFmts>
  <fonts count="1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9.9499999999999993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b/>
      <sz val="14"/>
      <color rgb="FF00B0F0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1" fontId="0" fillId="0" borderId="1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3" fontId="12" fillId="0" borderId="1" xfId="1" applyNumberFormat="1" applyBorder="1" applyAlignment="1">
      <alignment horizontal="center" vertical="center"/>
    </xf>
    <xf numFmtId="0" fontId="12" fillId="0" borderId="1" xfId="1" applyBorder="1" applyAlignment="1">
      <alignment horizontal="center" vertical="center"/>
    </xf>
    <xf numFmtId="49" fontId="12" fillId="0" borderId="1" xfId="1" applyNumberFormat="1" applyBorder="1" applyAlignment="1">
      <alignment horizontal="left" vertical="center"/>
    </xf>
    <xf numFmtId="0" fontId="12" fillId="0" borderId="1" xfId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5" xfId="0" applyBorder="1" applyAlignment="1">
      <alignment vertical="center" shrinkToFit="1"/>
    </xf>
    <xf numFmtId="0" fontId="15" fillId="0" borderId="0" xfId="2">
      <alignment vertical="center"/>
    </xf>
    <xf numFmtId="0" fontId="0" fillId="7" borderId="1" xfId="0" applyFill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38" fontId="12" fillId="0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" fontId="9" fillId="0" borderId="1" xfId="0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19" xfId="0" applyNumberFormat="1" applyBorder="1" applyAlignment="1"/>
    <xf numFmtId="0" fontId="9" fillId="0" borderId="15" xfId="0" applyFont="1" applyBorder="1" applyAlignment="1">
      <alignment horizontal="left" vertical="center"/>
    </xf>
    <xf numFmtId="0" fontId="9" fillId="0" borderId="18" xfId="0" applyFont="1" applyBorder="1">
      <alignment vertical="center"/>
    </xf>
    <xf numFmtId="0" fontId="0" fillId="0" borderId="15" xfId="0" applyBorder="1" applyAlignment="1">
      <alignment horizontal="left" vertical="center"/>
    </xf>
    <xf numFmtId="176" fontId="0" fillId="0" borderId="15" xfId="0" applyNumberFormat="1" applyBorder="1">
      <alignment vertical="center"/>
    </xf>
    <xf numFmtId="176" fontId="0" fillId="0" borderId="11" xfId="0" applyNumberFormat="1" applyBorder="1" applyAlignment="1"/>
    <xf numFmtId="0" fontId="16" fillId="0" borderId="1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2" fillId="8" borderId="1" xfId="0" applyNumberFormat="1" applyFont="1" applyFill="1" applyBorder="1" applyAlignment="1">
      <alignment horizontal="left" vertical="center"/>
    </xf>
    <xf numFmtId="176" fontId="0" fillId="8" borderId="1" xfId="0" applyNumberForma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shrinkToFit="1"/>
    </xf>
    <xf numFmtId="0" fontId="12" fillId="8" borderId="1" xfId="0" applyFont="1" applyFill="1" applyBorder="1" applyAlignment="1">
      <alignment horizontal="left" vertical="center" shrinkToFit="1"/>
    </xf>
    <xf numFmtId="38" fontId="0" fillId="8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1" xfId="0" applyFill="1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17" fillId="0" borderId="1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2" fillId="7" borderId="1" xfId="0" applyFont="1" applyFill="1" applyBorder="1">
      <alignment vertical="center"/>
    </xf>
    <xf numFmtId="176" fontId="0" fillId="4" borderId="1" xfId="0" applyNumberFormat="1" applyFill="1" applyBorder="1" applyAlignment="1"/>
    <xf numFmtId="0" fontId="0" fillId="4" borderId="2" xfId="0" applyFill="1" applyBorder="1" applyAlignment="1">
      <alignment horizontal="center" vertical="center"/>
    </xf>
    <xf numFmtId="38" fontId="18" fillId="0" borderId="0" xfId="0" applyNumberFormat="1" applyFont="1">
      <alignment vertical="center"/>
    </xf>
    <xf numFmtId="38" fontId="8" fillId="5" borderId="8" xfId="0" applyNumberFormat="1" applyFont="1" applyFill="1" applyBorder="1" applyAlignment="1">
      <alignment horizontal="left" vertical="center" shrinkToFit="1"/>
    </xf>
    <xf numFmtId="38" fontId="8" fillId="5" borderId="9" xfId="0" applyNumberFormat="1" applyFont="1" applyFill="1" applyBorder="1" applyAlignment="1">
      <alignment horizontal="left" vertical="center" shrinkToFit="1"/>
    </xf>
    <xf numFmtId="38" fontId="8" fillId="5" borderId="3" xfId="0" applyNumberFormat="1" applyFont="1" applyFill="1" applyBorder="1" applyAlignment="1">
      <alignment horizontal="left" vertical="center" shrinkToFit="1"/>
    </xf>
    <xf numFmtId="38" fontId="8" fillId="5" borderId="10" xfId="0" applyNumberFormat="1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176" fontId="10" fillId="6" borderId="18" xfId="0" applyNumberFormat="1" applyFont="1" applyFill="1" applyBorder="1" applyAlignment="1">
      <alignment horizontal="center" vertical="center"/>
    </xf>
    <xf numFmtId="176" fontId="10" fillId="6" borderId="0" xfId="0" applyNumberFormat="1" applyFont="1" applyFill="1" applyAlignment="1">
      <alignment horizontal="center" vertical="center"/>
    </xf>
    <xf numFmtId="176" fontId="10" fillId="6" borderId="20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3">
    <cellStyle name="ハイパーリンク" xfId="2" builtinId="8"/>
    <cellStyle name="標準" xfId="0" builtinId="0"/>
    <cellStyle name="標準 3" xfId="1" xr:uid="{DC7DCAA0-6465-40DD-8C0A-A3E444632F39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notaro.com/g/00231808/?t.mpn=msqb10r-m9nz" TargetMode="External"/><Relationship Id="rId1" Type="http://schemas.openxmlformats.org/officeDocument/2006/relationships/hyperlink" Target="https://www.monotaro.com/p/5685/03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CEC6-2E37-4895-820B-5CC38AD8422E}">
  <sheetPr>
    <tabColor rgb="FFFFFF00"/>
  </sheetPr>
  <dimension ref="A2:S29"/>
  <sheetViews>
    <sheetView tabSelected="1" zoomScale="85" zoomScaleNormal="85" workbookViewId="0">
      <pane xSplit="12" ySplit="9" topLeftCell="O10" activePane="bottomRight" state="frozen"/>
      <selection pane="topRight" activeCell="K1" sqref="K1"/>
      <selection pane="bottomLeft" activeCell="A9" sqref="A9"/>
      <selection pane="bottomRight" activeCell="Q14" sqref="Q14:Q17"/>
    </sheetView>
  </sheetViews>
  <sheetFormatPr defaultRowHeight="13.5" x14ac:dyDescent="0.15"/>
  <cols>
    <col min="2" max="2" width="21.375" customWidth="1"/>
    <col min="3" max="3" width="14.375" customWidth="1"/>
    <col min="4" max="4" width="13.25" style="3" customWidth="1"/>
    <col min="5" max="5" width="14.375" bestFit="1" customWidth="1"/>
    <col min="6" max="6" width="13.125" bestFit="1" customWidth="1"/>
    <col min="7" max="7" width="55.625" customWidth="1"/>
    <col min="8" max="8" width="6.25" style="3" customWidth="1"/>
    <col min="9" max="10" width="9.875" style="8" bestFit="1" customWidth="1"/>
    <col min="11" max="11" width="5.75" style="8" customWidth="1"/>
    <col min="12" max="12" width="49" customWidth="1"/>
    <col min="13" max="13" width="41.625" customWidth="1"/>
    <col min="14" max="14" width="27.5" style="3" customWidth="1"/>
    <col min="15" max="15" width="13.75" style="10" customWidth="1"/>
    <col min="16" max="16" width="6.375" customWidth="1"/>
    <col min="17" max="17" width="16.75" style="8" customWidth="1"/>
    <col min="18" max="18" width="14.5" style="12" customWidth="1"/>
    <col min="19" max="19" width="15.625" style="13" customWidth="1"/>
  </cols>
  <sheetData>
    <row r="2" spans="1:19" ht="20.100000000000001" customHeight="1" x14ac:dyDescent="0.15">
      <c r="D2" s="86" t="s">
        <v>11</v>
      </c>
      <c r="E2" s="86"/>
      <c r="F2" s="86"/>
      <c r="G2" s="9" t="s">
        <v>40</v>
      </c>
      <c r="I2" s="94" t="s">
        <v>15</v>
      </c>
      <c r="J2" s="95"/>
      <c r="K2" s="96"/>
      <c r="L2" s="7">
        <f>SUM(J:J)</f>
        <v>44978</v>
      </c>
    </row>
    <row r="3" spans="1:19" ht="20.100000000000001" customHeight="1" x14ac:dyDescent="0.15">
      <c r="D3" s="86" t="s">
        <v>10</v>
      </c>
      <c r="E3" s="86"/>
      <c r="F3" s="86"/>
      <c r="G3" s="5" t="s">
        <v>41</v>
      </c>
    </row>
    <row r="4" spans="1:19" ht="20.100000000000001" customHeight="1" x14ac:dyDescent="0.15">
      <c r="D4" s="86" t="s">
        <v>12</v>
      </c>
      <c r="E4" s="86"/>
      <c r="F4" s="86"/>
      <c r="G4" s="29" t="s">
        <v>42</v>
      </c>
      <c r="J4" s="30"/>
      <c r="L4" s="82" t="s">
        <v>43</v>
      </c>
      <c r="M4" s="83"/>
    </row>
    <row r="5" spans="1:19" ht="20.100000000000001" customHeight="1" x14ac:dyDescent="0.15">
      <c r="D5" s="86" t="s">
        <v>13</v>
      </c>
      <c r="E5" s="86"/>
      <c r="F5" s="86"/>
      <c r="G5" s="6">
        <v>46176</v>
      </c>
      <c r="I5" s="87" t="s">
        <v>46</v>
      </c>
      <c r="J5" s="87"/>
      <c r="L5" s="84"/>
      <c r="M5" s="85"/>
    </row>
    <row r="6" spans="1:19" ht="20.100000000000001" customHeight="1" x14ac:dyDescent="0.15">
      <c r="D6" s="86" t="s">
        <v>14</v>
      </c>
      <c r="E6" s="86"/>
      <c r="F6" s="86"/>
      <c r="G6" s="6">
        <v>46177</v>
      </c>
      <c r="I6" s="87"/>
      <c r="J6" s="87"/>
      <c r="L6" s="15"/>
      <c r="M6" s="20"/>
    </row>
    <row r="7" spans="1:19" ht="20.100000000000001" customHeight="1" x14ac:dyDescent="0.15">
      <c r="D7" s="17"/>
      <c r="E7" s="17"/>
      <c r="F7" s="17"/>
      <c r="G7" s="16"/>
      <c r="L7" s="81" t="s">
        <v>47</v>
      </c>
      <c r="M7" s="20"/>
      <c r="N7" s="18"/>
    </row>
    <row r="9" spans="1:19" s="3" customFormat="1" ht="19.7" customHeight="1" x14ac:dyDescent="0.15">
      <c r="C9" s="1" t="s">
        <v>22</v>
      </c>
      <c r="D9" s="4" t="s">
        <v>4</v>
      </c>
      <c r="E9" s="4" t="s">
        <v>9</v>
      </c>
      <c r="F9" s="4" t="s">
        <v>5</v>
      </c>
      <c r="G9" s="1" t="s">
        <v>8</v>
      </c>
      <c r="H9" s="1" t="s">
        <v>0</v>
      </c>
      <c r="I9" s="26" t="s">
        <v>1</v>
      </c>
      <c r="J9" s="31" t="s">
        <v>2</v>
      </c>
      <c r="K9" s="2" t="s">
        <v>18</v>
      </c>
      <c r="L9" s="1" t="s">
        <v>3</v>
      </c>
      <c r="M9" s="1" t="s">
        <v>17</v>
      </c>
      <c r="N9" s="1" t="s">
        <v>16</v>
      </c>
      <c r="O9" s="11" t="s">
        <v>6</v>
      </c>
      <c r="P9" s="4" t="s">
        <v>19</v>
      </c>
      <c r="Q9" s="1" t="s">
        <v>7</v>
      </c>
      <c r="R9" s="11" t="s">
        <v>20</v>
      </c>
      <c r="S9" s="14" t="s">
        <v>21</v>
      </c>
    </row>
    <row r="10" spans="1:19" s="3" customFormat="1" ht="19.7" customHeight="1" x14ac:dyDescent="0.15">
      <c r="B10" s="28"/>
      <c r="C10" s="1"/>
      <c r="D10" s="4"/>
      <c r="E10" s="4"/>
      <c r="F10" s="4"/>
      <c r="G10" s="25"/>
      <c r="H10" s="1"/>
      <c r="I10" s="21"/>
      <c r="J10" s="32"/>
      <c r="K10" s="2"/>
      <c r="L10" s="24"/>
      <c r="M10" s="22"/>
      <c r="N10" s="4"/>
      <c r="O10" s="11"/>
      <c r="P10" s="4"/>
      <c r="Q10" s="19"/>
      <c r="R10" s="19"/>
      <c r="S10" s="14"/>
    </row>
    <row r="11" spans="1:19" s="3" customFormat="1" ht="19.5" customHeight="1" x14ac:dyDescent="0.15">
      <c r="C11" s="43"/>
      <c r="D11" s="50"/>
      <c r="E11" s="39"/>
      <c r="F11" s="39"/>
      <c r="G11" s="41"/>
      <c r="H11" s="40"/>
      <c r="I11" s="48"/>
      <c r="J11" s="39"/>
      <c r="K11" s="40"/>
      <c r="L11" s="42"/>
      <c r="M11" s="40"/>
      <c r="N11" s="40"/>
      <c r="O11" s="11"/>
      <c r="P11" s="47"/>
      <c r="Q11" s="35"/>
      <c r="R11" s="36"/>
      <c r="S11" s="38"/>
    </row>
    <row r="12" spans="1:19" s="3" customFormat="1" ht="19.5" customHeight="1" x14ac:dyDescent="0.15">
      <c r="A12" s="70"/>
      <c r="B12" s="70"/>
      <c r="C12" s="70"/>
      <c r="D12" s="88" t="s">
        <v>24</v>
      </c>
      <c r="E12" s="89"/>
      <c r="F12" s="89"/>
      <c r="G12" s="90"/>
      <c r="H12" s="52"/>
      <c r="I12" s="52"/>
      <c r="J12" s="53"/>
      <c r="K12" s="54"/>
      <c r="L12" s="55"/>
      <c r="M12" s="44"/>
      <c r="N12" s="40"/>
      <c r="O12" s="11"/>
      <c r="P12" s="47"/>
      <c r="Q12" s="35"/>
      <c r="R12" s="36"/>
      <c r="S12" s="38"/>
    </row>
    <row r="13" spans="1:19" s="3" customFormat="1" ht="19.5" customHeight="1" x14ac:dyDescent="0.15">
      <c r="A13" s="78" t="s">
        <v>25</v>
      </c>
      <c r="B13" s="71" t="s">
        <v>44</v>
      </c>
      <c r="C13" s="77">
        <v>4</v>
      </c>
      <c r="D13" s="69">
        <v>1</v>
      </c>
      <c r="E13" s="68" t="s">
        <v>26</v>
      </c>
      <c r="F13" s="76" t="s">
        <v>45</v>
      </c>
      <c r="G13" s="62" t="s">
        <v>27</v>
      </c>
      <c r="H13" s="63">
        <v>1</v>
      </c>
      <c r="I13" s="63">
        <v>31930</v>
      </c>
      <c r="J13" s="63">
        <f t="shared" ref="J13:J17" si="0">H13*I13</f>
        <v>31930</v>
      </c>
      <c r="K13" s="79"/>
      <c r="L13" s="65" t="s">
        <v>28</v>
      </c>
      <c r="M13" s="45" t="s">
        <v>29</v>
      </c>
      <c r="N13" s="40"/>
      <c r="O13" s="11">
        <v>46154</v>
      </c>
      <c r="P13" s="47"/>
      <c r="Q13" s="35" t="s">
        <v>48</v>
      </c>
      <c r="R13" s="36"/>
      <c r="S13" s="38"/>
    </row>
    <row r="14" spans="1:19" s="3" customFormat="1" ht="19.5" customHeight="1" x14ac:dyDescent="0.15">
      <c r="A14" s="46" t="s">
        <v>23</v>
      </c>
      <c r="B14" s="71" t="s">
        <v>44</v>
      </c>
      <c r="C14" s="77">
        <v>4</v>
      </c>
      <c r="D14" s="69">
        <f t="shared" ref="D14:D16" si="1">D13+1</f>
        <v>2</v>
      </c>
      <c r="E14" s="68" t="s">
        <v>26</v>
      </c>
      <c r="F14" s="76" t="s">
        <v>45</v>
      </c>
      <c r="G14" s="64" t="s">
        <v>30</v>
      </c>
      <c r="H14" s="63">
        <v>1</v>
      </c>
      <c r="I14" s="63">
        <v>3040</v>
      </c>
      <c r="J14" s="63">
        <f t="shared" si="0"/>
        <v>3040</v>
      </c>
      <c r="K14" s="79"/>
      <c r="L14" s="65" t="s">
        <v>31</v>
      </c>
      <c r="M14" s="25"/>
      <c r="N14" s="40"/>
      <c r="O14" s="11">
        <v>46154</v>
      </c>
      <c r="P14" s="47"/>
      <c r="Q14" s="35" t="s">
        <v>48</v>
      </c>
      <c r="R14" s="36"/>
      <c r="S14" s="38"/>
    </row>
    <row r="15" spans="1:19" s="3" customFormat="1" ht="19.5" customHeight="1" x14ac:dyDescent="0.15">
      <c r="A15" s="78" t="s">
        <v>32</v>
      </c>
      <c r="B15" s="71" t="s">
        <v>44</v>
      </c>
      <c r="C15" s="77">
        <v>4</v>
      </c>
      <c r="D15" s="69">
        <f t="shared" si="1"/>
        <v>3</v>
      </c>
      <c r="E15" s="68" t="s">
        <v>26</v>
      </c>
      <c r="F15" s="76" t="s">
        <v>45</v>
      </c>
      <c r="G15" s="62" t="s">
        <v>33</v>
      </c>
      <c r="H15" s="63">
        <v>1</v>
      </c>
      <c r="I15" s="63">
        <v>8672</v>
      </c>
      <c r="J15" s="63">
        <f t="shared" si="0"/>
        <v>8672</v>
      </c>
      <c r="K15" s="79"/>
      <c r="L15" s="65" t="s">
        <v>34</v>
      </c>
      <c r="M15" s="45" t="s">
        <v>35</v>
      </c>
      <c r="N15" s="40"/>
      <c r="O15" s="11">
        <v>46154</v>
      </c>
      <c r="P15" s="47"/>
      <c r="Q15" s="35" t="s">
        <v>48</v>
      </c>
      <c r="R15" s="36"/>
      <c r="S15" s="38"/>
    </row>
    <row r="16" spans="1:19" s="3" customFormat="1" ht="19.5" customHeight="1" x14ac:dyDescent="0.15">
      <c r="A16" s="46" t="s">
        <v>23</v>
      </c>
      <c r="B16" s="71" t="s">
        <v>44</v>
      </c>
      <c r="C16" s="77">
        <v>4</v>
      </c>
      <c r="D16" s="69">
        <f t="shared" si="1"/>
        <v>4</v>
      </c>
      <c r="E16" s="68" t="s">
        <v>26</v>
      </c>
      <c r="F16" s="76" t="s">
        <v>45</v>
      </c>
      <c r="G16" s="62" t="s">
        <v>36</v>
      </c>
      <c r="H16" s="63">
        <v>2</v>
      </c>
      <c r="I16" s="63">
        <v>68</v>
      </c>
      <c r="J16" s="63">
        <f t="shared" si="0"/>
        <v>136</v>
      </c>
      <c r="K16" s="79"/>
      <c r="L16" s="66" t="s">
        <v>37</v>
      </c>
      <c r="M16" s="25"/>
      <c r="N16" s="40"/>
      <c r="O16" s="11">
        <v>46154</v>
      </c>
      <c r="P16" s="47"/>
      <c r="Q16" s="35" t="s">
        <v>48</v>
      </c>
      <c r="R16" s="36"/>
      <c r="S16" s="38"/>
    </row>
    <row r="17" spans="1:19" s="3" customFormat="1" ht="19.5" customHeight="1" x14ac:dyDescent="0.15">
      <c r="A17" s="46" t="s">
        <v>23</v>
      </c>
      <c r="B17" s="71" t="s">
        <v>44</v>
      </c>
      <c r="C17" s="77">
        <v>4</v>
      </c>
      <c r="D17" s="69">
        <f>D16+1</f>
        <v>5</v>
      </c>
      <c r="E17" s="68" t="s">
        <v>26</v>
      </c>
      <c r="F17" s="76" t="s">
        <v>45</v>
      </c>
      <c r="G17" s="62" t="s">
        <v>38</v>
      </c>
      <c r="H17" s="51">
        <v>2</v>
      </c>
      <c r="I17" s="67">
        <v>600</v>
      </c>
      <c r="J17" s="67">
        <f t="shared" si="0"/>
        <v>1200</v>
      </c>
      <c r="K17" s="80"/>
      <c r="L17" s="66" t="s">
        <v>39</v>
      </c>
      <c r="M17" s="49"/>
      <c r="N17" s="40"/>
      <c r="O17" s="11">
        <v>46154</v>
      </c>
      <c r="P17" s="47"/>
      <c r="Q17" s="35" t="s">
        <v>48</v>
      </c>
      <c r="R17" s="36"/>
      <c r="S17" s="38"/>
    </row>
    <row r="18" spans="1:19" s="3" customFormat="1" ht="19.5" customHeight="1" x14ac:dyDescent="0.15">
      <c r="A18"/>
      <c r="B18"/>
      <c r="C18" s="24"/>
      <c r="D18" s="74"/>
      <c r="E18" s="75"/>
      <c r="F18" s="75"/>
      <c r="G18" s="56"/>
      <c r="H18" s="61"/>
      <c r="I18" s="73"/>
      <c r="J18" s="27"/>
      <c r="K18" s="72"/>
      <c r="L18" s="57"/>
      <c r="M18" s="44"/>
      <c r="N18" s="40"/>
      <c r="O18" s="11"/>
      <c r="P18" s="47"/>
      <c r="Q18" s="35"/>
      <c r="R18" s="36"/>
      <c r="S18" s="38"/>
    </row>
    <row r="19" spans="1:19" s="3" customFormat="1" ht="19.5" customHeight="1" x14ac:dyDescent="0.15">
      <c r="A19"/>
      <c r="B19"/>
      <c r="C19" s="24"/>
      <c r="D19" s="60"/>
      <c r="E19" s="37"/>
      <c r="F19" s="58"/>
      <c r="G19" s="91">
        <f>SUM(J13:J18)</f>
        <v>44978</v>
      </c>
      <c r="H19" s="92"/>
      <c r="I19" s="92"/>
      <c r="J19" s="93"/>
      <c r="K19" s="59"/>
      <c r="L19" s="57"/>
      <c r="M19" s="44"/>
      <c r="N19" s="40"/>
      <c r="O19" s="11"/>
      <c r="P19" s="47"/>
      <c r="Q19" s="35"/>
      <c r="R19" s="36"/>
      <c r="S19" s="38"/>
    </row>
    <row r="20" spans="1:19" s="3" customFormat="1" ht="19.5" customHeight="1" x14ac:dyDescent="0.15">
      <c r="C20" s="43"/>
      <c r="D20" s="50"/>
      <c r="E20" s="39"/>
      <c r="F20" s="39"/>
      <c r="G20" s="41"/>
      <c r="H20" s="40"/>
      <c r="I20" s="48"/>
      <c r="J20" s="39"/>
      <c r="K20" s="40"/>
      <c r="L20" s="42"/>
      <c r="M20" s="40"/>
      <c r="N20" s="40"/>
      <c r="O20" s="11"/>
      <c r="P20" s="47"/>
      <c r="Q20" s="35"/>
      <c r="R20" s="36"/>
      <c r="S20" s="38"/>
    </row>
    <row r="21" spans="1:19" s="3" customFormat="1" ht="19.5" customHeight="1" x14ac:dyDescent="0.15">
      <c r="C21" s="43"/>
      <c r="D21" s="50"/>
      <c r="E21" s="39"/>
      <c r="F21" s="39"/>
      <c r="G21" s="41"/>
      <c r="H21" s="40"/>
      <c r="I21" s="48"/>
      <c r="J21" s="39"/>
      <c r="K21" s="40"/>
      <c r="L21" s="42"/>
      <c r="M21" s="40"/>
      <c r="N21" s="40"/>
      <c r="O21" s="11"/>
      <c r="P21" s="47"/>
      <c r="Q21" s="35"/>
      <c r="R21" s="36"/>
      <c r="S21" s="38"/>
    </row>
    <row r="22" spans="1:19" ht="19.7" customHeight="1" x14ac:dyDescent="0.15">
      <c r="B22" s="28"/>
      <c r="C22" s="1"/>
      <c r="D22" s="4"/>
      <c r="E22" s="4"/>
      <c r="F22" s="4"/>
      <c r="G22" s="25"/>
      <c r="H22" s="1"/>
      <c r="I22" s="21"/>
      <c r="J22" s="32"/>
      <c r="K22" s="2"/>
      <c r="L22" s="24"/>
      <c r="M22" s="23"/>
      <c r="N22" s="4"/>
      <c r="O22" s="11"/>
      <c r="P22" s="4"/>
      <c r="Q22" s="19"/>
      <c r="R22" s="19"/>
      <c r="S22" s="14"/>
    </row>
    <row r="23" spans="1:19" ht="19.7" customHeight="1" x14ac:dyDescent="0.15">
      <c r="B23" s="28"/>
      <c r="C23" s="1"/>
      <c r="D23" s="4"/>
      <c r="E23" s="4"/>
      <c r="F23" s="4"/>
      <c r="G23" s="25"/>
      <c r="H23" s="1"/>
      <c r="I23" s="21"/>
      <c r="J23" s="32">
        <f t="shared" ref="J23:J28" si="2">H23*I23</f>
        <v>0</v>
      </c>
      <c r="K23" s="2"/>
      <c r="L23" s="24"/>
      <c r="M23" s="23"/>
      <c r="N23" s="4"/>
      <c r="O23" s="11"/>
      <c r="P23" s="4"/>
      <c r="Q23" s="19"/>
      <c r="R23" s="19"/>
      <c r="S23" s="14"/>
    </row>
    <row r="24" spans="1:19" ht="19.7" customHeight="1" x14ac:dyDescent="0.15">
      <c r="B24" s="28"/>
      <c r="C24" s="1"/>
      <c r="D24" s="4"/>
      <c r="E24" s="4"/>
      <c r="F24" s="4"/>
      <c r="G24" s="25"/>
      <c r="H24" s="1"/>
      <c r="I24" s="21"/>
      <c r="J24" s="32">
        <f t="shared" si="2"/>
        <v>0</v>
      </c>
      <c r="K24" s="2"/>
      <c r="L24" s="24"/>
      <c r="M24" s="23"/>
      <c r="N24" s="4"/>
      <c r="O24" s="11"/>
      <c r="P24" s="4"/>
      <c r="Q24" s="19"/>
      <c r="R24" s="19"/>
      <c r="S24" s="14"/>
    </row>
    <row r="25" spans="1:19" ht="19.7" customHeight="1" x14ac:dyDescent="0.15">
      <c r="B25" s="28"/>
      <c r="C25" s="1"/>
      <c r="D25" s="4"/>
      <c r="E25" s="4"/>
      <c r="F25" s="4"/>
      <c r="G25" s="25"/>
      <c r="H25" s="1"/>
      <c r="I25" s="21"/>
      <c r="J25" s="32">
        <f t="shared" si="2"/>
        <v>0</v>
      </c>
      <c r="K25" s="2"/>
      <c r="L25" s="24"/>
      <c r="M25" s="23"/>
      <c r="N25" s="4"/>
      <c r="O25" s="11"/>
      <c r="P25" s="4"/>
      <c r="Q25" s="19"/>
      <c r="R25" s="19"/>
      <c r="S25" s="14"/>
    </row>
    <row r="26" spans="1:19" ht="19.7" customHeight="1" x14ac:dyDescent="0.15">
      <c r="B26" s="28"/>
      <c r="C26" s="34"/>
      <c r="D26" s="4"/>
      <c r="E26" s="4"/>
      <c r="F26" s="4"/>
      <c r="G26" s="25"/>
      <c r="H26" s="1"/>
      <c r="I26" s="21"/>
      <c r="J26" s="32">
        <f t="shared" si="2"/>
        <v>0</v>
      </c>
      <c r="K26" s="2"/>
      <c r="L26" s="24"/>
      <c r="M26" s="23"/>
      <c r="N26" s="4"/>
      <c r="O26" s="11"/>
      <c r="P26" s="4"/>
      <c r="Q26" s="19"/>
      <c r="R26" s="19"/>
      <c r="S26" s="14"/>
    </row>
    <row r="27" spans="1:19" ht="19.7" customHeight="1" x14ac:dyDescent="0.15">
      <c r="B27" s="28"/>
      <c r="C27" s="34"/>
      <c r="D27" s="4"/>
      <c r="E27" s="4"/>
      <c r="F27" s="4"/>
      <c r="G27" s="25"/>
      <c r="H27" s="1"/>
      <c r="I27" s="21"/>
      <c r="J27" s="32">
        <f t="shared" si="2"/>
        <v>0</v>
      </c>
      <c r="K27" s="2"/>
      <c r="L27" s="24"/>
      <c r="M27" s="23"/>
      <c r="N27" s="4"/>
      <c r="O27" s="11"/>
      <c r="P27" s="4"/>
      <c r="Q27" s="19"/>
      <c r="R27" s="19"/>
      <c r="S27" s="14"/>
    </row>
    <row r="28" spans="1:19" ht="19.7" customHeight="1" x14ac:dyDescent="0.15">
      <c r="B28" s="28"/>
      <c r="C28" s="34"/>
      <c r="D28" s="4"/>
      <c r="E28" s="4"/>
      <c r="F28" s="4"/>
      <c r="G28" s="25"/>
      <c r="H28" s="1"/>
      <c r="I28" s="21"/>
      <c r="J28" s="32">
        <f t="shared" si="2"/>
        <v>0</v>
      </c>
      <c r="K28" s="2"/>
      <c r="L28" s="24"/>
      <c r="M28" s="23"/>
      <c r="N28" s="4"/>
      <c r="O28" s="11"/>
      <c r="P28" s="4"/>
      <c r="Q28" s="19"/>
      <c r="R28" s="19"/>
      <c r="S28" s="14"/>
    </row>
    <row r="29" spans="1:19" x14ac:dyDescent="0.15">
      <c r="J29" s="33"/>
    </row>
  </sheetData>
  <autoFilter ref="D9:Q21" xr:uid="{00000000-0009-0000-0000-000000000000}"/>
  <mergeCells count="10">
    <mergeCell ref="G19:J19"/>
    <mergeCell ref="D2:F2"/>
    <mergeCell ref="I2:K2"/>
    <mergeCell ref="D3:F3"/>
    <mergeCell ref="D4:F4"/>
    <mergeCell ref="L4:M5"/>
    <mergeCell ref="D5:F5"/>
    <mergeCell ref="I5:J6"/>
    <mergeCell ref="D6:F6"/>
    <mergeCell ref="D12:G12"/>
  </mergeCells>
  <phoneticPr fontId="13"/>
  <dataValidations count="1">
    <dataValidation allowBlank="1" showInputMessage="1" showErrorMessage="1" sqref="L18:L19" xr:uid="{2559D977-4051-4ED7-8C4F-76C8F66AF7A5}"/>
  </dataValidations>
  <hyperlinks>
    <hyperlink ref="M15" r:id="rId1" xr:uid="{84257C7F-D1A7-46C9-9202-BEC92C2FF905}"/>
    <hyperlink ref="M13" r:id="rId2" xr:uid="{7936D68E-65D9-4C8D-AE9A-82C833032348}"/>
  </hyperlinks>
  <pageMargins left="0.2" right="0.2" top="0.36" bottom="0.41" header="0.3" footer="0.3"/>
  <pageSetup paperSize="9" scale="70" orientation="landscape" r:id="rId3"/>
  <ignoredErrors>
    <ignoredError sqref="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232205　原価表  20260508 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瀬戸山 武子</cp:lastModifiedBy>
  <cp:lastPrinted>2018-06-15T01:25:43Z</cp:lastPrinted>
  <dcterms:created xsi:type="dcterms:W3CDTF">2011-12-13T06:48:43Z</dcterms:created>
  <dcterms:modified xsi:type="dcterms:W3CDTF">2026-05-12T04:27:56Z</dcterms:modified>
</cp:coreProperties>
</file>