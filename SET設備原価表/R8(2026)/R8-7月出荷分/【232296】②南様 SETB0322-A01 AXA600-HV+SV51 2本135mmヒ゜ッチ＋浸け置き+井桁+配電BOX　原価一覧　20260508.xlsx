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ADFF51A6-323D-46E4-8588-9AE8BF1A1FB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32296　原価表  ②20260508 " sheetId="12" r:id="rId1"/>
  </sheets>
  <definedNames>
    <definedName name="_xlnm._FilterDatabase" localSheetId="0" hidden="1">'232296　原価表  ②20260508 '!$D$9:$Q$53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4" i="12" l="1"/>
  <c r="J55" i="12"/>
  <c r="J54" i="12"/>
  <c r="D54" i="12"/>
  <c r="J202" i="12"/>
  <c r="J201" i="12"/>
  <c r="J200" i="12"/>
  <c r="J199" i="12"/>
  <c r="J198" i="12"/>
  <c r="J197" i="12"/>
  <c r="J181" i="12"/>
  <c r="J180" i="12"/>
  <c r="J179" i="12"/>
  <c r="J178" i="12"/>
  <c r="J177" i="12"/>
  <c r="J176" i="12"/>
  <c r="J175" i="12"/>
  <c r="J174" i="12"/>
  <c r="J173" i="12"/>
  <c r="J172" i="12"/>
  <c r="J171" i="12"/>
  <c r="J170" i="12"/>
  <c r="J169" i="12"/>
  <c r="J168" i="12"/>
  <c r="J167" i="12"/>
  <c r="J166" i="12"/>
  <c r="J165" i="12"/>
  <c r="J164" i="12"/>
  <c r="J163" i="12"/>
  <c r="J162" i="12"/>
  <c r="J161" i="12"/>
  <c r="J160" i="12"/>
  <c r="J159" i="12"/>
  <c r="J158" i="12"/>
  <c r="J157" i="12"/>
  <c r="J156" i="12"/>
  <c r="J147" i="12"/>
  <c r="J146" i="12"/>
  <c r="J145" i="12"/>
  <c r="J144" i="12"/>
  <c r="J143" i="12"/>
  <c r="J142" i="12"/>
  <c r="J141" i="12"/>
  <c r="J140" i="12"/>
  <c r="J139" i="12"/>
  <c r="J138" i="12"/>
  <c r="J137" i="12"/>
  <c r="J136" i="12"/>
  <c r="J135" i="12"/>
  <c r="J134" i="12"/>
  <c r="J133" i="12"/>
  <c r="J126" i="12"/>
  <c r="J125" i="12"/>
  <c r="J124" i="12"/>
  <c r="J123" i="12"/>
  <c r="J122" i="12"/>
  <c r="J121" i="12"/>
  <c r="J120" i="12"/>
  <c r="J119" i="12"/>
  <c r="J118" i="12"/>
  <c r="J117" i="12"/>
  <c r="J116" i="12"/>
  <c r="J115" i="12"/>
  <c r="J114" i="12"/>
  <c r="J113" i="12"/>
  <c r="J112" i="12"/>
  <c r="J111" i="12"/>
  <c r="J110" i="12"/>
  <c r="J109" i="12"/>
  <c r="J108" i="12"/>
  <c r="J107" i="12"/>
  <c r="J106" i="12"/>
  <c r="J105" i="12"/>
  <c r="J104" i="12"/>
  <c r="J103" i="12"/>
  <c r="J102" i="12"/>
  <c r="J101" i="12"/>
  <c r="J100" i="12"/>
  <c r="J99" i="12"/>
  <c r="J98" i="12"/>
  <c r="J90" i="12"/>
  <c r="J89" i="12"/>
  <c r="J88" i="12"/>
  <c r="J87" i="12"/>
  <c r="J86" i="12"/>
  <c r="J85" i="12"/>
  <c r="J84" i="12"/>
  <c r="J83" i="12"/>
  <c r="J82" i="12"/>
  <c r="J81" i="12"/>
  <c r="J80" i="12"/>
  <c r="J79" i="12"/>
  <c r="J78" i="12"/>
  <c r="J77" i="12"/>
  <c r="J76" i="12"/>
  <c r="J75" i="12"/>
  <c r="J74" i="12"/>
  <c r="J73" i="12"/>
  <c r="J72" i="12"/>
  <c r="J71" i="12"/>
  <c r="J70" i="12"/>
  <c r="J69" i="12"/>
  <c r="J68" i="12"/>
  <c r="J67" i="12"/>
  <c r="J66" i="12"/>
  <c r="J65" i="12"/>
  <c r="J64" i="12"/>
  <c r="J53" i="12"/>
  <c r="J52" i="12"/>
  <c r="J51" i="12"/>
  <c r="J50" i="12"/>
  <c r="J49" i="12"/>
  <c r="J48" i="12"/>
  <c r="J47" i="12"/>
  <c r="J46" i="12"/>
  <c r="J45" i="12"/>
  <c r="J44" i="12"/>
  <c r="J43" i="12"/>
  <c r="J42" i="12"/>
  <c r="J41" i="12"/>
  <c r="J40" i="12"/>
  <c r="J39" i="12"/>
  <c r="J38" i="12"/>
  <c r="J37" i="12"/>
  <c r="J36" i="12"/>
  <c r="J35" i="12"/>
  <c r="J34" i="12"/>
  <c r="J33" i="12"/>
  <c r="J32" i="12"/>
  <c r="J31" i="12"/>
  <c r="J30" i="12"/>
  <c r="J29" i="12"/>
  <c r="J28" i="12"/>
  <c r="J27" i="12"/>
  <c r="J26" i="12"/>
  <c r="J25" i="12"/>
  <c r="J24" i="12"/>
  <c r="J23" i="12"/>
  <c r="J22" i="12"/>
  <c r="J21" i="12"/>
  <c r="J20" i="12"/>
  <c r="J19" i="12"/>
  <c r="J18" i="12"/>
  <c r="J17" i="12"/>
  <c r="J16" i="12"/>
  <c r="J15" i="12"/>
  <c r="J14" i="12"/>
  <c r="J13" i="12"/>
  <c r="D14" i="12"/>
  <c r="D15" i="12" s="1"/>
  <c r="D16" i="12" s="1"/>
  <c r="D17" i="12" s="1"/>
  <c r="D18" i="12" s="1"/>
  <c r="D19" i="12" s="1"/>
  <c r="D20" i="12" s="1"/>
  <c r="D21" i="12" s="1"/>
  <c r="D22" i="12" s="1"/>
  <c r="D23" i="12" s="1"/>
  <c r="D24" i="12" s="1"/>
  <c r="D25" i="12" s="1"/>
  <c r="D26" i="12" s="1"/>
  <c r="D27" i="12" s="1"/>
  <c r="D28" i="12" s="1"/>
  <c r="D29" i="12" s="1"/>
  <c r="D30" i="12" s="1"/>
  <c r="D31" i="12" s="1"/>
  <c r="D32" i="12" s="1"/>
  <c r="D33" i="12" s="1"/>
  <c r="D34" i="12" s="1"/>
  <c r="D35" i="12" s="1"/>
  <c r="D36" i="12" s="1"/>
  <c r="D37" i="12" s="1"/>
  <c r="D38" i="12" s="1"/>
  <c r="D39" i="12" s="1"/>
  <c r="D40" i="12" s="1"/>
  <c r="D41" i="12" s="1"/>
  <c r="D42" i="12" s="1"/>
  <c r="D43" i="12" s="1"/>
  <c r="D44" i="12" s="1"/>
  <c r="D45" i="12" s="1"/>
  <c r="D46" i="12" s="1"/>
  <c r="D47" i="12" s="1"/>
  <c r="D48" i="12" s="1"/>
  <c r="D49" i="12" s="1"/>
  <c r="D50" i="12" s="1"/>
  <c r="D51" i="12" s="1"/>
  <c r="D52" i="12" s="1"/>
  <c r="D53" i="12" s="1"/>
  <c r="D65" i="12" l="1"/>
  <c r="D66" i="12" s="1"/>
  <c r="D67" i="12" s="1"/>
  <c r="D68" i="12" s="1"/>
  <c r="D69" i="12" s="1"/>
  <c r="D70" i="12" s="1"/>
  <c r="D71" i="12" s="1"/>
  <c r="D72" i="12" s="1"/>
  <c r="D73" i="12" s="1"/>
  <c r="D74" i="12" s="1"/>
  <c r="D75" i="12" s="1"/>
  <c r="D76" i="12" s="1"/>
  <c r="D77" i="12" s="1"/>
  <c r="D78" i="12" s="1"/>
  <c r="D79" i="12" s="1"/>
  <c r="D80" i="12" s="1"/>
  <c r="D81" i="12" s="1"/>
  <c r="D82" i="12" s="1"/>
  <c r="D83" i="12" s="1"/>
  <c r="D84" i="12" s="1"/>
  <c r="D85" i="12" s="1"/>
  <c r="D86" i="12" s="1"/>
  <c r="D87" i="12" s="1"/>
  <c r="D88" i="12" s="1"/>
  <c r="D89" i="12" s="1"/>
  <c r="D55" i="12"/>
  <c r="G185" i="12"/>
  <c r="G93" i="12"/>
  <c r="G149" i="12"/>
  <c r="G128" i="12"/>
  <c r="G58" i="12"/>
  <c r="L2" i="12"/>
  <c r="D90" i="12" l="1"/>
  <c r="D98" i="12" s="1"/>
  <c r="D99" i="12" s="1"/>
  <c r="D100" i="12" s="1"/>
  <c r="D101" i="12" s="1"/>
  <c r="D102" i="12" s="1"/>
  <c r="D103" i="12" s="1"/>
  <c r="D104" i="12" s="1"/>
  <c r="D105" i="12" s="1"/>
  <c r="D106" i="12" s="1"/>
  <c r="D107" i="12" s="1"/>
  <c r="D108" i="12" s="1"/>
  <c r="D109" i="12" s="1"/>
  <c r="D110" i="12" s="1"/>
  <c r="D111" i="12" s="1"/>
  <c r="D112" i="12" s="1"/>
  <c r="D113" i="12" s="1"/>
  <c r="D114" i="12" s="1"/>
  <c r="D115" i="12" s="1"/>
  <c r="D116" i="12" s="1"/>
  <c r="D117" i="12" s="1"/>
  <c r="D118" i="12" s="1"/>
  <c r="D119" i="12" s="1"/>
  <c r="D120" i="12" s="1"/>
  <c r="D121" i="12" s="1"/>
  <c r="D122" i="12" s="1"/>
  <c r="D123" i="12" s="1"/>
  <c r="D124" i="12" s="1"/>
  <c r="D125" i="12" s="1"/>
  <c r="D126" i="12" s="1"/>
  <c r="D133" i="12" l="1"/>
  <c r="D134" i="12" s="1"/>
  <c r="D135" i="12" s="1"/>
  <c r="D136" i="12" s="1"/>
  <c r="D137" i="12" s="1"/>
  <c r="D138" i="12" s="1"/>
  <c r="D139" i="12" s="1"/>
  <c r="D140" i="12" s="1"/>
  <c r="D141" i="12" s="1"/>
  <c r="D142" i="12" s="1"/>
  <c r="D143" i="12" s="1"/>
  <c r="D144" i="12" s="1"/>
  <c r="D145" i="12" s="1"/>
  <c r="D146" i="12" s="1"/>
  <c r="D147" i="12" s="1"/>
  <c r="D156" i="12" s="1"/>
  <c r="D157" i="12" s="1"/>
  <c r="D158" i="12" s="1"/>
  <c r="D159" i="12" s="1"/>
  <c r="D160" i="12" s="1"/>
  <c r="D161" i="12" s="1"/>
  <c r="D162" i="12" s="1"/>
  <c r="D163" i="12" s="1"/>
  <c r="D164" i="12" s="1"/>
  <c r="D165" i="12" s="1"/>
  <c r="D166" i="12" s="1"/>
  <c r="D167" i="12" s="1"/>
  <c r="D168" i="12" s="1"/>
  <c r="D169" i="12" s="1"/>
  <c r="D170" i="12" s="1"/>
  <c r="D171" i="12" s="1"/>
  <c r="D172" i="12" s="1"/>
  <c r="D173" i="12" s="1"/>
  <c r="D174" i="12" s="1"/>
  <c r="D175" i="12" s="1"/>
  <c r="D176" i="12" s="1"/>
  <c r="D177" i="12" s="1"/>
  <c r="D178" i="12" s="1"/>
  <c r="D179" i="12" s="1"/>
  <c r="D180" i="12" s="1"/>
  <c r="D181" i="12" s="1"/>
</calcChain>
</file>

<file path=xl/sharedStrings.xml><?xml version="1.0" encoding="utf-8"?>
<sst xmlns="http://schemas.openxmlformats.org/spreadsheetml/2006/main" count="1038" uniqueCount="344">
  <si>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</si>
  <si>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</si>
  <si>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</si>
  <si>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</si>
  <si>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</si>
  <si>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</si>
  <si>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</si>
  <si>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</si>
  <si>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</si>
  <si>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</si>
  <si>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</si>
  <si>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</si>
  <si>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</si>
  <si>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</si>
  <si>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</si>
  <si>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</si>
  <si>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</si>
  <si>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</si>
  <si>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</si>
  <si>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</si>
  <si>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</si>
  <si>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</si>
  <si>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出荷依頼項目NO.</t>
    <rPh sb="0" eb="2">
      <t>シュッカ</t>
    </rPh>
    <rPh sb="2" eb="4">
      <t>イライ</t>
    </rPh>
    <rPh sb="4" eb="6">
      <t>コウモク</t>
    </rPh>
    <phoneticPr fontId="7"/>
  </si>
  <si>
    <t>アドガワエレクトロニクス株式会社様</t>
    <rPh sb="16" eb="17">
      <t>サマ</t>
    </rPh>
    <phoneticPr fontId="2"/>
  </si>
  <si>
    <t>南(齋藤）</t>
    <rPh sb="0" eb="1">
      <t>ミナミ</t>
    </rPh>
    <rPh sb="2" eb="4">
      <t>サイトウ</t>
    </rPh>
    <phoneticPr fontId="2"/>
  </si>
  <si>
    <t>SETB0322-A01　AXA600-HV+SV51 2本135mmﾋﾟｯﾁ＋浸け置き+井桁治具+SVC720F+配電BOX　　原価一覧　20260424</t>
    <rPh sb="29" eb="30">
      <t>ホン</t>
    </rPh>
    <phoneticPr fontId="2"/>
  </si>
  <si>
    <t>232296</t>
    <phoneticPr fontId="2"/>
  </si>
  <si>
    <t>ツ－ル治具部分</t>
  </si>
  <si>
    <t>ミスミ</t>
    <phoneticPr fontId="2"/>
  </si>
  <si>
    <t>AETTS10-93-SC46.5-M3-N3</t>
    <phoneticPr fontId="16"/>
  </si>
  <si>
    <t>円形支柱－両端めねじ</t>
    <phoneticPr fontId="16"/>
  </si>
  <si>
    <t>AETTS8-93-SC46.5-M3-N3</t>
    <phoneticPr fontId="16"/>
  </si>
  <si>
    <t>meviy</t>
    <phoneticPr fontId="2"/>
  </si>
  <si>
    <t>JPLRS4-P5.0-B7.0</t>
    <phoneticPr fontId="16"/>
  </si>
  <si>
    <t>MS3-10</t>
    <phoneticPr fontId="16"/>
  </si>
  <si>
    <t>CBSST5-16</t>
    <phoneticPr fontId="16"/>
  </si>
  <si>
    <t>低頭六角穴付ボルト  2本+1本　　    まとめて発注　</t>
    <rPh sb="15" eb="16">
      <t>ホン</t>
    </rPh>
    <phoneticPr fontId="16"/>
  </si>
  <si>
    <t>SCB4-8</t>
    <phoneticPr fontId="16"/>
  </si>
  <si>
    <t>SCB4-12</t>
    <phoneticPr fontId="16"/>
  </si>
  <si>
    <t>MS2-6</t>
    <phoneticPr fontId="16"/>
  </si>
  <si>
    <t>SCB4-6</t>
    <phoneticPr fontId="16"/>
  </si>
  <si>
    <t>CBSST5-12</t>
    <phoneticPr fontId="16"/>
  </si>
  <si>
    <t xml:space="preserve">SCB4-10 </t>
    <phoneticPr fontId="16"/>
  </si>
  <si>
    <t>APMTS-N1-T1</t>
    <phoneticPr fontId="16"/>
  </si>
  <si>
    <t>MVBLK-AMW-2UH-KM5D8</t>
    <phoneticPr fontId="16"/>
  </si>
  <si>
    <t>SETB0075-Y07 ｶﾑﾌｧﾛｱ固定ﾌﾞﾛｯｸ</t>
    <phoneticPr fontId="16"/>
  </si>
  <si>
    <t>C-CFA5-13</t>
    <phoneticPr fontId="16"/>
  </si>
  <si>
    <t>CFBRA5-40</t>
    <phoneticPr fontId="16"/>
  </si>
  <si>
    <t>SBCB5-10</t>
    <phoneticPr fontId="16"/>
  </si>
  <si>
    <r>
      <t xml:space="preserve">六角穴付ボル </t>
    </r>
    <r>
      <rPr>
        <sz val="11"/>
        <color rgb="FFFF0000"/>
        <rFont val="ＭＳ Ｐゴシック"/>
        <family val="3"/>
        <charset val="128"/>
        <scheme val="minor"/>
      </rPr>
      <t xml:space="preserve">  4本　  社内在庫使用</t>
    </r>
    <rPh sb="10" eb="11">
      <t>ホン</t>
    </rPh>
    <phoneticPr fontId="16"/>
  </si>
  <si>
    <t>MVBLK-AMN-38U-DN3NT</t>
    <phoneticPr fontId="16"/>
  </si>
  <si>
    <t>SETB0133-Y08 ｶﾑﾌｧﾛｱｶﾞｲﾄﾞ</t>
    <phoneticPr fontId="16"/>
  </si>
  <si>
    <t>MVSHM-3N02006-38U-D2XMB</t>
    <phoneticPr fontId="16"/>
  </si>
  <si>
    <t>SETB0133-Y09 右側ｶﾞｲﾄﾞｶﾊﾞｰ</t>
    <phoneticPr fontId="16"/>
  </si>
  <si>
    <t>MVSHM-3N02006-38U-E1PYU</t>
    <phoneticPr fontId="16"/>
  </si>
  <si>
    <t>SETB0133-Y10 左側ｶﾞｲﾄﾞｶﾊﾞｰ</t>
    <phoneticPr fontId="16"/>
  </si>
  <si>
    <t>SUNCO</t>
    <phoneticPr fontId="16"/>
  </si>
  <si>
    <t>CSHCS-SUS-M3-4</t>
    <phoneticPr fontId="16"/>
  </si>
  <si>
    <t>六角穴付皿ボルト　  2本　×2SET　</t>
    <phoneticPr fontId="16"/>
  </si>
  <si>
    <t>SFB3-8</t>
    <phoneticPr fontId="16"/>
  </si>
  <si>
    <t>六角穴付皿ボルト　  9本　×2SET　</t>
    <phoneticPr fontId="16"/>
  </si>
  <si>
    <t>SCB4-20</t>
    <phoneticPr fontId="16"/>
  </si>
  <si>
    <r>
      <t>六角穴付ボル  　　　</t>
    </r>
    <r>
      <rPr>
        <sz val="11"/>
        <color rgb="FFFF0000"/>
        <rFont val="ＭＳ Ｐゴシック"/>
        <family val="3"/>
        <charset val="128"/>
        <scheme val="minor"/>
      </rPr>
      <t>　2本  社内在庫使用</t>
    </r>
    <rPh sb="13" eb="14">
      <t>ホン</t>
    </rPh>
    <rPh sb="16" eb="18">
      <t>シャナイ</t>
    </rPh>
    <rPh sb="18" eb="20">
      <t>ザイコ</t>
    </rPh>
    <rPh sb="20" eb="22">
      <t>シヨウ</t>
    </rPh>
    <phoneticPr fontId="16"/>
  </si>
  <si>
    <t>MVSHM-3N02054-38U-WD5SU</t>
    <phoneticPr fontId="16"/>
  </si>
  <si>
    <t>SETB0133-Y11 上部ｶﾞｲﾄﾞｶﾊﾞｰ</t>
    <rPh sb="13" eb="14">
      <t>ウエ</t>
    </rPh>
    <rPh sb="14" eb="15">
      <t>ブ</t>
    </rPh>
    <phoneticPr fontId="16"/>
  </si>
  <si>
    <t>SFB3-5</t>
    <phoneticPr fontId="16"/>
  </si>
  <si>
    <t>六角穴付皿ボルト　  4本　　</t>
    <phoneticPr fontId="16"/>
  </si>
  <si>
    <t>5日目</t>
    <rPh sb="1" eb="2">
      <t>ヒ</t>
    </rPh>
    <rPh sb="2" eb="3">
      <t>メ</t>
    </rPh>
    <phoneticPr fontId="2"/>
  </si>
  <si>
    <t>8日目</t>
    <rPh sb="1" eb="2">
      <t>ヒ</t>
    </rPh>
    <rPh sb="2" eb="3">
      <t>メ</t>
    </rPh>
    <phoneticPr fontId="2"/>
  </si>
  <si>
    <t>2日目</t>
    <rPh sb="1" eb="2">
      <t>ヒ</t>
    </rPh>
    <rPh sb="2" eb="3">
      <t>メ</t>
    </rPh>
    <phoneticPr fontId="2"/>
  </si>
  <si>
    <t>1日目</t>
    <rPh sb="1" eb="2">
      <t>ヒ</t>
    </rPh>
    <rPh sb="2" eb="3">
      <t>メ</t>
    </rPh>
    <phoneticPr fontId="2"/>
  </si>
  <si>
    <t>3日目</t>
    <rPh sb="1" eb="2">
      <t>ヒ</t>
    </rPh>
    <rPh sb="2" eb="3">
      <t>メ</t>
    </rPh>
    <phoneticPr fontId="2"/>
  </si>
  <si>
    <t>6日目</t>
    <rPh sb="1" eb="2">
      <t>ヒ</t>
    </rPh>
    <rPh sb="2" eb="3">
      <t>メ</t>
    </rPh>
    <phoneticPr fontId="2"/>
  </si>
  <si>
    <r>
      <t>SETB0</t>
    </r>
    <r>
      <rPr>
        <b/>
        <sz val="11"/>
        <color rgb="FFFF0000"/>
        <rFont val="ＭＳ Ｐゴシック"/>
        <family val="3"/>
        <charset val="128"/>
        <scheme val="minor"/>
      </rPr>
      <t>322</t>
    </r>
    <r>
      <rPr>
        <sz val="11"/>
        <color theme="1"/>
        <rFont val="ＭＳ Ｐゴシック"/>
        <family val="3"/>
        <charset val="128"/>
        <scheme val="minor"/>
      </rPr>
      <t>-</t>
    </r>
    <r>
      <rPr>
        <b/>
        <sz val="11"/>
        <color theme="1"/>
        <rFont val="ＭＳ Ｐゴシック"/>
        <family val="3"/>
        <charset val="128"/>
        <scheme val="minor"/>
      </rPr>
      <t>Y</t>
    </r>
    <r>
      <rPr>
        <sz val="11"/>
        <color theme="1"/>
        <rFont val="ＭＳ Ｐゴシック"/>
        <family val="3"/>
        <charset val="128"/>
        <scheme val="minor"/>
      </rPr>
      <t>01　ﾂｰﾙ取付板</t>
    </r>
    <phoneticPr fontId="16"/>
  </si>
  <si>
    <t>ﾏｰｶｰﾋﾟﾝ　4本</t>
    <rPh sb="9" eb="10">
      <t>ホン</t>
    </rPh>
    <phoneticPr fontId="2"/>
  </si>
  <si>
    <t>SETB0322-Y08　ﾛﾎﾞｯﾄ固定ﾌﾞﾗｹｯﾄ</t>
    <phoneticPr fontId="16"/>
  </si>
  <si>
    <t>六角穴付ボタンボルト　－ステンレス　4</t>
    <phoneticPr fontId="16"/>
  </si>
  <si>
    <t>カムフォロア用ブラケット　2</t>
    <phoneticPr fontId="16"/>
  </si>
  <si>
    <t>カムフォロア　頭部六角穴付　フラットタイプ　2</t>
    <phoneticPr fontId="16"/>
  </si>
  <si>
    <t>MVBLK-AMW-4J4-SYU83</t>
    <phoneticPr fontId="16"/>
  </si>
  <si>
    <t>BSS73-40C</t>
    <phoneticPr fontId="16"/>
  </si>
  <si>
    <t>SETB-0321-Y01-1　ﾂｰﾙﾍﾞｰｽ</t>
    <phoneticPr fontId="16"/>
  </si>
  <si>
    <t>AETGRS10-63.5-SC10</t>
    <phoneticPr fontId="16"/>
  </si>
  <si>
    <t>ALSBG8-30-M4-N4</t>
    <phoneticPr fontId="16"/>
  </si>
  <si>
    <t>低頭六角穴付ボルト  6本　　   　</t>
    <rPh sb="12" eb="13">
      <t>ホン</t>
    </rPh>
    <phoneticPr fontId="16"/>
  </si>
  <si>
    <t>E-ACM-43ST-W</t>
    <phoneticPr fontId="16"/>
  </si>
  <si>
    <t xml:space="preserve">六角穴付ボルト  4本　 </t>
    <rPh sb="10" eb="11">
      <t>ホン</t>
    </rPh>
    <phoneticPr fontId="16"/>
  </si>
  <si>
    <t xml:space="preserve">SPWF4 </t>
    <phoneticPr fontId="16"/>
  </si>
  <si>
    <t xml:space="preserve">ワッシャ  4本　 </t>
    <phoneticPr fontId="16"/>
  </si>
  <si>
    <t>MS4-8</t>
    <phoneticPr fontId="16"/>
  </si>
  <si>
    <r>
      <t xml:space="preserve">ノックピン       2本　　　   </t>
    </r>
    <r>
      <rPr>
        <sz val="11"/>
        <color rgb="FFFF0000"/>
        <rFont val="ＭＳ Ｐゴシック"/>
        <family val="3"/>
        <charset val="128"/>
        <scheme val="minor"/>
      </rPr>
      <t xml:space="preserve"> まとめて発注</t>
    </r>
    <rPh sb="13" eb="14">
      <t>ホン</t>
    </rPh>
    <phoneticPr fontId="16"/>
  </si>
  <si>
    <t>SETB-0321-Y02　ﾂｰﾙﾍﾞｰｽ補強　1</t>
    <phoneticPr fontId="16"/>
  </si>
  <si>
    <t>SETB-0321-Y03　ﾂｰﾙﾍﾞｰｽ補強　2</t>
    <phoneticPr fontId="16"/>
  </si>
  <si>
    <t>SETB-0321-Y05 ｶﾒﾗ取り付けＬ字ﾌﾞﾗｹｯﾄ</t>
    <phoneticPr fontId="16"/>
  </si>
  <si>
    <t>MS2-8</t>
    <phoneticPr fontId="16"/>
  </si>
  <si>
    <t xml:space="preserve">六角穴付ボルト  2本　 </t>
    <rPh sb="10" eb="11">
      <t>ホン</t>
    </rPh>
    <phoneticPr fontId="16"/>
  </si>
  <si>
    <t>SETB-0321-Y06　ﾂｰﾙﾍﾞｰｽ補強　3</t>
    <phoneticPr fontId="16"/>
  </si>
  <si>
    <t>SETB0257-Y03-1　ﾂｰﾙ治具変換ﾌﾟﾚｰﾄ</t>
    <phoneticPr fontId="16"/>
  </si>
  <si>
    <t>SCB3-8</t>
    <phoneticPr fontId="16"/>
  </si>
  <si>
    <t>MCLPTW6-1</t>
  </si>
  <si>
    <t>MVSHM-3N03058-4J4-DDRKZ</t>
    <phoneticPr fontId="16"/>
  </si>
  <si>
    <t>MVBLK-AMW-4J4-G6WBG</t>
    <phoneticPr fontId="16"/>
  </si>
  <si>
    <t>MVBLK-AMW-4J4-ZERXH</t>
    <phoneticPr fontId="16"/>
  </si>
  <si>
    <t>MVBLK-AMW-4J4-B2UGM</t>
    <phoneticPr fontId="16"/>
  </si>
  <si>
    <t>MVBLK-AMW-4J4-2B9AX</t>
    <phoneticPr fontId="16"/>
  </si>
  <si>
    <t>MVBLK-AMW-44K-7SCMA</t>
  </si>
  <si>
    <t>MVBLK-AMW-4J4-FJLMX</t>
  </si>
  <si>
    <t xml:space="preserve">六角穴付ナベボルト  4本　 </t>
    <rPh sb="12" eb="13">
      <t>ホン</t>
    </rPh>
    <phoneticPr fontId="16"/>
  </si>
  <si>
    <t xml:space="preserve">ノックピン       2本　+3　　  </t>
    <rPh sb="13" eb="14">
      <t>ホン</t>
    </rPh>
    <phoneticPr fontId="16"/>
  </si>
  <si>
    <r>
      <t xml:space="preserve"> ノックピン    8本+4+ 4+  7+4+2+8 </t>
    </r>
    <r>
      <rPr>
        <sz val="11"/>
        <color rgb="FFFF0000"/>
        <rFont val="ＭＳ Ｐゴシック"/>
        <family val="3"/>
        <charset val="128"/>
        <scheme val="minor"/>
      </rPr>
      <t>まとめて発注</t>
    </r>
    <rPh sb="11" eb="12">
      <t>ホン</t>
    </rPh>
    <rPh sb="32" eb="34">
      <t>ハッチュウ</t>
    </rPh>
    <phoneticPr fontId="16"/>
  </si>
  <si>
    <r>
      <t>六角穴付ボルト  2</t>
    </r>
    <r>
      <rPr>
        <sz val="11"/>
        <color rgb="FFFF0000"/>
        <rFont val="ＭＳ Ｐゴシック"/>
        <family val="3"/>
        <charset val="128"/>
        <scheme val="minor"/>
      </rPr>
      <t>本+3+3+3+3　  社内在庫使用</t>
    </r>
    <rPh sb="10" eb="11">
      <t>ホン</t>
    </rPh>
    <phoneticPr fontId="16"/>
  </si>
  <si>
    <t>SBCB4-8</t>
    <phoneticPr fontId="16"/>
  </si>
  <si>
    <t>結束バンド固定具（サドル型・ビス止めタイプ）【100個入り】</t>
    <phoneticPr fontId="16"/>
  </si>
  <si>
    <t>ﾁｭｰﾌﾞﾖｳﾂｷﾞﾃ(MCLPTW)</t>
    <phoneticPr fontId="16"/>
  </si>
  <si>
    <t>ﾈｼﾞﾍﾝｶﾝﾂｷﾞﾃ(APMTS)</t>
    <phoneticPr fontId="16"/>
  </si>
  <si>
    <t>ﾛｯｶｸｼﾁｭｳ</t>
    <phoneticPr fontId="16"/>
  </si>
  <si>
    <t>ｴﾝｹｲｼﾁｭｳ</t>
    <phoneticPr fontId="16"/>
  </si>
  <si>
    <t>ｼｭﾄﾞｳｽﾃ-ｼﾞﾘﾆｱﾎﾞ-ﾙ BSS73-40</t>
    <phoneticPr fontId="16"/>
  </si>
  <si>
    <t>駿河精機</t>
    <rPh sb="0" eb="4">
      <t>スルガセイキ</t>
    </rPh>
    <phoneticPr fontId="16"/>
  </si>
  <si>
    <t>浸け置きﾕﾆｯﾄ</t>
    <rPh sb="0" eb="1">
      <t>ツ</t>
    </rPh>
    <rPh sb="2" eb="3">
      <t>オ</t>
    </rPh>
    <phoneticPr fontId="2"/>
  </si>
  <si>
    <t>ﾐｽﾐ</t>
    <phoneticPr fontId="2"/>
  </si>
  <si>
    <t>KBXS100-100</t>
    <phoneticPr fontId="2"/>
  </si>
  <si>
    <t>金属BOX</t>
    <phoneticPr fontId="2"/>
  </si>
  <si>
    <t>PUT4-10-B</t>
    <phoneticPr fontId="2"/>
  </si>
  <si>
    <t>エアチューブ  在庫使用</t>
    <phoneticPr fontId="2"/>
  </si>
  <si>
    <t>PUT6-10-B</t>
    <phoneticPr fontId="2"/>
  </si>
  <si>
    <t>3日間</t>
    <rPh sb="1" eb="2">
      <t>ヒ</t>
    </rPh>
    <rPh sb="2" eb="3">
      <t>カン</t>
    </rPh>
    <phoneticPr fontId="16"/>
  </si>
  <si>
    <t>井桁ﾜｰｸ治具</t>
    <rPh sb="0" eb="2">
      <t>イゲタ</t>
    </rPh>
    <rPh sb="5" eb="7">
      <t>ジグ</t>
    </rPh>
    <phoneticPr fontId="2"/>
  </si>
  <si>
    <t>ミスミ</t>
  </si>
  <si>
    <t>WQBB-JW-A22-B8-T15-H6.5-Q45-X6-F10-S10.5-Z3</t>
    <phoneticPr fontId="2"/>
  </si>
  <si>
    <t>位置決めｶﾞｲﾄﾞ受け　2018-09-13-X028　</t>
    <phoneticPr fontId="2"/>
  </si>
  <si>
    <t>アルミフレーム用フレームキャップ</t>
    <phoneticPr fontId="2"/>
  </si>
  <si>
    <t>HFC5-2040-S</t>
    <phoneticPr fontId="2"/>
  </si>
  <si>
    <t>ミスミ</t>
    <phoneticPr fontId="16"/>
  </si>
  <si>
    <t>アルミフレーム　５シリーズ　正方形　２０×２０ｍｍ　１列溝　４面溝</t>
    <phoneticPr fontId="2"/>
  </si>
  <si>
    <t>HNTP5-4</t>
    <phoneticPr fontId="2"/>
  </si>
  <si>
    <t>後入れバネナット  6個　凸無し</t>
    <rPh sb="11" eb="12">
      <t>コ</t>
    </rPh>
    <rPh sb="13" eb="14">
      <t>トツ</t>
    </rPh>
    <rPh sb="14" eb="15">
      <t>ナ</t>
    </rPh>
    <phoneticPr fontId="2"/>
  </si>
  <si>
    <t xml:space="preserve">HNTP5-5 </t>
    <phoneticPr fontId="2"/>
  </si>
  <si>
    <t>NOOSAF4-8-7</t>
    <phoneticPr fontId="2"/>
  </si>
  <si>
    <t>厚型ローレットノブ</t>
    <phoneticPr fontId="2"/>
  </si>
  <si>
    <t xml:space="preserve">SBCB4-6 </t>
    <phoneticPr fontId="2"/>
  </si>
  <si>
    <t xml:space="preserve"> 六角穴付ボタンボルト　　6本</t>
    <rPh sb="14" eb="15">
      <t>ホン</t>
    </rPh>
    <phoneticPr fontId="2"/>
  </si>
  <si>
    <t>SCB5-20</t>
    <phoneticPr fontId="2"/>
  </si>
  <si>
    <t>BLFA-SUD-T2-A20-B20-H29-J15-X8-Y10-W0-N4-E10.5-S5-G10-MA3-LCC1</t>
    <phoneticPr fontId="2"/>
  </si>
  <si>
    <t>SETB0082-X02-1 　U字型外形位置決めﾌﾞﾛｯｸ</t>
    <phoneticPr fontId="2"/>
  </si>
  <si>
    <t>JTAB-SUD-A400-B37-T2-X20-Y10-G20-N4-L200-V180-S10-W20-NA4-CC2</t>
    <phoneticPr fontId="2"/>
  </si>
  <si>
    <t>SETB0082-X03　井桁ﾜｰｸ冶具ﾜｰｸ受け　2mm幅　</t>
    <phoneticPr fontId="2"/>
  </si>
  <si>
    <t>MVBLK-SUB-2XX-P8KB5</t>
    <phoneticPr fontId="2"/>
  </si>
  <si>
    <r>
      <rPr>
        <sz val="11"/>
        <rFont val="ＭＳ Ｐゴシック"/>
        <family val="3"/>
        <charset val="128"/>
      </rPr>
      <t>SETB0082-X05-1</t>
    </r>
    <r>
      <rPr>
        <sz val="11"/>
        <color indexed="8"/>
        <rFont val="ＭＳ Ｐゴシック"/>
        <family val="3"/>
        <charset val="128"/>
      </rPr>
      <t xml:space="preserve"> ﾜｰｸ押さえ</t>
    </r>
    <phoneticPr fontId="2"/>
  </si>
  <si>
    <t>MS3-10</t>
    <phoneticPr fontId="2"/>
  </si>
  <si>
    <t>ﾉｯｸﾋﾟﾝ　φ3-10mm</t>
  </si>
  <si>
    <t xml:space="preserve">SCB4-8  </t>
    <phoneticPr fontId="2"/>
  </si>
  <si>
    <t>CBSST4-8</t>
    <phoneticPr fontId="16"/>
  </si>
  <si>
    <t xml:space="preserve">SHNTP5-4  </t>
    <phoneticPr fontId="2"/>
  </si>
  <si>
    <t xml:space="preserve">SHNTP5-5 </t>
    <phoneticPr fontId="2"/>
  </si>
  <si>
    <t>WSSS10-4-1</t>
    <phoneticPr fontId="2"/>
  </si>
  <si>
    <t>金属ﾜｯｼｬｰ　　Ｔ寸選択・指定タイプ　並級</t>
    <rPh sb="0" eb="2">
      <t>キンゾク</t>
    </rPh>
    <phoneticPr fontId="2"/>
  </si>
  <si>
    <t>ｼﾑ PACK10-CIMRS</t>
    <phoneticPr fontId="16"/>
  </si>
  <si>
    <t>5日間</t>
    <rPh sb="1" eb="2">
      <t>ヒ</t>
    </rPh>
    <rPh sb="2" eb="3">
      <t>カン</t>
    </rPh>
    <phoneticPr fontId="2"/>
  </si>
  <si>
    <t>3日間</t>
    <rPh sb="1" eb="2">
      <t>ヒ</t>
    </rPh>
    <rPh sb="2" eb="3">
      <t>カン</t>
    </rPh>
    <phoneticPr fontId="2"/>
  </si>
  <si>
    <t>6日間</t>
    <rPh sb="1" eb="2">
      <t>ヒ</t>
    </rPh>
    <rPh sb="2" eb="3">
      <t>カン</t>
    </rPh>
    <phoneticPr fontId="2"/>
  </si>
  <si>
    <t>8日間</t>
    <rPh sb="1" eb="2">
      <t>ヒ</t>
    </rPh>
    <rPh sb="2" eb="3">
      <t>カン</t>
    </rPh>
    <phoneticPr fontId="2"/>
  </si>
  <si>
    <t>SETB0134-Z02　金属BOX受皿</t>
    <phoneticPr fontId="16"/>
  </si>
  <si>
    <t>SETB0177-Z07-1　カップ受け板金1</t>
    <phoneticPr fontId="16"/>
  </si>
  <si>
    <t>B-1100-3</t>
    <phoneticPr fontId="16"/>
  </si>
  <si>
    <t>CRKB4-8</t>
    <phoneticPr fontId="16"/>
  </si>
  <si>
    <t>MS3-6</t>
  </si>
  <si>
    <t>SETB0177-Z08-1　カップ受け板金3</t>
    <phoneticPr fontId="16"/>
  </si>
  <si>
    <t>MSC2-4</t>
    <phoneticPr fontId="16"/>
  </si>
  <si>
    <t>SETB0177-Z09-2　カップ受け板金4</t>
    <phoneticPr fontId="16"/>
  </si>
  <si>
    <t>SETB0321-Z02　カップ受け板金Ｌ字3　2個</t>
    <rPh sb="25" eb="26">
      <t>コ</t>
    </rPh>
    <phoneticPr fontId="16"/>
  </si>
  <si>
    <t>SETB0178-Z06　30ccｶｯﾌﾟ　sus材　　202300803　2個</t>
    <rPh sb="39" eb="40">
      <t>コ</t>
    </rPh>
    <phoneticPr fontId="16"/>
  </si>
  <si>
    <t>SETB0321-Z03　カップ受け板金2　2個</t>
    <rPh sb="23" eb="24">
      <t>コ</t>
    </rPh>
    <phoneticPr fontId="16"/>
  </si>
  <si>
    <r>
      <t xml:space="preserve"> ノックピン    2本+4+ 4+  7+4+2+8 </t>
    </r>
    <r>
      <rPr>
        <sz val="11"/>
        <color rgb="FFFF0000"/>
        <rFont val="ＭＳ Ｐゴシック"/>
        <family val="3"/>
        <charset val="128"/>
        <scheme val="minor"/>
      </rPr>
      <t>まとめて発注</t>
    </r>
    <rPh sb="11" eb="12">
      <t>ホン</t>
    </rPh>
    <rPh sb="32" eb="34">
      <t>ハッチュウ</t>
    </rPh>
    <phoneticPr fontId="16"/>
  </si>
  <si>
    <t>SETB0322-Z01　金属BOX受け板金柱固定用4</t>
    <phoneticPr fontId="16"/>
  </si>
  <si>
    <t xml:space="preserve">CHNS4 </t>
    <phoneticPr fontId="16"/>
  </si>
  <si>
    <t>蝶ナット</t>
    <phoneticPr fontId="16"/>
  </si>
  <si>
    <t>CSHSM-SUS-M3-5</t>
    <phoneticPr fontId="16"/>
  </si>
  <si>
    <t>FNT3</t>
    <phoneticPr fontId="16"/>
  </si>
  <si>
    <t>MS3-8</t>
    <phoneticPr fontId="16"/>
  </si>
  <si>
    <t xml:space="preserve">RSCB4-15 </t>
    <phoneticPr fontId="16"/>
  </si>
  <si>
    <t>六角ボルト</t>
    <phoneticPr fontId="16"/>
  </si>
  <si>
    <t>SETB0322-Z04　金属BOX受け板金3</t>
    <phoneticPr fontId="16"/>
  </si>
  <si>
    <t>UNST5-40</t>
    <phoneticPr fontId="16"/>
  </si>
  <si>
    <t>SETB0322-Z05 捨て打ちBOX受け板</t>
    <phoneticPr fontId="16"/>
  </si>
  <si>
    <t>SFB4-8</t>
    <phoneticPr fontId="16"/>
  </si>
  <si>
    <t>MVSHM-3N03004-4J4-DKCWJ</t>
    <phoneticPr fontId="16"/>
  </si>
  <si>
    <t>MVSHM-3N02052-4J4-UT3LJ</t>
  </si>
  <si>
    <t>MVSHM-3N02052-4J4-41F4H</t>
    <phoneticPr fontId="16"/>
  </si>
  <si>
    <t>MVSHM-3N02002-4J4-ZN51D</t>
    <phoneticPr fontId="16"/>
  </si>
  <si>
    <t>MVSHM-3N02052-4J4-4MTCF</t>
    <phoneticPr fontId="16"/>
  </si>
  <si>
    <t>MVSHM-3N03054-3AM-PACME</t>
    <phoneticPr fontId="16"/>
  </si>
  <si>
    <t>MVSHM-3N02052-3Y4-191KL</t>
    <phoneticPr fontId="16"/>
  </si>
  <si>
    <t>MVSHM-3N02006-3Y4-4YZ2U</t>
    <phoneticPr fontId="16"/>
  </si>
  <si>
    <t>MVTUP-ACW-3Y4-FDYX7</t>
    <phoneticPr fontId="16"/>
  </si>
  <si>
    <t>MVTUP-SUB-3GK-HD2S8</t>
    <phoneticPr fontId="16"/>
  </si>
  <si>
    <t>浸け置きカップ　捨て打ちBOX</t>
    <rPh sb="8" eb="9">
      <t>ス</t>
    </rPh>
    <rPh sb="10" eb="11">
      <t>ウ</t>
    </rPh>
    <phoneticPr fontId="2"/>
  </si>
  <si>
    <t>6日間</t>
    <rPh sb="1" eb="2">
      <t>ヒ</t>
    </rPh>
    <rPh sb="2" eb="3">
      <t>カン</t>
    </rPh>
    <phoneticPr fontId="16"/>
  </si>
  <si>
    <t>10日間</t>
    <rPh sb="2" eb="3">
      <t>ヒ</t>
    </rPh>
    <rPh sb="3" eb="4">
      <t>カン</t>
    </rPh>
    <phoneticPr fontId="16"/>
  </si>
  <si>
    <t>日産ネジ</t>
    <rPh sb="0" eb="2">
      <t>ニッサン</t>
    </rPh>
    <phoneticPr fontId="16"/>
  </si>
  <si>
    <t>タキゲン製造</t>
    <rPh sb="4" eb="6">
      <t>セイゾウ</t>
    </rPh>
    <phoneticPr fontId="16"/>
  </si>
  <si>
    <t>平型蝶番（B-1100・ステンレス製）　　　1個</t>
    <phoneticPr fontId="16"/>
  </si>
  <si>
    <t xml:space="preserve"> ノックピン　　　3個</t>
    <rPh sb="10" eb="11">
      <t>コ</t>
    </rPh>
    <phoneticPr fontId="16"/>
  </si>
  <si>
    <t xml:space="preserve"> ノックピン　　　2個</t>
    <rPh sb="10" eb="11">
      <t>コ</t>
    </rPh>
    <phoneticPr fontId="16"/>
  </si>
  <si>
    <t>六角穴付皿ボルト　－ステンレス　　　10個</t>
    <rPh sb="20" eb="21">
      <t>コ</t>
    </rPh>
    <phoneticPr fontId="16"/>
  </si>
  <si>
    <t>低弾性ラバー付ボルト　　　4個</t>
    <rPh sb="14" eb="15">
      <t>コ</t>
    </rPh>
    <phoneticPr fontId="16"/>
  </si>
  <si>
    <t>袋ナット　　　2個</t>
    <rPh sb="8" eb="9">
      <t>コ</t>
    </rPh>
    <phoneticPr fontId="16"/>
  </si>
  <si>
    <t>六角穴付きボルト（キャップスクリュー）　　　2個</t>
    <rPh sb="23" eb="24">
      <t>コ</t>
    </rPh>
    <phoneticPr fontId="16"/>
  </si>
  <si>
    <t xml:space="preserve"> ノックピン　　　3個+3</t>
    <rPh sb="10" eb="11">
      <t>コ</t>
    </rPh>
    <phoneticPr fontId="16"/>
  </si>
  <si>
    <t>六角穴付皿ボルト　－ステンレス　　　4個+2</t>
    <rPh sb="19" eb="20">
      <t>コ</t>
    </rPh>
    <phoneticPr fontId="16"/>
  </si>
  <si>
    <t>樹脂ローレット付ねじ-単品　　　1個+4+8</t>
    <phoneticPr fontId="16"/>
  </si>
  <si>
    <t xml:space="preserve"> ノックピン　　　6個+6</t>
    <rPh sb="10" eb="11">
      <t>コ</t>
    </rPh>
    <phoneticPr fontId="16"/>
  </si>
  <si>
    <t>井桁ﾜｰｸ受けｶﾞｲﾄﾞﾚｰﾙ治具</t>
    <rPh sb="0" eb="2">
      <t>イゲタ</t>
    </rPh>
    <rPh sb="5" eb="6">
      <t>ウ</t>
    </rPh>
    <rPh sb="15" eb="17">
      <t>ジグ</t>
    </rPh>
    <phoneticPr fontId="2"/>
  </si>
  <si>
    <t>SETB0322-X12　リニアｶﾞｲﾄﾞﾍﾞｰｽ</t>
    <phoneticPr fontId="16"/>
  </si>
  <si>
    <t>SCB4-10</t>
    <phoneticPr fontId="2"/>
  </si>
  <si>
    <t>六角穴付低頭ボルト　　6本</t>
    <rPh sb="4" eb="6">
      <t>テイトウ</t>
    </rPh>
    <rPh sb="12" eb="13">
      <t>ホン</t>
    </rPh>
    <phoneticPr fontId="2"/>
  </si>
  <si>
    <t>SSEBWNZ16G-630</t>
    <phoneticPr fontId="16"/>
  </si>
  <si>
    <t>SCB4-12</t>
    <phoneticPr fontId="2"/>
  </si>
  <si>
    <t>SETB0322-X13　リニアｶﾞｲﾄﾞﾌﾞﾛｯｸ固定変換</t>
    <phoneticPr fontId="16"/>
  </si>
  <si>
    <t>ASFFS-A57-B20-T0.2-Q4.5-E10-C10-P37</t>
    <phoneticPr fontId="16"/>
  </si>
  <si>
    <t>ASFFS-A57-B20-T0.05-Q4.5-E10-C10-P37</t>
    <phoneticPr fontId="16"/>
  </si>
  <si>
    <t>MS4-10</t>
    <phoneticPr fontId="2"/>
  </si>
  <si>
    <t>ﾉｯｸﾋﾟﾝ　φ4-10mm　2本</t>
    <rPh sb="16" eb="17">
      <t>ホン</t>
    </rPh>
    <phoneticPr fontId="16"/>
  </si>
  <si>
    <t>PACK10-CIMRS4-8-0.2</t>
    <phoneticPr fontId="16"/>
  </si>
  <si>
    <t>PACK10-CIMRS4-8-0.05</t>
    <phoneticPr fontId="16"/>
  </si>
  <si>
    <t>SETB0322-X14　リニアｶﾞｲﾄﾞﾕﾆｯﾄﾍﾞｰｽ</t>
    <phoneticPr fontId="16"/>
  </si>
  <si>
    <t>SCB4-8</t>
    <phoneticPr fontId="2"/>
  </si>
  <si>
    <t>六角穴付低頭ボルト　　8本</t>
    <rPh sb="4" eb="6">
      <t>テイトウ</t>
    </rPh>
    <rPh sb="12" eb="13">
      <t>ホン</t>
    </rPh>
    <phoneticPr fontId="2"/>
  </si>
  <si>
    <t>XJPNGLB4-P5.98-B6.5-G4-ML5-RAC</t>
    <phoneticPr fontId="16"/>
  </si>
  <si>
    <t>12日間</t>
    <rPh sb="2" eb="3">
      <t>ヒ</t>
    </rPh>
    <rPh sb="3" eb="4">
      <t>カン</t>
    </rPh>
    <phoneticPr fontId="2"/>
  </si>
  <si>
    <t>MVBLK-AMW-4J4-XUCFX</t>
    <phoneticPr fontId="16"/>
  </si>
  <si>
    <t>MVBLK-AMW-4J4-YTNFB</t>
    <phoneticPr fontId="16"/>
  </si>
  <si>
    <t>17日間</t>
    <rPh sb="2" eb="3">
      <t>ヒ</t>
    </rPh>
    <rPh sb="3" eb="4">
      <t>カン</t>
    </rPh>
    <phoneticPr fontId="2"/>
  </si>
  <si>
    <t>MVBLK-AMW-4J4-GHSHY</t>
    <phoneticPr fontId="16"/>
  </si>
  <si>
    <t>ﾉｯｸﾋﾟﾝ　φ3-10mm　5本+2+7</t>
    <rPh sb="16" eb="17">
      <t>ホン</t>
    </rPh>
    <phoneticPr fontId="16"/>
  </si>
  <si>
    <t>六角穴付低頭ボルト　　32本+6</t>
    <rPh sb="4" eb="6">
      <t>テイトウ</t>
    </rPh>
    <rPh sb="13" eb="14">
      <t>ホン</t>
    </rPh>
    <phoneticPr fontId="2"/>
  </si>
  <si>
    <t>ｲﾁｷﾞﾒﾋﾟﾝ XJPNGLB</t>
    <phoneticPr fontId="16"/>
  </si>
  <si>
    <t>ﾃｲﾄｳﾛｯｶｸｱﾅﾂｷﾎﾞﾙﾄ</t>
  </si>
  <si>
    <t>ｼﾑ ASFFS</t>
    <phoneticPr fontId="16"/>
  </si>
  <si>
    <t>ﾐﾆﾁｭｱｽﾗｲﾄﾞｶﾞｲﾄﾞ(SSEBWNZ)</t>
    <phoneticPr fontId="16"/>
  </si>
  <si>
    <t>CBSTSS5-20</t>
    <phoneticPr fontId="16"/>
  </si>
  <si>
    <t>GDSMSB5.5-33.5-F5-M5</t>
    <phoneticPr fontId="16"/>
  </si>
  <si>
    <t>HFS5-2020-415-Z5-XA90.5-XB215.5-XC340.5</t>
    <phoneticPr fontId="2"/>
  </si>
  <si>
    <t>NFS5-2040-427-Z5-XA57-XB77-XC332-XD352</t>
    <phoneticPr fontId="16"/>
  </si>
  <si>
    <t>アルミフレーム　５シリーズ　正方形　２０×4０ｍｍ　１列溝　４面溝</t>
    <phoneticPr fontId="16"/>
  </si>
  <si>
    <t xml:space="preserve">六角穴付ボルト　　6本 </t>
    <rPh sb="10" eb="11">
      <t>ホン</t>
    </rPh>
    <phoneticPr fontId="2"/>
  </si>
  <si>
    <t>SETB0322-X01　井桁ﾜｰｸ冶具ﾍﾞｰｽ (400mm)</t>
    <phoneticPr fontId="2"/>
  </si>
  <si>
    <t>MS4-40</t>
    <phoneticPr fontId="2"/>
  </si>
  <si>
    <t>ﾉｯｸﾋﾟﾝ　φ4-40mm</t>
    <phoneticPr fontId="2"/>
  </si>
  <si>
    <t>SETB0322-X02　ﾜｰｸ治具ﾌﾞﾚｰﾄﾞ固定ﾍﾞｰｽ板</t>
    <phoneticPr fontId="16"/>
  </si>
  <si>
    <t>MS3-8</t>
    <phoneticPr fontId="2"/>
  </si>
  <si>
    <t>NKOSA5-10-8</t>
    <phoneticPr fontId="16"/>
  </si>
  <si>
    <t>後入れバネナット  4個　凸無し</t>
    <rPh sb="11" eb="12">
      <t>コ</t>
    </rPh>
    <rPh sb="13" eb="14">
      <t>トツ</t>
    </rPh>
    <rPh sb="14" eb="15">
      <t>ナ</t>
    </rPh>
    <phoneticPr fontId="2"/>
  </si>
  <si>
    <t>後入れバネナット  6個</t>
    <rPh sb="11" eb="12">
      <t>コ</t>
    </rPh>
    <phoneticPr fontId="2"/>
  </si>
  <si>
    <t>SCB5-40</t>
    <phoneticPr fontId="2"/>
  </si>
  <si>
    <t xml:space="preserve">六角穴付ボルト　　4本 </t>
    <rPh sb="10" eb="11">
      <t>ホン</t>
    </rPh>
    <phoneticPr fontId="2"/>
  </si>
  <si>
    <t>9日間</t>
    <rPh sb="1" eb="2">
      <t>ヒ</t>
    </rPh>
    <rPh sb="2" eb="3">
      <t>カン</t>
    </rPh>
    <phoneticPr fontId="2"/>
  </si>
  <si>
    <t>ｱﾂｶﾞﾀﾛｰﾚｯﾄﾉﾌﾞ</t>
    <phoneticPr fontId="16"/>
  </si>
  <si>
    <t>ｺﾞｸﾃｲﾄｳﾎﾞﾙﾄ -SUS316L-CBSTSS</t>
    <phoneticPr fontId="16"/>
  </si>
  <si>
    <t>ｽﾄﾘｯﾊﾟﾎﾞﾙﾄ(GDSMSB)</t>
    <phoneticPr fontId="16"/>
  </si>
  <si>
    <t>MVBLK-SUN-4J4-23Z84</t>
    <phoneticPr fontId="16"/>
  </si>
  <si>
    <t>MVBLK-AMW-4J5-L1DLX</t>
    <phoneticPr fontId="16"/>
  </si>
  <si>
    <t>APNA4-P2.00-L0-B10.0-E2.3</t>
    <phoneticPr fontId="16"/>
  </si>
  <si>
    <t>SLSBG8-46-M4-N4</t>
    <phoneticPr fontId="16"/>
  </si>
  <si>
    <t>SCB3-6</t>
    <phoneticPr fontId="2"/>
  </si>
  <si>
    <t xml:space="preserve">六角穴付ボルト　　8本 </t>
    <rPh sb="10" eb="11">
      <t>ホン</t>
    </rPh>
    <phoneticPr fontId="2"/>
  </si>
  <si>
    <t>後入れバネナット  7個</t>
    <rPh sb="11" eb="12">
      <t>コ</t>
    </rPh>
    <phoneticPr fontId="2"/>
  </si>
  <si>
    <t>WSSS12-4-2</t>
    <phoneticPr fontId="16"/>
  </si>
  <si>
    <t>ｲﾁｷﾞﾒﾋﾟﾝ APNA</t>
    <phoneticPr fontId="16"/>
  </si>
  <si>
    <t>ｽﾃﾝﾚｽｼﾁｭｳ SLSBG</t>
    <phoneticPr fontId="16"/>
  </si>
  <si>
    <t>配電部分 　ﾛﾎﾞｯﾄ背面ﾀｲﾌﾟ</t>
    <rPh sb="0" eb="2">
      <t>ハイデン</t>
    </rPh>
    <rPh sb="2" eb="4">
      <t>ブブン</t>
    </rPh>
    <phoneticPr fontId="16"/>
  </si>
  <si>
    <t>meviy</t>
    <phoneticPr fontId="16"/>
  </si>
  <si>
    <t>ﾐｽﾐ</t>
    <phoneticPr fontId="16"/>
  </si>
  <si>
    <t>MVSHM-3N03002-4AE-6EX3C</t>
    <phoneticPr fontId="16"/>
  </si>
  <si>
    <t>SETB0295-Z02 電磁弁+レギュラーﾕﾆｯﾄ取付板金</t>
    <phoneticPr fontId="16"/>
  </si>
  <si>
    <t>BCBFB4-6</t>
    <phoneticPr fontId="2"/>
  </si>
  <si>
    <t>六角穴付ボタンボルト　フランジ付タイプ</t>
    <phoneticPr fontId="2"/>
  </si>
  <si>
    <t>FWSA-D8-V5-T8</t>
    <phoneticPr fontId="16"/>
  </si>
  <si>
    <t>金属ワッシャ　－並級</t>
    <phoneticPr fontId="16"/>
  </si>
  <si>
    <t>SCB5-16</t>
    <phoneticPr fontId="16"/>
  </si>
  <si>
    <t>六角穴付ボルト</t>
    <phoneticPr fontId="16"/>
  </si>
  <si>
    <t>PDDU-PT-MS-9-2.5</t>
    <phoneticPr fontId="2"/>
  </si>
  <si>
    <t>Dsub9　オス　コネクタハーネス　#4-40ショートねじ</t>
    <phoneticPr fontId="2"/>
  </si>
  <si>
    <t>PDDJ-PS-JS-37-1.5</t>
    <phoneticPr fontId="2"/>
  </si>
  <si>
    <t>Dsubコネクタハーネス</t>
    <phoneticPr fontId="2"/>
  </si>
  <si>
    <t>MWS-DS37A-HT37</t>
    <phoneticPr fontId="2"/>
  </si>
  <si>
    <t>Dsubコネクタ端子台</t>
    <rPh sb="8" eb="10">
      <t>タンシ</t>
    </rPh>
    <rPh sb="10" eb="11">
      <t>ダイ</t>
    </rPh>
    <phoneticPr fontId="2"/>
  </si>
  <si>
    <t xml:space="preserve">MWS-B3102 </t>
    <phoneticPr fontId="2"/>
  </si>
  <si>
    <t>コモン端子台</t>
    <rPh sb="3" eb="5">
      <t>タンシ</t>
    </rPh>
    <rPh sb="5" eb="6">
      <t>ダイ</t>
    </rPh>
    <phoneticPr fontId="2"/>
  </si>
  <si>
    <t>MRB-80</t>
    <phoneticPr fontId="2"/>
  </si>
  <si>
    <t>DINレール</t>
    <phoneticPr fontId="2"/>
  </si>
  <si>
    <t>MRB-250</t>
    <phoneticPr fontId="2"/>
  </si>
  <si>
    <t>BVHVU6-3</t>
    <phoneticPr fontId="2"/>
  </si>
  <si>
    <t>ハンドバルブ　φ6</t>
    <phoneticPr fontId="2"/>
  </si>
  <si>
    <t>ＪＡＰＰY</t>
    <phoneticPr fontId="2"/>
  </si>
  <si>
    <t>ADR-361-JP</t>
    <phoneticPr fontId="2"/>
  </si>
  <si>
    <t>カッチンダクト</t>
    <phoneticPr fontId="2"/>
  </si>
  <si>
    <t xml:space="preserve">HDV-2 </t>
    <phoneticPr fontId="2"/>
  </si>
  <si>
    <t>止め金具　　　　　　6個</t>
    <rPh sb="0" eb="1">
      <t>ト</t>
    </rPh>
    <rPh sb="2" eb="4">
      <t>カナグ</t>
    </rPh>
    <rPh sb="11" eb="12">
      <t>コ</t>
    </rPh>
    <phoneticPr fontId="2"/>
  </si>
  <si>
    <t>SMC</t>
  </si>
  <si>
    <t>フィルタレギュレータ</t>
    <phoneticPr fontId="2"/>
  </si>
  <si>
    <t>BSLG6</t>
    <phoneticPr fontId="2"/>
  </si>
  <si>
    <t>ワンタッチ継手　ブラインドプラグ</t>
    <phoneticPr fontId="2"/>
  </si>
  <si>
    <t>USYL6</t>
    <phoneticPr fontId="2"/>
  </si>
  <si>
    <t>ワンタッチ継手　Ｙタイプ</t>
    <phoneticPr fontId="2"/>
  </si>
  <si>
    <t>ｵﾑﾛﾝ</t>
    <phoneticPr fontId="16"/>
  </si>
  <si>
    <t>MY2N-D2 DC24</t>
    <phoneticPr fontId="16"/>
  </si>
  <si>
    <t>MY ミニパワーリレー</t>
    <phoneticPr fontId="16"/>
  </si>
  <si>
    <t>PYFZ-08</t>
    <phoneticPr fontId="16"/>
  </si>
  <si>
    <t>表面接続角型ソケット</t>
    <phoneticPr fontId="16"/>
  </si>
  <si>
    <t>PYC-E1</t>
    <phoneticPr fontId="16"/>
  </si>
  <si>
    <t xml:space="preserve">リレー用共用オプション品 </t>
    <phoneticPr fontId="16"/>
  </si>
  <si>
    <t>A8001</t>
    <phoneticPr fontId="2"/>
  </si>
  <si>
    <t>汎用3芯OAタップ 6ヶ口</t>
    <phoneticPr fontId="2"/>
  </si>
  <si>
    <t>3日目</t>
    <rPh sb="1" eb="2">
      <t>ヒ</t>
    </rPh>
    <rPh sb="2" eb="3">
      <t>メ</t>
    </rPh>
    <phoneticPr fontId="16"/>
  </si>
  <si>
    <t>1日目</t>
    <rPh sb="1" eb="2">
      <t>ヒ</t>
    </rPh>
    <rPh sb="2" eb="3">
      <t>メ</t>
    </rPh>
    <phoneticPr fontId="16"/>
  </si>
  <si>
    <t>三沢電線</t>
    <rPh sb="0" eb="2">
      <t>ミサワ</t>
    </rPh>
    <rPh sb="2" eb="4">
      <t>デンセン</t>
    </rPh>
    <phoneticPr fontId="2"/>
  </si>
  <si>
    <t>UL1007-20AWG-BE-10</t>
    <phoneticPr fontId="2"/>
  </si>
  <si>
    <t>単芯電線　　0.5　AGW20　青色</t>
    <rPh sb="0" eb="1">
      <t>タン</t>
    </rPh>
    <rPh sb="1" eb="2">
      <t>シン</t>
    </rPh>
    <rPh sb="2" eb="4">
      <t>デンセン</t>
    </rPh>
    <rPh sb="16" eb="17">
      <t>アオ</t>
    </rPh>
    <rPh sb="17" eb="18">
      <t>イロ</t>
    </rPh>
    <phoneticPr fontId="2"/>
  </si>
  <si>
    <t>単芯電線　　0.75　AGW18　赤色</t>
    <rPh sb="0" eb="1">
      <t>タン</t>
    </rPh>
    <rPh sb="1" eb="2">
      <t>シン</t>
    </rPh>
    <rPh sb="2" eb="4">
      <t>デンセン</t>
    </rPh>
    <rPh sb="17" eb="19">
      <t>アカイロ</t>
    </rPh>
    <phoneticPr fontId="2"/>
  </si>
  <si>
    <t>単芯電線　　0.75　AGW18　黒色</t>
    <rPh sb="0" eb="1">
      <t>タン</t>
    </rPh>
    <rPh sb="1" eb="2">
      <t>シン</t>
    </rPh>
    <rPh sb="2" eb="4">
      <t>デンセン</t>
    </rPh>
    <rPh sb="17" eb="19">
      <t>コクショク</t>
    </rPh>
    <phoneticPr fontId="2"/>
  </si>
  <si>
    <t>UL1015-18AWG-R-10</t>
    <phoneticPr fontId="2"/>
  </si>
  <si>
    <t>UL1015-18AWG-BK-10</t>
    <phoneticPr fontId="2"/>
  </si>
  <si>
    <t>2日目</t>
    <rPh sb="1" eb="2">
      <t>ヒ</t>
    </rPh>
    <rPh sb="2" eb="3">
      <t>メ</t>
    </rPh>
    <phoneticPr fontId="16"/>
  </si>
  <si>
    <t>AW20-01BG-D</t>
    <phoneticPr fontId="2"/>
  </si>
  <si>
    <t>PL6-01</t>
    <phoneticPr fontId="2"/>
  </si>
  <si>
    <t>一般配管用 チューブフィッティング エルボ</t>
    <phoneticPr fontId="16"/>
  </si>
  <si>
    <t>日本ピスコ</t>
    <rPh sb="0" eb="2">
      <t>ニホン</t>
    </rPh>
    <phoneticPr fontId="2"/>
  </si>
  <si>
    <t>ﾋｮｳｼﾞｭﾝﾂｷﾞﾃ PAW</t>
    <phoneticPr fontId="16"/>
  </si>
  <si>
    <t>ﾊﾝﾄﾞﾊﾞﾙﾌﾞ (BVHVU)</t>
    <phoneticPr fontId="16"/>
  </si>
  <si>
    <t>②</t>
    <phoneticPr fontId="7"/>
  </si>
  <si>
    <t>NO.232296-1　H-SAITOU　</t>
    <phoneticPr fontId="16"/>
  </si>
  <si>
    <t>NO.232296-2　H-SAITOU　</t>
    <phoneticPr fontId="16"/>
  </si>
  <si>
    <t>NO.232296-3　H-SAITOU　</t>
    <phoneticPr fontId="16"/>
  </si>
  <si>
    <t>NO.232296-4　H-SAITOU　</t>
    <phoneticPr fontId="16"/>
  </si>
  <si>
    <t>NO.232296-5　H-SAITOU　</t>
    <phoneticPr fontId="16"/>
  </si>
  <si>
    <t xml:space="preserve">
AB24FG7G6G</t>
    <phoneticPr fontId="16"/>
  </si>
  <si>
    <r>
      <t>PAW6-01　　　　</t>
    </r>
    <r>
      <rPr>
        <b/>
        <sz val="11"/>
        <color rgb="FFFF0000"/>
        <rFont val="ＭＳ Ｐゴシック"/>
        <family val="3"/>
        <charset val="128"/>
        <scheme val="minor"/>
      </rPr>
      <t>納期確認中</t>
    </r>
    <rPh sb="11" eb="13">
      <t>ノウキ</t>
    </rPh>
    <rPh sb="13" eb="15">
      <t>カクニン</t>
    </rPh>
    <rPh sb="15" eb="16">
      <t>チュウ</t>
    </rPh>
    <phoneticPr fontId="16"/>
  </si>
  <si>
    <t>仙台営業所納品指示済み</t>
    <rPh sb="0" eb="2">
      <t>センダイ</t>
    </rPh>
    <rPh sb="2" eb="5">
      <t>エイギョウショ</t>
    </rPh>
    <rPh sb="5" eb="7">
      <t>ノウヒン</t>
    </rPh>
    <rPh sb="7" eb="10">
      <t>シジズ</t>
    </rPh>
    <phoneticPr fontId="16"/>
  </si>
  <si>
    <t>MVSHM-3N02052-42R-RWB57</t>
    <phoneticPr fontId="16"/>
  </si>
  <si>
    <t>SETB0242-Y02　ﾂｰﾙ治具AXA-HV　ﾌﾞﾗｹｯﾄ</t>
    <phoneticPr fontId="16"/>
  </si>
  <si>
    <t>AB251D8629</t>
    <phoneticPr fontId="16"/>
  </si>
  <si>
    <t>MS2-6</t>
    <phoneticPr fontId="16"/>
  </si>
  <si>
    <t>ノックピン</t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</si>
</sst>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5" formatCode="&quot;¥&quot;#,##0;&quot;¥&quot;\-#,##0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  <numFmt numFmtId="181" formatCode="0_ ;[Red]\-0\ "/>
    <numFmt numFmtId="182" formatCode="#,##0_ "/>
    <numFmt numFmtId="183" formatCode="0_ "/>
  </numFmts>
  <fonts count="33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4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sz val="22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</font>
    <font>
      <sz val="9.9499999999999993"/>
      <color rgb="FF000000"/>
      <name val="ＭＳ Ｐゴシック"/>
      <family val="3"/>
      <charset val="128"/>
    </font>
    <font>
      <sz val="10"/>
      <color rgb="FF020024"/>
      <name val="Arial"/>
      <family val="2"/>
    </font>
    <font>
      <b/>
      <sz val="12"/>
      <color indexed="30"/>
      <name val="ＭＳ Ｐゴシック"/>
      <family val="3"/>
      <charset val="128"/>
    </font>
    <font>
      <sz val="12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b/>
      <sz val="11"/>
      <color theme="9" tint="-0.499984740745262"/>
      <name val="ＭＳ Ｐゴシック"/>
      <family val="3"/>
      <charset val="128"/>
      <scheme val="minor"/>
    </font>
    <font>
      <b/>
      <sz val="14"/>
      <color rgb="FF00B0F0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b/>
      <sz val="12"/>
      <color theme="3" tint="0.39997558519241921"/>
      <name val="ＭＳ Ｐ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899838251899777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>
      <alignment vertical="center"/>
    </xf>
    <xf numFmtId="0" fontId="6" fillId="0" borderId="0"/>
    <xf numFmtId="0" fontId="15" fillId="0" borderId="0">
      <alignment vertical="center"/>
    </xf>
  </cellStyleXfs>
  <cellXfs count="22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5" fillId="0" borderId="1" xfId="0" applyFont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38" fontId="0" fillId="0" borderId="0" xfId="0" applyNumberFormat="1">
      <alignment vertical="center"/>
    </xf>
    <xf numFmtId="177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3" fontId="0" fillId="0" borderId="0" xfId="0" applyNumberFormat="1">
      <alignment vertical="center"/>
    </xf>
    <xf numFmtId="38" fontId="0" fillId="0" borderId="1" xfId="0" applyNumberFormat="1" applyBorder="1" applyAlignment="1">
      <alignment horizontal="right" vertical="center"/>
    </xf>
    <xf numFmtId="38" fontId="0" fillId="0" borderId="1" xfId="0" applyNumberFormat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49" fontId="0" fillId="0" borderId="1" xfId="0" applyNumberFormat="1" applyBorder="1" applyAlignment="1">
      <alignment horizontal="left" vertical="center"/>
    </xf>
    <xf numFmtId="176" fontId="0" fillId="0" borderId="2" xfId="0" applyNumberFormat="1" applyBorder="1">
      <alignment vertical="center"/>
    </xf>
    <xf numFmtId="0" fontId="0" fillId="0" borderId="1" xfId="0" applyBorder="1" applyAlignment="1">
      <alignment horizontal="right" vertical="center"/>
    </xf>
    <xf numFmtId="56" fontId="8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1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76" fontId="10" fillId="0" borderId="4" xfId="0" applyNumberFormat="1" applyFont="1" applyBorder="1">
      <alignment vertical="center"/>
    </xf>
    <xf numFmtId="0" fontId="0" fillId="0" borderId="3" xfId="0" applyBorder="1">
      <alignment vertical="center"/>
    </xf>
    <xf numFmtId="176" fontId="11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right"/>
    </xf>
    <xf numFmtId="3" fontId="6" fillId="0" borderId="5" xfId="0" applyNumberFormat="1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56" fontId="0" fillId="0" borderId="0" xfId="0" applyNumberFormat="1" applyAlignment="1">
      <alignment horizontal="right" vertical="center"/>
    </xf>
    <xf numFmtId="0" fontId="0" fillId="0" borderId="2" xfId="0" applyBorder="1" applyAlignment="1">
      <alignment horizontal="right" vertical="center"/>
    </xf>
    <xf numFmtId="182" fontId="0" fillId="0" borderId="1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176" fontId="6" fillId="0" borderId="1" xfId="1" applyNumberFormat="1" applyBorder="1" applyAlignment="1">
      <alignment horizontal="right" vertical="center"/>
    </xf>
    <xf numFmtId="176" fontId="10" fillId="0" borderId="3" xfId="0" applyNumberFormat="1" applyFont="1" applyBorder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0" fillId="0" borderId="7" xfId="0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left" vertical="center" shrinkToFit="1"/>
    </xf>
    <xf numFmtId="0" fontId="0" fillId="0" borderId="13" xfId="0" applyBorder="1" applyAlignment="1">
      <alignment horizontal="center" vertical="center"/>
    </xf>
    <xf numFmtId="3" fontId="12" fillId="8" borderId="16" xfId="0" applyNumberFormat="1" applyFont="1" applyFill="1" applyBorder="1" applyAlignment="1">
      <alignment horizontal="center" vertical="center"/>
    </xf>
    <xf numFmtId="176" fontId="0" fillId="0" borderId="1" xfId="0" applyNumberFormat="1" applyBorder="1" applyAlignment="1"/>
    <xf numFmtId="0" fontId="15" fillId="0" borderId="1" xfId="0" applyFont="1" applyBorder="1" applyAlignment="1">
      <alignment horizontal="left" vertical="center" shrinkToFit="1"/>
    </xf>
    <xf numFmtId="0" fontId="12" fillId="8" borderId="16" xfId="0" applyFon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176" fontId="0" fillId="0" borderId="2" xfId="0" applyNumberFormat="1" applyBorder="1" applyAlignment="1"/>
    <xf numFmtId="0" fontId="0" fillId="0" borderId="1" xfId="0" applyBorder="1" applyAlignment="1">
      <alignment horizontal="left" vertical="center" shrinkToFit="1"/>
    </xf>
    <xf numFmtId="0" fontId="19" fillId="0" borderId="1" xfId="0" applyFont="1" applyBorder="1" applyAlignment="1">
      <alignment horizontal="left" vertical="center" shrinkToFit="1"/>
    </xf>
    <xf numFmtId="49" fontId="15" fillId="0" borderId="1" xfId="0" applyNumberFormat="1" applyFont="1" applyBorder="1" applyAlignment="1">
      <alignment horizontal="left" vertical="center"/>
    </xf>
    <xf numFmtId="3" fontId="15" fillId="0" borderId="1" xfId="0" applyNumberFormat="1" applyFont="1" applyBorder="1" applyAlignment="1">
      <alignment horizontal="center" vertical="center"/>
    </xf>
    <xf numFmtId="49" fontId="15" fillId="4" borderId="1" xfId="0" applyNumberFormat="1" applyFont="1" applyFill="1" applyBorder="1" applyAlignment="1">
      <alignment horizontal="left" vertical="center"/>
    </xf>
    <xf numFmtId="176" fontId="15" fillId="4" borderId="1" xfId="0" applyNumberFormat="1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49" fontId="19" fillId="4" borderId="1" xfId="0" applyNumberFormat="1" applyFont="1" applyFill="1" applyBorder="1" applyAlignment="1">
      <alignment horizontal="left" vertical="center"/>
    </xf>
    <xf numFmtId="176" fontId="19" fillId="4" borderId="1" xfId="0" applyNumberFormat="1" applyFont="1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49" fontId="15" fillId="4" borderId="1" xfId="0" applyNumberFormat="1" applyFont="1" applyFill="1" applyBorder="1" applyAlignment="1">
      <alignment horizontal="left" vertical="center" wrapText="1"/>
    </xf>
    <xf numFmtId="176" fontId="0" fillId="0" borderId="1" xfId="0" applyNumberFormat="1" applyBorder="1" applyAlignment="1">
      <alignment horizontal="left" vertical="center"/>
    </xf>
    <xf numFmtId="176" fontId="0" fillId="4" borderId="1" xfId="0" applyNumberForma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right" vertical="center"/>
    </xf>
    <xf numFmtId="176" fontId="19" fillId="4" borderId="1" xfId="0" applyNumberFormat="1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/>
    <xf numFmtId="0" fontId="6" fillId="0" borderId="1" xfId="0" applyFont="1" applyBorder="1" applyAlignment="1">
      <alignment horizontal="left" vertical="center" shrinkToFit="1"/>
    </xf>
    <xf numFmtId="0" fontId="19" fillId="0" borderId="13" xfId="0" applyFont="1" applyBorder="1" applyAlignment="1">
      <alignment vertical="center" shrinkToFit="1"/>
    </xf>
    <xf numFmtId="3" fontId="0" fillId="6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3" fontId="0" fillId="8" borderId="1" xfId="0" applyNumberFormat="1" applyFill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0" fontId="19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6" fillId="0" borderId="1" xfId="1" applyBorder="1" applyAlignment="1">
      <alignment horizontal="left"/>
    </xf>
    <xf numFmtId="0" fontId="2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3" fontId="10" fillId="0" borderId="3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3" xfId="0" applyFont="1" applyBorder="1" applyAlignment="1">
      <alignment horizontal="left" vertical="center"/>
    </xf>
    <xf numFmtId="0" fontId="0" fillId="9" borderId="3" xfId="0" applyFill="1" applyBorder="1" applyAlignment="1">
      <alignment horizontal="center" vertical="center"/>
    </xf>
    <xf numFmtId="3" fontId="19" fillId="0" borderId="1" xfId="2" applyNumberFormat="1" applyFont="1" applyBorder="1" applyAlignment="1">
      <alignment horizontal="center" vertical="center"/>
    </xf>
    <xf numFmtId="49" fontId="19" fillId="0" borderId="1" xfId="2" applyNumberFormat="1" applyFont="1" applyBorder="1" applyAlignment="1">
      <alignment horizontal="left" vertical="center"/>
    </xf>
    <xf numFmtId="0" fontId="19" fillId="0" borderId="2" xfId="2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left" vertical="center"/>
    </xf>
    <xf numFmtId="183" fontId="1" fillId="4" borderId="1" xfId="0" applyNumberFormat="1" applyFont="1" applyFill="1" applyBorder="1" applyAlignment="1">
      <alignment horizontal="center" vertical="center"/>
    </xf>
    <xf numFmtId="0" fontId="19" fillId="4" borderId="1" xfId="2" applyFont="1" applyFill="1" applyBorder="1" applyAlignment="1">
      <alignment horizontal="center" vertical="center"/>
    </xf>
    <xf numFmtId="49" fontId="19" fillId="4" borderId="1" xfId="2" applyNumberFormat="1" applyFont="1" applyFill="1" applyBorder="1" applyAlignment="1">
      <alignment horizontal="left" vertical="center"/>
    </xf>
    <xf numFmtId="181" fontId="19" fillId="4" borderId="1" xfId="2" applyNumberFormat="1" applyFont="1" applyFill="1" applyBorder="1" applyAlignment="1">
      <alignment horizontal="center" vertical="center"/>
    </xf>
    <xf numFmtId="38" fontId="1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>
      <alignment vertical="center"/>
    </xf>
    <xf numFmtId="180" fontId="6" fillId="4" borderId="1" xfId="0" applyNumberFormat="1" applyFont="1" applyFill="1" applyBorder="1" applyAlignment="1">
      <alignment horizontal="center" vertical="center"/>
    </xf>
    <xf numFmtId="0" fontId="25" fillId="0" borderId="0" xfId="0" applyFont="1">
      <alignment vertical="center"/>
    </xf>
    <xf numFmtId="0" fontId="12" fillId="4" borderId="1" xfId="0" applyFont="1" applyFill="1" applyBorder="1">
      <alignment vertical="center"/>
    </xf>
    <xf numFmtId="0" fontId="12" fillId="4" borderId="1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left" vertical="center"/>
    </xf>
    <xf numFmtId="183" fontId="15" fillId="4" borderId="3" xfId="0" applyNumberFormat="1" applyFont="1" applyFill="1" applyBorder="1">
      <alignment vertical="center"/>
    </xf>
    <xf numFmtId="0" fontId="15" fillId="4" borderId="3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183" fontId="0" fillId="4" borderId="3" xfId="0" applyNumberFormat="1" applyFill="1" applyBorder="1">
      <alignment vertical="center"/>
    </xf>
    <xf numFmtId="0" fontId="15" fillId="4" borderId="1" xfId="0" applyFont="1" applyFill="1" applyBorder="1" applyAlignment="1">
      <alignment horizontal="left" vertical="center"/>
    </xf>
    <xf numFmtId="183" fontId="0" fillId="4" borderId="1" xfId="0" applyNumberFormat="1" applyFill="1" applyBorder="1">
      <alignment vertical="center"/>
    </xf>
    <xf numFmtId="0" fontId="19" fillId="4" borderId="1" xfId="0" applyFont="1" applyFill="1" applyBorder="1" applyAlignment="1">
      <alignment horizontal="left" vertical="center"/>
    </xf>
    <xf numFmtId="183" fontId="19" fillId="4" borderId="1" xfId="0" applyNumberFormat="1" applyFont="1" applyFill="1" applyBorder="1">
      <alignment vertical="center"/>
    </xf>
    <xf numFmtId="0" fontId="0" fillId="4" borderId="3" xfId="0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176" fontId="0" fillId="0" borderId="16" xfId="0" applyNumberFormat="1" applyBorder="1" applyAlignment="1"/>
    <xf numFmtId="0" fontId="15" fillId="0" borderId="13" xfId="0" applyFont="1" applyBorder="1" applyAlignment="1">
      <alignment horizontal="left" vertical="center" shrinkToFit="1"/>
    </xf>
    <xf numFmtId="0" fontId="12" fillId="12" borderId="16" xfId="0" applyFon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0" fillId="0" borderId="1" xfId="0" applyBorder="1" applyAlignment="1">
      <alignment vertical="center" shrinkToFit="1"/>
    </xf>
    <xf numFmtId="0" fontId="0" fillId="0" borderId="2" xfId="0" applyBorder="1">
      <alignment vertical="center"/>
    </xf>
    <xf numFmtId="0" fontId="6" fillId="0" borderId="2" xfId="0" applyFont="1" applyBorder="1" applyAlignment="1">
      <alignment horizontal="left" vertical="center" shrinkToFit="1"/>
    </xf>
    <xf numFmtId="176" fontId="6" fillId="0" borderId="2" xfId="0" applyNumberFormat="1" applyFont="1" applyBorder="1">
      <alignment vertical="center"/>
    </xf>
    <xf numFmtId="0" fontId="6" fillId="0" borderId="2" xfId="0" applyFont="1" applyBorder="1">
      <alignment vertical="center"/>
    </xf>
    <xf numFmtId="3" fontId="6" fillId="0" borderId="2" xfId="0" applyNumberFormat="1" applyFont="1" applyBorder="1" applyAlignment="1">
      <alignment horizontal="center" vertical="center"/>
    </xf>
    <xf numFmtId="0" fontId="19" fillId="0" borderId="1" xfId="0" applyFont="1" applyBorder="1">
      <alignment vertical="center"/>
    </xf>
    <xf numFmtId="0" fontId="15" fillId="0" borderId="13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176" fontId="6" fillId="0" borderId="4" xfId="0" applyNumberFormat="1" applyFont="1" applyBorder="1" applyAlignment="1"/>
    <xf numFmtId="0" fontId="6" fillId="0" borderId="3" xfId="1" applyBorder="1" applyAlignment="1">
      <alignment vertical="center"/>
    </xf>
    <xf numFmtId="0" fontId="23" fillId="0" borderId="1" xfId="0" applyFont="1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5" fontId="13" fillId="3" borderId="1" xfId="2" applyNumberFormat="1" applyFont="1" applyFill="1" applyBorder="1">
      <alignment vertical="center"/>
    </xf>
    <xf numFmtId="3" fontId="12" fillId="12" borderId="14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4" borderId="1" xfId="0" applyFont="1" applyFill="1" applyBorder="1" applyAlignment="1">
      <alignment vertical="center" shrinkToFit="1"/>
    </xf>
    <xf numFmtId="176" fontId="0" fillId="4" borderId="15" xfId="0" applyNumberForma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6" fillId="4" borderId="1" xfId="1" applyFill="1" applyBorder="1" applyAlignment="1">
      <alignment horizontal="left"/>
    </xf>
    <xf numFmtId="176" fontId="1" fillId="4" borderId="1" xfId="0" applyNumberFormat="1" applyFont="1" applyFill="1" applyBorder="1" applyAlignment="1">
      <alignment horizontal="center" vertical="center"/>
    </xf>
    <xf numFmtId="0" fontId="6" fillId="4" borderId="3" xfId="1" applyFill="1" applyBorder="1"/>
    <xf numFmtId="176" fontId="6" fillId="4" borderId="3" xfId="0" applyNumberFormat="1" applyFont="1" applyFill="1" applyBorder="1" applyAlignment="1">
      <alignment horizontal="center" vertical="center"/>
    </xf>
    <xf numFmtId="0" fontId="1" fillId="4" borderId="1" xfId="0" applyFont="1" applyFill="1" applyBorder="1">
      <alignment vertical="center"/>
    </xf>
    <xf numFmtId="3" fontId="26" fillId="0" borderId="1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3" fontId="27" fillId="0" borderId="1" xfId="0" applyNumberFormat="1" applyFont="1" applyBorder="1" applyAlignment="1">
      <alignment horizontal="left" vertical="center"/>
    </xf>
    <xf numFmtId="0" fontId="12" fillId="0" borderId="16" xfId="0" applyFont="1" applyBorder="1" applyAlignment="1">
      <alignment horizontal="center" vertical="center"/>
    </xf>
    <xf numFmtId="3" fontId="15" fillId="12" borderId="1" xfId="0" applyNumberFormat="1" applyFont="1" applyFill="1" applyBorder="1" applyAlignment="1">
      <alignment horizontal="center" vertical="center"/>
    </xf>
    <xf numFmtId="176" fontId="0" fillId="0" borderId="2" xfId="0" applyNumberFormat="1" applyBorder="1" applyAlignment="1">
      <alignment horizontal="left" vertical="center"/>
    </xf>
    <xf numFmtId="3" fontId="0" fillId="12" borderId="1" xfId="0" applyNumberFormat="1" applyFill="1" applyBorder="1" applyAlignment="1">
      <alignment horizontal="center" vertical="center"/>
    </xf>
    <xf numFmtId="183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176" fontId="0" fillId="4" borderId="13" xfId="0" applyNumberFormat="1" applyFill="1" applyBorder="1" applyAlignment="1">
      <alignment horizontal="center" vertical="center"/>
    </xf>
    <xf numFmtId="38" fontId="0" fillId="4" borderId="1" xfId="0" applyNumberFormat="1" applyFill="1" applyBorder="1" applyAlignment="1">
      <alignment horizontal="center" vertical="center"/>
    </xf>
    <xf numFmtId="0" fontId="6" fillId="4" borderId="1" xfId="1" applyFill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/>
    </xf>
    <xf numFmtId="0" fontId="6" fillId="4" borderId="3" xfId="1" applyFill="1" applyBorder="1" applyAlignment="1">
      <alignment horizontal="center" vertical="center"/>
    </xf>
    <xf numFmtId="176" fontId="6" fillId="4" borderId="2" xfId="0" applyNumberFormat="1" applyFont="1" applyFill="1" applyBorder="1" applyAlignment="1">
      <alignment horizontal="center" vertical="center"/>
    </xf>
    <xf numFmtId="182" fontId="19" fillId="4" borderId="1" xfId="0" applyNumberFormat="1" applyFont="1" applyFill="1" applyBorder="1" applyAlignment="1">
      <alignment horizontal="center" vertical="center"/>
    </xf>
    <xf numFmtId="3" fontId="15" fillId="4" borderId="1" xfId="2" applyNumberFormat="1" applyFill="1" applyBorder="1" applyAlignment="1">
      <alignment horizontal="center" vertical="center"/>
    </xf>
    <xf numFmtId="0" fontId="28" fillId="0" borderId="0" xfId="0" applyFont="1">
      <alignment vertical="center"/>
    </xf>
    <xf numFmtId="0" fontId="28" fillId="0" borderId="0" xfId="0" applyFont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6" xfId="0" applyFont="1" applyBorder="1" applyAlignment="1">
      <alignment horizontal="left" vertical="center"/>
    </xf>
    <xf numFmtId="0" fontId="28" fillId="0" borderId="19" xfId="0" applyFont="1" applyBorder="1" applyAlignment="1">
      <alignment horizontal="center" vertical="center"/>
    </xf>
    <xf numFmtId="176" fontId="20" fillId="4" borderId="1" xfId="0" applyNumberFormat="1" applyFont="1" applyFill="1" applyBorder="1" applyAlignment="1">
      <alignment horizontal="center" vertical="center"/>
    </xf>
    <xf numFmtId="38" fontId="1" fillId="4" borderId="2" xfId="0" applyNumberFormat="1" applyFont="1" applyFill="1" applyBorder="1" applyAlignment="1">
      <alignment horizontal="center" vertical="center"/>
    </xf>
    <xf numFmtId="176" fontId="0" fillId="4" borderId="3" xfId="0" applyNumberFormat="1" applyFill="1" applyBorder="1" applyAlignment="1">
      <alignment horizontal="center" vertical="center"/>
    </xf>
    <xf numFmtId="176" fontId="19" fillId="4" borderId="13" xfId="0" applyNumberFormat="1" applyFont="1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/>
    </xf>
    <xf numFmtId="3" fontId="29" fillId="0" borderId="1" xfId="0" applyNumberFormat="1" applyFont="1" applyBorder="1" applyAlignment="1">
      <alignment horizontal="center" vertical="center"/>
    </xf>
    <xf numFmtId="3" fontId="29" fillId="13" borderId="1" xfId="0" applyNumberFormat="1" applyFont="1" applyFill="1" applyBorder="1" applyAlignment="1">
      <alignment horizontal="center" vertical="center"/>
    </xf>
    <xf numFmtId="179" fontId="0" fillId="13" borderId="1" xfId="0" applyNumberFormat="1" applyFill="1" applyBorder="1" applyAlignment="1">
      <alignment horizontal="center" vertical="center"/>
    </xf>
    <xf numFmtId="3" fontId="0" fillId="13" borderId="1" xfId="0" applyNumberFormat="1" applyFill="1" applyBorder="1" applyAlignment="1">
      <alignment horizontal="center" vertical="center"/>
    </xf>
    <xf numFmtId="56" fontId="0" fillId="13" borderId="1" xfId="0" applyNumberFormat="1" applyFill="1" applyBorder="1" applyAlignment="1">
      <alignment horizontal="center" vertical="center"/>
    </xf>
    <xf numFmtId="0" fontId="0" fillId="13" borderId="1" xfId="0" applyFill="1" applyBorder="1" applyAlignment="1">
      <alignment vertical="center" shrinkToFit="1"/>
    </xf>
    <xf numFmtId="38" fontId="30" fillId="0" borderId="0" xfId="0" applyNumberFormat="1" applyFont="1">
      <alignment vertical="center"/>
    </xf>
    <xf numFmtId="176" fontId="13" fillId="3" borderId="2" xfId="0" applyNumberFormat="1" applyFont="1" applyFill="1" applyBorder="1" applyAlignment="1">
      <alignment horizontal="center" vertical="center"/>
    </xf>
    <xf numFmtId="176" fontId="13" fillId="3" borderId="8" xfId="0" applyNumberFormat="1" applyFont="1" applyFill="1" applyBorder="1" applyAlignment="1">
      <alignment horizontal="center" vertical="center"/>
    </xf>
    <xf numFmtId="176" fontId="13" fillId="3" borderId="9" xfId="0" applyNumberFormat="1" applyFont="1" applyFill="1" applyBorder="1" applyAlignment="1">
      <alignment horizontal="center" vertical="center"/>
    </xf>
    <xf numFmtId="3" fontId="22" fillId="3" borderId="2" xfId="0" applyNumberFormat="1" applyFont="1" applyFill="1" applyBorder="1" applyAlignment="1">
      <alignment horizontal="center" vertical="center"/>
    </xf>
    <xf numFmtId="3" fontId="22" fillId="3" borderId="8" xfId="0" applyNumberFormat="1" applyFont="1" applyFill="1" applyBorder="1" applyAlignment="1">
      <alignment horizontal="center" vertical="center"/>
    </xf>
    <xf numFmtId="3" fontId="22" fillId="3" borderId="9" xfId="0" applyNumberFormat="1" applyFont="1" applyFill="1" applyBorder="1" applyAlignment="1">
      <alignment horizontal="center" vertical="center"/>
    </xf>
    <xf numFmtId="3" fontId="9" fillId="7" borderId="3" xfId="0" applyNumberFormat="1" applyFont="1" applyFill="1" applyBorder="1" applyAlignment="1">
      <alignment horizontal="center" vertical="center"/>
    </xf>
    <xf numFmtId="0" fontId="17" fillId="7" borderId="16" xfId="0" applyFont="1" applyFill="1" applyBorder="1" applyAlignment="1">
      <alignment horizontal="center" vertical="center"/>
    </xf>
    <xf numFmtId="0" fontId="17" fillId="7" borderId="14" xfId="0" applyFont="1" applyFill="1" applyBorder="1" applyAlignment="1">
      <alignment horizontal="center" vertical="center"/>
    </xf>
    <xf numFmtId="0" fontId="17" fillId="7" borderId="15" xfId="0" applyFont="1" applyFill="1" applyBorder="1" applyAlignment="1">
      <alignment horizontal="center" vertical="center"/>
    </xf>
    <xf numFmtId="176" fontId="21" fillId="10" borderId="17" xfId="0" applyNumberFormat="1" applyFont="1" applyFill="1" applyBorder="1" applyAlignment="1">
      <alignment horizontal="center" vertical="center"/>
    </xf>
    <xf numFmtId="176" fontId="21" fillId="10" borderId="0" xfId="0" applyNumberFormat="1" applyFont="1" applyFill="1" applyAlignment="1">
      <alignment horizontal="center" vertical="center"/>
    </xf>
    <xf numFmtId="176" fontId="21" fillId="10" borderId="18" xfId="0" applyNumberFormat="1" applyFont="1" applyFill="1" applyBorder="1" applyAlignment="1">
      <alignment horizontal="center" vertical="center"/>
    </xf>
    <xf numFmtId="3" fontId="22" fillId="8" borderId="2" xfId="0" applyNumberFormat="1" applyFont="1" applyFill="1" applyBorder="1" applyAlignment="1">
      <alignment horizontal="center" vertical="center"/>
    </xf>
    <xf numFmtId="3" fontId="22" fillId="8" borderId="8" xfId="0" applyNumberFormat="1" applyFont="1" applyFill="1" applyBorder="1" applyAlignment="1">
      <alignment horizontal="center" vertical="center"/>
    </xf>
    <xf numFmtId="3" fontId="22" fillId="8" borderId="9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38" fontId="11" fillId="5" borderId="10" xfId="0" applyNumberFormat="1" applyFont="1" applyFill="1" applyBorder="1" applyAlignment="1">
      <alignment horizontal="left" vertical="center" shrinkToFit="1"/>
    </xf>
    <xf numFmtId="38" fontId="11" fillId="5" borderId="11" xfId="0" applyNumberFormat="1" applyFont="1" applyFill="1" applyBorder="1" applyAlignment="1">
      <alignment horizontal="left" vertical="center" shrinkToFit="1"/>
    </xf>
    <xf numFmtId="38" fontId="11" fillId="5" borderId="4" xfId="0" applyNumberFormat="1" applyFont="1" applyFill="1" applyBorder="1" applyAlignment="1">
      <alignment horizontal="left" vertical="center" shrinkToFit="1"/>
    </xf>
    <xf numFmtId="38" fontId="11" fillId="5" borderId="12" xfId="0" applyNumberFormat="1" applyFont="1" applyFill="1" applyBorder="1" applyAlignment="1">
      <alignment horizontal="left" vertical="center" shrinkToFit="1"/>
    </xf>
    <xf numFmtId="0" fontId="14" fillId="13" borderId="1" xfId="0" applyFont="1" applyFill="1" applyBorder="1" applyAlignment="1">
      <alignment horizontal="center" vertical="center"/>
    </xf>
    <xf numFmtId="3" fontId="19" fillId="13" borderId="1" xfId="0" applyNumberFormat="1" applyFont="1" applyFill="1" applyBorder="1" applyAlignment="1">
      <alignment horizontal="center" vertical="center"/>
    </xf>
    <xf numFmtId="0" fontId="12" fillId="13" borderId="17" xfId="0" applyFont="1" applyFill="1" applyBorder="1">
      <alignment vertical="center"/>
    </xf>
    <xf numFmtId="0" fontId="12" fillId="13" borderId="1" xfId="0" applyFont="1" applyFill="1" applyBorder="1" applyAlignment="1">
      <alignment horizontal="center" vertical="center"/>
    </xf>
    <xf numFmtId="176" fontId="31" fillId="13" borderId="1" xfId="0" applyNumberFormat="1" applyFont="1" applyFill="1" applyBorder="1" applyAlignment="1">
      <alignment horizontal="center" vertical="center"/>
    </xf>
    <xf numFmtId="176" fontId="0" fillId="13" borderId="1" xfId="0" applyNumberFormat="1" applyFill="1" applyBorder="1" applyAlignment="1">
      <alignment horizontal="center" vertical="center"/>
    </xf>
    <xf numFmtId="176" fontId="0" fillId="0" borderId="14" xfId="0" applyNumberFormat="1" applyBorder="1">
      <alignment vertical="center"/>
    </xf>
    <xf numFmtId="0" fontId="0" fillId="0" borderId="13" xfId="0" applyBorder="1" applyAlignment="1">
      <alignment horizontal="left" vertical="center"/>
    </xf>
    <xf numFmtId="3" fontId="32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</cellXfs>
  <cellStyles count="3">
    <cellStyle name="標準" xfId="0" builtinId="0"/>
    <cellStyle name="標準 3" xfId="2" xr:uid="{DC7DCAA0-6465-40DD-8C0A-A3E444632F39}"/>
    <cellStyle name="標準_発注管理表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2AF34-8F6F-4F14-99A9-703BBD15135E}">
  <sheetPr>
    <tabColor rgb="FFFFC000"/>
  </sheetPr>
  <dimension ref="A2:S203"/>
  <sheetViews>
    <sheetView tabSelected="1" zoomScale="85" zoomScaleNormal="85" workbookViewId="0">
      <pane xSplit="12" ySplit="9" topLeftCell="M50" activePane="bottomRight" state="frozen"/>
      <selection pane="topRight" activeCell="K1" sqref="K1"/>
      <selection pane="bottomLeft" activeCell="A9" sqref="A9"/>
      <selection pane="bottomRight" activeCell="G60" sqref="G60"/>
    </sheetView>
  </sheetViews>
  <sheetFormatPr defaultRowHeight="13.2" x14ac:dyDescent="0.2"/>
  <cols>
    <col min="2" max="2" width="19.5546875" style="172" customWidth="1"/>
    <col min="3" max="3" width="17.21875" customWidth="1"/>
    <col min="4" max="4" width="13.21875" style="3" customWidth="1"/>
    <col min="5" max="5" width="14.33203125" bestFit="1" customWidth="1"/>
    <col min="6" max="6" width="13.109375" bestFit="1" customWidth="1"/>
    <col min="7" max="7" width="52.33203125" customWidth="1"/>
    <col min="8" max="8" width="6.21875" style="3" customWidth="1"/>
    <col min="9" max="10" width="9.88671875" style="8" bestFit="1" customWidth="1"/>
    <col min="11" max="11" width="5.77734375" style="8" customWidth="1"/>
    <col min="12" max="12" width="40.77734375" customWidth="1"/>
    <col min="13" max="13" width="34.33203125" customWidth="1"/>
    <col min="14" max="14" width="23.77734375" style="3" customWidth="1"/>
    <col min="15" max="15" width="13.77734375" style="10" customWidth="1"/>
    <col min="16" max="16" width="6.33203125" customWidth="1"/>
    <col min="17" max="17" width="13.21875" style="8" customWidth="1"/>
    <col min="18" max="18" width="14.44140625" style="12" customWidth="1"/>
    <col min="19" max="19" width="15.6640625" style="13" customWidth="1"/>
  </cols>
  <sheetData>
    <row r="2" spans="1:19" ht="20.100000000000001" customHeight="1" x14ac:dyDescent="0.2">
      <c r="D2" s="205" t="s">
        <v>11</v>
      </c>
      <c r="E2" s="205"/>
      <c r="F2" s="205"/>
      <c r="G2" s="9" t="s">
        <v>23</v>
      </c>
      <c r="I2" s="206" t="s">
        <v>15</v>
      </c>
      <c r="J2" s="207"/>
      <c r="K2" s="208"/>
      <c r="L2" s="7">
        <f>SUM(J:J)</f>
        <v>1174649</v>
      </c>
    </row>
    <row r="3" spans="1:19" ht="20.100000000000001" customHeight="1" x14ac:dyDescent="0.2">
      <c r="D3" s="205" t="s">
        <v>10</v>
      </c>
      <c r="E3" s="205"/>
      <c r="F3" s="205"/>
      <c r="G3" s="5" t="s">
        <v>24</v>
      </c>
    </row>
    <row r="4" spans="1:19" ht="20.100000000000001" customHeight="1" x14ac:dyDescent="0.2">
      <c r="D4" s="205" t="s">
        <v>12</v>
      </c>
      <c r="E4" s="205"/>
      <c r="F4" s="205"/>
      <c r="G4" s="39" t="s">
        <v>26</v>
      </c>
      <c r="J4" s="40"/>
      <c r="L4" s="209" t="s">
        <v>25</v>
      </c>
      <c r="M4" s="210"/>
    </row>
    <row r="5" spans="1:19" ht="20.100000000000001" customHeight="1" x14ac:dyDescent="0.2">
      <c r="D5" s="205" t="s">
        <v>13</v>
      </c>
      <c r="E5" s="205"/>
      <c r="F5" s="205"/>
      <c r="G5" s="6">
        <v>46177</v>
      </c>
      <c r="I5" s="213" t="s">
        <v>330</v>
      </c>
      <c r="L5" s="211"/>
      <c r="M5" s="212"/>
    </row>
    <row r="6" spans="1:19" ht="20.100000000000001" customHeight="1" x14ac:dyDescent="0.2">
      <c r="D6" s="205" t="s">
        <v>14</v>
      </c>
      <c r="E6" s="205"/>
      <c r="F6" s="205"/>
      <c r="G6" s="6">
        <v>46178</v>
      </c>
      <c r="I6" s="213"/>
      <c r="L6" s="15"/>
      <c r="M6" s="20"/>
    </row>
    <row r="7" spans="1:19" ht="20.100000000000001" customHeight="1" x14ac:dyDescent="0.2">
      <c r="D7" s="17"/>
      <c r="E7" s="17"/>
      <c r="F7" s="17"/>
      <c r="G7" s="16"/>
      <c r="L7" s="188" t="s">
        <v>338</v>
      </c>
      <c r="M7" s="20"/>
      <c r="N7" s="18"/>
    </row>
    <row r="9" spans="1:19" s="3" customFormat="1" ht="19.649999999999999" customHeight="1" x14ac:dyDescent="0.2">
      <c r="B9" s="173"/>
      <c r="C9" s="1" t="s">
        <v>22</v>
      </c>
      <c r="D9" s="4" t="s">
        <v>4</v>
      </c>
      <c r="E9" s="4" t="s">
        <v>9</v>
      </c>
      <c r="F9" s="4" t="s">
        <v>5</v>
      </c>
      <c r="G9" s="1" t="s">
        <v>8</v>
      </c>
      <c r="H9" s="1" t="s">
        <v>0</v>
      </c>
      <c r="I9" s="27" t="s">
        <v>1</v>
      </c>
      <c r="J9" s="41" t="s">
        <v>2</v>
      </c>
      <c r="K9" s="2" t="s">
        <v>18</v>
      </c>
      <c r="L9" s="1" t="s">
        <v>3</v>
      </c>
      <c r="M9" s="1" t="s">
        <v>17</v>
      </c>
      <c r="N9" s="1" t="s">
        <v>16</v>
      </c>
      <c r="O9" s="11" t="s">
        <v>6</v>
      </c>
      <c r="P9" s="4" t="s">
        <v>19</v>
      </c>
      <c r="Q9" s="1" t="s">
        <v>7</v>
      </c>
      <c r="R9" s="11" t="s">
        <v>20</v>
      </c>
      <c r="S9" s="14" t="s">
        <v>21</v>
      </c>
    </row>
    <row r="10" spans="1:19" s="3" customFormat="1" ht="19.649999999999999" customHeight="1" x14ac:dyDescent="0.2">
      <c r="B10" s="174"/>
      <c r="C10" s="1"/>
      <c r="D10" s="4"/>
      <c r="E10" s="4"/>
      <c r="F10" s="4"/>
      <c r="G10" s="25"/>
      <c r="H10" s="1"/>
      <c r="I10" s="21"/>
      <c r="J10" s="42"/>
      <c r="K10" s="2"/>
      <c r="L10" s="24"/>
      <c r="M10" s="22"/>
      <c r="N10" s="4"/>
      <c r="O10" s="11"/>
      <c r="P10" s="4"/>
      <c r="Q10" s="19"/>
      <c r="R10" s="19"/>
      <c r="S10" s="14"/>
    </row>
    <row r="11" spans="1:19" s="3" customFormat="1" ht="19.649999999999999" customHeight="1" x14ac:dyDescent="0.2">
      <c r="B11" s="174"/>
      <c r="C11" s="1"/>
      <c r="D11" s="4"/>
      <c r="E11" s="4"/>
      <c r="F11" s="37"/>
      <c r="G11" s="23"/>
      <c r="H11" s="38"/>
      <c r="I11" s="44"/>
      <c r="J11" s="36"/>
      <c r="K11" s="31"/>
      <c r="L11" s="30"/>
      <c r="M11" s="22"/>
      <c r="N11" s="4"/>
      <c r="O11" s="11"/>
      <c r="P11" s="4"/>
      <c r="Q11" s="19"/>
      <c r="R11" s="19"/>
      <c r="S11" s="14"/>
    </row>
    <row r="12" spans="1:19" s="3" customFormat="1" ht="19.649999999999999" customHeight="1" x14ac:dyDescent="0.2">
      <c r="B12" s="174"/>
      <c r="C12" s="1"/>
      <c r="D12" s="196" t="s">
        <v>27</v>
      </c>
      <c r="E12" s="197"/>
      <c r="F12" s="197"/>
      <c r="G12" s="198"/>
      <c r="H12" s="32"/>
      <c r="I12" s="45"/>
      <c r="J12" s="43"/>
      <c r="K12" s="33"/>
      <c r="L12" s="34"/>
      <c r="M12" s="24"/>
      <c r="N12" s="4"/>
      <c r="O12" s="11"/>
      <c r="P12" s="4"/>
      <c r="Q12" s="19"/>
      <c r="R12" s="19"/>
      <c r="S12" s="14"/>
    </row>
    <row r="13" spans="1:19" s="3" customFormat="1" ht="19.649999999999999" customHeight="1" x14ac:dyDescent="0.2">
      <c r="A13" s="63" t="s">
        <v>67</v>
      </c>
      <c r="B13" s="175" t="s">
        <v>331</v>
      </c>
      <c r="C13" s="1"/>
      <c r="D13" s="51">
        <v>1</v>
      </c>
      <c r="E13" s="4" t="s">
        <v>28</v>
      </c>
      <c r="F13" s="4" t="s">
        <v>28</v>
      </c>
      <c r="G13" s="61" t="s">
        <v>29</v>
      </c>
      <c r="H13" s="62">
        <v>4</v>
      </c>
      <c r="I13" s="67">
        <v>1032</v>
      </c>
      <c r="J13" s="67">
        <f t="shared" ref="J13:J55" si="0">H13*I13</f>
        <v>4128</v>
      </c>
      <c r="K13" s="52">
        <v>4</v>
      </c>
      <c r="L13" s="53" t="s">
        <v>30</v>
      </c>
      <c r="M13" s="22"/>
      <c r="N13" s="182" t="s">
        <v>336</v>
      </c>
      <c r="O13" s="11">
        <v>46150</v>
      </c>
      <c r="P13" s="4"/>
      <c r="Q13" s="19">
        <v>46177</v>
      </c>
      <c r="R13" s="19">
        <v>46178</v>
      </c>
      <c r="S13" s="14"/>
    </row>
    <row r="14" spans="1:19" s="3" customFormat="1" ht="19.649999999999999" customHeight="1" x14ac:dyDescent="0.2">
      <c r="A14" s="63" t="s">
        <v>67</v>
      </c>
      <c r="B14" s="175" t="s">
        <v>331</v>
      </c>
      <c r="C14" s="1"/>
      <c r="D14" s="54">
        <f>D13+1</f>
        <v>2</v>
      </c>
      <c r="E14" s="4" t="s">
        <v>28</v>
      </c>
      <c r="F14" s="4" t="s">
        <v>28</v>
      </c>
      <c r="G14" s="61" t="s">
        <v>31</v>
      </c>
      <c r="H14" s="62">
        <v>2</v>
      </c>
      <c r="I14" s="67">
        <v>963</v>
      </c>
      <c r="J14" s="67">
        <f t="shared" si="0"/>
        <v>1926</v>
      </c>
      <c r="K14" s="52">
        <v>2</v>
      </c>
      <c r="L14" s="53" t="s">
        <v>30</v>
      </c>
      <c r="M14" s="22"/>
      <c r="N14" s="182" t="s">
        <v>336</v>
      </c>
      <c r="O14" s="11">
        <v>46150</v>
      </c>
      <c r="P14" s="4"/>
      <c r="Q14" s="19">
        <v>46177</v>
      </c>
      <c r="R14" s="19">
        <v>46178</v>
      </c>
      <c r="S14" s="14"/>
    </row>
    <row r="15" spans="1:19" s="3" customFormat="1" ht="19.649999999999999" customHeight="1" x14ac:dyDescent="0.2">
      <c r="A15" s="63" t="s">
        <v>68</v>
      </c>
      <c r="B15" s="175" t="s">
        <v>331</v>
      </c>
      <c r="C15" s="1"/>
      <c r="D15" s="54">
        <f t="shared" ref="D15:D55" si="1">D14+1</f>
        <v>3</v>
      </c>
      <c r="E15" s="55" t="s">
        <v>32</v>
      </c>
      <c r="F15" s="4" t="s">
        <v>28</v>
      </c>
      <c r="G15" s="61" t="s">
        <v>79</v>
      </c>
      <c r="H15" s="67">
        <v>2</v>
      </c>
      <c r="I15" s="67">
        <v>19781</v>
      </c>
      <c r="J15" s="67">
        <f t="shared" si="0"/>
        <v>39562</v>
      </c>
      <c r="K15" s="56">
        <v>2</v>
      </c>
      <c r="L15" s="57" t="s">
        <v>73</v>
      </c>
      <c r="M15" s="22"/>
      <c r="N15" s="182" t="s">
        <v>336</v>
      </c>
      <c r="O15" s="11">
        <v>46150</v>
      </c>
      <c r="P15" s="4"/>
      <c r="Q15" s="19">
        <v>46177</v>
      </c>
      <c r="R15" s="19">
        <v>46178</v>
      </c>
      <c r="S15" s="14"/>
    </row>
    <row r="16" spans="1:19" s="3" customFormat="1" ht="19.649999999999999" customHeight="1" x14ac:dyDescent="0.2">
      <c r="A16" s="64" t="s">
        <v>70</v>
      </c>
      <c r="B16" s="175" t="s">
        <v>331</v>
      </c>
      <c r="C16" s="1"/>
      <c r="D16" s="54">
        <f t="shared" si="1"/>
        <v>4</v>
      </c>
      <c r="E16" s="4" t="s">
        <v>28</v>
      </c>
      <c r="F16" s="4" t="s">
        <v>28</v>
      </c>
      <c r="G16" s="65" t="s">
        <v>35</v>
      </c>
      <c r="H16" s="66">
        <v>10</v>
      </c>
      <c r="I16" s="67">
        <v>17</v>
      </c>
      <c r="J16" s="67">
        <f t="shared" si="0"/>
        <v>170</v>
      </c>
      <c r="K16" s="56">
        <v>10</v>
      </c>
      <c r="L16" s="53" t="s">
        <v>36</v>
      </c>
      <c r="M16" s="22"/>
      <c r="N16" s="182" t="s">
        <v>336</v>
      </c>
      <c r="O16" s="11">
        <v>46150</v>
      </c>
      <c r="P16" s="4"/>
      <c r="Q16" s="19">
        <v>46177</v>
      </c>
      <c r="R16" s="19">
        <v>46178</v>
      </c>
      <c r="S16" s="14"/>
    </row>
    <row r="17" spans="1:19" s="3" customFormat="1" ht="19.649999999999999" customHeight="1" x14ac:dyDescent="0.2">
      <c r="A17" s="63" t="s">
        <v>69</v>
      </c>
      <c r="B17" s="175" t="s">
        <v>331</v>
      </c>
      <c r="C17" s="1"/>
      <c r="D17" s="54">
        <f t="shared" si="1"/>
        <v>5</v>
      </c>
      <c r="E17" s="4" t="s">
        <v>28</v>
      </c>
      <c r="F17" s="4" t="s">
        <v>28</v>
      </c>
      <c r="G17" s="61" t="s">
        <v>33</v>
      </c>
      <c r="H17" s="67">
        <v>8</v>
      </c>
      <c r="I17" s="67">
        <v>699</v>
      </c>
      <c r="J17" s="67">
        <f t="shared" si="0"/>
        <v>5592</v>
      </c>
      <c r="K17" s="52">
        <v>8</v>
      </c>
      <c r="L17" s="57" t="s">
        <v>74</v>
      </c>
      <c r="M17" s="22"/>
      <c r="N17" s="182" t="s">
        <v>336</v>
      </c>
      <c r="O17" s="11">
        <v>46150</v>
      </c>
      <c r="P17" s="4"/>
      <c r="Q17" s="19">
        <v>46177</v>
      </c>
      <c r="R17" s="19">
        <v>46178</v>
      </c>
      <c r="S17" s="14"/>
    </row>
    <row r="18" spans="1:19" s="3" customFormat="1" ht="19.649999999999999" customHeight="1" x14ac:dyDescent="0.2">
      <c r="A18" s="64" t="s">
        <v>70</v>
      </c>
      <c r="B18" s="175" t="s">
        <v>331</v>
      </c>
      <c r="C18" s="1"/>
      <c r="D18" s="54">
        <f t="shared" si="1"/>
        <v>6</v>
      </c>
      <c r="E18" s="4" t="s">
        <v>28</v>
      </c>
      <c r="F18" s="4" t="s">
        <v>28</v>
      </c>
      <c r="G18" s="65" t="s">
        <v>34</v>
      </c>
      <c r="H18" s="66">
        <v>74</v>
      </c>
      <c r="I18" s="66">
        <v>22</v>
      </c>
      <c r="J18" s="67">
        <f t="shared" si="0"/>
        <v>1628</v>
      </c>
      <c r="K18" s="56">
        <v>16</v>
      </c>
      <c r="L18" s="57" t="s">
        <v>109</v>
      </c>
      <c r="M18" s="22"/>
      <c r="N18" s="182" t="s">
        <v>336</v>
      </c>
      <c r="O18" s="11">
        <v>46150</v>
      </c>
      <c r="P18" s="4"/>
      <c r="Q18" s="19">
        <v>46177</v>
      </c>
      <c r="R18" s="19">
        <v>46178</v>
      </c>
      <c r="S18" s="14"/>
    </row>
    <row r="19" spans="1:19" s="3" customFormat="1" ht="19.649999999999999" customHeight="1" x14ac:dyDescent="0.2">
      <c r="A19" s="63" t="s">
        <v>68</v>
      </c>
      <c r="B19" s="175" t="s">
        <v>331</v>
      </c>
      <c r="C19" s="1"/>
      <c r="D19" s="54">
        <f t="shared" si="1"/>
        <v>7</v>
      </c>
      <c r="E19" s="55" t="s">
        <v>32</v>
      </c>
      <c r="F19" s="4" t="s">
        <v>28</v>
      </c>
      <c r="G19" s="61" t="s">
        <v>106</v>
      </c>
      <c r="H19" s="67">
        <v>2</v>
      </c>
      <c r="I19" s="67">
        <v>12516</v>
      </c>
      <c r="J19" s="67">
        <f t="shared" si="0"/>
        <v>25032</v>
      </c>
      <c r="K19" s="56">
        <v>2</v>
      </c>
      <c r="L19" s="57" t="s">
        <v>75</v>
      </c>
      <c r="M19" s="22"/>
      <c r="N19" s="182" t="s">
        <v>336</v>
      </c>
      <c r="O19" s="11">
        <v>46150</v>
      </c>
      <c r="P19" s="4"/>
      <c r="Q19" s="19">
        <v>46177</v>
      </c>
      <c r="R19" s="19">
        <v>46178</v>
      </c>
      <c r="S19" s="14"/>
    </row>
    <row r="20" spans="1:19" s="3" customFormat="1" ht="19.649999999999999" customHeight="1" x14ac:dyDescent="0.2">
      <c r="A20" s="64" t="s">
        <v>70</v>
      </c>
      <c r="B20" s="175" t="s">
        <v>331</v>
      </c>
      <c r="C20" s="1"/>
      <c r="D20" s="54">
        <f>D19+1</f>
        <v>8</v>
      </c>
      <c r="E20" s="4" t="s">
        <v>28</v>
      </c>
      <c r="F20" s="4" t="s">
        <v>28</v>
      </c>
      <c r="G20" s="65" t="s">
        <v>38</v>
      </c>
      <c r="H20" s="66">
        <v>28</v>
      </c>
      <c r="I20" s="67">
        <v>15</v>
      </c>
      <c r="J20" s="67">
        <f t="shared" si="0"/>
        <v>420</v>
      </c>
      <c r="K20" s="56">
        <v>4</v>
      </c>
      <c r="L20" s="57" t="s">
        <v>110</v>
      </c>
      <c r="M20" s="22"/>
      <c r="N20" s="182" t="s">
        <v>336</v>
      </c>
      <c r="O20" s="11">
        <v>46150</v>
      </c>
      <c r="P20" s="4"/>
      <c r="Q20" s="19">
        <v>46177</v>
      </c>
      <c r="R20" s="19">
        <v>46178</v>
      </c>
      <c r="S20" s="14"/>
    </row>
    <row r="21" spans="1:19" s="3" customFormat="1" ht="19.649999999999999" customHeight="1" x14ac:dyDescent="0.2">
      <c r="A21" s="63" t="s">
        <v>68</v>
      </c>
      <c r="B21" s="175" t="s">
        <v>331</v>
      </c>
      <c r="C21" s="1"/>
      <c r="D21" s="54">
        <f>D20+1</f>
        <v>9</v>
      </c>
      <c r="E21" s="55" t="s">
        <v>32</v>
      </c>
      <c r="F21" s="4" t="s">
        <v>28</v>
      </c>
      <c r="G21" s="61" t="s">
        <v>44</v>
      </c>
      <c r="H21" s="62">
        <v>4</v>
      </c>
      <c r="I21" s="67">
        <v>4624</v>
      </c>
      <c r="J21" s="177">
        <f t="shared" si="0"/>
        <v>18496</v>
      </c>
      <c r="K21" s="52">
        <v>2</v>
      </c>
      <c r="L21" s="53" t="s">
        <v>45</v>
      </c>
      <c r="M21" s="22"/>
      <c r="N21" s="182" t="s">
        <v>336</v>
      </c>
      <c r="O21" s="11">
        <v>46150</v>
      </c>
      <c r="P21" s="4"/>
      <c r="Q21" s="19">
        <v>46177</v>
      </c>
      <c r="R21" s="19">
        <v>46178</v>
      </c>
      <c r="S21" s="14"/>
    </row>
    <row r="22" spans="1:19" s="3" customFormat="1" ht="19.649999999999999" customHeight="1" x14ac:dyDescent="0.2">
      <c r="A22" s="64" t="s">
        <v>70</v>
      </c>
      <c r="B22" s="175" t="s">
        <v>331</v>
      </c>
      <c r="C22" s="1"/>
      <c r="D22" s="54">
        <f t="shared" si="1"/>
        <v>10</v>
      </c>
      <c r="E22" s="4" t="s">
        <v>28</v>
      </c>
      <c r="F22" s="4" t="s">
        <v>28</v>
      </c>
      <c r="G22" s="61" t="s">
        <v>46</v>
      </c>
      <c r="H22" s="62">
        <v>4</v>
      </c>
      <c r="I22" s="67">
        <v>870</v>
      </c>
      <c r="J22" s="177">
        <f t="shared" si="0"/>
        <v>3480</v>
      </c>
      <c r="K22" s="52">
        <v>2</v>
      </c>
      <c r="L22" s="53" t="s">
        <v>78</v>
      </c>
      <c r="M22" s="22"/>
      <c r="N22" s="182" t="s">
        <v>336</v>
      </c>
      <c r="O22" s="11">
        <v>46150</v>
      </c>
      <c r="P22" s="4"/>
      <c r="Q22" s="19">
        <v>46177</v>
      </c>
      <c r="R22" s="19">
        <v>46178</v>
      </c>
      <c r="S22" s="14"/>
    </row>
    <row r="23" spans="1:19" s="3" customFormat="1" ht="19.649999999999999" customHeight="1" x14ac:dyDescent="0.2">
      <c r="A23" s="63" t="s">
        <v>67</v>
      </c>
      <c r="B23" s="175" t="s">
        <v>331</v>
      </c>
      <c r="C23" s="1"/>
      <c r="D23" s="54">
        <f t="shared" si="1"/>
        <v>11</v>
      </c>
      <c r="E23" s="4" t="s">
        <v>28</v>
      </c>
      <c r="F23" s="4" t="s">
        <v>28</v>
      </c>
      <c r="G23" s="61" t="s">
        <v>47</v>
      </c>
      <c r="H23" s="67">
        <v>4</v>
      </c>
      <c r="I23" s="67">
        <v>3752</v>
      </c>
      <c r="J23" s="177">
        <f t="shared" si="0"/>
        <v>15008</v>
      </c>
      <c r="K23" s="52">
        <v>2</v>
      </c>
      <c r="L23" s="53" t="s">
        <v>77</v>
      </c>
      <c r="M23" s="22"/>
      <c r="N23" s="182" t="s">
        <v>336</v>
      </c>
      <c r="O23" s="11">
        <v>46150</v>
      </c>
      <c r="P23" s="4"/>
      <c r="Q23" s="19">
        <v>46177</v>
      </c>
      <c r="R23" s="19">
        <v>46178</v>
      </c>
      <c r="S23" s="14"/>
    </row>
    <row r="24" spans="1:19" s="3" customFormat="1" ht="19.649999999999999" customHeight="1" x14ac:dyDescent="0.2">
      <c r="A24" s="64" t="s">
        <v>70</v>
      </c>
      <c r="B24" s="175" t="s">
        <v>331</v>
      </c>
      <c r="C24" s="1"/>
      <c r="D24" s="54">
        <f t="shared" si="1"/>
        <v>12</v>
      </c>
      <c r="E24" s="4" t="s">
        <v>28</v>
      </c>
      <c r="F24" s="4" t="s">
        <v>28</v>
      </c>
      <c r="G24" s="61" t="s">
        <v>48</v>
      </c>
      <c r="H24" s="67">
        <v>8</v>
      </c>
      <c r="I24" s="67">
        <v>18</v>
      </c>
      <c r="J24" s="177">
        <f t="shared" si="0"/>
        <v>144</v>
      </c>
      <c r="K24" s="52">
        <v>8</v>
      </c>
      <c r="L24" s="53" t="s">
        <v>76</v>
      </c>
      <c r="M24" s="22"/>
      <c r="N24" s="182" t="s">
        <v>336</v>
      </c>
      <c r="O24" s="11">
        <v>46150</v>
      </c>
      <c r="P24" s="4"/>
      <c r="Q24" s="19">
        <v>46177</v>
      </c>
      <c r="R24" s="19">
        <v>46178</v>
      </c>
      <c r="S24" s="14"/>
    </row>
    <row r="25" spans="1:19" s="3" customFormat="1" ht="19.649999999999999" customHeight="1" x14ac:dyDescent="0.2">
      <c r="A25" s="64" t="s">
        <v>70</v>
      </c>
      <c r="B25" s="175" t="s">
        <v>331</v>
      </c>
      <c r="C25" s="1"/>
      <c r="D25" s="54">
        <f t="shared" si="1"/>
        <v>13</v>
      </c>
      <c r="E25" s="4" t="s">
        <v>28</v>
      </c>
      <c r="F25" s="4" t="s">
        <v>28</v>
      </c>
      <c r="G25" s="65" t="s">
        <v>42</v>
      </c>
      <c r="H25" s="66">
        <v>8</v>
      </c>
      <c r="I25" s="66">
        <v>112</v>
      </c>
      <c r="J25" s="177">
        <f t="shared" si="0"/>
        <v>896</v>
      </c>
      <c r="K25" s="52">
        <v>8</v>
      </c>
      <c r="L25" s="53" t="s">
        <v>49</v>
      </c>
      <c r="M25" s="22"/>
      <c r="N25" s="182" t="s">
        <v>336</v>
      </c>
      <c r="O25" s="11">
        <v>46150</v>
      </c>
      <c r="P25" s="4"/>
      <c r="Q25" s="19">
        <v>46177</v>
      </c>
      <c r="R25" s="19">
        <v>46178</v>
      </c>
      <c r="S25" s="14"/>
    </row>
    <row r="26" spans="1:19" s="3" customFormat="1" ht="19.649999999999999" customHeight="1" x14ac:dyDescent="0.2">
      <c r="A26" s="63" t="s">
        <v>72</v>
      </c>
      <c r="B26" s="175" t="s">
        <v>331</v>
      </c>
      <c r="C26" s="1"/>
      <c r="D26" s="54">
        <f t="shared" si="1"/>
        <v>14</v>
      </c>
      <c r="E26" s="55" t="s">
        <v>32</v>
      </c>
      <c r="F26" s="4" t="s">
        <v>28</v>
      </c>
      <c r="G26" s="68" t="s">
        <v>50</v>
      </c>
      <c r="H26" s="67">
        <v>8</v>
      </c>
      <c r="I26" s="67">
        <v>4446</v>
      </c>
      <c r="J26" s="177">
        <f t="shared" si="0"/>
        <v>35568</v>
      </c>
      <c r="K26" s="52">
        <v>4</v>
      </c>
      <c r="L26" s="59" t="s">
        <v>51</v>
      </c>
      <c r="M26" s="22"/>
      <c r="N26" s="182" t="s">
        <v>336</v>
      </c>
      <c r="O26" s="11">
        <v>46150</v>
      </c>
      <c r="P26" s="4"/>
      <c r="Q26" s="19">
        <v>46177</v>
      </c>
      <c r="R26" s="19">
        <v>46178</v>
      </c>
      <c r="S26" s="14"/>
    </row>
    <row r="27" spans="1:19" s="3" customFormat="1" ht="19.649999999999999" customHeight="1" x14ac:dyDescent="0.2">
      <c r="A27" s="63" t="s">
        <v>71</v>
      </c>
      <c r="B27" s="175" t="s">
        <v>331</v>
      </c>
      <c r="C27" s="1"/>
      <c r="D27" s="54">
        <f t="shared" si="1"/>
        <v>15</v>
      </c>
      <c r="E27" s="55" t="s">
        <v>32</v>
      </c>
      <c r="F27" s="4" t="s">
        <v>28</v>
      </c>
      <c r="G27" s="61" t="s">
        <v>52</v>
      </c>
      <c r="H27" s="67">
        <v>2</v>
      </c>
      <c r="I27" s="67">
        <v>4580</v>
      </c>
      <c r="J27" s="67">
        <f t="shared" si="0"/>
        <v>9160</v>
      </c>
      <c r="K27" s="52">
        <v>1</v>
      </c>
      <c r="L27" s="59" t="s">
        <v>53</v>
      </c>
      <c r="M27" s="22"/>
      <c r="N27" s="182" t="s">
        <v>336</v>
      </c>
      <c r="O27" s="11">
        <v>46150</v>
      </c>
      <c r="P27" s="4"/>
      <c r="Q27" s="19">
        <v>46177</v>
      </c>
      <c r="R27" s="19">
        <v>46178</v>
      </c>
      <c r="S27" s="14"/>
    </row>
    <row r="28" spans="1:19" s="3" customFormat="1" ht="19.649999999999999" customHeight="1" x14ac:dyDescent="0.2">
      <c r="A28" s="63" t="s">
        <v>71</v>
      </c>
      <c r="B28" s="175" t="s">
        <v>331</v>
      </c>
      <c r="C28" s="1"/>
      <c r="D28" s="54">
        <f t="shared" si="1"/>
        <v>16</v>
      </c>
      <c r="E28" s="55" t="s">
        <v>32</v>
      </c>
      <c r="F28" s="4" t="s">
        <v>28</v>
      </c>
      <c r="G28" s="61" t="s">
        <v>54</v>
      </c>
      <c r="H28" s="67">
        <v>2</v>
      </c>
      <c r="I28" s="67">
        <v>4580</v>
      </c>
      <c r="J28" s="67">
        <f t="shared" si="0"/>
        <v>9160</v>
      </c>
      <c r="K28" s="52">
        <v>1</v>
      </c>
      <c r="L28" s="53" t="s">
        <v>55</v>
      </c>
      <c r="M28" s="22"/>
      <c r="N28" s="182" t="s">
        <v>336</v>
      </c>
      <c r="O28" s="11">
        <v>46150</v>
      </c>
      <c r="P28" s="4"/>
      <c r="Q28" s="19">
        <v>46177</v>
      </c>
      <c r="R28" s="19">
        <v>46178</v>
      </c>
      <c r="S28" s="14"/>
    </row>
    <row r="29" spans="1:19" s="3" customFormat="1" ht="19.649999999999999" customHeight="1" x14ac:dyDescent="0.2">
      <c r="A29" s="64" t="s">
        <v>70</v>
      </c>
      <c r="B29" s="175" t="s">
        <v>331</v>
      </c>
      <c r="C29" s="1"/>
      <c r="D29" s="54">
        <f t="shared" si="1"/>
        <v>17</v>
      </c>
      <c r="E29" s="60" t="s">
        <v>56</v>
      </c>
      <c r="F29" s="4" t="s">
        <v>28</v>
      </c>
      <c r="G29" s="61" t="s">
        <v>57</v>
      </c>
      <c r="H29" s="62">
        <v>12</v>
      </c>
      <c r="I29" s="67">
        <v>50</v>
      </c>
      <c r="J29" s="67">
        <f t="shared" si="0"/>
        <v>600</v>
      </c>
      <c r="K29" s="52">
        <v>6</v>
      </c>
      <c r="L29" s="53" t="s">
        <v>58</v>
      </c>
      <c r="M29" s="22"/>
      <c r="N29" s="182" t="s">
        <v>336</v>
      </c>
      <c r="O29" s="11">
        <v>46150</v>
      </c>
      <c r="P29" s="4"/>
      <c r="Q29" s="19">
        <v>46177</v>
      </c>
      <c r="R29" s="19">
        <v>46178</v>
      </c>
      <c r="S29" s="14"/>
    </row>
    <row r="30" spans="1:19" s="3" customFormat="1" ht="19.649999999999999" customHeight="1" x14ac:dyDescent="0.2">
      <c r="A30" s="64" t="s">
        <v>70</v>
      </c>
      <c r="B30" s="175" t="s">
        <v>331</v>
      </c>
      <c r="C30" s="1"/>
      <c r="D30" s="54">
        <f>D29+1</f>
        <v>18</v>
      </c>
      <c r="E30" s="4" t="s">
        <v>28</v>
      </c>
      <c r="F30" s="4" t="s">
        <v>28</v>
      </c>
      <c r="G30" s="61" t="s">
        <v>59</v>
      </c>
      <c r="H30" s="62">
        <v>36</v>
      </c>
      <c r="I30" s="67">
        <v>26</v>
      </c>
      <c r="J30" s="67">
        <f t="shared" si="0"/>
        <v>936</v>
      </c>
      <c r="K30" s="52">
        <v>18</v>
      </c>
      <c r="L30" s="53" t="s">
        <v>60</v>
      </c>
      <c r="M30" s="22"/>
      <c r="N30" s="182" t="s">
        <v>336</v>
      </c>
      <c r="O30" s="11">
        <v>46150</v>
      </c>
      <c r="P30" s="4"/>
      <c r="Q30" s="19">
        <v>46177</v>
      </c>
      <c r="R30" s="19">
        <v>46178</v>
      </c>
      <c r="S30" s="14"/>
    </row>
    <row r="31" spans="1:19" s="3" customFormat="1" ht="19.649999999999999" customHeight="1" x14ac:dyDescent="0.2">
      <c r="A31" s="64" t="s">
        <v>70</v>
      </c>
      <c r="B31" s="175" t="s">
        <v>331</v>
      </c>
      <c r="C31" s="1"/>
      <c r="D31" s="54">
        <f t="shared" si="1"/>
        <v>19</v>
      </c>
      <c r="E31" s="4" t="s">
        <v>28</v>
      </c>
      <c r="F31" s="4" t="s">
        <v>28</v>
      </c>
      <c r="G31" s="65" t="s">
        <v>61</v>
      </c>
      <c r="H31" s="66">
        <v>4</v>
      </c>
      <c r="I31" s="67">
        <v>120</v>
      </c>
      <c r="J31" s="67">
        <f t="shared" si="0"/>
        <v>480</v>
      </c>
      <c r="K31" s="52">
        <v>2</v>
      </c>
      <c r="L31" s="53" t="s">
        <v>62</v>
      </c>
      <c r="M31" s="22"/>
      <c r="N31" s="182" t="s">
        <v>336</v>
      </c>
      <c r="O31" s="11">
        <v>46150</v>
      </c>
      <c r="P31" s="4"/>
      <c r="Q31" s="19">
        <v>46177</v>
      </c>
      <c r="R31" s="19">
        <v>46178</v>
      </c>
      <c r="S31" s="14"/>
    </row>
    <row r="32" spans="1:19" s="3" customFormat="1" ht="19.649999999999999" customHeight="1" x14ac:dyDescent="0.2">
      <c r="A32" s="63" t="s">
        <v>71</v>
      </c>
      <c r="B32" s="175" t="s">
        <v>331</v>
      </c>
      <c r="C32" s="1"/>
      <c r="D32" s="54">
        <f t="shared" si="1"/>
        <v>20</v>
      </c>
      <c r="E32" s="55" t="s">
        <v>32</v>
      </c>
      <c r="F32" s="4" t="s">
        <v>28</v>
      </c>
      <c r="G32" s="61" t="s">
        <v>63</v>
      </c>
      <c r="H32" s="67">
        <v>2</v>
      </c>
      <c r="I32" s="67">
        <v>2340</v>
      </c>
      <c r="J32" s="67">
        <f t="shared" si="0"/>
        <v>4680</v>
      </c>
      <c r="K32" s="52">
        <v>1</v>
      </c>
      <c r="L32" s="59" t="s">
        <v>64</v>
      </c>
      <c r="M32" s="22"/>
      <c r="N32" s="182" t="s">
        <v>336</v>
      </c>
      <c r="O32" s="11">
        <v>46150</v>
      </c>
      <c r="P32" s="4"/>
      <c r="Q32" s="19">
        <v>46177</v>
      </c>
      <c r="R32" s="19">
        <v>46178</v>
      </c>
      <c r="S32" s="14"/>
    </row>
    <row r="33" spans="1:19" s="3" customFormat="1" ht="19.649999999999999" customHeight="1" x14ac:dyDescent="0.2">
      <c r="A33" s="64" t="s">
        <v>70</v>
      </c>
      <c r="B33" s="175" t="s">
        <v>331</v>
      </c>
      <c r="C33" s="1"/>
      <c r="D33" s="54">
        <f t="shared" si="1"/>
        <v>21</v>
      </c>
      <c r="E33" s="4" t="s">
        <v>28</v>
      </c>
      <c r="F33" s="4" t="s">
        <v>28</v>
      </c>
      <c r="G33" s="61" t="s">
        <v>65</v>
      </c>
      <c r="H33" s="62">
        <v>8</v>
      </c>
      <c r="I33" s="67">
        <v>87</v>
      </c>
      <c r="J33" s="67">
        <f t="shared" si="0"/>
        <v>696</v>
      </c>
      <c r="K33" s="52">
        <v>4</v>
      </c>
      <c r="L33" s="53" t="s">
        <v>66</v>
      </c>
      <c r="M33" s="22"/>
      <c r="N33" s="182" t="s">
        <v>336</v>
      </c>
      <c r="O33" s="11">
        <v>46150</v>
      </c>
      <c r="P33" s="4"/>
      <c r="Q33" s="19">
        <v>46177</v>
      </c>
      <c r="R33" s="19">
        <v>46178</v>
      </c>
      <c r="S33" s="14"/>
    </row>
    <row r="34" spans="1:19" s="3" customFormat="1" ht="19.649999999999999" customHeight="1" x14ac:dyDescent="0.2">
      <c r="A34" s="63" t="s">
        <v>71</v>
      </c>
      <c r="B34" s="175" t="s">
        <v>331</v>
      </c>
      <c r="C34" s="1"/>
      <c r="D34" s="54">
        <f t="shared" si="1"/>
        <v>22</v>
      </c>
      <c r="E34" s="4" t="s">
        <v>118</v>
      </c>
      <c r="F34" s="4" t="s">
        <v>28</v>
      </c>
      <c r="G34" s="70" t="s">
        <v>80</v>
      </c>
      <c r="H34" s="71">
        <v>2</v>
      </c>
      <c r="I34" s="72">
        <v>52030</v>
      </c>
      <c r="J34" s="67">
        <f t="shared" si="0"/>
        <v>104060</v>
      </c>
      <c r="K34" s="2"/>
      <c r="L34" s="24" t="s">
        <v>117</v>
      </c>
      <c r="M34" s="22"/>
      <c r="N34" s="182" t="s">
        <v>336</v>
      </c>
      <c r="O34" s="11">
        <v>46150</v>
      </c>
      <c r="P34" s="4"/>
      <c r="Q34" s="19">
        <v>46177</v>
      </c>
      <c r="R34" s="19">
        <v>46178</v>
      </c>
      <c r="S34" s="14"/>
    </row>
    <row r="35" spans="1:19" s="3" customFormat="1" ht="19.649999999999999" customHeight="1" x14ac:dyDescent="0.2">
      <c r="A35" s="63" t="s">
        <v>68</v>
      </c>
      <c r="B35" s="175" t="s">
        <v>331</v>
      </c>
      <c r="C35" s="1"/>
      <c r="D35" s="54">
        <f t="shared" si="1"/>
        <v>23</v>
      </c>
      <c r="E35" s="55" t="s">
        <v>32</v>
      </c>
      <c r="F35" s="4" t="s">
        <v>28</v>
      </c>
      <c r="G35" s="70" t="s">
        <v>104</v>
      </c>
      <c r="H35" s="71">
        <v>2</v>
      </c>
      <c r="I35" s="72">
        <v>20905</v>
      </c>
      <c r="J35" s="67">
        <f t="shared" si="0"/>
        <v>41810</v>
      </c>
      <c r="K35" s="2"/>
      <c r="L35" s="24" t="s">
        <v>81</v>
      </c>
      <c r="M35" s="22"/>
      <c r="N35" s="182" t="s">
        <v>336</v>
      </c>
      <c r="O35" s="11">
        <v>46150</v>
      </c>
      <c r="P35" s="4"/>
      <c r="Q35" s="19">
        <v>46177</v>
      </c>
      <c r="R35" s="19">
        <v>46178</v>
      </c>
      <c r="S35" s="14"/>
    </row>
    <row r="36" spans="1:19" s="3" customFormat="1" ht="19.649999999999999" customHeight="1" x14ac:dyDescent="0.2">
      <c r="A36" s="63" t="s">
        <v>71</v>
      </c>
      <c r="B36" s="175" t="s">
        <v>331</v>
      </c>
      <c r="C36" s="1"/>
      <c r="D36" s="54">
        <f t="shared" si="1"/>
        <v>24</v>
      </c>
      <c r="E36" s="4" t="s">
        <v>28</v>
      </c>
      <c r="F36" s="4" t="s">
        <v>28</v>
      </c>
      <c r="G36" s="70" t="s">
        <v>82</v>
      </c>
      <c r="H36" s="71">
        <v>12</v>
      </c>
      <c r="I36" s="72">
        <v>865</v>
      </c>
      <c r="J36" s="67">
        <f t="shared" si="0"/>
        <v>10380</v>
      </c>
      <c r="K36" s="2"/>
      <c r="L36" s="24" t="s">
        <v>116</v>
      </c>
      <c r="M36" s="22"/>
      <c r="N36" s="182" t="s">
        <v>336</v>
      </c>
      <c r="O36" s="11">
        <v>46150</v>
      </c>
      <c r="P36" s="4"/>
      <c r="Q36" s="19">
        <v>46177</v>
      </c>
      <c r="R36" s="19">
        <v>46178</v>
      </c>
      <c r="S36" s="14"/>
    </row>
    <row r="37" spans="1:19" s="3" customFormat="1" ht="19.649999999999999" customHeight="1" x14ac:dyDescent="0.2">
      <c r="A37" s="63" t="s">
        <v>71</v>
      </c>
      <c r="B37" s="175" t="s">
        <v>331</v>
      </c>
      <c r="C37" s="1"/>
      <c r="D37" s="54">
        <f t="shared" si="1"/>
        <v>25</v>
      </c>
      <c r="E37" s="4" t="s">
        <v>28</v>
      </c>
      <c r="F37" s="4" t="s">
        <v>28</v>
      </c>
      <c r="G37" s="70" t="s">
        <v>83</v>
      </c>
      <c r="H37" s="71">
        <v>2</v>
      </c>
      <c r="I37" s="72">
        <v>1019</v>
      </c>
      <c r="J37" s="67">
        <f t="shared" si="0"/>
        <v>2038</v>
      </c>
      <c r="K37" s="2"/>
      <c r="L37" s="24" t="s">
        <v>115</v>
      </c>
      <c r="M37" s="22"/>
      <c r="N37" s="182" t="s">
        <v>336</v>
      </c>
      <c r="O37" s="11">
        <v>46150</v>
      </c>
      <c r="P37" s="4"/>
      <c r="Q37" s="19">
        <v>46177</v>
      </c>
      <c r="R37" s="19">
        <v>46178</v>
      </c>
      <c r="S37" s="14"/>
    </row>
    <row r="38" spans="1:19" s="3" customFormat="1" ht="19.649999999999999" customHeight="1" x14ac:dyDescent="0.2">
      <c r="A38" s="64" t="s">
        <v>70</v>
      </c>
      <c r="B38" s="175" t="s">
        <v>331</v>
      </c>
      <c r="C38" s="1"/>
      <c r="D38" s="54">
        <f t="shared" si="1"/>
        <v>26</v>
      </c>
      <c r="E38" s="4" t="s">
        <v>28</v>
      </c>
      <c r="F38" s="4" t="s">
        <v>28</v>
      </c>
      <c r="G38" s="65" t="s">
        <v>41</v>
      </c>
      <c r="H38" s="66">
        <v>12</v>
      </c>
      <c r="I38" s="67">
        <v>17</v>
      </c>
      <c r="J38" s="67">
        <f t="shared" si="0"/>
        <v>204</v>
      </c>
      <c r="K38" s="56">
        <v>12</v>
      </c>
      <c r="L38" s="53" t="s">
        <v>84</v>
      </c>
      <c r="M38" s="22"/>
      <c r="N38" s="182" t="s">
        <v>336</v>
      </c>
      <c r="O38" s="11">
        <v>46150</v>
      </c>
      <c r="P38" s="4"/>
      <c r="Q38" s="19">
        <v>46177</v>
      </c>
      <c r="R38" s="19">
        <v>46178</v>
      </c>
      <c r="S38" s="14"/>
    </row>
    <row r="39" spans="1:19" s="3" customFormat="1" ht="19.649999999999999" customHeight="1" x14ac:dyDescent="0.2">
      <c r="A39" s="64" t="s">
        <v>70</v>
      </c>
      <c r="B39" s="175" t="s">
        <v>331</v>
      </c>
      <c r="C39" s="1"/>
      <c r="D39" s="54">
        <f t="shared" si="1"/>
        <v>27</v>
      </c>
      <c r="E39" s="4" t="s">
        <v>28</v>
      </c>
      <c r="F39" s="4" t="s">
        <v>28</v>
      </c>
      <c r="G39" s="70" t="s">
        <v>85</v>
      </c>
      <c r="H39" s="71">
        <v>1</v>
      </c>
      <c r="I39" s="72">
        <v>855</v>
      </c>
      <c r="J39" s="67">
        <f t="shared" si="0"/>
        <v>855</v>
      </c>
      <c r="K39" s="2"/>
      <c r="L39" s="24" t="s">
        <v>112</v>
      </c>
      <c r="M39" s="22"/>
      <c r="N39" s="182" t="s">
        <v>336</v>
      </c>
      <c r="O39" s="11">
        <v>46150</v>
      </c>
      <c r="P39" s="4"/>
      <c r="Q39" s="19">
        <v>46177</v>
      </c>
      <c r="R39" s="19">
        <v>46178</v>
      </c>
      <c r="S39" s="14"/>
    </row>
    <row r="40" spans="1:19" s="3" customFormat="1" ht="19.649999999999999" customHeight="1" x14ac:dyDescent="0.2">
      <c r="A40" s="64" t="s">
        <v>70</v>
      </c>
      <c r="B40" s="175" t="s">
        <v>331</v>
      </c>
      <c r="C40" s="1"/>
      <c r="D40" s="54">
        <f t="shared" si="1"/>
        <v>28</v>
      </c>
      <c r="E40" s="4" t="s">
        <v>28</v>
      </c>
      <c r="F40" s="4" t="s">
        <v>28</v>
      </c>
      <c r="G40" s="65" t="s">
        <v>111</v>
      </c>
      <c r="H40" s="66">
        <v>8</v>
      </c>
      <c r="I40" s="67">
        <v>14</v>
      </c>
      <c r="J40" s="67">
        <f t="shared" si="0"/>
        <v>112</v>
      </c>
      <c r="K40" s="56">
        <v>8</v>
      </c>
      <c r="L40" s="58" t="s">
        <v>107</v>
      </c>
      <c r="M40" s="22"/>
      <c r="N40" s="182" t="s">
        <v>336</v>
      </c>
      <c r="O40" s="11">
        <v>46150</v>
      </c>
      <c r="P40" s="4"/>
      <c r="Q40" s="19">
        <v>46177</v>
      </c>
      <c r="R40" s="19">
        <v>46178</v>
      </c>
      <c r="S40" s="14"/>
    </row>
    <row r="41" spans="1:19" s="3" customFormat="1" ht="19.649999999999999" customHeight="1" x14ac:dyDescent="0.2">
      <c r="A41" s="64" t="s">
        <v>70</v>
      </c>
      <c r="B41" s="175" t="s">
        <v>331</v>
      </c>
      <c r="C41" s="1"/>
      <c r="D41" s="54">
        <f t="shared" si="1"/>
        <v>29</v>
      </c>
      <c r="E41" s="4" t="s">
        <v>28</v>
      </c>
      <c r="F41" s="4" t="s">
        <v>28</v>
      </c>
      <c r="G41" s="70" t="s">
        <v>87</v>
      </c>
      <c r="H41" s="71">
        <v>8</v>
      </c>
      <c r="I41" s="72">
        <v>93</v>
      </c>
      <c r="J41" s="67">
        <f t="shared" si="0"/>
        <v>744</v>
      </c>
      <c r="K41" s="2">
        <v>8</v>
      </c>
      <c r="L41" s="24" t="s">
        <v>88</v>
      </c>
      <c r="M41" s="22"/>
      <c r="N41" s="182" t="s">
        <v>336</v>
      </c>
      <c r="O41" s="11">
        <v>46150</v>
      </c>
      <c r="P41" s="4"/>
      <c r="Q41" s="19">
        <v>46177</v>
      </c>
      <c r="R41" s="19">
        <v>46178</v>
      </c>
      <c r="S41" s="14"/>
    </row>
    <row r="42" spans="1:19" s="3" customFormat="1" ht="19.649999999999999" customHeight="1" x14ac:dyDescent="0.2">
      <c r="A42" s="64" t="s">
        <v>70</v>
      </c>
      <c r="B42" s="175" t="s">
        <v>331</v>
      </c>
      <c r="C42" s="1"/>
      <c r="D42" s="54">
        <f>D41+1</f>
        <v>30</v>
      </c>
      <c r="E42" s="4" t="s">
        <v>28</v>
      </c>
      <c r="F42" s="4" t="s">
        <v>28</v>
      </c>
      <c r="G42" s="65" t="s">
        <v>89</v>
      </c>
      <c r="H42" s="66">
        <v>10</v>
      </c>
      <c r="I42" s="66">
        <v>41</v>
      </c>
      <c r="J42" s="67">
        <f t="shared" si="0"/>
        <v>410</v>
      </c>
      <c r="K42" s="56">
        <v>10</v>
      </c>
      <c r="L42" s="57" t="s">
        <v>108</v>
      </c>
      <c r="M42" s="22"/>
      <c r="N42" s="182" t="s">
        <v>336</v>
      </c>
      <c r="O42" s="11">
        <v>46150</v>
      </c>
      <c r="P42" s="4"/>
      <c r="Q42" s="19">
        <v>46177</v>
      </c>
      <c r="R42" s="19">
        <v>46178</v>
      </c>
      <c r="S42" s="14"/>
    </row>
    <row r="43" spans="1:19" s="3" customFormat="1" ht="19.649999999999999" customHeight="1" x14ac:dyDescent="0.2">
      <c r="A43" s="63" t="s">
        <v>68</v>
      </c>
      <c r="B43" s="175" t="s">
        <v>331</v>
      </c>
      <c r="C43" s="1"/>
      <c r="D43" s="54">
        <f t="shared" si="1"/>
        <v>31</v>
      </c>
      <c r="E43" s="55" t="s">
        <v>32</v>
      </c>
      <c r="F43" s="4" t="s">
        <v>28</v>
      </c>
      <c r="G43" s="70" t="s">
        <v>102</v>
      </c>
      <c r="H43" s="71">
        <v>2</v>
      </c>
      <c r="I43" s="72">
        <v>6620</v>
      </c>
      <c r="J43" s="67">
        <f t="shared" si="0"/>
        <v>13240</v>
      </c>
      <c r="K43" s="2">
        <v>2</v>
      </c>
      <c r="L43" s="24" t="s">
        <v>91</v>
      </c>
      <c r="M43" s="22"/>
      <c r="N43" s="182" t="s">
        <v>336</v>
      </c>
      <c r="O43" s="11">
        <v>46150</v>
      </c>
      <c r="P43" s="4"/>
      <c r="Q43" s="19">
        <v>46177</v>
      </c>
      <c r="R43" s="19">
        <v>46178</v>
      </c>
      <c r="S43" s="14"/>
    </row>
    <row r="44" spans="1:19" s="3" customFormat="1" ht="19.649999999999999" customHeight="1" x14ac:dyDescent="0.2">
      <c r="A44" s="63" t="s">
        <v>68</v>
      </c>
      <c r="B44" s="175" t="s">
        <v>331</v>
      </c>
      <c r="C44" s="1"/>
      <c r="D44" s="54">
        <f>D43+1</f>
        <v>32</v>
      </c>
      <c r="E44" s="55" t="s">
        <v>32</v>
      </c>
      <c r="F44" s="4" t="s">
        <v>28</v>
      </c>
      <c r="G44" s="70" t="s">
        <v>103</v>
      </c>
      <c r="H44" s="71">
        <v>2</v>
      </c>
      <c r="I44" s="72">
        <v>11807</v>
      </c>
      <c r="J44" s="67">
        <f t="shared" si="0"/>
        <v>23614</v>
      </c>
      <c r="K44" s="2"/>
      <c r="L44" s="24" t="s">
        <v>92</v>
      </c>
      <c r="M44" s="22"/>
      <c r="N44" s="182" t="s">
        <v>336</v>
      </c>
      <c r="O44" s="11">
        <v>46150</v>
      </c>
      <c r="P44" s="4"/>
      <c r="Q44" s="19">
        <v>46177</v>
      </c>
      <c r="R44" s="19">
        <v>46178</v>
      </c>
      <c r="S44" s="14"/>
    </row>
    <row r="45" spans="1:19" s="3" customFormat="1" ht="19.649999999999999" customHeight="1" x14ac:dyDescent="0.2">
      <c r="A45" s="63" t="s">
        <v>71</v>
      </c>
      <c r="B45" s="175" t="s">
        <v>331</v>
      </c>
      <c r="C45" s="1"/>
      <c r="D45" s="54">
        <f>D44+1</f>
        <v>33</v>
      </c>
      <c r="E45" s="55" t="s">
        <v>32</v>
      </c>
      <c r="F45" s="4" t="s">
        <v>28</v>
      </c>
      <c r="G45" s="70" t="s">
        <v>100</v>
      </c>
      <c r="H45" s="71">
        <v>2</v>
      </c>
      <c r="I45" s="72">
        <v>2638</v>
      </c>
      <c r="J45" s="67">
        <f t="shared" si="0"/>
        <v>5276</v>
      </c>
      <c r="K45" s="2">
        <v>2</v>
      </c>
      <c r="L45" s="24" t="s">
        <v>93</v>
      </c>
      <c r="M45" s="22"/>
      <c r="N45" s="182" t="s">
        <v>336</v>
      </c>
      <c r="O45" s="11">
        <v>46150</v>
      </c>
      <c r="P45" s="4"/>
      <c r="Q45" s="19">
        <v>46177</v>
      </c>
      <c r="R45" s="19">
        <v>46178</v>
      </c>
      <c r="S45" s="14"/>
    </row>
    <row r="46" spans="1:19" s="3" customFormat="1" ht="19.649999999999999" customHeight="1" x14ac:dyDescent="0.2">
      <c r="A46" s="64" t="s">
        <v>70</v>
      </c>
      <c r="B46" s="175" t="s">
        <v>331</v>
      </c>
      <c r="C46" s="1"/>
      <c r="D46" s="54">
        <f t="shared" si="1"/>
        <v>34</v>
      </c>
      <c r="E46" s="4" t="s">
        <v>28</v>
      </c>
      <c r="F46" s="4" t="s">
        <v>28</v>
      </c>
      <c r="G46" s="65" t="s">
        <v>94</v>
      </c>
      <c r="H46" s="66">
        <v>4</v>
      </c>
      <c r="I46" s="66">
        <v>77</v>
      </c>
      <c r="J46" s="67">
        <f t="shared" si="0"/>
        <v>308</v>
      </c>
      <c r="K46" s="56">
        <v>4</v>
      </c>
      <c r="L46" s="57" t="s">
        <v>90</v>
      </c>
      <c r="M46" s="22"/>
      <c r="N46" s="182" t="s">
        <v>336</v>
      </c>
      <c r="O46" s="11">
        <v>46150</v>
      </c>
      <c r="P46" s="4"/>
      <c r="Q46" s="19">
        <v>46177</v>
      </c>
      <c r="R46" s="19">
        <v>46178</v>
      </c>
      <c r="S46" s="14"/>
    </row>
    <row r="47" spans="1:19" s="3" customFormat="1" ht="19.649999999999999" customHeight="1" x14ac:dyDescent="0.2">
      <c r="A47" s="64" t="s">
        <v>70</v>
      </c>
      <c r="B47" s="175" t="s">
        <v>331</v>
      </c>
      <c r="C47" s="1"/>
      <c r="D47" s="54">
        <f>D46+1</f>
        <v>35</v>
      </c>
      <c r="E47" s="4" t="s">
        <v>28</v>
      </c>
      <c r="F47" s="4" t="s">
        <v>28</v>
      </c>
      <c r="G47" s="65" t="s">
        <v>40</v>
      </c>
      <c r="H47" s="66">
        <v>4</v>
      </c>
      <c r="I47" s="67">
        <v>112</v>
      </c>
      <c r="J47" s="67">
        <f t="shared" si="0"/>
        <v>448</v>
      </c>
      <c r="K47" s="56">
        <v>6</v>
      </c>
      <c r="L47" s="58" t="s">
        <v>95</v>
      </c>
      <c r="M47" s="22"/>
      <c r="N47" s="182" t="s">
        <v>336</v>
      </c>
      <c r="O47" s="11">
        <v>46150</v>
      </c>
      <c r="P47" s="4"/>
      <c r="Q47" s="19">
        <v>46177</v>
      </c>
      <c r="R47" s="19">
        <v>46178</v>
      </c>
      <c r="S47" s="14"/>
    </row>
    <row r="48" spans="1:19" s="3" customFormat="1" ht="19.649999999999999" customHeight="1" x14ac:dyDescent="0.2">
      <c r="A48" s="64" t="s">
        <v>70</v>
      </c>
      <c r="B48" s="175" t="s">
        <v>331</v>
      </c>
      <c r="C48" s="1"/>
      <c r="D48" s="54">
        <f t="shared" si="1"/>
        <v>36</v>
      </c>
      <c r="E48" s="4" t="s">
        <v>28</v>
      </c>
      <c r="F48" s="4" t="s">
        <v>28</v>
      </c>
      <c r="G48" s="65" t="s">
        <v>37</v>
      </c>
      <c r="H48" s="66">
        <v>4</v>
      </c>
      <c r="I48" s="67">
        <v>112</v>
      </c>
      <c r="J48" s="67">
        <f t="shared" si="0"/>
        <v>448</v>
      </c>
      <c r="K48" s="56">
        <v>6</v>
      </c>
      <c r="L48" s="58" t="s">
        <v>95</v>
      </c>
      <c r="M48" s="22"/>
      <c r="N48" s="182" t="s">
        <v>336</v>
      </c>
      <c r="O48" s="11">
        <v>46150</v>
      </c>
      <c r="P48" s="4"/>
      <c r="Q48" s="19">
        <v>46177</v>
      </c>
      <c r="R48" s="19">
        <v>46178</v>
      </c>
      <c r="S48" s="14"/>
    </row>
    <row r="49" spans="1:19" s="3" customFormat="1" ht="19.649999999999999" customHeight="1" x14ac:dyDescent="0.2">
      <c r="A49" s="63" t="s">
        <v>68</v>
      </c>
      <c r="B49" s="175" t="s">
        <v>331</v>
      </c>
      <c r="C49" s="1"/>
      <c r="D49" s="54">
        <f>D48+1</f>
        <v>37</v>
      </c>
      <c r="E49" s="55" t="s">
        <v>32</v>
      </c>
      <c r="F49" s="4" t="s">
        <v>28</v>
      </c>
      <c r="G49" s="65" t="s">
        <v>101</v>
      </c>
      <c r="H49" s="66">
        <v>2</v>
      </c>
      <c r="I49" s="67">
        <v>6464</v>
      </c>
      <c r="J49" s="67">
        <f t="shared" si="0"/>
        <v>12928</v>
      </c>
      <c r="K49" s="56">
        <v>2</v>
      </c>
      <c r="L49" s="58" t="s">
        <v>96</v>
      </c>
      <c r="M49" s="22"/>
      <c r="N49" s="182" t="s">
        <v>336</v>
      </c>
      <c r="O49" s="11">
        <v>46150</v>
      </c>
      <c r="P49" s="4"/>
      <c r="Q49" s="19">
        <v>46177</v>
      </c>
      <c r="R49" s="19">
        <v>46178</v>
      </c>
      <c r="S49" s="14"/>
    </row>
    <row r="50" spans="1:19" s="3" customFormat="1" ht="19.649999999999999" customHeight="1" x14ac:dyDescent="0.2">
      <c r="A50" s="63" t="s">
        <v>68</v>
      </c>
      <c r="B50" s="175" t="s">
        <v>331</v>
      </c>
      <c r="C50" s="1"/>
      <c r="D50" s="54">
        <f>D49+1</f>
        <v>38</v>
      </c>
      <c r="E50" s="55" t="s">
        <v>32</v>
      </c>
      <c r="F50" s="4" t="s">
        <v>28</v>
      </c>
      <c r="G50" s="73" t="s">
        <v>105</v>
      </c>
      <c r="H50" s="71">
        <v>2</v>
      </c>
      <c r="I50" s="72">
        <v>10002</v>
      </c>
      <c r="J50" s="67">
        <f t="shared" si="0"/>
        <v>20004</v>
      </c>
      <c r="K50" s="56">
        <v>2</v>
      </c>
      <c r="L50" s="24" t="s">
        <v>97</v>
      </c>
      <c r="M50" s="22"/>
      <c r="N50" s="182" t="s">
        <v>336</v>
      </c>
      <c r="O50" s="11">
        <v>46150</v>
      </c>
      <c r="P50" s="4"/>
      <c r="Q50" s="19">
        <v>46177</v>
      </c>
      <c r="R50" s="19">
        <v>46178</v>
      </c>
      <c r="S50" s="14"/>
    </row>
    <row r="51" spans="1:19" s="3" customFormat="1" ht="19.649999999999999" customHeight="1" x14ac:dyDescent="0.2">
      <c r="A51" s="64" t="s">
        <v>70</v>
      </c>
      <c r="B51" s="175" t="s">
        <v>331</v>
      </c>
      <c r="C51" s="1"/>
      <c r="D51" s="54">
        <f>D50+1</f>
        <v>39</v>
      </c>
      <c r="E51" s="4" t="s">
        <v>28</v>
      </c>
      <c r="F51" s="4" t="s">
        <v>28</v>
      </c>
      <c r="G51" s="65" t="s">
        <v>98</v>
      </c>
      <c r="H51" s="66">
        <v>8</v>
      </c>
      <c r="I51" s="67">
        <v>105</v>
      </c>
      <c r="J51" s="67">
        <f t="shared" si="0"/>
        <v>840</v>
      </c>
      <c r="K51" s="56">
        <v>8</v>
      </c>
      <c r="L51" s="58" t="s">
        <v>86</v>
      </c>
      <c r="M51" s="22"/>
      <c r="N51" s="182" t="s">
        <v>336</v>
      </c>
      <c r="O51" s="11">
        <v>46150</v>
      </c>
      <c r="P51" s="4"/>
      <c r="Q51" s="19">
        <v>46177</v>
      </c>
      <c r="R51" s="19">
        <v>46178</v>
      </c>
      <c r="S51" s="14"/>
    </row>
    <row r="52" spans="1:19" s="3" customFormat="1" ht="19.649999999999999" customHeight="1" x14ac:dyDescent="0.2">
      <c r="A52" s="64" t="s">
        <v>70</v>
      </c>
      <c r="B52" s="175" t="s">
        <v>331</v>
      </c>
      <c r="C52" s="1"/>
      <c r="D52" s="54">
        <f>D51+1</f>
        <v>40</v>
      </c>
      <c r="E52" s="4" t="s">
        <v>28</v>
      </c>
      <c r="F52" s="4" t="s">
        <v>28</v>
      </c>
      <c r="G52" s="70" t="s">
        <v>43</v>
      </c>
      <c r="H52" s="71">
        <v>4</v>
      </c>
      <c r="I52" s="72">
        <v>1168</v>
      </c>
      <c r="J52" s="72">
        <f t="shared" si="0"/>
        <v>4672</v>
      </c>
      <c r="K52" s="2"/>
      <c r="L52" s="24" t="s">
        <v>114</v>
      </c>
      <c r="M52" s="22"/>
      <c r="N52" s="182" t="s">
        <v>336</v>
      </c>
      <c r="O52" s="11">
        <v>46150</v>
      </c>
      <c r="P52" s="4"/>
      <c r="Q52" s="19">
        <v>46177</v>
      </c>
      <c r="R52" s="19">
        <v>46178</v>
      </c>
      <c r="S52" s="14"/>
    </row>
    <row r="53" spans="1:19" s="3" customFormat="1" ht="19.649999999999999" customHeight="1" x14ac:dyDescent="0.2">
      <c r="A53" s="64" t="s">
        <v>70</v>
      </c>
      <c r="B53" s="175" t="s">
        <v>331</v>
      </c>
      <c r="C53" s="1"/>
      <c r="D53" s="54">
        <f t="shared" si="1"/>
        <v>41</v>
      </c>
      <c r="E53" s="4" t="s">
        <v>28</v>
      </c>
      <c r="F53" s="4" t="s">
        <v>28</v>
      </c>
      <c r="G53" s="70" t="s">
        <v>99</v>
      </c>
      <c r="H53" s="71">
        <v>4</v>
      </c>
      <c r="I53" s="72">
        <v>1584</v>
      </c>
      <c r="J53" s="72">
        <f t="shared" si="0"/>
        <v>6336</v>
      </c>
      <c r="K53" s="2"/>
      <c r="L53" s="24" t="s">
        <v>113</v>
      </c>
      <c r="M53" s="22"/>
      <c r="N53" s="182" t="s">
        <v>336</v>
      </c>
      <c r="O53" s="11">
        <v>46150</v>
      </c>
      <c r="P53" s="4"/>
      <c r="Q53" s="19">
        <v>46177</v>
      </c>
      <c r="R53" s="19">
        <v>46178</v>
      </c>
      <c r="S53" s="14"/>
    </row>
    <row r="54" spans="1:19" s="3" customFormat="1" ht="19.649999999999999" customHeight="1" x14ac:dyDescent="0.2">
      <c r="A54" s="64" t="s">
        <v>71</v>
      </c>
      <c r="B54" s="175" t="s">
        <v>331</v>
      </c>
      <c r="C54" s="1"/>
      <c r="D54" s="54">
        <f t="shared" si="1"/>
        <v>42</v>
      </c>
      <c r="E54" s="55" t="s">
        <v>32</v>
      </c>
      <c r="F54" s="214" t="s">
        <v>28</v>
      </c>
      <c r="G54" s="215" t="s">
        <v>339</v>
      </c>
      <c r="H54" s="216">
        <v>2</v>
      </c>
      <c r="I54" s="217">
        <v>3424</v>
      </c>
      <c r="J54" s="218">
        <f t="shared" si="0"/>
        <v>6848</v>
      </c>
      <c r="K54" s="219"/>
      <c r="L54" s="220" t="s">
        <v>340</v>
      </c>
      <c r="M54" s="22"/>
      <c r="N54" s="221" t="s">
        <v>341</v>
      </c>
      <c r="O54" s="11">
        <v>46197</v>
      </c>
      <c r="P54" s="4"/>
      <c r="Q54" s="19">
        <v>46200</v>
      </c>
      <c r="R54" s="19">
        <v>46202</v>
      </c>
      <c r="S54" s="14"/>
    </row>
    <row r="55" spans="1:19" s="3" customFormat="1" ht="19.649999999999999" customHeight="1" x14ac:dyDescent="0.2">
      <c r="A55" s="64" t="s">
        <v>70</v>
      </c>
      <c r="B55" s="175" t="s">
        <v>331</v>
      </c>
      <c r="C55" s="1"/>
      <c r="D55" s="54">
        <f t="shared" si="1"/>
        <v>43</v>
      </c>
      <c r="E55" s="222" t="s">
        <v>28</v>
      </c>
      <c r="F55" s="214" t="s">
        <v>28</v>
      </c>
      <c r="G55" s="215" t="s">
        <v>342</v>
      </c>
      <c r="H55" s="216">
        <v>22</v>
      </c>
      <c r="I55" s="217">
        <v>56</v>
      </c>
      <c r="J55" s="218">
        <f t="shared" si="0"/>
        <v>1232</v>
      </c>
      <c r="K55" s="219"/>
      <c r="L55" s="220" t="s">
        <v>343</v>
      </c>
      <c r="M55" s="22"/>
      <c r="N55" s="221" t="s">
        <v>341</v>
      </c>
      <c r="O55" s="11">
        <v>46197</v>
      </c>
      <c r="P55" s="4"/>
      <c r="Q55" s="19">
        <v>46200</v>
      </c>
      <c r="R55" s="19">
        <v>46202</v>
      </c>
      <c r="S55" s="14"/>
    </row>
    <row r="56" spans="1:19" s="3" customFormat="1" ht="19.649999999999999" customHeight="1" x14ac:dyDescent="0.2">
      <c r="B56" s="174"/>
      <c r="C56" s="1"/>
      <c r="D56" s="4"/>
      <c r="E56" s="4"/>
      <c r="F56" s="4"/>
      <c r="G56" s="69"/>
      <c r="H56" s="1"/>
      <c r="I56" s="43"/>
      <c r="J56" s="43"/>
      <c r="K56" s="2"/>
      <c r="L56" s="24"/>
      <c r="M56" s="22"/>
      <c r="N56" s="4"/>
      <c r="O56" s="11"/>
      <c r="P56" s="4"/>
      <c r="Q56" s="19"/>
      <c r="R56" s="19"/>
      <c r="S56" s="14"/>
    </row>
    <row r="57" spans="1:19" s="3" customFormat="1" ht="19.649999999999999" customHeight="1" x14ac:dyDescent="0.2">
      <c r="B57" s="174"/>
      <c r="C57" s="1"/>
      <c r="D57" s="4"/>
      <c r="E57" s="4"/>
      <c r="F57" s="4"/>
      <c r="G57" s="35"/>
      <c r="H57" s="1"/>
      <c r="I57" s="43"/>
      <c r="J57" s="43"/>
      <c r="K57" s="2"/>
      <c r="L57" s="24"/>
      <c r="M57" s="22"/>
      <c r="N57" s="4"/>
      <c r="O57" s="11"/>
      <c r="P57" s="4"/>
      <c r="Q57" s="19"/>
      <c r="R57" s="19"/>
      <c r="S57" s="14"/>
    </row>
    <row r="58" spans="1:19" s="3" customFormat="1" ht="19.649999999999999" customHeight="1" x14ac:dyDescent="0.2">
      <c r="B58" s="174"/>
      <c r="C58" s="1"/>
      <c r="D58" s="4"/>
      <c r="E58" s="4"/>
      <c r="F58" s="4"/>
      <c r="G58" s="199">
        <f>SUM(J13:J57)</f>
        <v>434569</v>
      </c>
      <c r="H58" s="200"/>
      <c r="I58" s="200"/>
      <c r="J58" s="201"/>
      <c r="K58" s="2"/>
      <c r="L58" s="24"/>
      <c r="M58" s="22"/>
      <c r="N58" s="4"/>
      <c r="O58" s="11"/>
      <c r="P58" s="4"/>
      <c r="Q58" s="19"/>
      <c r="R58" s="19"/>
      <c r="S58" s="14"/>
    </row>
    <row r="59" spans="1:19" s="3" customFormat="1" ht="19.649999999999999" customHeight="1" x14ac:dyDescent="0.2">
      <c r="B59" s="174"/>
      <c r="C59" s="1"/>
      <c r="D59" s="4"/>
      <c r="E59" s="4"/>
      <c r="F59" s="4"/>
      <c r="G59" s="35"/>
      <c r="H59" s="1"/>
      <c r="I59" s="43"/>
      <c r="J59" s="43"/>
      <c r="K59" s="2"/>
      <c r="L59" s="24"/>
      <c r="M59" s="22"/>
      <c r="N59" s="4"/>
      <c r="O59" s="11"/>
      <c r="P59" s="4"/>
      <c r="Q59" s="19"/>
      <c r="R59" s="19"/>
      <c r="S59" s="14"/>
    </row>
    <row r="60" spans="1:19" s="3" customFormat="1" ht="19.649999999999999" customHeight="1" x14ac:dyDescent="0.2">
      <c r="B60" s="174"/>
      <c r="C60" s="1"/>
      <c r="D60" s="4"/>
      <c r="E60" s="4"/>
      <c r="F60" s="4"/>
      <c r="G60" s="35"/>
      <c r="H60" s="1"/>
      <c r="I60" s="43"/>
      <c r="J60" s="43"/>
      <c r="K60" s="2"/>
      <c r="L60" s="24"/>
      <c r="M60" s="22"/>
      <c r="N60" s="4"/>
      <c r="O60" s="11"/>
      <c r="P60" s="4"/>
      <c r="Q60" s="19"/>
      <c r="R60" s="19"/>
      <c r="S60" s="14"/>
    </row>
    <row r="61" spans="1:19" s="3" customFormat="1" ht="19.649999999999999" customHeight="1" x14ac:dyDescent="0.2">
      <c r="B61" s="174"/>
      <c r="C61" s="1"/>
      <c r="D61" s="4"/>
      <c r="E61" s="4"/>
      <c r="F61" s="4"/>
      <c r="G61" s="35"/>
      <c r="H61" s="1"/>
      <c r="I61" s="43"/>
      <c r="J61" s="43"/>
      <c r="K61" s="2"/>
      <c r="L61" s="24"/>
      <c r="M61" s="22"/>
      <c r="N61" s="4"/>
      <c r="O61" s="11"/>
      <c r="P61" s="4"/>
      <c r="Q61" s="19"/>
      <c r="R61" s="19"/>
      <c r="S61" s="14"/>
    </row>
    <row r="62" spans="1:19" s="3" customFormat="1" ht="19.649999999999999" customHeight="1" x14ac:dyDescent="0.2">
      <c r="B62" s="174"/>
      <c r="C62" s="1"/>
      <c r="D62" s="4"/>
      <c r="E62" s="4"/>
      <c r="F62" s="4"/>
      <c r="G62" s="35"/>
      <c r="H62" s="1"/>
      <c r="I62" s="43"/>
      <c r="J62" s="43"/>
      <c r="K62" s="2"/>
      <c r="L62" s="24"/>
      <c r="M62" s="22"/>
      <c r="N62" s="4"/>
      <c r="O62" s="11"/>
      <c r="P62" s="4"/>
      <c r="Q62" s="19"/>
      <c r="R62" s="19"/>
      <c r="S62" s="14"/>
    </row>
    <row r="63" spans="1:19" s="3" customFormat="1" ht="19.649999999999999" customHeight="1" x14ac:dyDescent="0.2">
      <c r="B63" s="174"/>
      <c r="C63" s="1"/>
      <c r="D63" s="4"/>
      <c r="E63" s="202" t="s">
        <v>119</v>
      </c>
      <c r="F63" s="203"/>
      <c r="G63" s="204"/>
      <c r="H63" s="1"/>
      <c r="I63" s="43"/>
      <c r="J63" s="43"/>
      <c r="K63" s="2"/>
      <c r="L63" s="24"/>
      <c r="M63" s="22"/>
      <c r="N63" s="4"/>
      <c r="O63" s="11"/>
      <c r="P63" s="4"/>
      <c r="Q63" s="19"/>
      <c r="R63" s="19"/>
      <c r="S63" s="14"/>
    </row>
    <row r="64" spans="1:19" s="3" customFormat="1" ht="19.649999999999999" customHeight="1" x14ac:dyDescent="0.2">
      <c r="A64" s="64" t="s">
        <v>70</v>
      </c>
      <c r="B64" s="175" t="s">
        <v>332</v>
      </c>
      <c r="C64" s="1"/>
      <c r="D64" s="54">
        <f>+D55+1</f>
        <v>44</v>
      </c>
      <c r="E64" s="4" t="s">
        <v>120</v>
      </c>
      <c r="F64" s="4" t="s">
        <v>120</v>
      </c>
      <c r="G64" s="100" t="s">
        <v>121</v>
      </c>
      <c r="H64" s="101">
        <v>4</v>
      </c>
      <c r="I64" s="105">
        <v>6050</v>
      </c>
      <c r="J64" s="178">
        <f t="shared" ref="J64:J88" si="2">H64*I64</f>
        <v>24200</v>
      </c>
      <c r="K64" s="74">
        <v>1</v>
      </c>
      <c r="L64" s="75" t="s">
        <v>122</v>
      </c>
      <c r="M64" s="76" t="s">
        <v>196</v>
      </c>
      <c r="N64" s="182" t="s">
        <v>336</v>
      </c>
      <c r="O64" s="11">
        <v>46150</v>
      </c>
      <c r="P64" s="4"/>
      <c r="Q64" s="19">
        <v>46177</v>
      </c>
      <c r="R64" s="19">
        <v>46178</v>
      </c>
      <c r="S64" s="14"/>
    </row>
    <row r="65" spans="1:19" s="3" customFormat="1" ht="19.649999999999999" customHeight="1" x14ac:dyDescent="0.2">
      <c r="A65" s="63" t="s">
        <v>126</v>
      </c>
      <c r="B65" s="175" t="s">
        <v>332</v>
      </c>
      <c r="C65" s="1"/>
      <c r="D65" s="54">
        <f>+D64+1</f>
        <v>45</v>
      </c>
      <c r="E65" s="55" t="s">
        <v>32</v>
      </c>
      <c r="F65" s="4" t="s">
        <v>28</v>
      </c>
      <c r="G65" s="103" t="s">
        <v>191</v>
      </c>
      <c r="H65" s="102">
        <v>4</v>
      </c>
      <c r="I65" s="104">
        <v>4380</v>
      </c>
      <c r="J65" s="178">
        <f t="shared" si="2"/>
        <v>17520</v>
      </c>
      <c r="K65" s="99">
        <v>1</v>
      </c>
      <c r="L65" s="98" t="s">
        <v>162</v>
      </c>
      <c r="M65" s="76" t="s">
        <v>196</v>
      </c>
      <c r="N65" s="182" t="s">
        <v>336</v>
      </c>
      <c r="O65" s="11">
        <v>46150</v>
      </c>
      <c r="P65" s="4"/>
      <c r="Q65" s="19">
        <v>46177</v>
      </c>
      <c r="R65" s="19">
        <v>46178</v>
      </c>
      <c r="S65" s="14"/>
    </row>
    <row r="66" spans="1:19" s="3" customFormat="1" ht="19.649999999999999" customHeight="1" x14ac:dyDescent="0.2">
      <c r="A66" s="63" t="s">
        <v>126</v>
      </c>
      <c r="B66" s="175" t="s">
        <v>332</v>
      </c>
      <c r="C66" s="1"/>
      <c r="D66" s="54">
        <f>+D65+1</f>
        <v>46</v>
      </c>
      <c r="E66" s="55" t="s">
        <v>32</v>
      </c>
      <c r="F66" s="4" t="s">
        <v>28</v>
      </c>
      <c r="G66" s="103" t="s">
        <v>192</v>
      </c>
      <c r="H66" s="102">
        <v>4</v>
      </c>
      <c r="I66" s="104">
        <v>3045</v>
      </c>
      <c r="J66" s="178">
        <f t="shared" si="2"/>
        <v>12180</v>
      </c>
      <c r="K66" s="99">
        <v>1</v>
      </c>
      <c r="L66" s="98" t="s">
        <v>163</v>
      </c>
      <c r="M66" s="76" t="s">
        <v>196</v>
      </c>
      <c r="N66" s="182" t="s">
        <v>336</v>
      </c>
      <c r="O66" s="11">
        <v>46150</v>
      </c>
      <c r="P66" s="4"/>
      <c r="Q66" s="19">
        <v>46177</v>
      </c>
      <c r="R66" s="19">
        <v>46178</v>
      </c>
      <c r="S66" s="14"/>
    </row>
    <row r="67" spans="1:19" s="3" customFormat="1" ht="19.649999999999999" customHeight="1" x14ac:dyDescent="0.2">
      <c r="A67" s="64" t="s">
        <v>70</v>
      </c>
      <c r="B67" s="175" t="s">
        <v>332</v>
      </c>
      <c r="C67" s="1"/>
      <c r="D67" s="54">
        <f t="shared" ref="D67:D88" si="3">+D66+1</f>
        <v>47</v>
      </c>
      <c r="E67" s="97" t="s">
        <v>200</v>
      </c>
      <c r="F67" s="4" t="s">
        <v>28</v>
      </c>
      <c r="G67" s="103" t="s">
        <v>164</v>
      </c>
      <c r="H67" s="102">
        <v>4</v>
      </c>
      <c r="I67" s="104">
        <v>152</v>
      </c>
      <c r="J67" s="178">
        <f t="shared" si="2"/>
        <v>608</v>
      </c>
      <c r="K67" s="99">
        <v>1</v>
      </c>
      <c r="L67" s="98" t="s">
        <v>201</v>
      </c>
      <c r="M67" s="76" t="s">
        <v>196</v>
      </c>
      <c r="N67" s="182" t="s">
        <v>336</v>
      </c>
      <c r="O67" s="11">
        <v>46150</v>
      </c>
      <c r="P67" s="4"/>
      <c r="Q67" s="19">
        <v>46177</v>
      </c>
      <c r="R67" s="19">
        <v>46178</v>
      </c>
      <c r="S67" s="14"/>
    </row>
    <row r="68" spans="1:19" s="3" customFormat="1" ht="19.649999999999999" customHeight="1" x14ac:dyDescent="0.2">
      <c r="A68" s="64" t="s">
        <v>70</v>
      </c>
      <c r="B68" s="175" t="s">
        <v>332</v>
      </c>
      <c r="C68" s="1"/>
      <c r="D68" s="54">
        <f t="shared" si="3"/>
        <v>48</v>
      </c>
      <c r="E68" s="4" t="s">
        <v>120</v>
      </c>
      <c r="F68" s="4" t="s">
        <v>28</v>
      </c>
      <c r="G68" s="103" t="s">
        <v>65</v>
      </c>
      <c r="H68" s="102">
        <v>24</v>
      </c>
      <c r="I68" s="104">
        <v>65</v>
      </c>
      <c r="J68" s="178">
        <f t="shared" si="2"/>
        <v>1560</v>
      </c>
      <c r="K68" s="99">
        <v>4</v>
      </c>
      <c r="L68" s="98" t="s">
        <v>209</v>
      </c>
      <c r="M68" s="76" t="s">
        <v>196</v>
      </c>
      <c r="N68" s="182" t="s">
        <v>336</v>
      </c>
      <c r="O68" s="11">
        <v>46150</v>
      </c>
      <c r="P68" s="4"/>
      <c r="Q68" s="19">
        <v>46177</v>
      </c>
      <c r="R68" s="19">
        <v>46178</v>
      </c>
      <c r="S68" s="14"/>
    </row>
    <row r="69" spans="1:19" s="3" customFormat="1" ht="19.649999999999999" customHeight="1" x14ac:dyDescent="0.2">
      <c r="A69" s="64" t="s">
        <v>70</v>
      </c>
      <c r="B69" s="175" t="s">
        <v>332</v>
      </c>
      <c r="C69" s="1"/>
      <c r="D69" s="54">
        <f t="shared" si="3"/>
        <v>49</v>
      </c>
      <c r="E69" s="4" t="s">
        <v>120</v>
      </c>
      <c r="F69" s="4" t="s">
        <v>28</v>
      </c>
      <c r="G69" s="103" t="s">
        <v>165</v>
      </c>
      <c r="H69" s="102">
        <v>36</v>
      </c>
      <c r="I69" s="104">
        <v>83</v>
      </c>
      <c r="J69" s="178">
        <f t="shared" si="2"/>
        <v>2988</v>
      </c>
      <c r="K69" s="99">
        <v>1</v>
      </c>
      <c r="L69" s="98" t="s">
        <v>210</v>
      </c>
      <c r="M69" s="76" t="s">
        <v>196</v>
      </c>
      <c r="N69" s="182" t="s">
        <v>336</v>
      </c>
      <c r="O69" s="11">
        <v>46150</v>
      </c>
      <c r="P69" s="4"/>
      <c r="Q69" s="19">
        <v>46177</v>
      </c>
      <c r="R69" s="19">
        <v>46178</v>
      </c>
      <c r="S69" s="14"/>
    </row>
    <row r="70" spans="1:19" s="3" customFormat="1" ht="19.649999999999999" customHeight="1" x14ac:dyDescent="0.2">
      <c r="A70" s="64" t="s">
        <v>70</v>
      </c>
      <c r="B70" s="175" t="s">
        <v>332</v>
      </c>
      <c r="C70" s="1"/>
      <c r="D70" s="54">
        <f t="shared" si="3"/>
        <v>50</v>
      </c>
      <c r="E70" s="4" t="s">
        <v>120</v>
      </c>
      <c r="F70" s="4" t="s">
        <v>28</v>
      </c>
      <c r="G70" s="103" t="s">
        <v>39</v>
      </c>
      <c r="H70" s="102">
        <v>12</v>
      </c>
      <c r="I70" s="104">
        <v>41</v>
      </c>
      <c r="J70" s="178">
        <f t="shared" si="2"/>
        <v>492</v>
      </c>
      <c r="K70" s="99">
        <v>3</v>
      </c>
      <c r="L70" s="98" t="s">
        <v>202</v>
      </c>
      <c r="M70" s="76" t="s">
        <v>196</v>
      </c>
      <c r="N70" s="182" t="s">
        <v>336</v>
      </c>
      <c r="O70" s="11">
        <v>46150</v>
      </c>
      <c r="P70" s="4"/>
      <c r="Q70" s="19">
        <v>46177</v>
      </c>
      <c r="R70" s="19">
        <v>46178</v>
      </c>
      <c r="S70" s="14"/>
    </row>
    <row r="71" spans="1:19" s="3" customFormat="1" ht="19.649999999999999" customHeight="1" x14ac:dyDescent="0.2">
      <c r="A71" s="64" t="s">
        <v>70</v>
      </c>
      <c r="B71" s="175" t="s">
        <v>332</v>
      </c>
      <c r="C71" s="1"/>
      <c r="D71" s="54">
        <f t="shared" si="3"/>
        <v>51</v>
      </c>
      <c r="E71" s="4" t="s">
        <v>120</v>
      </c>
      <c r="F71" s="4" t="s">
        <v>28</v>
      </c>
      <c r="G71" s="103" t="s">
        <v>166</v>
      </c>
      <c r="H71" s="102">
        <v>8</v>
      </c>
      <c r="I71" s="104">
        <v>47</v>
      </c>
      <c r="J71" s="178">
        <f t="shared" si="2"/>
        <v>376</v>
      </c>
      <c r="K71" s="99">
        <v>2</v>
      </c>
      <c r="L71" s="98" t="s">
        <v>203</v>
      </c>
      <c r="M71" s="76" t="s">
        <v>196</v>
      </c>
      <c r="N71" s="182" t="s">
        <v>336</v>
      </c>
      <c r="O71" s="11">
        <v>46150</v>
      </c>
      <c r="P71" s="4"/>
      <c r="Q71" s="19">
        <v>46177</v>
      </c>
      <c r="R71" s="19">
        <v>46178</v>
      </c>
      <c r="S71" s="14"/>
    </row>
    <row r="72" spans="1:19" s="3" customFormat="1" ht="19.649999999999999" customHeight="1" x14ac:dyDescent="0.2">
      <c r="A72" s="64" t="s">
        <v>70</v>
      </c>
      <c r="B72" s="175" t="s">
        <v>332</v>
      </c>
      <c r="C72" s="1"/>
      <c r="D72" s="54">
        <f t="shared" si="3"/>
        <v>52</v>
      </c>
      <c r="E72" s="4" t="s">
        <v>120</v>
      </c>
      <c r="F72" s="4" t="s">
        <v>28</v>
      </c>
      <c r="G72" s="103" t="s">
        <v>168</v>
      </c>
      <c r="H72" s="102">
        <v>24</v>
      </c>
      <c r="I72" s="104">
        <v>45</v>
      </c>
      <c r="J72" s="178">
        <f t="shared" si="2"/>
        <v>1080</v>
      </c>
      <c r="K72" s="99">
        <v>3</v>
      </c>
      <c r="L72" s="98" t="s">
        <v>208</v>
      </c>
      <c r="M72" s="76" t="s">
        <v>196</v>
      </c>
      <c r="N72" s="182" t="s">
        <v>336</v>
      </c>
      <c r="O72" s="11">
        <v>46150</v>
      </c>
      <c r="P72" s="4"/>
      <c r="Q72" s="19">
        <v>46177</v>
      </c>
      <c r="R72" s="19">
        <v>46178</v>
      </c>
      <c r="S72" s="14"/>
    </row>
    <row r="73" spans="1:19" s="3" customFormat="1" ht="19.649999999999999" customHeight="1" x14ac:dyDescent="0.2">
      <c r="A73" s="63" t="s">
        <v>126</v>
      </c>
      <c r="B73" s="175" t="s">
        <v>332</v>
      </c>
      <c r="C73" s="1"/>
      <c r="D73" s="54">
        <f t="shared" si="3"/>
        <v>53</v>
      </c>
      <c r="E73" s="55" t="s">
        <v>32</v>
      </c>
      <c r="F73" s="4" t="s">
        <v>28</v>
      </c>
      <c r="G73" s="103" t="s">
        <v>193</v>
      </c>
      <c r="H73" s="102">
        <v>4</v>
      </c>
      <c r="I73" s="104">
        <v>2127</v>
      </c>
      <c r="J73" s="178">
        <f t="shared" si="2"/>
        <v>8508</v>
      </c>
      <c r="K73" s="99">
        <v>1</v>
      </c>
      <c r="L73" s="98" t="s">
        <v>167</v>
      </c>
      <c r="M73" s="76" t="s">
        <v>196</v>
      </c>
      <c r="N73" s="182" t="s">
        <v>336</v>
      </c>
      <c r="O73" s="11">
        <v>46150</v>
      </c>
      <c r="P73" s="4"/>
      <c r="Q73" s="19">
        <v>46177</v>
      </c>
      <c r="R73" s="19">
        <v>46178</v>
      </c>
      <c r="S73" s="14"/>
    </row>
    <row r="74" spans="1:19" s="3" customFormat="1" ht="19.649999999999999" customHeight="1" x14ac:dyDescent="0.2">
      <c r="A74" s="63" t="s">
        <v>198</v>
      </c>
      <c r="B74" s="175" t="s">
        <v>332</v>
      </c>
      <c r="C74" s="1"/>
      <c r="D74" s="54">
        <f>+D73+1</f>
        <v>54</v>
      </c>
      <c r="E74" s="55" t="s">
        <v>32</v>
      </c>
      <c r="F74" s="4" t="s">
        <v>28</v>
      </c>
      <c r="G74" s="103" t="s">
        <v>194</v>
      </c>
      <c r="H74" s="102">
        <v>4</v>
      </c>
      <c r="I74" s="104">
        <v>4307</v>
      </c>
      <c r="J74" s="178">
        <f t="shared" si="2"/>
        <v>17228</v>
      </c>
      <c r="K74" s="99">
        <v>1</v>
      </c>
      <c r="L74" s="98" t="s">
        <v>169</v>
      </c>
      <c r="M74" s="76" t="s">
        <v>196</v>
      </c>
      <c r="N74" s="182" t="s">
        <v>336</v>
      </c>
      <c r="O74" s="11">
        <v>46150</v>
      </c>
      <c r="P74" s="4"/>
      <c r="Q74" s="19">
        <v>46177</v>
      </c>
      <c r="R74" s="19">
        <v>46178</v>
      </c>
      <c r="S74" s="14"/>
    </row>
    <row r="75" spans="1:19" s="3" customFormat="1" ht="19.649999999999999" customHeight="1" x14ac:dyDescent="0.2">
      <c r="A75" s="63" t="s">
        <v>197</v>
      </c>
      <c r="B75" s="175" t="s">
        <v>332</v>
      </c>
      <c r="C75" s="1"/>
      <c r="D75" s="54">
        <f t="shared" si="3"/>
        <v>55</v>
      </c>
      <c r="E75" s="55" t="s">
        <v>32</v>
      </c>
      <c r="F75" s="4" t="s">
        <v>28</v>
      </c>
      <c r="G75" s="103" t="s">
        <v>195</v>
      </c>
      <c r="H75" s="102">
        <v>4</v>
      </c>
      <c r="I75" s="104">
        <v>2733</v>
      </c>
      <c r="J75" s="178">
        <f t="shared" si="2"/>
        <v>10932</v>
      </c>
      <c r="K75" s="99">
        <v>2</v>
      </c>
      <c r="L75" s="98" t="s">
        <v>171</v>
      </c>
      <c r="M75" s="76" t="s">
        <v>196</v>
      </c>
      <c r="N75" s="182" t="s">
        <v>336</v>
      </c>
      <c r="O75" s="11">
        <v>46150</v>
      </c>
      <c r="P75" s="4"/>
      <c r="Q75" s="19">
        <v>46177</v>
      </c>
      <c r="R75" s="19">
        <v>46178</v>
      </c>
      <c r="S75" s="14"/>
    </row>
    <row r="76" spans="1:19" s="3" customFormat="1" ht="19.649999999999999" customHeight="1" x14ac:dyDescent="0.2">
      <c r="A76" s="63" t="s">
        <v>126</v>
      </c>
      <c r="B76" s="175" t="s">
        <v>332</v>
      </c>
      <c r="C76" s="1"/>
      <c r="D76" s="54">
        <f t="shared" si="3"/>
        <v>56</v>
      </c>
      <c r="E76" s="4" t="s">
        <v>120</v>
      </c>
      <c r="F76" s="4" t="s">
        <v>28</v>
      </c>
      <c r="G76" s="103" t="s">
        <v>190</v>
      </c>
      <c r="H76" s="102">
        <v>4</v>
      </c>
      <c r="I76" s="104">
        <v>2511</v>
      </c>
      <c r="J76" s="178">
        <f t="shared" si="2"/>
        <v>10044</v>
      </c>
      <c r="K76" s="99">
        <v>2</v>
      </c>
      <c r="L76" s="98" t="s">
        <v>170</v>
      </c>
      <c r="M76" s="76" t="s">
        <v>196</v>
      </c>
      <c r="N76" s="182" t="s">
        <v>336</v>
      </c>
      <c r="O76" s="11">
        <v>46150</v>
      </c>
      <c r="P76" s="4"/>
      <c r="Q76" s="19">
        <v>46177</v>
      </c>
      <c r="R76" s="19">
        <v>46178</v>
      </c>
      <c r="S76" s="14"/>
    </row>
    <row r="77" spans="1:19" s="3" customFormat="1" ht="19.649999999999999" customHeight="1" x14ac:dyDescent="0.2">
      <c r="A77" s="63" t="s">
        <v>126</v>
      </c>
      <c r="B77" s="175" t="s">
        <v>332</v>
      </c>
      <c r="C77" s="1"/>
      <c r="D77" s="54">
        <f>+D76+1</f>
        <v>57</v>
      </c>
      <c r="E77" s="55" t="s">
        <v>32</v>
      </c>
      <c r="F77" s="4" t="s">
        <v>28</v>
      </c>
      <c r="G77" s="103" t="s">
        <v>189</v>
      </c>
      <c r="H77" s="102">
        <v>4</v>
      </c>
      <c r="I77" s="104">
        <v>2511</v>
      </c>
      <c r="J77" s="178">
        <f t="shared" si="2"/>
        <v>10044</v>
      </c>
      <c r="K77" s="99">
        <v>2</v>
      </c>
      <c r="L77" s="98" t="s">
        <v>172</v>
      </c>
      <c r="M77" s="76" t="s">
        <v>196</v>
      </c>
      <c r="N77" s="182" t="s">
        <v>336</v>
      </c>
      <c r="O77" s="11">
        <v>46150</v>
      </c>
      <c r="P77" s="4"/>
      <c r="Q77" s="19">
        <v>46177</v>
      </c>
      <c r="R77" s="19">
        <v>46178</v>
      </c>
      <c r="S77" s="14"/>
    </row>
    <row r="78" spans="1:19" s="3" customFormat="1" ht="19.649999999999999" customHeight="1" x14ac:dyDescent="0.2">
      <c r="A78" s="64" t="s">
        <v>70</v>
      </c>
      <c r="B78" s="175" t="s">
        <v>332</v>
      </c>
      <c r="C78" s="1"/>
      <c r="D78" s="54">
        <f t="shared" si="3"/>
        <v>58</v>
      </c>
      <c r="E78" s="4" t="s">
        <v>28</v>
      </c>
      <c r="F78" s="4" t="s">
        <v>28</v>
      </c>
      <c r="G78" s="65" t="s">
        <v>34</v>
      </c>
      <c r="H78" s="66">
        <v>8</v>
      </c>
      <c r="I78" s="66">
        <v>47</v>
      </c>
      <c r="J78" s="67">
        <f t="shared" si="2"/>
        <v>376</v>
      </c>
      <c r="K78" s="56">
        <v>2</v>
      </c>
      <c r="L78" s="57" t="s">
        <v>173</v>
      </c>
      <c r="M78" s="76" t="s">
        <v>196</v>
      </c>
      <c r="N78" s="182" t="s">
        <v>336</v>
      </c>
      <c r="O78" s="11">
        <v>46150</v>
      </c>
      <c r="P78" s="4"/>
      <c r="Q78" s="19">
        <v>46177</v>
      </c>
      <c r="R78" s="19">
        <v>46178</v>
      </c>
      <c r="S78" s="14"/>
    </row>
    <row r="79" spans="1:19" s="3" customFormat="1" ht="19.649999999999999" customHeight="1" x14ac:dyDescent="0.2">
      <c r="A79" s="63" t="s">
        <v>126</v>
      </c>
      <c r="B79" s="175" t="s">
        <v>332</v>
      </c>
      <c r="C79" s="1"/>
      <c r="D79" s="54">
        <f t="shared" si="3"/>
        <v>59</v>
      </c>
      <c r="E79" s="55" t="s">
        <v>32</v>
      </c>
      <c r="F79" s="4" t="s">
        <v>28</v>
      </c>
      <c r="G79" s="103" t="s">
        <v>188</v>
      </c>
      <c r="H79" s="102">
        <v>2</v>
      </c>
      <c r="I79" s="104">
        <v>3108</v>
      </c>
      <c r="J79" s="67">
        <f t="shared" si="2"/>
        <v>6216</v>
      </c>
      <c r="K79" s="99">
        <v>1</v>
      </c>
      <c r="L79" s="98" t="s">
        <v>174</v>
      </c>
      <c r="M79" s="76" t="s">
        <v>196</v>
      </c>
      <c r="N79" s="182" t="s">
        <v>336</v>
      </c>
      <c r="O79" s="11">
        <v>46150</v>
      </c>
      <c r="P79" s="4"/>
      <c r="Q79" s="19">
        <v>46177</v>
      </c>
      <c r="R79" s="19">
        <v>46178</v>
      </c>
      <c r="S79" s="14"/>
    </row>
    <row r="80" spans="1:19" s="3" customFormat="1" ht="19.649999999999999" customHeight="1" x14ac:dyDescent="0.2">
      <c r="A80" s="64" t="s">
        <v>70</v>
      </c>
      <c r="B80" s="175" t="s">
        <v>332</v>
      </c>
      <c r="C80" s="1"/>
      <c r="D80" s="54">
        <f t="shared" si="3"/>
        <v>60</v>
      </c>
      <c r="E80" s="4" t="s">
        <v>120</v>
      </c>
      <c r="F80" s="4" t="s">
        <v>28</v>
      </c>
      <c r="G80" s="103" t="s">
        <v>175</v>
      </c>
      <c r="H80" s="102">
        <v>2</v>
      </c>
      <c r="I80" s="104">
        <v>83</v>
      </c>
      <c r="J80" s="67">
        <f t="shared" si="2"/>
        <v>166</v>
      </c>
      <c r="K80" s="99">
        <v>1</v>
      </c>
      <c r="L80" s="98" t="s">
        <v>176</v>
      </c>
      <c r="M80" s="76" t="s">
        <v>196</v>
      </c>
      <c r="N80" s="182" t="s">
        <v>336</v>
      </c>
      <c r="O80" s="11">
        <v>46150</v>
      </c>
      <c r="P80" s="4"/>
      <c r="Q80" s="19">
        <v>46177</v>
      </c>
      <c r="R80" s="19">
        <v>46178</v>
      </c>
      <c r="S80" s="14"/>
    </row>
    <row r="81" spans="1:19" s="3" customFormat="1" ht="19.649999999999999" customHeight="1" x14ac:dyDescent="0.2">
      <c r="A81" s="64" t="s">
        <v>70</v>
      </c>
      <c r="B81" s="175" t="s">
        <v>332</v>
      </c>
      <c r="C81" s="1"/>
      <c r="D81" s="54">
        <f t="shared" si="3"/>
        <v>61</v>
      </c>
      <c r="E81" s="97" t="s">
        <v>199</v>
      </c>
      <c r="F81" s="4" t="s">
        <v>28</v>
      </c>
      <c r="G81" s="103" t="s">
        <v>177</v>
      </c>
      <c r="H81" s="102">
        <v>4</v>
      </c>
      <c r="I81" s="104">
        <v>219</v>
      </c>
      <c r="J81" s="67">
        <f t="shared" si="2"/>
        <v>876</v>
      </c>
      <c r="K81" s="99">
        <v>2</v>
      </c>
      <c r="L81" s="98" t="s">
        <v>207</v>
      </c>
      <c r="M81" s="76" t="s">
        <v>196</v>
      </c>
      <c r="N81" s="182" t="s">
        <v>336</v>
      </c>
      <c r="O81" s="11">
        <v>46150</v>
      </c>
      <c r="P81" s="4"/>
      <c r="Q81" s="19">
        <v>46177</v>
      </c>
      <c r="R81" s="19">
        <v>46178</v>
      </c>
      <c r="S81" s="14"/>
    </row>
    <row r="82" spans="1:19" s="3" customFormat="1" ht="19.649999999999999" customHeight="1" x14ac:dyDescent="0.2">
      <c r="A82" s="64" t="s">
        <v>70</v>
      </c>
      <c r="B82" s="175" t="s">
        <v>332</v>
      </c>
      <c r="C82" s="1"/>
      <c r="D82" s="54">
        <f t="shared" si="3"/>
        <v>62</v>
      </c>
      <c r="E82" s="4" t="s">
        <v>120</v>
      </c>
      <c r="F82" s="4" t="s">
        <v>28</v>
      </c>
      <c r="G82" s="103" t="s">
        <v>178</v>
      </c>
      <c r="H82" s="102">
        <v>4</v>
      </c>
      <c r="I82" s="104">
        <v>51</v>
      </c>
      <c r="J82" s="67">
        <f t="shared" si="2"/>
        <v>204</v>
      </c>
      <c r="K82" s="99">
        <v>2</v>
      </c>
      <c r="L82" s="98" t="s">
        <v>206</v>
      </c>
      <c r="M82" s="76" t="s">
        <v>196</v>
      </c>
      <c r="N82" s="182" t="s">
        <v>336</v>
      </c>
      <c r="O82" s="11">
        <v>46150</v>
      </c>
      <c r="P82" s="4"/>
      <c r="Q82" s="19">
        <v>46177</v>
      </c>
      <c r="R82" s="19">
        <v>46178</v>
      </c>
      <c r="S82" s="14"/>
    </row>
    <row r="83" spans="1:19" s="3" customFormat="1" ht="19.649999999999999" customHeight="1" x14ac:dyDescent="0.2">
      <c r="A83" s="64" t="s">
        <v>70</v>
      </c>
      <c r="B83" s="175" t="s">
        <v>332</v>
      </c>
      <c r="C83" s="1"/>
      <c r="D83" s="54">
        <f t="shared" si="3"/>
        <v>63</v>
      </c>
      <c r="E83" s="4" t="s">
        <v>120</v>
      </c>
      <c r="F83" s="4" t="s">
        <v>28</v>
      </c>
      <c r="G83" s="103" t="s">
        <v>179</v>
      </c>
      <c r="H83" s="102">
        <v>24</v>
      </c>
      <c r="I83" s="104">
        <v>37</v>
      </c>
      <c r="J83" s="67">
        <f t="shared" si="2"/>
        <v>888</v>
      </c>
      <c r="K83" s="99">
        <v>6</v>
      </c>
      <c r="L83" s="98" t="s">
        <v>211</v>
      </c>
      <c r="M83" s="76" t="s">
        <v>196</v>
      </c>
      <c r="N83" s="182" t="s">
        <v>336</v>
      </c>
      <c r="O83" s="11">
        <v>46150</v>
      </c>
      <c r="P83" s="4"/>
      <c r="Q83" s="19">
        <v>46177</v>
      </c>
      <c r="R83" s="19">
        <v>46178</v>
      </c>
      <c r="S83" s="14"/>
    </row>
    <row r="84" spans="1:19" s="3" customFormat="1" ht="19.649999999999999" customHeight="1" x14ac:dyDescent="0.2">
      <c r="A84" s="64" t="s">
        <v>70</v>
      </c>
      <c r="B84" s="175" t="s">
        <v>332</v>
      </c>
      <c r="C84" s="1"/>
      <c r="D84" s="54">
        <f t="shared" si="3"/>
        <v>64</v>
      </c>
      <c r="E84" s="4" t="s">
        <v>120</v>
      </c>
      <c r="F84" s="4" t="s">
        <v>28</v>
      </c>
      <c r="G84" s="103" t="s">
        <v>180</v>
      </c>
      <c r="H84" s="102">
        <v>2</v>
      </c>
      <c r="I84" s="104">
        <v>32</v>
      </c>
      <c r="J84" s="67">
        <f t="shared" si="2"/>
        <v>64</v>
      </c>
      <c r="K84" s="99">
        <v>1</v>
      </c>
      <c r="L84" s="98" t="s">
        <v>181</v>
      </c>
      <c r="M84" s="76" t="s">
        <v>196</v>
      </c>
      <c r="N84" s="182" t="s">
        <v>336</v>
      </c>
      <c r="O84" s="11">
        <v>46150</v>
      </c>
      <c r="P84" s="4"/>
      <c r="Q84" s="19">
        <v>46177</v>
      </c>
      <c r="R84" s="19">
        <v>46178</v>
      </c>
      <c r="S84" s="14"/>
    </row>
    <row r="85" spans="1:19" s="3" customFormat="1" ht="19.649999999999999" customHeight="1" x14ac:dyDescent="0.2">
      <c r="A85" s="63" t="s">
        <v>126</v>
      </c>
      <c r="B85" s="175" t="s">
        <v>332</v>
      </c>
      <c r="C85" s="1"/>
      <c r="D85" s="54">
        <f t="shared" si="3"/>
        <v>65</v>
      </c>
      <c r="E85" s="55" t="s">
        <v>32</v>
      </c>
      <c r="F85" s="4" t="s">
        <v>28</v>
      </c>
      <c r="G85" s="103" t="s">
        <v>187</v>
      </c>
      <c r="H85" s="102">
        <v>2</v>
      </c>
      <c r="I85" s="104">
        <v>7581</v>
      </c>
      <c r="J85" s="67">
        <f t="shared" si="2"/>
        <v>15162</v>
      </c>
      <c r="K85" s="99">
        <v>1</v>
      </c>
      <c r="L85" s="98" t="s">
        <v>182</v>
      </c>
      <c r="M85" s="76" t="s">
        <v>196</v>
      </c>
      <c r="N85" s="182" t="s">
        <v>336</v>
      </c>
      <c r="O85" s="11">
        <v>46150</v>
      </c>
      <c r="P85" s="4"/>
      <c r="Q85" s="19">
        <v>46177</v>
      </c>
      <c r="R85" s="19">
        <v>46178</v>
      </c>
      <c r="S85" s="14"/>
    </row>
    <row r="86" spans="1:19" s="3" customFormat="1" ht="19.649999999999999" customHeight="1" x14ac:dyDescent="0.2">
      <c r="A86" s="64" t="s">
        <v>70</v>
      </c>
      <c r="B86" s="175" t="s">
        <v>332</v>
      </c>
      <c r="C86" s="1"/>
      <c r="D86" s="54">
        <f>+D85+1</f>
        <v>66</v>
      </c>
      <c r="E86" s="4" t="s">
        <v>120</v>
      </c>
      <c r="F86" s="4" t="s">
        <v>28</v>
      </c>
      <c r="G86" s="103" t="s">
        <v>183</v>
      </c>
      <c r="H86" s="102">
        <v>8</v>
      </c>
      <c r="I86" s="104">
        <v>281</v>
      </c>
      <c r="J86" s="67">
        <f t="shared" si="2"/>
        <v>2248</v>
      </c>
      <c r="K86" s="99">
        <v>4</v>
      </c>
      <c r="L86" s="98" t="s">
        <v>205</v>
      </c>
      <c r="M86" s="76" t="s">
        <v>196</v>
      </c>
      <c r="N86" s="182" t="s">
        <v>336</v>
      </c>
      <c r="O86" s="11">
        <v>46150</v>
      </c>
      <c r="P86" s="4"/>
      <c r="Q86" s="19">
        <v>46177</v>
      </c>
      <c r="R86" s="19">
        <v>46178</v>
      </c>
      <c r="S86" s="14"/>
    </row>
    <row r="87" spans="1:19" s="3" customFormat="1" ht="19.649999999999999" customHeight="1" x14ac:dyDescent="0.2">
      <c r="A87" s="63" t="s">
        <v>126</v>
      </c>
      <c r="B87" s="175" t="s">
        <v>332</v>
      </c>
      <c r="C87" s="1"/>
      <c r="D87" s="54">
        <f t="shared" si="3"/>
        <v>67</v>
      </c>
      <c r="E87" s="55" t="s">
        <v>32</v>
      </c>
      <c r="F87" s="4" t="s">
        <v>28</v>
      </c>
      <c r="G87" s="103" t="s">
        <v>186</v>
      </c>
      <c r="H87" s="102">
        <v>2</v>
      </c>
      <c r="I87" s="104">
        <v>6618</v>
      </c>
      <c r="J87" s="67">
        <f t="shared" si="2"/>
        <v>13236</v>
      </c>
      <c r="K87" s="99">
        <v>1</v>
      </c>
      <c r="L87" s="98" t="s">
        <v>184</v>
      </c>
      <c r="M87" s="76" t="s">
        <v>196</v>
      </c>
      <c r="N87" s="182" t="s">
        <v>336</v>
      </c>
      <c r="O87" s="11">
        <v>46150</v>
      </c>
      <c r="P87" s="4"/>
      <c r="Q87" s="19">
        <v>46177</v>
      </c>
      <c r="R87" s="19">
        <v>46178</v>
      </c>
      <c r="S87" s="14"/>
    </row>
    <row r="88" spans="1:19" s="3" customFormat="1" ht="19.649999999999999" customHeight="1" x14ac:dyDescent="0.2">
      <c r="A88" s="64" t="s">
        <v>70</v>
      </c>
      <c r="B88" s="175" t="s">
        <v>332</v>
      </c>
      <c r="C88" s="1"/>
      <c r="D88" s="54">
        <f t="shared" si="3"/>
        <v>68</v>
      </c>
      <c r="E88" s="4" t="s">
        <v>120</v>
      </c>
      <c r="F88" s="4" t="s">
        <v>28</v>
      </c>
      <c r="G88" s="103" t="s">
        <v>185</v>
      </c>
      <c r="H88" s="102">
        <v>20</v>
      </c>
      <c r="I88" s="104">
        <v>54</v>
      </c>
      <c r="J88" s="67">
        <f t="shared" si="2"/>
        <v>1080</v>
      </c>
      <c r="K88" s="99">
        <v>10</v>
      </c>
      <c r="L88" s="98" t="s">
        <v>204</v>
      </c>
      <c r="M88" s="76" t="s">
        <v>196</v>
      </c>
      <c r="N88" s="182" t="s">
        <v>336</v>
      </c>
      <c r="O88" s="11">
        <v>46150</v>
      </c>
      <c r="P88" s="4"/>
      <c r="Q88" s="19">
        <v>46177</v>
      </c>
      <c r="R88" s="19">
        <v>46178</v>
      </c>
      <c r="S88" s="14"/>
    </row>
    <row r="89" spans="1:19" s="3" customFormat="1" ht="19.649999999999999" customHeight="1" x14ac:dyDescent="0.2">
      <c r="A89" s="63" t="s">
        <v>70</v>
      </c>
      <c r="B89" s="175" t="s">
        <v>332</v>
      </c>
      <c r="C89" s="1"/>
      <c r="D89" s="54">
        <f>+D88+1</f>
        <v>69</v>
      </c>
      <c r="E89" s="79" t="s">
        <v>28</v>
      </c>
      <c r="F89" s="79" t="s">
        <v>28</v>
      </c>
      <c r="G89" s="106" t="s">
        <v>123</v>
      </c>
      <c r="H89" s="107">
        <v>2</v>
      </c>
      <c r="I89" s="167">
        <v>900</v>
      </c>
      <c r="J89" s="167">
        <f>H89*I89</f>
        <v>1800</v>
      </c>
      <c r="K89" s="80">
        <v>1</v>
      </c>
      <c r="L89" s="81" t="s">
        <v>124</v>
      </c>
      <c r="M89" s="82"/>
      <c r="N89" s="182" t="s">
        <v>336</v>
      </c>
      <c r="O89" s="11">
        <v>46150</v>
      </c>
      <c r="P89" s="4"/>
      <c r="Q89" s="19">
        <v>46177</v>
      </c>
      <c r="R89" s="19">
        <v>46178</v>
      </c>
      <c r="S89" s="14"/>
    </row>
    <row r="90" spans="1:19" s="3" customFormat="1" ht="19.649999999999999" customHeight="1" x14ac:dyDescent="0.2">
      <c r="A90" s="63" t="s">
        <v>70</v>
      </c>
      <c r="B90" s="175" t="s">
        <v>332</v>
      </c>
      <c r="C90" s="1"/>
      <c r="D90" s="54">
        <f t="shared" ref="D90" si="4">+D89+1</f>
        <v>70</v>
      </c>
      <c r="E90" s="79" t="s">
        <v>28</v>
      </c>
      <c r="F90" s="79" t="s">
        <v>28</v>
      </c>
      <c r="G90" s="106" t="s">
        <v>125</v>
      </c>
      <c r="H90" s="107">
        <v>2</v>
      </c>
      <c r="I90" s="167">
        <v>1475</v>
      </c>
      <c r="J90" s="167">
        <f>H90*I90</f>
        <v>2950</v>
      </c>
      <c r="K90" s="80">
        <v>1</v>
      </c>
      <c r="L90" s="81" t="s">
        <v>124</v>
      </c>
      <c r="M90" s="82"/>
      <c r="N90" s="182" t="s">
        <v>336</v>
      </c>
      <c r="O90" s="11">
        <v>46150</v>
      </c>
      <c r="P90" s="4"/>
      <c r="Q90" s="19">
        <v>46177</v>
      </c>
      <c r="R90" s="19">
        <v>46178</v>
      </c>
      <c r="S90" s="14"/>
    </row>
    <row r="91" spans="1:19" s="3" customFormat="1" ht="19.649999999999999" customHeight="1" x14ac:dyDescent="0.2">
      <c r="B91" s="174"/>
      <c r="C91" s="1"/>
      <c r="D91" s="4"/>
      <c r="E91" s="4"/>
      <c r="F91" s="4"/>
      <c r="G91" s="35"/>
      <c r="H91" s="1"/>
      <c r="I91" s="43"/>
      <c r="J91" s="43"/>
      <c r="K91" s="2"/>
      <c r="L91" s="24"/>
      <c r="M91" s="22"/>
      <c r="N91" s="4"/>
      <c r="O91" s="11"/>
      <c r="P91" s="4"/>
      <c r="Q91" s="19"/>
      <c r="R91" s="19"/>
      <c r="S91" s="14"/>
    </row>
    <row r="92" spans="1:19" s="3" customFormat="1" ht="19.649999999999999" customHeight="1" x14ac:dyDescent="0.2">
      <c r="B92" s="174"/>
      <c r="C92" s="1"/>
      <c r="D92" s="4"/>
      <c r="E92" s="4"/>
      <c r="F92" s="4"/>
      <c r="G92" s="35"/>
      <c r="H92" s="1"/>
      <c r="I92" s="43"/>
      <c r="J92" s="43"/>
      <c r="K92" s="2"/>
      <c r="L92" s="24"/>
      <c r="M92" s="22"/>
      <c r="N92" s="4"/>
      <c r="O92" s="11"/>
      <c r="P92" s="4"/>
      <c r="Q92" s="19"/>
      <c r="R92" s="19"/>
      <c r="S92" s="14"/>
    </row>
    <row r="93" spans="1:19" s="3" customFormat="1" ht="19.649999999999999" customHeight="1" x14ac:dyDescent="0.2">
      <c r="B93" s="174"/>
      <c r="C93" s="1"/>
      <c r="D93" s="4"/>
      <c r="E93" s="4"/>
      <c r="F93" s="4"/>
      <c r="G93" s="189">
        <f>SUM(J64:J92)</f>
        <v>163026</v>
      </c>
      <c r="H93" s="190"/>
      <c r="I93" s="190"/>
      <c r="J93" s="191"/>
      <c r="K93" s="2"/>
      <c r="L93" s="24"/>
      <c r="M93" s="22"/>
      <c r="N93" s="4"/>
      <c r="O93" s="11"/>
      <c r="P93" s="4"/>
      <c r="Q93" s="19"/>
      <c r="R93" s="19"/>
      <c r="S93" s="14"/>
    </row>
    <row r="94" spans="1:19" s="3" customFormat="1" ht="19.649999999999999" customHeight="1" x14ac:dyDescent="0.2">
      <c r="B94" s="174"/>
      <c r="C94" s="1"/>
      <c r="D94" s="4"/>
      <c r="E94" s="4"/>
      <c r="F94" s="4"/>
      <c r="G94" s="35"/>
      <c r="H94" s="1"/>
      <c r="I94" s="43"/>
      <c r="J94" s="43"/>
      <c r="K94" s="2"/>
      <c r="L94" s="24"/>
      <c r="M94" s="22"/>
      <c r="N94" s="4"/>
      <c r="O94" s="11"/>
      <c r="P94" s="4"/>
      <c r="Q94" s="19"/>
      <c r="R94" s="19"/>
      <c r="S94" s="14"/>
    </row>
    <row r="95" spans="1:19" s="3" customFormat="1" ht="19.649999999999999" customHeight="1" x14ac:dyDescent="0.2">
      <c r="B95" s="174"/>
      <c r="C95" s="1"/>
      <c r="D95" s="4"/>
      <c r="E95" s="4"/>
      <c r="F95" s="4"/>
      <c r="G95" s="35"/>
      <c r="H95" s="1"/>
      <c r="I95" s="43"/>
      <c r="J95" s="43"/>
      <c r="K95" s="2"/>
      <c r="L95" s="24"/>
      <c r="M95" s="22"/>
      <c r="N95" s="4"/>
      <c r="O95" s="11"/>
      <c r="P95" s="4"/>
      <c r="Q95" s="19"/>
      <c r="R95" s="19"/>
      <c r="S95" s="14"/>
    </row>
    <row r="96" spans="1:19" s="3" customFormat="1" ht="19.649999999999999" customHeight="1" x14ac:dyDescent="0.2">
      <c r="B96" s="174"/>
      <c r="C96" s="1"/>
      <c r="D96" s="4"/>
      <c r="E96" s="4"/>
      <c r="F96" s="4"/>
      <c r="G96" s="35"/>
      <c r="H96" s="1"/>
      <c r="I96" s="43"/>
      <c r="J96" s="43"/>
      <c r="K96" s="2"/>
      <c r="L96" s="24"/>
      <c r="M96" s="22"/>
      <c r="N96" s="4"/>
      <c r="O96" s="11"/>
      <c r="P96" s="4"/>
      <c r="Q96" s="19"/>
      <c r="R96" s="19"/>
      <c r="S96" s="14"/>
    </row>
    <row r="97" spans="1:19" s="3" customFormat="1" ht="19.649999999999999" customHeight="1" x14ac:dyDescent="0.2">
      <c r="B97" s="174"/>
      <c r="C97" s="1"/>
      <c r="D97" s="83"/>
      <c r="E97" s="192" t="s">
        <v>127</v>
      </c>
      <c r="F97" s="193"/>
      <c r="G97" s="194"/>
      <c r="H97" s="24"/>
      <c r="I97" s="1"/>
      <c r="J97" s="2"/>
      <c r="K97" s="84"/>
      <c r="L97" s="1"/>
      <c r="M97" s="22"/>
      <c r="N97" s="4"/>
      <c r="O97" s="11"/>
      <c r="P97" s="4"/>
      <c r="Q97" s="19"/>
      <c r="R97" s="19"/>
      <c r="S97" s="14"/>
    </row>
    <row r="98" spans="1:19" s="3" customFormat="1" ht="19.649999999999999" customHeight="1" x14ac:dyDescent="0.2">
      <c r="A98" s="64" t="s">
        <v>256</v>
      </c>
      <c r="B98" s="175" t="s">
        <v>333</v>
      </c>
      <c r="C98" s="1"/>
      <c r="D98" s="85">
        <f>+D90+1</f>
        <v>71</v>
      </c>
      <c r="E98" s="86" t="s">
        <v>128</v>
      </c>
      <c r="F98" s="86" t="s">
        <v>128</v>
      </c>
      <c r="G98" s="115" t="s">
        <v>129</v>
      </c>
      <c r="H98" s="116">
        <v>8</v>
      </c>
      <c r="I98" s="121">
        <v>3023</v>
      </c>
      <c r="J98" s="179">
        <f t="shared" ref="J98:J126" si="5">H98*I98</f>
        <v>24184</v>
      </c>
      <c r="K98" s="2">
        <v>4</v>
      </c>
      <c r="L98" s="87" t="s">
        <v>130</v>
      </c>
      <c r="M98" s="22"/>
      <c r="N98" s="182" t="s">
        <v>336</v>
      </c>
      <c r="O98" s="11">
        <v>46150</v>
      </c>
      <c r="P98" s="4"/>
      <c r="Q98" s="19">
        <v>46177</v>
      </c>
      <c r="R98" s="19">
        <v>46178</v>
      </c>
      <c r="S98" s="14"/>
    </row>
    <row r="99" spans="1:19" s="3" customFormat="1" ht="19.649999999999999" customHeight="1" x14ac:dyDescent="0.2">
      <c r="A99" s="64" t="s">
        <v>70</v>
      </c>
      <c r="B99" s="175" t="s">
        <v>333</v>
      </c>
      <c r="C99" s="1"/>
      <c r="D99" s="85">
        <f t="shared" ref="D99:D126" si="6">+D98+1</f>
        <v>72</v>
      </c>
      <c r="E99" s="79" t="s">
        <v>128</v>
      </c>
      <c r="F99" s="79" t="s">
        <v>128</v>
      </c>
      <c r="G99" s="119" t="s">
        <v>264</v>
      </c>
      <c r="H99" s="120">
        <v>16</v>
      </c>
      <c r="I99" s="122">
        <v>13</v>
      </c>
      <c r="J99" s="179">
        <f t="shared" si="5"/>
        <v>208</v>
      </c>
      <c r="K99" s="88">
        <v>8</v>
      </c>
      <c r="L99" s="78" t="s">
        <v>265</v>
      </c>
      <c r="M99" s="22"/>
      <c r="N99" s="182" t="s">
        <v>336</v>
      </c>
      <c r="O99" s="11">
        <v>46150</v>
      </c>
      <c r="P99" s="4"/>
      <c r="Q99" s="19">
        <v>46177</v>
      </c>
      <c r="R99" s="19">
        <v>46178</v>
      </c>
      <c r="S99" s="14"/>
    </row>
    <row r="100" spans="1:19" s="3" customFormat="1" ht="19.649999999999999" customHeight="1" x14ac:dyDescent="0.2">
      <c r="A100" s="64" t="s">
        <v>70</v>
      </c>
      <c r="B100" s="175" t="s">
        <v>333</v>
      </c>
      <c r="C100" s="1"/>
      <c r="D100" s="85">
        <f t="shared" si="6"/>
        <v>73</v>
      </c>
      <c r="E100" s="79" t="s">
        <v>128</v>
      </c>
      <c r="F100" s="79" t="s">
        <v>128</v>
      </c>
      <c r="G100" s="115" t="s">
        <v>240</v>
      </c>
      <c r="H100" s="116">
        <v>12</v>
      </c>
      <c r="I100" s="121">
        <v>132</v>
      </c>
      <c r="J100" s="179">
        <f t="shared" si="5"/>
        <v>1584</v>
      </c>
      <c r="K100" s="2">
        <v>6</v>
      </c>
      <c r="L100" s="87" t="s">
        <v>258</v>
      </c>
      <c r="M100" s="22"/>
      <c r="N100" s="182" t="s">
        <v>336</v>
      </c>
      <c r="O100" s="11">
        <v>46150</v>
      </c>
      <c r="P100" s="4"/>
      <c r="Q100" s="19">
        <v>46177</v>
      </c>
      <c r="R100" s="19">
        <v>46178</v>
      </c>
      <c r="S100" s="14"/>
    </row>
    <row r="101" spans="1:19" s="3" customFormat="1" ht="19.649999999999999" customHeight="1" x14ac:dyDescent="0.2">
      <c r="A101" s="64" t="s">
        <v>71</v>
      </c>
      <c r="B101" s="175" t="s">
        <v>333</v>
      </c>
      <c r="C101" s="1"/>
      <c r="D101" s="85">
        <f t="shared" si="6"/>
        <v>74</v>
      </c>
      <c r="E101" s="79" t="s">
        <v>128</v>
      </c>
      <c r="F101" s="79" t="s">
        <v>128</v>
      </c>
      <c r="G101" s="115" t="s">
        <v>241</v>
      </c>
      <c r="H101" s="116">
        <v>8</v>
      </c>
      <c r="I101" s="121">
        <v>969</v>
      </c>
      <c r="J101" s="179">
        <f t="shared" si="5"/>
        <v>7752</v>
      </c>
      <c r="K101" s="2">
        <v>4</v>
      </c>
      <c r="L101" s="87" t="s">
        <v>259</v>
      </c>
      <c r="M101" s="22"/>
      <c r="N101" s="182" t="s">
        <v>336</v>
      </c>
      <c r="O101" s="11">
        <v>46150</v>
      </c>
      <c r="P101" s="4"/>
      <c r="Q101" s="19">
        <v>46177</v>
      </c>
      <c r="R101" s="19">
        <v>46178</v>
      </c>
      <c r="S101" s="14"/>
    </row>
    <row r="102" spans="1:19" s="3" customFormat="1" ht="19.649999999999999" customHeight="1" x14ac:dyDescent="0.2">
      <c r="A102" s="64" t="s">
        <v>70</v>
      </c>
      <c r="B102" s="175" t="s">
        <v>333</v>
      </c>
      <c r="C102" s="1"/>
      <c r="D102" s="85">
        <f t="shared" si="6"/>
        <v>75</v>
      </c>
      <c r="E102" s="79" t="s">
        <v>128</v>
      </c>
      <c r="F102" s="79" t="s">
        <v>128</v>
      </c>
      <c r="G102" s="117" t="s">
        <v>132</v>
      </c>
      <c r="H102" s="118">
        <v>16</v>
      </c>
      <c r="I102" s="71">
        <v>53</v>
      </c>
      <c r="J102" s="179">
        <f t="shared" si="5"/>
        <v>848</v>
      </c>
      <c r="K102" s="2">
        <v>8</v>
      </c>
      <c r="L102" s="87" t="s">
        <v>131</v>
      </c>
      <c r="M102" s="22"/>
      <c r="N102" s="182" t="s">
        <v>336</v>
      </c>
      <c r="O102" s="11">
        <v>46150</v>
      </c>
      <c r="P102" s="4"/>
      <c r="Q102" s="19">
        <v>46177</v>
      </c>
      <c r="R102" s="19">
        <v>46178</v>
      </c>
      <c r="S102" s="14"/>
    </row>
    <row r="103" spans="1:19" s="3" customFormat="1" ht="19.649999999999999" customHeight="1" x14ac:dyDescent="0.2">
      <c r="A103" s="64" t="s">
        <v>159</v>
      </c>
      <c r="B103" s="175" t="s">
        <v>333</v>
      </c>
      <c r="C103" s="1"/>
      <c r="D103" s="85">
        <f t="shared" si="6"/>
        <v>76</v>
      </c>
      <c r="E103" s="79" t="s">
        <v>133</v>
      </c>
      <c r="F103" s="79" t="s">
        <v>128</v>
      </c>
      <c r="G103" s="117" t="s">
        <v>242</v>
      </c>
      <c r="H103" s="118">
        <v>8</v>
      </c>
      <c r="I103" s="71">
        <v>892</v>
      </c>
      <c r="J103" s="179">
        <f t="shared" si="5"/>
        <v>7136</v>
      </c>
      <c r="K103" s="2">
        <v>4</v>
      </c>
      <c r="L103" s="87" t="s">
        <v>134</v>
      </c>
      <c r="M103" s="22"/>
      <c r="N103" s="182" t="s">
        <v>336</v>
      </c>
      <c r="O103" s="11">
        <v>46150</v>
      </c>
      <c r="P103" s="4"/>
      <c r="Q103" s="19">
        <v>46177</v>
      </c>
      <c r="R103" s="19">
        <v>46178</v>
      </c>
      <c r="S103" s="14"/>
    </row>
    <row r="104" spans="1:19" s="3" customFormat="1" ht="19.649999999999999" customHeight="1" x14ac:dyDescent="0.2">
      <c r="A104" s="64" t="s">
        <v>70</v>
      </c>
      <c r="B104" s="175" t="s">
        <v>333</v>
      </c>
      <c r="C104" s="1"/>
      <c r="D104" s="85">
        <f t="shared" si="6"/>
        <v>77</v>
      </c>
      <c r="E104" s="79" t="s">
        <v>128</v>
      </c>
      <c r="F104" s="79" t="s">
        <v>128</v>
      </c>
      <c r="G104" s="117" t="s">
        <v>135</v>
      </c>
      <c r="H104" s="118">
        <v>12</v>
      </c>
      <c r="I104" s="71">
        <v>19</v>
      </c>
      <c r="J104" s="179">
        <f t="shared" si="5"/>
        <v>228</v>
      </c>
      <c r="K104" s="2">
        <v>6</v>
      </c>
      <c r="L104" s="23" t="s">
        <v>136</v>
      </c>
      <c r="M104" s="22"/>
      <c r="N104" s="182" t="s">
        <v>336</v>
      </c>
      <c r="O104" s="11">
        <v>46150</v>
      </c>
      <c r="P104" s="4"/>
      <c r="Q104" s="19">
        <v>46177</v>
      </c>
      <c r="R104" s="19">
        <v>46178</v>
      </c>
      <c r="S104" s="14"/>
    </row>
    <row r="105" spans="1:19" s="3" customFormat="1" ht="19.649999999999999" customHeight="1" x14ac:dyDescent="0.2">
      <c r="A105" s="64" t="s">
        <v>71</v>
      </c>
      <c r="B105" s="175" t="s">
        <v>333</v>
      </c>
      <c r="C105" s="1"/>
      <c r="D105" s="85">
        <f t="shared" si="6"/>
        <v>78</v>
      </c>
      <c r="E105" s="79" t="s">
        <v>128</v>
      </c>
      <c r="F105" s="79" t="s">
        <v>128</v>
      </c>
      <c r="G105" s="117" t="s">
        <v>243</v>
      </c>
      <c r="H105" s="118">
        <v>4</v>
      </c>
      <c r="I105" s="71">
        <v>1228</v>
      </c>
      <c r="J105" s="179">
        <f t="shared" si="5"/>
        <v>4912</v>
      </c>
      <c r="K105" s="2">
        <v>2</v>
      </c>
      <c r="L105" s="23" t="s">
        <v>244</v>
      </c>
      <c r="M105" s="22"/>
      <c r="N105" s="182" t="s">
        <v>336</v>
      </c>
      <c r="O105" s="11">
        <v>46150</v>
      </c>
      <c r="P105" s="4"/>
      <c r="Q105" s="19">
        <v>46177</v>
      </c>
      <c r="R105" s="19">
        <v>46178</v>
      </c>
      <c r="S105" s="14"/>
    </row>
    <row r="106" spans="1:19" s="3" customFormat="1" ht="19.649999999999999" customHeight="1" x14ac:dyDescent="0.2">
      <c r="A106" s="64" t="s">
        <v>159</v>
      </c>
      <c r="B106" s="175" t="s">
        <v>333</v>
      </c>
      <c r="C106" s="1"/>
      <c r="D106" s="85">
        <f t="shared" si="6"/>
        <v>79</v>
      </c>
      <c r="E106" s="79" t="s">
        <v>128</v>
      </c>
      <c r="F106" s="79" t="s">
        <v>128</v>
      </c>
      <c r="G106" s="117" t="s">
        <v>138</v>
      </c>
      <c r="H106" s="118">
        <v>12</v>
      </c>
      <c r="I106" s="71">
        <v>748</v>
      </c>
      <c r="J106" s="179">
        <f t="shared" si="5"/>
        <v>8976</v>
      </c>
      <c r="K106" s="2">
        <v>6</v>
      </c>
      <c r="L106" s="23" t="s">
        <v>139</v>
      </c>
      <c r="M106" s="22"/>
      <c r="N106" s="182" t="s">
        <v>336</v>
      </c>
      <c r="O106" s="11">
        <v>46150</v>
      </c>
      <c r="P106" s="4"/>
      <c r="Q106" s="19">
        <v>46177</v>
      </c>
      <c r="R106" s="19">
        <v>46178</v>
      </c>
      <c r="S106" s="14"/>
    </row>
    <row r="107" spans="1:19" s="3" customFormat="1" ht="19.649999999999999" customHeight="1" x14ac:dyDescent="0.2">
      <c r="A107" s="64" t="s">
        <v>70</v>
      </c>
      <c r="B107" s="175" t="s">
        <v>333</v>
      </c>
      <c r="C107" s="1"/>
      <c r="D107" s="85">
        <f t="shared" si="6"/>
        <v>80</v>
      </c>
      <c r="E107" s="79" t="s">
        <v>128</v>
      </c>
      <c r="F107" s="79" t="s">
        <v>128</v>
      </c>
      <c r="G107" s="117" t="s">
        <v>140</v>
      </c>
      <c r="H107" s="118">
        <v>12</v>
      </c>
      <c r="I107" s="71">
        <v>14</v>
      </c>
      <c r="J107" s="179">
        <f t="shared" si="5"/>
        <v>168</v>
      </c>
      <c r="K107" s="2">
        <v>6</v>
      </c>
      <c r="L107" s="87" t="s">
        <v>141</v>
      </c>
      <c r="M107" s="22"/>
      <c r="N107" s="182" t="s">
        <v>336</v>
      </c>
      <c r="O107" s="11">
        <v>46150</v>
      </c>
      <c r="P107" s="4"/>
      <c r="Q107" s="19">
        <v>46177</v>
      </c>
      <c r="R107" s="19">
        <v>46178</v>
      </c>
      <c r="S107" s="14"/>
    </row>
    <row r="108" spans="1:19" s="3" customFormat="1" ht="19.649999999999999" customHeight="1" x14ac:dyDescent="0.2">
      <c r="A108" s="64" t="s">
        <v>70</v>
      </c>
      <c r="B108" s="175" t="s">
        <v>333</v>
      </c>
      <c r="C108" s="1"/>
      <c r="D108" s="85">
        <f t="shared" si="6"/>
        <v>81</v>
      </c>
      <c r="E108" s="79" t="s">
        <v>128</v>
      </c>
      <c r="F108" s="79" t="s">
        <v>128</v>
      </c>
      <c r="G108" s="119" t="s">
        <v>142</v>
      </c>
      <c r="H108" s="120">
        <v>12</v>
      </c>
      <c r="I108" s="122">
        <v>15</v>
      </c>
      <c r="J108" s="179">
        <f t="shared" si="5"/>
        <v>180</v>
      </c>
      <c r="K108" s="88">
        <v>6</v>
      </c>
      <c r="L108" s="78" t="s">
        <v>245</v>
      </c>
      <c r="M108" s="22"/>
      <c r="N108" s="182" t="s">
        <v>336</v>
      </c>
      <c r="O108" s="11">
        <v>46150</v>
      </c>
      <c r="P108" s="4"/>
      <c r="Q108" s="19">
        <v>46177</v>
      </c>
      <c r="R108" s="19">
        <v>46178</v>
      </c>
      <c r="S108" s="14"/>
    </row>
    <row r="109" spans="1:19" s="3" customFormat="1" ht="19.649999999999999" customHeight="1" x14ac:dyDescent="0.2">
      <c r="A109" s="64" t="s">
        <v>70</v>
      </c>
      <c r="B109" s="175" t="s">
        <v>333</v>
      </c>
      <c r="C109" s="1"/>
      <c r="D109" s="85">
        <f t="shared" si="6"/>
        <v>82</v>
      </c>
      <c r="E109" s="79" t="s">
        <v>128</v>
      </c>
      <c r="F109" s="79" t="s">
        <v>128</v>
      </c>
      <c r="G109" s="119" t="s">
        <v>254</v>
      </c>
      <c r="H109" s="120">
        <v>8</v>
      </c>
      <c r="I109" s="122">
        <v>152</v>
      </c>
      <c r="J109" s="179">
        <f t="shared" si="5"/>
        <v>1216</v>
      </c>
      <c r="K109" s="88">
        <v>4</v>
      </c>
      <c r="L109" s="78" t="s">
        <v>255</v>
      </c>
      <c r="M109" s="22"/>
      <c r="N109" s="182" t="s">
        <v>336</v>
      </c>
      <c r="O109" s="11">
        <v>46150</v>
      </c>
      <c r="P109" s="4"/>
      <c r="Q109" s="19">
        <v>46177</v>
      </c>
      <c r="R109" s="19">
        <v>46178</v>
      </c>
      <c r="S109" s="14"/>
    </row>
    <row r="110" spans="1:19" s="3" customFormat="1" ht="19.649999999999999" customHeight="1" x14ac:dyDescent="0.2">
      <c r="A110" s="64" t="s">
        <v>160</v>
      </c>
      <c r="B110" s="175" t="s">
        <v>333</v>
      </c>
      <c r="C110" s="1"/>
      <c r="D110" s="85">
        <f t="shared" si="6"/>
        <v>83</v>
      </c>
      <c r="E110" s="79" t="s">
        <v>128</v>
      </c>
      <c r="F110" s="79" t="s">
        <v>128</v>
      </c>
      <c r="G110" s="114" t="s">
        <v>143</v>
      </c>
      <c r="H110" s="118">
        <v>8</v>
      </c>
      <c r="I110" s="71">
        <v>3061</v>
      </c>
      <c r="J110" s="179">
        <f t="shared" si="5"/>
        <v>24488</v>
      </c>
      <c r="K110" s="2">
        <v>4</v>
      </c>
      <c r="L110" s="23" t="s">
        <v>144</v>
      </c>
      <c r="M110" s="22"/>
      <c r="N110" s="182" t="s">
        <v>336</v>
      </c>
      <c r="O110" s="11">
        <v>46150</v>
      </c>
      <c r="P110" s="4"/>
      <c r="Q110" s="19">
        <v>46177</v>
      </c>
      <c r="R110" s="19">
        <v>46178</v>
      </c>
      <c r="S110" s="14"/>
    </row>
    <row r="111" spans="1:19" s="3" customFormat="1" ht="19.649999999999999" customHeight="1" x14ac:dyDescent="0.2">
      <c r="A111" s="64" t="s">
        <v>158</v>
      </c>
      <c r="B111" s="175" t="s">
        <v>333</v>
      </c>
      <c r="C111" s="1"/>
      <c r="D111" s="85">
        <f t="shared" si="6"/>
        <v>84</v>
      </c>
      <c r="E111" s="79" t="s">
        <v>128</v>
      </c>
      <c r="F111" s="79" t="s">
        <v>128</v>
      </c>
      <c r="G111" s="114" t="s">
        <v>145</v>
      </c>
      <c r="H111" s="118">
        <v>4</v>
      </c>
      <c r="I111" s="71">
        <v>2606</v>
      </c>
      <c r="J111" s="179">
        <f t="shared" si="5"/>
        <v>10424</v>
      </c>
      <c r="K111" s="2">
        <v>2</v>
      </c>
      <c r="L111" s="23" t="s">
        <v>146</v>
      </c>
      <c r="M111" s="22"/>
      <c r="N111" s="182" t="s">
        <v>336</v>
      </c>
      <c r="O111" s="11">
        <v>46150</v>
      </c>
      <c r="P111" s="4"/>
      <c r="Q111" s="19">
        <v>46177</v>
      </c>
      <c r="R111" s="19">
        <v>46178</v>
      </c>
      <c r="S111" s="14"/>
    </row>
    <row r="112" spans="1:19" s="3" customFormat="1" ht="19.649999999999999" customHeight="1" x14ac:dyDescent="0.2">
      <c r="A112" s="64" t="s">
        <v>160</v>
      </c>
      <c r="B112" s="175" t="s">
        <v>333</v>
      </c>
      <c r="C112" s="1"/>
      <c r="D112" s="85">
        <f t="shared" si="6"/>
        <v>85</v>
      </c>
      <c r="E112" s="55" t="s">
        <v>32</v>
      </c>
      <c r="F112" s="4" t="s">
        <v>28</v>
      </c>
      <c r="G112" s="114" t="s">
        <v>147</v>
      </c>
      <c r="H112" s="118">
        <v>4</v>
      </c>
      <c r="I112" s="71">
        <v>6984</v>
      </c>
      <c r="J112" s="179">
        <f t="shared" si="5"/>
        <v>27936</v>
      </c>
      <c r="K112" s="1">
        <v>2</v>
      </c>
      <c r="L112" s="89" t="s">
        <v>148</v>
      </c>
      <c r="M112" s="22"/>
      <c r="N112" s="182" t="s">
        <v>336</v>
      </c>
      <c r="O112" s="11">
        <v>46150</v>
      </c>
      <c r="P112" s="4"/>
      <c r="Q112" s="19">
        <v>46177</v>
      </c>
      <c r="R112" s="19">
        <v>46178</v>
      </c>
      <c r="S112" s="14"/>
    </row>
    <row r="113" spans="1:19" s="3" customFormat="1" ht="19.649999999999999" customHeight="1" x14ac:dyDescent="0.2">
      <c r="A113" s="64" t="s">
        <v>161</v>
      </c>
      <c r="B113" s="175" t="s">
        <v>333</v>
      </c>
      <c r="C113" s="1"/>
      <c r="D113" s="85">
        <f t="shared" si="6"/>
        <v>86</v>
      </c>
      <c r="E113" s="55" t="s">
        <v>32</v>
      </c>
      <c r="F113" s="4" t="s">
        <v>28</v>
      </c>
      <c r="G113" s="117" t="s">
        <v>261</v>
      </c>
      <c r="H113" s="118">
        <v>2</v>
      </c>
      <c r="I113" s="71">
        <v>36081</v>
      </c>
      <c r="J113" s="179">
        <f t="shared" si="5"/>
        <v>72162</v>
      </c>
      <c r="K113" s="1">
        <v>1</v>
      </c>
      <c r="L113" s="77" t="s">
        <v>246</v>
      </c>
      <c r="M113" s="22"/>
      <c r="N113" s="182" t="s">
        <v>336</v>
      </c>
      <c r="O113" s="11">
        <v>46150</v>
      </c>
      <c r="P113" s="4"/>
      <c r="Q113" s="19">
        <v>46177</v>
      </c>
      <c r="R113" s="19">
        <v>46178</v>
      </c>
      <c r="S113" s="14"/>
    </row>
    <row r="114" spans="1:19" s="3" customFormat="1" ht="19.649999999999999" customHeight="1" x14ac:dyDescent="0.2">
      <c r="A114" s="64" t="s">
        <v>159</v>
      </c>
      <c r="B114" s="175" t="s">
        <v>333</v>
      </c>
      <c r="C114" s="1"/>
      <c r="D114" s="85">
        <f t="shared" si="6"/>
        <v>87</v>
      </c>
      <c r="E114" s="79" t="s">
        <v>128</v>
      </c>
      <c r="F114" s="79" t="s">
        <v>128</v>
      </c>
      <c r="G114" s="117" t="s">
        <v>262</v>
      </c>
      <c r="H114" s="118">
        <v>6</v>
      </c>
      <c r="I114" s="71">
        <v>817</v>
      </c>
      <c r="J114" s="179">
        <f t="shared" si="5"/>
        <v>4902</v>
      </c>
      <c r="K114" s="1">
        <v>3</v>
      </c>
      <c r="L114" s="77" t="s">
        <v>268</v>
      </c>
      <c r="M114" s="22"/>
      <c r="N114" s="182" t="s">
        <v>336</v>
      </c>
      <c r="O114" s="11">
        <v>46150</v>
      </c>
      <c r="P114" s="4"/>
      <c r="Q114" s="19">
        <v>46177</v>
      </c>
      <c r="R114" s="19">
        <v>46178</v>
      </c>
      <c r="S114" s="14"/>
    </row>
    <row r="115" spans="1:19" s="3" customFormat="1" ht="19.649999999999999" customHeight="1" x14ac:dyDescent="0.2">
      <c r="A115" s="64" t="s">
        <v>69</v>
      </c>
      <c r="B115" s="175" t="s">
        <v>333</v>
      </c>
      <c r="C115" s="1"/>
      <c r="D115" s="85">
        <f t="shared" si="6"/>
        <v>88</v>
      </c>
      <c r="E115" s="91" t="s">
        <v>128</v>
      </c>
      <c r="F115" s="91" t="s">
        <v>128</v>
      </c>
      <c r="G115" s="117" t="s">
        <v>263</v>
      </c>
      <c r="H115" s="118">
        <v>4</v>
      </c>
      <c r="I115" s="71">
        <v>640</v>
      </c>
      <c r="J115" s="179">
        <f t="shared" si="5"/>
        <v>2560</v>
      </c>
      <c r="K115" s="1">
        <v>2</v>
      </c>
      <c r="L115" s="77" t="s">
        <v>269</v>
      </c>
      <c r="M115" s="22"/>
      <c r="N115" s="182" t="s">
        <v>336</v>
      </c>
      <c r="O115" s="11">
        <v>46150</v>
      </c>
      <c r="P115" s="4"/>
      <c r="Q115" s="19">
        <v>46177</v>
      </c>
      <c r="R115" s="19">
        <v>46178</v>
      </c>
      <c r="S115" s="14"/>
    </row>
    <row r="116" spans="1:19" s="3" customFormat="1" ht="19.649999999999999" customHeight="1" x14ac:dyDescent="0.2">
      <c r="A116" s="64" t="s">
        <v>70</v>
      </c>
      <c r="B116" s="175" t="s">
        <v>333</v>
      </c>
      <c r="C116" s="1"/>
      <c r="D116" s="85">
        <f t="shared" si="6"/>
        <v>89</v>
      </c>
      <c r="E116" s="91" t="s">
        <v>128</v>
      </c>
      <c r="F116" s="91" t="s">
        <v>128</v>
      </c>
      <c r="G116" s="109" t="s">
        <v>149</v>
      </c>
      <c r="H116" s="109">
        <v>16</v>
      </c>
      <c r="I116" s="110">
        <v>41</v>
      </c>
      <c r="J116" s="179">
        <f t="shared" si="5"/>
        <v>656</v>
      </c>
      <c r="K116" s="52">
        <v>8</v>
      </c>
      <c r="L116" s="92" t="s">
        <v>150</v>
      </c>
      <c r="M116" s="22"/>
      <c r="N116" s="182" t="s">
        <v>336</v>
      </c>
      <c r="O116" s="11">
        <v>46150</v>
      </c>
      <c r="P116" s="4"/>
      <c r="Q116" s="19">
        <v>46177</v>
      </c>
      <c r="R116" s="19">
        <v>46178</v>
      </c>
      <c r="S116" s="14"/>
    </row>
    <row r="117" spans="1:19" s="3" customFormat="1" ht="19.649999999999999" customHeight="1" x14ac:dyDescent="0.2">
      <c r="A117" s="64" t="s">
        <v>70</v>
      </c>
      <c r="B117" s="175" t="s">
        <v>333</v>
      </c>
      <c r="C117" s="1"/>
      <c r="D117" s="85">
        <f t="shared" si="6"/>
        <v>90</v>
      </c>
      <c r="E117" s="91" t="s">
        <v>128</v>
      </c>
      <c r="F117" s="91" t="s">
        <v>128</v>
      </c>
      <c r="G117" s="109" t="s">
        <v>247</v>
      </c>
      <c r="H117" s="109">
        <v>8</v>
      </c>
      <c r="I117" s="110">
        <v>47</v>
      </c>
      <c r="J117" s="179">
        <f t="shared" si="5"/>
        <v>376</v>
      </c>
      <c r="K117" s="52">
        <v>4</v>
      </c>
      <c r="L117" s="92" t="s">
        <v>248</v>
      </c>
      <c r="M117" s="22"/>
      <c r="N117" s="182" t="s">
        <v>336</v>
      </c>
      <c r="O117" s="11">
        <v>46150</v>
      </c>
      <c r="P117" s="4"/>
      <c r="Q117" s="19">
        <v>46177</v>
      </c>
      <c r="R117" s="19">
        <v>46178</v>
      </c>
      <c r="S117" s="14"/>
    </row>
    <row r="118" spans="1:19" s="3" customFormat="1" ht="19.649999999999999" customHeight="1" x14ac:dyDescent="0.2">
      <c r="A118" s="96" t="s">
        <v>70</v>
      </c>
      <c r="B118" s="175" t="s">
        <v>333</v>
      </c>
      <c r="C118" s="1"/>
      <c r="D118" s="85">
        <f t="shared" si="6"/>
        <v>91</v>
      </c>
      <c r="E118" s="93" t="s">
        <v>128</v>
      </c>
      <c r="F118" s="93" t="s">
        <v>128</v>
      </c>
      <c r="G118" s="111" t="s">
        <v>151</v>
      </c>
      <c r="H118" s="112">
        <v>12</v>
      </c>
      <c r="I118" s="113">
        <v>14</v>
      </c>
      <c r="J118" s="179">
        <f t="shared" si="5"/>
        <v>168</v>
      </c>
      <c r="K118" s="94">
        <v>6</v>
      </c>
      <c r="L118" s="95" t="s">
        <v>215</v>
      </c>
      <c r="M118" s="22"/>
      <c r="N118" s="182" t="s">
        <v>336</v>
      </c>
      <c r="O118" s="11">
        <v>46150</v>
      </c>
      <c r="P118" s="4"/>
      <c r="Q118" s="19">
        <v>46177</v>
      </c>
      <c r="R118" s="19">
        <v>46178</v>
      </c>
      <c r="S118" s="14"/>
    </row>
    <row r="119" spans="1:19" s="3" customFormat="1" ht="19.649999999999999" customHeight="1" x14ac:dyDescent="0.2">
      <c r="A119" s="64" t="s">
        <v>160</v>
      </c>
      <c r="B119" s="175" t="s">
        <v>333</v>
      </c>
      <c r="C119" s="1"/>
      <c r="D119" s="85">
        <f t="shared" si="6"/>
        <v>92</v>
      </c>
      <c r="E119" s="55" t="s">
        <v>32</v>
      </c>
      <c r="F119" s="4" t="s">
        <v>28</v>
      </c>
      <c r="G119" s="117" t="s">
        <v>260</v>
      </c>
      <c r="H119" s="118">
        <v>8</v>
      </c>
      <c r="I119" s="71">
        <v>7930</v>
      </c>
      <c r="J119" s="179">
        <f t="shared" si="5"/>
        <v>63440</v>
      </c>
      <c r="K119" s="2">
        <v>4</v>
      </c>
      <c r="L119" s="23" t="s">
        <v>249</v>
      </c>
      <c r="M119" s="22"/>
      <c r="N119" s="182" t="s">
        <v>336</v>
      </c>
      <c r="O119" s="11">
        <v>46150</v>
      </c>
      <c r="P119" s="4"/>
      <c r="Q119" s="19">
        <v>46177</v>
      </c>
      <c r="R119" s="19">
        <v>46178</v>
      </c>
      <c r="S119" s="14"/>
    </row>
    <row r="120" spans="1:19" s="3" customFormat="1" ht="19.649999999999999" customHeight="1" x14ac:dyDescent="0.2">
      <c r="A120" s="64" t="s">
        <v>70</v>
      </c>
      <c r="B120" s="175" t="s">
        <v>333</v>
      </c>
      <c r="C120" s="1"/>
      <c r="D120" s="85">
        <f t="shared" si="6"/>
        <v>93</v>
      </c>
      <c r="E120" s="79" t="s">
        <v>128</v>
      </c>
      <c r="F120" s="79" t="s">
        <v>128</v>
      </c>
      <c r="G120" s="117" t="s">
        <v>137</v>
      </c>
      <c r="H120" s="118">
        <v>8</v>
      </c>
      <c r="I120" s="71">
        <v>19</v>
      </c>
      <c r="J120" s="179">
        <f t="shared" si="5"/>
        <v>152</v>
      </c>
      <c r="K120" s="2">
        <v>4</v>
      </c>
      <c r="L120" s="23" t="s">
        <v>252</v>
      </c>
      <c r="M120" s="22"/>
      <c r="N120" s="182" t="s">
        <v>336</v>
      </c>
      <c r="O120" s="11">
        <v>46150</v>
      </c>
      <c r="P120" s="4"/>
      <c r="Q120" s="19">
        <v>46177</v>
      </c>
      <c r="R120" s="19">
        <v>46178</v>
      </c>
      <c r="S120" s="14"/>
    </row>
    <row r="121" spans="1:19" s="3" customFormat="1" ht="19.649999999999999" customHeight="1" x14ac:dyDescent="0.2">
      <c r="A121" s="64" t="s">
        <v>70</v>
      </c>
      <c r="B121" s="175" t="s">
        <v>333</v>
      </c>
      <c r="C121" s="1"/>
      <c r="D121" s="85">
        <f t="shared" si="6"/>
        <v>94</v>
      </c>
      <c r="E121" s="91" t="s">
        <v>128</v>
      </c>
      <c r="F121" s="91" t="s">
        <v>128</v>
      </c>
      <c r="G121" s="109" t="s">
        <v>250</v>
      </c>
      <c r="H121" s="109">
        <v>80</v>
      </c>
      <c r="I121" s="110">
        <v>22</v>
      </c>
      <c r="J121" s="179">
        <f t="shared" si="5"/>
        <v>1760</v>
      </c>
      <c r="K121" s="52">
        <v>10</v>
      </c>
      <c r="L121" s="92" t="s">
        <v>150</v>
      </c>
      <c r="M121" s="22"/>
      <c r="N121" s="182" t="s">
        <v>336</v>
      </c>
      <c r="O121" s="11">
        <v>46150</v>
      </c>
      <c r="P121" s="4"/>
      <c r="Q121" s="19">
        <v>46177</v>
      </c>
      <c r="R121" s="19">
        <v>46178</v>
      </c>
      <c r="S121" s="14"/>
    </row>
    <row r="122" spans="1:19" s="3" customFormat="1" ht="19.649999999999999" customHeight="1" x14ac:dyDescent="0.2">
      <c r="A122" s="64" t="s">
        <v>70</v>
      </c>
      <c r="B122" s="175" t="s">
        <v>333</v>
      </c>
      <c r="C122" s="1"/>
      <c r="D122" s="85">
        <f t="shared" si="6"/>
        <v>95</v>
      </c>
      <c r="E122" s="91" t="s">
        <v>128</v>
      </c>
      <c r="F122" s="91" t="s">
        <v>128</v>
      </c>
      <c r="G122" s="117" t="s">
        <v>251</v>
      </c>
      <c r="H122" s="118">
        <v>8</v>
      </c>
      <c r="I122" s="71">
        <v>736</v>
      </c>
      <c r="J122" s="179">
        <f t="shared" si="5"/>
        <v>5888</v>
      </c>
      <c r="K122" s="2">
        <v>4</v>
      </c>
      <c r="L122" s="23" t="s">
        <v>257</v>
      </c>
      <c r="M122" s="22"/>
      <c r="N122" s="182" t="s">
        <v>336</v>
      </c>
      <c r="O122" s="11">
        <v>46150</v>
      </c>
      <c r="P122" s="4"/>
      <c r="Q122" s="19">
        <v>46177</v>
      </c>
      <c r="R122" s="19">
        <v>46178</v>
      </c>
      <c r="S122" s="14"/>
    </row>
    <row r="123" spans="1:19" s="3" customFormat="1" ht="19.649999999999999" customHeight="1" x14ac:dyDescent="0.2">
      <c r="A123" s="64" t="s">
        <v>70</v>
      </c>
      <c r="B123" s="175" t="s">
        <v>333</v>
      </c>
      <c r="C123" s="1"/>
      <c r="D123" s="85">
        <f t="shared" si="6"/>
        <v>96</v>
      </c>
      <c r="E123" s="79" t="s">
        <v>128</v>
      </c>
      <c r="F123" s="79" t="s">
        <v>128</v>
      </c>
      <c r="G123" s="117" t="s">
        <v>153</v>
      </c>
      <c r="H123" s="118">
        <v>14</v>
      </c>
      <c r="I123" s="71">
        <v>50</v>
      </c>
      <c r="J123" s="179">
        <f t="shared" si="5"/>
        <v>700</v>
      </c>
      <c r="K123" s="2">
        <v>7</v>
      </c>
      <c r="L123" s="23" t="s">
        <v>266</v>
      </c>
      <c r="M123" s="22"/>
      <c r="N123" s="182" t="s">
        <v>336</v>
      </c>
      <c r="O123" s="11">
        <v>46150</v>
      </c>
      <c r="P123" s="4"/>
      <c r="Q123" s="19">
        <v>46177</v>
      </c>
      <c r="R123" s="19">
        <v>46178</v>
      </c>
      <c r="S123" s="14"/>
    </row>
    <row r="124" spans="1:19" s="3" customFormat="1" ht="19.649999999999999" customHeight="1" x14ac:dyDescent="0.2">
      <c r="A124" s="64" t="s">
        <v>70</v>
      </c>
      <c r="B124" s="175" t="s">
        <v>333</v>
      </c>
      <c r="C124" s="1"/>
      <c r="D124" s="85">
        <f t="shared" si="6"/>
        <v>97</v>
      </c>
      <c r="E124" s="79" t="s">
        <v>128</v>
      </c>
      <c r="F124" s="79" t="s">
        <v>128</v>
      </c>
      <c r="G124" s="117" t="s">
        <v>154</v>
      </c>
      <c r="H124" s="118">
        <v>12</v>
      </c>
      <c r="I124" s="71">
        <v>56</v>
      </c>
      <c r="J124" s="179">
        <f t="shared" si="5"/>
        <v>672</v>
      </c>
      <c r="K124" s="2">
        <v>6</v>
      </c>
      <c r="L124" s="77" t="s">
        <v>253</v>
      </c>
      <c r="M124" s="22"/>
      <c r="N124" s="182" t="s">
        <v>336</v>
      </c>
      <c r="O124" s="11">
        <v>46150</v>
      </c>
      <c r="P124" s="4"/>
      <c r="Q124" s="19">
        <v>46177</v>
      </c>
      <c r="R124" s="19">
        <v>46178</v>
      </c>
      <c r="S124" s="14"/>
    </row>
    <row r="125" spans="1:19" s="3" customFormat="1" ht="19.649999999999999" customHeight="1" x14ac:dyDescent="0.2">
      <c r="A125" s="64" t="s">
        <v>70</v>
      </c>
      <c r="B125" s="175" t="s">
        <v>333</v>
      </c>
      <c r="C125" s="1"/>
      <c r="D125" s="85">
        <f t="shared" si="6"/>
        <v>98</v>
      </c>
      <c r="E125" s="79" t="s">
        <v>128</v>
      </c>
      <c r="F125" s="79" t="s">
        <v>128</v>
      </c>
      <c r="G125" s="117" t="s">
        <v>155</v>
      </c>
      <c r="H125" s="118">
        <v>8</v>
      </c>
      <c r="I125" s="71">
        <v>56</v>
      </c>
      <c r="J125" s="179">
        <f t="shared" si="5"/>
        <v>448</v>
      </c>
      <c r="K125" s="2">
        <v>4</v>
      </c>
      <c r="L125" s="23" t="s">
        <v>156</v>
      </c>
      <c r="M125" s="22"/>
      <c r="N125" s="182" t="s">
        <v>336</v>
      </c>
      <c r="O125" s="11">
        <v>46150</v>
      </c>
      <c r="P125" s="4"/>
      <c r="Q125" s="19">
        <v>46177</v>
      </c>
      <c r="R125" s="19">
        <v>46178</v>
      </c>
      <c r="S125" s="14"/>
    </row>
    <row r="126" spans="1:19" s="3" customFormat="1" ht="19.649999999999999" customHeight="1" x14ac:dyDescent="0.2">
      <c r="A126" s="64" t="s">
        <v>70</v>
      </c>
      <c r="B126" s="175" t="s">
        <v>333</v>
      </c>
      <c r="C126" s="1"/>
      <c r="D126" s="85">
        <f t="shared" si="6"/>
        <v>99</v>
      </c>
      <c r="E126" s="79" t="s">
        <v>128</v>
      </c>
      <c r="F126" s="79" t="s">
        <v>128</v>
      </c>
      <c r="G126" s="117" t="s">
        <v>267</v>
      </c>
      <c r="H126" s="118">
        <v>2</v>
      </c>
      <c r="I126" s="71">
        <v>56</v>
      </c>
      <c r="J126" s="179">
        <f t="shared" si="5"/>
        <v>112</v>
      </c>
      <c r="K126" s="2">
        <v>1</v>
      </c>
      <c r="L126" s="23" t="s">
        <v>156</v>
      </c>
      <c r="M126" s="22"/>
      <c r="N126" s="182" t="s">
        <v>336</v>
      </c>
      <c r="O126" s="11">
        <v>46150</v>
      </c>
      <c r="P126" s="4"/>
      <c r="Q126" s="19">
        <v>46177</v>
      </c>
      <c r="R126" s="19">
        <v>46178</v>
      </c>
      <c r="S126" s="14"/>
    </row>
    <row r="127" spans="1:19" s="3" customFormat="1" ht="19.649999999999999" customHeight="1" x14ac:dyDescent="0.2">
      <c r="B127" s="174"/>
      <c r="C127" s="1"/>
      <c r="D127" s="4"/>
      <c r="E127" s="4"/>
      <c r="F127" s="4"/>
      <c r="G127" s="1"/>
      <c r="H127" s="24"/>
      <c r="I127" s="1"/>
      <c r="J127" s="2"/>
      <c r="K127" s="84"/>
      <c r="L127" s="1"/>
      <c r="M127" s="22"/>
      <c r="N127" s="4"/>
      <c r="O127" s="11"/>
      <c r="P127" s="4"/>
      <c r="Q127" s="19"/>
      <c r="R127" s="19"/>
      <c r="S127" s="14"/>
    </row>
    <row r="128" spans="1:19" s="3" customFormat="1" ht="19.649999999999999" customHeight="1" x14ac:dyDescent="0.2">
      <c r="B128" s="174"/>
      <c r="C128" s="1"/>
      <c r="D128" s="4"/>
      <c r="E128" s="4"/>
      <c r="F128" s="4"/>
      <c r="G128" s="189">
        <f>SUM(J98:J127)</f>
        <v>274236</v>
      </c>
      <c r="H128" s="190"/>
      <c r="I128" s="190"/>
      <c r="J128" s="191"/>
      <c r="K128" s="84"/>
      <c r="L128" s="1"/>
      <c r="M128" s="22"/>
      <c r="N128" s="4"/>
      <c r="O128" s="11"/>
      <c r="P128" s="4"/>
      <c r="Q128" s="19"/>
      <c r="R128" s="19"/>
      <c r="S128" s="14"/>
    </row>
    <row r="129" spans="1:19" s="3" customFormat="1" ht="19.649999999999999" customHeight="1" x14ac:dyDescent="0.2">
      <c r="B129" s="174"/>
      <c r="C129" s="1"/>
      <c r="D129" s="4"/>
      <c r="E129" s="4"/>
      <c r="F129" s="4"/>
      <c r="G129" s="35"/>
      <c r="H129" s="1"/>
      <c r="I129" s="43"/>
      <c r="J129" s="43"/>
      <c r="K129" s="2"/>
      <c r="L129" s="24"/>
      <c r="M129" s="22"/>
      <c r="N129" s="4"/>
      <c r="O129" s="11"/>
      <c r="P129" s="4"/>
      <c r="Q129" s="19"/>
      <c r="R129" s="19"/>
      <c r="S129" s="14"/>
    </row>
    <row r="130" spans="1:19" s="3" customFormat="1" ht="19.649999999999999" customHeight="1" x14ac:dyDescent="0.2">
      <c r="B130" s="174"/>
      <c r="C130" s="1"/>
      <c r="D130" s="4"/>
      <c r="E130" s="4"/>
      <c r="F130" s="4"/>
      <c r="G130" s="35"/>
      <c r="H130" s="1"/>
      <c r="I130" s="43"/>
      <c r="J130" s="43"/>
      <c r="K130" s="2"/>
      <c r="L130" s="24"/>
      <c r="M130" s="22"/>
      <c r="N130" s="4"/>
      <c r="O130" s="11"/>
      <c r="P130" s="4"/>
      <c r="Q130" s="19"/>
      <c r="R130" s="19"/>
      <c r="S130" s="14"/>
    </row>
    <row r="131" spans="1:19" s="3" customFormat="1" ht="19.649999999999999" customHeight="1" x14ac:dyDescent="0.2">
      <c r="B131" s="174"/>
      <c r="C131" s="1"/>
      <c r="D131" s="4"/>
      <c r="E131" s="4"/>
      <c r="F131" s="4"/>
      <c r="G131" s="35"/>
      <c r="H131" s="1"/>
      <c r="I131" s="43"/>
      <c r="J131" s="43"/>
      <c r="K131" s="2"/>
      <c r="L131" s="24"/>
      <c r="M131" s="22"/>
      <c r="N131" s="4"/>
      <c r="O131" s="11"/>
      <c r="P131" s="4"/>
      <c r="Q131" s="19"/>
      <c r="R131" s="19"/>
      <c r="S131" s="14"/>
    </row>
    <row r="132" spans="1:19" s="3" customFormat="1" ht="19.649999999999999" customHeight="1" x14ac:dyDescent="0.2">
      <c r="B132" s="174"/>
      <c r="C132" s="1"/>
      <c r="D132" s="83"/>
      <c r="E132" s="192" t="s">
        <v>212</v>
      </c>
      <c r="F132" s="193"/>
      <c r="G132" s="194"/>
      <c r="H132" s="1"/>
      <c r="I132" s="43"/>
      <c r="J132" s="43"/>
      <c r="K132" s="2"/>
      <c r="L132" s="24"/>
      <c r="M132" s="22"/>
      <c r="N132" s="4"/>
      <c r="O132" s="11"/>
      <c r="P132" s="4"/>
      <c r="Q132" s="19"/>
      <c r="R132" s="19"/>
      <c r="S132" s="14"/>
    </row>
    <row r="133" spans="1:19" s="3" customFormat="1" ht="19.649999999999999" customHeight="1" x14ac:dyDescent="0.2">
      <c r="A133" s="64" t="s">
        <v>232</v>
      </c>
      <c r="B133" s="175" t="s">
        <v>334</v>
      </c>
      <c r="C133" s="1"/>
      <c r="D133" s="85">
        <f>+D126+1</f>
        <v>100</v>
      </c>
      <c r="E133" s="55" t="s">
        <v>32</v>
      </c>
      <c r="F133" s="4" t="s">
        <v>28</v>
      </c>
      <c r="G133" s="70" t="s">
        <v>231</v>
      </c>
      <c r="H133" s="71">
        <v>2</v>
      </c>
      <c r="I133" s="72">
        <v>30462</v>
      </c>
      <c r="J133" s="179">
        <f t="shared" ref="J133:J147" si="7">H133*I133</f>
        <v>60924</v>
      </c>
      <c r="K133" s="2">
        <v>1</v>
      </c>
      <c r="L133" s="24" t="s">
        <v>213</v>
      </c>
      <c r="M133" s="22"/>
      <c r="N133" s="182" t="s">
        <v>336</v>
      </c>
      <c r="O133" s="11">
        <v>46150</v>
      </c>
      <c r="P133" s="4"/>
      <c r="Q133" s="19">
        <v>46177</v>
      </c>
      <c r="R133" s="19">
        <v>46178</v>
      </c>
      <c r="S133" s="14"/>
    </row>
    <row r="134" spans="1:19" s="3" customFormat="1" ht="19.649999999999999" customHeight="1" x14ac:dyDescent="0.2">
      <c r="A134" s="64" t="s">
        <v>70</v>
      </c>
      <c r="B134" s="175" t="s">
        <v>334</v>
      </c>
      <c r="C134" s="1"/>
      <c r="D134" s="85">
        <f t="shared" ref="D134:D147" si="8">+D133+1</f>
        <v>101</v>
      </c>
      <c r="E134" s="91" t="s">
        <v>128</v>
      </c>
      <c r="F134" s="91" t="s">
        <v>128</v>
      </c>
      <c r="G134" s="109" t="s">
        <v>149</v>
      </c>
      <c r="H134" s="109">
        <v>28</v>
      </c>
      <c r="I134" s="110">
        <v>37</v>
      </c>
      <c r="J134" s="179">
        <f t="shared" si="7"/>
        <v>1036</v>
      </c>
      <c r="K134" s="52">
        <v>5</v>
      </c>
      <c r="L134" s="92" t="s">
        <v>234</v>
      </c>
      <c r="M134" s="22"/>
      <c r="N134" s="182" t="s">
        <v>336</v>
      </c>
      <c r="O134" s="11">
        <v>46150</v>
      </c>
      <c r="P134" s="4"/>
      <c r="Q134" s="19">
        <v>46177</v>
      </c>
      <c r="R134" s="19">
        <v>46178</v>
      </c>
      <c r="S134" s="14"/>
    </row>
    <row r="135" spans="1:19" s="3" customFormat="1" ht="19.649999999999999" customHeight="1" x14ac:dyDescent="0.2">
      <c r="A135" s="96" t="s">
        <v>70</v>
      </c>
      <c r="B135" s="175" t="s">
        <v>334</v>
      </c>
      <c r="C135" s="1"/>
      <c r="D135" s="85">
        <f t="shared" si="8"/>
        <v>102</v>
      </c>
      <c r="E135" s="93" t="s">
        <v>128</v>
      </c>
      <c r="F135" s="93" t="s">
        <v>128</v>
      </c>
      <c r="G135" s="111" t="s">
        <v>214</v>
      </c>
      <c r="H135" s="112">
        <v>12</v>
      </c>
      <c r="I135" s="113">
        <v>14</v>
      </c>
      <c r="J135" s="179">
        <f t="shared" si="7"/>
        <v>168</v>
      </c>
      <c r="K135" s="94">
        <v>6</v>
      </c>
      <c r="L135" s="95" t="s">
        <v>215</v>
      </c>
      <c r="M135" s="22"/>
      <c r="N135" s="182" t="s">
        <v>336</v>
      </c>
      <c r="O135" s="11">
        <v>46150</v>
      </c>
      <c r="P135" s="4"/>
      <c r="Q135" s="19">
        <v>46177</v>
      </c>
      <c r="R135" s="19">
        <v>46178</v>
      </c>
      <c r="S135" s="14"/>
    </row>
    <row r="136" spans="1:19" s="3" customFormat="1" ht="19.649999999999999" customHeight="1" x14ac:dyDescent="0.2">
      <c r="A136" s="96" t="s">
        <v>67</v>
      </c>
      <c r="B136" s="175" t="s">
        <v>334</v>
      </c>
      <c r="C136" s="1"/>
      <c r="D136" s="85">
        <f t="shared" si="8"/>
        <v>103</v>
      </c>
      <c r="E136" s="4"/>
      <c r="F136" s="93" t="s">
        <v>128</v>
      </c>
      <c r="G136" s="114" t="s">
        <v>216</v>
      </c>
      <c r="H136" s="71">
        <v>2</v>
      </c>
      <c r="I136" s="72">
        <v>18453</v>
      </c>
      <c r="J136" s="179">
        <f t="shared" si="7"/>
        <v>36906</v>
      </c>
      <c r="K136" s="2">
        <v>1</v>
      </c>
      <c r="L136" s="24" t="s">
        <v>239</v>
      </c>
      <c r="M136" s="22"/>
      <c r="N136" s="182" t="s">
        <v>336</v>
      </c>
      <c r="O136" s="11">
        <v>46150</v>
      </c>
      <c r="P136" s="4"/>
      <c r="Q136" s="19">
        <v>46177</v>
      </c>
      <c r="R136" s="19">
        <v>46178</v>
      </c>
      <c r="S136" s="14"/>
    </row>
    <row r="137" spans="1:19" s="3" customFormat="1" ht="19.649999999999999" customHeight="1" x14ac:dyDescent="0.2">
      <c r="A137" s="96" t="s">
        <v>70</v>
      </c>
      <c r="B137" s="175" t="s">
        <v>334</v>
      </c>
      <c r="C137" s="1"/>
      <c r="D137" s="85">
        <f t="shared" si="8"/>
        <v>104</v>
      </c>
      <c r="E137" s="93" t="s">
        <v>128</v>
      </c>
      <c r="F137" s="93" t="s">
        <v>128</v>
      </c>
      <c r="G137" s="111" t="s">
        <v>217</v>
      </c>
      <c r="H137" s="112">
        <v>76</v>
      </c>
      <c r="I137" s="113">
        <v>13</v>
      </c>
      <c r="J137" s="179">
        <f t="shared" si="7"/>
        <v>988</v>
      </c>
      <c r="K137" s="94">
        <v>32</v>
      </c>
      <c r="L137" s="95" t="s">
        <v>235</v>
      </c>
      <c r="M137" s="22"/>
      <c r="N137" s="182" t="s">
        <v>336</v>
      </c>
      <c r="O137" s="11">
        <v>46150</v>
      </c>
      <c r="P137" s="4"/>
      <c r="Q137" s="19">
        <v>46177</v>
      </c>
      <c r="R137" s="19">
        <v>46178</v>
      </c>
      <c r="S137" s="14"/>
    </row>
    <row r="138" spans="1:19" s="3" customFormat="1" ht="19.649999999999999" customHeight="1" x14ac:dyDescent="0.2">
      <c r="A138" s="64" t="s">
        <v>229</v>
      </c>
      <c r="B138" s="175" t="s">
        <v>334</v>
      </c>
      <c r="C138" s="1"/>
      <c r="D138" s="85">
        <f t="shared" si="8"/>
        <v>105</v>
      </c>
      <c r="E138" s="55" t="s">
        <v>32</v>
      </c>
      <c r="F138" s="4" t="s">
        <v>28</v>
      </c>
      <c r="G138" s="70" t="s">
        <v>230</v>
      </c>
      <c r="H138" s="71">
        <v>2</v>
      </c>
      <c r="I138" s="67">
        <v>9661</v>
      </c>
      <c r="J138" s="179">
        <f t="shared" si="7"/>
        <v>19322</v>
      </c>
      <c r="K138" s="2">
        <v>1</v>
      </c>
      <c r="L138" s="24" t="s">
        <v>218</v>
      </c>
      <c r="M138" s="22"/>
      <c r="N138" s="182" t="s">
        <v>336</v>
      </c>
      <c r="O138" s="11">
        <v>46150</v>
      </c>
      <c r="P138" s="4"/>
      <c r="Q138" s="19">
        <v>46177</v>
      </c>
      <c r="R138" s="19">
        <v>46178</v>
      </c>
      <c r="S138" s="14"/>
    </row>
    <row r="139" spans="1:19" s="3" customFormat="1" ht="19.649999999999999" customHeight="1" x14ac:dyDescent="0.2">
      <c r="A139" s="96" t="s">
        <v>70</v>
      </c>
      <c r="B139" s="175" t="s">
        <v>334</v>
      </c>
      <c r="C139" s="1"/>
      <c r="D139" s="85">
        <f t="shared" si="8"/>
        <v>106</v>
      </c>
      <c r="E139" s="93" t="s">
        <v>128</v>
      </c>
      <c r="F139" s="93" t="s">
        <v>128</v>
      </c>
      <c r="G139" s="70" t="s">
        <v>219</v>
      </c>
      <c r="H139" s="71">
        <v>6</v>
      </c>
      <c r="I139" s="72">
        <v>765</v>
      </c>
      <c r="J139" s="179">
        <f t="shared" si="7"/>
        <v>4590</v>
      </c>
      <c r="K139" s="2">
        <v>3</v>
      </c>
      <c r="L139" s="24" t="s">
        <v>238</v>
      </c>
      <c r="M139" s="22"/>
      <c r="N139" s="182" t="s">
        <v>336</v>
      </c>
      <c r="O139" s="11">
        <v>46150</v>
      </c>
      <c r="P139" s="4"/>
      <c r="Q139" s="19">
        <v>46177</v>
      </c>
      <c r="R139" s="19">
        <v>46178</v>
      </c>
      <c r="S139" s="14"/>
    </row>
    <row r="140" spans="1:19" s="3" customFormat="1" ht="19.649999999999999" customHeight="1" x14ac:dyDescent="0.2">
      <c r="A140" s="96" t="s">
        <v>70</v>
      </c>
      <c r="B140" s="175" t="s">
        <v>334</v>
      </c>
      <c r="C140" s="1"/>
      <c r="D140" s="85">
        <f t="shared" si="8"/>
        <v>107</v>
      </c>
      <c r="E140" s="93" t="s">
        <v>128</v>
      </c>
      <c r="F140" s="93" t="s">
        <v>128</v>
      </c>
      <c r="G140" s="70" t="s">
        <v>220</v>
      </c>
      <c r="H140" s="71">
        <v>6</v>
      </c>
      <c r="I140" s="72">
        <v>765</v>
      </c>
      <c r="J140" s="179">
        <f t="shared" si="7"/>
        <v>4590</v>
      </c>
      <c r="K140" s="2">
        <v>3</v>
      </c>
      <c r="L140" s="24" t="s">
        <v>238</v>
      </c>
      <c r="M140" s="22"/>
      <c r="N140" s="182" t="s">
        <v>336</v>
      </c>
      <c r="O140" s="11">
        <v>46150</v>
      </c>
      <c r="P140" s="4"/>
      <c r="Q140" s="19">
        <v>46177</v>
      </c>
      <c r="R140" s="19">
        <v>46178</v>
      </c>
      <c r="S140" s="14"/>
    </row>
    <row r="141" spans="1:19" s="3" customFormat="1" ht="19.649999999999999" customHeight="1" x14ac:dyDescent="0.2">
      <c r="A141" s="96" t="s">
        <v>70</v>
      </c>
      <c r="B141" s="175" t="s">
        <v>334</v>
      </c>
      <c r="C141" s="1"/>
      <c r="D141" s="85">
        <f t="shared" si="8"/>
        <v>108</v>
      </c>
      <c r="E141" s="93" t="s">
        <v>128</v>
      </c>
      <c r="F141" s="93" t="s">
        <v>128</v>
      </c>
      <c r="G141" s="70" t="s">
        <v>152</v>
      </c>
      <c r="H141" s="71">
        <v>8</v>
      </c>
      <c r="I141" s="72">
        <v>22</v>
      </c>
      <c r="J141" s="179">
        <f t="shared" si="7"/>
        <v>176</v>
      </c>
      <c r="K141" s="2">
        <v>4</v>
      </c>
      <c r="L141" s="108" t="s">
        <v>237</v>
      </c>
      <c r="M141" s="22"/>
      <c r="N141" s="182" t="s">
        <v>336</v>
      </c>
      <c r="O141" s="11">
        <v>46150</v>
      </c>
      <c r="P141" s="4"/>
      <c r="Q141" s="19">
        <v>46177</v>
      </c>
      <c r="R141" s="19">
        <v>46178</v>
      </c>
      <c r="S141" s="14"/>
    </row>
    <row r="142" spans="1:19" s="3" customFormat="1" ht="19.649999999999999" customHeight="1" x14ac:dyDescent="0.2">
      <c r="A142" s="64" t="s">
        <v>70</v>
      </c>
      <c r="B142" s="175" t="s">
        <v>334</v>
      </c>
      <c r="C142" s="1"/>
      <c r="D142" s="85">
        <f>+D141+1</f>
        <v>109</v>
      </c>
      <c r="E142" s="91" t="s">
        <v>128</v>
      </c>
      <c r="F142" s="91" t="s">
        <v>128</v>
      </c>
      <c r="G142" s="109" t="s">
        <v>221</v>
      </c>
      <c r="H142" s="109">
        <v>10</v>
      </c>
      <c r="I142" s="110">
        <v>41</v>
      </c>
      <c r="J142" s="179">
        <f t="shared" si="7"/>
        <v>410</v>
      </c>
      <c r="K142" s="52">
        <v>5</v>
      </c>
      <c r="L142" s="92" t="s">
        <v>222</v>
      </c>
      <c r="M142" s="22"/>
      <c r="N142" s="182" t="s">
        <v>336</v>
      </c>
      <c r="O142" s="11">
        <v>46150</v>
      </c>
      <c r="P142" s="4"/>
      <c r="Q142" s="19">
        <v>46177</v>
      </c>
      <c r="R142" s="19">
        <v>46178</v>
      </c>
      <c r="S142" s="14"/>
    </row>
    <row r="143" spans="1:19" s="3" customFormat="1" ht="19.649999999999999" customHeight="1" x14ac:dyDescent="0.2">
      <c r="A143" s="64" t="s">
        <v>70</v>
      </c>
      <c r="B143" s="175" t="s">
        <v>334</v>
      </c>
      <c r="C143" s="1"/>
      <c r="D143" s="85">
        <f t="shared" si="8"/>
        <v>110</v>
      </c>
      <c r="E143" s="91" t="s">
        <v>128</v>
      </c>
      <c r="F143" s="91" t="s">
        <v>128</v>
      </c>
      <c r="G143" s="70" t="s">
        <v>223</v>
      </c>
      <c r="H143" s="71">
        <v>1</v>
      </c>
      <c r="I143" s="72">
        <v>960</v>
      </c>
      <c r="J143" s="179">
        <f t="shared" si="7"/>
        <v>960</v>
      </c>
      <c r="K143" s="2">
        <v>1</v>
      </c>
      <c r="L143" s="24" t="s">
        <v>157</v>
      </c>
      <c r="M143" s="22"/>
      <c r="N143" s="182" t="s">
        <v>336</v>
      </c>
      <c r="O143" s="11">
        <v>46150</v>
      </c>
      <c r="P143" s="4"/>
      <c r="Q143" s="19">
        <v>46177</v>
      </c>
      <c r="R143" s="19">
        <v>46178</v>
      </c>
      <c r="S143" s="14"/>
    </row>
    <row r="144" spans="1:19" s="3" customFormat="1" ht="19.649999999999999" customHeight="1" x14ac:dyDescent="0.2">
      <c r="A144" s="64" t="s">
        <v>70</v>
      </c>
      <c r="B144" s="175" t="s">
        <v>334</v>
      </c>
      <c r="C144" s="1"/>
      <c r="D144" s="85">
        <f t="shared" si="8"/>
        <v>111</v>
      </c>
      <c r="E144" s="91" t="s">
        <v>128</v>
      </c>
      <c r="F144" s="91" t="s">
        <v>128</v>
      </c>
      <c r="G144" s="70" t="s">
        <v>224</v>
      </c>
      <c r="H144" s="71">
        <v>1</v>
      </c>
      <c r="I144" s="72">
        <v>732</v>
      </c>
      <c r="J144" s="179">
        <f t="shared" si="7"/>
        <v>732</v>
      </c>
      <c r="K144" s="2">
        <v>1</v>
      </c>
      <c r="L144" s="24" t="s">
        <v>157</v>
      </c>
      <c r="M144" s="22"/>
      <c r="N144" s="182" t="s">
        <v>336</v>
      </c>
      <c r="O144" s="11">
        <v>46150</v>
      </c>
      <c r="P144" s="4"/>
      <c r="Q144" s="19">
        <v>46177</v>
      </c>
      <c r="R144" s="19">
        <v>46178</v>
      </c>
      <c r="S144" s="14"/>
    </row>
    <row r="145" spans="1:19" s="3" customFormat="1" ht="19.649999999999999" customHeight="1" x14ac:dyDescent="0.2">
      <c r="A145" s="64" t="s">
        <v>232</v>
      </c>
      <c r="B145" s="175" t="s">
        <v>334</v>
      </c>
      <c r="C145" s="1"/>
      <c r="D145" s="85">
        <f>+D144+1</f>
        <v>112</v>
      </c>
      <c r="E145" s="55" t="s">
        <v>32</v>
      </c>
      <c r="F145" s="4" t="s">
        <v>28</v>
      </c>
      <c r="G145" s="70" t="s">
        <v>233</v>
      </c>
      <c r="H145" s="71">
        <v>2</v>
      </c>
      <c r="I145" s="72">
        <v>25246</v>
      </c>
      <c r="J145" s="179">
        <f t="shared" si="7"/>
        <v>50492</v>
      </c>
      <c r="K145" s="2">
        <v>1</v>
      </c>
      <c r="L145" s="24" t="s">
        <v>225</v>
      </c>
      <c r="M145" s="22"/>
      <c r="N145" s="182" t="s">
        <v>336</v>
      </c>
      <c r="O145" s="11">
        <v>46150</v>
      </c>
      <c r="P145" s="4"/>
      <c r="Q145" s="19">
        <v>46177</v>
      </c>
      <c r="R145" s="19">
        <v>46178</v>
      </c>
      <c r="S145" s="14"/>
    </row>
    <row r="146" spans="1:19" s="3" customFormat="1" ht="19.649999999999999" customHeight="1" x14ac:dyDescent="0.2">
      <c r="A146" s="96" t="s">
        <v>70</v>
      </c>
      <c r="B146" s="175" t="s">
        <v>334</v>
      </c>
      <c r="C146" s="1"/>
      <c r="D146" s="85">
        <f>+D145+1</f>
        <v>113</v>
      </c>
      <c r="E146" s="93" t="s">
        <v>128</v>
      </c>
      <c r="F146" s="93" t="s">
        <v>128</v>
      </c>
      <c r="G146" s="111" t="s">
        <v>226</v>
      </c>
      <c r="H146" s="112">
        <v>16</v>
      </c>
      <c r="I146" s="113">
        <v>14</v>
      </c>
      <c r="J146" s="179">
        <f t="shared" si="7"/>
        <v>224</v>
      </c>
      <c r="K146" s="94">
        <v>8</v>
      </c>
      <c r="L146" s="95" t="s">
        <v>227</v>
      </c>
      <c r="M146" s="22"/>
      <c r="N146" s="182" t="s">
        <v>336</v>
      </c>
      <c r="O146" s="11">
        <v>46150</v>
      </c>
      <c r="P146" s="4"/>
      <c r="Q146" s="19">
        <v>46177</v>
      </c>
      <c r="R146" s="19">
        <v>46178</v>
      </c>
      <c r="S146" s="14"/>
    </row>
    <row r="147" spans="1:19" s="3" customFormat="1" ht="19.649999999999999" customHeight="1" x14ac:dyDescent="0.2">
      <c r="A147" s="96" t="s">
        <v>67</v>
      </c>
      <c r="B147" s="175" t="s">
        <v>334</v>
      </c>
      <c r="C147" s="1"/>
      <c r="D147" s="85">
        <f t="shared" si="8"/>
        <v>114</v>
      </c>
      <c r="E147" s="93" t="s">
        <v>128</v>
      </c>
      <c r="F147" s="93" t="s">
        <v>128</v>
      </c>
      <c r="G147" s="70" t="s">
        <v>228</v>
      </c>
      <c r="H147" s="71">
        <v>8</v>
      </c>
      <c r="I147" s="72">
        <v>942</v>
      </c>
      <c r="J147" s="179">
        <f t="shared" si="7"/>
        <v>7536</v>
      </c>
      <c r="K147" s="2">
        <v>4</v>
      </c>
      <c r="L147" s="24" t="s">
        <v>236</v>
      </c>
      <c r="M147" s="22"/>
      <c r="N147" s="182" t="s">
        <v>336</v>
      </c>
      <c r="O147" s="11">
        <v>46150</v>
      </c>
      <c r="P147" s="4"/>
      <c r="Q147" s="19">
        <v>46177</v>
      </c>
      <c r="R147" s="19">
        <v>46178</v>
      </c>
      <c r="S147" s="14"/>
    </row>
    <row r="148" spans="1:19" s="3" customFormat="1" ht="19.649999999999999" customHeight="1" x14ac:dyDescent="0.2">
      <c r="B148" s="174"/>
      <c r="C148" s="1"/>
      <c r="D148" s="4"/>
      <c r="E148" s="4"/>
      <c r="F148" s="4"/>
      <c r="G148" s="69"/>
      <c r="H148" s="1"/>
      <c r="I148" s="43"/>
      <c r="J148" s="43"/>
      <c r="K148" s="2"/>
      <c r="L148" s="24"/>
      <c r="M148" s="22"/>
      <c r="N148" s="4"/>
      <c r="O148" s="11"/>
      <c r="P148" s="4"/>
      <c r="Q148" s="19"/>
      <c r="R148" s="19"/>
      <c r="S148" s="14"/>
    </row>
    <row r="149" spans="1:19" s="3" customFormat="1" ht="19.649999999999999" customHeight="1" x14ac:dyDescent="0.2">
      <c r="B149" s="174"/>
      <c r="C149" s="1"/>
      <c r="D149" s="4"/>
      <c r="E149" s="4"/>
      <c r="F149" s="4"/>
      <c r="G149" s="189">
        <f>SUM(J133:J148)</f>
        <v>189054</v>
      </c>
      <c r="H149" s="190"/>
      <c r="I149" s="190"/>
      <c r="J149" s="191"/>
      <c r="K149" s="2"/>
      <c r="L149" s="24"/>
      <c r="M149" s="22"/>
      <c r="N149" s="4"/>
      <c r="O149" s="11"/>
      <c r="P149" s="4"/>
      <c r="Q149" s="19"/>
      <c r="R149" s="19"/>
      <c r="S149" s="14"/>
    </row>
    <row r="150" spans="1:19" s="3" customFormat="1" ht="19.649999999999999" customHeight="1" x14ac:dyDescent="0.2">
      <c r="B150" s="174"/>
      <c r="C150" s="1"/>
      <c r="D150" s="4"/>
      <c r="E150" s="4"/>
      <c r="F150" s="4"/>
      <c r="G150" s="69"/>
      <c r="H150" s="1"/>
      <c r="I150" s="43"/>
      <c r="J150" s="43"/>
      <c r="K150" s="2"/>
      <c r="L150" s="24"/>
      <c r="M150" s="22"/>
      <c r="N150" s="4"/>
      <c r="O150" s="11"/>
      <c r="P150" s="4"/>
      <c r="Q150" s="19"/>
      <c r="R150" s="19"/>
      <c r="S150" s="14"/>
    </row>
    <row r="151" spans="1:19" s="3" customFormat="1" ht="19.649999999999999" customHeight="1" x14ac:dyDescent="0.2">
      <c r="B151" s="174"/>
      <c r="C151" s="1"/>
      <c r="D151" s="4"/>
      <c r="E151" s="4"/>
      <c r="F151" s="4"/>
      <c r="G151" s="69"/>
      <c r="H151" s="1"/>
      <c r="I151" s="43"/>
      <c r="J151" s="43"/>
      <c r="K151" s="2"/>
      <c r="L151" s="24"/>
      <c r="M151" s="22"/>
      <c r="N151" s="4"/>
      <c r="O151" s="11"/>
      <c r="P151" s="4"/>
      <c r="Q151" s="19"/>
      <c r="R151" s="19"/>
      <c r="S151" s="14"/>
    </row>
    <row r="152" spans="1:19" s="3" customFormat="1" ht="19.649999999999999" customHeight="1" x14ac:dyDescent="0.2">
      <c r="B152" s="174"/>
      <c r="C152" s="1"/>
      <c r="D152" s="4"/>
      <c r="E152" s="4"/>
      <c r="F152" s="4"/>
      <c r="G152" s="69"/>
      <c r="H152" s="1"/>
      <c r="I152" s="43"/>
      <c r="J152" s="43"/>
      <c r="K152" s="2"/>
      <c r="L152" s="24"/>
      <c r="M152" s="22"/>
      <c r="N152" s="4"/>
      <c r="O152" s="11"/>
      <c r="P152" s="4"/>
      <c r="Q152" s="19"/>
      <c r="R152" s="19"/>
      <c r="S152" s="14"/>
    </row>
    <row r="153" spans="1:19" s="3" customFormat="1" ht="19.649999999999999" customHeight="1" x14ac:dyDescent="0.2">
      <c r="B153" s="174"/>
      <c r="C153" s="1"/>
      <c r="D153" s="4"/>
      <c r="E153" s="4"/>
      <c r="F153" s="4"/>
      <c r="G153" s="69"/>
      <c r="H153" s="1"/>
      <c r="I153" s="43"/>
      <c r="J153" s="43"/>
      <c r="K153" s="2"/>
      <c r="L153" s="24"/>
      <c r="M153" s="22"/>
      <c r="N153" s="4"/>
      <c r="O153" s="11"/>
      <c r="P153" s="4"/>
      <c r="Q153" s="19"/>
      <c r="R153" s="19"/>
      <c r="S153" s="14"/>
    </row>
    <row r="154" spans="1:19" s="3" customFormat="1" ht="19.649999999999999" customHeight="1" x14ac:dyDescent="0.2">
      <c r="B154" s="174"/>
      <c r="C154" s="1"/>
      <c r="D154" s="4"/>
      <c r="E154" s="4"/>
      <c r="F154" s="4"/>
      <c r="G154" s="69"/>
      <c r="H154" s="1"/>
      <c r="I154" s="43"/>
      <c r="J154" s="43"/>
      <c r="K154" s="2"/>
      <c r="L154" s="24"/>
      <c r="M154" s="22"/>
      <c r="N154" s="4"/>
      <c r="O154" s="11"/>
      <c r="P154" s="4"/>
      <c r="Q154" s="19"/>
      <c r="R154" s="19"/>
      <c r="S154" s="14"/>
    </row>
    <row r="155" spans="1:19" s="3" customFormat="1" ht="19.649999999999999" customHeight="1" x14ac:dyDescent="0.2">
      <c r="B155" s="174"/>
      <c r="C155" s="1"/>
      <c r="D155" s="4"/>
      <c r="E155" s="195" t="s">
        <v>270</v>
      </c>
      <c r="F155" s="195"/>
      <c r="G155" s="195"/>
      <c r="H155" s="1"/>
      <c r="I155" s="43"/>
      <c r="J155" s="43"/>
      <c r="K155" s="2"/>
      <c r="L155" s="24"/>
      <c r="M155" s="22"/>
      <c r="N155" s="4"/>
      <c r="O155" s="11"/>
      <c r="P155" s="4"/>
      <c r="Q155" s="19"/>
      <c r="R155" s="19"/>
      <c r="S155" s="14"/>
    </row>
    <row r="156" spans="1:19" s="3" customFormat="1" ht="19.649999999999999" customHeight="1" x14ac:dyDescent="0.2">
      <c r="A156" s="143" t="s">
        <v>314</v>
      </c>
      <c r="B156" s="175" t="s">
        <v>335</v>
      </c>
      <c r="C156" s="1"/>
      <c r="D156" s="142">
        <f>D147+1</f>
        <v>115</v>
      </c>
      <c r="E156" s="60" t="s">
        <v>271</v>
      </c>
      <c r="F156" s="60" t="s">
        <v>272</v>
      </c>
      <c r="G156" s="144" t="s">
        <v>273</v>
      </c>
      <c r="H156" s="145">
        <v>2</v>
      </c>
      <c r="I156" s="164">
        <v>9429</v>
      </c>
      <c r="J156" s="171">
        <f>+H156*I156</f>
        <v>18858</v>
      </c>
      <c r="K156" s="123">
        <v>1</v>
      </c>
      <c r="L156" s="124" t="s">
        <v>274</v>
      </c>
      <c r="M156" s="50"/>
      <c r="N156" s="182" t="s">
        <v>336</v>
      </c>
      <c r="O156" s="11">
        <v>46150</v>
      </c>
      <c r="P156" s="4"/>
      <c r="Q156" s="19">
        <v>46177</v>
      </c>
      <c r="R156" s="19">
        <v>46178</v>
      </c>
      <c r="S156" s="14"/>
    </row>
    <row r="157" spans="1:19" s="3" customFormat="1" ht="19.649999999999999" customHeight="1" x14ac:dyDescent="0.2">
      <c r="A157" s="143" t="s">
        <v>315</v>
      </c>
      <c r="B157" s="175" t="s">
        <v>335</v>
      </c>
      <c r="C157" s="1"/>
      <c r="D157" s="125">
        <f t="shared" ref="D157:D181" si="9">D156+1</f>
        <v>116</v>
      </c>
      <c r="E157" s="79" t="s">
        <v>28</v>
      </c>
      <c r="F157" s="79" t="s">
        <v>28</v>
      </c>
      <c r="G157" s="61" t="s">
        <v>275</v>
      </c>
      <c r="H157" s="71">
        <v>16</v>
      </c>
      <c r="I157" s="165">
        <v>94</v>
      </c>
      <c r="J157" s="171">
        <f t="shared" ref="J157:J159" si="10">+H157*I157</f>
        <v>1504</v>
      </c>
      <c r="K157" s="2">
        <v>8</v>
      </c>
      <c r="L157" s="24" t="s">
        <v>276</v>
      </c>
      <c r="M157" s="50"/>
      <c r="N157" s="182" t="s">
        <v>336</v>
      </c>
      <c r="O157" s="11">
        <v>46150</v>
      </c>
      <c r="P157" s="4"/>
      <c r="Q157" s="19">
        <v>46177</v>
      </c>
      <c r="R157" s="19">
        <v>46178</v>
      </c>
      <c r="S157" s="14"/>
    </row>
    <row r="158" spans="1:19" s="3" customFormat="1" ht="19.649999999999999" customHeight="1" x14ac:dyDescent="0.2">
      <c r="A158" s="143" t="s">
        <v>323</v>
      </c>
      <c r="B158" s="175" t="s">
        <v>335</v>
      </c>
      <c r="C158" s="1"/>
      <c r="D158" s="125">
        <f t="shared" si="9"/>
        <v>117</v>
      </c>
      <c r="E158" s="60" t="s">
        <v>272</v>
      </c>
      <c r="F158" s="60" t="s">
        <v>272</v>
      </c>
      <c r="G158" s="144" t="s">
        <v>277</v>
      </c>
      <c r="H158" s="145">
        <v>12</v>
      </c>
      <c r="I158" s="164">
        <v>245</v>
      </c>
      <c r="J158" s="171">
        <f t="shared" si="10"/>
        <v>2940</v>
      </c>
      <c r="K158" s="123">
        <v>6</v>
      </c>
      <c r="L158" s="124" t="s">
        <v>278</v>
      </c>
      <c r="M158" s="50"/>
      <c r="N158" s="182" t="s">
        <v>336</v>
      </c>
      <c r="O158" s="11">
        <v>46150</v>
      </c>
      <c r="P158" s="4"/>
      <c r="Q158" s="19">
        <v>46177</v>
      </c>
      <c r="R158" s="19">
        <v>46178</v>
      </c>
      <c r="S158" s="14"/>
    </row>
    <row r="159" spans="1:19" s="3" customFormat="1" ht="19.649999999999999" customHeight="1" x14ac:dyDescent="0.2">
      <c r="A159" s="143" t="s">
        <v>315</v>
      </c>
      <c r="B159" s="175" t="s">
        <v>335</v>
      </c>
      <c r="C159" s="1"/>
      <c r="D159" s="125">
        <f t="shared" si="9"/>
        <v>118</v>
      </c>
      <c r="E159" s="60" t="s">
        <v>272</v>
      </c>
      <c r="F159" s="60" t="s">
        <v>272</v>
      </c>
      <c r="G159" s="144" t="s">
        <v>279</v>
      </c>
      <c r="H159" s="145">
        <v>12</v>
      </c>
      <c r="I159" s="164">
        <v>15</v>
      </c>
      <c r="J159" s="171">
        <f t="shared" si="10"/>
        <v>180</v>
      </c>
      <c r="K159" s="123">
        <v>6</v>
      </c>
      <c r="L159" s="124" t="s">
        <v>280</v>
      </c>
      <c r="M159" s="50"/>
      <c r="N159" s="182" t="s">
        <v>336</v>
      </c>
      <c r="O159" s="11">
        <v>46150</v>
      </c>
      <c r="P159" s="4"/>
      <c r="Q159" s="19">
        <v>46177</v>
      </c>
      <c r="R159" s="19">
        <v>46178</v>
      </c>
      <c r="S159" s="14"/>
    </row>
    <row r="160" spans="1:19" s="3" customFormat="1" ht="19.649999999999999" customHeight="1" x14ac:dyDescent="0.2">
      <c r="A160" s="143" t="s">
        <v>314</v>
      </c>
      <c r="B160" s="175" t="s">
        <v>335</v>
      </c>
      <c r="C160" s="1"/>
      <c r="D160" s="125">
        <f t="shared" si="9"/>
        <v>119</v>
      </c>
      <c r="E160" s="4" t="s">
        <v>28</v>
      </c>
      <c r="F160" s="4" t="s">
        <v>28</v>
      </c>
      <c r="G160" s="147" t="s">
        <v>281</v>
      </c>
      <c r="H160" s="122">
        <v>4</v>
      </c>
      <c r="I160" s="166">
        <v>2196</v>
      </c>
      <c r="J160" s="67">
        <f>H160*I160</f>
        <v>8784</v>
      </c>
      <c r="K160" s="126">
        <v>2</v>
      </c>
      <c r="L160" s="127" t="s">
        <v>282</v>
      </c>
      <c r="M160" s="50"/>
      <c r="N160" s="182" t="s">
        <v>336</v>
      </c>
      <c r="O160" s="11">
        <v>46150</v>
      </c>
      <c r="P160" s="4"/>
      <c r="Q160" s="19">
        <v>46177</v>
      </c>
      <c r="R160" s="19">
        <v>46178</v>
      </c>
      <c r="S160" s="14"/>
    </row>
    <row r="161" spans="1:19" s="3" customFormat="1" ht="19.649999999999999" customHeight="1" x14ac:dyDescent="0.2">
      <c r="A161" s="143" t="s">
        <v>323</v>
      </c>
      <c r="B161" s="175" t="s">
        <v>335</v>
      </c>
      <c r="C161" s="1"/>
      <c r="D161" s="125">
        <f t="shared" si="9"/>
        <v>120</v>
      </c>
      <c r="E161" s="4" t="s">
        <v>28</v>
      </c>
      <c r="F161" s="4" t="s">
        <v>28</v>
      </c>
      <c r="G161" s="147" t="s">
        <v>283</v>
      </c>
      <c r="H161" s="122">
        <v>2</v>
      </c>
      <c r="I161" s="166">
        <v>4936</v>
      </c>
      <c r="J161" s="67">
        <f t="shared" ref="J161:J181" si="11">H161*I161</f>
        <v>9872</v>
      </c>
      <c r="K161" s="126">
        <v>1</v>
      </c>
      <c r="L161" s="24" t="s">
        <v>284</v>
      </c>
      <c r="M161" s="50"/>
      <c r="N161" s="182" t="s">
        <v>336</v>
      </c>
      <c r="O161" s="11">
        <v>46150</v>
      </c>
      <c r="P161" s="4"/>
      <c r="Q161" s="19">
        <v>46177</v>
      </c>
      <c r="R161" s="19">
        <v>46178</v>
      </c>
      <c r="S161" s="14"/>
    </row>
    <row r="162" spans="1:19" s="3" customFormat="1" ht="19.649999999999999" customHeight="1" x14ac:dyDescent="0.2">
      <c r="A162" s="143" t="s">
        <v>315</v>
      </c>
      <c r="B162" s="175" t="s">
        <v>335</v>
      </c>
      <c r="C162" s="1"/>
      <c r="D162" s="125">
        <f t="shared" si="9"/>
        <v>121</v>
      </c>
      <c r="E162" s="4" t="s">
        <v>28</v>
      </c>
      <c r="F162" s="4" t="s">
        <v>28</v>
      </c>
      <c r="G162" s="119" t="s">
        <v>285</v>
      </c>
      <c r="H162" s="122">
        <v>2</v>
      </c>
      <c r="I162" s="166">
        <v>5105</v>
      </c>
      <c r="J162" s="67">
        <f t="shared" si="11"/>
        <v>10210</v>
      </c>
      <c r="K162" s="126">
        <v>1</v>
      </c>
      <c r="L162" s="24" t="s">
        <v>286</v>
      </c>
      <c r="M162" s="50"/>
      <c r="N162" s="182" t="s">
        <v>336</v>
      </c>
      <c r="O162" s="11">
        <v>46150</v>
      </c>
      <c r="P162" s="4"/>
      <c r="Q162" s="19">
        <v>46177</v>
      </c>
      <c r="R162" s="19">
        <v>46178</v>
      </c>
      <c r="S162" s="14"/>
    </row>
    <row r="163" spans="1:19" s="3" customFormat="1" ht="19.649999999999999" customHeight="1" x14ac:dyDescent="0.2">
      <c r="A163" s="143" t="s">
        <v>315</v>
      </c>
      <c r="B163" s="175" t="s">
        <v>335</v>
      </c>
      <c r="C163" s="1"/>
      <c r="D163" s="125">
        <f t="shared" si="9"/>
        <v>122</v>
      </c>
      <c r="E163" s="4" t="s">
        <v>28</v>
      </c>
      <c r="F163" s="4" t="s">
        <v>28</v>
      </c>
      <c r="G163" s="119" t="s">
        <v>287</v>
      </c>
      <c r="H163" s="122">
        <v>2</v>
      </c>
      <c r="I163" s="166">
        <v>1638</v>
      </c>
      <c r="J163" s="67">
        <f t="shared" si="11"/>
        <v>3276</v>
      </c>
      <c r="K163" s="128">
        <v>1</v>
      </c>
      <c r="L163" s="24" t="s">
        <v>288</v>
      </c>
      <c r="M163" s="50"/>
      <c r="N163" s="182" t="s">
        <v>336</v>
      </c>
      <c r="O163" s="11">
        <v>46150</v>
      </c>
      <c r="P163" s="4"/>
      <c r="Q163" s="19">
        <v>46177</v>
      </c>
      <c r="R163" s="19">
        <v>46178</v>
      </c>
      <c r="S163" s="14"/>
    </row>
    <row r="164" spans="1:19" s="3" customFormat="1" ht="19.649999999999999" customHeight="1" x14ac:dyDescent="0.2">
      <c r="A164" s="143" t="s">
        <v>314</v>
      </c>
      <c r="B164" s="175" t="s">
        <v>335</v>
      </c>
      <c r="C164" s="1"/>
      <c r="D164" s="125">
        <f t="shared" si="9"/>
        <v>123</v>
      </c>
      <c r="E164" s="4" t="s">
        <v>28</v>
      </c>
      <c r="F164" s="4" t="s">
        <v>28</v>
      </c>
      <c r="G164" s="119" t="s">
        <v>289</v>
      </c>
      <c r="H164" s="122">
        <v>2</v>
      </c>
      <c r="I164" s="166">
        <v>1258</v>
      </c>
      <c r="J164" s="67">
        <f t="shared" si="11"/>
        <v>2516</v>
      </c>
      <c r="K164" s="26">
        <v>1</v>
      </c>
      <c r="L164" s="24" t="s">
        <v>290</v>
      </c>
      <c r="M164" s="50"/>
      <c r="N164" s="182" t="s">
        <v>336</v>
      </c>
      <c r="O164" s="11">
        <v>46150</v>
      </c>
      <c r="P164" s="4"/>
      <c r="Q164" s="19">
        <v>46177</v>
      </c>
      <c r="R164" s="19">
        <v>46178</v>
      </c>
      <c r="S164" s="14"/>
    </row>
    <row r="165" spans="1:19" s="3" customFormat="1" ht="19.649999999999999" customHeight="1" x14ac:dyDescent="0.2">
      <c r="A165" s="143" t="s">
        <v>314</v>
      </c>
      <c r="B165" s="175" t="s">
        <v>335</v>
      </c>
      <c r="C165" s="1"/>
      <c r="D165" s="125">
        <f>D164+1</f>
        <v>124</v>
      </c>
      <c r="E165" s="4" t="s">
        <v>28</v>
      </c>
      <c r="F165" s="4" t="s">
        <v>28</v>
      </c>
      <c r="G165" s="119" t="s">
        <v>291</v>
      </c>
      <c r="H165" s="122">
        <v>2</v>
      </c>
      <c r="I165" s="166">
        <v>1323</v>
      </c>
      <c r="J165" s="67">
        <f t="shared" si="11"/>
        <v>2646</v>
      </c>
      <c r="K165" s="26">
        <v>1</v>
      </c>
      <c r="L165" s="24" t="s">
        <v>290</v>
      </c>
      <c r="M165" s="50"/>
      <c r="N165" s="182" t="s">
        <v>336</v>
      </c>
      <c r="O165" s="11">
        <v>46150</v>
      </c>
      <c r="P165" s="4"/>
      <c r="Q165" s="19">
        <v>46177</v>
      </c>
      <c r="R165" s="19">
        <v>46178</v>
      </c>
      <c r="S165" s="14"/>
    </row>
    <row r="166" spans="1:19" s="3" customFormat="1" ht="19.649999999999999" customHeight="1" x14ac:dyDescent="0.2">
      <c r="A166" s="143" t="s">
        <v>315</v>
      </c>
      <c r="B166" s="175" t="s">
        <v>335</v>
      </c>
      <c r="C166" s="1"/>
      <c r="D166" s="125">
        <f t="shared" si="9"/>
        <v>125</v>
      </c>
      <c r="E166" s="79" t="s">
        <v>28</v>
      </c>
      <c r="F166" s="79" t="s">
        <v>28</v>
      </c>
      <c r="G166" s="106" t="s">
        <v>292</v>
      </c>
      <c r="H166" s="107">
        <v>2</v>
      </c>
      <c r="I166" s="167">
        <v>1019</v>
      </c>
      <c r="J166" s="164">
        <f>H166*I166</f>
        <v>2038</v>
      </c>
      <c r="K166" s="80">
        <v>1</v>
      </c>
      <c r="L166" s="129" t="s">
        <v>293</v>
      </c>
      <c r="M166" s="50"/>
      <c r="N166" s="182" t="s">
        <v>336</v>
      </c>
      <c r="O166" s="11">
        <v>46150</v>
      </c>
      <c r="P166" s="4"/>
      <c r="Q166" s="19">
        <v>46177</v>
      </c>
      <c r="R166" s="19">
        <v>46178</v>
      </c>
      <c r="S166" s="14"/>
    </row>
    <row r="167" spans="1:19" s="3" customFormat="1" ht="19.649999999999999" customHeight="1" x14ac:dyDescent="0.2">
      <c r="A167" s="143" t="s">
        <v>315</v>
      </c>
      <c r="B167" s="175" t="s">
        <v>335</v>
      </c>
      <c r="C167" s="1"/>
      <c r="D167" s="125">
        <f t="shared" si="9"/>
        <v>126</v>
      </c>
      <c r="E167" s="79" t="s">
        <v>294</v>
      </c>
      <c r="F167" s="79" t="s">
        <v>28</v>
      </c>
      <c r="G167" s="106" t="s">
        <v>295</v>
      </c>
      <c r="H167" s="146">
        <v>2</v>
      </c>
      <c r="I167" s="167">
        <v>1611</v>
      </c>
      <c r="J167" s="180">
        <f>H167*I167</f>
        <v>3222</v>
      </c>
      <c r="K167" s="130">
        <v>1</v>
      </c>
      <c r="L167" s="131" t="s">
        <v>296</v>
      </c>
      <c r="M167" s="50"/>
      <c r="N167" s="182" t="s">
        <v>336</v>
      </c>
      <c r="O167" s="11">
        <v>46150</v>
      </c>
      <c r="P167" s="4"/>
      <c r="Q167" s="19">
        <v>46177</v>
      </c>
      <c r="R167" s="19">
        <v>46178</v>
      </c>
      <c r="S167" s="14"/>
    </row>
    <row r="168" spans="1:19" s="3" customFormat="1" ht="19.649999999999999" customHeight="1" x14ac:dyDescent="0.2">
      <c r="A168" s="143" t="s">
        <v>315</v>
      </c>
      <c r="B168" s="175" t="s">
        <v>335</v>
      </c>
      <c r="C168" s="1"/>
      <c r="D168" s="125">
        <f t="shared" si="9"/>
        <v>127</v>
      </c>
      <c r="E168" s="79" t="s">
        <v>28</v>
      </c>
      <c r="F168" s="132" t="s">
        <v>28</v>
      </c>
      <c r="G168" s="65" t="s">
        <v>297</v>
      </c>
      <c r="H168" s="146">
        <v>16</v>
      </c>
      <c r="I168" s="167">
        <v>91</v>
      </c>
      <c r="J168" s="170">
        <f t="shared" ref="J168:J169" si="12">H168*I168</f>
        <v>1456</v>
      </c>
      <c r="K168" s="130">
        <v>8</v>
      </c>
      <c r="L168" s="133" t="s">
        <v>298</v>
      </c>
      <c r="M168" s="50"/>
      <c r="N168" s="182" t="s">
        <v>336</v>
      </c>
      <c r="O168" s="11">
        <v>46150</v>
      </c>
      <c r="P168" s="4"/>
      <c r="Q168" s="19">
        <v>46177</v>
      </c>
      <c r="R168" s="19">
        <v>46178</v>
      </c>
      <c r="S168" s="14"/>
    </row>
    <row r="169" spans="1:19" s="3" customFormat="1" ht="19.649999999999999" customHeight="1" x14ac:dyDescent="0.2">
      <c r="A169" s="143" t="s">
        <v>315</v>
      </c>
      <c r="B169" s="175" t="s">
        <v>335</v>
      </c>
      <c r="C169" s="1"/>
      <c r="D169" s="125">
        <f t="shared" si="9"/>
        <v>128</v>
      </c>
      <c r="E169" s="1" t="s">
        <v>299</v>
      </c>
      <c r="F169" s="132" t="s">
        <v>28</v>
      </c>
      <c r="G169" s="119" t="s">
        <v>324</v>
      </c>
      <c r="H169" s="71">
        <v>2</v>
      </c>
      <c r="I169" s="71">
        <v>6276</v>
      </c>
      <c r="J169" s="67">
        <f t="shared" si="12"/>
        <v>12552</v>
      </c>
      <c r="K169" s="2">
        <v>1</v>
      </c>
      <c r="L169" s="23" t="s">
        <v>300</v>
      </c>
      <c r="M169" s="134"/>
      <c r="N169" s="182" t="s">
        <v>336</v>
      </c>
      <c r="O169" s="11">
        <v>46150</v>
      </c>
      <c r="P169" s="4"/>
      <c r="Q169" s="19">
        <v>46177</v>
      </c>
      <c r="R169" s="19">
        <v>46178</v>
      </c>
      <c r="S169" s="14"/>
    </row>
    <row r="170" spans="1:19" s="3" customFormat="1" ht="19.649999999999999" customHeight="1" x14ac:dyDescent="0.2">
      <c r="A170" s="143" t="s">
        <v>315</v>
      </c>
      <c r="B170" s="175" t="s">
        <v>335</v>
      </c>
      <c r="C170" s="1"/>
      <c r="D170" s="125">
        <f t="shared" si="9"/>
        <v>129</v>
      </c>
      <c r="E170" s="4" t="s">
        <v>327</v>
      </c>
      <c r="F170" s="132" t="s">
        <v>28</v>
      </c>
      <c r="G170" s="114" t="s">
        <v>325</v>
      </c>
      <c r="H170" s="71">
        <v>10</v>
      </c>
      <c r="I170" s="71">
        <v>238</v>
      </c>
      <c r="J170" s="181">
        <f t="shared" si="11"/>
        <v>2380</v>
      </c>
      <c r="K170" s="2">
        <v>1</v>
      </c>
      <c r="L170" s="23" t="s">
        <v>326</v>
      </c>
      <c r="M170" s="50"/>
      <c r="N170" s="182" t="s">
        <v>336</v>
      </c>
      <c r="O170" s="11">
        <v>46150</v>
      </c>
      <c r="P170" s="4"/>
      <c r="Q170" s="19">
        <v>46177</v>
      </c>
      <c r="R170" s="19">
        <v>46178</v>
      </c>
      <c r="S170" s="14"/>
    </row>
    <row r="171" spans="1:19" s="3" customFormat="1" ht="19.649999999999999" customHeight="1" x14ac:dyDescent="0.2">
      <c r="A171" s="143" t="s">
        <v>315</v>
      </c>
      <c r="B171" s="175" t="s">
        <v>335</v>
      </c>
      <c r="C171" s="1"/>
      <c r="D171" s="125">
        <f t="shared" si="9"/>
        <v>130</v>
      </c>
      <c r="E171" s="4" t="s">
        <v>327</v>
      </c>
      <c r="F171" s="132" t="s">
        <v>28</v>
      </c>
      <c r="G171" s="187" t="s">
        <v>337</v>
      </c>
      <c r="H171" s="145">
        <v>2</v>
      </c>
      <c r="I171" s="164">
        <v>1016</v>
      </c>
      <c r="J171" s="181">
        <f t="shared" si="11"/>
        <v>2032</v>
      </c>
      <c r="K171" s="123">
        <v>1</v>
      </c>
      <c r="L171" s="124" t="s">
        <v>328</v>
      </c>
      <c r="M171" s="50"/>
      <c r="N171" s="183" t="s">
        <v>336</v>
      </c>
      <c r="O171" s="184">
        <v>46150</v>
      </c>
      <c r="P171" s="185"/>
      <c r="Q171" s="186">
        <v>46177</v>
      </c>
      <c r="R171" s="186">
        <v>46178</v>
      </c>
      <c r="S171" s="14"/>
    </row>
    <row r="172" spans="1:19" s="3" customFormat="1" ht="19.649999999999999" customHeight="1" x14ac:dyDescent="0.2">
      <c r="A172" s="143" t="s">
        <v>315</v>
      </c>
      <c r="B172" s="175" t="s">
        <v>335</v>
      </c>
      <c r="C172" s="1"/>
      <c r="D172" s="125">
        <f t="shared" si="9"/>
        <v>131</v>
      </c>
      <c r="E172" s="60" t="s">
        <v>272</v>
      </c>
      <c r="F172" s="79" t="s">
        <v>28</v>
      </c>
      <c r="G172" s="147" t="s">
        <v>292</v>
      </c>
      <c r="H172" s="148">
        <v>2</v>
      </c>
      <c r="I172" s="148">
        <v>1019</v>
      </c>
      <c r="J172" s="164">
        <f t="shared" si="11"/>
        <v>2038</v>
      </c>
      <c r="K172" s="2">
        <v>1</v>
      </c>
      <c r="L172" s="57" t="s">
        <v>329</v>
      </c>
      <c r="M172" s="50"/>
      <c r="N172" s="182" t="s">
        <v>336</v>
      </c>
      <c r="O172" s="11">
        <v>46150</v>
      </c>
      <c r="P172" s="4"/>
      <c r="Q172" s="19">
        <v>46177</v>
      </c>
      <c r="R172" s="19">
        <v>46178</v>
      </c>
      <c r="S172" s="14"/>
    </row>
    <row r="173" spans="1:19" s="3" customFormat="1" ht="19.649999999999999" customHeight="1" x14ac:dyDescent="0.2">
      <c r="A173" s="143" t="s">
        <v>315</v>
      </c>
      <c r="B173" s="175" t="s">
        <v>335</v>
      </c>
      <c r="C173" s="1"/>
      <c r="D173" s="125">
        <f t="shared" si="9"/>
        <v>132</v>
      </c>
      <c r="E173" s="79" t="s">
        <v>28</v>
      </c>
      <c r="F173" s="79" t="s">
        <v>28</v>
      </c>
      <c r="G173" s="149" t="s">
        <v>301</v>
      </c>
      <c r="H173" s="71">
        <v>4</v>
      </c>
      <c r="I173" s="71">
        <v>158</v>
      </c>
      <c r="J173" s="164">
        <f t="shared" si="11"/>
        <v>632</v>
      </c>
      <c r="K173" s="27">
        <v>2</v>
      </c>
      <c r="L173" s="24" t="s">
        <v>302</v>
      </c>
      <c r="M173" s="50"/>
      <c r="N173" s="182" t="s">
        <v>336</v>
      </c>
      <c r="O173" s="11">
        <v>46150</v>
      </c>
      <c r="P173" s="4"/>
      <c r="Q173" s="19">
        <v>46177</v>
      </c>
      <c r="R173" s="19">
        <v>46178</v>
      </c>
      <c r="S173" s="14"/>
    </row>
    <row r="174" spans="1:19" s="3" customFormat="1" ht="19.649999999999999" customHeight="1" x14ac:dyDescent="0.2">
      <c r="A174" s="143" t="s">
        <v>315</v>
      </c>
      <c r="B174" s="175" t="s">
        <v>335</v>
      </c>
      <c r="C174" s="1"/>
      <c r="D174" s="125">
        <f t="shared" si="9"/>
        <v>133</v>
      </c>
      <c r="E174" s="29" t="s">
        <v>28</v>
      </c>
      <c r="F174" s="29" t="s">
        <v>28</v>
      </c>
      <c r="G174" s="150" t="s">
        <v>303</v>
      </c>
      <c r="H174" s="151">
        <v>2</v>
      </c>
      <c r="I174" s="166">
        <v>346</v>
      </c>
      <c r="J174" s="151">
        <f t="shared" si="11"/>
        <v>692</v>
      </c>
      <c r="K174" s="135">
        <v>1</v>
      </c>
      <c r="L174" s="90" t="s">
        <v>304</v>
      </c>
      <c r="M174" s="50"/>
      <c r="N174" s="182" t="s">
        <v>336</v>
      </c>
      <c r="O174" s="11">
        <v>46150</v>
      </c>
      <c r="P174" s="4"/>
      <c r="Q174" s="19">
        <v>46177</v>
      </c>
      <c r="R174" s="19">
        <v>46178</v>
      </c>
      <c r="S174" s="14"/>
    </row>
    <row r="175" spans="1:19" s="3" customFormat="1" ht="19.649999999999999" customHeight="1" x14ac:dyDescent="0.2">
      <c r="A175" s="143" t="s">
        <v>315</v>
      </c>
      <c r="B175" s="175" t="s">
        <v>335</v>
      </c>
      <c r="C175" s="1"/>
      <c r="D175" s="125">
        <f t="shared" si="9"/>
        <v>134</v>
      </c>
      <c r="E175" s="159" t="s">
        <v>316</v>
      </c>
      <c r="F175" s="4" t="s">
        <v>28</v>
      </c>
      <c r="G175" s="163" t="s">
        <v>317</v>
      </c>
      <c r="H175" s="71">
        <v>1</v>
      </c>
      <c r="I175" s="122">
        <v>2560</v>
      </c>
      <c r="J175" s="67">
        <f t="shared" si="11"/>
        <v>2560</v>
      </c>
      <c r="K175" s="160"/>
      <c r="L175" s="24" t="s">
        <v>318</v>
      </c>
      <c r="M175" s="50"/>
      <c r="N175" s="182" t="s">
        <v>336</v>
      </c>
      <c r="O175" s="11">
        <v>46150</v>
      </c>
      <c r="P175" s="4"/>
      <c r="Q175" s="19">
        <v>46177</v>
      </c>
      <c r="R175" s="19">
        <v>46178</v>
      </c>
      <c r="S175" s="14"/>
    </row>
    <row r="176" spans="1:19" s="3" customFormat="1" ht="19.649999999999999" customHeight="1" x14ac:dyDescent="0.2">
      <c r="A176" s="143" t="s">
        <v>315</v>
      </c>
      <c r="B176" s="175" t="s">
        <v>335</v>
      </c>
      <c r="C176" s="1"/>
      <c r="D176" s="125">
        <f t="shared" si="9"/>
        <v>135</v>
      </c>
      <c r="E176" s="161" t="s">
        <v>316</v>
      </c>
      <c r="F176" s="4" t="s">
        <v>28</v>
      </c>
      <c r="G176" s="114" t="s">
        <v>321</v>
      </c>
      <c r="H176" s="162">
        <v>1</v>
      </c>
      <c r="I176" s="122">
        <v>2429</v>
      </c>
      <c r="J176" s="67">
        <f t="shared" si="11"/>
        <v>2429</v>
      </c>
      <c r="K176" s="160"/>
      <c r="L176" s="24" t="s">
        <v>319</v>
      </c>
      <c r="M176" s="50"/>
      <c r="N176" s="182" t="s">
        <v>336</v>
      </c>
      <c r="O176" s="11">
        <v>46150</v>
      </c>
      <c r="P176" s="4"/>
      <c r="Q176" s="19">
        <v>46177</v>
      </c>
      <c r="R176" s="19">
        <v>46178</v>
      </c>
      <c r="S176" s="14"/>
    </row>
    <row r="177" spans="1:19" s="3" customFormat="1" ht="19.649999999999999" customHeight="1" x14ac:dyDescent="0.2">
      <c r="A177" s="143" t="s">
        <v>315</v>
      </c>
      <c r="B177" s="175" t="s">
        <v>335</v>
      </c>
      <c r="C177" s="1"/>
      <c r="D177" s="125">
        <f t="shared" si="9"/>
        <v>136</v>
      </c>
      <c r="E177" s="161" t="s">
        <v>316</v>
      </c>
      <c r="F177" s="4" t="s">
        <v>28</v>
      </c>
      <c r="G177" s="114" t="s">
        <v>322</v>
      </c>
      <c r="H177" s="162">
        <v>1</v>
      </c>
      <c r="I177" s="122">
        <v>2429</v>
      </c>
      <c r="J177" s="67">
        <f t="shared" si="11"/>
        <v>2429</v>
      </c>
      <c r="K177" s="160"/>
      <c r="L177" s="24" t="s">
        <v>320</v>
      </c>
      <c r="M177" s="50"/>
      <c r="N177" s="182" t="s">
        <v>336</v>
      </c>
      <c r="O177" s="11">
        <v>46150</v>
      </c>
      <c r="P177" s="4"/>
      <c r="Q177" s="19">
        <v>46177</v>
      </c>
      <c r="R177" s="19">
        <v>46178</v>
      </c>
      <c r="S177" s="14"/>
    </row>
    <row r="178" spans="1:19" s="3" customFormat="1" ht="19.649999999999999" customHeight="1" x14ac:dyDescent="0.2">
      <c r="A178" s="143" t="s">
        <v>315</v>
      </c>
      <c r="B178" s="175" t="s">
        <v>335</v>
      </c>
      <c r="C178" s="1"/>
      <c r="D178" s="125">
        <f>D177+1</f>
        <v>137</v>
      </c>
      <c r="E178" s="136" t="s">
        <v>305</v>
      </c>
      <c r="F178" s="4" t="s">
        <v>128</v>
      </c>
      <c r="G178" s="152" t="s">
        <v>306</v>
      </c>
      <c r="H178" s="153">
        <v>4</v>
      </c>
      <c r="I178" s="168">
        <v>1450</v>
      </c>
      <c r="J178" s="165">
        <f t="shared" si="11"/>
        <v>5800</v>
      </c>
      <c r="K178" s="137">
        <v>2</v>
      </c>
      <c r="L178" s="138" t="s">
        <v>307</v>
      </c>
      <c r="M178" s="50"/>
      <c r="N178" s="182" t="s">
        <v>336</v>
      </c>
      <c r="O178" s="11">
        <v>46150</v>
      </c>
      <c r="P178" s="4"/>
      <c r="Q178" s="19">
        <v>46177</v>
      </c>
      <c r="R178" s="19">
        <v>46178</v>
      </c>
      <c r="S178" s="14"/>
    </row>
    <row r="179" spans="1:19" s="3" customFormat="1" ht="19.649999999999999" customHeight="1" x14ac:dyDescent="0.2">
      <c r="A179" s="143" t="s">
        <v>315</v>
      </c>
      <c r="B179" s="175" t="s">
        <v>335</v>
      </c>
      <c r="C179" s="1"/>
      <c r="D179" s="125">
        <f t="shared" si="9"/>
        <v>138</v>
      </c>
      <c r="E179" s="136" t="s">
        <v>305</v>
      </c>
      <c r="F179" s="4" t="s">
        <v>128</v>
      </c>
      <c r="G179" s="152" t="s">
        <v>308</v>
      </c>
      <c r="H179" s="153">
        <v>4</v>
      </c>
      <c r="I179" s="168">
        <v>409</v>
      </c>
      <c r="J179" s="169">
        <f t="shared" si="11"/>
        <v>1636</v>
      </c>
      <c r="K179" s="137">
        <v>2</v>
      </c>
      <c r="L179" s="138" t="s">
        <v>309</v>
      </c>
      <c r="M179" s="50"/>
      <c r="N179" s="182" t="s">
        <v>336</v>
      </c>
      <c r="O179" s="11">
        <v>46150</v>
      </c>
      <c r="P179" s="4"/>
      <c r="Q179" s="19">
        <v>46177</v>
      </c>
      <c r="R179" s="19">
        <v>46178</v>
      </c>
      <c r="S179" s="14"/>
    </row>
    <row r="180" spans="1:19" s="3" customFormat="1" ht="19.649999999999999" customHeight="1" x14ac:dyDescent="0.2">
      <c r="A180" s="143" t="s">
        <v>315</v>
      </c>
      <c r="B180" s="175" t="s">
        <v>335</v>
      </c>
      <c r="C180" s="1"/>
      <c r="D180" s="125">
        <f t="shared" si="9"/>
        <v>139</v>
      </c>
      <c r="E180" s="136" t="s">
        <v>305</v>
      </c>
      <c r="F180" s="4" t="s">
        <v>128</v>
      </c>
      <c r="G180" s="152" t="s">
        <v>310</v>
      </c>
      <c r="H180" s="153">
        <v>4</v>
      </c>
      <c r="I180" s="168">
        <v>45</v>
      </c>
      <c r="J180" s="169">
        <f t="shared" si="11"/>
        <v>180</v>
      </c>
      <c r="K180" s="137">
        <v>2</v>
      </c>
      <c r="L180" s="138" t="s">
        <v>311</v>
      </c>
      <c r="M180" s="50"/>
      <c r="N180" s="182" t="s">
        <v>336</v>
      </c>
      <c r="O180" s="11">
        <v>46150</v>
      </c>
      <c r="P180" s="4"/>
      <c r="Q180" s="19">
        <v>46177</v>
      </c>
      <c r="R180" s="19">
        <v>46178</v>
      </c>
      <c r="S180" s="14"/>
    </row>
    <row r="181" spans="1:19" s="3" customFormat="1" ht="19.649999999999999" customHeight="1" x14ac:dyDescent="0.2">
      <c r="A181" s="143" t="s">
        <v>315</v>
      </c>
      <c r="B181" s="175" t="s">
        <v>335</v>
      </c>
      <c r="C181" s="1"/>
      <c r="D181" s="125">
        <f t="shared" si="9"/>
        <v>140</v>
      </c>
      <c r="E181" s="139" t="s">
        <v>28</v>
      </c>
      <c r="F181" s="139" t="s">
        <v>28</v>
      </c>
      <c r="G181" s="154" t="s">
        <v>312</v>
      </c>
      <c r="H181" s="67">
        <v>2</v>
      </c>
      <c r="I181" s="67">
        <v>5451</v>
      </c>
      <c r="J181" s="67">
        <f t="shared" si="11"/>
        <v>10902</v>
      </c>
      <c r="K181" s="52">
        <v>1</v>
      </c>
      <c r="L181" s="53" t="s">
        <v>313</v>
      </c>
      <c r="M181" s="50"/>
      <c r="N181" s="182" t="s">
        <v>336</v>
      </c>
      <c r="O181" s="11">
        <v>46150</v>
      </c>
      <c r="P181" s="4"/>
      <c r="Q181" s="19">
        <v>46177</v>
      </c>
      <c r="R181" s="19">
        <v>46178</v>
      </c>
      <c r="S181" s="14"/>
    </row>
    <row r="182" spans="1:19" s="3" customFormat="1" ht="19.649999999999999" customHeight="1" x14ac:dyDescent="0.2">
      <c r="A182" s="143"/>
      <c r="B182" s="176"/>
      <c r="C182" s="1"/>
      <c r="D182" s="158"/>
      <c r="E182" s="29"/>
      <c r="F182" s="4"/>
      <c r="G182" s="155"/>
      <c r="H182" s="1"/>
      <c r="I182" s="43"/>
      <c r="J182" s="36"/>
      <c r="K182" s="2"/>
      <c r="L182" s="75"/>
      <c r="M182" s="156"/>
      <c r="N182" s="4"/>
      <c r="O182" s="11"/>
      <c r="P182" s="4"/>
      <c r="Q182" s="19"/>
      <c r="R182" s="19"/>
      <c r="S182" s="14"/>
    </row>
    <row r="183" spans="1:19" s="3" customFormat="1" ht="19.649999999999999" customHeight="1" x14ac:dyDescent="0.2">
      <c r="A183" s="143"/>
      <c r="B183" s="176"/>
      <c r="C183" s="1"/>
      <c r="D183" s="158"/>
      <c r="E183" s="29"/>
      <c r="F183" s="4"/>
      <c r="G183" s="155"/>
      <c r="H183" s="1"/>
      <c r="I183" s="43"/>
      <c r="J183" s="36"/>
      <c r="K183" s="2"/>
      <c r="L183" s="75"/>
      <c r="M183" s="156"/>
      <c r="N183" s="4"/>
      <c r="O183" s="11"/>
      <c r="P183" s="4"/>
      <c r="Q183" s="19"/>
      <c r="R183" s="19"/>
      <c r="S183" s="14"/>
    </row>
    <row r="184" spans="1:19" s="3" customFormat="1" ht="19.649999999999999" customHeight="1" x14ac:dyDescent="0.2">
      <c r="A184" s="143"/>
      <c r="B184" s="176"/>
      <c r="C184" s="1"/>
      <c r="D184" s="158"/>
      <c r="E184" s="79"/>
      <c r="F184" s="79"/>
      <c r="G184" s="157"/>
      <c r="H184" s="1"/>
      <c r="I184" s="31"/>
      <c r="J184" s="36"/>
      <c r="K184" s="2"/>
      <c r="L184" s="75"/>
      <c r="M184" s="50"/>
      <c r="N184" s="4"/>
      <c r="O184" s="11"/>
      <c r="P184" s="4"/>
      <c r="Q184" s="19"/>
      <c r="R184" s="19"/>
      <c r="S184" s="14"/>
    </row>
    <row r="185" spans="1:19" s="3" customFormat="1" ht="19.649999999999999" customHeight="1" x14ac:dyDescent="0.2">
      <c r="A185" s="1"/>
      <c r="B185" s="176"/>
      <c r="C185" s="1"/>
      <c r="D185" s="4"/>
      <c r="E185" s="4"/>
      <c r="F185" s="4"/>
      <c r="G185" s="141">
        <f>SUM(J156:J184)</f>
        <v>113764</v>
      </c>
      <c r="H185" s="140"/>
      <c r="I185" s="48"/>
      <c r="J185" s="48"/>
      <c r="K185" s="123"/>
      <c r="L185" s="49"/>
      <c r="M185" s="50"/>
      <c r="N185" s="4"/>
      <c r="O185" s="11"/>
      <c r="P185" s="4"/>
      <c r="Q185" s="19"/>
      <c r="R185" s="19"/>
      <c r="S185" s="14"/>
    </row>
    <row r="186" spans="1:19" s="3" customFormat="1" ht="19.649999999999999" customHeight="1" x14ac:dyDescent="0.2">
      <c r="A186" s="1"/>
      <c r="B186" s="176"/>
      <c r="C186" s="1"/>
      <c r="D186" s="4"/>
      <c r="E186" s="4"/>
      <c r="F186" s="4"/>
      <c r="G186" s="31"/>
      <c r="H186" s="1"/>
      <c r="I186" s="43"/>
      <c r="J186" s="43"/>
      <c r="K186" s="2"/>
      <c r="L186" s="24"/>
      <c r="M186" s="22"/>
      <c r="N186" s="4"/>
      <c r="O186" s="11"/>
      <c r="P186" s="4"/>
      <c r="Q186" s="19"/>
      <c r="R186" s="19"/>
      <c r="S186" s="14"/>
    </row>
    <row r="187" spans="1:19" s="3" customFormat="1" ht="19.649999999999999" customHeight="1" x14ac:dyDescent="0.2">
      <c r="A187" s="1"/>
      <c r="B187" s="176"/>
      <c r="C187" s="1"/>
      <c r="D187" s="4"/>
      <c r="E187" s="4"/>
      <c r="F187" s="4"/>
      <c r="G187" s="31"/>
      <c r="H187" s="1"/>
      <c r="I187" s="43"/>
      <c r="J187" s="43"/>
      <c r="K187" s="2"/>
      <c r="L187" s="24"/>
      <c r="M187" s="22"/>
      <c r="N187" s="4"/>
      <c r="O187" s="11"/>
      <c r="P187" s="4"/>
      <c r="Q187" s="19"/>
      <c r="R187" s="19"/>
      <c r="S187" s="14"/>
    </row>
    <row r="188" spans="1:19" s="3" customFormat="1" ht="19.649999999999999" customHeight="1" x14ac:dyDescent="0.2">
      <c r="A188" s="1"/>
      <c r="B188" s="176"/>
      <c r="C188" s="1"/>
      <c r="D188" s="4"/>
      <c r="E188" s="4"/>
      <c r="F188" s="4"/>
      <c r="G188" s="31"/>
      <c r="H188" s="1"/>
      <c r="I188" s="43"/>
      <c r="J188" s="43"/>
      <c r="K188" s="2"/>
      <c r="L188" s="24"/>
      <c r="M188" s="22"/>
      <c r="N188" s="4"/>
      <c r="O188" s="11"/>
      <c r="P188" s="4"/>
      <c r="Q188" s="19"/>
      <c r="R188" s="19"/>
      <c r="S188" s="14"/>
    </row>
    <row r="189" spans="1:19" s="3" customFormat="1" ht="19.649999999999999" customHeight="1" x14ac:dyDescent="0.2">
      <c r="A189" s="1"/>
      <c r="B189" s="176"/>
      <c r="C189" s="1"/>
      <c r="D189" s="4"/>
      <c r="E189" s="4"/>
      <c r="F189" s="4"/>
      <c r="G189" s="31"/>
      <c r="H189" s="1"/>
      <c r="I189" s="43"/>
      <c r="J189" s="43"/>
      <c r="K189" s="2"/>
      <c r="L189" s="24"/>
      <c r="M189" s="22"/>
      <c r="N189" s="4"/>
      <c r="O189" s="11"/>
      <c r="P189" s="4"/>
      <c r="Q189" s="19"/>
      <c r="R189" s="19"/>
      <c r="S189" s="14"/>
    </row>
    <row r="190" spans="1:19" s="3" customFormat="1" ht="19.649999999999999" customHeight="1" x14ac:dyDescent="0.2">
      <c r="A190" s="1"/>
      <c r="B190" s="176"/>
      <c r="C190" s="1"/>
      <c r="D190" s="4"/>
      <c r="E190" s="4"/>
      <c r="F190" s="4"/>
      <c r="G190" s="31"/>
      <c r="H190" s="1"/>
      <c r="I190" s="43"/>
      <c r="J190" s="43"/>
      <c r="K190" s="2"/>
      <c r="L190" s="24"/>
      <c r="M190" s="22"/>
      <c r="N190" s="4"/>
      <c r="O190" s="11"/>
      <c r="P190" s="4"/>
      <c r="Q190" s="19"/>
      <c r="R190" s="19"/>
      <c r="S190" s="14"/>
    </row>
    <row r="191" spans="1:19" s="3" customFormat="1" ht="19.649999999999999" customHeight="1" x14ac:dyDescent="0.2">
      <c r="A191" s="1"/>
      <c r="B191" s="176"/>
      <c r="C191" s="1"/>
      <c r="D191" s="4"/>
      <c r="E191" s="4"/>
      <c r="F191" s="4"/>
      <c r="G191" s="31"/>
      <c r="H191" s="1"/>
      <c r="I191" s="43"/>
      <c r="J191" s="43"/>
      <c r="K191" s="2"/>
      <c r="L191" s="24"/>
      <c r="M191" s="22"/>
      <c r="N191" s="4"/>
      <c r="O191" s="11"/>
      <c r="P191" s="4"/>
      <c r="Q191" s="19"/>
      <c r="R191" s="19"/>
      <c r="S191" s="14"/>
    </row>
    <row r="192" spans="1:19" s="3" customFormat="1" ht="19.649999999999999" customHeight="1" x14ac:dyDescent="0.2">
      <c r="A192" s="1"/>
      <c r="B192" s="176"/>
      <c r="C192" s="1"/>
      <c r="D192" s="4"/>
      <c r="E192" s="4"/>
      <c r="F192" s="4"/>
      <c r="G192" s="31"/>
      <c r="H192" s="1"/>
      <c r="I192" s="43"/>
      <c r="J192" s="43"/>
      <c r="K192" s="2"/>
      <c r="L192" s="24"/>
      <c r="M192" s="22"/>
      <c r="N192" s="4"/>
      <c r="O192" s="11"/>
      <c r="P192" s="4"/>
      <c r="Q192" s="19"/>
      <c r="R192" s="19"/>
      <c r="S192" s="14"/>
    </row>
    <row r="193" spans="1:19" s="3" customFormat="1" ht="19.649999999999999" customHeight="1" x14ac:dyDescent="0.2">
      <c r="A193" s="1"/>
      <c r="B193" s="176"/>
      <c r="C193" s="1"/>
      <c r="D193" s="4"/>
      <c r="E193" s="4"/>
      <c r="F193" s="4"/>
      <c r="G193" s="31"/>
      <c r="H193" s="1"/>
      <c r="I193" s="43"/>
      <c r="J193" s="43"/>
      <c r="K193" s="2"/>
      <c r="L193" s="24"/>
      <c r="M193" s="22"/>
      <c r="N193" s="4"/>
      <c r="O193" s="11"/>
      <c r="P193" s="4"/>
      <c r="Q193" s="19"/>
      <c r="R193" s="19"/>
      <c r="S193" s="14"/>
    </row>
    <row r="194" spans="1:19" ht="19.649999999999999" customHeight="1" x14ac:dyDescent="0.2">
      <c r="B194" s="174"/>
      <c r="C194" s="1"/>
      <c r="D194" s="4"/>
      <c r="E194" s="4"/>
      <c r="F194" s="4"/>
      <c r="G194" s="31"/>
      <c r="H194" s="1"/>
      <c r="I194" s="21"/>
      <c r="J194" s="42"/>
      <c r="K194" s="2"/>
      <c r="L194" s="24"/>
      <c r="M194" s="23"/>
      <c r="N194" s="4"/>
      <c r="O194" s="11"/>
      <c r="P194" s="4"/>
      <c r="Q194" s="19"/>
      <c r="R194" s="28"/>
      <c r="S194" s="14"/>
    </row>
    <row r="195" spans="1:19" ht="19.649999999999999" customHeight="1" x14ac:dyDescent="0.2">
      <c r="B195" s="174"/>
      <c r="C195" s="1"/>
      <c r="D195" s="4"/>
      <c r="E195" s="4"/>
      <c r="F195" s="4"/>
      <c r="G195" s="31"/>
      <c r="H195" s="1"/>
      <c r="I195" s="21"/>
      <c r="J195" s="42"/>
      <c r="K195" s="2"/>
      <c r="L195" s="24"/>
      <c r="M195" s="23"/>
      <c r="N195" s="4"/>
      <c r="O195" s="11"/>
      <c r="P195" s="4"/>
      <c r="Q195" s="19"/>
      <c r="R195" s="19"/>
      <c r="S195" s="14"/>
    </row>
    <row r="196" spans="1:19" ht="19.649999999999999" customHeight="1" x14ac:dyDescent="0.2">
      <c r="B196" s="174"/>
      <c r="C196" s="1"/>
      <c r="D196" s="4"/>
      <c r="E196" s="4"/>
      <c r="F196" s="4"/>
      <c r="G196" s="31"/>
      <c r="H196" s="1"/>
      <c r="I196" s="21"/>
      <c r="J196" s="42"/>
      <c r="K196" s="2"/>
      <c r="L196" s="24"/>
      <c r="M196" s="23"/>
      <c r="N196" s="4"/>
      <c r="O196" s="11"/>
      <c r="P196" s="4"/>
      <c r="Q196" s="19"/>
      <c r="R196" s="19"/>
      <c r="S196" s="14"/>
    </row>
    <row r="197" spans="1:19" ht="19.649999999999999" customHeight="1" x14ac:dyDescent="0.2">
      <c r="B197" s="174"/>
      <c r="C197" s="1"/>
      <c r="D197" s="4"/>
      <c r="E197" s="4"/>
      <c r="F197" s="4"/>
      <c r="G197" s="31"/>
      <c r="H197" s="1"/>
      <c r="I197" s="21"/>
      <c r="J197" s="42">
        <f t="shared" ref="J197:J202" si="13">H197*I197</f>
        <v>0</v>
      </c>
      <c r="K197" s="2"/>
      <c r="L197" s="24"/>
      <c r="M197" s="23"/>
      <c r="N197" s="4"/>
      <c r="O197" s="11"/>
      <c r="P197" s="4"/>
      <c r="Q197" s="19"/>
      <c r="R197" s="19"/>
      <c r="S197" s="14"/>
    </row>
    <row r="198" spans="1:19" ht="19.649999999999999" customHeight="1" x14ac:dyDescent="0.2">
      <c r="B198" s="174"/>
      <c r="C198" s="1"/>
      <c r="D198" s="4"/>
      <c r="E198" s="4"/>
      <c r="F198" s="4"/>
      <c r="G198" s="31"/>
      <c r="H198" s="1"/>
      <c r="I198" s="21"/>
      <c r="J198" s="42">
        <f t="shared" si="13"/>
        <v>0</v>
      </c>
      <c r="K198" s="2"/>
      <c r="L198" s="24"/>
      <c r="M198" s="23"/>
      <c r="N198" s="4"/>
      <c r="O198" s="11"/>
      <c r="P198" s="4"/>
      <c r="Q198" s="19"/>
      <c r="R198" s="19"/>
      <c r="S198" s="14"/>
    </row>
    <row r="199" spans="1:19" ht="19.649999999999999" customHeight="1" x14ac:dyDescent="0.2">
      <c r="B199" s="174"/>
      <c r="C199" s="1"/>
      <c r="D199" s="4"/>
      <c r="E199" s="4"/>
      <c r="F199" s="4"/>
      <c r="G199" s="31"/>
      <c r="H199" s="1"/>
      <c r="I199" s="21"/>
      <c r="J199" s="42">
        <f t="shared" si="13"/>
        <v>0</v>
      </c>
      <c r="K199" s="2"/>
      <c r="L199" s="24"/>
      <c r="M199" s="23"/>
      <c r="N199" s="4"/>
      <c r="O199" s="11"/>
      <c r="P199" s="4"/>
      <c r="Q199" s="19"/>
      <c r="R199" s="19"/>
      <c r="S199" s="14"/>
    </row>
    <row r="200" spans="1:19" ht="19.649999999999999" customHeight="1" x14ac:dyDescent="0.2">
      <c r="B200" s="174"/>
      <c r="C200" s="47"/>
      <c r="D200" s="4"/>
      <c r="E200" s="4"/>
      <c r="F200" s="4"/>
      <c r="G200" s="31"/>
      <c r="H200" s="1"/>
      <c r="I200" s="21"/>
      <c r="J200" s="42">
        <f t="shared" si="13"/>
        <v>0</v>
      </c>
      <c r="K200" s="2"/>
      <c r="L200" s="24"/>
      <c r="M200" s="23"/>
      <c r="N200" s="4"/>
      <c r="O200" s="11"/>
      <c r="P200" s="4"/>
      <c r="Q200" s="19"/>
      <c r="R200" s="19"/>
      <c r="S200" s="14"/>
    </row>
    <row r="201" spans="1:19" ht="19.649999999999999" customHeight="1" x14ac:dyDescent="0.2">
      <c r="B201" s="174"/>
      <c r="C201" s="47"/>
      <c r="D201" s="4"/>
      <c r="E201" s="4"/>
      <c r="F201" s="4"/>
      <c r="G201" s="31"/>
      <c r="H201" s="1"/>
      <c r="I201" s="21"/>
      <c r="J201" s="42">
        <f t="shared" si="13"/>
        <v>0</v>
      </c>
      <c r="K201" s="2"/>
      <c r="L201" s="24"/>
      <c r="M201" s="23"/>
      <c r="N201" s="4"/>
      <c r="O201" s="11"/>
      <c r="P201" s="4"/>
      <c r="Q201" s="19"/>
      <c r="R201" s="19"/>
      <c r="S201" s="14"/>
    </row>
    <row r="202" spans="1:19" ht="19.649999999999999" customHeight="1" x14ac:dyDescent="0.2">
      <c r="B202" s="174"/>
      <c r="C202" s="47"/>
      <c r="D202" s="4"/>
      <c r="E202" s="4"/>
      <c r="F202" s="4"/>
      <c r="G202" s="31"/>
      <c r="H202" s="1"/>
      <c r="I202" s="21"/>
      <c r="J202" s="42">
        <f t="shared" si="13"/>
        <v>0</v>
      </c>
      <c r="K202" s="2"/>
      <c r="L202" s="24"/>
      <c r="M202" s="23"/>
      <c r="N202" s="4"/>
      <c r="O202" s="11"/>
      <c r="P202" s="4"/>
      <c r="Q202" s="19"/>
      <c r="R202" s="19"/>
      <c r="S202" s="14"/>
    </row>
    <row r="203" spans="1:19" x14ac:dyDescent="0.2">
      <c r="J203" s="46"/>
    </row>
  </sheetData>
  <autoFilter ref="D9:Q53" xr:uid="{00000000-0009-0000-0000-000000000000}"/>
  <mergeCells count="17">
    <mergeCell ref="D2:F2"/>
    <mergeCell ref="I2:K2"/>
    <mergeCell ref="D3:F3"/>
    <mergeCell ref="D4:F4"/>
    <mergeCell ref="L4:M5"/>
    <mergeCell ref="D5:F5"/>
    <mergeCell ref="I5:I6"/>
    <mergeCell ref="D6:F6"/>
    <mergeCell ref="G128:J128"/>
    <mergeCell ref="E132:G132"/>
    <mergeCell ref="G149:J149"/>
    <mergeCell ref="E155:G155"/>
    <mergeCell ref="D12:G12"/>
    <mergeCell ref="G58:J58"/>
    <mergeCell ref="E63:G63"/>
    <mergeCell ref="G93:J93"/>
    <mergeCell ref="E97:G97"/>
  </mergeCells>
  <phoneticPr fontId="16"/>
  <dataValidations count="1">
    <dataValidation allowBlank="1" showInputMessage="1" showErrorMessage="1" sqref="L54:L55" xr:uid="{5E7A26B6-911D-4A2E-8D47-032FBCB77910}"/>
  </dataValidations>
  <pageMargins left="0.2" right="0.2" top="0.36" bottom="0.41" header="0.3" footer="0.3"/>
  <pageSetup paperSize="9" scale="70" orientation="landscape" r:id="rId1"/>
  <ignoredErrors>
    <ignoredError sqref="G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232296　原価表  ②20260508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齋藤 秀昭</dc:creator>
  <cp:lastModifiedBy>齋藤 秀昭</cp:lastModifiedBy>
  <cp:lastPrinted>2018-06-15T01:25:43Z</cp:lastPrinted>
  <dcterms:created xsi:type="dcterms:W3CDTF">2011-12-13T06:48:43Z</dcterms:created>
  <dcterms:modified xsi:type="dcterms:W3CDTF">2026-06-24T02:05:58Z</dcterms:modified>
</cp:coreProperties>
</file>