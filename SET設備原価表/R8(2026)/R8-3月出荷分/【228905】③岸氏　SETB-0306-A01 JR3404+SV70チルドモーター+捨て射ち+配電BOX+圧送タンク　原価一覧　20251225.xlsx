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sv-ap\DATA\製品管理部(機材)出荷管理課・資材調達課\機材・資材調達課(ﾛﾎﾞｯﾄ部品手配)\"/>
    </mc:Choice>
  </mc:AlternateContent>
  <xr:revisionPtr revIDLastSave="0" documentId="13_ncr:1_{A2A60042-4EC3-4D51-9D4B-3E9D0FB866F7}" xr6:coauthVersionLast="47" xr6:coauthVersionMax="47" xr10:uidLastSave="{00000000-0000-0000-0000-000000000000}"/>
  <bookViews>
    <workbookView xWindow="-108" yWindow="-108" windowWidth="23256" windowHeight="13896" xr2:uid="{00000000-000D-0000-FFFF-FFFF00000000}"/>
  </bookViews>
  <sheets>
    <sheet name="SETB0306-A01 (20251225)　③" sheetId="19" r:id="rId1"/>
    <sheet name="Sheet1" sheetId="13" r:id="rId2"/>
    <sheet name="Sheet2" sheetId="2" r:id="rId3"/>
    <sheet name="Sheet3" sheetId="3" r:id="rId4"/>
  </sheets>
  <definedNames>
    <definedName name="_xlnm._FilterDatabase" localSheetId="0" hidden="1">'SETB0306-A01 (20251225)　③'!$A$10:$S$156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1" i="19" l="1"/>
  <c r="J170" i="19"/>
  <c r="J169" i="19"/>
  <c r="J168" i="19"/>
  <c r="J167" i="19"/>
  <c r="J166" i="19"/>
  <c r="J165" i="19"/>
  <c r="J164" i="19"/>
  <c r="J163" i="19"/>
  <c r="J162" i="19"/>
  <c r="J161" i="19"/>
  <c r="J160" i="19"/>
  <c r="G174" i="19" s="1"/>
  <c r="D160" i="19"/>
  <c r="D161" i="19" s="1"/>
  <c r="D162" i="19" s="1"/>
  <c r="D163" i="19" s="1"/>
  <c r="D164" i="19" s="1"/>
  <c r="D165" i="19" s="1"/>
  <c r="D166" i="19" s="1"/>
  <c r="D167" i="19" s="1"/>
  <c r="D168" i="19" s="1"/>
  <c r="D169" i="19" s="1"/>
  <c r="D170" i="19" s="1"/>
  <c r="D171" i="19" s="1"/>
  <c r="J192" i="19" l="1"/>
  <c r="J191" i="19"/>
  <c r="J190" i="19"/>
  <c r="J154" i="19"/>
  <c r="J153" i="19"/>
  <c r="J152" i="19"/>
  <c r="J151" i="19"/>
  <c r="J150" i="19"/>
  <c r="J149" i="19"/>
  <c r="J148" i="19"/>
  <c r="J147" i="19"/>
  <c r="J146" i="19"/>
  <c r="J145" i="19"/>
  <c r="J144" i="19"/>
  <c r="J143" i="19"/>
  <c r="J142" i="19"/>
  <c r="J141" i="19"/>
  <c r="J140" i="19"/>
  <c r="J139" i="19"/>
  <c r="J138" i="19"/>
  <c r="J137" i="19"/>
  <c r="J136" i="19"/>
  <c r="J135" i="19"/>
  <c r="J134" i="19"/>
  <c r="J133" i="19"/>
  <c r="J132" i="19"/>
  <c r="J131" i="19"/>
  <c r="J130" i="19"/>
  <c r="J129" i="19"/>
  <c r="J128" i="19"/>
  <c r="J127" i="19"/>
  <c r="J126" i="19"/>
  <c r="J125" i="19"/>
  <c r="J124" i="19"/>
  <c r="J123" i="19"/>
  <c r="J116" i="19"/>
  <c r="J115" i="19"/>
  <c r="J109" i="19"/>
  <c r="J108" i="19"/>
  <c r="J107" i="19"/>
  <c r="J106" i="19"/>
  <c r="J105" i="19"/>
  <c r="J104" i="19"/>
  <c r="J103" i="19"/>
  <c r="J102" i="19"/>
  <c r="J95" i="19"/>
  <c r="J94" i="19"/>
  <c r="J93" i="19"/>
  <c r="J92" i="19"/>
  <c r="J91" i="19"/>
  <c r="J90" i="19"/>
  <c r="J89" i="19"/>
  <c r="J88" i="19"/>
  <c r="J87" i="19"/>
  <c r="J86" i="19"/>
  <c r="J78" i="19"/>
  <c r="J77" i="19"/>
  <c r="J76" i="19"/>
  <c r="J75" i="19"/>
  <c r="J74" i="19"/>
  <c r="J73" i="19"/>
  <c r="J72" i="19"/>
  <c r="J71" i="19"/>
  <c r="J70" i="19"/>
  <c r="J69" i="19"/>
  <c r="J68" i="19"/>
  <c r="J67" i="19"/>
  <c r="J66" i="19"/>
  <c r="J65" i="19"/>
  <c r="J64" i="19"/>
  <c r="J63" i="19"/>
  <c r="J62" i="19"/>
  <c r="J61" i="19"/>
  <c r="J60" i="19"/>
  <c r="J52" i="19"/>
  <c r="J51" i="19"/>
  <c r="J50" i="19"/>
  <c r="J49" i="19"/>
  <c r="J48" i="19"/>
  <c r="J47" i="19"/>
  <c r="J46" i="19"/>
  <c r="J45" i="19"/>
  <c r="J44" i="19"/>
  <c r="J37" i="19"/>
  <c r="J36" i="19"/>
  <c r="J35" i="19"/>
  <c r="J34" i="19"/>
  <c r="J33" i="19"/>
  <c r="J32" i="19"/>
  <c r="J31" i="19"/>
  <c r="J30" i="19"/>
  <c r="J29" i="19"/>
  <c r="J28" i="19"/>
  <c r="J27" i="19"/>
  <c r="J26" i="19"/>
  <c r="J25" i="19"/>
  <c r="J24" i="19"/>
  <c r="J23" i="19"/>
  <c r="J22" i="19"/>
  <c r="J21" i="19"/>
  <c r="J20" i="19"/>
  <c r="J19" i="19"/>
  <c r="J18" i="19"/>
  <c r="J12" i="19"/>
  <c r="D18" i="19"/>
  <c r="D19" i="19" s="1"/>
  <c r="D20" i="19" s="1"/>
  <c r="D21" i="19" s="1"/>
  <c r="D22" i="19" s="1"/>
  <c r="D23" i="19" s="1"/>
  <c r="D24" i="19" s="1"/>
  <c r="D25" i="19" s="1"/>
  <c r="D26" i="19" s="1"/>
  <c r="D27" i="19" s="1"/>
  <c r="D28" i="19" s="1"/>
  <c r="D29" i="19" s="1"/>
  <c r="D30" i="19" s="1"/>
  <c r="D31" i="19" s="1"/>
  <c r="D32" i="19" s="1"/>
  <c r="D33" i="19" s="1"/>
  <c r="D34" i="19" s="1"/>
  <c r="D35" i="19" s="1"/>
  <c r="D36" i="19" s="1"/>
  <c r="D37" i="19" s="1"/>
  <c r="G156" i="19" l="1"/>
  <c r="G118" i="19"/>
  <c r="G39" i="19"/>
  <c r="G54" i="19"/>
  <c r="G97" i="19"/>
  <c r="G80" i="19"/>
  <c r="L2" i="19"/>
  <c r="G111" i="19"/>
  <c r="G14" i="19"/>
  <c r="D44" i="19" l="1"/>
  <c r="D45" i="19" s="1"/>
  <c r="D46" i="19" s="1"/>
  <c r="D47" i="19" s="1"/>
  <c r="D48" i="19" s="1"/>
  <c r="D49" i="19" s="1"/>
  <c r="D50" i="19" s="1"/>
  <c r="D51" i="19" s="1"/>
  <c r="D52" i="19" s="1"/>
  <c r="D60" i="19" l="1"/>
  <c r="D61" i="19" s="1"/>
  <c r="D62" i="19" s="1"/>
  <c r="D63" i="19" s="1"/>
  <c r="D64" i="19" s="1"/>
  <c r="D65" i="19" s="1"/>
  <c r="D66" i="19" s="1"/>
  <c r="D67" i="19" l="1"/>
  <c r="D68" i="19" s="1"/>
  <c r="D69" i="19" s="1"/>
  <c r="D70" i="19" s="1"/>
  <c r="D71" i="19" s="1"/>
  <c r="D72" i="19" s="1"/>
  <c r="D73" i="19" l="1"/>
  <c r="D74" i="19" s="1"/>
  <c r="D75" i="19" l="1"/>
  <c r="D76" i="19" s="1"/>
  <c r="D77" i="19" s="1"/>
  <c r="D78" i="19" s="1"/>
  <c r="D85" i="19" l="1"/>
  <c r="D86" i="19" s="1"/>
  <c r="D87" i="19" s="1"/>
  <c r="D88" i="19" s="1"/>
  <c r="D89" i="19" s="1"/>
  <c r="D90" i="19" s="1"/>
  <c r="D91" i="19" s="1"/>
  <c r="D92" i="19" s="1"/>
  <c r="D93" i="19" s="1"/>
  <c r="D94" i="19" s="1"/>
  <c r="D95" i="19" s="1"/>
  <c r="D102" i="19" l="1"/>
  <c r="D103" i="19" s="1"/>
  <c r="D104" i="19" s="1"/>
  <c r="D105" i="19" l="1"/>
  <c r="D106" i="19" s="1"/>
  <c r="D107" i="19" s="1"/>
  <c r="D108" i="19" s="1"/>
  <c r="D109" i="19" s="1"/>
  <c r="D115" i="19" s="1"/>
  <c r="D116" i="19" l="1"/>
  <c r="D123" i="19" s="1"/>
  <c r="D124" i="19" s="1"/>
  <c r="D125" i="19" l="1"/>
  <c r="D126" i="19" s="1"/>
  <c r="D127" i="19" s="1"/>
  <c r="D128" i="19" s="1"/>
  <c r="D129" i="19" s="1"/>
  <c r="D130" i="19" l="1"/>
  <c r="D131" i="19" s="1"/>
  <c r="D132" i="19" s="1"/>
  <c r="D133" i="19" s="1"/>
  <c r="D134" i="19" s="1"/>
  <c r="D135" i="19" s="1"/>
  <c r="D136" i="19" s="1"/>
  <c r="D137" i="19" s="1"/>
  <c r="D138" i="19" s="1"/>
  <c r="D139" i="19" s="1"/>
  <c r="D140" i="19" s="1"/>
  <c r="D141" i="19" s="1"/>
  <c r="D142" i="19" s="1"/>
  <c r="D143" i="19" s="1"/>
  <c r="D144" i="19" s="1"/>
  <c r="D145" i="19" s="1"/>
  <c r="D146" i="19" s="1"/>
  <c r="D147" i="19" s="1"/>
  <c r="D148" i="19" s="1"/>
  <c r="D149" i="19" s="1"/>
  <c r="D150" i="19" s="1"/>
  <c r="D151" i="19" s="1"/>
  <c r="D152" i="19" s="1"/>
  <c r="D153" i="19" s="1"/>
  <c r="D154" i="19" s="1"/>
</calcChain>
</file>

<file path=xl/sharedStrings.xml><?xml version="1.0" encoding="utf-8"?>
<sst xmlns="http://schemas.openxmlformats.org/spreadsheetml/2006/main" count="854" uniqueCount="319">
  <si>
    <t>お客先名</t>
  </si>
  <si>
    <t>合計金額</t>
  </si>
  <si>
    <t>担当営業</t>
  </si>
  <si>
    <t>受注番号</t>
  </si>
  <si>
    <t>希望納期</t>
  </si>
  <si>
    <t>最終納品</t>
  </si>
  <si>
    <t>見積り分類</t>
  </si>
  <si>
    <t>メーカー</t>
  </si>
  <si>
    <t>仕入先</t>
  </si>
  <si>
    <t>品名 / 型式</t>
  </si>
  <si>
    <t>数量</t>
  </si>
  <si>
    <t>単価</t>
  </si>
  <si>
    <t>金額</t>
  </si>
  <si>
    <t>分類合計</t>
  </si>
  <si>
    <t>詳細</t>
  </si>
  <si>
    <t>備考</t>
  </si>
  <si>
    <t>技術分類</t>
  </si>
  <si>
    <t>発注日</t>
  </si>
  <si>
    <t>発注</t>
  </si>
  <si>
    <t>納期</t>
  </si>
  <si>
    <t>入荷予定日</t>
  </si>
  <si>
    <t>入荷日</t>
  </si>
  <si>
    <t>運送費</t>
  </si>
  <si>
    <t>設計費</t>
  </si>
  <si>
    <t>組立調整費</t>
  </si>
  <si>
    <t>出荷依頼項目NO.</t>
    <rPh sb="0" eb="4">
      <t>シュッカイライ</t>
    </rPh>
    <rPh sb="4" eb="6">
      <t>コウモク</t>
    </rPh>
    <phoneticPr fontId="9"/>
  </si>
  <si>
    <t>10日目</t>
    <rPh sb="2" eb="3">
      <t>ヒ</t>
    </rPh>
    <rPh sb="3" eb="4">
      <t>メ</t>
    </rPh>
    <phoneticPr fontId="10"/>
  </si>
  <si>
    <t>ミスミ</t>
    <phoneticPr fontId="10"/>
  </si>
  <si>
    <t>配電BOX　関連</t>
    <rPh sb="0" eb="2">
      <t>ハイデン</t>
    </rPh>
    <rPh sb="6" eb="8">
      <t>カンレン</t>
    </rPh>
    <phoneticPr fontId="10"/>
  </si>
  <si>
    <t>1日目</t>
    <rPh sb="1" eb="2">
      <t>ヒ</t>
    </rPh>
    <rPh sb="2" eb="3">
      <t>メ</t>
    </rPh>
    <phoneticPr fontId="10"/>
  </si>
  <si>
    <t>3日目</t>
    <rPh sb="1" eb="2">
      <t>ヒ</t>
    </rPh>
    <rPh sb="2" eb="3">
      <t>メ</t>
    </rPh>
    <phoneticPr fontId="10"/>
  </si>
  <si>
    <t>2日目</t>
    <rPh sb="1" eb="2">
      <t>ヒ</t>
    </rPh>
    <rPh sb="2" eb="3">
      <t>メ</t>
    </rPh>
    <phoneticPr fontId="10"/>
  </si>
  <si>
    <t>meviy</t>
    <phoneticPr fontId="10"/>
  </si>
  <si>
    <t>MVSHM-3N02052005020-2D1-AN79X</t>
    <phoneticPr fontId="10"/>
  </si>
  <si>
    <t>158930－Z001　レギュレーター取付板金</t>
    <phoneticPr fontId="10"/>
  </si>
  <si>
    <t>BVHV6-1-3-A</t>
    <phoneticPr fontId="10"/>
  </si>
  <si>
    <t>ハンドバルブ</t>
    <phoneticPr fontId="10"/>
  </si>
  <si>
    <t>CHNS4</t>
    <phoneticPr fontId="10"/>
  </si>
  <si>
    <t>蝶ﾅｯﾄ</t>
    <phoneticPr fontId="10"/>
  </si>
  <si>
    <t>RSCB4-15</t>
    <phoneticPr fontId="10"/>
  </si>
  <si>
    <t>六角ﾎﾞﾙﾄ</t>
    <phoneticPr fontId="10"/>
  </si>
  <si>
    <t xml:space="preserve">USYL6 </t>
    <phoneticPr fontId="10"/>
  </si>
  <si>
    <t>ワンタッチ継手　Ｙタイプ</t>
    <phoneticPr fontId="10"/>
  </si>
  <si>
    <t>BSLG6</t>
    <phoneticPr fontId="10"/>
  </si>
  <si>
    <t>ワンタッチ継手　ブラインドプラグ</t>
  </si>
  <si>
    <t>SCB4-6</t>
    <phoneticPr fontId="10"/>
  </si>
  <si>
    <t>六角穴付きﾎﾞﾙﾄ　M4×6mm　　　　2本</t>
    <rPh sb="21" eb="22">
      <t>ホン</t>
    </rPh>
    <phoneticPr fontId="10"/>
  </si>
  <si>
    <t>A8110</t>
    <phoneticPr fontId="10"/>
  </si>
  <si>
    <t>汎用3芯OAタップ 4ヶ口</t>
    <phoneticPr fontId="10"/>
  </si>
  <si>
    <t>ＪＡＰＰＹ</t>
    <phoneticPr fontId="10"/>
  </si>
  <si>
    <t>配線ダクト（側片折り取り可能）　1本　　カッチンダクト</t>
    <rPh sb="17" eb="18">
      <t>ホン</t>
    </rPh>
    <phoneticPr fontId="10"/>
  </si>
  <si>
    <t>EBS-32FB-15A</t>
    <phoneticPr fontId="10"/>
  </si>
  <si>
    <t>漏電ブレーカ</t>
    <rPh sb="0" eb="2">
      <t>ロウデン</t>
    </rPh>
    <phoneticPr fontId="10"/>
  </si>
  <si>
    <t>TBS-22</t>
    <phoneticPr fontId="10"/>
  </si>
  <si>
    <r>
      <t>端子カバー　</t>
    </r>
    <r>
      <rPr>
        <b/>
        <sz val="11"/>
        <rFont val="ＭＳ Ｐゴシック"/>
        <family val="3"/>
        <charset val="128"/>
      </rPr>
      <t>　</t>
    </r>
    <phoneticPr fontId="10"/>
  </si>
  <si>
    <t>MKS9L-10P</t>
    <phoneticPr fontId="10"/>
  </si>
  <si>
    <t>MKBシリーズ　止め金具【10個入り】</t>
    <phoneticPr fontId="10"/>
  </si>
  <si>
    <t>MWS-MDR50-HT50</t>
    <phoneticPr fontId="10"/>
  </si>
  <si>
    <t>MWSシリーズ（バネアップ）,対応圧着端子：Y端子/丸端子</t>
    <phoneticPr fontId="10"/>
  </si>
  <si>
    <t>MWS-DS37A-HT37</t>
    <phoneticPr fontId="10"/>
  </si>
  <si>
    <t>MWSシリーズ（バネアップ）,DINレール取付、ネジ取付両対応</t>
    <phoneticPr fontId="10"/>
  </si>
  <si>
    <t>3VC-3</t>
    <phoneticPr fontId="10"/>
  </si>
  <si>
    <t>ACコード 固定長（PSE） 片側切り落としタイププラグ</t>
    <phoneticPr fontId="10"/>
  </si>
  <si>
    <t>DINレール</t>
    <phoneticPr fontId="10"/>
  </si>
  <si>
    <t>三沢電線</t>
    <rPh sb="0" eb="2">
      <t>ミサワ</t>
    </rPh>
    <rPh sb="2" eb="4">
      <t>デンセン</t>
    </rPh>
    <phoneticPr fontId="10"/>
  </si>
  <si>
    <t>UL1007-20AWG-BE-10</t>
    <phoneticPr fontId="10"/>
  </si>
  <si>
    <t>単芯電線　　0.5　AGW20　青色</t>
    <rPh sb="0" eb="1">
      <t>タン</t>
    </rPh>
    <rPh sb="1" eb="2">
      <t>シン</t>
    </rPh>
    <rPh sb="2" eb="4">
      <t>デンセン</t>
    </rPh>
    <rPh sb="16" eb="17">
      <t>アオ</t>
    </rPh>
    <rPh sb="17" eb="18">
      <t>イロ</t>
    </rPh>
    <phoneticPr fontId="10"/>
  </si>
  <si>
    <t>UL1007-18AWG-R-10</t>
    <phoneticPr fontId="10"/>
  </si>
  <si>
    <t>単芯電線　　0.75　AGW18　赤色</t>
    <rPh sb="0" eb="1">
      <t>タン</t>
    </rPh>
    <rPh sb="1" eb="2">
      <t>シン</t>
    </rPh>
    <rPh sb="2" eb="4">
      <t>デンセン</t>
    </rPh>
    <rPh sb="17" eb="19">
      <t>アカイロ</t>
    </rPh>
    <phoneticPr fontId="10"/>
  </si>
  <si>
    <t>UL1007-18AWG-BK-10</t>
    <phoneticPr fontId="10"/>
  </si>
  <si>
    <t>単芯電線　　0.75　AGW18　黒色</t>
    <rPh sb="0" eb="1">
      <t>タン</t>
    </rPh>
    <rPh sb="1" eb="2">
      <t>シン</t>
    </rPh>
    <rPh sb="2" eb="4">
      <t>デンセン</t>
    </rPh>
    <rPh sb="17" eb="19">
      <t>コクショク</t>
    </rPh>
    <phoneticPr fontId="10"/>
  </si>
  <si>
    <t>UL1007-18AWG-Y-10</t>
    <phoneticPr fontId="10"/>
  </si>
  <si>
    <t>単芯電線　　0.75　AGW18　黄色</t>
    <rPh sb="0" eb="1">
      <t>タン</t>
    </rPh>
    <rPh sb="1" eb="2">
      <t>シン</t>
    </rPh>
    <rPh sb="2" eb="4">
      <t>デンセン</t>
    </rPh>
    <rPh sb="17" eb="19">
      <t>キイロ</t>
    </rPh>
    <phoneticPr fontId="10"/>
  </si>
  <si>
    <t>UL1007-18AWG-GN-10</t>
    <phoneticPr fontId="10"/>
  </si>
  <si>
    <t>単芯電線　　0.75　AGW18　緑色</t>
    <rPh sb="0" eb="1">
      <t>タン</t>
    </rPh>
    <rPh sb="1" eb="2">
      <t>シン</t>
    </rPh>
    <rPh sb="2" eb="4">
      <t>デンセン</t>
    </rPh>
    <rPh sb="17" eb="19">
      <t>ミドリイロ</t>
    </rPh>
    <phoneticPr fontId="10"/>
  </si>
  <si>
    <t>UL1007-16AWG-Y-10</t>
    <phoneticPr fontId="10"/>
  </si>
  <si>
    <t>単芯電線　　1.25　AGW16　黄色</t>
    <rPh sb="0" eb="1">
      <t>タン</t>
    </rPh>
    <rPh sb="1" eb="2">
      <t>シン</t>
    </rPh>
    <rPh sb="2" eb="4">
      <t>デンセン</t>
    </rPh>
    <rPh sb="17" eb="19">
      <t>キイロ</t>
    </rPh>
    <phoneticPr fontId="10"/>
  </si>
  <si>
    <t>UL1007-16AWG-GN-10</t>
    <phoneticPr fontId="10"/>
  </si>
  <si>
    <t>単芯電線　　1.25　AGW16　緑色</t>
    <rPh sb="0" eb="1">
      <t>タン</t>
    </rPh>
    <rPh sb="1" eb="2">
      <t>シン</t>
    </rPh>
    <rPh sb="2" eb="4">
      <t>デンセン</t>
    </rPh>
    <rPh sb="17" eb="19">
      <t>ミドリイロ</t>
    </rPh>
    <phoneticPr fontId="10"/>
  </si>
  <si>
    <t>Web設計ボックス</t>
    <rPh sb="3" eb="5">
      <t>セッケイ</t>
    </rPh>
    <phoneticPr fontId="10"/>
  </si>
  <si>
    <t>タキゲン製造</t>
    <rPh sb="4" eb="6">
      <t>セイゾウ</t>
    </rPh>
    <phoneticPr fontId="10"/>
  </si>
  <si>
    <t>C-30-SG-30X90A-EP-UL</t>
    <phoneticPr fontId="10"/>
  </si>
  <si>
    <t>グロメット　　2個</t>
    <rPh sb="8" eb="9">
      <t>コ</t>
    </rPh>
    <phoneticPr fontId="10"/>
  </si>
  <si>
    <t>AYSK15-10</t>
    <phoneticPr fontId="10"/>
  </si>
  <si>
    <t>ゴム足</t>
    <rPh sb="2" eb="3">
      <t>アシ</t>
    </rPh>
    <phoneticPr fontId="10"/>
  </si>
  <si>
    <t>ミスミ</t>
  </si>
  <si>
    <t xml:space="preserve">SCB4-8  </t>
    <phoneticPr fontId="10"/>
  </si>
  <si>
    <t>六角穴付ボルト　　4本 在庫使用</t>
    <rPh sb="10" eb="11">
      <t>ホン</t>
    </rPh>
    <phoneticPr fontId="10"/>
  </si>
  <si>
    <t>ﾜｺﾞ</t>
    <phoneticPr fontId="10"/>
  </si>
  <si>
    <t>2000-1301</t>
    <phoneticPr fontId="10"/>
  </si>
  <si>
    <t>DINレール用中継端子台 2000シリーズ　ｸﾞﾚｰ色　　16個</t>
    <rPh sb="26" eb="27">
      <t>ショク</t>
    </rPh>
    <rPh sb="31" eb="32">
      <t>コ</t>
    </rPh>
    <phoneticPr fontId="10"/>
  </si>
  <si>
    <t>2000-1391</t>
    <phoneticPr fontId="10"/>
  </si>
  <si>
    <t>中継用端子台用エンドプレート  ｸﾞﾚｰ色　4枚</t>
    <rPh sb="23" eb="24">
      <t>マイ</t>
    </rPh>
    <phoneticPr fontId="10"/>
  </si>
  <si>
    <t>2000-404</t>
    <phoneticPr fontId="10"/>
  </si>
  <si>
    <t>中継用端子台 差込型ジャンパ（絶縁）　　4個</t>
    <rPh sb="21" eb="22">
      <t>コ</t>
    </rPh>
    <phoneticPr fontId="10"/>
  </si>
  <si>
    <t>2002-1301</t>
    <phoneticPr fontId="10"/>
  </si>
  <si>
    <t>DINレール用中継端子台 2002シリーズ　ｸﾞﾚｰ色　　6個</t>
    <rPh sb="26" eb="27">
      <t>ショク</t>
    </rPh>
    <rPh sb="30" eb="31">
      <t>コ</t>
    </rPh>
    <phoneticPr fontId="10"/>
  </si>
  <si>
    <t>2002-1307</t>
    <phoneticPr fontId="10"/>
  </si>
  <si>
    <t>DINレール用中継端子台 2002シリーズ　ｱｰｽ用ｸﾞﾘｰﾝ色　3個</t>
    <rPh sb="25" eb="26">
      <t>ヨウ</t>
    </rPh>
    <rPh sb="31" eb="32">
      <t>イロ</t>
    </rPh>
    <rPh sb="34" eb="35">
      <t>コ</t>
    </rPh>
    <phoneticPr fontId="10"/>
  </si>
  <si>
    <t>2002-403</t>
    <phoneticPr fontId="10"/>
  </si>
  <si>
    <t>中継用端子台 差込型ジャンパ（絶縁） 2002シリーズ用　3個</t>
    <rPh sb="30" eb="31">
      <t>コ</t>
    </rPh>
    <phoneticPr fontId="10"/>
  </si>
  <si>
    <t>2002-1391</t>
    <phoneticPr fontId="10"/>
  </si>
  <si>
    <t>中継用端子台用エンドプレート　　4個</t>
    <rPh sb="17" eb="18">
      <t>コ</t>
    </rPh>
    <phoneticPr fontId="10"/>
  </si>
  <si>
    <t>1日目</t>
    <rPh sb="1" eb="3">
      <t>ヒメ</t>
    </rPh>
    <phoneticPr fontId="10"/>
  </si>
  <si>
    <t>ﾂｰﾙ冶具ﾕﾆｯﾄ</t>
    <phoneticPr fontId="10"/>
  </si>
  <si>
    <t>8日目</t>
    <rPh sb="1" eb="2">
      <t>ヒ</t>
    </rPh>
    <rPh sb="2" eb="3">
      <t>メ</t>
    </rPh>
    <phoneticPr fontId="10"/>
  </si>
  <si>
    <t>CBSST3-6</t>
    <phoneticPr fontId="10"/>
  </si>
  <si>
    <t>低頭六角穴付ボルト</t>
    <phoneticPr fontId="10"/>
  </si>
  <si>
    <t>モーター駆動軸先端固定用ﾈｼﾞ</t>
    <rPh sb="4" eb="6">
      <t>クドウ</t>
    </rPh>
    <rPh sb="6" eb="7">
      <t>ジク</t>
    </rPh>
    <rPh sb="7" eb="9">
      <t>センタン</t>
    </rPh>
    <rPh sb="9" eb="11">
      <t>コテイ</t>
    </rPh>
    <rPh sb="11" eb="12">
      <t>ヨウ</t>
    </rPh>
    <phoneticPr fontId="10"/>
  </si>
  <si>
    <t>MS3-10</t>
    <phoneticPr fontId="10"/>
  </si>
  <si>
    <t>ノックピン　－プラス公差　2本</t>
    <rPh sb="14" eb="15">
      <t>ホン</t>
    </rPh>
    <phoneticPr fontId="10"/>
  </si>
  <si>
    <t>SCB4-14</t>
    <phoneticPr fontId="10"/>
  </si>
  <si>
    <t>SCB4-25</t>
    <phoneticPr fontId="10"/>
  </si>
  <si>
    <t>ﾛﾎﾞｯﾄθ軸固定用</t>
    <phoneticPr fontId="10"/>
  </si>
  <si>
    <t xml:space="preserve">SLBNR4 </t>
    <phoneticPr fontId="10"/>
  </si>
  <si>
    <t>ナット　　1個</t>
    <rPh sb="6" eb="7">
      <t>コ</t>
    </rPh>
    <phoneticPr fontId="10"/>
  </si>
  <si>
    <t>sunco</t>
    <phoneticPr fontId="10"/>
  </si>
  <si>
    <t>SSHNI-ST-M4-14</t>
    <phoneticPr fontId="10"/>
  </si>
  <si>
    <t>六角穴付 止めねじ 棒先 アンスコ製　　1個</t>
    <rPh sb="21" eb="22">
      <t>コ</t>
    </rPh>
    <phoneticPr fontId="10"/>
  </si>
  <si>
    <t>WSSS12-3-1</t>
    <phoneticPr fontId="10"/>
  </si>
  <si>
    <t>金属ワッシャ　Ｔ寸選択・指定タイプ</t>
    <phoneticPr fontId="10"/>
  </si>
  <si>
    <t>モーター駆動軸先端固定用ｽﾍﾟｰｻ部使用</t>
    <rPh sb="4" eb="6">
      <t>クドウ</t>
    </rPh>
    <rPh sb="6" eb="7">
      <t>ジク</t>
    </rPh>
    <rPh sb="7" eb="9">
      <t>センタン</t>
    </rPh>
    <rPh sb="9" eb="11">
      <t>コテイ</t>
    </rPh>
    <rPh sb="11" eb="12">
      <t>ヨウ</t>
    </rPh>
    <rPh sb="17" eb="18">
      <t>ブ</t>
    </rPh>
    <rPh sb="18" eb="20">
      <t>シヨウ</t>
    </rPh>
    <phoneticPr fontId="10"/>
  </si>
  <si>
    <t>MSSFS4-8</t>
    <phoneticPr fontId="10"/>
  </si>
  <si>
    <t>六角穴付止めねじ平先</t>
    <phoneticPr fontId="10"/>
  </si>
  <si>
    <t>SETB-0091-Ｙ05 に固定</t>
    <rPh sb="15" eb="17">
      <t>コテイ</t>
    </rPh>
    <phoneticPr fontId="10"/>
  </si>
  <si>
    <t>SCB5-10</t>
    <phoneticPr fontId="10"/>
  </si>
  <si>
    <t>六角穴付きﾎﾞﾙﾄ　M5×10mm　1本</t>
    <rPh sb="19" eb="20">
      <t>ホン</t>
    </rPh>
    <phoneticPr fontId="10"/>
  </si>
  <si>
    <t>ﾛﾎﾞｯﾄθ軸固定用</t>
    <rPh sb="6" eb="7">
      <t>ジク</t>
    </rPh>
    <rPh sb="7" eb="9">
      <t>コテイ</t>
    </rPh>
    <rPh sb="9" eb="10">
      <t>ヨウ</t>
    </rPh>
    <phoneticPr fontId="10"/>
  </si>
  <si>
    <t>WSSS16-5-3</t>
    <phoneticPr fontId="10"/>
  </si>
  <si>
    <t>DCLS-D17-V10-H22-T1.5-L5.5</t>
    <phoneticPr fontId="10"/>
  </si>
  <si>
    <t>段付スペーサ</t>
    <phoneticPr fontId="10"/>
  </si>
  <si>
    <t>SETB-0091-Ｙ06 モータ受けとして</t>
    <rPh sb="17" eb="18">
      <t>ウ</t>
    </rPh>
    <phoneticPr fontId="10"/>
  </si>
  <si>
    <t>FL6903ZZ</t>
    <phoneticPr fontId="10"/>
  </si>
  <si>
    <t>小径玉軸受　フランジ付両シールド形</t>
    <phoneticPr fontId="10"/>
  </si>
  <si>
    <t>SCB4-45</t>
    <phoneticPr fontId="10"/>
  </si>
  <si>
    <t>六角穴付きﾎﾞﾙﾄ　 (M4×45)　4本</t>
    <rPh sb="20" eb="21">
      <t>ホン</t>
    </rPh>
    <phoneticPr fontId="10"/>
  </si>
  <si>
    <t>六角穴付きﾎﾞﾙﾄ　 (M4×14)　　6本</t>
    <rPh sb="21" eb="22">
      <t>ホン</t>
    </rPh>
    <phoneticPr fontId="10"/>
  </si>
  <si>
    <t>SETB-0091-Y06とSETB-0091-Y05　固定用　6個</t>
    <rPh sb="28" eb="30">
      <t>コテイ</t>
    </rPh>
    <rPh sb="30" eb="31">
      <t>ヨウ</t>
    </rPh>
    <rPh sb="33" eb="34">
      <t>コ</t>
    </rPh>
    <phoneticPr fontId="10"/>
  </si>
  <si>
    <t>ねじ変換継手</t>
    <phoneticPr fontId="10"/>
  </si>
  <si>
    <t>チューブ用継手　ナット・スリーブ一体型　エルボ　</t>
    <phoneticPr fontId="10"/>
  </si>
  <si>
    <t>SUNCO</t>
    <phoneticPr fontId="10"/>
  </si>
  <si>
    <t>ﾐｽﾐ</t>
    <phoneticPr fontId="10"/>
  </si>
  <si>
    <t>FNT3</t>
    <phoneticPr fontId="10"/>
  </si>
  <si>
    <t>KBXS100-100</t>
    <phoneticPr fontId="10"/>
  </si>
  <si>
    <t>金属BOX</t>
    <phoneticPr fontId="10"/>
  </si>
  <si>
    <t>SCB4-5</t>
    <phoneticPr fontId="10"/>
  </si>
  <si>
    <r>
      <t>SETB0091</t>
    </r>
    <r>
      <rPr>
        <b/>
        <sz val="11"/>
        <rFont val="ＭＳ Ｐゴシック"/>
        <family val="3"/>
        <charset val="128"/>
      </rPr>
      <t>-Ｙ05</t>
    </r>
    <r>
      <rPr>
        <sz val="11"/>
        <color theme="1"/>
        <rFont val="ＭＳ Ｐゴシック"/>
        <family val="3"/>
        <charset val="128"/>
        <scheme val="minor"/>
      </rPr>
      <t xml:space="preserve"> 回転軸位置決めﾌﾞﾗｹｯﾄ</t>
    </r>
    <phoneticPr fontId="10"/>
  </si>
  <si>
    <r>
      <rPr>
        <b/>
        <sz val="11"/>
        <color indexed="8"/>
        <rFont val="ＭＳ Ｐゴシック"/>
        <family val="3"/>
        <charset val="128"/>
      </rPr>
      <t>SETB-0110-Ｙ01</t>
    </r>
    <r>
      <rPr>
        <b/>
        <sz val="11"/>
        <color indexed="10"/>
        <rFont val="ＭＳ Ｐゴシック"/>
        <family val="3"/>
        <charset val="128"/>
      </rPr>
      <t xml:space="preserve"> </t>
    </r>
    <r>
      <rPr>
        <sz val="11"/>
        <color theme="1"/>
        <rFont val="ＭＳ Ｐゴシック"/>
        <family val="3"/>
        <charset val="128"/>
        <scheme val="minor"/>
      </rPr>
      <t>ﾊﾞﾙﾌﾞ固定モーターﾌﾞﾗｹｯﾄ</t>
    </r>
    <phoneticPr fontId="10"/>
  </si>
  <si>
    <t>MS4-10</t>
    <phoneticPr fontId="10"/>
  </si>
  <si>
    <t>APMTS-N1-T1</t>
    <phoneticPr fontId="10"/>
  </si>
  <si>
    <t>MVBLK-AMW-3SB-R2X88</t>
    <phoneticPr fontId="9"/>
  </si>
  <si>
    <t>MVBLK-AMW-343-8ZXY2</t>
    <phoneticPr fontId="9"/>
  </si>
  <si>
    <r>
      <t>SETB</t>
    </r>
    <r>
      <rPr>
        <b/>
        <sz val="11"/>
        <rFont val="ＭＳ Ｐゴシック"/>
        <family val="3"/>
        <charset val="128"/>
      </rPr>
      <t>0209-Ｙ06</t>
    </r>
    <r>
      <rPr>
        <sz val="11"/>
        <color theme="1"/>
        <rFont val="ＭＳ Ｐゴシック"/>
        <family val="3"/>
        <charset val="128"/>
        <scheme val="minor"/>
      </rPr>
      <t xml:space="preserve"> モータ取付板</t>
    </r>
    <phoneticPr fontId="10"/>
  </si>
  <si>
    <t>ｹｰﾌﾞﾙﾍﾞｱ関連</t>
    <phoneticPr fontId="10"/>
  </si>
  <si>
    <t>6日目</t>
    <rPh sb="1" eb="2">
      <t>ヒ</t>
    </rPh>
    <rPh sb="2" eb="3">
      <t>メ</t>
    </rPh>
    <phoneticPr fontId="17"/>
  </si>
  <si>
    <t>1日目</t>
    <rPh sb="1" eb="2">
      <t>ヒ</t>
    </rPh>
    <rPh sb="2" eb="3">
      <t>メ</t>
    </rPh>
    <phoneticPr fontId="17"/>
  </si>
  <si>
    <t>3日目</t>
    <rPh sb="1" eb="2">
      <t>ヒ</t>
    </rPh>
    <rPh sb="2" eb="3">
      <t>メ</t>
    </rPh>
    <phoneticPr fontId="17"/>
  </si>
  <si>
    <t>SFB5-8</t>
    <phoneticPr fontId="10"/>
  </si>
  <si>
    <t>六角穴付皿ボルト　M5×8mm</t>
    <phoneticPr fontId="10"/>
  </si>
  <si>
    <t>SLBNR5</t>
    <phoneticPr fontId="10"/>
  </si>
  <si>
    <t>M5ﾅｯﾄ</t>
    <phoneticPr fontId="10"/>
  </si>
  <si>
    <t>SBCB4-15</t>
    <phoneticPr fontId="10"/>
  </si>
  <si>
    <t xml:space="preserve">SPWF4 </t>
    <phoneticPr fontId="10"/>
  </si>
  <si>
    <t>ﾉｽﾞﾙ位置合わせ冶具　</t>
    <phoneticPr fontId="9"/>
  </si>
  <si>
    <t>JTDA-SUD-A27-B12-T2-X6-Y6-M4-L15-MA4</t>
    <phoneticPr fontId="10"/>
  </si>
  <si>
    <t>押え板</t>
    <phoneticPr fontId="10"/>
  </si>
  <si>
    <t>ASFCS-A27-B14-T0.3-D4.5-E6-C6-P15</t>
    <phoneticPr fontId="10"/>
  </si>
  <si>
    <t>シム</t>
    <phoneticPr fontId="10"/>
  </si>
  <si>
    <t>六角穴付きﾎﾞﾙﾄ　M4×5mm　　　　6本</t>
    <rPh sb="21" eb="22">
      <t>ホン</t>
    </rPh>
    <phoneticPr fontId="10"/>
  </si>
  <si>
    <t>ワッシャ　　平座金　　M4×8mm　　　4個</t>
    <rPh sb="21" eb="22">
      <t>コ</t>
    </rPh>
    <phoneticPr fontId="10"/>
  </si>
  <si>
    <r>
      <t>浸け置きﾕﾆｯﾄ　</t>
    </r>
    <r>
      <rPr>
        <b/>
        <sz val="16"/>
        <color indexed="8"/>
        <rFont val="ＭＳ Ｐゴシック"/>
        <family val="3"/>
        <charset val="128"/>
      </rPr>
      <t>　SETB-0091-A02</t>
    </r>
    <phoneticPr fontId="10"/>
  </si>
  <si>
    <t>Dsub9　オス　コネクタハーネス　#4-40ショートねじ</t>
    <phoneticPr fontId="10"/>
  </si>
  <si>
    <t>PDDU-PT-MS-9-3</t>
    <phoneticPr fontId="10"/>
  </si>
  <si>
    <t>Dsubコネクタハーネス　M2.6ショートネジ</t>
    <phoneticPr fontId="10"/>
  </si>
  <si>
    <t>PDDJ-PS-JS-37-3</t>
    <phoneticPr fontId="10"/>
  </si>
  <si>
    <t>液面レベルセンサ（アンプ内蔵パイプ取りつけタイプ） EE-SPX613</t>
    <phoneticPr fontId="9"/>
  </si>
  <si>
    <t>EE-SPX613 1M</t>
    <phoneticPr fontId="9"/>
  </si>
  <si>
    <t>ｵﾑﾛﾝ</t>
    <phoneticPr fontId="9"/>
  </si>
  <si>
    <t>蛇の目</t>
    <rPh sb="0" eb="1">
      <t>ジャ</t>
    </rPh>
    <rPh sb="2" eb="3">
      <t>メ</t>
    </rPh>
    <phoneticPr fontId="10"/>
  </si>
  <si>
    <t>特注ﾊｰﾈｽ　　IO-M　4m　MWS-MDR50-HT50用</t>
    <rPh sb="0" eb="2">
      <t>トクチュウ</t>
    </rPh>
    <rPh sb="30" eb="31">
      <t>ヨウ</t>
    </rPh>
    <phoneticPr fontId="10"/>
  </si>
  <si>
    <t>KCC7-18600-210226-405</t>
    <phoneticPr fontId="10"/>
  </si>
  <si>
    <t>M8丸型防水コネクタハーネス  ＳＶＥＭﾛﾝｸﾞ3m　TYPE</t>
    <phoneticPr fontId="10"/>
  </si>
  <si>
    <t>CSHSM-SUS-M3-5</t>
    <phoneticPr fontId="10"/>
  </si>
  <si>
    <t>岸</t>
    <rPh sb="0" eb="1">
      <t>キシ</t>
    </rPh>
    <phoneticPr fontId="9"/>
  </si>
  <si>
    <t>ﾐｽﾐ品受注NO.にて発注済み</t>
    <rPh sb="3" eb="4">
      <t>ヒン</t>
    </rPh>
    <rPh sb="4" eb="6">
      <t>ジュチュウ</t>
    </rPh>
    <rPh sb="11" eb="13">
      <t>ハッチュウ</t>
    </rPh>
    <rPh sb="13" eb="14">
      <t>ズ</t>
    </rPh>
    <phoneticPr fontId="9"/>
  </si>
  <si>
    <t>SKTGLK6-1</t>
    <phoneticPr fontId="10"/>
  </si>
  <si>
    <t>MVBLK-AMW-3SB-TBRRG</t>
    <phoneticPr fontId="9"/>
  </si>
  <si>
    <t>MVSHM-3N02050-3T2-J8B5C</t>
    <phoneticPr fontId="10"/>
  </si>
  <si>
    <r>
      <t>SETA0010-Z04</t>
    </r>
    <r>
      <rPr>
        <b/>
        <sz val="11"/>
        <color indexed="10"/>
        <rFont val="ＭＳ Ｐゴシック"/>
        <family val="3"/>
        <charset val="128"/>
      </rPr>
      <t>-1</t>
    </r>
    <r>
      <rPr>
        <sz val="11"/>
        <rFont val="ＭＳ Ｐゴシック"/>
        <family val="3"/>
        <charset val="128"/>
      </rPr>
      <t>位置決めベース</t>
    </r>
    <phoneticPr fontId="10"/>
  </si>
  <si>
    <t>MVSHM-3N03002-3T2-EXPLE</t>
    <phoneticPr fontId="10"/>
  </si>
  <si>
    <r>
      <t>SETA0010-Z02</t>
    </r>
    <r>
      <rPr>
        <b/>
        <sz val="11"/>
        <color indexed="10"/>
        <rFont val="ＭＳ Ｐゴシック"/>
        <family val="3"/>
        <charset val="128"/>
      </rPr>
      <t>-1</t>
    </r>
    <r>
      <rPr>
        <sz val="11"/>
        <rFont val="ＭＳ Ｐゴシック"/>
        <family val="3"/>
        <charset val="128"/>
      </rPr>
      <t>角度切替ベース</t>
    </r>
    <phoneticPr fontId="10"/>
  </si>
  <si>
    <t>MVSHM-ZZ99000-3SZ-7ELAD</t>
    <phoneticPr fontId="10"/>
  </si>
  <si>
    <r>
      <t>SETA0010-Z03</t>
    </r>
    <r>
      <rPr>
        <b/>
        <sz val="11"/>
        <color indexed="10"/>
        <rFont val="ＭＳ Ｐゴシック"/>
        <family val="3"/>
        <charset val="128"/>
      </rPr>
      <t>-1</t>
    </r>
    <r>
      <rPr>
        <sz val="11"/>
        <rFont val="ＭＳ Ｐゴシック"/>
        <family val="3"/>
        <charset val="128"/>
      </rPr>
      <t>角度切替ブラケット</t>
    </r>
    <phoneticPr fontId="10"/>
  </si>
  <si>
    <t>AWSS-D-D6-V4-T1.9</t>
    <phoneticPr fontId="10"/>
  </si>
  <si>
    <t>金属ワッシャ　－Ｔ寸公差選択タイプ－</t>
    <phoneticPr fontId="10"/>
  </si>
  <si>
    <t>MS2-6</t>
    <phoneticPr fontId="10"/>
  </si>
  <si>
    <t>3日目</t>
    <rPh sb="1" eb="2">
      <t>ヒ</t>
    </rPh>
    <rPh sb="2" eb="3">
      <t>メ</t>
    </rPh>
    <phoneticPr fontId="1"/>
  </si>
  <si>
    <t>6日目</t>
    <rPh sb="1" eb="2">
      <t>ヒ</t>
    </rPh>
    <rPh sb="2" eb="3">
      <t>メ</t>
    </rPh>
    <phoneticPr fontId="1"/>
  </si>
  <si>
    <t>2日目</t>
    <rPh sb="1" eb="2">
      <t>ヒ</t>
    </rPh>
    <rPh sb="2" eb="3">
      <t>メ</t>
    </rPh>
    <phoneticPr fontId="1"/>
  </si>
  <si>
    <t>1日目</t>
    <rPh sb="1" eb="2">
      <t>ヒ</t>
    </rPh>
    <rPh sb="2" eb="3">
      <t>メ</t>
    </rPh>
    <phoneticPr fontId="1"/>
  </si>
  <si>
    <t>SETB0178-Z06　30ccｶｯﾌﾟsus材　20230803</t>
    <phoneticPr fontId="10"/>
  </si>
  <si>
    <t>6日目</t>
    <rPh sb="1" eb="2">
      <t>ヒ</t>
    </rPh>
    <rPh sb="2" eb="3">
      <t>メ</t>
    </rPh>
    <phoneticPr fontId="10"/>
  </si>
  <si>
    <t>MVTUP-SUB-3GK-HD2S8</t>
    <phoneticPr fontId="9"/>
  </si>
  <si>
    <t>MS3-6</t>
    <phoneticPr fontId="9"/>
  </si>
  <si>
    <t>MVSHM-3N02052-3G9-NFSDF</t>
    <phoneticPr fontId="9"/>
  </si>
  <si>
    <t>SETB0177-Z03　カップ受け板金2</t>
    <phoneticPr fontId="9"/>
  </si>
  <si>
    <t>日産ﾈｼﾞ</t>
    <phoneticPr fontId="10"/>
  </si>
  <si>
    <t>MVSHM-3N02052-3G9-MWJ92</t>
    <phoneticPr fontId="9"/>
  </si>
  <si>
    <t>SETB0177-Z04　金属BOX受け板金3</t>
    <phoneticPr fontId="9"/>
  </si>
  <si>
    <t>UNST5-40</t>
    <phoneticPr fontId="9"/>
  </si>
  <si>
    <t>低弾性ラバー付ボルト</t>
    <phoneticPr fontId="9"/>
  </si>
  <si>
    <t>タキゲン製造</t>
    <rPh sb="4" eb="6">
      <t>セイゾウ</t>
    </rPh>
    <phoneticPr fontId="9"/>
  </si>
  <si>
    <t>ﾐｽﾐ</t>
    <phoneticPr fontId="9"/>
  </si>
  <si>
    <t>B-1100-3</t>
    <phoneticPr fontId="9"/>
  </si>
  <si>
    <t>平型蝶番（B-1100・ステンレス製） 長さ:38mm 幅:26mm</t>
    <phoneticPr fontId="9"/>
  </si>
  <si>
    <t>SFB3-5</t>
    <phoneticPr fontId="9"/>
  </si>
  <si>
    <t>CRKB4-8</t>
    <phoneticPr fontId="10"/>
  </si>
  <si>
    <t>樹脂付ローレットボルト</t>
    <rPh sb="0" eb="2">
      <t>ジュシ</t>
    </rPh>
    <rPh sb="2" eb="3">
      <t>ツキ</t>
    </rPh>
    <phoneticPr fontId="10"/>
  </si>
  <si>
    <t>MSC2-4</t>
    <phoneticPr fontId="9"/>
  </si>
  <si>
    <t>CSHCS-SUS-M4-5</t>
    <phoneticPr fontId="10"/>
  </si>
  <si>
    <t>皿ﾈｼﾞ　　2個</t>
    <rPh sb="7" eb="8">
      <t>コ</t>
    </rPh>
    <phoneticPr fontId="10"/>
  </si>
  <si>
    <t>MVSHM-3N03054-3AM-PACME</t>
    <phoneticPr fontId="10"/>
  </si>
  <si>
    <t>SETB0134-Z02　金属BOX受皿</t>
    <phoneticPr fontId="10"/>
  </si>
  <si>
    <t>3日間</t>
    <rPh sb="1" eb="2">
      <t>ヒ</t>
    </rPh>
    <rPh sb="2" eb="3">
      <t>カン</t>
    </rPh>
    <phoneticPr fontId="9"/>
  </si>
  <si>
    <t>日本ピスコ</t>
    <rPh sb="0" eb="2">
      <t>ニホン</t>
    </rPh>
    <phoneticPr fontId="10"/>
  </si>
  <si>
    <t>PAW6-01</t>
    <phoneticPr fontId="10"/>
  </si>
  <si>
    <t>一般配管用 チューブフィッティング ダブルブランチエイ</t>
    <phoneticPr fontId="10"/>
  </si>
  <si>
    <t>RSAU-PS-550-370-270-K-WB2404030163</t>
    <phoneticPr fontId="10"/>
  </si>
  <si>
    <t>3日間</t>
    <rPh sb="1" eb="2">
      <t>ヒ</t>
    </rPh>
    <rPh sb="2" eb="3">
      <t>カン</t>
    </rPh>
    <phoneticPr fontId="10"/>
  </si>
  <si>
    <t>ADR-361-JP</t>
    <phoneticPr fontId="10"/>
  </si>
  <si>
    <t>MRB-480</t>
    <phoneticPr fontId="10"/>
  </si>
  <si>
    <t>ワイ・デー・ケー様株式会社</t>
    <rPh sb="9" eb="13">
      <t>カブシキガイシャ</t>
    </rPh>
    <phoneticPr fontId="10"/>
  </si>
  <si>
    <t>SETB-0306-A01 JR3404+SV70チルドモーター+捨て射ち+配電BOX+圧送タンク  20251205</t>
    <phoneticPr fontId="9"/>
  </si>
  <si>
    <t>MVSHM-3N02052013016-JPA267D1P111AB</t>
    <phoneticPr fontId="10"/>
  </si>
  <si>
    <t>SETB-0009-Z01-1　ケーブルベアヘッド横板金</t>
    <phoneticPr fontId="10"/>
  </si>
  <si>
    <t>MVBLK-AMN-JPA2547JU111AB</t>
    <phoneticPr fontId="10"/>
  </si>
  <si>
    <t>SETB-0009-Z02　ケーブルベア下板</t>
    <rPh sb="20" eb="22">
      <t>シタイタ</t>
    </rPh>
    <phoneticPr fontId="10"/>
  </si>
  <si>
    <t>日本ﾋﾟｽｺ</t>
    <rPh sb="0" eb="2">
      <t>ニホン</t>
    </rPh>
    <phoneticPr fontId="10"/>
  </si>
  <si>
    <t>PLGJ4-6M</t>
    <phoneticPr fontId="10"/>
  </si>
  <si>
    <t>一般配管用 チューブフィッティングミニタイプ 違径ソケットエルボ</t>
    <phoneticPr fontId="10"/>
  </si>
  <si>
    <t>六角穴付ボタンボルト　 (M4×15) 　2本×2</t>
    <rPh sb="22" eb="23">
      <t>ホン</t>
    </rPh>
    <phoneticPr fontId="10"/>
  </si>
  <si>
    <t>平座金－単品販売－</t>
    <phoneticPr fontId="10"/>
  </si>
  <si>
    <t>SBCB4-10</t>
    <phoneticPr fontId="10"/>
  </si>
  <si>
    <t>六角穴付ボタンボルト　－ステンレス</t>
    <phoneticPr fontId="10"/>
  </si>
  <si>
    <t>SETB-0012-Z01、SET-0009-Z01-1 をﾛﾎﾞｯﾄZ軸固用</t>
    <rPh sb="38" eb="39">
      <t>ヨウ</t>
    </rPh>
    <phoneticPr fontId="10"/>
  </si>
  <si>
    <t>ケーブルベア</t>
    <phoneticPr fontId="10"/>
  </si>
  <si>
    <t>ケーブルベアとSETB-0009-Z01-1　固定用</t>
    <rPh sb="23" eb="25">
      <t>コテイ</t>
    </rPh>
    <rPh sb="25" eb="26">
      <t>ヨウ</t>
    </rPh>
    <phoneticPr fontId="10"/>
  </si>
  <si>
    <t>SFB5-10</t>
    <phoneticPr fontId="10"/>
  </si>
  <si>
    <t>六角穴付皿ボルト　M5×10mm</t>
    <phoneticPr fontId="10"/>
  </si>
  <si>
    <t>ケーブルベアとSETB-0009-Z02　　固定用</t>
    <rPh sb="22" eb="24">
      <t>コテイ</t>
    </rPh>
    <rPh sb="24" eb="25">
      <t>ヨウ</t>
    </rPh>
    <phoneticPr fontId="10"/>
  </si>
  <si>
    <t>SCB4-16</t>
    <phoneticPr fontId="10"/>
  </si>
  <si>
    <t>M4ﾈｼﾞ×16</t>
    <phoneticPr fontId="10"/>
  </si>
  <si>
    <t>SETB-0031-Z01　　　　2個</t>
    <phoneticPr fontId="10"/>
  </si>
  <si>
    <t>ﾛﾎﾞｯﾄへSETB-0009-Z02　ケーブルベア下板を固定　2個</t>
    <rPh sb="29" eb="31">
      <t>コテイ</t>
    </rPh>
    <phoneticPr fontId="10"/>
  </si>
  <si>
    <t>ケーブルベアとSETB-0009-Z01-1　固定用　2個</t>
    <rPh sb="23" eb="25">
      <t>コテイ</t>
    </rPh>
    <rPh sb="25" eb="26">
      <t>ヨウ</t>
    </rPh>
    <phoneticPr fontId="10"/>
  </si>
  <si>
    <t>ノックピン　－プラス公差　6本</t>
    <rPh sb="14" eb="15">
      <t>ホン</t>
    </rPh>
    <phoneticPr fontId="10"/>
  </si>
  <si>
    <r>
      <t>SETB0177-Z07</t>
    </r>
    <r>
      <rPr>
        <b/>
        <sz val="11"/>
        <color rgb="FFFF0000"/>
        <rFont val="ＭＳ Ｐゴシック"/>
        <family val="3"/>
        <charset val="128"/>
        <scheme val="minor"/>
      </rPr>
      <t>-1</t>
    </r>
    <r>
      <rPr>
        <sz val="11"/>
        <color theme="1"/>
        <rFont val="ＭＳ Ｐゴシック"/>
        <family val="3"/>
        <charset val="128"/>
        <scheme val="minor"/>
      </rPr>
      <t>　カップ受け板金</t>
    </r>
    <phoneticPr fontId="9"/>
  </si>
  <si>
    <t>MVSHM-3N02052-3Y4-191KL</t>
    <phoneticPr fontId="9"/>
  </si>
  <si>
    <t>MVSHM-3N02006-3Y4-4YZ2U</t>
    <phoneticPr fontId="9"/>
  </si>
  <si>
    <t>MVTUP-ACW-3Y4-FDYX7</t>
    <phoneticPr fontId="9"/>
  </si>
  <si>
    <r>
      <t>SETB0177-Z08</t>
    </r>
    <r>
      <rPr>
        <b/>
        <sz val="11"/>
        <color rgb="FFFF0000"/>
        <rFont val="ＭＳ Ｐゴシック"/>
        <family val="3"/>
        <charset val="128"/>
        <scheme val="minor"/>
      </rPr>
      <t>-1</t>
    </r>
    <r>
      <rPr>
        <sz val="11"/>
        <color theme="1"/>
        <rFont val="ＭＳ Ｐゴシック"/>
        <family val="3"/>
        <charset val="128"/>
        <scheme val="minor"/>
      </rPr>
      <t>　カップ受け板金</t>
    </r>
    <phoneticPr fontId="9"/>
  </si>
  <si>
    <r>
      <t>SETB0177-Z09</t>
    </r>
    <r>
      <rPr>
        <b/>
        <sz val="11"/>
        <color rgb="FFFF0000"/>
        <rFont val="ＭＳ Ｐゴシック"/>
        <family val="3"/>
        <charset val="128"/>
        <scheme val="minor"/>
      </rPr>
      <t>-2</t>
    </r>
    <r>
      <rPr>
        <sz val="11"/>
        <color theme="1"/>
        <rFont val="ＭＳ Ｐゴシック"/>
        <family val="3"/>
        <charset val="128"/>
        <scheme val="minor"/>
      </rPr>
      <t>　カップ受け板金4</t>
    </r>
    <phoneticPr fontId="9"/>
  </si>
  <si>
    <t>ノックピン　プラス公差　端部形状　3本+3本</t>
    <rPh sb="18" eb="19">
      <t>ホン</t>
    </rPh>
    <rPh sb="21" eb="22">
      <t>ホン</t>
    </rPh>
    <phoneticPr fontId="9"/>
  </si>
  <si>
    <t>六角穴付皿ボルト　－ステンレス　4本+2本</t>
    <rPh sb="17" eb="18">
      <t>ホン</t>
    </rPh>
    <rPh sb="20" eb="21">
      <t>ホン</t>
    </rPh>
    <phoneticPr fontId="9"/>
  </si>
  <si>
    <t>ST30RSB-23AWG-3-20</t>
    <phoneticPr fontId="10"/>
  </si>
  <si>
    <t>ST30R 【大電×ミスミ】極細高耐久ロボットケーブル（シールド無・有）</t>
    <phoneticPr fontId="10"/>
  </si>
  <si>
    <t>ワーク治具　関連</t>
    <rPh sb="3" eb="5">
      <t>ジグ</t>
    </rPh>
    <rPh sb="6" eb="8">
      <t>カンレン</t>
    </rPh>
    <phoneticPr fontId="10"/>
  </si>
  <si>
    <t>SLSBG10-58-M4-N4</t>
    <phoneticPr fontId="9"/>
  </si>
  <si>
    <t>SETGS10-60-SC15-M4-N4</t>
    <phoneticPr fontId="9"/>
  </si>
  <si>
    <t>NO.228905</t>
    <phoneticPr fontId="10"/>
  </si>
  <si>
    <t>RCBSS5-10</t>
    <phoneticPr fontId="9"/>
  </si>
  <si>
    <t>六角ボルト【SUS316</t>
    <phoneticPr fontId="9"/>
  </si>
  <si>
    <r>
      <t>SZ16F-2-060-2</t>
    </r>
    <r>
      <rPr>
        <b/>
        <sz val="11"/>
        <color theme="1"/>
        <rFont val="ＭＳ Ｐゴシック"/>
        <family val="3"/>
        <charset val="128"/>
        <scheme val="minor"/>
      </rPr>
      <t>2</t>
    </r>
    <phoneticPr fontId="10"/>
  </si>
  <si>
    <t>ノックピン　プラス公差　4本+2</t>
    <rPh sb="13" eb="14">
      <t>ホン</t>
    </rPh>
    <phoneticPr fontId="9"/>
  </si>
  <si>
    <t>六角ﾎﾞﾙﾄ　1本+1</t>
    <rPh sb="8" eb="9">
      <t>ホン</t>
    </rPh>
    <phoneticPr fontId="10"/>
  </si>
  <si>
    <t>蝶ﾅｯﾄ　　1本+1</t>
    <rPh sb="7" eb="8">
      <t>ホン</t>
    </rPh>
    <phoneticPr fontId="10"/>
  </si>
  <si>
    <t>袋ﾅｯﾄ　2個+2</t>
    <rPh sb="6" eb="7">
      <t>コ</t>
    </rPh>
    <phoneticPr fontId="10"/>
  </si>
  <si>
    <t>小頭ﾈｼﾞ　　2個+2</t>
    <rPh sb="8" eb="9">
      <t>コ</t>
    </rPh>
    <phoneticPr fontId="10"/>
  </si>
  <si>
    <t>ノックピン　ストレート　12本+3</t>
    <rPh sb="14" eb="15">
      <t>ホン</t>
    </rPh>
    <phoneticPr fontId="10"/>
  </si>
  <si>
    <t>六角穴付きﾎﾞﾙﾄ　 (M4×25)　2本+2</t>
    <rPh sb="20" eb="21">
      <t>ホン</t>
    </rPh>
    <phoneticPr fontId="10"/>
  </si>
  <si>
    <t>③</t>
    <phoneticPr fontId="9"/>
  </si>
  <si>
    <t>M8PS-44VFBK-3</t>
    <phoneticPr fontId="10"/>
  </si>
  <si>
    <t>NO.228905-1　H-Saitou</t>
    <phoneticPr fontId="9"/>
  </si>
  <si>
    <t>NO.228905-2　H-Saitou</t>
    <phoneticPr fontId="9"/>
  </si>
  <si>
    <t>NO.228905-3　H-Saitou</t>
    <phoneticPr fontId="9"/>
  </si>
  <si>
    <t>NO.228905-4　H-Saitou</t>
    <phoneticPr fontId="9"/>
  </si>
  <si>
    <t>NO.228905-5　H-Saitou</t>
    <phoneticPr fontId="9"/>
  </si>
  <si>
    <t>元圧ｼﾘﾝｼﾞレギュレーター</t>
    <rPh sb="0" eb="1">
      <t>モト</t>
    </rPh>
    <rPh sb="1" eb="2">
      <t>アツ</t>
    </rPh>
    <phoneticPr fontId="10"/>
  </si>
  <si>
    <t>NO.228905-6　H-Saitou</t>
    <phoneticPr fontId="9"/>
  </si>
  <si>
    <t>NO.228905-7　H-Saitou</t>
    <phoneticPr fontId="9"/>
  </si>
  <si>
    <t>NO.228905-8　H-Saitou</t>
    <phoneticPr fontId="9"/>
  </si>
  <si>
    <t>AB24B4EB83</t>
    <phoneticPr fontId="9"/>
  </si>
  <si>
    <t>ミスミﾃｰﾌﾞﾙ 40角</t>
    <rPh sb="11" eb="12">
      <t>カク</t>
    </rPh>
    <phoneticPr fontId="10"/>
  </si>
  <si>
    <t>NO.228905-9　H-Saitou</t>
    <phoneticPr fontId="9"/>
  </si>
  <si>
    <t>HAJCHP8-16-SEP</t>
    <phoneticPr fontId="9"/>
  </si>
  <si>
    <t>アジャスタパッド＆キャスタプレートユニット</t>
    <phoneticPr fontId="9"/>
  </si>
  <si>
    <t>AB24CGE844</t>
    <phoneticPr fontId="9"/>
  </si>
  <si>
    <t>HBLFSNF8-C-SSP</t>
    <phoneticPr fontId="9"/>
  </si>
  <si>
    <t>8シリーズ（溝幅８ｍｍ）－1列溝用－　突起付ブラケット</t>
    <phoneticPr fontId="9"/>
  </si>
  <si>
    <t>HFS8-4040-590</t>
    <phoneticPr fontId="9"/>
  </si>
  <si>
    <t>アルミフレーム 8シリーズ 長方形 40×40mm 1列溝 4面溝</t>
    <phoneticPr fontId="9"/>
  </si>
  <si>
    <t>HFS8-4040-690</t>
    <phoneticPr fontId="9"/>
  </si>
  <si>
    <t>HFS8-4040-1594</t>
    <phoneticPr fontId="9"/>
  </si>
  <si>
    <t>HFC8-4040-S</t>
    <phoneticPr fontId="9"/>
  </si>
  <si>
    <t>8シリーズ（溝幅８ｍｍ）　アルミフレーム用フレームキャップ</t>
    <phoneticPr fontId="9"/>
  </si>
  <si>
    <t>SHBLBSL8</t>
    <phoneticPr fontId="9"/>
  </si>
  <si>
    <t>ﾌﾞﾗｲﾝﾄﾞﾌﾞﾗｹｯﾄ HBLBSL</t>
  </si>
  <si>
    <t>3日目</t>
    <rPh sb="1" eb="2">
      <t>ヒ</t>
    </rPh>
    <rPh sb="2" eb="3">
      <t>メ</t>
    </rPh>
    <phoneticPr fontId="9"/>
  </si>
  <si>
    <t>meviy</t>
    <phoneticPr fontId="9"/>
  </si>
  <si>
    <t>MVSHM-3N03004-4DU-J9YEH</t>
    <phoneticPr fontId="9"/>
  </si>
  <si>
    <t>SETB0306-Z03　40角用　架台天板</t>
    <phoneticPr fontId="9"/>
  </si>
  <si>
    <t>SHNTP8-5</t>
    <phoneticPr fontId="9"/>
  </si>
  <si>
    <t>６シリーズ（溝幅８ｍｍ）用　アルミフレーム用後入れバネナット</t>
    <phoneticPr fontId="9"/>
  </si>
  <si>
    <t xml:space="preserve">MS3-10 </t>
    <phoneticPr fontId="9"/>
  </si>
  <si>
    <t>ノックピン</t>
    <phoneticPr fontId="9"/>
  </si>
  <si>
    <t>SFB5-12</t>
    <phoneticPr fontId="9"/>
  </si>
  <si>
    <t>六角穴付皿ボルト　－ステンレス</t>
    <phoneticPr fontId="9"/>
  </si>
  <si>
    <t>MVSHM-3N03004-4DU-6PA3B</t>
    <phoneticPr fontId="9"/>
  </si>
  <si>
    <t>SETB0306-Z04　40角用　架台底板</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</si>
</sst>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quot;¥&quot;\-#,##0"/>
    <numFmt numFmtId="176" formatCode="#,##0_);[Red]\(#,##0\)"/>
    <numFmt numFmtId="177" formatCode="yyyy&quot;年&quot;m&quot;月&quot;d&quot;日&quot;;@"/>
    <numFmt numFmtId="178" formatCode="m/d;@"/>
    <numFmt numFmtId="179" formatCode="m&quot;月&quot;d&quot;日&quot;;@"/>
    <numFmt numFmtId="180" formatCode="#,##0_ "/>
    <numFmt numFmtId="181" formatCode="0_ "/>
    <numFmt numFmtId="182" formatCode="0_);[Red]\(0\)"/>
    <numFmt numFmtId="183" formatCode="0_ ;[Red]\-0\ "/>
  </numFmts>
  <fonts count="39" x14ac:knownFonts="1">
    <font>
      <sz val="11"/>
      <color theme="1"/>
      <name val="ＭＳ Ｐゴシック"/>
      <scheme val="minor"/>
    </font>
    <font>
      <u/>
      <sz val="11"/>
      <name val="ＭＳ Ｐゴシック"/>
      <family val="3"/>
      <charset val="128"/>
      <scheme val="minor"/>
    </font>
    <font>
      <b/>
      <sz val="11"/>
      <color theme="1"/>
      <name val="ＭＳ Ｐゴシック"/>
      <family val="3"/>
      <charset val="128"/>
      <scheme val="minor"/>
    </font>
    <font>
      <b/>
      <sz val="13.95"/>
      <color rgb="FF000000"/>
      <name val="ＭＳ Ｐゴシック"/>
      <family val="3"/>
      <charset val="128"/>
    </font>
    <font>
      <b/>
      <sz val="11"/>
      <color rgb="FF000000"/>
      <name val="ＭＳ Ｐゴシック"/>
      <family val="3"/>
      <charset val="128"/>
    </font>
    <font>
      <sz val="11"/>
      <color rgb="FF000000"/>
      <name val="ＭＳ Ｐゴシック"/>
      <family val="3"/>
      <charset val="128"/>
    </font>
    <font>
      <b/>
      <sz val="13.95"/>
      <color theme="1"/>
      <name val="ＭＳ Ｐゴシック"/>
      <family val="3"/>
      <charset val="128"/>
      <scheme val="minor"/>
    </font>
    <font>
      <sz val="19.95"/>
      <color theme="1"/>
      <name val="ＭＳ Ｐゴシック"/>
      <family val="3"/>
      <charset val="128"/>
      <scheme val="minor"/>
    </font>
    <font>
      <sz val="11"/>
      <color theme="1"/>
      <name val="ＭＳ Ｐゴシック"/>
      <family val="3"/>
      <charset val="128"/>
      <scheme val="minor"/>
    </font>
    <font>
      <sz val="6"/>
      <name val="ＭＳ Ｐゴシック"/>
      <family val="3"/>
      <charset val="128"/>
      <scheme val="minor"/>
    </font>
    <font>
      <sz val="6"/>
      <name val="ＭＳ Ｐゴシック"/>
      <family val="3"/>
      <charset val="128"/>
    </font>
    <font>
      <sz val="11"/>
      <color theme="1"/>
      <name val="ＭＳ Ｐゴシック"/>
      <family val="3"/>
      <charset val="128"/>
    </font>
    <font>
      <sz val="11"/>
      <name val="ＭＳ Ｐゴシック"/>
      <family val="3"/>
      <charset val="128"/>
    </font>
    <font>
      <sz val="11"/>
      <color rgb="FFFF0000"/>
      <name val="ＭＳ Ｐゴシック"/>
      <family val="3"/>
      <charset val="128"/>
      <scheme val="minor"/>
    </font>
    <font>
      <sz val="10"/>
      <color indexed="8"/>
      <name val="ＭＳ Ｐゴシック"/>
      <family val="3"/>
      <charset val="128"/>
    </font>
    <font>
      <b/>
      <sz val="11"/>
      <color indexed="10"/>
      <name val="ＭＳ Ｐゴシック"/>
      <family val="3"/>
      <charset val="128"/>
    </font>
    <font>
      <b/>
      <sz val="16"/>
      <color theme="1"/>
      <name val="ＭＳ Ｐゴシック"/>
      <family val="3"/>
      <charset val="128"/>
      <scheme val="minor"/>
    </font>
    <font>
      <b/>
      <sz val="11"/>
      <name val="ＭＳ Ｐゴシック"/>
      <family val="3"/>
      <charset val="128"/>
    </font>
    <font>
      <b/>
      <sz val="11"/>
      <color indexed="8"/>
      <name val="ＭＳ Ｐゴシック"/>
      <family val="3"/>
      <charset val="128"/>
    </font>
    <font>
      <sz val="11"/>
      <name val="ＭＳ Ｐゴシック"/>
      <family val="3"/>
      <charset val="128"/>
      <scheme val="minor"/>
    </font>
    <font>
      <sz val="16"/>
      <color theme="1"/>
      <name val="ＭＳ Ｐゴシック"/>
      <family val="3"/>
      <charset val="128"/>
      <scheme val="minor"/>
    </font>
    <font>
      <b/>
      <sz val="14"/>
      <color theme="1"/>
      <name val="ＭＳ Ｐゴシック"/>
      <family val="3"/>
      <charset val="128"/>
      <scheme val="minor"/>
    </font>
    <font>
      <sz val="20"/>
      <color theme="1"/>
      <name val="ＭＳ Ｐゴシック"/>
      <family val="3"/>
      <charset val="128"/>
      <scheme val="minor"/>
    </font>
    <font>
      <sz val="11"/>
      <color indexed="8"/>
      <name val="ＭＳ Ｐゴシック"/>
      <family val="3"/>
      <charset val="128"/>
    </font>
    <font>
      <b/>
      <sz val="11"/>
      <color theme="9" tint="-0.249977111117893"/>
      <name val="ＭＳ Ｐゴシック"/>
      <family val="3"/>
      <charset val="128"/>
      <scheme val="minor"/>
    </font>
    <font>
      <sz val="9"/>
      <name val="ＭＳ Ｐゴシック"/>
      <family val="3"/>
      <charset val="128"/>
      <scheme val="minor"/>
    </font>
    <font>
      <sz val="9.9499999999999993"/>
      <color rgb="FF000000"/>
      <name val="ＭＳ Ｐゴシック"/>
      <family val="3"/>
      <charset val="128"/>
    </font>
    <font>
      <b/>
      <sz val="16"/>
      <color indexed="8"/>
      <name val="ＭＳ Ｐゴシック"/>
      <family val="3"/>
      <charset val="128"/>
    </font>
    <font>
      <b/>
      <sz val="12"/>
      <color theme="9" tint="-0.249977111117893"/>
      <name val="ＭＳ Ｐゴシック"/>
      <family val="3"/>
      <charset val="128"/>
      <scheme val="minor"/>
    </font>
    <font>
      <b/>
      <sz val="11"/>
      <color rgb="FF0070C0"/>
      <name val="ＭＳ Ｐゴシック"/>
      <family val="3"/>
      <charset val="128"/>
      <scheme val="minor"/>
    </font>
    <font>
      <b/>
      <sz val="12"/>
      <name val="ＭＳ Ｐゴシック"/>
      <family val="3"/>
      <charset val="128"/>
    </font>
    <font>
      <strike/>
      <sz val="11"/>
      <color theme="1"/>
      <name val="ＭＳ Ｐゴシック"/>
      <family val="3"/>
      <charset val="128"/>
    </font>
    <font>
      <b/>
      <sz val="14"/>
      <color indexed="8"/>
      <name val="ＭＳ Ｐゴシック"/>
      <family val="3"/>
      <charset val="128"/>
    </font>
    <font>
      <sz val="10"/>
      <name val="ＭＳ Ｐゴシック"/>
      <family val="3"/>
      <charset val="128"/>
    </font>
    <font>
      <b/>
      <sz val="11"/>
      <color rgb="FFFF0000"/>
      <name val="ＭＳ Ｐゴシック"/>
      <family val="3"/>
      <charset val="128"/>
      <scheme val="minor"/>
    </font>
    <font>
      <b/>
      <sz val="11"/>
      <name val="ＭＳ Ｐゴシック"/>
      <family val="3"/>
      <charset val="128"/>
      <scheme val="minor"/>
    </font>
    <font>
      <b/>
      <sz val="14"/>
      <color theme="9" tint="-0.249977111117893"/>
      <name val="ＭＳ Ｐゴシック"/>
      <family val="3"/>
      <charset val="128"/>
      <scheme val="minor"/>
    </font>
    <font>
      <b/>
      <sz val="12"/>
      <color theme="2" tint="-0.499984740745262"/>
      <name val="ＭＳ Ｐゴシック"/>
      <family val="3"/>
      <charset val="128"/>
      <scheme val="minor"/>
    </font>
    <font>
      <sz val="10"/>
      <color rgb="FF020024"/>
      <name val="Arial"/>
      <family val="2"/>
    </font>
  </fonts>
  <fills count="23">
    <fill>
      <patternFill patternType="none"/>
    </fill>
    <fill>
      <patternFill patternType="gray125"/>
    </fill>
    <fill>
      <patternFill patternType="solid">
        <fgColor rgb="FFFFFF99"/>
      </patternFill>
    </fill>
    <fill>
      <patternFill patternType="solid">
        <fgColor rgb="FF92D05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8" tint="0.5899838251899777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FFFF99"/>
        <bgColor indexed="64"/>
      </patternFill>
    </fill>
    <fill>
      <patternFill patternType="solid">
        <fgColor rgb="FFFFC000"/>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4" tint="0.59999389629810485"/>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diagonal/>
    </border>
  </borders>
  <cellStyleXfs count="6">
    <xf numFmtId="0" fontId="0" fillId="0" borderId="0">
      <alignment vertical="center"/>
    </xf>
    <xf numFmtId="0" fontId="1" fillId="0" borderId="0">
      <alignment vertical="center"/>
    </xf>
    <xf numFmtId="0" fontId="1" fillId="0" borderId="0">
      <alignment vertical="center"/>
    </xf>
    <xf numFmtId="0" fontId="12" fillId="0" borderId="0"/>
    <xf numFmtId="0" fontId="8" fillId="0" borderId="0">
      <alignment vertical="center"/>
    </xf>
    <xf numFmtId="0" fontId="12" fillId="0" borderId="0">
      <alignment vertical="center"/>
    </xf>
  </cellStyleXfs>
  <cellXfs count="296">
    <xf numFmtId="0" fontId="0" fillId="0" borderId="0" xfId="0">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3" fontId="0" fillId="0" borderId="1" xfId="0" applyNumberFormat="1" applyBorder="1" applyAlignment="1">
      <alignment horizontal="center" vertical="center"/>
    </xf>
    <xf numFmtId="0" fontId="0" fillId="0" borderId="1" xfId="0" applyBorder="1" applyAlignment="1">
      <alignment horizontal="center" vertical="center" shrinkToFit="1"/>
    </xf>
    <xf numFmtId="0" fontId="0" fillId="0" borderId="1" xfId="0" applyBorder="1" applyAlignment="1">
      <alignment vertical="center" shrinkToFit="1"/>
    </xf>
    <xf numFmtId="176" fontId="0" fillId="0" borderId="1" xfId="0" applyNumberFormat="1" applyBorder="1">
      <alignment vertical="center"/>
    </xf>
    <xf numFmtId="176" fontId="4" fillId="0" borderId="1" xfId="0" applyNumberFormat="1" applyFont="1" applyBorder="1">
      <alignment vertical="center"/>
    </xf>
    <xf numFmtId="0" fontId="0" fillId="0" borderId="0" xfId="0" applyAlignment="1">
      <alignment horizontal="right" vertical="center"/>
    </xf>
    <xf numFmtId="176" fontId="0" fillId="0" borderId="1" xfId="0" applyNumberFormat="1" applyBorder="1" applyAlignment="1"/>
    <xf numFmtId="179" fontId="0" fillId="0" borderId="1" xfId="0" applyNumberForma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0" fillId="0" borderId="1" xfId="0" applyBorder="1" applyAlignment="1">
      <alignment horizontal="left" vertical="center"/>
    </xf>
    <xf numFmtId="176" fontId="0" fillId="0" borderId="1" xfId="0" applyNumberFormat="1" applyBorder="1" applyAlignment="1">
      <alignment horizontal="center" vertical="center"/>
    </xf>
    <xf numFmtId="0" fontId="0" fillId="0" borderId="1" xfId="0" applyBorder="1" applyAlignment="1">
      <alignment horizontal="left" vertical="center" shrinkToFit="1"/>
    </xf>
    <xf numFmtId="0" fontId="0" fillId="0" borderId="1" xfId="0" applyBorder="1">
      <alignment vertical="center"/>
    </xf>
    <xf numFmtId="0" fontId="0" fillId="0" borderId="5" xfId="0" applyBorder="1">
      <alignment vertical="center"/>
    </xf>
    <xf numFmtId="0" fontId="0" fillId="0" borderId="5" xfId="0" applyBorder="1" applyAlignment="1">
      <alignment horizontal="center" vertical="center"/>
    </xf>
    <xf numFmtId="0" fontId="0" fillId="0" borderId="7" xfId="0" applyBorder="1" applyAlignment="1">
      <alignment horizontal="center" vertical="center"/>
    </xf>
    <xf numFmtId="3" fontId="0" fillId="0" borderId="5" xfId="0" applyNumberFormat="1" applyBorder="1" applyAlignment="1">
      <alignment horizontal="center" vertical="center"/>
    </xf>
    <xf numFmtId="178" fontId="0" fillId="0" borderId="5" xfId="0" applyNumberFormat="1" applyBorder="1" applyAlignment="1">
      <alignment horizontal="center" vertical="center"/>
    </xf>
    <xf numFmtId="177" fontId="0" fillId="0" borderId="0" xfId="0" applyNumberFormat="1" applyAlignment="1">
      <alignment horizontal="center" vertical="center"/>
    </xf>
    <xf numFmtId="0" fontId="12" fillId="0" borderId="5" xfId="3" applyBorder="1" applyAlignment="1">
      <alignment horizontal="center" vertical="center"/>
    </xf>
    <xf numFmtId="176" fontId="0" fillId="0" borderId="5" xfId="0" applyNumberFormat="1" applyBorder="1" applyAlignment="1"/>
    <xf numFmtId="0" fontId="8" fillId="0" borderId="0" xfId="0" applyFont="1">
      <alignment vertical="center"/>
    </xf>
    <xf numFmtId="0" fontId="13" fillId="0" borderId="0" xfId="0" applyFont="1" applyAlignment="1">
      <alignment horizontal="center" vertical="center"/>
    </xf>
    <xf numFmtId="176" fontId="0" fillId="0" borderId="4" xfId="0" applyNumberFormat="1" applyBorder="1" applyAlignment="1">
      <alignment horizontal="center" vertical="center"/>
    </xf>
    <xf numFmtId="0" fontId="0" fillId="0" borderId="5" xfId="0" applyBorder="1" applyAlignment="1">
      <alignment vertical="center" shrinkToFit="1"/>
    </xf>
    <xf numFmtId="3" fontId="8" fillId="0" borderId="5" xfId="0" applyNumberFormat="1" applyFont="1" applyBorder="1" applyAlignment="1">
      <alignment horizontal="center" vertical="center"/>
    </xf>
    <xf numFmtId="3" fontId="0" fillId="0" borderId="4" xfId="0" applyNumberFormat="1" applyBorder="1" applyAlignment="1">
      <alignment horizontal="center" vertical="center"/>
    </xf>
    <xf numFmtId="0" fontId="2" fillId="0" borderId="5" xfId="0" applyFont="1" applyBorder="1" applyAlignment="1">
      <alignment horizontal="center" vertical="center"/>
    </xf>
    <xf numFmtId="179" fontId="0" fillId="0" borderId="5" xfId="0" applyNumberFormat="1" applyBorder="1" applyAlignment="1">
      <alignment horizontal="center" vertical="center"/>
    </xf>
    <xf numFmtId="3" fontId="14" fillId="0" borderId="5" xfId="0" applyNumberFormat="1" applyFont="1" applyBorder="1" applyAlignment="1">
      <alignment horizontal="center" vertical="center"/>
    </xf>
    <xf numFmtId="0" fontId="8" fillId="0" borderId="7" xfId="0" applyFont="1" applyBorder="1" applyAlignment="1">
      <alignment horizontal="left" vertical="center"/>
    </xf>
    <xf numFmtId="3" fontId="0" fillId="0" borderId="8" xfId="0" applyNumberFormat="1" applyBorder="1" applyAlignment="1">
      <alignment horizontal="center" vertical="center"/>
    </xf>
    <xf numFmtId="177" fontId="0" fillId="0" borderId="5" xfId="0" applyNumberFormat="1" applyBorder="1" applyAlignment="1">
      <alignment horizontal="center" vertical="center"/>
    </xf>
    <xf numFmtId="0" fontId="8" fillId="0" borderId="5" xfId="0" applyFont="1" applyBorder="1" applyAlignment="1">
      <alignment horizontal="left" vertical="center"/>
    </xf>
    <xf numFmtId="176" fontId="0" fillId="0" borderId="5" xfId="0" applyNumberFormat="1" applyBorder="1" applyAlignment="1">
      <alignment horizontal="center" vertical="center"/>
    </xf>
    <xf numFmtId="0" fontId="12" fillId="0" borderId="9" xfId="3" applyBorder="1" applyAlignment="1">
      <alignment horizontal="left" vertical="center"/>
    </xf>
    <xf numFmtId="5" fontId="11" fillId="0" borderId="7" xfId="0" applyNumberFormat="1" applyFont="1" applyBorder="1" applyAlignment="1">
      <alignment horizontal="center" vertical="center"/>
    </xf>
    <xf numFmtId="0" fontId="0" fillId="0" borderId="5" xfId="0" applyBorder="1" applyAlignment="1">
      <alignment horizontal="left" vertical="center"/>
    </xf>
    <xf numFmtId="38" fontId="0" fillId="0" borderId="5" xfId="0" applyNumberFormat="1" applyBorder="1" applyAlignment="1">
      <alignment horizontal="center" vertical="center"/>
    </xf>
    <xf numFmtId="0" fontId="19" fillId="0" borderId="5" xfId="0" applyFont="1" applyBorder="1" applyAlignment="1">
      <alignment horizontal="left" vertical="center"/>
    </xf>
    <xf numFmtId="181" fontId="19" fillId="0" borderId="5" xfId="0" applyNumberFormat="1" applyFont="1" applyBorder="1" applyAlignment="1">
      <alignment horizontal="center" vertical="center"/>
    </xf>
    <xf numFmtId="38" fontId="19" fillId="0" borderId="5" xfId="0" applyNumberFormat="1" applyFont="1" applyBorder="1" applyAlignment="1">
      <alignment horizontal="center" vertical="center"/>
    </xf>
    <xf numFmtId="0" fontId="0" fillId="0" borderId="7" xfId="0" applyBorder="1" applyAlignment="1">
      <alignment horizontal="left" vertical="center"/>
    </xf>
    <xf numFmtId="3" fontId="0" fillId="5" borderId="5" xfId="0" applyNumberFormat="1" applyFill="1" applyBorder="1" applyAlignment="1">
      <alignment horizontal="center" vertical="center"/>
    </xf>
    <xf numFmtId="3" fontId="20" fillId="3" borderId="7" xfId="0" applyNumberFormat="1" applyFont="1" applyFill="1" applyBorder="1" applyAlignment="1">
      <alignment horizontal="center" vertical="center"/>
    </xf>
    <xf numFmtId="3" fontId="20" fillId="3" borderId="10" xfId="0" applyNumberFormat="1" applyFont="1" applyFill="1" applyBorder="1" applyAlignment="1">
      <alignment horizontal="center" vertical="center"/>
    </xf>
    <xf numFmtId="3" fontId="0" fillId="7" borderId="5" xfId="0" applyNumberFormat="1" applyFill="1" applyBorder="1" applyAlignment="1">
      <alignment horizontal="center" vertical="center"/>
    </xf>
    <xf numFmtId="0" fontId="12" fillId="0" borderId="5" xfId="3" applyBorder="1" applyAlignment="1">
      <alignment horizontal="left" vertical="center"/>
    </xf>
    <xf numFmtId="176" fontId="0" fillId="0" borderId="5" xfId="0" applyNumberFormat="1" applyBorder="1">
      <alignment vertical="center"/>
    </xf>
    <xf numFmtId="0" fontId="0" fillId="5" borderId="5" xfId="0" applyFill="1" applyBorder="1" applyAlignment="1">
      <alignment horizontal="center" vertical="center"/>
    </xf>
    <xf numFmtId="176" fontId="16" fillId="8" borderId="7" xfId="0" applyNumberFormat="1" applyFont="1" applyFill="1" applyBorder="1" applyAlignment="1">
      <alignment horizontal="center" vertical="center"/>
    </xf>
    <xf numFmtId="176" fontId="21" fillId="0" borderId="5" xfId="0" applyNumberFormat="1" applyFont="1" applyBorder="1" applyAlignment="1">
      <alignment horizontal="center" vertical="center"/>
    </xf>
    <xf numFmtId="0" fontId="8" fillId="0" borderId="5" xfId="0" applyFont="1" applyBorder="1">
      <alignment vertical="center"/>
    </xf>
    <xf numFmtId="182" fontId="19" fillId="0" borderId="5" xfId="0" applyNumberFormat="1" applyFont="1" applyBorder="1" applyAlignment="1">
      <alignment horizontal="center" vertical="center"/>
    </xf>
    <xf numFmtId="0" fontId="19" fillId="0" borderId="7" xfId="0" applyFont="1" applyBorder="1" applyAlignment="1">
      <alignment horizontal="left" vertical="center"/>
    </xf>
    <xf numFmtId="0" fontId="19" fillId="0" borderId="5" xfId="0" applyFont="1" applyBorder="1">
      <alignment vertical="center"/>
    </xf>
    <xf numFmtId="0" fontId="23" fillId="0" borderId="5" xfId="0" applyFont="1" applyBorder="1" applyAlignment="1">
      <alignment horizontal="center" vertical="center"/>
    </xf>
    <xf numFmtId="0" fontId="23" fillId="0" borderId="5" xfId="0" applyFont="1" applyBorder="1">
      <alignment vertical="center"/>
    </xf>
    <xf numFmtId="176" fontId="23" fillId="0" borderId="7" xfId="0" applyNumberFormat="1" applyFont="1" applyBorder="1" applyAlignment="1">
      <alignment horizontal="left" vertical="center"/>
    </xf>
    <xf numFmtId="0" fontId="23" fillId="0" borderId="5" xfId="0" applyFont="1" applyBorder="1" applyAlignment="1">
      <alignment horizontal="left" vertical="center"/>
    </xf>
    <xf numFmtId="0" fontId="14" fillId="0" borderId="5" xfId="0" applyFont="1" applyBorder="1" applyAlignment="1">
      <alignment horizontal="center" vertical="center"/>
    </xf>
    <xf numFmtId="0" fontId="0" fillId="7" borderId="5" xfId="0" applyFill="1" applyBorder="1" applyAlignment="1">
      <alignment horizontal="left" vertical="center"/>
    </xf>
    <xf numFmtId="0" fontId="0" fillId="7" borderId="5" xfId="0" applyFill="1" applyBorder="1">
      <alignment vertical="center"/>
    </xf>
    <xf numFmtId="3" fontId="19" fillId="0" borderId="5" xfId="0" applyNumberFormat="1" applyFont="1" applyBorder="1" applyAlignment="1">
      <alignment horizontal="center" vertical="center"/>
    </xf>
    <xf numFmtId="0" fontId="19" fillId="0" borderId="7" xfId="0" applyFont="1" applyBorder="1" applyAlignment="1">
      <alignment horizontal="center" vertical="center"/>
    </xf>
    <xf numFmtId="176" fontId="16" fillId="8" borderId="5" xfId="0" applyNumberFormat="1" applyFont="1" applyFill="1" applyBorder="1" applyAlignment="1">
      <alignment horizontal="center" vertical="center"/>
    </xf>
    <xf numFmtId="176" fontId="0" fillId="0" borderId="5" xfId="0" applyNumberFormat="1" applyBorder="1" applyAlignment="1">
      <alignment horizontal="left" vertical="center"/>
    </xf>
    <xf numFmtId="0" fontId="14" fillId="5" borderId="5" xfId="0" applyFont="1" applyFill="1" applyBorder="1" applyAlignment="1">
      <alignment horizontal="center" vertical="center"/>
    </xf>
    <xf numFmtId="0" fontId="0" fillId="0" borderId="5" xfId="0" applyBorder="1" applyAlignment="1">
      <alignment horizontal="left" vertical="center" shrinkToFit="1"/>
    </xf>
    <xf numFmtId="3" fontId="19" fillId="5" borderId="5" xfId="0" applyNumberFormat="1" applyFont="1" applyFill="1" applyBorder="1" applyAlignment="1">
      <alignment horizontal="center" vertical="center"/>
    </xf>
    <xf numFmtId="176" fontId="19" fillId="0" borderId="7" xfId="0" applyNumberFormat="1" applyFont="1" applyBorder="1" applyAlignment="1">
      <alignment horizontal="center" vertical="center"/>
    </xf>
    <xf numFmtId="176" fontId="0" fillId="0" borderId="7" xfId="0" applyNumberFormat="1" applyBorder="1" applyAlignment="1">
      <alignment horizontal="left" vertical="center"/>
    </xf>
    <xf numFmtId="3" fontId="0" fillId="0" borderId="13" xfId="0" applyNumberFormat="1" applyBorder="1" applyAlignment="1">
      <alignment horizontal="center" vertical="center"/>
    </xf>
    <xf numFmtId="3" fontId="20" fillId="3" borderId="9" xfId="0" applyNumberFormat="1" applyFont="1" applyFill="1" applyBorder="1" applyAlignment="1">
      <alignment horizontal="left" vertical="center"/>
    </xf>
    <xf numFmtId="0" fontId="0" fillId="0" borderId="13" xfId="0" applyBorder="1" applyAlignment="1">
      <alignment horizontal="center" vertical="center"/>
    </xf>
    <xf numFmtId="179" fontId="0" fillId="0" borderId="13" xfId="0" applyNumberFormat="1" applyBorder="1" applyAlignment="1">
      <alignment horizontal="center" vertical="center"/>
    </xf>
    <xf numFmtId="0" fontId="0" fillId="0" borderId="12" xfId="0" applyBorder="1" applyAlignment="1">
      <alignment horizontal="left" vertical="center"/>
    </xf>
    <xf numFmtId="0" fontId="0" fillId="0" borderId="8" xfId="0" applyBorder="1" applyAlignment="1">
      <alignment horizontal="center" vertical="center"/>
    </xf>
    <xf numFmtId="176" fontId="19" fillId="0" borderId="5" xfId="0" applyNumberFormat="1" applyFont="1" applyBorder="1" applyAlignment="1">
      <alignment horizontal="left" vertical="center"/>
    </xf>
    <xf numFmtId="176" fontId="19" fillId="0" borderId="7" xfId="0" applyNumberFormat="1" applyFont="1" applyBorder="1" applyAlignment="1">
      <alignment horizontal="left" vertical="center"/>
    </xf>
    <xf numFmtId="0" fontId="13" fillId="0" borderId="5" xfId="0" applyFont="1" applyBorder="1" applyAlignment="1">
      <alignment horizontal="left" vertical="center"/>
    </xf>
    <xf numFmtId="0" fontId="0" fillId="9" borderId="5" xfId="0" applyFill="1" applyBorder="1" applyAlignment="1">
      <alignment horizontal="center" vertical="center"/>
    </xf>
    <xf numFmtId="0" fontId="25" fillId="0" borderId="5" xfId="0" applyFont="1" applyBorder="1" applyAlignment="1">
      <alignment horizontal="left" vertical="center"/>
    </xf>
    <xf numFmtId="0" fontId="23" fillId="0" borderId="7" xfId="0" applyFont="1" applyBorder="1" applyAlignment="1">
      <alignment horizontal="center" vertical="center"/>
    </xf>
    <xf numFmtId="3" fontId="12" fillId="0" borderId="5" xfId="0" applyNumberFormat="1" applyFont="1" applyBorder="1" applyAlignment="1">
      <alignment horizontal="center" vertical="center"/>
    </xf>
    <xf numFmtId="0" fontId="0" fillId="7" borderId="5" xfId="0" applyFill="1" applyBorder="1" applyAlignment="1">
      <alignment horizontal="center" vertical="center"/>
    </xf>
    <xf numFmtId="181" fontId="19" fillId="7" borderId="5" xfId="0" applyNumberFormat="1" applyFont="1" applyFill="1" applyBorder="1" applyAlignment="1">
      <alignment horizontal="center" vertical="center"/>
    </xf>
    <xf numFmtId="0" fontId="0" fillId="7" borderId="7" xfId="0" applyFill="1" applyBorder="1" applyAlignment="1">
      <alignment horizontal="left" vertical="center"/>
    </xf>
    <xf numFmtId="0" fontId="19" fillId="7" borderId="5" xfId="0" applyFont="1" applyFill="1" applyBorder="1">
      <alignment vertical="center"/>
    </xf>
    <xf numFmtId="0" fontId="0" fillId="5" borderId="8" xfId="0" applyFill="1" applyBorder="1" applyAlignment="1">
      <alignment horizontal="center" vertical="center"/>
    </xf>
    <xf numFmtId="0" fontId="8" fillId="0" borderId="12" xfId="0" applyFont="1" applyBorder="1" applyAlignment="1">
      <alignment horizontal="left" vertical="center"/>
    </xf>
    <xf numFmtId="181" fontId="0" fillId="0" borderId="5" xfId="0" applyNumberFormat="1" applyBorder="1" applyAlignment="1">
      <alignment horizontal="center" vertical="center"/>
    </xf>
    <xf numFmtId="0" fontId="26" fillId="0" borderId="2" xfId="0"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horizontal="center" vertical="center"/>
    </xf>
    <xf numFmtId="3" fontId="0" fillId="0" borderId="2" xfId="0" applyNumberFormat="1" applyBorder="1" applyAlignment="1">
      <alignment horizontal="center" vertical="center"/>
    </xf>
    <xf numFmtId="49" fontId="5" fillId="0" borderId="5" xfId="0" applyNumberFormat="1" applyFont="1" applyBorder="1" applyAlignment="1">
      <alignment vertical="center" shrinkToFit="1"/>
    </xf>
    <xf numFmtId="176" fontId="0" fillId="0" borderId="3" xfId="0" applyNumberFormat="1" applyBorder="1" applyAlignment="1"/>
    <xf numFmtId="176" fontId="6" fillId="0" borderId="5" xfId="0" applyNumberFormat="1" applyFont="1" applyBorder="1">
      <alignment vertical="center"/>
    </xf>
    <xf numFmtId="176" fontId="0" fillId="0" borderId="4" xfId="0" applyNumberFormat="1" applyBorder="1">
      <alignment vertical="center"/>
    </xf>
    <xf numFmtId="176" fontId="6" fillId="0" borderId="5" xfId="0" applyNumberFormat="1" applyFont="1" applyBorder="1" applyAlignment="1">
      <alignment horizontal="center" vertical="center"/>
    </xf>
    <xf numFmtId="176" fontId="16" fillId="8" borderId="11" xfId="0" applyNumberFormat="1" applyFont="1" applyFill="1" applyBorder="1" applyAlignment="1">
      <alignment horizontal="center" vertical="center"/>
    </xf>
    <xf numFmtId="0" fontId="19" fillId="0" borderId="8" xfId="0" applyFont="1" applyBorder="1" applyAlignment="1">
      <alignment horizontal="left" vertical="center"/>
    </xf>
    <xf numFmtId="0" fontId="19" fillId="0" borderId="12" xfId="0" applyFont="1" applyBorder="1" applyAlignment="1">
      <alignment horizontal="center" vertical="center"/>
    </xf>
    <xf numFmtId="3" fontId="12" fillId="5" borderId="8" xfId="0" applyNumberFormat="1" applyFont="1" applyFill="1" applyBorder="1" applyAlignment="1">
      <alignment horizontal="center" vertical="center"/>
    </xf>
    <xf numFmtId="0" fontId="8" fillId="5" borderId="5" xfId="0" applyFont="1" applyFill="1" applyBorder="1" applyAlignment="1">
      <alignment horizontal="center" vertical="center"/>
    </xf>
    <xf numFmtId="14" fontId="8" fillId="0" borderId="1" xfId="0" applyNumberFormat="1" applyFont="1" applyBorder="1" applyAlignment="1">
      <alignment horizontal="left" vertical="center"/>
    </xf>
    <xf numFmtId="3" fontId="0" fillId="11" borderId="5" xfId="0" applyNumberFormat="1" applyFill="1" applyBorder="1" applyAlignment="1">
      <alignment horizontal="center" vertical="center"/>
    </xf>
    <xf numFmtId="3" fontId="5" fillId="11" borderId="2" xfId="0" applyNumberFormat="1" applyFont="1" applyFill="1" applyBorder="1" applyAlignment="1">
      <alignment horizontal="center" vertical="center"/>
    </xf>
    <xf numFmtId="0" fontId="5" fillId="11" borderId="2" xfId="0" applyFont="1" applyFill="1" applyBorder="1" applyAlignment="1">
      <alignment horizontal="center" vertical="center"/>
    </xf>
    <xf numFmtId="49" fontId="19" fillId="0" borderId="5" xfId="0" applyNumberFormat="1" applyFont="1" applyBorder="1" applyAlignment="1">
      <alignment horizontal="left" vertical="center"/>
    </xf>
    <xf numFmtId="0" fontId="0" fillId="12" borderId="5" xfId="0" applyFill="1" applyBorder="1" applyAlignment="1">
      <alignment horizontal="center" vertical="center"/>
    </xf>
    <xf numFmtId="0" fontId="0" fillId="13" borderId="8" xfId="0" applyFill="1" applyBorder="1" applyAlignment="1">
      <alignment horizontal="center" vertical="center"/>
    </xf>
    <xf numFmtId="3" fontId="8" fillId="0" borderId="8" xfId="0" applyNumberFormat="1" applyFont="1" applyBorder="1" applyAlignment="1">
      <alignment horizontal="center" vertical="center"/>
    </xf>
    <xf numFmtId="3" fontId="8" fillId="5" borderId="5" xfId="0" applyNumberFormat="1" applyFont="1" applyFill="1" applyBorder="1" applyAlignment="1">
      <alignment horizontal="center" vertical="center"/>
    </xf>
    <xf numFmtId="0" fontId="8" fillId="0" borderId="0" xfId="4" applyAlignment="1">
      <alignment horizontal="center" vertical="center"/>
    </xf>
    <xf numFmtId="177" fontId="8" fillId="0" borderId="5" xfId="4" applyNumberFormat="1" applyBorder="1" applyAlignment="1">
      <alignment horizontal="center" vertical="center"/>
    </xf>
    <xf numFmtId="0" fontId="8" fillId="0" borderId="2" xfId="4" applyBorder="1" applyAlignment="1">
      <alignment horizontal="center" vertical="center"/>
    </xf>
    <xf numFmtId="0" fontId="8" fillId="0" borderId="1" xfId="4" applyBorder="1" applyAlignment="1">
      <alignment horizontal="center" vertical="center"/>
    </xf>
    <xf numFmtId="3" fontId="8" fillId="0" borderId="1" xfId="4" applyNumberFormat="1" applyBorder="1" applyAlignment="1">
      <alignment horizontal="center" vertical="center"/>
    </xf>
    <xf numFmtId="0" fontId="8" fillId="0" borderId="5" xfId="4" applyBorder="1" applyAlignment="1">
      <alignment horizontal="center" vertical="center"/>
    </xf>
    <xf numFmtId="176" fontId="8" fillId="0" borderId="1" xfId="4" applyNumberFormat="1" applyBorder="1" applyAlignment="1"/>
    <xf numFmtId="176" fontId="8" fillId="0" borderId="1" xfId="4" applyNumberFormat="1" applyBorder="1" applyAlignment="1">
      <alignment horizontal="center" vertical="center"/>
    </xf>
    <xf numFmtId="179" fontId="8" fillId="0" borderId="5" xfId="4" applyNumberFormat="1" applyBorder="1" applyAlignment="1">
      <alignment horizontal="center" vertical="center"/>
    </xf>
    <xf numFmtId="179" fontId="8" fillId="0" borderId="1" xfId="4" applyNumberFormat="1" applyBorder="1" applyAlignment="1">
      <alignment horizontal="center" vertical="center"/>
    </xf>
    <xf numFmtId="178" fontId="8" fillId="0" borderId="5" xfId="4" applyNumberFormat="1" applyBorder="1" applyAlignment="1">
      <alignment horizontal="center" vertical="center"/>
    </xf>
    <xf numFmtId="0" fontId="8" fillId="0" borderId="5" xfId="4" applyBorder="1" applyAlignment="1">
      <alignment vertical="center" shrinkToFit="1"/>
    </xf>
    <xf numFmtId="3" fontId="8" fillId="0" borderId="5" xfId="4" applyNumberFormat="1" applyBorder="1" applyAlignment="1">
      <alignment horizontal="center" vertical="center"/>
    </xf>
    <xf numFmtId="0" fontId="8" fillId="0" borderId="5" xfId="4" applyBorder="1">
      <alignment vertical="center"/>
    </xf>
    <xf numFmtId="0" fontId="8" fillId="0" borderId="7" xfId="4" applyBorder="1" applyAlignment="1">
      <alignment horizontal="center" vertical="center"/>
    </xf>
    <xf numFmtId="0" fontId="8" fillId="0" borderId="7" xfId="4" applyBorder="1" applyAlignment="1">
      <alignment horizontal="left" vertical="center"/>
    </xf>
    <xf numFmtId="176" fontId="8" fillId="0" borderId="5" xfId="4" applyNumberFormat="1" applyBorder="1">
      <alignment vertical="center"/>
    </xf>
    <xf numFmtId="3" fontId="8" fillId="0" borderId="7" xfId="4" applyNumberFormat="1" applyBorder="1" applyAlignment="1">
      <alignment horizontal="center" vertical="center"/>
    </xf>
    <xf numFmtId="56" fontId="8" fillId="0" borderId="5" xfId="4" applyNumberFormat="1" applyBorder="1" applyAlignment="1">
      <alignment horizontal="center" vertical="center"/>
    </xf>
    <xf numFmtId="38" fontId="8" fillId="0" borderId="5" xfId="4" applyNumberFormat="1" applyBorder="1">
      <alignment vertical="center"/>
    </xf>
    <xf numFmtId="180" fontId="8" fillId="0" borderId="5" xfId="4" applyNumberFormat="1" applyBorder="1">
      <alignment vertical="center"/>
    </xf>
    <xf numFmtId="38" fontId="8" fillId="0" borderId="5" xfId="4" applyNumberFormat="1" applyBorder="1" applyAlignment="1">
      <alignment horizontal="right" vertical="center"/>
    </xf>
    <xf numFmtId="5" fontId="16" fillId="14" borderId="5" xfId="4" applyNumberFormat="1" applyFont="1" applyFill="1" applyBorder="1">
      <alignment vertical="center"/>
    </xf>
    <xf numFmtId="3" fontId="2" fillId="0" borderId="5" xfId="4" applyNumberFormat="1" applyFont="1" applyBorder="1" applyAlignment="1">
      <alignment horizontal="center" vertical="center"/>
    </xf>
    <xf numFmtId="3" fontId="8" fillId="0" borderId="8" xfId="4" applyNumberFormat="1" applyBorder="1" applyAlignment="1">
      <alignment horizontal="center" vertical="center"/>
    </xf>
    <xf numFmtId="0" fontId="30" fillId="0" borderId="8" xfId="3" applyFont="1" applyBorder="1" applyAlignment="1">
      <alignment vertical="center"/>
    </xf>
    <xf numFmtId="0" fontId="31" fillId="0" borderId="5" xfId="4" applyFont="1" applyBorder="1" applyAlignment="1">
      <alignment horizontal="left" vertical="center" shrinkToFit="1"/>
    </xf>
    <xf numFmtId="5" fontId="11" fillId="0" borderId="7" xfId="4" applyNumberFormat="1" applyFont="1" applyBorder="1" applyAlignment="1">
      <alignment horizontal="center" vertical="center"/>
    </xf>
    <xf numFmtId="3" fontId="14" fillId="0" borderId="5" xfId="4" applyNumberFormat="1" applyFont="1" applyBorder="1" applyAlignment="1">
      <alignment horizontal="center" vertical="center"/>
    </xf>
    <xf numFmtId="0" fontId="12" fillId="0" borderId="5" xfId="3" applyBorder="1" applyAlignment="1">
      <alignment vertical="center"/>
    </xf>
    <xf numFmtId="3" fontId="8" fillId="0" borderId="6" xfId="4" applyNumberFormat="1" applyBorder="1" applyAlignment="1">
      <alignment horizontal="center" vertical="center"/>
    </xf>
    <xf numFmtId="0" fontId="24" fillId="0" borderId="1" xfId="4" applyFont="1" applyBorder="1" applyAlignment="1">
      <alignment horizontal="center" vertical="center"/>
    </xf>
    <xf numFmtId="0" fontId="8" fillId="0" borderId="14" xfId="4" applyBorder="1" applyAlignment="1">
      <alignment horizontal="center" vertical="center"/>
    </xf>
    <xf numFmtId="176" fontId="0" fillId="0" borderId="7" xfId="0" applyNumberFormat="1" applyBorder="1" applyAlignment="1"/>
    <xf numFmtId="0" fontId="8" fillId="6" borderId="5" xfId="4" applyFill="1" applyBorder="1" applyAlignment="1">
      <alignment horizontal="center" vertical="center"/>
    </xf>
    <xf numFmtId="0" fontId="8" fillId="11" borderId="5" xfId="4" applyFill="1" applyBorder="1" applyAlignment="1">
      <alignment horizontal="center" vertical="center"/>
    </xf>
    <xf numFmtId="0" fontId="32" fillId="0" borderId="5" xfId="0" applyFont="1" applyBorder="1" applyAlignment="1">
      <alignment horizontal="center" vertical="center" shrinkToFit="1"/>
    </xf>
    <xf numFmtId="0" fontId="32" fillId="0" borderId="5" xfId="0" applyFont="1" applyBorder="1" applyAlignment="1">
      <alignment horizontal="center" vertical="center"/>
    </xf>
    <xf numFmtId="177" fontId="32" fillId="0" borderId="5" xfId="0" applyNumberFormat="1" applyFont="1" applyBorder="1" applyAlignment="1">
      <alignment horizontal="center" vertical="center"/>
    </xf>
    <xf numFmtId="0" fontId="12" fillId="6" borderId="5" xfId="0" applyFont="1" applyFill="1" applyBorder="1">
      <alignment vertical="center"/>
    </xf>
    <xf numFmtId="0" fontId="0" fillId="6" borderId="5" xfId="0" applyFill="1" applyBorder="1" applyAlignment="1">
      <alignment horizontal="left" vertical="center"/>
    </xf>
    <xf numFmtId="0" fontId="19" fillId="6" borderId="5" xfId="0" applyFont="1" applyFill="1" applyBorder="1">
      <alignment vertical="center"/>
    </xf>
    <xf numFmtId="0" fontId="8" fillId="6" borderId="5" xfId="0" applyFont="1" applyFill="1" applyBorder="1" applyAlignment="1">
      <alignment horizontal="left" vertical="center"/>
    </xf>
    <xf numFmtId="0" fontId="19" fillId="6" borderId="5" xfId="0" applyFont="1" applyFill="1" applyBorder="1" applyAlignment="1">
      <alignment horizontal="left" vertical="center"/>
    </xf>
    <xf numFmtId="0" fontId="8" fillId="6" borderId="8" xfId="0" applyFont="1" applyFill="1" applyBorder="1" applyAlignment="1">
      <alignment horizontal="left" vertical="center"/>
    </xf>
    <xf numFmtId="49" fontId="19" fillId="6" borderId="5" xfId="0" applyNumberFormat="1" applyFont="1" applyFill="1" applyBorder="1" applyAlignment="1">
      <alignment horizontal="left" vertical="center"/>
    </xf>
    <xf numFmtId="49" fontId="8" fillId="6" borderId="5" xfId="0" applyNumberFormat="1" applyFont="1" applyFill="1" applyBorder="1" applyAlignment="1">
      <alignment horizontal="left" vertical="center"/>
    </xf>
    <xf numFmtId="0" fontId="8" fillId="0" borderId="5" xfId="0" applyFont="1" applyBorder="1" applyAlignment="1">
      <alignment horizontal="center" vertical="center"/>
    </xf>
    <xf numFmtId="0" fontId="8" fillId="0" borderId="5" xfId="0" applyFont="1" applyBorder="1" applyAlignment="1">
      <alignment horizontal="left" vertical="center" shrinkToFit="1"/>
    </xf>
    <xf numFmtId="49" fontId="23" fillId="6" borderId="5" xfId="0" applyNumberFormat="1" applyFont="1" applyFill="1" applyBorder="1" applyAlignment="1">
      <alignment horizontal="left" vertical="center"/>
    </xf>
    <xf numFmtId="0" fontId="12" fillId="6" borderId="5" xfId="3" applyFill="1" applyBorder="1" applyAlignment="1">
      <alignment vertical="center"/>
    </xf>
    <xf numFmtId="0" fontId="0" fillId="6" borderId="5" xfId="0" applyFill="1" applyBorder="1">
      <alignment vertical="center"/>
    </xf>
    <xf numFmtId="0" fontId="19" fillId="6" borderId="5" xfId="0" applyFont="1" applyFill="1" applyBorder="1" applyAlignment="1">
      <alignment vertical="center" wrapText="1"/>
    </xf>
    <xf numFmtId="0" fontId="23" fillId="5" borderId="5" xfId="0" applyFont="1" applyFill="1" applyBorder="1" applyAlignment="1">
      <alignment horizontal="center" vertical="center"/>
    </xf>
    <xf numFmtId="0" fontId="12" fillId="6" borderId="7" xfId="0" applyFont="1" applyFill="1" applyBorder="1">
      <alignment vertical="center"/>
    </xf>
    <xf numFmtId="0" fontId="23" fillId="6" borderId="5" xfId="0" applyFont="1" applyFill="1" applyBorder="1">
      <alignment vertical="center"/>
    </xf>
    <xf numFmtId="0" fontId="23" fillId="6" borderId="5" xfId="3" applyFont="1" applyFill="1" applyBorder="1" applyAlignment="1">
      <alignment horizontal="left" vertical="center"/>
    </xf>
    <xf numFmtId="49" fontId="0" fillId="6" borderId="5" xfId="0" applyNumberFormat="1" applyFill="1" applyBorder="1" applyAlignment="1">
      <alignment horizontal="left" vertical="center"/>
    </xf>
    <xf numFmtId="0" fontId="19" fillId="6" borderId="8" xfId="0" applyFont="1" applyFill="1" applyBorder="1" applyAlignment="1">
      <alignment horizontal="left" vertical="center"/>
    </xf>
    <xf numFmtId="3" fontId="8" fillId="6" borderId="9" xfId="4" applyNumberFormat="1" applyFill="1" applyBorder="1" applyAlignment="1">
      <alignment horizontal="left" vertical="center"/>
    </xf>
    <xf numFmtId="0" fontId="19" fillId="6" borderId="5" xfId="4" applyFont="1" applyFill="1" applyBorder="1" applyAlignment="1">
      <alignment horizontal="left" vertical="center"/>
    </xf>
    <xf numFmtId="0" fontId="12" fillId="6" borderId="5" xfId="4" applyFont="1" applyFill="1" applyBorder="1" applyAlignment="1">
      <alignment horizontal="left" vertical="center"/>
    </xf>
    <xf numFmtId="0" fontId="0" fillId="6" borderId="5" xfId="0" applyFill="1" applyBorder="1" applyAlignment="1">
      <alignment horizontal="left" vertical="center" wrapText="1"/>
    </xf>
    <xf numFmtId="0" fontId="0" fillId="16" borderId="8" xfId="0" applyFill="1" applyBorder="1" applyAlignment="1">
      <alignment horizontal="center" vertical="center"/>
    </xf>
    <xf numFmtId="38" fontId="8" fillId="11" borderId="5" xfId="4" applyNumberFormat="1" applyFill="1" applyBorder="1" applyAlignment="1">
      <alignment horizontal="center" vertical="center"/>
    </xf>
    <xf numFmtId="176" fontId="8" fillId="11" borderId="5" xfId="4" applyNumberFormat="1" applyFill="1" applyBorder="1" applyAlignment="1">
      <alignment horizontal="center" vertical="center"/>
    </xf>
    <xf numFmtId="38" fontId="19" fillId="11" borderId="5" xfId="4" applyNumberFormat="1" applyFont="1" applyFill="1" applyBorder="1" applyAlignment="1">
      <alignment horizontal="center" vertical="center"/>
    </xf>
    <xf numFmtId="38" fontId="19" fillId="11" borderId="5" xfId="0" applyNumberFormat="1" applyFont="1" applyFill="1" applyBorder="1" applyAlignment="1">
      <alignment horizontal="center" vertical="center"/>
    </xf>
    <xf numFmtId="38" fontId="0" fillId="11" borderId="5" xfId="0" applyNumberFormat="1" applyFill="1" applyBorder="1" applyAlignment="1">
      <alignment horizontal="center" vertical="center"/>
    </xf>
    <xf numFmtId="38" fontId="19" fillId="11" borderId="9" xfId="0" applyNumberFormat="1" applyFont="1" applyFill="1" applyBorder="1" applyAlignment="1">
      <alignment horizontal="center" vertical="center"/>
    </xf>
    <xf numFmtId="176" fontId="0" fillId="11" borderId="5" xfId="0" applyNumberFormat="1" applyFill="1" applyBorder="1" applyAlignment="1">
      <alignment horizontal="center" vertical="center"/>
    </xf>
    <xf numFmtId="38" fontId="23" fillId="11" borderId="7" xfId="0" applyNumberFormat="1" applyFont="1" applyFill="1" applyBorder="1" applyAlignment="1">
      <alignment horizontal="center" vertical="center"/>
    </xf>
    <xf numFmtId="176" fontId="19" fillId="11" borderId="5" xfId="0" applyNumberFormat="1" applyFont="1" applyFill="1" applyBorder="1" applyAlignment="1">
      <alignment horizontal="center" vertical="center"/>
    </xf>
    <xf numFmtId="176" fontId="19" fillId="0" borderId="5" xfId="0" applyNumberFormat="1" applyFont="1" applyBorder="1" applyAlignment="1"/>
    <xf numFmtId="176" fontId="23" fillId="11" borderId="5" xfId="0" applyNumberFormat="1" applyFont="1" applyFill="1" applyBorder="1" applyAlignment="1">
      <alignment horizontal="center" vertical="center"/>
    </xf>
    <xf numFmtId="180" fontId="0" fillId="11" borderId="5" xfId="0" applyNumberFormat="1" applyFill="1" applyBorder="1" applyAlignment="1">
      <alignment horizontal="center" vertical="center"/>
    </xf>
    <xf numFmtId="176" fontId="19" fillId="11" borderId="8" xfId="0" applyNumberFormat="1" applyFont="1" applyFill="1" applyBorder="1" applyAlignment="1">
      <alignment horizontal="center" vertical="center"/>
    </xf>
    <xf numFmtId="0" fontId="19" fillId="11" borderId="12" xfId="0" applyFont="1" applyFill="1" applyBorder="1" applyAlignment="1">
      <alignment horizontal="center" vertical="center"/>
    </xf>
    <xf numFmtId="0" fontId="0" fillId="11" borderId="7" xfId="0" applyFill="1" applyBorder="1" applyAlignment="1">
      <alignment horizontal="center" vertical="center"/>
    </xf>
    <xf numFmtId="0" fontId="19" fillId="11" borderId="7" xfId="0" applyFont="1" applyFill="1" applyBorder="1" applyAlignment="1">
      <alignment horizontal="center" vertical="center"/>
    </xf>
    <xf numFmtId="176" fontId="19" fillId="11" borderId="7" xfId="0" applyNumberFormat="1" applyFont="1" applyFill="1" applyBorder="1" applyAlignment="1">
      <alignment horizontal="center" vertical="center"/>
    </xf>
    <xf numFmtId="0" fontId="11" fillId="11" borderId="5" xfId="0" applyFont="1" applyFill="1" applyBorder="1">
      <alignment vertical="center"/>
    </xf>
    <xf numFmtId="0" fontId="0" fillId="0" borderId="7" xfId="0" applyBorder="1" applyAlignment="1">
      <alignment horizontal="right" vertical="center"/>
    </xf>
    <xf numFmtId="3" fontId="23" fillId="0" borderId="5" xfId="0" applyNumberFormat="1" applyFont="1" applyBorder="1" applyAlignment="1">
      <alignment horizontal="center" vertical="center"/>
    </xf>
    <xf numFmtId="0" fontId="12" fillId="0" borderId="5" xfId="0" applyFont="1" applyBorder="1">
      <alignment vertical="center"/>
    </xf>
    <xf numFmtId="0" fontId="12" fillId="0" borderId="7" xfId="0" applyFont="1" applyBorder="1">
      <alignment vertical="center"/>
    </xf>
    <xf numFmtId="0" fontId="0" fillId="7" borderId="5" xfId="0" applyFill="1" applyBorder="1" applyAlignment="1">
      <alignment horizontal="right" vertical="center"/>
    </xf>
    <xf numFmtId="0" fontId="0" fillId="7" borderId="7" xfId="0" applyFill="1" applyBorder="1" applyAlignment="1">
      <alignment horizontal="right" vertical="center"/>
    </xf>
    <xf numFmtId="176" fontId="19" fillId="0" borderId="5" xfId="0" applyNumberFormat="1" applyFont="1" applyBorder="1">
      <alignment vertical="center"/>
    </xf>
    <xf numFmtId="176" fontId="11" fillId="0" borderId="7" xfId="4" applyNumberFormat="1" applyFont="1" applyBorder="1" applyAlignment="1"/>
    <xf numFmtId="0" fontId="8" fillId="6" borderId="7" xfId="0" applyFont="1" applyFill="1" applyBorder="1">
      <alignment vertical="center"/>
    </xf>
    <xf numFmtId="0" fontId="8" fillId="0" borderId="5" xfId="0" applyFont="1" applyBorder="1" applyAlignment="1">
      <alignment vertical="center" shrinkToFit="1"/>
    </xf>
    <xf numFmtId="0" fontId="8" fillId="9" borderId="5" xfId="4" applyFill="1" applyBorder="1" applyAlignment="1">
      <alignment horizontal="center" vertical="center"/>
    </xf>
    <xf numFmtId="0" fontId="12" fillId="9" borderId="5" xfId="0" applyFont="1" applyFill="1" applyBorder="1" applyAlignment="1">
      <alignment horizontal="center" vertical="center"/>
    </xf>
    <xf numFmtId="0" fontId="0" fillId="9" borderId="8" xfId="0" applyFill="1" applyBorder="1" applyAlignment="1">
      <alignment horizontal="center" vertical="center"/>
    </xf>
    <xf numFmtId="0" fontId="19" fillId="9" borderId="5" xfId="0" applyFont="1" applyFill="1" applyBorder="1" applyAlignment="1">
      <alignment horizontal="center" vertical="center"/>
    </xf>
    <xf numFmtId="181" fontId="19" fillId="9" borderId="5" xfId="4" applyNumberFormat="1" applyFont="1" applyFill="1" applyBorder="1" applyAlignment="1">
      <alignment horizontal="center" vertical="center"/>
    </xf>
    <xf numFmtId="0" fontId="19" fillId="9" borderId="7" xfId="0" applyFont="1" applyFill="1" applyBorder="1" applyAlignment="1">
      <alignment horizontal="center" vertical="center"/>
    </xf>
    <xf numFmtId="176" fontId="8" fillId="9" borderId="5" xfId="0" applyNumberFormat="1" applyFont="1" applyFill="1" applyBorder="1" applyAlignment="1">
      <alignment horizontal="center" vertical="center"/>
    </xf>
    <xf numFmtId="181" fontId="23" fillId="9" borderId="5" xfId="0" applyNumberFormat="1" applyFont="1" applyFill="1" applyBorder="1" applyAlignment="1">
      <alignment horizontal="center" vertical="center"/>
    </xf>
    <xf numFmtId="176" fontId="19" fillId="9" borderId="5" xfId="0" applyNumberFormat="1" applyFont="1" applyFill="1" applyBorder="1" applyAlignment="1">
      <alignment horizontal="center" vertical="center"/>
    </xf>
    <xf numFmtId="0" fontId="14" fillId="9" borderId="5" xfId="0" applyFont="1" applyFill="1" applyBorder="1" applyAlignment="1">
      <alignment horizontal="center" vertical="center"/>
    </xf>
    <xf numFmtId="181" fontId="19" fillId="9" borderId="5" xfId="0" applyNumberFormat="1" applyFont="1" applyFill="1" applyBorder="1" applyAlignment="1">
      <alignment horizontal="center" vertical="center"/>
    </xf>
    <xf numFmtId="0" fontId="8" fillId="7" borderId="5" xfId="0" applyFont="1" applyFill="1" applyBorder="1">
      <alignment vertical="center"/>
    </xf>
    <xf numFmtId="0" fontId="0" fillId="9" borderId="7" xfId="0" applyFill="1" applyBorder="1" applyAlignment="1">
      <alignment horizontal="center" vertical="center"/>
    </xf>
    <xf numFmtId="0" fontId="23" fillId="9" borderId="5" xfId="0" applyFont="1" applyFill="1" applyBorder="1" applyAlignment="1">
      <alignment horizontal="center" vertical="center"/>
    </xf>
    <xf numFmtId="176" fontId="0" fillId="9" borderId="4" xfId="0" applyNumberFormat="1" applyFill="1" applyBorder="1" applyAlignment="1">
      <alignment horizontal="center" vertical="center"/>
    </xf>
    <xf numFmtId="176" fontId="0" fillId="9" borderId="5" xfId="0" applyNumberFormat="1" applyFill="1" applyBorder="1" applyAlignment="1">
      <alignment horizontal="center" vertical="center"/>
    </xf>
    <xf numFmtId="181" fontId="0" fillId="9" borderId="5" xfId="0" applyNumberFormat="1" applyFill="1" applyBorder="1" applyAlignment="1">
      <alignment horizontal="center" vertical="center"/>
    </xf>
    <xf numFmtId="181" fontId="19" fillId="9" borderId="8" xfId="0" applyNumberFormat="1" applyFont="1" applyFill="1" applyBorder="1" applyAlignment="1">
      <alignment horizontal="center" vertical="center"/>
    </xf>
    <xf numFmtId="0" fontId="12" fillId="9" borderId="5" xfId="3" applyFill="1" applyBorder="1" applyAlignment="1">
      <alignment horizontal="center" vertical="center"/>
    </xf>
    <xf numFmtId="0" fontId="19" fillId="9" borderId="5" xfId="4" applyFont="1" applyFill="1" applyBorder="1" applyAlignment="1">
      <alignment horizontal="center" vertical="center"/>
    </xf>
    <xf numFmtId="49" fontId="35" fillId="6" borderId="5" xfId="0" applyNumberFormat="1" applyFont="1" applyFill="1" applyBorder="1" applyAlignment="1">
      <alignment horizontal="left" vertical="center"/>
    </xf>
    <xf numFmtId="38" fontId="19" fillId="9" borderId="5" xfId="0" applyNumberFormat="1" applyFont="1" applyFill="1" applyBorder="1" applyAlignment="1">
      <alignment horizontal="center" vertical="center"/>
    </xf>
    <xf numFmtId="38" fontId="0" fillId="9" borderId="5" xfId="0" applyNumberFormat="1" applyFill="1" applyBorder="1" applyAlignment="1">
      <alignment horizontal="center" vertical="center"/>
    </xf>
    <xf numFmtId="183" fontId="19" fillId="9" borderId="5" xfId="0" applyNumberFormat="1" applyFont="1" applyFill="1" applyBorder="1" applyAlignment="1">
      <alignment horizontal="center" vertical="center"/>
    </xf>
    <xf numFmtId="183" fontId="0" fillId="9" borderId="5" xfId="0" applyNumberFormat="1" applyFill="1" applyBorder="1" applyAlignment="1">
      <alignment horizontal="center" vertical="center"/>
    </xf>
    <xf numFmtId="38" fontId="23" fillId="9" borderId="5" xfId="0" applyNumberFormat="1" applyFont="1" applyFill="1" applyBorder="1" applyAlignment="1">
      <alignment horizontal="center" vertical="center"/>
    </xf>
    <xf numFmtId="0" fontId="33" fillId="9" borderId="5" xfId="3" applyFont="1" applyFill="1" applyBorder="1" applyAlignment="1">
      <alignment horizontal="center" vertical="center"/>
    </xf>
    <xf numFmtId="176" fontId="23" fillId="9" borderId="5" xfId="0" applyNumberFormat="1" applyFont="1" applyFill="1" applyBorder="1" applyAlignment="1">
      <alignment horizontal="center" vertical="center"/>
    </xf>
    <xf numFmtId="176" fontId="0" fillId="9" borderId="1" xfId="0" applyNumberFormat="1" applyFill="1" applyBorder="1" applyAlignment="1">
      <alignment horizontal="center" vertical="center"/>
    </xf>
    <xf numFmtId="0" fontId="19" fillId="9" borderId="8" xfId="0" applyFont="1" applyFill="1" applyBorder="1" applyAlignment="1">
      <alignment horizontal="center" vertical="center"/>
    </xf>
    <xf numFmtId="3" fontId="8" fillId="11" borderId="5" xfId="4" applyNumberFormat="1" applyFill="1" applyBorder="1" applyAlignment="1">
      <alignment horizontal="center" vertical="center"/>
    </xf>
    <xf numFmtId="0" fontId="0" fillId="7" borderId="0" xfId="0" applyFill="1">
      <alignment vertical="center"/>
    </xf>
    <xf numFmtId="176" fontId="0" fillId="0" borderId="2" xfId="0" applyNumberFormat="1" applyBorder="1" applyAlignment="1">
      <alignment horizontal="center" vertical="center"/>
    </xf>
    <xf numFmtId="176" fontId="0" fillId="0" borderId="4" xfId="0" applyNumberFormat="1" applyBorder="1" applyAlignment="1"/>
    <xf numFmtId="0" fontId="8" fillId="18" borderId="5" xfId="4" applyFill="1" applyBorder="1" applyAlignment="1">
      <alignment horizontal="center" vertical="center"/>
    </xf>
    <xf numFmtId="0" fontId="8" fillId="19" borderId="5" xfId="4" applyFill="1" applyBorder="1" applyAlignment="1">
      <alignment horizontal="center" vertical="center"/>
    </xf>
    <xf numFmtId="0" fontId="8" fillId="20" borderId="5" xfId="4" applyFill="1" applyBorder="1" applyAlignment="1">
      <alignment horizontal="center" vertical="center"/>
    </xf>
    <xf numFmtId="0" fontId="8" fillId="21" borderId="5" xfId="4" applyFill="1" applyBorder="1" applyAlignment="1">
      <alignment horizontal="center" vertical="center"/>
    </xf>
    <xf numFmtId="0" fontId="8" fillId="15" borderId="5" xfId="4" applyFill="1" applyBorder="1" applyAlignment="1">
      <alignment horizontal="center" vertical="center"/>
    </xf>
    <xf numFmtId="0" fontId="29" fillId="0" borderId="0" xfId="0" applyFont="1">
      <alignment vertical="center"/>
    </xf>
    <xf numFmtId="0" fontId="8" fillId="0" borderId="2" xfId="4" applyBorder="1" applyAlignment="1">
      <alignment horizontal="left" vertical="center" shrinkToFit="1"/>
    </xf>
    <xf numFmtId="179" fontId="8" fillId="0" borderId="15" xfId="4" applyNumberFormat="1" applyBorder="1" applyAlignment="1">
      <alignment horizontal="center" vertical="center"/>
    </xf>
    <xf numFmtId="179" fontId="8" fillId="0" borderId="9" xfId="4" applyNumberFormat="1" applyBorder="1" applyAlignment="1">
      <alignment horizontal="center" vertical="center"/>
    </xf>
    <xf numFmtId="0" fontId="0" fillId="0" borderId="6" xfId="0" applyBorder="1" applyAlignment="1">
      <alignment horizontal="center" vertical="center"/>
    </xf>
    <xf numFmtId="0" fontId="30" fillId="0" borderId="5" xfId="3" applyFont="1" applyBorder="1" applyAlignment="1">
      <alignment vertical="center"/>
    </xf>
    <xf numFmtId="0" fontId="8" fillId="0" borderId="16" xfId="4" applyBorder="1" applyAlignment="1">
      <alignment horizontal="center" vertical="center"/>
    </xf>
    <xf numFmtId="56" fontId="8" fillId="0" borderId="7" xfId="4" applyNumberFormat="1" applyBorder="1" applyAlignment="1">
      <alignment horizontal="center" vertical="center"/>
    </xf>
    <xf numFmtId="0" fontId="0" fillId="0" borderId="17" xfId="0" applyBorder="1" applyAlignment="1">
      <alignment horizontal="center" vertical="center"/>
    </xf>
    <xf numFmtId="179" fontId="0" fillId="0" borderId="6" xfId="0" applyNumberFormat="1" applyBorder="1" applyAlignment="1">
      <alignment horizontal="center" vertical="center"/>
    </xf>
    <xf numFmtId="177" fontId="0" fillId="0" borderId="6" xfId="0" applyNumberFormat="1" applyBorder="1" applyAlignment="1">
      <alignment horizontal="center" vertical="center"/>
    </xf>
    <xf numFmtId="3" fontId="36" fillId="0" borderId="5" xfId="4" applyNumberFormat="1" applyFont="1" applyBorder="1" applyAlignment="1">
      <alignment horizontal="center" vertical="center"/>
    </xf>
    <xf numFmtId="3" fontId="16" fillId="3" borderId="7" xfId="0" applyNumberFormat="1" applyFont="1" applyFill="1" applyBorder="1" applyAlignment="1">
      <alignment horizontal="center" vertical="center"/>
    </xf>
    <xf numFmtId="3" fontId="16" fillId="3" borderId="10" xfId="0" applyNumberFormat="1" applyFont="1" applyFill="1" applyBorder="1" applyAlignment="1">
      <alignment horizontal="center" vertical="center"/>
    </xf>
    <xf numFmtId="3" fontId="16" fillId="3" borderId="9" xfId="0" applyNumberFormat="1" applyFont="1" applyFill="1" applyBorder="1" applyAlignment="1">
      <alignment horizontal="center" vertical="center"/>
    </xf>
    <xf numFmtId="176" fontId="6" fillId="0" borderId="2" xfId="0" applyNumberFormat="1" applyFont="1" applyBorder="1" applyAlignment="1">
      <alignment horizontal="center" vertical="center"/>
    </xf>
    <xf numFmtId="176" fontId="6" fillId="0" borderId="3" xfId="0" applyNumberFormat="1" applyFont="1" applyBorder="1" applyAlignment="1">
      <alignment horizontal="center" vertical="center"/>
    </xf>
    <xf numFmtId="176" fontId="6" fillId="0" borderId="4" xfId="0" applyNumberFormat="1" applyFont="1" applyBorder="1" applyAlignment="1">
      <alignment horizontal="center" vertical="center"/>
    </xf>
    <xf numFmtId="49" fontId="28" fillId="0" borderId="0" xfId="0" applyNumberFormat="1" applyFont="1" applyAlignment="1">
      <alignment horizontal="left" vertical="center" shrinkToFit="1"/>
    </xf>
    <xf numFmtId="3" fontId="20" fillId="3" borderId="7" xfId="4" applyNumberFormat="1" applyFont="1" applyFill="1" applyBorder="1" applyAlignment="1">
      <alignment horizontal="center" vertical="center"/>
    </xf>
    <xf numFmtId="3" fontId="20" fillId="3" borderId="10" xfId="4" applyNumberFormat="1" applyFont="1" applyFill="1" applyBorder="1" applyAlignment="1">
      <alignment horizontal="center" vertical="center"/>
    </xf>
    <xf numFmtId="3" fontId="20" fillId="3" borderId="9" xfId="4" applyNumberFormat="1" applyFont="1" applyFill="1" applyBorder="1" applyAlignment="1">
      <alignment horizontal="center" vertical="center"/>
    </xf>
    <xf numFmtId="3" fontId="2" fillId="10" borderId="5"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7" fillId="4" borderId="5" xfId="0" applyFont="1" applyFill="1" applyBorder="1" applyAlignment="1">
      <alignment horizontal="center" vertical="center" shrinkToFit="1"/>
    </xf>
    <xf numFmtId="0" fontId="22" fillId="17" borderId="11" xfId="0" applyFont="1" applyFill="1" applyBorder="1" applyAlignment="1">
      <alignment horizontal="center" vertical="center"/>
    </xf>
    <xf numFmtId="3" fontId="20" fillId="3" borderId="7" xfId="0" applyNumberFormat="1" applyFont="1" applyFill="1" applyBorder="1" applyAlignment="1">
      <alignment horizontal="center" vertical="center"/>
    </xf>
    <xf numFmtId="3" fontId="20" fillId="3" borderId="10" xfId="0" applyNumberFormat="1" applyFont="1" applyFill="1" applyBorder="1" applyAlignment="1">
      <alignment horizontal="center" vertical="center"/>
    </xf>
    <xf numFmtId="3" fontId="20" fillId="3" borderId="9" xfId="0" applyNumberFormat="1" applyFont="1" applyFill="1" applyBorder="1" applyAlignment="1">
      <alignment horizontal="center" vertical="center"/>
    </xf>
    <xf numFmtId="176" fontId="0" fillId="0" borderId="2" xfId="0" applyNumberFormat="1" applyBorder="1" applyAlignment="1"/>
    <xf numFmtId="0" fontId="8" fillId="22" borderId="5" xfId="4" applyFill="1" applyBorder="1" applyAlignment="1">
      <alignment horizontal="center" vertical="center"/>
    </xf>
    <xf numFmtId="0" fontId="33" fillId="0" borderId="5" xfId="3" applyFont="1" applyBorder="1" applyAlignment="1">
      <alignment horizontal="center" vertical="center"/>
    </xf>
    <xf numFmtId="0" fontId="8" fillId="6" borderId="5" xfId="0" applyFont="1" applyFill="1" applyBorder="1" applyAlignment="1">
      <alignment vertical="center" shrinkToFit="1"/>
    </xf>
    <xf numFmtId="176" fontId="0" fillId="6" borderId="4" xfId="0" applyNumberFormat="1" applyFill="1" applyBorder="1" applyAlignment="1">
      <alignment horizontal="center" vertical="center"/>
    </xf>
    <xf numFmtId="176" fontId="0" fillId="6" borderId="1" xfId="0" applyNumberFormat="1" applyFill="1" applyBorder="1" applyAlignment="1">
      <alignment horizontal="center" vertical="center"/>
    </xf>
    <xf numFmtId="0" fontId="8" fillId="0" borderId="1" xfId="0" applyFont="1" applyBorder="1" applyAlignment="1">
      <alignment horizontal="left" vertical="center" shrinkToFit="1"/>
    </xf>
    <xf numFmtId="0" fontId="37" fillId="0" borderId="1" xfId="0" applyFont="1" applyBorder="1" applyAlignment="1">
      <alignment horizontal="center" vertical="center"/>
    </xf>
    <xf numFmtId="56" fontId="0" fillId="0" borderId="2" xfId="0" applyNumberFormat="1" applyBorder="1" applyAlignment="1">
      <alignment horizontal="center" vertical="center"/>
    </xf>
    <xf numFmtId="0" fontId="38" fillId="0" borderId="0" xfId="0" applyFont="1">
      <alignment vertical="center"/>
    </xf>
    <xf numFmtId="181" fontId="19" fillId="0" borderId="5" xfId="0" applyNumberFormat="1" applyFont="1" applyBorder="1" applyAlignment="1">
      <alignment horizontal="right" vertical="center"/>
    </xf>
    <xf numFmtId="0" fontId="0" fillId="0" borderId="5" xfId="0" applyBorder="1" applyAlignment="1">
      <alignment horizontal="right" vertical="center"/>
    </xf>
    <xf numFmtId="0" fontId="0" fillId="7" borderId="7" xfId="0" applyFill="1" applyBorder="1" applyAlignment="1">
      <alignment horizontal="center" vertical="center"/>
    </xf>
  </cellXfs>
  <cellStyles count="6">
    <cellStyle name="ハイパーリンク" xfId="2" xr:uid="{00000000-0005-0000-0000-000000000000}"/>
    <cellStyle name="標準" xfId="0" builtinId="0"/>
    <cellStyle name="標準 2" xfId="5" xr:uid="{C2CBC382-4BC1-4D3B-B64A-4DC2C10C5618}"/>
    <cellStyle name="標準 3" xfId="4" xr:uid="{1B9717F3-D5E1-4047-8E84-2BA2544C8F2B}"/>
    <cellStyle name="標準_発注管理表" xfId="3" xr:uid="{00000000-0005-0000-0000-000002000000}"/>
    <cellStyle name="表示済みのハイパーリンク" xfId="1" xr:uid="{00000000-0005-0000-0000-000003000000}"/>
  </cellStyles>
  <dxfs count="0"/>
  <tableStyles count="0" defaultTableStyle="TableStyleMedium9" defaultPivotStyle="PivotStyleMedium9"/>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CD02D-4852-4554-A583-C15B9A75F326}">
  <sheetPr>
    <tabColor rgb="FF7030A0"/>
  </sheetPr>
  <dimension ref="A2:S195"/>
  <sheetViews>
    <sheetView tabSelected="1" zoomScale="85" zoomScaleNormal="85" workbookViewId="0">
      <pane ySplit="10" topLeftCell="A150" activePane="bottomLeft" state="frozen"/>
      <selection pane="bottomLeft" activeCell="G167" sqref="G167"/>
    </sheetView>
  </sheetViews>
  <sheetFormatPr defaultColWidth="11.88671875" defaultRowHeight="13.5" customHeight="1" x14ac:dyDescent="0.2"/>
  <cols>
    <col min="1" max="1" width="8.44140625" customWidth="1"/>
    <col min="2" max="2" width="16.88671875" customWidth="1"/>
    <col min="3" max="3" width="9.33203125" customWidth="1"/>
    <col min="4" max="4" width="6.109375" style="3" customWidth="1"/>
    <col min="5" max="5" width="15.109375" customWidth="1"/>
    <col min="6" max="6" width="15.44140625" customWidth="1"/>
    <col min="7" max="7" width="59.77734375" customWidth="1"/>
    <col min="8" max="8" width="14.5546875" style="3" customWidth="1"/>
    <col min="9" max="10" width="12.109375" style="3" customWidth="1"/>
    <col min="11" max="11" width="7.109375" style="9" customWidth="1"/>
    <col min="12" max="12" width="48.44140625" customWidth="1"/>
    <col min="13" max="13" width="28.33203125" customWidth="1"/>
    <col min="14" max="14" width="22.44140625" style="3" customWidth="1"/>
    <col min="15" max="15" width="17" style="3" customWidth="1"/>
    <col min="16" max="16" width="7.88671875" customWidth="1"/>
    <col min="17" max="17" width="16.33203125" style="3" customWidth="1"/>
    <col min="18" max="18" width="17.88671875" style="23" customWidth="1"/>
    <col min="19" max="19" width="19.33203125" style="23" customWidth="1"/>
  </cols>
  <sheetData>
    <row r="2" spans="1:19" ht="20.100000000000001" customHeight="1" x14ac:dyDescent="0.2">
      <c r="D2" s="274" t="s">
        <v>0</v>
      </c>
      <c r="E2" s="274"/>
      <c r="F2" s="274"/>
      <c r="G2" s="156" t="s">
        <v>231</v>
      </c>
      <c r="I2" s="275" t="s">
        <v>1</v>
      </c>
      <c r="J2" s="276"/>
      <c r="K2" s="277"/>
      <c r="L2" s="8">
        <f>SUM(J:J)</f>
        <v>475911</v>
      </c>
    </row>
    <row r="3" spans="1:19" ht="20.100000000000001" customHeight="1" x14ac:dyDescent="0.2">
      <c r="D3" s="274" t="s">
        <v>2</v>
      </c>
      <c r="E3" s="274"/>
      <c r="F3" s="274"/>
      <c r="G3" s="157" t="s">
        <v>183</v>
      </c>
    </row>
    <row r="4" spans="1:19" ht="20.100000000000001" customHeight="1" x14ac:dyDescent="0.2">
      <c r="D4" s="274" t="s">
        <v>3</v>
      </c>
      <c r="E4" s="274"/>
      <c r="F4" s="274"/>
      <c r="G4" s="157" t="s">
        <v>269</v>
      </c>
      <c r="I4" s="278" t="s">
        <v>232</v>
      </c>
      <c r="J4" s="278"/>
      <c r="K4" s="278"/>
      <c r="L4" s="278"/>
      <c r="M4" s="26"/>
    </row>
    <row r="5" spans="1:19" ht="20.100000000000001" customHeight="1" x14ac:dyDescent="0.2">
      <c r="D5" s="274" t="s">
        <v>4</v>
      </c>
      <c r="E5" s="274"/>
      <c r="F5" s="274"/>
      <c r="G5" s="158">
        <v>46042</v>
      </c>
      <c r="H5" s="279" t="s">
        <v>280</v>
      </c>
      <c r="I5" s="278"/>
      <c r="J5" s="278"/>
      <c r="K5" s="278"/>
      <c r="L5" s="278"/>
    </row>
    <row r="6" spans="1:19" ht="20.100000000000001" customHeight="1" x14ac:dyDescent="0.2">
      <c r="D6" s="274" t="s">
        <v>5</v>
      </c>
      <c r="E6" s="274"/>
      <c r="F6" s="274"/>
      <c r="G6" s="158">
        <v>46043</v>
      </c>
      <c r="H6" s="279"/>
      <c r="J6" s="27"/>
    </row>
    <row r="7" spans="1:19" ht="19.8" customHeight="1" x14ac:dyDescent="0.2">
      <c r="L7" s="269" t="s">
        <v>184</v>
      </c>
      <c r="M7" s="269"/>
    </row>
    <row r="8" spans="1:19" ht="16.8" customHeight="1" x14ac:dyDescent="0.2">
      <c r="L8" s="251"/>
    </row>
    <row r="10" spans="1:19" s="3" customFormat="1" ht="19.5" customHeight="1" x14ac:dyDescent="0.2">
      <c r="C10" s="32" t="s">
        <v>25</v>
      </c>
      <c r="D10" s="31" t="s">
        <v>6</v>
      </c>
      <c r="E10" s="4" t="s">
        <v>7</v>
      </c>
      <c r="F10" s="4" t="s">
        <v>8</v>
      </c>
      <c r="G10" s="1" t="s">
        <v>9</v>
      </c>
      <c r="H10" s="1" t="s">
        <v>10</v>
      </c>
      <c r="I10" s="1" t="s">
        <v>11</v>
      </c>
      <c r="J10" s="2" t="s">
        <v>12</v>
      </c>
      <c r="K10" s="2" t="s">
        <v>13</v>
      </c>
      <c r="L10" s="1" t="s">
        <v>14</v>
      </c>
      <c r="M10" s="255" t="s">
        <v>15</v>
      </c>
      <c r="N10" s="255" t="s">
        <v>16</v>
      </c>
      <c r="O10" s="11" t="s">
        <v>17</v>
      </c>
      <c r="P10" s="4" t="s">
        <v>18</v>
      </c>
      <c r="Q10" s="1" t="s">
        <v>19</v>
      </c>
      <c r="R10" s="260" t="s">
        <v>20</v>
      </c>
      <c r="S10" s="261" t="s">
        <v>21</v>
      </c>
    </row>
    <row r="11" spans="1:19" s="120" customFormat="1" ht="19.5" customHeight="1" x14ac:dyDescent="0.2">
      <c r="D11" s="124"/>
      <c r="E11" s="270" t="s">
        <v>178</v>
      </c>
      <c r="F11" s="271"/>
      <c r="G11" s="272"/>
      <c r="H11" s="127"/>
      <c r="I11" s="127"/>
      <c r="J11" s="127"/>
      <c r="K11" s="126"/>
      <c r="L11" s="252"/>
      <c r="M11" s="125"/>
      <c r="N11" s="125"/>
      <c r="O11" s="253"/>
      <c r="P11" s="150"/>
      <c r="Q11" s="257"/>
      <c r="R11" s="128"/>
      <c r="S11" s="121"/>
    </row>
    <row r="12" spans="1:19" s="120" customFormat="1" ht="19.5" customHeight="1" x14ac:dyDescent="0.2">
      <c r="A12" s="125" t="s">
        <v>26</v>
      </c>
      <c r="B12" s="212" t="s">
        <v>282</v>
      </c>
      <c r="C12" s="125">
        <v>13</v>
      </c>
      <c r="D12" s="242">
        <v>1</v>
      </c>
      <c r="E12" s="132" t="s">
        <v>27</v>
      </c>
      <c r="F12" s="132" t="s">
        <v>27</v>
      </c>
      <c r="G12" s="180" t="s">
        <v>180</v>
      </c>
      <c r="H12" s="216">
        <v>1</v>
      </c>
      <c r="I12" s="186">
        <v>19600</v>
      </c>
      <c r="J12" s="184">
        <f t="shared" ref="J12" si="0">H12*I12</f>
        <v>19600</v>
      </c>
      <c r="K12" s="135"/>
      <c r="L12" s="135" t="s">
        <v>179</v>
      </c>
      <c r="M12" s="256"/>
      <c r="N12" s="262" t="s">
        <v>291</v>
      </c>
      <c r="O12" s="254">
        <v>46016</v>
      </c>
      <c r="P12" s="132"/>
      <c r="Q12" s="258">
        <v>45677</v>
      </c>
      <c r="R12" s="138">
        <v>45678</v>
      </c>
      <c r="S12" s="130"/>
    </row>
    <row r="13" spans="1:19" s="120" customFormat="1" ht="19.5" customHeight="1" x14ac:dyDescent="0.2">
      <c r="C13" s="125"/>
      <c r="D13" s="132"/>
      <c r="E13" s="148"/>
      <c r="F13" s="148"/>
      <c r="G13" s="40"/>
      <c r="H13" s="24"/>
      <c r="I13" s="24"/>
      <c r="J13" s="147"/>
      <c r="K13" s="209"/>
      <c r="L13" s="146"/>
      <c r="M13" s="145"/>
      <c r="N13" s="144"/>
      <c r="O13" s="128"/>
      <c r="P13" s="132"/>
      <c r="Q13" s="258"/>
      <c r="R13" s="138"/>
      <c r="S13" s="130"/>
    </row>
    <row r="14" spans="1:19" s="120" customFormat="1" ht="19.5" customHeight="1" x14ac:dyDescent="0.2">
      <c r="C14" s="125"/>
      <c r="D14" s="132"/>
      <c r="E14" s="132"/>
      <c r="F14" s="143"/>
      <c r="G14" s="142">
        <f>SUM(J12:J12)</f>
        <v>19600</v>
      </c>
      <c r="H14" s="125"/>
      <c r="I14" s="141"/>
      <c r="J14" s="140"/>
      <c r="K14" s="134"/>
      <c r="L14" s="133"/>
      <c r="M14" s="139"/>
      <c r="N14" s="132"/>
      <c r="O14" s="128"/>
      <c r="P14" s="132"/>
      <c r="Q14" s="258"/>
      <c r="R14" s="138"/>
      <c r="S14" s="130"/>
    </row>
    <row r="15" spans="1:19" s="3" customFormat="1" ht="19.5" customHeight="1" x14ac:dyDescent="0.2">
      <c r="C15" s="19"/>
      <c r="D15" s="77"/>
      <c r="E15" s="21"/>
      <c r="F15" s="21"/>
      <c r="G15" s="29"/>
      <c r="H15" s="39"/>
      <c r="I15" s="39"/>
      <c r="J15" s="39"/>
      <c r="K15" s="153"/>
      <c r="L15" s="73"/>
      <c r="M15" s="19"/>
      <c r="N15" s="19"/>
      <c r="O15" s="33"/>
      <c r="P15" s="21"/>
      <c r="Q15" s="20"/>
      <c r="R15" s="33"/>
      <c r="S15" s="37"/>
    </row>
    <row r="16" spans="1:19" s="3" customFormat="1" ht="19.5" customHeight="1" x14ac:dyDescent="0.2">
      <c r="C16" s="19"/>
      <c r="D16" s="77"/>
      <c r="E16" s="21"/>
      <c r="F16" s="21"/>
      <c r="G16" s="29"/>
      <c r="H16" s="39"/>
      <c r="I16" s="39"/>
      <c r="J16" s="39"/>
      <c r="K16" s="153"/>
      <c r="L16" s="73"/>
      <c r="M16" s="19"/>
      <c r="N16" s="19"/>
      <c r="O16" s="33"/>
      <c r="P16" s="21"/>
      <c r="Q16" s="20"/>
      <c r="R16" s="33"/>
      <c r="S16" s="37"/>
    </row>
    <row r="17" spans="1:19" s="3" customFormat="1" ht="19.649999999999999" customHeight="1" x14ac:dyDescent="0.2">
      <c r="A17" s="19"/>
      <c r="B17" s="19"/>
      <c r="C17" s="19"/>
      <c r="D17" s="21"/>
      <c r="E17" s="49"/>
      <c r="F17" s="50"/>
      <c r="G17" s="78" t="s">
        <v>104</v>
      </c>
      <c r="H17" s="19"/>
      <c r="I17" s="19"/>
      <c r="J17" s="19"/>
      <c r="K17" s="47"/>
      <c r="L17" s="19"/>
      <c r="M17" s="19"/>
      <c r="N17" s="79"/>
      <c r="O17" s="80"/>
      <c r="P17" s="77"/>
      <c r="Q17" s="259"/>
      <c r="R17" s="33"/>
      <c r="S17" s="22"/>
    </row>
    <row r="18" spans="1:19" s="3" customFormat="1" ht="19.649999999999999" customHeight="1" x14ac:dyDescent="0.2">
      <c r="A18" s="54" t="s">
        <v>105</v>
      </c>
      <c r="B18" s="246" t="s">
        <v>283</v>
      </c>
      <c r="C18" s="183">
        <v>9</v>
      </c>
      <c r="D18" s="112">
        <f>+D12+1</f>
        <v>2</v>
      </c>
      <c r="E18" s="36" t="s">
        <v>32</v>
      </c>
      <c r="F18" s="118" t="s">
        <v>27</v>
      </c>
      <c r="G18" s="164" t="s">
        <v>150</v>
      </c>
      <c r="H18" s="214">
        <v>1</v>
      </c>
      <c r="I18" s="214">
        <v>10120</v>
      </c>
      <c r="J18" s="197">
        <f t="shared" ref="J18:J35" si="1">H18*I18</f>
        <v>10120</v>
      </c>
      <c r="K18" s="81"/>
      <c r="L18" s="95" t="s">
        <v>147</v>
      </c>
      <c r="M18" s="82"/>
      <c r="N18" s="262" t="s">
        <v>291</v>
      </c>
      <c r="O18" s="254">
        <v>46016</v>
      </c>
      <c r="P18" s="132"/>
      <c r="Q18" s="258">
        <v>45677</v>
      </c>
      <c r="R18" s="138">
        <v>45678</v>
      </c>
      <c r="S18" s="22"/>
    </row>
    <row r="19" spans="1:19" s="3" customFormat="1" ht="19.649999999999999" customHeight="1" x14ac:dyDescent="0.2">
      <c r="A19" s="54" t="s">
        <v>29</v>
      </c>
      <c r="B19" s="246" t="s">
        <v>283</v>
      </c>
      <c r="C19" s="183">
        <v>9</v>
      </c>
      <c r="D19" s="112">
        <f t="shared" ref="D19:D37" si="2">+D18+1</f>
        <v>3</v>
      </c>
      <c r="E19" s="21" t="s">
        <v>27</v>
      </c>
      <c r="F19" s="21" t="s">
        <v>27</v>
      </c>
      <c r="G19" s="162" t="s">
        <v>106</v>
      </c>
      <c r="H19" s="86">
        <v>1</v>
      </c>
      <c r="I19" s="86">
        <v>80</v>
      </c>
      <c r="J19" s="198">
        <f t="shared" si="1"/>
        <v>80</v>
      </c>
      <c r="K19" s="47"/>
      <c r="L19" s="47" t="s">
        <v>107</v>
      </c>
      <c r="M19" s="42" t="s">
        <v>108</v>
      </c>
      <c r="N19" s="262" t="s">
        <v>291</v>
      </c>
      <c r="O19" s="254">
        <v>46016</v>
      </c>
      <c r="P19" s="132"/>
      <c r="Q19" s="258">
        <v>45677</v>
      </c>
      <c r="R19" s="138">
        <v>45678</v>
      </c>
      <c r="S19" s="22"/>
    </row>
    <row r="20" spans="1:19" s="3" customFormat="1" ht="19.649999999999999" customHeight="1" x14ac:dyDescent="0.2">
      <c r="A20" s="54" t="s">
        <v>29</v>
      </c>
      <c r="B20" s="246" t="s">
        <v>283</v>
      </c>
      <c r="C20" s="183">
        <v>9</v>
      </c>
      <c r="D20" s="112">
        <f t="shared" si="2"/>
        <v>4</v>
      </c>
      <c r="E20" s="68" t="s">
        <v>27</v>
      </c>
      <c r="F20" s="68" t="s">
        <v>27</v>
      </c>
      <c r="G20" s="162" t="s">
        <v>148</v>
      </c>
      <c r="H20" s="86">
        <v>2</v>
      </c>
      <c r="I20" s="86">
        <v>187</v>
      </c>
      <c r="J20" s="199">
        <f>H20*I20</f>
        <v>374</v>
      </c>
      <c r="K20" s="47"/>
      <c r="L20" s="47" t="s">
        <v>110</v>
      </c>
      <c r="M20" s="42"/>
      <c r="N20" s="262" t="s">
        <v>291</v>
      </c>
      <c r="O20" s="254">
        <v>46016</v>
      </c>
      <c r="P20" s="132"/>
      <c r="Q20" s="258">
        <v>45677</v>
      </c>
      <c r="R20" s="138">
        <v>45678</v>
      </c>
      <c r="S20" s="22"/>
    </row>
    <row r="21" spans="1:19" s="3" customFormat="1" ht="19.649999999999999" customHeight="1" x14ac:dyDescent="0.2">
      <c r="A21" s="54" t="s">
        <v>29</v>
      </c>
      <c r="B21" s="246" t="s">
        <v>283</v>
      </c>
      <c r="C21" s="183">
        <v>9</v>
      </c>
      <c r="D21" s="112">
        <f t="shared" si="2"/>
        <v>5</v>
      </c>
      <c r="E21" s="68" t="s">
        <v>27</v>
      </c>
      <c r="F21" s="68" t="s">
        <v>27</v>
      </c>
      <c r="G21" s="159" t="s">
        <v>112</v>
      </c>
      <c r="H21" s="215">
        <v>4</v>
      </c>
      <c r="I21" s="220">
        <v>120</v>
      </c>
      <c r="J21" s="199">
        <f>H21*I21</f>
        <v>480</v>
      </c>
      <c r="K21" s="83"/>
      <c r="L21" s="83" t="s">
        <v>279</v>
      </c>
      <c r="M21" s="44" t="s">
        <v>113</v>
      </c>
      <c r="N21" s="262" t="s">
        <v>291</v>
      </c>
      <c r="O21" s="254">
        <v>46016</v>
      </c>
      <c r="P21" s="132"/>
      <c r="Q21" s="258">
        <v>45677</v>
      </c>
      <c r="R21" s="138">
        <v>45678</v>
      </c>
      <c r="S21" s="22"/>
    </row>
    <row r="22" spans="1:19" s="3" customFormat="1" ht="19.649999999999999" customHeight="1" x14ac:dyDescent="0.2">
      <c r="A22" s="54" t="s">
        <v>29</v>
      </c>
      <c r="B22" s="246" t="s">
        <v>283</v>
      </c>
      <c r="C22" s="183">
        <v>9</v>
      </c>
      <c r="D22" s="112">
        <f t="shared" si="2"/>
        <v>6</v>
      </c>
      <c r="E22" s="68" t="s">
        <v>27</v>
      </c>
      <c r="F22" s="68" t="s">
        <v>27</v>
      </c>
      <c r="G22" s="163" t="s">
        <v>114</v>
      </c>
      <c r="H22" s="215">
        <v>1</v>
      </c>
      <c r="I22" s="215">
        <v>81</v>
      </c>
      <c r="J22" s="199">
        <f t="shared" si="1"/>
        <v>81</v>
      </c>
      <c r="K22" s="59"/>
      <c r="L22" s="59" t="s">
        <v>115</v>
      </c>
      <c r="M22" s="19"/>
      <c r="N22" s="262" t="s">
        <v>291</v>
      </c>
      <c r="O22" s="254">
        <v>46016</v>
      </c>
      <c r="P22" s="132"/>
      <c r="Q22" s="258">
        <v>45677</v>
      </c>
      <c r="R22" s="138">
        <v>45678</v>
      </c>
      <c r="S22" s="22"/>
    </row>
    <row r="23" spans="1:19" s="3" customFormat="1" ht="19.649999999999999" customHeight="1" x14ac:dyDescent="0.2">
      <c r="A23" s="54" t="s">
        <v>29</v>
      </c>
      <c r="B23" s="246" t="s">
        <v>283</v>
      </c>
      <c r="C23" s="183">
        <v>9</v>
      </c>
      <c r="D23" s="112">
        <f t="shared" si="2"/>
        <v>7</v>
      </c>
      <c r="E23" s="68" t="s">
        <v>116</v>
      </c>
      <c r="F23" s="68" t="s">
        <v>27</v>
      </c>
      <c r="G23" s="162" t="s">
        <v>117</v>
      </c>
      <c r="H23" s="86">
        <v>1</v>
      </c>
      <c r="I23" s="86">
        <v>421</v>
      </c>
      <c r="J23" s="192">
        <f t="shared" si="1"/>
        <v>421</v>
      </c>
      <c r="K23" s="47"/>
      <c r="L23" s="47" t="s">
        <v>118</v>
      </c>
      <c r="M23" s="19"/>
      <c r="N23" s="262" t="s">
        <v>291</v>
      </c>
      <c r="O23" s="254">
        <v>46016</v>
      </c>
      <c r="P23" s="132"/>
      <c r="Q23" s="258">
        <v>45677</v>
      </c>
      <c r="R23" s="138">
        <v>45678</v>
      </c>
      <c r="S23" s="22"/>
    </row>
    <row r="24" spans="1:19" s="3" customFormat="1" ht="19.649999999999999" customHeight="1" x14ac:dyDescent="0.2">
      <c r="A24" s="54" t="s">
        <v>29</v>
      </c>
      <c r="B24" s="246" t="s">
        <v>283</v>
      </c>
      <c r="C24" s="183">
        <v>9</v>
      </c>
      <c r="D24" s="112">
        <f t="shared" si="2"/>
        <v>8</v>
      </c>
      <c r="E24" s="21" t="s">
        <v>27</v>
      </c>
      <c r="F24" s="21" t="s">
        <v>27</v>
      </c>
      <c r="G24" s="160" t="s">
        <v>119</v>
      </c>
      <c r="H24" s="86">
        <v>1</v>
      </c>
      <c r="I24" s="86">
        <v>56</v>
      </c>
      <c r="J24" s="198">
        <f t="shared" si="1"/>
        <v>56</v>
      </c>
      <c r="K24" s="47"/>
      <c r="L24" s="47" t="s">
        <v>120</v>
      </c>
      <c r="M24" s="42" t="s">
        <v>121</v>
      </c>
      <c r="N24" s="262" t="s">
        <v>291</v>
      </c>
      <c r="O24" s="254">
        <v>46016</v>
      </c>
      <c r="P24" s="132"/>
      <c r="Q24" s="258">
        <v>45677</v>
      </c>
      <c r="R24" s="138">
        <v>45678</v>
      </c>
      <c r="S24" s="22"/>
    </row>
    <row r="25" spans="1:19" s="3" customFormat="1" ht="19.649999999999999" customHeight="1" x14ac:dyDescent="0.2">
      <c r="A25" s="54" t="s">
        <v>105</v>
      </c>
      <c r="B25" s="246" t="s">
        <v>283</v>
      </c>
      <c r="C25" s="183">
        <v>9</v>
      </c>
      <c r="D25" s="112">
        <f t="shared" si="2"/>
        <v>9</v>
      </c>
      <c r="E25" s="21" t="s">
        <v>32</v>
      </c>
      <c r="F25" s="21" t="s">
        <v>27</v>
      </c>
      <c r="G25" s="162" t="s">
        <v>151</v>
      </c>
      <c r="H25" s="86">
        <v>1</v>
      </c>
      <c r="I25" s="86">
        <v>8913</v>
      </c>
      <c r="J25" s="199">
        <f t="shared" si="1"/>
        <v>8913</v>
      </c>
      <c r="K25" s="47"/>
      <c r="L25" s="35" t="s">
        <v>146</v>
      </c>
      <c r="M25" s="19"/>
      <c r="N25" s="262" t="s">
        <v>291</v>
      </c>
      <c r="O25" s="254">
        <v>46016</v>
      </c>
      <c r="P25" s="132"/>
      <c r="Q25" s="258">
        <v>45677</v>
      </c>
      <c r="R25" s="138">
        <v>45678</v>
      </c>
      <c r="S25" s="22"/>
    </row>
    <row r="26" spans="1:19" s="3" customFormat="1" ht="19.649999999999999" customHeight="1" x14ac:dyDescent="0.2">
      <c r="A26" s="54" t="s">
        <v>29</v>
      </c>
      <c r="B26" s="246" t="s">
        <v>283</v>
      </c>
      <c r="C26" s="183">
        <v>9</v>
      </c>
      <c r="D26" s="112">
        <f t="shared" si="2"/>
        <v>10</v>
      </c>
      <c r="E26" s="68" t="s">
        <v>27</v>
      </c>
      <c r="F26" s="68" t="s">
        <v>27</v>
      </c>
      <c r="G26" s="160" t="s">
        <v>122</v>
      </c>
      <c r="H26" s="86">
        <v>2</v>
      </c>
      <c r="I26" s="86">
        <v>78</v>
      </c>
      <c r="J26" s="199">
        <f t="shared" si="1"/>
        <v>156</v>
      </c>
      <c r="K26" s="47"/>
      <c r="L26" s="47" t="s">
        <v>123</v>
      </c>
      <c r="M26" s="42" t="s">
        <v>124</v>
      </c>
      <c r="N26" s="262" t="s">
        <v>291</v>
      </c>
      <c r="O26" s="254">
        <v>46016</v>
      </c>
      <c r="P26" s="132"/>
      <c r="Q26" s="258">
        <v>45677</v>
      </c>
      <c r="R26" s="138">
        <v>45678</v>
      </c>
      <c r="S26" s="22"/>
    </row>
    <row r="27" spans="1:19" s="3" customFormat="1" ht="19.649999999999999" customHeight="1" x14ac:dyDescent="0.2">
      <c r="A27" s="54" t="s">
        <v>29</v>
      </c>
      <c r="B27" s="246" t="s">
        <v>283</v>
      </c>
      <c r="C27" s="183">
        <v>9</v>
      </c>
      <c r="D27" s="112">
        <f t="shared" si="2"/>
        <v>11</v>
      </c>
      <c r="E27" s="68" t="s">
        <v>27</v>
      </c>
      <c r="F27" s="68" t="s">
        <v>27</v>
      </c>
      <c r="G27" s="161" t="s">
        <v>125</v>
      </c>
      <c r="H27" s="215">
        <v>1</v>
      </c>
      <c r="I27" s="215">
        <v>113</v>
      </c>
      <c r="J27" s="187">
        <f t="shared" si="1"/>
        <v>113</v>
      </c>
      <c r="K27" s="44"/>
      <c r="L27" s="44" t="s">
        <v>126</v>
      </c>
      <c r="M27" s="60" t="s">
        <v>127</v>
      </c>
      <c r="N27" s="262" t="s">
        <v>291</v>
      </c>
      <c r="O27" s="254">
        <v>46016</v>
      </c>
      <c r="P27" s="132"/>
      <c r="Q27" s="258">
        <v>45677</v>
      </c>
      <c r="R27" s="138">
        <v>45678</v>
      </c>
      <c r="S27" s="22"/>
    </row>
    <row r="28" spans="1:19" s="3" customFormat="1" ht="19.5" customHeight="1" x14ac:dyDescent="0.2">
      <c r="A28" s="54" t="s">
        <v>29</v>
      </c>
      <c r="B28" s="246" t="s">
        <v>283</v>
      </c>
      <c r="C28" s="183">
        <v>9</v>
      </c>
      <c r="D28" s="112">
        <f t="shared" si="2"/>
        <v>12</v>
      </c>
      <c r="E28" s="68" t="s">
        <v>27</v>
      </c>
      <c r="F28" s="68" t="s">
        <v>27</v>
      </c>
      <c r="G28" s="160" t="s">
        <v>128</v>
      </c>
      <c r="H28" s="213">
        <v>1</v>
      </c>
      <c r="I28" s="220">
        <v>67</v>
      </c>
      <c r="J28" s="199">
        <f t="shared" si="1"/>
        <v>67</v>
      </c>
      <c r="K28" s="83"/>
      <c r="L28" s="83" t="s">
        <v>120</v>
      </c>
      <c r="M28" s="42" t="s">
        <v>113</v>
      </c>
      <c r="N28" s="262" t="s">
        <v>291</v>
      </c>
      <c r="O28" s="254">
        <v>46016</v>
      </c>
      <c r="P28" s="132"/>
      <c r="Q28" s="258">
        <v>45677</v>
      </c>
      <c r="R28" s="138">
        <v>45678</v>
      </c>
      <c r="S28" s="22"/>
    </row>
    <row r="29" spans="1:19" s="3" customFormat="1" ht="19.5" customHeight="1" x14ac:dyDescent="0.2">
      <c r="A29" s="54" t="s">
        <v>29</v>
      </c>
      <c r="B29" s="246" t="s">
        <v>283</v>
      </c>
      <c r="C29" s="183">
        <v>9</v>
      </c>
      <c r="D29" s="112">
        <f t="shared" si="2"/>
        <v>13</v>
      </c>
      <c r="E29" s="68" t="s">
        <v>27</v>
      </c>
      <c r="F29" s="68" t="s">
        <v>27</v>
      </c>
      <c r="G29" s="162" t="s">
        <v>270</v>
      </c>
      <c r="H29" s="213">
        <v>1</v>
      </c>
      <c r="I29" s="220">
        <v>210</v>
      </c>
      <c r="J29" s="199">
        <f t="shared" si="1"/>
        <v>210</v>
      </c>
      <c r="K29" s="84"/>
      <c r="L29" s="84" t="s">
        <v>271</v>
      </c>
      <c r="M29" s="42"/>
      <c r="N29" s="262" t="s">
        <v>291</v>
      </c>
      <c r="O29" s="254">
        <v>46016</v>
      </c>
      <c r="P29" s="132"/>
      <c r="Q29" s="258">
        <v>45677</v>
      </c>
      <c r="R29" s="138">
        <v>45678</v>
      </c>
      <c r="S29" s="22"/>
    </row>
    <row r="30" spans="1:19" s="3" customFormat="1" ht="19.649999999999999" customHeight="1" x14ac:dyDescent="0.2">
      <c r="A30" s="54" t="s">
        <v>105</v>
      </c>
      <c r="B30" s="246" t="s">
        <v>283</v>
      </c>
      <c r="C30" s="183">
        <v>9</v>
      </c>
      <c r="D30" s="112">
        <f t="shared" si="2"/>
        <v>14</v>
      </c>
      <c r="E30" s="21" t="s">
        <v>32</v>
      </c>
      <c r="F30" s="21" t="s">
        <v>27</v>
      </c>
      <c r="G30" s="162" t="s">
        <v>186</v>
      </c>
      <c r="H30" s="86">
        <v>1</v>
      </c>
      <c r="I30" s="86">
        <v>11996</v>
      </c>
      <c r="J30" s="198">
        <f t="shared" si="1"/>
        <v>11996</v>
      </c>
      <c r="K30" s="47"/>
      <c r="L30" s="35" t="s">
        <v>152</v>
      </c>
      <c r="M30" s="19"/>
      <c r="N30" s="262" t="s">
        <v>291</v>
      </c>
      <c r="O30" s="254">
        <v>46016</v>
      </c>
      <c r="P30" s="132"/>
      <c r="Q30" s="258">
        <v>45677</v>
      </c>
      <c r="R30" s="138">
        <v>45678</v>
      </c>
      <c r="S30" s="22"/>
    </row>
    <row r="31" spans="1:19" s="3" customFormat="1" ht="19.649999999999999" customHeight="1" x14ac:dyDescent="0.2">
      <c r="A31" s="54" t="s">
        <v>31</v>
      </c>
      <c r="B31" s="246" t="s">
        <v>283</v>
      </c>
      <c r="C31" s="183">
        <v>9</v>
      </c>
      <c r="D31" s="112">
        <f t="shared" si="2"/>
        <v>15</v>
      </c>
      <c r="E31" s="21" t="s">
        <v>27</v>
      </c>
      <c r="F31" s="21" t="s">
        <v>27</v>
      </c>
      <c r="G31" s="160" t="s">
        <v>129</v>
      </c>
      <c r="H31" s="86">
        <v>1</v>
      </c>
      <c r="I31" s="86">
        <v>1044</v>
      </c>
      <c r="J31" s="198">
        <f t="shared" si="1"/>
        <v>1044</v>
      </c>
      <c r="K31" s="47"/>
      <c r="L31" s="47" t="s">
        <v>130</v>
      </c>
      <c r="M31" s="42" t="s">
        <v>131</v>
      </c>
      <c r="N31" s="262" t="s">
        <v>291</v>
      </c>
      <c r="O31" s="254">
        <v>46016</v>
      </c>
      <c r="P31" s="132"/>
      <c r="Q31" s="258">
        <v>45677</v>
      </c>
      <c r="R31" s="138">
        <v>45678</v>
      </c>
      <c r="S31" s="22"/>
    </row>
    <row r="32" spans="1:19" s="3" customFormat="1" ht="19.649999999999999" customHeight="1" x14ac:dyDescent="0.2">
      <c r="A32" s="54" t="s">
        <v>29</v>
      </c>
      <c r="B32" s="246" t="s">
        <v>283</v>
      </c>
      <c r="C32" s="183">
        <v>9</v>
      </c>
      <c r="D32" s="112">
        <f t="shared" si="2"/>
        <v>16</v>
      </c>
      <c r="E32" s="21" t="s">
        <v>27</v>
      </c>
      <c r="F32" s="21" t="s">
        <v>27</v>
      </c>
      <c r="G32" s="160" t="s">
        <v>132</v>
      </c>
      <c r="H32" s="86">
        <v>1</v>
      </c>
      <c r="I32" s="86">
        <v>975</v>
      </c>
      <c r="J32" s="198">
        <f t="shared" si="1"/>
        <v>975</v>
      </c>
      <c r="K32" s="47"/>
      <c r="L32" s="47" t="s">
        <v>133</v>
      </c>
      <c r="M32" s="42" t="s">
        <v>131</v>
      </c>
      <c r="N32" s="262" t="s">
        <v>291</v>
      </c>
      <c r="O32" s="254">
        <v>46016</v>
      </c>
      <c r="P32" s="132"/>
      <c r="Q32" s="258">
        <v>45677</v>
      </c>
      <c r="R32" s="138">
        <v>45678</v>
      </c>
      <c r="S32" s="22"/>
    </row>
    <row r="33" spans="1:19" s="3" customFormat="1" ht="19.649999999999999" customHeight="1" x14ac:dyDescent="0.2">
      <c r="A33" s="54" t="s">
        <v>29</v>
      </c>
      <c r="B33" s="246" t="s">
        <v>283</v>
      </c>
      <c r="C33" s="183">
        <v>9</v>
      </c>
      <c r="D33" s="112">
        <f t="shared" si="2"/>
        <v>17</v>
      </c>
      <c r="E33" s="68" t="s">
        <v>27</v>
      </c>
      <c r="F33" s="68" t="s">
        <v>27</v>
      </c>
      <c r="G33" s="160" t="s">
        <v>109</v>
      </c>
      <c r="H33" s="86">
        <v>6</v>
      </c>
      <c r="I33" s="86">
        <v>77</v>
      </c>
      <c r="J33" s="199">
        <f t="shared" si="1"/>
        <v>462</v>
      </c>
      <c r="K33" s="47"/>
      <c r="L33" s="35" t="s">
        <v>255</v>
      </c>
      <c r="M33" s="19"/>
      <c r="N33" s="262" t="s">
        <v>291</v>
      </c>
      <c r="O33" s="254">
        <v>46016</v>
      </c>
      <c r="P33" s="132"/>
      <c r="Q33" s="258">
        <v>45677</v>
      </c>
      <c r="R33" s="138">
        <v>45678</v>
      </c>
      <c r="S33" s="22"/>
    </row>
    <row r="34" spans="1:19" s="3" customFormat="1" ht="19.649999999999999" customHeight="1" x14ac:dyDescent="0.2">
      <c r="A34" s="54" t="s">
        <v>29</v>
      </c>
      <c r="B34" s="246" t="s">
        <v>283</v>
      </c>
      <c r="C34" s="183">
        <v>9</v>
      </c>
      <c r="D34" s="112">
        <f t="shared" si="2"/>
        <v>18</v>
      </c>
      <c r="E34" s="68" t="s">
        <v>27</v>
      </c>
      <c r="F34" s="68" t="s">
        <v>27</v>
      </c>
      <c r="G34" s="159" t="s">
        <v>134</v>
      </c>
      <c r="H34" s="213">
        <v>4</v>
      </c>
      <c r="I34" s="220">
        <v>142</v>
      </c>
      <c r="J34" s="200">
        <f t="shared" si="1"/>
        <v>568</v>
      </c>
      <c r="K34" s="84"/>
      <c r="L34" s="84" t="s">
        <v>135</v>
      </c>
      <c r="M34" s="85"/>
      <c r="N34" s="262" t="s">
        <v>291</v>
      </c>
      <c r="O34" s="254">
        <v>46016</v>
      </c>
      <c r="P34" s="132"/>
      <c r="Q34" s="258">
        <v>45677</v>
      </c>
      <c r="R34" s="138">
        <v>45678</v>
      </c>
      <c r="S34" s="22"/>
    </row>
    <row r="35" spans="1:19" s="3" customFormat="1" ht="19.649999999999999" customHeight="1" x14ac:dyDescent="0.2">
      <c r="A35" s="54" t="s">
        <v>29</v>
      </c>
      <c r="B35" s="246" t="s">
        <v>283</v>
      </c>
      <c r="C35" s="183">
        <v>9</v>
      </c>
      <c r="D35" s="112">
        <f t="shared" si="2"/>
        <v>19</v>
      </c>
      <c r="E35" s="68" t="s">
        <v>27</v>
      </c>
      <c r="F35" s="68" t="s">
        <v>27</v>
      </c>
      <c r="G35" s="159" t="s">
        <v>111</v>
      </c>
      <c r="H35" s="213">
        <v>6</v>
      </c>
      <c r="I35" s="220">
        <v>120</v>
      </c>
      <c r="J35" s="192">
        <f t="shared" si="1"/>
        <v>720</v>
      </c>
      <c r="K35" s="83"/>
      <c r="L35" s="83" t="s">
        <v>136</v>
      </c>
      <c r="M35" s="44" t="s">
        <v>137</v>
      </c>
      <c r="N35" s="262" t="s">
        <v>291</v>
      </c>
      <c r="O35" s="254">
        <v>46016</v>
      </c>
      <c r="P35" s="132"/>
      <c r="Q35" s="258">
        <v>45677</v>
      </c>
      <c r="R35" s="138">
        <v>45678</v>
      </c>
      <c r="S35" s="22"/>
    </row>
    <row r="36" spans="1:19" s="3" customFormat="1" ht="19.649999999999999" customHeight="1" x14ac:dyDescent="0.2">
      <c r="A36" s="54" t="s">
        <v>29</v>
      </c>
      <c r="B36" s="246" t="s">
        <v>283</v>
      </c>
      <c r="C36" s="183">
        <v>9</v>
      </c>
      <c r="D36" s="112">
        <f t="shared" si="2"/>
        <v>20</v>
      </c>
      <c r="E36" s="21" t="s">
        <v>27</v>
      </c>
      <c r="F36" s="21" t="s">
        <v>27</v>
      </c>
      <c r="G36" s="163" t="s">
        <v>149</v>
      </c>
      <c r="H36" s="215">
        <v>1</v>
      </c>
      <c r="I36" s="215">
        <v>1168</v>
      </c>
      <c r="J36" s="199">
        <f>H36*I36</f>
        <v>1168</v>
      </c>
      <c r="K36" s="59"/>
      <c r="L36" s="44" t="s">
        <v>138</v>
      </c>
      <c r="M36" s="42"/>
      <c r="N36" s="262" t="s">
        <v>291</v>
      </c>
      <c r="O36" s="254">
        <v>46016</v>
      </c>
      <c r="P36" s="132"/>
      <c r="Q36" s="258">
        <v>45677</v>
      </c>
      <c r="R36" s="138">
        <v>45678</v>
      </c>
      <c r="S36" s="22"/>
    </row>
    <row r="37" spans="1:19" s="3" customFormat="1" ht="19.649999999999999" customHeight="1" x14ac:dyDescent="0.2">
      <c r="A37" s="54" t="s">
        <v>29</v>
      </c>
      <c r="B37" s="246" t="s">
        <v>283</v>
      </c>
      <c r="C37" s="183">
        <v>9</v>
      </c>
      <c r="D37" s="112">
        <f t="shared" si="2"/>
        <v>21</v>
      </c>
      <c r="E37" s="21" t="s">
        <v>27</v>
      </c>
      <c r="F37" s="21" t="s">
        <v>27</v>
      </c>
      <c r="G37" s="163" t="s">
        <v>185</v>
      </c>
      <c r="H37" s="215">
        <v>1</v>
      </c>
      <c r="I37" s="215">
        <v>1861</v>
      </c>
      <c r="J37" s="199">
        <f>H37*I37</f>
        <v>1861</v>
      </c>
      <c r="K37" s="59"/>
      <c r="L37" s="87" t="s">
        <v>139</v>
      </c>
      <c r="M37" s="42"/>
      <c r="N37" s="262" t="s">
        <v>291</v>
      </c>
      <c r="O37" s="254">
        <v>46016</v>
      </c>
      <c r="P37" s="132"/>
      <c r="Q37" s="258">
        <v>45677</v>
      </c>
      <c r="R37" s="138">
        <v>45678</v>
      </c>
      <c r="S37" s="22"/>
    </row>
    <row r="38" spans="1:19" s="3" customFormat="1" ht="19.649999999999999" customHeight="1" x14ac:dyDescent="0.2">
      <c r="A38" s="19"/>
      <c r="B38" s="19"/>
      <c r="C38" s="19"/>
      <c r="D38" s="21"/>
      <c r="E38" s="34"/>
      <c r="F38" s="34"/>
      <c r="G38" s="40"/>
      <c r="H38" s="24"/>
      <c r="I38" s="24"/>
      <c r="J38" s="41"/>
      <c r="K38" s="84"/>
      <c r="L38" s="83"/>
      <c r="M38" s="85"/>
      <c r="N38" s="19"/>
      <c r="O38" s="33"/>
      <c r="P38" s="21"/>
      <c r="Q38" s="19"/>
      <c r="R38" s="33"/>
      <c r="S38" s="22"/>
    </row>
    <row r="39" spans="1:19" s="3" customFormat="1" ht="19.649999999999999" customHeight="1" x14ac:dyDescent="0.2">
      <c r="A39" s="19"/>
      <c r="B39" s="19"/>
      <c r="C39" s="19"/>
      <c r="D39" s="21"/>
      <c r="E39" s="21"/>
      <c r="F39" s="21"/>
      <c r="G39" s="70">
        <f>SUM(J18:J38)</f>
        <v>39865</v>
      </c>
      <c r="H39" s="19"/>
      <c r="I39" s="19"/>
      <c r="J39" s="20"/>
      <c r="K39" s="47"/>
      <c r="L39" s="19"/>
      <c r="M39" s="19"/>
      <c r="N39" s="19"/>
      <c r="O39" s="33"/>
      <c r="P39" s="21"/>
      <c r="Q39" s="19"/>
      <c r="R39" s="33"/>
      <c r="S39" s="22"/>
    </row>
    <row r="40" spans="1:19" s="3" customFormat="1" ht="19.5" customHeight="1" x14ac:dyDescent="0.2">
      <c r="A40" s="19"/>
      <c r="B40" s="19"/>
      <c r="C40" s="19"/>
      <c r="D40" s="21"/>
      <c r="E40" s="21"/>
      <c r="F40" s="21"/>
      <c r="G40" s="29"/>
      <c r="H40" s="28"/>
      <c r="I40" s="15"/>
      <c r="J40" s="15"/>
      <c r="K40" s="10"/>
      <c r="L40" s="16"/>
      <c r="M40" s="1"/>
      <c r="N40" s="1"/>
      <c r="O40" s="11"/>
      <c r="P40" s="4"/>
      <c r="Q40" s="2"/>
      <c r="R40" s="33"/>
      <c r="S40" s="37"/>
    </row>
    <row r="41" spans="1:19" s="3" customFormat="1" ht="19.5" customHeight="1" x14ac:dyDescent="0.2">
      <c r="A41" s="19"/>
      <c r="B41" s="19"/>
      <c r="C41" s="19"/>
      <c r="D41" s="21"/>
      <c r="E41" s="21"/>
      <c r="F41" s="21"/>
      <c r="G41" s="29"/>
      <c r="H41" s="28"/>
      <c r="I41" s="15"/>
      <c r="J41" s="15"/>
      <c r="K41" s="10"/>
      <c r="L41" s="16"/>
      <c r="M41" s="1"/>
      <c r="N41" s="1"/>
      <c r="O41" s="11"/>
      <c r="P41" s="4"/>
      <c r="Q41" s="2"/>
      <c r="R41" s="33"/>
      <c r="S41" s="37"/>
    </row>
    <row r="42" spans="1:19" s="3" customFormat="1" ht="19.5" customHeight="1" x14ac:dyDescent="0.2">
      <c r="A42" s="19"/>
      <c r="B42" s="19"/>
      <c r="C42" s="19"/>
      <c r="D42" s="21"/>
      <c r="E42" s="21"/>
      <c r="F42" s="21"/>
      <c r="G42" s="29"/>
      <c r="H42" s="28"/>
      <c r="I42" s="15"/>
      <c r="J42" s="15"/>
      <c r="K42" s="10"/>
      <c r="L42" s="16"/>
      <c r="M42" s="1"/>
      <c r="N42" s="1"/>
      <c r="O42" s="11"/>
      <c r="P42" s="4"/>
      <c r="Q42" s="2"/>
      <c r="R42" s="33"/>
      <c r="S42" s="37"/>
    </row>
    <row r="43" spans="1:19" s="3" customFormat="1" ht="19.5" customHeight="1" x14ac:dyDescent="0.2">
      <c r="A43" s="19"/>
      <c r="B43" s="19"/>
      <c r="C43" s="19"/>
      <c r="D43" s="97"/>
      <c r="E43" s="273" t="s">
        <v>163</v>
      </c>
      <c r="F43" s="273"/>
      <c r="G43" s="273"/>
      <c r="H43" s="98"/>
      <c r="I43" s="15"/>
      <c r="J43" s="15"/>
      <c r="K43" s="7"/>
      <c r="L43" s="14"/>
      <c r="M43" s="1"/>
      <c r="N43" s="1"/>
      <c r="O43" s="11"/>
      <c r="P43" s="4"/>
      <c r="Q43" s="2"/>
      <c r="R43" s="33"/>
      <c r="S43" s="37"/>
    </row>
    <row r="44" spans="1:19" s="3" customFormat="1" ht="19.5" customHeight="1" x14ac:dyDescent="0.2">
      <c r="A44" s="167" t="s">
        <v>196</v>
      </c>
      <c r="B44" s="155" t="s">
        <v>284</v>
      </c>
      <c r="C44" s="183">
        <v>9</v>
      </c>
      <c r="D44" s="113">
        <f>+D37+1</f>
        <v>22</v>
      </c>
      <c r="E44" s="21" t="s">
        <v>27</v>
      </c>
      <c r="F44" s="21" t="s">
        <v>27</v>
      </c>
      <c r="G44" s="165" t="s">
        <v>187</v>
      </c>
      <c r="H44" s="215">
        <v>1</v>
      </c>
      <c r="I44" s="233">
        <v>2484</v>
      </c>
      <c r="J44" s="187">
        <f t="shared" ref="J44:J52" si="3">H44*I44</f>
        <v>2484</v>
      </c>
      <c r="K44" s="69"/>
      <c r="L44" s="60" t="s">
        <v>188</v>
      </c>
      <c r="M44" s="111"/>
      <c r="N44" s="262" t="s">
        <v>291</v>
      </c>
      <c r="O44" s="254">
        <v>46016</v>
      </c>
      <c r="P44" s="132"/>
      <c r="Q44" s="258">
        <v>45677</v>
      </c>
      <c r="R44" s="138">
        <v>45678</v>
      </c>
      <c r="S44" s="37"/>
    </row>
    <row r="45" spans="1:19" s="3" customFormat="1" ht="19.5" customHeight="1" x14ac:dyDescent="0.2">
      <c r="A45" s="167" t="s">
        <v>196</v>
      </c>
      <c r="B45" s="155" t="s">
        <v>284</v>
      </c>
      <c r="C45" s="183">
        <v>9</v>
      </c>
      <c r="D45" s="114">
        <f t="shared" ref="D45:D52" si="4">+D44+1</f>
        <v>23</v>
      </c>
      <c r="E45" s="21" t="s">
        <v>27</v>
      </c>
      <c r="F45" s="21" t="s">
        <v>27</v>
      </c>
      <c r="G45" s="165" t="s">
        <v>189</v>
      </c>
      <c r="H45" s="215">
        <v>1</v>
      </c>
      <c r="I45" s="233">
        <v>2581</v>
      </c>
      <c r="J45" s="187">
        <f t="shared" si="3"/>
        <v>2581</v>
      </c>
      <c r="K45" s="69"/>
      <c r="L45" s="60" t="s">
        <v>190</v>
      </c>
      <c r="M45" s="111"/>
      <c r="N45" s="262" t="s">
        <v>291</v>
      </c>
      <c r="O45" s="254">
        <v>46016</v>
      </c>
      <c r="P45" s="132"/>
      <c r="Q45" s="258">
        <v>45677</v>
      </c>
      <c r="R45" s="138">
        <v>45678</v>
      </c>
      <c r="S45" s="37"/>
    </row>
    <row r="46" spans="1:19" s="3" customFormat="1" ht="19.5" customHeight="1" x14ac:dyDescent="0.2">
      <c r="A46" s="167" t="s">
        <v>197</v>
      </c>
      <c r="B46" s="155" t="s">
        <v>284</v>
      </c>
      <c r="C46" s="183">
        <v>9</v>
      </c>
      <c r="D46" s="114">
        <f t="shared" si="4"/>
        <v>24</v>
      </c>
      <c r="E46" s="21" t="s">
        <v>27</v>
      </c>
      <c r="F46" s="21" t="s">
        <v>27</v>
      </c>
      <c r="G46" s="165" t="s">
        <v>191</v>
      </c>
      <c r="H46" s="215">
        <v>1</v>
      </c>
      <c r="I46" s="233">
        <v>6480</v>
      </c>
      <c r="J46" s="187">
        <f t="shared" si="3"/>
        <v>6480</v>
      </c>
      <c r="K46" s="69"/>
      <c r="L46" s="60" t="s">
        <v>192</v>
      </c>
      <c r="M46" s="111"/>
      <c r="N46" s="262" t="s">
        <v>291</v>
      </c>
      <c r="O46" s="254">
        <v>46016</v>
      </c>
      <c r="P46" s="132"/>
      <c r="Q46" s="258">
        <v>45677</v>
      </c>
      <c r="R46" s="138">
        <v>45678</v>
      </c>
      <c r="S46" s="37"/>
    </row>
    <row r="47" spans="1:19" s="3" customFormat="1" ht="19.5" customHeight="1" x14ac:dyDescent="0.2">
      <c r="A47" s="167" t="s">
        <v>198</v>
      </c>
      <c r="B47" s="155" t="s">
        <v>284</v>
      </c>
      <c r="C47" s="183">
        <v>9</v>
      </c>
      <c r="D47" s="114">
        <f t="shared" si="4"/>
        <v>25</v>
      </c>
      <c r="E47" s="21" t="s">
        <v>27</v>
      </c>
      <c r="F47" s="21" t="s">
        <v>27</v>
      </c>
      <c r="G47" s="165" t="s">
        <v>193</v>
      </c>
      <c r="H47" s="215">
        <v>2</v>
      </c>
      <c r="I47" s="233">
        <v>244</v>
      </c>
      <c r="J47" s="187">
        <f t="shared" si="3"/>
        <v>488</v>
      </c>
      <c r="K47" s="69"/>
      <c r="L47" s="60" t="s">
        <v>194</v>
      </c>
      <c r="M47" s="1"/>
      <c r="N47" s="262" t="s">
        <v>291</v>
      </c>
      <c r="O47" s="254">
        <v>46016</v>
      </c>
      <c r="P47" s="132"/>
      <c r="Q47" s="258">
        <v>45677</v>
      </c>
      <c r="R47" s="138">
        <v>45678</v>
      </c>
      <c r="S47" s="37"/>
    </row>
    <row r="48" spans="1:19" s="3" customFormat="1" ht="19.5" customHeight="1" x14ac:dyDescent="0.2">
      <c r="A48" s="167" t="s">
        <v>199</v>
      </c>
      <c r="B48" s="155" t="s">
        <v>284</v>
      </c>
      <c r="C48" s="183">
        <v>9</v>
      </c>
      <c r="D48" s="114">
        <f t="shared" si="4"/>
        <v>26</v>
      </c>
      <c r="E48" s="21" t="s">
        <v>27</v>
      </c>
      <c r="F48" s="21" t="s">
        <v>27</v>
      </c>
      <c r="G48" s="165" t="s">
        <v>195</v>
      </c>
      <c r="H48" s="215">
        <v>15</v>
      </c>
      <c r="I48" s="233">
        <v>41</v>
      </c>
      <c r="J48" s="187">
        <f t="shared" si="3"/>
        <v>615</v>
      </c>
      <c r="K48" s="69"/>
      <c r="L48" s="60" t="s">
        <v>278</v>
      </c>
      <c r="M48" s="1"/>
      <c r="N48" s="262" t="s">
        <v>291</v>
      </c>
      <c r="O48" s="254">
        <v>46016</v>
      </c>
      <c r="P48" s="132"/>
      <c r="Q48" s="258">
        <v>45677</v>
      </c>
      <c r="R48" s="138">
        <v>45678</v>
      </c>
      <c r="S48" s="37"/>
    </row>
    <row r="49" spans="1:19" s="3" customFormat="1" ht="19.5" customHeight="1" x14ac:dyDescent="0.2">
      <c r="A49" s="19" t="s">
        <v>29</v>
      </c>
      <c r="B49" s="155" t="s">
        <v>284</v>
      </c>
      <c r="C49" s="183">
        <v>9</v>
      </c>
      <c r="D49" s="114">
        <f t="shared" si="4"/>
        <v>27</v>
      </c>
      <c r="E49" s="21" t="s">
        <v>27</v>
      </c>
      <c r="F49" s="21" t="s">
        <v>27</v>
      </c>
      <c r="G49" s="166" t="s">
        <v>164</v>
      </c>
      <c r="H49" s="86">
        <v>1</v>
      </c>
      <c r="I49" s="234">
        <v>1016</v>
      </c>
      <c r="J49" s="188">
        <f t="shared" si="3"/>
        <v>1016</v>
      </c>
      <c r="K49" s="20"/>
      <c r="L49" s="57" t="s">
        <v>165</v>
      </c>
      <c r="M49" s="1"/>
      <c r="N49" s="262" t="s">
        <v>291</v>
      </c>
      <c r="O49" s="254">
        <v>46016</v>
      </c>
      <c r="P49" s="132"/>
      <c r="Q49" s="258">
        <v>45677</v>
      </c>
      <c r="R49" s="138">
        <v>45678</v>
      </c>
      <c r="S49" s="37"/>
    </row>
    <row r="50" spans="1:19" s="3" customFormat="1" ht="19.5" customHeight="1" x14ac:dyDescent="0.2">
      <c r="A50" s="19" t="s">
        <v>29</v>
      </c>
      <c r="B50" s="155" t="s">
        <v>284</v>
      </c>
      <c r="C50" s="183">
        <v>9</v>
      </c>
      <c r="D50" s="114">
        <f t="shared" si="4"/>
        <v>28</v>
      </c>
      <c r="E50" s="21" t="s">
        <v>27</v>
      </c>
      <c r="F50" s="21" t="s">
        <v>27</v>
      </c>
      <c r="G50" s="166" t="s">
        <v>166</v>
      </c>
      <c r="H50" s="86">
        <v>1</v>
      </c>
      <c r="I50" s="234">
        <v>821</v>
      </c>
      <c r="J50" s="188">
        <f t="shared" si="3"/>
        <v>821</v>
      </c>
      <c r="K50" s="20"/>
      <c r="L50" s="18" t="s">
        <v>167</v>
      </c>
      <c r="M50" s="1"/>
      <c r="N50" s="262" t="s">
        <v>291</v>
      </c>
      <c r="O50" s="254">
        <v>46016</v>
      </c>
      <c r="P50" s="132"/>
      <c r="Q50" s="258">
        <v>45677</v>
      </c>
      <c r="R50" s="138">
        <v>45678</v>
      </c>
      <c r="S50" s="37"/>
    </row>
    <row r="51" spans="1:19" s="3" customFormat="1" ht="19.5" customHeight="1" x14ac:dyDescent="0.2">
      <c r="A51" s="19" t="s">
        <v>29</v>
      </c>
      <c r="B51" s="155" t="s">
        <v>284</v>
      </c>
      <c r="C51" s="183">
        <v>9</v>
      </c>
      <c r="D51" s="114">
        <f t="shared" si="4"/>
        <v>29</v>
      </c>
      <c r="E51" s="68" t="s">
        <v>27</v>
      </c>
      <c r="F51" s="68" t="s">
        <v>27</v>
      </c>
      <c r="G51" s="161" t="s">
        <v>145</v>
      </c>
      <c r="H51" s="217">
        <v>10</v>
      </c>
      <c r="I51" s="233">
        <v>17</v>
      </c>
      <c r="J51" s="187">
        <f t="shared" si="3"/>
        <v>170</v>
      </c>
      <c r="K51" s="69"/>
      <c r="L51" s="60" t="s">
        <v>168</v>
      </c>
      <c r="M51" s="1"/>
      <c r="N51" s="262" t="s">
        <v>291</v>
      </c>
      <c r="O51" s="254">
        <v>46016</v>
      </c>
      <c r="P51" s="132"/>
      <c r="Q51" s="258">
        <v>45677</v>
      </c>
      <c r="R51" s="138">
        <v>45678</v>
      </c>
      <c r="S51" s="37"/>
    </row>
    <row r="52" spans="1:19" s="3" customFormat="1" ht="19.5" customHeight="1" x14ac:dyDescent="0.2">
      <c r="A52" s="19" t="s">
        <v>29</v>
      </c>
      <c r="B52" s="155" t="s">
        <v>284</v>
      </c>
      <c r="C52" s="183">
        <v>9</v>
      </c>
      <c r="D52" s="114">
        <f t="shared" si="4"/>
        <v>30</v>
      </c>
      <c r="E52" s="68" t="s">
        <v>27</v>
      </c>
      <c r="F52" s="68" t="s">
        <v>27</v>
      </c>
      <c r="G52" s="161" t="s">
        <v>162</v>
      </c>
      <c r="H52" s="217">
        <v>6</v>
      </c>
      <c r="I52" s="233">
        <v>93</v>
      </c>
      <c r="J52" s="189">
        <f t="shared" si="3"/>
        <v>558</v>
      </c>
      <c r="K52" s="69"/>
      <c r="L52" s="60" t="s">
        <v>169</v>
      </c>
      <c r="M52" s="1"/>
      <c r="N52" s="262" t="s">
        <v>291</v>
      </c>
      <c r="O52" s="254">
        <v>46016</v>
      </c>
      <c r="P52" s="132"/>
      <c r="Q52" s="258">
        <v>45677</v>
      </c>
      <c r="R52" s="138">
        <v>45678</v>
      </c>
      <c r="S52" s="37"/>
    </row>
    <row r="53" spans="1:19" s="3" customFormat="1" ht="19.5" customHeight="1" x14ac:dyDescent="0.2">
      <c r="C53" s="19"/>
      <c r="D53" s="99"/>
      <c r="E53" s="4"/>
      <c r="F53" s="100"/>
      <c r="G53" s="101"/>
      <c r="H53" s="39"/>
      <c r="I53" s="39"/>
      <c r="J53" s="39"/>
      <c r="K53" s="102"/>
      <c r="L53" s="16"/>
      <c r="M53" s="1"/>
      <c r="N53" s="1"/>
      <c r="O53" s="11"/>
      <c r="P53" s="4"/>
      <c r="Q53" s="2"/>
      <c r="R53" s="33"/>
      <c r="S53" s="37"/>
    </row>
    <row r="54" spans="1:19" s="3" customFormat="1" ht="19.5" customHeight="1" x14ac:dyDescent="0.2">
      <c r="C54" s="19"/>
      <c r="D54" s="1"/>
      <c r="E54" s="4"/>
      <c r="F54" s="4"/>
      <c r="G54" s="106">
        <f>SUM(J44:J52)</f>
        <v>15213</v>
      </c>
      <c r="H54" s="105"/>
      <c r="I54" s="103"/>
      <c r="J54" s="103"/>
      <c r="K54" s="104"/>
      <c r="L54" s="14"/>
      <c r="M54" s="1"/>
      <c r="N54" s="1"/>
      <c r="O54" s="11"/>
      <c r="P54" s="4"/>
      <c r="Q54" s="2"/>
      <c r="R54" s="33"/>
      <c r="S54" s="37"/>
    </row>
    <row r="55" spans="1:19" s="3" customFormat="1" ht="19.5" customHeight="1" x14ac:dyDescent="0.2">
      <c r="C55" s="19"/>
      <c r="D55" s="21"/>
      <c r="E55" s="21"/>
      <c r="F55" s="21"/>
      <c r="G55" s="29"/>
      <c r="H55" s="28"/>
      <c r="I55" s="15"/>
      <c r="J55" s="15"/>
      <c r="K55" s="10"/>
      <c r="L55" s="16"/>
      <c r="M55" s="1"/>
      <c r="N55" s="1"/>
      <c r="O55" s="11"/>
      <c r="P55" s="4"/>
      <c r="Q55" s="2"/>
      <c r="R55" s="33"/>
      <c r="S55" s="37"/>
    </row>
    <row r="56" spans="1:19" s="3" customFormat="1" ht="19.5" customHeight="1" x14ac:dyDescent="0.2">
      <c r="C56" s="19"/>
      <c r="D56" s="21"/>
      <c r="E56" s="21"/>
      <c r="F56" s="21"/>
      <c r="G56" s="29"/>
      <c r="H56" s="28"/>
      <c r="I56" s="15"/>
      <c r="J56" s="15"/>
      <c r="K56" s="10"/>
      <c r="L56" s="16"/>
      <c r="M56" s="1"/>
      <c r="N56" s="1"/>
      <c r="O56" s="11"/>
      <c r="P56" s="4"/>
      <c r="Q56" s="2"/>
      <c r="R56" s="33"/>
      <c r="S56" s="37"/>
    </row>
    <row r="57" spans="1:19" s="3" customFormat="1" ht="19.5" customHeight="1" x14ac:dyDescent="0.2">
      <c r="C57" s="19"/>
      <c r="D57" s="21"/>
      <c r="E57" s="21"/>
      <c r="F57" s="21"/>
      <c r="G57" s="29"/>
      <c r="H57" s="28"/>
      <c r="I57" s="15"/>
      <c r="J57" s="15"/>
      <c r="K57" s="10"/>
      <c r="L57" s="16"/>
      <c r="M57" s="1"/>
      <c r="N57" s="1"/>
      <c r="O57" s="11"/>
      <c r="P57" s="4"/>
      <c r="Q57" s="2"/>
      <c r="R57" s="33"/>
      <c r="S57" s="37"/>
    </row>
    <row r="58" spans="1:19" s="3" customFormat="1" ht="19.5" customHeight="1" x14ac:dyDescent="0.2">
      <c r="C58" s="19"/>
      <c r="D58" s="21"/>
      <c r="E58" s="21"/>
      <c r="F58" s="21"/>
      <c r="G58" s="29"/>
      <c r="H58" s="28"/>
      <c r="I58" s="15"/>
      <c r="J58" s="15"/>
      <c r="K58" s="10"/>
      <c r="L58" s="16"/>
      <c r="M58" s="1"/>
      <c r="N58" s="1"/>
      <c r="O58" s="11"/>
      <c r="P58" s="4"/>
      <c r="Q58" s="2"/>
      <c r="R58" s="33"/>
      <c r="S58" s="37"/>
    </row>
    <row r="59" spans="1:19" s="3" customFormat="1" ht="19.649999999999999" customHeight="1" x14ac:dyDescent="0.2">
      <c r="A59" s="19"/>
      <c r="B59" s="19"/>
      <c r="C59" s="19"/>
      <c r="D59" s="21"/>
      <c r="E59" s="263" t="s">
        <v>170</v>
      </c>
      <c r="F59" s="264"/>
      <c r="G59" s="265"/>
      <c r="H59" s="19"/>
      <c r="I59" s="19"/>
      <c r="J59" s="20"/>
      <c r="K59" s="47"/>
      <c r="L59" s="19"/>
      <c r="M59" s="19"/>
      <c r="N59" s="19"/>
      <c r="O59" s="33"/>
      <c r="P59" s="21"/>
      <c r="Q59" s="19"/>
      <c r="R59" s="33"/>
      <c r="S59" s="22"/>
    </row>
    <row r="60" spans="1:19" s="3" customFormat="1" ht="19.649999999999999" customHeight="1" x14ac:dyDescent="0.2">
      <c r="A60" s="110" t="s">
        <v>201</v>
      </c>
      <c r="B60" s="154" t="s">
        <v>285</v>
      </c>
      <c r="C60" s="117">
        <v>10</v>
      </c>
      <c r="D60" s="112">
        <f>+D52+1</f>
        <v>31</v>
      </c>
      <c r="E60" s="21" t="s">
        <v>32</v>
      </c>
      <c r="F60" s="21" t="s">
        <v>27</v>
      </c>
      <c r="G60" s="165" t="s">
        <v>202</v>
      </c>
      <c r="H60" s="215">
        <v>1</v>
      </c>
      <c r="I60" s="235">
        <v>3897</v>
      </c>
      <c r="J60" s="187">
        <f t="shared" ref="J60:J75" si="5">H60*I60</f>
        <v>3897</v>
      </c>
      <c r="K60" s="59"/>
      <c r="L60" s="115" t="s">
        <v>200</v>
      </c>
      <c r="M60" s="19"/>
      <c r="N60" s="262" t="s">
        <v>291</v>
      </c>
      <c r="O60" s="254">
        <v>46016</v>
      </c>
      <c r="P60" s="132"/>
      <c r="Q60" s="258">
        <v>45677</v>
      </c>
      <c r="R60" s="138">
        <v>45678</v>
      </c>
      <c r="S60" s="22"/>
    </row>
    <row r="61" spans="1:19" s="3" customFormat="1" ht="19.649999999999999" customHeight="1" x14ac:dyDescent="0.2">
      <c r="A61" s="110" t="s">
        <v>30</v>
      </c>
      <c r="B61" s="154" t="s">
        <v>285</v>
      </c>
      <c r="C61" s="117">
        <v>10</v>
      </c>
      <c r="D61" s="112">
        <f>+D60+1</f>
        <v>32</v>
      </c>
      <c r="E61" s="112" t="s">
        <v>32</v>
      </c>
      <c r="F61" s="112" t="s">
        <v>27</v>
      </c>
      <c r="G61" s="166" t="s">
        <v>204</v>
      </c>
      <c r="H61" s="218">
        <v>1</v>
      </c>
      <c r="I61" s="227">
        <v>2900</v>
      </c>
      <c r="J61" s="188">
        <f t="shared" si="5"/>
        <v>2900</v>
      </c>
      <c r="K61" s="25"/>
      <c r="L61" s="168" t="s">
        <v>205</v>
      </c>
      <c r="M61" s="19"/>
      <c r="N61" s="262" t="s">
        <v>291</v>
      </c>
      <c r="O61" s="254">
        <v>46016</v>
      </c>
      <c r="P61" s="132"/>
      <c r="Q61" s="258">
        <v>45677</v>
      </c>
      <c r="R61" s="138">
        <v>45678</v>
      </c>
      <c r="S61" s="22"/>
    </row>
    <row r="62" spans="1:19" s="3" customFormat="1" ht="19.649999999999999" customHeight="1" x14ac:dyDescent="0.2">
      <c r="A62" s="54" t="s">
        <v>29</v>
      </c>
      <c r="B62" s="154" t="s">
        <v>285</v>
      </c>
      <c r="C62" s="117">
        <v>10</v>
      </c>
      <c r="D62" s="112">
        <f t="shared" ref="D62:D78" si="6">+D61+1</f>
        <v>33</v>
      </c>
      <c r="E62" s="21" t="s">
        <v>27</v>
      </c>
      <c r="F62" s="21" t="s">
        <v>27</v>
      </c>
      <c r="G62" s="166" t="s">
        <v>37</v>
      </c>
      <c r="H62" s="86">
        <v>2</v>
      </c>
      <c r="I62" s="236">
        <v>83</v>
      </c>
      <c r="J62" s="188">
        <f t="shared" si="5"/>
        <v>166</v>
      </c>
      <c r="K62" s="20"/>
      <c r="L62" s="57" t="s">
        <v>275</v>
      </c>
      <c r="M62" s="19"/>
      <c r="N62" s="262" t="s">
        <v>291</v>
      </c>
      <c r="O62" s="254">
        <v>46016</v>
      </c>
      <c r="P62" s="132"/>
      <c r="Q62" s="258">
        <v>45677</v>
      </c>
      <c r="R62" s="138">
        <v>45678</v>
      </c>
      <c r="S62" s="22"/>
    </row>
    <row r="63" spans="1:19" s="3" customFormat="1" ht="19.649999999999999" customHeight="1" x14ac:dyDescent="0.2">
      <c r="A63" s="54" t="s">
        <v>29</v>
      </c>
      <c r="B63" s="154" t="s">
        <v>285</v>
      </c>
      <c r="C63" s="117">
        <v>10</v>
      </c>
      <c r="D63" s="112">
        <f t="shared" si="6"/>
        <v>34</v>
      </c>
      <c r="E63" s="30" t="s">
        <v>206</v>
      </c>
      <c r="F63" s="21" t="s">
        <v>141</v>
      </c>
      <c r="G63" s="169" t="s">
        <v>182</v>
      </c>
      <c r="H63" s="219">
        <v>4</v>
      </c>
      <c r="I63" s="237">
        <v>219</v>
      </c>
      <c r="J63" s="191">
        <f t="shared" si="5"/>
        <v>876</v>
      </c>
      <c r="K63" s="88"/>
      <c r="L63" s="64" t="s">
        <v>277</v>
      </c>
      <c r="M63" s="19"/>
      <c r="N63" s="262" t="s">
        <v>291</v>
      </c>
      <c r="O63" s="254">
        <v>46016</v>
      </c>
      <c r="P63" s="132"/>
      <c r="Q63" s="258">
        <v>45677</v>
      </c>
      <c r="R63" s="138">
        <v>45678</v>
      </c>
      <c r="S63" s="22"/>
    </row>
    <row r="64" spans="1:19" s="3" customFormat="1" ht="19.649999999999999" customHeight="1" x14ac:dyDescent="0.2">
      <c r="A64" s="54" t="s">
        <v>29</v>
      </c>
      <c r="B64" s="154" t="s">
        <v>285</v>
      </c>
      <c r="C64" s="117">
        <v>10</v>
      </c>
      <c r="D64" s="112">
        <f t="shared" si="6"/>
        <v>35</v>
      </c>
      <c r="E64" s="21" t="s">
        <v>141</v>
      </c>
      <c r="F64" s="21" t="s">
        <v>141</v>
      </c>
      <c r="G64" s="169" t="s">
        <v>142</v>
      </c>
      <c r="H64" s="219">
        <v>4</v>
      </c>
      <c r="I64" s="237">
        <v>51</v>
      </c>
      <c r="J64" s="191">
        <f t="shared" si="5"/>
        <v>204</v>
      </c>
      <c r="K64" s="88"/>
      <c r="L64" s="64" t="s">
        <v>276</v>
      </c>
      <c r="M64" s="19"/>
      <c r="N64" s="262" t="s">
        <v>291</v>
      </c>
      <c r="O64" s="254">
        <v>46016</v>
      </c>
      <c r="P64" s="132"/>
      <c r="Q64" s="258">
        <v>45677</v>
      </c>
      <c r="R64" s="138">
        <v>45678</v>
      </c>
      <c r="S64" s="22"/>
    </row>
    <row r="65" spans="1:19" s="3" customFormat="1" ht="19.649999999999999" customHeight="1" x14ac:dyDescent="0.2">
      <c r="A65" s="54" t="s">
        <v>29</v>
      </c>
      <c r="B65" s="154" t="s">
        <v>285</v>
      </c>
      <c r="C65" s="117">
        <v>10</v>
      </c>
      <c r="D65" s="112">
        <f t="shared" si="6"/>
        <v>36</v>
      </c>
      <c r="E65" s="21" t="s">
        <v>27</v>
      </c>
      <c r="F65" s="21" t="s">
        <v>27</v>
      </c>
      <c r="G65" s="166" t="s">
        <v>39</v>
      </c>
      <c r="H65" s="86">
        <v>2</v>
      </c>
      <c r="I65" s="236">
        <v>32</v>
      </c>
      <c r="J65" s="188">
        <f t="shared" si="5"/>
        <v>64</v>
      </c>
      <c r="K65" s="20"/>
      <c r="L65" s="57" t="s">
        <v>274</v>
      </c>
      <c r="M65" s="19"/>
      <c r="N65" s="262" t="s">
        <v>291</v>
      </c>
      <c r="O65" s="254">
        <v>46016</v>
      </c>
      <c r="P65" s="132"/>
      <c r="Q65" s="258">
        <v>45677</v>
      </c>
      <c r="R65" s="138">
        <v>45678</v>
      </c>
      <c r="S65" s="22"/>
    </row>
    <row r="66" spans="1:19" s="3" customFormat="1" ht="19.649999999999999" customHeight="1" x14ac:dyDescent="0.2">
      <c r="A66" s="110" t="s">
        <v>30</v>
      </c>
      <c r="B66" s="154" t="s">
        <v>285</v>
      </c>
      <c r="C66" s="117">
        <v>10</v>
      </c>
      <c r="D66" s="112">
        <f t="shared" si="6"/>
        <v>37</v>
      </c>
      <c r="E66" s="112" t="s">
        <v>32</v>
      </c>
      <c r="F66" s="112" t="s">
        <v>27</v>
      </c>
      <c r="G66" s="166" t="s">
        <v>207</v>
      </c>
      <c r="H66" s="218">
        <v>1</v>
      </c>
      <c r="I66" s="227">
        <v>4340</v>
      </c>
      <c r="J66" s="188">
        <f t="shared" si="5"/>
        <v>4340</v>
      </c>
      <c r="K66" s="25"/>
      <c r="L66" s="168" t="s">
        <v>208</v>
      </c>
      <c r="M66" s="19"/>
      <c r="N66" s="262" t="s">
        <v>291</v>
      </c>
      <c r="O66" s="254">
        <v>46016</v>
      </c>
      <c r="P66" s="132"/>
      <c r="Q66" s="258">
        <v>45677</v>
      </c>
      <c r="R66" s="138">
        <v>45678</v>
      </c>
      <c r="S66" s="22"/>
    </row>
    <row r="67" spans="1:19" s="3" customFormat="1" ht="19.649999999999999" customHeight="1" x14ac:dyDescent="0.2">
      <c r="A67" s="54" t="s">
        <v>29</v>
      </c>
      <c r="B67" s="154" t="s">
        <v>285</v>
      </c>
      <c r="C67" s="117">
        <v>10</v>
      </c>
      <c r="D67" s="112">
        <f>+D66+1</f>
        <v>38</v>
      </c>
      <c r="E67" s="68" t="s">
        <v>27</v>
      </c>
      <c r="F67" s="68" t="s">
        <v>27</v>
      </c>
      <c r="G67" s="165" t="s">
        <v>203</v>
      </c>
      <c r="H67" s="220">
        <v>8</v>
      </c>
      <c r="I67" s="220">
        <v>47</v>
      </c>
      <c r="J67" s="187">
        <f t="shared" si="5"/>
        <v>376</v>
      </c>
      <c r="K67" s="193"/>
      <c r="L67" s="168" t="s">
        <v>273</v>
      </c>
      <c r="M67" s="19"/>
      <c r="N67" s="262" t="s">
        <v>291</v>
      </c>
      <c r="O67" s="254">
        <v>46016</v>
      </c>
      <c r="P67" s="132"/>
      <c r="Q67" s="258">
        <v>45677</v>
      </c>
      <c r="R67" s="138">
        <v>45678</v>
      </c>
      <c r="S67" s="22"/>
    </row>
    <row r="68" spans="1:19" s="3" customFormat="1" ht="19.649999999999999" customHeight="1" x14ac:dyDescent="0.2">
      <c r="A68" s="54" t="s">
        <v>29</v>
      </c>
      <c r="B68" s="154" t="s">
        <v>285</v>
      </c>
      <c r="C68" s="117">
        <v>10</v>
      </c>
      <c r="D68" s="112">
        <f t="shared" si="6"/>
        <v>39</v>
      </c>
      <c r="E68" s="21" t="s">
        <v>27</v>
      </c>
      <c r="F68" s="21" t="s">
        <v>27</v>
      </c>
      <c r="G68" s="166" t="s">
        <v>209</v>
      </c>
      <c r="H68" s="218">
        <v>2</v>
      </c>
      <c r="I68" s="227">
        <v>281</v>
      </c>
      <c r="J68" s="188">
        <f t="shared" si="5"/>
        <v>562</v>
      </c>
      <c r="K68" s="25"/>
      <c r="L68" s="168" t="s">
        <v>210</v>
      </c>
      <c r="M68" s="19"/>
      <c r="N68" s="262" t="s">
        <v>291</v>
      </c>
      <c r="O68" s="254">
        <v>46016</v>
      </c>
      <c r="P68" s="132"/>
      <c r="Q68" s="258">
        <v>45677</v>
      </c>
      <c r="R68" s="138">
        <v>45678</v>
      </c>
      <c r="S68" s="22"/>
    </row>
    <row r="69" spans="1:19" s="3" customFormat="1" ht="19.649999999999999" customHeight="1" x14ac:dyDescent="0.2">
      <c r="A69" s="110" t="s">
        <v>30</v>
      </c>
      <c r="B69" s="154" t="s">
        <v>285</v>
      </c>
      <c r="C69" s="117">
        <v>10</v>
      </c>
      <c r="D69" s="112">
        <f>+D68+1</f>
        <v>40</v>
      </c>
      <c r="E69" s="112" t="s">
        <v>32</v>
      </c>
      <c r="F69" s="112" t="s">
        <v>27</v>
      </c>
      <c r="G69" s="232" t="s">
        <v>257</v>
      </c>
      <c r="H69" s="218">
        <v>1</v>
      </c>
      <c r="I69" s="227">
        <v>3391</v>
      </c>
      <c r="J69" s="188">
        <f t="shared" si="5"/>
        <v>3391</v>
      </c>
      <c r="K69" s="25"/>
      <c r="L69" s="168" t="s">
        <v>256</v>
      </c>
      <c r="M69" s="19"/>
      <c r="N69" s="262" t="s">
        <v>291</v>
      </c>
      <c r="O69" s="254">
        <v>46016</v>
      </c>
      <c r="P69" s="132"/>
      <c r="Q69" s="258">
        <v>45677</v>
      </c>
      <c r="R69" s="138">
        <v>45678</v>
      </c>
      <c r="S69" s="22"/>
    </row>
    <row r="70" spans="1:19" s="3" customFormat="1" ht="19.649999999999999" customHeight="1" x14ac:dyDescent="0.2">
      <c r="A70" s="110" t="s">
        <v>29</v>
      </c>
      <c r="B70" s="154" t="s">
        <v>285</v>
      </c>
      <c r="C70" s="117">
        <v>10</v>
      </c>
      <c r="D70" s="112">
        <f t="shared" si="6"/>
        <v>41</v>
      </c>
      <c r="E70" s="30" t="s">
        <v>211</v>
      </c>
      <c r="F70" s="30" t="s">
        <v>212</v>
      </c>
      <c r="G70" s="166" t="s">
        <v>213</v>
      </c>
      <c r="H70" s="218">
        <v>1</v>
      </c>
      <c r="I70" s="227">
        <v>167</v>
      </c>
      <c r="J70" s="188">
        <f t="shared" si="5"/>
        <v>167</v>
      </c>
      <c r="K70" s="25"/>
      <c r="L70" s="168" t="s">
        <v>214</v>
      </c>
      <c r="M70" s="19"/>
      <c r="N70" s="262" t="s">
        <v>291</v>
      </c>
      <c r="O70" s="254">
        <v>46016</v>
      </c>
      <c r="P70" s="132"/>
      <c r="Q70" s="258">
        <v>45677</v>
      </c>
      <c r="R70" s="138">
        <v>45678</v>
      </c>
      <c r="S70" s="22"/>
    </row>
    <row r="71" spans="1:19" s="3" customFormat="1" ht="19.649999999999999" customHeight="1" x14ac:dyDescent="0.2">
      <c r="A71" s="54" t="s">
        <v>29</v>
      </c>
      <c r="B71" s="154" t="s">
        <v>285</v>
      </c>
      <c r="C71" s="117">
        <v>10</v>
      </c>
      <c r="D71" s="112">
        <f t="shared" si="6"/>
        <v>42</v>
      </c>
      <c r="E71" s="19" t="s">
        <v>27</v>
      </c>
      <c r="F71" s="19" t="s">
        <v>27</v>
      </c>
      <c r="G71" s="166" t="s">
        <v>215</v>
      </c>
      <c r="H71" s="218">
        <v>6</v>
      </c>
      <c r="I71" s="227">
        <v>93</v>
      </c>
      <c r="J71" s="188">
        <f t="shared" si="5"/>
        <v>558</v>
      </c>
      <c r="K71" s="25"/>
      <c r="L71" s="168" t="s">
        <v>263</v>
      </c>
      <c r="M71" s="19"/>
      <c r="N71" s="262" t="s">
        <v>291</v>
      </c>
      <c r="O71" s="254">
        <v>46016</v>
      </c>
      <c r="P71" s="132"/>
      <c r="Q71" s="258">
        <v>45677</v>
      </c>
      <c r="R71" s="138">
        <v>45678</v>
      </c>
      <c r="S71" s="22"/>
    </row>
    <row r="72" spans="1:19" s="3" customFormat="1" ht="19.649999999999999" customHeight="1" x14ac:dyDescent="0.2">
      <c r="A72" s="54" t="s">
        <v>29</v>
      </c>
      <c r="B72" s="154" t="s">
        <v>285</v>
      </c>
      <c r="C72" s="117">
        <v>10</v>
      </c>
      <c r="D72" s="112">
        <f t="shared" si="6"/>
        <v>43</v>
      </c>
      <c r="E72" s="19" t="s">
        <v>27</v>
      </c>
      <c r="F72" s="19" t="s">
        <v>27</v>
      </c>
      <c r="G72" s="170" t="s">
        <v>216</v>
      </c>
      <c r="H72" s="221">
        <v>1</v>
      </c>
      <c r="I72" s="238">
        <v>83</v>
      </c>
      <c r="J72" s="188">
        <f t="shared" si="5"/>
        <v>83</v>
      </c>
      <c r="K72" s="20"/>
      <c r="L72" s="149" t="s">
        <v>217</v>
      </c>
      <c r="M72" s="19"/>
      <c r="N72" s="262" t="s">
        <v>291</v>
      </c>
      <c r="O72" s="254">
        <v>46016</v>
      </c>
      <c r="P72" s="132"/>
      <c r="Q72" s="258">
        <v>45677</v>
      </c>
      <c r="R72" s="138">
        <v>45678</v>
      </c>
      <c r="S72" s="22"/>
    </row>
    <row r="73" spans="1:19" s="3" customFormat="1" ht="19.649999999999999" customHeight="1" x14ac:dyDescent="0.2">
      <c r="A73" s="54" t="s">
        <v>29</v>
      </c>
      <c r="B73" s="154" t="s">
        <v>285</v>
      </c>
      <c r="C73" s="117">
        <v>10</v>
      </c>
      <c r="D73" s="112">
        <f>+D72+1</f>
        <v>44</v>
      </c>
      <c r="E73" s="19" t="s">
        <v>27</v>
      </c>
      <c r="F73" s="19" t="s">
        <v>27</v>
      </c>
      <c r="G73" s="166" t="s">
        <v>218</v>
      </c>
      <c r="H73" s="218">
        <v>6</v>
      </c>
      <c r="I73" s="227">
        <v>65</v>
      </c>
      <c r="J73" s="188">
        <f t="shared" si="5"/>
        <v>390</v>
      </c>
      <c r="K73" s="25"/>
      <c r="L73" s="168" t="s">
        <v>262</v>
      </c>
      <c r="M73" s="19"/>
      <c r="N73" s="262" t="s">
        <v>291</v>
      </c>
      <c r="O73" s="254">
        <v>46016</v>
      </c>
      <c r="P73" s="132"/>
      <c r="Q73" s="258">
        <v>45677</v>
      </c>
      <c r="R73" s="138">
        <v>45678</v>
      </c>
      <c r="S73" s="22"/>
    </row>
    <row r="74" spans="1:19" s="3" customFormat="1" ht="19.649999999999999" customHeight="1" x14ac:dyDescent="0.2">
      <c r="A74" s="110" t="s">
        <v>30</v>
      </c>
      <c r="B74" s="154" t="s">
        <v>285</v>
      </c>
      <c r="C74" s="117">
        <v>10</v>
      </c>
      <c r="D74" s="112">
        <f t="shared" si="6"/>
        <v>45</v>
      </c>
      <c r="E74" s="112" t="s">
        <v>32</v>
      </c>
      <c r="F74" s="112" t="s">
        <v>27</v>
      </c>
      <c r="G74" s="232" t="s">
        <v>258</v>
      </c>
      <c r="H74" s="218">
        <v>1</v>
      </c>
      <c r="I74" s="227">
        <v>2365</v>
      </c>
      <c r="J74" s="190">
        <f t="shared" si="5"/>
        <v>2365</v>
      </c>
      <c r="K74" s="25"/>
      <c r="L74" s="168" t="s">
        <v>260</v>
      </c>
      <c r="M74" s="19"/>
      <c r="N74" s="262" t="s">
        <v>291</v>
      </c>
      <c r="O74" s="254">
        <v>46016</v>
      </c>
      <c r="P74" s="132"/>
      <c r="Q74" s="258">
        <v>45677</v>
      </c>
      <c r="R74" s="138">
        <v>45678</v>
      </c>
      <c r="S74" s="22"/>
    </row>
    <row r="75" spans="1:19" s="3" customFormat="1" ht="19.649999999999999" customHeight="1" x14ac:dyDescent="0.2">
      <c r="A75" s="110" t="s">
        <v>105</v>
      </c>
      <c r="B75" s="154" t="s">
        <v>285</v>
      </c>
      <c r="C75" s="117">
        <v>10</v>
      </c>
      <c r="D75" s="112">
        <f>+D74+1</f>
        <v>46</v>
      </c>
      <c r="E75" s="112" t="s">
        <v>32</v>
      </c>
      <c r="F75" s="112" t="s">
        <v>27</v>
      </c>
      <c r="G75" s="232" t="s">
        <v>259</v>
      </c>
      <c r="H75" s="218">
        <v>1</v>
      </c>
      <c r="I75" s="227">
        <v>6148</v>
      </c>
      <c r="J75" s="190">
        <f t="shared" si="5"/>
        <v>6148</v>
      </c>
      <c r="K75" s="25"/>
      <c r="L75" s="168" t="s">
        <v>261</v>
      </c>
      <c r="M75" s="19"/>
      <c r="N75" s="262" t="s">
        <v>291</v>
      </c>
      <c r="O75" s="254">
        <v>46016</v>
      </c>
      <c r="P75" s="132"/>
      <c r="Q75" s="258">
        <v>45677</v>
      </c>
      <c r="R75" s="138">
        <v>45678</v>
      </c>
      <c r="S75" s="22"/>
    </row>
    <row r="76" spans="1:19" s="3" customFormat="1" ht="19.649999999999999" customHeight="1" x14ac:dyDescent="0.2">
      <c r="A76" s="54" t="s">
        <v>29</v>
      </c>
      <c r="B76" s="154" t="s">
        <v>285</v>
      </c>
      <c r="C76" s="117">
        <v>10</v>
      </c>
      <c r="D76" s="112">
        <f>+D75+1</f>
        <v>47</v>
      </c>
      <c r="E76" s="30" t="s">
        <v>140</v>
      </c>
      <c r="F76" s="21" t="s">
        <v>141</v>
      </c>
      <c r="G76" s="169" t="s">
        <v>219</v>
      </c>
      <c r="H76" s="219">
        <v>6</v>
      </c>
      <c r="I76" s="237">
        <v>47</v>
      </c>
      <c r="J76" s="191">
        <f t="shared" ref="J76:J77" si="7">H76*I76</f>
        <v>282</v>
      </c>
      <c r="K76" s="88"/>
      <c r="L76" s="64" t="s">
        <v>220</v>
      </c>
      <c r="M76" s="19"/>
      <c r="N76" s="262" t="s">
        <v>291</v>
      </c>
      <c r="O76" s="254">
        <v>46016</v>
      </c>
      <c r="P76" s="132"/>
      <c r="Q76" s="258">
        <v>45677</v>
      </c>
      <c r="R76" s="138">
        <v>45678</v>
      </c>
      <c r="S76" s="22"/>
    </row>
    <row r="77" spans="1:19" s="3" customFormat="1" ht="19.649999999999999" customHeight="1" x14ac:dyDescent="0.2">
      <c r="A77" s="54" t="s">
        <v>29</v>
      </c>
      <c r="B77" s="154" t="s">
        <v>285</v>
      </c>
      <c r="C77" s="117">
        <v>10</v>
      </c>
      <c r="D77" s="112">
        <f t="shared" si="6"/>
        <v>48</v>
      </c>
      <c r="E77" s="21" t="s">
        <v>141</v>
      </c>
      <c r="F77" s="21" t="s">
        <v>141</v>
      </c>
      <c r="G77" s="169" t="s">
        <v>143</v>
      </c>
      <c r="H77" s="219">
        <v>1</v>
      </c>
      <c r="I77" s="237">
        <v>6050</v>
      </c>
      <c r="J77" s="191">
        <f t="shared" si="7"/>
        <v>6050</v>
      </c>
      <c r="K77" s="88"/>
      <c r="L77" s="64" t="s">
        <v>144</v>
      </c>
      <c r="M77" s="19"/>
      <c r="N77" s="262" t="s">
        <v>291</v>
      </c>
      <c r="O77" s="254">
        <v>46016</v>
      </c>
      <c r="P77" s="132"/>
      <c r="Q77" s="258">
        <v>45677</v>
      </c>
      <c r="R77" s="138">
        <v>45678</v>
      </c>
      <c r="S77" s="22"/>
    </row>
    <row r="78" spans="1:19" s="3" customFormat="1" ht="19.649999999999999" customHeight="1" x14ac:dyDescent="0.2">
      <c r="A78" s="110" t="s">
        <v>223</v>
      </c>
      <c r="B78" s="154" t="s">
        <v>285</v>
      </c>
      <c r="C78" s="117">
        <v>10</v>
      </c>
      <c r="D78" s="112">
        <f t="shared" si="6"/>
        <v>49</v>
      </c>
      <c r="E78" s="112" t="s">
        <v>32</v>
      </c>
      <c r="F78" s="112" t="s">
        <v>27</v>
      </c>
      <c r="G78" s="165" t="s">
        <v>221</v>
      </c>
      <c r="H78" s="222">
        <v>1</v>
      </c>
      <c r="I78" s="233">
        <v>4870</v>
      </c>
      <c r="J78" s="191">
        <f>H78*I78</f>
        <v>4870</v>
      </c>
      <c r="K78" s="88"/>
      <c r="L78" s="44" t="s">
        <v>222</v>
      </c>
      <c r="M78" s="19"/>
      <c r="N78" s="262" t="s">
        <v>291</v>
      </c>
      <c r="O78" s="254">
        <v>46016</v>
      </c>
      <c r="P78" s="132"/>
      <c r="Q78" s="258">
        <v>45677</v>
      </c>
      <c r="R78" s="138">
        <v>45678</v>
      </c>
      <c r="S78" s="22"/>
    </row>
    <row r="79" spans="1:19" s="3" customFormat="1" ht="19.649999999999999" customHeight="1" x14ac:dyDescent="0.2">
      <c r="A79" s="19"/>
      <c r="B79" s="19"/>
      <c r="C79" s="19"/>
      <c r="D79" s="21"/>
      <c r="E79" s="89"/>
      <c r="F79" s="89"/>
      <c r="G79" s="42"/>
      <c r="H79" s="19"/>
      <c r="I79" s="39"/>
      <c r="J79" s="39"/>
      <c r="K79" s="47"/>
      <c r="L79" s="64"/>
      <c r="M79" s="90"/>
      <c r="N79" s="19"/>
      <c r="O79" s="33"/>
      <c r="P79" s="21"/>
      <c r="Q79" s="19"/>
      <c r="R79" s="33"/>
      <c r="S79" s="22"/>
    </row>
    <row r="80" spans="1:19" s="3" customFormat="1" ht="19.649999999999999" customHeight="1" x14ac:dyDescent="0.2">
      <c r="A80" s="19"/>
      <c r="B80" s="19"/>
      <c r="C80" s="19"/>
      <c r="D80" s="21"/>
      <c r="E80" s="51"/>
      <c r="F80" s="51"/>
      <c r="G80" s="70">
        <f>SUM(J60:J79)</f>
        <v>37689</v>
      </c>
      <c r="H80" s="91"/>
      <c r="I80" s="90"/>
      <c r="J80" s="39"/>
      <c r="K80" s="92"/>
      <c r="L80" s="93"/>
      <c r="M80" s="90"/>
      <c r="N80" s="19"/>
      <c r="O80" s="33"/>
      <c r="P80" s="21"/>
      <c r="Q80" s="19"/>
      <c r="R80" s="33"/>
      <c r="S80" s="22"/>
    </row>
    <row r="81" spans="1:19" s="3" customFormat="1" ht="19.5" customHeight="1" x14ac:dyDescent="0.2">
      <c r="A81" s="19"/>
      <c r="B81" s="19"/>
      <c r="C81" s="19"/>
      <c r="D81" s="21"/>
      <c r="E81" s="21"/>
      <c r="F81" s="21"/>
      <c r="G81" s="29"/>
      <c r="H81" s="28"/>
      <c r="I81" s="15"/>
      <c r="J81" s="15"/>
      <c r="K81" s="10"/>
      <c r="L81" s="16"/>
      <c r="M81" s="1"/>
      <c r="N81" s="1"/>
      <c r="O81" s="11"/>
      <c r="P81" s="4"/>
      <c r="Q81" s="2"/>
      <c r="R81" s="33"/>
      <c r="S81" s="37"/>
    </row>
    <row r="82" spans="1:19" s="3" customFormat="1" ht="19.5" customHeight="1" x14ac:dyDescent="0.2">
      <c r="A82" s="19"/>
      <c r="B82" s="19"/>
      <c r="C82" s="19"/>
      <c r="D82" s="21"/>
      <c r="E82" s="21"/>
      <c r="F82" s="21"/>
      <c r="G82" s="29"/>
      <c r="H82" s="28"/>
      <c r="I82" s="15"/>
      <c r="J82" s="15"/>
      <c r="K82" s="10"/>
      <c r="L82" s="16"/>
      <c r="M82" s="1"/>
      <c r="N82" s="1"/>
      <c r="O82" s="11"/>
      <c r="P82" s="4"/>
      <c r="Q82" s="2"/>
      <c r="R82" s="33"/>
      <c r="S82" s="37"/>
    </row>
    <row r="83" spans="1:19" s="3" customFormat="1" ht="19.5" customHeight="1" x14ac:dyDescent="0.2">
      <c r="A83" s="19"/>
      <c r="B83" s="19"/>
      <c r="C83" s="19"/>
      <c r="D83" s="21"/>
      <c r="E83" s="21"/>
      <c r="F83" s="21"/>
      <c r="G83" s="29"/>
      <c r="H83" s="28"/>
      <c r="I83" s="15"/>
      <c r="J83" s="15"/>
      <c r="K83" s="10"/>
      <c r="L83" s="16"/>
      <c r="M83" s="1"/>
      <c r="N83" s="1"/>
      <c r="O83" s="11"/>
      <c r="P83" s="4"/>
      <c r="Q83" s="2"/>
      <c r="R83" s="33"/>
      <c r="S83" s="37"/>
    </row>
    <row r="84" spans="1:19" s="3" customFormat="1" ht="19.649999999999999" customHeight="1" x14ac:dyDescent="0.2">
      <c r="A84" s="19"/>
      <c r="B84" s="19"/>
      <c r="C84" s="19"/>
      <c r="D84" s="21"/>
      <c r="E84" s="263" t="s">
        <v>153</v>
      </c>
      <c r="F84" s="264"/>
      <c r="G84" s="265"/>
      <c r="H84" s="24"/>
      <c r="I84" s="24"/>
      <c r="J84" s="39"/>
      <c r="K84" s="47"/>
      <c r="L84" s="52"/>
      <c r="M84" s="19"/>
      <c r="N84" s="19"/>
      <c r="O84" s="33"/>
      <c r="P84" s="21"/>
      <c r="Q84" s="19"/>
      <c r="R84" s="33"/>
      <c r="S84" s="22"/>
    </row>
    <row r="85" spans="1:19" s="3" customFormat="1" ht="19.649999999999999" customHeight="1" x14ac:dyDescent="0.2">
      <c r="A85" s="19" t="s">
        <v>154</v>
      </c>
      <c r="B85" s="247" t="s">
        <v>286</v>
      </c>
      <c r="C85" s="94">
        <v>11</v>
      </c>
      <c r="D85" s="112">
        <f>+D78+1</f>
        <v>50</v>
      </c>
      <c r="E85" s="112" t="s">
        <v>32</v>
      </c>
      <c r="F85" s="21" t="s">
        <v>27</v>
      </c>
      <c r="G85" s="201" t="s">
        <v>233</v>
      </c>
      <c r="H85" s="86">
        <v>1</v>
      </c>
      <c r="I85" s="86">
        <v>2000</v>
      </c>
      <c r="J85" s="19">
        <v>2000</v>
      </c>
      <c r="K85" s="202"/>
      <c r="L85" s="18" t="s">
        <v>234</v>
      </c>
      <c r="M85" s="19"/>
      <c r="N85" s="262" t="s">
        <v>291</v>
      </c>
      <c r="O85" s="254">
        <v>46016</v>
      </c>
      <c r="P85" s="132"/>
      <c r="Q85" s="258">
        <v>45677</v>
      </c>
      <c r="R85" s="138">
        <v>45678</v>
      </c>
      <c r="S85" s="22"/>
    </row>
    <row r="86" spans="1:19" s="3" customFormat="1" ht="19.649999999999999" customHeight="1" x14ac:dyDescent="0.2">
      <c r="A86" s="19" t="s">
        <v>155</v>
      </c>
      <c r="B86" s="247" t="s">
        <v>286</v>
      </c>
      <c r="C86" s="94">
        <v>11</v>
      </c>
      <c r="D86" s="112">
        <f>+D85+1</f>
        <v>51</v>
      </c>
      <c r="E86" s="112" t="s">
        <v>32</v>
      </c>
      <c r="F86" s="21" t="s">
        <v>27</v>
      </c>
      <c r="G86" s="201" t="s">
        <v>235</v>
      </c>
      <c r="H86" s="86">
        <v>1</v>
      </c>
      <c r="I86" s="86">
        <v>7104</v>
      </c>
      <c r="J86" s="19">
        <f>H86*I86</f>
        <v>7104</v>
      </c>
      <c r="K86" s="202"/>
      <c r="L86" s="18" t="s">
        <v>236</v>
      </c>
      <c r="M86" s="19"/>
      <c r="N86" s="262" t="s">
        <v>291</v>
      </c>
      <c r="O86" s="254">
        <v>46016</v>
      </c>
      <c r="P86" s="132"/>
      <c r="Q86" s="258">
        <v>45677</v>
      </c>
      <c r="R86" s="138">
        <v>45678</v>
      </c>
      <c r="S86" s="22"/>
    </row>
    <row r="87" spans="1:19" s="3" customFormat="1" ht="19.649999999999999" customHeight="1" x14ac:dyDescent="0.2">
      <c r="A87" s="19" t="s">
        <v>155</v>
      </c>
      <c r="B87" s="247" t="s">
        <v>286</v>
      </c>
      <c r="C87" s="94">
        <v>11</v>
      </c>
      <c r="D87" s="112">
        <f>+D86+1</f>
        <v>52</v>
      </c>
      <c r="E87" s="68" t="s">
        <v>237</v>
      </c>
      <c r="F87" s="203" t="s">
        <v>27</v>
      </c>
      <c r="G87" s="204" t="s">
        <v>238</v>
      </c>
      <c r="H87" s="213">
        <v>10</v>
      </c>
      <c r="I87" s="220">
        <v>393</v>
      </c>
      <c r="J87" s="39">
        <f t="shared" ref="J87:J95" si="8">H87*I87</f>
        <v>3930</v>
      </c>
      <c r="K87" s="84"/>
      <c r="L87" s="42" t="s">
        <v>239</v>
      </c>
      <c r="M87" s="19"/>
      <c r="N87" s="262" t="s">
        <v>291</v>
      </c>
      <c r="O87" s="254">
        <v>46016</v>
      </c>
      <c r="P87" s="132"/>
      <c r="Q87" s="258">
        <v>45677</v>
      </c>
      <c r="R87" s="138">
        <v>45678</v>
      </c>
      <c r="S87" s="22"/>
    </row>
    <row r="88" spans="1:19" s="3" customFormat="1" ht="19.649999999999999" customHeight="1" x14ac:dyDescent="0.2">
      <c r="A88" s="19" t="s">
        <v>156</v>
      </c>
      <c r="B88" s="247" t="s">
        <v>286</v>
      </c>
      <c r="C88" s="94">
        <v>11</v>
      </c>
      <c r="D88" s="112">
        <f t="shared" ref="D88:D95" si="9">+D87+1</f>
        <v>53</v>
      </c>
      <c r="E88" s="89" t="s">
        <v>27</v>
      </c>
      <c r="F88" s="89" t="s">
        <v>27</v>
      </c>
      <c r="G88" s="42" t="s">
        <v>161</v>
      </c>
      <c r="H88" s="222">
        <v>4</v>
      </c>
      <c r="I88" s="86">
        <v>14</v>
      </c>
      <c r="J88" s="53">
        <f>H88*I88</f>
        <v>56</v>
      </c>
      <c r="K88" s="20"/>
      <c r="L88" s="42" t="s">
        <v>240</v>
      </c>
      <c r="M88" s="19"/>
      <c r="N88" s="262" t="s">
        <v>291</v>
      </c>
      <c r="O88" s="254">
        <v>46016</v>
      </c>
      <c r="P88" s="132"/>
      <c r="Q88" s="258">
        <v>45677</v>
      </c>
      <c r="R88" s="138">
        <v>45678</v>
      </c>
      <c r="S88" s="22"/>
    </row>
    <row r="89" spans="1:19" s="3" customFormat="1" ht="19.649999999999999" customHeight="1" x14ac:dyDescent="0.2">
      <c r="A89" s="19" t="s">
        <v>156</v>
      </c>
      <c r="B89" s="247" t="s">
        <v>286</v>
      </c>
      <c r="C89" s="94">
        <v>11</v>
      </c>
      <c r="D89" s="112">
        <f>+D88+1</f>
        <v>54</v>
      </c>
      <c r="E89" s="68" t="s">
        <v>27</v>
      </c>
      <c r="F89" s="68" t="s">
        <v>27</v>
      </c>
      <c r="G89" s="205" t="s">
        <v>162</v>
      </c>
      <c r="H89" s="215">
        <v>4</v>
      </c>
      <c r="I89" s="220">
        <v>93</v>
      </c>
      <c r="J89" s="208">
        <f>H89*I89</f>
        <v>372</v>
      </c>
      <c r="K89" s="69"/>
      <c r="L89" s="59" t="s">
        <v>241</v>
      </c>
      <c r="M89" s="44" t="s">
        <v>252</v>
      </c>
      <c r="N89" s="262" t="s">
        <v>291</v>
      </c>
      <c r="O89" s="254">
        <v>46016</v>
      </c>
      <c r="P89" s="132"/>
      <c r="Q89" s="258">
        <v>45677</v>
      </c>
      <c r="R89" s="138">
        <v>45678</v>
      </c>
      <c r="S89" s="22"/>
    </row>
    <row r="90" spans="1:19" s="3" customFormat="1" ht="19.649999999999999" customHeight="1" x14ac:dyDescent="0.2">
      <c r="A90" s="19" t="s">
        <v>156</v>
      </c>
      <c r="B90" s="247" t="s">
        <v>286</v>
      </c>
      <c r="C90" s="94">
        <v>11</v>
      </c>
      <c r="D90" s="112">
        <f>+D89+1</f>
        <v>55</v>
      </c>
      <c r="E90" s="21" t="s">
        <v>27</v>
      </c>
      <c r="F90" s="21" t="s">
        <v>27</v>
      </c>
      <c r="G90" s="205" t="s">
        <v>242</v>
      </c>
      <c r="H90" s="86">
        <v>4</v>
      </c>
      <c r="I90" s="227">
        <v>14</v>
      </c>
      <c r="J90" s="53">
        <f t="shared" si="8"/>
        <v>56</v>
      </c>
      <c r="K90" s="20"/>
      <c r="L90" s="47" t="s">
        <v>243</v>
      </c>
      <c r="M90" s="42" t="s">
        <v>244</v>
      </c>
      <c r="N90" s="262" t="s">
        <v>291</v>
      </c>
      <c r="O90" s="254">
        <v>46016</v>
      </c>
      <c r="P90" s="132"/>
      <c r="Q90" s="258">
        <v>45677</v>
      </c>
      <c r="R90" s="138">
        <v>45678</v>
      </c>
      <c r="S90" s="22"/>
    </row>
    <row r="91" spans="1:19" s="3" customFormat="1" ht="19.649999999999999" customHeight="1" x14ac:dyDescent="0.2">
      <c r="A91" s="19" t="s">
        <v>155</v>
      </c>
      <c r="B91" s="247" t="s">
        <v>286</v>
      </c>
      <c r="C91" s="94">
        <v>11</v>
      </c>
      <c r="D91" s="112">
        <f t="shared" si="9"/>
        <v>56</v>
      </c>
      <c r="E91" s="90" t="s">
        <v>27</v>
      </c>
      <c r="F91" s="90" t="s">
        <v>27</v>
      </c>
      <c r="G91" s="223" t="s">
        <v>272</v>
      </c>
      <c r="H91" s="86">
        <v>1</v>
      </c>
      <c r="I91" s="86">
        <v>5306</v>
      </c>
      <c r="J91" s="67">
        <f t="shared" si="8"/>
        <v>5306</v>
      </c>
      <c r="K91" s="206"/>
      <c r="L91" s="67" t="s">
        <v>245</v>
      </c>
      <c r="M91" s="90"/>
      <c r="N91" s="262" t="s">
        <v>291</v>
      </c>
      <c r="O91" s="254">
        <v>46016</v>
      </c>
      <c r="P91" s="132"/>
      <c r="Q91" s="258">
        <v>45677</v>
      </c>
      <c r="R91" s="138">
        <v>45678</v>
      </c>
      <c r="S91" s="22"/>
    </row>
    <row r="92" spans="1:19" s="3" customFormat="1" ht="19.649999999999999" customHeight="1" x14ac:dyDescent="0.2">
      <c r="A92" s="19" t="s">
        <v>155</v>
      </c>
      <c r="B92" s="247" t="s">
        <v>286</v>
      </c>
      <c r="C92" s="94">
        <v>11</v>
      </c>
      <c r="D92" s="112">
        <f t="shared" si="9"/>
        <v>57</v>
      </c>
      <c r="E92" s="90" t="s">
        <v>27</v>
      </c>
      <c r="F92" s="90" t="s">
        <v>27</v>
      </c>
      <c r="G92" s="67" t="s">
        <v>157</v>
      </c>
      <c r="H92" s="224">
        <v>2</v>
      </c>
      <c r="I92" s="86">
        <v>158</v>
      </c>
      <c r="J92" s="67">
        <f t="shared" si="8"/>
        <v>316</v>
      </c>
      <c r="K92" s="207"/>
      <c r="L92" s="67" t="s">
        <v>158</v>
      </c>
      <c r="M92" s="66" t="s">
        <v>246</v>
      </c>
      <c r="N92" s="262" t="s">
        <v>291</v>
      </c>
      <c r="O92" s="254">
        <v>46016</v>
      </c>
      <c r="P92" s="132"/>
      <c r="Q92" s="258">
        <v>45677</v>
      </c>
      <c r="R92" s="138">
        <v>45678</v>
      </c>
      <c r="S92" s="22"/>
    </row>
    <row r="93" spans="1:19" s="3" customFormat="1" ht="19.649999999999999" customHeight="1" x14ac:dyDescent="0.2">
      <c r="A93" s="19" t="s">
        <v>155</v>
      </c>
      <c r="B93" s="247" t="s">
        <v>286</v>
      </c>
      <c r="C93" s="94">
        <v>11</v>
      </c>
      <c r="D93" s="112">
        <f t="shared" si="9"/>
        <v>58</v>
      </c>
      <c r="E93" s="21" t="s">
        <v>27</v>
      </c>
      <c r="F93" s="21" t="s">
        <v>27</v>
      </c>
      <c r="G93" s="67" t="s">
        <v>247</v>
      </c>
      <c r="H93" s="224">
        <v>2</v>
      </c>
      <c r="I93" s="234">
        <v>158</v>
      </c>
      <c r="J93" s="67">
        <f t="shared" si="8"/>
        <v>316</v>
      </c>
      <c r="K93" s="20"/>
      <c r="L93" s="67" t="s">
        <v>248</v>
      </c>
      <c r="M93" s="66" t="s">
        <v>249</v>
      </c>
      <c r="N93" s="262" t="s">
        <v>291</v>
      </c>
      <c r="O93" s="254">
        <v>46016</v>
      </c>
      <c r="P93" s="132"/>
      <c r="Q93" s="258">
        <v>45677</v>
      </c>
      <c r="R93" s="138">
        <v>45678</v>
      </c>
      <c r="S93" s="22"/>
    </row>
    <row r="94" spans="1:19" s="3" customFormat="1" ht="19.649999999999999" customHeight="1" x14ac:dyDescent="0.2">
      <c r="A94" s="19" t="s">
        <v>155</v>
      </c>
      <c r="B94" s="247" t="s">
        <v>286</v>
      </c>
      <c r="C94" s="94">
        <v>11</v>
      </c>
      <c r="D94" s="112">
        <f t="shared" si="9"/>
        <v>59</v>
      </c>
      <c r="E94" s="68" t="s">
        <v>27</v>
      </c>
      <c r="F94" s="68" t="s">
        <v>27</v>
      </c>
      <c r="G94" s="115" t="s">
        <v>159</v>
      </c>
      <c r="H94" s="217">
        <v>2</v>
      </c>
      <c r="I94" s="233">
        <v>81</v>
      </c>
      <c r="J94" s="60">
        <f t="shared" si="8"/>
        <v>162</v>
      </c>
      <c r="K94" s="69"/>
      <c r="L94" s="60" t="s">
        <v>160</v>
      </c>
      <c r="M94" s="44" t="s">
        <v>254</v>
      </c>
      <c r="N94" s="262" t="s">
        <v>291</v>
      </c>
      <c r="O94" s="254">
        <v>46016</v>
      </c>
      <c r="P94" s="132"/>
      <c r="Q94" s="258">
        <v>45677</v>
      </c>
      <c r="R94" s="138">
        <v>45678</v>
      </c>
      <c r="S94" s="22"/>
    </row>
    <row r="95" spans="1:19" s="3" customFormat="1" ht="19.649999999999999" customHeight="1" x14ac:dyDescent="0.2">
      <c r="A95" s="19" t="s">
        <v>155</v>
      </c>
      <c r="B95" s="247" t="s">
        <v>286</v>
      </c>
      <c r="C95" s="94">
        <v>11</v>
      </c>
      <c r="D95" s="112">
        <f t="shared" si="9"/>
        <v>60</v>
      </c>
      <c r="E95" s="89" t="s">
        <v>27</v>
      </c>
      <c r="F95" s="89" t="s">
        <v>27</v>
      </c>
      <c r="G95" s="52" t="s">
        <v>250</v>
      </c>
      <c r="H95" s="222">
        <v>2</v>
      </c>
      <c r="I95" s="215">
        <v>120</v>
      </c>
      <c r="J95" s="208">
        <f t="shared" si="8"/>
        <v>240</v>
      </c>
      <c r="K95" s="69"/>
      <c r="L95" s="52" t="s">
        <v>251</v>
      </c>
      <c r="M95" s="44" t="s">
        <v>253</v>
      </c>
      <c r="N95" s="262" t="s">
        <v>291</v>
      </c>
      <c r="O95" s="254">
        <v>46016</v>
      </c>
      <c r="P95" s="132"/>
      <c r="Q95" s="258">
        <v>45677</v>
      </c>
      <c r="R95" s="138">
        <v>45678</v>
      </c>
      <c r="S95" s="22"/>
    </row>
    <row r="96" spans="1:19" s="3" customFormat="1" ht="19.649999999999999" customHeight="1" x14ac:dyDescent="0.2">
      <c r="A96" s="19"/>
      <c r="B96" s="19"/>
      <c r="C96" s="19"/>
      <c r="D96" s="21"/>
      <c r="E96" s="21"/>
      <c r="F96" s="21"/>
      <c r="G96" s="42"/>
      <c r="H96" s="96"/>
      <c r="I96" s="39"/>
      <c r="J96" s="39"/>
      <c r="K96" s="76"/>
      <c r="L96" s="42"/>
      <c r="M96" s="19"/>
      <c r="N96" s="19"/>
      <c r="O96" s="33"/>
      <c r="P96" s="21"/>
      <c r="Q96" s="19"/>
      <c r="R96" s="33"/>
      <c r="S96" s="22"/>
    </row>
    <row r="97" spans="1:19" s="3" customFormat="1" ht="19.649999999999999" customHeight="1" x14ac:dyDescent="0.2">
      <c r="A97" s="19"/>
      <c r="B97" s="19"/>
      <c r="C97" s="19"/>
      <c r="D97" s="21"/>
      <c r="E97" s="21"/>
      <c r="F97" s="21"/>
      <c r="G97" s="70">
        <f>SUM(J85:J96)</f>
        <v>19858</v>
      </c>
      <c r="H97" s="19"/>
      <c r="I97" s="39"/>
      <c r="J97" s="39"/>
      <c r="K97" s="76"/>
      <c r="L97" s="18"/>
      <c r="M97" s="19"/>
      <c r="N97" s="19"/>
      <c r="O97" s="33"/>
      <c r="P97" s="21"/>
      <c r="Q97" s="19"/>
      <c r="R97" s="33"/>
      <c r="S97" s="22"/>
    </row>
    <row r="98" spans="1:19" s="3" customFormat="1" ht="19.5" customHeight="1" x14ac:dyDescent="0.2">
      <c r="C98" s="19"/>
      <c r="D98" s="21"/>
      <c r="E98" s="21"/>
      <c r="F98" s="21"/>
      <c r="G98" s="29"/>
      <c r="H98" s="28"/>
      <c r="I98" s="15"/>
      <c r="J98" s="15"/>
      <c r="K98" s="10"/>
      <c r="L98" s="16"/>
      <c r="M98" s="1"/>
      <c r="N98" s="1"/>
      <c r="O98" s="11"/>
      <c r="P98" s="4"/>
      <c r="Q98" s="2"/>
      <c r="R98" s="33"/>
      <c r="S98" s="37"/>
    </row>
    <row r="99" spans="1:19" s="3" customFormat="1" ht="19.5" customHeight="1" x14ac:dyDescent="0.2">
      <c r="C99" s="19"/>
      <c r="D99" s="21"/>
      <c r="E99" s="21"/>
      <c r="F99" s="21"/>
      <c r="G99" s="29"/>
      <c r="H99" s="28"/>
      <c r="I99" s="15"/>
      <c r="J99" s="15"/>
      <c r="K99" s="10"/>
      <c r="L99" s="16"/>
      <c r="M99" s="1"/>
      <c r="N99" s="1"/>
      <c r="O99" s="11"/>
      <c r="P99" s="4"/>
      <c r="Q99" s="2"/>
      <c r="R99" s="33"/>
      <c r="S99" s="37"/>
    </row>
    <row r="100" spans="1:19" s="3" customFormat="1" ht="19.5" customHeight="1" x14ac:dyDescent="0.2">
      <c r="C100" s="19"/>
      <c r="D100" s="21"/>
      <c r="E100" s="21"/>
      <c r="F100" s="21"/>
      <c r="G100" s="29"/>
      <c r="H100" s="28"/>
      <c r="I100" s="15"/>
      <c r="J100" s="15"/>
      <c r="K100" s="10"/>
      <c r="L100" s="16"/>
      <c r="M100" s="1"/>
      <c r="N100" s="1"/>
      <c r="O100" s="11"/>
      <c r="P100" s="4"/>
      <c r="Q100" s="2"/>
      <c r="R100" s="33"/>
      <c r="S100" s="37"/>
    </row>
    <row r="101" spans="1:19" s="3" customFormat="1" ht="19.5" customHeight="1" x14ac:dyDescent="0.2">
      <c r="C101" s="19"/>
      <c r="D101" s="21"/>
      <c r="E101" s="263" t="s">
        <v>287</v>
      </c>
      <c r="F101" s="264"/>
      <c r="G101" s="265"/>
      <c r="H101" s="58"/>
      <c r="I101" s="46"/>
      <c r="J101" s="53"/>
      <c r="K101" s="59"/>
      <c r="L101" s="60"/>
      <c r="M101" s="1"/>
      <c r="N101" s="1"/>
      <c r="O101" s="11"/>
      <c r="P101" s="4"/>
      <c r="Q101" s="2"/>
      <c r="R101" s="33"/>
      <c r="S101" s="37"/>
    </row>
    <row r="102" spans="1:19" s="3" customFormat="1" ht="19.5" customHeight="1" x14ac:dyDescent="0.2">
      <c r="A102" s="54" t="s">
        <v>30</v>
      </c>
      <c r="B102" s="248" t="s">
        <v>288</v>
      </c>
      <c r="C102" s="86">
        <v>12</v>
      </c>
      <c r="D102" s="112">
        <f>+D95+1</f>
        <v>61</v>
      </c>
      <c r="E102" s="48" t="s">
        <v>32</v>
      </c>
      <c r="F102" s="21" t="s">
        <v>27</v>
      </c>
      <c r="G102" s="162" t="s">
        <v>33</v>
      </c>
      <c r="H102" s="86">
        <v>1</v>
      </c>
      <c r="I102" s="86">
        <v>2320</v>
      </c>
      <c r="J102" s="190">
        <f t="shared" ref="J102:J104" si="10">H102*I102</f>
        <v>2320</v>
      </c>
      <c r="K102" s="47"/>
      <c r="L102" s="42" t="s">
        <v>34</v>
      </c>
      <c r="M102" s="1"/>
      <c r="N102" s="262" t="s">
        <v>291</v>
      </c>
      <c r="O102" s="254">
        <v>46016</v>
      </c>
      <c r="P102" s="132"/>
      <c r="Q102" s="258">
        <v>45677</v>
      </c>
      <c r="R102" s="138">
        <v>45678</v>
      </c>
      <c r="S102" s="37"/>
    </row>
    <row r="103" spans="1:19" s="3" customFormat="1" ht="19.5" customHeight="1" x14ac:dyDescent="0.2">
      <c r="A103" s="54" t="s">
        <v>29</v>
      </c>
      <c r="B103" s="248" t="s">
        <v>288</v>
      </c>
      <c r="C103" s="86">
        <v>12</v>
      </c>
      <c r="D103" s="112">
        <f t="shared" ref="D103:D109" si="11">+D102+1</f>
        <v>62</v>
      </c>
      <c r="E103" s="19" t="s">
        <v>27</v>
      </c>
      <c r="F103" s="19" t="s">
        <v>27</v>
      </c>
      <c r="G103" s="171" t="s">
        <v>35</v>
      </c>
      <c r="H103" s="86">
        <v>1</v>
      </c>
      <c r="I103" s="86">
        <v>1178</v>
      </c>
      <c r="J103" s="195">
        <f>H103*I103</f>
        <v>1178</v>
      </c>
      <c r="K103" s="42"/>
      <c r="L103" s="18" t="s">
        <v>36</v>
      </c>
      <c r="M103" s="1"/>
      <c r="N103" s="262" t="s">
        <v>291</v>
      </c>
      <c r="O103" s="254">
        <v>46016</v>
      </c>
      <c r="P103" s="132"/>
      <c r="Q103" s="258">
        <v>45677</v>
      </c>
      <c r="R103" s="138">
        <v>45678</v>
      </c>
      <c r="S103" s="37"/>
    </row>
    <row r="104" spans="1:19" s="3" customFormat="1" ht="19.5" customHeight="1" x14ac:dyDescent="0.2">
      <c r="A104" s="54" t="s">
        <v>29</v>
      </c>
      <c r="B104" s="248" t="s">
        <v>288</v>
      </c>
      <c r="C104" s="86">
        <v>12</v>
      </c>
      <c r="D104" s="112">
        <f t="shared" si="11"/>
        <v>63</v>
      </c>
      <c r="E104" s="21" t="s">
        <v>27</v>
      </c>
      <c r="F104" s="21" t="s">
        <v>27</v>
      </c>
      <c r="G104" s="177" t="s">
        <v>37</v>
      </c>
      <c r="H104" s="86">
        <v>2</v>
      </c>
      <c r="I104" s="236">
        <v>83</v>
      </c>
      <c r="J104" s="188">
        <f t="shared" si="10"/>
        <v>166</v>
      </c>
      <c r="K104" s="47"/>
      <c r="L104" s="18" t="s">
        <v>38</v>
      </c>
      <c r="M104" s="1"/>
      <c r="N104" s="262" t="s">
        <v>291</v>
      </c>
      <c r="O104" s="254">
        <v>46016</v>
      </c>
      <c r="P104" s="132"/>
      <c r="Q104" s="258">
        <v>45677</v>
      </c>
      <c r="R104" s="138">
        <v>45678</v>
      </c>
      <c r="S104" s="37"/>
    </row>
    <row r="105" spans="1:19" s="3" customFormat="1" ht="19.5" customHeight="1" x14ac:dyDescent="0.2">
      <c r="A105" s="54" t="s">
        <v>29</v>
      </c>
      <c r="B105" s="248" t="s">
        <v>288</v>
      </c>
      <c r="C105" s="86">
        <v>12</v>
      </c>
      <c r="D105" s="112">
        <f>+D104+1</f>
        <v>64</v>
      </c>
      <c r="E105" s="173" t="s">
        <v>224</v>
      </c>
      <c r="F105" s="72" t="s">
        <v>27</v>
      </c>
      <c r="G105" s="174" t="s">
        <v>225</v>
      </c>
      <c r="H105" s="225">
        <v>2</v>
      </c>
      <c r="I105" s="239">
        <v>1016</v>
      </c>
      <c r="J105" s="195">
        <f t="shared" ref="J105:J108" si="12">H105*I105</f>
        <v>2032</v>
      </c>
      <c r="K105" s="63"/>
      <c r="L105" s="62" t="s">
        <v>226</v>
      </c>
      <c r="M105" s="1"/>
      <c r="N105" s="262" t="s">
        <v>291</v>
      </c>
      <c r="O105" s="254">
        <v>46016</v>
      </c>
      <c r="P105" s="132"/>
      <c r="Q105" s="258">
        <v>45677</v>
      </c>
      <c r="R105" s="138">
        <v>45678</v>
      </c>
      <c r="S105" s="37"/>
    </row>
    <row r="106" spans="1:19" s="3" customFormat="1" ht="19.5" customHeight="1" x14ac:dyDescent="0.2">
      <c r="A106" s="54" t="s">
        <v>29</v>
      </c>
      <c r="B106" s="248" t="s">
        <v>288</v>
      </c>
      <c r="C106" s="86">
        <v>12</v>
      </c>
      <c r="D106" s="112">
        <f>+D105+1</f>
        <v>65</v>
      </c>
      <c r="E106" s="21" t="s">
        <v>27</v>
      </c>
      <c r="F106" s="21" t="s">
        <v>27</v>
      </c>
      <c r="G106" s="177" t="s">
        <v>39</v>
      </c>
      <c r="H106" s="86">
        <v>2</v>
      </c>
      <c r="I106" s="236">
        <v>32</v>
      </c>
      <c r="J106" s="188">
        <f t="shared" si="12"/>
        <v>64</v>
      </c>
      <c r="K106" s="47"/>
      <c r="L106" s="18" t="s">
        <v>40</v>
      </c>
      <c r="M106" s="1"/>
      <c r="N106" s="262" t="s">
        <v>291</v>
      </c>
      <c r="O106" s="254">
        <v>46016</v>
      </c>
      <c r="P106" s="132"/>
      <c r="Q106" s="258">
        <v>45677</v>
      </c>
      <c r="R106" s="138">
        <v>45678</v>
      </c>
      <c r="S106" s="37"/>
    </row>
    <row r="107" spans="1:19" s="3" customFormat="1" ht="19.5" customHeight="1" x14ac:dyDescent="0.2">
      <c r="A107" s="54" t="s">
        <v>29</v>
      </c>
      <c r="B107" s="248" t="s">
        <v>288</v>
      </c>
      <c r="C107" s="86">
        <v>12</v>
      </c>
      <c r="D107" s="112">
        <f>+D106+1</f>
        <v>66</v>
      </c>
      <c r="E107" s="61" t="s">
        <v>27</v>
      </c>
      <c r="F107" s="61" t="s">
        <v>27</v>
      </c>
      <c r="G107" s="171" t="s">
        <v>41</v>
      </c>
      <c r="H107" s="86">
        <v>1</v>
      </c>
      <c r="I107" s="86">
        <v>346</v>
      </c>
      <c r="J107" s="194">
        <f t="shared" si="12"/>
        <v>346</v>
      </c>
      <c r="K107" s="66"/>
      <c r="L107" s="67" t="s">
        <v>42</v>
      </c>
      <c r="M107" s="1"/>
      <c r="N107" s="262" t="s">
        <v>291</v>
      </c>
      <c r="O107" s="254">
        <v>46016</v>
      </c>
      <c r="P107" s="132"/>
      <c r="Q107" s="258">
        <v>45677</v>
      </c>
      <c r="R107" s="138">
        <v>45678</v>
      </c>
      <c r="S107" s="37"/>
    </row>
    <row r="108" spans="1:19" s="3" customFormat="1" ht="19.5" customHeight="1" x14ac:dyDescent="0.2">
      <c r="A108" s="54" t="s">
        <v>29</v>
      </c>
      <c r="B108" s="248" t="s">
        <v>288</v>
      </c>
      <c r="C108" s="86">
        <v>12</v>
      </c>
      <c r="D108" s="112">
        <f>+D107+1</f>
        <v>67</v>
      </c>
      <c r="E108" s="65" t="s">
        <v>27</v>
      </c>
      <c r="F108" s="68" t="s">
        <v>27</v>
      </c>
      <c r="G108" s="174" t="s">
        <v>43</v>
      </c>
      <c r="H108" s="225">
        <v>2</v>
      </c>
      <c r="I108" s="239">
        <v>158</v>
      </c>
      <c r="J108" s="195">
        <f t="shared" si="12"/>
        <v>316</v>
      </c>
      <c r="K108" s="63"/>
      <c r="L108" s="62" t="s">
        <v>44</v>
      </c>
      <c r="M108" s="1"/>
      <c r="N108" s="262" t="s">
        <v>291</v>
      </c>
      <c r="O108" s="254">
        <v>46016</v>
      </c>
      <c r="P108" s="132"/>
      <c r="Q108" s="258">
        <v>45677</v>
      </c>
      <c r="R108" s="138">
        <v>45678</v>
      </c>
      <c r="S108" s="37"/>
    </row>
    <row r="109" spans="1:19" s="3" customFormat="1" ht="19.5" customHeight="1" x14ac:dyDescent="0.2">
      <c r="A109" s="54" t="s">
        <v>29</v>
      </c>
      <c r="B109" s="248" t="s">
        <v>288</v>
      </c>
      <c r="C109" s="86">
        <v>12</v>
      </c>
      <c r="D109" s="112">
        <f t="shared" si="11"/>
        <v>68</v>
      </c>
      <c r="E109" s="68" t="s">
        <v>27</v>
      </c>
      <c r="F109" s="68" t="s">
        <v>27</v>
      </c>
      <c r="G109" s="161" t="s">
        <v>45</v>
      </c>
      <c r="H109" s="217">
        <v>10</v>
      </c>
      <c r="I109" s="233">
        <v>14</v>
      </c>
      <c r="J109" s="187">
        <f>H109*I109</f>
        <v>140</v>
      </c>
      <c r="K109" s="69"/>
      <c r="L109" s="60" t="s">
        <v>46</v>
      </c>
      <c r="M109" s="1"/>
      <c r="N109" s="262" t="s">
        <v>291</v>
      </c>
      <c r="O109" s="254">
        <v>46016</v>
      </c>
      <c r="P109" s="132"/>
      <c r="Q109" s="258">
        <v>45677</v>
      </c>
      <c r="R109" s="138">
        <v>45678</v>
      </c>
      <c r="S109" s="37"/>
    </row>
    <row r="110" spans="1:19" s="3" customFormat="1" ht="19.5" customHeight="1" x14ac:dyDescent="0.2">
      <c r="C110" s="19"/>
      <c r="D110" s="21"/>
      <c r="E110" s="68"/>
      <c r="F110" s="68"/>
      <c r="G110" s="42"/>
      <c r="H110" s="45"/>
      <c r="I110" s="19"/>
      <c r="J110" s="39"/>
      <c r="K110" s="47"/>
      <c r="L110" s="60"/>
      <c r="M110" s="1"/>
      <c r="N110" s="1"/>
      <c r="O110" s="11"/>
      <c r="P110" s="4"/>
      <c r="Q110" s="2"/>
      <c r="R110" s="33"/>
      <c r="S110" s="37"/>
    </row>
    <row r="111" spans="1:19" s="3" customFormat="1" ht="19.5" customHeight="1" x14ac:dyDescent="0.2">
      <c r="C111" s="19"/>
      <c r="D111" s="21"/>
      <c r="E111" s="21"/>
      <c r="F111" s="21"/>
      <c r="G111" s="70">
        <f>SUM(J102:J109)</f>
        <v>6562</v>
      </c>
      <c r="H111" s="56"/>
      <c r="I111" s="56"/>
      <c r="J111" s="56"/>
      <c r="K111" s="71"/>
      <c r="L111" s="18"/>
      <c r="M111" s="1"/>
      <c r="N111" s="1"/>
      <c r="O111" s="11"/>
      <c r="P111" s="4"/>
      <c r="Q111" s="2"/>
      <c r="R111" s="33"/>
      <c r="S111" s="37"/>
    </row>
    <row r="112" spans="1:19" s="3" customFormat="1" ht="19.5" customHeight="1" x14ac:dyDescent="0.2">
      <c r="C112" s="19"/>
      <c r="D112" s="21"/>
      <c r="E112" s="21"/>
      <c r="F112" s="21"/>
      <c r="G112" s="29"/>
      <c r="H112" s="28"/>
      <c r="I112" s="15"/>
      <c r="J112" s="15"/>
      <c r="K112" s="10"/>
      <c r="L112" s="16"/>
      <c r="M112" s="1"/>
      <c r="N112" s="1"/>
      <c r="O112" s="11"/>
      <c r="P112" s="4"/>
      <c r="Q112" s="2"/>
      <c r="R112" s="33"/>
      <c r="S112" s="37"/>
    </row>
    <row r="113" spans="1:19" s="3" customFormat="1" ht="19.5" customHeight="1" x14ac:dyDescent="0.2">
      <c r="C113" s="19"/>
      <c r="D113" s="21"/>
      <c r="E113" s="21"/>
      <c r="F113" s="21"/>
      <c r="G113" s="29"/>
      <c r="H113" s="28"/>
      <c r="I113" s="15"/>
      <c r="J113" s="15"/>
      <c r="K113" s="10"/>
      <c r="L113" s="16"/>
      <c r="M113" s="1"/>
      <c r="N113" s="1"/>
      <c r="O113" s="11"/>
      <c r="P113" s="4"/>
      <c r="Q113" s="2"/>
      <c r="R113" s="33"/>
      <c r="S113" s="37"/>
    </row>
    <row r="114" spans="1:19" s="3" customFormat="1" ht="19.5" customHeight="1" x14ac:dyDescent="0.2">
      <c r="C114" s="19"/>
      <c r="D114" s="21"/>
      <c r="E114" s="263" t="s">
        <v>266</v>
      </c>
      <c r="F114" s="264"/>
      <c r="G114" s="265"/>
      <c r="H114" s="28"/>
      <c r="I114" s="15"/>
      <c r="J114" s="15"/>
      <c r="K114" s="10"/>
      <c r="L114" s="16"/>
      <c r="M114" s="1"/>
      <c r="N114" s="1"/>
      <c r="O114" s="11"/>
      <c r="P114" s="4"/>
      <c r="Q114" s="2"/>
      <c r="R114" s="33"/>
      <c r="S114" s="37"/>
    </row>
    <row r="115" spans="1:19" s="3" customFormat="1" ht="19.5" customHeight="1" x14ac:dyDescent="0.2">
      <c r="A115" s="54" t="s">
        <v>29</v>
      </c>
      <c r="B115" s="249" t="s">
        <v>289</v>
      </c>
      <c r="C115" s="86">
        <v>12</v>
      </c>
      <c r="D115" s="112">
        <f>+D109+1</f>
        <v>69</v>
      </c>
      <c r="E115" s="68" t="s">
        <v>27</v>
      </c>
      <c r="F115" s="68" t="s">
        <v>27</v>
      </c>
      <c r="G115" s="211" t="s">
        <v>267</v>
      </c>
      <c r="H115" s="226">
        <v>4</v>
      </c>
      <c r="I115" s="240">
        <v>699</v>
      </c>
      <c r="J115" s="67">
        <f t="shared" ref="J115:J116" si="13">H115*I115</f>
        <v>2796</v>
      </c>
      <c r="K115" s="10"/>
      <c r="L115" s="16"/>
      <c r="M115" s="1"/>
      <c r="N115" s="262" t="s">
        <v>291</v>
      </c>
      <c r="O115" s="254">
        <v>46016</v>
      </c>
      <c r="P115" s="132"/>
      <c r="Q115" s="258">
        <v>45677</v>
      </c>
      <c r="R115" s="138">
        <v>45678</v>
      </c>
      <c r="S115" s="37"/>
    </row>
    <row r="116" spans="1:19" s="3" customFormat="1" ht="19.5" customHeight="1" x14ac:dyDescent="0.2">
      <c r="A116" s="54" t="s">
        <v>29</v>
      </c>
      <c r="B116" s="249" t="s">
        <v>289</v>
      </c>
      <c r="C116" s="86">
        <v>12</v>
      </c>
      <c r="D116" s="112">
        <f t="shared" ref="D116" si="14">+D115+1</f>
        <v>70</v>
      </c>
      <c r="E116" s="68" t="s">
        <v>27</v>
      </c>
      <c r="F116" s="68" t="s">
        <v>27</v>
      </c>
      <c r="G116" s="211" t="s">
        <v>268</v>
      </c>
      <c r="H116" s="226">
        <v>2</v>
      </c>
      <c r="I116" s="240">
        <v>523</v>
      </c>
      <c r="J116" s="67">
        <f t="shared" si="13"/>
        <v>1046</v>
      </c>
      <c r="K116" s="10"/>
      <c r="L116" s="16"/>
      <c r="M116" s="1"/>
      <c r="N116" s="262" t="s">
        <v>291</v>
      </c>
      <c r="O116" s="254">
        <v>46016</v>
      </c>
      <c r="P116" s="132"/>
      <c r="Q116" s="258">
        <v>45677</v>
      </c>
      <c r="R116" s="138">
        <v>45678</v>
      </c>
      <c r="S116" s="37"/>
    </row>
    <row r="117" spans="1:19" s="3" customFormat="1" ht="19.5" customHeight="1" x14ac:dyDescent="0.2">
      <c r="C117" s="19"/>
      <c r="D117" s="21"/>
      <c r="E117" s="21"/>
      <c r="F117" s="21"/>
      <c r="G117" s="29"/>
      <c r="H117" s="28"/>
      <c r="I117" s="15"/>
      <c r="J117" s="67"/>
      <c r="K117" s="10"/>
      <c r="L117" s="16"/>
      <c r="M117" s="1"/>
      <c r="N117" s="1"/>
      <c r="O117" s="11"/>
      <c r="P117" s="4"/>
      <c r="Q117" s="2"/>
      <c r="R117" s="33"/>
      <c r="S117" s="37"/>
    </row>
    <row r="118" spans="1:19" s="3" customFormat="1" ht="19.5" customHeight="1" x14ac:dyDescent="0.2">
      <c r="C118" s="19"/>
      <c r="D118" s="21"/>
      <c r="E118" s="21"/>
      <c r="F118" s="21"/>
      <c r="G118" s="70">
        <f>SUM(J115:J117)</f>
        <v>3842</v>
      </c>
      <c r="H118" s="28"/>
      <c r="I118" s="15"/>
      <c r="J118" s="67"/>
      <c r="K118" s="10"/>
      <c r="L118" s="16"/>
      <c r="M118" s="1"/>
      <c r="N118" s="1"/>
      <c r="O118" s="11"/>
      <c r="P118" s="4"/>
      <c r="Q118" s="2"/>
      <c r="R118" s="33"/>
      <c r="S118" s="37"/>
    </row>
    <row r="119" spans="1:19" s="3" customFormat="1" ht="19.5" customHeight="1" x14ac:dyDescent="0.2">
      <c r="C119" s="19"/>
      <c r="D119" s="21"/>
      <c r="E119" s="21"/>
      <c r="F119" s="21"/>
      <c r="G119" s="29"/>
      <c r="H119" s="28"/>
      <c r="I119" s="244"/>
      <c r="J119" s="67"/>
      <c r="K119" s="245"/>
      <c r="L119" s="16"/>
      <c r="M119" s="1"/>
      <c r="N119" s="1"/>
      <c r="O119" s="11"/>
      <c r="P119" s="4"/>
      <c r="Q119" s="2"/>
      <c r="R119" s="33"/>
      <c r="S119" s="37"/>
    </row>
    <row r="120" spans="1:19" s="3" customFormat="1" ht="19.5" customHeight="1" x14ac:dyDescent="0.2">
      <c r="C120" s="19"/>
      <c r="D120" s="21"/>
      <c r="E120" s="21"/>
      <c r="F120" s="21"/>
      <c r="G120" s="29"/>
      <c r="H120" s="28"/>
      <c r="I120" s="15"/>
      <c r="J120" s="243"/>
      <c r="K120" s="10"/>
      <c r="L120" s="16"/>
      <c r="M120" s="1"/>
      <c r="N120" s="1"/>
      <c r="O120" s="11"/>
      <c r="P120" s="4"/>
      <c r="Q120" s="2"/>
      <c r="R120" s="33"/>
      <c r="S120" s="37"/>
    </row>
    <row r="121" spans="1:19" s="3" customFormat="1" ht="19.5" customHeight="1" x14ac:dyDescent="0.2">
      <c r="C121" s="19"/>
      <c r="D121" s="21"/>
      <c r="E121" s="21"/>
      <c r="F121" s="21"/>
      <c r="G121" s="29"/>
      <c r="H121" s="28"/>
      <c r="I121" s="15"/>
      <c r="J121" s="15"/>
      <c r="K121" s="10"/>
      <c r="L121" s="16"/>
      <c r="M121" s="1"/>
      <c r="N121" s="1"/>
      <c r="O121" s="11"/>
      <c r="P121" s="4"/>
      <c r="Q121" s="2"/>
      <c r="R121" s="33"/>
      <c r="S121" s="37"/>
    </row>
    <row r="122" spans="1:19" s="3" customFormat="1" ht="19.5" customHeight="1" x14ac:dyDescent="0.2">
      <c r="C122" s="19"/>
      <c r="D122" s="51"/>
      <c r="E122" s="263" t="s">
        <v>28</v>
      </c>
      <c r="F122" s="264"/>
      <c r="G122" s="265"/>
      <c r="H122" s="24"/>
      <c r="I122" s="24"/>
      <c r="J122" s="39"/>
      <c r="K122" s="20"/>
      <c r="L122" s="52"/>
      <c r="M122" s="1"/>
      <c r="N122" s="1"/>
      <c r="O122" s="11"/>
      <c r="P122" s="4"/>
      <c r="Q122" s="2"/>
      <c r="R122" s="33"/>
      <c r="S122" s="37"/>
    </row>
    <row r="123" spans="1:19" s="3" customFormat="1" ht="19.5" customHeight="1" x14ac:dyDescent="0.2">
      <c r="A123" s="54" t="s">
        <v>103</v>
      </c>
      <c r="B123" s="250" t="s">
        <v>290</v>
      </c>
      <c r="C123" s="116">
        <v>14</v>
      </c>
      <c r="D123" s="112">
        <f>+D116+1</f>
        <v>71</v>
      </c>
      <c r="E123" s="72" t="s">
        <v>27</v>
      </c>
      <c r="F123" s="72" t="s">
        <v>27</v>
      </c>
      <c r="G123" s="175" t="s">
        <v>47</v>
      </c>
      <c r="H123" s="227">
        <v>1</v>
      </c>
      <c r="I123" s="227">
        <v>2705</v>
      </c>
      <c r="J123" s="190">
        <f t="shared" ref="J123:J140" si="15">H123*I123</f>
        <v>2705</v>
      </c>
      <c r="K123" s="25"/>
      <c r="L123" s="73" t="s">
        <v>48</v>
      </c>
      <c r="M123" s="1"/>
      <c r="N123" s="262" t="s">
        <v>291</v>
      </c>
      <c r="O123" s="254">
        <v>46016</v>
      </c>
      <c r="P123" s="132"/>
      <c r="Q123" s="258">
        <v>45677</v>
      </c>
      <c r="R123" s="138">
        <v>45678</v>
      </c>
      <c r="S123" s="37"/>
    </row>
    <row r="124" spans="1:19" s="3" customFormat="1" ht="19.5" customHeight="1" x14ac:dyDescent="0.2">
      <c r="A124" s="54" t="s">
        <v>103</v>
      </c>
      <c r="B124" s="250" t="s">
        <v>290</v>
      </c>
      <c r="C124" s="116">
        <v>14</v>
      </c>
      <c r="D124" s="112">
        <f>+D123+1</f>
        <v>72</v>
      </c>
      <c r="E124" s="74" t="s">
        <v>49</v>
      </c>
      <c r="F124" s="74" t="s">
        <v>27</v>
      </c>
      <c r="G124" s="161" t="s">
        <v>229</v>
      </c>
      <c r="H124" s="86">
        <v>1</v>
      </c>
      <c r="I124" s="215">
        <v>1611</v>
      </c>
      <c r="J124" s="192">
        <f t="shared" si="15"/>
        <v>1611</v>
      </c>
      <c r="K124" s="59"/>
      <c r="L124" s="60" t="s">
        <v>50</v>
      </c>
      <c r="N124" s="262" t="s">
        <v>291</v>
      </c>
      <c r="O124" s="254">
        <v>46016</v>
      </c>
      <c r="P124" s="132"/>
      <c r="Q124" s="258">
        <v>45677</v>
      </c>
      <c r="R124" s="138">
        <v>45678</v>
      </c>
      <c r="S124" s="37"/>
    </row>
    <row r="125" spans="1:19" s="3" customFormat="1" ht="19.5" customHeight="1" x14ac:dyDescent="0.2">
      <c r="A125" s="54" t="s">
        <v>103</v>
      </c>
      <c r="B125" s="250" t="s">
        <v>290</v>
      </c>
      <c r="C125" s="116">
        <v>14</v>
      </c>
      <c r="D125" s="112">
        <f>+D124+1</f>
        <v>73</v>
      </c>
      <c r="E125" s="48" t="s">
        <v>27</v>
      </c>
      <c r="F125" s="48" t="s">
        <v>27</v>
      </c>
      <c r="G125" s="176" t="s">
        <v>51</v>
      </c>
      <c r="H125" s="86">
        <v>1</v>
      </c>
      <c r="I125" s="227">
        <v>4906</v>
      </c>
      <c r="J125" s="190">
        <f t="shared" si="15"/>
        <v>4906</v>
      </c>
      <c r="K125" s="20"/>
      <c r="L125" s="42" t="s">
        <v>52</v>
      </c>
      <c r="M125" s="1"/>
      <c r="N125" s="262" t="s">
        <v>291</v>
      </c>
      <c r="O125" s="254">
        <v>46016</v>
      </c>
      <c r="P125" s="132"/>
      <c r="Q125" s="258">
        <v>45677</v>
      </c>
      <c r="R125" s="138">
        <v>45678</v>
      </c>
      <c r="S125" s="37"/>
    </row>
    <row r="126" spans="1:19" s="3" customFormat="1" ht="19.5" customHeight="1" x14ac:dyDescent="0.2">
      <c r="A126" s="54" t="s">
        <v>103</v>
      </c>
      <c r="B126" s="250" t="s">
        <v>290</v>
      </c>
      <c r="C126" s="116">
        <v>14</v>
      </c>
      <c r="D126" s="112">
        <f t="shared" ref="D126:D140" si="16">+D125+1</f>
        <v>74</v>
      </c>
      <c r="E126" s="74" t="s">
        <v>27</v>
      </c>
      <c r="F126" s="74" t="s">
        <v>27</v>
      </c>
      <c r="G126" s="165" t="s">
        <v>53</v>
      </c>
      <c r="H126" s="215">
        <v>1</v>
      </c>
      <c r="I126" s="233">
        <v>208</v>
      </c>
      <c r="J126" s="192">
        <f t="shared" si="15"/>
        <v>208</v>
      </c>
      <c r="K126" s="69"/>
      <c r="L126" s="60" t="s">
        <v>54</v>
      </c>
      <c r="M126" s="1"/>
      <c r="N126" s="262" t="s">
        <v>291</v>
      </c>
      <c r="O126" s="254">
        <v>46016</v>
      </c>
      <c r="P126" s="132"/>
      <c r="Q126" s="258">
        <v>45677</v>
      </c>
      <c r="R126" s="138">
        <v>45678</v>
      </c>
      <c r="S126" s="37"/>
    </row>
    <row r="127" spans="1:19" s="3" customFormat="1" ht="19.5" customHeight="1" x14ac:dyDescent="0.2">
      <c r="A127" s="54" t="s">
        <v>103</v>
      </c>
      <c r="B127" s="250" t="s">
        <v>290</v>
      </c>
      <c r="C127" s="116">
        <v>14</v>
      </c>
      <c r="D127" s="112">
        <f t="shared" si="16"/>
        <v>75</v>
      </c>
      <c r="E127" s="48" t="s">
        <v>27</v>
      </c>
      <c r="F127" s="48" t="s">
        <v>27</v>
      </c>
      <c r="G127" s="172" t="s">
        <v>55</v>
      </c>
      <c r="H127" s="215">
        <v>1</v>
      </c>
      <c r="I127" s="220">
        <v>951</v>
      </c>
      <c r="J127" s="188">
        <f t="shared" si="15"/>
        <v>951</v>
      </c>
      <c r="K127" s="75"/>
      <c r="L127" s="60" t="s">
        <v>56</v>
      </c>
      <c r="M127" s="1"/>
      <c r="N127" s="262" t="s">
        <v>291</v>
      </c>
      <c r="O127" s="254">
        <v>46016</v>
      </c>
      <c r="P127" s="132"/>
      <c r="Q127" s="258">
        <v>45677</v>
      </c>
      <c r="R127" s="138">
        <v>45678</v>
      </c>
      <c r="S127" s="37"/>
    </row>
    <row r="128" spans="1:19" s="3" customFormat="1" ht="19.5" customHeight="1" x14ac:dyDescent="0.2">
      <c r="A128" s="54" t="s">
        <v>103</v>
      </c>
      <c r="B128" s="250" t="s">
        <v>290</v>
      </c>
      <c r="C128" s="116">
        <v>14</v>
      </c>
      <c r="D128" s="112">
        <f t="shared" si="16"/>
        <v>76</v>
      </c>
      <c r="E128" s="48" t="s">
        <v>27</v>
      </c>
      <c r="F128" s="48" t="s">
        <v>27</v>
      </c>
      <c r="G128" s="177" t="s">
        <v>57</v>
      </c>
      <c r="H128" s="228">
        <v>1</v>
      </c>
      <c r="I128" s="234">
        <v>6201</v>
      </c>
      <c r="J128" s="188">
        <f t="shared" si="15"/>
        <v>6201</v>
      </c>
      <c r="K128" s="47"/>
      <c r="L128" s="42" t="s">
        <v>58</v>
      </c>
      <c r="M128" s="1"/>
      <c r="N128" s="262" t="s">
        <v>291</v>
      </c>
      <c r="O128" s="254">
        <v>46016</v>
      </c>
      <c r="P128" s="132"/>
      <c r="Q128" s="258">
        <v>45677</v>
      </c>
      <c r="R128" s="138">
        <v>45678</v>
      </c>
      <c r="S128" s="37"/>
    </row>
    <row r="129" spans="1:19" s="3" customFormat="1" ht="19.5" customHeight="1" x14ac:dyDescent="0.2">
      <c r="A129" s="54" t="s">
        <v>103</v>
      </c>
      <c r="B129" s="250" t="s">
        <v>290</v>
      </c>
      <c r="C129" s="116">
        <v>14</v>
      </c>
      <c r="D129" s="112">
        <f t="shared" si="16"/>
        <v>77</v>
      </c>
      <c r="E129" s="48" t="s">
        <v>27</v>
      </c>
      <c r="F129" s="48" t="s">
        <v>27</v>
      </c>
      <c r="G129" s="177" t="s">
        <v>59</v>
      </c>
      <c r="H129" s="228">
        <v>1</v>
      </c>
      <c r="I129" s="234">
        <v>5373</v>
      </c>
      <c r="J129" s="188">
        <f t="shared" si="15"/>
        <v>5373</v>
      </c>
      <c r="K129" s="47"/>
      <c r="L129" s="42" t="s">
        <v>60</v>
      </c>
      <c r="M129" s="1"/>
      <c r="N129" s="262" t="s">
        <v>291</v>
      </c>
      <c r="O129" s="254">
        <v>46016</v>
      </c>
      <c r="P129" s="132"/>
      <c r="Q129" s="258">
        <v>45677</v>
      </c>
      <c r="R129" s="138">
        <v>45678</v>
      </c>
      <c r="S129" s="37"/>
    </row>
    <row r="130" spans="1:19" s="3" customFormat="1" ht="19.5" customHeight="1" x14ac:dyDescent="0.2">
      <c r="A130" s="54" t="s">
        <v>29</v>
      </c>
      <c r="B130" s="250" t="s">
        <v>290</v>
      </c>
      <c r="C130" s="116">
        <v>14</v>
      </c>
      <c r="D130" s="112">
        <f>+D129+1</f>
        <v>78</v>
      </c>
      <c r="E130" s="74" t="s">
        <v>27</v>
      </c>
      <c r="F130" s="74" t="s">
        <v>27</v>
      </c>
      <c r="G130" s="165" t="s">
        <v>61</v>
      </c>
      <c r="H130" s="215">
        <v>1</v>
      </c>
      <c r="I130" s="233">
        <v>939</v>
      </c>
      <c r="J130" s="187">
        <f t="shared" si="15"/>
        <v>939</v>
      </c>
      <c r="K130" s="69"/>
      <c r="L130" s="60" t="s">
        <v>62</v>
      </c>
      <c r="M130" s="1"/>
      <c r="N130" s="262" t="s">
        <v>291</v>
      </c>
      <c r="O130" s="254">
        <v>46016</v>
      </c>
      <c r="P130" s="132"/>
      <c r="Q130" s="258">
        <v>45677</v>
      </c>
      <c r="R130" s="138">
        <v>45678</v>
      </c>
      <c r="S130" s="37"/>
    </row>
    <row r="131" spans="1:19" s="3" customFormat="1" ht="19.5" customHeight="1" x14ac:dyDescent="0.2">
      <c r="A131" s="54" t="s">
        <v>30</v>
      </c>
      <c r="B131" s="250" t="s">
        <v>290</v>
      </c>
      <c r="C131" s="116">
        <v>14</v>
      </c>
      <c r="D131" s="112">
        <f t="shared" si="16"/>
        <v>79</v>
      </c>
      <c r="E131" s="48" t="s">
        <v>27</v>
      </c>
      <c r="F131" s="48" t="s">
        <v>27</v>
      </c>
      <c r="G131" s="163" t="s">
        <v>230</v>
      </c>
      <c r="H131" s="86">
        <v>2</v>
      </c>
      <c r="I131" s="230">
        <v>1545</v>
      </c>
      <c r="J131" s="190">
        <f t="shared" si="15"/>
        <v>3090</v>
      </c>
      <c r="K131" s="76"/>
      <c r="L131" s="18" t="s">
        <v>63</v>
      </c>
      <c r="M131" s="1"/>
      <c r="N131" s="262" t="s">
        <v>291</v>
      </c>
      <c r="O131" s="254">
        <v>46016</v>
      </c>
      <c r="P131" s="132"/>
      <c r="Q131" s="258">
        <v>45677</v>
      </c>
      <c r="R131" s="138">
        <v>45678</v>
      </c>
      <c r="S131" s="37"/>
    </row>
    <row r="132" spans="1:19" s="3" customFormat="1" ht="19.5" customHeight="1" x14ac:dyDescent="0.2">
      <c r="A132" s="54" t="s">
        <v>103</v>
      </c>
      <c r="B132" s="250" t="s">
        <v>290</v>
      </c>
      <c r="C132" s="116">
        <v>14</v>
      </c>
      <c r="D132" s="112">
        <f t="shared" si="16"/>
        <v>80</v>
      </c>
      <c r="E132" s="119" t="s">
        <v>64</v>
      </c>
      <c r="F132" s="48" t="s">
        <v>27</v>
      </c>
      <c r="G132" s="182" t="s">
        <v>65</v>
      </c>
      <c r="H132" s="86">
        <v>1</v>
      </c>
      <c r="I132" s="215">
        <v>2560</v>
      </c>
      <c r="J132" s="190">
        <f t="shared" si="15"/>
        <v>2560</v>
      </c>
      <c r="K132" s="76"/>
      <c r="L132" s="18" t="s">
        <v>66</v>
      </c>
      <c r="M132" s="1"/>
      <c r="N132" s="262" t="s">
        <v>291</v>
      </c>
      <c r="O132" s="254">
        <v>46016</v>
      </c>
      <c r="P132" s="132"/>
      <c r="Q132" s="258">
        <v>45677</v>
      </c>
      <c r="R132" s="138">
        <v>45678</v>
      </c>
      <c r="S132" s="37"/>
    </row>
    <row r="133" spans="1:19" s="3" customFormat="1" ht="19.5" customHeight="1" x14ac:dyDescent="0.2">
      <c r="A133" s="54" t="s">
        <v>103</v>
      </c>
      <c r="B133" s="250" t="s">
        <v>290</v>
      </c>
      <c r="C133" s="116">
        <v>14</v>
      </c>
      <c r="D133" s="112">
        <f t="shared" si="16"/>
        <v>81</v>
      </c>
      <c r="E133" s="48" t="s">
        <v>64</v>
      </c>
      <c r="F133" s="48" t="s">
        <v>27</v>
      </c>
      <c r="G133" s="160" t="s">
        <v>67</v>
      </c>
      <c r="H133" s="228">
        <v>1</v>
      </c>
      <c r="I133" s="215">
        <v>2950</v>
      </c>
      <c r="J133" s="190">
        <f t="shared" si="15"/>
        <v>2950</v>
      </c>
      <c r="K133" s="76"/>
      <c r="L133" s="18" t="s">
        <v>68</v>
      </c>
      <c r="M133" s="1"/>
      <c r="N133" s="262" t="s">
        <v>291</v>
      </c>
      <c r="O133" s="254">
        <v>46016</v>
      </c>
      <c r="P133" s="132"/>
      <c r="Q133" s="258">
        <v>45677</v>
      </c>
      <c r="R133" s="138">
        <v>45678</v>
      </c>
      <c r="S133" s="37"/>
    </row>
    <row r="134" spans="1:19" s="3" customFormat="1" ht="19.5" customHeight="1" x14ac:dyDescent="0.2">
      <c r="A134" s="54" t="s">
        <v>103</v>
      </c>
      <c r="B134" s="250" t="s">
        <v>290</v>
      </c>
      <c r="C134" s="116">
        <v>14</v>
      </c>
      <c r="D134" s="112">
        <f t="shared" si="16"/>
        <v>82</v>
      </c>
      <c r="E134" s="48" t="s">
        <v>64</v>
      </c>
      <c r="F134" s="48" t="s">
        <v>27</v>
      </c>
      <c r="G134" s="160" t="s">
        <v>69</v>
      </c>
      <c r="H134" s="228">
        <v>1</v>
      </c>
      <c r="I134" s="215">
        <v>2950</v>
      </c>
      <c r="J134" s="190">
        <f t="shared" si="15"/>
        <v>2950</v>
      </c>
      <c r="K134" s="76"/>
      <c r="L134" s="18" t="s">
        <v>70</v>
      </c>
      <c r="M134" s="1"/>
      <c r="N134" s="262" t="s">
        <v>291</v>
      </c>
      <c r="O134" s="254">
        <v>46016</v>
      </c>
      <c r="P134" s="132"/>
      <c r="Q134" s="258">
        <v>45677</v>
      </c>
      <c r="R134" s="138">
        <v>45678</v>
      </c>
      <c r="S134" s="37"/>
    </row>
    <row r="135" spans="1:19" s="3" customFormat="1" ht="19.5" customHeight="1" x14ac:dyDescent="0.2">
      <c r="A135" s="54" t="s">
        <v>103</v>
      </c>
      <c r="B135" s="250" t="s">
        <v>290</v>
      </c>
      <c r="C135" s="116">
        <v>14</v>
      </c>
      <c r="D135" s="112">
        <f t="shared" si="16"/>
        <v>83</v>
      </c>
      <c r="E135" s="48" t="s">
        <v>64</v>
      </c>
      <c r="F135" s="48" t="s">
        <v>27</v>
      </c>
      <c r="G135" s="160" t="s">
        <v>71</v>
      </c>
      <c r="H135" s="86">
        <v>1</v>
      </c>
      <c r="I135" s="215">
        <v>2950</v>
      </c>
      <c r="J135" s="190">
        <f t="shared" si="15"/>
        <v>2950</v>
      </c>
      <c r="K135" s="76"/>
      <c r="L135" s="18" t="s">
        <v>72</v>
      </c>
      <c r="M135" s="1"/>
      <c r="N135" s="262" t="s">
        <v>291</v>
      </c>
      <c r="O135" s="254">
        <v>46016</v>
      </c>
      <c r="P135" s="132"/>
      <c r="Q135" s="258">
        <v>45677</v>
      </c>
      <c r="R135" s="138">
        <v>45678</v>
      </c>
      <c r="S135" s="37"/>
    </row>
    <row r="136" spans="1:19" s="3" customFormat="1" ht="19.5" customHeight="1" x14ac:dyDescent="0.2">
      <c r="A136" s="54" t="s">
        <v>103</v>
      </c>
      <c r="B136" s="250" t="s">
        <v>290</v>
      </c>
      <c r="C136" s="116">
        <v>14</v>
      </c>
      <c r="D136" s="112">
        <f t="shared" si="16"/>
        <v>84</v>
      </c>
      <c r="E136" s="48" t="s">
        <v>64</v>
      </c>
      <c r="F136" s="48" t="s">
        <v>27</v>
      </c>
      <c r="G136" s="160" t="s">
        <v>73</v>
      </c>
      <c r="H136" s="86">
        <v>1</v>
      </c>
      <c r="I136" s="215">
        <v>2950</v>
      </c>
      <c r="J136" s="190">
        <f>H136*I136</f>
        <v>2950</v>
      </c>
      <c r="K136" s="76"/>
      <c r="L136" s="18" t="s">
        <v>74</v>
      </c>
      <c r="M136" s="1"/>
      <c r="N136" s="262" t="s">
        <v>291</v>
      </c>
      <c r="O136" s="254">
        <v>46016</v>
      </c>
      <c r="P136" s="132"/>
      <c r="Q136" s="258">
        <v>45677</v>
      </c>
      <c r="R136" s="138">
        <v>45678</v>
      </c>
      <c r="S136" s="37"/>
    </row>
    <row r="137" spans="1:19" s="3" customFormat="1" ht="19.5" customHeight="1" x14ac:dyDescent="0.2">
      <c r="A137" s="54" t="s">
        <v>103</v>
      </c>
      <c r="B137" s="250" t="s">
        <v>290</v>
      </c>
      <c r="C137" s="116">
        <v>14</v>
      </c>
      <c r="D137" s="112">
        <f t="shared" si="16"/>
        <v>85</v>
      </c>
      <c r="E137" s="48" t="s">
        <v>64</v>
      </c>
      <c r="F137" s="48" t="s">
        <v>27</v>
      </c>
      <c r="G137" s="160" t="s">
        <v>75</v>
      </c>
      <c r="H137" s="86">
        <v>1</v>
      </c>
      <c r="I137" s="215">
        <v>4000</v>
      </c>
      <c r="J137" s="190">
        <f>H137*I137</f>
        <v>4000</v>
      </c>
      <c r="K137" s="76"/>
      <c r="L137" s="18" t="s">
        <v>76</v>
      </c>
      <c r="M137" s="1"/>
      <c r="N137" s="262" t="s">
        <v>291</v>
      </c>
      <c r="O137" s="254">
        <v>46016</v>
      </c>
      <c r="P137" s="132"/>
      <c r="Q137" s="258">
        <v>45677</v>
      </c>
      <c r="R137" s="138">
        <v>45678</v>
      </c>
      <c r="S137" s="37"/>
    </row>
    <row r="138" spans="1:19" s="3" customFormat="1" ht="19.5" customHeight="1" x14ac:dyDescent="0.2">
      <c r="A138" s="54" t="s">
        <v>103</v>
      </c>
      <c r="B138" s="250" t="s">
        <v>290</v>
      </c>
      <c r="C138" s="116">
        <v>14</v>
      </c>
      <c r="D138" s="112">
        <f t="shared" si="16"/>
        <v>86</v>
      </c>
      <c r="E138" s="48" t="s">
        <v>64</v>
      </c>
      <c r="F138" s="48" t="s">
        <v>27</v>
      </c>
      <c r="G138" s="160" t="s">
        <v>77</v>
      </c>
      <c r="H138" s="86">
        <v>1</v>
      </c>
      <c r="I138" s="215">
        <v>4000</v>
      </c>
      <c r="J138" s="190">
        <f>H138*I138</f>
        <v>4000</v>
      </c>
      <c r="K138" s="76"/>
      <c r="L138" s="18" t="s">
        <v>78</v>
      </c>
      <c r="M138" s="1"/>
      <c r="N138" s="262" t="s">
        <v>291</v>
      </c>
      <c r="O138" s="254">
        <v>46016</v>
      </c>
      <c r="P138" s="132"/>
      <c r="Q138" s="258">
        <v>45677</v>
      </c>
      <c r="R138" s="138">
        <v>45678</v>
      </c>
      <c r="S138" s="37"/>
    </row>
    <row r="139" spans="1:19" s="3" customFormat="1" ht="19.5" customHeight="1" x14ac:dyDescent="0.2">
      <c r="A139" s="54" t="s">
        <v>103</v>
      </c>
      <c r="B139" s="250" t="s">
        <v>290</v>
      </c>
      <c r="C139" s="116">
        <v>14</v>
      </c>
      <c r="D139" s="112">
        <f t="shared" si="16"/>
        <v>87</v>
      </c>
      <c r="E139" s="48" t="s">
        <v>27</v>
      </c>
      <c r="F139" s="48" t="s">
        <v>27</v>
      </c>
      <c r="G139" s="210" t="s">
        <v>264</v>
      </c>
      <c r="H139" s="86">
        <v>1</v>
      </c>
      <c r="I139" s="227">
        <v>9631</v>
      </c>
      <c r="J139" s="190">
        <f t="shared" si="15"/>
        <v>9631</v>
      </c>
      <c r="K139" s="47"/>
      <c r="L139" s="42" t="s">
        <v>265</v>
      </c>
      <c r="M139" s="1"/>
      <c r="N139" s="262" t="s">
        <v>291</v>
      </c>
      <c r="O139" s="254">
        <v>46016</v>
      </c>
      <c r="P139" s="132"/>
      <c r="Q139" s="258">
        <v>45677</v>
      </c>
      <c r="R139" s="138">
        <v>45678</v>
      </c>
      <c r="S139" s="37"/>
    </row>
    <row r="140" spans="1:19" s="3" customFormat="1" ht="19.5" customHeight="1" x14ac:dyDescent="0.2">
      <c r="A140" s="110" t="s">
        <v>228</v>
      </c>
      <c r="B140" s="250" t="s">
        <v>290</v>
      </c>
      <c r="C140" s="116">
        <v>14</v>
      </c>
      <c r="D140" s="112">
        <f t="shared" si="16"/>
        <v>88</v>
      </c>
      <c r="E140" s="48" t="s">
        <v>27</v>
      </c>
      <c r="F140" s="48" t="s">
        <v>27</v>
      </c>
      <c r="G140" s="161" t="s">
        <v>227</v>
      </c>
      <c r="H140" s="86">
        <v>1</v>
      </c>
      <c r="I140" s="227">
        <v>31598</v>
      </c>
      <c r="J140" s="190">
        <f t="shared" si="15"/>
        <v>31598</v>
      </c>
      <c r="K140" s="20"/>
      <c r="L140" s="42" t="s">
        <v>79</v>
      </c>
      <c r="M140" s="1"/>
      <c r="N140" s="262" t="s">
        <v>291</v>
      </c>
      <c r="O140" s="254">
        <v>46016</v>
      </c>
      <c r="P140" s="132"/>
      <c r="Q140" s="258">
        <v>45677</v>
      </c>
      <c r="R140" s="138">
        <v>45678</v>
      </c>
      <c r="S140" s="37"/>
    </row>
    <row r="141" spans="1:19" s="3" customFormat="1" ht="19.5" customHeight="1" x14ac:dyDescent="0.2">
      <c r="A141" s="54" t="s">
        <v>103</v>
      </c>
      <c r="B141" s="250" t="s">
        <v>290</v>
      </c>
      <c r="C141" s="116">
        <v>14</v>
      </c>
      <c r="D141" s="112">
        <f>+D140+1</f>
        <v>89</v>
      </c>
      <c r="E141" s="74" t="s">
        <v>80</v>
      </c>
      <c r="F141" s="74" t="s">
        <v>27</v>
      </c>
      <c r="G141" s="165" t="s">
        <v>81</v>
      </c>
      <c r="H141" s="215">
        <v>5</v>
      </c>
      <c r="I141" s="233">
        <v>177</v>
      </c>
      <c r="J141" s="187">
        <f t="shared" ref="J141:J150" si="17">H141*I141</f>
        <v>885</v>
      </c>
      <c r="K141" s="69"/>
      <c r="L141" s="60" t="s">
        <v>82</v>
      </c>
      <c r="M141" s="1"/>
      <c r="N141" s="262" t="s">
        <v>291</v>
      </c>
      <c r="O141" s="254">
        <v>46016</v>
      </c>
      <c r="P141" s="132"/>
      <c r="Q141" s="258">
        <v>45677</v>
      </c>
      <c r="R141" s="138">
        <v>45678</v>
      </c>
      <c r="S141" s="37"/>
    </row>
    <row r="142" spans="1:19" s="3" customFormat="1" ht="19.5" customHeight="1" x14ac:dyDescent="0.2">
      <c r="A142" s="54" t="s">
        <v>30</v>
      </c>
      <c r="B142" s="250" t="s">
        <v>290</v>
      </c>
      <c r="C142" s="116">
        <v>14</v>
      </c>
      <c r="D142" s="112">
        <f t="shared" ref="D142:D154" si="18">+D141+1</f>
        <v>90</v>
      </c>
      <c r="E142" s="48" t="s">
        <v>27</v>
      </c>
      <c r="F142" s="48" t="s">
        <v>27</v>
      </c>
      <c r="G142" s="177" t="s">
        <v>83</v>
      </c>
      <c r="H142" s="86">
        <v>4</v>
      </c>
      <c r="I142" s="234">
        <v>332</v>
      </c>
      <c r="J142" s="188">
        <f t="shared" si="17"/>
        <v>1328</v>
      </c>
      <c r="K142" s="20"/>
      <c r="L142" s="18" t="s">
        <v>84</v>
      </c>
      <c r="M142" s="1"/>
      <c r="N142" s="262" t="s">
        <v>291</v>
      </c>
      <c r="O142" s="254">
        <v>46016</v>
      </c>
      <c r="P142" s="132"/>
      <c r="Q142" s="258">
        <v>45677</v>
      </c>
      <c r="R142" s="138">
        <v>45678</v>
      </c>
      <c r="S142" s="37"/>
    </row>
    <row r="143" spans="1:19" s="3" customFormat="1" ht="19.5" customHeight="1" x14ac:dyDescent="0.2">
      <c r="A143" s="54" t="s">
        <v>29</v>
      </c>
      <c r="B143" s="250" t="s">
        <v>290</v>
      </c>
      <c r="C143" s="116">
        <v>14</v>
      </c>
      <c r="D143" s="112">
        <f t="shared" si="18"/>
        <v>91</v>
      </c>
      <c r="E143" s="109" t="s">
        <v>85</v>
      </c>
      <c r="F143" s="109" t="s">
        <v>85</v>
      </c>
      <c r="G143" s="178" t="s">
        <v>86</v>
      </c>
      <c r="H143" s="229">
        <v>10</v>
      </c>
      <c r="I143" s="241">
        <v>14</v>
      </c>
      <c r="J143" s="196">
        <f t="shared" si="17"/>
        <v>140</v>
      </c>
      <c r="K143" s="108"/>
      <c r="L143" s="107" t="s">
        <v>87</v>
      </c>
      <c r="M143" s="1"/>
      <c r="N143" s="262" t="s">
        <v>291</v>
      </c>
      <c r="O143" s="254">
        <v>46016</v>
      </c>
      <c r="P143" s="132"/>
      <c r="Q143" s="258">
        <v>45677</v>
      </c>
      <c r="R143" s="138">
        <v>45678</v>
      </c>
      <c r="S143" s="37"/>
    </row>
    <row r="144" spans="1:19" s="3" customFormat="1" ht="19.5" customHeight="1" x14ac:dyDescent="0.2">
      <c r="A144" s="54" t="s">
        <v>103</v>
      </c>
      <c r="B144" s="250" t="s">
        <v>290</v>
      </c>
      <c r="C144" s="116">
        <v>14</v>
      </c>
      <c r="D144" s="112">
        <f t="shared" si="18"/>
        <v>92</v>
      </c>
      <c r="E144" s="119" t="s">
        <v>88</v>
      </c>
      <c r="F144" s="48" t="s">
        <v>85</v>
      </c>
      <c r="G144" s="163" t="s">
        <v>89</v>
      </c>
      <c r="H144" s="86">
        <v>16</v>
      </c>
      <c r="I144" s="86">
        <v>125</v>
      </c>
      <c r="J144" s="188">
        <f>H144*I144</f>
        <v>2000</v>
      </c>
      <c r="K144" s="47"/>
      <c r="L144" s="42" t="s">
        <v>90</v>
      </c>
      <c r="M144" s="1"/>
      <c r="N144" s="262" t="s">
        <v>291</v>
      </c>
      <c r="O144" s="254">
        <v>46016</v>
      </c>
      <c r="P144" s="132"/>
      <c r="Q144" s="258">
        <v>45677</v>
      </c>
      <c r="R144" s="138">
        <v>45678</v>
      </c>
      <c r="S144" s="37"/>
    </row>
    <row r="145" spans="1:19" s="3" customFormat="1" ht="19.5" customHeight="1" x14ac:dyDescent="0.2">
      <c r="A145" s="54" t="s">
        <v>103</v>
      </c>
      <c r="B145" s="250" t="s">
        <v>290</v>
      </c>
      <c r="C145" s="116">
        <v>14</v>
      </c>
      <c r="D145" s="112">
        <f t="shared" si="18"/>
        <v>93</v>
      </c>
      <c r="E145" s="48" t="s">
        <v>88</v>
      </c>
      <c r="F145" s="48" t="s">
        <v>85</v>
      </c>
      <c r="G145" s="163" t="s">
        <v>91</v>
      </c>
      <c r="H145" s="86">
        <v>4</v>
      </c>
      <c r="I145" s="86">
        <v>54</v>
      </c>
      <c r="J145" s="188">
        <f>H145*I145</f>
        <v>216</v>
      </c>
      <c r="K145" s="19"/>
      <c r="L145" s="42" t="s">
        <v>92</v>
      </c>
      <c r="M145" s="1"/>
      <c r="N145" s="262" t="s">
        <v>291</v>
      </c>
      <c r="O145" s="254">
        <v>46016</v>
      </c>
      <c r="P145" s="132"/>
      <c r="Q145" s="258">
        <v>45677</v>
      </c>
      <c r="R145" s="138">
        <v>45678</v>
      </c>
      <c r="S145" s="37"/>
    </row>
    <row r="146" spans="1:19" s="3" customFormat="1" ht="19.5" customHeight="1" x14ac:dyDescent="0.2">
      <c r="A146" s="54" t="s">
        <v>103</v>
      </c>
      <c r="B146" s="250" t="s">
        <v>290</v>
      </c>
      <c r="C146" s="116">
        <v>14</v>
      </c>
      <c r="D146" s="112">
        <f t="shared" si="18"/>
        <v>94</v>
      </c>
      <c r="E146" s="48" t="s">
        <v>88</v>
      </c>
      <c r="F146" s="48" t="s">
        <v>85</v>
      </c>
      <c r="G146" s="163" t="s">
        <v>93</v>
      </c>
      <c r="H146" s="86">
        <v>4</v>
      </c>
      <c r="I146" s="86">
        <v>194</v>
      </c>
      <c r="J146" s="188">
        <f>H146*I146</f>
        <v>776</v>
      </c>
      <c r="K146" s="47"/>
      <c r="L146" s="42" t="s">
        <v>94</v>
      </c>
      <c r="M146" s="1"/>
      <c r="N146" s="262" t="s">
        <v>291</v>
      </c>
      <c r="O146" s="254">
        <v>46016</v>
      </c>
      <c r="P146" s="132"/>
      <c r="Q146" s="258">
        <v>45677</v>
      </c>
      <c r="R146" s="138">
        <v>45678</v>
      </c>
      <c r="S146" s="37"/>
    </row>
    <row r="147" spans="1:19" s="3" customFormat="1" ht="19.5" customHeight="1" x14ac:dyDescent="0.2">
      <c r="A147" s="54" t="s">
        <v>103</v>
      </c>
      <c r="B147" s="250" t="s">
        <v>290</v>
      </c>
      <c r="C147" s="116">
        <v>14</v>
      </c>
      <c r="D147" s="112">
        <f t="shared" si="18"/>
        <v>95</v>
      </c>
      <c r="E147" s="48" t="s">
        <v>88</v>
      </c>
      <c r="F147" s="48" t="s">
        <v>85</v>
      </c>
      <c r="G147" s="163" t="s">
        <v>95</v>
      </c>
      <c r="H147" s="86">
        <v>6</v>
      </c>
      <c r="I147" s="86">
        <v>138</v>
      </c>
      <c r="J147" s="188">
        <f t="shared" si="17"/>
        <v>828</v>
      </c>
      <c r="K147" s="19"/>
      <c r="L147" s="42" t="s">
        <v>96</v>
      </c>
      <c r="M147" s="1"/>
      <c r="N147" s="262" t="s">
        <v>291</v>
      </c>
      <c r="O147" s="254">
        <v>46016</v>
      </c>
      <c r="P147" s="132"/>
      <c r="Q147" s="258">
        <v>45677</v>
      </c>
      <c r="R147" s="138">
        <v>45678</v>
      </c>
      <c r="S147" s="37"/>
    </row>
    <row r="148" spans="1:19" s="3" customFormat="1" ht="19.5" customHeight="1" x14ac:dyDescent="0.2">
      <c r="A148" s="54" t="s">
        <v>103</v>
      </c>
      <c r="B148" s="250" t="s">
        <v>290</v>
      </c>
      <c r="C148" s="116">
        <v>14</v>
      </c>
      <c r="D148" s="112">
        <f t="shared" si="18"/>
        <v>96</v>
      </c>
      <c r="E148" s="48" t="s">
        <v>88</v>
      </c>
      <c r="F148" s="48" t="s">
        <v>85</v>
      </c>
      <c r="G148" s="163" t="s">
        <v>97</v>
      </c>
      <c r="H148" s="86">
        <v>3</v>
      </c>
      <c r="I148" s="86">
        <v>464</v>
      </c>
      <c r="J148" s="188">
        <f t="shared" si="17"/>
        <v>1392</v>
      </c>
      <c r="K148" s="19"/>
      <c r="L148" s="42" t="s">
        <v>98</v>
      </c>
      <c r="M148" s="1"/>
      <c r="N148" s="262" t="s">
        <v>291</v>
      </c>
      <c r="O148" s="254">
        <v>46016</v>
      </c>
      <c r="P148" s="132"/>
      <c r="Q148" s="258">
        <v>45677</v>
      </c>
      <c r="R148" s="138">
        <v>45678</v>
      </c>
      <c r="S148" s="37"/>
    </row>
    <row r="149" spans="1:19" s="3" customFormat="1" ht="19.5" customHeight="1" x14ac:dyDescent="0.2">
      <c r="A149" s="54" t="s">
        <v>103</v>
      </c>
      <c r="B149" s="250" t="s">
        <v>290</v>
      </c>
      <c r="C149" s="116">
        <v>14</v>
      </c>
      <c r="D149" s="112">
        <f t="shared" si="18"/>
        <v>97</v>
      </c>
      <c r="E149" s="48" t="s">
        <v>88</v>
      </c>
      <c r="F149" s="48" t="s">
        <v>85</v>
      </c>
      <c r="G149" s="163" t="s">
        <v>99</v>
      </c>
      <c r="H149" s="86">
        <v>5</v>
      </c>
      <c r="I149" s="86">
        <v>141</v>
      </c>
      <c r="J149" s="188">
        <f t="shared" si="17"/>
        <v>705</v>
      </c>
      <c r="K149" s="19"/>
      <c r="L149" s="42" t="s">
        <v>100</v>
      </c>
      <c r="M149" s="1"/>
      <c r="N149" s="262" t="s">
        <v>291</v>
      </c>
      <c r="O149" s="254">
        <v>46016</v>
      </c>
      <c r="P149" s="132"/>
      <c r="Q149" s="258">
        <v>45677</v>
      </c>
      <c r="R149" s="138">
        <v>45678</v>
      </c>
      <c r="S149" s="37"/>
    </row>
    <row r="150" spans="1:19" s="3" customFormat="1" ht="19.5" customHeight="1" x14ac:dyDescent="0.2">
      <c r="A150" s="54" t="s">
        <v>103</v>
      </c>
      <c r="B150" s="250" t="s">
        <v>290</v>
      </c>
      <c r="C150" s="116">
        <v>14</v>
      </c>
      <c r="D150" s="112">
        <f t="shared" si="18"/>
        <v>98</v>
      </c>
      <c r="E150" s="48" t="s">
        <v>88</v>
      </c>
      <c r="F150" s="48" t="s">
        <v>85</v>
      </c>
      <c r="G150" s="163" t="s">
        <v>101</v>
      </c>
      <c r="H150" s="86">
        <v>5</v>
      </c>
      <c r="I150" s="86">
        <v>104</v>
      </c>
      <c r="J150" s="188">
        <f t="shared" si="17"/>
        <v>520</v>
      </c>
      <c r="K150" s="19"/>
      <c r="L150" s="42" t="s">
        <v>102</v>
      </c>
      <c r="M150" s="1"/>
      <c r="N150" s="262" t="s">
        <v>291</v>
      </c>
      <c r="O150" s="254">
        <v>46016</v>
      </c>
      <c r="P150" s="132"/>
      <c r="Q150" s="258">
        <v>45677</v>
      </c>
      <c r="R150" s="138">
        <v>45678</v>
      </c>
      <c r="S150" s="37"/>
    </row>
    <row r="151" spans="1:19" s="3" customFormat="1" ht="19.5" customHeight="1" x14ac:dyDescent="0.2">
      <c r="A151" s="125" t="s">
        <v>29</v>
      </c>
      <c r="B151" s="250" t="s">
        <v>290</v>
      </c>
      <c r="C151" s="116">
        <v>14</v>
      </c>
      <c r="D151" s="112">
        <f t="shared" si="18"/>
        <v>99</v>
      </c>
      <c r="E151" s="137" t="s">
        <v>177</v>
      </c>
      <c r="F151" s="132" t="s">
        <v>27</v>
      </c>
      <c r="G151" s="179" t="s">
        <v>176</v>
      </c>
      <c r="H151" s="230">
        <v>1</v>
      </c>
      <c r="I151" s="230">
        <v>9446</v>
      </c>
      <c r="J151" s="184">
        <f>H151*I151</f>
        <v>9446</v>
      </c>
      <c r="K151" s="134"/>
      <c r="L151" s="52" t="s">
        <v>175</v>
      </c>
      <c r="M151" s="123"/>
      <c r="N151" s="262" t="s">
        <v>291</v>
      </c>
      <c r="O151" s="254">
        <v>46016</v>
      </c>
      <c r="P151" s="132"/>
      <c r="Q151" s="258">
        <v>45677</v>
      </c>
      <c r="R151" s="138">
        <v>45678</v>
      </c>
      <c r="S151" s="121"/>
    </row>
    <row r="152" spans="1:19" s="3" customFormat="1" ht="19.5" customHeight="1" x14ac:dyDescent="0.2">
      <c r="A152" s="125" t="s">
        <v>31</v>
      </c>
      <c r="B152" s="250" t="s">
        <v>290</v>
      </c>
      <c r="C152" s="19">
        <v>13</v>
      </c>
      <c r="D152" s="112">
        <f t="shared" si="18"/>
        <v>100</v>
      </c>
      <c r="E152" s="132" t="s">
        <v>27</v>
      </c>
      <c r="F152" s="132" t="s">
        <v>27</v>
      </c>
      <c r="G152" s="180" t="s">
        <v>174</v>
      </c>
      <c r="H152" s="231">
        <v>1</v>
      </c>
      <c r="I152" s="230">
        <v>6159</v>
      </c>
      <c r="J152" s="185">
        <f>H152*I152</f>
        <v>6159</v>
      </c>
      <c r="K152" s="136"/>
      <c r="L152" s="133" t="s">
        <v>173</v>
      </c>
      <c r="M152" s="123"/>
      <c r="N152" s="262" t="s">
        <v>291</v>
      </c>
      <c r="O152" s="254">
        <v>46016</v>
      </c>
      <c r="P152" s="132"/>
      <c r="Q152" s="258">
        <v>45677</v>
      </c>
      <c r="R152" s="138">
        <v>45678</v>
      </c>
      <c r="S152" s="121"/>
    </row>
    <row r="153" spans="1:19" s="3" customFormat="1" ht="19.5" customHeight="1" x14ac:dyDescent="0.2">
      <c r="A153" s="125" t="s">
        <v>31</v>
      </c>
      <c r="B153" s="250" t="s">
        <v>290</v>
      </c>
      <c r="C153" s="19">
        <v>13</v>
      </c>
      <c r="D153" s="112">
        <f t="shared" si="18"/>
        <v>101</v>
      </c>
      <c r="E153" s="132" t="s">
        <v>27</v>
      </c>
      <c r="F153" s="132" t="s">
        <v>27</v>
      </c>
      <c r="G153" s="181" t="s">
        <v>172</v>
      </c>
      <c r="H153" s="231">
        <v>1</v>
      </c>
      <c r="I153" s="230">
        <v>2470</v>
      </c>
      <c r="J153" s="185">
        <f>H153*I153</f>
        <v>2470</v>
      </c>
      <c r="K153" s="136"/>
      <c r="L153" s="131" t="s">
        <v>171</v>
      </c>
      <c r="M153" s="123"/>
      <c r="N153" s="262" t="s">
        <v>291</v>
      </c>
      <c r="O153" s="254">
        <v>46016</v>
      </c>
      <c r="P153" s="132"/>
      <c r="Q153" s="258">
        <v>45677</v>
      </c>
      <c r="R153" s="138">
        <v>45678</v>
      </c>
      <c r="S153" s="121"/>
    </row>
    <row r="154" spans="1:19" s="3" customFormat="1" ht="19.5" customHeight="1" x14ac:dyDescent="0.2">
      <c r="A154" s="125" t="s">
        <v>30</v>
      </c>
      <c r="B154" s="250" t="s">
        <v>290</v>
      </c>
      <c r="C154" s="19">
        <v>13</v>
      </c>
      <c r="D154" s="112">
        <f t="shared" si="18"/>
        <v>102</v>
      </c>
      <c r="E154" s="21" t="s">
        <v>85</v>
      </c>
      <c r="F154" s="21" t="s">
        <v>85</v>
      </c>
      <c r="G154" s="162" t="s">
        <v>281</v>
      </c>
      <c r="H154" s="222">
        <v>1</v>
      </c>
      <c r="I154" s="86">
        <v>1600</v>
      </c>
      <c r="J154" s="188">
        <f>H154*I154</f>
        <v>1600</v>
      </c>
      <c r="K154" s="47"/>
      <c r="L154" s="60" t="s">
        <v>181</v>
      </c>
      <c r="M154" s="151"/>
      <c r="N154" s="262" t="s">
        <v>291</v>
      </c>
      <c r="O154" s="254">
        <v>46016</v>
      </c>
      <c r="P154" s="132"/>
      <c r="Q154" s="258">
        <v>45677</v>
      </c>
      <c r="R154" s="138">
        <v>45678</v>
      </c>
      <c r="S154" s="121"/>
    </row>
    <row r="155" spans="1:19" s="3" customFormat="1" ht="19.5" customHeight="1" x14ac:dyDescent="0.2">
      <c r="A155" s="120"/>
      <c r="B155" s="120"/>
      <c r="C155" s="125"/>
      <c r="D155" s="132"/>
      <c r="E155" s="21"/>
      <c r="F155" s="21"/>
      <c r="G155" s="38"/>
      <c r="H155" s="45"/>
      <c r="I155" s="19"/>
      <c r="J155" s="43"/>
      <c r="K155" s="47"/>
      <c r="L155" s="60"/>
      <c r="M155" s="152"/>
      <c r="N155" s="123"/>
      <c r="O155" s="129"/>
      <c r="P155" s="124"/>
      <c r="Q155" s="122"/>
      <c r="R155" s="128"/>
      <c r="S155" s="121"/>
    </row>
    <row r="156" spans="1:19" s="3" customFormat="1" ht="19.5" customHeight="1" x14ac:dyDescent="0.2">
      <c r="C156" s="19"/>
      <c r="D156" s="19"/>
      <c r="E156" s="21"/>
      <c r="F156" s="21"/>
      <c r="G156" s="55">
        <f>SUM(J123:J155)</f>
        <v>118038</v>
      </c>
      <c r="H156" s="56"/>
      <c r="I156" s="56"/>
      <c r="J156" s="56"/>
      <c r="K156" s="39"/>
      <c r="L156" s="18"/>
      <c r="M156" s="1"/>
      <c r="N156" s="1"/>
      <c r="O156" s="11"/>
      <c r="P156" s="4"/>
      <c r="Q156" s="2"/>
      <c r="R156" s="33"/>
      <c r="S156" s="37"/>
    </row>
    <row r="157" spans="1:19" s="3" customFormat="1" ht="19.5" customHeight="1" x14ac:dyDescent="0.2">
      <c r="C157" s="19"/>
      <c r="D157" s="21"/>
      <c r="E157" s="21"/>
      <c r="F157" s="21"/>
      <c r="G157" s="29"/>
      <c r="H157" s="28"/>
      <c r="I157" s="15"/>
      <c r="J157" s="15"/>
      <c r="K157" s="10"/>
      <c r="L157" s="16"/>
      <c r="M157" s="1"/>
      <c r="N157" s="1"/>
      <c r="O157" s="11"/>
      <c r="P157" s="4"/>
      <c r="Q157" s="2"/>
      <c r="R157" s="33"/>
      <c r="S157" s="37"/>
    </row>
    <row r="158" spans="1:19" s="3" customFormat="1" ht="19.5" customHeight="1" x14ac:dyDescent="0.2">
      <c r="C158" s="19"/>
      <c r="D158" s="21"/>
      <c r="E158" s="21"/>
      <c r="F158" s="21"/>
      <c r="G158" s="29"/>
      <c r="H158" s="28"/>
      <c r="I158" s="15"/>
      <c r="J158" s="15"/>
      <c r="K158" s="10"/>
      <c r="L158" s="16"/>
      <c r="M158" s="1"/>
      <c r="N158" s="1"/>
      <c r="O158" s="11"/>
      <c r="P158" s="4"/>
      <c r="Q158" s="2"/>
      <c r="R158" s="33"/>
      <c r="S158" s="37"/>
    </row>
    <row r="159" spans="1:19" s="3" customFormat="1" ht="19.5" customHeight="1" x14ac:dyDescent="0.2">
      <c r="A159" s="19"/>
      <c r="B159" s="19"/>
      <c r="C159" s="19"/>
      <c r="D159" s="21"/>
      <c r="E159" s="280" t="s">
        <v>292</v>
      </c>
      <c r="F159" s="281"/>
      <c r="G159" s="282"/>
      <c r="H159" s="28"/>
      <c r="I159" s="15"/>
      <c r="J159" s="15"/>
      <c r="K159" s="283"/>
      <c r="L159" s="16"/>
      <c r="M159" s="1"/>
      <c r="N159" s="1"/>
      <c r="O159" s="11"/>
      <c r="P159" s="4"/>
      <c r="Q159" s="2"/>
      <c r="R159" s="33"/>
      <c r="S159" s="37"/>
    </row>
    <row r="160" spans="1:19" s="3" customFormat="1" ht="19.5" customHeight="1" x14ac:dyDescent="0.2">
      <c r="A160" s="54" t="s">
        <v>29</v>
      </c>
      <c r="B160" s="284" t="s">
        <v>293</v>
      </c>
      <c r="C160" s="54">
        <v>0.01</v>
      </c>
      <c r="D160" s="112">
        <f>+D152+1</f>
        <v>101</v>
      </c>
      <c r="E160" s="285" t="s">
        <v>85</v>
      </c>
      <c r="F160" s="285" t="s">
        <v>85</v>
      </c>
      <c r="G160" s="286" t="s">
        <v>294</v>
      </c>
      <c r="H160" s="287">
        <v>6</v>
      </c>
      <c r="I160" s="288">
        <v>4493</v>
      </c>
      <c r="J160" s="53">
        <f>H160*I160</f>
        <v>26958</v>
      </c>
      <c r="K160" s="283"/>
      <c r="L160" s="289" t="s">
        <v>295</v>
      </c>
      <c r="M160" s="1"/>
      <c r="N160" s="290" t="s">
        <v>296</v>
      </c>
      <c r="O160" s="11">
        <v>46069</v>
      </c>
      <c r="P160" s="4"/>
      <c r="Q160" s="291">
        <v>46072</v>
      </c>
      <c r="R160" s="33">
        <v>46073</v>
      </c>
      <c r="S160" s="37"/>
    </row>
    <row r="161" spans="1:19" s="3" customFormat="1" ht="19.5" customHeight="1" x14ac:dyDescent="0.2">
      <c r="A161" s="54" t="s">
        <v>29</v>
      </c>
      <c r="B161" s="284" t="s">
        <v>293</v>
      </c>
      <c r="C161" s="19"/>
      <c r="D161" s="112">
        <f>+D160+1</f>
        <v>102</v>
      </c>
      <c r="E161" s="285" t="s">
        <v>85</v>
      </c>
      <c r="F161" s="285" t="s">
        <v>85</v>
      </c>
      <c r="G161" s="286" t="s">
        <v>297</v>
      </c>
      <c r="H161" s="287">
        <v>54</v>
      </c>
      <c r="I161" s="288">
        <v>303</v>
      </c>
      <c r="J161" s="53">
        <f t="shared" ref="J161:J171" si="19">H161*I161</f>
        <v>16362</v>
      </c>
      <c r="K161" s="283"/>
      <c r="L161" s="289" t="s">
        <v>298</v>
      </c>
      <c r="M161" s="1"/>
      <c r="N161" s="290" t="s">
        <v>296</v>
      </c>
      <c r="O161" s="11">
        <v>46069</v>
      </c>
      <c r="P161" s="4"/>
      <c r="Q161" s="291">
        <v>46072</v>
      </c>
      <c r="R161" s="33">
        <v>46073</v>
      </c>
      <c r="S161" s="37"/>
    </row>
    <row r="162" spans="1:19" s="3" customFormat="1" ht="19.5" customHeight="1" x14ac:dyDescent="0.2">
      <c r="A162" s="110" t="s">
        <v>30</v>
      </c>
      <c r="B162" s="284" t="s">
        <v>293</v>
      </c>
      <c r="C162" s="19"/>
      <c r="D162" s="112">
        <f t="shared" ref="D162:D171" si="20">+D161+1</f>
        <v>103</v>
      </c>
      <c r="E162" s="285" t="s">
        <v>85</v>
      </c>
      <c r="F162" s="285" t="s">
        <v>85</v>
      </c>
      <c r="G162" s="286" t="s">
        <v>299</v>
      </c>
      <c r="H162" s="287">
        <v>6</v>
      </c>
      <c r="I162" s="288">
        <v>1030</v>
      </c>
      <c r="J162" s="53">
        <f t="shared" si="19"/>
        <v>6180</v>
      </c>
      <c r="K162" s="283"/>
      <c r="L162" s="289" t="s">
        <v>300</v>
      </c>
      <c r="M162" s="1"/>
      <c r="N162" s="290" t="s">
        <v>296</v>
      </c>
      <c r="O162" s="11">
        <v>46069</v>
      </c>
      <c r="P162" s="4"/>
      <c r="Q162" s="291">
        <v>46072</v>
      </c>
      <c r="R162" s="33">
        <v>46073</v>
      </c>
      <c r="S162" s="37"/>
    </row>
    <row r="163" spans="1:19" s="3" customFormat="1" ht="19.5" customHeight="1" x14ac:dyDescent="0.2">
      <c r="A163" s="110" t="s">
        <v>30</v>
      </c>
      <c r="B163" s="284" t="s">
        <v>293</v>
      </c>
      <c r="C163" s="19"/>
      <c r="D163" s="112">
        <f t="shared" si="20"/>
        <v>104</v>
      </c>
      <c r="E163" s="285" t="s">
        <v>85</v>
      </c>
      <c r="F163" s="285" t="s">
        <v>85</v>
      </c>
      <c r="G163" s="286" t="s">
        <v>301</v>
      </c>
      <c r="H163" s="287">
        <v>10</v>
      </c>
      <c r="I163" s="288">
        <v>1170</v>
      </c>
      <c r="J163" s="53">
        <f t="shared" si="19"/>
        <v>11700</v>
      </c>
      <c r="K163" s="283"/>
      <c r="L163" s="289" t="s">
        <v>300</v>
      </c>
      <c r="M163" s="1"/>
      <c r="N163" s="290" t="s">
        <v>296</v>
      </c>
      <c r="O163" s="11">
        <v>46069</v>
      </c>
      <c r="P163" s="4"/>
      <c r="Q163" s="291">
        <v>46072</v>
      </c>
      <c r="R163" s="33">
        <v>46073</v>
      </c>
      <c r="S163" s="37"/>
    </row>
    <row r="164" spans="1:19" s="3" customFormat="1" ht="19.5" customHeight="1" x14ac:dyDescent="0.2">
      <c r="A164" s="110" t="s">
        <v>30</v>
      </c>
      <c r="B164" s="284" t="s">
        <v>293</v>
      </c>
      <c r="C164" s="19"/>
      <c r="D164" s="112">
        <f t="shared" si="20"/>
        <v>105</v>
      </c>
      <c r="E164" s="285" t="s">
        <v>85</v>
      </c>
      <c r="F164" s="285" t="s">
        <v>85</v>
      </c>
      <c r="G164" s="286" t="s">
        <v>302</v>
      </c>
      <c r="H164" s="287">
        <v>4</v>
      </c>
      <c r="I164" s="288">
        <v>2800</v>
      </c>
      <c r="J164" s="53">
        <f t="shared" si="19"/>
        <v>11200</v>
      </c>
      <c r="K164" s="283"/>
      <c r="L164" s="289" t="s">
        <v>300</v>
      </c>
      <c r="M164" s="1"/>
      <c r="N164" s="290" t="s">
        <v>296</v>
      </c>
      <c r="O164" s="11">
        <v>46069</v>
      </c>
      <c r="P164" s="4"/>
      <c r="Q164" s="291">
        <v>46072</v>
      </c>
      <c r="R164" s="33">
        <v>46073</v>
      </c>
      <c r="S164" s="37"/>
    </row>
    <row r="165" spans="1:19" s="3" customFormat="1" ht="19.5" customHeight="1" x14ac:dyDescent="0.2">
      <c r="A165" s="54" t="s">
        <v>29</v>
      </c>
      <c r="B165" s="284" t="s">
        <v>293</v>
      </c>
      <c r="C165" s="19"/>
      <c r="D165" s="112">
        <f t="shared" si="20"/>
        <v>106</v>
      </c>
      <c r="E165" s="285" t="s">
        <v>85</v>
      </c>
      <c r="F165" s="285" t="s">
        <v>85</v>
      </c>
      <c r="G165" s="286" t="s">
        <v>303</v>
      </c>
      <c r="H165" s="287">
        <v>8</v>
      </c>
      <c r="I165" s="288">
        <v>201</v>
      </c>
      <c r="J165" s="53">
        <f t="shared" si="19"/>
        <v>1608</v>
      </c>
      <c r="K165" s="283"/>
      <c r="L165" s="289" t="s">
        <v>304</v>
      </c>
      <c r="M165" s="1"/>
      <c r="N165" s="290" t="s">
        <v>296</v>
      </c>
      <c r="O165" s="11">
        <v>46069</v>
      </c>
      <c r="P165" s="4"/>
      <c r="Q165" s="291">
        <v>46072</v>
      </c>
      <c r="R165" s="33">
        <v>46073</v>
      </c>
      <c r="S165" s="37"/>
    </row>
    <row r="166" spans="1:19" s="3" customFormat="1" ht="19.5" customHeight="1" x14ac:dyDescent="0.2">
      <c r="A166" s="54" t="s">
        <v>29</v>
      </c>
      <c r="B166" s="284" t="s">
        <v>293</v>
      </c>
      <c r="C166" s="19"/>
      <c r="D166" s="112">
        <f t="shared" si="20"/>
        <v>107</v>
      </c>
      <c r="E166" s="285" t="s">
        <v>85</v>
      </c>
      <c r="F166" s="285" t="s">
        <v>85</v>
      </c>
      <c r="G166" s="286" t="s">
        <v>305</v>
      </c>
      <c r="H166" s="287">
        <v>6</v>
      </c>
      <c r="I166" s="288">
        <v>780</v>
      </c>
      <c r="J166" s="53">
        <f t="shared" si="19"/>
        <v>4680</v>
      </c>
      <c r="K166" s="283"/>
      <c r="L166" s="292" t="s">
        <v>306</v>
      </c>
      <c r="M166" s="1"/>
      <c r="N166" s="290" t="s">
        <v>296</v>
      </c>
      <c r="O166" s="11">
        <v>46069</v>
      </c>
      <c r="P166" s="4"/>
      <c r="Q166" s="291">
        <v>46072</v>
      </c>
      <c r="R166" s="33">
        <v>46073</v>
      </c>
      <c r="S166" s="37"/>
    </row>
    <row r="167" spans="1:19" s="3" customFormat="1" ht="19.5" customHeight="1" x14ac:dyDescent="0.2">
      <c r="A167" s="167" t="s">
        <v>307</v>
      </c>
      <c r="B167" s="284" t="s">
        <v>293</v>
      </c>
      <c r="C167" s="19"/>
      <c r="D167" s="112">
        <f t="shared" si="20"/>
        <v>108</v>
      </c>
      <c r="E167" s="119" t="s">
        <v>308</v>
      </c>
      <c r="F167" s="285" t="s">
        <v>85</v>
      </c>
      <c r="G167" s="286" t="s">
        <v>309</v>
      </c>
      <c r="H167" s="287">
        <v>2</v>
      </c>
      <c r="I167" s="288">
        <v>31943</v>
      </c>
      <c r="J167" s="53">
        <f t="shared" si="19"/>
        <v>63886</v>
      </c>
      <c r="K167" s="283"/>
      <c r="L167" s="289" t="s">
        <v>310</v>
      </c>
      <c r="M167" s="1"/>
      <c r="N167" s="290" t="s">
        <v>296</v>
      </c>
      <c r="O167" s="11">
        <v>46069</v>
      </c>
      <c r="P167" s="4"/>
      <c r="Q167" s="291">
        <v>46072</v>
      </c>
      <c r="R167" s="33">
        <v>46073</v>
      </c>
      <c r="S167" s="37"/>
    </row>
    <row r="168" spans="1:19" s="3" customFormat="1" ht="19.5" customHeight="1" x14ac:dyDescent="0.2">
      <c r="A168" s="54" t="s">
        <v>29</v>
      </c>
      <c r="B168" s="284" t="s">
        <v>293</v>
      </c>
      <c r="C168" s="19"/>
      <c r="D168" s="112">
        <f t="shared" si="20"/>
        <v>109</v>
      </c>
      <c r="E168" s="285" t="s">
        <v>85</v>
      </c>
      <c r="F168" s="285" t="s">
        <v>85</v>
      </c>
      <c r="G168" s="286" t="s">
        <v>311</v>
      </c>
      <c r="H168" s="287">
        <v>72</v>
      </c>
      <c r="I168" s="288">
        <v>61</v>
      </c>
      <c r="J168" s="53">
        <f t="shared" si="19"/>
        <v>4392</v>
      </c>
      <c r="K168" s="283"/>
      <c r="L168" s="289" t="s">
        <v>312</v>
      </c>
      <c r="M168" s="1"/>
      <c r="N168" s="290" t="s">
        <v>296</v>
      </c>
      <c r="O168" s="11">
        <v>46069</v>
      </c>
      <c r="P168" s="4"/>
      <c r="Q168" s="291">
        <v>46072</v>
      </c>
      <c r="R168" s="33">
        <v>46073</v>
      </c>
      <c r="S168" s="37"/>
    </row>
    <row r="169" spans="1:19" s="3" customFormat="1" ht="19.5" customHeight="1" x14ac:dyDescent="0.2">
      <c r="A169" s="54" t="s">
        <v>29</v>
      </c>
      <c r="B169" s="284" t="s">
        <v>293</v>
      </c>
      <c r="C169" s="19"/>
      <c r="D169" s="112">
        <f t="shared" si="20"/>
        <v>110</v>
      </c>
      <c r="E169" s="285" t="s">
        <v>85</v>
      </c>
      <c r="F169" s="285" t="s">
        <v>85</v>
      </c>
      <c r="G169" s="286" t="s">
        <v>313</v>
      </c>
      <c r="H169" s="287">
        <v>16</v>
      </c>
      <c r="I169" s="288">
        <v>90</v>
      </c>
      <c r="J169" s="53">
        <f t="shared" si="19"/>
        <v>1440</v>
      </c>
      <c r="K169" s="283"/>
      <c r="L169" s="289" t="s">
        <v>314</v>
      </c>
      <c r="M169" s="1"/>
      <c r="N169" s="290" t="s">
        <v>296</v>
      </c>
      <c r="O169" s="11">
        <v>46069</v>
      </c>
      <c r="P169" s="4"/>
      <c r="Q169" s="291">
        <v>46072</v>
      </c>
      <c r="R169" s="33">
        <v>46073</v>
      </c>
      <c r="S169" s="37"/>
    </row>
    <row r="170" spans="1:19" s="3" customFormat="1" ht="19.5" customHeight="1" x14ac:dyDescent="0.2">
      <c r="A170" s="54" t="s">
        <v>29</v>
      </c>
      <c r="B170" s="284" t="s">
        <v>293</v>
      </c>
      <c r="C170" s="19"/>
      <c r="D170" s="112">
        <f t="shared" si="20"/>
        <v>111</v>
      </c>
      <c r="E170" s="285" t="s">
        <v>85</v>
      </c>
      <c r="F170" s="285" t="s">
        <v>85</v>
      </c>
      <c r="G170" s="286" t="s">
        <v>315</v>
      </c>
      <c r="H170" s="287">
        <v>72</v>
      </c>
      <c r="I170" s="288">
        <v>41</v>
      </c>
      <c r="J170" s="53">
        <f t="shared" si="19"/>
        <v>2952</v>
      </c>
      <c r="K170" s="283"/>
      <c r="L170" s="289" t="s">
        <v>316</v>
      </c>
      <c r="M170" s="1"/>
      <c r="N170" s="290" t="s">
        <v>296</v>
      </c>
      <c r="O170" s="11">
        <v>46069</v>
      </c>
      <c r="P170" s="4"/>
      <c r="Q170" s="291">
        <v>46072</v>
      </c>
      <c r="R170" s="33">
        <v>46073</v>
      </c>
      <c r="S170" s="37"/>
    </row>
    <row r="171" spans="1:19" s="3" customFormat="1" ht="19.5" customHeight="1" x14ac:dyDescent="0.2">
      <c r="A171" s="167" t="s">
        <v>307</v>
      </c>
      <c r="B171" s="284" t="s">
        <v>293</v>
      </c>
      <c r="C171" s="19"/>
      <c r="D171" s="112">
        <f t="shared" si="20"/>
        <v>112</v>
      </c>
      <c r="E171" s="119" t="s">
        <v>308</v>
      </c>
      <c r="F171" s="285" t="s">
        <v>85</v>
      </c>
      <c r="G171" s="286" t="s">
        <v>317</v>
      </c>
      <c r="H171" s="287">
        <v>2</v>
      </c>
      <c r="I171" s="288">
        <v>31943</v>
      </c>
      <c r="J171" s="53">
        <f t="shared" si="19"/>
        <v>63886</v>
      </c>
      <c r="K171" s="283"/>
      <c r="L171" s="289" t="s">
        <v>318</v>
      </c>
      <c r="M171" s="1"/>
      <c r="N171" s="290" t="s">
        <v>296</v>
      </c>
      <c r="O171" s="11">
        <v>46069</v>
      </c>
      <c r="P171" s="4"/>
      <c r="Q171" s="291">
        <v>46072</v>
      </c>
      <c r="R171" s="33">
        <v>46073</v>
      </c>
      <c r="S171" s="37"/>
    </row>
    <row r="172" spans="1:19" s="3" customFormat="1" ht="19.649999999999999" customHeight="1" x14ac:dyDescent="0.2">
      <c r="A172" s="19"/>
      <c r="B172" s="19"/>
      <c r="C172" s="19"/>
      <c r="D172" s="21"/>
      <c r="E172" s="68"/>
      <c r="F172" s="68"/>
      <c r="G172" s="42"/>
      <c r="H172" s="293"/>
      <c r="I172" s="294"/>
      <c r="J172" s="53"/>
      <c r="K172" s="295"/>
      <c r="L172" s="60"/>
      <c r="M172" s="66"/>
      <c r="N172" s="66"/>
      <c r="O172" s="33"/>
      <c r="P172" s="51"/>
      <c r="Q172" s="90"/>
      <c r="R172" s="33"/>
      <c r="S172" s="22"/>
    </row>
    <row r="173" spans="1:19" s="3" customFormat="1" ht="19.649999999999999" customHeight="1" x14ac:dyDescent="0.2">
      <c r="A173" s="19"/>
      <c r="B173" s="19"/>
      <c r="C173" s="19"/>
      <c r="D173" s="21"/>
      <c r="E173" s="68"/>
      <c r="F173" s="68"/>
      <c r="G173" s="42"/>
      <c r="H173" s="293"/>
      <c r="I173" s="294"/>
      <c r="J173" s="53"/>
      <c r="K173" s="295"/>
      <c r="L173" s="60"/>
      <c r="M173" s="66"/>
      <c r="N173" s="66"/>
      <c r="O173" s="33"/>
      <c r="P173" s="51"/>
      <c r="Q173" s="90"/>
      <c r="R173" s="33"/>
      <c r="S173" s="22"/>
    </row>
    <row r="174" spans="1:19" s="3" customFormat="1" ht="19.649999999999999" customHeight="1" x14ac:dyDescent="0.2">
      <c r="A174" s="19"/>
      <c r="B174" s="19"/>
      <c r="C174" s="19"/>
      <c r="D174" s="21"/>
      <c r="E174" s="68"/>
      <c r="F174" s="68"/>
      <c r="G174" s="70">
        <f>SUM(J160:J171)</f>
        <v>215244</v>
      </c>
      <c r="H174" s="293"/>
      <c r="I174" s="294"/>
      <c r="J174" s="53"/>
      <c r="K174" s="295"/>
      <c r="L174" s="60"/>
      <c r="M174" s="66"/>
      <c r="N174" s="66"/>
      <c r="O174" s="33"/>
      <c r="P174" s="51"/>
      <c r="Q174" s="90"/>
      <c r="R174" s="33"/>
      <c r="S174" s="22"/>
    </row>
    <row r="175" spans="1:19" s="3" customFormat="1" ht="19.5" customHeight="1" x14ac:dyDescent="0.2">
      <c r="C175" s="19"/>
      <c r="D175" s="21"/>
      <c r="E175" s="21"/>
      <c r="F175" s="21"/>
      <c r="G175" s="29"/>
      <c r="H175" s="28"/>
      <c r="I175" s="15"/>
      <c r="J175" s="15"/>
      <c r="K175" s="10"/>
      <c r="L175" s="16"/>
      <c r="M175" s="1"/>
      <c r="N175" s="1"/>
      <c r="O175" s="11"/>
      <c r="P175" s="4"/>
      <c r="Q175" s="2"/>
      <c r="R175" s="33"/>
      <c r="S175" s="37"/>
    </row>
    <row r="176" spans="1:19" s="3" customFormat="1" ht="19.5" customHeight="1" x14ac:dyDescent="0.2">
      <c r="C176" s="19"/>
      <c r="D176" s="21"/>
      <c r="E176" s="21"/>
      <c r="F176" s="21"/>
      <c r="G176" s="29"/>
      <c r="H176" s="28"/>
      <c r="I176" s="15"/>
      <c r="J176" s="15"/>
      <c r="K176" s="10"/>
      <c r="L176" s="16"/>
      <c r="M176" s="1"/>
      <c r="N176" s="1"/>
      <c r="O176" s="11"/>
      <c r="P176" s="4"/>
      <c r="Q176" s="2"/>
      <c r="R176" s="33"/>
      <c r="S176" s="37"/>
    </row>
    <row r="177" spans="3:19" s="3" customFormat="1" ht="19.5" customHeight="1" x14ac:dyDescent="0.2">
      <c r="C177" s="19"/>
      <c r="D177" s="21"/>
      <c r="E177" s="21"/>
      <c r="F177" s="21"/>
      <c r="G177" s="29"/>
      <c r="H177" s="28"/>
      <c r="I177" s="15"/>
      <c r="J177" s="15"/>
      <c r="K177" s="10"/>
      <c r="L177" s="16"/>
      <c r="M177" s="1"/>
      <c r="N177" s="1"/>
      <c r="O177" s="11"/>
      <c r="P177" s="4"/>
      <c r="Q177" s="2"/>
      <c r="R177" s="33"/>
      <c r="S177" s="37"/>
    </row>
    <row r="178" spans="3:19" s="3" customFormat="1" ht="19.5" customHeight="1" x14ac:dyDescent="0.2">
      <c r="C178" s="19"/>
      <c r="D178" s="21"/>
      <c r="E178" s="21"/>
      <c r="F178" s="21"/>
      <c r="G178" s="29"/>
      <c r="H178" s="28"/>
      <c r="I178" s="15"/>
      <c r="J178" s="15"/>
      <c r="K178" s="10"/>
      <c r="L178" s="16"/>
      <c r="M178" s="1"/>
      <c r="N178" s="1"/>
      <c r="O178" s="11"/>
      <c r="P178" s="4"/>
      <c r="Q178" s="2"/>
      <c r="R178" s="33"/>
      <c r="S178" s="37"/>
    </row>
    <row r="179" spans="3:19" s="3" customFormat="1" ht="19.5" customHeight="1" x14ac:dyDescent="0.2">
      <c r="C179" s="19"/>
      <c r="D179" s="21"/>
      <c r="E179" s="21"/>
      <c r="F179" s="21"/>
      <c r="G179" s="29"/>
      <c r="H179" s="28"/>
      <c r="I179" s="15"/>
      <c r="J179" s="15"/>
      <c r="K179" s="10"/>
      <c r="L179" s="16"/>
      <c r="M179" s="1"/>
      <c r="N179" s="1"/>
      <c r="O179" s="11"/>
      <c r="P179" s="4"/>
      <c r="Q179" s="2"/>
      <c r="R179" s="33"/>
      <c r="S179" s="37"/>
    </row>
    <row r="180" spans="3:19" s="3" customFormat="1" ht="19.5" customHeight="1" x14ac:dyDescent="0.2">
      <c r="C180" s="19"/>
      <c r="D180" s="21"/>
      <c r="E180" s="21"/>
      <c r="F180" s="21"/>
      <c r="G180" s="29"/>
      <c r="H180" s="28"/>
      <c r="I180" s="15"/>
      <c r="J180" s="15"/>
      <c r="K180" s="10"/>
      <c r="L180" s="16"/>
      <c r="M180" s="1"/>
      <c r="N180" s="1"/>
      <c r="O180" s="11"/>
      <c r="P180" s="4"/>
      <c r="Q180" s="2"/>
      <c r="R180" s="33"/>
      <c r="S180" s="37"/>
    </row>
    <row r="181" spans="3:19" s="3" customFormat="1" ht="19.5" customHeight="1" x14ac:dyDescent="0.2">
      <c r="C181" s="19"/>
      <c r="D181" s="21"/>
      <c r="E181" s="21"/>
      <c r="F181" s="21"/>
      <c r="G181" s="29"/>
      <c r="H181" s="28"/>
      <c r="I181" s="15"/>
      <c r="J181" s="15"/>
      <c r="K181" s="10"/>
      <c r="L181" s="16"/>
      <c r="M181" s="1"/>
      <c r="N181" s="1"/>
      <c r="O181" s="11"/>
      <c r="P181" s="4"/>
      <c r="Q181" s="2"/>
      <c r="R181" s="33"/>
      <c r="S181" s="37"/>
    </row>
    <row r="182" spans="3:19" s="3" customFormat="1" ht="19.5" customHeight="1" x14ac:dyDescent="0.2">
      <c r="C182" s="19"/>
      <c r="D182" s="21"/>
      <c r="E182" s="21"/>
      <c r="F182" s="21"/>
      <c r="G182" s="29"/>
      <c r="H182" s="28"/>
      <c r="I182" s="15"/>
      <c r="J182" s="15"/>
      <c r="K182" s="10"/>
      <c r="L182" s="16"/>
      <c r="M182" s="1"/>
      <c r="N182" s="1"/>
      <c r="O182" s="11"/>
      <c r="P182" s="4"/>
      <c r="Q182" s="2"/>
      <c r="R182" s="33"/>
      <c r="S182" s="37"/>
    </row>
    <row r="183" spans="3:19" s="3" customFormat="1" ht="19.5" customHeight="1" x14ac:dyDescent="0.2">
      <c r="C183" s="19"/>
      <c r="D183" s="21"/>
      <c r="E183" s="21"/>
      <c r="F183" s="21"/>
      <c r="G183" s="29"/>
      <c r="H183" s="28"/>
      <c r="I183" s="15"/>
      <c r="J183" s="15"/>
      <c r="K183" s="10"/>
      <c r="L183" s="16"/>
      <c r="M183" s="1"/>
      <c r="N183" s="1"/>
      <c r="O183" s="11"/>
      <c r="P183" s="4"/>
      <c r="Q183" s="2"/>
      <c r="R183" s="33"/>
      <c r="S183" s="37"/>
    </row>
    <row r="184" spans="3:19" s="3" customFormat="1" ht="19.5" customHeight="1" x14ac:dyDescent="0.2">
      <c r="C184" s="19"/>
      <c r="D184" s="21"/>
      <c r="E184" s="21"/>
      <c r="F184" s="21"/>
      <c r="G184" s="29"/>
      <c r="H184" s="28"/>
      <c r="I184" s="15"/>
      <c r="J184" s="15"/>
      <c r="K184" s="10"/>
      <c r="L184" s="16"/>
      <c r="M184" s="1"/>
      <c r="N184" s="1"/>
      <c r="O184" s="11"/>
      <c r="P184" s="4"/>
      <c r="Q184" s="2"/>
      <c r="R184" s="33"/>
      <c r="S184" s="37"/>
    </row>
    <row r="185" spans="3:19" s="3" customFormat="1" ht="19.5" customHeight="1" x14ac:dyDescent="0.2">
      <c r="C185" s="19"/>
      <c r="D185" s="21"/>
      <c r="E185" s="21"/>
      <c r="F185" s="21"/>
      <c r="G185" s="29"/>
      <c r="H185" s="28"/>
      <c r="I185" s="15"/>
      <c r="J185" s="15"/>
      <c r="K185" s="10"/>
      <c r="L185" s="16"/>
      <c r="M185" s="1"/>
      <c r="N185" s="1"/>
      <c r="O185" s="11"/>
      <c r="P185" s="4"/>
      <c r="Q185" s="2"/>
      <c r="R185" s="33"/>
      <c r="S185" s="37"/>
    </row>
    <row r="186" spans="3:19" s="3" customFormat="1" ht="19.5" customHeight="1" x14ac:dyDescent="0.2">
      <c r="C186" s="19"/>
      <c r="D186" s="21"/>
      <c r="E186" s="21"/>
      <c r="F186" s="21"/>
      <c r="G186" s="29"/>
      <c r="H186" s="28"/>
      <c r="I186" s="15"/>
      <c r="J186" s="15"/>
      <c r="K186" s="10"/>
      <c r="L186" s="16"/>
      <c r="M186" s="1"/>
      <c r="N186" s="1"/>
      <c r="O186" s="11"/>
      <c r="P186" s="4"/>
      <c r="Q186" s="2"/>
      <c r="R186" s="33"/>
      <c r="S186" s="37"/>
    </row>
    <row r="187" spans="3:19" s="3" customFormat="1" ht="19.5" customHeight="1" x14ac:dyDescent="0.2">
      <c r="C187" s="19"/>
      <c r="D187" s="21"/>
      <c r="E187" s="21"/>
      <c r="F187" s="21"/>
      <c r="G187" s="29"/>
      <c r="H187" s="28"/>
      <c r="I187" s="15"/>
      <c r="J187" s="15"/>
      <c r="K187" s="10"/>
      <c r="L187" s="16"/>
      <c r="M187" s="1"/>
      <c r="N187" s="1"/>
      <c r="O187" s="11"/>
      <c r="P187" s="4"/>
      <c r="Q187" s="2"/>
      <c r="R187" s="33"/>
      <c r="S187" s="37"/>
    </row>
    <row r="188" spans="3:19" s="3" customFormat="1" ht="19.5" customHeight="1" x14ac:dyDescent="0.2">
      <c r="C188" s="19"/>
      <c r="D188" s="21"/>
      <c r="E188" s="21"/>
      <c r="F188" s="21"/>
      <c r="G188" s="29"/>
      <c r="H188" s="28"/>
      <c r="I188" s="15"/>
      <c r="J188" s="15"/>
      <c r="K188" s="10"/>
      <c r="L188" s="16"/>
      <c r="M188" s="1"/>
      <c r="N188" s="1"/>
      <c r="O188" s="11"/>
      <c r="P188" s="4"/>
      <c r="Q188" s="2"/>
      <c r="R188" s="33"/>
      <c r="S188" s="37"/>
    </row>
    <row r="189" spans="3:19" ht="18" customHeight="1" x14ac:dyDescent="0.2">
      <c r="C189" s="19"/>
      <c r="D189" s="1"/>
      <c r="E189" s="4"/>
      <c r="F189" s="4"/>
      <c r="G189" s="12"/>
      <c r="H189" s="13"/>
      <c r="I189" s="13"/>
      <c r="J189" s="15"/>
      <c r="K189" s="2"/>
      <c r="L189" s="12"/>
      <c r="M189" s="6"/>
      <c r="N189" s="1"/>
      <c r="O189" s="11"/>
      <c r="P189" s="17"/>
      <c r="Q189" s="2"/>
      <c r="R189" s="33"/>
      <c r="S189" s="22"/>
    </row>
    <row r="190" spans="3:19" ht="18" customHeight="1" x14ac:dyDescent="0.2">
      <c r="C190" s="19"/>
      <c r="D190" s="1"/>
      <c r="E190" s="1"/>
      <c r="F190" s="1"/>
      <c r="G190" s="6" t="s">
        <v>22</v>
      </c>
      <c r="H190" s="15"/>
      <c r="I190" s="15"/>
      <c r="J190" s="15">
        <f>H190*I190</f>
        <v>0</v>
      </c>
      <c r="K190" s="10"/>
      <c r="L190" s="12" t="s">
        <v>23</v>
      </c>
      <c r="M190" s="17"/>
      <c r="N190" s="1"/>
      <c r="O190" s="11"/>
      <c r="P190" s="17"/>
      <c r="Q190" s="2"/>
      <c r="R190" s="33"/>
      <c r="S190" s="37"/>
    </row>
    <row r="191" spans="3:19" ht="18" customHeight="1" x14ac:dyDescent="0.2">
      <c r="C191" s="19"/>
      <c r="D191" s="1"/>
      <c r="E191" s="4"/>
      <c r="F191" s="4"/>
      <c r="G191" s="6" t="s">
        <v>23</v>
      </c>
      <c r="H191" s="15"/>
      <c r="I191" s="15">
        <v>5000</v>
      </c>
      <c r="J191" s="15">
        <f>H191*I191</f>
        <v>0</v>
      </c>
      <c r="K191" s="10"/>
      <c r="L191" s="12" t="s">
        <v>24</v>
      </c>
      <c r="M191" s="17"/>
      <c r="N191" s="1"/>
      <c r="O191" s="1"/>
      <c r="P191" s="17"/>
      <c r="Q191" s="2"/>
      <c r="R191" s="37"/>
      <c r="S191" s="37"/>
    </row>
    <row r="192" spans="3:19" ht="18" customHeight="1" x14ac:dyDescent="0.2">
      <c r="C192" s="19"/>
      <c r="D192" s="1"/>
      <c r="E192" s="4"/>
      <c r="F192" s="4"/>
      <c r="G192" s="6" t="s">
        <v>24</v>
      </c>
      <c r="H192" s="15"/>
      <c r="I192" s="15"/>
      <c r="J192" s="15">
        <f>H192*I192</f>
        <v>0</v>
      </c>
      <c r="K192" s="10"/>
      <c r="L192" s="5"/>
      <c r="M192" s="17"/>
      <c r="N192" s="1"/>
      <c r="O192" s="1"/>
      <c r="P192" s="17"/>
      <c r="Q192" s="2"/>
      <c r="R192" s="37"/>
      <c r="S192" s="37"/>
    </row>
    <row r="193" spans="3:19" ht="18" customHeight="1" x14ac:dyDescent="0.2">
      <c r="C193" s="19"/>
      <c r="D193" s="1"/>
      <c r="E193" s="4"/>
      <c r="F193" s="4"/>
      <c r="G193" s="266"/>
      <c r="H193" s="267"/>
      <c r="I193" s="267"/>
      <c r="J193" s="268"/>
      <c r="K193" s="7"/>
      <c r="L193" s="14"/>
      <c r="M193" s="17"/>
      <c r="N193" s="1"/>
      <c r="O193" s="1"/>
      <c r="P193" s="17"/>
      <c r="Q193" s="2"/>
      <c r="R193" s="37"/>
      <c r="S193" s="37"/>
    </row>
    <row r="194" spans="3:19" ht="18" customHeight="1" x14ac:dyDescent="0.2"/>
    <row r="195" spans="3:19" ht="18" customHeight="1" x14ac:dyDescent="0.2"/>
  </sheetData>
  <autoFilter ref="A10:S156" xr:uid="{45795B11-EA03-4D9F-B7D5-933EB783FCD2}"/>
  <mergeCells count="18">
    <mergeCell ref="D2:F2"/>
    <mergeCell ref="I2:K2"/>
    <mergeCell ref="D3:F3"/>
    <mergeCell ref="D4:F4"/>
    <mergeCell ref="I4:L5"/>
    <mergeCell ref="D5:F5"/>
    <mergeCell ref="H5:H6"/>
    <mergeCell ref="D6:F6"/>
    <mergeCell ref="E114:G114"/>
    <mergeCell ref="E122:G122"/>
    <mergeCell ref="G193:J193"/>
    <mergeCell ref="L7:M7"/>
    <mergeCell ref="E11:G11"/>
    <mergeCell ref="E43:G43"/>
    <mergeCell ref="E59:G59"/>
    <mergeCell ref="E84:G84"/>
    <mergeCell ref="E101:G101"/>
    <mergeCell ref="E159:G159"/>
  </mergeCells>
  <phoneticPr fontId="9"/>
  <dataValidations count="1">
    <dataValidation imeMode="hiragana" allowBlank="1" showInputMessage="1" showErrorMessage="1" sqref="M34:M35 JI34:JI35 TE34:TE35 ADA34:ADA35 AMW34:AMW35 AWS34:AWS35 BGO34:BGO35 BQK34:BQK35 CAG34:CAG35 CKC34:CKC35 CTY34:CTY35 DDU34:DDU35 DNQ34:DNQ35 DXM34:DXM35 EHI34:EHI35 ERE34:ERE35 FBA34:FBA35 FKW34:FKW35 FUS34:FUS35 GEO34:GEO35 GOK34:GOK35 GYG34:GYG35 HIC34:HIC35 HRY34:HRY35 IBU34:IBU35 ILQ34:ILQ35 IVM34:IVM35 JFI34:JFI35 JPE34:JPE35 JZA34:JZA35 KIW34:KIW35 KSS34:KSS35 LCO34:LCO35 LMK34:LMK35 LWG34:LWG35 MGC34:MGC35 MPY34:MPY35 MZU34:MZU35 NJQ34:NJQ35 NTM34:NTM35 ODI34:ODI35 ONE34:ONE35 OXA34:OXA35 PGW34:PGW35 PQS34:PQS35 QAO34:QAO35 QKK34:QKK35 QUG34:QUG35 REC34:REC35 RNY34:RNY35 RXU34:RXU35 SHQ34:SHQ35 SRM34:SRM35 TBI34:TBI35 TLE34:TLE35 TVA34:TVA35 UEW34:UEW35 UOS34:UOS35 UYO34:UYO35 VIK34:VIK35 VSG34:VSG35 WCC34:WCC35 WLY34:WLY35 WVU34:WVU35 WVT95 JH85:JH87 TD85:TD87 ACZ85:ACZ87 AMV85:AMV87 AWR85:AWR87 BGN85:BGN87 BQJ85:BQJ87 CAF85:CAF87 CKB85:CKB87 CTX85:CTX87 DDT85:DDT87 DNP85:DNP87 DXL85:DXL87 EHH85:EHH87 ERD85:ERD87 FAZ85:FAZ87 FKV85:FKV87 FUR85:FUR87 GEN85:GEN87 GOJ85:GOJ87 GYF85:GYF87 HIB85:HIB87 HRX85:HRX87 IBT85:IBT87 ILP85:ILP87 IVL85:IVL87 JFH85:JFH87 JPD85:JPD87 JYZ85:JYZ87 KIV85:KIV87 KSR85:KSR87 LCN85:LCN87 LMJ85:LMJ87 LWF85:LWF87 MGB85:MGB87 MPX85:MPX87 MZT85:MZT87 NJP85:NJP87 NTL85:NTL87 ODH85:ODH87 OND85:OND87 OWZ85:OWZ87 PGV85:PGV87 PQR85:PQR87 QAN85:QAN87 QKJ85:QKJ87 QUF85:QUF87 REB85:REB87 RNX85:RNX87 RXT85:RXT87 SHP85:SHP87 SRL85:SRL87 TBH85:TBH87 TLD85:TLD87 TUZ85:TUZ87 UEV85:UEV87 UOR85:UOR87 UYN85:UYN87 VIJ85:VIJ87 VSF85:VSF87 WCB85:WCB87 WLX85:WLX87 WVT85:WVT87 L72 JH95 TD95 ACZ95 AMV95 AWR95 BGN95 BQJ95 CAF95 CKB95 CTX95 DDT95 DNP95 DXL95 EHH95 ERD95 FAZ95 FKV95 FUR95 GEN95 GOJ95 GYF95 HIB95 HRX95 IBT95 ILP95 IVL95 JFH95 JPD95 JYZ95 KIV95 KSR95 LCN95 LMJ95 LWF95 MGB95 MPX95 MZT95 NJP95 NTL95 ODH95 OND95 OWZ95 PGV95 PQR95 QAN95 QKJ95 QUF95 REB95 RNX95 RXT95 SHP95 SRL95 TBH95 TLD95 TUZ95 UEV95 UOR95 UYN95 VIJ95 VSF95 WCB95 WLX95 L87 WVU38 WLY38 WCC38 VSG38 VIK38 UYO38 UOS38 UEW38 TVA38 TLE38 TBI38 SRM38 SHQ38 RXU38 RNY38 REC38 QUG38 QKK38 QAO38 PQS38 PGW38 OXA38 ONE38 ODI38 NTM38 NJQ38 MZU38 MPY38 MGC38 LWG38 LMK38 LCO38 KSS38 KIW38 JZA38 JPE38 JFI38 IVM38 ILQ38 IBU38 HRY38 HIC38 GYG38 GOK38 GEO38 FUS38 FKW38 FBA38 ERE38 EHI38 DXM38 DNQ38 DDU38 CTY38 CKC38 CAG38 BQK38 BGO38 AWS38 AMW38 ADA38 TE38 JI38 M38" xr:uid="{C563CC26-4982-4166-99BA-501130346745}"/>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0D593-9FB6-409E-B65F-766E11A67462}">
  <dimension ref="A1"/>
  <sheetViews>
    <sheetView workbookViewId="0">
      <selection activeCell="I19" sqref="I19"/>
    </sheetView>
  </sheetViews>
  <sheetFormatPr defaultRowHeight="13.2" x14ac:dyDescent="0.2"/>
  <sheetData/>
  <phoneticPr fontId="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7" sqref="D7"/>
    </sheetView>
  </sheetViews>
  <sheetFormatPr defaultColWidth="11.88671875" defaultRowHeight="13.5" customHeight="1" x14ac:dyDescent="0.2"/>
  <sheetData/>
  <phoneticPr fontId="9"/>
  <printOptions gridLines="1"/>
  <pageMargins left="0.7" right="0.7" top="0.75" bottom="0.75" header="0.3" footer="0.3"/>
  <pageSetup orientation="landscape"/>
  <headerFooter>
    <oddHeader>&amp;L&amp;C&amp;R</oddHeader>
    <oddFooter>&amp;L&amp;C&amp;R</oddFooter>
    <evenHeader>&amp;L&amp;C&amp;R</evenHeader>
    <evenFooter>&amp;L&amp;C&amp;R</even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88671875" defaultRowHeight="13.5" customHeight="1" x14ac:dyDescent="0.2"/>
  <sheetData/>
  <phoneticPr fontId="9"/>
  <printOptions gridLines="1"/>
  <pageMargins left="0.7" right="0.7" top="0.75" bottom="0.75" header="0.3" footer="0.3"/>
  <pageSetup orientation="landscape" r:id="rId1"/>
  <headerFooter>
    <oddHeader>&amp;L&amp;C&amp;R</oddHeader>
    <oddFooter>&amp;L&amp;C&amp;R</oddFooter>
    <evenHeader>&amp;L&amp;C&amp;R</evenHeader>
    <evenFooter>&amp;L&amp;C&amp;R</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SETB0306-A01 (20251225)　③</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h-saito</dc:creator>
  <cp:lastModifiedBy>齋藤 秀昭</cp:lastModifiedBy>
  <dcterms:created xsi:type="dcterms:W3CDTF">2016-05-16T08:05:24Z</dcterms:created>
  <dcterms:modified xsi:type="dcterms:W3CDTF">2026-02-16T06:46:16Z</dcterms:modified>
</cp:coreProperties>
</file>