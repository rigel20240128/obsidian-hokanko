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F07CCDC-9A58-4386-958F-0BEC4FBFC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J2" i="1" s="1"/>
</calcChain>
</file>

<file path=xl/sharedStrings.xml><?xml version="1.0" encoding="utf-8"?>
<sst xmlns="http://schemas.openxmlformats.org/spreadsheetml/2006/main" count="64" uniqueCount="34">
  <si>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</si>
  <si>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</si>
  <si>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</si>
  <si>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</si>
  <si>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</si>
  <si>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</si>
  <si>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</si>
  <si>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</si>
  <si>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</si>
  <si>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</si>
  <si>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</si>
  <si>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</si>
  <si>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</si>
  <si>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</si>
  <si>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</si>
  <si>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</si>
  <si>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</si>
  <si>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</si>
  <si>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</si>
  <si>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</si>
  <si>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</si>
  <si>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</si>
  <si>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吉鶴</t>
    <rPh sb="0" eb="2">
      <t>ヨシヅル</t>
    </rPh>
    <phoneticPr fontId="1"/>
  </si>
  <si>
    <t>JC-3A00-OH3-404015</t>
    <phoneticPr fontId="1"/>
  </si>
  <si>
    <t>荷造り運賃</t>
    <rPh sb="0" eb="2">
      <t>ニヅク</t>
    </rPh>
    <rPh sb="3" eb="5">
      <t>ウンチン</t>
    </rPh>
    <phoneticPr fontId="1"/>
  </si>
  <si>
    <t>ﾌｨｰﾙﾄﾞﾈｯﾄﾜｰｸ増設(EtherNet/IP)</t>
    <phoneticPr fontId="1"/>
  </si>
  <si>
    <t>ティーチングペンダントⅡ(2m)非常停止SW付</t>
    <phoneticPr fontId="1"/>
  </si>
  <si>
    <t>操作ﾎﾞｯｸｽ(2m)初期化/ｵﾌﾟｼｮﾝSW付</t>
    <phoneticPr fontId="1"/>
  </si>
  <si>
    <t>48V電源</t>
    <phoneticPr fontId="1"/>
  </si>
  <si>
    <t>ケーブルキャリアX軸</t>
    <phoneticPr fontId="1"/>
  </si>
  <si>
    <t>ケーブルキャリアY軸</t>
  </si>
  <si>
    <t>JANOME</t>
    <phoneticPr fontId="1"/>
  </si>
  <si>
    <t>発注願います</t>
    <rPh sb="0" eb="3">
      <t>ハッチュウネガ</t>
    </rPh>
    <phoneticPr fontId="1"/>
  </si>
  <si>
    <t>オプトランス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</si>
</sst>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5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8" topLeftCell="P1" activePane="topRight" state="frozen"/>
      <selection pane="topRight" activeCell="U10" sqref="U10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58.75" customWidth="1"/>
    <col min="6" max="6" width="6.25" style="3" customWidth="1"/>
    <col min="7" max="7" width="20.5" style="34" customWidth="1"/>
    <col min="8" max="8" width="11.875" style="23" bestFit="1" customWidth="1"/>
    <col min="9" max="9" width="14.375" style="4" customWidth="1"/>
    <col min="10" max="10" width="35.25" bestFit="1" customWidth="1"/>
    <col min="11" max="11" width="26" customWidth="1"/>
    <col min="12" max="12" width="28.125" style="28" customWidth="1"/>
    <col min="13" max="13" width="13.75" style="25" customWidth="1"/>
    <col min="14" max="14" width="6.375" customWidth="1"/>
    <col min="15" max="15" width="13.25" style="3" customWidth="1"/>
    <col min="16" max="16" width="14.5" style="25" customWidth="1"/>
    <col min="17" max="17" width="15.625" style="22" customWidth="1"/>
  </cols>
  <sheetData>
    <row r="2" spans="2:17" ht="20.100000000000001" customHeight="1" x14ac:dyDescent="0.15">
      <c r="B2" s="39" t="s">
        <v>11</v>
      </c>
      <c r="C2" s="39"/>
      <c r="D2" s="39"/>
      <c r="E2" s="1" t="s">
        <v>33</v>
      </c>
      <c r="G2" s="40" t="s">
        <v>15</v>
      </c>
      <c r="H2" s="41"/>
      <c r="I2" s="42"/>
      <c r="J2" s="2">
        <f>SUM(H:H)</f>
        <v>1064000</v>
      </c>
    </row>
    <row r="3" spans="2:17" ht="20.100000000000001" customHeight="1" x14ac:dyDescent="0.15">
      <c r="B3" s="39" t="s">
        <v>10</v>
      </c>
      <c r="C3" s="39"/>
      <c r="D3" s="39"/>
      <c r="E3" s="5" t="s">
        <v>22</v>
      </c>
      <c r="P3" s="26"/>
    </row>
    <row r="4" spans="2:17" ht="20.100000000000001" customHeight="1" x14ac:dyDescent="0.15">
      <c r="B4" s="39" t="s">
        <v>12</v>
      </c>
      <c r="C4" s="39"/>
      <c r="D4" s="39"/>
      <c r="E4" s="5">
        <v>228734</v>
      </c>
      <c r="I4" s="14"/>
      <c r="J4" s="4"/>
      <c r="K4" s="17"/>
      <c r="L4" s="29"/>
    </row>
    <row r="5" spans="2:17" ht="20.100000000000001" customHeight="1" x14ac:dyDescent="0.15">
      <c r="B5" s="39" t="s">
        <v>13</v>
      </c>
      <c r="C5" s="39"/>
      <c r="D5" s="39"/>
      <c r="E5" s="6">
        <v>45707</v>
      </c>
      <c r="G5" s="35"/>
      <c r="I5" s="20"/>
      <c r="J5" s="14"/>
      <c r="K5" s="19"/>
      <c r="L5" s="30"/>
    </row>
    <row r="6" spans="2:17" ht="20.100000000000001" customHeight="1" x14ac:dyDescent="0.15">
      <c r="B6" s="39" t="s">
        <v>14</v>
      </c>
      <c r="C6" s="39"/>
      <c r="D6" s="39"/>
      <c r="E6" s="6">
        <v>46086</v>
      </c>
      <c r="I6" s="21"/>
      <c r="J6" s="15"/>
      <c r="K6" s="18"/>
      <c r="L6" s="31"/>
    </row>
    <row r="7" spans="2:17" ht="20.100000000000001" customHeight="1" x14ac:dyDescent="0.15">
      <c r="B7" s="7"/>
      <c r="C7" s="7"/>
      <c r="D7" s="7"/>
      <c r="E7" s="13"/>
      <c r="J7" s="14"/>
      <c r="L7" s="32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6" t="s">
        <v>1</v>
      </c>
      <c r="H9" s="24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1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8">
        <v>1</v>
      </c>
      <c r="C10" s="8" t="s">
        <v>31</v>
      </c>
      <c r="D10" s="8" t="s">
        <v>31</v>
      </c>
      <c r="E10" s="37" t="s">
        <v>23</v>
      </c>
      <c r="F10" s="9">
        <v>1</v>
      </c>
      <c r="G10" s="33">
        <v>843000</v>
      </c>
      <c r="H10" s="33">
        <f t="shared" ref="H10:H16" si="0">F10*G10</f>
        <v>843000</v>
      </c>
      <c r="I10" s="10"/>
      <c r="J10" s="37" t="s">
        <v>23</v>
      </c>
      <c r="K10" s="38" t="s">
        <v>32</v>
      </c>
      <c r="L10" s="9"/>
      <c r="M10" s="11">
        <v>45996</v>
      </c>
      <c r="N10" s="8"/>
      <c r="O10" s="16">
        <v>45707</v>
      </c>
      <c r="P10" s="16">
        <v>45707</v>
      </c>
      <c r="Q10" s="12">
        <v>46072</v>
      </c>
    </row>
    <row r="11" spans="2:17" s="3" customFormat="1" ht="19.7" customHeight="1" x14ac:dyDescent="0.15">
      <c r="B11" s="8">
        <v>1</v>
      </c>
      <c r="C11" s="8" t="s">
        <v>31</v>
      </c>
      <c r="D11" s="8" t="s">
        <v>31</v>
      </c>
      <c r="E11" s="37" t="s">
        <v>24</v>
      </c>
      <c r="F11" s="9">
        <v>1</v>
      </c>
      <c r="G11" s="33">
        <v>12000</v>
      </c>
      <c r="H11" s="33">
        <f t="shared" si="0"/>
        <v>12000</v>
      </c>
      <c r="I11" s="10"/>
      <c r="J11" s="37" t="s">
        <v>24</v>
      </c>
      <c r="K11" s="38" t="s">
        <v>32</v>
      </c>
      <c r="L11" s="9"/>
      <c r="M11" s="11">
        <v>45996</v>
      </c>
      <c r="N11" s="8"/>
      <c r="O11" s="16">
        <v>45707</v>
      </c>
      <c r="P11" s="16">
        <v>45707</v>
      </c>
      <c r="Q11" s="12">
        <v>46072</v>
      </c>
    </row>
    <row r="12" spans="2:17" s="3" customFormat="1" ht="19.7" customHeight="1" x14ac:dyDescent="0.15">
      <c r="B12" s="8">
        <v>3</v>
      </c>
      <c r="C12" s="8" t="s">
        <v>31</v>
      </c>
      <c r="D12" s="8" t="s">
        <v>31</v>
      </c>
      <c r="E12" s="37" t="s">
        <v>25</v>
      </c>
      <c r="F12" s="9">
        <v>1</v>
      </c>
      <c r="G12" s="33">
        <v>62000</v>
      </c>
      <c r="H12" s="33">
        <f t="shared" si="0"/>
        <v>62000</v>
      </c>
      <c r="I12" s="10"/>
      <c r="J12" s="37" t="s">
        <v>25</v>
      </c>
      <c r="K12" s="38" t="s">
        <v>32</v>
      </c>
      <c r="L12" s="9"/>
      <c r="M12" s="11">
        <v>45996</v>
      </c>
      <c r="N12" s="8"/>
      <c r="O12" s="16">
        <v>45707</v>
      </c>
      <c r="P12" s="16">
        <v>45707</v>
      </c>
      <c r="Q12" s="12">
        <v>46072</v>
      </c>
    </row>
    <row r="13" spans="2:17" s="3" customFormat="1" ht="19.7" customHeight="1" x14ac:dyDescent="0.15">
      <c r="B13" s="8">
        <v>2</v>
      </c>
      <c r="C13" s="8" t="s">
        <v>31</v>
      </c>
      <c r="D13" s="8" t="s">
        <v>31</v>
      </c>
      <c r="E13" s="37" t="s">
        <v>26</v>
      </c>
      <c r="F13" s="9">
        <v>1</v>
      </c>
      <c r="G13" s="33">
        <v>58000</v>
      </c>
      <c r="H13" s="33">
        <f t="shared" si="0"/>
        <v>58000</v>
      </c>
      <c r="I13" s="10"/>
      <c r="J13" s="37" t="s">
        <v>26</v>
      </c>
      <c r="K13" s="38" t="s">
        <v>32</v>
      </c>
      <c r="L13" s="9"/>
      <c r="M13" s="11">
        <v>45996</v>
      </c>
      <c r="N13" s="8"/>
      <c r="O13" s="16">
        <v>45707</v>
      </c>
      <c r="P13" s="16">
        <v>45707</v>
      </c>
      <c r="Q13" s="12">
        <v>46072</v>
      </c>
    </row>
    <row r="14" spans="2:17" s="3" customFormat="1" ht="19.7" customHeight="1" x14ac:dyDescent="0.15">
      <c r="B14" s="8">
        <v>4</v>
      </c>
      <c r="C14" s="8" t="s">
        <v>31</v>
      </c>
      <c r="D14" s="8" t="s">
        <v>31</v>
      </c>
      <c r="E14" s="37" t="s">
        <v>27</v>
      </c>
      <c r="F14" s="9">
        <v>1</v>
      </c>
      <c r="G14" s="33">
        <v>44000</v>
      </c>
      <c r="H14" s="33">
        <f t="shared" si="0"/>
        <v>44000</v>
      </c>
      <c r="I14" s="9"/>
      <c r="J14" s="37" t="s">
        <v>27</v>
      </c>
      <c r="K14" s="38" t="s">
        <v>32</v>
      </c>
      <c r="L14" s="9"/>
      <c r="M14" s="11">
        <v>45996</v>
      </c>
      <c r="N14" s="8"/>
      <c r="O14" s="16">
        <v>45707</v>
      </c>
      <c r="P14" s="16">
        <v>45707</v>
      </c>
      <c r="Q14" s="12">
        <v>46072</v>
      </c>
    </row>
    <row r="15" spans="2:17" s="3" customFormat="1" ht="19.7" customHeight="1" x14ac:dyDescent="0.15">
      <c r="B15" s="8">
        <v>5</v>
      </c>
      <c r="C15" s="8" t="s">
        <v>31</v>
      </c>
      <c r="D15" s="8" t="s">
        <v>31</v>
      </c>
      <c r="E15" s="37" t="s">
        <v>28</v>
      </c>
      <c r="F15" s="9">
        <v>1</v>
      </c>
      <c r="G15" s="33">
        <v>21000</v>
      </c>
      <c r="H15" s="33">
        <f t="shared" si="0"/>
        <v>21000</v>
      </c>
      <c r="I15" s="9"/>
      <c r="J15" s="37" t="s">
        <v>28</v>
      </c>
      <c r="K15" s="38" t="s">
        <v>32</v>
      </c>
      <c r="L15" s="27"/>
      <c r="M15" s="11">
        <v>45996</v>
      </c>
      <c r="N15" s="8"/>
      <c r="O15" s="16">
        <v>45707</v>
      </c>
      <c r="P15" s="16">
        <v>45707</v>
      </c>
      <c r="Q15" s="12">
        <v>46072</v>
      </c>
    </row>
    <row r="16" spans="2:17" s="3" customFormat="1" ht="19.7" customHeight="1" x14ac:dyDescent="0.15">
      <c r="B16" s="8">
        <v>7</v>
      </c>
      <c r="C16" s="8" t="s">
        <v>31</v>
      </c>
      <c r="D16" s="8" t="s">
        <v>31</v>
      </c>
      <c r="E16" s="37" t="s">
        <v>29</v>
      </c>
      <c r="F16" s="9">
        <v>1</v>
      </c>
      <c r="G16" s="33">
        <v>12000</v>
      </c>
      <c r="H16" s="33">
        <f t="shared" si="0"/>
        <v>12000</v>
      </c>
      <c r="I16" s="9"/>
      <c r="J16" s="37" t="s">
        <v>29</v>
      </c>
      <c r="K16" s="38" t="s">
        <v>32</v>
      </c>
      <c r="L16" s="27"/>
      <c r="M16" s="11">
        <v>45996</v>
      </c>
      <c r="N16" s="8"/>
      <c r="O16" s="16">
        <v>45707</v>
      </c>
      <c r="P16" s="16">
        <v>45707</v>
      </c>
      <c r="Q16" s="12">
        <v>46072</v>
      </c>
    </row>
    <row r="17" spans="2:17" s="3" customFormat="1" ht="19.7" customHeight="1" x14ac:dyDescent="0.15">
      <c r="B17" s="8">
        <v>8</v>
      </c>
      <c r="C17" s="8" t="s">
        <v>31</v>
      </c>
      <c r="D17" s="8" t="s">
        <v>31</v>
      </c>
      <c r="E17" s="37" t="s">
        <v>30</v>
      </c>
      <c r="F17" s="9">
        <v>1</v>
      </c>
      <c r="G17" s="33">
        <v>12000</v>
      </c>
      <c r="H17" s="33">
        <f t="shared" ref="H17" si="1">F17*G17</f>
        <v>12000</v>
      </c>
      <c r="I17" s="9"/>
      <c r="J17" s="37" t="s">
        <v>30</v>
      </c>
      <c r="K17" s="38" t="s">
        <v>32</v>
      </c>
      <c r="L17" s="27"/>
      <c r="M17" s="11">
        <v>45996</v>
      </c>
      <c r="N17" s="8"/>
      <c r="O17" s="16">
        <v>45707</v>
      </c>
      <c r="P17" s="16">
        <v>45707</v>
      </c>
      <c r="Q17" s="12">
        <v>46072</v>
      </c>
    </row>
  </sheetData>
  <autoFilter ref="B9:O14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2026-02-19T06:07:52Z</dcterms:modified>
</cp:coreProperties>
</file>