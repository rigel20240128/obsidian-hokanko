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55F9BF30-2596-4B59-98D6-08A3B5D47C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原価表!$B$9:$O$27</definedName>
  </definedNames>
  <calcPr calcId="181029"/>
  <fileRecoveryPr autoRecover="0"/>
</workbook>
</file>

<file path=xl/calcChain.xml><?xml version="1.0" encoding="utf-8"?>
<calcChain xmlns="http://schemas.openxmlformats.org/spreadsheetml/2006/main">
  <c r="H21" i="1" l="1"/>
  <c r="H22" i="1"/>
  <c r="H23" i="1"/>
  <c r="H24" i="1"/>
  <c r="H10" i="1"/>
  <c r="H11" i="1"/>
  <c r="H12" i="1"/>
  <c r="H13" i="1"/>
  <c r="H14" i="1"/>
  <c r="H15" i="1"/>
  <c r="H16" i="1"/>
  <c r="H17" i="1"/>
  <c r="H18" i="1"/>
  <c r="H19" i="1"/>
  <c r="H20" i="1"/>
  <c r="H26" i="1"/>
  <c r="H25" i="1"/>
  <c r="J2" i="1" l="1"/>
</calcChain>
</file>

<file path=xl/sharedStrings.xml><?xml version="1.0" encoding="utf-8"?>
<sst xmlns="http://schemas.openxmlformats.org/spreadsheetml/2006/main" count="108" uniqueCount="47">
  <si>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</si>
  <si>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</si>
  <si>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</si>
  <si>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</si>
  <si>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</si>
  <si>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</si>
  <si>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</si>
  <si>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</si>
  <si>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</si>
  <si>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</si>
  <si>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</si>
  <si>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</si>
  <si>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</si>
  <si>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</si>
  <si>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</si>
  <si>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</si>
  <si>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</si>
  <si>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</si>
  <si>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</si>
  <si>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</si>
  <si>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</si>
  <si>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</si>
  <si>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MISUMI</t>
    <phoneticPr fontId="1"/>
  </si>
  <si>
    <t>米山</t>
    <rPh sb="0" eb="2">
      <t>ヨネヤマ</t>
    </rPh>
    <phoneticPr fontId="1"/>
  </si>
  <si>
    <t>HBLFSN6-C-SET</t>
  </si>
  <si>
    <t>HFCB6-3030-B</t>
  </si>
  <si>
    <t>SHNTAP6-6</t>
  </si>
  <si>
    <t>■SETA0285-Z01-A(弁ﾌﾟﾚｰﾄ)</t>
  </si>
  <si>
    <t>MVSHM-3N03050-4C6-ZYE4U</t>
  </si>
  <si>
    <t>■SETA0285-Z02-A(ﾎﾟﾝﾌﾟﾍﾞｰｽ)</t>
  </si>
  <si>
    <t>MVBLK-AMW-4C6-D6KXK</t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</si>
  <si>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</si>
  <si>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</si>
  <si>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該当項目なし</t>
    <rPh sb="0" eb="2">
      <t>ガイトウ</t>
    </rPh>
    <rPh sb="2" eb="4">
      <t>コウモク</t>
    </rPh>
    <phoneticPr fontId="1"/>
  </si>
  <si>
    <t>ｱﾙﾐﾌﾚｰﾑｻﾞｲ</t>
  </si>
  <si>
    <t>ﾌﾚｰﾑｷｬｯﾌﾟ (HFC)</t>
  </si>
  <si>
    <t>ｱﾙﾐﾌﾞﾗｹｯﾄｻﾞｲ</t>
  </si>
  <si>
    <t>ｱﾄｲﾚﾅｯﾄ ｲﾀﾊﾞﾈﾂｷ(HNTAP)</t>
  </si>
  <si>
    <t>Web発注済</t>
    <rPh sb="0" eb="6">
      <t>ウェBハッチュウスミ</t>
    </rPh>
    <phoneticPr fontId="1"/>
  </si>
  <si>
    <t>HFS6-3030-370</t>
  </si>
  <si>
    <t>HFS6-3030-390</t>
  </si>
  <si>
    <t>HFS6-3030-540</t>
  </si>
  <si>
    <t>HFS6-3030-797</t>
  </si>
  <si>
    <t>SHNTAP6-5</t>
  </si>
  <si>
    <t>マレリ</t>
    <phoneticPr fontId="1"/>
  </si>
  <si>
    <t>HAJCHPS6-12-SSU</t>
  </si>
  <si>
    <t>ﾌﾟﾚｰﾄﾕﾆｯﾄ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</si>
</sst>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38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right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7"/>
  <sheetViews>
    <sheetView tabSelected="1" zoomScale="85" zoomScaleNormal="85" workbookViewId="0">
      <pane xSplit="10" ySplit="9" topLeftCell="K10" activePane="bottomRight" state="frozen"/>
      <selection pane="topRight" activeCell="K1" sqref="K1"/>
      <selection pane="bottomLeft" activeCell="A9" sqref="A9"/>
      <selection pane="bottomRight"/>
    </sheetView>
  </sheetViews>
  <sheetFormatPr defaultColWidth="9" defaultRowHeight="13.5" x14ac:dyDescent="0.15"/>
  <cols>
    <col min="1" max="1" width="2.625" customWidth="1"/>
    <col min="2" max="2" width="20.125" style="3" bestFit="1" customWidth="1"/>
    <col min="3" max="3" width="14.375" bestFit="1" customWidth="1"/>
    <col min="4" max="4" width="13.125" bestFit="1" customWidth="1"/>
    <col min="5" max="5" width="40.625" customWidth="1"/>
    <col min="6" max="6" width="6.25" style="3" customWidth="1"/>
    <col min="7" max="8" width="9.875" style="16" bestFit="1" customWidth="1"/>
    <col min="9" max="9" width="5.75" style="1" customWidth="1"/>
    <col min="10" max="10" width="35.25" bestFit="1" customWidth="1"/>
    <col min="11" max="11" width="34.625" bestFit="1" customWidth="1"/>
    <col min="12" max="12" width="16.375" style="3" customWidth="1"/>
    <col min="13" max="13" width="13.75" style="4" customWidth="1"/>
    <col min="14" max="14" width="6.375" customWidth="1"/>
    <col min="15" max="15" width="13.25" style="3" customWidth="1"/>
    <col min="16" max="16" width="14.5" style="4" customWidth="1"/>
    <col min="17" max="17" width="15.625" style="23" customWidth="1"/>
  </cols>
  <sheetData>
    <row r="2" spans="2:17" ht="20.100000000000001" customHeight="1" x14ac:dyDescent="0.15">
      <c r="B2" s="26" t="s">
        <v>11</v>
      </c>
      <c r="C2" s="26"/>
      <c r="D2" s="26"/>
      <c r="E2" s="18" t="s">
        <v>44</v>
      </c>
      <c r="G2" s="27" t="s">
        <v>15</v>
      </c>
      <c r="H2" s="28"/>
      <c r="I2" s="29"/>
      <c r="J2" s="2">
        <f>SUM(H:H)</f>
        <v>145036</v>
      </c>
    </row>
    <row r="3" spans="2:17" ht="20.100000000000001" customHeight="1" x14ac:dyDescent="0.15">
      <c r="B3" s="26" t="s">
        <v>10</v>
      </c>
      <c r="C3" s="26"/>
      <c r="D3" s="26"/>
      <c r="E3" s="19" t="s">
        <v>23</v>
      </c>
    </row>
    <row r="4" spans="2:17" ht="20.100000000000001" customHeight="1" x14ac:dyDescent="0.15">
      <c r="B4" s="26" t="s">
        <v>12</v>
      </c>
      <c r="C4" s="26"/>
      <c r="D4" s="26"/>
      <c r="E4" s="19">
        <v>230779</v>
      </c>
      <c r="J4" s="5"/>
    </row>
    <row r="5" spans="2:17" ht="20.100000000000001" customHeight="1" x14ac:dyDescent="0.15">
      <c r="B5" s="26" t="s">
        <v>13</v>
      </c>
      <c r="C5" s="26"/>
      <c r="D5" s="26"/>
      <c r="E5" s="20">
        <v>46094</v>
      </c>
      <c r="J5" s="5"/>
    </row>
    <row r="6" spans="2:17" ht="20.100000000000001" customHeight="1" x14ac:dyDescent="0.15">
      <c r="B6" s="26" t="s">
        <v>14</v>
      </c>
      <c r="C6" s="26"/>
      <c r="D6" s="26"/>
      <c r="E6" s="20">
        <v>46111</v>
      </c>
      <c r="J6" s="5"/>
    </row>
    <row r="7" spans="2:17" ht="20.100000000000001" customHeight="1" x14ac:dyDescent="0.15">
      <c r="B7" s="6"/>
      <c r="C7" s="6"/>
      <c r="D7" s="6"/>
      <c r="E7" s="21"/>
      <c r="J7" s="5"/>
      <c r="L7" s="7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14" t="s">
        <v>1</v>
      </c>
      <c r="H9" s="15" t="s">
        <v>2</v>
      </c>
      <c r="I9" s="10" t="s">
        <v>18</v>
      </c>
      <c r="J9" s="9" t="s">
        <v>3</v>
      </c>
      <c r="K9" s="9" t="s">
        <v>17</v>
      </c>
      <c r="L9" s="9" t="s">
        <v>16</v>
      </c>
      <c r="M9" s="11" t="s">
        <v>6</v>
      </c>
      <c r="N9" s="8" t="s">
        <v>19</v>
      </c>
      <c r="O9" s="9" t="s">
        <v>7</v>
      </c>
      <c r="P9" s="11" t="s">
        <v>20</v>
      </c>
      <c r="Q9" s="12" t="s">
        <v>21</v>
      </c>
    </row>
    <row r="10" spans="2:17" ht="19.5" customHeight="1" x14ac:dyDescent="0.15">
      <c r="B10" s="24">
        <v>9</v>
      </c>
      <c r="C10" s="8" t="s">
        <v>22</v>
      </c>
      <c r="D10" s="8" t="s">
        <v>22</v>
      </c>
      <c r="E10" s="13" t="s">
        <v>28</v>
      </c>
      <c r="F10" s="9">
        <v>10</v>
      </c>
      <c r="G10" s="13">
        <v>2007</v>
      </c>
      <c r="H10" s="17">
        <f t="shared" ref="H10:H24" si="0">F10*G10</f>
        <v>20070</v>
      </c>
      <c r="I10" s="22"/>
      <c r="J10" s="13" t="s">
        <v>27</v>
      </c>
      <c r="K10" s="8" t="s">
        <v>38</v>
      </c>
      <c r="L10" s="9"/>
      <c r="M10" s="11">
        <v>46083</v>
      </c>
      <c r="N10" s="13"/>
      <c r="O10" s="9"/>
      <c r="P10" s="11">
        <v>46094</v>
      </c>
      <c r="Q10" s="12"/>
    </row>
    <row r="11" spans="2:17" ht="19.5" customHeight="1" x14ac:dyDescent="0.15">
      <c r="B11" s="30"/>
      <c r="C11" s="8" t="s">
        <v>22</v>
      </c>
      <c r="D11" s="8" t="s">
        <v>22</v>
      </c>
      <c r="E11" s="13" t="s">
        <v>30</v>
      </c>
      <c r="F11" s="9">
        <v>4</v>
      </c>
      <c r="G11" s="13">
        <v>6025</v>
      </c>
      <c r="H11" s="17">
        <f t="shared" si="0"/>
        <v>24100</v>
      </c>
      <c r="I11" s="22"/>
      <c r="J11" s="13" t="s">
        <v>29</v>
      </c>
      <c r="K11" s="8" t="s">
        <v>38</v>
      </c>
      <c r="L11" s="9"/>
      <c r="M11" s="11">
        <v>46083</v>
      </c>
      <c r="N11" s="13"/>
      <c r="O11" s="9"/>
      <c r="P11" s="11">
        <v>46094</v>
      </c>
      <c r="Q11" s="12"/>
    </row>
    <row r="12" spans="2:17" ht="19.5" customHeight="1" x14ac:dyDescent="0.15">
      <c r="B12" s="30"/>
      <c r="C12" s="8" t="s">
        <v>22</v>
      </c>
      <c r="D12" s="8" t="s">
        <v>22</v>
      </c>
      <c r="E12" s="13" t="s">
        <v>45</v>
      </c>
      <c r="F12" s="9">
        <v>4</v>
      </c>
      <c r="G12" s="13">
        <v>2983</v>
      </c>
      <c r="H12" s="17">
        <f t="shared" si="0"/>
        <v>11932</v>
      </c>
      <c r="I12" s="22"/>
      <c r="J12" s="13" t="s">
        <v>46</v>
      </c>
      <c r="K12" s="8" t="s">
        <v>38</v>
      </c>
      <c r="L12" s="9"/>
      <c r="M12" s="11">
        <v>46083</v>
      </c>
      <c r="N12" s="13"/>
      <c r="O12" s="9"/>
      <c r="P12" s="11">
        <v>46085</v>
      </c>
      <c r="Q12" s="12"/>
    </row>
    <row r="13" spans="2:17" ht="19.5" customHeight="1" x14ac:dyDescent="0.15">
      <c r="B13" s="30"/>
      <c r="C13" s="8" t="s">
        <v>22</v>
      </c>
      <c r="D13" s="8" t="s">
        <v>22</v>
      </c>
      <c r="E13" s="13" t="s">
        <v>24</v>
      </c>
      <c r="F13" s="9">
        <v>78</v>
      </c>
      <c r="G13" s="13">
        <v>196</v>
      </c>
      <c r="H13" s="17">
        <f t="shared" si="0"/>
        <v>15288</v>
      </c>
      <c r="I13" s="22"/>
      <c r="J13" s="13" t="s">
        <v>36</v>
      </c>
      <c r="K13" s="8" t="s">
        <v>38</v>
      </c>
      <c r="L13" s="9"/>
      <c r="M13" s="11">
        <v>46083</v>
      </c>
      <c r="N13" s="13"/>
      <c r="O13" s="9"/>
      <c r="P13" s="11">
        <v>46085</v>
      </c>
      <c r="Q13" s="12"/>
    </row>
    <row r="14" spans="2:17" ht="19.5" customHeight="1" x14ac:dyDescent="0.15">
      <c r="B14" s="30"/>
      <c r="C14" s="8" t="s">
        <v>22</v>
      </c>
      <c r="D14" s="8" t="s">
        <v>22</v>
      </c>
      <c r="E14" s="13" t="s">
        <v>25</v>
      </c>
      <c r="F14" s="9">
        <v>4</v>
      </c>
      <c r="G14" s="13">
        <v>256</v>
      </c>
      <c r="H14" s="17">
        <f t="shared" si="0"/>
        <v>1024</v>
      </c>
      <c r="I14" s="22"/>
      <c r="J14" s="13" t="s">
        <v>35</v>
      </c>
      <c r="K14" s="8" t="s">
        <v>38</v>
      </c>
      <c r="L14" s="9"/>
      <c r="M14" s="11">
        <v>46083</v>
      </c>
      <c r="N14" s="13"/>
      <c r="O14" s="9"/>
      <c r="P14" s="11">
        <v>46085</v>
      </c>
      <c r="Q14" s="12"/>
    </row>
    <row r="15" spans="2:17" ht="19.5" customHeight="1" x14ac:dyDescent="0.15">
      <c r="B15" s="30"/>
      <c r="C15" s="8" t="s">
        <v>22</v>
      </c>
      <c r="D15" s="8" t="s">
        <v>22</v>
      </c>
      <c r="E15" s="13" t="s">
        <v>39</v>
      </c>
      <c r="F15" s="9">
        <v>2</v>
      </c>
      <c r="G15" s="13">
        <v>350</v>
      </c>
      <c r="H15" s="17">
        <f t="shared" si="0"/>
        <v>700</v>
      </c>
      <c r="I15" s="22"/>
      <c r="J15" s="13" t="s">
        <v>34</v>
      </c>
      <c r="K15" s="8" t="s">
        <v>38</v>
      </c>
      <c r="L15" s="9"/>
      <c r="M15" s="11">
        <v>46083</v>
      </c>
      <c r="N15" s="13"/>
      <c r="O15" s="9"/>
      <c r="P15" s="11">
        <v>46085</v>
      </c>
      <c r="Q15" s="12"/>
    </row>
    <row r="16" spans="2:17" ht="19.5" customHeight="1" x14ac:dyDescent="0.15">
      <c r="B16" s="30"/>
      <c r="C16" s="8" t="s">
        <v>22</v>
      </c>
      <c r="D16" s="8" t="s">
        <v>22</v>
      </c>
      <c r="E16" s="13" t="s">
        <v>40</v>
      </c>
      <c r="F16" s="9">
        <v>10</v>
      </c>
      <c r="G16" s="13">
        <v>360</v>
      </c>
      <c r="H16" s="17">
        <f t="shared" si="0"/>
        <v>3600</v>
      </c>
      <c r="I16" s="22"/>
      <c r="J16" s="13" t="s">
        <v>34</v>
      </c>
      <c r="K16" s="8" t="s">
        <v>38</v>
      </c>
      <c r="L16" s="9"/>
      <c r="M16" s="11">
        <v>46083</v>
      </c>
      <c r="N16" s="13"/>
      <c r="O16" s="9"/>
      <c r="P16" s="11">
        <v>46085</v>
      </c>
      <c r="Q16" s="12"/>
    </row>
    <row r="17" spans="2:17" ht="19.5" customHeight="1" x14ac:dyDescent="0.15">
      <c r="B17" s="30"/>
      <c r="C17" s="8" t="s">
        <v>22</v>
      </c>
      <c r="D17" s="8" t="s">
        <v>22</v>
      </c>
      <c r="E17" s="13" t="s">
        <v>41</v>
      </c>
      <c r="F17" s="9">
        <v>10</v>
      </c>
      <c r="G17" s="13">
        <v>500</v>
      </c>
      <c r="H17" s="17">
        <f t="shared" si="0"/>
        <v>5000</v>
      </c>
      <c r="I17" s="22"/>
      <c r="J17" s="13" t="s">
        <v>34</v>
      </c>
      <c r="K17" s="8" t="s">
        <v>38</v>
      </c>
      <c r="L17" s="9"/>
      <c r="M17" s="11">
        <v>46083</v>
      </c>
      <c r="N17" s="13"/>
      <c r="O17" s="9"/>
      <c r="P17" s="11">
        <v>46085</v>
      </c>
      <c r="Q17" s="12"/>
    </row>
    <row r="18" spans="2:17" ht="19.5" customHeight="1" x14ac:dyDescent="0.15">
      <c r="B18" s="30"/>
      <c r="C18" s="8" t="s">
        <v>22</v>
      </c>
      <c r="D18" s="8" t="s">
        <v>22</v>
      </c>
      <c r="E18" s="13" t="s">
        <v>42</v>
      </c>
      <c r="F18" s="9">
        <v>4</v>
      </c>
      <c r="G18" s="13">
        <v>770</v>
      </c>
      <c r="H18" s="17">
        <f t="shared" si="0"/>
        <v>3080</v>
      </c>
      <c r="I18" s="22"/>
      <c r="J18" s="13" t="s">
        <v>34</v>
      </c>
      <c r="K18" s="8" t="s">
        <v>38</v>
      </c>
      <c r="L18" s="9"/>
      <c r="M18" s="11">
        <v>46083</v>
      </c>
      <c r="N18" s="13"/>
      <c r="O18" s="9"/>
      <c r="P18" s="11">
        <v>46085</v>
      </c>
      <c r="Q18" s="12"/>
    </row>
    <row r="19" spans="2:17" ht="19.5" customHeight="1" x14ac:dyDescent="0.15">
      <c r="B19" s="30"/>
      <c r="C19" s="8" t="s">
        <v>22</v>
      </c>
      <c r="D19" s="8" t="s">
        <v>22</v>
      </c>
      <c r="E19" s="13" t="s">
        <v>43</v>
      </c>
      <c r="F19" s="9">
        <v>20</v>
      </c>
      <c r="G19" s="13">
        <v>73</v>
      </c>
      <c r="H19" s="17">
        <f t="shared" si="0"/>
        <v>1460</v>
      </c>
      <c r="I19" s="22"/>
      <c r="J19" s="13" t="s">
        <v>37</v>
      </c>
      <c r="K19" s="8" t="s">
        <v>38</v>
      </c>
      <c r="L19" s="9"/>
      <c r="M19" s="11">
        <v>46083</v>
      </c>
      <c r="N19" s="13"/>
      <c r="O19" s="9"/>
      <c r="P19" s="11">
        <v>46085</v>
      </c>
      <c r="Q19" s="12"/>
    </row>
    <row r="20" spans="2:17" ht="19.5" customHeight="1" x14ac:dyDescent="0.15">
      <c r="B20" s="30"/>
      <c r="C20" s="8" t="s">
        <v>22</v>
      </c>
      <c r="D20" s="8" t="s">
        <v>22</v>
      </c>
      <c r="E20" s="13" t="s">
        <v>26</v>
      </c>
      <c r="F20" s="9">
        <v>8</v>
      </c>
      <c r="G20" s="13">
        <v>73</v>
      </c>
      <c r="H20" s="17">
        <f t="shared" si="0"/>
        <v>584</v>
      </c>
      <c r="I20" s="22"/>
      <c r="J20" s="13" t="s">
        <v>37</v>
      </c>
      <c r="K20" s="8" t="s">
        <v>38</v>
      </c>
      <c r="L20" s="9"/>
      <c r="M20" s="11">
        <v>46083</v>
      </c>
      <c r="N20" s="13"/>
      <c r="O20" s="9"/>
      <c r="P20" s="11">
        <v>46085</v>
      </c>
      <c r="Q20" s="12"/>
    </row>
    <row r="21" spans="2:17" s="38" customFormat="1" ht="19.5" customHeight="1" x14ac:dyDescent="0.15">
      <c r="B21" s="30"/>
      <c r="C21" s="31" t="s">
        <v>22</v>
      </c>
      <c r="D21" s="31" t="s">
        <v>22</v>
      </c>
      <c r="E21" s="32" t="s">
        <v>40</v>
      </c>
      <c r="F21" s="33">
        <v>1</v>
      </c>
      <c r="G21" s="32">
        <v>370</v>
      </c>
      <c r="H21" s="34">
        <f t="shared" si="0"/>
        <v>370</v>
      </c>
      <c r="I21" s="35"/>
      <c r="J21" s="32" t="s">
        <v>34</v>
      </c>
      <c r="K21" s="31" t="s">
        <v>38</v>
      </c>
      <c r="L21" s="33"/>
      <c r="M21" s="36">
        <v>46098</v>
      </c>
      <c r="N21" s="32"/>
      <c r="O21" s="33"/>
      <c r="P21" s="36">
        <v>46100</v>
      </c>
      <c r="Q21" s="37"/>
    </row>
    <row r="22" spans="2:17" s="38" customFormat="1" ht="19.5" customHeight="1" x14ac:dyDescent="0.15">
      <c r="B22" s="30"/>
      <c r="C22" s="31" t="s">
        <v>22</v>
      </c>
      <c r="D22" s="31" t="s">
        <v>22</v>
      </c>
      <c r="E22" s="32" t="s">
        <v>24</v>
      </c>
      <c r="F22" s="33">
        <v>4</v>
      </c>
      <c r="G22" s="32">
        <v>196</v>
      </c>
      <c r="H22" s="34">
        <f t="shared" si="0"/>
        <v>784</v>
      </c>
      <c r="I22" s="35"/>
      <c r="J22" s="32" t="s">
        <v>36</v>
      </c>
      <c r="K22" s="31" t="s">
        <v>38</v>
      </c>
      <c r="L22" s="33"/>
      <c r="M22" s="36">
        <v>46098</v>
      </c>
      <c r="N22" s="32"/>
      <c r="O22" s="33"/>
      <c r="P22" s="36">
        <v>46100</v>
      </c>
      <c r="Q22" s="37"/>
    </row>
    <row r="23" spans="2:17" s="38" customFormat="1" ht="19.5" customHeight="1" x14ac:dyDescent="0.15">
      <c r="B23" s="30"/>
      <c r="C23" s="31" t="s">
        <v>22</v>
      </c>
      <c r="D23" s="31" t="s">
        <v>22</v>
      </c>
      <c r="E23" s="32" t="s">
        <v>43</v>
      </c>
      <c r="F23" s="33">
        <v>6</v>
      </c>
      <c r="G23" s="32">
        <v>73</v>
      </c>
      <c r="H23" s="34">
        <f t="shared" si="0"/>
        <v>438</v>
      </c>
      <c r="I23" s="35"/>
      <c r="J23" s="32" t="s">
        <v>37</v>
      </c>
      <c r="K23" s="31" t="s">
        <v>38</v>
      </c>
      <c r="L23" s="33"/>
      <c r="M23" s="36">
        <v>46098</v>
      </c>
      <c r="N23" s="32"/>
      <c r="O23" s="33"/>
      <c r="P23" s="36">
        <v>46100</v>
      </c>
      <c r="Q23" s="37"/>
    </row>
    <row r="24" spans="2:17" s="38" customFormat="1" ht="19.5" customHeight="1" x14ac:dyDescent="0.15">
      <c r="B24" s="25"/>
      <c r="C24" s="31" t="s">
        <v>22</v>
      </c>
      <c r="D24" s="31" t="s">
        <v>22</v>
      </c>
      <c r="E24" s="32" t="s">
        <v>28</v>
      </c>
      <c r="F24" s="33">
        <v>3</v>
      </c>
      <c r="G24" s="32">
        <v>2202</v>
      </c>
      <c r="H24" s="34">
        <f t="shared" si="0"/>
        <v>6606</v>
      </c>
      <c r="I24" s="35"/>
      <c r="J24" s="32" t="s">
        <v>27</v>
      </c>
      <c r="K24" s="31" t="s">
        <v>38</v>
      </c>
      <c r="L24" s="33"/>
      <c r="M24" s="36">
        <v>46098</v>
      </c>
      <c r="N24" s="32"/>
      <c r="O24" s="33"/>
      <c r="P24" s="36">
        <v>46104</v>
      </c>
      <c r="Q24" s="37"/>
    </row>
    <row r="25" spans="2:17" ht="19.5" customHeight="1" x14ac:dyDescent="0.15">
      <c r="B25" s="24" t="s">
        <v>33</v>
      </c>
      <c r="C25" s="8" t="s">
        <v>22</v>
      </c>
      <c r="D25" s="8" t="s">
        <v>22</v>
      </c>
      <c r="E25" s="13" t="s">
        <v>31</v>
      </c>
      <c r="F25" s="9">
        <v>5</v>
      </c>
      <c r="G25" s="13">
        <v>5000</v>
      </c>
      <c r="H25" s="17">
        <f t="shared" ref="H25:H26" si="1">F25*G25</f>
        <v>25000</v>
      </c>
      <c r="I25" s="22"/>
      <c r="J25" s="13" t="s">
        <v>31</v>
      </c>
      <c r="K25" s="8"/>
      <c r="L25" s="9"/>
      <c r="M25" s="11"/>
      <c r="N25" s="13"/>
      <c r="O25" s="9"/>
      <c r="P25" s="11"/>
      <c r="Q25" s="12"/>
    </row>
    <row r="26" spans="2:17" ht="19.5" customHeight="1" x14ac:dyDescent="0.15">
      <c r="B26" s="25"/>
      <c r="C26" s="8" t="s">
        <v>22</v>
      </c>
      <c r="D26" s="8" t="s">
        <v>22</v>
      </c>
      <c r="E26" s="13" t="s">
        <v>32</v>
      </c>
      <c r="F26" s="9">
        <v>5</v>
      </c>
      <c r="G26" s="13">
        <v>5000</v>
      </c>
      <c r="H26" s="17">
        <f t="shared" si="1"/>
        <v>25000</v>
      </c>
      <c r="I26" s="22"/>
      <c r="J26" s="13" t="s">
        <v>32</v>
      </c>
      <c r="K26" s="8"/>
      <c r="L26" s="9"/>
      <c r="M26" s="11"/>
      <c r="N26" s="13"/>
      <c r="O26" s="9"/>
      <c r="P26" s="11"/>
      <c r="Q26" s="12"/>
    </row>
    <row r="27" spans="2:17" ht="19.5" customHeight="1" x14ac:dyDescent="0.15">
      <c r="B27" s="9"/>
      <c r="C27" s="8"/>
      <c r="D27" s="8"/>
      <c r="E27" s="13"/>
      <c r="F27" s="9"/>
      <c r="G27" s="13"/>
      <c r="H27" s="17"/>
      <c r="I27" s="22"/>
      <c r="J27" s="13"/>
      <c r="K27" s="8"/>
      <c r="L27" s="9"/>
      <c r="M27" s="11"/>
      <c r="N27" s="13"/>
      <c r="O27" s="9"/>
      <c r="P27" s="11"/>
      <c r="Q27" s="12"/>
    </row>
  </sheetData>
  <autoFilter ref="B9:O9" xr:uid="{00000000-0009-0000-0000-000000000000}"/>
  <mergeCells count="8">
    <mergeCell ref="B25:B26"/>
    <mergeCell ref="B6:D6"/>
    <mergeCell ref="G2:I2"/>
    <mergeCell ref="B2:D2"/>
    <mergeCell ref="B3:D3"/>
    <mergeCell ref="B4:D4"/>
    <mergeCell ref="B5:D5"/>
    <mergeCell ref="B10:B24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2021-05-10T06:24:52Z</cp:lastPrinted>
  <dcterms:created xsi:type="dcterms:W3CDTF">2011-12-13T06:48:43Z</dcterms:created>
  <dcterms:modified xsi:type="dcterms:W3CDTF">2026-03-17T01:55:12Z</dcterms:modified>
</cp:coreProperties>
</file>