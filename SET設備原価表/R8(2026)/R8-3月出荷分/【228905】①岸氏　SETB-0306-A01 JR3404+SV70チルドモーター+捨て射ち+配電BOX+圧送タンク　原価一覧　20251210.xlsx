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2B685B4-BB5D-4240-81D8-59A1CC7E7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306-A01 (20251209)　①" sheetId="17" r:id="rId1"/>
    <sheet name="Sheet1" sheetId="13" r:id="rId2"/>
    <sheet name="Sheet2" sheetId="2" r:id="rId3"/>
    <sheet name="Sheet3" sheetId="3" r:id="rId4"/>
  </sheets>
  <definedNames>
    <definedName name="_xlnm._FilterDatabase" localSheetId="0" hidden="1">'SETB0306-A01 (20251209)　①'!$A$10:$S$22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7" l="1"/>
  <c r="J52" i="17"/>
  <c r="J51" i="17"/>
  <c r="J17" i="17"/>
  <c r="J16" i="17"/>
  <c r="J15" i="17"/>
  <c r="J14" i="17"/>
  <c r="J13" i="17"/>
  <c r="D13" i="17"/>
  <c r="D14" i="17" s="1"/>
  <c r="D15" i="17" s="1"/>
  <c r="D16" i="17" s="1"/>
  <c r="D17" i="17" s="1"/>
  <c r="J12" i="17"/>
  <c r="G20" i="17" s="1"/>
  <c r="L2" i="17" l="1"/>
</calcChain>
</file>

<file path=xl/sharedStrings.xml><?xml version="1.0" encoding="utf-8"?>
<sst xmlns="http://schemas.openxmlformats.org/spreadsheetml/2006/main" count="66" uniqueCount="46">
  <si>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</si>
  <si>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</si>
  <si>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</si>
  <si>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</si>
  <si>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</si>
  <si>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</si>
  <si>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</si>
  <si>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</si>
  <si>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</si>
  <si>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</si>
  <si>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</si>
  <si>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</si>
  <si>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</si>
  <si>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</si>
  <si>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</si>
  <si>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</si>
  <si>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</si>
  <si>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</si>
  <si>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</si>
  <si>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</si>
  <si>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</si>
  <si>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</si>
  <si>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</si>
  <si>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</si>
  <si>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</si>
  <si>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</si>
  <si>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10日目</t>
    <rPh sb="2" eb="3">
      <t>ヒ</t>
    </rPh>
    <rPh sb="3" eb="4">
      <t>メ</t>
    </rPh>
    <phoneticPr fontId="10"/>
  </si>
  <si>
    <t>蛇の目</t>
    <rPh sb="0" eb="1">
      <t>ジャ</t>
    </rPh>
    <rPh sb="2" eb="3">
      <t>メ</t>
    </rPh>
    <phoneticPr fontId="10"/>
  </si>
  <si>
    <t>I/O-MT内部品　追加</t>
    <rPh sb="6" eb="8">
      <t>ナイブ</t>
    </rPh>
    <rPh sb="10" eb="12">
      <t>ツイカ</t>
    </rPh>
    <phoneticPr fontId="10"/>
  </si>
  <si>
    <t>SRO-SWB-NO</t>
    <phoneticPr fontId="10"/>
  </si>
  <si>
    <t>B仕様ｵﾌﾟｼｮﾝSW付</t>
    <phoneticPr fontId="10"/>
  </si>
  <si>
    <t>1.5ｶ月</t>
    <rPh sb="4" eb="5">
      <t>ゲツ</t>
    </rPh>
    <phoneticPr fontId="10"/>
  </si>
  <si>
    <t>岸</t>
    <rPh sb="0" eb="1">
      <t>キシ</t>
    </rPh>
    <phoneticPr fontId="9"/>
  </si>
  <si>
    <t>JR3000用ﾃｨｰﾁﾝｸﾞﾎﾞｯｸｽ   JR3-TB2</t>
    <phoneticPr fontId="10"/>
  </si>
  <si>
    <r>
      <t>SRO-TB500</t>
    </r>
    <r>
      <rPr>
        <b/>
        <sz val="11"/>
        <color indexed="10"/>
        <rFont val="ＭＳ Ｐゴシック"/>
        <family val="3"/>
        <charset val="128"/>
      </rPr>
      <t xml:space="preserve"> </t>
    </r>
    <phoneticPr fontId="10"/>
  </si>
  <si>
    <t>送料</t>
  </si>
  <si>
    <t>ワイ・デー・ケー様株式会社</t>
    <rPh sb="9" eb="13">
      <t>カブシキガイシャ</t>
    </rPh>
    <phoneticPr fontId="10"/>
  </si>
  <si>
    <t>SETB-0306-A01 JR3404+SV70チルドモーター+捨て射ち+配電BOX+圧送タンク  20251205</t>
    <phoneticPr fontId="9"/>
  </si>
  <si>
    <r>
      <t>JR3404　　　SRS-S404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9" eb="21">
      <t>ガイブ</t>
    </rPh>
    <phoneticPr fontId="10"/>
  </si>
  <si>
    <r>
      <rPr>
        <b/>
        <sz val="11"/>
        <color indexed="8"/>
        <rFont val="ＭＳ Ｐゴシック"/>
        <family val="3"/>
        <charset val="128"/>
      </rPr>
      <t>JR3404N-BJ　　</t>
    </r>
    <r>
      <rPr>
        <sz val="11"/>
        <color theme="1"/>
        <rFont val="ＭＳ Ｐゴシック"/>
        <family val="3"/>
        <charset val="128"/>
        <scheme val="minor"/>
      </rPr>
      <t>　 4軸ﾛﾎﾞｯﾄ (外部ｽｲｯﾁ仕様)　</t>
    </r>
    <phoneticPr fontId="10"/>
  </si>
  <si>
    <t>I/O－S増設</t>
    <rPh sb="5" eb="7">
      <t>ゾウセツ</t>
    </rPh>
    <phoneticPr fontId="10"/>
  </si>
  <si>
    <t>I/O－MT増設</t>
    <rPh sb="6" eb="8">
      <t>ゾウセツ</t>
    </rPh>
    <phoneticPr fontId="10"/>
  </si>
  <si>
    <t>I/O-ST内部品　追加</t>
    <rPh sb="6" eb="8">
      <t>ナイブ</t>
    </rPh>
    <rPh sb="10" eb="12">
      <t>ツイカ</t>
    </rPh>
    <phoneticPr fontId="10"/>
  </si>
  <si>
    <t>見積もりNo.TQ25-0838 Rev.01</t>
    <rPh sb="0" eb="2">
      <t>ミツ</t>
    </rPh>
    <phoneticPr fontId="9"/>
  </si>
  <si>
    <t>NO.228905</t>
    <phoneticPr fontId="10"/>
  </si>
  <si>
    <t>①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</si>
</sst>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8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3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12" fillId="0" borderId="9" xfId="3" applyBorder="1" applyAlignment="1">
      <alignment horizontal="left" vertical="center"/>
    </xf>
    <xf numFmtId="5" fontId="11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shrinkToFit="1"/>
    </xf>
    <xf numFmtId="3" fontId="0" fillId="0" borderId="1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0" fontId="23" fillId="0" borderId="0" xfId="0" applyFont="1">
      <alignment vertical="center"/>
    </xf>
    <xf numFmtId="0" fontId="8" fillId="0" borderId="0" xfId="4" applyAlignment="1">
      <alignment horizontal="center" vertical="center"/>
    </xf>
    <xf numFmtId="3" fontId="8" fillId="0" borderId="1" xfId="4" applyNumberFormat="1" applyBorder="1" applyAlignment="1">
      <alignment horizontal="center" vertical="center"/>
    </xf>
    <xf numFmtId="0" fontId="8" fillId="0" borderId="5" xfId="4" applyBorder="1" applyAlignment="1">
      <alignment horizontal="center" vertical="center"/>
    </xf>
    <xf numFmtId="176" fontId="8" fillId="0" borderId="1" xfId="4" applyNumberFormat="1" applyBorder="1" applyAlignment="1"/>
    <xf numFmtId="176" fontId="8" fillId="0" borderId="1" xfId="4" applyNumberFormat="1" applyBorder="1" applyAlignment="1">
      <alignment horizontal="center" vertical="center"/>
    </xf>
    <xf numFmtId="179" fontId="8" fillId="0" borderId="5" xfId="4" applyNumberFormat="1" applyBorder="1" applyAlignment="1">
      <alignment horizontal="center" vertical="center"/>
    </xf>
    <xf numFmtId="178" fontId="8" fillId="0" borderId="5" xfId="4" applyNumberFormat="1" applyBorder="1" applyAlignment="1">
      <alignment horizontal="center" vertical="center"/>
    </xf>
    <xf numFmtId="0" fontId="8" fillId="0" borderId="1" xfId="4" applyBorder="1" applyAlignment="1">
      <alignment horizontal="left" vertical="center" shrinkToFit="1"/>
    </xf>
    <xf numFmtId="3" fontId="8" fillId="0" borderId="5" xfId="4" applyNumberFormat="1" applyBorder="1" applyAlignment="1">
      <alignment horizontal="center" vertical="center"/>
    </xf>
    <xf numFmtId="0" fontId="8" fillId="0" borderId="5" xfId="4" applyBorder="1">
      <alignment vertical="center"/>
    </xf>
    <xf numFmtId="0" fontId="8" fillId="0" borderId="7" xfId="4" applyBorder="1" applyAlignment="1">
      <alignment horizontal="center" vertical="center"/>
    </xf>
    <xf numFmtId="0" fontId="8" fillId="5" borderId="5" xfId="4" applyFill="1" applyBorder="1" applyAlignment="1">
      <alignment horizontal="center" vertical="center"/>
    </xf>
    <xf numFmtId="56" fontId="8" fillId="0" borderId="5" xfId="4" applyNumberFormat="1" applyBorder="1" applyAlignment="1">
      <alignment horizontal="center" vertical="center"/>
    </xf>
    <xf numFmtId="38" fontId="8" fillId="0" borderId="5" xfId="4" applyNumberFormat="1" applyBorder="1">
      <alignment vertical="center"/>
    </xf>
    <xf numFmtId="180" fontId="8" fillId="0" borderId="5" xfId="4" applyNumberFormat="1" applyBorder="1">
      <alignment vertical="center"/>
    </xf>
    <xf numFmtId="38" fontId="8" fillId="0" borderId="5" xfId="4" applyNumberFormat="1" applyBorder="1" applyAlignment="1">
      <alignment horizontal="right" vertical="center"/>
    </xf>
    <xf numFmtId="5" fontId="16" fillId="11" borderId="5" xfId="4" applyNumberFormat="1" applyFont="1" applyFill="1" applyBorder="1">
      <alignment vertical="center"/>
    </xf>
    <xf numFmtId="3" fontId="2" fillId="0" borderId="5" xfId="4" applyNumberFormat="1" applyFont="1" applyBorder="1" applyAlignment="1">
      <alignment horizontal="center" vertical="center"/>
    </xf>
    <xf numFmtId="178" fontId="8" fillId="0" borderId="8" xfId="4" applyNumberFormat="1" applyBorder="1" applyAlignment="1">
      <alignment horizontal="center" vertical="center"/>
    </xf>
    <xf numFmtId="56" fontId="8" fillId="0" borderId="8" xfId="4" applyNumberFormat="1" applyBorder="1" applyAlignment="1">
      <alignment horizontal="center" vertical="center"/>
    </xf>
    <xf numFmtId="3" fontId="8" fillId="0" borderId="8" xfId="4" applyNumberFormat="1" applyBorder="1" applyAlignment="1">
      <alignment horizontal="center" vertical="center"/>
    </xf>
    <xf numFmtId="0" fontId="24" fillId="0" borderId="8" xfId="3" applyFont="1" applyBorder="1" applyAlignment="1">
      <alignment vertical="center"/>
    </xf>
    <xf numFmtId="0" fontId="25" fillId="0" borderId="5" xfId="4" applyFont="1" applyBorder="1" applyAlignment="1">
      <alignment horizontal="left" vertical="center" shrinkToFit="1"/>
    </xf>
    <xf numFmtId="5" fontId="11" fillId="0" borderId="7" xfId="4" applyNumberFormat="1" applyFont="1" applyBorder="1" applyAlignment="1">
      <alignment horizontal="center" vertical="center"/>
    </xf>
    <xf numFmtId="3" fontId="14" fillId="0" borderId="5" xfId="4" applyNumberFormat="1" applyFont="1" applyBorder="1" applyAlignment="1">
      <alignment horizontal="center" vertical="center"/>
    </xf>
    <xf numFmtId="3" fontId="8" fillId="5" borderId="5" xfId="4" applyNumberFormat="1" applyFill="1" applyBorder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5" xfId="3" applyBorder="1" applyAlignment="1">
      <alignment vertical="center"/>
    </xf>
    <xf numFmtId="177" fontId="8" fillId="0" borderId="6" xfId="4" applyNumberFormat="1" applyBorder="1" applyAlignment="1">
      <alignment horizontal="center" vertical="center"/>
    </xf>
    <xf numFmtId="179" fontId="8" fillId="0" borderId="6" xfId="4" applyNumberFormat="1" applyBorder="1" applyAlignment="1">
      <alignment horizontal="center" vertical="center"/>
    </xf>
    <xf numFmtId="0" fontId="8" fillId="0" borderId="6" xfId="4" applyBorder="1" applyAlignment="1">
      <alignment horizontal="center" vertical="center"/>
    </xf>
    <xf numFmtId="3" fontId="8" fillId="0" borderId="6" xfId="4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/>
    <xf numFmtId="0" fontId="8" fillId="6" borderId="5" xfId="4" applyFill="1" applyBorder="1" applyAlignment="1">
      <alignment horizontal="center" vertical="center"/>
    </xf>
    <xf numFmtId="0" fontId="8" fillId="8" borderId="5" xfId="4" applyFill="1" applyBorder="1" applyAlignment="1">
      <alignment horizontal="center" vertical="center"/>
    </xf>
    <xf numFmtId="0" fontId="8" fillId="9" borderId="5" xfId="4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center" vertical="center"/>
    </xf>
    <xf numFmtId="177" fontId="26" fillId="0" borderId="5" xfId="0" applyNumberFormat="1" applyFont="1" applyBorder="1" applyAlignment="1">
      <alignment horizontal="center" vertical="center"/>
    </xf>
    <xf numFmtId="3" fontId="14" fillId="10" borderId="5" xfId="0" applyNumberFormat="1" applyFont="1" applyFill="1" applyBorder="1" applyAlignment="1">
      <alignment horizontal="center" vertical="center"/>
    </xf>
    <xf numFmtId="0" fontId="12" fillId="10" borderId="9" xfId="3" applyFill="1" applyBorder="1" applyAlignment="1">
      <alignment horizontal="left" vertical="center"/>
    </xf>
    <xf numFmtId="0" fontId="12" fillId="8" borderId="5" xfId="3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76" fontId="11" fillId="0" borderId="7" xfId="4" applyNumberFormat="1" applyFont="1" applyBorder="1" applyAlignment="1"/>
    <xf numFmtId="3" fontId="0" fillId="6" borderId="5" xfId="0" applyNumberFormat="1" applyFill="1" applyBorder="1" applyAlignment="1">
      <alignment horizontal="center" vertical="center"/>
    </xf>
    <xf numFmtId="0" fontId="12" fillId="6" borderId="5" xfId="3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9" fillId="6" borderId="5" xfId="0" applyFont="1" applyFill="1" applyBorder="1" applyAlignment="1">
      <alignment horizontal="center" vertical="center"/>
    </xf>
    <xf numFmtId="0" fontId="8" fillId="7" borderId="5" xfId="4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 shrinkToFit="1"/>
    </xf>
    <xf numFmtId="3" fontId="20" fillId="3" borderId="7" xfId="4" applyNumberFormat="1" applyFont="1" applyFill="1" applyBorder="1" applyAlignment="1">
      <alignment horizontal="center" vertical="center"/>
    </xf>
    <xf numFmtId="3" fontId="20" fillId="3" borderId="10" xfId="4" applyNumberFormat="1" applyFont="1" applyFill="1" applyBorder="1" applyAlignment="1">
      <alignment horizontal="center" vertical="center"/>
    </xf>
    <xf numFmtId="3" fontId="20" fillId="3" borderId="9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shrinkToFit="1"/>
    </xf>
    <xf numFmtId="0" fontId="21" fillId="12" borderId="11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D9A2-C54A-4FA3-84B7-5204BC5895E0}">
  <sheetPr>
    <tabColor rgb="FFFFC000"/>
  </sheetPr>
  <dimension ref="A2:S56"/>
  <sheetViews>
    <sheetView tabSelected="1" zoomScale="85" zoomScaleNormal="85" workbookViewId="0">
      <pane ySplit="10" topLeftCell="A11" activePane="bottomLeft" state="frozen"/>
      <selection pane="bottomLeft" activeCell="S13" sqref="S13:S17"/>
    </sheetView>
  </sheetViews>
  <sheetFormatPr defaultColWidth="11.875" defaultRowHeight="13.5" customHeight="1" x14ac:dyDescent="0.15"/>
  <cols>
    <col min="1" max="2" width="8.5" customWidth="1"/>
    <col min="3" max="3" width="9.375" customWidth="1"/>
    <col min="4" max="4" width="6.125" style="3" customWidth="1"/>
    <col min="5" max="5" width="15.125" customWidth="1"/>
    <col min="6" max="6" width="15.5" customWidth="1"/>
    <col min="7" max="7" width="59.75" customWidth="1"/>
    <col min="8" max="8" width="14.5" style="3" customWidth="1"/>
    <col min="9" max="10" width="12.125" style="3" customWidth="1"/>
    <col min="11" max="11" width="7.125" style="10" customWidth="1"/>
    <col min="12" max="12" width="57.125" customWidth="1"/>
    <col min="13" max="13" width="28.375" customWidth="1"/>
    <col min="14" max="14" width="22.5" style="3" customWidth="1"/>
    <col min="15" max="15" width="17" style="3" customWidth="1"/>
    <col min="16" max="16" width="7.875" customWidth="1"/>
    <col min="17" max="17" width="16.375" style="3" customWidth="1"/>
    <col min="18" max="18" width="17.875" style="23" customWidth="1"/>
    <col min="19" max="19" width="19.375" style="23" customWidth="1"/>
  </cols>
  <sheetData>
    <row r="2" spans="1:19" ht="20.100000000000001" customHeight="1" x14ac:dyDescent="0.15">
      <c r="D2" s="102" t="s">
        <v>0</v>
      </c>
      <c r="E2" s="102"/>
      <c r="F2" s="102"/>
      <c r="G2" s="81" t="s">
        <v>36</v>
      </c>
      <c r="I2" s="103" t="s">
        <v>1</v>
      </c>
      <c r="J2" s="104"/>
      <c r="K2" s="105"/>
      <c r="L2" s="9">
        <f>SUM(J:J)</f>
        <v>1027000</v>
      </c>
    </row>
    <row r="3" spans="1:19" ht="20.100000000000001" customHeight="1" x14ac:dyDescent="0.15">
      <c r="D3" s="102" t="s">
        <v>2</v>
      </c>
      <c r="E3" s="102"/>
      <c r="F3" s="102"/>
      <c r="G3" s="82" t="s">
        <v>32</v>
      </c>
    </row>
    <row r="4" spans="1:19" ht="20.100000000000001" customHeight="1" x14ac:dyDescent="0.15">
      <c r="D4" s="102" t="s">
        <v>3</v>
      </c>
      <c r="E4" s="102"/>
      <c r="F4" s="102"/>
      <c r="G4" s="82" t="s">
        <v>44</v>
      </c>
      <c r="I4" s="106" t="s">
        <v>37</v>
      </c>
      <c r="J4" s="106"/>
      <c r="K4" s="106"/>
      <c r="L4" s="106"/>
      <c r="M4" s="25"/>
    </row>
    <row r="5" spans="1:19" ht="20.100000000000001" customHeight="1" x14ac:dyDescent="0.15">
      <c r="D5" s="102" t="s">
        <v>4</v>
      </c>
      <c r="E5" s="102"/>
      <c r="F5" s="102"/>
      <c r="G5" s="83">
        <v>46056</v>
      </c>
      <c r="H5" s="107" t="s">
        <v>45</v>
      </c>
      <c r="I5" s="106"/>
      <c r="J5" s="106"/>
      <c r="K5" s="106"/>
      <c r="L5" s="106"/>
    </row>
    <row r="6" spans="1:19" ht="20.100000000000001" customHeight="1" x14ac:dyDescent="0.15">
      <c r="D6" s="102" t="s">
        <v>5</v>
      </c>
      <c r="E6" s="102"/>
      <c r="F6" s="102"/>
      <c r="G6" s="83">
        <v>46057</v>
      </c>
      <c r="H6" s="107"/>
      <c r="J6" s="26"/>
    </row>
    <row r="7" spans="1:19" ht="19.899999999999999" customHeight="1" x14ac:dyDescent="0.15">
      <c r="L7" s="98"/>
      <c r="M7" s="98"/>
    </row>
    <row r="8" spans="1:19" ht="16.899999999999999" customHeight="1" x14ac:dyDescent="0.15">
      <c r="K8" s="94"/>
      <c r="L8" s="43"/>
    </row>
    <row r="10" spans="1:19" s="3" customFormat="1" ht="19.5" customHeight="1" x14ac:dyDescent="0.15">
      <c r="C10" s="30" t="s">
        <v>25</v>
      </c>
      <c r="D10" s="29" t="s">
        <v>6</v>
      </c>
      <c r="E10" s="4" t="s">
        <v>7</v>
      </c>
      <c r="F10" s="4" t="s">
        <v>8</v>
      </c>
      <c r="G10" s="1" t="s">
        <v>9</v>
      </c>
      <c r="H10" s="1" t="s">
        <v>10</v>
      </c>
      <c r="I10" s="1" t="s">
        <v>11</v>
      </c>
      <c r="J10" s="2" t="s">
        <v>12</v>
      </c>
      <c r="K10" s="2" t="s">
        <v>13</v>
      </c>
      <c r="L10" s="1" t="s">
        <v>14</v>
      </c>
      <c r="M10" s="1" t="s">
        <v>15</v>
      </c>
      <c r="N10" s="1" t="s">
        <v>16</v>
      </c>
      <c r="O10" s="12" t="s">
        <v>17</v>
      </c>
      <c r="P10" s="4" t="s">
        <v>18</v>
      </c>
      <c r="Q10" s="1" t="s">
        <v>19</v>
      </c>
      <c r="R10" s="12" t="s">
        <v>20</v>
      </c>
      <c r="S10" s="8" t="s">
        <v>21</v>
      </c>
    </row>
    <row r="11" spans="1:19" s="44" customFormat="1" ht="19.5" customHeight="1" x14ac:dyDescent="0.15">
      <c r="D11" s="45"/>
      <c r="E11" s="99" t="s">
        <v>27</v>
      </c>
      <c r="F11" s="100"/>
      <c r="G11" s="101"/>
      <c r="H11" s="48"/>
      <c r="I11" s="48"/>
      <c r="J11" s="48"/>
      <c r="K11" s="47"/>
      <c r="L11" s="51"/>
      <c r="M11" s="74"/>
      <c r="N11" s="74"/>
      <c r="O11" s="73"/>
      <c r="P11" s="75"/>
      <c r="Q11" s="74"/>
      <c r="R11" s="73"/>
      <c r="S11" s="72"/>
    </row>
    <row r="12" spans="1:19" s="44" customFormat="1" ht="19.5" customHeight="1" x14ac:dyDescent="0.15">
      <c r="A12" s="46" t="s">
        <v>31</v>
      </c>
      <c r="B12" s="46"/>
      <c r="C12" s="55">
        <v>1</v>
      </c>
      <c r="D12" s="69">
        <v>1</v>
      </c>
      <c r="E12" s="21" t="s">
        <v>27</v>
      </c>
      <c r="F12" s="21" t="s">
        <v>27</v>
      </c>
      <c r="G12" s="34" t="s">
        <v>39</v>
      </c>
      <c r="H12" s="87">
        <v>1</v>
      </c>
      <c r="I12" s="89">
        <v>882000</v>
      </c>
      <c r="J12" s="76">
        <f t="shared" ref="J12:J17" si="0">H12*I12</f>
        <v>882000</v>
      </c>
      <c r="K12" s="20"/>
      <c r="L12" s="34" t="s">
        <v>38</v>
      </c>
      <c r="M12" s="46" t="s">
        <v>43</v>
      </c>
      <c r="N12" s="46"/>
      <c r="O12" s="49">
        <v>46001</v>
      </c>
      <c r="P12" s="52"/>
      <c r="Q12" s="56">
        <v>45691</v>
      </c>
      <c r="R12" s="49">
        <v>46097</v>
      </c>
      <c r="S12" s="50">
        <v>46097</v>
      </c>
    </row>
    <row r="13" spans="1:19" s="44" customFormat="1" ht="19.5" customHeight="1" x14ac:dyDescent="0.15">
      <c r="A13" s="46"/>
      <c r="B13" s="46"/>
      <c r="C13" s="93">
        <v>5</v>
      </c>
      <c r="D13" s="69">
        <f>+D12+1</f>
        <v>2</v>
      </c>
      <c r="E13" s="21" t="s">
        <v>27</v>
      </c>
      <c r="F13" s="21" t="s">
        <v>27</v>
      </c>
      <c r="G13" s="34" t="s">
        <v>40</v>
      </c>
      <c r="H13" s="87">
        <v>1</v>
      </c>
      <c r="I13" s="92">
        <v>18000</v>
      </c>
      <c r="J13" s="76">
        <f t="shared" si="0"/>
        <v>18000</v>
      </c>
      <c r="K13" s="20"/>
      <c r="L13" s="34" t="s">
        <v>42</v>
      </c>
      <c r="M13" s="46" t="s">
        <v>43</v>
      </c>
      <c r="N13" s="46"/>
      <c r="O13" s="49">
        <v>46001</v>
      </c>
      <c r="P13" s="52"/>
      <c r="Q13" s="56">
        <v>45691</v>
      </c>
      <c r="R13" s="49">
        <v>46097</v>
      </c>
      <c r="S13" s="50">
        <v>46097</v>
      </c>
    </row>
    <row r="14" spans="1:19" s="44" customFormat="1" ht="19.5" customHeight="1" x14ac:dyDescent="0.15">
      <c r="A14" s="46"/>
      <c r="B14" s="46"/>
      <c r="C14" s="78">
        <v>4</v>
      </c>
      <c r="D14" s="69">
        <f t="shared" ref="D14:D16" si="1">+D13+1</f>
        <v>3</v>
      </c>
      <c r="E14" s="21" t="s">
        <v>27</v>
      </c>
      <c r="F14" s="21" t="s">
        <v>27</v>
      </c>
      <c r="G14" s="34" t="s">
        <v>41</v>
      </c>
      <c r="H14" s="87">
        <v>1</v>
      </c>
      <c r="I14" s="92">
        <v>25000</v>
      </c>
      <c r="J14" s="76">
        <f t="shared" si="0"/>
        <v>25000</v>
      </c>
      <c r="K14" s="20"/>
      <c r="L14" s="38" t="s">
        <v>28</v>
      </c>
      <c r="M14" s="46" t="s">
        <v>43</v>
      </c>
      <c r="N14" s="46"/>
      <c r="O14" s="49">
        <v>46001</v>
      </c>
      <c r="P14" s="52"/>
      <c r="Q14" s="56">
        <v>45691</v>
      </c>
      <c r="R14" s="49">
        <v>46097</v>
      </c>
      <c r="S14" s="50">
        <v>46097</v>
      </c>
    </row>
    <row r="15" spans="1:19" s="44" customFormat="1" ht="19.5" customHeight="1" x14ac:dyDescent="0.15">
      <c r="A15" s="46"/>
      <c r="B15" s="46"/>
      <c r="C15" s="80">
        <v>3</v>
      </c>
      <c r="D15" s="69">
        <f t="shared" si="1"/>
        <v>4</v>
      </c>
      <c r="E15" s="21" t="s">
        <v>27</v>
      </c>
      <c r="F15" s="21" t="s">
        <v>27</v>
      </c>
      <c r="G15" s="91" t="s">
        <v>33</v>
      </c>
      <c r="H15" s="87">
        <v>1</v>
      </c>
      <c r="I15" s="89">
        <v>50000</v>
      </c>
      <c r="J15" s="76">
        <f t="shared" si="0"/>
        <v>50000</v>
      </c>
      <c r="K15" s="20"/>
      <c r="L15" s="38" t="s">
        <v>34</v>
      </c>
      <c r="M15" s="46" t="s">
        <v>43</v>
      </c>
      <c r="N15" s="46"/>
      <c r="O15" s="49">
        <v>46001</v>
      </c>
      <c r="P15" s="52"/>
      <c r="Q15" s="56">
        <v>45691</v>
      </c>
      <c r="R15" s="49">
        <v>46097</v>
      </c>
      <c r="S15" s="50">
        <v>46097</v>
      </c>
    </row>
    <row r="16" spans="1:19" s="44" customFormat="1" ht="19.5" customHeight="1" x14ac:dyDescent="0.15">
      <c r="A16" s="46" t="s">
        <v>31</v>
      </c>
      <c r="B16" s="46"/>
      <c r="C16" s="79">
        <v>2</v>
      </c>
      <c r="D16" s="69">
        <f t="shared" si="1"/>
        <v>5</v>
      </c>
      <c r="E16" s="32" t="s">
        <v>27</v>
      </c>
      <c r="F16" s="32" t="s">
        <v>27</v>
      </c>
      <c r="G16" s="71" t="s">
        <v>30</v>
      </c>
      <c r="H16" s="86">
        <v>1</v>
      </c>
      <c r="I16" s="90">
        <v>40000</v>
      </c>
      <c r="J16" s="76">
        <f t="shared" si="0"/>
        <v>40000</v>
      </c>
      <c r="K16" s="70"/>
      <c r="L16" s="71" t="s">
        <v>29</v>
      </c>
      <c r="M16" s="46" t="s">
        <v>43</v>
      </c>
      <c r="N16" s="46"/>
      <c r="O16" s="49">
        <v>46001</v>
      </c>
      <c r="P16" s="52"/>
      <c r="Q16" s="56">
        <v>45691</v>
      </c>
      <c r="R16" s="49">
        <v>46097</v>
      </c>
      <c r="S16" s="50">
        <v>46097</v>
      </c>
    </row>
    <row r="17" spans="1:19" s="44" customFormat="1" ht="19.5" customHeight="1" x14ac:dyDescent="0.15">
      <c r="A17" s="46" t="s">
        <v>26</v>
      </c>
      <c r="B17" s="46"/>
      <c r="C17" s="55">
        <v>1</v>
      </c>
      <c r="D17" s="69">
        <f>+D16+1</f>
        <v>6</v>
      </c>
      <c r="E17" s="84" t="s">
        <v>27</v>
      </c>
      <c r="F17" s="84" t="s">
        <v>27</v>
      </c>
      <c r="G17" s="85" t="s">
        <v>35</v>
      </c>
      <c r="H17" s="86">
        <v>1</v>
      </c>
      <c r="I17" s="90">
        <v>12000</v>
      </c>
      <c r="J17" s="76">
        <f t="shared" si="0"/>
        <v>12000</v>
      </c>
      <c r="K17" s="20"/>
      <c r="L17" s="38"/>
      <c r="M17" s="46" t="s">
        <v>43</v>
      </c>
      <c r="N17" s="64"/>
      <c r="O17" s="49">
        <v>46001</v>
      </c>
      <c r="P17" s="52"/>
      <c r="Q17" s="56">
        <v>45691</v>
      </c>
      <c r="R17" s="63">
        <v>46097</v>
      </c>
      <c r="S17" s="50">
        <v>46097</v>
      </c>
    </row>
    <row r="18" spans="1:19" s="44" customFormat="1" ht="19.5" customHeight="1" x14ac:dyDescent="0.15">
      <c r="C18" s="46"/>
      <c r="D18" s="52"/>
      <c r="E18" s="32"/>
      <c r="F18" s="32"/>
      <c r="G18" s="36"/>
      <c r="H18" s="24"/>
      <c r="I18" s="24"/>
      <c r="J18" s="37"/>
      <c r="K18" s="20"/>
      <c r="L18" s="38"/>
      <c r="M18" s="65"/>
      <c r="N18" s="64"/>
      <c r="O18" s="49"/>
      <c r="P18" s="52"/>
      <c r="Q18" s="56"/>
      <c r="R18" s="63"/>
      <c r="S18" s="62"/>
    </row>
    <row r="19" spans="1:19" s="44" customFormat="1" ht="19.5" customHeight="1" x14ac:dyDescent="0.15">
      <c r="C19" s="46"/>
      <c r="D19" s="52"/>
      <c r="E19" s="68"/>
      <c r="F19" s="68"/>
      <c r="G19" s="36"/>
      <c r="H19" s="24"/>
      <c r="I19" s="24"/>
      <c r="J19" s="67"/>
      <c r="K19" s="88"/>
      <c r="L19" s="66"/>
      <c r="M19" s="65"/>
      <c r="N19" s="64"/>
      <c r="O19" s="49"/>
      <c r="P19" s="52"/>
      <c r="Q19" s="56"/>
      <c r="R19" s="63"/>
      <c r="S19" s="62"/>
    </row>
    <row r="20" spans="1:19" s="44" customFormat="1" ht="19.5" customHeight="1" x14ac:dyDescent="0.15">
      <c r="C20" s="46"/>
      <c r="D20" s="52"/>
      <c r="E20" s="52"/>
      <c r="F20" s="61"/>
      <c r="G20" s="60">
        <f>SUM(J12:J18)</f>
        <v>1027000</v>
      </c>
      <c r="H20" s="46"/>
      <c r="I20" s="59"/>
      <c r="J20" s="58"/>
      <c r="K20" s="54"/>
      <c r="L20" s="53"/>
      <c r="M20" s="57"/>
      <c r="N20" s="52"/>
      <c r="O20" s="49"/>
      <c r="P20" s="52"/>
      <c r="Q20" s="56"/>
      <c r="R20" s="56"/>
      <c r="S20" s="50"/>
    </row>
    <row r="21" spans="1:19" s="3" customFormat="1" ht="19.5" customHeight="1" x14ac:dyDescent="0.15">
      <c r="C21" s="19"/>
      <c r="D21" s="40"/>
      <c r="E21" s="21"/>
      <c r="F21" s="21"/>
      <c r="G21" s="28"/>
      <c r="H21" s="35"/>
      <c r="I21" s="35"/>
      <c r="J21" s="35"/>
      <c r="K21" s="77"/>
      <c r="L21" s="39"/>
      <c r="M21" s="19"/>
      <c r="N21" s="19"/>
      <c r="O21" s="31"/>
      <c r="P21" s="21"/>
      <c r="Q21" s="19"/>
      <c r="R21" s="41"/>
      <c r="S21" s="42"/>
    </row>
    <row r="22" spans="1:19" s="3" customFormat="1" ht="19.5" customHeight="1" x14ac:dyDescent="0.15">
      <c r="C22" s="19"/>
      <c r="D22" s="40"/>
      <c r="E22" s="21"/>
      <c r="F22" s="21"/>
      <c r="G22" s="28"/>
      <c r="H22" s="35"/>
      <c r="I22" s="35"/>
      <c r="J22" s="35"/>
      <c r="K22" s="77"/>
      <c r="L22" s="39"/>
      <c r="M22" s="19"/>
      <c r="N22" s="19"/>
      <c r="O22" s="31"/>
      <c r="P22" s="21"/>
      <c r="Q22" s="19"/>
      <c r="R22" s="41"/>
      <c r="S22" s="42"/>
    </row>
    <row r="23" spans="1:19" s="3" customFormat="1" ht="19.5" customHeight="1" x14ac:dyDescent="0.15">
      <c r="C23" s="19"/>
      <c r="D23" s="21"/>
      <c r="E23" s="21"/>
      <c r="F23" s="21"/>
      <c r="G23" s="28"/>
      <c r="H23" s="27"/>
      <c r="I23" s="16"/>
      <c r="J23" s="16"/>
      <c r="K23" s="11"/>
      <c r="L23" s="17"/>
      <c r="M23" s="1"/>
      <c r="N23" s="1"/>
      <c r="O23" s="12"/>
      <c r="P23" s="4"/>
      <c r="Q23" s="2"/>
      <c r="R23" s="31"/>
      <c r="S23" s="33"/>
    </row>
    <row r="24" spans="1:19" s="3" customFormat="1" ht="19.5" customHeight="1" x14ac:dyDescent="0.15">
      <c r="C24" s="19"/>
      <c r="D24" s="21"/>
      <c r="E24" s="21"/>
      <c r="F24" s="21"/>
      <c r="G24" s="28"/>
      <c r="H24" s="27"/>
      <c r="I24" s="16"/>
      <c r="J24" s="16"/>
      <c r="K24" s="11"/>
      <c r="L24" s="17"/>
      <c r="M24" s="1"/>
      <c r="N24" s="1"/>
      <c r="O24" s="12"/>
      <c r="P24" s="4"/>
      <c r="Q24" s="2"/>
      <c r="R24" s="31"/>
      <c r="S24" s="33"/>
    </row>
    <row r="25" spans="1:19" s="3" customFormat="1" ht="19.5" customHeight="1" x14ac:dyDescent="0.15">
      <c r="C25" s="19"/>
      <c r="D25" s="21"/>
      <c r="E25" s="21"/>
      <c r="F25" s="21"/>
      <c r="G25" s="28"/>
      <c r="H25" s="27"/>
      <c r="I25" s="16"/>
      <c r="J25" s="16"/>
      <c r="K25" s="11"/>
      <c r="L25" s="17"/>
      <c r="M25" s="1"/>
      <c r="N25" s="1"/>
      <c r="O25" s="12"/>
      <c r="P25" s="4"/>
      <c r="Q25" s="2"/>
      <c r="R25" s="31"/>
      <c r="S25" s="33"/>
    </row>
    <row r="26" spans="1:19" s="3" customFormat="1" ht="19.5" customHeight="1" x14ac:dyDescent="0.15">
      <c r="C26" s="19"/>
      <c r="D26" s="21"/>
      <c r="E26" s="21"/>
      <c r="F26" s="21"/>
      <c r="G26" s="28"/>
      <c r="H26" s="27"/>
      <c r="I26" s="16"/>
      <c r="J26" s="16"/>
      <c r="K26" s="11"/>
      <c r="L26" s="17"/>
      <c r="M26" s="1"/>
      <c r="N26" s="1"/>
      <c r="O26" s="12"/>
      <c r="P26" s="4"/>
      <c r="Q26" s="2"/>
      <c r="R26" s="31"/>
      <c r="S26" s="33"/>
    </row>
    <row r="27" spans="1:19" s="3" customFormat="1" ht="19.5" customHeight="1" x14ac:dyDescent="0.15">
      <c r="C27" s="19"/>
      <c r="D27" s="21"/>
      <c r="E27" s="21"/>
      <c r="F27" s="21"/>
      <c r="G27" s="28"/>
      <c r="H27" s="27"/>
      <c r="I27" s="16"/>
      <c r="J27" s="16"/>
      <c r="K27" s="11"/>
      <c r="L27" s="17"/>
      <c r="M27" s="1"/>
      <c r="N27" s="1"/>
      <c r="O27" s="12"/>
      <c r="P27" s="4"/>
      <c r="Q27" s="2"/>
      <c r="R27" s="31"/>
      <c r="S27" s="33"/>
    </row>
    <row r="28" spans="1:19" s="3" customFormat="1" ht="19.5" customHeight="1" x14ac:dyDescent="0.15">
      <c r="C28" s="19"/>
      <c r="D28" s="21"/>
      <c r="E28" s="21"/>
      <c r="F28" s="21"/>
      <c r="G28" s="28"/>
      <c r="H28" s="27"/>
      <c r="I28" s="16"/>
      <c r="J28" s="16"/>
      <c r="K28" s="11"/>
      <c r="L28" s="17"/>
      <c r="M28" s="1"/>
      <c r="N28" s="1"/>
      <c r="O28" s="12"/>
      <c r="P28" s="4"/>
      <c r="Q28" s="2"/>
      <c r="R28" s="31"/>
      <c r="S28" s="33"/>
    </row>
    <row r="29" spans="1:19" s="3" customFormat="1" ht="19.5" customHeight="1" x14ac:dyDescent="0.15">
      <c r="C29" s="19"/>
      <c r="D29" s="21"/>
      <c r="E29" s="21"/>
      <c r="F29" s="21"/>
      <c r="G29" s="28"/>
      <c r="H29" s="27"/>
      <c r="I29" s="16"/>
      <c r="J29" s="16"/>
      <c r="K29" s="11"/>
      <c r="L29" s="17"/>
      <c r="M29" s="1"/>
      <c r="N29" s="1"/>
      <c r="O29" s="12"/>
      <c r="P29" s="4"/>
      <c r="Q29" s="2"/>
      <c r="R29" s="31"/>
      <c r="S29" s="33"/>
    </row>
    <row r="30" spans="1:19" s="3" customFormat="1" ht="19.5" customHeight="1" x14ac:dyDescent="0.15">
      <c r="C30" s="19"/>
      <c r="D30" s="21"/>
      <c r="E30" s="21"/>
      <c r="F30" s="21"/>
      <c r="G30" s="28"/>
      <c r="H30" s="27"/>
      <c r="I30" s="16"/>
      <c r="J30" s="16"/>
      <c r="K30" s="11"/>
      <c r="L30" s="17"/>
      <c r="M30" s="1"/>
      <c r="N30" s="1"/>
      <c r="O30" s="12"/>
      <c r="P30" s="4"/>
      <c r="Q30" s="2"/>
      <c r="R30" s="31"/>
      <c r="S30" s="33"/>
    </row>
    <row r="31" spans="1:19" s="3" customFormat="1" ht="19.5" customHeight="1" x14ac:dyDescent="0.15">
      <c r="C31" s="19"/>
      <c r="D31" s="21"/>
      <c r="E31" s="21"/>
      <c r="F31" s="21"/>
      <c r="G31" s="28"/>
      <c r="H31" s="27"/>
      <c r="I31" s="16"/>
      <c r="J31" s="16"/>
      <c r="K31" s="11"/>
      <c r="L31" s="17"/>
      <c r="M31" s="1"/>
      <c r="N31" s="1"/>
      <c r="O31" s="12"/>
      <c r="P31" s="4"/>
      <c r="Q31" s="2"/>
      <c r="R31" s="31"/>
      <c r="S31" s="33"/>
    </row>
    <row r="32" spans="1:19" s="3" customFormat="1" ht="19.5" customHeight="1" x14ac:dyDescent="0.15">
      <c r="C32" s="19"/>
      <c r="D32" s="21"/>
      <c r="E32" s="21"/>
      <c r="F32" s="21"/>
      <c r="G32" s="28"/>
      <c r="H32" s="27"/>
      <c r="I32" s="16"/>
      <c r="J32" s="16"/>
      <c r="K32" s="11"/>
      <c r="L32" s="17"/>
      <c r="M32" s="1"/>
      <c r="N32" s="1"/>
      <c r="O32" s="12"/>
      <c r="P32" s="4"/>
      <c r="Q32" s="2"/>
      <c r="R32" s="31"/>
      <c r="S32" s="33"/>
    </row>
    <row r="33" spans="3:19" s="3" customFormat="1" ht="19.5" customHeight="1" x14ac:dyDescent="0.15">
      <c r="C33" s="19"/>
      <c r="D33" s="21"/>
      <c r="E33" s="21"/>
      <c r="F33" s="21"/>
      <c r="G33" s="28"/>
      <c r="H33" s="27"/>
      <c r="I33" s="16"/>
      <c r="J33" s="16"/>
      <c r="K33" s="11"/>
      <c r="L33" s="17"/>
      <c r="M33" s="1"/>
      <c r="N33" s="1"/>
      <c r="O33" s="12"/>
      <c r="P33" s="4"/>
      <c r="Q33" s="2"/>
      <c r="R33" s="31"/>
      <c r="S33" s="33"/>
    </row>
    <row r="34" spans="3:19" s="3" customFormat="1" ht="19.5" customHeight="1" x14ac:dyDescent="0.15">
      <c r="C34" s="19"/>
      <c r="D34" s="21"/>
      <c r="E34" s="21"/>
      <c r="F34" s="21"/>
      <c r="G34" s="28"/>
      <c r="H34" s="27"/>
      <c r="I34" s="16"/>
      <c r="J34" s="16"/>
      <c r="K34" s="11"/>
      <c r="L34" s="17"/>
      <c r="M34" s="1"/>
      <c r="N34" s="1"/>
      <c r="O34" s="12"/>
      <c r="P34" s="4"/>
      <c r="Q34" s="2"/>
      <c r="R34" s="31"/>
      <c r="S34" s="33"/>
    </row>
    <row r="35" spans="3:19" s="3" customFormat="1" ht="19.5" customHeight="1" x14ac:dyDescent="0.15">
      <c r="C35" s="19"/>
      <c r="D35" s="21"/>
      <c r="E35" s="21"/>
      <c r="F35" s="21"/>
      <c r="G35" s="28"/>
      <c r="H35" s="27"/>
      <c r="I35" s="16"/>
      <c r="J35" s="16"/>
      <c r="K35" s="11"/>
      <c r="L35" s="17"/>
      <c r="M35" s="1"/>
      <c r="N35" s="1"/>
      <c r="O35" s="12"/>
      <c r="P35" s="4"/>
      <c r="Q35" s="2"/>
      <c r="R35" s="31"/>
      <c r="S35" s="33"/>
    </row>
    <row r="36" spans="3:19" s="3" customFormat="1" ht="19.5" customHeight="1" x14ac:dyDescent="0.15">
      <c r="C36" s="19"/>
      <c r="D36" s="21"/>
      <c r="E36" s="21"/>
      <c r="F36" s="21"/>
      <c r="G36" s="28"/>
      <c r="H36" s="27"/>
      <c r="I36" s="16"/>
      <c r="J36" s="16"/>
      <c r="K36" s="11"/>
      <c r="L36" s="17"/>
      <c r="M36" s="1"/>
      <c r="N36" s="1"/>
      <c r="O36" s="12"/>
      <c r="P36" s="4"/>
      <c r="Q36" s="2"/>
      <c r="R36" s="31"/>
      <c r="S36" s="33"/>
    </row>
    <row r="37" spans="3:19" s="3" customFormat="1" ht="19.5" customHeight="1" x14ac:dyDescent="0.15">
      <c r="C37" s="19"/>
      <c r="D37" s="21"/>
      <c r="E37" s="21"/>
      <c r="F37" s="21"/>
      <c r="G37" s="28"/>
      <c r="H37" s="27"/>
      <c r="I37" s="16"/>
      <c r="J37" s="16"/>
      <c r="K37" s="11"/>
      <c r="L37" s="17"/>
      <c r="M37" s="1"/>
      <c r="N37" s="1"/>
      <c r="O37" s="12"/>
      <c r="P37" s="4"/>
      <c r="Q37" s="2"/>
      <c r="R37" s="31"/>
      <c r="S37" s="33"/>
    </row>
    <row r="38" spans="3:19" s="3" customFormat="1" ht="19.5" customHeight="1" x14ac:dyDescent="0.15">
      <c r="C38" s="19"/>
      <c r="D38" s="21"/>
      <c r="E38" s="21"/>
      <c r="F38" s="21"/>
      <c r="G38" s="28"/>
      <c r="H38" s="27"/>
      <c r="I38" s="16"/>
      <c r="J38" s="16"/>
      <c r="K38" s="11"/>
      <c r="L38" s="17"/>
      <c r="M38" s="1"/>
      <c r="N38" s="1"/>
      <c r="O38" s="12"/>
      <c r="P38" s="4"/>
      <c r="Q38" s="2"/>
      <c r="R38" s="31"/>
      <c r="S38" s="33"/>
    </row>
    <row r="39" spans="3:19" s="3" customFormat="1" ht="19.5" customHeight="1" x14ac:dyDescent="0.15">
      <c r="C39" s="19"/>
      <c r="D39" s="21"/>
      <c r="E39" s="21"/>
      <c r="F39" s="21"/>
      <c r="G39" s="28"/>
      <c r="H39" s="27"/>
      <c r="I39" s="16"/>
      <c r="J39" s="16"/>
      <c r="K39" s="11"/>
      <c r="L39" s="17"/>
      <c r="M39" s="1"/>
      <c r="N39" s="1"/>
      <c r="O39" s="12"/>
      <c r="P39" s="4"/>
      <c r="Q39" s="2"/>
      <c r="R39" s="31"/>
      <c r="S39" s="33"/>
    </row>
    <row r="40" spans="3:19" s="3" customFormat="1" ht="19.5" customHeight="1" x14ac:dyDescent="0.15">
      <c r="C40" s="19"/>
      <c r="D40" s="21"/>
      <c r="E40" s="21"/>
      <c r="F40" s="21"/>
      <c r="G40" s="28"/>
      <c r="H40" s="27"/>
      <c r="I40" s="16"/>
      <c r="J40" s="16"/>
      <c r="K40" s="11"/>
      <c r="L40" s="17"/>
      <c r="M40" s="1"/>
      <c r="N40" s="1"/>
      <c r="O40" s="12"/>
      <c r="P40" s="4"/>
      <c r="Q40" s="2"/>
      <c r="R40" s="31"/>
      <c r="S40" s="33"/>
    </row>
    <row r="41" spans="3:19" s="3" customFormat="1" ht="19.5" customHeight="1" x14ac:dyDescent="0.15">
      <c r="C41" s="19"/>
      <c r="D41" s="21"/>
      <c r="E41" s="21"/>
      <c r="F41" s="21"/>
      <c r="G41" s="28"/>
      <c r="H41" s="27"/>
      <c r="I41" s="16"/>
      <c r="J41" s="16"/>
      <c r="K41" s="11"/>
      <c r="L41" s="17"/>
      <c r="M41" s="1"/>
      <c r="N41" s="1"/>
      <c r="O41" s="12"/>
      <c r="P41" s="4"/>
      <c r="Q41" s="2"/>
      <c r="R41" s="31"/>
      <c r="S41" s="33"/>
    </row>
    <row r="42" spans="3:19" s="3" customFormat="1" ht="19.5" customHeight="1" x14ac:dyDescent="0.15">
      <c r="C42" s="19"/>
      <c r="D42" s="21"/>
      <c r="E42" s="21"/>
      <c r="F42" s="21"/>
      <c r="G42" s="28"/>
      <c r="H42" s="27"/>
      <c r="I42" s="16"/>
      <c r="J42" s="16"/>
      <c r="K42" s="11"/>
      <c r="L42" s="17"/>
      <c r="M42" s="1"/>
      <c r="N42" s="1"/>
      <c r="O42" s="12"/>
      <c r="P42" s="4"/>
      <c r="Q42" s="2"/>
      <c r="R42" s="31"/>
      <c r="S42" s="33"/>
    </row>
    <row r="43" spans="3:19" s="3" customFormat="1" ht="19.5" customHeight="1" x14ac:dyDescent="0.15">
      <c r="C43" s="19"/>
      <c r="D43" s="21"/>
      <c r="E43" s="21"/>
      <c r="F43" s="21"/>
      <c r="G43" s="28"/>
      <c r="H43" s="27"/>
      <c r="I43" s="16"/>
      <c r="J43" s="16"/>
      <c r="K43" s="11"/>
      <c r="L43" s="17"/>
      <c r="M43" s="1"/>
      <c r="N43" s="1"/>
      <c r="O43" s="12"/>
      <c r="P43" s="4"/>
      <c r="Q43" s="2"/>
      <c r="R43" s="31"/>
      <c r="S43" s="33"/>
    </row>
    <row r="44" spans="3:19" s="3" customFormat="1" ht="19.5" customHeight="1" x14ac:dyDescent="0.15">
      <c r="C44" s="19"/>
      <c r="D44" s="21"/>
      <c r="E44" s="21"/>
      <c r="F44" s="21"/>
      <c r="G44" s="28"/>
      <c r="H44" s="27"/>
      <c r="I44" s="16"/>
      <c r="J44" s="16"/>
      <c r="K44" s="11"/>
      <c r="L44" s="17"/>
      <c r="M44" s="1"/>
      <c r="N44" s="1"/>
      <c r="O44" s="12"/>
      <c r="P44" s="4"/>
      <c r="Q44" s="2"/>
      <c r="R44" s="31"/>
      <c r="S44" s="33"/>
    </row>
    <row r="45" spans="3:19" s="3" customFormat="1" ht="19.5" customHeight="1" x14ac:dyDescent="0.15">
      <c r="C45" s="19"/>
      <c r="D45" s="21"/>
      <c r="E45" s="21"/>
      <c r="F45" s="21"/>
      <c r="G45" s="28"/>
      <c r="H45" s="27"/>
      <c r="I45" s="16"/>
      <c r="J45" s="16"/>
      <c r="K45" s="11"/>
      <c r="L45" s="17"/>
      <c r="M45" s="1"/>
      <c r="N45" s="1"/>
      <c r="O45" s="12"/>
      <c r="P45" s="4"/>
      <c r="Q45" s="2"/>
      <c r="R45" s="31"/>
      <c r="S45" s="33"/>
    </row>
    <row r="46" spans="3:19" s="3" customFormat="1" ht="19.5" customHeight="1" x14ac:dyDescent="0.15">
      <c r="C46" s="19"/>
      <c r="D46" s="21"/>
      <c r="E46" s="21"/>
      <c r="F46" s="21"/>
      <c r="G46" s="28"/>
      <c r="H46" s="27"/>
      <c r="I46" s="16"/>
      <c r="J46" s="16"/>
      <c r="K46" s="11"/>
      <c r="L46" s="17"/>
      <c r="M46" s="1"/>
      <c r="N46" s="1"/>
      <c r="O46" s="12"/>
      <c r="P46" s="4"/>
      <c r="Q46" s="2"/>
      <c r="R46" s="31"/>
      <c r="S46" s="33"/>
    </row>
    <row r="47" spans="3:19" s="3" customFormat="1" ht="19.5" customHeight="1" x14ac:dyDescent="0.15">
      <c r="C47" s="19"/>
      <c r="D47" s="21"/>
      <c r="E47" s="21"/>
      <c r="F47" s="21"/>
      <c r="G47" s="28"/>
      <c r="H47" s="27"/>
      <c r="I47" s="16"/>
      <c r="J47" s="16"/>
      <c r="K47" s="11"/>
      <c r="L47" s="17"/>
      <c r="M47" s="1"/>
      <c r="N47" s="1"/>
      <c r="O47" s="12"/>
      <c r="P47" s="4"/>
      <c r="Q47" s="2"/>
      <c r="R47" s="31"/>
      <c r="S47" s="33"/>
    </row>
    <row r="48" spans="3:19" s="3" customFormat="1" ht="19.5" customHeight="1" x14ac:dyDescent="0.15">
      <c r="C48" s="19"/>
      <c r="D48" s="21"/>
      <c r="E48" s="21"/>
      <c r="F48" s="21"/>
      <c r="G48" s="28"/>
      <c r="H48" s="27"/>
      <c r="I48" s="16"/>
      <c r="J48" s="16"/>
      <c r="K48" s="11"/>
      <c r="L48" s="17"/>
      <c r="M48" s="1"/>
      <c r="N48" s="1"/>
      <c r="O48" s="12"/>
      <c r="P48" s="4"/>
      <c r="Q48" s="2"/>
      <c r="R48" s="31"/>
      <c r="S48" s="33"/>
    </row>
    <row r="49" spans="3:19" s="3" customFormat="1" ht="19.5" customHeight="1" x14ac:dyDescent="0.15">
      <c r="C49" s="19"/>
      <c r="D49" s="21"/>
      <c r="E49" s="21"/>
      <c r="F49" s="21"/>
      <c r="G49" s="28"/>
      <c r="H49" s="27"/>
      <c r="I49" s="16"/>
      <c r="J49" s="16"/>
      <c r="K49" s="11"/>
      <c r="L49" s="17"/>
      <c r="M49" s="1"/>
      <c r="N49" s="1"/>
      <c r="O49" s="12"/>
      <c r="P49" s="4"/>
      <c r="Q49" s="2"/>
      <c r="R49" s="31"/>
      <c r="S49" s="33"/>
    </row>
    <row r="50" spans="3:19" ht="18" customHeight="1" x14ac:dyDescent="0.15">
      <c r="C50" s="19"/>
      <c r="D50" s="1"/>
      <c r="E50" s="4"/>
      <c r="F50" s="4"/>
      <c r="G50" s="13"/>
      <c r="H50" s="14"/>
      <c r="I50" s="14"/>
      <c r="J50" s="16"/>
      <c r="K50" s="2"/>
      <c r="L50" s="13"/>
      <c r="M50" s="6"/>
      <c r="N50" s="1"/>
      <c r="O50" s="12"/>
      <c r="P50" s="18"/>
      <c r="Q50" s="2"/>
      <c r="R50" s="31"/>
      <c r="S50" s="22"/>
    </row>
    <row r="51" spans="3:19" ht="18" customHeight="1" x14ac:dyDescent="0.15">
      <c r="C51" s="19"/>
      <c r="D51" s="1"/>
      <c r="E51" s="1"/>
      <c r="F51" s="1"/>
      <c r="G51" s="6" t="s">
        <v>22</v>
      </c>
      <c r="H51" s="16"/>
      <c r="I51" s="16"/>
      <c r="J51" s="16">
        <f>H51*I51</f>
        <v>0</v>
      </c>
      <c r="K51" s="11"/>
      <c r="L51" s="13" t="s">
        <v>23</v>
      </c>
      <c r="M51" s="18"/>
      <c r="N51" s="1"/>
      <c r="O51" s="12"/>
      <c r="P51" s="18"/>
      <c r="Q51" s="2"/>
      <c r="R51" s="31"/>
      <c r="S51" s="33"/>
    </row>
    <row r="52" spans="3:19" ht="18" customHeight="1" x14ac:dyDescent="0.15">
      <c r="C52" s="19"/>
      <c r="D52" s="1"/>
      <c r="E52" s="4"/>
      <c r="F52" s="4"/>
      <c r="G52" s="6" t="s">
        <v>23</v>
      </c>
      <c r="H52" s="16"/>
      <c r="I52" s="16">
        <v>5000</v>
      </c>
      <c r="J52" s="16">
        <f>H52*I52</f>
        <v>0</v>
      </c>
      <c r="K52" s="11"/>
      <c r="L52" s="13" t="s">
        <v>24</v>
      </c>
      <c r="M52" s="18"/>
      <c r="N52" s="1"/>
      <c r="O52" s="1"/>
      <c r="P52" s="18"/>
      <c r="Q52" s="2"/>
      <c r="R52" s="33"/>
      <c r="S52" s="33"/>
    </row>
    <row r="53" spans="3:19" ht="18" customHeight="1" x14ac:dyDescent="0.15">
      <c r="C53" s="19"/>
      <c r="D53" s="1"/>
      <c r="E53" s="4"/>
      <c r="F53" s="4"/>
      <c r="G53" s="6" t="s">
        <v>24</v>
      </c>
      <c r="H53" s="16"/>
      <c r="I53" s="16"/>
      <c r="J53" s="16">
        <f>H53*I53</f>
        <v>0</v>
      </c>
      <c r="K53" s="11"/>
      <c r="L53" s="5"/>
      <c r="M53" s="18"/>
      <c r="N53" s="1"/>
      <c r="O53" s="1"/>
      <c r="P53" s="18"/>
      <c r="Q53" s="2"/>
      <c r="R53" s="33"/>
      <c r="S53" s="33"/>
    </row>
    <row r="54" spans="3:19" ht="18" customHeight="1" x14ac:dyDescent="0.15">
      <c r="C54" s="19"/>
      <c r="D54" s="1"/>
      <c r="E54" s="4"/>
      <c r="F54" s="4"/>
      <c r="G54" s="95"/>
      <c r="H54" s="96"/>
      <c r="I54" s="96"/>
      <c r="J54" s="97"/>
      <c r="K54" s="7"/>
      <c r="L54" s="15"/>
      <c r="M54" s="18"/>
      <c r="N54" s="1"/>
      <c r="O54" s="1"/>
      <c r="P54" s="18"/>
      <c r="Q54" s="2"/>
      <c r="R54" s="33"/>
      <c r="S54" s="33"/>
    </row>
    <row r="55" spans="3:19" ht="18" customHeight="1" x14ac:dyDescent="0.15"/>
    <row r="56" spans="3:19" ht="18" customHeight="1" x14ac:dyDescent="0.15"/>
  </sheetData>
  <autoFilter ref="A10:S22" xr:uid="{45795B11-EA03-4D9F-B7D5-933EB783FCD2}"/>
  <mergeCells count="11">
    <mergeCell ref="G54:J54"/>
    <mergeCell ref="L7:M7"/>
    <mergeCell ref="E11:G11"/>
    <mergeCell ref="D2:F2"/>
    <mergeCell ref="I2:K2"/>
    <mergeCell ref="D3:F3"/>
    <mergeCell ref="D4:F4"/>
    <mergeCell ref="I4:L5"/>
    <mergeCell ref="D5:F5"/>
    <mergeCell ref="H5:H6"/>
    <mergeCell ref="D6:F6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G29" sqref="G29"/>
    </sheetView>
  </sheetViews>
  <sheetFormatPr defaultRowHeight="13.5" x14ac:dyDescent="0.15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SETB0306-A01 (20251209)　①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2026-03-16T01:53:23Z</dcterms:modified>
</cp:coreProperties>
</file>