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87F3BFD3-DBB2-4F04-98CB-99E73BE36C4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②原価一覧 (20260126) " sheetId="17" r:id="rId1"/>
    <sheet name="Sheet3" sheetId="3" r:id="rId2"/>
  </sheets>
  <definedNames>
    <definedName name="_xlnm._FilterDatabase" localSheetId="0" hidden="1">'②原価一覧 (20260126) '!$C$8:$P$53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7" l="1"/>
  <c r="I49" i="17"/>
  <c r="I48" i="17"/>
  <c r="I47" i="17"/>
  <c r="I39" i="17"/>
  <c r="I38" i="17"/>
  <c r="I37" i="17"/>
  <c r="I36" i="17"/>
  <c r="I35" i="17"/>
  <c r="I34" i="17"/>
  <c r="I33" i="17"/>
  <c r="I32" i="17"/>
  <c r="I31" i="17"/>
  <c r="I30" i="17"/>
  <c r="I24" i="17"/>
  <c r="I23" i="17"/>
  <c r="I22" i="17"/>
  <c r="I21" i="17"/>
  <c r="I20" i="17"/>
  <c r="I19" i="17"/>
  <c r="I18" i="17"/>
  <c r="I17" i="17"/>
  <c r="I16" i="17"/>
  <c r="I15" i="17"/>
  <c r="I14" i="17"/>
  <c r="C13" i="17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I12" i="17"/>
  <c r="F26" i="17" l="1"/>
  <c r="F41" i="17"/>
  <c r="K2" i="17"/>
  <c r="C30" i="17"/>
  <c r="C31" i="17" s="1"/>
  <c r="C32" i="17" s="1"/>
  <c r="C33" i="17" s="1"/>
  <c r="C34" i="17" s="1"/>
  <c r="C35" i="17" s="1"/>
  <c r="C36" i="17" s="1"/>
  <c r="C37" i="17" s="1"/>
  <c r="C38" i="17" s="1"/>
  <c r="C39" i="17" s="1"/>
</calcChain>
</file>

<file path=xl/sharedStrings.xml><?xml version="1.0" encoding="utf-8"?>
<sst xmlns="http://schemas.openxmlformats.org/spreadsheetml/2006/main" count="185" uniqueCount="90">
  <si>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</si>
  <si>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</si>
  <si>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</si>
  <si>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</si>
  <si>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</si>
  <si>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</si>
  <si>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</si>
  <si>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</si>
  <si>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</si>
  <si>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</si>
  <si>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</si>
  <si>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</si>
  <si>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</si>
  <si>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</si>
  <si>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</si>
  <si>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</si>
  <si>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</si>
  <si>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</si>
  <si>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</si>
  <si>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</si>
  <si>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</si>
  <si>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</si>
  <si>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運送費</t>
  </si>
  <si>
    <t>設計費</t>
  </si>
  <si>
    <t>組立調整費</t>
  </si>
  <si>
    <t>ミスミ</t>
    <phoneticPr fontId="11"/>
  </si>
  <si>
    <t>meviy</t>
    <phoneticPr fontId="11"/>
  </si>
  <si>
    <t>3日目</t>
    <rPh sb="1" eb="2">
      <t>ヒ</t>
    </rPh>
    <rPh sb="2" eb="3">
      <t>メ</t>
    </rPh>
    <phoneticPr fontId="11"/>
  </si>
  <si>
    <t>1日目</t>
    <rPh sb="1" eb="2">
      <t>ヒ</t>
    </rPh>
    <rPh sb="2" eb="3">
      <t>メ</t>
    </rPh>
    <phoneticPr fontId="11"/>
  </si>
  <si>
    <t>2日目</t>
    <rPh sb="1" eb="2">
      <t>ヒ</t>
    </rPh>
    <rPh sb="2" eb="3">
      <t>メ</t>
    </rPh>
    <phoneticPr fontId="11"/>
  </si>
  <si>
    <t xml:space="preserve">MS3-10 </t>
    <phoneticPr fontId="9"/>
  </si>
  <si>
    <t>出荷依頼項目NO.</t>
    <rPh sb="0" eb="4">
      <t>シュッカイライ</t>
    </rPh>
    <rPh sb="4" eb="6">
      <t>コウモク</t>
    </rPh>
    <phoneticPr fontId="9"/>
  </si>
  <si>
    <t>10日目</t>
    <rPh sb="2" eb="3">
      <t>ヒ</t>
    </rPh>
    <rPh sb="3" eb="4">
      <t>メ</t>
    </rPh>
    <phoneticPr fontId="11"/>
  </si>
  <si>
    <t>ロボットケーブル　NA3UCRSB 高屈曲UL対応シールド付</t>
    <phoneticPr fontId="11"/>
  </si>
  <si>
    <t>3VC-2</t>
    <phoneticPr fontId="11"/>
  </si>
  <si>
    <t>ACコード</t>
    <phoneticPr fontId="11"/>
  </si>
  <si>
    <t>C-MSNDC8</t>
    <phoneticPr fontId="11"/>
  </si>
  <si>
    <t>Ｋ熱電対用コネクタ　【5個入り】</t>
    <phoneticPr fontId="11"/>
  </si>
  <si>
    <t>GS300R【吉野川電線×ミスミ】超高屈曲銅合金ロボットケーブル（シールド無・有）</t>
    <phoneticPr fontId="9"/>
  </si>
  <si>
    <t>ELPA朝日電器</t>
    <rPh sb="4" eb="6">
      <t>アサヒ</t>
    </rPh>
    <rPh sb="6" eb="8">
      <t>デンキ</t>
    </rPh>
    <phoneticPr fontId="11"/>
  </si>
  <si>
    <t>MF-2100H</t>
    <phoneticPr fontId="11"/>
  </si>
  <si>
    <t>ガラス管ヒューズ MFシリーズ【2個入り】</t>
    <phoneticPr fontId="11"/>
  </si>
  <si>
    <t>納期</t>
    <rPh sb="0" eb="2">
      <t>ノウキ</t>
    </rPh>
    <phoneticPr fontId="9"/>
  </si>
  <si>
    <r>
      <t xml:space="preserve">ノックピン　　　 </t>
    </r>
    <r>
      <rPr>
        <sz val="11"/>
        <color rgb="FFFF0000"/>
        <rFont val="ＭＳ Ｐゴシック"/>
        <family val="3"/>
        <charset val="128"/>
        <scheme val="minor"/>
      </rPr>
      <t xml:space="preserve"> 5本　　　　</t>
    </r>
    <r>
      <rPr>
        <sz val="11"/>
        <color theme="1"/>
        <rFont val="ＭＳ Ｐゴシック"/>
        <family val="3"/>
        <charset val="128"/>
        <scheme val="minor"/>
      </rPr>
      <t>　　　</t>
    </r>
    <phoneticPr fontId="9"/>
  </si>
  <si>
    <t>6日目</t>
    <rPh sb="1" eb="2">
      <t>ヒ</t>
    </rPh>
    <rPh sb="2" eb="3">
      <t>メ</t>
    </rPh>
    <phoneticPr fontId="11"/>
  </si>
  <si>
    <t>村田機械株式会社様</t>
    <phoneticPr fontId="11"/>
  </si>
  <si>
    <t>米谷　氏</t>
    <rPh sb="0" eb="2">
      <t>ヨネタニ</t>
    </rPh>
    <rPh sb="3" eb="4">
      <t>シ</t>
    </rPh>
    <phoneticPr fontId="11"/>
  </si>
  <si>
    <t>　　　SV51温調治具+継ぎ手類</t>
    <phoneticPr fontId="9"/>
  </si>
  <si>
    <t>ATD200Wｵｰﾄﾁｭｰﾌﾞ温調　ﾕﾆｯﾄ</t>
    <rPh sb="15" eb="17">
      <t>オンチョウ</t>
    </rPh>
    <phoneticPr fontId="11"/>
  </si>
  <si>
    <t>六角穴付止ねじ 平先</t>
    <phoneticPr fontId="11"/>
  </si>
  <si>
    <t>MSSFS4-8</t>
    <phoneticPr fontId="11"/>
  </si>
  <si>
    <t>MCHK5-40-V100-W60</t>
    <phoneticPr fontId="11"/>
  </si>
  <si>
    <t>カートリッジヒータ　固定タイプ</t>
    <phoneticPr fontId="11"/>
  </si>
  <si>
    <t>MSNDM6-1</t>
    <phoneticPr fontId="11"/>
  </si>
  <si>
    <t>温度センサ　ねじ取付タイプ</t>
    <phoneticPr fontId="11"/>
  </si>
  <si>
    <t>MCHYB30</t>
    <phoneticPr fontId="11"/>
  </si>
  <si>
    <t>焼付防止剤</t>
    <phoneticPr fontId="11"/>
  </si>
  <si>
    <t>日本電測</t>
    <rPh sb="0" eb="2">
      <t>ニホン</t>
    </rPh>
    <rPh sb="2" eb="4">
      <t>デンソク</t>
    </rPh>
    <phoneticPr fontId="11"/>
  </si>
  <si>
    <t>MFMT5</t>
    <phoneticPr fontId="11"/>
  </si>
  <si>
    <t>温度センサ　丸端子シリコンタイプ</t>
    <phoneticPr fontId="11"/>
  </si>
  <si>
    <t>SLSBWRK8-70</t>
    <phoneticPr fontId="11"/>
  </si>
  <si>
    <t>六角支柱－片端おねじ片端めねじ</t>
    <phoneticPr fontId="11"/>
  </si>
  <si>
    <t>吉野川電線</t>
    <rPh sb="0" eb="3">
      <t>ヨシノカワ</t>
    </rPh>
    <rPh sb="3" eb="5">
      <t>デンセン</t>
    </rPh>
    <phoneticPr fontId="11"/>
  </si>
  <si>
    <t>GS300R【吉野川電線×ミスミ】超高屈曲銅合金ロボットケーブル（シールド無・有）</t>
    <phoneticPr fontId="11"/>
  </si>
  <si>
    <t>SETB0313-Y01 SV51温調ブロック</t>
    <phoneticPr fontId="11"/>
  </si>
  <si>
    <t>MSSFS3-4</t>
    <phoneticPr fontId="11"/>
  </si>
  <si>
    <t>ATD200Wｵｰﾄﾁｭｰﾌﾞ</t>
    <phoneticPr fontId="9"/>
  </si>
  <si>
    <t>SUNCO</t>
    <phoneticPr fontId="11"/>
  </si>
  <si>
    <t>CSHBTT-ST-M5-14</t>
    <phoneticPr fontId="9"/>
  </si>
  <si>
    <t>低頭六角穴付ボルト スチール 黒色酸化被膜</t>
    <phoneticPr fontId="9"/>
  </si>
  <si>
    <t>NBMP5-16-15-B</t>
    <phoneticPr fontId="9"/>
  </si>
  <si>
    <t>　　　図面NO.　SETB-0313-A01</t>
    <rPh sb="3" eb="5">
      <t>ズメン</t>
    </rPh>
    <phoneticPr fontId="9"/>
  </si>
  <si>
    <t xml:space="preserve">Ｎo.229903 </t>
    <phoneticPr fontId="9"/>
  </si>
  <si>
    <t>MVTUP-ACB-4EU-H1D8B</t>
    <phoneticPr fontId="9"/>
  </si>
  <si>
    <r>
      <rPr>
        <b/>
        <sz val="11"/>
        <color theme="1"/>
        <rFont val="ＭＳ Ｐゴシック"/>
        <family val="3"/>
        <charset val="128"/>
        <scheme val="minor"/>
      </rPr>
      <t>10</t>
    </r>
    <r>
      <rPr>
        <sz val="11"/>
        <color theme="1"/>
        <rFont val="ＭＳ Ｐゴシック"/>
        <family val="3"/>
        <charset val="128"/>
        <scheme val="minor"/>
      </rPr>
      <t>日目</t>
    </r>
    <rPh sb="2" eb="3">
      <t>ヒ</t>
    </rPh>
    <rPh sb="3" eb="4">
      <t>メ</t>
    </rPh>
    <phoneticPr fontId="11"/>
  </si>
  <si>
    <t>3セット   SETB0313-A01　SV51+ATD200W　ｵｰﾄﾁｭｰﾌﾞﾂｰﾙ治具　20260109</t>
    <phoneticPr fontId="9"/>
  </si>
  <si>
    <r>
      <t>SETB0313-Y02</t>
    </r>
    <r>
      <rPr>
        <b/>
        <sz val="11"/>
        <color rgb="FFFF0000"/>
        <rFont val="ＭＳ Ｐゴシック"/>
        <family val="3"/>
        <charset val="128"/>
        <scheme val="minor"/>
      </rPr>
      <t>-1</t>
    </r>
    <r>
      <rPr>
        <sz val="11"/>
        <color theme="1"/>
        <rFont val="ＭＳ Ｐゴシック"/>
        <family val="3"/>
        <charset val="128"/>
        <scheme val="minor"/>
      </rPr>
      <t xml:space="preserve"> 温調ノズル</t>
    </r>
    <phoneticPr fontId="11"/>
  </si>
  <si>
    <t>パッド付つまみノブ</t>
    <phoneticPr fontId="9"/>
  </si>
  <si>
    <t>SBCB5-8</t>
    <phoneticPr fontId="9"/>
  </si>
  <si>
    <t>六角穴付ボタンボルト</t>
    <phoneticPr fontId="9"/>
  </si>
  <si>
    <t>NA3UCRSB-20-2-12</t>
    <phoneticPr fontId="11"/>
  </si>
  <si>
    <t>GS300RSB-AWG24-2-24</t>
    <phoneticPr fontId="11"/>
  </si>
  <si>
    <t>GS300RSB-AWG24-2-24</t>
    <phoneticPr fontId="9"/>
  </si>
  <si>
    <r>
      <t>SETZJ-JF0010-04</t>
    </r>
    <r>
      <rPr>
        <b/>
        <sz val="11"/>
        <color rgb="FFFF0000"/>
        <rFont val="ＭＳ Ｐゴシック"/>
        <family val="3"/>
        <charset val="128"/>
        <scheme val="minor"/>
      </rPr>
      <t>-3</t>
    </r>
    <phoneticPr fontId="9"/>
  </si>
  <si>
    <t>MVBLK-AMW-4EU-M4XSY</t>
    <phoneticPr fontId="9"/>
  </si>
  <si>
    <r>
      <t>SETZJ-JF0010-03-</t>
    </r>
    <r>
      <rPr>
        <b/>
        <sz val="11"/>
        <color rgb="FFFF0000"/>
        <rFont val="ＭＳ Ｐゴシック"/>
        <family val="3"/>
        <charset val="128"/>
        <scheme val="minor"/>
      </rPr>
      <t>2</t>
    </r>
    <phoneticPr fontId="9"/>
  </si>
  <si>
    <t>MVBLK-AMW-4EU-D7N4Z</t>
    <phoneticPr fontId="9"/>
  </si>
  <si>
    <t>②</t>
    <phoneticPr fontId="9"/>
  </si>
  <si>
    <t>MVTUP-ACB-4EU-DYEJH</t>
    <phoneticPr fontId="9"/>
  </si>
  <si>
    <t>AB24C3C733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</si>
</sst>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25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b/>
      <sz val="14"/>
      <color indexed="8"/>
      <name val="ＭＳ Ｐゴシック"/>
      <family val="3"/>
      <charset val="128"/>
    </font>
    <font>
      <b/>
      <sz val="12"/>
      <color indexed="8"/>
      <name val="ＭＳ Ｐゴシック"/>
      <family val="3"/>
      <charset val="128"/>
    </font>
    <font>
      <b/>
      <sz val="14"/>
      <color theme="9" tint="-0.249977111117893"/>
      <name val="ＭＳ Ｐ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</cellStyleXfs>
  <cellXfs count="130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76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17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178" fontId="0" fillId="0" borderId="7" xfId="0" applyNumberForma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56" fontId="0" fillId="0" borderId="7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7" xfId="0" applyNumberFormat="1" applyBorder="1">
      <alignment vertical="center"/>
    </xf>
    <xf numFmtId="176" fontId="0" fillId="0" borderId="7" xfId="0" applyNumberFormat="1" applyBorder="1" applyAlignment="1"/>
    <xf numFmtId="176" fontId="0" fillId="0" borderId="8" xfId="0" applyNumberFormat="1" applyBorder="1" applyAlignment="1"/>
    <xf numFmtId="0" fontId="8" fillId="0" borderId="7" xfId="0" applyFont="1" applyBorder="1" applyAlignment="1">
      <alignment horizontal="left" vertical="center" shrinkToFit="1"/>
    </xf>
    <xf numFmtId="49" fontId="8" fillId="0" borderId="7" xfId="0" applyNumberFormat="1" applyFont="1" applyBorder="1" applyAlignment="1">
      <alignment horizontal="left" vertical="center"/>
    </xf>
    <xf numFmtId="38" fontId="0" fillId="0" borderId="7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shrinkToFit="1"/>
    </xf>
    <xf numFmtId="0" fontId="0" fillId="0" borderId="7" xfId="0" applyBorder="1" applyAlignment="1">
      <alignment vertical="center" shrinkToFit="1"/>
    </xf>
    <xf numFmtId="0" fontId="0" fillId="0" borderId="6" xfId="0" applyBorder="1" applyAlignment="1">
      <alignment vertical="center" shrinkToFit="1"/>
    </xf>
    <xf numFmtId="176" fontId="7" fillId="0" borderId="1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3" fontId="0" fillId="7" borderId="7" xfId="0" applyNumberFormat="1" applyFill="1" applyBorder="1" applyAlignment="1">
      <alignment horizontal="center" vertical="center"/>
    </xf>
    <xf numFmtId="3" fontId="8" fillId="0" borderId="7" xfId="0" applyNumberFormat="1" applyFon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76" fontId="7" fillId="0" borderId="7" xfId="0" applyNumberFormat="1" applyFont="1" applyBorder="1">
      <alignment vertical="center"/>
    </xf>
    <xf numFmtId="56" fontId="0" fillId="0" borderId="8" xfId="0" applyNumberFormat="1" applyBorder="1" applyAlignment="1">
      <alignment horizontal="center" vertical="center"/>
    </xf>
    <xf numFmtId="179" fontId="0" fillId="0" borderId="7" xfId="0" applyNumberFormat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3" fontId="13" fillId="0" borderId="7" xfId="0" applyNumberFormat="1" applyFont="1" applyBorder="1" applyAlignment="1">
      <alignment horizontal="center" vertical="center"/>
    </xf>
    <xf numFmtId="176" fontId="0" fillId="0" borderId="0" xfId="0" applyNumberFormat="1" applyAlignment="1"/>
    <xf numFmtId="0" fontId="10" fillId="0" borderId="7" xfId="0" applyFont="1" applyBorder="1">
      <alignment vertical="center"/>
    </xf>
    <xf numFmtId="176" fontId="7" fillId="0" borderId="14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6" fontId="20" fillId="4" borderId="7" xfId="0" applyNumberFormat="1" applyFont="1" applyFill="1" applyBorder="1" applyAlignment="1">
      <alignment horizontal="center" vertical="center"/>
    </xf>
    <xf numFmtId="176" fontId="17" fillId="4" borderId="0" xfId="0" applyNumberFormat="1" applyFont="1" applyFill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3" xfId="0" applyBorder="1" applyAlignment="1">
      <alignment vertical="center" shrinkToFit="1"/>
    </xf>
    <xf numFmtId="177" fontId="0" fillId="0" borderId="7" xfId="0" applyNumberFormat="1" applyBorder="1" applyAlignment="1">
      <alignment horizontal="center" vertical="center"/>
    </xf>
    <xf numFmtId="3" fontId="0" fillId="7" borderId="9" xfId="0" applyNumberFormat="1" applyFill="1" applyBorder="1" applyAlignment="1">
      <alignment horizontal="center" vertical="center"/>
    </xf>
    <xf numFmtId="0" fontId="19" fillId="10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vertical="center"/>
    </xf>
    <xf numFmtId="0" fontId="8" fillId="0" borderId="6" xfId="0" applyFont="1" applyBorder="1" applyAlignment="1">
      <alignment vertical="center" shrinkToFit="1"/>
    </xf>
    <xf numFmtId="0" fontId="0" fillId="8" borderId="7" xfId="0" applyFill="1" applyBorder="1">
      <alignment vertical="center"/>
    </xf>
    <xf numFmtId="0" fontId="13" fillId="8" borderId="7" xfId="0" applyFont="1" applyFill="1" applyBorder="1" applyAlignment="1">
      <alignment horizontal="center" vertical="center"/>
    </xf>
    <xf numFmtId="0" fontId="0" fillId="8" borderId="0" xfId="0" applyFill="1">
      <alignment vertical="center"/>
    </xf>
    <xf numFmtId="0" fontId="8" fillId="0" borderId="0" xfId="0" applyFont="1" applyAlignment="1">
      <alignment vertical="center" wrapText="1"/>
    </xf>
    <xf numFmtId="0" fontId="22" fillId="0" borderId="7" xfId="0" applyFont="1" applyBorder="1" applyAlignment="1">
      <alignment horizontal="center" vertical="center" shrinkToFit="1"/>
    </xf>
    <xf numFmtId="0" fontId="22" fillId="0" borderId="7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179" fontId="16" fillId="0" borderId="7" xfId="0" applyNumberFormat="1" applyFont="1" applyBorder="1" applyAlignment="1">
      <alignment horizontal="center" vertical="center"/>
    </xf>
    <xf numFmtId="178" fontId="16" fillId="0" borderId="7" xfId="0" applyNumberFormat="1" applyFont="1" applyBorder="1" applyAlignment="1">
      <alignment horizontal="center" vertical="center"/>
    </xf>
    <xf numFmtId="176" fontId="0" fillId="0" borderId="7" xfId="0" applyNumberFormat="1" applyBorder="1" applyAlignment="1">
      <alignment horizontal="right" vertical="center"/>
    </xf>
    <xf numFmtId="0" fontId="0" fillId="0" borderId="7" xfId="0" applyBorder="1" applyAlignment="1">
      <alignment horizontal="center" vertical="center" shrinkToFit="1"/>
    </xf>
    <xf numFmtId="179" fontId="0" fillId="0" borderId="4" xfId="0" applyNumberFormat="1" applyBorder="1" applyAlignment="1">
      <alignment horizontal="center" vertical="center"/>
    </xf>
    <xf numFmtId="179" fontId="0" fillId="0" borderId="2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49" fontId="13" fillId="0" borderId="7" xfId="0" applyNumberFormat="1" applyFont="1" applyBorder="1" applyAlignment="1">
      <alignment horizontal="left" vertical="center"/>
    </xf>
    <xf numFmtId="0" fontId="13" fillId="0" borderId="7" xfId="0" applyFont="1" applyBorder="1" applyAlignment="1">
      <alignment horizontal="center" vertical="center"/>
    </xf>
    <xf numFmtId="38" fontId="13" fillId="0" borderId="7" xfId="0" applyNumberFormat="1" applyFont="1" applyBorder="1" applyAlignment="1">
      <alignment horizontal="right" vertical="center"/>
    </xf>
    <xf numFmtId="176" fontId="7" fillId="0" borderId="7" xfId="0" applyNumberFormat="1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3" fontId="13" fillId="10" borderId="7" xfId="0" applyNumberFormat="1" applyFont="1" applyFill="1" applyBorder="1" applyAlignment="1">
      <alignment horizontal="center" vertical="center"/>
    </xf>
    <xf numFmtId="49" fontId="13" fillId="8" borderId="7" xfId="0" applyNumberFormat="1" applyFont="1" applyFill="1" applyBorder="1" applyAlignment="1">
      <alignment horizontal="left" vertical="center"/>
    </xf>
    <xf numFmtId="49" fontId="8" fillId="8" borderId="7" xfId="0" applyNumberFormat="1" applyFont="1" applyFill="1" applyBorder="1" applyAlignment="1">
      <alignment horizontal="left" vertical="center"/>
    </xf>
    <xf numFmtId="0" fontId="0" fillId="8" borderId="7" xfId="0" applyFill="1" applyBorder="1" applyAlignment="1">
      <alignment horizontal="center" vertical="center"/>
    </xf>
    <xf numFmtId="49" fontId="0" fillId="8" borderId="7" xfId="0" applyNumberFormat="1" applyFill="1" applyBorder="1" applyAlignment="1">
      <alignment horizontal="left" vertical="center"/>
    </xf>
    <xf numFmtId="176" fontId="0" fillId="8" borderId="7" xfId="0" applyNumberFormat="1" applyFill="1" applyBorder="1" applyAlignment="1">
      <alignment horizontal="center" vertical="center"/>
    </xf>
    <xf numFmtId="0" fontId="12" fillId="8" borderId="7" xfId="0" applyFont="1" applyFill="1" applyBorder="1">
      <alignment vertical="center"/>
    </xf>
    <xf numFmtId="0" fontId="13" fillId="8" borderId="7" xfId="0" applyFont="1" applyFill="1" applyBorder="1" applyAlignment="1">
      <alignment horizontal="left" vertical="center"/>
    </xf>
    <xf numFmtId="49" fontId="12" fillId="8" borderId="7" xfId="0" applyNumberFormat="1" applyFont="1" applyFill="1" applyBorder="1">
      <alignment vertical="center"/>
    </xf>
    <xf numFmtId="0" fontId="19" fillId="8" borderId="7" xfId="0" applyFont="1" applyFill="1" applyBorder="1" applyAlignment="1">
      <alignment horizontal="center" vertical="center"/>
    </xf>
    <xf numFmtId="176" fontId="8" fillId="8" borderId="7" xfId="0" applyNumberFormat="1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3" fontId="0" fillId="8" borderId="7" xfId="0" applyNumberFormat="1" applyFill="1" applyBorder="1" applyAlignment="1">
      <alignment horizontal="center" vertical="center"/>
    </xf>
    <xf numFmtId="38" fontId="13" fillId="8" borderId="7" xfId="0" applyNumberFormat="1" applyFont="1" applyFill="1" applyBorder="1" applyAlignment="1">
      <alignment horizontal="center" vertical="center"/>
    </xf>
    <xf numFmtId="38" fontId="12" fillId="8" borderId="7" xfId="0" applyNumberFormat="1" applyFont="1" applyFill="1" applyBorder="1" applyAlignment="1">
      <alignment horizontal="center" vertical="center"/>
    </xf>
    <xf numFmtId="3" fontId="13" fillId="8" borderId="7" xfId="0" applyNumberFormat="1" applyFont="1" applyFill="1" applyBorder="1" applyAlignment="1">
      <alignment horizontal="center" vertical="center"/>
    </xf>
    <xf numFmtId="176" fontId="13" fillId="8" borderId="7" xfId="0" applyNumberFormat="1" applyFont="1" applyFill="1" applyBorder="1" applyAlignment="1">
      <alignment horizontal="center" vertical="center"/>
    </xf>
    <xf numFmtId="3" fontId="0" fillId="8" borderId="8" xfId="0" applyNumberFormat="1" applyFill="1" applyBorder="1" applyAlignment="1">
      <alignment horizontal="center" vertical="center"/>
    </xf>
    <xf numFmtId="38" fontId="0" fillId="8" borderId="7" xfId="0" applyNumberFormat="1" applyFill="1" applyBorder="1" applyAlignment="1">
      <alignment horizontal="center" vertical="center"/>
    </xf>
    <xf numFmtId="3" fontId="13" fillId="8" borderId="8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1" fillId="11" borderId="7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76" fontId="7" fillId="0" borderId="2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3" fontId="18" fillId="3" borderId="10" xfId="0" applyNumberFormat="1" applyFont="1" applyFill="1" applyBorder="1" applyAlignment="1">
      <alignment horizontal="center" vertical="center"/>
    </xf>
    <xf numFmtId="3" fontId="18" fillId="3" borderId="15" xfId="0" applyNumberFormat="1" applyFont="1" applyFill="1" applyBorder="1" applyAlignment="1">
      <alignment horizontal="center" vertical="center"/>
    </xf>
    <xf numFmtId="3" fontId="18" fillId="3" borderId="11" xfId="0" applyNumberFormat="1" applyFont="1" applyFill="1" applyBorder="1" applyAlignment="1">
      <alignment horizontal="center" vertical="center"/>
    </xf>
  </cellXfs>
  <cellStyles count="5">
    <cellStyle name="ハイパーリンク" xfId="2" xr:uid="{00000000-0005-0000-0000-000000000000}"/>
    <cellStyle name="標準" xfId="0" builtinId="0"/>
    <cellStyle name="標準 2" xfId="4" xr:uid="{C2CBC382-4BC1-4D3B-B64A-4DC2C10C5618}"/>
    <cellStyle name="標準 3" xfId="3" xr:uid="{1B9717F3-D5E1-4047-8E84-2BA2544C8F2B}"/>
    <cellStyle name="表示済みのハイパーリンク" xfId="1" xr:uid="{00000000-0005-0000-0000-000003000000}"/>
  </cellStyles>
  <dxfs count="0"/>
  <tableStyles count="0" defaultTableStyle="TableStyleMedium9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F7FBA-D796-401E-B40D-F0B1F4D410F2}">
  <sheetPr>
    <tabColor rgb="FF00B0F0"/>
  </sheetPr>
  <dimension ref="A2:R53"/>
  <sheetViews>
    <sheetView tabSelected="1" zoomScale="85" zoomScaleNormal="85" workbookViewId="0">
      <pane ySplit="8" topLeftCell="A9" activePane="bottomLeft" state="frozen"/>
      <selection activeCell="B1" sqref="B1"/>
      <selection pane="bottomLeft" activeCell="H15" sqref="H15"/>
    </sheetView>
  </sheetViews>
  <sheetFormatPr defaultColWidth="11.77734375" defaultRowHeight="13.5" customHeight="1" x14ac:dyDescent="0.2"/>
  <cols>
    <col min="1" max="1" width="18.6640625" customWidth="1"/>
    <col min="2" max="2" width="17" customWidth="1"/>
    <col min="3" max="3" width="6.21875" style="5" customWidth="1"/>
    <col min="4" max="4" width="15.21875" customWidth="1"/>
    <col min="5" max="5" width="15.44140625" customWidth="1"/>
    <col min="6" max="6" width="71.44140625" customWidth="1"/>
    <col min="7" max="7" width="10.77734375" style="5" customWidth="1"/>
    <col min="8" max="9" width="12.109375" style="5" customWidth="1"/>
    <col min="10" max="10" width="7.109375" style="10" customWidth="1"/>
    <col min="11" max="11" width="50.44140625" customWidth="1"/>
    <col min="12" max="12" width="24.44140625" customWidth="1"/>
    <col min="13" max="13" width="19.109375" style="5" customWidth="1"/>
    <col min="14" max="14" width="12" style="5" customWidth="1"/>
    <col min="15" max="15" width="9.21875" customWidth="1"/>
    <col min="16" max="16" width="16.33203125" style="5" customWidth="1"/>
    <col min="17" max="17" width="17.88671875" style="30" customWidth="1"/>
    <col min="18" max="18" width="19.33203125" style="30" customWidth="1"/>
  </cols>
  <sheetData>
    <row r="2" spans="1:18" ht="20.100000000000001" customHeight="1" x14ac:dyDescent="0.2">
      <c r="C2" s="114" t="s">
        <v>0</v>
      </c>
      <c r="D2" s="114"/>
      <c r="E2" s="114"/>
      <c r="F2" s="77" t="s">
        <v>45</v>
      </c>
      <c r="H2" s="115" t="s">
        <v>1</v>
      </c>
      <c r="I2" s="116"/>
      <c r="J2" s="117"/>
      <c r="K2" s="9">
        <f>SUM(I:I)</f>
        <v>280635</v>
      </c>
    </row>
    <row r="3" spans="1:18" ht="20.100000000000001" customHeight="1" x14ac:dyDescent="0.2">
      <c r="C3" s="114" t="s">
        <v>2</v>
      </c>
      <c r="D3" s="114"/>
      <c r="E3" s="114"/>
      <c r="F3" s="78" t="s">
        <v>46</v>
      </c>
    </row>
    <row r="4" spans="1:18" ht="20.100000000000001" customHeight="1" x14ac:dyDescent="0.2">
      <c r="C4" s="114" t="s">
        <v>3</v>
      </c>
      <c r="D4" s="114"/>
      <c r="E4" s="114"/>
      <c r="F4" s="7" t="s">
        <v>72</v>
      </c>
      <c r="H4" s="118" t="s">
        <v>87</v>
      </c>
      <c r="I4" s="76"/>
      <c r="J4" s="119" t="s">
        <v>75</v>
      </c>
      <c r="K4" s="119"/>
      <c r="L4" s="119"/>
    </row>
    <row r="5" spans="1:18" ht="20.100000000000001" customHeight="1" x14ac:dyDescent="0.2">
      <c r="C5" s="114" t="s">
        <v>4</v>
      </c>
      <c r="D5" s="114"/>
      <c r="E5" s="114"/>
      <c r="F5" s="8">
        <v>46070</v>
      </c>
      <c r="H5" s="118"/>
      <c r="I5" s="76"/>
      <c r="J5" s="119"/>
      <c r="K5" s="119"/>
      <c r="L5" s="119"/>
    </row>
    <row r="6" spans="1:18" ht="20.100000000000001" customHeight="1" x14ac:dyDescent="0.2">
      <c r="C6" s="114" t="s">
        <v>5</v>
      </c>
      <c r="D6" s="114"/>
      <c r="E6" s="114"/>
      <c r="F6" s="8">
        <v>46071</v>
      </c>
      <c r="H6" s="123" t="s">
        <v>71</v>
      </c>
      <c r="I6" s="123"/>
      <c r="J6" s="123"/>
      <c r="K6" s="123"/>
    </row>
    <row r="8" spans="1:18" s="5" customFormat="1" ht="19.5" customHeight="1" x14ac:dyDescent="0.2">
      <c r="A8" s="71" t="s">
        <v>42</v>
      </c>
      <c r="B8" s="48" t="s">
        <v>31</v>
      </c>
      <c r="C8" s="47" t="s">
        <v>6</v>
      </c>
      <c r="D8" s="2" t="s">
        <v>7</v>
      </c>
      <c r="E8" s="2" t="s">
        <v>8</v>
      </c>
      <c r="F8" s="17" t="s">
        <v>9</v>
      </c>
      <c r="G8" s="17" t="s">
        <v>10</v>
      </c>
      <c r="H8" s="17" t="s">
        <v>11</v>
      </c>
      <c r="I8" s="1" t="s">
        <v>12</v>
      </c>
      <c r="J8" s="1" t="s">
        <v>13</v>
      </c>
      <c r="K8" s="17" t="s">
        <v>14</v>
      </c>
      <c r="L8" s="17" t="s">
        <v>15</v>
      </c>
      <c r="M8" s="17" t="s">
        <v>16</v>
      </c>
      <c r="N8" s="19" t="s">
        <v>17</v>
      </c>
      <c r="O8" s="2" t="s">
        <v>18</v>
      </c>
      <c r="P8" s="17" t="s">
        <v>19</v>
      </c>
      <c r="Q8" s="19" t="s">
        <v>20</v>
      </c>
      <c r="R8" s="6" t="s">
        <v>21</v>
      </c>
    </row>
    <row r="9" spans="1:18" s="5" customFormat="1" ht="19.5" customHeight="1" x14ac:dyDescent="0.2">
      <c r="C9" s="50"/>
      <c r="D9" s="51"/>
      <c r="E9" s="51"/>
      <c r="F9" s="42"/>
      <c r="G9" s="15"/>
      <c r="H9" s="15"/>
      <c r="I9" s="15"/>
      <c r="J9" s="11"/>
      <c r="K9" s="16"/>
      <c r="L9" s="17"/>
      <c r="M9" s="17"/>
      <c r="N9" s="19"/>
      <c r="O9" s="2"/>
      <c r="P9" s="17"/>
      <c r="Q9" s="19"/>
      <c r="R9" s="6"/>
    </row>
    <row r="10" spans="1:18" s="5" customFormat="1" ht="19.5" customHeight="1" x14ac:dyDescent="0.2">
      <c r="C10" s="50"/>
      <c r="D10" s="51"/>
      <c r="E10" s="51"/>
      <c r="F10" s="42"/>
      <c r="G10" s="15"/>
      <c r="H10" s="15"/>
      <c r="I10" s="15"/>
      <c r="J10" s="11"/>
      <c r="K10" s="16"/>
      <c r="L10" s="17"/>
      <c r="M10" s="17"/>
      <c r="N10" s="19"/>
      <c r="O10" s="2"/>
      <c r="P10" s="17"/>
      <c r="Q10" s="19"/>
      <c r="R10" s="6"/>
    </row>
    <row r="11" spans="1:18" ht="18" customHeight="1" x14ac:dyDescent="0.2">
      <c r="B11" s="75"/>
      <c r="C11" s="124" t="s">
        <v>47</v>
      </c>
      <c r="D11" s="125"/>
      <c r="E11" s="125"/>
      <c r="F11" s="126"/>
      <c r="G11" s="21"/>
      <c r="H11" s="21"/>
      <c r="I11" s="15"/>
      <c r="J11" s="11"/>
      <c r="K11" s="13"/>
      <c r="L11" s="18"/>
      <c r="M11" s="3"/>
      <c r="N11" s="19"/>
      <c r="O11" s="6"/>
      <c r="P11" s="6"/>
      <c r="Q11" s="19"/>
      <c r="R11" s="12"/>
    </row>
    <row r="12" spans="1:18" s="5" customFormat="1" ht="19.5" customHeight="1" x14ac:dyDescent="0.2">
      <c r="A12" s="105" t="s">
        <v>74</v>
      </c>
      <c r="B12" s="103">
        <v>8</v>
      </c>
      <c r="C12" s="25">
        <v>1</v>
      </c>
      <c r="D12" s="45" t="s">
        <v>26</v>
      </c>
      <c r="E12" s="23" t="s">
        <v>25</v>
      </c>
      <c r="F12" s="98" t="s">
        <v>73</v>
      </c>
      <c r="G12" s="97">
        <v>3</v>
      </c>
      <c r="H12" s="97">
        <v>17848</v>
      </c>
      <c r="I12" s="97">
        <f t="shared" ref="I12:I24" si="0">G12*H12</f>
        <v>53544</v>
      </c>
      <c r="J12" s="34"/>
      <c r="K12" s="44" t="s">
        <v>64</v>
      </c>
      <c r="L12" s="22"/>
      <c r="M12" s="79" t="s">
        <v>89</v>
      </c>
      <c r="N12" s="80">
        <v>46048</v>
      </c>
      <c r="O12" s="25"/>
      <c r="P12" s="29">
        <v>46070</v>
      </c>
      <c r="Q12" s="80">
        <v>46071</v>
      </c>
      <c r="R12" s="81"/>
    </row>
    <row r="13" spans="1:18" s="5" customFormat="1" ht="19.5" customHeight="1" x14ac:dyDescent="0.2">
      <c r="A13" s="95" t="s">
        <v>32</v>
      </c>
      <c r="B13" s="103">
        <v>8</v>
      </c>
      <c r="C13" s="25">
        <f t="shared" ref="C13:C24" si="1">+C12+1</f>
        <v>2</v>
      </c>
      <c r="D13" s="45" t="s">
        <v>26</v>
      </c>
      <c r="E13" s="23" t="s">
        <v>25</v>
      </c>
      <c r="F13" s="98" t="s">
        <v>88</v>
      </c>
      <c r="G13" s="97">
        <v>3</v>
      </c>
      <c r="H13" s="97">
        <v>15140</v>
      </c>
      <c r="I13" s="97">
        <f t="shared" si="0"/>
        <v>45420</v>
      </c>
      <c r="J13" s="34"/>
      <c r="K13" s="44" t="s">
        <v>76</v>
      </c>
      <c r="L13" s="22"/>
      <c r="M13" s="79" t="s">
        <v>89</v>
      </c>
      <c r="N13" s="80">
        <v>46048</v>
      </c>
      <c r="O13" s="25"/>
      <c r="P13" s="29">
        <v>46070</v>
      </c>
      <c r="Q13" s="80">
        <v>46071</v>
      </c>
      <c r="R13" s="81"/>
    </row>
    <row r="14" spans="1:18" s="5" customFormat="1" ht="19.5" customHeight="1" x14ac:dyDescent="0.2">
      <c r="A14" s="95" t="s">
        <v>28</v>
      </c>
      <c r="B14" s="103">
        <v>8</v>
      </c>
      <c r="C14" s="25">
        <f t="shared" si="1"/>
        <v>3</v>
      </c>
      <c r="D14" s="25" t="s">
        <v>25</v>
      </c>
      <c r="E14" s="25" t="s">
        <v>25</v>
      </c>
      <c r="F14" s="94" t="s">
        <v>65</v>
      </c>
      <c r="G14" s="95">
        <v>6</v>
      </c>
      <c r="H14" s="106">
        <v>82</v>
      </c>
      <c r="I14" s="97">
        <f t="shared" si="0"/>
        <v>492</v>
      </c>
      <c r="J14" s="24"/>
      <c r="K14" s="22" t="s">
        <v>49</v>
      </c>
      <c r="L14" s="22"/>
      <c r="M14" s="79" t="s">
        <v>89</v>
      </c>
      <c r="N14" s="80">
        <v>46048</v>
      </c>
      <c r="O14" s="25"/>
      <c r="P14" s="29">
        <v>46070</v>
      </c>
      <c r="Q14" s="80">
        <v>46071</v>
      </c>
      <c r="R14" s="81"/>
    </row>
    <row r="15" spans="1:18" s="5" customFormat="1" ht="19.5" customHeight="1" x14ac:dyDescent="0.2">
      <c r="A15" s="95" t="s">
        <v>28</v>
      </c>
      <c r="B15" s="103">
        <v>8</v>
      </c>
      <c r="C15" s="25">
        <f t="shared" si="1"/>
        <v>4</v>
      </c>
      <c r="D15" s="25" t="s">
        <v>25</v>
      </c>
      <c r="E15" s="25" t="s">
        <v>25</v>
      </c>
      <c r="F15" s="96" t="s">
        <v>50</v>
      </c>
      <c r="G15" s="95">
        <v>12</v>
      </c>
      <c r="H15" s="106">
        <v>37</v>
      </c>
      <c r="I15" s="97">
        <f>G15*H15</f>
        <v>444</v>
      </c>
      <c r="J15" s="24"/>
      <c r="K15" s="22" t="s">
        <v>49</v>
      </c>
      <c r="L15" s="22"/>
      <c r="M15" s="79" t="s">
        <v>89</v>
      </c>
      <c r="N15" s="80">
        <v>46048</v>
      </c>
      <c r="O15" s="25"/>
      <c r="P15" s="29">
        <v>46070</v>
      </c>
      <c r="Q15" s="80">
        <v>46071</v>
      </c>
      <c r="R15" s="81"/>
    </row>
    <row r="16" spans="1:18" s="5" customFormat="1" ht="19.5" customHeight="1" x14ac:dyDescent="0.2">
      <c r="A16" s="95" t="s">
        <v>28</v>
      </c>
      <c r="B16" s="103">
        <v>8</v>
      </c>
      <c r="C16" s="25">
        <f t="shared" si="1"/>
        <v>5</v>
      </c>
      <c r="D16" s="25" t="s">
        <v>25</v>
      </c>
      <c r="E16" s="25" t="s">
        <v>25</v>
      </c>
      <c r="F16" s="98" t="s">
        <v>51</v>
      </c>
      <c r="G16" s="97">
        <v>3</v>
      </c>
      <c r="H16" s="97">
        <v>3910</v>
      </c>
      <c r="I16" s="97">
        <f t="shared" si="0"/>
        <v>11730</v>
      </c>
      <c r="J16" s="34"/>
      <c r="K16" s="26" t="s">
        <v>52</v>
      </c>
      <c r="L16" s="22"/>
      <c r="M16" s="79" t="s">
        <v>89</v>
      </c>
      <c r="N16" s="80">
        <v>46048</v>
      </c>
      <c r="O16" s="25"/>
      <c r="P16" s="29">
        <v>46070</v>
      </c>
      <c r="Q16" s="80">
        <v>46071</v>
      </c>
      <c r="R16" s="81"/>
    </row>
    <row r="17" spans="1:18" s="5" customFormat="1" ht="19.5" customHeight="1" x14ac:dyDescent="0.2">
      <c r="A17" s="105" t="s">
        <v>28</v>
      </c>
      <c r="B17" s="103">
        <v>8</v>
      </c>
      <c r="C17" s="25">
        <f t="shared" si="1"/>
        <v>6</v>
      </c>
      <c r="D17" s="25" t="s">
        <v>25</v>
      </c>
      <c r="E17" s="25" t="s">
        <v>25</v>
      </c>
      <c r="F17" s="98" t="s">
        <v>53</v>
      </c>
      <c r="G17" s="97">
        <v>3</v>
      </c>
      <c r="H17" s="97">
        <v>2029</v>
      </c>
      <c r="I17" s="97">
        <f t="shared" si="0"/>
        <v>6087</v>
      </c>
      <c r="J17" s="34"/>
      <c r="K17" s="26" t="s">
        <v>54</v>
      </c>
      <c r="L17" s="22"/>
      <c r="M17" s="79" t="s">
        <v>89</v>
      </c>
      <c r="N17" s="80">
        <v>46048</v>
      </c>
      <c r="O17" s="25"/>
      <c r="P17" s="29">
        <v>46070</v>
      </c>
      <c r="Q17" s="80">
        <v>46071</v>
      </c>
      <c r="R17" s="81"/>
    </row>
    <row r="18" spans="1:18" s="5" customFormat="1" ht="19.5" customHeight="1" x14ac:dyDescent="0.2">
      <c r="A18" s="95" t="s">
        <v>28</v>
      </c>
      <c r="B18" s="103">
        <v>8</v>
      </c>
      <c r="C18" s="25">
        <f>+C17+1</f>
        <v>7</v>
      </c>
      <c r="D18" s="25" t="s">
        <v>25</v>
      </c>
      <c r="E18" s="25" t="s">
        <v>25</v>
      </c>
      <c r="F18" s="94" t="s">
        <v>55</v>
      </c>
      <c r="G18" s="95">
        <v>1</v>
      </c>
      <c r="H18" s="106">
        <v>2267</v>
      </c>
      <c r="I18" s="97">
        <f>G18*H18</f>
        <v>2267</v>
      </c>
      <c r="J18" s="24"/>
      <c r="K18" s="22" t="s">
        <v>56</v>
      </c>
      <c r="L18" s="22"/>
      <c r="M18" s="79" t="s">
        <v>89</v>
      </c>
      <c r="N18" s="80">
        <v>46048</v>
      </c>
      <c r="O18" s="25"/>
      <c r="P18" s="29">
        <v>46070</v>
      </c>
      <c r="Q18" s="80">
        <v>46071</v>
      </c>
      <c r="R18" s="81"/>
    </row>
    <row r="19" spans="1:18" s="5" customFormat="1" ht="19.5" customHeight="1" x14ac:dyDescent="0.2">
      <c r="A19" s="95" t="s">
        <v>28</v>
      </c>
      <c r="B19" s="103">
        <v>8</v>
      </c>
      <c r="C19" s="25">
        <f t="shared" ref="C19:C23" si="2">+C18+1</f>
        <v>8</v>
      </c>
      <c r="D19" s="25" t="s">
        <v>25</v>
      </c>
      <c r="E19" s="25" t="s">
        <v>25</v>
      </c>
      <c r="F19" s="99" t="s">
        <v>36</v>
      </c>
      <c r="G19" s="95">
        <v>3</v>
      </c>
      <c r="H19" s="106">
        <v>2575</v>
      </c>
      <c r="I19" s="111">
        <f t="shared" si="0"/>
        <v>7725</v>
      </c>
      <c r="J19" s="24"/>
      <c r="K19" s="26" t="s">
        <v>37</v>
      </c>
      <c r="L19" s="22"/>
      <c r="M19" s="79" t="s">
        <v>89</v>
      </c>
      <c r="N19" s="80">
        <v>46048</v>
      </c>
      <c r="O19" s="25"/>
      <c r="P19" s="29">
        <v>46070</v>
      </c>
      <c r="Q19" s="80">
        <v>46071</v>
      </c>
      <c r="R19" s="81"/>
    </row>
    <row r="20" spans="1:18" s="5" customFormat="1" ht="19.5" customHeight="1" x14ac:dyDescent="0.2">
      <c r="A20" s="95" t="s">
        <v>28</v>
      </c>
      <c r="B20" s="103">
        <v>8</v>
      </c>
      <c r="C20" s="25">
        <f t="shared" si="2"/>
        <v>9</v>
      </c>
      <c r="D20" s="25" t="s">
        <v>57</v>
      </c>
      <c r="E20" s="25" t="s">
        <v>25</v>
      </c>
      <c r="F20" s="99" t="s">
        <v>58</v>
      </c>
      <c r="G20" s="95">
        <v>3</v>
      </c>
      <c r="H20" s="106">
        <v>3564</v>
      </c>
      <c r="I20" s="111">
        <f t="shared" si="0"/>
        <v>10692</v>
      </c>
      <c r="J20" s="24"/>
      <c r="K20" s="26" t="s">
        <v>59</v>
      </c>
      <c r="L20" s="22"/>
      <c r="M20" s="79" t="s">
        <v>89</v>
      </c>
      <c r="N20" s="80">
        <v>46048</v>
      </c>
      <c r="O20" s="25"/>
      <c r="P20" s="29">
        <v>46070</v>
      </c>
      <c r="Q20" s="80">
        <v>46071</v>
      </c>
      <c r="R20" s="81"/>
    </row>
    <row r="21" spans="1:18" s="5" customFormat="1" ht="19.5" customHeight="1" x14ac:dyDescent="0.2">
      <c r="A21" s="95" t="s">
        <v>28</v>
      </c>
      <c r="B21" s="103">
        <v>8</v>
      </c>
      <c r="C21" s="25">
        <f t="shared" si="2"/>
        <v>10</v>
      </c>
      <c r="D21" s="25" t="s">
        <v>25</v>
      </c>
      <c r="E21" s="25" t="s">
        <v>25</v>
      </c>
      <c r="F21" s="99" t="s">
        <v>78</v>
      </c>
      <c r="G21" s="95">
        <v>3</v>
      </c>
      <c r="H21" s="106">
        <v>20</v>
      </c>
      <c r="I21" s="111">
        <f t="shared" si="0"/>
        <v>60</v>
      </c>
      <c r="J21" s="24"/>
      <c r="K21" s="44" t="s">
        <v>79</v>
      </c>
      <c r="L21" s="22"/>
      <c r="M21" s="79" t="s">
        <v>89</v>
      </c>
      <c r="N21" s="80">
        <v>46048</v>
      </c>
      <c r="O21" s="25"/>
      <c r="P21" s="29">
        <v>46070</v>
      </c>
      <c r="Q21" s="80">
        <v>46071</v>
      </c>
      <c r="R21" s="81"/>
    </row>
    <row r="22" spans="1:18" s="5" customFormat="1" ht="19.5" customHeight="1" x14ac:dyDescent="0.2">
      <c r="A22" s="95" t="s">
        <v>29</v>
      </c>
      <c r="B22" s="103">
        <v>8</v>
      </c>
      <c r="C22" s="25">
        <f t="shared" si="2"/>
        <v>11</v>
      </c>
      <c r="D22" s="25" t="s">
        <v>25</v>
      </c>
      <c r="E22" s="25" t="s">
        <v>25</v>
      </c>
      <c r="F22" s="99" t="s">
        <v>60</v>
      </c>
      <c r="G22" s="95">
        <v>3</v>
      </c>
      <c r="H22" s="106">
        <v>469</v>
      </c>
      <c r="I22" s="111">
        <f t="shared" si="0"/>
        <v>1407</v>
      </c>
      <c r="J22" s="24"/>
      <c r="K22" s="26" t="s">
        <v>61</v>
      </c>
      <c r="L22" s="22"/>
      <c r="M22" s="79" t="s">
        <v>89</v>
      </c>
      <c r="N22" s="80">
        <v>46048</v>
      </c>
      <c r="O22" s="25"/>
      <c r="P22" s="29">
        <v>46070</v>
      </c>
      <c r="Q22" s="80">
        <v>46071</v>
      </c>
      <c r="R22" s="81"/>
    </row>
    <row r="23" spans="1:18" s="5" customFormat="1" ht="19.5" customHeight="1" x14ac:dyDescent="0.2">
      <c r="A23" s="95" t="s">
        <v>28</v>
      </c>
      <c r="B23" s="103">
        <v>8</v>
      </c>
      <c r="C23" s="25">
        <f t="shared" si="2"/>
        <v>12</v>
      </c>
      <c r="D23" s="58" t="s">
        <v>25</v>
      </c>
      <c r="E23" s="58" t="s">
        <v>25</v>
      </c>
      <c r="F23" s="93" t="s">
        <v>80</v>
      </c>
      <c r="G23" s="74">
        <v>1</v>
      </c>
      <c r="H23" s="107">
        <v>16553</v>
      </c>
      <c r="I23" s="112">
        <f t="shared" si="0"/>
        <v>16553</v>
      </c>
      <c r="J23" s="24"/>
      <c r="K23" s="60" t="s">
        <v>33</v>
      </c>
      <c r="L23" s="22"/>
      <c r="M23" s="79" t="s">
        <v>89</v>
      </c>
      <c r="N23" s="80">
        <v>46048</v>
      </c>
      <c r="O23" s="25"/>
      <c r="P23" s="29">
        <v>46070</v>
      </c>
      <c r="Q23" s="80">
        <v>46071</v>
      </c>
      <c r="R23" s="81"/>
    </row>
    <row r="24" spans="1:18" s="5" customFormat="1" ht="19.5" customHeight="1" x14ac:dyDescent="0.2">
      <c r="A24" s="95" t="s">
        <v>28</v>
      </c>
      <c r="B24" s="103">
        <v>8</v>
      </c>
      <c r="C24" s="25">
        <f t="shared" si="1"/>
        <v>13</v>
      </c>
      <c r="D24" s="58" t="s">
        <v>62</v>
      </c>
      <c r="E24" s="58" t="s">
        <v>25</v>
      </c>
      <c r="F24" s="93" t="s">
        <v>81</v>
      </c>
      <c r="G24" s="74">
        <v>1</v>
      </c>
      <c r="H24" s="107">
        <v>9858</v>
      </c>
      <c r="I24" s="112">
        <f t="shared" si="0"/>
        <v>9858</v>
      </c>
      <c r="J24" s="24"/>
      <c r="K24" s="60" t="s">
        <v>63</v>
      </c>
      <c r="L24" s="22"/>
      <c r="M24" s="79" t="s">
        <v>89</v>
      </c>
      <c r="N24" s="80">
        <v>46048</v>
      </c>
      <c r="O24" s="25"/>
      <c r="P24" s="29">
        <v>46070</v>
      </c>
      <c r="Q24" s="80">
        <v>46071</v>
      </c>
      <c r="R24" s="81"/>
    </row>
    <row r="25" spans="1:18" ht="17.399999999999999" customHeight="1" x14ac:dyDescent="0.2">
      <c r="A25" s="62"/>
      <c r="B25" s="63"/>
      <c r="C25" s="28"/>
      <c r="D25" s="62"/>
      <c r="E25" s="62"/>
      <c r="F25" s="36"/>
      <c r="G25" s="23"/>
      <c r="H25" s="37"/>
      <c r="I25" s="31"/>
      <c r="J25" s="33"/>
      <c r="K25" s="35"/>
      <c r="L25" s="41"/>
      <c r="M25" s="83"/>
      <c r="N25" s="55"/>
      <c r="O25" s="68"/>
      <c r="P25" s="29"/>
      <c r="Q25" s="29"/>
      <c r="R25" s="27"/>
    </row>
    <row r="26" spans="1:18" ht="18" customHeight="1" x14ac:dyDescent="0.2">
      <c r="A26" s="22"/>
      <c r="B26" s="22"/>
      <c r="C26" s="39"/>
      <c r="D26" s="25"/>
      <c r="E26" s="32"/>
      <c r="F26" s="65">
        <f>SUM(I12:I25)</f>
        <v>166279</v>
      </c>
      <c r="G26" s="54"/>
      <c r="H26" s="54"/>
      <c r="I26" s="54"/>
      <c r="J26" s="59"/>
      <c r="K26" s="66"/>
      <c r="L26" s="67"/>
      <c r="M26" s="40"/>
      <c r="N26" s="84"/>
      <c r="O26" s="68"/>
      <c r="P26" s="68"/>
      <c r="Q26" s="56"/>
      <c r="R26" s="27"/>
    </row>
    <row r="27" spans="1:18" ht="18" customHeight="1" x14ac:dyDescent="0.2">
      <c r="A27" s="22"/>
      <c r="B27" s="22"/>
      <c r="C27" s="39"/>
      <c r="D27" s="25"/>
      <c r="E27" s="32"/>
      <c r="F27" s="61"/>
      <c r="G27" s="43"/>
      <c r="H27" s="43"/>
      <c r="I27" s="43"/>
      <c r="J27" s="33"/>
      <c r="K27" s="26"/>
      <c r="L27" s="42"/>
      <c r="M27" s="3"/>
      <c r="N27" s="85"/>
      <c r="O27" s="68"/>
      <c r="P27" s="68"/>
      <c r="Q27" s="56"/>
      <c r="R27" s="27"/>
    </row>
    <row r="28" spans="1:18" ht="18" customHeight="1" x14ac:dyDescent="0.2">
      <c r="A28" s="22"/>
      <c r="B28" s="22"/>
      <c r="C28" s="39"/>
      <c r="D28" s="25"/>
      <c r="E28" s="32"/>
      <c r="F28" s="90"/>
      <c r="G28" s="43"/>
      <c r="H28" s="43"/>
      <c r="I28" s="43"/>
      <c r="J28" s="33"/>
      <c r="K28" s="26"/>
      <c r="L28" s="42"/>
      <c r="M28" s="3"/>
      <c r="N28" s="19"/>
      <c r="O28" s="6"/>
      <c r="P28" s="6"/>
      <c r="Q28" s="19"/>
      <c r="R28" s="12"/>
    </row>
    <row r="29" spans="1:18" ht="18" customHeight="1" x14ac:dyDescent="0.2">
      <c r="A29" s="22"/>
      <c r="B29" s="73"/>
      <c r="C29" s="39"/>
      <c r="D29" s="127" t="s">
        <v>48</v>
      </c>
      <c r="E29" s="128"/>
      <c r="F29" s="129"/>
      <c r="G29" s="43"/>
      <c r="H29" s="43"/>
      <c r="I29" s="43"/>
      <c r="J29" s="33"/>
      <c r="K29" s="26"/>
      <c r="L29" s="42"/>
      <c r="M29" s="3"/>
      <c r="N29" s="19"/>
      <c r="O29" s="6"/>
      <c r="P29" s="6"/>
      <c r="Q29" s="19"/>
      <c r="R29" s="12"/>
    </row>
    <row r="30" spans="1:18" ht="18" customHeight="1" x14ac:dyDescent="0.2">
      <c r="A30" s="95" t="s">
        <v>28</v>
      </c>
      <c r="B30" s="57">
        <v>9</v>
      </c>
      <c r="C30" s="69">
        <f>+C24+1</f>
        <v>14</v>
      </c>
      <c r="D30" s="58" t="s">
        <v>25</v>
      </c>
      <c r="E30" s="58" t="s">
        <v>25</v>
      </c>
      <c r="F30" s="93" t="s">
        <v>80</v>
      </c>
      <c r="G30" s="74">
        <v>1</v>
      </c>
      <c r="H30" s="107">
        <v>16553</v>
      </c>
      <c r="I30" s="107">
        <f t="shared" ref="I30:I39" si="3">G30*H30</f>
        <v>16553</v>
      </c>
      <c r="J30" s="24"/>
      <c r="K30" s="60" t="s">
        <v>33</v>
      </c>
      <c r="L30" s="72" t="s">
        <v>66</v>
      </c>
      <c r="M30" s="79" t="s">
        <v>89</v>
      </c>
      <c r="N30" s="80">
        <v>46048</v>
      </c>
      <c r="O30" s="25"/>
      <c r="P30" s="29">
        <v>46070</v>
      </c>
      <c r="Q30" s="80">
        <v>46071</v>
      </c>
      <c r="R30" s="12"/>
    </row>
    <row r="31" spans="1:18" ht="18" customHeight="1" x14ac:dyDescent="0.2">
      <c r="A31" s="95" t="s">
        <v>28</v>
      </c>
      <c r="B31" s="57">
        <v>9</v>
      </c>
      <c r="C31" s="69">
        <f t="shared" ref="C31:C39" si="4">+C30+1</f>
        <v>15</v>
      </c>
      <c r="D31" s="58" t="s">
        <v>25</v>
      </c>
      <c r="E31" s="58" t="s">
        <v>25</v>
      </c>
      <c r="F31" s="93" t="s">
        <v>82</v>
      </c>
      <c r="G31" s="74">
        <v>1</v>
      </c>
      <c r="H31" s="107">
        <v>9858</v>
      </c>
      <c r="I31" s="107">
        <f t="shared" si="3"/>
        <v>9858</v>
      </c>
      <c r="J31" s="24"/>
      <c r="K31" s="60" t="s">
        <v>38</v>
      </c>
      <c r="L31" s="72" t="s">
        <v>66</v>
      </c>
      <c r="M31" s="79" t="s">
        <v>89</v>
      </c>
      <c r="N31" s="80">
        <v>46048</v>
      </c>
      <c r="O31" s="25"/>
      <c r="P31" s="29">
        <v>46070</v>
      </c>
      <c r="Q31" s="80">
        <v>46071</v>
      </c>
      <c r="R31" s="12"/>
    </row>
    <row r="32" spans="1:18" ht="18" customHeight="1" x14ac:dyDescent="0.2">
      <c r="A32" s="95" t="s">
        <v>28</v>
      </c>
      <c r="B32" s="57">
        <v>9</v>
      </c>
      <c r="C32" s="69">
        <f t="shared" si="4"/>
        <v>16</v>
      </c>
      <c r="D32" s="58" t="s">
        <v>25</v>
      </c>
      <c r="E32" s="58" t="s">
        <v>25</v>
      </c>
      <c r="F32" s="100" t="s">
        <v>34</v>
      </c>
      <c r="G32" s="74">
        <v>6</v>
      </c>
      <c r="H32" s="108">
        <v>667</v>
      </c>
      <c r="I32" s="107">
        <f t="shared" si="3"/>
        <v>4002</v>
      </c>
      <c r="J32" s="24"/>
      <c r="K32" s="60" t="s">
        <v>35</v>
      </c>
      <c r="L32" s="72" t="s">
        <v>66</v>
      </c>
      <c r="M32" s="79" t="s">
        <v>89</v>
      </c>
      <c r="N32" s="80">
        <v>46048</v>
      </c>
      <c r="O32" s="25"/>
      <c r="P32" s="29">
        <v>46070</v>
      </c>
      <c r="Q32" s="80">
        <v>46071</v>
      </c>
      <c r="R32" s="12"/>
    </row>
    <row r="33" spans="1:18" ht="18" customHeight="1" x14ac:dyDescent="0.2">
      <c r="A33" s="95" t="s">
        <v>28</v>
      </c>
      <c r="B33" s="57">
        <v>9</v>
      </c>
      <c r="C33" s="69">
        <f t="shared" si="4"/>
        <v>17</v>
      </c>
      <c r="D33" s="92" t="s">
        <v>39</v>
      </c>
      <c r="E33" s="58" t="s">
        <v>25</v>
      </c>
      <c r="F33" s="99" t="s">
        <v>40</v>
      </c>
      <c r="G33" s="101">
        <v>3</v>
      </c>
      <c r="H33" s="109">
        <v>306</v>
      </c>
      <c r="I33" s="113">
        <f t="shared" si="3"/>
        <v>918</v>
      </c>
      <c r="J33" s="91"/>
      <c r="K33" s="70" t="s">
        <v>41</v>
      </c>
      <c r="L33" s="72" t="s">
        <v>66</v>
      </c>
      <c r="M33" s="79" t="s">
        <v>89</v>
      </c>
      <c r="N33" s="80">
        <v>46048</v>
      </c>
      <c r="O33" s="25"/>
      <c r="P33" s="29">
        <v>46070</v>
      </c>
      <c r="Q33" s="80">
        <v>46071</v>
      </c>
      <c r="R33" s="12"/>
    </row>
    <row r="34" spans="1:18" ht="18" customHeight="1" x14ac:dyDescent="0.2">
      <c r="A34" s="95" t="s">
        <v>28</v>
      </c>
      <c r="B34" s="57">
        <v>9</v>
      </c>
      <c r="C34" s="69">
        <f t="shared" si="4"/>
        <v>18</v>
      </c>
      <c r="D34" s="25" t="s">
        <v>25</v>
      </c>
      <c r="E34" s="25" t="s">
        <v>25</v>
      </c>
      <c r="F34" s="99" t="s">
        <v>36</v>
      </c>
      <c r="G34" s="95">
        <v>3</v>
      </c>
      <c r="H34" s="109">
        <v>2575</v>
      </c>
      <c r="I34" s="113">
        <f t="shared" si="3"/>
        <v>7725</v>
      </c>
      <c r="J34" s="24"/>
      <c r="K34" s="26" t="s">
        <v>37</v>
      </c>
      <c r="L34" s="72" t="s">
        <v>66</v>
      </c>
      <c r="M34" s="79" t="s">
        <v>89</v>
      </c>
      <c r="N34" s="80">
        <v>46048</v>
      </c>
      <c r="O34" s="25"/>
      <c r="P34" s="29">
        <v>46070</v>
      </c>
      <c r="Q34" s="80">
        <v>46071</v>
      </c>
      <c r="R34" s="12"/>
    </row>
    <row r="35" spans="1:18" ht="18" customHeight="1" x14ac:dyDescent="0.2">
      <c r="A35" s="74" t="s">
        <v>27</v>
      </c>
      <c r="B35" s="104">
        <v>12</v>
      </c>
      <c r="C35" s="69">
        <f t="shared" si="4"/>
        <v>19</v>
      </c>
      <c r="D35" s="45" t="s">
        <v>26</v>
      </c>
      <c r="E35" s="25" t="s">
        <v>25</v>
      </c>
      <c r="F35" s="93" t="s">
        <v>84</v>
      </c>
      <c r="G35" s="97">
        <v>3</v>
      </c>
      <c r="H35" s="110">
        <v>15726</v>
      </c>
      <c r="I35" s="110">
        <f t="shared" si="3"/>
        <v>47178</v>
      </c>
      <c r="J35" s="34"/>
      <c r="K35" s="35" t="s">
        <v>83</v>
      </c>
      <c r="L35" s="72" t="s">
        <v>66</v>
      </c>
      <c r="M35" s="79" t="s">
        <v>89</v>
      </c>
      <c r="N35" s="80">
        <v>46048</v>
      </c>
      <c r="O35" s="25"/>
      <c r="P35" s="29">
        <v>46070</v>
      </c>
      <c r="Q35" s="80">
        <v>46071</v>
      </c>
      <c r="R35" s="12"/>
    </row>
    <row r="36" spans="1:18" ht="18" customHeight="1" x14ac:dyDescent="0.2">
      <c r="A36" s="74" t="s">
        <v>27</v>
      </c>
      <c r="B36" s="104">
        <v>12</v>
      </c>
      <c r="C36" s="69">
        <f t="shared" si="4"/>
        <v>20</v>
      </c>
      <c r="D36" s="46" t="s">
        <v>67</v>
      </c>
      <c r="E36" s="25" t="s">
        <v>25</v>
      </c>
      <c r="F36" s="94" t="s">
        <v>68</v>
      </c>
      <c r="G36" s="97">
        <v>6</v>
      </c>
      <c r="H36" s="110">
        <v>45</v>
      </c>
      <c r="I36" s="110">
        <f t="shared" si="3"/>
        <v>270</v>
      </c>
      <c r="J36" s="34"/>
      <c r="K36" s="35" t="s">
        <v>69</v>
      </c>
      <c r="L36" s="72" t="s">
        <v>66</v>
      </c>
      <c r="M36" s="79" t="s">
        <v>89</v>
      </c>
      <c r="N36" s="80">
        <v>46048</v>
      </c>
      <c r="O36" s="25"/>
      <c r="P36" s="29">
        <v>46070</v>
      </c>
      <c r="Q36" s="80">
        <v>46071</v>
      </c>
      <c r="R36" s="12"/>
    </row>
    <row r="37" spans="1:18" ht="18" customHeight="1" x14ac:dyDescent="0.2">
      <c r="A37" s="74" t="s">
        <v>44</v>
      </c>
      <c r="B37" s="104">
        <v>12</v>
      </c>
      <c r="C37" s="69">
        <f t="shared" si="4"/>
        <v>21</v>
      </c>
      <c r="D37" s="25" t="s">
        <v>25</v>
      </c>
      <c r="E37" s="25" t="s">
        <v>25</v>
      </c>
      <c r="F37" s="94" t="s">
        <v>70</v>
      </c>
      <c r="G37" s="97">
        <v>9</v>
      </c>
      <c r="H37" s="110">
        <v>258</v>
      </c>
      <c r="I37" s="110">
        <f t="shared" si="3"/>
        <v>2322</v>
      </c>
      <c r="J37" s="34"/>
      <c r="K37" s="35" t="s">
        <v>77</v>
      </c>
      <c r="L37" s="72" t="s">
        <v>66</v>
      </c>
      <c r="M37" s="79" t="s">
        <v>89</v>
      </c>
      <c r="N37" s="80">
        <v>46048</v>
      </c>
      <c r="O37" s="25"/>
      <c r="P37" s="29">
        <v>46070</v>
      </c>
      <c r="Q37" s="80">
        <v>46071</v>
      </c>
      <c r="R37" s="12"/>
    </row>
    <row r="38" spans="1:18" ht="18" customHeight="1" x14ac:dyDescent="0.2">
      <c r="A38" s="95" t="s">
        <v>28</v>
      </c>
      <c r="B38" s="104">
        <v>12</v>
      </c>
      <c r="C38" s="69">
        <f t="shared" si="4"/>
        <v>22</v>
      </c>
      <c r="D38" s="45" t="s">
        <v>26</v>
      </c>
      <c r="E38" s="25" t="s">
        <v>25</v>
      </c>
      <c r="F38" s="94" t="s">
        <v>86</v>
      </c>
      <c r="G38" s="97">
        <v>3</v>
      </c>
      <c r="H38" s="110">
        <v>8305</v>
      </c>
      <c r="I38" s="110">
        <f t="shared" si="3"/>
        <v>24915</v>
      </c>
      <c r="J38" s="34"/>
      <c r="K38" s="35" t="s">
        <v>85</v>
      </c>
      <c r="L38" s="72" t="s">
        <v>66</v>
      </c>
      <c r="M38" s="79" t="s">
        <v>89</v>
      </c>
      <c r="N38" s="80">
        <v>46048</v>
      </c>
      <c r="O38" s="25"/>
      <c r="P38" s="29">
        <v>46070</v>
      </c>
      <c r="Q38" s="80">
        <v>46071</v>
      </c>
      <c r="R38" s="12"/>
    </row>
    <row r="39" spans="1:18" ht="18" customHeight="1" x14ac:dyDescent="0.2">
      <c r="A39" s="95" t="s">
        <v>28</v>
      </c>
      <c r="B39" s="104">
        <v>12</v>
      </c>
      <c r="C39" s="69">
        <f t="shared" si="4"/>
        <v>23</v>
      </c>
      <c r="D39" s="25" t="s">
        <v>25</v>
      </c>
      <c r="E39" s="25" t="s">
        <v>25</v>
      </c>
      <c r="F39" s="94" t="s">
        <v>30</v>
      </c>
      <c r="G39" s="102">
        <v>15</v>
      </c>
      <c r="H39" s="110">
        <v>41</v>
      </c>
      <c r="I39" s="110">
        <f t="shared" si="3"/>
        <v>615</v>
      </c>
      <c r="J39" s="34"/>
      <c r="K39" s="35" t="s">
        <v>43</v>
      </c>
      <c r="L39" s="72" t="s">
        <v>66</v>
      </c>
      <c r="M39" s="79" t="s">
        <v>89</v>
      </c>
      <c r="N39" s="80">
        <v>46048</v>
      </c>
      <c r="O39" s="25"/>
      <c r="P39" s="29">
        <v>46070</v>
      </c>
      <c r="Q39" s="80">
        <v>46071</v>
      </c>
      <c r="R39" s="12"/>
    </row>
    <row r="40" spans="1:18" ht="18" customHeight="1" x14ac:dyDescent="0.2">
      <c r="A40" s="23"/>
      <c r="B40" s="48"/>
      <c r="C40" s="86"/>
      <c r="D40" s="25"/>
      <c r="E40" s="25"/>
      <c r="F40" s="87"/>
      <c r="G40" s="88"/>
      <c r="H40" s="89"/>
      <c r="I40" s="82"/>
      <c r="J40" s="24"/>
      <c r="K40" s="60"/>
      <c r="L40" s="72"/>
      <c r="M40" s="3"/>
      <c r="N40" s="19"/>
      <c r="O40" s="6"/>
      <c r="P40" s="6"/>
      <c r="Q40" s="19"/>
      <c r="R40" s="12"/>
    </row>
    <row r="41" spans="1:18" ht="18" customHeight="1" x14ac:dyDescent="0.2">
      <c r="A41" s="22"/>
      <c r="B41" s="22"/>
      <c r="C41" s="39"/>
      <c r="D41" s="25"/>
      <c r="E41" s="32"/>
      <c r="F41" s="64">
        <f>SUM(I30:I40)</f>
        <v>114356</v>
      </c>
      <c r="G41" s="43"/>
      <c r="H41" s="43"/>
      <c r="I41" s="43"/>
      <c r="J41" s="33"/>
      <c r="K41" s="26"/>
      <c r="L41" s="42"/>
      <c r="M41" s="3"/>
      <c r="N41" s="19"/>
      <c r="O41" s="6"/>
      <c r="P41" s="6"/>
      <c r="Q41" s="19"/>
      <c r="R41" s="12"/>
    </row>
    <row r="42" spans="1:18" ht="18" customHeight="1" x14ac:dyDescent="0.2">
      <c r="A42" s="22"/>
      <c r="B42" s="22"/>
      <c r="C42" s="39"/>
      <c r="D42" s="25"/>
      <c r="E42" s="32"/>
      <c r="F42" s="61"/>
      <c r="G42" s="43"/>
      <c r="H42" s="43"/>
      <c r="I42" s="43"/>
      <c r="J42" s="33"/>
      <c r="K42" s="26"/>
      <c r="L42" s="42"/>
      <c r="M42" s="3"/>
      <c r="N42" s="19"/>
      <c r="O42" s="6"/>
      <c r="P42" s="6"/>
      <c r="Q42" s="19"/>
      <c r="R42" s="12"/>
    </row>
    <row r="43" spans="1:18" ht="18" customHeight="1" x14ac:dyDescent="0.2">
      <c r="A43" s="22"/>
      <c r="B43" s="22"/>
      <c r="C43" s="39"/>
      <c r="D43" s="25"/>
      <c r="E43" s="32"/>
      <c r="F43" s="61"/>
      <c r="G43" s="43"/>
      <c r="H43" s="43"/>
      <c r="I43" s="43"/>
      <c r="J43" s="33"/>
      <c r="K43" s="26"/>
      <c r="L43" s="42"/>
      <c r="M43" s="3"/>
      <c r="N43" s="19"/>
      <c r="O43" s="6"/>
      <c r="P43" s="6"/>
      <c r="Q43" s="19"/>
      <c r="R43" s="12"/>
    </row>
    <row r="44" spans="1:18" ht="18" customHeight="1" x14ac:dyDescent="0.2">
      <c r="A44" s="22"/>
      <c r="B44" s="22"/>
      <c r="C44" s="39"/>
      <c r="D44" s="25"/>
      <c r="E44" s="32"/>
      <c r="F44" s="61"/>
      <c r="G44" s="43"/>
      <c r="H44" s="43"/>
      <c r="I44" s="43"/>
      <c r="J44" s="33"/>
      <c r="K44" s="26"/>
      <c r="L44" s="42"/>
      <c r="M44" s="3"/>
      <c r="N44" s="19"/>
      <c r="O44" s="6"/>
      <c r="P44" s="6"/>
      <c r="Q44" s="19"/>
      <c r="R44" s="12"/>
    </row>
    <row r="45" spans="1:18" ht="18" customHeight="1" x14ac:dyDescent="0.2">
      <c r="A45" s="22"/>
      <c r="B45" s="22"/>
      <c r="C45" s="39"/>
      <c r="D45" s="25"/>
      <c r="E45" s="32"/>
      <c r="F45" s="61"/>
      <c r="G45" s="43"/>
      <c r="H45" s="43"/>
      <c r="I45" s="43"/>
      <c r="J45" s="33"/>
      <c r="K45" s="26"/>
      <c r="L45" s="42"/>
      <c r="M45" s="3"/>
      <c r="N45" s="19"/>
      <c r="O45" s="6"/>
      <c r="P45" s="6"/>
      <c r="Q45" s="19"/>
      <c r="R45" s="12"/>
    </row>
    <row r="46" spans="1:18" ht="18" customHeight="1" x14ac:dyDescent="0.2">
      <c r="C46" s="17"/>
      <c r="D46" s="2"/>
      <c r="E46" s="2"/>
      <c r="F46" s="13"/>
      <c r="G46" s="53"/>
      <c r="H46" s="53"/>
      <c r="I46" s="38"/>
      <c r="J46" s="1"/>
      <c r="K46" s="13"/>
      <c r="L46" s="18"/>
      <c r="M46" s="3"/>
      <c r="N46" s="19"/>
      <c r="O46" s="6"/>
      <c r="P46" s="6"/>
      <c r="Q46" s="19"/>
      <c r="R46" s="12"/>
    </row>
    <row r="47" spans="1:18" ht="18" customHeight="1" x14ac:dyDescent="0.2">
      <c r="C47" s="17"/>
      <c r="D47" s="17"/>
      <c r="E47" s="17"/>
      <c r="F47" s="18" t="s">
        <v>22</v>
      </c>
      <c r="G47" s="15"/>
      <c r="H47" s="15"/>
      <c r="I47" s="15">
        <f>G47*H47</f>
        <v>0</v>
      </c>
      <c r="J47" s="11"/>
      <c r="K47" s="13" t="s">
        <v>23</v>
      </c>
      <c r="L47" s="20"/>
      <c r="M47" s="17"/>
      <c r="N47" s="19"/>
      <c r="O47" s="20"/>
      <c r="P47" s="17"/>
      <c r="Q47" s="19"/>
      <c r="R47" s="12"/>
    </row>
    <row r="48" spans="1:18" ht="18" customHeight="1" x14ac:dyDescent="0.2">
      <c r="B48" s="49">
        <v>4</v>
      </c>
      <c r="C48" s="52"/>
      <c r="D48" s="2"/>
      <c r="E48" s="2"/>
      <c r="F48" s="18" t="s">
        <v>23</v>
      </c>
      <c r="G48" s="15"/>
      <c r="H48" s="15">
        <v>5000</v>
      </c>
      <c r="I48" s="15">
        <f>G48*H48</f>
        <v>0</v>
      </c>
      <c r="J48" s="11"/>
      <c r="K48" s="13" t="s">
        <v>24</v>
      </c>
      <c r="L48" s="20"/>
      <c r="M48" s="17"/>
      <c r="N48" s="19"/>
      <c r="O48" s="20"/>
      <c r="P48" s="17"/>
      <c r="Q48" s="19"/>
      <c r="R48" s="6"/>
    </row>
    <row r="49" spans="3:18" ht="18" customHeight="1" x14ac:dyDescent="0.2">
      <c r="C49" s="17"/>
      <c r="D49" s="2"/>
      <c r="E49" s="2"/>
      <c r="F49" s="18" t="s">
        <v>24</v>
      </c>
      <c r="G49" s="15"/>
      <c r="H49" s="15"/>
      <c r="I49" s="15">
        <f>G49*H49</f>
        <v>0</v>
      </c>
      <c r="J49" s="11"/>
      <c r="K49" s="3"/>
      <c r="L49" s="20"/>
      <c r="M49" s="17"/>
      <c r="N49" s="17"/>
      <c r="O49" s="20"/>
      <c r="P49" s="17"/>
      <c r="Q49" s="6"/>
      <c r="R49" s="6"/>
    </row>
    <row r="50" spans="3:18" ht="18" customHeight="1" x14ac:dyDescent="0.2">
      <c r="C50" s="17"/>
      <c r="D50" s="2"/>
      <c r="E50" s="2"/>
      <c r="F50" s="120"/>
      <c r="G50" s="121"/>
      <c r="H50" s="121"/>
      <c r="I50" s="122"/>
      <c r="J50" s="4"/>
      <c r="K50" s="14"/>
    </row>
    <row r="51" spans="3:18" ht="18" customHeight="1" x14ac:dyDescent="0.2"/>
    <row r="52" spans="3:18" ht="18" customHeight="1" x14ac:dyDescent="0.2"/>
    <row r="53" spans="3:18" ht="18" customHeight="1" x14ac:dyDescent="0.2"/>
  </sheetData>
  <autoFilter ref="C8:P53" xr:uid="{00000000-0009-0000-0000-000003000000}"/>
  <mergeCells count="12">
    <mergeCell ref="F50:I50"/>
    <mergeCell ref="C6:E6"/>
    <mergeCell ref="H6:K6"/>
    <mergeCell ref="C11:F11"/>
    <mergeCell ref="D29:F29"/>
    <mergeCell ref="C2:E2"/>
    <mergeCell ref="H2:J2"/>
    <mergeCell ref="C3:E3"/>
    <mergeCell ref="C4:E4"/>
    <mergeCell ref="H4:H5"/>
    <mergeCell ref="J4:L5"/>
    <mergeCell ref="C5:E5"/>
  </mergeCells>
  <phoneticPr fontId="9"/>
  <dataValidations count="2">
    <dataValidation imeMode="hiragana" allowBlank="1" showInputMessage="1" showErrorMessage="1" sqref="WVS12:WVS18 JG12:JG18 TC12:TC18 ACY12:ACY18 AMU12:AMU18 AWQ12:AWQ18 BGM12:BGM18 BQI12:BQI18 CAE12:CAE18 CKA12:CKA18 CTW12:CTW18 DDS12:DDS18 DNO12:DNO18 DXK12:DXK18 EHG12:EHG18 ERC12:ERC18 FAY12:FAY18 FKU12:FKU18 FUQ12:FUQ18 GEM12:GEM18 GOI12:GOI18 GYE12:GYE18 HIA12:HIA18 HRW12:HRW18 IBS12:IBS18 ILO12:ILO18 IVK12:IVK18 JFG12:JFG18 JPC12:JPC18 JYY12:JYY18 KIU12:KIU18 KSQ12:KSQ18 LCM12:LCM18 LMI12:LMI18 LWE12:LWE18 MGA12:MGA18 MPW12:MPW18 MZS12:MZS18 NJO12:NJO18 NTK12:NTK18 ODG12:ODG18 ONC12:ONC18 OWY12:OWY18 PGU12:PGU18 PQQ12:PQQ18 QAM12:QAM18 QKI12:QKI18 QUE12:QUE18 REA12:REA18 RNW12:RNW18 RXS12:RXS18 SHO12:SHO18 SRK12:SRK18 TBG12:TBG18 TLC12:TLC18 TUY12:TUY18 UEU12:UEU18 UOQ12:UOQ18 UYM12:UYM18 VII12:VII18 VSE12:VSE18 WCA12:WCA18 WLW12:WLW18 K12:K18" xr:uid="{23C48D5A-EB91-4EB7-99D4-8CB5699F3CE6}"/>
    <dataValidation allowBlank="1" showInputMessage="1" showErrorMessage="1" sqref="K41:K45 K26:K29" xr:uid="{7EBACCD2-D5FE-41F3-8DE4-6C2B9CDF8BEA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G25" sqref="G25"/>
    </sheetView>
  </sheetViews>
  <sheetFormatPr defaultColWidth="11.77734375" defaultRowHeight="13.5" customHeight="1" x14ac:dyDescent="0.2"/>
  <sheetData/>
  <phoneticPr fontId="9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②原価一覧 (20260126) 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齋藤 秀昭</cp:lastModifiedBy>
  <cp:lastPrinted>2023-01-13T04:52:35Z</cp:lastPrinted>
  <dcterms:created xsi:type="dcterms:W3CDTF">2016-05-16T08:05:24Z</dcterms:created>
  <dcterms:modified xsi:type="dcterms:W3CDTF">2026-02-03T00:08:01Z</dcterms:modified>
</cp:coreProperties>
</file>