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E5BE383-6AED-44EF-B3ED-5724F07D80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原価表" sheetId="1" r:id="rId1"/>
    <sheet name="表紙" sheetId="2" r:id="rId2"/>
  </sheets>
  <definedNames>
    <definedName name="_xlnm._FilterDatabase" localSheetId="0" hidden="1">原価表!$B$9:$O$15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3" i="1"/>
  <c r="H14" i="1"/>
  <c r="H10" i="1" l="1"/>
  <c r="J2" i="1" l="1"/>
</calcChain>
</file>

<file path=xl/sharedStrings.xml><?xml version="1.0" encoding="utf-8"?>
<sst xmlns="http://schemas.openxmlformats.org/spreadsheetml/2006/main" count="47" uniqueCount="33">
  <si>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</si>
  <si>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</si>
  <si>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</si>
  <si>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</si>
  <si>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</si>
  <si>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</si>
  <si>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</si>
  <si>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</si>
  <si>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</si>
  <si>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</si>
  <si>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</si>
  <si>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</si>
  <si>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</si>
  <si>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</si>
  <si>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</si>
  <si>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</si>
  <si>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</si>
  <si>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</si>
  <si>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</si>
  <si>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</si>
  <si>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</si>
  <si>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</si>
  <si>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</si>
  <si>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株式会社啓愛社</t>
    <rPh sb="0" eb="4">
      <t>カブシキカイシャ</t>
    </rPh>
    <rPh sb="4" eb="7">
      <t>ケイアイシャ</t>
    </rPh>
    <phoneticPr fontId="1"/>
  </si>
  <si>
    <t>富永</t>
    <rPh sb="0" eb="2">
      <t>トミナガ</t>
    </rPh>
    <phoneticPr fontId="1"/>
  </si>
  <si>
    <t>ﾂｰﾙｼﾞｸﾞ</t>
    <phoneticPr fontId="1"/>
  </si>
  <si>
    <t>テルモ改造</t>
    <rPh sb="3" eb="5">
      <t>カイゾウ</t>
    </rPh>
    <phoneticPr fontId="1"/>
  </si>
  <si>
    <t>改修基本料（回）</t>
    <rPh sb="0" eb="2">
      <t>カイシュウ</t>
    </rPh>
    <rPh sb="2" eb="5">
      <t>キホンリョウ</t>
    </rPh>
    <rPh sb="6" eb="7">
      <t>カイ</t>
    </rPh>
    <phoneticPr fontId="1"/>
  </si>
  <si>
    <t>改修技術料(H)</t>
    <rPh sb="0" eb="2">
      <t>カイシュウ</t>
    </rPh>
    <rPh sb="2" eb="5">
      <t>ギジュツリョウ</t>
    </rPh>
    <phoneticPr fontId="1"/>
  </si>
  <si>
    <t>柱両持(OH275)</t>
    <rPh sb="0" eb="1">
      <t>ハシラ</t>
    </rPh>
    <rPh sb="1" eb="3">
      <t>リョウモ</t>
    </rPh>
    <phoneticPr fontId="1"/>
  </si>
  <si>
    <t>新規梱包材一式(OH275用)</t>
    <rPh sb="0" eb="2">
      <t>シンキ</t>
    </rPh>
    <rPh sb="2" eb="5">
      <t>コンポウザイ</t>
    </rPh>
    <rPh sb="5" eb="7">
      <t>イッシキ</t>
    </rPh>
    <rPh sb="13" eb="14">
      <t>ヨウ</t>
    </rPh>
    <phoneticPr fontId="1"/>
  </si>
  <si>
    <t>JANOME</t>
    <phoneticPr fontId="5"/>
  </si>
  <si>
    <t>送料</t>
    <rPh sb="0" eb="2">
      <t>ソウリョウ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</si>
</sst>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6" fillId="0" borderId="0" xfId="0" applyNumberFormat="1" applyFont="1">
      <alignment vertical="center"/>
    </xf>
    <xf numFmtId="56" fontId="0" fillId="0" borderId="1" xfId="0" applyNumberFormat="1" applyBorder="1" applyAlignment="1">
      <alignment horizontal="center"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38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38" fontId="0" fillId="0" borderId="0" xfId="0" applyNumberFormat="1" applyAlignment="1">
      <alignment horizontal="left" vertical="center"/>
    </xf>
    <xf numFmtId="179" fontId="0" fillId="0" borderId="1" xfId="0" applyNumberFormat="1" applyBorder="1" applyAlignment="1">
      <alignment horizontal="lef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49" fontId="0" fillId="0" borderId="1" xfId="0" applyNumberFormat="1" applyBorder="1">
      <alignment vertical="center"/>
    </xf>
    <xf numFmtId="3" fontId="0" fillId="0" borderId="6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5"/>
  <sheetViews>
    <sheetView tabSelected="1" zoomScale="85" zoomScaleNormal="85" workbookViewId="0">
      <pane xSplit="8" topLeftCell="K1" activePane="topRight" state="frozen"/>
      <selection pane="topRight" activeCell="Q11" sqref="Q11:Q14"/>
    </sheetView>
  </sheetViews>
  <sheetFormatPr defaultColWidth="9" defaultRowHeight="13.5" x14ac:dyDescent="0.15"/>
  <cols>
    <col min="1" max="1" width="2.625" customWidth="1"/>
    <col min="2" max="2" width="17.625" style="3" bestFit="1" customWidth="1"/>
    <col min="3" max="4" width="20.625" customWidth="1"/>
    <col min="5" max="5" width="33.5" customWidth="1"/>
    <col min="6" max="6" width="6.25" style="3" customWidth="1"/>
    <col min="7" max="7" width="20.5" style="36" customWidth="1"/>
    <col min="8" max="8" width="11.875" style="36" bestFit="1" customWidth="1"/>
    <col min="9" max="9" width="14.375" style="4" customWidth="1"/>
    <col min="10" max="10" width="35.25" bestFit="1" customWidth="1"/>
    <col min="11" max="11" width="26" customWidth="1"/>
    <col min="12" max="12" width="28.125" style="30" customWidth="1"/>
    <col min="13" max="13" width="13.75" style="24" customWidth="1"/>
    <col min="14" max="14" width="6.375" customWidth="1"/>
    <col min="15" max="15" width="13.25" style="3" customWidth="1"/>
    <col min="16" max="16" width="14.5" style="27" customWidth="1"/>
    <col min="17" max="17" width="15.625" style="24" customWidth="1"/>
  </cols>
  <sheetData>
    <row r="2" spans="2:17" ht="20.100000000000001" customHeight="1" x14ac:dyDescent="0.15">
      <c r="B2" s="46" t="s">
        <v>11</v>
      </c>
      <c r="C2" s="46"/>
      <c r="D2" s="46"/>
      <c r="E2" s="1" t="s">
        <v>26</v>
      </c>
      <c r="G2" s="47" t="s">
        <v>15</v>
      </c>
      <c r="H2" s="48"/>
      <c r="I2" s="49"/>
      <c r="J2" s="2">
        <f>SUM(H:H)</f>
        <v>89600</v>
      </c>
    </row>
    <row r="3" spans="2:17" ht="20.100000000000001" customHeight="1" x14ac:dyDescent="0.15">
      <c r="B3" s="46" t="s">
        <v>10</v>
      </c>
      <c r="C3" s="46"/>
      <c r="D3" s="46"/>
      <c r="E3" s="5" t="s">
        <v>24</v>
      </c>
      <c r="P3" s="28"/>
    </row>
    <row r="4" spans="2:17" ht="20.100000000000001" customHeight="1" x14ac:dyDescent="0.15">
      <c r="B4" s="46" t="s">
        <v>12</v>
      </c>
      <c r="C4" s="46"/>
      <c r="D4" s="46"/>
      <c r="E4" s="5">
        <v>227690</v>
      </c>
      <c r="I4" s="16"/>
      <c r="J4" s="4"/>
      <c r="K4" s="19"/>
      <c r="L4" s="31"/>
    </row>
    <row r="5" spans="2:17" ht="20.100000000000001" customHeight="1" x14ac:dyDescent="0.15">
      <c r="B5" s="46" t="s">
        <v>13</v>
      </c>
      <c r="C5" s="46"/>
      <c r="D5" s="46"/>
      <c r="E5" s="6">
        <v>45683</v>
      </c>
      <c r="G5" s="37"/>
      <c r="I5" s="22"/>
      <c r="J5" s="16"/>
      <c r="K5" s="21"/>
      <c r="L5" s="32"/>
    </row>
    <row r="6" spans="2:17" ht="20.100000000000001" customHeight="1" x14ac:dyDescent="0.15">
      <c r="B6" s="46" t="s">
        <v>14</v>
      </c>
      <c r="C6" s="46"/>
      <c r="D6" s="46"/>
      <c r="E6" s="6">
        <v>45704</v>
      </c>
      <c r="I6" s="23"/>
      <c r="J6" s="17"/>
      <c r="K6" s="20"/>
      <c r="L6" s="33"/>
    </row>
    <row r="7" spans="2:17" ht="20.100000000000001" customHeight="1" x14ac:dyDescent="0.15">
      <c r="B7" s="7"/>
      <c r="C7" s="7"/>
      <c r="D7" s="7"/>
      <c r="E7" s="15"/>
      <c r="J7" s="16"/>
      <c r="L7" s="34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38" t="s">
        <v>1</v>
      </c>
      <c r="H9" s="40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2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s="3" customFormat="1" ht="19.7" customHeight="1" x14ac:dyDescent="0.15">
      <c r="B10" s="44" t="s">
        <v>25</v>
      </c>
      <c r="C10" s="25" t="s">
        <v>31</v>
      </c>
      <c r="D10" s="25" t="s">
        <v>31</v>
      </c>
      <c r="E10" s="13" t="s">
        <v>27</v>
      </c>
      <c r="F10" s="9">
        <v>1</v>
      </c>
      <c r="G10" s="39">
        <v>5000</v>
      </c>
      <c r="H10" s="41">
        <f t="shared" ref="H10:H14" si="0">F10*G10</f>
        <v>5000</v>
      </c>
      <c r="I10" s="14"/>
      <c r="J10" s="42"/>
      <c r="K10" s="29"/>
      <c r="L10" s="35"/>
      <c r="M10" s="12">
        <v>45953</v>
      </c>
      <c r="N10" s="18"/>
      <c r="O10" s="18">
        <v>45993</v>
      </c>
      <c r="P10" s="11"/>
      <c r="Q10" s="12">
        <v>45986</v>
      </c>
    </row>
    <row r="11" spans="2:17" s="3" customFormat="1" ht="19.7" customHeight="1" x14ac:dyDescent="0.15">
      <c r="B11" s="45"/>
      <c r="C11" s="25" t="s">
        <v>31</v>
      </c>
      <c r="D11" s="25" t="s">
        <v>31</v>
      </c>
      <c r="E11" s="13" t="s">
        <v>28</v>
      </c>
      <c r="F11" s="9">
        <v>4</v>
      </c>
      <c r="G11" s="39">
        <v>10000</v>
      </c>
      <c r="H11" s="41">
        <f t="shared" si="0"/>
        <v>40000</v>
      </c>
      <c r="I11" s="14"/>
      <c r="J11" s="42"/>
      <c r="K11" s="29"/>
      <c r="L11" s="35"/>
      <c r="M11" s="12">
        <v>45953</v>
      </c>
      <c r="N11" s="18"/>
      <c r="O11" s="18">
        <v>45993</v>
      </c>
      <c r="P11" s="11"/>
      <c r="Q11" s="12">
        <v>45986</v>
      </c>
    </row>
    <row r="12" spans="2:17" s="3" customFormat="1" ht="19.7" customHeight="1" x14ac:dyDescent="0.15">
      <c r="B12" s="45"/>
      <c r="C12" s="25" t="s">
        <v>31</v>
      </c>
      <c r="D12" s="25" t="s">
        <v>31</v>
      </c>
      <c r="E12" s="13" t="s">
        <v>32</v>
      </c>
      <c r="F12" s="9">
        <v>1</v>
      </c>
      <c r="G12" s="39">
        <v>10000</v>
      </c>
      <c r="H12" s="41">
        <f t="shared" si="0"/>
        <v>10000</v>
      </c>
      <c r="I12" s="14"/>
      <c r="J12" s="42"/>
      <c r="K12" s="29"/>
      <c r="L12" s="35"/>
      <c r="M12" s="12">
        <v>45953</v>
      </c>
      <c r="N12" s="18"/>
      <c r="O12" s="18">
        <v>45993</v>
      </c>
      <c r="P12" s="11"/>
      <c r="Q12" s="12">
        <v>45986</v>
      </c>
    </row>
    <row r="13" spans="2:17" s="3" customFormat="1" ht="19.7" customHeight="1" x14ac:dyDescent="0.15">
      <c r="B13" s="45"/>
      <c r="C13" s="25" t="s">
        <v>31</v>
      </c>
      <c r="D13" s="25" t="s">
        <v>31</v>
      </c>
      <c r="E13" s="13" t="s">
        <v>29</v>
      </c>
      <c r="F13" s="9">
        <v>2</v>
      </c>
      <c r="G13" s="39">
        <v>9800</v>
      </c>
      <c r="H13" s="41">
        <f t="shared" si="0"/>
        <v>19600</v>
      </c>
      <c r="I13" s="14"/>
      <c r="J13" s="42"/>
      <c r="K13" s="29"/>
      <c r="L13" s="35"/>
      <c r="M13" s="12">
        <v>45953</v>
      </c>
      <c r="N13" s="18"/>
      <c r="O13" s="18">
        <v>45993</v>
      </c>
      <c r="P13" s="11"/>
      <c r="Q13" s="12">
        <v>45986</v>
      </c>
    </row>
    <row r="14" spans="2:17" s="3" customFormat="1" ht="19.7" customHeight="1" x14ac:dyDescent="0.15">
      <c r="B14" s="45"/>
      <c r="C14" s="25" t="s">
        <v>31</v>
      </c>
      <c r="D14" s="25" t="s">
        <v>31</v>
      </c>
      <c r="E14" s="13" t="s">
        <v>30</v>
      </c>
      <c r="F14" s="9">
        <v>1</v>
      </c>
      <c r="G14" s="39">
        <v>15000</v>
      </c>
      <c r="H14" s="41">
        <f t="shared" si="0"/>
        <v>15000</v>
      </c>
      <c r="I14" s="14"/>
      <c r="J14" s="42"/>
      <c r="K14" s="29"/>
      <c r="L14" s="35"/>
      <c r="M14" s="12">
        <v>45953</v>
      </c>
      <c r="N14" s="18"/>
      <c r="O14" s="18">
        <v>45993</v>
      </c>
      <c r="P14" s="11"/>
      <c r="Q14" s="12">
        <v>45986</v>
      </c>
    </row>
    <row r="15" spans="2:17" s="3" customFormat="1" ht="19.7" customHeight="1" x14ac:dyDescent="0.15">
      <c r="B15" s="43"/>
      <c r="C15" s="25"/>
      <c r="D15" s="25"/>
      <c r="E15" s="13"/>
      <c r="F15" s="9"/>
      <c r="G15" s="39"/>
      <c r="H15" s="41"/>
      <c r="I15" s="14"/>
      <c r="J15" s="13"/>
      <c r="K15" s="9"/>
      <c r="L15" s="35"/>
      <c r="M15" s="12"/>
      <c r="N15" s="18"/>
      <c r="O15" s="18"/>
      <c r="P15" s="11"/>
      <c r="Q15" s="12"/>
    </row>
  </sheetData>
  <autoFilter ref="B9:O14" xr:uid="{00000000-0009-0000-0000-000000000000}"/>
  <mergeCells count="7">
    <mergeCell ref="B10:B14"/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 x14ac:dyDescent="0.15"/>
  <cols>
    <col min="1" max="1" width="12.125" bestFit="1" customWidth="1"/>
    <col min="2" max="2" width="20.75" bestFit="1" customWidth="1"/>
  </cols>
  <sheetData>
    <row r="1" spans="1:2" ht="17.25" x14ac:dyDescent="0.15">
      <c r="A1" s="26" t="s">
        <v>11</v>
      </c>
      <c r="B1" s="1" t="s">
        <v>23</v>
      </c>
    </row>
    <row r="2" spans="1:2" ht="17.25" x14ac:dyDescent="0.15">
      <c r="A2" s="26" t="s">
        <v>10</v>
      </c>
      <c r="B2" s="5" t="s">
        <v>22</v>
      </c>
    </row>
    <row r="3" spans="1:2" ht="17.25" x14ac:dyDescent="0.15">
      <c r="A3" s="26" t="s">
        <v>12</v>
      </c>
      <c r="B3" s="5">
        <v>201045</v>
      </c>
    </row>
    <row r="4" spans="1:2" ht="17.25" x14ac:dyDescent="0.15">
      <c r="A4" s="26" t="s">
        <v>13</v>
      </c>
      <c r="B4" s="6">
        <v>44946</v>
      </c>
    </row>
    <row r="5" spans="1:2" ht="17.25" x14ac:dyDescent="0.15">
      <c r="A5" s="26" t="s">
        <v>14</v>
      </c>
      <c r="B5" s="6">
        <v>45056</v>
      </c>
    </row>
  </sheetData>
  <phoneticPr fontId="13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2023-01-10T11:04:14Z</cp:lastPrinted>
  <dcterms:created xsi:type="dcterms:W3CDTF">2011-12-13T06:48:43Z</dcterms:created>
  <dcterms:modified xsi:type="dcterms:W3CDTF">2025-11-25T01:55:42Z</dcterms:modified>
</cp:coreProperties>
</file>