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CE59304A-6A28-4E2E-8742-1FB39B3383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表紙" sheetId="2" r:id="rId2"/>
  </sheets>
  <externalReferences>
    <externalReference r:id="rId3"/>
  </externalReferences>
  <definedNames>
    <definedName name="_xlnm._FilterDatabase" localSheetId="0" hidden="1">原価表!$B$9:$O$103</definedName>
  </definedNames>
  <calcPr calcId="181029"/>
  <fileRecoveryPr autoRecover="0"/>
</workbook>
</file>

<file path=xl/calcChain.xml><?xml version="1.0" encoding="utf-8"?>
<calcChain xmlns="http://schemas.openxmlformats.org/spreadsheetml/2006/main">
  <c r="J2" i="1" l="1"/>
  <c r="H53" i="1"/>
  <c r="H74" i="1"/>
  <c r="H19" i="1"/>
  <c r="H18" i="1"/>
  <c r="H67" i="1"/>
  <c r="H70" i="1"/>
  <c r="H79" i="1"/>
  <c r="H33" i="1"/>
  <c r="H34" i="1"/>
  <c r="H35" i="1"/>
  <c r="H36" i="1"/>
  <c r="H37" i="1"/>
  <c r="H38" i="1"/>
  <c r="H39" i="1"/>
  <c r="H50" i="1"/>
  <c r="H54" i="1"/>
  <c r="H55" i="1"/>
  <c r="H56" i="1"/>
  <c r="H57" i="1"/>
  <c r="H58" i="1"/>
  <c r="H59" i="1"/>
  <c r="H60" i="1"/>
  <c r="H61" i="1"/>
  <c r="H78" i="1"/>
  <c r="H20" i="1"/>
  <c r="H115" i="1"/>
  <c r="H116" i="1"/>
  <c r="H117" i="1"/>
  <c r="H118" i="1"/>
  <c r="H119" i="1"/>
  <c r="P104" i="1"/>
  <c r="P106" i="1"/>
  <c r="P107" i="1"/>
  <c r="P108" i="1"/>
  <c r="P109" i="1"/>
  <c r="P110" i="1"/>
  <c r="P111" i="1"/>
  <c r="P112" i="1"/>
  <c r="P113" i="1"/>
  <c r="P115" i="1"/>
  <c r="P73" i="1"/>
  <c r="P75" i="1"/>
  <c r="P76" i="1"/>
  <c r="P77" i="1"/>
  <c r="P80" i="1"/>
  <c r="P81" i="1"/>
  <c r="P82" i="1"/>
  <c r="P83" i="1"/>
  <c r="P84" i="1"/>
  <c r="P85" i="1"/>
  <c r="P86" i="1"/>
  <c r="P87" i="1"/>
  <c r="P88" i="1"/>
  <c r="P89" i="1"/>
  <c r="P90" i="1"/>
  <c r="P41" i="1"/>
  <c r="P42" i="1"/>
  <c r="P43" i="1"/>
  <c r="P44" i="1"/>
  <c r="P45" i="1"/>
  <c r="P46" i="1"/>
  <c r="P47" i="1"/>
  <c r="P48" i="1"/>
  <c r="P49" i="1"/>
  <c r="P51" i="1"/>
  <c r="P52" i="1"/>
  <c r="P10" i="1"/>
  <c r="P11" i="1"/>
  <c r="P12" i="1"/>
  <c r="P13" i="1"/>
  <c r="P14" i="1"/>
  <c r="P15" i="1"/>
  <c r="P16" i="1"/>
  <c r="P17" i="1"/>
  <c r="P21" i="1"/>
  <c r="P22" i="1"/>
  <c r="P23" i="1"/>
  <c r="P24" i="1"/>
  <c r="P25" i="1"/>
  <c r="P26" i="1"/>
  <c r="P27" i="1"/>
  <c r="P28" i="1"/>
  <c r="P29" i="1"/>
  <c r="P30" i="1"/>
  <c r="P31" i="1"/>
  <c r="P32" i="1"/>
  <c r="H10" i="1"/>
  <c r="H11" i="1"/>
  <c r="H12" i="1"/>
  <c r="H13" i="1"/>
  <c r="H14" i="1"/>
  <c r="H15" i="1"/>
  <c r="H16" i="1"/>
  <c r="H17" i="1"/>
  <c r="H21" i="1"/>
  <c r="H22" i="1"/>
  <c r="H23" i="1"/>
  <c r="H24" i="1"/>
  <c r="H25" i="1"/>
  <c r="H26" i="1"/>
  <c r="H27" i="1"/>
  <c r="H28" i="1"/>
  <c r="H29" i="1"/>
  <c r="H30" i="1"/>
  <c r="H31" i="1"/>
  <c r="H32" i="1"/>
  <c r="H40" i="1"/>
  <c r="H41" i="1"/>
  <c r="H42" i="1"/>
  <c r="H43" i="1"/>
  <c r="H44" i="1"/>
  <c r="H45" i="1"/>
  <c r="H46" i="1"/>
  <c r="H47" i="1"/>
  <c r="H48" i="1"/>
  <c r="H49" i="1"/>
  <c r="H51" i="1"/>
  <c r="H52" i="1"/>
  <c r="H62" i="1"/>
  <c r="H63" i="1"/>
  <c r="H64" i="1"/>
  <c r="H65" i="1"/>
  <c r="H66" i="1"/>
  <c r="H68" i="1"/>
  <c r="H69" i="1"/>
  <c r="H71" i="1"/>
  <c r="H72" i="1"/>
  <c r="H73" i="1"/>
  <c r="H75" i="1"/>
  <c r="H76" i="1"/>
  <c r="H77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20" i="1"/>
</calcChain>
</file>

<file path=xl/sharedStrings.xml><?xml version="1.0" encoding="utf-8"?>
<sst xmlns="http://schemas.openxmlformats.org/spreadsheetml/2006/main" count="579" uniqueCount="222">
  <si>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</si>
  <si>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</si>
  <si>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</si>
  <si>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</si>
  <si>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</si>
  <si>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</si>
  <si>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</si>
  <si>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</si>
  <si>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</si>
  <si>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</si>
  <si>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</si>
  <si>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</si>
  <si>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</si>
  <si>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</si>
  <si>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</si>
  <si>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</si>
  <si>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</si>
  <si>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</si>
  <si>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</si>
  <si>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</si>
  <si>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</si>
  <si>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</si>
  <si>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原田</t>
    <rPh sb="0" eb="2">
      <t>ハラダ</t>
    </rPh>
    <phoneticPr fontId="1"/>
  </si>
  <si>
    <t>株式会社啓愛社</t>
    <rPh sb="0" eb="4">
      <t>カブシキカイシャ</t>
    </rPh>
    <rPh sb="4" eb="7">
      <t>ケイアイシャ</t>
    </rPh>
    <phoneticPr fontId="1"/>
  </si>
  <si>
    <t>MISUMI</t>
    <phoneticPr fontId="5"/>
  </si>
  <si>
    <t>富永</t>
    <rPh sb="0" eb="2">
      <t>トミナガ</t>
    </rPh>
    <phoneticPr fontId="1"/>
  </si>
  <si>
    <t>■SETA0256-Z01-A(ﾍﾞｰｽﾌﾟﾚｰﾄ)</t>
  </si>
  <si>
    <t>5-002-02(100ml)</t>
  </si>
  <si>
    <t>C-PLSBWRK7-20</t>
  </si>
  <si>
    <t>HAJCHPS6060-16-SSP</t>
  </si>
  <si>
    <t>HBLFSD6-C-SET</t>
  </si>
  <si>
    <t>KNCLSS8-30-25</t>
  </si>
  <si>
    <t>NFS6-6060-780.0</t>
  </si>
  <si>
    <t>SCB8-55</t>
  </si>
  <si>
    <t>SET</t>
    <phoneticPr fontId="1"/>
  </si>
  <si>
    <t>設計費</t>
    <rPh sb="0" eb="3">
      <t>セッケイヒ</t>
    </rPh>
    <phoneticPr fontId="1"/>
  </si>
  <si>
    <t>組立費</t>
    <rPh sb="0" eb="3">
      <t>クミタテヒ</t>
    </rPh>
    <phoneticPr fontId="1"/>
  </si>
  <si>
    <t>ｱｽﾞﾜﾝ</t>
    <phoneticPr fontId="1"/>
  </si>
  <si>
    <t>ｴｺﾉﾐｰｼﾘｰｽﾞ_ｼﾁｭｳ</t>
  </si>
  <si>
    <t>樹脂容器</t>
    <rPh sb="0" eb="2">
      <t>ジュシ</t>
    </rPh>
    <rPh sb="2" eb="4">
      <t>ヨウキ</t>
    </rPh>
    <phoneticPr fontId="1"/>
  </si>
  <si>
    <t>ﾛｯｶｸｱﾅﾂｷﾎﾞﾙﾄ(SCB)</t>
  </si>
  <si>
    <t>ｱﾙﾐﾌﾚｰﾑ(NFS6-60_)</t>
  </si>
  <si>
    <t>ｷﾝｿﾞｸｶﾗｰ (KNCLSS)</t>
  </si>
  <si>
    <t>ｱﾙﾐﾌﾞﾗｹｯﾄｻﾞｲ</t>
  </si>
  <si>
    <t>テルモ改造</t>
    <rPh sb="3" eb="5">
      <t>カイゾウ</t>
    </rPh>
    <phoneticPr fontId="1"/>
  </si>
  <si>
    <t>HFC6-6060-B</t>
  </si>
  <si>
    <t>HFS6-3060-330.0</t>
  </si>
  <si>
    <t>HFS6-6060-330.0</t>
  </si>
  <si>
    <t>SCB6-20</t>
  </si>
  <si>
    <t>SHNTAP6-6</t>
  </si>
  <si>
    <t>SPWF6</t>
  </si>
  <si>
    <t>PCFP-VE-8-R</t>
  </si>
  <si>
    <t>NFSL6-3030-500.0</t>
  </si>
  <si>
    <t>HBLFSN6-C-SSP</t>
  </si>
  <si>
    <t>SHNTAP6-5</t>
  </si>
  <si>
    <t>ISE20-N-C4L-LD</t>
    <phoneticPr fontId="1"/>
  </si>
  <si>
    <t>SMC</t>
    <phoneticPr fontId="1"/>
  </si>
  <si>
    <t>VHS20-02-D</t>
    <phoneticPr fontId="1"/>
  </si>
  <si>
    <t>AM20-02-D</t>
    <phoneticPr fontId="1"/>
  </si>
  <si>
    <t>AW20-02E3-D</t>
  </si>
  <si>
    <t>AFG20-02-D</t>
  </si>
  <si>
    <t>Y200T-D</t>
  </si>
  <si>
    <t>■SETA0266-Z02-A(ﾓﾆﾀﾊﾟﾈﾙ)</t>
    <phoneticPr fontId="1"/>
  </si>
  <si>
    <t>■SETA0266-Z03-A(ﾓﾆﾀｶﾊﾞｰ)</t>
    <phoneticPr fontId="1"/>
  </si>
  <si>
    <t>■SETA0266-X01-A(ﾜｰｸﾍﾞｰｽ)</t>
  </si>
  <si>
    <t>■SETA0266-X03-A(ﾜｰｸｶﾞｲﾄﾞ)</t>
  </si>
  <si>
    <t>■SETA0266-X04-A(ﾜｰｸｶﾞｲﾄﾞ)</t>
  </si>
  <si>
    <t>■SETA0266-X05-A(ﾜｰｸｶﾞｲﾄﾞ)</t>
  </si>
  <si>
    <t>■SETA0266-Y01-A(ﾂｰﾙﾌﾟﾚｰﾄ)</t>
    <phoneticPr fontId="1"/>
  </si>
  <si>
    <t>■SETA0256-Z04-A(ﾊﾟﾈﾙ)</t>
    <phoneticPr fontId="1"/>
  </si>
  <si>
    <t>■SETA0266-Y02-A(AIﾌﾟﾚｰﾄ)</t>
  </si>
  <si>
    <t>■SETA0266-Y03-A(ｶﾒﾗﾍﾞｰｽﾌﾟﾚｰﾄ)</t>
  </si>
  <si>
    <t>■SETA0266-Y04-A(ｶﾒﾗﾌﾟﾚｰﾄ)</t>
  </si>
  <si>
    <t>■SETA0266-Y05-A(LEDﾍﾞｰｽﾌﾟﾚｰﾄ)</t>
  </si>
  <si>
    <t>■SETA0266-Y06-A（LEDﾌﾟﾚｰﾄ）</t>
  </si>
  <si>
    <t>■SETA0266-Y07-A(ｽﾗｲﾄﾞﾌﾟﾚｰﾄ)</t>
  </si>
  <si>
    <t>■SETA0266-P01-A(空圧ﾌﾟﾚｰﾄ)</t>
    <phoneticPr fontId="1"/>
  </si>
  <si>
    <t>HSCL6-S-SET100</t>
  </si>
  <si>
    <t>ﾌﾞﾗｹｯﾄ</t>
    <phoneticPr fontId="1"/>
  </si>
  <si>
    <t>ﾃﾞｼﾞﾀﾙ圧力計</t>
    <rPh sb="6" eb="9">
      <t>アツリョクケイ</t>
    </rPh>
    <phoneticPr fontId="1"/>
  </si>
  <si>
    <t>三方弁</t>
    <rPh sb="0" eb="3">
      <t>サンポウベン</t>
    </rPh>
    <phoneticPr fontId="1"/>
  </si>
  <si>
    <t>ｵｲﾙﾐｽﾄｾﾊﾟﾚｰﾀｰ</t>
    <phoneticPr fontId="1"/>
  </si>
  <si>
    <t>ﾌｨﾙﾀﾚｷﾞｭﾚｰﾀｰ</t>
    <phoneticPr fontId="1"/>
  </si>
  <si>
    <t>ｳｫｰﾀｰﾐｽﾄｾﾊﾟﾚｰﾀｰ</t>
    <phoneticPr fontId="1"/>
  </si>
  <si>
    <t>■SETA0266-X02-A(ﾜｰｸｶﾞｲﾄﾞ)</t>
    <phoneticPr fontId="1"/>
  </si>
  <si>
    <t>MVBLK-SUB-4C2-3G61K-L</t>
  </si>
  <si>
    <t>SETGS12-122.0-SC50.0-M4-N4</t>
  </si>
  <si>
    <t>SETGS12-130.0-SC50.0-M4-N4</t>
  </si>
  <si>
    <t>■SETA0266-X08-A(ﾊﾟｰｼﾞﾍﾞｰｽ)</t>
    <phoneticPr fontId="1"/>
  </si>
  <si>
    <t>■SETA0266-X06-A(ｶｯﾌﾟﾍﾞｰｽ)</t>
  </si>
  <si>
    <t>■SETA0266-X07-A(ｶｯﾌﾟｶﾞｲﾄﾞ)</t>
    <phoneticPr fontId="1"/>
  </si>
  <si>
    <t>関西電熱</t>
    <rPh sb="0" eb="2">
      <t>カンサイ</t>
    </rPh>
    <rPh sb="2" eb="4">
      <t>デンネツ</t>
    </rPh>
    <phoneticPr fontId="5"/>
  </si>
  <si>
    <t>都機工</t>
    <rPh sb="0" eb="3">
      <t>ミヤコキコウ</t>
    </rPh>
    <phoneticPr fontId="5"/>
  </si>
  <si>
    <t>4R100X50</t>
    <phoneticPr fontId="1"/>
  </si>
  <si>
    <t>4L50 90°</t>
    <phoneticPr fontId="1"/>
  </si>
  <si>
    <t xml:space="preserve">PJ100 </t>
    <phoneticPr fontId="1"/>
  </si>
  <si>
    <t>ﾊﾟｲﾌﾟｼﾞｮｲﾝﾄ</t>
  </si>
  <si>
    <t xml:space="preserve">PJ50 </t>
    <phoneticPr fontId="1"/>
  </si>
  <si>
    <t>ﾊﾟｲﾌﾟｼﾞｮｲﾝﾄ</t>
    <phoneticPr fontId="1"/>
  </si>
  <si>
    <t>H50</t>
    <phoneticPr fontId="1"/>
  </si>
  <si>
    <t>送料</t>
    <rPh sb="0" eb="2">
      <t>ソウリョウ</t>
    </rPh>
    <phoneticPr fontId="1"/>
  </si>
  <si>
    <t>ﾚｼﾞｭｰｻ</t>
    <phoneticPr fontId="1"/>
  </si>
  <si>
    <t>ｴﾙﾎﾞ</t>
    <phoneticPr fontId="1"/>
  </si>
  <si>
    <t>ﾊｲﾄﾙｸﾊﾞﾝﾄﾞ 2個1組</t>
    <phoneticPr fontId="1"/>
  </si>
  <si>
    <t>CRM-H04F</t>
  </si>
  <si>
    <t>ﾐｽﾄﾚｰｻ</t>
  </si>
  <si>
    <t>運賃(1台につき)</t>
  </si>
  <si>
    <t>3AD-100</t>
  </si>
  <si>
    <t>3AF-10E</t>
  </si>
  <si>
    <t>ｱﾀﾞﾌﾟﾀA</t>
  </si>
  <si>
    <t>高性能ｱﾌﾀｰﾌｨﾙﾀ</t>
  </si>
  <si>
    <t>■SETA0256-Z05-A(ﾊﾟﾈﾙ)</t>
  </si>
  <si>
    <t>■SETA0266-Z06-A(ﾎﾞﾙﾄﾌﾟﾚｰﾄ)</t>
  </si>
  <si>
    <t>■SETA0266-Z07-A(連結ﾌﾟﾚｰﾄ)</t>
  </si>
  <si>
    <t>UB16</t>
  </si>
  <si>
    <t>HFS6-6060-380.0</t>
  </si>
  <si>
    <t>HFANK6-3030-SET</t>
  </si>
  <si>
    <t>HFS6-6060-670.0</t>
  </si>
  <si>
    <t>■SETA0266-Z06-A(ﾊﾟﾈﾙ)</t>
  </si>
  <si>
    <t>■SETA0266-Z07-A(ﾊﾟﾈﾙ)</t>
  </si>
  <si>
    <t>■SETA0266-Z08-A(ﾊﾟﾈﾙ)</t>
  </si>
  <si>
    <t>IBNP5-10</t>
  </si>
  <si>
    <t>2
ﾂｰﾙｼﾞｸﾞ</t>
    <phoneticPr fontId="1"/>
  </si>
  <si>
    <t>3
ﾜｰｸｼﾞｸﾞ</t>
    <phoneticPr fontId="1"/>
  </si>
  <si>
    <t>4
下架台</t>
    <rPh sb="3" eb="4">
      <t>シタ</t>
    </rPh>
    <rPh sb="4" eb="6">
      <t>カダイ</t>
    </rPh>
    <phoneticPr fontId="1"/>
  </si>
  <si>
    <t>■SETA0266-Y08-A(Z軸ｶﾊﾞｰ)</t>
  </si>
  <si>
    <t>24
ﾓﾆﾀｰ</t>
    <phoneticPr fontId="1"/>
  </si>
  <si>
    <t>16
ﾐｽﾄﾚｰﾀｰ架台</t>
    <rPh sb="11" eb="13">
      <t>カダイ</t>
    </rPh>
    <phoneticPr fontId="1"/>
  </si>
  <si>
    <t>18
ﾐｽﾄﾚｰﾀｰ</t>
    <phoneticPr fontId="1"/>
  </si>
  <si>
    <t>4
空圧機器</t>
    <rPh sb="3" eb="7">
      <t>クウアツキキ</t>
    </rPh>
    <phoneticPr fontId="1"/>
  </si>
  <si>
    <t>MVBLK-AMW-4C2-1ND67</t>
  </si>
  <si>
    <t>IBKPL5</t>
  </si>
  <si>
    <t>MVSHM-3N01000-4C2-8C6EG-L</t>
  </si>
  <si>
    <t>見積取得後に発注願います</t>
    <rPh sb="0" eb="5">
      <t>ミツモリシュトクゴ</t>
    </rPh>
    <rPh sb="6" eb="9">
      <t>ハッチュウネガ</t>
    </rPh>
    <phoneticPr fontId="1"/>
  </si>
  <si>
    <t>C-PLSBWRK7-80</t>
  </si>
  <si>
    <t>MVBLK-AMW-4C2-Z35JP-L</t>
  </si>
  <si>
    <t>MVSHM-3N01000-4C2-6CHLA-L</t>
  </si>
  <si>
    <t>MVBLK-AMW-4C2-K1GNZ-L</t>
  </si>
  <si>
    <t>MVBLK-SUB-4C2-SHN7M-L</t>
  </si>
  <si>
    <t>MVBLK-SUB-4C2-6XL62-L</t>
  </si>
  <si>
    <t>MVBLK-AMW-4C2-FMNCE-L</t>
  </si>
  <si>
    <t>MVSWD-3N010W3C-4C2-439WZ-L</t>
  </si>
  <si>
    <t>MVSHM-3N02000-4C2-FT6T9-L</t>
  </si>
  <si>
    <t>MVSHM-3N01550-4AL-MB9EY-L</t>
  </si>
  <si>
    <t>MVBLK-AMW-4AL-67F1E-L</t>
  </si>
  <si>
    <t>MVBLK-AMW-4AL-TEDLU-L</t>
  </si>
  <si>
    <t>MVBLK-AMW-4AL-14WSC-L</t>
  </si>
  <si>
    <t>MVSHM-3N02050-4AL-5B63D-L</t>
  </si>
  <si>
    <t>MVBLK-AMW-4C2-Z64AS-L</t>
  </si>
  <si>
    <t>ｴﾝｹｲｼﾁｭｳ - SETGS</t>
  </si>
  <si>
    <t>HFS6-6060-550.0</t>
  </si>
  <si>
    <t>ｾﾝﾖｳｺｳｸﾞｼﾖｳﾈｼﾞ-ﾀﾝﾋﾟﾝ ｺﾊﾞｺ-</t>
  </si>
  <si>
    <t>ｾﾝﾖｳｺｳｸﾞｼﾖｳﾈｼﾞﾖｳﾚﾝﾁ</t>
  </si>
  <si>
    <t>ｱﾙﾐﾌﾚｰﾑｻﾞｲ</t>
  </si>
  <si>
    <t>ｱﾝｶｰ</t>
  </si>
  <si>
    <t>プレートユニット</t>
  </si>
  <si>
    <t>HFS6-6060-780.0</t>
  </si>
  <si>
    <t>MVSHM-3N03000-4C2-DUFGL-L</t>
  </si>
  <si>
    <t>MVSHM-3N03050-4C2-JNZRX-L</t>
  </si>
  <si>
    <t>MVSHM-1A05000-4C2-CKRUM-L</t>
  </si>
  <si>
    <t>ﾊｲｶﾝﾎﾞﾙﾄ UB</t>
  </si>
  <si>
    <t xml:space="preserve">ﾋﾗｻﾞｶﾞﾈ-ﾀﾝﾋﾟﾝﾊﾝﾊﾞｲ- </t>
  </si>
  <si>
    <t>ｱﾄｲﾚﾅｯﾄ ｲﾀﾊﾞﾈﾂｷ(HNTAP)</t>
  </si>
  <si>
    <t>ﾌﾚｰﾑｷｬｯﾌﾟ (HFC)</t>
  </si>
  <si>
    <t>ﾌﾟﾚｰﾄﾕﾆｯﾄ</t>
    <phoneticPr fontId="1"/>
  </si>
  <si>
    <t>NFSL6-3030-243.0</t>
  </si>
  <si>
    <t>NFSL6-3030-270.0</t>
  </si>
  <si>
    <t>KC-VMH5</t>
  </si>
  <si>
    <t>MVSHM-3N01550-4AL-WBP3J-L</t>
  </si>
  <si>
    <t>MVSHM-3N02000-4AL-26CY2-L</t>
  </si>
  <si>
    <t>ｱﾙﾐﾌﾚｰﾑﾖｳ ｱｸｾｻﾘｰ</t>
  </si>
  <si>
    <t>ｱﾙﾐﾌﾚｰﾑ(NFSL6-30__)</t>
  </si>
  <si>
    <t>DISPLAY CABLES</t>
  </si>
  <si>
    <t>ﾏｼﾝﾋﾞｼﾞｮﾝﾓﾆﾀ</t>
  </si>
  <si>
    <t>Web発注済</t>
    <rPh sb="3" eb="6">
      <t>ハッチュウスミ</t>
    </rPh>
    <phoneticPr fontId="1"/>
  </si>
  <si>
    <t>昭和電機</t>
    <rPh sb="0" eb="2">
      <t>ショウワ</t>
    </rPh>
    <rPh sb="2" eb="4">
      <t>デンキ</t>
    </rPh>
    <phoneticPr fontId="1"/>
  </si>
  <si>
    <t>MVSHM-3N01500-4D6-YMRAG-L</t>
  </si>
  <si>
    <t>MVSHM-3N01500-4D6-A22X6-L</t>
  </si>
  <si>
    <t>MVSHM-3N01500-4D6-YADCM-L</t>
  </si>
  <si>
    <t>ACA8H-403-348-5-F190.5-G163-N6</t>
  </si>
  <si>
    <t>HCBR6</t>
  </si>
  <si>
    <t>ｱｸﾘﾙ      (ACA)     ｱﾅｶｺｳﾂｷ</t>
  </si>
  <si>
    <t>ｶﾊﾞｰﾄﾘﾂｹｶﾝﾚﾝﾌﾞﾋﾝ</t>
  </si>
  <si>
    <t>KEYENCE</t>
    <phoneticPr fontId="1"/>
  </si>
  <si>
    <t>OP-88096</t>
    <phoneticPr fontId="1"/>
  </si>
  <si>
    <t>AI-1000C用M8 ﾊﾞﾗ線</t>
    <rPh sb="8" eb="9">
      <t>ヨウ</t>
    </rPh>
    <rPh sb="15" eb="16">
      <t>セン</t>
    </rPh>
    <phoneticPr fontId="1"/>
  </si>
  <si>
    <t>HFCB6-3030-B</t>
  </si>
  <si>
    <t>HFS6-3030-400.0</t>
  </si>
  <si>
    <t>HFS6-3030-500.0</t>
  </si>
  <si>
    <t>TRSS5-6</t>
  </si>
  <si>
    <t>HBLSS6-SET</t>
  </si>
  <si>
    <t>WSSS10-6-1</t>
  </si>
  <si>
    <t>ｼﾞｭｳｼﾞｱﾅﾂｷﾄﾗｽｺﾈｼﾞ</t>
  </si>
  <si>
    <t>ｷﾝｿﾞｸﾜｯｼｬ SUS (WSSS)</t>
  </si>
  <si>
    <t>SCB8-45</t>
    <phoneticPr fontId="1"/>
  </si>
  <si>
    <t>MVBLK-AMW-4EY-7LF5L</t>
  </si>
  <si>
    <t>MVBLK-SUB-4C2-3G61K</t>
  </si>
  <si>
    <t>USTEL4</t>
  </si>
  <si>
    <t>USYL6</t>
  </si>
  <si>
    <t>SSE2B10-175</t>
  </si>
  <si>
    <t>C-PLSBWRK7-50</t>
  </si>
  <si>
    <t>USRDS6-8</t>
  </si>
  <si>
    <t>ﾜﾝﾀｯﾁﾂｷﾞﾃ(USRDS)</t>
  </si>
  <si>
    <t>ｽﾗｲﾄﾞG SSE2B</t>
  </si>
  <si>
    <t>ﾜﾝﾀｯﾁﾂｷﾞﾃ(USYL)</t>
  </si>
  <si>
    <t>ﾜﾝﾀｯﾁﾂｷﾞﾃ(USTEL)</t>
  </si>
  <si>
    <t>■SETA0266-X01-B(ﾜｰｸﾍﾞｰｽ)</t>
    <phoneticPr fontId="1"/>
  </si>
  <si>
    <t>■SETA0256-Z07-B(ﾊﾟﾈﾙ)</t>
    <phoneticPr fontId="1"/>
  </si>
  <si>
    <t>MVSHM-3N01500-4F4-J5FU7</t>
    <phoneticPr fontId="1"/>
  </si>
  <si>
    <t>ACS</t>
    <phoneticPr fontId="1"/>
  </si>
  <si>
    <t>ISE35-N-25-MLA-X523</t>
    <phoneticPr fontId="1"/>
  </si>
  <si>
    <t>圧力ｽｲｯﾁ</t>
    <rPh sb="0" eb="2">
      <t>アツリョク</t>
    </rPh>
    <phoneticPr fontId="1"/>
  </si>
  <si>
    <t>発注願います</t>
    <rPh sb="0" eb="3">
      <t>ハッチュウネガ</t>
    </rPh>
    <phoneticPr fontId="1"/>
  </si>
  <si>
    <t>AW20-02BE1-D</t>
    <phoneticPr fontId="1"/>
  </si>
  <si>
    <t>AW20-02BE1-Dにて発注</t>
    <rPh sb="14" eb="16">
      <t>ハッチュウ</t>
    </rPh>
    <phoneticPr fontId="1"/>
  </si>
  <si>
    <t>-</t>
    <phoneticPr fontId="1"/>
  </si>
  <si>
    <t>MVSHM-3N03000-4FF-RLSXM-E</t>
    <phoneticPr fontId="1"/>
  </si>
  <si>
    <t>MVSHM-3N03000-4FF-6TE2B-E</t>
    <phoneticPr fontId="1"/>
  </si>
  <si>
    <t>■SETA0266-Y09-A(ｼﾑ)</t>
    <phoneticPr fontId="1"/>
  </si>
  <si>
    <t>■SETA0266-Y10-A(ｼﾑ)</t>
  </si>
  <si>
    <t>ACA8H-598-352-5-F288-G165-N6</t>
    <phoneticPr fontId="1"/>
  </si>
  <si>
    <t>IBNP5-10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</si>
</sst>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6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4"/>
      <name val="ＭＳ Ｐゴシック"/>
      <family val="3"/>
      <charset val="128"/>
      <scheme val="minor"/>
    </font>
    <font>
      <b/>
      <u/>
      <sz val="16"/>
      <color rgb="FFFF0000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2"/>
      <color rgb="FF020024"/>
      <name val="Hiragino Sans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6" fillId="0" borderId="0" xfId="0" applyNumberFormat="1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38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38" fontId="0" fillId="0" borderId="0" xfId="0" applyNumberFormat="1" applyAlignment="1">
      <alignment horizontal="left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3" fontId="0" fillId="0" borderId="5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176" fontId="0" fillId="0" borderId="1" xfId="0" applyNumberFormat="1" applyFill="1" applyBorder="1" applyAlignment="1">
      <alignment horizontal="right" vertical="center"/>
    </xf>
    <xf numFmtId="49" fontId="0" fillId="0" borderId="1" xfId="0" applyNumberFormat="1" applyFill="1" applyBorder="1">
      <alignment vertical="center"/>
    </xf>
    <xf numFmtId="179" fontId="0" fillId="0" borderId="1" xfId="0" applyNumberFormat="1" applyFill="1" applyBorder="1" applyAlignment="1">
      <alignment horizontal="left" vertical="center"/>
    </xf>
    <xf numFmtId="178" fontId="0" fillId="0" borderId="1" xfId="0" applyNumberFormat="1" applyFill="1" applyBorder="1" applyAlignment="1">
      <alignment horizontal="center" vertical="center"/>
    </xf>
    <xf numFmtId="56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6" xfId="0" applyNumberFormat="1" applyFill="1" applyBorder="1" applyAlignment="1">
      <alignment horizontal="center" vertical="center" wrapText="1"/>
    </xf>
    <xf numFmtId="0" fontId="15" fillId="0" borderId="0" xfId="0" applyFont="1" applyFill="1">
      <alignment vertical="center"/>
    </xf>
    <xf numFmtId="3" fontId="0" fillId="0" borderId="1" xfId="0" applyNumberFormat="1" applyFill="1" applyBorder="1">
      <alignment vertical="center"/>
    </xf>
    <xf numFmtId="3" fontId="15" fillId="0" borderId="0" xfId="0" applyNumberFormat="1" applyFont="1" applyFill="1">
      <alignment vertical="center"/>
    </xf>
    <xf numFmtId="3" fontId="0" fillId="0" borderId="7" xfId="0" applyNumberForma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>
      <alignment vertical="center"/>
    </xf>
    <xf numFmtId="17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56" fontId="14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toh\Downloads\order%20(1).csv" TargetMode="External"/><Relationship Id="rId1" Type="http://schemas.openxmlformats.org/officeDocument/2006/relationships/externalLinkPath" Target="/Users/satoh/Downloads/order%20(1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 (1)"/>
    </sheetNames>
    <sheetDataSet>
      <sheetData sheetId="0" refreshError="1">
        <row r="2">
          <cell r="Q2">
            <v>45997</v>
          </cell>
        </row>
        <row r="3">
          <cell r="Q3">
            <v>45997</v>
          </cell>
        </row>
        <row r="4">
          <cell r="Q4">
            <v>45997</v>
          </cell>
        </row>
        <row r="5">
          <cell r="Q5">
            <v>45997</v>
          </cell>
        </row>
        <row r="6">
          <cell r="Q6">
            <v>45997</v>
          </cell>
        </row>
        <row r="7">
          <cell r="Q7">
            <v>45997</v>
          </cell>
        </row>
        <row r="8">
          <cell r="Q8">
            <v>45997</v>
          </cell>
        </row>
        <row r="9">
          <cell r="Q9">
            <v>45997</v>
          </cell>
        </row>
        <row r="10">
          <cell r="Q10">
            <v>45997</v>
          </cell>
        </row>
        <row r="11">
          <cell r="Q11">
            <v>45997</v>
          </cell>
        </row>
        <row r="12">
          <cell r="Q12">
            <v>45997</v>
          </cell>
        </row>
        <row r="13">
          <cell r="Q13">
            <v>45997</v>
          </cell>
        </row>
        <row r="14">
          <cell r="Q14">
            <v>45997</v>
          </cell>
        </row>
        <row r="15">
          <cell r="Q15">
            <v>45997</v>
          </cell>
        </row>
        <row r="16">
          <cell r="Q16">
            <v>45997</v>
          </cell>
        </row>
        <row r="17">
          <cell r="Q17">
            <v>45997</v>
          </cell>
        </row>
        <row r="18">
          <cell r="Q18">
            <v>45969</v>
          </cell>
        </row>
        <row r="19">
          <cell r="Q19">
            <v>45969</v>
          </cell>
        </row>
        <row r="20">
          <cell r="Q20">
            <v>45971</v>
          </cell>
        </row>
        <row r="21">
          <cell r="Q21">
            <v>45971</v>
          </cell>
        </row>
        <row r="22">
          <cell r="Q22">
            <v>45992</v>
          </cell>
        </row>
        <row r="23">
          <cell r="Q23">
            <v>45972</v>
          </cell>
        </row>
        <row r="24">
          <cell r="Q24">
            <v>45972</v>
          </cell>
        </row>
        <row r="25">
          <cell r="Q25">
            <v>45972</v>
          </cell>
        </row>
        <row r="26">
          <cell r="Q26">
            <v>45972</v>
          </cell>
        </row>
        <row r="27">
          <cell r="Q27">
            <v>45972</v>
          </cell>
        </row>
        <row r="28">
          <cell r="Q28">
            <v>45972</v>
          </cell>
        </row>
        <row r="29">
          <cell r="Q29">
            <v>45972</v>
          </cell>
        </row>
        <row r="30">
          <cell r="Q30">
            <v>45972</v>
          </cell>
        </row>
        <row r="31">
          <cell r="Q31">
            <v>45972</v>
          </cell>
        </row>
        <row r="32">
          <cell r="Q32">
            <v>45972</v>
          </cell>
        </row>
        <row r="33">
          <cell r="Q33">
            <v>45997</v>
          </cell>
        </row>
        <row r="34">
          <cell r="Q34">
            <v>45997</v>
          </cell>
        </row>
        <row r="35">
          <cell r="Q35">
            <v>45997</v>
          </cell>
        </row>
        <row r="36">
          <cell r="Q36">
            <v>45997</v>
          </cell>
        </row>
        <row r="37">
          <cell r="Q37">
            <v>45997</v>
          </cell>
        </row>
        <row r="38">
          <cell r="Q38">
            <v>45972</v>
          </cell>
        </row>
        <row r="39">
          <cell r="Q39">
            <v>45972</v>
          </cell>
        </row>
        <row r="40">
          <cell r="Q40">
            <v>45972</v>
          </cell>
        </row>
        <row r="41">
          <cell r="Q41">
            <v>45972</v>
          </cell>
        </row>
        <row r="42">
          <cell r="Q42">
            <v>45972</v>
          </cell>
        </row>
        <row r="43">
          <cell r="Q43">
            <v>45972</v>
          </cell>
        </row>
        <row r="44">
          <cell r="Q44">
            <v>45972</v>
          </cell>
        </row>
        <row r="45">
          <cell r="Q45">
            <v>45972</v>
          </cell>
        </row>
        <row r="46">
          <cell r="Q46">
            <v>45972</v>
          </cell>
        </row>
        <row r="47">
          <cell r="Q47">
            <v>45972</v>
          </cell>
        </row>
        <row r="48">
          <cell r="Q48">
            <v>45972</v>
          </cell>
        </row>
        <row r="50">
          <cell r="Q50">
            <v>45997</v>
          </cell>
        </row>
        <row r="51">
          <cell r="Q51">
            <v>45997</v>
          </cell>
        </row>
        <row r="52">
          <cell r="Q52">
            <v>45972</v>
          </cell>
        </row>
        <row r="53">
          <cell r="Q53">
            <v>45972</v>
          </cell>
        </row>
        <row r="54">
          <cell r="Q54">
            <v>45972</v>
          </cell>
        </row>
        <row r="55">
          <cell r="Q55">
            <v>45972</v>
          </cell>
        </row>
        <row r="56">
          <cell r="Q56">
            <v>45972</v>
          </cell>
        </row>
        <row r="57">
          <cell r="Q57">
            <v>45972</v>
          </cell>
        </row>
        <row r="59">
          <cell r="Q59">
            <v>45997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20"/>
  <sheetViews>
    <sheetView tabSelected="1" zoomScale="90" zoomScaleNormal="90" workbookViewId="0">
      <pane xSplit="8" topLeftCell="I1" activePane="topRight" state="frozen"/>
      <selection pane="topRight" activeCell="J3" sqref="J3"/>
    </sheetView>
  </sheetViews>
  <sheetFormatPr defaultColWidth="9" defaultRowHeight="13.5"/>
  <cols>
    <col min="1" max="1" width="2.625" customWidth="1"/>
    <col min="2" max="2" width="17.625" style="3" bestFit="1" customWidth="1"/>
    <col min="3" max="4" width="20.625" customWidth="1"/>
    <col min="5" max="5" width="33.5" customWidth="1"/>
    <col min="6" max="6" width="6.25" style="3" customWidth="1"/>
    <col min="7" max="7" width="20.5" style="26" customWidth="1"/>
    <col min="8" max="8" width="11.875" style="26" bestFit="1" customWidth="1"/>
    <col min="9" max="9" width="14.375" style="4" customWidth="1"/>
    <col min="10" max="10" width="35.25" bestFit="1" customWidth="1"/>
    <col min="11" max="11" width="26" customWidth="1"/>
    <col min="12" max="12" width="28.125" style="21" customWidth="1"/>
    <col min="13" max="13" width="13.75" style="19" customWidth="1"/>
    <col min="14" max="14" width="6.375" customWidth="1"/>
    <col min="15" max="15" width="13.25" style="3" customWidth="1"/>
    <col min="16" max="16" width="14.5" style="19" customWidth="1"/>
    <col min="17" max="17" width="15.625" style="19" customWidth="1"/>
  </cols>
  <sheetData>
    <row r="2" spans="2:17" ht="20.100000000000001" customHeight="1">
      <c r="B2" s="30" t="s">
        <v>11</v>
      </c>
      <c r="C2" s="30"/>
      <c r="D2" s="30"/>
      <c r="E2" s="1" t="s">
        <v>44</v>
      </c>
      <c r="G2" s="31" t="s">
        <v>15</v>
      </c>
      <c r="H2" s="32"/>
      <c r="I2" s="33"/>
      <c r="J2" s="2">
        <f>SUM(H:H)</f>
        <v>2667733</v>
      </c>
    </row>
    <row r="3" spans="2:17" ht="20.100000000000001" customHeight="1">
      <c r="B3" s="30" t="s">
        <v>10</v>
      </c>
      <c r="C3" s="30"/>
      <c r="D3" s="30"/>
      <c r="E3" s="5" t="s">
        <v>25</v>
      </c>
      <c r="P3" s="29"/>
    </row>
    <row r="4" spans="2:17" ht="20.100000000000001" customHeight="1">
      <c r="B4" s="30" t="s">
        <v>12</v>
      </c>
      <c r="C4" s="30"/>
      <c r="D4" s="30"/>
      <c r="E4" s="5">
        <v>227690</v>
      </c>
      <c r="I4" s="12"/>
      <c r="J4" s="4"/>
      <c r="K4" s="14"/>
      <c r="L4" s="22"/>
    </row>
    <row r="5" spans="2:17" ht="20.100000000000001" customHeight="1">
      <c r="B5" s="30" t="s">
        <v>13</v>
      </c>
      <c r="C5" s="30"/>
      <c r="D5" s="30"/>
      <c r="E5" s="6">
        <v>46017</v>
      </c>
      <c r="G5" s="27"/>
      <c r="I5" s="17"/>
      <c r="J5" s="12"/>
      <c r="K5" s="16"/>
      <c r="L5" s="23"/>
    </row>
    <row r="6" spans="2:17" ht="20.100000000000001" customHeight="1">
      <c r="B6" s="30" t="s">
        <v>14</v>
      </c>
      <c r="C6" s="30"/>
      <c r="D6" s="30"/>
      <c r="E6" s="6">
        <v>46069</v>
      </c>
      <c r="I6" s="18"/>
      <c r="J6" s="13"/>
      <c r="K6" s="15"/>
      <c r="L6" s="24"/>
    </row>
    <row r="7" spans="2:17" ht="20.100000000000001" customHeight="1">
      <c r="B7" s="7"/>
      <c r="C7" s="7"/>
      <c r="D7" s="7"/>
      <c r="E7" s="11"/>
      <c r="J7" s="12"/>
      <c r="L7" s="25"/>
    </row>
    <row r="9" spans="2:17" s="3" customFormat="1" ht="19.7" customHeight="1">
      <c r="B9" s="8" t="s">
        <v>4</v>
      </c>
      <c r="C9" s="8" t="s">
        <v>9</v>
      </c>
      <c r="D9" s="8" t="s">
        <v>5</v>
      </c>
      <c r="E9" s="9" t="s">
        <v>8</v>
      </c>
      <c r="F9" s="9" t="s">
        <v>0</v>
      </c>
      <c r="G9" s="28" t="s">
        <v>1</v>
      </c>
      <c r="H9" s="28" t="s">
        <v>2</v>
      </c>
      <c r="I9" s="9" t="s">
        <v>18</v>
      </c>
      <c r="J9" s="9" t="s">
        <v>3</v>
      </c>
      <c r="K9" s="9" t="s">
        <v>17</v>
      </c>
      <c r="L9" s="9" t="s">
        <v>16</v>
      </c>
      <c r="M9" s="10" t="s">
        <v>6</v>
      </c>
      <c r="N9" s="8" t="s">
        <v>19</v>
      </c>
      <c r="O9" s="9" t="s">
        <v>7</v>
      </c>
      <c r="P9" s="10" t="s">
        <v>20</v>
      </c>
      <c r="Q9" s="10" t="s">
        <v>21</v>
      </c>
    </row>
    <row r="10" spans="2:17" s="42" customFormat="1" ht="19.7" customHeight="1">
      <c r="B10" s="34" t="s">
        <v>122</v>
      </c>
      <c r="C10" s="35" t="s">
        <v>24</v>
      </c>
      <c r="D10" s="35" t="s">
        <v>24</v>
      </c>
      <c r="E10" s="36" t="s">
        <v>148</v>
      </c>
      <c r="F10" s="35">
        <v>1</v>
      </c>
      <c r="G10" s="36">
        <v>9649</v>
      </c>
      <c r="H10" s="37">
        <f t="shared" ref="H10:H98" si="0">F10*G10</f>
        <v>9649</v>
      </c>
      <c r="I10" s="36"/>
      <c r="J10" s="38" t="s">
        <v>68</v>
      </c>
      <c r="K10" s="35" t="s">
        <v>174</v>
      </c>
      <c r="L10" s="39"/>
      <c r="M10" s="40">
        <v>45968</v>
      </c>
      <c r="N10" s="41"/>
      <c r="O10" s="41"/>
      <c r="P10" s="40">
        <f>'[1]order (1)'!Q2+1</f>
        <v>45998</v>
      </c>
      <c r="Q10" s="40"/>
    </row>
    <row r="11" spans="2:17" s="42" customFormat="1" ht="19.7" customHeight="1">
      <c r="B11" s="43"/>
      <c r="C11" s="35" t="s">
        <v>24</v>
      </c>
      <c r="D11" s="35" t="s">
        <v>24</v>
      </c>
      <c r="E11" s="36" t="s">
        <v>147</v>
      </c>
      <c r="F11" s="35">
        <v>1</v>
      </c>
      <c r="G11" s="36">
        <v>1634</v>
      </c>
      <c r="H11" s="37">
        <f t="shared" si="0"/>
        <v>1634</v>
      </c>
      <c r="I11" s="36"/>
      <c r="J11" s="38" t="s">
        <v>70</v>
      </c>
      <c r="K11" s="35" t="s">
        <v>174</v>
      </c>
      <c r="L11" s="39"/>
      <c r="M11" s="40">
        <v>45968</v>
      </c>
      <c r="N11" s="41"/>
      <c r="O11" s="41"/>
      <c r="P11" s="40">
        <f>'[1]order (1)'!Q3+1</f>
        <v>45998</v>
      </c>
      <c r="Q11" s="40"/>
    </row>
    <row r="12" spans="2:17" s="42" customFormat="1" ht="19.7" customHeight="1">
      <c r="B12" s="43"/>
      <c r="C12" s="35" t="s">
        <v>24</v>
      </c>
      <c r="D12" s="35" t="s">
        <v>24</v>
      </c>
      <c r="E12" s="36" t="s">
        <v>146</v>
      </c>
      <c r="F12" s="35">
        <v>1</v>
      </c>
      <c r="G12" s="36">
        <v>3859</v>
      </c>
      <c r="H12" s="37">
        <f t="shared" si="0"/>
        <v>3859</v>
      </c>
      <c r="I12" s="36"/>
      <c r="J12" s="38" t="s">
        <v>71</v>
      </c>
      <c r="K12" s="35" t="s">
        <v>174</v>
      </c>
      <c r="L12" s="39"/>
      <c r="M12" s="40">
        <v>45968</v>
      </c>
      <c r="N12" s="41"/>
      <c r="O12" s="41"/>
      <c r="P12" s="40">
        <f>'[1]order (1)'!Q4+1</f>
        <v>45998</v>
      </c>
      <c r="Q12" s="40"/>
    </row>
    <row r="13" spans="2:17" s="42" customFormat="1" ht="19.7" customHeight="1">
      <c r="B13" s="43"/>
      <c r="C13" s="35" t="s">
        <v>24</v>
      </c>
      <c r="D13" s="35" t="s">
        <v>24</v>
      </c>
      <c r="E13" s="36" t="s">
        <v>145</v>
      </c>
      <c r="F13" s="35">
        <v>1</v>
      </c>
      <c r="G13" s="36">
        <v>3106</v>
      </c>
      <c r="H13" s="37">
        <f t="shared" si="0"/>
        <v>3106</v>
      </c>
      <c r="I13" s="36"/>
      <c r="J13" s="38" t="s">
        <v>72</v>
      </c>
      <c r="K13" s="35" t="s">
        <v>174</v>
      </c>
      <c r="L13" s="39"/>
      <c r="M13" s="40">
        <v>45968</v>
      </c>
      <c r="N13" s="41"/>
      <c r="O13" s="41"/>
      <c r="P13" s="40">
        <f>'[1]order (1)'!Q5+1</f>
        <v>45998</v>
      </c>
      <c r="Q13" s="40"/>
    </row>
    <row r="14" spans="2:17" s="42" customFormat="1" ht="19.7" customHeight="1">
      <c r="B14" s="43"/>
      <c r="C14" s="35" t="s">
        <v>24</v>
      </c>
      <c r="D14" s="35" t="s">
        <v>24</v>
      </c>
      <c r="E14" s="36" t="s">
        <v>144</v>
      </c>
      <c r="F14" s="35">
        <v>1</v>
      </c>
      <c r="G14" s="36">
        <v>3760</v>
      </c>
      <c r="H14" s="37">
        <f t="shared" si="0"/>
        <v>3760</v>
      </c>
      <c r="I14" s="36"/>
      <c r="J14" s="38" t="s">
        <v>73</v>
      </c>
      <c r="K14" s="35" t="s">
        <v>174</v>
      </c>
      <c r="L14" s="39"/>
      <c r="M14" s="40">
        <v>45968</v>
      </c>
      <c r="N14" s="41"/>
      <c r="O14" s="41"/>
      <c r="P14" s="40">
        <f>'[1]order (1)'!Q6+1</f>
        <v>45998</v>
      </c>
      <c r="Q14" s="40"/>
    </row>
    <row r="15" spans="2:17" s="42" customFormat="1" ht="19.7" customHeight="1">
      <c r="B15" s="43"/>
      <c r="C15" s="35" t="s">
        <v>24</v>
      </c>
      <c r="D15" s="35" t="s">
        <v>24</v>
      </c>
      <c r="E15" s="36" t="s">
        <v>143</v>
      </c>
      <c r="F15" s="35">
        <v>1</v>
      </c>
      <c r="G15" s="36">
        <v>1378</v>
      </c>
      <c r="H15" s="37">
        <f t="shared" si="0"/>
        <v>1378</v>
      </c>
      <c r="I15" s="36"/>
      <c r="J15" s="38" t="s">
        <v>74</v>
      </c>
      <c r="K15" s="35" t="s">
        <v>174</v>
      </c>
      <c r="L15" s="39"/>
      <c r="M15" s="40">
        <v>45968</v>
      </c>
      <c r="N15" s="41"/>
      <c r="O15" s="41"/>
      <c r="P15" s="40">
        <f>'[1]order (1)'!Q7+1</f>
        <v>45998</v>
      </c>
      <c r="Q15" s="40"/>
    </row>
    <row r="16" spans="2:17" s="42" customFormat="1" ht="19.7" customHeight="1">
      <c r="B16" s="43"/>
      <c r="C16" s="35" t="s">
        <v>24</v>
      </c>
      <c r="D16" s="35" t="s">
        <v>24</v>
      </c>
      <c r="E16" s="36" t="s">
        <v>142</v>
      </c>
      <c r="F16" s="35">
        <v>1</v>
      </c>
      <c r="G16" s="36">
        <v>2133</v>
      </c>
      <c r="H16" s="37">
        <f t="shared" si="0"/>
        <v>2133</v>
      </c>
      <c r="I16" s="36"/>
      <c r="J16" s="38" t="s">
        <v>75</v>
      </c>
      <c r="K16" s="35" t="s">
        <v>174</v>
      </c>
      <c r="L16" s="39"/>
      <c r="M16" s="40">
        <v>45968</v>
      </c>
      <c r="N16" s="41"/>
      <c r="O16" s="41"/>
      <c r="P16" s="40">
        <f>'[1]order (1)'!Q8+1</f>
        <v>45998</v>
      </c>
      <c r="Q16" s="40"/>
    </row>
    <row r="17" spans="2:17" s="42" customFormat="1" ht="19.7" customHeight="1">
      <c r="B17" s="43"/>
      <c r="C17" s="35" t="s">
        <v>24</v>
      </c>
      <c r="D17" s="35" t="s">
        <v>24</v>
      </c>
      <c r="E17" s="36" t="s">
        <v>141</v>
      </c>
      <c r="F17" s="35">
        <v>1</v>
      </c>
      <c r="G17" s="36">
        <v>4036</v>
      </c>
      <c r="H17" s="37">
        <f t="shared" si="0"/>
        <v>4036</v>
      </c>
      <c r="I17" s="36"/>
      <c r="J17" s="38" t="s">
        <v>125</v>
      </c>
      <c r="K17" s="35" t="s">
        <v>174</v>
      </c>
      <c r="L17" s="39"/>
      <c r="M17" s="40">
        <v>45968</v>
      </c>
      <c r="N17" s="41"/>
      <c r="O17" s="41"/>
      <c r="P17" s="40">
        <f>'[1]order (1)'!Q9+1</f>
        <v>45998</v>
      </c>
      <c r="Q17" s="40"/>
    </row>
    <row r="18" spans="2:17" s="42" customFormat="1" ht="19.7" customHeight="1">
      <c r="B18" s="43"/>
      <c r="C18" s="35" t="s">
        <v>24</v>
      </c>
      <c r="D18" s="35" t="s">
        <v>24</v>
      </c>
      <c r="E18" s="44" t="s">
        <v>216</v>
      </c>
      <c r="F18" s="35">
        <v>2</v>
      </c>
      <c r="G18" s="45">
        <v>4794</v>
      </c>
      <c r="H18" s="37">
        <f t="shared" si="0"/>
        <v>9588</v>
      </c>
      <c r="I18" s="36"/>
      <c r="J18" s="38" t="s">
        <v>218</v>
      </c>
      <c r="K18" s="35" t="s">
        <v>174</v>
      </c>
      <c r="L18" s="39"/>
      <c r="M18" s="40">
        <v>46067</v>
      </c>
      <c r="N18" s="41"/>
      <c r="O18" s="41"/>
      <c r="P18" s="40">
        <v>46071</v>
      </c>
      <c r="Q18" s="40"/>
    </row>
    <row r="19" spans="2:17" s="42" customFormat="1" ht="19.7" customHeight="1">
      <c r="B19" s="43"/>
      <c r="C19" s="35" t="s">
        <v>24</v>
      </c>
      <c r="D19" s="35" t="s">
        <v>24</v>
      </c>
      <c r="E19" s="36" t="s">
        <v>217</v>
      </c>
      <c r="F19" s="35">
        <v>2</v>
      </c>
      <c r="G19" s="46">
        <v>4679</v>
      </c>
      <c r="H19" s="37">
        <f t="shared" si="0"/>
        <v>9358</v>
      </c>
      <c r="I19" s="36"/>
      <c r="J19" s="38" t="s">
        <v>219</v>
      </c>
      <c r="K19" s="35" t="s">
        <v>174</v>
      </c>
      <c r="L19" s="39"/>
      <c r="M19" s="40">
        <v>46067</v>
      </c>
      <c r="N19" s="41"/>
      <c r="O19" s="41"/>
      <c r="P19" s="40">
        <v>46071</v>
      </c>
      <c r="Q19" s="40"/>
    </row>
    <row r="20" spans="2:17" s="42" customFormat="1" ht="19.7" customHeight="1">
      <c r="B20" s="47"/>
      <c r="C20" s="35" t="s">
        <v>183</v>
      </c>
      <c r="D20" s="35" t="s">
        <v>183</v>
      </c>
      <c r="E20" s="36" t="s">
        <v>184</v>
      </c>
      <c r="F20" s="35">
        <v>1</v>
      </c>
      <c r="G20" s="36">
        <v>3700</v>
      </c>
      <c r="H20" s="37">
        <f t="shared" si="0"/>
        <v>3700</v>
      </c>
      <c r="I20" s="36"/>
      <c r="J20" s="38" t="s">
        <v>185</v>
      </c>
      <c r="K20" s="48" t="s">
        <v>133</v>
      </c>
      <c r="L20" s="39"/>
      <c r="M20" s="40"/>
      <c r="N20" s="41"/>
      <c r="O20" s="41"/>
      <c r="P20" s="40"/>
      <c r="Q20" s="40">
        <v>46006</v>
      </c>
    </row>
    <row r="21" spans="2:17" s="42" customFormat="1" ht="19.7" customHeight="1">
      <c r="B21" s="49" t="s">
        <v>123</v>
      </c>
      <c r="C21" s="35" t="s">
        <v>24</v>
      </c>
      <c r="D21" s="35" t="s">
        <v>24</v>
      </c>
      <c r="E21" s="36" t="s">
        <v>140</v>
      </c>
      <c r="F21" s="35">
        <v>1</v>
      </c>
      <c r="G21" s="36">
        <v>12701</v>
      </c>
      <c r="H21" s="37">
        <f t="shared" si="0"/>
        <v>12701</v>
      </c>
      <c r="I21" s="36"/>
      <c r="J21" s="36" t="s">
        <v>64</v>
      </c>
      <c r="K21" s="35" t="s">
        <v>174</v>
      </c>
      <c r="L21" s="39"/>
      <c r="M21" s="40">
        <v>45968</v>
      </c>
      <c r="N21" s="41"/>
      <c r="O21" s="41"/>
      <c r="P21" s="40">
        <f>'[1]order (1)'!Q10+1</f>
        <v>45998</v>
      </c>
      <c r="Q21" s="40"/>
    </row>
    <row r="22" spans="2:17" s="42" customFormat="1" ht="19.7" customHeight="1">
      <c r="B22" s="50"/>
      <c r="C22" s="35" t="s">
        <v>24</v>
      </c>
      <c r="D22" s="35" t="s">
        <v>24</v>
      </c>
      <c r="E22" s="36" t="s">
        <v>139</v>
      </c>
      <c r="F22" s="35">
        <v>1</v>
      </c>
      <c r="G22" s="36">
        <v>10515</v>
      </c>
      <c r="H22" s="37">
        <f t="shared" si="0"/>
        <v>10515</v>
      </c>
      <c r="I22" s="36"/>
      <c r="J22" s="36" t="s">
        <v>84</v>
      </c>
      <c r="K22" s="35" t="s">
        <v>174</v>
      </c>
      <c r="L22" s="39"/>
      <c r="M22" s="40">
        <v>45968</v>
      </c>
      <c r="N22" s="41"/>
      <c r="O22" s="41"/>
      <c r="P22" s="40">
        <f>'[1]order (1)'!Q11+1</f>
        <v>45998</v>
      </c>
      <c r="Q22" s="40"/>
    </row>
    <row r="23" spans="2:17" s="42" customFormat="1" ht="19.7" customHeight="1">
      <c r="B23" s="50"/>
      <c r="C23" s="35" t="s">
        <v>24</v>
      </c>
      <c r="D23" s="35" t="s">
        <v>24</v>
      </c>
      <c r="E23" s="36" t="s">
        <v>138</v>
      </c>
      <c r="F23" s="35">
        <v>2</v>
      </c>
      <c r="G23" s="36">
        <v>13290</v>
      </c>
      <c r="H23" s="37">
        <f t="shared" si="0"/>
        <v>26580</v>
      </c>
      <c r="I23" s="36"/>
      <c r="J23" s="36" t="s">
        <v>65</v>
      </c>
      <c r="K23" s="35" t="s">
        <v>174</v>
      </c>
      <c r="L23" s="39"/>
      <c r="M23" s="40">
        <v>45968</v>
      </c>
      <c r="N23" s="41"/>
      <c r="O23" s="41"/>
      <c r="P23" s="40">
        <f>'[1]order (1)'!Q12+1</f>
        <v>45998</v>
      </c>
      <c r="Q23" s="40"/>
    </row>
    <row r="24" spans="2:17" s="42" customFormat="1" ht="19.7" customHeight="1">
      <c r="B24" s="50"/>
      <c r="C24" s="35" t="s">
        <v>24</v>
      </c>
      <c r="D24" s="35" t="s">
        <v>24</v>
      </c>
      <c r="E24" s="36" t="s">
        <v>85</v>
      </c>
      <c r="F24" s="35">
        <v>1</v>
      </c>
      <c r="G24" s="36">
        <v>14025</v>
      </c>
      <c r="H24" s="37">
        <f t="shared" si="0"/>
        <v>14025</v>
      </c>
      <c r="I24" s="36"/>
      <c r="J24" s="36" t="s">
        <v>66</v>
      </c>
      <c r="K24" s="35" t="s">
        <v>174</v>
      </c>
      <c r="L24" s="39"/>
      <c r="M24" s="40">
        <v>45968</v>
      </c>
      <c r="N24" s="41"/>
      <c r="O24" s="41"/>
      <c r="P24" s="40">
        <f>'[1]order (1)'!Q13+1</f>
        <v>45998</v>
      </c>
      <c r="Q24" s="40"/>
    </row>
    <row r="25" spans="2:17" s="42" customFormat="1" ht="19.7" customHeight="1">
      <c r="B25" s="50"/>
      <c r="C25" s="35" t="s">
        <v>24</v>
      </c>
      <c r="D25" s="35" t="s">
        <v>24</v>
      </c>
      <c r="E25" s="36" t="s">
        <v>137</v>
      </c>
      <c r="F25" s="35">
        <v>1</v>
      </c>
      <c r="G25" s="36">
        <v>4986</v>
      </c>
      <c r="H25" s="37">
        <f t="shared" si="0"/>
        <v>4986</v>
      </c>
      <c r="I25" s="36"/>
      <c r="J25" s="36" t="s">
        <v>67</v>
      </c>
      <c r="K25" s="35" t="s">
        <v>174</v>
      </c>
      <c r="L25" s="39"/>
      <c r="M25" s="40">
        <v>45968</v>
      </c>
      <c r="N25" s="41"/>
      <c r="O25" s="41"/>
      <c r="P25" s="40">
        <f>'[1]order (1)'!Q14+1</f>
        <v>45998</v>
      </c>
      <c r="Q25" s="40"/>
    </row>
    <row r="26" spans="2:17" s="42" customFormat="1" ht="19.7" customHeight="1">
      <c r="B26" s="50"/>
      <c r="C26" s="35" t="s">
        <v>24</v>
      </c>
      <c r="D26" s="35" t="s">
        <v>24</v>
      </c>
      <c r="E26" s="36" t="s">
        <v>132</v>
      </c>
      <c r="F26" s="35">
        <v>1</v>
      </c>
      <c r="G26" s="36">
        <v>1267</v>
      </c>
      <c r="H26" s="37">
        <f t="shared" si="0"/>
        <v>1267</v>
      </c>
      <c r="I26" s="36"/>
      <c r="J26" s="36" t="s">
        <v>89</v>
      </c>
      <c r="K26" s="35" t="s">
        <v>174</v>
      </c>
      <c r="L26" s="39"/>
      <c r="M26" s="40">
        <v>45968</v>
      </c>
      <c r="N26" s="41"/>
      <c r="O26" s="41"/>
      <c r="P26" s="40">
        <f>'[1]order (1)'!Q15+1</f>
        <v>45998</v>
      </c>
      <c r="Q26" s="40"/>
    </row>
    <row r="27" spans="2:17" s="42" customFormat="1" ht="19.7" customHeight="1">
      <c r="B27" s="50"/>
      <c r="C27" s="35" t="s">
        <v>24</v>
      </c>
      <c r="D27" s="35" t="s">
        <v>24</v>
      </c>
      <c r="E27" s="36" t="s">
        <v>136</v>
      </c>
      <c r="F27" s="35">
        <v>2</v>
      </c>
      <c r="G27" s="36">
        <v>1278</v>
      </c>
      <c r="H27" s="37">
        <f t="shared" si="0"/>
        <v>2556</v>
      </c>
      <c r="I27" s="36"/>
      <c r="J27" s="36" t="s">
        <v>90</v>
      </c>
      <c r="K27" s="35" t="s">
        <v>174</v>
      </c>
      <c r="L27" s="39"/>
      <c r="M27" s="40">
        <v>45968</v>
      </c>
      <c r="N27" s="41"/>
      <c r="O27" s="41"/>
      <c r="P27" s="40">
        <f>'[1]order (1)'!Q16+1</f>
        <v>45998</v>
      </c>
      <c r="Q27" s="40"/>
    </row>
    <row r="28" spans="2:17" s="42" customFormat="1" ht="19.7" customHeight="1">
      <c r="B28" s="50"/>
      <c r="C28" s="35" t="s">
        <v>24</v>
      </c>
      <c r="D28" s="35" t="s">
        <v>24</v>
      </c>
      <c r="E28" s="36" t="s">
        <v>135</v>
      </c>
      <c r="F28" s="35">
        <v>1</v>
      </c>
      <c r="G28" s="36">
        <v>5189</v>
      </c>
      <c r="H28" s="37">
        <f t="shared" si="0"/>
        <v>5189</v>
      </c>
      <c r="I28" s="36"/>
      <c r="J28" s="36" t="s">
        <v>88</v>
      </c>
      <c r="K28" s="35" t="s">
        <v>174</v>
      </c>
      <c r="L28" s="39"/>
      <c r="M28" s="40">
        <v>45968</v>
      </c>
      <c r="N28" s="41"/>
      <c r="O28" s="41"/>
      <c r="P28" s="40">
        <f>'[1]order (1)'!Q17+1</f>
        <v>45998</v>
      </c>
      <c r="Q28" s="40"/>
    </row>
    <row r="29" spans="2:17" s="42" customFormat="1" ht="19.7" customHeight="1">
      <c r="B29" s="50"/>
      <c r="C29" s="35" t="s">
        <v>24</v>
      </c>
      <c r="D29" s="35" t="s">
        <v>24</v>
      </c>
      <c r="E29" s="36" t="s">
        <v>28</v>
      </c>
      <c r="F29" s="35">
        <v>8</v>
      </c>
      <c r="G29" s="36">
        <v>165</v>
      </c>
      <c r="H29" s="37">
        <f t="shared" si="0"/>
        <v>1320</v>
      </c>
      <c r="I29" s="36"/>
      <c r="J29" s="36" t="s">
        <v>38</v>
      </c>
      <c r="K29" s="35" t="s">
        <v>174</v>
      </c>
      <c r="L29" s="39"/>
      <c r="M29" s="40">
        <v>45968</v>
      </c>
      <c r="N29" s="41"/>
      <c r="O29" s="41"/>
      <c r="P29" s="40">
        <f>'[1]order (1)'!Q18+1</f>
        <v>45970</v>
      </c>
      <c r="Q29" s="40">
        <v>45971</v>
      </c>
    </row>
    <row r="30" spans="2:17" s="42" customFormat="1" ht="19.7" customHeight="1">
      <c r="B30" s="50"/>
      <c r="C30" s="35" t="s">
        <v>24</v>
      </c>
      <c r="D30" s="35" t="s">
        <v>24</v>
      </c>
      <c r="E30" s="36" t="s">
        <v>134</v>
      </c>
      <c r="F30" s="35">
        <v>4</v>
      </c>
      <c r="G30" s="36">
        <v>290</v>
      </c>
      <c r="H30" s="37">
        <f t="shared" si="0"/>
        <v>1160</v>
      </c>
      <c r="I30" s="36"/>
      <c r="J30" s="36" t="s">
        <v>38</v>
      </c>
      <c r="K30" s="35" t="s">
        <v>174</v>
      </c>
      <c r="L30" s="39"/>
      <c r="M30" s="40">
        <v>45968</v>
      </c>
      <c r="N30" s="41"/>
      <c r="O30" s="41"/>
      <c r="P30" s="40">
        <f>'[1]order (1)'!Q19+1</f>
        <v>45970</v>
      </c>
      <c r="Q30" s="40">
        <v>45971</v>
      </c>
    </row>
    <row r="31" spans="2:17" s="42" customFormat="1" ht="19.7" customHeight="1">
      <c r="B31" s="50"/>
      <c r="C31" s="35" t="s">
        <v>24</v>
      </c>
      <c r="D31" s="35" t="s">
        <v>24</v>
      </c>
      <c r="E31" s="36" t="s">
        <v>86</v>
      </c>
      <c r="F31" s="35">
        <v>3</v>
      </c>
      <c r="G31" s="36">
        <v>1310</v>
      </c>
      <c r="H31" s="37">
        <f t="shared" si="0"/>
        <v>3930</v>
      </c>
      <c r="I31" s="36"/>
      <c r="J31" s="36" t="s">
        <v>149</v>
      </c>
      <c r="K31" s="35" t="s">
        <v>174</v>
      </c>
      <c r="L31" s="39"/>
      <c r="M31" s="40">
        <v>45968</v>
      </c>
      <c r="N31" s="41"/>
      <c r="O31" s="41"/>
      <c r="P31" s="40">
        <f>'[1]order (1)'!Q20+1</f>
        <v>45972</v>
      </c>
      <c r="Q31" s="40"/>
    </row>
    <row r="32" spans="2:17" s="42" customFormat="1" ht="19.7" customHeight="1">
      <c r="B32" s="50"/>
      <c r="C32" s="35" t="s">
        <v>24</v>
      </c>
      <c r="D32" s="35" t="s">
        <v>24</v>
      </c>
      <c r="E32" s="36" t="s">
        <v>87</v>
      </c>
      <c r="F32" s="35">
        <v>9</v>
      </c>
      <c r="G32" s="36">
        <v>1310</v>
      </c>
      <c r="H32" s="37">
        <f t="shared" si="0"/>
        <v>11790</v>
      </c>
      <c r="I32" s="36"/>
      <c r="J32" s="36" t="s">
        <v>149</v>
      </c>
      <c r="K32" s="35" t="s">
        <v>174</v>
      </c>
      <c r="L32" s="39"/>
      <c r="M32" s="40">
        <v>45968</v>
      </c>
      <c r="N32" s="41"/>
      <c r="O32" s="41"/>
      <c r="P32" s="40">
        <f>'[1]order (1)'!Q21+1</f>
        <v>45972</v>
      </c>
      <c r="Q32" s="40"/>
    </row>
    <row r="33" spans="2:17" s="42" customFormat="1" ht="19.7" customHeight="1">
      <c r="B33" s="50"/>
      <c r="C33" s="35" t="s">
        <v>24</v>
      </c>
      <c r="D33" s="35" t="s">
        <v>24</v>
      </c>
      <c r="E33" s="36" t="s">
        <v>195</v>
      </c>
      <c r="F33" s="35">
        <v>1</v>
      </c>
      <c r="G33" s="36">
        <v>18714</v>
      </c>
      <c r="H33" s="37">
        <f t="shared" si="0"/>
        <v>18714</v>
      </c>
      <c r="I33" s="36"/>
      <c r="J33" s="36" t="s">
        <v>206</v>
      </c>
      <c r="K33" s="35" t="s">
        <v>174</v>
      </c>
      <c r="L33" s="39"/>
      <c r="M33" s="40">
        <v>46051</v>
      </c>
      <c r="N33" s="41"/>
      <c r="O33" s="41"/>
      <c r="P33" s="40">
        <v>46063</v>
      </c>
      <c r="Q33" s="40"/>
    </row>
    <row r="34" spans="2:17" s="42" customFormat="1" ht="19.7" customHeight="1">
      <c r="B34" s="50"/>
      <c r="C34" s="35" t="s">
        <v>24</v>
      </c>
      <c r="D34" s="35" t="s">
        <v>24</v>
      </c>
      <c r="E34" s="36" t="s">
        <v>196</v>
      </c>
      <c r="F34" s="35">
        <v>1</v>
      </c>
      <c r="G34" s="36">
        <v>20036</v>
      </c>
      <c r="H34" s="37">
        <f t="shared" si="0"/>
        <v>20036</v>
      </c>
      <c r="I34" s="36"/>
      <c r="J34" s="36" t="s">
        <v>66</v>
      </c>
      <c r="K34" s="35" t="s">
        <v>174</v>
      </c>
      <c r="L34" s="39"/>
      <c r="M34" s="40">
        <v>46051</v>
      </c>
      <c r="N34" s="41"/>
      <c r="O34" s="41"/>
      <c r="P34" s="40">
        <v>46063</v>
      </c>
      <c r="Q34" s="40"/>
    </row>
    <row r="35" spans="2:17" s="42" customFormat="1" ht="19.7" customHeight="1">
      <c r="B35" s="50"/>
      <c r="C35" s="35" t="s">
        <v>24</v>
      </c>
      <c r="D35" s="35" t="s">
        <v>24</v>
      </c>
      <c r="E35" s="36" t="s">
        <v>197</v>
      </c>
      <c r="F35" s="35">
        <v>2</v>
      </c>
      <c r="G35" s="36">
        <v>280</v>
      </c>
      <c r="H35" s="37">
        <f t="shared" si="0"/>
        <v>560</v>
      </c>
      <c r="I35" s="36"/>
      <c r="J35" s="36" t="s">
        <v>205</v>
      </c>
      <c r="K35" s="35" t="s">
        <v>174</v>
      </c>
      <c r="L35" s="39"/>
      <c r="M35" s="40">
        <v>46051</v>
      </c>
      <c r="N35" s="41"/>
      <c r="O35" s="41"/>
      <c r="P35" s="40">
        <v>46052</v>
      </c>
      <c r="Q35" s="40"/>
    </row>
    <row r="36" spans="2:17" s="42" customFormat="1" ht="19.7" customHeight="1">
      <c r="B36" s="50"/>
      <c r="C36" s="35" t="s">
        <v>24</v>
      </c>
      <c r="D36" s="35" t="s">
        <v>24</v>
      </c>
      <c r="E36" s="36" t="s">
        <v>198</v>
      </c>
      <c r="F36" s="35">
        <v>2</v>
      </c>
      <c r="G36" s="36">
        <v>350</v>
      </c>
      <c r="H36" s="37">
        <f t="shared" si="0"/>
        <v>700</v>
      </c>
      <c r="I36" s="36"/>
      <c r="J36" s="36" t="s">
        <v>204</v>
      </c>
      <c r="K36" s="35" t="s">
        <v>174</v>
      </c>
      <c r="L36" s="39"/>
      <c r="M36" s="40">
        <v>46051</v>
      </c>
      <c r="N36" s="41"/>
      <c r="O36" s="41"/>
      <c r="P36" s="40">
        <v>46052</v>
      </c>
      <c r="Q36" s="40"/>
    </row>
    <row r="37" spans="2:17" s="42" customFormat="1" ht="19.7" customHeight="1">
      <c r="B37" s="50"/>
      <c r="C37" s="35" t="s">
        <v>24</v>
      </c>
      <c r="D37" s="35" t="s">
        <v>24</v>
      </c>
      <c r="E37" s="36" t="s">
        <v>199</v>
      </c>
      <c r="F37" s="35">
        <v>1</v>
      </c>
      <c r="G37" s="36">
        <v>7470</v>
      </c>
      <c r="H37" s="37">
        <f t="shared" si="0"/>
        <v>7470</v>
      </c>
      <c r="I37" s="36"/>
      <c r="J37" s="36" t="s">
        <v>203</v>
      </c>
      <c r="K37" s="35" t="s">
        <v>174</v>
      </c>
      <c r="L37" s="39"/>
      <c r="M37" s="40">
        <v>46051</v>
      </c>
      <c r="N37" s="41"/>
      <c r="O37" s="41"/>
      <c r="P37" s="40">
        <v>46052</v>
      </c>
      <c r="Q37" s="40"/>
    </row>
    <row r="38" spans="2:17" s="42" customFormat="1" ht="19.7" customHeight="1">
      <c r="B38" s="50"/>
      <c r="C38" s="35" t="s">
        <v>24</v>
      </c>
      <c r="D38" s="35" t="s">
        <v>24</v>
      </c>
      <c r="E38" s="36" t="s">
        <v>200</v>
      </c>
      <c r="F38" s="35">
        <v>4</v>
      </c>
      <c r="G38" s="36">
        <v>270</v>
      </c>
      <c r="H38" s="37">
        <f t="shared" si="0"/>
        <v>1080</v>
      </c>
      <c r="I38" s="36"/>
      <c r="J38" s="36" t="s">
        <v>38</v>
      </c>
      <c r="K38" s="35" t="s">
        <v>174</v>
      </c>
      <c r="L38" s="39"/>
      <c r="M38" s="40">
        <v>46051</v>
      </c>
      <c r="N38" s="41"/>
      <c r="O38" s="41"/>
      <c r="P38" s="40">
        <v>46052</v>
      </c>
      <c r="Q38" s="40"/>
    </row>
    <row r="39" spans="2:17" s="42" customFormat="1" ht="19.7" customHeight="1">
      <c r="B39" s="50"/>
      <c r="C39" s="35" t="s">
        <v>24</v>
      </c>
      <c r="D39" s="35" t="s">
        <v>24</v>
      </c>
      <c r="E39" s="36" t="s">
        <v>201</v>
      </c>
      <c r="F39" s="35">
        <v>1</v>
      </c>
      <c r="G39" s="36">
        <v>250</v>
      </c>
      <c r="H39" s="37">
        <f t="shared" si="0"/>
        <v>250</v>
      </c>
      <c r="I39" s="36"/>
      <c r="J39" s="36" t="s">
        <v>202</v>
      </c>
      <c r="K39" s="35" t="s">
        <v>174</v>
      </c>
      <c r="L39" s="39"/>
      <c r="M39" s="40">
        <v>46051</v>
      </c>
      <c r="N39" s="41"/>
      <c r="O39" s="41"/>
      <c r="P39" s="40">
        <v>46052</v>
      </c>
      <c r="Q39" s="40"/>
    </row>
    <row r="40" spans="2:17" s="42" customFormat="1" ht="19.7" customHeight="1">
      <c r="B40" s="50"/>
      <c r="C40" s="35" t="s">
        <v>37</v>
      </c>
      <c r="D40" s="35" t="s">
        <v>37</v>
      </c>
      <c r="E40" s="36" t="s">
        <v>27</v>
      </c>
      <c r="F40" s="35">
        <v>10</v>
      </c>
      <c r="G40" s="51">
        <v>66</v>
      </c>
      <c r="H40" s="37">
        <f t="shared" si="0"/>
        <v>660</v>
      </c>
      <c r="I40" s="36"/>
      <c r="J40" s="36" t="s">
        <v>39</v>
      </c>
      <c r="K40" s="48" t="s">
        <v>133</v>
      </c>
      <c r="L40" s="39"/>
      <c r="M40" s="40">
        <v>45974</v>
      </c>
      <c r="N40" s="41"/>
      <c r="O40" s="41">
        <v>45981</v>
      </c>
      <c r="P40" s="40">
        <v>45981</v>
      </c>
      <c r="Q40" s="40">
        <v>45979</v>
      </c>
    </row>
    <row r="41" spans="2:17" s="42" customFormat="1" ht="19.7" customHeight="1">
      <c r="B41" s="34" t="s">
        <v>124</v>
      </c>
      <c r="C41" s="35" t="s">
        <v>24</v>
      </c>
      <c r="D41" s="35" t="s">
        <v>24</v>
      </c>
      <c r="E41" s="36" t="s">
        <v>130</v>
      </c>
      <c r="F41" s="35">
        <v>1</v>
      </c>
      <c r="G41" s="36">
        <v>110877</v>
      </c>
      <c r="H41" s="37">
        <f t="shared" si="0"/>
        <v>110877</v>
      </c>
      <c r="I41" s="36"/>
      <c r="J41" s="36" t="s">
        <v>26</v>
      </c>
      <c r="K41" s="35" t="s">
        <v>174</v>
      </c>
      <c r="L41" s="39"/>
      <c r="M41" s="40">
        <v>45968</v>
      </c>
      <c r="N41" s="41"/>
      <c r="O41" s="41"/>
      <c r="P41" s="40">
        <f>'[1]order (1)'!Q22+1</f>
        <v>45993</v>
      </c>
      <c r="Q41" s="40"/>
    </row>
    <row r="42" spans="2:17" s="42" customFormat="1" ht="19.7" customHeight="1">
      <c r="B42" s="43"/>
      <c r="C42" s="35" t="s">
        <v>24</v>
      </c>
      <c r="D42" s="35" t="s">
        <v>24</v>
      </c>
      <c r="E42" s="36" t="s">
        <v>29</v>
      </c>
      <c r="F42" s="35">
        <v>4</v>
      </c>
      <c r="G42" s="36">
        <v>6367</v>
      </c>
      <c r="H42" s="37">
        <f t="shared" si="0"/>
        <v>25468</v>
      </c>
      <c r="I42" s="36"/>
      <c r="J42" s="36" t="s">
        <v>155</v>
      </c>
      <c r="K42" s="35" t="s">
        <v>174</v>
      </c>
      <c r="L42" s="39"/>
      <c r="M42" s="40">
        <v>45968</v>
      </c>
      <c r="N42" s="41"/>
      <c r="O42" s="41"/>
      <c r="P42" s="40">
        <f>'[1]order (1)'!Q23+1</f>
        <v>45973</v>
      </c>
      <c r="Q42" s="40">
        <v>45973</v>
      </c>
    </row>
    <row r="43" spans="2:17" s="42" customFormat="1" ht="19.7" customHeight="1">
      <c r="B43" s="43"/>
      <c r="C43" s="35" t="s">
        <v>24</v>
      </c>
      <c r="D43" s="35" t="s">
        <v>24</v>
      </c>
      <c r="E43" s="36" t="s">
        <v>30</v>
      </c>
      <c r="F43" s="35">
        <v>45</v>
      </c>
      <c r="G43" s="36">
        <v>447</v>
      </c>
      <c r="H43" s="37">
        <f t="shared" si="0"/>
        <v>20115</v>
      </c>
      <c r="I43" s="36"/>
      <c r="J43" s="36" t="s">
        <v>43</v>
      </c>
      <c r="K43" s="35" t="s">
        <v>174</v>
      </c>
      <c r="L43" s="39"/>
      <c r="M43" s="40">
        <v>45968</v>
      </c>
      <c r="N43" s="41"/>
      <c r="O43" s="41"/>
      <c r="P43" s="40">
        <f>'[1]order (1)'!Q24+1</f>
        <v>45973</v>
      </c>
      <c r="Q43" s="40">
        <v>45973</v>
      </c>
    </row>
    <row r="44" spans="2:17" s="42" customFormat="1" ht="19.7" customHeight="1">
      <c r="B44" s="43"/>
      <c r="C44" s="35" t="s">
        <v>24</v>
      </c>
      <c r="D44" s="35" t="s">
        <v>24</v>
      </c>
      <c r="E44" s="36" t="s">
        <v>116</v>
      </c>
      <c r="F44" s="35">
        <v>8</v>
      </c>
      <c r="G44" s="36">
        <v>1857</v>
      </c>
      <c r="H44" s="37">
        <f t="shared" si="0"/>
        <v>14856</v>
      </c>
      <c r="I44" s="36"/>
      <c r="J44" s="36" t="s">
        <v>154</v>
      </c>
      <c r="K44" s="35" t="s">
        <v>174</v>
      </c>
      <c r="L44" s="39"/>
      <c r="M44" s="40">
        <v>45968</v>
      </c>
      <c r="N44" s="41"/>
      <c r="O44" s="41"/>
      <c r="P44" s="40">
        <f>'[1]order (1)'!Q25+1</f>
        <v>45973</v>
      </c>
      <c r="Q44" s="40">
        <v>45973</v>
      </c>
    </row>
    <row r="45" spans="2:17" s="42" customFormat="1" ht="19.7" customHeight="1">
      <c r="B45" s="43"/>
      <c r="C45" s="35" t="s">
        <v>24</v>
      </c>
      <c r="D45" s="35" t="s">
        <v>24</v>
      </c>
      <c r="E45" s="36" t="s">
        <v>31</v>
      </c>
      <c r="F45" s="35">
        <v>4</v>
      </c>
      <c r="G45" s="36">
        <v>710</v>
      </c>
      <c r="H45" s="37">
        <f t="shared" si="0"/>
        <v>2840</v>
      </c>
      <c r="I45" s="36"/>
      <c r="J45" s="36" t="s">
        <v>42</v>
      </c>
      <c r="K45" s="35" t="s">
        <v>174</v>
      </c>
      <c r="L45" s="39"/>
      <c r="M45" s="40">
        <v>45968</v>
      </c>
      <c r="N45" s="41"/>
      <c r="O45" s="41"/>
      <c r="P45" s="40">
        <f>'[1]order (1)'!Q26+1</f>
        <v>45973</v>
      </c>
      <c r="Q45" s="40">
        <v>45973</v>
      </c>
    </row>
    <row r="46" spans="2:17" s="42" customFormat="1" ht="19.7" customHeight="1">
      <c r="B46" s="43"/>
      <c r="C46" s="35" t="s">
        <v>24</v>
      </c>
      <c r="D46" s="35" t="s">
        <v>24</v>
      </c>
      <c r="E46" s="36" t="s">
        <v>150</v>
      </c>
      <c r="F46" s="35">
        <v>1</v>
      </c>
      <c r="G46" s="36">
        <v>1540</v>
      </c>
      <c r="H46" s="37">
        <f t="shared" si="0"/>
        <v>1540</v>
      </c>
      <c r="I46" s="36"/>
      <c r="J46" s="36" t="s">
        <v>153</v>
      </c>
      <c r="K46" s="35" t="s">
        <v>174</v>
      </c>
      <c r="L46" s="39"/>
      <c r="M46" s="40">
        <v>45968</v>
      </c>
      <c r="N46" s="41"/>
      <c r="O46" s="41"/>
      <c r="P46" s="40">
        <f>'[1]order (1)'!Q27+1</f>
        <v>45973</v>
      </c>
      <c r="Q46" s="40">
        <v>45973</v>
      </c>
    </row>
    <row r="47" spans="2:17" s="42" customFormat="1" ht="19.7" customHeight="1">
      <c r="B47" s="43"/>
      <c r="C47" s="35" t="s">
        <v>24</v>
      </c>
      <c r="D47" s="35" t="s">
        <v>24</v>
      </c>
      <c r="E47" s="36" t="s">
        <v>117</v>
      </c>
      <c r="F47" s="35">
        <v>4</v>
      </c>
      <c r="G47" s="36">
        <v>1870</v>
      </c>
      <c r="H47" s="37">
        <f t="shared" si="0"/>
        <v>7480</v>
      </c>
      <c r="I47" s="36"/>
      <c r="J47" s="36" t="s">
        <v>153</v>
      </c>
      <c r="K47" s="35" t="s">
        <v>174</v>
      </c>
      <c r="L47" s="52"/>
      <c r="M47" s="40">
        <v>45968</v>
      </c>
      <c r="N47" s="41"/>
      <c r="O47" s="41"/>
      <c r="P47" s="40">
        <f>'[1]order (1)'!Q28+1</f>
        <v>45973</v>
      </c>
      <c r="Q47" s="40">
        <v>45973</v>
      </c>
    </row>
    <row r="48" spans="2:17" s="42" customFormat="1" ht="19.7" customHeight="1">
      <c r="B48" s="43"/>
      <c r="C48" s="35" t="s">
        <v>24</v>
      </c>
      <c r="D48" s="35" t="s">
        <v>24</v>
      </c>
      <c r="E48" s="36" t="s">
        <v>32</v>
      </c>
      <c r="F48" s="35">
        <v>12</v>
      </c>
      <c r="G48" s="36">
        <v>1810</v>
      </c>
      <c r="H48" s="37">
        <f t="shared" si="0"/>
        <v>21720</v>
      </c>
      <c r="I48" s="36"/>
      <c r="J48" s="36" t="s">
        <v>41</v>
      </c>
      <c r="K48" s="35" t="s">
        <v>174</v>
      </c>
      <c r="L48" s="39"/>
      <c r="M48" s="40">
        <v>45968</v>
      </c>
      <c r="N48" s="41"/>
      <c r="O48" s="41"/>
      <c r="P48" s="40">
        <f>'[1]order (1)'!Q29+1</f>
        <v>45973</v>
      </c>
      <c r="Q48" s="40">
        <v>45973</v>
      </c>
    </row>
    <row r="49" spans="2:17" s="42" customFormat="1" ht="19.7" customHeight="1">
      <c r="B49" s="43"/>
      <c r="C49" s="35" t="s">
        <v>24</v>
      </c>
      <c r="D49" s="35" t="s">
        <v>24</v>
      </c>
      <c r="E49" s="36" t="s">
        <v>33</v>
      </c>
      <c r="F49" s="35">
        <v>4</v>
      </c>
      <c r="G49" s="36">
        <v>404</v>
      </c>
      <c r="H49" s="37">
        <f t="shared" si="0"/>
        <v>1616</v>
      </c>
      <c r="I49" s="36"/>
      <c r="J49" s="36" t="s">
        <v>40</v>
      </c>
      <c r="K49" s="35" t="s">
        <v>174</v>
      </c>
      <c r="L49" s="39"/>
      <c r="M49" s="40">
        <v>45968</v>
      </c>
      <c r="N49" s="41"/>
      <c r="O49" s="41"/>
      <c r="P49" s="40">
        <f>'[1]order (1)'!Q30+1</f>
        <v>45973</v>
      </c>
      <c r="Q49" s="40">
        <v>45973</v>
      </c>
    </row>
    <row r="50" spans="2:17" s="42" customFormat="1" ht="19.7" customHeight="1">
      <c r="B50" s="43"/>
      <c r="C50" s="35" t="s">
        <v>24</v>
      </c>
      <c r="D50" s="35" t="s">
        <v>24</v>
      </c>
      <c r="E50" s="36" t="s">
        <v>194</v>
      </c>
      <c r="F50" s="35">
        <v>4</v>
      </c>
      <c r="G50" s="36">
        <v>364</v>
      </c>
      <c r="H50" s="37">
        <f t="shared" ref="H50" si="1">F50*G50</f>
        <v>1456</v>
      </c>
      <c r="I50" s="36"/>
      <c r="J50" s="36" t="s">
        <v>40</v>
      </c>
      <c r="K50" s="35" t="s">
        <v>174</v>
      </c>
      <c r="L50" s="39"/>
      <c r="M50" s="40">
        <v>46048</v>
      </c>
      <c r="N50" s="41"/>
      <c r="O50" s="41"/>
      <c r="P50" s="40">
        <v>46049</v>
      </c>
      <c r="Q50" s="40"/>
    </row>
    <row r="51" spans="2:17" s="42" customFormat="1" ht="19.7" customHeight="1">
      <c r="B51" s="43"/>
      <c r="C51" s="35" t="s">
        <v>24</v>
      </c>
      <c r="D51" s="35" t="s">
        <v>24</v>
      </c>
      <c r="E51" s="36" t="s">
        <v>131</v>
      </c>
      <c r="F51" s="35">
        <v>1</v>
      </c>
      <c r="G51" s="36">
        <v>1020</v>
      </c>
      <c r="H51" s="37">
        <f t="shared" si="0"/>
        <v>1020</v>
      </c>
      <c r="I51" s="36"/>
      <c r="J51" s="36" t="s">
        <v>152</v>
      </c>
      <c r="K51" s="35" t="s">
        <v>174</v>
      </c>
      <c r="L51" s="39"/>
      <c r="M51" s="40">
        <v>45968</v>
      </c>
      <c r="N51" s="41"/>
      <c r="O51" s="41"/>
      <c r="P51" s="40">
        <f>'[1]order (1)'!Q31+1</f>
        <v>45973</v>
      </c>
      <c r="Q51" s="40">
        <v>45973</v>
      </c>
    </row>
    <row r="52" spans="2:17" s="42" customFormat="1" ht="19.7" customHeight="1">
      <c r="B52" s="43"/>
      <c r="C52" s="35" t="s">
        <v>24</v>
      </c>
      <c r="D52" s="35" t="s">
        <v>24</v>
      </c>
      <c r="E52" s="36" t="s">
        <v>121</v>
      </c>
      <c r="F52" s="35">
        <v>30</v>
      </c>
      <c r="G52" s="36">
        <v>66</v>
      </c>
      <c r="H52" s="37">
        <f t="shared" si="0"/>
        <v>1980</v>
      </c>
      <c r="I52" s="36"/>
      <c r="J52" s="36" t="s">
        <v>151</v>
      </c>
      <c r="K52" s="35" t="s">
        <v>174</v>
      </c>
      <c r="L52" s="39"/>
      <c r="M52" s="40">
        <v>45968</v>
      </c>
      <c r="N52" s="41"/>
      <c r="O52" s="41"/>
      <c r="P52" s="40">
        <f>'[1]order (1)'!Q32+1</f>
        <v>45973</v>
      </c>
      <c r="Q52" s="40">
        <v>45973</v>
      </c>
    </row>
    <row r="53" spans="2:17" s="42" customFormat="1" ht="19.7" customHeight="1">
      <c r="B53" s="43"/>
      <c r="C53" s="35" t="s">
        <v>24</v>
      </c>
      <c r="D53" s="35" t="s">
        <v>24</v>
      </c>
      <c r="E53" s="36" t="s">
        <v>221</v>
      </c>
      <c r="F53" s="35">
        <v>50</v>
      </c>
      <c r="G53" s="36">
        <v>66</v>
      </c>
      <c r="H53" s="37">
        <f t="shared" ref="H53" si="2">F53*G53</f>
        <v>3300</v>
      </c>
      <c r="I53" s="36"/>
      <c r="J53" s="36" t="s">
        <v>151</v>
      </c>
      <c r="K53" s="35" t="s">
        <v>174</v>
      </c>
      <c r="L53" s="39"/>
      <c r="M53" s="40">
        <v>46072</v>
      </c>
      <c r="N53" s="41"/>
      <c r="O53" s="41"/>
      <c r="P53" s="40">
        <v>46077</v>
      </c>
      <c r="Q53" s="40"/>
    </row>
    <row r="54" spans="2:17" s="42" customFormat="1" ht="19.7" customHeight="1">
      <c r="B54" s="43"/>
      <c r="C54" s="35" t="s">
        <v>24</v>
      </c>
      <c r="D54" s="35" t="s">
        <v>24</v>
      </c>
      <c r="E54" s="36" t="s">
        <v>53</v>
      </c>
      <c r="F54" s="35">
        <v>10</v>
      </c>
      <c r="G54" s="36">
        <v>250</v>
      </c>
      <c r="H54" s="37">
        <f t="shared" si="0"/>
        <v>2500</v>
      </c>
      <c r="I54" s="36"/>
      <c r="J54" s="36" t="s">
        <v>43</v>
      </c>
      <c r="K54" s="35" t="s">
        <v>174</v>
      </c>
      <c r="L54" s="39"/>
      <c r="M54" s="40">
        <v>46042</v>
      </c>
      <c r="N54" s="41"/>
      <c r="O54" s="41"/>
      <c r="P54" s="40">
        <v>46044</v>
      </c>
      <c r="Q54" s="40"/>
    </row>
    <row r="55" spans="2:17" s="42" customFormat="1" ht="19.7" customHeight="1">
      <c r="B55" s="43"/>
      <c r="C55" s="35" t="s">
        <v>24</v>
      </c>
      <c r="D55" s="35" t="s">
        <v>24</v>
      </c>
      <c r="E55" s="36" t="s">
        <v>186</v>
      </c>
      <c r="F55" s="35">
        <v>2</v>
      </c>
      <c r="G55" s="36">
        <v>256</v>
      </c>
      <c r="H55" s="37">
        <f t="shared" si="0"/>
        <v>512</v>
      </c>
      <c r="I55" s="36"/>
      <c r="J55" s="36" t="s">
        <v>163</v>
      </c>
      <c r="K55" s="35" t="s">
        <v>174</v>
      </c>
      <c r="L55" s="39"/>
      <c r="M55" s="40">
        <v>46042</v>
      </c>
      <c r="N55" s="41"/>
      <c r="O55" s="41"/>
      <c r="P55" s="40">
        <v>46044</v>
      </c>
      <c r="Q55" s="40"/>
    </row>
    <row r="56" spans="2:17" s="42" customFormat="1" ht="19.7" customHeight="1">
      <c r="B56" s="43"/>
      <c r="C56" s="35" t="s">
        <v>24</v>
      </c>
      <c r="D56" s="35" t="s">
        <v>24</v>
      </c>
      <c r="E56" s="36" t="s">
        <v>187</v>
      </c>
      <c r="F56" s="35">
        <v>2</v>
      </c>
      <c r="G56" s="36">
        <v>380</v>
      </c>
      <c r="H56" s="37">
        <f t="shared" si="0"/>
        <v>760</v>
      </c>
      <c r="I56" s="36"/>
      <c r="J56" s="36" t="s">
        <v>153</v>
      </c>
      <c r="K56" s="35" t="s">
        <v>174</v>
      </c>
      <c r="L56" s="39"/>
      <c r="M56" s="40">
        <v>46042</v>
      </c>
      <c r="N56" s="41"/>
      <c r="O56" s="41"/>
      <c r="P56" s="40">
        <v>46044</v>
      </c>
      <c r="Q56" s="40"/>
    </row>
    <row r="57" spans="2:17" s="42" customFormat="1" ht="19.7" customHeight="1">
      <c r="B57" s="43"/>
      <c r="C57" s="35" t="s">
        <v>24</v>
      </c>
      <c r="D57" s="35" t="s">
        <v>24</v>
      </c>
      <c r="E57" s="36" t="s">
        <v>188</v>
      </c>
      <c r="F57" s="35">
        <v>1</v>
      </c>
      <c r="G57" s="36">
        <v>480</v>
      </c>
      <c r="H57" s="37">
        <f t="shared" si="0"/>
        <v>480</v>
      </c>
      <c r="I57" s="36"/>
      <c r="J57" s="36" t="s">
        <v>153</v>
      </c>
      <c r="K57" s="35" t="s">
        <v>174</v>
      </c>
      <c r="L57" s="39"/>
      <c r="M57" s="40">
        <v>46042</v>
      </c>
      <c r="N57" s="41"/>
      <c r="O57" s="41"/>
      <c r="P57" s="40">
        <v>46044</v>
      </c>
      <c r="Q57" s="40"/>
    </row>
    <row r="58" spans="2:17" s="42" customFormat="1" ht="19.7" customHeight="1">
      <c r="B58" s="43"/>
      <c r="C58" s="35" t="s">
        <v>24</v>
      </c>
      <c r="D58" s="35" t="s">
        <v>24</v>
      </c>
      <c r="E58" s="36" t="s">
        <v>180</v>
      </c>
      <c r="F58" s="35">
        <v>20</v>
      </c>
      <c r="G58" s="36">
        <v>108</v>
      </c>
      <c r="H58" s="37">
        <f t="shared" si="0"/>
        <v>2160</v>
      </c>
      <c r="I58" s="36"/>
      <c r="J58" s="36" t="s">
        <v>182</v>
      </c>
      <c r="K58" s="35" t="s">
        <v>174</v>
      </c>
      <c r="L58" s="39"/>
      <c r="M58" s="40">
        <v>46042</v>
      </c>
      <c r="N58" s="41"/>
      <c r="O58" s="41"/>
      <c r="P58" s="40">
        <v>46044</v>
      </c>
      <c r="Q58" s="40"/>
    </row>
    <row r="59" spans="2:17" s="42" customFormat="1" ht="19.7" customHeight="1">
      <c r="B59" s="43"/>
      <c r="C59" s="35" t="s">
        <v>24</v>
      </c>
      <c r="D59" s="35" t="s">
        <v>24</v>
      </c>
      <c r="E59" s="36" t="s">
        <v>189</v>
      </c>
      <c r="F59" s="35">
        <v>100</v>
      </c>
      <c r="G59" s="36">
        <v>28</v>
      </c>
      <c r="H59" s="37">
        <f t="shared" si="0"/>
        <v>2800</v>
      </c>
      <c r="I59" s="36"/>
      <c r="J59" s="36" t="s">
        <v>192</v>
      </c>
      <c r="K59" s="35" t="s">
        <v>174</v>
      </c>
      <c r="L59" s="39"/>
      <c r="M59" s="40">
        <v>46042</v>
      </c>
      <c r="N59" s="41"/>
      <c r="O59" s="41"/>
      <c r="P59" s="40">
        <v>46044</v>
      </c>
      <c r="Q59" s="40"/>
    </row>
    <row r="60" spans="2:17" s="42" customFormat="1" ht="19.7" customHeight="1">
      <c r="B60" s="43"/>
      <c r="C60" s="35" t="s">
        <v>24</v>
      </c>
      <c r="D60" s="35" t="s">
        <v>24</v>
      </c>
      <c r="E60" s="36" t="s">
        <v>190</v>
      </c>
      <c r="F60" s="35">
        <v>12</v>
      </c>
      <c r="G60" s="36">
        <v>166</v>
      </c>
      <c r="H60" s="37">
        <f t="shared" si="0"/>
        <v>1992</v>
      </c>
      <c r="I60" s="36"/>
      <c r="J60" s="36" t="s">
        <v>43</v>
      </c>
      <c r="K60" s="35" t="s">
        <v>174</v>
      </c>
      <c r="L60" s="39"/>
      <c r="M60" s="40">
        <v>46042</v>
      </c>
      <c r="N60" s="41"/>
      <c r="O60" s="41"/>
      <c r="P60" s="40">
        <v>46044</v>
      </c>
      <c r="Q60" s="40"/>
    </row>
    <row r="61" spans="2:17" s="42" customFormat="1" ht="19.7" customHeight="1">
      <c r="B61" s="47"/>
      <c r="C61" s="35" t="s">
        <v>24</v>
      </c>
      <c r="D61" s="35" t="s">
        <v>24</v>
      </c>
      <c r="E61" s="36" t="s">
        <v>191</v>
      </c>
      <c r="F61" s="35">
        <v>4</v>
      </c>
      <c r="G61" s="36">
        <v>210</v>
      </c>
      <c r="H61" s="37">
        <f t="shared" si="0"/>
        <v>840</v>
      </c>
      <c r="I61" s="36"/>
      <c r="J61" s="36" t="s">
        <v>193</v>
      </c>
      <c r="K61" s="35" t="s">
        <v>174</v>
      </c>
      <c r="L61" s="39"/>
      <c r="M61" s="40">
        <v>46042</v>
      </c>
      <c r="N61" s="41"/>
      <c r="O61" s="41"/>
      <c r="P61" s="40">
        <v>46044</v>
      </c>
      <c r="Q61" s="40"/>
    </row>
    <row r="62" spans="2:17" s="42" customFormat="1" ht="19.7" customHeight="1">
      <c r="B62" s="34" t="s">
        <v>129</v>
      </c>
      <c r="C62" s="35" t="s">
        <v>24</v>
      </c>
      <c r="D62" s="35" t="s">
        <v>24</v>
      </c>
      <c r="E62" s="36" t="s">
        <v>191</v>
      </c>
      <c r="F62" s="35">
        <v>4</v>
      </c>
      <c r="G62" s="36">
        <v>210</v>
      </c>
      <c r="H62" s="37">
        <f t="shared" si="0"/>
        <v>840</v>
      </c>
      <c r="I62" s="36"/>
      <c r="J62" s="53" t="s">
        <v>76</v>
      </c>
      <c r="K62" s="35"/>
      <c r="L62" s="39"/>
      <c r="M62" s="40"/>
      <c r="N62" s="41"/>
      <c r="O62" s="41"/>
      <c r="P62" s="40"/>
      <c r="Q62" s="40"/>
    </row>
    <row r="63" spans="2:17" s="42" customFormat="1" ht="19.7" customHeight="1">
      <c r="B63" s="43"/>
      <c r="C63" s="35" t="s">
        <v>56</v>
      </c>
      <c r="D63" s="35" t="s">
        <v>209</v>
      </c>
      <c r="E63" s="36" t="s">
        <v>55</v>
      </c>
      <c r="F63" s="35">
        <v>2</v>
      </c>
      <c r="G63" s="51">
        <v>6300</v>
      </c>
      <c r="H63" s="37">
        <f t="shared" si="0"/>
        <v>12600</v>
      </c>
      <c r="I63" s="36"/>
      <c r="J63" s="36" t="s">
        <v>79</v>
      </c>
      <c r="K63" s="48" t="s">
        <v>133</v>
      </c>
      <c r="L63" s="39"/>
      <c r="M63" s="40">
        <v>45974</v>
      </c>
      <c r="N63" s="41"/>
      <c r="O63" s="41">
        <v>46003</v>
      </c>
      <c r="P63" s="40">
        <v>46003</v>
      </c>
      <c r="Q63" s="40">
        <v>46002</v>
      </c>
    </row>
    <row r="64" spans="2:17" s="42" customFormat="1" ht="19.7" customHeight="1">
      <c r="B64" s="43"/>
      <c r="C64" s="35" t="s">
        <v>56</v>
      </c>
      <c r="D64" s="35" t="s">
        <v>209</v>
      </c>
      <c r="E64" s="36" t="s">
        <v>57</v>
      </c>
      <c r="F64" s="35">
        <v>1</v>
      </c>
      <c r="G64" s="51">
        <v>2930</v>
      </c>
      <c r="H64" s="37">
        <f t="shared" si="0"/>
        <v>2930</v>
      </c>
      <c r="I64" s="36"/>
      <c r="J64" s="36" t="s">
        <v>80</v>
      </c>
      <c r="K64" s="48" t="s">
        <v>133</v>
      </c>
      <c r="L64" s="39"/>
      <c r="M64" s="40">
        <v>45974</v>
      </c>
      <c r="N64" s="41"/>
      <c r="O64" s="41">
        <v>46003</v>
      </c>
      <c r="P64" s="40">
        <v>46003</v>
      </c>
      <c r="Q64" s="40">
        <v>46002</v>
      </c>
    </row>
    <row r="65" spans="2:17" s="42" customFormat="1" ht="19.7" customHeight="1">
      <c r="B65" s="43"/>
      <c r="C65" s="35" t="s">
        <v>56</v>
      </c>
      <c r="D65" s="35" t="s">
        <v>209</v>
      </c>
      <c r="E65" s="36" t="s">
        <v>58</v>
      </c>
      <c r="F65" s="35">
        <v>1</v>
      </c>
      <c r="G65" s="51">
        <v>5150</v>
      </c>
      <c r="H65" s="37">
        <f t="shared" si="0"/>
        <v>5150</v>
      </c>
      <c r="I65" s="36"/>
      <c r="J65" s="36" t="s">
        <v>81</v>
      </c>
      <c r="K65" s="48" t="s">
        <v>133</v>
      </c>
      <c r="L65" s="39"/>
      <c r="M65" s="40">
        <v>45974</v>
      </c>
      <c r="N65" s="41"/>
      <c r="O65" s="41">
        <v>46003</v>
      </c>
      <c r="P65" s="40">
        <v>46003</v>
      </c>
      <c r="Q65" s="40">
        <v>46002</v>
      </c>
    </row>
    <row r="66" spans="2:17" s="42" customFormat="1" ht="19.7" customHeight="1">
      <c r="B66" s="43"/>
      <c r="C66" s="35" t="s">
        <v>56</v>
      </c>
      <c r="D66" s="35" t="s">
        <v>209</v>
      </c>
      <c r="E66" s="36" t="s">
        <v>59</v>
      </c>
      <c r="F66" s="35">
        <v>1</v>
      </c>
      <c r="G66" s="51">
        <v>9270</v>
      </c>
      <c r="H66" s="37">
        <f t="shared" si="0"/>
        <v>9270</v>
      </c>
      <c r="I66" s="36"/>
      <c r="J66" s="36" t="s">
        <v>82</v>
      </c>
      <c r="K66" s="48" t="s">
        <v>133</v>
      </c>
      <c r="L66" s="39"/>
      <c r="M66" s="40">
        <v>45974</v>
      </c>
      <c r="N66" s="41"/>
      <c r="O66" s="41">
        <v>46003</v>
      </c>
      <c r="P66" s="40">
        <v>46003</v>
      </c>
      <c r="Q66" s="40">
        <v>46002</v>
      </c>
    </row>
    <row r="67" spans="2:17" s="42" customFormat="1" ht="19.7" customHeight="1">
      <c r="B67" s="43"/>
      <c r="C67" s="35" t="s">
        <v>56</v>
      </c>
      <c r="D67" s="35" t="s">
        <v>209</v>
      </c>
      <c r="E67" s="36" t="s">
        <v>213</v>
      </c>
      <c r="F67" s="35">
        <v>1</v>
      </c>
      <c r="G67" s="51">
        <v>9420</v>
      </c>
      <c r="H67" s="37">
        <f t="shared" si="0"/>
        <v>9420</v>
      </c>
      <c r="I67" s="36"/>
      <c r="J67" s="36" t="s">
        <v>82</v>
      </c>
      <c r="K67" s="48" t="s">
        <v>212</v>
      </c>
      <c r="L67" s="39"/>
      <c r="M67" s="40"/>
      <c r="N67" s="41"/>
      <c r="O67" s="41"/>
      <c r="P67" s="40">
        <v>46063</v>
      </c>
      <c r="Q67" s="40">
        <v>46063</v>
      </c>
    </row>
    <row r="68" spans="2:17" s="42" customFormat="1" ht="19.7" customHeight="1">
      <c r="B68" s="43"/>
      <c r="C68" s="35" t="s">
        <v>56</v>
      </c>
      <c r="D68" s="35" t="s">
        <v>209</v>
      </c>
      <c r="E68" s="36" t="s">
        <v>60</v>
      </c>
      <c r="F68" s="35">
        <v>1</v>
      </c>
      <c r="G68" s="51">
        <v>1720</v>
      </c>
      <c r="H68" s="37">
        <f t="shared" si="0"/>
        <v>1720</v>
      </c>
      <c r="I68" s="36"/>
      <c r="J68" s="36" t="s">
        <v>83</v>
      </c>
      <c r="K68" s="48" t="s">
        <v>133</v>
      </c>
      <c r="L68" s="39"/>
      <c r="M68" s="40">
        <v>45974</v>
      </c>
      <c r="N68" s="41"/>
      <c r="O68" s="41">
        <v>46003</v>
      </c>
      <c r="P68" s="40">
        <v>46003</v>
      </c>
      <c r="Q68" s="40">
        <v>46002</v>
      </c>
    </row>
    <row r="69" spans="2:17" s="42" customFormat="1" ht="19.7" customHeight="1">
      <c r="B69" s="43"/>
      <c r="C69" s="35" t="s">
        <v>56</v>
      </c>
      <c r="D69" s="35" t="s">
        <v>209</v>
      </c>
      <c r="E69" s="36" t="s">
        <v>61</v>
      </c>
      <c r="F69" s="35">
        <v>3</v>
      </c>
      <c r="G69" s="51">
        <v>470</v>
      </c>
      <c r="H69" s="37">
        <f t="shared" si="0"/>
        <v>1410</v>
      </c>
      <c r="I69" s="36"/>
      <c r="J69" s="36" t="s">
        <v>78</v>
      </c>
      <c r="K69" s="48" t="s">
        <v>133</v>
      </c>
      <c r="L69" s="39"/>
      <c r="M69" s="40">
        <v>45974</v>
      </c>
      <c r="N69" s="41"/>
      <c r="O69" s="41">
        <v>46003</v>
      </c>
      <c r="P69" s="40">
        <v>46003</v>
      </c>
      <c r="Q69" s="40">
        <v>46002</v>
      </c>
    </row>
    <row r="70" spans="2:17" s="42" customFormat="1" ht="19.7" customHeight="1">
      <c r="B70" s="47"/>
      <c r="C70" s="35" t="s">
        <v>56</v>
      </c>
      <c r="D70" s="35" t="s">
        <v>209</v>
      </c>
      <c r="E70" s="36" t="s">
        <v>210</v>
      </c>
      <c r="F70" s="35">
        <v>1</v>
      </c>
      <c r="G70" s="51">
        <v>6980</v>
      </c>
      <c r="H70" s="37">
        <f t="shared" si="0"/>
        <v>6980</v>
      </c>
      <c r="I70" s="36"/>
      <c r="J70" s="36" t="s">
        <v>211</v>
      </c>
      <c r="K70" s="48" t="s">
        <v>214</v>
      </c>
      <c r="L70" s="39"/>
      <c r="M70" s="40">
        <v>46058</v>
      </c>
      <c r="N70" s="41"/>
      <c r="O70" s="54" t="s">
        <v>215</v>
      </c>
      <c r="P70" s="54" t="s">
        <v>215</v>
      </c>
      <c r="Q70" s="54" t="s">
        <v>215</v>
      </c>
    </row>
    <row r="71" spans="2:17" s="42" customFormat="1" ht="19.7" customHeight="1">
      <c r="B71" s="55">
        <v>6</v>
      </c>
      <c r="C71" s="35" t="s">
        <v>34</v>
      </c>
      <c r="D71" s="35" t="s">
        <v>34</v>
      </c>
      <c r="E71" s="36" t="s">
        <v>35</v>
      </c>
      <c r="F71" s="35">
        <v>150</v>
      </c>
      <c r="G71" s="51">
        <v>5000</v>
      </c>
      <c r="H71" s="37">
        <f t="shared" si="0"/>
        <v>750000</v>
      </c>
      <c r="I71" s="35"/>
      <c r="J71" s="36" t="s">
        <v>35</v>
      </c>
      <c r="K71" s="35"/>
      <c r="L71" s="53"/>
      <c r="M71" s="40"/>
      <c r="N71" s="56"/>
      <c r="O71" s="41"/>
      <c r="P71" s="40"/>
      <c r="Q71" s="40"/>
    </row>
    <row r="72" spans="2:17" s="42" customFormat="1" ht="19.7" customHeight="1">
      <c r="B72" s="55">
        <v>7</v>
      </c>
      <c r="C72" s="35" t="s">
        <v>34</v>
      </c>
      <c r="D72" s="35" t="s">
        <v>34</v>
      </c>
      <c r="E72" s="36" t="s">
        <v>36</v>
      </c>
      <c r="F72" s="35">
        <v>150</v>
      </c>
      <c r="G72" s="51">
        <v>5000</v>
      </c>
      <c r="H72" s="37">
        <f t="shared" si="0"/>
        <v>750000</v>
      </c>
      <c r="I72" s="36"/>
      <c r="J72" s="36" t="s">
        <v>36</v>
      </c>
      <c r="K72" s="35"/>
      <c r="L72" s="39"/>
      <c r="M72" s="40"/>
      <c r="N72" s="41"/>
      <c r="O72" s="41"/>
      <c r="P72" s="40"/>
      <c r="Q72" s="40"/>
    </row>
    <row r="73" spans="2:17" s="42" customFormat="1" ht="19.7" customHeight="1">
      <c r="B73" s="49" t="s">
        <v>127</v>
      </c>
      <c r="C73" s="35" t="s">
        <v>24</v>
      </c>
      <c r="D73" s="35" t="s">
        <v>24</v>
      </c>
      <c r="E73" s="36" t="s">
        <v>159</v>
      </c>
      <c r="F73" s="35">
        <v>1</v>
      </c>
      <c r="G73" s="36">
        <v>7194</v>
      </c>
      <c r="H73" s="37">
        <f t="shared" si="0"/>
        <v>7194</v>
      </c>
      <c r="I73" s="36"/>
      <c r="J73" s="36" t="s">
        <v>69</v>
      </c>
      <c r="K73" s="35" t="s">
        <v>174</v>
      </c>
      <c r="L73" s="39"/>
      <c r="M73" s="40">
        <v>45968</v>
      </c>
      <c r="N73" s="41"/>
      <c r="O73" s="41"/>
      <c r="P73" s="40">
        <f>'[1]order (1)'!Q33+1</f>
        <v>45998</v>
      </c>
      <c r="Q73" s="40"/>
    </row>
    <row r="74" spans="2:17" s="42" customFormat="1" ht="19.7" customHeight="1">
      <c r="B74" s="49"/>
      <c r="C74" s="35" t="s">
        <v>24</v>
      </c>
      <c r="D74" s="35" t="s">
        <v>24</v>
      </c>
      <c r="E74" s="36" t="s">
        <v>220</v>
      </c>
      <c r="F74" s="35">
        <v>1</v>
      </c>
      <c r="G74" s="36">
        <v>5938</v>
      </c>
      <c r="H74" s="37">
        <f t="shared" ref="H74" si="3">F74*G74</f>
        <v>5938</v>
      </c>
      <c r="I74" s="36"/>
      <c r="J74" s="36" t="s">
        <v>69</v>
      </c>
      <c r="K74" s="35" t="s">
        <v>174</v>
      </c>
      <c r="L74" s="39"/>
      <c r="M74" s="40">
        <v>46072</v>
      </c>
      <c r="N74" s="41"/>
      <c r="O74" s="41"/>
      <c r="P74" s="40">
        <v>46077</v>
      </c>
      <c r="Q74" s="40"/>
    </row>
    <row r="75" spans="2:17" s="42" customFormat="1" ht="19.7" customHeight="1">
      <c r="B75" s="50"/>
      <c r="C75" s="35" t="s">
        <v>24</v>
      </c>
      <c r="D75" s="35" t="s">
        <v>24</v>
      </c>
      <c r="E75" s="36" t="s">
        <v>159</v>
      </c>
      <c r="F75" s="35">
        <v>1</v>
      </c>
      <c r="G75" s="36">
        <v>7194</v>
      </c>
      <c r="H75" s="37">
        <f t="shared" si="0"/>
        <v>7194</v>
      </c>
      <c r="I75" s="36"/>
      <c r="J75" s="36" t="s">
        <v>111</v>
      </c>
      <c r="K75" s="35" t="s">
        <v>174</v>
      </c>
      <c r="L75" s="39"/>
      <c r="M75" s="40">
        <v>45968</v>
      </c>
      <c r="N75" s="41"/>
      <c r="O75" s="41"/>
      <c r="P75" s="40">
        <f>'[1]order (1)'!Q34+1</f>
        <v>45998</v>
      </c>
      <c r="Q75" s="40"/>
    </row>
    <row r="76" spans="2:17" s="42" customFormat="1" ht="19.7" customHeight="1">
      <c r="B76" s="50"/>
      <c r="C76" s="35" t="s">
        <v>24</v>
      </c>
      <c r="D76" s="35" t="s">
        <v>24</v>
      </c>
      <c r="E76" s="36" t="s">
        <v>158</v>
      </c>
      <c r="F76" s="35">
        <v>1</v>
      </c>
      <c r="G76" s="36">
        <v>1745</v>
      </c>
      <c r="H76" s="37">
        <f t="shared" si="0"/>
        <v>1745</v>
      </c>
      <c r="I76" s="36"/>
      <c r="J76" s="36" t="s">
        <v>112</v>
      </c>
      <c r="K76" s="35" t="s">
        <v>174</v>
      </c>
      <c r="L76" s="39"/>
      <c r="M76" s="40">
        <v>45968</v>
      </c>
      <c r="N76" s="41"/>
      <c r="O76" s="41"/>
      <c r="P76" s="40">
        <f>'[1]order (1)'!Q35+1</f>
        <v>45998</v>
      </c>
      <c r="Q76" s="40"/>
    </row>
    <row r="77" spans="2:17" s="42" customFormat="1" ht="19.7" customHeight="1">
      <c r="B77" s="50"/>
      <c r="C77" s="35" t="s">
        <v>24</v>
      </c>
      <c r="D77" s="35" t="s">
        <v>24</v>
      </c>
      <c r="E77" s="36" t="s">
        <v>157</v>
      </c>
      <c r="F77" s="35">
        <v>1</v>
      </c>
      <c r="G77" s="36">
        <v>2112</v>
      </c>
      <c r="H77" s="37">
        <f t="shared" si="0"/>
        <v>2112</v>
      </c>
      <c r="I77" s="36"/>
      <c r="J77" s="36" t="s">
        <v>113</v>
      </c>
      <c r="K77" s="35" t="s">
        <v>174</v>
      </c>
      <c r="L77" s="39"/>
      <c r="M77" s="40">
        <v>45968</v>
      </c>
      <c r="N77" s="41"/>
      <c r="O77" s="41"/>
      <c r="P77" s="40">
        <f>'[1]order (1)'!Q36+1</f>
        <v>45998</v>
      </c>
      <c r="Q77" s="40"/>
    </row>
    <row r="78" spans="2:17" s="42" customFormat="1" ht="19.7" customHeight="1">
      <c r="B78" s="50"/>
      <c r="C78" s="35" t="s">
        <v>24</v>
      </c>
      <c r="D78" s="35" t="s">
        <v>24</v>
      </c>
      <c r="E78" s="36" t="s">
        <v>157</v>
      </c>
      <c r="F78" s="35">
        <v>3</v>
      </c>
      <c r="G78" s="36">
        <v>2713</v>
      </c>
      <c r="H78" s="37">
        <f t="shared" ref="H78:H79" si="4">F78*G78</f>
        <v>8139</v>
      </c>
      <c r="I78" s="36"/>
      <c r="J78" s="36" t="s">
        <v>113</v>
      </c>
      <c r="K78" s="35" t="s">
        <v>174</v>
      </c>
      <c r="L78" s="39"/>
      <c r="M78" s="40">
        <v>46042</v>
      </c>
      <c r="N78" s="41"/>
      <c r="O78" s="41"/>
      <c r="P78" s="40">
        <v>46048</v>
      </c>
      <c r="Q78" s="40"/>
    </row>
    <row r="79" spans="2:17" s="42" customFormat="1" ht="19.7" customHeight="1">
      <c r="B79" s="50"/>
      <c r="C79" s="35" t="s">
        <v>24</v>
      </c>
      <c r="D79" s="35" t="s">
        <v>24</v>
      </c>
      <c r="E79" s="36" t="s">
        <v>208</v>
      </c>
      <c r="F79" s="35">
        <v>1</v>
      </c>
      <c r="G79" s="36">
        <v>4243</v>
      </c>
      <c r="H79" s="37">
        <f t="shared" si="4"/>
        <v>4243</v>
      </c>
      <c r="I79" s="36"/>
      <c r="J79" s="36" t="s">
        <v>207</v>
      </c>
      <c r="K79" s="35" t="s">
        <v>174</v>
      </c>
      <c r="L79" s="39"/>
      <c r="M79" s="40">
        <v>46056</v>
      </c>
      <c r="N79" s="41"/>
      <c r="O79" s="41"/>
      <c r="P79" s="40">
        <v>46062</v>
      </c>
      <c r="Q79" s="40"/>
    </row>
    <row r="80" spans="2:17" s="42" customFormat="1" ht="19.7" customHeight="1">
      <c r="B80" s="50"/>
      <c r="C80" s="35" t="s">
        <v>24</v>
      </c>
      <c r="D80" s="35" t="s">
        <v>24</v>
      </c>
      <c r="E80" s="36" t="s">
        <v>29</v>
      </c>
      <c r="F80" s="35">
        <v>4</v>
      </c>
      <c r="G80" s="36">
        <v>6367</v>
      </c>
      <c r="H80" s="37">
        <f t="shared" si="0"/>
        <v>25468</v>
      </c>
      <c r="I80" s="36"/>
      <c r="J80" s="36" t="s">
        <v>164</v>
      </c>
      <c r="K80" s="35" t="s">
        <v>174</v>
      </c>
      <c r="L80" s="39"/>
      <c r="M80" s="40">
        <v>45968</v>
      </c>
      <c r="N80" s="41"/>
      <c r="O80" s="41"/>
      <c r="P80" s="40">
        <f>'[1]order (1)'!Q37+1</f>
        <v>45998</v>
      </c>
      <c r="Q80" s="40">
        <v>45973</v>
      </c>
    </row>
    <row r="81" spans="2:17" s="42" customFormat="1" ht="19.7" customHeight="1">
      <c r="B81" s="50"/>
      <c r="C81" s="35" t="s">
        <v>24</v>
      </c>
      <c r="D81" s="35" t="s">
        <v>24</v>
      </c>
      <c r="E81" s="36" t="s">
        <v>30</v>
      </c>
      <c r="F81" s="35">
        <v>32</v>
      </c>
      <c r="G81" s="36">
        <v>447</v>
      </c>
      <c r="H81" s="37">
        <f t="shared" si="0"/>
        <v>14304</v>
      </c>
      <c r="I81" s="36"/>
      <c r="J81" s="36" t="s">
        <v>43</v>
      </c>
      <c r="K81" s="35" t="s">
        <v>174</v>
      </c>
      <c r="L81" s="39"/>
      <c r="M81" s="40">
        <v>45968</v>
      </c>
      <c r="N81" s="41"/>
      <c r="O81" s="41"/>
      <c r="P81" s="40">
        <f>'[1]order (1)'!Q38+1</f>
        <v>45973</v>
      </c>
      <c r="Q81" s="40">
        <v>45973</v>
      </c>
    </row>
    <row r="82" spans="2:17" s="42" customFormat="1" ht="19.7" customHeight="1">
      <c r="B82" s="50"/>
      <c r="C82" s="35" t="s">
        <v>24</v>
      </c>
      <c r="D82" s="35" t="s">
        <v>24</v>
      </c>
      <c r="E82" s="36" t="s">
        <v>45</v>
      </c>
      <c r="F82" s="35">
        <v>4</v>
      </c>
      <c r="G82" s="36">
        <v>211</v>
      </c>
      <c r="H82" s="37">
        <f t="shared" si="0"/>
        <v>844</v>
      </c>
      <c r="I82" s="36"/>
      <c r="J82" s="36" t="s">
        <v>163</v>
      </c>
      <c r="K82" s="35" t="s">
        <v>174</v>
      </c>
      <c r="L82" s="39"/>
      <c r="M82" s="40">
        <v>45968</v>
      </c>
      <c r="N82" s="41"/>
      <c r="O82" s="41"/>
      <c r="P82" s="40">
        <f>'[1]order (1)'!Q39+1</f>
        <v>45973</v>
      </c>
      <c r="Q82" s="40">
        <v>45973</v>
      </c>
    </row>
    <row r="83" spans="2:17" s="42" customFormat="1" ht="19.7" customHeight="1">
      <c r="B83" s="50"/>
      <c r="C83" s="35" t="s">
        <v>24</v>
      </c>
      <c r="D83" s="35" t="s">
        <v>24</v>
      </c>
      <c r="E83" s="36" t="s">
        <v>46</v>
      </c>
      <c r="F83" s="35">
        <v>2</v>
      </c>
      <c r="G83" s="36">
        <v>540</v>
      </c>
      <c r="H83" s="37">
        <f t="shared" si="0"/>
        <v>1080</v>
      </c>
      <c r="I83" s="36"/>
      <c r="J83" s="36" t="s">
        <v>153</v>
      </c>
      <c r="K83" s="35" t="s">
        <v>174</v>
      </c>
      <c r="L83" s="39"/>
      <c r="M83" s="40">
        <v>45968</v>
      </c>
      <c r="N83" s="41"/>
      <c r="O83" s="41"/>
      <c r="P83" s="40">
        <f>'[1]order (1)'!Q40+1</f>
        <v>45973</v>
      </c>
      <c r="Q83" s="40">
        <v>45973</v>
      </c>
    </row>
    <row r="84" spans="2:17" s="42" customFormat="1" ht="19.7" customHeight="1">
      <c r="B84" s="50"/>
      <c r="C84" s="35" t="s">
        <v>24</v>
      </c>
      <c r="D84" s="35" t="s">
        <v>24</v>
      </c>
      <c r="E84" s="36" t="s">
        <v>47</v>
      </c>
      <c r="F84" s="35">
        <v>4</v>
      </c>
      <c r="G84" s="36">
        <v>920</v>
      </c>
      <c r="H84" s="37">
        <f t="shared" si="0"/>
        <v>3680</v>
      </c>
      <c r="I84" s="36"/>
      <c r="J84" s="36" t="s">
        <v>153</v>
      </c>
      <c r="K84" s="35" t="s">
        <v>174</v>
      </c>
      <c r="L84" s="39"/>
      <c r="M84" s="40">
        <v>45968</v>
      </c>
      <c r="N84" s="41"/>
      <c r="O84" s="41"/>
      <c r="P84" s="40">
        <f>'[1]order (1)'!Q41+1</f>
        <v>45973</v>
      </c>
      <c r="Q84" s="40">
        <v>45973</v>
      </c>
    </row>
    <row r="85" spans="2:17" s="42" customFormat="1" ht="19.7" customHeight="1">
      <c r="B85" s="50"/>
      <c r="C85" s="35" t="s">
        <v>24</v>
      </c>
      <c r="D85" s="35" t="s">
        <v>24</v>
      </c>
      <c r="E85" s="36" t="s">
        <v>115</v>
      </c>
      <c r="F85" s="35">
        <v>4</v>
      </c>
      <c r="G85" s="36">
        <v>1060</v>
      </c>
      <c r="H85" s="37">
        <f t="shared" si="0"/>
        <v>4240</v>
      </c>
      <c r="I85" s="36"/>
      <c r="J85" s="36" t="s">
        <v>153</v>
      </c>
      <c r="K85" s="35" t="s">
        <v>174</v>
      </c>
      <c r="L85" s="52"/>
      <c r="M85" s="40">
        <v>45968</v>
      </c>
      <c r="N85" s="41"/>
      <c r="O85" s="41"/>
      <c r="P85" s="40">
        <f>'[1]order (1)'!Q42+1</f>
        <v>45973</v>
      </c>
      <c r="Q85" s="40">
        <v>45973</v>
      </c>
    </row>
    <row r="86" spans="2:17" s="42" customFormat="1" ht="19.7" customHeight="1">
      <c r="B86" s="50"/>
      <c r="C86" s="35" t="s">
        <v>24</v>
      </c>
      <c r="D86" s="35" t="s">
        <v>24</v>
      </c>
      <c r="E86" s="36" t="s">
        <v>156</v>
      </c>
      <c r="F86" s="35">
        <v>4</v>
      </c>
      <c r="G86" s="36">
        <v>2180</v>
      </c>
      <c r="H86" s="37">
        <f t="shared" si="0"/>
        <v>8720</v>
      </c>
      <c r="I86" s="36"/>
      <c r="J86" s="36" t="s">
        <v>153</v>
      </c>
      <c r="K86" s="35" t="s">
        <v>174</v>
      </c>
      <c r="L86" s="39"/>
      <c r="M86" s="40">
        <v>45968</v>
      </c>
      <c r="N86" s="41"/>
      <c r="O86" s="41"/>
      <c r="P86" s="40">
        <f>'[1]order (1)'!Q43+1</f>
        <v>45973</v>
      </c>
      <c r="Q86" s="40">
        <v>45973</v>
      </c>
    </row>
    <row r="87" spans="2:17" s="42" customFormat="1" ht="19.7" customHeight="1">
      <c r="B87" s="50"/>
      <c r="C87" s="35" t="s">
        <v>24</v>
      </c>
      <c r="D87" s="35" t="s">
        <v>24</v>
      </c>
      <c r="E87" s="36" t="s">
        <v>48</v>
      </c>
      <c r="F87" s="35">
        <v>4</v>
      </c>
      <c r="G87" s="36">
        <v>252</v>
      </c>
      <c r="H87" s="37">
        <f t="shared" si="0"/>
        <v>1008</v>
      </c>
      <c r="I87" s="36"/>
      <c r="J87" s="36" t="s">
        <v>40</v>
      </c>
      <c r="K87" s="35" t="s">
        <v>174</v>
      </c>
      <c r="L87" s="39"/>
      <c r="M87" s="40">
        <v>45968</v>
      </c>
      <c r="N87" s="41"/>
      <c r="O87" s="41"/>
      <c r="P87" s="40">
        <f>'[1]order (1)'!Q44+1</f>
        <v>45973</v>
      </c>
      <c r="Q87" s="40">
        <v>45973</v>
      </c>
    </row>
    <row r="88" spans="2:17" s="42" customFormat="1" ht="19.7" customHeight="1">
      <c r="B88" s="50"/>
      <c r="C88" s="35" t="s">
        <v>24</v>
      </c>
      <c r="D88" s="35" t="s">
        <v>24</v>
      </c>
      <c r="E88" s="36" t="s">
        <v>49</v>
      </c>
      <c r="F88" s="35">
        <v>50</v>
      </c>
      <c r="G88" s="36">
        <v>73</v>
      </c>
      <c r="H88" s="37">
        <f t="shared" si="0"/>
        <v>3650</v>
      </c>
      <c r="I88" s="36"/>
      <c r="J88" s="36" t="s">
        <v>162</v>
      </c>
      <c r="K88" s="35" t="s">
        <v>174</v>
      </c>
      <c r="L88" s="39"/>
      <c r="M88" s="40">
        <v>45968</v>
      </c>
      <c r="N88" s="41"/>
      <c r="O88" s="41"/>
      <c r="P88" s="40">
        <f>'[1]order (1)'!Q45+1</f>
        <v>45973</v>
      </c>
      <c r="Q88" s="40">
        <v>45973</v>
      </c>
    </row>
    <row r="89" spans="2:17" s="42" customFormat="1" ht="19.7" customHeight="1">
      <c r="B89" s="50"/>
      <c r="C89" s="35" t="s">
        <v>24</v>
      </c>
      <c r="D89" s="35" t="s">
        <v>24</v>
      </c>
      <c r="E89" s="36" t="s">
        <v>50</v>
      </c>
      <c r="F89" s="35">
        <v>4</v>
      </c>
      <c r="G89" s="36">
        <v>101</v>
      </c>
      <c r="H89" s="37">
        <f t="shared" si="0"/>
        <v>404</v>
      </c>
      <c r="I89" s="36"/>
      <c r="J89" s="36" t="s">
        <v>161</v>
      </c>
      <c r="K89" s="35" t="s">
        <v>174</v>
      </c>
      <c r="L89" s="39"/>
      <c r="M89" s="40">
        <v>45968</v>
      </c>
      <c r="N89" s="41"/>
      <c r="O89" s="41"/>
      <c r="P89" s="40">
        <f>'[1]order (1)'!Q46+1</f>
        <v>45973</v>
      </c>
      <c r="Q89" s="40">
        <v>45973</v>
      </c>
    </row>
    <row r="90" spans="2:17" s="42" customFormat="1" ht="19.7" customHeight="1">
      <c r="B90" s="50"/>
      <c r="C90" s="35" t="s">
        <v>24</v>
      </c>
      <c r="D90" s="35" t="s">
        <v>24</v>
      </c>
      <c r="E90" s="36" t="s">
        <v>114</v>
      </c>
      <c r="F90" s="35">
        <v>1</v>
      </c>
      <c r="G90" s="36">
        <v>240</v>
      </c>
      <c r="H90" s="37">
        <f t="shared" si="0"/>
        <v>240</v>
      </c>
      <c r="I90" s="36"/>
      <c r="J90" s="36" t="s">
        <v>160</v>
      </c>
      <c r="K90" s="35" t="s">
        <v>174</v>
      </c>
      <c r="L90" s="39"/>
      <c r="M90" s="40">
        <v>45968</v>
      </c>
      <c r="N90" s="41"/>
      <c r="O90" s="41"/>
      <c r="P90" s="40">
        <f>'[1]order (1)'!Q47+1</f>
        <v>45973</v>
      </c>
      <c r="Q90" s="40">
        <v>45973</v>
      </c>
    </row>
    <row r="91" spans="2:17" s="42" customFormat="1" ht="19.7" customHeight="1">
      <c r="B91" s="55">
        <v>17</v>
      </c>
      <c r="C91" s="35" t="s">
        <v>34</v>
      </c>
      <c r="D91" s="35" t="s">
        <v>34</v>
      </c>
      <c r="E91" s="36" t="s">
        <v>35</v>
      </c>
      <c r="F91" s="35">
        <v>30</v>
      </c>
      <c r="G91" s="51">
        <v>5000</v>
      </c>
      <c r="H91" s="37">
        <f t="shared" si="0"/>
        <v>150000</v>
      </c>
      <c r="I91" s="35"/>
      <c r="J91" s="36" t="s">
        <v>35</v>
      </c>
      <c r="K91" s="35"/>
      <c r="L91" s="53"/>
      <c r="M91" s="40"/>
      <c r="N91" s="56"/>
      <c r="O91" s="41"/>
      <c r="P91" s="40"/>
      <c r="Q91" s="40"/>
    </row>
    <row r="92" spans="2:17" s="42" customFormat="1" ht="19.7" customHeight="1">
      <c r="B92" s="49" t="s">
        <v>128</v>
      </c>
      <c r="C92" s="35" t="s">
        <v>175</v>
      </c>
      <c r="D92" s="35" t="s">
        <v>92</v>
      </c>
      <c r="E92" s="36" t="s">
        <v>104</v>
      </c>
      <c r="F92" s="35">
        <v>1</v>
      </c>
      <c r="G92" s="51">
        <v>133500</v>
      </c>
      <c r="H92" s="37">
        <f t="shared" si="0"/>
        <v>133500</v>
      </c>
      <c r="I92" s="36"/>
      <c r="J92" s="36" t="s">
        <v>105</v>
      </c>
      <c r="K92" s="57"/>
      <c r="L92" s="39"/>
      <c r="M92" s="40">
        <v>45972</v>
      </c>
      <c r="N92" s="41"/>
      <c r="O92" s="41">
        <v>46038</v>
      </c>
      <c r="P92" s="40">
        <v>46038</v>
      </c>
      <c r="Q92" s="40"/>
    </row>
    <row r="93" spans="2:17" s="42" customFormat="1" ht="19.7" customHeight="1">
      <c r="B93" s="50"/>
      <c r="C93" s="35" t="s">
        <v>175</v>
      </c>
      <c r="D93" s="35" t="s">
        <v>92</v>
      </c>
      <c r="E93" s="36" t="s">
        <v>106</v>
      </c>
      <c r="F93" s="35">
        <v>1</v>
      </c>
      <c r="G93" s="51">
        <v>2000</v>
      </c>
      <c r="H93" s="37">
        <f t="shared" si="0"/>
        <v>2000</v>
      </c>
      <c r="I93" s="36"/>
      <c r="J93" s="36" t="s">
        <v>106</v>
      </c>
      <c r="K93" s="57"/>
      <c r="L93" s="39"/>
      <c r="M93" s="40">
        <v>45972</v>
      </c>
      <c r="N93" s="41"/>
      <c r="O93" s="41">
        <v>46038</v>
      </c>
      <c r="P93" s="40">
        <v>46038</v>
      </c>
      <c r="Q93" s="40"/>
    </row>
    <row r="94" spans="2:17" s="42" customFormat="1" ht="19.7" customHeight="1">
      <c r="B94" s="50"/>
      <c r="C94" s="35" t="s">
        <v>175</v>
      </c>
      <c r="D94" s="35" t="s">
        <v>92</v>
      </c>
      <c r="E94" s="36" t="s">
        <v>107</v>
      </c>
      <c r="F94" s="35">
        <v>1</v>
      </c>
      <c r="G94" s="51">
        <v>7880</v>
      </c>
      <c r="H94" s="37">
        <f t="shared" si="0"/>
        <v>7880</v>
      </c>
      <c r="I94" s="36"/>
      <c r="J94" s="36" t="s">
        <v>109</v>
      </c>
      <c r="K94" s="57"/>
      <c r="L94" s="39"/>
      <c r="M94" s="40">
        <v>45972</v>
      </c>
      <c r="N94" s="41"/>
      <c r="O94" s="41">
        <v>46038</v>
      </c>
      <c r="P94" s="40">
        <v>46038</v>
      </c>
      <c r="Q94" s="40"/>
    </row>
    <row r="95" spans="2:17" s="42" customFormat="1" ht="19.7" customHeight="1">
      <c r="B95" s="50"/>
      <c r="C95" s="35" t="s">
        <v>175</v>
      </c>
      <c r="D95" s="35" t="s">
        <v>92</v>
      </c>
      <c r="E95" s="36" t="s">
        <v>106</v>
      </c>
      <c r="F95" s="35">
        <v>1</v>
      </c>
      <c r="G95" s="51">
        <v>2000</v>
      </c>
      <c r="H95" s="37">
        <f t="shared" si="0"/>
        <v>2000</v>
      </c>
      <c r="I95" s="36"/>
      <c r="J95" s="36" t="s">
        <v>106</v>
      </c>
      <c r="K95" s="57"/>
      <c r="L95" s="39"/>
      <c r="M95" s="40">
        <v>45972</v>
      </c>
      <c r="N95" s="41"/>
      <c r="O95" s="41">
        <v>46038</v>
      </c>
      <c r="P95" s="40">
        <v>46038</v>
      </c>
      <c r="Q95" s="40"/>
    </row>
    <row r="96" spans="2:17" s="42" customFormat="1" ht="19.7" customHeight="1">
      <c r="B96" s="50"/>
      <c r="C96" s="35" t="s">
        <v>175</v>
      </c>
      <c r="D96" s="35" t="s">
        <v>92</v>
      </c>
      <c r="E96" s="36" t="s">
        <v>108</v>
      </c>
      <c r="F96" s="35">
        <v>1</v>
      </c>
      <c r="G96" s="51">
        <v>29460</v>
      </c>
      <c r="H96" s="37">
        <f t="shared" si="0"/>
        <v>29460</v>
      </c>
      <c r="I96" s="36"/>
      <c r="J96" s="36" t="s">
        <v>110</v>
      </c>
      <c r="K96" s="57"/>
      <c r="L96" s="39"/>
      <c r="M96" s="40">
        <v>45972</v>
      </c>
      <c r="N96" s="41"/>
      <c r="O96" s="41">
        <v>46038</v>
      </c>
      <c r="P96" s="40">
        <v>46038</v>
      </c>
      <c r="Q96" s="40"/>
    </row>
    <row r="97" spans="2:17" s="42" customFormat="1" ht="19.7" customHeight="1">
      <c r="B97" s="50"/>
      <c r="C97" s="35" t="s">
        <v>175</v>
      </c>
      <c r="D97" s="35" t="s">
        <v>92</v>
      </c>
      <c r="E97" s="36" t="s">
        <v>106</v>
      </c>
      <c r="F97" s="35">
        <v>1</v>
      </c>
      <c r="G97" s="51">
        <v>1000</v>
      </c>
      <c r="H97" s="37">
        <f t="shared" si="0"/>
        <v>1000</v>
      </c>
      <c r="I97" s="36"/>
      <c r="J97" s="36" t="s">
        <v>106</v>
      </c>
      <c r="K97" s="57"/>
      <c r="L97" s="39"/>
      <c r="M97" s="40">
        <v>45972</v>
      </c>
      <c r="N97" s="41"/>
      <c r="O97" s="41">
        <v>46038</v>
      </c>
      <c r="P97" s="40">
        <v>46038</v>
      </c>
      <c r="Q97" s="40"/>
    </row>
    <row r="98" spans="2:17" s="42" customFormat="1" ht="19.7" customHeight="1">
      <c r="B98" s="50"/>
      <c r="C98" s="35" t="s">
        <v>91</v>
      </c>
      <c r="D98" s="35" t="s">
        <v>92</v>
      </c>
      <c r="E98" s="36" t="s">
        <v>93</v>
      </c>
      <c r="F98" s="35">
        <v>1</v>
      </c>
      <c r="G98" s="51">
        <v>7055</v>
      </c>
      <c r="H98" s="37">
        <f t="shared" si="0"/>
        <v>7055</v>
      </c>
      <c r="I98" s="36"/>
      <c r="J98" s="36" t="s">
        <v>101</v>
      </c>
      <c r="K98" s="57"/>
      <c r="L98" s="52"/>
      <c r="M98" s="40">
        <v>45972</v>
      </c>
      <c r="N98" s="41"/>
      <c r="O98" s="41">
        <v>46038</v>
      </c>
      <c r="P98" s="40">
        <v>46036</v>
      </c>
      <c r="Q98" s="40">
        <v>46036</v>
      </c>
    </row>
    <row r="99" spans="2:17" s="42" customFormat="1" ht="19.7" customHeight="1">
      <c r="B99" s="50"/>
      <c r="C99" s="35" t="s">
        <v>91</v>
      </c>
      <c r="D99" s="35" t="s">
        <v>92</v>
      </c>
      <c r="E99" s="36" t="s">
        <v>94</v>
      </c>
      <c r="F99" s="35">
        <v>1</v>
      </c>
      <c r="G99" s="51">
        <v>7221</v>
      </c>
      <c r="H99" s="37">
        <f t="shared" ref="H99:H119" si="5">F99*G99</f>
        <v>7221</v>
      </c>
      <c r="I99" s="36"/>
      <c r="J99" s="36" t="s">
        <v>102</v>
      </c>
      <c r="K99" s="57"/>
      <c r="L99" s="52"/>
      <c r="M99" s="40">
        <v>45972</v>
      </c>
      <c r="N99" s="41"/>
      <c r="O99" s="41">
        <v>46038</v>
      </c>
      <c r="P99" s="40">
        <v>46036</v>
      </c>
      <c r="Q99" s="40">
        <v>46036</v>
      </c>
    </row>
    <row r="100" spans="2:17" s="42" customFormat="1" ht="19.7" customHeight="1">
      <c r="B100" s="50"/>
      <c r="C100" s="35" t="s">
        <v>91</v>
      </c>
      <c r="D100" s="35" t="s">
        <v>92</v>
      </c>
      <c r="E100" s="36" t="s">
        <v>95</v>
      </c>
      <c r="F100" s="35">
        <v>1</v>
      </c>
      <c r="G100" s="51">
        <v>2598</v>
      </c>
      <c r="H100" s="37">
        <f t="shared" si="5"/>
        <v>2598</v>
      </c>
      <c r="I100" s="36"/>
      <c r="J100" s="36" t="s">
        <v>96</v>
      </c>
      <c r="K100" s="57"/>
      <c r="L100" s="39"/>
      <c r="M100" s="40">
        <v>45972</v>
      </c>
      <c r="N100" s="41"/>
      <c r="O100" s="41">
        <v>46038</v>
      </c>
      <c r="P100" s="40">
        <v>46036</v>
      </c>
      <c r="Q100" s="40">
        <v>46036</v>
      </c>
    </row>
    <row r="101" spans="2:17" s="42" customFormat="1" ht="19.7" customHeight="1">
      <c r="B101" s="50"/>
      <c r="C101" s="35" t="s">
        <v>91</v>
      </c>
      <c r="D101" s="35" t="s">
        <v>92</v>
      </c>
      <c r="E101" s="36" t="s">
        <v>97</v>
      </c>
      <c r="F101" s="35">
        <v>1</v>
      </c>
      <c r="G101" s="51">
        <v>2341</v>
      </c>
      <c r="H101" s="37">
        <f t="shared" si="5"/>
        <v>2341</v>
      </c>
      <c r="I101" s="36"/>
      <c r="J101" s="36" t="s">
        <v>98</v>
      </c>
      <c r="K101" s="57"/>
      <c r="L101" s="39"/>
      <c r="M101" s="40">
        <v>45972</v>
      </c>
      <c r="N101" s="41"/>
      <c r="O101" s="41">
        <v>46038</v>
      </c>
      <c r="P101" s="40">
        <v>46036</v>
      </c>
      <c r="Q101" s="40">
        <v>46036</v>
      </c>
    </row>
    <row r="102" spans="2:17" s="42" customFormat="1" ht="19.7" customHeight="1">
      <c r="B102" s="50"/>
      <c r="C102" s="35" t="s">
        <v>91</v>
      </c>
      <c r="D102" s="35" t="s">
        <v>92</v>
      </c>
      <c r="E102" s="36" t="s">
        <v>99</v>
      </c>
      <c r="F102" s="35">
        <v>1</v>
      </c>
      <c r="G102" s="51">
        <v>2341</v>
      </c>
      <c r="H102" s="37">
        <f t="shared" si="5"/>
        <v>2341</v>
      </c>
      <c r="I102" s="36"/>
      <c r="J102" s="36" t="s">
        <v>103</v>
      </c>
      <c r="K102" s="57"/>
      <c r="L102" s="39"/>
      <c r="M102" s="40">
        <v>45972</v>
      </c>
      <c r="N102" s="41"/>
      <c r="O102" s="41">
        <v>46038</v>
      </c>
      <c r="P102" s="40">
        <v>46036</v>
      </c>
      <c r="Q102" s="40">
        <v>46036</v>
      </c>
    </row>
    <row r="103" spans="2:17" s="42" customFormat="1" ht="19.7" customHeight="1">
      <c r="B103" s="50"/>
      <c r="C103" s="35" t="s">
        <v>91</v>
      </c>
      <c r="D103" s="35" t="s">
        <v>92</v>
      </c>
      <c r="E103" s="36" t="s">
        <v>100</v>
      </c>
      <c r="F103" s="35">
        <v>1</v>
      </c>
      <c r="G103" s="51">
        <v>1500</v>
      </c>
      <c r="H103" s="37">
        <f t="shared" si="5"/>
        <v>1500</v>
      </c>
      <c r="I103" s="36"/>
      <c r="J103" s="36" t="s">
        <v>100</v>
      </c>
      <c r="K103" s="57"/>
      <c r="L103" s="39"/>
      <c r="M103" s="40">
        <v>45972</v>
      </c>
      <c r="N103" s="41"/>
      <c r="O103" s="41">
        <v>46038</v>
      </c>
      <c r="P103" s="40">
        <v>46036</v>
      </c>
      <c r="Q103" s="40">
        <v>46036</v>
      </c>
    </row>
    <row r="104" spans="2:17" s="42" customFormat="1" ht="19.7" customHeight="1">
      <c r="B104" s="35">
        <v>23</v>
      </c>
      <c r="C104" s="35" t="s">
        <v>24</v>
      </c>
      <c r="D104" s="35" t="s">
        <v>24</v>
      </c>
      <c r="E104" s="36" t="s">
        <v>77</v>
      </c>
      <c r="F104" s="35">
        <v>1</v>
      </c>
      <c r="G104" s="36">
        <v>19144</v>
      </c>
      <c r="H104" s="37">
        <f t="shared" si="5"/>
        <v>19144</v>
      </c>
      <c r="I104" s="36"/>
      <c r="J104" s="36" t="s">
        <v>170</v>
      </c>
      <c r="K104" s="35" t="s">
        <v>174</v>
      </c>
      <c r="L104" s="39"/>
      <c r="M104" s="40">
        <v>45968</v>
      </c>
      <c r="N104" s="41"/>
      <c r="O104" s="41"/>
      <c r="P104" s="40">
        <f>'[1]order (1)'!Q48+1</f>
        <v>45973</v>
      </c>
      <c r="Q104" s="40">
        <v>45973</v>
      </c>
    </row>
    <row r="105" spans="2:17" s="42" customFormat="1" ht="19.7" customHeight="1">
      <c r="B105" s="49" t="s">
        <v>126</v>
      </c>
      <c r="C105" s="35" t="s">
        <v>24</v>
      </c>
      <c r="D105" s="35" t="s">
        <v>24</v>
      </c>
      <c r="E105" s="36" t="s">
        <v>169</v>
      </c>
      <c r="F105" s="35">
        <v>1</v>
      </c>
      <c r="G105" s="36">
        <v>6905</v>
      </c>
      <c r="H105" s="37">
        <f t="shared" si="5"/>
        <v>6905</v>
      </c>
      <c r="I105" s="36"/>
      <c r="J105" s="36" t="s">
        <v>62</v>
      </c>
      <c r="K105" s="35" t="s">
        <v>174</v>
      </c>
      <c r="L105" s="39"/>
      <c r="M105" s="40">
        <v>45968</v>
      </c>
      <c r="N105" s="41"/>
      <c r="O105" s="41"/>
      <c r="P105" s="40">
        <v>45999</v>
      </c>
      <c r="Q105" s="40"/>
    </row>
    <row r="106" spans="2:17" s="42" customFormat="1" ht="19.7" customHeight="1">
      <c r="B106" s="50"/>
      <c r="C106" s="35" t="s">
        <v>24</v>
      </c>
      <c r="D106" s="35" t="s">
        <v>24</v>
      </c>
      <c r="E106" s="36" t="s">
        <v>168</v>
      </c>
      <c r="F106" s="35">
        <v>1</v>
      </c>
      <c r="G106" s="36">
        <v>5059</v>
      </c>
      <c r="H106" s="37">
        <f t="shared" si="5"/>
        <v>5059</v>
      </c>
      <c r="I106" s="36"/>
      <c r="J106" s="36" t="s">
        <v>63</v>
      </c>
      <c r="K106" s="35" t="s">
        <v>174</v>
      </c>
      <c r="L106" s="39"/>
      <c r="M106" s="40">
        <v>45968</v>
      </c>
      <c r="N106" s="41"/>
      <c r="O106" s="41"/>
      <c r="P106" s="40">
        <f>'[1]order (1)'!Q50+1</f>
        <v>45998</v>
      </c>
      <c r="Q106" s="40"/>
    </row>
    <row r="107" spans="2:17" s="42" customFormat="1" ht="19.7" customHeight="1">
      <c r="B107" s="50"/>
      <c r="C107" s="35" t="s">
        <v>24</v>
      </c>
      <c r="D107" s="35" t="s">
        <v>24</v>
      </c>
      <c r="E107" s="36" t="s">
        <v>51</v>
      </c>
      <c r="F107" s="35">
        <v>1</v>
      </c>
      <c r="G107" s="36">
        <v>60000</v>
      </c>
      <c r="H107" s="37">
        <f t="shared" si="5"/>
        <v>60000</v>
      </c>
      <c r="I107" s="36"/>
      <c r="J107" s="36" t="s">
        <v>173</v>
      </c>
      <c r="K107" s="35" t="s">
        <v>174</v>
      </c>
      <c r="L107" s="39"/>
      <c r="M107" s="40">
        <v>45968</v>
      </c>
      <c r="N107" s="41"/>
      <c r="O107" s="41"/>
      <c r="P107" s="40">
        <f>'[1]order (1)'!Q51+1</f>
        <v>45998</v>
      </c>
      <c r="Q107" s="40">
        <v>45973</v>
      </c>
    </row>
    <row r="108" spans="2:17" s="42" customFormat="1" ht="19.7" customHeight="1">
      <c r="B108" s="50"/>
      <c r="C108" s="35" t="s">
        <v>24</v>
      </c>
      <c r="D108" s="35" t="s">
        <v>24</v>
      </c>
      <c r="E108" s="36" t="s">
        <v>167</v>
      </c>
      <c r="F108" s="35">
        <v>1</v>
      </c>
      <c r="G108" s="36">
        <v>1915</v>
      </c>
      <c r="H108" s="37">
        <f t="shared" si="5"/>
        <v>1915</v>
      </c>
      <c r="I108" s="36"/>
      <c r="J108" s="36" t="s">
        <v>172</v>
      </c>
      <c r="K108" s="35" t="s">
        <v>174</v>
      </c>
      <c r="L108" s="39"/>
      <c r="M108" s="40">
        <v>45968</v>
      </c>
      <c r="N108" s="41"/>
      <c r="O108" s="41"/>
      <c r="P108" s="40">
        <f>'[1]order (1)'!Q52+1</f>
        <v>45973</v>
      </c>
      <c r="Q108" s="40">
        <v>45973</v>
      </c>
    </row>
    <row r="109" spans="2:17" s="42" customFormat="1" ht="19.7" customHeight="1">
      <c r="B109" s="50"/>
      <c r="C109" s="35" t="s">
        <v>24</v>
      </c>
      <c r="D109" s="35" t="s">
        <v>24</v>
      </c>
      <c r="E109" s="36" t="s">
        <v>52</v>
      </c>
      <c r="F109" s="35">
        <v>1</v>
      </c>
      <c r="G109" s="36">
        <v>330</v>
      </c>
      <c r="H109" s="37">
        <f t="shared" si="5"/>
        <v>330</v>
      </c>
      <c r="I109" s="36"/>
      <c r="J109" s="36" t="s">
        <v>171</v>
      </c>
      <c r="K109" s="35" t="s">
        <v>174</v>
      </c>
      <c r="L109" s="39"/>
      <c r="M109" s="40">
        <v>45968</v>
      </c>
      <c r="N109" s="41"/>
      <c r="O109" s="41"/>
      <c r="P109" s="40">
        <f>'[1]order (1)'!Q53+1</f>
        <v>45973</v>
      </c>
      <c r="Q109" s="40">
        <v>45973</v>
      </c>
    </row>
    <row r="110" spans="2:17" s="42" customFormat="1" ht="19.7" customHeight="1">
      <c r="B110" s="50"/>
      <c r="C110" s="35" t="s">
        <v>24</v>
      </c>
      <c r="D110" s="35" t="s">
        <v>24</v>
      </c>
      <c r="E110" s="36" t="s">
        <v>166</v>
      </c>
      <c r="F110" s="35">
        <v>2</v>
      </c>
      <c r="G110" s="36">
        <v>178</v>
      </c>
      <c r="H110" s="37">
        <f t="shared" si="5"/>
        <v>356</v>
      </c>
      <c r="I110" s="36"/>
      <c r="J110" s="36" t="s">
        <v>171</v>
      </c>
      <c r="K110" s="35" t="s">
        <v>174</v>
      </c>
      <c r="L110" s="39"/>
      <c r="M110" s="40">
        <v>45968</v>
      </c>
      <c r="N110" s="41"/>
      <c r="O110" s="41"/>
      <c r="P110" s="40">
        <f>'[1]order (1)'!Q54+1</f>
        <v>45973</v>
      </c>
      <c r="Q110" s="40">
        <v>45973</v>
      </c>
    </row>
    <row r="111" spans="2:17" s="42" customFormat="1" ht="19.7" customHeight="1">
      <c r="B111" s="50"/>
      <c r="C111" s="35" t="s">
        <v>24</v>
      </c>
      <c r="D111" s="35" t="s">
        <v>24</v>
      </c>
      <c r="E111" s="36" t="s">
        <v>165</v>
      </c>
      <c r="F111" s="35">
        <v>1</v>
      </c>
      <c r="G111" s="36">
        <v>178</v>
      </c>
      <c r="H111" s="37">
        <f t="shared" si="5"/>
        <v>178</v>
      </c>
      <c r="I111" s="36"/>
      <c r="J111" s="36" t="s">
        <v>171</v>
      </c>
      <c r="K111" s="35" t="s">
        <v>174</v>
      </c>
      <c r="L111" s="39"/>
      <c r="M111" s="40">
        <v>45968</v>
      </c>
      <c r="N111" s="41"/>
      <c r="O111" s="41"/>
      <c r="P111" s="40">
        <f>'[1]order (1)'!Q55+1</f>
        <v>45973</v>
      </c>
      <c r="Q111" s="40">
        <v>45973</v>
      </c>
    </row>
    <row r="112" spans="2:17" s="42" customFormat="1" ht="19.7" customHeight="1">
      <c r="B112" s="50"/>
      <c r="C112" s="35" t="s">
        <v>24</v>
      </c>
      <c r="D112" s="35" t="s">
        <v>24</v>
      </c>
      <c r="E112" s="36" t="s">
        <v>53</v>
      </c>
      <c r="F112" s="35">
        <v>20</v>
      </c>
      <c r="G112" s="36">
        <v>250</v>
      </c>
      <c r="H112" s="37">
        <f t="shared" si="5"/>
        <v>5000</v>
      </c>
      <c r="I112" s="36"/>
      <c r="J112" s="36" t="s">
        <v>43</v>
      </c>
      <c r="K112" s="35" t="s">
        <v>174</v>
      </c>
      <c r="L112" s="39"/>
      <c r="M112" s="40">
        <v>45968</v>
      </c>
      <c r="N112" s="41"/>
      <c r="O112" s="41"/>
      <c r="P112" s="40">
        <f>'[1]order (1)'!Q56+1</f>
        <v>45973</v>
      </c>
      <c r="Q112" s="40">
        <v>45973</v>
      </c>
    </row>
    <row r="113" spans="2:17" s="42" customFormat="1" ht="19.7" customHeight="1">
      <c r="B113" s="50"/>
      <c r="C113" s="35" t="s">
        <v>24</v>
      </c>
      <c r="D113" s="35" t="s">
        <v>24</v>
      </c>
      <c r="E113" s="36" t="s">
        <v>54</v>
      </c>
      <c r="F113" s="35">
        <v>10</v>
      </c>
      <c r="G113" s="36">
        <v>73</v>
      </c>
      <c r="H113" s="37">
        <f t="shared" si="5"/>
        <v>730</v>
      </c>
      <c r="I113" s="36"/>
      <c r="J113" s="36" t="s">
        <v>162</v>
      </c>
      <c r="K113" s="35" t="s">
        <v>174</v>
      </c>
      <c r="L113" s="39"/>
      <c r="M113" s="40">
        <v>45968</v>
      </c>
      <c r="N113" s="41"/>
      <c r="O113" s="41"/>
      <c r="P113" s="40">
        <f>'[1]order (1)'!Q57+1</f>
        <v>45973</v>
      </c>
      <c r="Q113" s="40">
        <v>45973</v>
      </c>
    </row>
    <row r="114" spans="2:17" s="42" customFormat="1" ht="19.7" customHeight="1">
      <c r="B114" s="35">
        <v>28</v>
      </c>
      <c r="C114" s="35" t="s">
        <v>24</v>
      </c>
      <c r="D114" s="35" t="s">
        <v>24</v>
      </c>
      <c r="E114" s="36" t="s">
        <v>141</v>
      </c>
      <c r="F114" s="35">
        <v>1</v>
      </c>
      <c r="G114" s="36">
        <v>4036</v>
      </c>
      <c r="H114" s="37">
        <f t="shared" si="5"/>
        <v>4036</v>
      </c>
      <c r="I114" s="36"/>
      <c r="J114" s="38" t="s">
        <v>125</v>
      </c>
      <c r="K114" s="35" t="s">
        <v>174</v>
      </c>
      <c r="L114" s="39"/>
      <c r="M114" s="40">
        <v>45968</v>
      </c>
      <c r="N114" s="41"/>
      <c r="O114" s="41"/>
      <c r="P114" s="40">
        <v>45999</v>
      </c>
      <c r="Q114" s="40"/>
    </row>
    <row r="115" spans="2:17" s="42" customFormat="1" ht="19.7" customHeight="1">
      <c r="B115" s="58">
        <v>29</v>
      </c>
      <c r="C115" s="35" t="s">
        <v>24</v>
      </c>
      <c r="D115" s="35" t="s">
        <v>24</v>
      </c>
      <c r="E115" s="36" t="s">
        <v>176</v>
      </c>
      <c r="F115" s="35">
        <v>1</v>
      </c>
      <c r="G115" s="36">
        <v>9806</v>
      </c>
      <c r="H115" s="37">
        <f t="shared" si="5"/>
        <v>9806</v>
      </c>
      <c r="I115" s="36"/>
      <c r="J115" s="36" t="s">
        <v>118</v>
      </c>
      <c r="K115" s="35" t="s">
        <v>174</v>
      </c>
      <c r="L115" s="39"/>
      <c r="M115" s="40">
        <v>45996</v>
      </c>
      <c r="N115" s="41"/>
      <c r="O115" s="41"/>
      <c r="P115" s="40">
        <f>'[1]order (1)'!Q59+1</f>
        <v>45998</v>
      </c>
      <c r="Q115" s="40"/>
    </row>
    <row r="116" spans="2:17" s="42" customFormat="1" ht="19.7" customHeight="1">
      <c r="B116" s="59"/>
      <c r="C116" s="35" t="s">
        <v>24</v>
      </c>
      <c r="D116" s="35" t="s">
        <v>24</v>
      </c>
      <c r="E116" s="36" t="s">
        <v>177</v>
      </c>
      <c r="F116" s="35">
        <v>1</v>
      </c>
      <c r="G116" s="36">
        <v>9955</v>
      </c>
      <c r="H116" s="37">
        <f t="shared" si="5"/>
        <v>9955</v>
      </c>
      <c r="I116" s="36"/>
      <c r="J116" s="36" t="s">
        <v>119</v>
      </c>
      <c r="K116" s="35" t="s">
        <v>174</v>
      </c>
      <c r="L116" s="39"/>
      <c r="M116" s="40">
        <v>45996</v>
      </c>
      <c r="N116" s="41"/>
      <c r="O116" s="41"/>
      <c r="P116" s="40">
        <v>45673</v>
      </c>
      <c r="Q116" s="40"/>
    </row>
    <row r="117" spans="2:17" s="42" customFormat="1" ht="19.7" customHeight="1">
      <c r="B117" s="59"/>
      <c r="C117" s="35" t="s">
        <v>24</v>
      </c>
      <c r="D117" s="35" t="s">
        <v>24</v>
      </c>
      <c r="E117" s="36" t="s">
        <v>178</v>
      </c>
      <c r="F117" s="35">
        <v>2</v>
      </c>
      <c r="G117" s="36">
        <v>4748</v>
      </c>
      <c r="H117" s="37">
        <f t="shared" si="5"/>
        <v>9496</v>
      </c>
      <c r="I117" s="36"/>
      <c r="J117" s="36" t="s">
        <v>120</v>
      </c>
      <c r="K117" s="35" t="s">
        <v>174</v>
      </c>
      <c r="L117" s="39"/>
      <c r="M117" s="40">
        <v>45996</v>
      </c>
      <c r="N117" s="41"/>
      <c r="O117" s="41"/>
      <c r="P117" s="40">
        <v>45673</v>
      </c>
      <c r="Q117" s="40"/>
    </row>
    <row r="118" spans="2:17" s="42" customFormat="1" ht="19.7" customHeight="1">
      <c r="B118" s="59"/>
      <c r="C118" s="35" t="s">
        <v>24</v>
      </c>
      <c r="D118" s="35" t="s">
        <v>24</v>
      </c>
      <c r="E118" s="36" t="s">
        <v>179</v>
      </c>
      <c r="F118" s="35">
        <v>2</v>
      </c>
      <c r="G118" s="36">
        <v>5269</v>
      </c>
      <c r="H118" s="37">
        <f t="shared" si="5"/>
        <v>10538</v>
      </c>
      <c r="I118" s="36"/>
      <c r="J118" s="36" t="s">
        <v>181</v>
      </c>
      <c r="K118" s="35" t="s">
        <v>174</v>
      </c>
      <c r="L118" s="39"/>
      <c r="M118" s="40">
        <v>45996</v>
      </c>
      <c r="N118" s="41"/>
      <c r="O118" s="41"/>
      <c r="P118" s="40">
        <v>45673</v>
      </c>
      <c r="Q118" s="40"/>
    </row>
    <row r="119" spans="2:17" s="42" customFormat="1" ht="19.7" customHeight="1">
      <c r="B119" s="60"/>
      <c r="C119" s="35" t="s">
        <v>24</v>
      </c>
      <c r="D119" s="35" t="s">
        <v>24</v>
      </c>
      <c r="E119" s="36" t="s">
        <v>180</v>
      </c>
      <c r="F119" s="35">
        <v>8</v>
      </c>
      <c r="G119" s="36">
        <v>108</v>
      </c>
      <c r="H119" s="37">
        <f t="shared" si="5"/>
        <v>864</v>
      </c>
      <c r="I119" s="36"/>
      <c r="J119" s="36" t="s">
        <v>182</v>
      </c>
      <c r="K119" s="35" t="s">
        <v>174</v>
      </c>
      <c r="L119" s="39"/>
      <c r="M119" s="40">
        <v>45996</v>
      </c>
      <c r="N119" s="41"/>
      <c r="O119" s="41"/>
      <c r="P119" s="40">
        <v>45673</v>
      </c>
      <c r="Q119" s="40"/>
    </row>
    <row r="120" spans="2:17" s="42" customFormat="1" ht="19.7" customHeight="1">
      <c r="B120" s="55">
        <v>30</v>
      </c>
      <c r="C120" s="35" t="s">
        <v>34</v>
      </c>
      <c r="D120" s="35" t="s">
        <v>34</v>
      </c>
      <c r="E120" s="36" t="s">
        <v>35</v>
      </c>
      <c r="F120" s="35">
        <v>20</v>
      </c>
      <c r="G120" s="51">
        <v>5000</v>
      </c>
      <c r="H120" s="37">
        <f>F120*G120</f>
        <v>100000</v>
      </c>
      <c r="I120" s="35"/>
      <c r="J120" s="36" t="s">
        <v>35</v>
      </c>
      <c r="K120" s="35"/>
      <c r="L120" s="53"/>
      <c r="M120" s="40"/>
      <c r="N120" s="56"/>
      <c r="O120" s="41"/>
      <c r="P120" s="40"/>
      <c r="Q120" s="40"/>
    </row>
  </sheetData>
  <autoFilter ref="B9:O103" xr:uid="{00000000-0009-0000-0000-000000000000}"/>
  <mergeCells count="14">
    <mergeCell ref="B115:B119"/>
    <mergeCell ref="B105:B113"/>
    <mergeCell ref="B21:B40"/>
    <mergeCell ref="B92:B103"/>
    <mergeCell ref="B73:B90"/>
    <mergeCell ref="B41:B61"/>
    <mergeCell ref="B62:B70"/>
    <mergeCell ref="B10:B20"/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EC8B-E8F8-40AD-A086-F847B08F753B}">
  <dimension ref="A1:B5"/>
  <sheetViews>
    <sheetView view="pageBreakPreview" zoomScaleNormal="100" zoomScaleSheetLayoutView="100" workbookViewId="0">
      <selection activeCell="F15" sqref="F14:F15"/>
    </sheetView>
  </sheetViews>
  <sheetFormatPr defaultRowHeight="13.5"/>
  <cols>
    <col min="1" max="1" width="12.125" bestFit="1" customWidth="1"/>
    <col min="2" max="2" width="20.75" bestFit="1" customWidth="1"/>
  </cols>
  <sheetData>
    <row r="1" spans="1:2" ht="17.25">
      <c r="A1" s="20" t="s">
        <v>11</v>
      </c>
      <c r="B1" s="1" t="s">
        <v>23</v>
      </c>
    </row>
    <row r="2" spans="1:2" ht="17.25">
      <c r="A2" s="20" t="s">
        <v>10</v>
      </c>
      <c r="B2" s="5" t="s">
        <v>22</v>
      </c>
    </row>
    <row r="3" spans="1:2" ht="17.25">
      <c r="A3" s="20" t="s">
        <v>12</v>
      </c>
      <c r="B3" s="5">
        <v>201045</v>
      </c>
    </row>
    <row r="4" spans="1:2" ht="17.25">
      <c r="A4" s="20" t="s">
        <v>13</v>
      </c>
      <c r="B4" s="6">
        <v>44946</v>
      </c>
    </row>
    <row r="5" spans="1:2" ht="17.25">
      <c r="A5" s="20" t="s">
        <v>14</v>
      </c>
      <c r="B5" s="6">
        <v>45056</v>
      </c>
    </row>
  </sheetData>
  <phoneticPr fontId="13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原価表</vt:lpstr>
      <vt:lpstr>表紙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佐藤マネジャー</cp:lastModifiedBy>
  <cp:lastPrinted>2023-01-10T11:04:14Z</cp:lastPrinted>
  <dcterms:created xsi:type="dcterms:W3CDTF">2011-12-13T06:48:43Z</dcterms:created>
  <dcterms:modified xsi:type="dcterms:W3CDTF">2026-02-26T02:57:11Z</dcterms:modified>
</cp:coreProperties>
</file>