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8242D7F-9CEB-441A-BFC3-76CB8C0B416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TB0312-A01②JR4604 20260408" sheetId="18" r:id="rId1"/>
    <sheet name="Sheet1" sheetId="16" r:id="rId2"/>
  </sheets>
  <definedNames>
    <definedName name="_xlnm._FilterDatabase" localSheetId="0" hidden="1">'SETB0312-A01②JR4604 20260408'!$F$9:$S$64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8" l="1"/>
  <c r="L21" i="18"/>
  <c r="L20" i="18"/>
  <c r="F20" i="18"/>
  <c r="F21" i="18" s="1"/>
  <c r="F22" i="18" s="1"/>
  <c r="C20" i="18"/>
  <c r="L61" i="18"/>
  <c r="L60" i="18"/>
  <c r="L59" i="18"/>
  <c r="L58" i="18"/>
  <c r="L50" i="18"/>
  <c r="L49" i="18"/>
  <c r="L48" i="18"/>
  <c r="L47" i="18"/>
  <c r="L39" i="18"/>
  <c r="L29" i="18"/>
  <c r="L28" i="18"/>
  <c r="L27" i="18"/>
  <c r="L26" i="18"/>
  <c r="L25" i="18"/>
  <c r="L17" i="18"/>
  <c r="L15" i="18"/>
  <c r="L14" i="18"/>
  <c r="C61" i="18"/>
  <c r="C60" i="18"/>
  <c r="C59" i="18"/>
  <c r="C58" i="18"/>
  <c r="C39" i="18"/>
  <c r="L32" i="18"/>
  <c r="C32" i="18"/>
  <c r="L31" i="18"/>
  <c r="C31" i="18"/>
  <c r="C29" i="18"/>
  <c r="C28" i="18"/>
  <c r="C27" i="18"/>
  <c r="C26" i="18"/>
  <c r="C25" i="18"/>
  <c r="L23" i="18"/>
  <c r="C23" i="18"/>
  <c r="L19" i="18"/>
  <c r="C19" i="18"/>
  <c r="C17" i="18"/>
  <c r="C15" i="18"/>
  <c r="C14" i="18"/>
  <c r="I34" i="18" l="1"/>
  <c r="C42" i="18"/>
  <c r="F15" i="18"/>
  <c r="F17" i="18" s="1"/>
  <c r="I67" i="18"/>
  <c r="C53" i="18"/>
  <c r="C68" i="18"/>
  <c r="N2" i="18"/>
  <c r="I41" i="18"/>
  <c r="I53" i="18"/>
  <c r="F19" i="18" l="1"/>
  <c r="C74" i="18"/>
  <c r="F23" i="18" l="1"/>
  <c r="F25" i="18" s="1"/>
  <c r="J20" i="16"/>
  <c r="F26" i="18" l="1"/>
  <c r="F27" i="18" s="1"/>
  <c r="F28" i="18" s="1"/>
  <c r="F29" i="18" s="1"/>
  <c r="F31" i="18" s="1"/>
  <c r="F32" i="18" s="1"/>
  <c r="F39" i="18" s="1"/>
  <c r="F47" i="18" s="1"/>
  <c r="F48" i="18" s="1"/>
  <c r="F49" i="18" s="1"/>
  <c r="F50" i="18" s="1"/>
  <c r="F58" i="18" s="1"/>
  <c r="F59" i="18" s="1"/>
  <c r="F60" i="18" s="1"/>
  <c r="F61" i="18" s="1"/>
  <c r="M29" i="16" l="1"/>
</calcChain>
</file>

<file path=xl/sharedStrings.xml><?xml version="1.0" encoding="utf-8"?>
<sst xmlns="http://schemas.openxmlformats.org/spreadsheetml/2006/main" count="167" uniqueCount="102">
  <si>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</si>
  <si>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</si>
  <si>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</si>
  <si>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</si>
  <si>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</si>
  <si>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</si>
  <si>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</si>
  <si>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</si>
  <si>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</si>
  <si>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</si>
  <si>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</si>
  <si>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</si>
  <si>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</si>
  <si>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</si>
  <si>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</si>
  <si>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</si>
  <si>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</si>
  <si>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</si>
  <si>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</si>
  <si>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</si>
  <si>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</si>
  <si>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</si>
  <si>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</si>
  <si>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配電BOXﾕﾆｯﾄ</t>
    <phoneticPr fontId="2"/>
  </si>
  <si>
    <t>1日間</t>
    <rPh sb="1" eb="2">
      <t>ヒ</t>
    </rPh>
    <rPh sb="2" eb="3">
      <t>カン</t>
    </rPh>
    <phoneticPr fontId="15"/>
  </si>
  <si>
    <t>富士電機</t>
    <rPh sb="0" eb="2">
      <t>フジ</t>
    </rPh>
    <rPh sb="2" eb="4">
      <t>デンキ</t>
    </rPh>
    <phoneticPr fontId="2"/>
  </si>
  <si>
    <t>サーキットプロテクター</t>
    <phoneticPr fontId="2"/>
  </si>
  <si>
    <t>部材重さkg</t>
    <rPh sb="0" eb="2">
      <t>ブザイ</t>
    </rPh>
    <rPh sb="2" eb="3">
      <t>オモ</t>
    </rPh>
    <phoneticPr fontId="2"/>
  </si>
  <si>
    <t>kg</t>
    <phoneticPr fontId="2"/>
  </si>
  <si>
    <t>安全ｶﾊﾞｰﾕﾆｯﾄ</t>
    <rPh sb="0" eb="2">
      <t>アンゼン</t>
    </rPh>
    <phoneticPr fontId="2"/>
  </si>
  <si>
    <t>架台部分</t>
    <rPh sb="0" eb="2">
      <t>カダイ</t>
    </rPh>
    <rPh sb="2" eb="4">
      <t>ブブン</t>
    </rPh>
    <phoneticPr fontId="2"/>
  </si>
  <si>
    <t>安全ｶﾊﾞｰ（上部架台）</t>
    <rPh sb="0" eb="2">
      <t>アンゼン</t>
    </rPh>
    <rPh sb="7" eb="9">
      <t>ジョウブ</t>
    </rPh>
    <rPh sb="9" eb="11">
      <t>カダイ</t>
    </rPh>
    <phoneticPr fontId="2"/>
  </si>
  <si>
    <t>TOTAL重量</t>
    <rPh sb="5" eb="7">
      <t>ジュウリョウ</t>
    </rPh>
    <phoneticPr fontId="2"/>
  </si>
  <si>
    <t>10日目</t>
    <rPh sb="2" eb="3">
      <t>ヒ</t>
    </rPh>
    <rPh sb="3" eb="4">
      <t>メ</t>
    </rPh>
    <phoneticPr fontId="2"/>
  </si>
  <si>
    <t>SMC</t>
    <phoneticPr fontId="2"/>
  </si>
  <si>
    <t>CP30FM-2P005 5A</t>
    <phoneticPr fontId="2"/>
  </si>
  <si>
    <t xml:space="preserve">DR30D0L-H9W </t>
    <phoneticPr fontId="2"/>
  </si>
  <si>
    <t>φ30 コマンドスイッチ DR30 表示灯</t>
    <phoneticPr fontId="2"/>
  </si>
  <si>
    <t>ツール、etc</t>
    <phoneticPr fontId="2"/>
  </si>
  <si>
    <t>エクセル株式会社様</t>
    <rPh sb="8" eb="9">
      <t>サマ</t>
    </rPh>
    <phoneticPr fontId="2"/>
  </si>
  <si>
    <t>オリエンタルモータ</t>
    <phoneticPr fontId="2"/>
  </si>
  <si>
    <t>オリムベクスタ</t>
    <phoneticPr fontId="2"/>
  </si>
  <si>
    <t>AZD-K</t>
    <phoneticPr fontId="2"/>
  </si>
  <si>
    <t>回路</t>
    <phoneticPr fontId="2"/>
  </si>
  <si>
    <t>見積番号：2184523</t>
    <phoneticPr fontId="15"/>
  </si>
  <si>
    <r>
      <t>可動モーターケーブル　</t>
    </r>
    <r>
      <rPr>
        <b/>
        <sz val="11"/>
        <color rgb="FFFF0000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3"/>
        <charset val="128"/>
        <scheme val="minor"/>
      </rPr>
      <t>m</t>
    </r>
    <phoneticPr fontId="2"/>
  </si>
  <si>
    <t>AZM46AK-FC20DA</t>
    <phoneticPr fontId="2"/>
  </si>
  <si>
    <t>モータ</t>
    <phoneticPr fontId="2"/>
  </si>
  <si>
    <t>ｵﾑﾛﾝ</t>
    <phoneticPr fontId="15"/>
  </si>
  <si>
    <t>EE-SPX613 1M</t>
    <phoneticPr fontId="15"/>
  </si>
  <si>
    <t>液面レベルセンサ（アンプ内蔵パイプ取りつけタイプ） EE-SPX613</t>
    <phoneticPr fontId="15"/>
  </si>
  <si>
    <t>モノタロウ</t>
    <phoneticPr fontId="2"/>
  </si>
  <si>
    <r>
      <t>707-8255　</t>
    </r>
    <r>
      <rPr>
        <sz val="11"/>
        <color indexed="10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2"/>
  </si>
  <si>
    <t>炭素皮膜抵抗器　抵抗 = 2.2kΩ</t>
    <phoneticPr fontId="2"/>
  </si>
  <si>
    <t>https://www.monotaro.com/g/04256341/</t>
    <phoneticPr fontId="15"/>
  </si>
  <si>
    <t>送料</t>
    <rPh sb="0" eb="2">
      <t>ソウリョウ</t>
    </rPh>
    <phoneticPr fontId="2"/>
  </si>
  <si>
    <t>オムロン</t>
    <phoneticPr fontId="2"/>
  </si>
  <si>
    <t>S8VS-12024</t>
    <phoneticPr fontId="2"/>
  </si>
  <si>
    <t>パワーサプライ   5A</t>
    <phoneticPr fontId="2"/>
  </si>
  <si>
    <t>南(齋藤）</t>
    <rPh sb="0" eb="1">
      <t>ミナミ</t>
    </rPh>
    <rPh sb="2" eb="4">
      <t>サイトウ</t>
    </rPh>
    <phoneticPr fontId="2"/>
  </si>
  <si>
    <t>SETB-0312-A01　JR4604+SV01CSｼﾘﾝｼﾞﾁﾙﾄ角+浸捨て射ち+ｹｰﾌﾞﾙﾍﾞｱ+安全ｶﾊﾞｰ+ﾗｲﾄｶｰﾃﾝ+ 20260130</t>
    <rPh sb="35" eb="36">
      <t>カク</t>
    </rPh>
    <phoneticPr fontId="15"/>
  </si>
  <si>
    <t>架台ﾕﾆｯﾄ</t>
    <rPh sb="0" eb="2">
      <t>カダイ</t>
    </rPh>
    <phoneticPr fontId="2"/>
  </si>
  <si>
    <t>KEYENCE</t>
  </si>
  <si>
    <t>GL-S32SH</t>
    <phoneticPr fontId="2"/>
  </si>
  <si>
    <t>24光軸　スリムタイプ</t>
    <rPh sb="2" eb="4">
      <t>コウジク</t>
    </rPh>
    <phoneticPr fontId="2"/>
  </si>
  <si>
    <t>GL-SS2</t>
    <phoneticPr fontId="2"/>
  </si>
  <si>
    <t>連結ｹｰﾌﾞﾙ　2m</t>
    <rPh sb="0" eb="2">
      <t>レンケツ</t>
    </rPh>
    <phoneticPr fontId="2"/>
  </si>
  <si>
    <t>GL-SP5N1</t>
    <phoneticPr fontId="2"/>
  </si>
  <si>
    <t>標準ｹｰﾌﾞﾙ　5m(ワンライン)</t>
    <rPh sb="0" eb="2">
      <t>ヒョウジュン</t>
    </rPh>
    <phoneticPr fontId="2"/>
  </si>
  <si>
    <t>出精値引き</t>
    <rPh sb="0" eb="4">
      <t>シュッセイネビ</t>
    </rPh>
    <phoneticPr fontId="2"/>
  </si>
  <si>
    <t>SMC</t>
  </si>
  <si>
    <t>ＡＷ２０Ｋ－０２Ｅ－D</t>
    <phoneticPr fontId="2"/>
  </si>
  <si>
    <t>１／４　レギュレーター　（逆流機能付）</t>
  </si>
  <si>
    <t>元圧</t>
    <rPh sb="0" eb="1">
      <t>モト</t>
    </rPh>
    <rPh sb="1" eb="2">
      <t>アツ</t>
    </rPh>
    <phoneticPr fontId="2"/>
  </si>
  <si>
    <t>ＫＱ２Ｌ０６－０２Ａ</t>
    <phoneticPr fontId="2"/>
  </si>
  <si>
    <t>１／４　Ø６　継ぎ手</t>
  </si>
  <si>
    <t>ＶＨＳ２０－０２-D</t>
    <phoneticPr fontId="2"/>
  </si>
  <si>
    <t>１／４　三方弁</t>
  </si>
  <si>
    <t>Ｙ２００Ｔ－D</t>
    <phoneticPr fontId="2"/>
  </si>
  <si>
    <t>１／４　エアコンビネーション　</t>
  </si>
  <si>
    <t>ｼﾘﾝｼﾞレギュレーター</t>
    <phoneticPr fontId="2"/>
  </si>
  <si>
    <t>MY2N-D2 DC24</t>
    <phoneticPr fontId="15"/>
  </si>
  <si>
    <t>MY ミニパワーリレー　２４Ｖ用制御</t>
    <rPh sb="15" eb="16">
      <t>ヨウ</t>
    </rPh>
    <rPh sb="16" eb="18">
      <t>セイギョ</t>
    </rPh>
    <phoneticPr fontId="15"/>
  </si>
  <si>
    <t>PYFZ-08</t>
    <phoneticPr fontId="15"/>
  </si>
  <si>
    <t>表面接続角型ソケット</t>
    <phoneticPr fontId="15"/>
  </si>
  <si>
    <t>PYC-E1</t>
    <phoneticPr fontId="15"/>
  </si>
  <si>
    <t xml:space="preserve">リレー用共用オプション品 </t>
    <phoneticPr fontId="15"/>
  </si>
  <si>
    <t>PYCZ-C08</t>
    <phoneticPr fontId="15"/>
  </si>
  <si>
    <t>PYFZ-□用端子カバー</t>
    <phoneticPr fontId="15"/>
  </si>
  <si>
    <r>
      <t>精密レギュレータ IR1000-A  0.01～0.4MPa　</t>
    </r>
    <r>
      <rPr>
        <b/>
        <sz val="11"/>
        <color rgb="FFFF0000"/>
        <rFont val="ＭＳ Ｐゴシック"/>
        <family val="3"/>
        <charset val="128"/>
      </rPr>
      <t>右から左へ</t>
    </r>
    <phoneticPr fontId="2"/>
  </si>
  <si>
    <r>
      <t>IR1010-01BEA-</t>
    </r>
    <r>
      <rPr>
        <b/>
        <sz val="11"/>
        <color rgb="FFFF0000"/>
        <rFont val="ＭＳ Ｐゴシック"/>
        <family val="3"/>
        <charset val="128"/>
      </rPr>
      <t>R</t>
    </r>
    <r>
      <rPr>
        <sz val="11"/>
        <color indexed="8"/>
        <rFont val="ＭＳ Ｐゴシック"/>
        <family val="3"/>
        <charset val="128"/>
      </rPr>
      <t>-A  0.01-0.40Mp    　</t>
    </r>
    <phoneticPr fontId="2"/>
  </si>
  <si>
    <t>②</t>
    <phoneticPr fontId="7"/>
  </si>
  <si>
    <t>ACS株式会社</t>
    <phoneticPr fontId="2"/>
  </si>
  <si>
    <t>下記の物の再見積もり、発注依頼</t>
    <rPh sb="0" eb="2">
      <t>カキ</t>
    </rPh>
    <rPh sb="3" eb="4">
      <t>モノ</t>
    </rPh>
    <rPh sb="5" eb="6">
      <t>サイ</t>
    </rPh>
    <rPh sb="6" eb="8">
      <t>ミツ</t>
    </rPh>
    <rPh sb="11" eb="13">
      <t>ハッチュウ</t>
    </rPh>
    <rPh sb="13" eb="15">
      <t>イライ</t>
    </rPh>
    <phoneticPr fontId="15"/>
  </si>
  <si>
    <t>見積もりNo.　22-26-00450A</t>
    <rPh sb="0" eb="2">
      <t>ミツ</t>
    </rPh>
    <phoneticPr fontId="2"/>
  </si>
  <si>
    <t>見積もり　No.24006144</t>
    <rPh sb="0" eb="2">
      <t>ミツ</t>
    </rPh>
    <phoneticPr fontId="15"/>
  </si>
  <si>
    <r>
      <t>CC0</t>
    </r>
    <r>
      <rPr>
        <b/>
        <sz val="11"/>
        <color rgb="FFFF0000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3"/>
        <charset val="128"/>
        <scheme val="minor"/>
      </rPr>
      <t>0VZR2　　</t>
    </r>
    <r>
      <rPr>
        <b/>
        <sz val="11"/>
        <color rgb="FFFF0000"/>
        <rFont val="ＭＳ Ｐゴシック"/>
        <family val="3"/>
        <charset val="128"/>
        <scheme val="minor"/>
      </rPr>
      <t>次回より下記になる</t>
    </r>
    <rPh sb="11" eb="13">
      <t>ジカイ</t>
    </rPh>
    <rPh sb="15" eb="17">
      <t>カキ</t>
    </rPh>
    <phoneticPr fontId="2"/>
  </si>
  <si>
    <t>CC050VZR2-M</t>
    <phoneticPr fontId="15"/>
  </si>
  <si>
    <t>CC050VZR2のモーターケーブ</t>
    <phoneticPr fontId="15"/>
  </si>
  <si>
    <t>見積番号：2192645</t>
    <phoneticPr fontId="15"/>
  </si>
  <si>
    <t>CC050VNR-E2</t>
    <phoneticPr fontId="15"/>
  </si>
  <si>
    <t>CC050VZR2のエンコーダケーブル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</si>
</sst>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29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theme="5" tint="-0.249977111117893"/>
      <name val="ＭＳ Ｐゴシック"/>
      <family val="3"/>
      <charset val="128"/>
      <scheme val="minor"/>
    </font>
    <font>
      <sz val="11"/>
      <color theme="1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14" fillId="0" borderId="0">
      <alignment vertical="center"/>
    </xf>
    <xf numFmtId="0" fontId="23" fillId="0" borderId="0">
      <alignment vertical="center"/>
    </xf>
  </cellStyleXfs>
  <cellXfs count="18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3" fontId="14" fillId="0" borderId="1" xfId="2" applyNumberFormat="1" applyBorder="1" applyAlignment="1">
      <alignment horizontal="center" vertical="center"/>
    </xf>
    <xf numFmtId="0" fontId="14" fillId="0" borderId="2" xfId="2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178" fontId="0" fillId="0" borderId="16" xfId="0" applyNumberFormat="1" applyBorder="1" applyAlignment="1">
      <alignment horizontal="center" vertical="center"/>
    </xf>
    <xf numFmtId="49" fontId="14" fillId="0" borderId="1" xfId="2" applyNumberFormat="1" applyBorder="1" applyAlignment="1">
      <alignment horizontal="left" vertical="center"/>
    </xf>
    <xf numFmtId="0" fontId="14" fillId="0" borderId="1" xfId="2" applyBorder="1">
      <alignment vertical="center"/>
    </xf>
    <xf numFmtId="0" fontId="0" fillId="0" borderId="17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18" xfId="0" applyBorder="1" applyAlignment="1">
      <alignment horizontal="center" vertical="center"/>
    </xf>
    <xf numFmtId="38" fontId="16" fillId="0" borderId="1" xfId="0" applyNumberFormat="1" applyFon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179" fontId="0" fillId="0" borderId="20" xfId="0" applyNumberFormat="1" applyBorder="1" applyAlignment="1">
      <alignment horizontal="center" vertical="center"/>
    </xf>
    <xf numFmtId="38" fontId="14" fillId="0" borderId="1" xfId="2" applyNumberForma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6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3" fontId="1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38" fontId="0" fillId="10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11" fillId="4" borderId="12" xfId="0" applyNumberFormat="1" applyFont="1" applyFill="1" applyBorder="1" applyAlignment="1">
      <alignment horizontal="center" vertical="center"/>
    </xf>
    <xf numFmtId="38" fontId="14" fillId="4" borderId="1" xfId="2" applyNumberFormat="1" applyFill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0" fillId="0" borderId="19" xfId="0" applyNumberFormat="1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83" fontId="16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83" fontId="16" fillId="9" borderId="3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20" fillId="0" borderId="1" xfId="1" applyFont="1" applyBorder="1" applyAlignment="1">
      <alignment horizontal="center" vertical="center"/>
    </xf>
    <xf numFmtId="183" fontId="16" fillId="0" borderId="1" xfId="0" applyNumberFormat="1" applyFon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3" fontId="0" fillId="9" borderId="8" xfId="0" applyNumberForma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8" fillId="12" borderId="2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180" fontId="16" fillId="0" borderId="1" xfId="0" applyNumberFormat="1" applyFont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176" fontId="9" fillId="1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center"/>
    </xf>
    <xf numFmtId="183" fontId="16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0" fillId="10" borderId="1" xfId="0" applyFill="1" applyBorder="1">
      <alignment vertical="center"/>
    </xf>
    <xf numFmtId="176" fontId="0" fillId="10" borderId="16" xfId="0" applyNumberFormat="1" applyFill="1" applyBorder="1" applyAlignment="1">
      <alignment horizontal="center" vertical="center"/>
    </xf>
    <xf numFmtId="0" fontId="14" fillId="0" borderId="16" xfId="2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0" fontId="14" fillId="0" borderId="2" xfId="2" applyBorder="1" applyAlignment="1">
      <alignment horizontal="left" vertical="center"/>
    </xf>
    <xf numFmtId="3" fontId="14" fillId="13" borderId="1" xfId="2" applyNumberFormat="1" applyFill="1" applyBorder="1" applyAlignment="1">
      <alignment horizontal="center" vertical="center"/>
    </xf>
    <xf numFmtId="49" fontId="14" fillId="13" borderId="1" xfId="2" applyNumberFormat="1" applyFill="1" applyBorder="1" applyAlignment="1">
      <alignment horizontal="left" vertical="center"/>
    </xf>
    <xf numFmtId="38" fontId="14" fillId="12" borderId="1" xfId="2" applyNumberFormat="1" applyFill="1" applyBorder="1" applyAlignment="1">
      <alignment horizontal="center" vertical="center"/>
    </xf>
    <xf numFmtId="38" fontId="14" fillId="8" borderId="1" xfId="2" applyNumberFormat="1" applyFill="1" applyBorder="1" applyAlignment="1">
      <alignment horizontal="center" vertical="center"/>
    </xf>
    <xf numFmtId="0" fontId="23" fillId="0" borderId="0" xfId="3">
      <alignment vertical="center"/>
    </xf>
    <xf numFmtId="0" fontId="14" fillId="13" borderId="1" xfId="2" applyFill="1" applyBorder="1" applyAlignment="1">
      <alignment horizontal="left" vertical="center"/>
    </xf>
    <xf numFmtId="0" fontId="14" fillId="8" borderId="1" xfId="2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6" fillId="10" borderId="2" xfId="0" applyFont="1" applyFill="1" applyBorder="1">
      <alignment vertical="center"/>
    </xf>
    <xf numFmtId="0" fontId="0" fillId="10" borderId="1" xfId="0" applyFill="1" applyBorder="1" applyAlignment="1">
      <alignment horizontal="right" vertical="center"/>
    </xf>
    <xf numFmtId="38" fontId="0" fillId="12" borderId="1" xfId="0" applyNumberFormat="1" applyFill="1" applyBorder="1">
      <alignment vertical="center"/>
    </xf>
    <xf numFmtId="38" fontId="0" fillId="10" borderId="1" xfId="0" applyNumberFormat="1" applyFill="1" applyBorder="1">
      <alignment vertical="center"/>
    </xf>
    <xf numFmtId="0" fontId="0" fillId="6" borderId="0" xfId="0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4" borderId="1" xfId="2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176" fontId="6" fillId="0" borderId="4" xfId="0" applyNumberFormat="1" applyFont="1" applyBorder="1" applyAlignment="1"/>
    <xf numFmtId="0" fontId="6" fillId="0" borderId="3" xfId="1" applyBorder="1" applyAlignment="1">
      <alignment vertical="center"/>
    </xf>
    <xf numFmtId="3" fontId="11" fillId="0" borderId="12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6" fillId="10" borderId="3" xfId="1" applyFill="1" applyBorder="1"/>
    <xf numFmtId="176" fontId="6" fillId="10" borderId="3" xfId="0" applyNumberFormat="1" applyFont="1" applyFill="1" applyBorder="1" applyAlignment="1">
      <alignment horizontal="center" vertical="center"/>
    </xf>
    <xf numFmtId="0" fontId="6" fillId="10" borderId="3" xfId="1" applyFill="1" applyBorder="1" applyAlignment="1">
      <alignment horizontal="center" vertical="center"/>
    </xf>
    <xf numFmtId="49" fontId="14" fillId="10" borderId="1" xfId="2" applyNumberFormat="1" applyFill="1" applyBorder="1" applyAlignment="1">
      <alignment horizontal="left" vertical="center"/>
    </xf>
    <xf numFmtId="0" fontId="14" fillId="10" borderId="1" xfId="2" applyFill="1" applyBorder="1" applyAlignment="1">
      <alignment horizontal="center" vertical="center"/>
    </xf>
    <xf numFmtId="38" fontId="14" fillId="10" borderId="1" xfId="2" applyNumberFormat="1" applyFill="1" applyBorder="1" applyAlignment="1">
      <alignment horizontal="center" vertical="center"/>
    </xf>
    <xf numFmtId="3" fontId="14" fillId="10" borderId="2" xfId="2" applyNumberFormat="1" applyFill="1" applyBorder="1" applyAlignment="1">
      <alignment horizontal="center" vertical="center"/>
    </xf>
    <xf numFmtId="3" fontId="14" fillId="10" borderId="8" xfId="2" applyNumberFormat="1" applyFill="1" applyBorder="1" applyAlignment="1">
      <alignment horizontal="left" vertical="center"/>
    </xf>
    <xf numFmtId="0" fontId="6" fillId="10" borderId="1" xfId="1" applyFill="1" applyBorder="1" applyAlignment="1">
      <alignment horizontal="center" vertical="center"/>
    </xf>
    <xf numFmtId="3" fontId="14" fillId="0" borderId="2" xfId="2" applyNumberFormat="1" applyBorder="1" applyAlignment="1">
      <alignment horizontal="center" vertical="center"/>
    </xf>
    <xf numFmtId="49" fontId="14" fillId="0" borderId="8" xfId="2" applyNumberForma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4" fillId="0" borderId="0" xfId="2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4" fillId="0" borderId="0" xfId="3" applyFont="1">
      <alignment vertical="center"/>
    </xf>
    <xf numFmtId="3" fontId="0" fillId="11" borderId="1" xfId="0" applyNumberForma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183" fontId="16" fillId="11" borderId="1" xfId="0" applyNumberFormat="1" applyFon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38" fontId="27" fillId="0" borderId="0" xfId="0" applyNumberFormat="1" applyFont="1">
      <alignment vertical="center"/>
    </xf>
    <xf numFmtId="0" fontId="28" fillId="0" borderId="1" xfId="3" applyFont="1" applyBorder="1">
      <alignment vertical="center"/>
    </xf>
    <xf numFmtId="0" fontId="6" fillId="12" borderId="1" xfId="1" applyFill="1" applyBorder="1" applyAlignment="1">
      <alignment horizontal="center" vertical="center"/>
    </xf>
    <xf numFmtId="176" fontId="1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49" fontId="0" fillId="0" borderId="1" xfId="2" applyNumberFormat="1" applyFont="1" applyBorder="1" applyAlignment="1">
      <alignment horizontal="left" vertical="center"/>
    </xf>
    <xf numFmtId="3" fontId="14" fillId="12" borderId="1" xfId="2" applyNumberFormat="1" applyFill="1" applyBorder="1" applyAlignment="1">
      <alignment horizontal="center" vertical="center"/>
    </xf>
    <xf numFmtId="49" fontId="0" fillId="12" borderId="1" xfId="2" applyNumberFormat="1" applyFont="1" applyFill="1" applyBorder="1" applyAlignment="1">
      <alignment horizontal="left" vertical="center"/>
    </xf>
    <xf numFmtId="0" fontId="14" fillId="12" borderId="1" xfId="2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8" fontId="10" fillId="5" borderId="9" xfId="0" applyNumberFormat="1" applyFont="1" applyFill="1" applyBorder="1" applyAlignment="1">
      <alignment horizontal="left" vertical="center" shrinkToFit="1"/>
    </xf>
    <xf numFmtId="38" fontId="10" fillId="5" borderId="10" xfId="0" applyNumberFormat="1" applyFont="1" applyFill="1" applyBorder="1" applyAlignment="1">
      <alignment horizontal="left" vertical="center" shrinkToFit="1"/>
    </xf>
    <xf numFmtId="38" fontId="10" fillId="5" borderId="4" xfId="0" applyNumberFormat="1" applyFont="1" applyFill="1" applyBorder="1" applyAlignment="1">
      <alignment horizontal="left" vertical="center" shrinkToFit="1"/>
    </xf>
    <xf numFmtId="38" fontId="10" fillId="5" borderId="11" xfId="0" applyNumberFormat="1" applyFont="1" applyFill="1" applyBorder="1" applyAlignment="1">
      <alignment horizontal="left" vertical="center" shrinkToFit="1"/>
    </xf>
    <xf numFmtId="0" fontId="13" fillId="10" borderId="1" xfId="0" applyFont="1" applyFill="1" applyBorder="1" applyAlignment="1">
      <alignment horizontal="center" vertical="center"/>
    </xf>
    <xf numFmtId="176" fontId="12" fillId="7" borderId="13" xfId="0" applyNumberFormat="1" applyFont="1" applyFill="1" applyBorder="1" applyAlignment="1">
      <alignment horizontal="center" vertical="center"/>
    </xf>
    <xf numFmtId="176" fontId="12" fillId="7" borderId="14" xfId="0" applyNumberFormat="1" applyFont="1" applyFill="1" applyBorder="1" applyAlignment="1">
      <alignment horizontal="center" vertical="center"/>
    </xf>
    <xf numFmtId="176" fontId="12" fillId="7" borderId="15" xfId="0" applyNumberFormat="1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3" fontId="19" fillId="3" borderId="21" xfId="0" applyNumberFormat="1" applyFont="1" applyFill="1" applyBorder="1" applyAlignment="1">
      <alignment horizontal="center" vertical="center"/>
    </xf>
    <xf numFmtId="3" fontId="19" fillId="3" borderId="11" xfId="0" applyNumberFormat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8" fillId="3" borderId="7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</cellXfs>
  <cellStyles count="4">
    <cellStyle name="ハイパーリンク" xfId="3" xr:uid="{68E0A9C6-052B-48AB-B7C4-03C0C4F4A198}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g/042563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C034-8FE6-4E8B-BE04-94E44D748CDE}">
  <sheetPr>
    <tabColor rgb="FFFFFF00"/>
  </sheetPr>
  <dimension ref="A2:U77"/>
  <sheetViews>
    <sheetView tabSelected="1" zoomScale="83" zoomScaleNormal="83" workbookViewId="0">
      <pane xSplit="14" ySplit="9" topLeftCell="O10" activePane="bottomRight" state="frozen"/>
      <selection pane="topRight" activeCell="K1" sqref="K1"/>
      <selection pane="bottomLeft" activeCell="A9" sqref="A9"/>
      <selection pane="bottomRight" activeCell="T47" sqref="T47:T50"/>
    </sheetView>
  </sheetViews>
  <sheetFormatPr defaultRowHeight="13" x14ac:dyDescent="0.2"/>
  <cols>
    <col min="2" max="2" width="7.6328125" customWidth="1"/>
    <col min="3" max="3" width="7.90625" customWidth="1"/>
    <col min="4" max="4" width="4.453125" customWidth="1"/>
    <col min="5" max="5" width="9" customWidth="1"/>
    <col min="6" max="6" width="13.26953125" style="3" customWidth="1"/>
    <col min="7" max="7" width="14.36328125" bestFit="1" customWidth="1"/>
    <col min="8" max="8" width="13.08984375" bestFit="1" customWidth="1"/>
    <col min="9" max="9" width="71.08984375" customWidth="1"/>
    <col min="10" max="10" width="6.26953125" style="3" customWidth="1"/>
    <col min="11" max="12" width="9.90625" style="8" bestFit="1" customWidth="1"/>
    <col min="13" max="13" width="5.7265625" style="8" customWidth="1"/>
    <col min="14" max="14" width="44.08984375" customWidth="1"/>
    <col min="15" max="15" width="23.90625" customWidth="1"/>
    <col min="16" max="16" width="20.36328125" style="3" customWidth="1"/>
    <col min="17" max="17" width="13.7265625" style="10" customWidth="1"/>
    <col min="18" max="18" width="6.36328125" customWidth="1"/>
    <col min="19" max="19" width="13.26953125" style="8" customWidth="1"/>
    <col min="20" max="20" width="14.453125" style="12" customWidth="1"/>
    <col min="21" max="21" width="15.6328125" style="13" customWidth="1"/>
  </cols>
  <sheetData>
    <row r="2" spans="1:21" ht="20.149999999999999" customHeight="1" x14ac:dyDescent="0.2">
      <c r="F2" s="168" t="s">
        <v>11</v>
      </c>
      <c r="G2" s="168"/>
      <c r="H2" s="168"/>
      <c r="I2" s="9" t="s">
        <v>39</v>
      </c>
      <c r="K2" s="169" t="s">
        <v>15</v>
      </c>
      <c r="L2" s="170"/>
      <c r="M2" s="171"/>
      <c r="N2" s="7">
        <f>SUM(L:L)</f>
        <v>339827</v>
      </c>
    </row>
    <row r="3" spans="1:21" ht="20.149999999999999" customHeight="1" x14ac:dyDescent="0.2">
      <c r="F3" s="168" t="s">
        <v>10</v>
      </c>
      <c r="G3" s="168"/>
      <c r="H3" s="168"/>
      <c r="I3" s="5" t="s">
        <v>59</v>
      </c>
    </row>
    <row r="4" spans="1:21" ht="20.149999999999999" customHeight="1" x14ac:dyDescent="0.2">
      <c r="F4" s="168" t="s">
        <v>12</v>
      </c>
      <c r="G4" s="168"/>
      <c r="H4" s="168"/>
      <c r="I4" s="5">
        <v>230762</v>
      </c>
      <c r="L4" s="31"/>
      <c r="N4" s="172" t="s">
        <v>60</v>
      </c>
      <c r="O4" s="173"/>
    </row>
    <row r="5" spans="1:21" ht="20.149999999999999" customHeight="1" x14ac:dyDescent="0.2">
      <c r="F5" s="168" t="s">
        <v>13</v>
      </c>
      <c r="G5" s="168"/>
      <c r="H5" s="168"/>
      <c r="I5" s="6">
        <v>46153</v>
      </c>
      <c r="K5" s="176" t="s">
        <v>91</v>
      </c>
      <c r="L5" s="176"/>
      <c r="N5" s="174"/>
      <c r="O5" s="175"/>
    </row>
    <row r="6" spans="1:21" ht="20.149999999999999" customHeight="1" x14ac:dyDescent="0.2">
      <c r="F6" s="168" t="s">
        <v>14</v>
      </c>
      <c r="G6" s="168"/>
      <c r="H6" s="168"/>
      <c r="I6" s="6">
        <v>46154</v>
      </c>
      <c r="K6" s="176"/>
      <c r="L6" s="176"/>
      <c r="N6" s="15"/>
      <c r="O6" s="20"/>
    </row>
    <row r="7" spans="1:21" ht="20.149999999999999" customHeight="1" x14ac:dyDescent="0.2">
      <c r="F7" s="17"/>
      <c r="G7" s="17"/>
      <c r="H7" s="17"/>
      <c r="I7" s="16"/>
      <c r="N7" s="158" t="s">
        <v>93</v>
      </c>
      <c r="O7" s="20"/>
      <c r="P7" s="18"/>
    </row>
    <row r="9" spans="1:21" s="3" customFormat="1" ht="19.75" customHeight="1" x14ac:dyDescent="0.2">
      <c r="B9" s="1"/>
      <c r="C9" s="80" t="s">
        <v>27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7" t="s">
        <v>1</v>
      </c>
      <c r="L9" s="32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75" customHeight="1" x14ac:dyDescent="0.2">
      <c r="D10" s="121"/>
      <c r="E10" s="58"/>
      <c r="F10" s="4"/>
      <c r="G10" s="4"/>
      <c r="H10" s="4"/>
      <c r="I10" s="25"/>
      <c r="J10" s="1"/>
      <c r="K10" s="21"/>
      <c r="L10" s="33"/>
      <c r="M10" s="2"/>
      <c r="N10" s="24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2">
      <c r="E11" s="111"/>
      <c r="F11" s="57"/>
      <c r="G11" s="37"/>
      <c r="H11" s="37"/>
      <c r="I11" s="41"/>
      <c r="J11" s="39"/>
      <c r="K11" s="56"/>
      <c r="L11" s="37"/>
      <c r="M11" s="39"/>
      <c r="N11" s="42"/>
      <c r="O11" s="43"/>
      <c r="P11" s="60"/>
      <c r="Q11" s="55"/>
      <c r="R11" s="36"/>
      <c r="S11" s="49"/>
      <c r="T11" s="19"/>
      <c r="U11" s="40"/>
    </row>
    <row r="12" spans="1:21" s="3" customFormat="1" ht="19.5" customHeight="1" x14ac:dyDescent="0.2">
      <c r="E12" s="111"/>
      <c r="F12" s="57"/>
      <c r="G12" s="37"/>
      <c r="H12" s="37"/>
      <c r="I12" s="41"/>
      <c r="J12" s="39"/>
      <c r="K12" s="56"/>
      <c r="L12" s="37"/>
      <c r="M12" s="39"/>
      <c r="N12" s="42"/>
      <c r="O12" s="43"/>
      <c r="P12" s="60"/>
      <c r="Q12" s="55"/>
      <c r="R12" s="36"/>
      <c r="S12" s="49"/>
      <c r="T12" s="19"/>
      <c r="U12" s="40"/>
    </row>
    <row r="13" spans="1:21" s="3" customFormat="1" ht="19.75" customHeight="1" x14ac:dyDescent="0.2">
      <c r="D13" s="95"/>
      <c r="E13" s="1"/>
      <c r="F13" s="186" t="s">
        <v>23</v>
      </c>
      <c r="G13" s="187"/>
      <c r="H13" s="187"/>
      <c r="I13" s="188"/>
      <c r="J13" s="1"/>
      <c r="K13" s="34"/>
      <c r="L13" s="33"/>
      <c r="M13" s="26"/>
      <c r="N13" s="24"/>
      <c r="O13" s="43"/>
      <c r="P13" s="60"/>
      <c r="Q13" s="55"/>
      <c r="R13" s="36"/>
      <c r="S13" s="49"/>
      <c r="T13" s="19"/>
      <c r="U13" s="40"/>
    </row>
    <row r="14" spans="1:21" s="3" customFormat="1" ht="19.75" customHeight="1" x14ac:dyDescent="0.2">
      <c r="A14" s="93"/>
      <c r="B14" s="44">
        <v>0.15</v>
      </c>
      <c r="C14" s="1">
        <f t="shared" ref="C14:C28" si="0">+B14*J14</f>
        <v>0.3</v>
      </c>
      <c r="D14" s="44"/>
      <c r="E14" s="122">
        <v>13</v>
      </c>
      <c r="F14" s="74">
        <v>1</v>
      </c>
      <c r="G14" s="73" t="s">
        <v>25</v>
      </c>
      <c r="H14" s="98" t="s">
        <v>92</v>
      </c>
      <c r="I14" s="96" t="s">
        <v>35</v>
      </c>
      <c r="J14" s="88">
        <v>2</v>
      </c>
      <c r="K14" s="72">
        <v>2100</v>
      </c>
      <c r="L14" s="72">
        <f t="shared" ref="L14:L17" si="1">J14*K14</f>
        <v>4200</v>
      </c>
      <c r="M14" s="2"/>
      <c r="N14" s="24" t="s">
        <v>26</v>
      </c>
      <c r="O14" s="159" t="s">
        <v>94</v>
      </c>
      <c r="P14" s="60"/>
      <c r="Q14" s="55">
        <v>46125</v>
      </c>
      <c r="R14" s="36"/>
      <c r="S14" s="49">
        <v>46153</v>
      </c>
      <c r="T14" s="19">
        <v>46154</v>
      </c>
      <c r="U14" s="40"/>
    </row>
    <row r="15" spans="1:21" s="3" customFormat="1" ht="19.75" customHeight="1" x14ac:dyDescent="0.2">
      <c r="A15" s="93"/>
      <c r="B15" s="44">
        <v>0.15</v>
      </c>
      <c r="C15" s="1">
        <f t="shared" si="0"/>
        <v>0.15</v>
      </c>
      <c r="D15" s="44"/>
      <c r="E15" s="122">
        <v>13</v>
      </c>
      <c r="F15" s="74">
        <f>+F14+1</f>
        <v>2</v>
      </c>
      <c r="G15" s="97" t="s">
        <v>25</v>
      </c>
      <c r="H15" s="98" t="s">
        <v>92</v>
      </c>
      <c r="I15" s="107" t="s">
        <v>36</v>
      </c>
      <c r="J15" s="88">
        <v>1</v>
      </c>
      <c r="K15" s="88">
        <v>980</v>
      </c>
      <c r="L15" s="108">
        <f t="shared" si="1"/>
        <v>980</v>
      </c>
      <c r="M15" s="27"/>
      <c r="N15" s="24" t="s">
        <v>37</v>
      </c>
      <c r="O15" s="159" t="s">
        <v>94</v>
      </c>
      <c r="P15" s="60"/>
      <c r="Q15" s="55">
        <v>46125</v>
      </c>
      <c r="R15" s="36"/>
      <c r="S15" s="49">
        <v>46153</v>
      </c>
      <c r="T15" s="19">
        <v>46154</v>
      </c>
      <c r="U15" s="40"/>
    </row>
    <row r="16" spans="1:21" s="3" customFormat="1" ht="19.75" customHeight="1" x14ac:dyDescent="0.2">
      <c r="A16" s="1"/>
      <c r="B16" s="1"/>
      <c r="C16" s="1"/>
      <c r="D16" s="1"/>
      <c r="E16" s="111"/>
      <c r="F16" s="133"/>
      <c r="G16" s="28"/>
      <c r="H16" s="149"/>
      <c r="I16" s="24"/>
      <c r="J16" s="1"/>
      <c r="K16" s="1"/>
      <c r="L16" s="151"/>
      <c r="M16" s="32"/>
      <c r="N16" s="24"/>
      <c r="O16" s="152"/>
      <c r="P16" s="60"/>
      <c r="Q16" s="55"/>
      <c r="R16" s="36"/>
      <c r="S16" s="49"/>
      <c r="T16" s="19"/>
      <c r="U16" s="40"/>
    </row>
    <row r="17" spans="1:21" s="3" customFormat="1" ht="19.75" customHeight="1" x14ac:dyDescent="0.2">
      <c r="A17" s="93"/>
      <c r="B17" s="44">
        <v>0.88</v>
      </c>
      <c r="C17" s="1">
        <f t="shared" si="0"/>
        <v>0.88</v>
      </c>
      <c r="D17" s="44"/>
      <c r="E17" s="122">
        <v>13</v>
      </c>
      <c r="F17" s="74">
        <f>+F15+1</f>
        <v>3</v>
      </c>
      <c r="G17" s="73" t="s">
        <v>56</v>
      </c>
      <c r="H17" s="98" t="s">
        <v>92</v>
      </c>
      <c r="I17" s="96" t="s">
        <v>57</v>
      </c>
      <c r="J17" s="88">
        <v>1</v>
      </c>
      <c r="K17" s="72">
        <v>9580</v>
      </c>
      <c r="L17" s="72">
        <f t="shared" si="1"/>
        <v>9580</v>
      </c>
      <c r="M17" s="2"/>
      <c r="N17" s="24" t="s">
        <v>58</v>
      </c>
      <c r="O17" s="159" t="s">
        <v>94</v>
      </c>
      <c r="P17" s="60"/>
      <c r="Q17" s="55">
        <v>46125</v>
      </c>
      <c r="R17" s="36"/>
      <c r="S17" s="49">
        <v>46153</v>
      </c>
      <c r="T17" s="19">
        <v>46154</v>
      </c>
      <c r="U17" s="40"/>
    </row>
    <row r="18" spans="1:21" s="3" customFormat="1" ht="19.75" customHeight="1" x14ac:dyDescent="0.2">
      <c r="A18" s="1"/>
      <c r="B18" s="1"/>
      <c r="C18" s="1"/>
      <c r="D18" s="1"/>
      <c r="E18" s="111"/>
      <c r="F18" s="133"/>
      <c r="G18" s="4"/>
      <c r="H18" s="149"/>
      <c r="I18" s="25"/>
      <c r="J18" s="1"/>
      <c r="K18" s="130"/>
      <c r="L18" s="130"/>
      <c r="M18" s="2"/>
      <c r="N18" s="24"/>
      <c r="O18" s="35"/>
      <c r="P18" s="60"/>
      <c r="Q18" s="55"/>
      <c r="R18" s="36"/>
      <c r="S18" s="49"/>
      <c r="T18" s="19"/>
      <c r="U18" s="40"/>
    </row>
    <row r="19" spans="1:21" s="3" customFormat="1" ht="19.75" customHeight="1" x14ac:dyDescent="0.2">
      <c r="A19" s="93"/>
      <c r="B19" s="44">
        <v>0.3</v>
      </c>
      <c r="C19" s="1">
        <f t="shared" si="0"/>
        <v>0.3</v>
      </c>
      <c r="D19" s="44"/>
      <c r="E19" s="122">
        <v>13</v>
      </c>
      <c r="F19" s="74">
        <f>+F17+1</f>
        <v>4</v>
      </c>
      <c r="G19" s="114" t="s">
        <v>40</v>
      </c>
      <c r="H19" s="114" t="s">
        <v>41</v>
      </c>
      <c r="I19" s="115" t="s">
        <v>42</v>
      </c>
      <c r="J19" s="129">
        <v>1</v>
      </c>
      <c r="K19" s="116">
        <v>32960</v>
      </c>
      <c r="L19" s="56">
        <f t="shared" ref="L19:L32" si="2">J19*K19</f>
        <v>32960</v>
      </c>
      <c r="M19" s="38"/>
      <c r="N19" s="42" t="s">
        <v>43</v>
      </c>
      <c r="O19" s="109" t="s">
        <v>44</v>
      </c>
      <c r="P19" s="60"/>
      <c r="Q19" s="55">
        <v>46125</v>
      </c>
      <c r="R19" s="36"/>
      <c r="S19" s="49">
        <v>46153</v>
      </c>
      <c r="T19" s="49">
        <v>46153</v>
      </c>
      <c r="U19" s="40"/>
    </row>
    <row r="20" spans="1:21" s="3" customFormat="1" ht="19.75" customHeight="1" x14ac:dyDescent="0.2">
      <c r="A20" s="93"/>
      <c r="B20" s="44">
        <v>4.8</v>
      </c>
      <c r="C20" s="1">
        <f t="shared" si="0"/>
        <v>0</v>
      </c>
      <c r="D20" s="44"/>
      <c r="E20" s="122">
        <v>13</v>
      </c>
      <c r="F20" s="74">
        <f t="shared" ref="F20:F22" si="3">+F19+1</f>
        <v>5</v>
      </c>
      <c r="G20" s="37" t="s">
        <v>40</v>
      </c>
      <c r="H20" s="37" t="s">
        <v>41</v>
      </c>
      <c r="I20" s="164" t="s">
        <v>96</v>
      </c>
      <c r="J20" s="39"/>
      <c r="K20" s="56">
        <v>11440</v>
      </c>
      <c r="L20" s="56">
        <f t="shared" si="2"/>
        <v>0</v>
      </c>
      <c r="M20" s="38"/>
      <c r="N20" s="42" t="s">
        <v>45</v>
      </c>
      <c r="O20" s="109"/>
      <c r="P20" s="60"/>
      <c r="Q20" s="55"/>
      <c r="R20" s="36"/>
      <c r="S20" s="49"/>
      <c r="T20" s="49"/>
      <c r="U20" s="40"/>
    </row>
    <row r="21" spans="1:21" s="3" customFormat="1" ht="19.75" customHeight="1" x14ac:dyDescent="0.2">
      <c r="A21" s="93"/>
      <c r="B21" s="44"/>
      <c r="C21" s="1"/>
      <c r="D21" s="44"/>
      <c r="E21" s="122"/>
      <c r="F21" s="74">
        <f t="shared" si="3"/>
        <v>6</v>
      </c>
      <c r="G21" s="165" t="s">
        <v>40</v>
      </c>
      <c r="H21" s="165" t="s">
        <v>41</v>
      </c>
      <c r="I21" s="166" t="s">
        <v>97</v>
      </c>
      <c r="J21" s="167">
        <v>1</v>
      </c>
      <c r="K21" s="116">
        <v>5200</v>
      </c>
      <c r="L21" s="56">
        <f t="shared" si="2"/>
        <v>5200</v>
      </c>
      <c r="M21" s="38"/>
      <c r="N21" s="42" t="s">
        <v>98</v>
      </c>
      <c r="O21" s="109" t="s">
        <v>99</v>
      </c>
      <c r="P21" s="60"/>
      <c r="Q21" s="55">
        <v>46125</v>
      </c>
      <c r="R21" s="36"/>
      <c r="S21" s="49">
        <v>46153</v>
      </c>
      <c r="T21" s="49">
        <v>46153</v>
      </c>
      <c r="U21" s="40"/>
    </row>
    <row r="22" spans="1:21" s="3" customFormat="1" ht="19.75" customHeight="1" x14ac:dyDescent="0.2">
      <c r="A22" s="93"/>
      <c r="B22" s="44"/>
      <c r="C22" s="1"/>
      <c r="D22" s="44"/>
      <c r="E22" s="122"/>
      <c r="F22" s="74">
        <f t="shared" si="3"/>
        <v>7</v>
      </c>
      <c r="G22" s="165" t="s">
        <v>40</v>
      </c>
      <c r="H22" s="165" t="s">
        <v>41</v>
      </c>
      <c r="I22" s="166" t="s">
        <v>100</v>
      </c>
      <c r="J22" s="167">
        <v>1</v>
      </c>
      <c r="K22" s="116">
        <v>5840</v>
      </c>
      <c r="L22" s="56">
        <f t="shared" si="2"/>
        <v>5840</v>
      </c>
      <c r="M22" s="38"/>
      <c r="N22" s="42" t="s">
        <v>101</v>
      </c>
      <c r="O22" s="109" t="s">
        <v>99</v>
      </c>
      <c r="P22" s="60"/>
      <c r="Q22" s="55">
        <v>46125</v>
      </c>
      <c r="R22" s="36"/>
      <c r="S22" s="49">
        <v>46153</v>
      </c>
      <c r="T22" s="49">
        <v>46153</v>
      </c>
      <c r="U22" s="40"/>
    </row>
    <row r="23" spans="1:21" s="3" customFormat="1" ht="19.75" customHeight="1" x14ac:dyDescent="0.2">
      <c r="A23" s="93"/>
      <c r="B23" s="44">
        <v>2</v>
      </c>
      <c r="C23" s="1">
        <f t="shared" si="0"/>
        <v>2</v>
      </c>
      <c r="D23" s="44"/>
      <c r="E23" s="122">
        <v>13</v>
      </c>
      <c r="F23" s="74">
        <f>+F20+1</f>
        <v>6</v>
      </c>
      <c r="G23" s="114" t="s">
        <v>40</v>
      </c>
      <c r="H23" s="114" t="s">
        <v>41</v>
      </c>
      <c r="I23" s="115" t="s">
        <v>46</v>
      </c>
      <c r="J23" s="129">
        <v>1</v>
      </c>
      <c r="K23" s="116">
        <v>50000</v>
      </c>
      <c r="L23" s="56">
        <f t="shared" si="2"/>
        <v>50000</v>
      </c>
      <c r="M23" s="38"/>
      <c r="N23" s="42" t="s">
        <v>47</v>
      </c>
      <c r="O23" s="109" t="s">
        <v>44</v>
      </c>
      <c r="P23" s="60"/>
      <c r="Q23" s="55">
        <v>46125</v>
      </c>
      <c r="R23" s="36"/>
      <c r="S23" s="49">
        <v>46153</v>
      </c>
      <c r="T23" s="49">
        <v>46153</v>
      </c>
      <c r="U23" s="40"/>
    </row>
    <row r="24" spans="1:21" s="3" customFormat="1" ht="19.75" customHeight="1" x14ac:dyDescent="0.2">
      <c r="A24" s="1"/>
      <c r="B24" s="1"/>
      <c r="C24" s="1"/>
      <c r="D24" s="1"/>
      <c r="E24" s="111"/>
      <c r="F24" s="133"/>
      <c r="G24" s="147"/>
      <c r="H24" s="37"/>
      <c r="I24" s="148"/>
      <c r="J24" s="39"/>
      <c r="K24" s="56"/>
      <c r="L24" s="56"/>
      <c r="M24" s="38"/>
      <c r="N24" s="42"/>
      <c r="O24" s="109"/>
      <c r="P24" s="60"/>
      <c r="Q24" s="55"/>
      <c r="R24" s="36"/>
      <c r="S24" s="49"/>
      <c r="T24" s="19"/>
      <c r="U24" s="40"/>
    </row>
    <row r="25" spans="1:21" s="3" customFormat="1" ht="19.75" customHeight="1" x14ac:dyDescent="0.2">
      <c r="A25" s="93"/>
      <c r="B25" s="1"/>
      <c r="C25" s="1">
        <f t="shared" si="0"/>
        <v>0</v>
      </c>
      <c r="D25" s="1"/>
      <c r="E25" s="122">
        <v>13</v>
      </c>
      <c r="F25" s="74">
        <f>+F23+1</f>
        <v>7</v>
      </c>
      <c r="G25" s="144" t="s">
        <v>48</v>
      </c>
      <c r="H25" s="98" t="s">
        <v>92</v>
      </c>
      <c r="I25" s="145" t="s">
        <v>49</v>
      </c>
      <c r="J25" s="146">
        <v>1</v>
      </c>
      <c r="K25" s="160">
        <v>7210</v>
      </c>
      <c r="L25" s="75">
        <f t="shared" ref="L25:L29" si="4">J25*K25</f>
        <v>7210</v>
      </c>
      <c r="M25" s="38"/>
      <c r="N25" s="112" t="s">
        <v>50</v>
      </c>
      <c r="O25" s="159" t="s">
        <v>94</v>
      </c>
      <c r="P25" s="60"/>
      <c r="Q25" s="55">
        <v>46125</v>
      </c>
      <c r="R25" s="36"/>
      <c r="S25" s="49">
        <v>46153</v>
      </c>
      <c r="T25" s="19">
        <v>46154</v>
      </c>
      <c r="U25" s="40"/>
    </row>
    <row r="26" spans="1:21" s="3" customFormat="1" ht="19.75" customHeight="1" x14ac:dyDescent="0.2">
      <c r="A26" s="93"/>
      <c r="B26" s="44">
        <v>1.4999999999999999E-2</v>
      </c>
      <c r="C26" s="1">
        <f t="shared" si="0"/>
        <v>0.03</v>
      </c>
      <c r="D26" s="44"/>
      <c r="E26" s="122">
        <v>13</v>
      </c>
      <c r="F26" s="74">
        <f>+F25+1</f>
        <v>8</v>
      </c>
      <c r="G26" s="137" t="s">
        <v>48</v>
      </c>
      <c r="H26" s="98" t="s">
        <v>92</v>
      </c>
      <c r="I26" s="138" t="s">
        <v>81</v>
      </c>
      <c r="J26" s="139">
        <v>2</v>
      </c>
      <c r="K26" s="140">
        <v>1040</v>
      </c>
      <c r="L26" s="130">
        <f t="shared" si="4"/>
        <v>2080</v>
      </c>
      <c r="M26" s="131"/>
      <c r="N26" s="132" t="s">
        <v>82</v>
      </c>
      <c r="O26" s="159" t="s">
        <v>94</v>
      </c>
      <c r="P26" s="60"/>
      <c r="Q26" s="55">
        <v>46125</v>
      </c>
      <c r="R26" s="36"/>
      <c r="S26" s="49">
        <v>46153</v>
      </c>
      <c r="T26" s="19">
        <v>46154</v>
      </c>
      <c r="U26" s="40"/>
    </row>
    <row r="27" spans="1:21" s="3" customFormat="1" ht="19.75" customHeight="1" x14ac:dyDescent="0.2">
      <c r="A27" s="93"/>
      <c r="B27" s="44">
        <v>1.4999999999999999E-2</v>
      </c>
      <c r="C27" s="1">
        <f t="shared" si="0"/>
        <v>4.4999999999999998E-2</v>
      </c>
      <c r="D27" s="44"/>
      <c r="E27" s="122">
        <v>13</v>
      </c>
      <c r="F27" s="74">
        <f t="shared" ref="F27:F32" si="5">+F26+1</f>
        <v>9</v>
      </c>
      <c r="G27" s="137" t="s">
        <v>48</v>
      </c>
      <c r="H27" s="98" t="s">
        <v>92</v>
      </c>
      <c r="I27" s="138" t="s">
        <v>83</v>
      </c>
      <c r="J27" s="139">
        <v>3</v>
      </c>
      <c r="K27" s="140">
        <v>300</v>
      </c>
      <c r="L27" s="130">
        <f t="shared" si="4"/>
        <v>900</v>
      </c>
      <c r="M27" s="131"/>
      <c r="N27" s="132" t="s">
        <v>84</v>
      </c>
      <c r="O27" s="159" t="s">
        <v>94</v>
      </c>
      <c r="P27" s="60"/>
      <c r="Q27" s="55">
        <v>46125</v>
      </c>
      <c r="R27" s="36"/>
      <c r="S27" s="49">
        <v>46153</v>
      </c>
      <c r="T27" s="19">
        <v>46154</v>
      </c>
      <c r="U27" s="40"/>
    </row>
    <row r="28" spans="1:21" s="3" customFormat="1" ht="19.75" customHeight="1" x14ac:dyDescent="0.2">
      <c r="A28" s="93"/>
      <c r="B28" s="44">
        <v>1E-3</v>
      </c>
      <c r="C28" s="1">
        <f t="shared" si="0"/>
        <v>3.0000000000000001E-3</v>
      </c>
      <c r="D28" s="44"/>
      <c r="E28" s="122">
        <v>13</v>
      </c>
      <c r="F28" s="74">
        <f t="shared" si="5"/>
        <v>10</v>
      </c>
      <c r="G28" s="137" t="s">
        <v>48</v>
      </c>
      <c r="H28" s="98" t="s">
        <v>92</v>
      </c>
      <c r="I28" s="138" t="s">
        <v>85</v>
      </c>
      <c r="J28" s="139">
        <v>3</v>
      </c>
      <c r="K28" s="140">
        <v>30</v>
      </c>
      <c r="L28" s="130">
        <f t="shared" si="4"/>
        <v>90</v>
      </c>
      <c r="M28" s="131"/>
      <c r="N28" s="132" t="s">
        <v>86</v>
      </c>
      <c r="O28" s="159" t="s">
        <v>94</v>
      </c>
      <c r="P28" s="60"/>
      <c r="Q28" s="55">
        <v>46125</v>
      </c>
      <c r="R28" s="36"/>
      <c r="S28" s="49">
        <v>46153</v>
      </c>
      <c r="T28" s="19">
        <v>46154</v>
      </c>
      <c r="U28" s="40"/>
    </row>
    <row r="29" spans="1:21" s="3" customFormat="1" ht="19.75" customHeight="1" x14ac:dyDescent="0.2">
      <c r="A29" s="93"/>
      <c r="B29" s="44">
        <v>1.4999999999999999E-2</v>
      </c>
      <c r="C29" s="1">
        <f t="shared" ref="C29:C32" si="6">+B29*J29</f>
        <v>0.15</v>
      </c>
      <c r="D29" s="44"/>
      <c r="E29" s="122">
        <v>13</v>
      </c>
      <c r="F29" s="74">
        <f t="shared" si="5"/>
        <v>11</v>
      </c>
      <c r="G29" s="137" t="s">
        <v>48</v>
      </c>
      <c r="H29" s="98" t="s">
        <v>92</v>
      </c>
      <c r="I29" s="141" t="s">
        <v>87</v>
      </c>
      <c r="J29" s="142">
        <v>10</v>
      </c>
      <c r="K29" s="143">
        <v>70</v>
      </c>
      <c r="L29" s="130">
        <f t="shared" si="4"/>
        <v>700</v>
      </c>
      <c r="M29" s="38"/>
      <c r="N29" s="42" t="s">
        <v>88</v>
      </c>
      <c r="O29" s="159" t="s">
        <v>94</v>
      </c>
      <c r="P29" s="60"/>
      <c r="Q29" s="55">
        <v>46125</v>
      </c>
      <c r="R29" s="36"/>
      <c r="S29" s="49">
        <v>46153</v>
      </c>
      <c r="T29" s="19">
        <v>46154</v>
      </c>
      <c r="U29" s="40"/>
    </row>
    <row r="30" spans="1:21" s="3" customFormat="1" ht="19.75" customHeight="1" x14ac:dyDescent="0.2">
      <c r="A30" s="1"/>
      <c r="B30" s="1"/>
      <c r="C30" s="1"/>
      <c r="D30" s="1"/>
      <c r="E30" s="111"/>
      <c r="F30" s="133"/>
      <c r="G30" s="128"/>
      <c r="H30" s="149"/>
      <c r="I30" s="41"/>
      <c r="J30" s="39"/>
      <c r="K30" s="56"/>
      <c r="L30" s="130"/>
      <c r="M30" s="38"/>
      <c r="N30" s="42"/>
      <c r="O30" s="150"/>
      <c r="P30" s="60"/>
      <c r="Q30" s="55"/>
      <c r="R30" s="36"/>
      <c r="S30" s="49"/>
      <c r="T30" s="19"/>
      <c r="U30" s="40"/>
    </row>
    <row r="31" spans="1:21" s="3" customFormat="1" ht="19.75" customHeight="1" x14ac:dyDescent="0.2">
      <c r="A31" s="93"/>
      <c r="B31" s="44">
        <v>1E-3</v>
      </c>
      <c r="C31" s="1">
        <f t="shared" si="6"/>
        <v>1E-3</v>
      </c>
      <c r="D31" s="44"/>
      <c r="E31" s="122">
        <v>13</v>
      </c>
      <c r="F31" s="74">
        <f>+F29+1</f>
        <v>12</v>
      </c>
      <c r="G31" s="114" t="s">
        <v>51</v>
      </c>
      <c r="H31" s="114" t="s">
        <v>51</v>
      </c>
      <c r="I31" s="115" t="s">
        <v>52</v>
      </c>
      <c r="J31" s="129">
        <v>1</v>
      </c>
      <c r="K31" s="117">
        <v>27</v>
      </c>
      <c r="L31" s="56">
        <f t="shared" si="2"/>
        <v>27</v>
      </c>
      <c r="M31" s="38"/>
      <c r="N31" s="42" t="s">
        <v>53</v>
      </c>
      <c r="O31" s="118" t="s">
        <v>54</v>
      </c>
      <c r="P31" s="60"/>
      <c r="Q31" s="55">
        <v>46125</v>
      </c>
      <c r="R31" s="36"/>
      <c r="S31" s="49">
        <v>46153</v>
      </c>
      <c r="T31" s="19"/>
      <c r="U31" s="40">
        <v>46126</v>
      </c>
    </row>
    <row r="32" spans="1:21" s="3" customFormat="1" ht="19.75" customHeight="1" x14ac:dyDescent="0.2">
      <c r="A32" s="93"/>
      <c r="B32" s="44"/>
      <c r="C32" s="1">
        <f t="shared" si="6"/>
        <v>0</v>
      </c>
      <c r="D32" s="44"/>
      <c r="E32" s="122">
        <v>13</v>
      </c>
      <c r="F32" s="74">
        <f t="shared" si="5"/>
        <v>13</v>
      </c>
      <c r="G32" s="114" t="s">
        <v>51</v>
      </c>
      <c r="H32" s="114" t="s">
        <v>51</v>
      </c>
      <c r="I32" s="119" t="s">
        <v>55</v>
      </c>
      <c r="J32" s="129">
        <v>1</v>
      </c>
      <c r="K32" s="120">
        <v>500</v>
      </c>
      <c r="L32" s="38">
        <f t="shared" si="2"/>
        <v>500</v>
      </c>
      <c r="M32" s="113"/>
      <c r="N32" s="39"/>
      <c r="O32" s="109"/>
      <c r="P32" s="60"/>
      <c r="Q32" s="55">
        <v>46125</v>
      </c>
      <c r="R32" s="36"/>
      <c r="S32" s="49">
        <v>46153</v>
      </c>
      <c r="T32" s="19"/>
      <c r="U32" s="40"/>
    </row>
    <row r="33" spans="1:21" s="3" customFormat="1" ht="19.75" customHeight="1" x14ac:dyDescent="0.2">
      <c r="A33" s="69"/>
      <c r="B33" s="69"/>
      <c r="C33" s="69"/>
      <c r="D33" s="69"/>
      <c r="E33" s="111"/>
      <c r="F33" s="4"/>
      <c r="G33" s="4"/>
      <c r="H33" s="4"/>
      <c r="I33" s="51"/>
      <c r="J33" s="24"/>
      <c r="K33" s="1"/>
      <c r="L33" s="22"/>
      <c r="M33" s="1"/>
      <c r="N33" s="23"/>
      <c r="O33" s="43"/>
      <c r="P33" s="60"/>
      <c r="Q33" s="55"/>
      <c r="R33" s="36"/>
      <c r="S33" s="49"/>
      <c r="T33" s="19"/>
      <c r="U33" s="40"/>
    </row>
    <row r="34" spans="1:21" s="3" customFormat="1" ht="19.75" customHeight="1" x14ac:dyDescent="0.2">
      <c r="A34"/>
      <c r="B34"/>
      <c r="C34"/>
      <c r="D34"/>
      <c r="E34"/>
      <c r="F34" s="77"/>
      <c r="G34" s="76"/>
      <c r="H34" s="76"/>
      <c r="I34" s="177">
        <f>SUM(L14:L33)</f>
        <v>120267</v>
      </c>
      <c r="J34" s="178"/>
      <c r="K34" s="178"/>
      <c r="L34" s="179"/>
      <c r="M34" s="78"/>
      <c r="N34" s="79"/>
      <c r="O34" s="43"/>
      <c r="P34" s="60"/>
      <c r="Q34" s="55"/>
      <c r="R34" s="36"/>
      <c r="S34" s="49"/>
      <c r="T34" s="19"/>
      <c r="U34" s="40"/>
    </row>
    <row r="35" spans="1:21" s="3" customFormat="1" ht="19.75" customHeight="1" x14ac:dyDescent="0.2">
      <c r="E35" s="111"/>
      <c r="F35" s="68"/>
      <c r="G35" s="71"/>
      <c r="H35" s="61"/>
      <c r="I35" s="67"/>
      <c r="J35" s="28"/>
      <c r="K35" s="34"/>
      <c r="L35" s="34"/>
      <c r="M35" s="45"/>
      <c r="N35" s="46"/>
      <c r="O35" s="43"/>
      <c r="P35" s="60"/>
      <c r="Q35" s="55"/>
      <c r="R35" s="36"/>
      <c r="S35" s="49"/>
      <c r="T35" s="19"/>
      <c r="U35" s="40"/>
    </row>
    <row r="36" spans="1:21" s="3" customFormat="1" ht="19.75" customHeight="1" x14ac:dyDescent="0.2">
      <c r="E36" s="111"/>
      <c r="F36" s="68"/>
      <c r="G36" s="71"/>
      <c r="H36" s="61"/>
      <c r="I36" s="67"/>
      <c r="J36" s="28"/>
      <c r="K36" s="34"/>
      <c r="L36" s="34"/>
      <c r="M36" s="45"/>
      <c r="N36" s="46"/>
      <c r="O36" s="43"/>
      <c r="P36" s="60"/>
      <c r="Q36" s="55"/>
      <c r="R36" s="36"/>
      <c r="S36" s="49"/>
      <c r="T36" s="19"/>
      <c r="U36" s="40"/>
    </row>
    <row r="37" spans="1:21" s="3" customFormat="1" ht="19.75" customHeight="1" x14ac:dyDescent="0.2">
      <c r="E37" s="111"/>
      <c r="F37" s="68"/>
      <c r="G37" s="71"/>
      <c r="H37" s="61"/>
      <c r="I37" s="67"/>
      <c r="J37" s="28"/>
      <c r="K37" s="34"/>
      <c r="L37" s="34"/>
      <c r="M37" s="45"/>
      <c r="N37" s="46"/>
      <c r="O37" s="43"/>
      <c r="P37" s="60"/>
      <c r="Q37" s="55"/>
      <c r="R37" s="36"/>
      <c r="S37" s="49"/>
      <c r="T37" s="19"/>
      <c r="U37" s="40"/>
    </row>
    <row r="38" spans="1:21" s="3" customFormat="1" ht="19.75" customHeight="1" x14ac:dyDescent="0.2">
      <c r="E38" s="111"/>
      <c r="F38" s="4"/>
      <c r="G38" s="180" t="s">
        <v>80</v>
      </c>
      <c r="H38" s="181"/>
      <c r="I38" s="182"/>
      <c r="J38" s="101"/>
      <c r="K38" s="48"/>
      <c r="L38" s="66"/>
      <c r="M38" s="70"/>
      <c r="N38" s="59"/>
      <c r="O38" s="35"/>
      <c r="P38" s="60"/>
      <c r="Q38" s="55"/>
      <c r="R38" s="36"/>
      <c r="S38" s="49"/>
      <c r="T38" s="19"/>
      <c r="U38" s="40"/>
    </row>
    <row r="39" spans="1:21" s="3" customFormat="1" ht="19.75" customHeight="1" x14ac:dyDescent="0.2">
      <c r="A39" s="99" t="s">
        <v>33</v>
      </c>
      <c r="B39" s="110">
        <v>0.15</v>
      </c>
      <c r="C39" s="1">
        <f t="shared" ref="C39" si="7">+B39*J39</f>
        <v>0.15</v>
      </c>
      <c r="E39" s="136">
        <v>9</v>
      </c>
      <c r="F39" s="50">
        <f>+F32+1</f>
        <v>14</v>
      </c>
      <c r="G39" s="97" t="s">
        <v>34</v>
      </c>
      <c r="H39" s="98" t="s">
        <v>92</v>
      </c>
      <c r="I39" s="102" t="s">
        <v>90</v>
      </c>
      <c r="J39" s="97">
        <v>1</v>
      </c>
      <c r="K39" s="161">
        <v>11680</v>
      </c>
      <c r="L39" s="103">
        <f>J39*K39</f>
        <v>11680</v>
      </c>
      <c r="M39" s="104"/>
      <c r="N39" s="67" t="s">
        <v>89</v>
      </c>
      <c r="O39" s="159" t="s">
        <v>94</v>
      </c>
      <c r="P39" s="60"/>
      <c r="Q39" s="55">
        <v>46125</v>
      </c>
      <c r="R39" s="36"/>
      <c r="S39" s="49">
        <v>46153</v>
      </c>
      <c r="T39" s="19">
        <v>46154</v>
      </c>
      <c r="U39" s="40"/>
    </row>
    <row r="40" spans="1:21" s="3" customFormat="1" ht="19.75" customHeight="1" x14ac:dyDescent="0.2">
      <c r="E40" s="111"/>
      <c r="F40" s="4"/>
      <c r="G40" s="68"/>
      <c r="H40" s="68"/>
      <c r="I40" s="23"/>
      <c r="J40" s="105"/>
      <c r="K40" s="1"/>
      <c r="L40" s="29"/>
      <c r="M40" s="62"/>
      <c r="N40" s="59"/>
      <c r="O40" s="35"/>
      <c r="P40" s="60"/>
      <c r="Q40" s="55"/>
      <c r="R40" s="36"/>
      <c r="S40" s="49"/>
      <c r="T40" s="19"/>
      <c r="U40" s="40"/>
    </row>
    <row r="41" spans="1:21" s="3" customFormat="1" ht="19.75" customHeight="1" x14ac:dyDescent="0.2">
      <c r="C41" s="3" t="s">
        <v>38</v>
      </c>
      <c r="E41" s="111"/>
      <c r="F41" s="4"/>
      <c r="G41" s="4"/>
      <c r="H41" s="4"/>
      <c r="I41" s="90">
        <f>SUM(L39:L39)</f>
        <v>11680</v>
      </c>
      <c r="J41" s="106"/>
      <c r="K41" s="106"/>
      <c r="L41" s="106"/>
      <c r="M41" s="100"/>
      <c r="N41" s="24"/>
      <c r="O41" s="35"/>
      <c r="P41" s="60"/>
      <c r="Q41" s="55"/>
      <c r="R41" s="36"/>
      <c r="S41" s="49"/>
      <c r="T41" s="19"/>
      <c r="U41" s="40"/>
    </row>
    <row r="42" spans="1:21" s="3" customFormat="1" ht="19.75" customHeight="1" x14ac:dyDescent="0.2">
      <c r="C42" s="82">
        <f>SUM(C11:C41)</f>
        <v>4.0089999999999995</v>
      </c>
      <c r="E42" s="111"/>
      <c r="F42" s="68"/>
      <c r="G42" s="71"/>
      <c r="H42" s="61"/>
      <c r="I42" s="67"/>
      <c r="J42" s="28"/>
      <c r="K42" s="34"/>
      <c r="L42" s="34"/>
      <c r="M42" s="45"/>
      <c r="N42" s="46"/>
      <c r="O42" s="43"/>
      <c r="P42" s="60"/>
      <c r="Q42" s="55"/>
      <c r="R42" s="36"/>
      <c r="S42" s="49"/>
      <c r="T42" s="19"/>
      <c r="U42" s="40"/>
    </row>
    <row r="43" spans="1:21" s="3" customFormat="1" ht="19.75" customHeight="1" x14ac:dyDescent="0.2">
      <c r="C43" s="52" t="s">
        <v>28</v>
      </c>
      <c r="E43" s="111"/>
      <c r="F43" s="68"/>
      <c r="G43" s="71"/>
      <c r="H43" s="61"/>
      <c r="I43" s="67"/>
      <c r="J43" s="28"/>
      <c r="K43" s="34"/>
      <c r="L43" s="34"/>
      <c r="M43" s="45"/>
      <c r="N43" s="46"/>
      <c r="O43" s="43"/>
      <c r="P43" s="60"/>
      <c r="Q43" s="55"/>
      <c r="R43" s="36"/>
      <c r="S43" s="49"/>
      <c r="T43" s="19"/>
      <c r="U43" s="40"/>
    </row>
    <row r="44" spans="1:21" s="3" customFormat="1" ht="19.75" customHeight="1" x14ac:dyDescent="0.2">
      <c r="E44" s="111"/>
      <c r="F44" s="68"/>
      <c r="G44" s="71"/>
      <c r="H44" s="61"/>
      <c r="I44" s="67"/>
      <c r="J44" s="28"/>
      <c r="K44" s="34"/>
      <c r="L44" s="34"/>
      <c r="M44" s="45"/>
      <c r="N44" s="46"/>
      <c r="O44" s="43"/>
      <c r="P44" s="60"/>
      <c r="Q44" s="55"/>
      <c r="R44" s="36"/>
      <c r="S44" s="49"/>
      <c r="T44" s="19"/>
      <c r="U44" s="40"/>
    </row>
    <row r="45" spans="1:21" s="3" customFormat="1" ht="19.75" customHeight="1" x14ac:dyDescent="0.2">
      <c r="E45" s="111"/>
      <c r="F45" s="68"/>
      <c r="G45" s="71"/>
      <c r="H45" s="61"/>
      <c r="I45" s="67"/>
      <c r="J45" s="28"/>
      <c r="K45" s="34"/>
      <c r="L45" s="34"/>
      <c r="M45" s="45"/>
      <c r="N45" s="46"/>
      <c r="O45" s="43"/>
      <c r="P45" s="60"/>
      <c r="Q45" s="55"/>
      <c r="R45" s="36"/>
      <c r="S45" s="49"/>
      <c r="T45" s="19"/>
      <c r="U45" s="40"/>
    </row>
    <row r="46" spans="1:21" s="3" customFormat="1" ht="19.75" customHeight="1" x14ac:dyDescent="0.2">
      <c r="E46" s="111"/>
      <c r="F46" s="83"/>
      <c r="G46" s="183" t="s">
        <v>29</v>
      </c>
      <c r="H46" s="184"/>
      <c r="I46" s="185"/>
      <c r="J46" s="84"/>
      <c r="K46" s="85"/>
      <c r="L46" s="66"/>
      <c r="M46" s="53"/>
      <c r="N46" s="54"/>
      <c r="O46" s="43"/>
      <c r="P46" s="60"/>
      <c r="Q46" s="55"/>
      <c r="R46" s="36"/>
      <c r="S46" s="49"/>
      <c r="T46" s="19"/>
      <c r="U46" s="40"/>
    </row>
    <row r="47" spans="1:21" s="3" customFormat="1" ht="19.75" customHeight="1" x14ac:dyDescent="0.2">
      <c r="A47" s="94" t="s">
        <v>24</v>
      </c>
      <c r="B47" s="110"/>
      <c r="C47" s="1">
        <v>2.5</v>
      </c>
      <c r="D47" s="47"/>
      <c r="E47" s="134">
        <v>15</v>
      </c>
      <c r="F47" s="50">
        <f>+F39+1</f>
        <v>15</v>
      </c>
      <c r="G47" s="153" t="s">
        <v>62</v>
      </c>
      <c r="H47" s="153" t="s">
        <v>62</v>
      </c>
      <c r="I47" s="154" t="s">
        <v>63</v>
      </c>
      <c r="J47" s="155">
        <v>1</v>
      </c>
      <c r="K47" s="162">
        <v>213000</v>
      </c>
      <c r="L47" s="156">
        <f t="shared" ref="L47:L50" si="8">J47*K47</f>
        <v>213000</v>
      </c>
      <c r="M47" s="53"/>
      <c r="N47" s="54" t="s">
        <v>64</v>
      </c>
      <c r="O47" s="163" t="s">
        <v>95</v>
      </c>
      <c r="P47" s="4"/>
      <c r="Q47" s="55">
        <v>46125</v>
      </c>
      <c r="R47" s="36"/>
      <c r="S47" s="49">
        <v>46153</v>
      </c>
      <c r="T47" s="19">
        <v>46154</v>
      </c>
      <c r="U47" s="14"/>
    </row>
    <row r="48" spans="1:21" s="3" customFormat="1" ht="19.75" customHeight="1" x14ac:dyDescent="0.2">
      <c r="A48" s="94" t="s">
        <v>24</v>
      </c>
      <c r="B48" s="110"/>
      <c r="C48" s="1">
        <v>0.05</v>
      </c>
      <c r="D48" s="47"/>
      <c r="E48" s="134">
        <v>15</v>
      </c>
      <c r="F48" s="50">
        <f t="shared" ref="F48:F50" si="9">+F47+1</f>
        <v>16</v>
      </c>
      <c r="G48" s="153" t="s">
        <v>62</v>
      </c>
      <c r="H48" s="153" t="s">
        <v>62</v>
      </c>
      <c r="I48" s="157" t="s">
        <v>65</v>
      </c>
      <c r="J48" s="155">
        <v>1</v>
      </c>
      <c r="K48" s="162">
        <v>5800</v>
      </c>
      <c r="L48" s="156">
        <f t="shared" si="8"/>
        <v>5800</v>
      </c>
      <c r="M48" s="53"/>
      <c r="N48" s="54" t="s">
        <v>66</v>
      </c>
      <c r="O48" s="163" t="s">
        <v>95</v>
      </c>
      <c r="P48" s="4"/>
      <c r="Q48" s="55">
        <v>46125</v>
      </c>
      <c r="R48" s="36"/>
      <c r="S48" s="49">
        <v>46153</v>
      </c>
      <c r="T48" s="19">
        <v>46154</v>
      </c>
      <c r="U48" s="14"/>
    </row>
    <row r="49" spans="1:21" s="3" customFormat="1" ht="19.75" customHeight="1" x14ac:dyDescent="0.2">
      <c r="A49" s="94" t="s">
        <v>24</v>
      </c>
      <c r="B49" s="110"/>
      <c r="C49" s="1">
        <v>4</v>
      </c>
      <c r="D49" s="47"/>
      <c r="E49" s="134">
        <v>15</v>
      </c>
      <c r="F49" s="50">
        <f t="shared" si="9"/>
        <v>17</v>
      </c>
      <c r="G49" s="153" t="s">
        <v>62</v>
      </c>
      <c r="H49" s="153" t="s">
        <v>62</v>
      </c>
      <c r="I49" s="157" t="s">
        <v>67</v>
      </c>
      <c r="J49" s="155">
        <v>1</v>
      </c>
      <c r="K49" s="162">
        <v>6100</v>
      </c>
      <c r="L49" s="156">
        <f t="shared" si="8"/>
        <v>6100</v>
      </c>
      <c r="M49" s="53"/>
      <c r="N49" s="54" t="s">
        <v>68</v>
      </c>
      <c r="O49" s="163" t="s">
        <v>95</v>
      </c>
      <c r="P49" s="4"/>
      <c r="Q49" s="55">
        <v>46125</v>
      </c>
      <c r="R49" s="36"/>
      <c r="S49" s="49">
        <v>46153</v>
      </c>
      <c r="T49" s="19">
        <v>46154</v>
      </c>
      <c r="U49" s="14"/>
    </row>
    <row r="50" spans="1:21" s="3" customFormat="1" ht="19.75" customHeight="1" x14ac:dyDescent="0.2">
      <c r="A50" s="94" t="s">
        <v>24</v>
      </c>
      <c r="B50" s="110"/>
      <c r="C50" s="1"/>
      <c r="D50" s="47"/>
      <c r="E50" s="134">
        <v>15</v>
      </c>
      <c r="F50" s="50">
        <f t="shared" si="9"/>
        <v>18</v>
      </c>
      <c r="G50" s="153" t="s">
        <v>62</v>
      </c>
      <c r="H50" s="153" t="s">
        <v>62</v>
      </c>
      <c r="I50" s="157" t="s">
        <v>69</v>
      </c>
      <c r="J50" s="155">
        <v>1</v>
      </c>
      <c r="K50" s="162">
        <v>-24700</v>
      </c>
      <c r="L50" s="156">
        <f t="shared" si="8"/>
        <v>-24700</v>
      </c>
      <c r="M50" s="53"/>
      <c r="N50" s="54"/>
      <c r="O50" s="163" t="s">
        <v>95</v>
      </c>
      <c r="P50" s="4"/>
      <c r="Q50" s="55">
        <v>46125</v>
      </c>
      <c r="R50" s="36"/>
      <c r="S50" s="49">
        <v>46153</v>
      </c>
      <c r="T50" s="19">
        <v>46154</v>
      </c>
      <c r="U50" s="14"/>
    </row>
    <row r="51" spans="1:21" s="3" customFormat="1" ht="19.75" customHeight="1" x14ac:dyDescent="0.2">
      <c r="D51" s="47"/>
      <c r="E51" s="1"/>
      <c r="F51" s="4"/>
      <c r="G51" s="86"/>
      <c r="H51" s="86"/>
      <c r="I51" s="23"/>
      <c r="J51" s="87"/>
      <c r="K51" s="27"/>
      <c r="L51" s="66"/>
      <c r="M51" s="2"/>
      <c r="N51" s="59"/>
      <c r="O51" s="23"/>
      <c r="P51" s="4"/>
      <c r="Q51" s="55"/>
      <c r="R51" s="36"/>
      <c r="S51" s="49"/>
      <c r="T51" s="19"/>
      <c r="U51" s="14"/>
    </row>
    <row r="52" spans="1:21" s="3" customFormat="1" ht="19.75" customHeight="1" x14ac:dyDescent="0.2">
      <c r="C52" s="3" t="s">
        <v>31</v>
      </c>
      <c r="D52" s="47"/>
      <c r="E52" s="1"/>
      <c r="F52" s="64"/>
      <c r="G52" s="64"/>
      <c r="H52" s="64"/>
      <c r="I52" s="23"/>
      <c r="J52" s="81"/>
      <c r="K52" s="85"/>
      <c r="L52" s="66"/>
      <c r="M52" s="53"/>
      <c r="N52" s="54"/>
      <c r="O52" s="63"/>
      <c r="P52" s="4"/>
      <c r="Q52" s="55"/>
      <c r="R52" s="36"/>
      <c r="S52" s="49"/>
      <c r="T52" s="19"/>
      <c r="U52" s="14"/>
    </row>
    <row r="53" spans="1:21" s="3" customFormat="1" ht="19.75" customHeight="1" x14ac:dyDescent="0.2">
      <c r="C53" s="82">
        <f>SUM(C47:C50)</f>
        <v>6.55</v>
      </c>
      <c r="D53" s="47"/>
      <c r="E53" s="1"/>
      <c r="F53" s="89"/>
      <c r="G53" s="64"/>
      <c r="H53" s="64"/>
      <c r="I53" s="90">
        <f>SUM(L46:L52)</f>
        <v>200200</v>
      </c>
      <c r="J53" s="81"/>
      <c r="K53" s="85"/>
      <c r="L53" s="66"/>
      <c r="M53" s="53"/>
      <c r="N53" s="54"/>
      <c r="O53" s="63"/>
      <c r="P53" s="4"/>
      <c r="Q53" s="55"/>
      <c r="R53" s="36"/>
      <c r="S53" s="49"/>
      <c r="T53" s="19"/>
      <c r="U53" s="14"/>
    </row>
    <row r="54" spans="1:21" s="3" customFormat="1" ht="19.75" customHeight="1" x14ac:dyDescent="0.2">
      <c r="C54" s="52" t="s">
        <v>28</v>
      </c>
      <c r="D54" s="47"/>
      <c r="E54" s="1"/>
      <c r="F54" s="64"/>
      <c r="G54" s="64"/>
      <c r="H54" s="64"/>
      <c r="I54" s="23"/>
      <c r="J54" s="81"/>
      <c r="K54" s="85"/>
      <c r="L54" s="66"/>
      <c r="M54" s="53"/>
      <c r="N54" s="54"/>
      <c r="O54" s="63"/>
      <c r="P54" s="4"/>
      <c r="Q54" s="55"/>
      <c r="R54" s="36"/>
      <c r="S54" s="49"/>
      <c r="T54" s="19"/>
      <c r="U54" s="14"/>
    </row>
    <row r="55" spans="1:21" s="3" customFormat="1" ht="19.75" customHeight="1" x14ac:dyDescent="0.2">
      <c r="C55" s="52"/>
      <c r="D55" s="47"/>
      <c r="E55" s="1"/>
      <c r="F55" s="64"/>
      <c r="G55" s="64"/>
      <c r="H55" s="64"/>
      <c r="I55" s="23"/>
      <c r="J55" s="81"/>
      <c r="K55" s="85"/>
      <c r="L55" s="66"/>
      <c r="M55" s="53"/>
      <c r="N55" s="54"/>
      <c r="O55" s="63"/>
      <c r="P55" s="4"/>
      <c r="Q55" s="55"/>
      <c r="R55" s="36"/>
      <c r="S55" s="49"/>
      <c r="T55" s="19"/>
      <c r="U55" s="14"/>
    </row>
    <row r="56" spans="1:21" s="3" customFormat="1" ht="19.75" customHeight="1" x14ac:dyDescent="0.2">
      <c r="C56" s="52"/>
      <c r="D56" s="47"/>
      <c r="E56" s="1"/>
      <c r="F56" s="64"/>
      <c r="G56" s="64"/>
      <c r="H56" s="64"/>
      <c r="I56" s="23"/>
      <c r="J56" s="81"/>
      <c r="K56" s="85"/>
      <c r="L56" s="66"/>
      <c r="M56" s="53"/>
      <c r="N56" s="54"/>
      <c r="O56" s="63"/>
      <c r="P56" s="4"/>
      <c r="Q56" s="55"/>
      <c r="R56" s="36"/>
      <c r="S56" s="49"/>
      <c r="T56" s="19"/>
      <c r="U56" s="14"/>
    </row>
    <row r="57" spans="1:21" s="3" customFormat="1" ht="19.75" customHeight="1" x14ac:dyDescent="0.2">
      <c r="C57" s="52"/>
      <c r="D57" s="47"/>
      <c r="E57" s="1"/>
      <c r="F57" s="64"/>
      <c r="G57" s="183" t="s">
        <v>61</v>
      </c>
      <c r="H57" s="184"/>
      <c r="I57" s="185"/>
      <c r="J57" s="81"/>
      <c r="K57" s="85"/>
      <c r="L57" s="66"/>
      <c r="M57" s="53"/>
      <c r="N57" s="54"/>
      <c r="O57" s="63"/>
      <c r="P57" s="4"/>
      <c r="Q57" s="55"/>
      <c r="R57" s="36"/>
      <c r="S57" s="49"/>
      <c r="T57" s="19"/>
      <c r="U57" s="14"/>
    </row>
    <row r="58" spans="1:21" s="3" customFormat="1" ht="19.75" customHeight="1" x14ac:dyDescent="0.2">
      <c r="A58" s="94" t="s">
        <v>24</v>
      </c>
      <c r="B58" s="110">
        <v>0.2</v>
      </c>
      <c r="C58" s="1">
        <f>+B58*J58</f>
        <v>0.2</v>
      </c>
      <c r="D58" s="47"/>
      <c r="E58" s="135">
        <v>14</v>
      </c>
      <c r="F58" s="50">
        <f>+F50+1</f>
        <v>19</v>
      </c>
      <c r="G58" s="97" t="s">
        <v>70</v>
      </c>
      <c r="H58" s="98" t="s">
        <v>92</v>
      </c>
      <c r="I58" s="123" t="s">
        <v>71</v>
      </c>
      <c r="J58" s="124">
        <v>1</v>
      </c>
      <c r="K58" s="125">
        <v>4090</v>
      </c>
      <c r="L58" s="126">
        <f>J58*K58</f>
        <v>4090</v>
      </c>
      <c r="M58" s="2"/>
      <c r="N58" s="62" t="s">
        <v>72</v>
      </c>
      <c r="O58" s="23" t="s">
        <v>73</v>
      </c>
      <c r="P58" s="159" t="s">
        <v>94</v>
      </c>
      <c r="Q58" s="55">
        <v>46125</v>
      </c>
      <c r="R58" s="36"/>
      <c r="S58" s="49">
        <v>46153</v>
      </c>
      <c r="T58" s="19">
        <v>46154</v>
      </c>
      <c r="U58" s="14"/>
    </row>
    <row r="59" spans="1:21" s="3" customFormat="1" ht="19.75" customHeight="1" x14ac:dyDescent="0.2">
      <c r="A59" s="127"/>
      <c r="B59" s="110">
        <v>0.1</v>
      </c>
      <c r="C59" s="1">
        <f>+B59*J59</f>
        <v>0.1</v>
      </c>
      <c r="D59" s="47"/>
      <c r="E59" s="135">
        <v>14</v>
      </c>
      <c r="F59" s="50">
        <f>+F58+1</f>
        <v>20</v>
      </c>
      <c r="G59" s="97" t="s">
        <v>70</v>
      </c>
      <c r="H59" s="98" t="s">
        <v>92</v>
      </c>
      <c r="I59" s="123" t="s">
        <v>74</v>
      </c>
      <c r="J59" s="124">
        <v>1</v>
      </c>
      <c r="K59" s="125">
        <v>190</v>
      </c>
      <c r="L59" s="126">
        <f t="shared" ref="L59:L61" si="10">J59*K59</f>
        <v>190</v>
      </c>
      <c r="M59" s="2"/>
      <c r="N59" s="62" t="s">
        <v>75</v>
      </c>
      <c r="O59" s="23" t="s">
        <v>73</v>
      </c>
      <c r="P59" s="159" t="s">
        <v>94</v>
      </c>
      <c r="Q59" s="55">
        <v>46125</v>
      </c>
      <c r="R59" s="36"/>
      <c r="S59" s="49">
        <v>46153</v>
      </c>
      <c r="T59" s="19">
        <v>46154</v>
      </c>
      <c r="U59" s="14"/>
    </row>
    <row r="60" spans="1:21" s="3" customFormat="1" ht="19.75" customHeight="1" x14ac:dyDescent="0.2">
      <c r="A60" s="127"/>
      <c r="B60" s="110">
        <v>0.15</v>
      </c>
      <c r="C60" s="1">
        <f>+B60*J60</f>
        <v>0.15</v>
      </c>
      <c r="D60" s="30"/>
      <c r="E60" s="135">
        <v>14</v>
      </c>
      <c r="F60" s="50">
        <f>+F59+1</f>
        <v>21</v>
      </c>
      <c r="G60" s="97" t="s">
        <v>70</v>
      </c>
      <c r="H60" s="98" t="s">
        <v>92</v>
      </c>
      <c r="I60" s="123" t="s">
        <v>76</v>
      </c>
      <c r="J60" s="124">
        <v>1</v>
      </c>
      <c r="K60" s="125">
        <v>2930</v>
      </c>
      <c r="L60" s="126">
        <f t="shared" si="10"/>
        <v>2930</v>
      </c>
      <c r="M60" s="2"/>
      <c r="N60" s="62" t="s">
        <v>77</v>
      </c>
      <c r="O60" s="23" t="s">
        <v>73</v>
      </c>
      <c r="P60" s="159" t="s">
        <v>94</v>
      </c>
      <c r="Q60" s="55">
        <v>46125</v>
      </c>
      <c r="R60" s="36"/>
      <c r="S60" s="49">
        <v>46153</v>
      </c>
      <c r="T60" s="19">
        <v>46154</v>
      </c>
      <c r="U60" s="14"/>
    </row>
    <row r="61" spans="1:21" s="3" customFormat="1" ht="19.75" customHeight="1" x14ac:dyDescent="0.2">
      <c r="A61" s="127"/>
      <c r="B61" s="110">
        <v>0.05</v>
      </c>
      <c r="C61" s="1">
        <f>+B61*J61</f>
        <v>0.05</v>
      </c>
      <c r="D61" s="30"/>
      <c r="E61" s="135">
        <v>14</v>
      </c>
      <c r="F61" s="50">
        <f t="shared" ref="F61" si="11">+F60+1</f>
        <v>22</v>
      </c>
      <c r="G61" s="97" t="s">
        <v>70</v>
      </c>
      <c r="H61" s="98" t="s">
        <v>92</v>
      </c>
      <c r="I61" s="123" t="s">
        <v>78</v>
      </c>
      <c r="J61" s="124">
        <v>1</v>
      </c>
      <c r="K61" s="125">
        <v>470</v>
      </c>
      <c r="L61" s="126">
        <f t="shared" si="10"/>
        <v>470</v>
      </c>
      <c r="M61" s="2"/>
      <c r="N61" s="62" t="s">
        <v>79</v>
      </c>
      <c r="O61" s="23" t="s">
        <v>73</v>
      </c>
      <c r="P61" s="159" t="s">
        <v>94</v>
      </c>
      <c r="Q61" s="55">
        <v>46125</v>
      </c>
      <c r="R61" s="36"/>
      <c r="S61" s="49">
        <v>46153</v>
      </c>
      <c r="T61" s="19">
        <v>46154</v>
      </c>
      <c r="U61" s="14"/>
    </row>
    <row r="62" spans="1:21" s="3" customFormat="1" ht="19.75" customHeight="1" x14ac:dyDescent="0.2">
      <c r="C62" s="52"/>
      <c r="D62" s="47"/>
      <c r="E62" s="1"/>
      <c r="F62" s="64"/>
      <c r="G62" s="64"/>
      <c r="H62" s="64"/>
      <c r="I62" s="23"/>
      <c r="J62" s="81"/>
      <c r="K62" s="85"/>
      <c r="L62" s="66"/>
      <c r="M62" s="53"/>
      <c r="N62" s="54"/>
      <c r="O62" s="63"/>
      <c r="P62" s="4"/>
      <c r="Q62" s="11"/>
      <c r="R62" s="4"/>
      <c r="S62" s="19"/>
      <c r="T62" s="19"/>
      <c r="U62" s="14"/>
    </row>
    <row r="63" spans="1:21" s="3" customFormat="1" ht="19.75" customHeight="1" x14ac:dyDescent="0.2">
      <c r="C63" s="52"/>
      <c r="D63" s="47"/>
      <c r="E63" s="1"/>
      <c r="F63" s="64"/>
      <c r="G63" s="64"/>
      <c r="H63" s="64"/>
      <c r="I63" s="23"/>
      <c r="J63" s="81"/>
      <c r="K63" s="85"/>
      <c r="L63" s="66"/>
      <c r="M63" s="53"/>
      <c r="N63" s="54"/>
      <c r="O63" s="63"/>
      <c r="P63" s="4"/>
      <c r="Q63" s="11"/>
      <c r="R63" s="4"/>
      <c r="S63" s="19"/>
      <c r="T63" s="19"/>
      <c r="U63" s="14"/>
    </row>
    <row r="64" spans="1:21" s="3" customFormat="1" ht="19.75" customHeight="1" x14ac:dyDescent="0.2">
      <c r="C64" s="52"/>
      <c r="D64" s="47"/>
      <c r="E64" s="1"/>
      <c r="F64" s="64"/>
      <c r="G64" s="64"/>
      <c r="H64" s="64"/>
      <c r="I64" s="23"/>
      <c r="J64" s="81"/>
      <c r="K64" s="85"/>
      <c r="L64" s="66"/>
      <c r="M64" s="53"/>
      <c r="N64" s="54"/>
      <c r="O64" s="63"/>
      <c r="P64" s="4"/>
      <c r="Q64" s="11"/>
      <c r="R64" s="4"/>
      <c r="S64" s="19"/>
      <c r="T64" s="19"/>
      <c r="U64" s="14"/>
    </row>
    <row r="65" spans="1:21" x14ac:dyDescent="0.2">
      <c r="C65" s="1"/>
      <c r="F65" s="4"/>
      <c r="G65" s="68"/>
      <c r="H65" s="68"/>
      <c r="I65" s="23"/>
      <c r="J65" s="87"/>
      <c r="K65" s="27"/>
      <c r="L65" s="66"/>
      <c r="M65" s="53"/>
      <c r="N65" s="59"/>
      <c r="O65" s="63"/>
    </row>
    <row r="66" spans="1:21" x14ac:dyDescent="0.2">
      <c r="C66" s="1"/>
      <c r="F66" s="4"/>
      <c r="G66" s="4"/>
      <c r="H66" s="4"/>
      <c r="I66" s="91"/>
      <c r="J66" s="87"/>
      <c r="K66" s="27"/>
      <c r="L66" s="66"/>
      <c r="M66" s="53"/>
      <c r="N66" s="46"/>
      <c r="O66" s="63"/>
    </row>
    <row r="67" spans="1:21" ht="19" x14ac:dyDescent="0.2">
      <c r="C67" s="3" t="s">
        <v>30</v>
      </c>
      <c r="F67" s="64"/>
      <c r="G67" s="64"/>
      <c r="H67" s="64"/>
      <c r="I67" s="90">
        <f>SUM(L58:L67)</f>
        <v>7680</v>
      </c>
      <c r="J67" s="81"/>
      <c r="K67" s="85"/>
      <c r="L67" s="66"/>
      <c r="M67" s="53"/>
      <c r="N67" s="54"/>
      <c r="O67" s="63"/>
    </row>
    <row r="68" spans="1:21" s="3" customFormat="1" x14ac:dyDescent="0.2">
      <c r="A68"/>
      <c r="B68"/>
      <c r="C68" s="82">
        <f>SUM(C58:C67)</f>
        <v>0.50000000000000011</v>
      </c>
      <c r="D68"/>
      <c r="E68"/>
      <c r="F68" s="89"/>
      <c r="G68" s="64"/>
      <c r="H68" s="64"/>
      <c r="I68" s="65"/>
      <c r="J68" s="81"/>
      <c r="K68" s="85"/>
      <c r="L68" s="66"/>
      <c r="M68" s="53"/>
      <c r="N68" s="54"/>
      <c r="O68" s="63"/>
      <c r="Q68" s="10"/>
      <c r="R68"/>
      <c r="S68" s="8"/>
      <c r="T68" s="12"/>
      <c r="U68" s="13"/>
    </row>
    <row r="69" spans="1:21" s="3" customFormat="1" x14ac:dyDescent="0.2">
      <c r="A69"/>
      <c r="B69"/>
      <c r="C69" s="52" t="s">
        <v>28</v>
      </c>
      <c r="D69"/>
      <c r="E69"/>
      <c r="F69" s="64"/>
      <c r="G69" s="64"/>
      <c r="H69" s="64"/>
      <c r="I69" s="91"/>
      <c r="J69" s="81"/>
      <c r="K69" s="85"/>
      <c r="L69" s="66"/>
      <c r="M69" s="53"/>
      <c r="N69" s="54"/>
      <c r="O69" s="63"/>
      <c r="Q69" s="10"/>
      <c r="R69"/>
      <c r="S69" s="8"/>
      <c r="T69" s="12"/>
      <c r="U69" s="13"/>
    </row>
    <row r="70" spans="1:21" s="3" customFormat="1" x14ac:dyDescent="0.2">
      <c r="A70"/>
      <c r="B70"/>
      <c r="D70"/>
      <c r="E70"/>
      <c r="F70" s="64"/>
      <c r="G70" s="64"/>
      <c r="H70" s="64"/>
      <c r="I70" s="91"/>
      <c r="J70" s="81"/>
      <c r="K70" s="85"/>
      <c r="L70" s="66"/>
      <c r="M70" s="53"/>
      <c r="N70" s="54"/>
      <c r="O70" s="63"/>
      <c r="Q70" s="10"/>
      <c r="R70"/>
      <c r="S70" s="8"/>
      <c r="T70" s="12"/>
      <c r="U70" s="13"/>
    </row>
    <row r="71" spans="1:21" s="3" customFormat="1" x14ac:dyDescent="0.2">
      <c r="A71"/>
      <c r="B71"/>
      <c r="D71"/>
      <c r="E71"/>
      <c r="F71" s="64"/>
      <c r="G71" s="64"/>
      <c r="H71" s="64"/>
      <c r="I71" s="91"/>
      <c r="J71" s="81"/>
      <c r="K71" s="85"/>
      <c r="L71" s="66"/>
      <c r="M71" s="53"/>
      <c r="N71" s="54"/>
      <c r="O71" s="63"/>
      <c r="Q71" s="10"/>
      <c r="R71"/>
      <c r="S71" s="8"/>
      <c r="T71" s="12"/>
      <c r="U71" s="13"/>
    </row>
    <row r="72" spans="1:21" s="3" customFormat="1" x14ac:dyDescent="0.2">
      <c r="A72"/>
      <c r="B72"/>
      <c r="D72"/>
      <c r="E72"/>
      <c r="F72" s="64"/>
      <c r="G72" s="64"/>
      <c r="H72" s="64"/>
      <c r="I72" s="91"/>
      <c r="J72" s="81"/>
      <c r="K72" s="85"/>
      <c r="L72" s="66"/>
      <c r="M72" s="53"/>
      <c r="N72" s="54"/>
      <c r="O72" s="63"/>
      <c r="Q72" s="10"/>
      <c r="R72"/>
      <c r="S72" s="8"/>
      <c r="T72" s="12"/>
      <c r="U72" s="13"/>
    </row>
    <row r="73" spans="1:21" s="3" customFormat="1" ht="13.5" thickBot="1" x14ac:dyDescent="0.25">
      <c r="A73"/>
      <c r="B73"/>
      <c r="C73" s="3" t="s">
        <v>32</v>
      </c>
      <c r="D73"/>
      <c r="E73"/>
      <c r="F73" s="64"/>
      <c r="G73" s="64"/>
      <c r="H73" s="64"/>
      <c r="I73" s="91"/>
      <c r="J73" s="81"/>
      <c r="K73" s="85"/>
      <c r="L73" s="66"/>
      <c r="M73" s="53"/>
      <c r="N73" s="54"/>
      <c r="O73" s="63"/>
      <c r="Q73" s="10"/>
      <c r="R73"/>
      <c r="S73" s="8"/>
      <c r="T73" s="12"/>
      <c r="U73" s="13"/>
    </row>
    <row r="74" spans="1:21" s="3" customFormat="1" ht="13.5" thickBot="1" x14ac:dyDescent="0.25">
      <c r="A74"/>
      <c r="B74"/>
      <c r="C74" s="92" t="e">
        <f>+C42+C53+#REF!+C68</f>
        <v>#REF!</v>
      </c>
      <c r="D74"/>
      <c r="E74"/>
      <c r="F74" s="89"/>
      <c r="G74" s="64"/>
      <c r="H74" s="64"/>
      <c r="I74" s="91"/>
      <c r="J74" s="81"/>
      <c r="K74" s="85"/>
      <c r="L74" s="66"/>
      <c r="M74" s="53"/>
      <c r="N74" s="54"/>
      <c r="O74" s="63"/>
      <c r="Q74" s="10"/>
      <c r="R74"/>
      <c r="S74" s="8"/>
      <c r="T74" s="12"/>
      <c r="U74" s="13"/>
    </row>
    <row r="75" spans="1:21" s="3" customFormat="1" x14ac:dyDescent="0.2">
      <c r="A75"/>
      <c r="B75"/>
      <c r="C75" s="52" t="s">
        <v>28</v>
      </c>
      <c r="D75"/>
      <c r="E75"/>
      <c r="F75" s="64"/>
      <c r="G75" s="64"/>
      <c r="H75" s="64"/>
      <c r="I75" s="91"/>
      <c r="J75" s="81"/>
      <c r="K75" s="85"/>
      <c r="L75" s="66"/>
      <c r="M75" s="53"/>
      <c r="N75" s="54"/>
      <c r="O75" s="63"/>
      <c r="Q75" s="10"/>
      <c r="R75"/>
      <c r="S75" s="8"/>
      <c r="T75" s="12"/>
      <c r="U75" s="13"/>
    </row>
    <row r="76" spans="1:21" s="3" customFormat="1" x14ac:dyDescent="0.2">
      <c r="A76"/>
      <c r="B76"/>
      <c r="D76"/>
      <c r="E76"/>
      <c r="F76" s="64"/>
      <c r="G76" s="64"/>
      <c r="H76" s="64"/>
      <c r="I76" s="91"/>
      <c r="J76" s="81"/>
      <c r="K76" s="85"/>
      <c r="L76" s="66"/>
      <c r="M76" s="53"/>
      <c r="N76" s="54"/>
      <c r="O76" s="63"/>
      <c r="Q76" s="10"/>
      <c r="R76"/>
      <c r="S76" s="8"/>
      <c r="T76" s="12"/>
      <c r="U76" s="13"/>
    </row>
    <row r="77" spans="1:21" s="3" customFormat="1" x14ac:dyDescent="0.2">
      <c r="A77"/>
      <c r="B77"/>
      <c r="D77"/>
      <c r="E77"/>
      <c r="F77" s="64"/>
      <c r="G77" s="64"/>
      <c r="H77" s="64"/>
      <c r="I77" s="91"/>
      <c r="J77" s="81"/>
      <c r="K77" s="85"/>
      <c r="L77" s="66"/>
      <c r="M77" s="53"/>
      <c r="N77" s="54"/>
      <c r="O77" s="63"/>
      <c r="Q77" s="10"/>
      <c r="R77"/>
      <c r="S77" s="8"/>
      <c r="T77" s="12"/>
      <c r="U77" s="13"/>
    </row>
  </sheetData>
  <autoFilter ref="F9:S64" xr:uid="{00000000-0009-0000-0000-000000000000}"/>
  <mergeCells count="13">
    <mergeCell ref="I34:L34"/>
    <mergeCell ref="G38:I38"/>
    <mergeCell ref="G46:I46"/>
    <mergeCell ref="G57:I57"/>
    <mergeCell ref="F13:I13"/>
    <mergeCell ref="F2:H2"/>
    <mergeCell ref="K2:M2"/>
    <mergeCell ref="F3:H3"/>
    <mergeCell ref="F4:H4"/>
    <mergeCell ref="N4:O5"/>
    <mergeCell ref="F5:H5"/>
    <mergeCell ref="K5:L6"/>
    <mergeCell ref="F6:H6"/>
  </mergeCells>
  <phoneticPr fontId="15"/>
  <hyperlinks>
    <hyperlink ref="O31" r:id="rId1" xr:uid="{EBD3598D-730D-4502-85E5-C918E454F4CE}"/>
  </hyperlinks>
  <pageMargins left="0.2" right="0.2" top="0.36" bottom="0.41" header="0.3" footer="0.3"/>
  <pageSetup paperSize="9" scale="7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6394-8E3E-49E9-9F1B-38C903996DC7}">
  <dimension ref="J4:M29"/>
  <sheetViews>
    <sheetView workbookViewId="0">
      <selection activeCell="J26" sqref="J26"/>
    </sheetView>
  </sheetViews>
  <sheetFormatPr defaultRowHeight="13" x14ac:dyDescent="0.2"/>
  <sheetData>
    <row r="4" spans="10:13" x14ac:dyDescent="0.2">
      <c r="J4">
        <v>7.2</v>
      </c>
      <c r="M4">
        <v>1395</v>
      </c>
    </row>
    <row r="5" spans="10:13" x14ac:dyDescent="0.2">
      <c r="J5">
        <v>0.24</v>
      </c>
      <c r="M5">
        <v>1398</v>
      </c>
    </row>
    <row r="6" spans="10:13" x14ac:dyDescent="0.2">
      <c r="J6">
        <v>0.8</v>
      </c>
      <c r="M6">
        <v>12300</v>
      </c>
    </row>
    <row r="7" spans="10:13" x14ac:dyDescent="0.2">
      <c r="J7">
        <v>0.98399999999999999</v>
      </c>
      <c r="M7">
        <v>1956</v>
      </c>
    </row>
    <row r="8" spans="10:13" x14ac:dyDescent="0.2">
      <c r="J8">
        <v>1.9279999999999999</v>
      </c>
      <c r="M8">
        <v>113</v>
      </c>
    </row>
    <row r="9" spans="10:13" x14ac:dyDescent="0.2">
      <c r="J9">
        <v>0.08</v>
      </c>
      <c r="M9">
        <v>568</v>
      </c>
    </row>
    <row r="10" spans="10:13" x14ac:dyDescent="0.2">
      <c r="J10">
        <v>2.7200000000000002E-2</v>
      </c>
      <c r="M10">
        <v>10120</v>
      </c>
    </row>
    <row r="11" spans="10:13" x14ac:dyDescent="0.2">
      <c r="J11">
        <v>3.4</v>
      </c>
      <c r="M11">
        <v>80</v>
      </c>
    </row>
    <row r="12" spans="10:13" x14ac:dyDescent="0.2">
      <c r="J12">
        <v>0.24</v>
      </c>
      <c r="M12">
        <v>374</v>
      </c>
    </row>
    <row r="13" spans="10:13" x14ac:dyDescent="0.2">
      <c r="J13">
        <v>3.6000000000000004E-2</v>
      </c>
      <c r="M13">
        <v>480</v>
      </c>
    </row>
    <row r="14" spans="10:13" x14ac:dyDescent="0.2">
      <c r="J14">
        <v>0.18</v>
      </c>
      <c r="M14">
        <v>81</v>
      </c>
    </row>
    <row r="15" spans="10:13" x14ac:dyDescent="0.2">
      <c r="J15">
        <v>3.6000000000000004E-2</v>
      </c>
      <c r="M15">
        <v>421</v>
      </c>
    </row>
    <row r="16" spans="10:13" x14ac:dyDescent="0.2">
      <c r="J16">
        <v>0.192</v>
      </c>
      <c r="M16">
        <v>56</v>
      </c>
    </row>
    <row r="17" spans="10:13" x14ac:dyDescent="0.2">
      <c r="J17">
        <v>6.4000000000000001E-2</v>
      </c>
      <c r="M17">
        <v>22040</v>
      </c>
    </row>
    <row r="18" spans="10:13" x14ac:dyDescent="0.2">
      <c r="J18">
        <v>0.33600000000000002</v>
      </c>
      <c r="M18">
        <v>156</v>
      </c>
    </row>
    <row r="19" spans="10:13" x14ac:dyDescent="0.2">
      <c r="J19">
        <v>0.68</v>
      </c>
      <c r="M19">
        <v>240</v>
      </c>
    </row>
    <row r="20" spans="10:13" x14ac:dyDescent="0.2">
      <c r="J20">
        <f>SUM(J4:J19)</f>
        <v>16.423200000000001</v>
      </c>
      <c r="M20">
        <v>113</v>
      </c>
    </row>
    <row r="21" spans="10:13" x14ac:dyDescent="0.2">
      <c r="M21">
        <v>67</v>
      </c>
    </row>
    <row r="22" spans="10:13" x14ac:dyDescent="0.2">
      <c r="M22">
        <v>210</v>
      </c>
    </row>
    <row r="23" spans="10:13" x14ac:dyDescent="0.2">
      <c r="M23">
        <v>11996</v>
      </c>
    </row>
    <row r="24" spans="10:13" x14ac:dyDescent="0.2">
      <c r="M24">
        <v>1044</v>
      </c>
    </row>
    <row r="25" spans="10:13" x14ac:dyDescent="0.2">
      <c r="M25">
        <v>975</v>
      </c>
    </row>
    <row r="26" spans="10:13" x14ac:dyDescent="0.2">
      <c r="M26">
        <v>462</v>
      </c>
    </row>
    <row r="27" spans="10:13" x14ac:dyDescent="0.2">
      <c r="M27">
        <v>720</v>
      </c>
    </row>
    <row r="29" spans="10:13" x14ac:dyDescent="0.2">
      <c r="M29">
        <f>SUM(M4:M28)</f>
        <v>67365</v>
      </c>
    </row>
  </sheetData>
  <phoneticPr fontId="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SETB0312-A01②JR4604 20260408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松丸Ｍ</cp:lastModifiedBy>
  <cp:lastPrinted>2018-06-15T01:25:43Z</cp:lastPrinted>
  <dcterms:created xsi:type="dcterms:W3CDTF">2011-12-13T06:48:43Z</dcterms:created>
  <dcterms:modified xsi:type="dcterms:W3CDTF">2026-04-24T01:33:41Z</dcterms:modified>
</cp:coreProperties>
</file>