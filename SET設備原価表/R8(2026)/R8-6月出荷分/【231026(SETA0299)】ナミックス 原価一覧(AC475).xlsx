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75D4B83-5FC3-4E3C-A3A2-DD82A3A653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Sheet1!$B$8:$O$26</definedName>
  </definedNames>
  <calcPr calcId="181029"/>
</workbook>
</file>

<file path=xl/calcChain.xml><?xml version="1.0" encoding="utf-8"?>
<calcChain xmlns="http://schemas.openxmlformats.org/spreadsheetml/2006/main">
  <c r="H14" i="1" l="1"/>
  <c r="H13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H33" i="1"/>
  <c r="H34" i="1"/>
  <c r="H9" i="1"/>
  <c r="H10" i="1"/>
  <c r="H11" i="1"/>
  <c r="H12" i="1"/>
  <c r="H25" i="1" l="1"/>
  <c r="J2" i="1" l="1"/>
</calcChain>
</file>

<file path=xl/sharedStrings.xml><?xml version="1.0" encoding="utf-8"?>
<sst xmlns="http://schemas.openxmlformats.org/spreadsheetml/2006/main" count="153" uniqueCount="77">
  <si>
    <t>数量</t>
  </si>
  <si>
    <t>単価</t>
  </si>
  <si>
    <t>金額</t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</si>
  <si>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</si>
  <si>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</si>
  <si>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</si>
  <si>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</si>
  <si>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</si>
  <si>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</si>
  <si>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</si>
  <si>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</si>
  <si>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</si>
  <si>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</si>
  <si>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</si>
  <si>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</si>
  <si>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</si>
  <si>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</si>
  <si>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</si>
  <si>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</si>
  <si>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</si>
  <si>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</si>
  <si>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中村</t>
    <rPh sb="0" eb="2">
      <t>ナカムラ</t>
    </rPh>
    <phoneticPr fontId="1"/>
  </si>
  <si>
    <t>ナミックス</t>
    <phoneticPr fontId="1"/>
  </si>
  <si>
    <t>MISUMI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</si>
  <si>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</si>
  <si>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</si>
  <si>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SET</t>
    <phoneticPr fontId="1"/>
  </si>
  <si>
    <t>■SETA0299-X01-A(ﾍﾞｰｽﾌﾟﾚｰﾄ)</t>
  </si>
  <si>
    <t>■SETA0299-Y01-A(ﾂｰﾙﾌﾟﾚｰﾄ)</t>
  </si>
  <si>
    <t>■SETA0299-Y02-A(UVﾌﾟﾚｰﾄ)</t>
  </si>
  <si>
    <t>■SETA0299-Y03-A(ｼﾘﾝｼﾞﾎﾙﾀﾞﾍﾞｰｽ)</t>
  </si>
  <si>
    <t>■SETA0299-Y04-A(ｼﾘﾝｼﾞｻﾎﾟｰﾄﾍﾞｰｽ)</t>
  </si>
  <si>
    <t>■SETA0299-Y05-A(ｼﾘﾝｼﾞｻﾎﾟｰﾄ）</t>
  </si>
  <si>
    <t>■SETA0299-Y06-A（ｼﾘﾝｼﾞｱﾀﾞﾌﾟﾀ）</t>
  </si>
  <si>
    <t>■SETA0299-Y07-A（断熱ﾌﾟﾚｰﾄ）</t>
  </si>
  <si>
    <t>CRKW4-6</t>
  </si>
  <si>
    <t>CSHSM-SUS-M4-6</t>
  </si>
  <si>
    <t>E-ZSG40</t>
  </si>
  <si>
    <t>MVBLK-SUB-4DL-Y82CB</t>
  </si>
  <si>
    <t>MVBLK-AMW-4DL-53C7U</t>
  </si>
  <si>
    <t>MVBLK-AMW-4DL-J63XB</t>
  </si>
  <si>
    <t>MVBLK-AMW-4DL-2FZBP</t>
  </si>
  <si>
    <t>MVBLK-AMW-4DL-3DJ61</t>
  </si>
  <si>
    <t>MVTUP-POW-4DL-8NJYG</t>
  </si>
  <si>
    <t>MVBLK-AMW-4DL-33ABT</t>
  </si>
  <si>
    <t>MVBLK-AMW-4DL-ZJALX</t>
  </si>
  <si>
    <t>NEDUL-PT-SB-H15-2</t>
  </si>
  <si>
    <t>DB-37SP</t>
  </si>
  <si>
    <t>ｺﾈｸﾀ</t>
  </si>
  <si>
    <t>DSUBﾊｰﾈｽ</t>
  </si>
  <si>
    <t>ｴｺﾉﾐｰｼﾘｰｽﾞ_ｼｭﾄﾞｳｽﾃｰｼﾞ(Zｼﾞｸ)</t>
  </si>
  <si>
    <t>FASTENING</t>
  </si>
  <si>
    <t>ｼﾞｭｼﾛｰﾚｯﾄﾂｷﾈｼﾞ-ﾀﾝﾋﾟﾝ ｺﾊﾞｺ-</t>
  </si>
  <si>
    <t>JR3203N-BC</t>
    <phoneticPr fontId="1"/>
  </si>
  <si>
    <t>荷造り運賃</t>
    <phoneticPr fontId="1"/>
  </si>
  <si>
    <t>ｵﾌﾟｼｮﾝSW付きｽｲｯﾁﾎﾞｯｸｽ(1.5m)</t>
    <phoneticPr fontId="1"/>
  </si>
  <si>
    <t>JANOME</t>
    <phoneticPr fontId="1"/>
  </si>
  <si>
    <t>JR3-TB2</t>
    <phoneticPr fontId="1"/>
  </si>
  <si>
    <t>JR3000用ﾃｨｰﾁﾝｸﾞﾎﾞｯｸｽ2非常停止無</t>
    <phoneticPr fontId="1"/>
  </si>
  <si>
    <t>3軸ﾛﾎﾞｯﾄ（ｼﾞｬﾉﾒ見積HQ22-1517)</t>
    <phoneticPr fontId="1"/>
  </si>
  <si>
    <t>発注願います</t>
    <rPh sb="0" eb="2">
      <t>ハッチュウ</t>
    </rPh>
    <rPh sb="2" eb="3">
      <t>ネガ</t>
    </rPh>
    <phoneticPr fontId="1"/>
  </si>
  <si>
    <t>MY2N-D2-Y DC24</t>
  </si>
  <si>
    <t>PYFZ-08</t>
  </si>
  <si>
    <t>1,2</t>
    <phoneticPr fontId="1"/>
  </si>
  <si>
    <t>DSUBﾌｰﾄﾞ</t>
  </si>
  <si>
    <t>HD-15SP</t>
  </si>
  <si>
    <t>DSUBｺﾈｸﾀ(ｺｳﾐﾂﾄﾞ)</t>
  </si>
  <si>
    <t>該当項目なし</t>
    <rPh sb="0" eb="2">
      <t>ガイトウ</t>
    </rPh>
    <rPh sb="2" eb="4">
      <t>コウモク</t>
    </rPh>
    <phoneticPr fontId="1"/>
  </si>
  <si>
    <t>231026-NMC(SATOH)</t>
    <phoneticPr fontId="1"/>
  </si>
  <si>
    <t>PYC-A1 FOR MY</t>
  </si>
  <si>
    <t>DE-C8-J9-B51R</t>
  </si>
  <si>
    <t>DC-C8-J13-B51R</t>
  </si>
  <si>
    <t>RELAY SOCKET</t>
  </si>
  <si>
    <t>RELAY OPTION</t>
  </si>
  <si>
    <t>RELAY</t>
  </si>
  <si>
    <t>■SETA0299-Y01-B(ﾂｰﾙﾌﾟﾚｰﾄ)</t>
    <phoneticPr fontId="1"/>
  </si>
  <si>
    <t>MVBLK-AMW-4JN-ZK9FR-E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</si>
</sst>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80" fontId="0" fillId="0" borderId="0" xfId="0" applyNumberFormat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9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5" fillId="0" borderId="0" xfId="0" applyNumberFormat="1" applyFont="1">
      <alignment vertical="center"/>
    </xf>
    <xf numFmtId="176" fontId="5" fillId="0" borderId="1" xfId="0" applyNumberFormat="1" applyFont="1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>
      <alignment horizontal="center" vertical="center"/>
    </xf>
    <xf numFmtId="176" fontId="5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>
      <alignment vertical="center"/>
    </xf>
    <xf numFmtId="176" fontId="5" fillId="3" borderId="1" xfId="0" applyNumberFormat="1" applyFont="1" applyFill="1" applyBorder="1" applyAlignment="1">
      <alignment horizontal="right" vertical="center"/>
    </xf>
    <xf numFmtId="179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3"/>
  <sheetViews>
    <sheetView tabSelected="1" zoomScale="85" zoomScaleNormal="85" workbookViewId="0">
      <pane ySplit="8" topLeftCell="A18" activePane="bottomLeft" state="frozen"/>
      <selection pane="bottomLeft"/>
    </sheetView>
  </sheetViews>
  <sheetFormatPr defaultRowHeight="13.5" x14ac:dyDescent="0.15"/>
  <cols>
    <col min="1" max="1" width="2.625" customWidth="1"/>
    <col min="2" max="2" width="15" style="4" bestFit="1" customWidth="1"/>
    <col min="3" max="3" width="20.625" customWidth="1"/>
    <col min="4" max="4" width="20.75" customWidth="1"/>
    <col min="5" max="5" width="75.75" customWidth="1"/>
    <col min="6" max="6" width="6.25" style="2" customWidth="1"/>
    <col min="7" max="7" width="11.625" style="25" customWidth="1"/>
    <col min="8" max="8" width="11.625" style="20" customWidth="1"/>
    <col min="9" max="9" width="15" style="5" bestFit="1" customWidth="1"/>
    <col min="10" max="10" width="45.75" customWidth="1"/>
    <col min="11" max="11" width="35.75" style="4" customWidth="1"/>
    <col min="12" max="12" width="55.75" style="4" customWidth="1"/>
    <col min="13" max="13" width="13.75" style="4" customWidth="1"/>
    <col min="14" max="14" width="6.375" customWidth="1"/>
    <col min="15" max="15" width="13.25" style="5" customWidth="1"/>
    <col min="16" max="16" width="14.5" style="6" customWidth="1"/>
    <col min="17" max="17" width="15.625" style="7" customWidth="1"/>
  </cols>
  <sheetData>
    <row r="2" spans="2:17" ht="20.100000000000001" customHeight="1" x14ac:dyDescent="0.15">
      <c r="B2" s="43" t="s">
        <v>10</v>
      </c>
      <c r="C2" s="43"/>
      <c r="D2" s="43"/>
      <c r="E2" s="1" t="s">
        <v>22</v>
      </c>
      <c r="G2" s="44" t="s">
        <v>14</v>
      </c>
      <c r="H2" s="45"/>
      <c r="I2" s="46"/>
      <c r="J2" s="3">
        <f>SUM(H:H)</f>
        <v>830726</v>
      </c>
    </row>
    <row r="3" spans="2:17" ht="20.100000000000001" customHeight="1" x14ac:dyDescent="0.15">
      <c r="B3" s="43" t="s">
        <v>9</v>
      </c>
      <c r="C3" s="43"/>
      <c r="D3" s="43"/>
      <c r="E3" s="8" t="s">
        <v>21</v>
      </c>
    </row>
    <row r="4" spans="2:17" ht="20.100000000000001" customHeight="1" x14ac:dyDescent="0.15">
      <c r="B4" s="43" t="s">
        <v>11</v>
      </c>
      <c r="C4" s="43"/>
      <c r="D4" s="43"/>
      <c r="E4" s="1">
        <v>231026</v>
      </c>
    </row>
    <row r="5" spans="2:17" ht="20.100000000000001" customHeight="1" x14ac:dyDescent="0.15">
      <c r="B5" s="43" t="s">
        <v>12</v>
      </c>
      <c r="C5" s="43"/>
      <c r="D5" s="43"/>
      <c r="E5" s="9">
        <v>46147</v>
      </c>
    </row>
    <row r="6" spans="2:17" ht="20.100000000000001" customHeight="1" x14ac:dyDescent="0.15">
      <c r="B6" s="43" t="s">
        <v>13</v>
      </c>
      <c r="C6" s="43"/>
      <c r="D6" s="43"/>
      <c r="E6" s="9">
        <v>46176</v>
      </c>
    </row>
    <row r="8" spans="2:17" s="4" customFormat="1" ht="19.7" customHeight="1" x14ac:dyDescent="0.15">
      <c r="B8" s="10" t="s">
        <v>3</v>
      </c>
      <c r="C8" s="10" t="s">
        <v>8</v>
      </c>
      <c r="D8" s="10" t="s">
        <v>4</v>
      </c>
      <c r="E8" s="11" t="s">
        <v>7</v>
      </c>
      <c r="F8" s="12" t="s">
        <v>0</v>
      </c>
      <c r="G8" s="24" t="s">
        <v>1</v>
      </c>
      <c r="H8" s="28" t="s">
        <v>2</v>
      </c>
      <c r="I8" s="13" t="s">
        <v>17</v>
      </c>
      <c r="J8" s="11"/>
      <c r="K8" s="11" t="s">
        <v>16</v>
      </c>
      <c r="L8" s="11" t="s">
        <v>15</v>
      </c>
      <c r="M8" s="10" t="s">
        <v>5</v>
      </c>
      <c r="N8" s="10" t="s">
        <v>18</v>
      </c>
      <c r="O8" s="11" t="s">
        <v>6</v>
      </c>
      <c r="P8" s="14" t="s">
        <v>19</v>
      </c>
      <c r="Q8" s="15" t="s">
        <v>20</v>
      </c>
    </row>
    <row r="9" spans="2:17" s="4" customFormat="1" ht="19.7" customHeight="1" x14ac:dyDescent="0.15">
      <c r="B9" s="40" t="s">
        <v>63</v>
      </c>
      <c r="C9" s="10" t="s">
        <v>56</v>
      </c>
      <c r="D9" s="10" t="s">
        <v>56</v>
      </c>
      <c r="E9" s="27" t="s">
        <v>53</v>
      </c>
      <c r="F9" s="12">
        <v>1</v>
      </c>
      <c r="G9" s="24">
        <v>467000</v>
      </c>
      <c r="H9" s="29">
        <f t="shared" ref="H9:H12" si="0">F9*G9</f>
        <v>467000</v>
      </c>
      <c r="I9" s="11"/>
      <c r="J9" s="27" t="s">
        <v>59</v>
      </c>
      <c r="K9" s="30" t="s">
        <v>60</v>
      </c>
      <c r="L9" s="11"/>
      <c r="M9" s="17">
        <v>46104</v>
      </c>
      <c r="N9" s="10"/>
      <c r="O9" s="18">
        <v>46129</v>
      </c>
      <c r="P9" s="14"/>
      <c r="Q9" s="15">
        <v>46129</v>
      </c>
    </row>
    <row r="10" spans="2:17" s="4" customFormat="1" ht="19.7" customHeight="1" x14ac:dyDescent="0.15">
      <c r="B10" s="41"/>
      <c r="C10" s="10" t="s">
        <v>56</v>
      </c>
      <c r="D10" s="10" t="s">
        <v>56</v>
      </c>
      <c r="E10" s="27" t="s">
        <v>54</v>
      </c>
      <c r="F10" s="12">
        <v>1</v>
      </c>
      <c r="G10" s="24">
        <v>12000</v>
      </c>
      <c r="H10" s="29">
        <f t="shared" si="0"/>
        <v>12000</v>
      </c>
      <c r="I10" s="11"/>
      <c r="J10" s="27" t="s">
        <v>54</v>
      </c>
      <c r="K10" s="30" t="s">
        <v>60</v>
      </c>
      <c r="L10" s="11"/>
      <c r="M10" s="17">
        <v>46104</v>
      </c>
      <c r="N10" s="10"/>
      <c r="O10" s="18">
        <v>46129</v>
      </c>
      <c r="P10" s="14"/>
      <c r="Q10" s="15">
        <v>46129</v>
      </c>
    </row>
    <row r="11" spans="2:17" s="4" customFormat="1" ht="19.7" customHeight="1" x14ac:dyDescent="0.15">
      <c r="B11" s="10">
        <v>3</v>
      </c>
      <c r="C11" s="10" t="s">
        <v>56</v>
      </c>
      <c r="D11" s="10" t="s">
        <v>56</v>
      </c>
      <c r="E11" s="27" t="s">
        <v>55</v>
      </c>
      <c r="F11" s="12">
        <v>1</v>
      </c>
      <c r="G11" s="24">
        <v>40000</v>
      </c>
      <c r="H11" s="29">
        <f t="shared" si="0"/>
        <v>40000</v>
      </c>
      <c r="I11" s="11"/>
      <c r="J11" s="27" t="s">
        <v>55</v>
      </c>
      <c r="K11" s="30" t="s">
        <v>60</v>
      </c>
      <c r="L11" s="11"/>
      <c r="M11" s="17">
        <v>46104</v>
      </c>
      <c r="N11" s="10"/>
      <c r="O11" s="18">
        <v>46129</v>
      </c>
      <c r="P11" s="14"/>
      <c r="Q11" s="15">
        <v>46129</v>
      </c>
    </row>
    <row r="12" spans="2:17" s="4" customFormat="1" ht="19.7" customHeight="1" x14ac:dyDescent="0.15">
      <c r="B12" s="10">
        <v>5</v>
      </c>
      <c r="C12" s="10" t="s">
        <v>56</v>
      </c>
      <c r="D12" s="10" t="s">
        <v>56</v>
      </c>
      <c r="E12" s="27" t="s">
        <v>57</v>
      </c>
      <c r="F12" s="12">
        <v>1</v>
      </c>
      <c r="G12" s="24">
        <v>50000</v>
      </c>
      <c r="H12" s="29">
        <f t="shared" si="0"/>
        <v>50000</v>
      </c>
      <c r="I12" s="11"/>
      <c r="J12" s="27" t="s">
        <v>58</v>
      </c>
      <c r="K12" s="30" t="s">
        <v>60</v>
      </c>
      <c r="L12" s="11"/>
      <c r="M12" s="17">
        <v>46104</v>
      </c>
      <c r="N12" s="10"/>
      <c r="O12" s="18">
        <v>46129</v>
      </c>
      <c r="P12" s="14"/>
      <c r="Q12" s="15">
        <v>46129</v>
      </c>
    </row>
    <row r="13" spans="2:17" s="4" customFormat="1" ht="19.7" customHeight="1" x14ac:dyDescent="0.15">
      <c r="B13" s="40">
        <v>7</v>
      </c>
      <c r="C13" s="10" t="s">
        <v>23</v>
      </c>
      <c r="D13" s="10" t="s">
        <v>23</v>
      </c>
      <c r="E13" s="16" t="s">
        <v>39</v>
      </c>
      <c r="F13" s="11">
        <v>1</v>
      </c>
      <c r="G13" s="23">
        <v>11999</v>
      </c>
      <c r="H13" s="29">
        <f t="shared" ref="H13:H34" si="1">F13*G13</f>
        <v>11999</v>
      </c>
      <c r="I13" s="11"/>
      <c r="J13" s="16" t="s">
        <v>28</v>
      </c>
      <c r="K13" s="11" t="s">
        <v>68</v>
      </c>
      <c r="L13" s="11"/>
      <c r="M13" s="17">
        <v>46100</v>
      </c>
      <c r="N13" s="10"/>
      <c r="O13" s="11"/>
      <c r="P13" s="18">
        <v>46119</v>
      </c>
      <c r="Q13" s="15"/>
    </row>
    <row r="14" spans="2:17" s="39" customFormat="1" ht="19.7" customHeight="1" x14ac:dyDescent="0.15">
      <c r="B14" s="42"/>
      <c r="C14" s="31" t="s">
        <v>23</v>
      </c>
      <c r="D14" s="31" t="s">
        <v>23</v>
      </c>
      <c r="E14" s="32" t="s">
        <v>76</v>
      </c>
      <c r="F14" s="33">
        <v>1</v>
      </c>
      <c r="G14" s="34">
        <v>20400</v>
      </c>
      <c r="H14" s="35">
        <f t="shared" ref="H14" si="2">F14*G14</f>
        <v>20400</v>
      </c>
      <c r="I14" s="33"/>
      <c r="J14" s="32" t="s">
        <v>75</v>
      </c>
      <c r="K14" s="33" t="s">
        <v>68</v>
      </c>
      <c r="L14" s="33"/>
      <c r="M14" s="36">
        <v>46167</v>
      </c>
      <c r="N14" s="31"/>
      <c r="O14" s="33"/>
      <c r="P14" s="37">
        <v>46171</v>
      </c>
      <c r="Q14" s="38"/>
    </row>
    <row r="15" spans="2:17" s="4" customFormat="1" ht="19.7" customHeight="1" x14ac:dyDescent="0.15">
      <c r="B15" s="42"/>
      <c r="C15" s="10" t="s">
        <v>23</v>
      </c>
      <c r="D15" s="10" t="s">
        <v>23</v>
      </c>
      <c r="E15" s="16" t="s">
        <v>45</v>
      </c>
      <c r="F15" s="11">
        <v>1</v>
      </c>
      <c r="G15" s="23">
        <v>6920</v>
      </c>
      <c r="H15" s="29">
        <f t="shared" si="1"/>
        <v>6920</v>
      </c>
      <c r="I15" s="11"/>
      <c r="J15" s="16" t="s">
        <v>29</v>
      </c>
      <c r="K15" s="11" t="s">
        <v>68</v>
      </c>
      <c r="L15" s="11"/>
      <c r="M15" s="17">
        <v>46100</v>
      </c>
      <c r="N15" s="10"/>
      <c r="O15" s="11"/>
      <c r="P15" s="18">
        <v>46119</v>
      </c>
      <c r="Q15" s="15"/>
    </row>
    <row r="16" spans="2:17" s="4" customFormat="1" ht="19.7" customHeight="1" x14ac:dyDescent="0.15">
      <c r="B16" s="41"/>
      <c r="C16" s="10" t="s">
        <v>23</v>
      </c>
      <c r="D16" s="10" t="s">
        <v>23</v>
      </c>
      <c r="E16" s="16" t="s">
        <v>36</v>
      </c>
      <c r="F16" s="11">
        <v>2</v>
      </c>
      <c r="G16" s="23">
        <v>193</v>
      </c>
      <c r="H16" s="29">
        <f t="shared" si="1"/>
        <v>386</v>
      </c>
      <c r="I16" s="11"/>
      <c r="J16" s="16" t="s">
        <v>51</v>
      </c>
      <c r="K16" s="11" t="s">
        <v>68</v>
      </c>
      <c r="L16" s="11"/>
      <c r="M16" s="17">
        <v>46100</v>
      </c>
      <c r="N16" s="10"/>
      <c r="O16" s="11"/>
      <c r="P16" s="18">
        <v>46119</v>
      </c>
      <c r="Q16" s="15"/>
    </row>
    <row r="17" spans="2:17" s="4" customFormat="1" ht="19.7" customHeight="1" x14ac:dyDescent="0.15">
      <c r="B17" s="42">
        <v>9</v>
      </c>
      <c r="C17" s="10" t="s">
        <v>23</v>
      </c>
      <c r="D17" s="10" t="s">
        <v>23</v>
      </c>
      <c r="E17" s="16" t="s">
        <v>40</v>
      </c>
      <c r="F17" s="11">
        <v>1</v>
      </c>
      <c r="G17" s="23">
        <v>5792</v>
      </c>
      <c r="H17" s="29">
        <f t="shared" si="1"/>
        <v>5792</v>
      </c>
      <c r="I17" s="11"/>
      <c r="J17" s="16" t="s">
        <v>30</v>
      </c>
      <c r="K17" s="11" t="s">
        <v>68</v>
      </c>
      <c r="L17" s="11"/>
      <c r="M17" s="17">
        <v>46100</v>
      </c>
      <c r="N17" s="10"/>
      <c r="O17" s="11"/>
      <c r="P17" s="18">
        <v>46119</v>
      </c>
      <c r="Q17" s="15"/>
    </row>
    <row r="18" spans="2:17" s="4" customFormat="1" ht="19.7" customHeight="1" x14ac:dyDescent="0.15">
      <c r="B18" s="42"/>
      <c r="C18" s="10" t="s">
        <v>23</v>
      </c>
      <c r="D18" s="10" t="s">
        <v>23</v>
      </c>
      <c r="E18" s="16" t="s">
        <v>41</v>
      </c>
      <c r="F18" s="11">
        <v>1</v>
      </c>
      <c r="G18" s="23">
        <v>5829</v>
      </c>
      <c r="H18" s="29">
        <f t="shared" si="1"/>
        <v>5829</v>
      </c>
      <c r="I18" s="11"/>
      <c r="J18" s="16" t="s">
        <v>31</v>
      </c>
      <c r="K18" s="11" t="s">
        <v>68</v>
      </c>
      <c r="L18" s="11"/>
      <c r="M18" s="17">
        <v>46100</v>
      </c>
      <c r="N18" s="10"/>
      <c r="O18" s="11"/>
      <c r="P18" s="18">
        <v>46119</v>
      </c>
      <c r="Q18" s="15"/>
    </row>
    <row r="19" spans="2:17" s="4" customFormat="1" ht="19.7" customHeight="1" x14ac:dyDescent="0.15">
      <c r="B19" s="42"/>
      <c r="C19" s="10" t="s">
        <v>23</v>
      </c>
      <c r="D19" s="10" t="s">
        <v>23</v>
      </c>
      <c r="E19" s="16" t="s">
        <v>42</v>
      </c>
      <c r="F19" s="11">
        <v>1</v>
      </c>
      <c r="G19" s="23">
        <v>5998</v>
      </c>
      <c r="H19" s="29">
        <f t="shared" si="1"/>
        <v>5998</v>
      </c>
      <c r="I19" s="11"/>
      <c r="J19" s="16" t="s">
        <v>32</v>
      </c>
      <c r="K19" s="11" t="s">
        <v>68</v>
      </c>
      <c r="L19" s="11"/>
      <c r="M19" s="17">
        <v>46100</v>
      </c>
      <c r="N19" s="10"/>
      <c r="O19" s="11"/>
      <c r="P19" s="18">
        <v>46119</v>
      </c>
      <c r="Q19" s="15"/>
    </row>
    <row r="20" spans="2:17" s="4" customFormat="1" ht="19.7" customHeight="1" x14ac:dyDescent="0.15">
      <c r="B20" s="42"/>
      <c r="C20" s="10" t="s">
        <v>23</v>
      </c>
      <c r="D20" s="10" t="s">
        <v>23</v>
      </c>
      <c r="E20" s="16" t="s">
        <v>43</v>
      </c>
      <c r="F20" s="11">
        <v>1</v>
      </c>
      <c r="G20" s="23">
        <v>3410</v>
      </c>
      <c r="H20" s="29">
        <f t="shared" si="1"/>
        <v>3410</v>
      </c>
      <c r="I20" s="11"/>
      <c r="J20" s="16" t="s">
        <v>33</v>
      </c>
      <c r="K20" s="11" t="s">
        <v>68</v>
      </c>
      <c r="L20" s="11"/>
      <c r="M20" s="17">
        <v>46100</v>
      </c>
      <c r="N20" s="10"/>
      <c r="O20" s="11"/>
      <c r="P20" s="18">
        <v>46119</v>
      </c>
      <c r="Q20" s="15"/>
    </row>
    <row r="21" spans="2:17" s="4" customFormat="1" ht="19.7" customHeight="1" x14ac:dyDescent="0.15">
      <c r="B21" s="42"/>
      <c r="C21" s="10" t="s">
        <v>23</v>
      </c>
      <c r="D21" s="10" t="s">
        <v>23</v>
      </c>
      <c r="E21" s="16" t="s">
        <v>35</v>
      </c>
      <c r="F21" s="11">
        <v>1</v>
      </c>
      <c r="G21" s="23">
        <v>83</v>
      </c>
      <c r="H21" s="29">
        <f t="shared" si="1"/>
        <v>83</v>
      </c>
      <c r="I21" s="11"/>
      <c r="J21" s="16" t="s">
        <v>52</v>
      </c>
      <c r="K21" s="11" t="s">
        <v>68</v>
      </c>
      <c r="L21" s="11"/>
      <c r="M21" s="17">
        <v>46100</v>
      </c>
      <c r="N21" s="10"/>
      <c r="O21" s="11"/>
      <c r="P21" s="18">
        <v>46119</v>
      </c>
      <c r="Q21" s="15"/>
    </row>
    <row r="22" spans="2:17" s="4" customFormat="1" ht="19.7" customHeight="1" x14ac:dyDescent="0.15">
      <c r="B22" s="41"/>
      <c r="C22" s="10" t="s">
        <v>23</v>
      </c>
      <c r="D22" s="10" t="s">
        <v>23</v>
      </c>
      <c r="E22" s="16" t="s">
        <v>37</v>
      </c>
      <c r="F22" s="11">
        <v>1</v>
      </c>
      <c r="G22" s="23">
        <v>16050</v>
      </c>
      <c r="H22" s="29">
        <f t="shared" si="1"/>
        <v>16050</v>
      </c>
      <c r="I22" s="11"/>
      <c r="J22" s="16" t="s">
        <v>50</v>
      </c>
      <c r="K22" s="11" t="s">
        <v>68</v>
      </c>
      <c r="L22" s="11"/>
      <c r="M22" s="17">
        <v>46100</v>
      </c>
      <c r="N22" s="10"/>
      <c r="O22" s="11"/>
      <c r="P22" s="18">
        <v>46119</v>
      </c>
      <c r="Q22" s="15"/>
    </row>
    <row r="23" spans="2:17" s="4" customFormat="1" ht="19.7" customHeight="1" x14ac:dyDescent="0.15">
      <c r="B23" s="10">
        <v>8</v>
      </c>
      <c r="C23" s="10" t="s">
        <v>23</v>
      </c>
      <c r="D23" s="10" t="s">
        <v>23</v>
      </c>
      <c r="E23" s="16" t="s">
        <v>44</v>
      </c>
      <c r="F23" s="11">
        <v>1</v>
      </c>
      <c r="G23" s="23">
        <v>6832</v>
      </c>
      <c r="H23" s="29">
        <f t="shared" si="1"/>
        <v>6832</v>
      </c>
      <c r="I23" s="11"/>
      <c r="J23" s="16" t="s">
        <v>34</v>
      </c>
      <c r="K23" s="11" t="s">
        <v>68</v>
      </c>
      <c r="L23" s="11"/>
      <c r="M23" s="17">
        <v>46100</v>
      </c>
      <c r="N23" s="10"/>
      <c r="O23" s="11"/>
      <c r="P23" s="18">
        <v>46119</v>
      </c>
      <c r="Q23" s="15"/>
    </row>
    <row r="24" spans="2:17" s="4" customFormat="1" ht="19.7" customHeight="1" x14ac:dyDescent="0.15">
      <c r="B24" s="10">
        <v>10</v>
      </c>
      <c r="C24" s="10" t="s">
        <v>23</v>
      </c>
      <c r="D24" s="10" t="s">
        <v>23</v>
      </c>
      <c r="E24" s="16" t="s">
        <v>38</v>
      </c>
      <c r="F24" s="11">
        <v>1</v>
      </c>
      <c r="G24" s="23">
        <v>18606</v>
      </c>
      <c r="H24" s="29">
        <f t="shared" si="1"/>
        <v>18606</v>
      </c>
      <c r="I24" s="11"/>
      <c r="J24" s="16" t="s">
        <v>27</v>
      </c>
      <c r="K24" s="11" t="s">
        <v>68</v>
      </c>
      <c r="L24" s="11"/>
      <c r="M24" s="17">
        <v>46100</v>
      </c>
      <c r="N24" s="10"/>
      <c r="O24" s="11"/>
      <c r="P24" s="18">
        <v>46119</v>
      </c>
      <c r="Q24" s="15"/>
    </row>
    <row r="25" spans="2:17" s="4" customFormat="1" ht="19.7" customHeight="1" x14ac:dyDescent="0.15">
      <c r="B25" s="40">
        <v>11</v>
      </c>
      <c r="C25" s="10" t="s">
        <v>26</v>
      </c>
      <c r="D25" s="10" t="s">
        <v>26</v>
      </c>
      <c r="E25" s="16" t="s">
        <v>24</v>
      </c>
      <c r="F25" s="11">
        <v>10</v>
      </c>
      <c r="G25" s="24">
        <v>5000</v>
      </c>
      <c r="H25" s="29">
        <f t="shared" si="1"/>
        <v>50000</v>
      </c>
      <c r="I25" s="11"/>
      <c r="J25" s="16" t="s">
        <v>24</v>
      </c>
      <c r="K25" s="11"/>
      <c r="L25" s="11"/>
      <c r="M25" s="17"/>
      <c r="N25" s="10"/>
      <c r="O25" s="11"/>
      <c r="P25" s="18"/>
      <c r="Q25" s="15"/>
    </row>
    <row r="26" spans="2:17" s="4" customFormat="1" ht="19.7" customHeight="1" x14ac:dyDescent="0.15">
      <c r="B26" s="41"/>
      <c r="C26" s="10" t="s">
        <v>26</v>
      </c>
      <c r="D26" s="10" t="s">
        <v>26</v>
      </c>
      <c r="E26" s="16" t="s">
        <v>25</v>
      </c>
      <c r="F26" s="11">
        <v>20</v>
      </c>
      <c r="G26" s="24">
        <v>5000</v>
      </c>
      <c r="H26" s="29">
        <f t="shared" si="1"/>
        <v>100000</v>
      </c>
      <c r="I26" s="22"/>
      <c r="J26" s="16" t="s">
        <v>25</v>
      </c>
      <c r="K26" s="11"/>
      <c r="L26" s="11"/>
      <c r="M26" s="17"/>
      <c r="N26" s="10"/>
      <c r="O26" s="11"/>
      <c r="P26" s="18"/>
      <c r="Q26" s="15"/>
    </row>
    <row r="27" spans="2:17" s="4" customFormat="1" ht="19.7" customHeight="1" x14ac:dyDescent="0.15">
      <c r="B27" s="40" t="s">
        <v>67</v>
      </c>
      <c r="C27" s="10" t="s">
        <v>23</v>
      </c>
      <c r="D27" s="10" t="s">
        <v>23</v>
      </c>
      <c r="E27" s="16" t="s">
        <v>47</v>
      </c>
      <c r="F27" s="11">
        <v>1</v>
      </c>
      <c r="G27" s="23">
        <v>451</v>
      </c>
      <c r="H27" s="29">
        <f t="shared" si="1"/>
        <v>451</v>
      </c>
      <c r="I27" s="11"/>
      <c r="J27" s="16" t="s">
        <v>48</v>
      </c>
      <c r="K27" s="11" t="s">
        <v>68</v>
      </c>
      <c r="L27" s="11"/>
      <c r="M27" s="17">
        <v>46100</v>
      </c>
      <c r="N27" s="10"/>
      <c r="O27" s="11"/>
      <c r="P27" s="18">
        <v>46119</v>
      </c>
      <c r="Q27" s="15"/>
    </row>
    <row r="28" spans="2:17" s="4" customFormat="1" ht="19.7" customHeight="1" x14ac:dyDescent="0.15">
      <c r="B28" s="42"/>
      <c r="C28" s="10" t="s">
        <v>23</v>
      </c>
      <c r="D28" s="10" t="s">
        <v>23</v>
      </c>
      <c r="E28" s="16" t="s">
        <v>71</v>
      </c>
      <c r="F28" s="11">
        <v>1</v>
      </c>
      <c r="G28" s="23">
        <v>723</v>
      </c>
      <c r="H28" s="29">
        <f t="shared" si="1"/>
        <v>723</v>
      </c>
      <c r="I28" s="26"/>
      <c r="J28" s="16" t="s">
        <v>64</v>
      </c>
      <c r="K28" s="11" t="s">
        <v>68</v>
      </c>
      <c r="L28" s="11"/>
      <c r="M28" s="17">
        <v>46100</v>
      </c>
      <c r="N28" s="10"/>
      <c r="O28" s="11"/>
      <c r="P28" s="18">
        <v>46119</v>
      </c>
      <c r="Q28" s="15"/>
    </row>
    <row r="29" spans="2:17" s="4" customFormat="1" ht="19.7" customHeight="1" x14ac:dyDescent="0.15">
      <c r="B29" s="42"/>
      <c r="C29" s="10" t="s">
        <v>23</v>
      </c>
      <c r="D29" s="10" t="s">
        <v>23</v>
      </c>
      <c r="E29" s="16" t="s">
        <v>65</v>
      </c>
      <c r="F29" s="11">
        <v>1</v>
      </c>
      <c r="G29" s="23">
        <v>320</v>
      </c>
      <c r="H29" s="29">
        <f t="shared" si="1"/>
        <v>320</v>
      </c>
      <c r="I29" s="11"/>
      <c r="J29" s="16" t="s">
        <v>66</v>
      </c>
      <c r="K29" s="11" t="s">
        <v>68</v>
      </c>
      <c r="L29" s="11"/>
      <c r="M29" s="17">
        <v>46100</v>
      </c>
      <c r="N29" s="10"/>
      <c r="O29" s="11"/>
      <c r="P29" s="18">
        <v>46119</v>
      </c>
      <c r="Q29" s="15"/>
    </row>
    <row r="30" spans="2:17" s="4" customFormat="1" ht="19.7" customHeight="1" x14ac:dyDescent="0.15">
      <c r="B30" s="42"/>
      <c r="C30" s="10" t="s">
        <v>23</v>
      </c>
      <c r="D30" s="10" t="s">
        <v>23</v>
      </c>
      <c r="E30" s="16" t="s">
        <v>70</v>
      </c>
      <c r="F30" s="11">
        <v>1</v>
      </c>
      <c r="G30" s="23">
        <v>1045</v>
      </c>
      <c r="H30" s="29">
        <f t="shared" si="1"/>
        <v>1045</v>
      </c>
      <c r="I30" s="26"/>
      <c r="J30" s="16" t="s">
        <v>64</v>
      </c>
      <c r="K30" s="11" t="s">
        <v>68</v>
      </c>
      <c r="L30" s="11"/>
      <c r="M30" s="17">
        <v>46100</v>
      </c>
      <c r="N30" s="10"/>
      <c r="O30" s="11"/>
      <c r="P30" s="18">
        <v>46119</v>
      </c>
      <c r="Q30" s="15"/>
    </row>
    <row r="31" spans="2:17" s="4" customFormat="1" ht="19.7" customHeight="1" x14ac:dyDescent="0.15">
      <c r="B31" s="42"/>
      <c r="C31" s="10" t="s">
        <v>23</v>
      </c>
      <c r="D31" s="10" t="s">
        <v>23</v>
      </c>
      <c r="E31" s="16" t="s">
        <v>46</v>
      </c>
      <c r="F31" s="11">
        <v>1</v>
      </c>
      <c r="G31" s="23">
        <v>3882</v>
      </c>
      <c r="H31" s="29">
        <f t="shared" si="1"/>
        <v>3882</v>
      </c>
      <c r="I31" s="11"/>
      <c r="J31" s="16" t="s">
        <v>49</v>
      </c>
      <c r="K31" s="11" t="s">
        <v>68</v>
      </c>
      <c r="L31" s="11"/>
      <c r="M31" s="17">
        <v>46100</v>
      </c>
      <c r="N31" s="10"/>
      <c r="O31" s="11"/>
      <c r="P31" s="18">
        <v>46119</v>
      </c>
      <c r="Q31" s="15"/>
    </row>
    <row r="32" spans="2:17" s="4" customFormat="1" ht="19.7" customHeight="1" x14ac:dyDescent="0.15">
      <c r="B32" s="42"/>
      <c r="C32" s="10" t="s">
        <v>23</v>
      </c>
      <c r="D32" s="10" t="s">
        <v>23</v>
      </c>
      <c r="E32" s="16" t="s">
        <v>61</v>
      </c>
      <c r="F32" s="11">
        <v>1</v>
      </c>
      <c r="G32" s="23">
        <v>2141</v>
      </c>
      <c r="H32" s="29">
        <f t="shared" si="1"/>
        <v>2141</v>
      </c>
      <c r="I32" s="11"/>
      <c r="J32" s="16" t="s">
        <v>74</v>
      </c>
      <c r="K32" s="11" t="s">
        <v>68</v>
      </c>
      <c r="L32" s="11"/>
      <c r="M32" s="17">
        <v>46100</v>
      </c>
      <c r="N32" s="10"/>
      <c r="O32" s="11"/>
      <c r="P32" s="18">
        <v>46119</v>
      </c>
      <c r="Q32" s="15"/>
    </row>
    <row r="33" spans="2:17" s="4" customFormat="1" ht="19.7" customHeight="1" x14ac:dyDescent="0.15">
      <c r="B33" s="42"/>
      <c r="C33" s="10" t="s">
        <v>23</v>
      </c>
      <c r="D33" s="10" t="s">
        <v>23</v>
      </c>
      <c r="E33" s="16" t="s">
        <v>69</v>
      </c>
      <c r="F33" s="11">
        <v>10</v>
      </c>
      <c r="G33" s="23">
        <v>45</v>
      </c>
      <c r="H33" s="29">
        <f t="shared" si="1"/>
        <v>450</v>
      </c>
      <c r="I33" s="11"/>
      <c r="J33" s="16" t="s">
        <v>73</v>
      </c>
      <c r="K33" s="11" t="s">
        <v>68</v>
      </c>
      <c r="L33" s="11"/>
      <c r="M33" s="17">
        <v>46100</v>
      </c>
      <c r="N33" s="10"/>
      <c r="O33" s="11"/>
      <c r="P33" s="18">
        <v>46119</v>
      </c>
      <c r="Q33" s="15"/>
    </row>
    <row r="34" spans="2:17" s="4" customFormat="1" ht="19.7" customHeight="1" x14ac:dyDescent="0.15">
      <c r="B34" s="41"/>
      <c r="C34" s="10" t="s">
        <v>23</v>
      </c>
      <c r="D34" s="10" t="s">
        <v>23</v>
      </c>
      <c r="E34" s="16" t="s">
        <v>62</v>
      </c>
      <c r="F34" s="11">
        <v>1</v>
      </c>
      <c r="G34" s="23">
        <v>409</v>
      </c>
      <c r="H34" s="29">
        <f t="shared" si="1"/>
        <v>409</v>
      </c>
      <c r="I34" s="11"/>
      <c r="J34" s="16" t="s">
        <v>72</v>
      </c>
      <c r="K34" s="11" t="s">
        <v>68</v>
      </c>
      <c r="L34" s="11"/>
      <c r="M34" s="17">
        <v>46100</v>
      </c>
      <c r="N34" s="10"/>
      <c r="O34" s="11"/>
      <c r="P34" s="18">
        <v>46119</v>
      </c>
      <c r="Q34" s="15"/>
    </row>
    <row r="38" spans="2:17" x14ac:dyDescent="0.15">
      <c r="M38" s="19"/>
    </row>
    <row r="40" spans="2:17" x14ac:dyDescent="0.15">
      <c r="M40" s="19"/>
    </row>
    <row r="53" spans="8:8" x14ac:dyDescent="0.15">
      <c r="H53" s="21"/>
    </row>
  </sheetData>
  <autoFilter ref="B8:O26" xr:uid="{00000000-0009-0000-0000-000000000000}"/>
  <sortState xmlns:xlrd2="http://schemas.microsoft.com/office/spreadsheetml/2017/richdata2" ref="E27:J34">
    <sortCondition ref="E27:E34"/>
  </sortState>
  <mergeCells count="11">
    <mergeCell ref="B6:D6"/>
    <mergeCell ref="G2:I2"/>
    <mergeCell ref="B2:D2"/>
    <mergeCell ref="B3:D3"/>
    <mergeCell ref="B4:D4"/>
    <mergeCell ref="B5:D5"/>
    <mergeCell ref="B9:B10"/>
    <mergeCell ref="B25:B26"/>
    <mergeCell ref="B17:B22"/>
    <mergeCell ref="B13:B16"/>
    <mergeCell ref="B27:B34"/>
  </mergeCells>
  <phoneticPr fontId="1"/>
  <pageMargins left="0.2" right="0.2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2013-11-12T01:42:54Z</cp:lastPrinted>
  <dcterms:created xsi:type="dcterms:W3CDTF">2011-12-13T06:48:43Z</dcterms:created>
  <dcterms:modified xsi:type="dcterms:W3CDTF">2026-06-01T06:11:06Z</dcterms:modified>
</cp:coreProperties>
</file>