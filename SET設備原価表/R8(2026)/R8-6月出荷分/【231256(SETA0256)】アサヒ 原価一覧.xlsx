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1AB1B62-49AF-42AA-9C28-405F2D748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原価表" sheetId="1" r:id="rId1"/>
  </sheets>
  <definedNames>
    <definedName name="_xlnm._FilterDatabase" localSheetId="0" hidden="1">原価表!$B$9:$O$52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6" i="1"/>
  <c r="H45" i="1"/>
  <c r="H27" i="1" l="1"/>
  <c r="H50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9" i="1"/>
  <c r="H48" i="1"/>
  <c r="H23" i="1" l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51" i="1" l="1"/>
  <c r="H24" i="1"/>
  <c r="H25" i="1"/>
  <c r="H26" i="1"/>
  <c r="H52" i="1"/>
  <c r="J2" i="1" l="1"/>
</calcChain>
</file>

<file path=xl/sharedStrings.xml><?xml version="1.0" encoding="utf-8"?>
<sst xmlns="http://schemas.openxmlformats.org/spreadsheetml/2006/main" count="238" uniqueCount="96">
  <si>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</si>
  <si>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</si>
  <si>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</si>
  <si>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</si>
  <si>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</si>
  <si>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</si>
  <si>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</si>
  <si>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</si>
  <si>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</si>
  <si>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</si>
  <si>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</si>
  <si>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</si>
  <si>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</si>
  <si>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</si>
  <si>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</si>
  <si>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</si>
  <si>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</si>
  <si>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</si>
  <si>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</si>
  <si>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</si>
  <si>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</si>
  <si>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</si>
  <si>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吉鶴</t>
    <rPh sb="0" eb="2">
      <t>ヨシヅル</t>
    </rPh>
    <phoneticPr fontId="1"/>
  </si>
  <si>
    <t>アサヒ</t>
    <phoneticPr fontId="1"/>
  </si>
  <si>
    <t>FQ2-S10050F</t>
  </si>
  <si>
    <t>FQ-WD005</t>
  </si>
  <si>
    <t>OMRON</t>
    <phoneticPr fontId="1"/>
  </si>
  <si>
    <t>日伝</t>
    <rPh sb="0" eb="2">
      <t>ニチデン</t>
    </rPh>
    <phoneticPr fontId="1"/>
  </si>
  <si>
    <t>該当項目なし</t>
    <rPh sb="0" eb="4">
      <t>ガイトウコウモク</t>
    </rPh>
    <phoneticPr fontId="1"/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</si>
  <si>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</si>
  <si>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</si>
  <si>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</si>
  <si>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■SETA0265-X02-A(ﾜｰｸｼﾞｸﾞ)</t>
  </si>
  <si>
    <t>■SETA0265-X03-A(ﾍﾞｱﾍﾞｰｽ)</t>
  </si>
  <si>
    <t>■SETA0265-X04-A(ﾍﾞｱｶﾞｲﾄﾞ)</t>
  </si>
  <si>
    <t>■SETA0265-Z01-A(ｹｰﾌﾞﾙﾍﾞｱﾍﾞｰｽ)</t>
  </si>
  <si>
    <t>■SETA0265-Z02-A(ﾍﾞｱｶﾞｲﾄﾞ)</t>
  </si>
  <si>
    <t>MWS-COM-TB15</t>
  </si>
  <si>
    <t>MWS-DS37A-HT37</t>
  </si>
  <si>
    <t>SE08F-20-048-25</t>
  </si>
  <si>
    <t>SE08F-30-028-20</t>
  </si>
  <si>
    <t>TKR-TWE1</t>
  </si>
  <si>
    <t>ｵﾑﾛﾝ ｶﾞｿﾞｳｾﾝｻ</t>
  </si>
  <si>
    <t>MISUMI</t>
    <phoneticPr fontId="1"/>
  </si>
  <si>
    <t>3M-3</t>
  </si>
  <si>
    <t>CSHCSHAS-SUS-M3-4</t>
  </si>
  <si>
    <t>SDR-120-24</t>
  </si>
  <si>
    <t>NEDJL-PS-SB-37-1.5</t>
  </si>
  <si>
    <t>MRB-280</t>
  </si>
  <si>
    <t>ACｺｰﾄﾞ</t>
  </si>
  <si>
    <t>ｱｸｾｻﾘｰ ﾌﾟﾘﾝﾄｷﾊﾞﾝTKRｼﾘｰｽﾞ</t>
  </si>
  <si>
    <t>ﾛｯｶｸｼﾁｭｳ SLSBWF</t>
  </si>
  <si>
    <t>FASTENING</t>
  </si>
  <si>
    <t>SE08F ｹｰﾌﾞﾙｷｬﾘｱ</t>
  </si>
  <si>
    <t>SWﾃﾞﾝｹﾞﾝ ﾚｰﾙﾂｷ(MEANWELL)</t>
  </si>
  <si>
    <t>DSUBﾊｰﾈｽ</t>
  </si>
  <si>
    <t>ﾈｼﾞﾍﾝｶﾝｼｷﾀﾝｼﾀﾞｲ</t>
  </si>
  <si>
    <t>ｺﾓﾝﾀﾝｼﾀﾞｲ</t>
  </si>
  <si>
    <t>DINﾚｰﾙ</t>
  </si>
  <si>
    <t>ｴｺﾉﾐｰｼﾘｰｽﾞ_ｼﾁｭｳ</t>
  </si>
  <si>
    <t>FQ-WN005</t>
    <phoneticPr fontId="1"/>
  </si>
  <si>
    <t>JANOME</t>
    <phoneticPr fontId="1"/>
  </si>
  <si>
    <t>JR3303N-AJ</t>
    <phoneticPr fontId="1"/>
  </si>
  <si>
    <t>荷造り運賃</t>
    <rPh sb="0" eb="2">
      <t>ニヅク</t>
    </rPh>
    <rPh sb="3" eb="5">
      <t>ウンチン</t>
    </rPh>
    <phoneticPr fontId="1"/>
  </si>
  <si>
    <t>I/O用内臓電源増設</t>
    <rPh sb="3" eb="4">
      <t>ヨウ</t>
    </rPh>
    <rPh sb="4" eb="6">
      <t>ナイゾウ</t>
    </rPh>
    <rPh sb="6" eb="8">
      <t>デンゲン</t>
    </rPh>
    <rPh sb="8" eb="10">
      <t>ゾウセツ</t>
    </rPh>
    <phoneticPr fontId="1"/>
  </si>
  <si>
    <t>ｴｼﾞｪｸﾀﾕﾆｯﾄ</t>
    <phoneticPr fontId="1"/>
  </si>
  <si>
    <t>ﾄﾞﾗｲﾊﾞｰ取付板</t>
    <rPh sb="7" eb="9">
      <t>トリツケ</t>
    </rPh>
    <rPh sb="9" eb="10">
      <t>イタ</t>
    </rPh>
    <phoneticPr fontId="1"/>
  </si>
  <si>
    <t>BLF-2000(HIOSドライバー本体）</t>
    <phoneticPr fontId="1"/>
  </si>
  <si>
    <t>BLT-AY-61(HIOSドライバーコントローラ)</t>
    <phoneticPr fontId="1"/>
  </si>
  <si>
    <t>BLQM2-SET(ﾓｽｷｰﾄｻｸｼｮﾝASSY)</t>
    <phoneticPr fontId="1"/>
  </si>
  <si>
    <t>BLQM2-0010S-80L(34mm)(ｽﾗｲﾄﾞﾏｳｽﾋﾟｰｽ)</t>
    <phoneticPr fontId="1"/>
  </si>
  <si>
    <t>BP-H4-#0-(2.0x60)-80(特注ﾋﾞｯﾄ)50本/ｾｯﾄ</t>
    <phoneticPr fontId="1"/>
  </si>
  <si>
    <t>I/Oねじ締めコード</t>
    <phoneticPr fontId="1"/>
  </si>
  <si>
    <t>ねじ供給機取付板 NSRI用(JR3303用)</t>
  </si>
  <si>
    <t>JSP-RSD17(JANOMEねじ供給機)</t>
    <phoneticPr fontId="1"/>
  </si>
  <si>
    <t>ティーチングペンダントⅡ(2m)非常停止SW無し</t>
    <phoneticPr fontId="1"/>
  </si>
  <si>
    <t>KEYENCE</t>
    <phoneticPr fontId="1"/>
  </si>
  <si>
    <t>PR-FB30N3</t>
    <phoneticPr fontId="1"/>
  </si>
  <si>
    <t>超小型ｱﾝﾌﾟ内蔵型光電ｾﾝｻ</t>
    <phoneticPr fontId="1"/>
  </si>
  <si>
    <t>出精値引き</t>
    <rPh sb="0" eb="4">
      <t>シュッセイネビ</t>
    </rPh>
    <phoneticPr fontId="1"/>
  </si>
  <si>
    <t>MVSHM-3N01552-48B-N93UX-L</t>
  </si>
  <si>
    <t>MVSHM-3N02052-48B-2K66A-L</t>
  </si>
  <si>
    <t>MVSHM-3N02002-48B-MDLUH-L</t>
  </si>
  <si>
    <t>MVSHM-3N02002-48B-RN7K3-L</t>
  </si>
  <si>
    <t>MVBLK-AMW-48B-4UNJA-L</t>
  </si>
  <si>
    <t>流量センサセット</t>
  </si>
  <si>
    <t>ﾋﾞｽ落下検知ｾﾝｻ</t>
    <phoneticPr fontId="1"/>
  </si>
  <si>
    <t>■SETA0265-X01-B(ﾜｰｸｼﾞｸﾞﾍﾞｰｽ)</t>
    <phoneticPr fontId="1"/>
  </si>
  <si>
    <t>E-GCBSTSR4-10</t>
  </si>
  <si>
    <t>E-GCBSTSR5-12</t>
  </si>
  <si>
    <t>SLSBWF8-100.0</t>
  </si>
  <si>
    <t>発注願います</t>
    <rPh sb="0" eb="3">
      <t>ハッチュウネガ</t>
    </rPh>
    <phoneticPr fontId="1"/>
  </si>
  <si>
    <t>231256-ASH(SATOH)</t>
    <phoneticPr fontId="1"/>
  </si>
  <si>
    <t>MVBLK-AMW-4BN-1LC3L-L</t>
  </si>
  <si>
    <t>C-PLSBWRK8-20</t>
  </si>
  <si>
    <t>EG_ﾁｮｳｺﾞｸﾃｲﾄｳﾎﾞﾙﾄ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</si>
</sst>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5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2"/>
  <sheetViews>
    <sheetView tabSelected="1" topLeftCell="A5" zoomScale="85" zoomScaleNormal="85" workbookViewId="0">
      <pane xSplit="8" topLeftCell="J1" activePane="topRight" state="frozen"/>
      <selection pane="topRight" activeCell="Q19" sqref="Q19"/>
    </sheetView>
  </sheetViews>
  <sheetFormatPr defaultColWidth="9" defaultRowHeight="13.5" x14ac:dyDescent="0.15"/>
  <cols>
    <col min="1" max="1" width="2.625" customWidth="1"/>
    <col min="2" max="2" width="14.375" style="3" bestFit="1" customWidth="1"/>
    <col min="3" max="4" width="20.625" customWidth="1"/>
    <col min="5" max="5" width="58.75" customWidth="1"/>
    <col min="6" max="6" width="6.25" style="3" customWidth="1"/>
    <col min="7" max="7" width="20.5" style="24" customWidth="1"/>
    <col min="8" max="8" width="11.875" style="24" bestFit="1" customWidth="1"/>
    <col min="9" max="9" width="14.375" style="4" customWidth="1"/>
    <col min="10" max="10" width="35.25" bestFit="1" customWidth="1"/>
    <col min="11" max="11" width="26" customWidth="1"/>
    <col min="12" max="12" width="28.125" style="32" customWidth="1"/>
    <col min="13" max="13" width="13.75" style="28" customWidth="1"/>
    <col min="14" max="14" width="6.375" customWidth="1"/>
    <col min="15" max="15" width="13.25" style="3" customWidth="1"/>
    <col min="16" max="16" width="14.5" style="28" customWidth="1"/>
    <col min="17" max="17" width="15.625" style="23" customWidth="1"/>
  </cols>
  <sheetData>
    <row r="2" spans="2:17" ht="20.100000000000001" customHeight="1" x14ac:dyDescent="0.15">
      <c r="B2" s="43" t="s">
        <v>11</v>
      </c>
      <c r="C2" s="43"/>
      <c r="D2" s="43"/>
      <c r="E2" s="1" t="s">
        <v>23</v>
      </c>
      <c r="G2" s="44" t="s">
        <v>15</v>
      </c>
      <c r="H2" s="45"/>
      <c r="I2" s="46"/>
      <c r="J2" s="2">
        <f>SUM(H:H)</f>
        <v>3465094</v>
      </c>
    </row>
    <row r="3" spans="2:17" ht="20.100000000000001" customHeight="1" x14ac:dyDescent="0.15">
      <c r="B3" s="43" t="s">
        <v>10</v>
      </c>
      <c r="C3" s="43"/>
      <c r="D3" s="43"/>
      <c r="E3" s="5" t="s">
        <v>22</v>
      </c>
      <c r="P3" s="29"/>
    </row>
    <row r="4" spans="2:17" ht="20.100000000000001" customHeight="1" x14ac:dyDescent="0.15">
      <c r="B4" s="43" t="s">
        <v>12</v>
      </c>
      <c r="C4" s="43"/>
      <c r="D4" s="43"/>
      <c r="E4" s="5">
        <v>231256</v>
      </c>
      <c r="I4" s="15"/>
      <c r="J4" s="4"/>
      <c r="K4" s="18"/>
      <c r="L4" s="33"/>
    </row>
    <row r="5" spans="2:17" ht="20.100000000000001" customHeight="1" x14ac:dyDescent="0.15">
      <c r="B5" s="43" t="s">
        <v>13</v>
      </c>
      <c r="C5" s="43"/>
      <c r="D5" s="43"/>
      <c r="E5" s="6">
        <v>46153</v>
      </c>
      <c r="G5" s="25"/>
      <c r="I5" s="21"/>
      <c r="J5" s="15"/>
      <c r="K5" s="20"/>
      <c r="L5" s="34"/>
    </row>
    <row r="6" spans="2:17" ht="20.100000000000001" customHeight="1" x14ac:dyDescent="0.15">
      <c r="B6" s="43" t="s">
        <v>14</v>
      </c>
      <c r="C6" s="43"/>
      <c r="D6" s="43"/>
      <c r="E6" s="6">
        <v>46177</v>
      </c>
      <c r="I6" s="22"/>
      <c r="J6" s="16"/>
      <c r="K6" s="19"/>
      <c r="L6" s="35"/>
    </row>
    <row r="7" spans="2:17" ht="20.100000000000001" customHeight="1" x14ac:dyDescent="0.15">
      <c r="B7" s="7"/>
      <c r="C7" s="7"/>
      <c r="D7" s="7"/>
      <c r="E7" s="14"/>
      <c r="J7" s="15"/>
      <c r="L7" s="36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26" t="s">
        <v>1</v>
      </c>
      <c r="H9" s="27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1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40">
        <v>1</v>
      </c>
      <c r="C10" s="8" t="s">
        <v>61</v>
      </c>
      <c r="D10" s="8" t="s">
        <v>61</v>
      </c>
      <c r="E10" s="31" t="s">
        <v>62</v>
      </c>
      <c r="F10" s="9">
        <v>2</v>
      </c>
      <c r="G10" s="37">
        <v>792000</v>
      </c>
      <c r="H10" s="37">
        <f t="shared" ref="H10:H23" si="0">F10*G10</f>
        <v>1584000</v>
      </c>
      <c r="I10" s="10"/>
      <c r="J10" s="31" t="s">
        <v>62</v>
      </c>
      <c r="K10" s="39" t="s">
        <v>91</v>
      </c>
      <c r="L10" s="9"/>
      <c r="M10" s="11">
        <v>46100</v>
      </c>
      <c r="N10" s="8"/>
      <c r="O10" s="17">
        <v>46153</v>
      </c>
      <c r="P10" s="17"/>
      <c r="Q10" s="12">
        <v>46168</v>
      </c>
    </row>
    <row r="11" spans="2:17" s="3" customFormat="1" ht="19.7" customHeight="1" x14ac:dyDescent="0.15">
      <c r="B11" s="42"/>
      <c r="C11" s="8" t="s">
        <v>61</v>
      </c>
      <c r="D11" s="8" t="s">
        <v>61</v>
      </c>
      <c r="E11" s="31" t="s">
        <v>63</v>
      </c>
      <c r="F11" s="9">
        <v>2</v>
      </c>
      <c r="G11" s="37">
        <v>12000</v>
      </c>
      <c r="H11" s="37">
        <f t="shared" si="0"/>
        <v>24000</v>
      </c>
      <c r="I11" s="9"/>
      <c r="J11" s="31" t="s">
        <v>63</v>
      </c>
      <c r="K11" s="39" t="s">
        <v>91</v>
      </c>
      <c r="L11" s="9"/>
      <c r="M11" s="11">
        <v>46100</v>
      </c>
      <c r="N11" s="8"/>
      <c r="O11" s="17">
        <v>46153</v>
      </c>
      <c r="P11" s="17"/>
      <c r="Q11" s="12">
        <v>46168</v>
      </c>
    </row>
    <row r="12" spans="2:17" s="3" customFormat="1" ht="19.7" customHeight="1" x14ac:dyDescent="0.15">
      <c r="B12" s="38">
        <v>2</v>
      </c>
      <c r="C12" s="8" t="s">
        <v>61</v>
      </c>
      <c r="D12" s="8" t="s">
        <v>61</v>
      </c>
      <c r="E12" s="31" t="s">
        <v>64</v>
      </c>
      <c r="F12" s="9">
        <v>2</v>
      </c>
      <c r="G12" s="37">
        <v>8500</v>
      </c>
      <c r="H12" s="37">
        <f t="shared" si="0"/>
        <v>17000</v>
      </c>
      <c r="I12" s="9"/>
      <c r="J12" s="31" t="s">
        <v>64</v>
      </c>
      <c r="K12" s="39" t="s">
        <v>91</v>
      </c>
      <c r="L12" s="9"/>
      <c r="M12" s="11">
        <v>46100</v>
      </c>
      <c r="N12" s="8"/>
      <c r="O12" s="17">
        <v>46153</v>
      </c>
      <c r="P12" s="17"/>
      <c r="Q12" s="12">
        <v>46168</v>
      </c>
    </row>
    <row r="13" spans="2:17" s="3" customFormat="1" ht="19.7" customHeight="1" x14ac:dyDescent="0.15">
      <c r="B13" s="38">
        <v>3</v>
      </c>
      <c r="C13" s="8" t="s">
        <v>61</v>
      </c>
      <c r="D13" s="8" t="s">
        <v>61</v>
      </c>
      <c r="E13" s="13" t="s">
        <v>65</v>
      </c>
      <c r="F13" s="9">
        <v>2</v>
      </c>
      <c r="G13" s="37">
        <v>26400</v>
      </c>
      <c r="H13" s="37">
        <f t="shared" si="0"/>
        <v>52800</v>
      </c>
      <c r="I13" s="9"/>
      <c r="J13" s="13" t="s">
        <v>65</v>
      </c>
      <c r="K13" s="39" t="s">
        <v>91</v>
      </c>
      <c r="L13" s="9"/>
      <c r="M13" s="11">
        <v>46100</v>
      </c>
      <c r="N13" s="8"/>
      <c r="O13" s="17">
        <v>46153</v>
      </c>
      <c r="P13" s="17"/>
      <c r="Q13" s="12">
        <v>46168</v>
      </c>
    </row>
    <row r="14" spans="2:17" s="3" customFormat="1" ht="19.7" customHeight="1" x14ac:dyDescent="0.15">
      <c r="B14" s="38">
        <v>4</v>
      </c>
      <c r="C14" s="8" t="s">
        <v>61</v>
      </c>
      <c r="D14" s="8" t="s">
        <v>61</v>
      </c>
      <c r="E14" s="31" t="s">
        <v>66</v>
      </c>
      <c r="F14" s="9">
        <v>2</v>
      </c>
      <c r="G14" s="37">
        <v>31500</v>
      </c>
      <c r="H14" s="37">
        <f t="shared" si="0"/>
        <v>63000</v>
      </c>
      <c r="I14" s="9"/>
      <c r="J14" s="31" t="s">
        <v>66</v>
      </c>
      <c r="K14" s="39" t="s">
        <v>91</v>
      </c>
      <c r="L14" s="9"/>
      <c r="M14" s="11">
        <v>46100</v>
      </c>
      <c r="N14" s="8"/>
      <c r="O14" s="17">
        <v>46153</v>
      </c>
      <c r="P14" s="17"/>
      <c r="Q14" s="12">
        <v>46168</v>
      </c>
    </row>
    <row r="15" spans="2:17" s="3" customFormat="1" ht="19.7" customHeight="1" x14ac:dyDescent="0.15">
      <c r="B15" s="38">
        <v>5</v>
      </c>
      <c r="C15" s="8" t="s">
        <v>61</v>
      </c>
      <c r="D15" s="8" t="s">
        <v>61</v>
      </c>
      <c r="E15" s="31" t="s">
        <v>67</v>
      </c>
      <c r="F15" s="9">
        <v>2</v>
      </c>
      <c r="G15" s="37">
        <v>87000</v>
      </c>
      <c r="H15" s="37">
        <f t="shared" si="0"/>
        <v>174000</v>
      </c>
      <c r="I15" s="9"/>
      <c r="J15" s="31" t="s">
        <v>67</v>
      </c>
      <c r="K15" s="39" t="s">
        <v>91</v>
      </c>
      <c r="L15" s="9"/>
      <c r="M15" s="11">
        <v>46100</v>
      </c>
      <c r="N15" s="8"/>
      <c r="O15" s="17">
        <v>46153</v>
      </c>
      <c r="P15" s="17"/>
      <c r="Q15" s="12">
        <v>46168</v>
      </c>
    </row>
    <row r="16" spans="2:17" s="3" customFormat="1" ht="19.7" customHeight="1" x14ac:dyDescent="0.15">
      <c r="B16" s="38">
        <v>6</v>
      </c>
      <c r="C16" s="8" t="s">
        <v>61</v>
      </c>
      <c r="D16" s="8" t="s">
        <v>61</v>
      </c>
      <c r="E16" s="31" t="s">
        <v>68</v>
      </c>
      <c r="F16" s="9">
        <v>2</v>
      </c>
      <c r="G16" s="37">
        <v>105000</v>
      </c>
      <c r="H16" s="37">
        <f t="shared" si="0"/>
        <v>210000</v>
      </c>
      <c r="I16" s="9"/>
      <c r="J16" s="31" t="s">
        <v>68</v>
      </c>
      <c r="K16" s="39" t="s">
        <v>91</v>
      </c>
      <c r="L16" s="9"/>
      <c r="M16" s="11">
        <v>46100</v>
      </c>
      <c r="N16" s="8"/>
      <c r="O16" s="17">
        <v>46153</v>
      </c>
      <c r="P16" s="17"/>
      <c r="Q16" s="12">
        <v>46168</v>
      </c>
    </row>
    <row r="17" spans="2:17" s="3" customFormat="1" ht="19.7" customHeight="1" x14ac:dyDescent="0.15">
      <c r="B17" s="38">
        <v>7</v>
      </c>
      <c r="C17" s="8" t="s">
        <v>61</v>
      </c>
      <c r="D17" s="8" t="s">
        <v>61</v>
      </c>
      <c r="E17" s="13" t="s">
        <v>69</v>
      </c>
      <c r="F17" s="9">
        <v>2</v>
      </c>
      <c r="G17" s="37">
        <v>87000</v>
      </c>
      <c r="H17" s="37">
        <f t="shared" si="0"/>
        <v>174000</v>
      </c>
      <c r="I17" s="9"/>
      <c r="J17" s="13" t="s">
        <v>69</v>
      </c>
      <c r="K17" s="39" t="s">
        <v>91</v>
      </c>
      <c r="L17" s="9"/>
      <c r="M17" s="11">
        <v>46100</v>
      </c>
      <c r="N17" s="8"/>
      <c r="O17" s="17">
        <v>46153</v>
      </c>
      <c r="P17" s="17"/>
      <c r="Q17" s="12">
        <v>46168</v>
      </c>
    </row>
    <row r="18" spans="2:17" s="3" customFormat="1" ht="19.7" customHeight="1" x14ac:dyDescent="0.15">
      <c r="B18" s="38">
        <v>8</v>
      </c>
      <c r="C18" s="8" t="s">
        <v>61</v>
      </c>
      <c r="D18" s="8" t="s">
        <v>61</v>
      </c>
      <c r="E18" s="13" t="s">
        <v>70</v>
      </c>
      <c r="F18" s="9">
        <v>2</v>
      </c>
      <c r="G18" s="37">
        <v>17000</v>
      </c>
      <c r="H18" s="37">
        <f t="shared" si="0"/>
        <v>34000</v>
      </c>
      <c r="I18" s="9"/>
      <c r="J18" s="13" t="s">
        <v>70</v>
      </c>
      <c r="K18" s="39" t="s">
        <v>91</v>
      </c>
      <c r="L18" s="31"/>
      <c r="M18" s="11">
        <v>46100</v>
      </c>
      <c r="N18" s="8"/>
      <c r="O18" s="17">
        <v>46153</v>
      </c>
      <c r="P18" s="17"/>
      <c r="Q18" s="12">
        <v>46168</v>
      </c>
    </row>
    <row r="19" spans="2:17" s="3" customFormat="1" ht="19.7" customHeight="1" x14ac:dyDescent="0.15">
      <c r="B19" s="38">
        <v>9</v>
      </c>
      <c r="C19" s="8" t="s">
        <v>61</v>
      </c>
      <c r="D19" s="8" t="s">
        <v>61</v>
      </c>
      <c r="E19" s="13" t="s">
        <v>71</v>
      </c>
      <c r="F19" s="9">
        <v>2</v>
      </c>
      <c r="G19" s="37">
        <v>74000</v>
      </c>
      <c r="H19" s="37">
        <f t="shared" si="0"/>
        <v>148000</v>
      </c>
      <c r="I19" s="9"/>
      <c r="J19" s="13" t="s">
        <v>71</v>
      </c>
      <c r="K19" s="39" t="s">
        <v>91</v>
      </c>
      <c r="L19" s="31"/>
      <c r="M19" s="11">
        <v>46100</v>
      </c>
      <c r="N19" s="8"/>
      <c r="O19" s="17">
        <v>46153</v>
      </c>
      <c r="P19" s="17"/>
      <c r="Q19" s="47">
        <v>46168</v>
      </c>
    </row>
    <row r="20" spans="2:17" s="3" customFormat="1" ht="19.7" customHeight="1" x14ac:dyDescent="0.15">
      <c r="B20" s="38">
        <v>10</v>
      </c>
      <c r="C20" s="8" t="s">
        <v>61</v>
      </c>
      <c r="D20" s="8" t="s">
        <v>61</v>
      </c>
      <c r="E20" s="13" t="s">
        <v>72</v>
      </c>
      <c r="F20" s="9">
        <v>2</v>
      </c>
      <c r="G20" s="37">
        <v>12000</v>
      </c>
      <c r="H20" s="37">
        <f t="shared" si="0"/>
        <v>24000</v>
      </c>
      <c r="I20" s="9"/>
      <c r="J20" s="13" t="s">
        <v>72</v>
      </c>
      <c r="K20" s="39" t="s">
        <v>91</v>
      </c>
      <c r="L20" s="31"/>
      <c r="M20" s="11">
        <v>46100</v>
      </c>
      <c r="N20" s="8"/>
      <c r="O20" s="17">
        <v>46153</v>
      </c>
      <c r="P20" s="17"/>
      <c r="Q20" s="12">
        <v>46168</v>
      </c>
    </row>
    <row r="21" spans="2:17" s="3" customFormat="1" ht="19.7" customHeight="1" x14ac:dyDescent="0.15">
      <c r="B21" s="38">
        <v>11</v>
      </c>
      <c r="C21" s="8" t="s">
        <v>61</v>
      </c>
      <c r="D21" s="8" t="s">
        <v>61</v>
      </c>
      <c r="E21" s="13" t="s">
        <v>73</v>
      </c>
      <c r="F21" s="9">
        <v>2</v>
      </c>
      <c r="G21" s="37">
        <v>3500</v>
      </c>
      <c r="H21" s="37">
        <f t="shared" si="0"/>
        <v>7000</v>
      </c>
      <c r="I21" s="9"/>
      <c r="J21" s="13" t="s">
        <v>73</v>
      </c>
      <c r="K21" s="39" t="s">
        <v>91</v>
      </c>
      <c r="L21" s="31"/>
      <c r="M21" s="11">
        <v>46100</v>
      </c>
      <c r="N21" s="8"/>
      <c r="O21" s="17">
        <v>46153</v>
      </c>
      <c r="P21" s="17"/>
      <c r="Q21" s="12">
        <v>46168</v>
      </c>
    </row>
    <row r="22" spans="2:17" s="3" customFormat="1" ht="19.7" customHeight="1" x14ac:dyDescent="0.15">
      <c r="B22" s="38">
        <v>12</v>
      </c>
      <c r="C22" s="8" t="s">
        <v>61</v>
      </c>
      <c r="D22" s="8" t="s">
        <v>61</v>
      </c>
      <c r="E22" s="13" t="s">
        <v>74</v>
      </c>
      <c r="F22" s="9">
        <v>2</v>
      </c>
      <c r="G22" s="37">
        <v>39000</v>
      </c>
      <c r="H22" s="37">
        <f t="shared" si="0"/>
        <v>78000</v>
      </c>
      <c r="I22" s="9"/>
      <c r="J22" s="13" t="s">
        <v>74</v>
      </c>
      <c r="K22" s="39" t="s">
        <v>91</v>
      </c>
      <c r="L22" s="31"/>
      <c r="M22" s="11">
        <v>46100</v>
      </c>
      <c r="N22" s="8"/>
      <c r="O22" s="17">
        <v>46153</v>
      </c>
      <c r="P22" s="17"/>
      <c r="Q22" s="12">
        <v>46168</v>
      </c>
    </row>
    <row r="23" spans="2:17" s="3" customFormat="1" ht="19.7" customHeight="1" x14ac:dyDescent="0.15">
      <c r="B23" s="38">
        <v>13</v>
      </c>
      <c r="C23" s="8" t="s">
        <v>61</v>
      </c>
      <c r="D23" s="8" t="s">
        <v>61</v>
      </c>
      <c r="E23" s="13" t="s">
        <v>75</v>
      </c>
      <c r="F23" s="9">
        <v>2</v>
      </c>
      <c r="G23" s="37">
        <v>50000</v>
      </c>
      <c r="H23" s="37">
        <f t="shared" si="0"/>
        <v>100000</v>
      </c>
      <c r="I23" s="9"/>
      <c r="J23" s="13" t="s">
        <v>75</v>
      </c>
      <c r="K23" s="39" t="s">
        <v>91</v>
      </c>
      <c r="L23" s="31"/>
      <c r="M23" s="11">
        <v>46100</v>
      </c>
      <c r="N23" s="8"/>
      <c r="O23" s="17">
        <v>46153</v>
      </c>
      <c r="P23" s="17"/>
      <c r="Q23" s="12">
        <v>46168</v>
      </c>
    </row>
    <row r="24" spans="2:17" s="3" customFormat="1" ht="19.7" customHeight="1" x14ac:dyDescent="0.15">
      <c r="B24" s="40">
        <v>14</v>
      </c>
      <c r="C24" s="8" t="s">
        <v>26</v>
      </c>
      <c r="D24" s="8" t="s">
        <v>27</v>
      </c>
      <c r="E24" s="31" t="s">
        <v>24</v>
      </c>
      <c r="F24" s="9">
        <v>2</v>
      </c>
      <c r="G24" s="37">
        <v>117250</v>
      </c>
      <c r="H24" s="37">
        <f t="shared" ref="H24:H52" si="1">F24*G24</f>
        <v>234500</v>
      </c>
      <c r="I24" s="10"/>
      <c r="J24" s="31" t="s">
        <v>42</v>
      </c>
      <c r="K24" s="39" t="s">
        <v>91</v>
      </c>
      <c r="L24" s="9"/>
      <c r="M24" s="11">
        <v>46100</v>
      </c>
      <c r="N24" s="8"/>
      <c r="O24" s="17">
        <v>46118</v>
      </c>
      <c r="P24" s="11">
        <v>46118</v>
      </c>
      <c r="Q24" s="12">
        <v>46118</v>
      </c>
    </row>
    <row r="25" spans="2:17" s="3" customFormat="1" ht="19.7" customHeight="1" x14ac:dyDescent="0.15">
      <c r="B25" s="41"/>
      <c r="C25" s="8" t="s">
        <v>26</v>
      </c>
      <c r="D25" s="8" t="s">
        <v>27</v>
      </c>
      <c r="E25" s="31" t="s">
        <v>60</v>
      </c>
      <c r="F25" s="9">
        <v>2</v>
      </c>
      <c r="G25" s="37">
        <v>11725</v>
      </c>
      <c r="H25" s="37">
        <f t="shared" si="1"/>
        <v>23450</v>
      </c>
      <c r="I25" s="9"/>
      <c r="J25" s="31" t="s">
        <v>42</v>
      </c>
      <c r="K25" s="39" t="s">
        <v>91</v>
      </c>
      <c r="L25" s="9"/>
      <c r="M25" s="11">
        <v>46100</v>
      </c>
      <c r="N25" s="8"/>
      <c r="O25" s="17">
        <v>46118</v>
      </c>
      <c r="P25" s="11">
        <v>46118</v>
      </c>
      <c r="Q25" s="12">
        <v>46118</v>
      </c>
    </row>
    <row r="26" spans="2:17" s="3" customFormat="1" ht="19.7" customHeight="1" x14ac:dyDescent="0.15">
      <c r="B26" s="42"/>
      <c r="C26" s="8" t="s">
        <v>26</v>
      </c>
      <c r="D26" s="8" t="s">
        <v>27</v>
      </c>
      <c r="E26" s="31" t="s">
        <v>25</v>
      </c>
      <c r="F26" s="9">
        <v>2</v>
      </c>
      <c r="G26" s="37">
        <v>13065</v>
      </c>
      <c r="H26" s="37">
        <f t="shared" si="1"/>
        <v>26130</v>
      </c>
      <c r="I26" s="9"/>
      <c r="J26" s="31" t="s">
        <v>42</v>
      </c>
      <c r="K26" s="39" t="s">
        <v>91</v>
      </c>
      <c r="L26" s="9"/>
      <c r="M26" s="11">
        <v>46100</v>
      </c>
      <c r="N26" s="8"/>
      <c r="O26" s="17">
        <v>46118</v>
      </c>
      <c r="P26" s="11">
        <v>46118</v>
      </c>
      <c r="Q26" s="12">
        <v>46118</v>
      </c>
    </row>
    <row r="27" spans="2:17" s="3" customFormat="1" ht="19.7" customHeight="1" x14ac:dyDescent="0.15">
      <c r="B27" s="40">
        <v>15</v>
      </c>
      <c r="C27" s="8" t="s">
        <v>43</v>
      </c>
      <c r="D27" s="8" t="s">
        <v>43</v>
      </c>
      <c r="E27" s="13" t="s">
        <v>93</v>
      </c>
      <c r="F27" s="9">
        <v>2</v>
      </c>
      <c r="G27" s="13">
        <v>8973</v>
      </c>
      <c r="H27" s="37">
        <f t="shared" si="1"/>
        <v>17946</v>
      </c>
      <c r="I27" s="9"/>
      <c r="J27" s="13" t="s">
        <v>87</v>
      </c>
      <c r="K27" s="9" t="s">
        <v>92</v>
      </c>
      <c r="L27" s="9"/>
      <c r="M27" s="11">
        <v>46099</v>
      </c>
      <c r="N27" s="8"/>
      <c r="O27" s="17"/>
      <c r="P27" s="11">
        <v>46129</v>
      </c>
      <c r="Q27" s="12"/>
    </row>
    <row r="28" spans="2:17" s="3" customFormat="1" ht="19.7" customHeight="1" x14ac:dyDescent="0.15">
      <c r="B28" s="41"/>
      <c r="C28" s="8" t="s">
        <v>43</v>
      </c>
      <c r="D28" s="8" t="s">
        <v>43</v>
      </c>
      <c r="E28" s="13" t="s">
        <v>84</v>
      </c>
      <c r="F28" s="9">
        <v>2</v>
      </c>
      <c r="G28" s="13">
        <v>6948</v>
      </c>
      <c r="H28" s="37">
        <f t="shared" si="1"/>
        <v>13896</v>
      </c>
      <c r="I28" s="9"/>
      <c r="J28" s="31" t="s">
        <v>32</v>
      </c>
      <c r="K28" s="9" t="s">
        <v>92</v>
      </c>
      <c r="L28" s="9"/>
      <c r="M28" s="11">
        <v>46099</v>
      </c>
      <c r="N28" s="8"/>
      <c r="O28" s="17"/>
      <c r="P28" s="11">
        <v>46129</v>
      </c>
      <c r="Q28" s="12"/>
    </row>
    <row r="29" spans="2:17" s="3" customFormat="1" ht="19.7" customHeight="1" x14ac:dyDescent="0.15">
      <c r="B29" s="41"/>
      <c r="C29" s="8" t="s">
        <v>43</v>
      </c>
      <c r="D29" s="8" t="s">
        <v>43</v>
      </c>
      <c r="E29" s="13" t="s">
        <v>83</v>
      </c>
      <c r="F29" s="9">
        <v>2</v>
      </c>
      <c r="G29" s="13">
        <v>2034</v>
      </c>
      <c r="H29" s="37">
        <f t="shared" si="1"/>
        <v>4068</v>
      </c>
      <c r="I29" s="9"/>
      <c r="J29" s="31" t="s">
        <v>33</v>
      </c>
      <c r="K29" s="9" t="s">
        <v>92</v>
      </c>
      <c r="L29" s="9"/>
      <c r="M29" s="11">
        <v>46099</v>
      </c>
      <c r="N29" s="8"/>
      <c r="O29" s="17"/>
      <c r="P29" s="11">
        <v>46129</v>
      </c>
      <c r="Q29" s="12"/>
    </row>
    <row r="30" spans="2:17" s="3" customFormat="1" ht="19.7" customHeight="1" x14ac:dyDescent="0.15">
      <c r="B30" s="41"/>
      <c r="C30" s="8" t="s">
        <v>43</v>
      </c>
      <c r="D30" s="8" t="s">
        <v>43</v>
      </c>
      <c r="E30" s="13" t="s">
        <v>82</v>
      </c>
      <c r="F30" s="9">
        <v>2</v>
      </c>
      <c r="G30" s="13">
        <v>1478</v>
      </c>
      <c r="H30" s="37">
        <f t="shared" si="1"/>
        <v>2956</v>
      </c>
      <c r="I30" s="9"/>
      <c r="J30" s="31" t="s">
        <v>34</v>
      </c>
      <c r="K30" s="9" t="s">
        <v>92</v>
      </c>
      <c r="L30" s="9"/>
      <c r="M30" s="11">
        <v>46099</v>
      </c>
      <c r="N30" s="8"/>
      <c r="O30" s="17"/>
      <c r="P30" s="11">
        <v>46129</v>
      </c>
      <c r="Q30" s="12"/>
    </row>
    <row r="31" spans="2:17" s="3" customFormat="1" ht="19.7" customHeight="1" x14ac:dyDescent="0.15">
      <c r="B31" s="41"/>
      <c r="C31" s="8" t="s">
        <v>43</v>
      </c>
      <c r="D31" s="8" t="s">
        <v>43</v>
      </c>
      <c r="E31" s="13" t="s">
        <v>81</v>
      </c>
      <c r="F31" s="9">
        <v>2</v>
      </c>
      <c r="G31" s="13">
        <v>1845</v>
      </c>
      <c r="H31" s="37">
        <f t="shared" si="1"/>
        <v>3690</v>
      </c>
      <c r="I31" s="9"/>
      <c r="J31" s="13" t="s">
        <v>35</v>
      </c>
      <c r="K31" s="9" t="s">
        <v>92</v>
      </c>
      <c r="L31" s="9"/>
      <c r="M31" s="11">
        <v>46099</v>
      </c>
      <c r="N31" s="8"/>
      <c r="O31" s="9"/>
      <c r="P31" s="11">
        <v>46129</v>
      </c>
      <c r="Q31" s="12"/>
    </row>
    <row r="32" spans="2:17" s="3" customFormat="1" ht="19.7" customHeight="1" x14ac:dyDescent="0.15">
      <c r="B32" s="41"/>
      <c r="C32" s="8" t="s">
        <v>43</v>
      </c>
      <c r="D32" s="8" t="s">
        <v>43</v>
      </c>
      <c r="E32" s="13" t="s">
        <v>80</v>
      </c>
      <c r="F32" s="9">
        <v>2</v>
      </c>
      <c r="G32" s="13">
        <v>4314</v>
      </c>
      <c r="H32" s="37">
        <f t="shared" si="1"/>
        <v>8628</v>
      </c>
      <c r="I32" s="9"/>
      <c r="J32" s="13" t="s">
        <v>36</v>
      </c>
      <c r="K32" s="9" t="s">
        <v>92</v>
      </c>
      <c r="L32" s="31"/>
      <c r="M32" s="11">
        <v>46099</v>
      </c>
      <c r="N32" s="8"/>
      <c r="O32" s="17"/>
      <c r="P32" s="11">
        <v>46129</v>
      </c>
      <c r="Q32" s="12"/>
    </row>
    <row r="33" spans="2:17" s="3" customFormat="1" ht="19.7" customHeight="1" x14ac:dyDescent="0.15">
      <c r="B33" s="41"/>
      <c r="C33" s="8" t="s">
        <v>43</v>
      </c>
      <c r="D33" s="8" t="s">
        <v>43</v>
      </c>
      <c r="E33" s="13" t="s">
        <v>94</v>
      </c>
      <c r="F33" s="9">
        <v>4</v>
      </c>
      <c r="G33" s="13">
        <v>180</v>
      </c>
      <c r="H33" s="37">
        <f t="shared" si="1"/>
        <v>720</v>
      </c>
      <c r="I33" s="10"/>
      <c r="J33" s="13" t="s">
        <v>59</v>
      </c>
      <c r="K33" s="9" t="s">
        <v>92</v>
      </c>
      <c r="L33" s="31"/>
      <c r="M33" s="11">
        <v>46099</v>
      </c>
      <c r="N33" s="8"/>
      <c r="O33" s="17"/>
      <c r="P33" s="11">
        <v>46114</v>
      </c>
      <c r="Q33" s="12"/>
    </row>
    <row r="34" spans="2:17" s="3" customFormat="1" ht="19.7" customHeight="1" x14ac:dyDescent="0.15">
      <c r="B34" s="41"/>
      <c r="C34" s="8" t="s">
        <v>43</v>
      </c>
      <c r="D34" s="8" t="s">
        <v>43</v>
      </c>
      <c r="E34" s="13" t="s">
        <v>48</v>
      </c>
      <c r="F34" s="9">
        <v>2</v>
      </c>
      <c r="G34" s="13">
        <v>1325</v>
      </c>
      <c r="H34" s="37">
        <f t="shared" si="1"/>
        <v>2650</v>
      </c>
      <c r="I34" s="10"/>
      <c r="J34" s="13" t="s">
        <v>58</v>
      </c>
      <c r="K34" s="9" t="s">
        <v>92</v>
      </c>
      <c r="L34" s="31"/>
      <c r="M34" s="11">
        <v>46099</v>
      </c>
      <c r="N34" s="8"/>
      <c r="O34" s="17"/>
      <c r="P34" s="11">
        <v>46114</v>
      </c>
      <c r="Q34" s="12"/>
    </row>
    <row r="35" spans="2:17" s="3" customFormat="1" ht="19.7" customHeight="1" x14ac:dyDescent="0.15">
      <c r="B35" s="41"/>
      <c r="C35" s="8" t="s">
        <v>43</v>
      </c>
      <c r="D35" s="8" t="s">
        <v>43</v>
      </c>
      <c r="E35" s="13" t="s">
        <v>37</v>
      </c>
      <c r="F35" s="9">
        <v>4</v>
      </c>
      <c r="G35" s="13">
        <v>1599</v>
      </c>
      <c r="H35" s="37">
        <f t="shared" si="1"/>
        <v>6396</v>
      </c>
      <c r="I35" s="10"/>
      <c r="J35" s="13" t="s">
        <v>57</v>
      </c>
      <c r="K35" s="9" t="s">
        <v>92</v>
      </c>
      <c r="L35" s="31"/>
      <c r="M35" s="11">
        <v>46099</v>
      </c>
      <c r="N35" s="8"/>
      <c r="O35" s="17"/>
      <c r="P35" s="11">
        <v>46114</v>
      </c>
      <c r="Q35" s="12"/>
    </row>
    <row r="36" spans="2:17" s="3" customFormat="1" ht="19.7" customHeight="1" x14ac:dyDescent="0.15">
      <c r="B36" s="41"/>
      <c r="C36" s="8" t="s">
        <v>43</v>
      </c>
      <c r="D36" s="8" t="s">
        <v>43</v>
      </c>
      <c r="E36" s="13" t="s">
        <v>38</v>
      </c>
      <c r="F36" s="9">
        <v>2</v>
      </c>
      <c r="G36" s="13">
        <v>5105</v>
      </c>
      <c r="H36" s="37">
        <f t="shared" si="1"/>
        <v>10210</v>
      </c>
      <c r="I36" s="10"/>
      <c r="J36" s="13" t="s">
        <v>56</v>
      </c>
      <c r="K36" s="9" t="s">
        <v>92</v>
      </c>
      <c r="L36" s="31"/>
      <c r="M36" s="11">
        <v>46099</v>
      </c>
      <c r="N36" s="8"/>
      <c r="O36" s="17"/>
      <c r="P36" s="11">
        <v>46114</v>
      </c>
      <c r="Q36" s="12"/>
    </row>
    <row r="37" spans="2:17" s="3" customFormat="1" ht="19.7" customHeight="1" x14ac:dyDescent="0.15">
      <c r="B37" s="41"/>
      <c r="C37" s="8" t="s">
        <v>43</v>
      </c>
      <c r="D37" s="8" t="s">
        <v>43</v>
      </c>
      <c r="E37" s="13" t="s">
        <v>47</v>
      </c>
      <c r="F37" s="9">
        <v>2</v>
      </c>
      <c r="G37" s="13">
        <v>7884</v>
      </c>
      <c r="H37" s="37">
        <f t="shared" si="1"/>
        <v>15768</v>
      </c>
      <c r="I37" s="10"/>
      <c r="J37" s="13" t="s">
        <v>55</v>
      </c>
      <c r="K37" s="9" t="s">
        <v>92</v>
      </c>
      <c r="L37" s="31"/>
      <c r="M37" s="11">
        <v>46099</v>
      </c>
      <c r="N37" s="8"/>
      <c r="O37" s="17"/>
      <c r="P37" s="11">
        <v>46114</v>
      </c>
      <c r="Q37" s="12"/>
    </row>
    <row r="38" spans="2:17" s="3" customFormat="1" ht="19.7" customHeight="1" x14ac:dyDescent="0.15">
      <c r="B38" s="41"/>
      <c r="C38" s="8" t="s">
        <v>43</v>
      </c>
      <c r="D38" s="8" t="s">
        <v>43</v>
      </c>
      <c r="E38" s="13" t="s">
        <v>46</v>
      </c>
      <c r="F38" s="9">
        <v>2</v>
      </c>
      <c r="G38" s="13">
        <v>7730</v>
      </c>
      <c r="H38" s="37">
        <f t="shared" si="1"/>
        <v>15460</v>
      </c>
      <c r="I38" s="10"/>
      <c r="J38" s="13" t="s">
        <v>54</v>
      </c>
      <c r="K38" s="9" t="s">
        <v>92</v>
      </c>
      <c r="L38" s="31"/>
      <c r="M38" s="11">
        <v>46099</v>
      </c>
      <c r="N38" s="8"/>
      <c r="O38" s="17"/>
      <c r="P38" s="11">
        <v>46114</v>
      </c>
      <c r="Q38" s="12"/>
    </row>
    <row r="39" spans="2:17" s="3" customFormat="1" ht="19.7" customHeight="1" x14ac:dyDescent="0.15">
      <c r="B39" s="41"/>
      <c r="C39" s="8" t="s">
        <v>43</v>
      </c>
      <c r="D39" s="8" t="s">
        <v>43</v>
      </c>
      <c r="E39" s="13" t="s">
        <v>39</v>
      </c>
      <c r="F39" s="9">
        <v>2</v>
      </c>
      <c r="G39" s="13">
        <v>4177</v>
      </c>
      <c r="H39" s="37">
        <f t="shared" si="1"/>
        <v>8354</v>
      </c>
      <c r="I39" s="10"/>
      <c r="J39" s="13" t="s">
        <v>53</v>
      </c>
      <c r="K39" s="9" t="s">
        <v>92</v>
      </c>
      <c r="L39" s="31"/>
      <c r="M39" s="11">
        <v>46099</v>
      </c>
      <c r="N39" s="8"/>
      <c r="O39" s="17"/>
      <c r="P39" s="11">
        <v>46114</v>
      </c>
      <c r="Q39" s="12"/>
    </row>
    <row r="40" spans="2:17" s="3" customFormat="1" ht="19.7" customHeight="1" x14ac:dyDescent="0.15">
      <c r="B40" s="41"/>
      <c r="C40" s="8" t="s">
        <v>43</v>
      </c>
      <c r="D40" s="8" t="s">
        <v>43</v>
      </c>
      <c r="E40" s="13" t="s">
        <v>40</v>
      </c>
      <c r="F40" s="9">
        <v>2</v>
      </c>
      <c r="G40" s="13">
        <v>3534</v>
      </c>
      <c r="H40" s="37">
        <f t="shared" si="1"/>
        <v>7068</v>
      </c>
      <c r="I40" s="10"/>
      <c r="J40" s="13" t="s">
        <v>53</v>
      </c>
      <c r="K40" s="9" t="s">
        <v>92</v>
      </c>
      <c r="L40" s="31"/>
      <c r="M40" s="11">
        <v>46099</v>
      </c>
      <c r="N40" s="8"/>
      <c r="O40" s="17"/>
      <c r="P40" s="11">
        <v>46114</v>
      </c>
      <c r="Q40" s="12"/>
    </row>
    <row r="41" spans="2:17" s="3" customFormat="1" ht="19.7" customHeight="1" x14ac:dyDescent="0.15">
      <c r="B41" s="41"/>
      <c r="C41" s="8" t="s">
        <v>43</v>
      </c>
      <c r="D41" s="8" t="s">
        <v>43</v>
      </c>
      <c r="E41" s="13" t="s">
        <v>45</v>
      </c>
      <c r="F41" s="9">
        <v>24</v>
      </c>
      <c r="G41" s="13">
        <v>74</v>
      </c>
      <c r="H41" s="37">
        <f t="shared" si="1"/>
        <v>1776</v>
      </c>
      <c r="I41" s="10"/>
      <c r="J41" s="13" t="s">
        <v>52</v>
      </c>
      <c r="K41" s="9" t="s">
        <v>92</v>
      </c>
      <c r="L41" s="31"/>
      <c r="M41" s="11">
        <v>46099</v>
      </c>
      <c r="N41" s="8"/>
      <c r="O41" s="17"/>
      <c r="P41" s="11">
        <v>46114</v>
      </c>
      <c r="Q41" s="12"/>
    </row>
    <row r="42" spans="2:17" s="3" customFormat="1" ht="19.7" customHeight="1" x14ac:dyDescent="0.15">
      <c r="B42" s="41"/>
      <c r="C42" s="8" t="s">
        <v>43</v>
      </c>
      <c r="D42" s="8" t="s">
        <v>43</v>
      </c>
      <c r="E42" s="13" t="s">
        <v>90</v>
      </c>
      <c r="F42" s="9">
        <v>8</v>
      </c>
      <c r="G42" s="13">
        <v>539</v>
      </c>
      <c r="H42" s="37">
        <f t="shared" si="1"/>
        <v>4312</v>
      </c>
      <c r="I42" s="10"/>
      <c r="J42" s="13" t="s">
        <v>51</v>
      </c>
      <c r="K42" s="9" t="s">
        <v>92</v>
      </c>
      <c r="L42" s="31"/>
      <c r="M42" s="11">
        <v>46099</v>
      </c>
      <c r="N42" s="8"/>
      <c r="O42" s="17"/>
      <c r="P42" s="11">
        <v>46114</v>
      </c>
      <c r="Q42" s="12"/>
    </row>
    <row r="43" spans="2:17" s="3" customFormat="1" ht="19.7" customHeight="1" x14ac:dyDescent="0.15">
      <c r="B43" s="41"/>
      <c r="C43" s="8" t="s">
        <v>43</v>
      </c>
      <c r="D43" s="8" t="s">
        <v>43</v>
      </c>
      <c r="E43" s="13" t="s">
        <v>41</v>
      </c>
      <c r="F43" s="9">
        <v>2</v>
      </c>
      <c r="G43" s="13">
        <v>326</v>
      </c>
      <c r="H43" s="37">
        <f t="shared" si="1"/>
        <v>652</v>
      </c>
      <c r="I43" s="10"/>
      <c r="J43" s="13" t="s">
        <v>50</v>
      </c>
      <c r="K43" s="9" t="s">
        <v>92</v>
      </c>
      <c r="L43" s="31"/>
      <c r="M43" s="11">
        <v>46099</v>
      </c>
      <c r="N43" s="8"/>
      <c r="O43" s="17"/>
      <c r="P43" s="11">
        <v>46114</v>
      </c>
      <c r="Q43" s="12"/>
    </row>
    <row r="44" spans="2:17" s="3" customFormat="1" ht="19.7" customHeight="1" x14ac:dyDescent="0.15">
      <c r="B44" s="41"/>
      <c r="C44" s="8" t="s">
        <v>43</v>
      </c>
      <c r="D44" s="8" t="s">
        <v>43</v>
      </c>
      <c r="E44" s="13" t="s">
        <v>44</v>
      </c>
      <c r="F44" s="9">
        <v>2</v>
      </c>
      <c r="G44" s="13">
        <v>664</v>
      </c>
      <c r="H44" s="37">
        <f t="shared" si="1"/>
        <v>1328</v>
      </c>
      <c r="I44" s="10"/>
      <c r="J44" s="13" t="s">
        <v>49</v>
      </c>
      <c r="K44" s="9" t="s">
        <v>92</v>
      </c>
      <c r="L44" s="31"/>
      <c r="M44" s="11">
        <v>46099</v>
      </c>
      <c r="N44" s="8"/>
      <c r="O44" s="17"/>
      <c r="P44" s="11">
        <v>46114</v>
      </c>
      <c r="Q44" s="12"/>
    </row>
    <row r="45" spans="2:17" s="3" customFormat="1" ht="19.7" customHeight="1" x14ac:dyDescent="0.15">
      <c r="B45" s="41"/>
      <c r="C45" s="8" t="s">
        <v>43</v>
      </c>
      <c r="D45" s="8" t="s">
        <v>43</v>
      </c>
      <c r="E45" s="13" t="s">
        <v>88</v>
      </c>
      <c r="F45" s="9">
        <v>4</v>
      </c>
      <c r="G45" s="13">
        <v>77</v>
      </c>
      <c r="H45" s="37">
        <f t="shared" si="1"/>
        <v>308</v>
      </c>
      <c r="I45" s="10"/>
      <c r="J45" s="13" t="s">
        <v>95</v>
      </c>
      <c r="K45" s="9" t="s">
        <v>92</v>
      </c>
      <c r="L45" s="31"/>
      <c r="M45" s="11">
        <v>46099</v>
      </c>
      <c r="N45" s="8"/>
      <c r="O45" s="17"/>
      <c r="P45" s="11">
        <v>46114</v>
      </c>
      <c r="Q45" s="12"/>
    </row>
    <row r="46" spans="2:17" s="3" customFormat="1" ht="19.7" customHeight="1" x14ac:dyDescent="0.15">
      <c r="B46" s="41"/>
      <c r="C46" s="8" t="s">
        <v>43</v>
      </c>
      <c r="D46" s="8" t="s">
        <v>43</v>
      </c>
      <c r="E46" s="13" t="s">
        <v>89</v>
      </c>
      <c r="F46" s="9">
        <v>4</v>
      </c>
      <c r="G46" s="13">
        <v>77</v>
      </c>
      <c r="H46" s="37">
        <f t="shared" ref="H46:H47" si="2">F46*G46</f>
        <v>308</v>
      </c>
      <c r="I46" s="10"/>
      <c r="J46" s="13" t="s">
        <v>95</v>
      </c>
      <c r="K46" s="9" t="s">
        <v>92</v>
      </c>
      <c r="L46" s="31"/>
      <c r="M46" s="11">
        <v>46099</v>
      </c>
      <c r="N46" s="8"/>
      <c r="O46" s="17"/>
      <c r="P46" s="11">
        <v>46114</v>
      </c>
      <c r="Q46" s="12"/>
    </row>
    <row r="47" spans="2:17" s="3" customFormat="1" ht="19.7" customHeight="1" x14ac:dyDescent="0.15">
      <c r="B47" s="42"/>
      <c r="C47" s="8" t="s">
        <v>43</v>
      </c>
      <c r="D47" s="8" t="s">
        <v>43</v>
      </c>
      <c r="E47" s="13" t="s">
        <v>94</v>
      </c>
      <c r="F47" s="9">
        <v>4</v>
      </c>
      <c r="G47" s="13">
        <v>180</v>
      </c>
      <c r="H47" s="37">
        <f t="shared" si="2"/>
        <v>720</v>
      </c>
      <c r="I47" s="10"/>
      <c r="J47" s="13" t="s">
        <v>59</v>
      </c>
      <c r="K47" s="9" t="s">
        <v>92</v>
      </c>
      <c r="L47" s="31"/>
      <c r="M47" s="11">
        <v>46099</v>
      </c>
      <c r="N47" s="8"/>
      <c r="O47" s="17"/>
      <c r="P47" s="11">
        <v>46114</v>
      </c>
      <c r="Q47" s="12"/>
    </row>
    <row r="48" spans="2:17" s="3" customFormat="1" ht="19.7" customHeight="1" x14ac:dyDescent="0.15">
      <c r="B48" s="40">
        <v>16</v>
      </c>
      <c r="C48" s="8" t="s">
        <v>76</v>
      </c>
      <c r="D48" s="8" t="s">
        <v>76</v>
      </c>
      <c r="E48" s="31" t="s">
        <v>77</v>
      </c>
      <c r="F48" s="9">
        <v>2</v>
      </c>
      <c r="G48" s="37">
        <v>13900</v>
      </c>
      <c r="H48" s="37">
        <f t="shared" si="1"/>
        <v>27800</v>
      </c>
      <c r="I48" s="10"/>
      <c r="J48" s="31" t="s">
        <v>78</v>
      </c>
      <c r="K48" s="39" t="s">
        <v>91</v>
      </c>
      <c r="L48" s="9"/>
      <c r="M48" s="11">
        <v>46100</v>
      </c>
      <c r="N48" s="8"/>
      <c r="O48" s="17">
        <v>46118</v>
      </c>
      <c r="P48" s="11"/>
      <c r="Q48" s="12">
        <v>46115</v>
      </c>
    </row>
    <row r="49" spans="2:17" s="3" customFormat="1" ht="19.7" customHeight="1" x14ac:dyDescent="0.15">
      <c r="B49" s="42"/>
      <c r="C49" s="8" t="s">
        <v>76</v>
      </c>
      <c r="D49" s="8" t="s">
        <v>76</v>
      </c>
      <c r="E49" s="31" t="s">
        <v>79</v>
      </c>
      <c r="F49" s="9">
        <v>1</v>
      </c>
      <c r="G49" s="37">
        <v>-8800</v>
      </c>
      <c r="H49" s="37">
        <f t="shared" si="1"/>
        <v>-8800</v>
      </c>
      <c r="I49" s="9"/>
      <c r="J49" s="31" t="s">
        <v>79</v>
      </c>
      <c r="K49" s="39" t="s">
        <v>91</v>
      </c>
      <c r="L49" s="9"/>
      <c r="M49" s="11">
        <v>46100</v>
      </c>
      <c r="N49" s="8"/>
      <c r="O49" s="17">
        <v>46118</v>
      </c>
      <c r="P49" s="11"/>
      <c r="Q49" s="12">
        <v>46115</v>
      </c>
    </row>
    <row r="50" spans="2:17" s="3" customFormat="1" ht="19.7" customHeight="1" x14ac:dyDescent="0.15">
      <c r="B50" s="38">
        <v>20</v>
      </c>
      <c r="C50" s="8" t="s">
        <v>61</v>
      </c>
      <c r="D50" s="8" t="s">
        <v>61</v>
      </c>
      <c r="E50" s="13" t="s">
        <v>85</v>
      </c>
      <c r="F50" s="9">
        <v>2</v>
      </c>
      <c r="G50" s="37">
        <v>47500</v>
      </c>
      <c r="H50" s="37">
        <f>F50*G50</f>
        <v>95000</v>
      </c>
      <c r="I50" s="10"/>
      <c r="J50" s="13" t="s">
        <v>86</v>
      </c>
      <c r="K50" s="39" t="s">
        <v>91</v>
      </c>
      <c r="L50" s="31"/>
      <c r="M50" s="11">
        <v>46100</v>
      </c>
      <c r="N50" s="8"/>
      <c r="O50" s="17">
        <v>46153</v>
      </c>
      <c r="P50" s="17"/>
      <c r="Q50" s="47">
        <v>46168</v>
      </c>
    </row>
    <row r="51" spans="2:17" s="3" customFormat="1" ht="19.7" customHeight="1" x14ac:dyDescent="0.15">
      <c r="B51" s="40" t="s">
        <v>28</v>
      </c>
      <c r="C51" s="8" t="s">
        <v>29</v>
      </c>
      <c r="D51" s="8" t="s">
        <v>29</v>
      </c>
      <c r="E51" s="13" t="s">
        <v>30</v>
      </c>
      <c r="F51" s="9">
        <v>10</v>
      </c>
      <c r="G51" s="37">
        <v>5000</v>
      </c>
      <c r="H51" s="37">
        <f t="shared" si="1"/>
        <v>50000</v>
      </c>
      <c r="I51" s="9"/>
      <c r="J51" s="13" t="s">
        <v>30</v>
      </c>
      <c r="K51" s="30"/>
      <c r="L51" s="31"/>
      <c r="M51" s="11"/>
      <c r="N51" s="8"/>
      <c r="O51" s="17"/>
      <c r="P51" s="11"/>
      <c r="Q51" s="12"/>
    </row>
    <row r="52" spans="2:17" s="3" customFormat="1" ht="19.7" customHeight="1" x14ac:dyDescent="0.15">
      <c r="B52" s="42"/>
      <c r="C52" s="8" t="s">
        <v>29</v>
      </c>
      <c r="D52" s="8" t="s">
        <v>29</v>
      </c>
      <c r="E52" s="13" t="s">
        <v>31</v>
      </c>
      <c r="F52" s="9">
        <v>40</v>
      </c>
      <c r="G52" s="37">
        <v>5000</v>
      </c>
      <c r="H52" s="37">
        <f t="shared" si="1"/>
        <v>200000</v>
      </c>
      <c r="I52" s="9"/>
      <c r="J52" s="13" t="s">
        <v>31</v>
      </c>
      <c r="K52" s="30"/>
      <c r="L52" s="31"/>
      <c r="M52" s="11"/>
      <c r="N52" s="8"/>
      <c r="O52" s="17"/>
      <c r="P52" s="11"/>
      <c r="Q52" s="12"/>
    </row>
  </sheetData>
  <autoFilter ref="B9:O31" xr:uid="{00000000-0009-0000-0000-000000000000}"/>
  <mergeCells count="11">
    <mergeCell ref="B24:B26"/>
    <mergeCell ref="B51:B52"/>
    <mergeCell ref="B6:D6"/>
    <mergeCell ref="G2:I2"/>
    <mergeCell ref="B2:D2"/>
    <mergeCell ref="B3:D3"/>
    <mergeCell ref="B4:D4"/>
    <mergeCell ref="B5:D5"/>
    <mergeCell ref="B48:B49"/>
    <mergeCell ref="B10:B11"/>
    <mergeCell ref="B27:B47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2026-06-04T00:23:36Z</dcterms:modified>
</cp:coreProperties>
</file>