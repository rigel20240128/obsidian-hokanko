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aito\Desktop\SETB0324-A01 千葉氏　AXA200HV＋ﾍﾟﾙｰﾁｪ10cc＋チップディテクトセンサー 20260323\"/>
    </mc:Choice>
  </mc:AlternateContent>
  <xr:revisionPtr revIDLastSave="0" documentId="13_ncr:1_{72DA22D9-DEA1-429F-81F0-2BB89BE96B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B0324-A01　20260331②" sheetId="23" r:id="rId1"/>
    <sheet name="Sheet3" sheetId="3" r:id="rId2"/>
  </sheets>
  <definedNames>
    <definedName name="_xlnm._FilterDatabase" localSheetId="0" hidden="1">'SETB0324-A01　20260331②'!$D$9:$Q$76</definedName>
    <definedName name="_xlnm.Print_Area" localSheetId="0">'SETB0324-A01　20260331②'!$C$1:$L$76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3" l="1"/>
  <c r="J32" i="23"/>
  <c r="J17" i="23"/>
  <c r="D16" i="23"/>
  <c r="D17" i="23"/>
  <c r="D18" i="23" s="1"/>
  <c r="D19" i="23" s="1"/>
  <c r="J30" i="23"/>
  <c r="J24" i="23"/>
  <c r="J23" i="23"/>
  <c r="J22" i="23"/>
  <c r="J21" i="23"/>
  <c r="J20" i="23"/>
  <c r="J19" i="23"/>
  <c r="J18" i="23"/>
  <c r="J16" i="23"/>
  <c r="J15" i="23"/>
  <c r="J14" i="23"/>
  <c r="J13" i="23"/>
  <c r="D14" i="23"/>
  <c r="D15" i="23" s="1"/>
  <c r="G26" i="23" l="1"/>
  <c r="D20" i="23"/>
  <c r="D21" i="23" s="1"/>
  <c r="D22" i="23" s="1"/>
  <c r="D23" i="23" s="1"/>
  <c r="D24" i="23" s="1"/>
  <c r="D30" i="23" s="1"/>
  <c r="L2" i="23"/>
  <c r="G58" i="3" l="1"/>
  <c r="B121" i="3"/>
  <c r="D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<sst xmlns="http://schemas.openxmlformats.org/spreadsheetml/2006/main" count="153" uniqueCount="91">
  <si>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</si>
  <si>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</si>
  <si>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</si>
  <si>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</si>
  <si>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</si>
  <si>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</si>
  <si>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</si>
  <si>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</si>
  <si>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</si>
  <si>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</si>
  <si>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</si>
  <si>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</si>
  <si>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</si>
  <si>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</si>
  <si>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</si>
  <si>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</si>
  <si>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</si>
  <si>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</si>
  <si>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</si>
  <si>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</si>
  <si>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</si>
  <si>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図面番号</t>
    <rPh sb="0" eb="1">
      <t>ズ</t>
    </rPh>
    <rPh sb="1" eb="2">
      <t>メン</t>
    </rPh>
    <rPh sb="2" eb="4">
      <t>バンゴウ</t>
    </rPh>
    <phoneticPr fontId="1"/>
  </si>
  <si>
    <t>出荷依頼項目NO.</t>
    <rPh sb="0" eb="2">
      <t>シュッカ</t>
    </rPh>
    <rPh sb="2" eb="4">
      <t>イライ</t>
    </rPh>
    <rPh sb="4" eb="6">
      <t>コウモク</t>
    </rPh>
    <phoneticPr fontId="6"/>
  </si>
  <si>
    <t>納期</t>
    <rPh sb="0" eb="2">
      <t>ノウキ</t>
    </rPh>
    <phoneticPr fontId="6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</si>
  <si>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</si>
  <si>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</si>
  <si>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</si>
  <si>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</si>
  <si>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</si>
  <si>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</si>
  <si>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</si>
  <si>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</si>
  <si>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</si>
  <si>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</si>
  <si>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</si>
  <si>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</si>
  <si>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</si>
  <si>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</si>
  <si>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</si>
  <si>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</si>
  <si>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</si>
  <si>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</si>
  <si>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</si>
  <si>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ただの引き出し</t>
    <rPh sb="3" eb="4">
      <t>ヒ</t>
    </rPh>
    <rPh sb="5" eb="6">
      <t>ダ</t>
    </rPh>
    <phoneticPr fontId="1"/>
  </si>
  <si>
    <t>足つき改造位置出し</t>
    <rPh sb="0" eb="1">
      <t>アシ</t>
    </rPh>
    <rPh sb="3" eb="5">
      <t>カイゾウ</t>
    </rPh>
    <rPh sb="5" eb="8">
      <t>イチダ</t>
    </rPh>
    <phoneticPr fontId="1"/>
  </si>
  <si>
    <t>ﾜｰｸ治具追加分</t>
    <rPh sb="3" eb="5">
      <t>ジグ</t>
    </rPh>
    <rPh sb="5" eb="7">
      <t>ツイカ</t>
    </rPh>
    <rPh sb="7" eb="8">
      <t>ブン</t>
    </rPh>
    <phoneticPr fontId="1"/>
  </si>
  <si>
    <t>アルプスアルパイン株式会社様</t>
    <rPh sb="13" eb="14">
      <t>サマ</t>
    </rPh>
    <phoneticPr fontId="1"/>
  </si>
  <si>
    <t>千葉 　（齋藤）</t>
    <rPh sb="0" eb="2">
      <t>チバ</t>
    </rPh>
    <rPh sb="5" eb="7">
      <t>サイトウ</t>
    </rPh>
    <phoneticPr fontId="1"/>
  </si>
  <si>
    <t>NO.231416</t>
    <phoneticPr fontId="1"/>
  </si>
  <si>
    <t>組立課組立予定</t>
    <rPh sb="0" eb="3">
      <t>クミタテカ</t>
    </rPh>
    <rPh sb="3" eb="7">
      <t>クミタテヨテイ</t>
    </rPh>
    <phoneticPr fontId="10"/>
  </si>
  <si>
    <t>ﾂｰﾙ治具</t>
    <rPh sb="3" eb="5">
      <t>ジグ</t>
    </rPh>
    <phoneticPr fontId="10"/>
  </si>
  <si>
    <t>SETB0298-Y04　ﾂｰﾙ治具AXA-HV+IL100S　ﾌﾞﾗｹｯﾄ</t>
    <phoneticPr fontId="10"/>
  </si>
  <si>
    <t>MS2-6</t>
    <phoneticPr fontId="10"/>
  </si>
  <si>
    <t>ノックピン</t>
    <phoneticPr fontId="10"/>
  </si>
  <si>
    <t>SCB4-6</t>
    <phoneticPr fontId="10"/>
  </si>
  <si>
    <t>六角穴付ボルト</t>
    <rPh sb="0" eb="4">
      <t>ロッカクアナツキ</t>
    </rPh>
    <phoneticPr fontId="10"/>
  </si>
  <si>
    <t>SLSBG8-32-M4-N4</t>
    <phoneticPr fontId="10"/>
  </si>
  <si>
    <t>六角柱</t>
    <rPh sb="0" eb="3">
      <t>ロッカクチュウ</t>
    </rPh>
    <phoneticPr fontId="10"/>
  </si>
  <si>
    <t>SETB0324-Y01　ﾂｰﾙ治具背板</t>
    <phoneticPr fontId="10"/>
  </si>
  <si>
    <t>AJPNGB4-P5.95-B6.0-G4-GC</t>
    <phoneticPr fontId="10"/>
  </si>
  <si>
    <t>MS3-15</t>
    <phoneticPr fontId="10"/>
  </si>
  <si>
    <t>SCB5-12</t>
    <phoneticPr fontId="10"/>
  </si>
  <si>
    <t>SETB0324-Y02　ﾍﾟﾙｰﾁｪ10ccｽﾍﾟｰｻ</t>
    <phoneticPr fontId="10"/>
  </si>
  <si>
    <t>SCB4-16</t>
    <phoneticPr fontId="10"/>
  </si>
  <si>
    <t>SCB4-8</t>
    <phoneticPr fontId="10"/>
  </si>
  <si>
    <t>MVSHM-3N02058-4EM-ZZ3W9</t>
    <phoneticPr fontId="10"/>
  </si>
  <si>
    <t>meviy</t>
    <phoneticPr fontId="10"/>
  </si>
  <si>
    <t>ミスミ</t>
    <phoneticPr fontId="10"/>
  </si>
  <si>
    <t>3日目</t>
    <rPh sb="1" eb="2">
      <t>ヒ</t>
    </rPh>
    <rPh sb="2" eb="3">
      <t>メ</t>
    </rPh>
    <phoneticPr fontId="1"/>
  </si>
  <si>
    <t>MVBLK-AMW-4GX-FSEHN</t>
    <phoneticPr fontId="10"/>
  </si>
  <si>
    <t>8日目</t>
    <rPh sb="1" eb="2">
      <t>ヒ</t>
    </rPh>
    <rPh sb="2" eb="3">
      <t>メ</t>
    </rPh>
    <phoneticPr fontId="1"/>
  </si>
  <si>
    <t>MVBLK-AMN-4GX-UJUA2</t>
    <phoneticPr fontId="10"/>
  </si>
  <si>
    <t>SCB4-12</t>
    <phoneticPr fontId="10"/>
  </si>
  <si>
    <t>位置決めピン 高耐食ステンレス</t>
    <phoneticPr fontId="10"/>
  </si>
  <si>
    <t>1日目</t>
    <rPh sb="1" eb="2">
      <t>ヒ</t>
    </rPh>
    <rPh sb="2" eb="3">
      <t>メ</t>
    </rPh>
    <phoneticPr fontId="1"/>
  </si>
  <si>
    <t>2日目</t>
    <rPh sb="1" eb="2">
      <t>ヒ</t>
    </rPh>
    <rPh sb="2" eb="3">
      <t>メ</t>
    </rPh>
    <phoneticPr fontId="1"/>
  </si>
  <si>
    <t>5日目</t>
    <rPh sb="1" eb="2">
      <t>ヒ</t>
    </rPh>
    <rPh sb="2" eb="3">
      <t>メ</t>
    </rPh>
    <phoneticPr fontId="1"/>
  </si>
  <si>
    <t>6日目</t>
    <rPh sb="1" eb="2">
      <t>ヒ</t>
    </rPh>
    <rPh sb="2" eb="3">
      <t>メ</t>
    </rPh>
    <phoneticPr fontId="1"/>
  </si>
  <si>
    <t>ミスミ</t>
  </si>
  <si>
    <t>KCC7-8000-210226-409</t>
    <phoneticPr fontId="1"/>
  </si>
  <si>
    <t>I/Oｹｰﾌﾞﾙ</t>
    <phoneticPr fontId="10"/>
  </si>
  <si>
    <t>7日目</t>
    <rPh sb="1" eb="2">
      <t>ヒ</t>
    </rPh>
    <rPh sb="2" eb="3">
      <t>メ</t>
    </rPh>
    <phoneticPr fontId="1"/>
  </si>
  <si>
    <t>【231416】① SETB0324-A01 千葉氏　AXA200HV＋ﾍﾟﾙｰﾁｪ10cc＋チップディテクトセンサー 20260323</t>
    <phoneticPr fontId="10"/>
  </si>
  <si>
    <t>②</t>
    <phoneticPr fontId="7"/>
  </si>
  <si>
    <t>NO.231416-1 H-SAITOU</t>
    <phoneticPr fontId="10"/>
  </si>
  <si>
    <t xml:space="preserve">
AB24EC4C8F</t>
    <phoneticPr fontId="10"/>
  </si>
  <si>
    <t>ミスミ</t>
    <phoneticPr fontId="1"/>
  </si>
  <si>
    <t>Dsub9　オス　コネクタハーネス　#4-40ショートねじ</t>
    <phoneticPr fontId="1"/>
  </si>
  <si>
    <t>PDDU-PT-MS-9-2.5</t>
    <phoneticPr fontId="1"/>
  </si>
  <si>
    <t>AB24EC7BF6</t>
    <phoneticPr fontId="10"/>
  </si>
  <si>
    <r>
      <t xml:space="preserve">ｺﾝﾄﾛｰﾗ用I/O　-　D-Sub(L=2m）  </t>
    </r>
    <r>
      <rPr>
        <b/>
        <sz val="11"/>
        <color rgb="FFFF0000"/>
        <rFont val="ＭＳ Ｐゴシック"/>
        <family val="3"/>
        <charset val="128"/>
        <scheme val="minor"/>
      </rPr>
      <t>中止変更</t>
    </r>
    <rPh sb="6" eb="7">
      <t>ヨウ</t>
    </rPh>
    <rPh sb="26" eb="28">
      <t>チュウシ</t>
    </rPh>
    <rPh sb="28" eb="30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</si>
</sst>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B0F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b/>
      <sz val="12"/>
      <color theme="7" tint="-0.249977111117893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5" fillId="0" borderId="0"/>
    <xf numFmtId="0" fontId="11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5" fillId="0" borderId="0" xfId="2"/>
    <xf numFmtId="180" fontId="0" fillId="0" borderId="2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0" fillId="0" borderId="7" xfId="0" applyNumberFormat="1" applyBorder="1" applyAlignment="1"/>
    <xf numFmtId="0" fontId="0" fillId="0" borderId="7" xfId="0" applyBorder="1" applyAlignment="1">
      <alignment horizontal="left" vertical="center" shrinkToFit="1"/>
    </xf>
    <xf numFmtId="3" fontId="11" fillId="0" borderId="2" xfId="3" applyNumberFormat="1" applyBorder="1" applyAlignment="1">
      <alignment horizontal="center" vertical="center"/>
    </xf>
    <xf numFmtId="3" fontId="11" fillId="0" borderId="1" xfId="3" applyNumberFormat="1" applyBorder="1" applyAlignment="1">
      <alignment horizontal="center" vertical="center"/>
    </xf>
    <xf numFmtId="0" fontId="11" fillId="0" borderId="1" xfId="3" applyBorder="1" applyAlignment="1">
      <alignment horizontal="center" vertical="center"/>
    </xf>
    <xf numFmtId="0" fontId="11" fillId="0" borderId="2" xfId="3" applyBorder="1" applyAlignment="1">
      <alignment horizontal="left" vertical="center"/>
    </xf>
    <xf numFmtId="0" fontId="11" fillId="0" borderId="2" xfId="3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3" fontId="14" fillId="5" borderId="1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3" fontId="11" fillId="6" borderId="2" xfId="3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1" fillId="6" borderId="2" xfId="3" applyFill="1" applyBorder="1" applyAlignment="1">
      <alignment horizontal="center" vertical="center"/>
    </xf>
    <xf numFmtId="180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11" fillId="6" borderId="2" xfId="3" applyFill="1" applyBorder="1" applyAlignment="1">
      <alignment horizontal="left" vertical="center"/>
    </xf>
    <xf numFmtId="3" fontId="0" fillId="7" borderId="2" xfId="0" applyNumberFormat="1" applyFill="1" applyBorder="1" applyAlignment="1">
      <alignment horizontal="center" vertical="center"/>
    </xf>
    <xf numFmtId="180" fontId="17" fillId="7" borderId="2" xfId="0" applyNumberFormat="1" applyFont="1" applyFill="1" applyBorder="1" applyAlignment="1">
      <alignment horizontal="right" vertical="center"/>
    </xf>
    <xf numFmtId="0" fontId="0" fillId="7" borderId="2" xfId="0" applyFill="1" applyBorder="1" applyAlignment="1">
      <alignment horizontal="right" vertical="center"/>
    </xf>
    <xf numFmtId="176" fontId="0" fillId="0" borderId="2" xfId="0" applyNumberForma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17" fillId="7" borderId="2" xfId="0" applyFont="1" applyFill="1" applyBorder="1">
      <alignment vertical="center"/>
    </xf>
    <xf numFmtId="3" fontId="0" fillId="5" borderId="2" xfId="0" applyNumberFormat="1" applyFill="1" applyBorder="1" applyAlignment="1">
      <alignment horizontal="center" vertical="center"/>
    </xf>
    <xf numFmtId="176" fontId="0" fillId="0" borderId="2" xfId="0" applyNumberFormat="1" applyBorder="1" applyAlignment="1"/>
    <xf numFmtId="0" fontId="0" fillId="0" borderId="2" xfId="0" applyBorder="1" applyAlignment="1">
      <alignment horizontal="left" vertical="center" shrinkToFit="1"/>
    </xf>
    <xf numFmtId="3" fontId="16" fillId="4" borderId="1" xfId="0" applyNumberFormat="1" applyFont="1" applyFill="1" applyBorder="1" applyAlignment="1">
      <alignment horizontal="center" vertical="center"/>
    </xf>
    <xf numFmtId="3" fontId="16" fillId="4" borderId="4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9" fillId="0" borderId="2" xfId="0" applyFont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left" vertical="center" shrinkToFit="1"/>
    </xf>
    <xf numFmtId="56" fontId="0" fillId="0" borderId="2" xfId="0" applyNumberForma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0" fontId="17" fillId="10" borderId="2" xfId="0" applyFont="1" applyFill="1" applyBorder="1" applyAlignment="1">
      <alignment horizontal="left" vertical="center"/>
    </xf>
    <xf numFmtId="0" fontId="17" fillId="10" borderId="2" xfId="0" applyFont="1" applyFill="1" applyBorder="1" applyAlignment="1">
      <alignment horizontal="center" vertical="center"/>
    </xf>
    <xf numFmtId="0" fontId="5" fillId="10" borderId="2" xfId="2" applyFill="1" applyBorder="1" applyAlignment="1">
      <alignment horizontal="center" vertical="center"/>
    </xf>
    <xf numFmtId="176" fontId="0" fillId="1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vertical="center" shrinkToFit="1"/>
    </xf>
    <xf numFmtId="0" fontId="18" fillId="11" borderId="2" xfId="2" applyFont="1" applyFill="1" applyBorder="1" applyAlignment="1">
      <alignment horizontal="center" vertical="center"/>
    </xf>
    <xf numFmtId="49" fontId="0" fillId="11" borderId="2" xfId="0" applyNumberFormat="1" applyFill="1" applyBorder="1" applyAlignment="1">
      <alignment vertical="center" shrinkToFit="1"/>
    </xf>
    <xf numFmtId="176" fontId="0" fillId="11" borderId="2" xfId="0" applyNumberForma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46DD40-45F9-45C3-AE83-2FB1ED1B2AA4}" name="テーブル11928293562345" displayName="テーブル11928293562345" ref="A8:S76" totalsRowShown="0" dataDxfId="20" headerRowBorderDxfId="21" tableBorderDxfId="19">
  <autoFilter ref="A8:S76" xr:uid="{00000000-0009-0000-0100-00001C000000}"/>
  <tableColumns count="19">
    <tableColumn id="1" xr3:uid="{B9E4F837-D9BB-4BD5-98CB-547FFEBDF018}" name="列1" dataDxfId="18"/>
    <tableColumn id="19" xr3:uid="{D3F8C87E-8CFB-48B2-AB4F-C1611CEA8117}" name="列19" dataDxfId="17"/>
    <tableColumn id="2" xr3:uid="{7B0D45D0-2B97-4E7C-BD3B-354C299593C4}" name="列2" dataDxfId="16"/>
    <tableColumn id="3" xr3:uid="{5F14FC0C-5E3A-46D3-B4ED-B9FEA223D031}" name="列3" dataDxfId="15"/>
    <tableColumn id="4" xr3:uid="{2DA1F8CC-2793-4123-A1B5-84F19E26A595}" name="列4" dataDxfId="14"/>
    <tableColumn id="5" xr3:uid="{43450E64-D019-47F3-ABEC-E22CB9BA15FA}" name="列5" dataDxfId="13"/>
    <tableColumn id="6" xr3:uid="{56C95AC5-C07A-4958-89F3-604A31165AB2}" name="列6" dataDxfId="12"/>
    <tableColumn id="7" xr3:uid="{E4A51BAE-90BB-417E-B0C7-278645872C7F}" name="列7" dataDxfId="11"/>
    <tableColumn id="8" xr3:uid="{BB68AB61-CCA1-46EA-9DEC-B409F58D7B25}" name="列8" dataDxfId="10"/>
    <tableColumn id="9" xr3:uid="{3298BDC2-C2EA-49A9-B78C-8CA35D1E2E9D}" name="列9" dataDxfId="9"/>
    <tableColumn id="10" xr3:uid="{EAA79B21-A6D2-4311-ACF5-E7AABC6AA82C}" name="列10" dataDxfId="8"/>
    <tableColumn id="11" xr3:uid="{560D32FC-ADB9-4665-BB4F-C2DFD41E6C0E}" name="列11" dataDxfId="7"/>
    <tableColumn id="12" xr3:uid="{EA35AECC-AE48-4E94-9B7E-10BDF92D15B5}" name="列12" dataDxfId="6"/>
    <tableColumn id="13" xr3:uid="{CB3DD51C-936D-4F01-938B-7BA2D087E140}" name="列13" dataDxfId="5"/>
    <tableColumn id="14" xr3:uid="{B73EE122-4BDD-4523-AD25-74BC09B40941}" name="列14" dataDxfId="4"/>
    <tableColumn id="15" xr3:uid="{C21D687A-6F3C-4B03-83CF-CF5A31D65E0B}" name="列15" dataDxfId="3"/>
    <tableColumn id="16" xr3:uid="{6D5E0861-3DBC-4730-ABAD-B665247C0B3A}" name="列16" dataDxfId="2"/>
    <tableColumn id="17" xr3:uid="{7F6036F0-E005-4723-B92B-02A84D309C65}" name="列17" dataDxfId="1"/>
    <tableColumn id="18" xr3:uid="{23CDF571-A6AD-4E59-B20A-8EB15ADFA33F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3AA4-E417-4C4A-8BAD-CD418A694C26}">
  <sheetPr>
    <tabColor theme="3" tint="0.59999389629810485"/>
  </sheetPr>
  <dimension ref="A2:S77"/>
  <sheetViews>
    <sheetView tabSelected="1" zoomScale="85" zoomScaleNormal="85" workbookViewId="0">
      <pane xSplit="12" ySplit="8" topLeftCell="O15" activePane="bottomRight" state="frozen"/>
      <selection pane="topRight" activeCell="K1" sqref="K1"/>
      <selection pane="bottomLeft" activeCell="A9" sqref="A9"/>
      <selection pane="bottomRight" activeCell="G26" sqref="G26"/>
    </sheetView>
  </sheetViews>
  <sheetFormatPr defaultRowHeight="13.2" x14ac:dyDescent="0.2"/>
  <cols>
    <col min="2" max="2" width="12.77734375" customWidth="1"/>
    <col min="3" max="3" width="11.6640625" customWidth="1"/>
    <col min="4" max="4" width="6.109375" style="2" customWidth="1"/>
    <col min="5" max="5" width="12.109375" customWidth="1"/>
    <col min="6" max="6" width="13" customWidth="1"/>
    <col min="7" max="7" width="60" customWidth="1"/>
    <col min="8" max="8" width="6.109375" style="2" customWidth="1"/>
    <col min="9" max="9" width="8.6640625" style="2" customWidth="1"/>
    <col min="10" max="10" width="9.88671875" style="2" bestFit="1" customWidth="1"/>
    <col min="11" max="11" width="9.109375" style="2" customWidth="1"/>
    <col min="12" max="12" width="43.44140625" customWidth="1"/>
    <col min="13" max="13" width="23.109375" customWidth="1"/>
    <col min="14" max="14" width="23.21875" style="2" customWidth="1"/>
    <col min="15" max="15" width="8.21875" style="9" customWidth="1"/>
    <col min="16" max="16" width="9" customWidth="1"/>
    <col min="17" max="17" width="9.33203125" style="6" customWidth="1"/>
    <col min="18" max="18" width="11" style="10" customWidth="1"/>
    <col min="19" max="19" width="15.6640625" style="11" customWidth="1"/>
  </cols>
  <sheetData>
    <row r="2" spans="1:19" ht="20.100000000000001" customHeight="1" x14ac:dyDescent="0.2">
      <c r="D2" s="68" t="s">
        <v>11</v>
      </c>
      <c r="E2" s="68"/>
      <c r="F2" s="68"/>
      <c r="G2" s="7" t="s">
        <v>46</v>
      </c>
      <c r="I2" s="69" t="s">
        <v>14</v>
      </c>
      <c r="J2" s="70"/>
      <c r="K2" s="71"/>
      <c r="L2" s="5">
        <f>SUM(J:J)</f>
        <v>31153</v>
      </c>
    </row>
    <row r="3" spans="1:19" ht="20.100000000000001" customHeight="1" x14ac:dyDescent="0.2">
      <c r="D3" s="68" t="s">
        <v>10</v>
      </c>
      <c r="E3" s="68"/>
      <c r="F3" s="68"/>
      <c r="G3" s="3" t="s">
        <v>47</v>
      </c>
      <c r="J3" s="62"/>
      <c r="K3" s="62"/>
      <c r="L3" s="62"/>
      <c r="M3" s="62"/>
    </row>
    <row r="4" spans="1:19" ht="20.100000000000001" customHeight="1" x14ac:dyDescent="0.2">
      <c r="D4" s="68" t="s">
        <v>21</v>
      </c>
      <c r="E4" s="68"/>
      <c r="F4" s="68"/>
      <c r="G4" s="3" t="s">
        <v>48</v>
      </c>
      <c r="I4" s="72" t="s">
        <v>83</v>
      </c>
      <c r="J4" s="72"/>
      <c r="K4" s="73" t="s">
        <v>82</v>
      </c>
      <c r="L4" s="73"/>
      <c r="M4" s="73"/>
    </row>
    <row r="5" spans="1:19" ht="20.100000000000001" customHeight="1" x14ac:dyDescent="0.2">
      <c r="D5" s="68" t="s">
        <v>12</v>
      </c>
      <c r="E5" s="68"/>
      <c r="F5" s="68"/>
      <c r="G5" s="4">
        <v>46126</v>
      </c>
      <c r="I5" s="72"/>
      <c r="J5" s="72"/>
      <c r="K5" s="73"/>
      <c r="L5" s="73"/>
      <c r="M5" s="73"/>
    </row>
    <row r="6" spans="1:19" ht="20.100000000000001" customHeight="1" x14ac:dyDescent="0.2">
      <c r="D6" s="68" t="s">
        <v>13</v>
      </c>
      <c r="E6" s="68"/>
      <c r="F6" s="68"/>
      <c r="G6" s="4">
        <v>46127</v>
      </c>
      <c r="J6" s="17"/>
    </row>
    <row r="8" spans="1:19" s="2" customFormat="1" ht="19.649999999999999" customHeight="1" x14ac:dyDescent="0.2">
      <c r="A8" s="18" t="s">
        <v>24</v>
      </c>
      <c r="B8" s="18" t="s">
        <v>42</v>
      </c>
      <c r="C8" s="18" t="s">
        <v>25</v>
      </c>
      <c r="D8" s="21" t="s">
        <v>26</v>
      </c>
      <c r="E8" s="21" t="s">
        <v>27</v>
      </c>
      <c r="F8" s="21" t="s">
        <v>28</v>
      </c>
      <c r="G8" s="18" t="s">
        <v>29</v>
      </c>
      <c r="H8" s="18" t="s">
        <v>30</v>
      </c>
      <c r="I8" s="18" t="s">
        <v>31</v>
      </c>
      <c r="J8" s="22" t="s">
        <v>32</v>
      </c>
      <c r="K8" s="22" t="s">
        <v>33</v>
      </c>
      <c r="L8" s="18" t="s">
        <v>34</v>
      </c>
      <c r="M8" s="18" t="s">
        <v>35</v>
      </c>
      <c r="N8" s="18" t="s">
        <v>36</v>
      </c>
      <c r="O8" s="23" t="s">
        <v>37</v>
      </c>
      <c r="P8" s="21" t="s">
        <v>38</v>
      </c>
      <c r="Q8" s="18" t="s">
        <v>39</v>
      </c>
      <c r="R8" s="23" t="s">
        <v>40</v>
      </c>
      <c r="S8" s="24" t="s">
        <v>41</v>
      </c>
    </row>
    <row r="9" spans="1:19" s="2" customFormat="1" ht="19.649999999999999" customHeight="1" x14ac:dyDescent="0.2">
      <c r="A9" s="13" t="s">
        <v>23</v>
      </c>
      <c r="B9" s="13"/>
      <c r="C9" s="13" t="s">
        <v>22</v>
      </c>
      <c r="D9" s="12" t="s">
        <v>4</v>
      </c>
      <c r="E9" s="12" t="s">
        <v>9</v>
      </c>
      <c r="F9" s="12" t="s">
        <v>5</v>
      </c>
      <c r="G9" s="13" t="s">
        <v>8</v>
      </c>
      <c r="H9" s="13" t="s">
        <v>0</v>
      </c>
      <c r="I9" s="13" t="s">
        <v>1</v>
      </c>
      <c r="J9" s="1" t="s">
        <v>2</v>
      </c>
      <c r="K9" s="1" t="s">
        <v>17</v>
      </c>
      <c r="L9" s="13" t="s">
        <v>3</v>
      </c>
      <c r="M9" s="13" t="s">
        <v>16</v>
      </c>
      <c r="N9" s="13" t="s">
        <v>15</v>
      </c>
      <c r="O9" s="8" t="s">
        <v>6</v>
      </c>
      <c r="P9" s="12" t="s">
        <v>18</v>
      </c>
      <c r="Q9" s="13" t="s">
        <v>7</v>
      </c>
      <c r="R9" s="8" t="s">
        <v>19</v>
      </c>
      <c r="S9" s="20" t="s">
        <v>20</v>
      </c>
    </row>
    <row r="10" spans="1:19" s="2" customFormat="1" ht="19.649999999999999" customHeight="1" x14ac:dyDescent="0.2">
      <c r="D10" s="12"/>
      <c r="E10" s="12"/>
      <c r="F10" s="12"/>
      <c r="G10" s="13"/>
      <c r="H10" s="13"/>
      <c r="I10" s="13"/>
      <c r="J10" s="1"/>
      <c r="K10" s="1"/>
      <c r="L10" s="13"/>
      <c r="M10" s="13"/>
      <c r="N10" s="13"/>
      <c r="O10" s="8"/>
      <c r="P10" s="12"/>
      <c r="Q10" s="13"/>
      <c r="R10" s="8"/>
      <c r="S10" s="20"/>
    </row>
    <row r="11" spans="1:19" s="2" customFormat="1" ht="19.649999999999999" customHeight="1" x14ac:dyDescent="0.2">
      <c r="A11" s="13"/>
      <c r="B11" s="13"/>
      <c r="C11" s="13"/>
      <c r="D11" s="12"/>
      <c r="E11" s="12"/>
      <c r="F11" s="12"/>
      <c r="G11" s="14"/>
      <c r="H11" s="26"/>
      <c r="I11" s="13"/>
      <c r="J11" s="15"/>
      <c r="K11" s="1"/>
      <c r="L11" s="14"/>
      <c r="M11" s="13"/>
      <c r="N11" s="13"/>
      <c r="O11" s="8"/>
      <c r="P11" s="12"/>
      <c r="Q11" s="13"/>
      <c r="R11" s="8"/>
      <c r="S11" s="20"/>
    </row>
    <row r="12" spans="1:19" s="2" customFormat="1" ht="19.649999999999999" customHeight="1" x14ac:dyDescent="0.2">
      <c r="D12" s="43"/>
      <c r="E12" s="35"/>
      <c r="F12" s="35"/>
      <c r="G12" s="36" t="s">
        <v>50</v>
      </c>
      <c r="H12" s="16"/>
      <c r="I12" s="16"/>
      <c r="J12" s="16"/>
      <c r="K12" s="28"/>
      <c r="L12" s="29"/>
      <c r="M12" s="13"/>
      <c r="N12" s="13"/>
      <c r="O12" s="8"/>
      <c r="P12" s="12"/>
      <c r="Q12" s="13"/>
      <c r="R12" s="8"/>
      <c r="S12" s="20"/>
    </row>
    <row r="13" spans="1:19" s="2" customFormat="1" ht="19.649999999999999" customHeight="1" x14ac:dyDescent="0.2">
      <c r="A13" s="13" t="s">
        <v>68</v>
      </c>
      <c r="B13" s="64" t="s">
        <v>84</v>
      </c>
      <c r="C13" s="13"/>
      <c r="D13" s="40">
        <v>1</v>
      </c>
      <c r="E13" s="44" t="s">
        <v>66</v>
      </c>
      <c r="F13" s="30" t="s">
        <v>67</v>
      </c>
      <c r="G13" s="49" t="s">
        <v>65</v>
      </c>
      <c r="H13" s="46">
        <v>1</v>
      </c>
      <c r="I13" s="44">
        <v>4037</v>
      </c>
      <c r="J13" s="31">
        <f>I13*H13</f>
        <v>4037</v>
      </c>
      <c r="K13" s="32"/>
      <c r="L13" s="33" t="s">
        <v>51</v>
      </c>
      <c r="M13" s="42" t="s">
        <v>49</v>
      </c>
      <c r="N13" s="66" t="s">
        <v>85</v>
      </c>
      <c r="O13" s="8">
        <v>46114</v>
      </c>
      <c r="P13" s="12"/>
      <c r="Q13" s="65">
        <v>46126</v>
      </c>
      <c r="R13" s="8">
        <v>46127</v>
      </c>
      <c r="S13" s="20"/>
    </row>
    <row r="14" spans="1:19" s="2" customFormat="1" ht="19.649999999999999" customHeight="1" x14ac:dyDescent="0.2">
      <c r="A14" s="13" t="s">
        <v>74</v>
      </c>
      <c r="B14" s="64" t="s">
        <v>84</v>
      </c>
      <c r="C14" s="13"/>
      <c r="D14" s="40">
        <f t="shared" ref="D14:D24" si="0">D13+1</f>
        <v>2</v>
      </c>
      <c r="E14" s="30" t="s">
        <v>67</v>
      </c>
      <c r="F14" s="30" t="s">
        <v>67</v>
      </c>
      <c r="G14" s="48" t="s">
        <v>52</v>
      </c>
      <c r="H14" s="47">
        <v>8</v>
      </c>
      <c r="I14" s="45">
        <v>47</v>
      </c>
      <c r="J14" s="31">
        <f t="shared" ref="J14:J24" si="1">I14*H14</f>
        <v>376</v>
      </c>
      <c r="K14" s="1"/>
      <c r="L14" s="14" t="s">
        <v>53</v>
      </c>
      <c r="M14" s="13"/>
      <c r="N14" s="66" t="s">
        <v>85</v>
      </c>
      <c r="O14" s="8">
        <v>46114</v>
      </c>
      <c r="P14" s="12"/>
      <c r="Q14" s="65">
        <v>46126</v>
      </c>
      <c r="R14" s="8">
        <v>46127</v>
      </c>
      <c r="S14" s="20"/>
    </row>
    <row r="15" spans="1:19" s="2" customFormat="1" ht="19.649999999999999" customHeight="1" x14ac:dyDescent="0.2">
      <c r="A15" s="13" t="s">
        <v>74</v>
      </c>
      <c r="B15" s="64" t="s">
        <v>84</v>
      </c>
      <c r="C15" s="13"/>
      <c r="D15" s="40">
        <f t="shared" si="0"/>
        <v>3</v>
      </c>
      <c r="E15" s="30" t="s">
        <v>67</v>
      </c>
      <c r="F15" s="30" t="s">
        <v>67</v>
      </c>
      <c r="G15" s="48" t="s">
        <v>54</v>
      </c>
      <c r="H15" s="47">
        <v>2</v>
      </c>
      <c r="I15" s="45">
        <v>112</v>
      </c>
      <c r="J15" s="31">
        <f t="shared" si="1"/>
        <v>224</v>
      </c>
      <c r="K15" s="1"/>
      <c r="L15" s="14" t="s">
        <v>55</v>
      </c>
      <c r="M15" s="13"/>
      <c r="N15" s="66" t="s">
        <v>85</v>
      </c>
      <c r="O15" s="8">
        <v>46114</v>
      </c>
      <c r="P15" s="12"/>
      <c r="Q15" s="65">
        <v>46126</v>
      </c>
      <c r="R15" s="8">
        <v>46127</v>
      </c>
      <c r="S15" s="20"/>
    </row>
    <row r="16" spans="1:19" s="2" customFormat="1" ht="19.649999999999999" customHeight="1" x14ac:dyDescent="0.2">
      <c r="A16" s="13" t="s">
        <v>74</v>
      </c>
      <c r="B16" s="64" t="s">
        <v>84</v>
      </c>
      <c r="C16" s="13"/>
      <c r="D16" s="40">
        <f t="shared" si="0"/>
        <v>4</v>
      </c>
      <c r="E16" s="30" t="s">
        <v>67</v>
      </c>
      <c r="F16" s="30" t="s">
        <v>67</v>
      </c>
      <c r="G16" s="48" t="s">
        <v>64</v>
      </c>
      <c r="H16" s="47">
        <v>2</v>
      </c>
      <c r="I16" s="45">
        <v>112</v>
      </c>
      <c r="J16" s="31">
        <f t="shared" si="1"/>
        <v>224</v>
      </c>
      <c r="K16" s="1"/>
      <c r="L16" s="14" t="s">
        <v>55</v>
      </c>
      <c r="M16" s="13"/>
      <c r="N16" s="66" t="s">
        <v>85</v>
      </c>
      <c r="O16" s="8">
        <v>46114</v>
      </c>
      <c r="P16" s="12"/>
      <c r="Q16" s="65">
        <v>46126</v>
      </c>
      <c r="R16" s="8">
        <v>46127</v>
      </c>
      <c r="S16" s="20"/>
    </row>
    <row r="17" spans="1:19" s="2" customFormat="1" ht="19.649999999999999" customHeight="1" x14ac:dyDescent="0.2">
      <c r="A17" s="13" t="s">
        <v>74</v>
      </c>
      <c r="B17" s="64" t="s">
        <v>84</v>
      </c>
      <c r="C17" s="13"/>
      <c r="D17" s="40">
        <f t="shared" si="0"/>
        <v>5</v>
      </c>
      <c r="E17" s="30" t="s">
        <v>67</v>
      </c>
      <c r="F17" s="30" t="s">
        <v>67</v>
      </c>
      <c r="G17" s="48" t="s">
        <v>72</v>
      </c>
      <c r="H17" s="47">
        <v>2</v>
      </c>
      <c r="I17" s="45">
        <v>120</v>
      </c>
      <c r="J17" s="31">
        <f t="shared" ref="J17" si="2">I17*H17</f>
        <v>240</v>
      </c>
      <c r="K17" s="1"/>
      <c r="L17" s="14" t="s">
        <v>55</v>
      </c>
      <c r="M17" s="13"/>
      <c r="N17" s="66" t="s">
        <v>85</v>
      </c>
      <c r="O17" s="8">
        <v>46114</v>
      </c>
      <c r="P17" s="12"/>
      <c r="Q17" s="65">
        <v>46126</v>
      </c>
      <c r="R17" s="8">
        <v>46127</v>
      </c>
      <c r="S17" s="20"/>
    </row>
    <row r="18" spans="1:19" s="2" customFormat="1" ht="19.649999999999999" customHeight="1" x14ac:dyDescent="0.2">
      <c r="A18" s="13" t="s">
        <v>75</v>
      </c>
      <c r="B18" s="64" t="s">
        <v>84</v>
      </c>
      <c r="C18" s="13"/>
      <c r="D18" s="40">
        <f t="shared" si="0"/>
        <v>6</v>
      </c>
      <c r="E18" s="30" t="s">
        <v>67</v>
      </c>
      <c r="F18" s="30" t="s">
        <v>67</v>
      </c>
      <c r="G18" s="48" t="s">
        <v>56</v>
      </c>
      <c r="H18" s="47">
        <v>2</v>
      </c>
      <c r="I18" s="45">
        <v>640</v>
      </c>
      <c r="J18" s="31">
        <f t="shared" si="1"/>
        <v>1280</v>
      </c>
      <c r="K18" s="1"/>
      <c r="L18" s="14" t="s">
        <v>57</v>
      </c>
      <c r="M18" s="13"/>
      <c r="N18" s="66" t="s">
        <v>85</v>
      </c>
      <c r="O18" s="8">
        <v>46114</v>
      </c>
      <c r="P18" s="12"/>
      <c r="Q18" s="65">
        <v>46126</v>
      </c>
      <c r="R18" s="8">
        <v>46127</v>
      </c>
      <c r="S18" s="20"/>
    </row>
    <row r="19" spans="1:19" s="2" customFormat="1" ht="19.649999999999999" customHeight="1" x14ac:dyDescent="0.2">
      <c r="A19" s="13" t="s">
        <v>70</v>
      </c>
      <c r="B19" s="64" t="s">
        <v>84</v>
      </c>
      <c r="C19" s="13"/>
      <c r="D19" s="40">
        <f t="shared" si="0"/>
        <v>7</v>
      </c>
      <c r="E19" s="44" t="s">
        <v>66</v>
      </c>
      <c r="F19" s="30" t="s">
        <v>67</v>
      </c>
      <c r="G19" s="48" t="s">
        <v>69</v>
      </c>
      <c r="H19" s="47">
        <v>1</v>
      </c>
      <c r="I19" s="45">
        <v>14521</v>
      </c>
      <c r="J19" s="31">
        <f t="shared" si="1"/>
        <v>14521</v>
      </c>
      <c r="K19" s="1"/>
      <c r="L19" s="14" t="s">
        <v>58</v>
      </c>
      <c r="M19" s="13"/>
      <c r="N19" s="66" t="s">
        <v>85</v>
      </c>
      <c r="O19" s="8">
        <v>46114</v>
      </c>
      <c r="P19" s="12"/>
      <c r="Q19" s="65">
        <v>46126</v>
      </c>
      <c r="R19" s="8">
        <v>46127</v>
      </c>
      <c r="S19" s="20"/>
    </row>
    <row r="20" spans="1:19" s="2" customFormat="1" ht="19.649999999999999" customHeight="1" x14ac:dyDescent="0.2">
      <c r="A20" s="13" t="s">
        <v>76</v>
      </c>
      <c r="B20" s="64" t="s">
        <v>84</v>
      </c>
      <c r="C20" s="13"/>
      <c r="D20" s="40">
        <f t="shared" si="0"/>
        <v>8</v>
      </c>
      <c r="E20" s="30" t="s">
        <v>67</v>
      </c>
      <c r="F20" s="30" t="s">
        <v>67</v>
      </c>
      <c r="G20" s="48" t="s">
        <v>59</v>
      </c>
      <c r="H20" s="47">
        <v>2</v>
      </c>
      <c r="I20" s="45">
        <v>792</v>
      </c>
      <c r="J20" s="31">
        <f t="shared" si="1"/>
        <v>1584</v>
      </c>
      <c r="K20" s="1"/>
      <c r="L20" s="14" t="s">
        <v>73</v>
      </c>
      <c r="M20" s="13"/>
      <c r="N20" s="66" t="s">
        <v>85</v>
      </c>
      <c r="O20" s="8">
        <v>46114</v>
      </c>
      <c r="P20" s="12"/>
      <c r="Q20" s="65">
        <v>46126</v>
      </c>
      <c r="R20" s="8">
        <v>46127</v>
      </c>
      <c r="S20" s="20"/>
    </row>
    <row r="21" spans="1:19" s="2" customFormat="1" ht="19.649999999999999" customHeight="1" x14ac:dyDescent="0.2">
      <c r="A21" s="13" t="s">
        <v>74</v>
      </c>
      <c r="B21" s="64" t="s">
        <v>84</v>
      </c>
      <c r="C21" s="13"/>
      <c r="D21" s="40">
        <f t="shared" si="0"/>
        <v>9</v>
      </c>
      <c r="E21" s="30" t="s">
        <v>67</v>
      </c>
      <c r="F21" s="30" t="s">
        <v>67</v>
      </c>
      <c r="G21" s="48" t="s">
        <v>60</v>
      </c>
      <c r="H21" s="47">
        <v>4</v>
      </c>
      <c r="I21" s="45">
        <v>77</v>
      </c>
      <c r="J21" s="31">
        <f t="shared" si="1"/>
        <v>308</v>
      </c>
      <c r="K21" s="1"/>
      <c r="L21" s="14" t="s">
        <v>53</v>
      </c>
      <c r="M21" s="13"/>
      <c r="N21" s="66" t="s">
        <v>85</v>
      </c>
      <c r="O21" s="8">
        <v>46114</v>
      </c>
      <c r="P21" s="12"/>
      <c r="Q21" s="65">
        <v>46126</v>
      </c>
      <c r="R21" s="8">
        <v>46127</v>
      </c>
      <c r="S21" s="20"/>
    </row>
    <row r="22" spans="1:19" s="2" customFormat="1" ht="19.649999999999999" customHeight="1" x14ac:dyDescent="0.2">
      <c r="A22" s="13" t="s">
        <v>74</v>
      </c>
      <c r="B22" s="64" t="s">
        <v>84</v>
      </c>
      <c r="C22" s="13"/>
      <c r="D22" s="40">
        <f t="shared" si="0"/>
        <v>10</v>
      </c>
      <c r="E22" s="30" t="s">
        <v>67</v>
      </c>
      <c r="F22" s="30" t="s">
        <v>67</v>
      </c>
      <c r="G22" s="48" t="s">
        <v>61</v>
      </c>
      <c r="H22" s="47">
        <v>2</v>
      </c>
      <c r="I22" s="45">
        <v>113</v>
      </c>
      <c r="J22" s="31">
        <f t="shared" si="1"/>
        <v>226</v>
      </c>
      <c r="K22" s="1"/>
      <c r="L22" s="14" t="s">
        <v>55</v>
      </c>
      <c r="M22" s="13"/>
      <c r="N22" s="66" t="s">
        <v>85</v>
      </c>
      <c r="O22" s="8">
        <v>46114</v>
      </c>
      <c r="P22" s="12"/>
      <c r="Q22" s="65">
        <v>46126</v>
      </c>
      <c r="R22" s="8">
        <v>46127</v>
      </c>
      <c r="S22" s="20"/>
    </row>
    <row r="23" spans="1:19" s="2" customFormat="1" ht="19.649999999999999" customHeight="1" x14ac:dyDescent="0.2">
      <c r="A23" s="13" t="s">
        <v>77</v>
      </c>
      <c r="B23" s="64" t="s">
        <v>84</v>
      </c>
      <c r="C23" s="13"/>
      <c r="D23" s="40">
        <f t="shared" si="0"/>
        <v>11</v>
      </c>
      <c r="E23" s="44" t="s">
        <v>66</v>
      </c>
      <c r="F23" s="30" t="s">
        <v>67</v>
      </c>
      <c r="G23" s="48" t="s">
        <v>71</v>
      </c>
      <c r="H23" s="47">
        <v>1</v>
      </c>
      <c r="I23" s="45">
        <v>5397</v>
      </c>
      <c r="J23" s="31">
        <f t="shared" si="1"/>
        <v>5397</v>
      </c>
      <c r="K23" s="1"/>
      <c r="L23" s="14" t="s">
        <v>62</v>
      </c>
      <c r="M23" s="13"/>
      <c r="N23" s="66" t="s">
        <v>85</v>
      </c>
      <c r="O23" s="8">
        <v>46114</v>
      </c>
      <c r="P23" s="12"/>
      <c r="Q23" s="65">
        <v>46126</v>
      </c>
      <c r="R23" s="8">
        <v>46127</v>
      </c>
      <c r="S23" s="20"/>
    </row>
    <row r="24" spans="1:19" s="2" customFormat="1" ht="19.649999999999999" customHeight="1" x14ac:dyDescent="0.2">
      <c r="A24" s="13" t="s">
        <v>74</v>
      </c>
      <c r="B24" s="64" t="s">
        <v>84</v>
      </c>
      <c r="C24" s="13"/>
      <c r="D24" s="40">
        <f t="shared" si="0"/>
        <v>12</v>
      </c>
      <c r="E24" s="30" t="s">
        <v>67</v>
      </c>
      <c r="F24" s="30" t="s">
        <v>67</v>
      </c>
      <c r="G24" s="48" t="s">
        <v>63</v>
      </c>
      <c r="H24" s="47">
        <v>4</v>
      </c>
      <c r="I24" s="45">
        <v>120</v>
      </c>
      <c r="J24" s="31">
        <f t="shared" si="1"/>
        <v>480</v>
      </c>
      <c r="K24" s="1"/>
      <c r="L24" s="14" t="s">
        <v>55</v>
      </c>
      <c r="M24" s="13"/>
      <c r="N24" s="66" t="s">
        <v>85</v>
      </c>
      <c r="O24" s="8">
        <v>46114</v>
      </c>
      <c r="P24" s="12"/>
      <c r="Q24" s="65">
        <v>46126</v>
      </c>
      <c r="R24" s="8">
        <v>46127</v>
      </c>
      <c r="S24" s="20"/>
    </row>
    <row r="25" spans="1:19" s="2" customFormat="1" ht="19.649999999999999" customHeight="1" x14ac:dyDescent="0.2">
      <c r="A25" s="13"/>
      <c r="B25" s="63"/>
      <c r="C25" s="13"/>
      <c r="D25" s="12"/>
      <c r="E25" s="12"/>
      <c r="F25" s="12"/>
      <c r="G25" s="14"/>
      <c r="H25" s="26"/>
      <c r="I25" s="13"/>
      <c r="J25" s="15"/>
      <c r="K25" s="1"/>
      <c r="L25" s="14"/>
      <c r="M25" s="13"/>
      <c r="N25" s="67"/>
      <c r="O25" s="8"/>
      <c r="P25" s="12"/>
      <c r="Q25" s="13"/>
      <c r="R25" s="8"/>
      <c r="S25" s="20"/>
    </row>
    <row r="26" spans="1:19" s="2" customFormat="1" ht="19.649999999999999" customHeight="1" x14ac:dyDescent="0.2">
      <c r="A26" s="13"/>
      <c r="B26" s="63"/>
      <c r="C26" s="13"/>
      <c r="D26" s="12"/>
      <c r="E26" s="12"/>
      <c r="F26" s="12"/>
      <c r="G26" s="37">
        <f>SUM(J13:J25)</f>
        <v>28897</v>
      </c>
      <c r="H26" s="38"/>
      <c r="I26" s="38"/>
      <c r="J26" s="39"/>
      <c r="K26" s="34"/>
      <c r="L26" s="14"/>
      <c r="M26" s="13"/>
      <c r="N26" s="67"/>
      <c r="O26" s="8"/>
      <c r="P26" s="12"/>
      <c r="Q26" s="13"/>
      <c r="R26" s="8"/>
      <c r="S26" s="20"/>
    </row>
    <row r="27" spans="1:19" s="2" customFormat="1" ht="19.649999999999999" customHeight="1" x14ac:dyDescent="0.2">
      <c r="A27" s="13"/>
      <c r="B27" s="63"/>
      <c r="C27" s="13"/>
      <c r="D27" s="12"/>
      <c r="E27" s="12"/>
      <c r="F27" s="12"/>
      <c r="G27" s="14"/>
      <c r="H27" s="26"/>
      <c r="I27" s="13"/>
      <c r="J27" s="15"/>
      <c r="K27" s="1"/>
      <c r="L27" s="14"/>
      <c r="M27" s="13"/>
      <c r="N27" s="67"/>
      <c r="O27" s="8"/>
      <c r="P27" s="12"/>
      <c r="Q27" s="13"/>
      <c r="R27" s="8"/>
      <c r="S27" s="20"/>
    </row>
    <row r="28" spans="1:19" s="2" customFormat="1" ht="19.649999999999999" customHeight="1" x14ac:dyDescent="0.2">
      <c r="A28" s="13"/>
      <c r="B28" s="63"/>
      <c r="C28" s="13"/>
      <c r="D28" s="12"/>
      <c r="E28" s="12"/>
      <c r="F28" s="12"/>
      <c r="G28" s="14"/>
      <c r="H28" s="26"/>
      <c r="I28" s="13"/>
      <c r="J28" s="15"/>
      <c r="K28" s="1"/>
      <c r="L28" s="14"/>
      <c r="M28" s="13"/>
      <c r="N28" s="67"/>
      <c r="O28" s="8"/>
      <c r="P28" s="12"/>
      <c r="Q28" s="13"/>
      <c r="R28" s="8"/>
      <c r="S28" s="20"/>
    </row>
    <row r="29" spans="1:19" s="2" customFormat="1" ht="19.649999999999999" customHeight="1" x14ac:dyDescent="0.2">
      <c r="A29" s="13"/>
      <c r="B29" s="63"/>
      <c r="C29" s="13"/>
      <c r="D29" s="50"/>
      <c r="E29" s="59"/>
      <c r="F29" s="60"/>
      <c r="G29" s="61" t="s">
        <v>80</v>
      </c>
      <c r="H29" s="51"/>
      <c r="I29" s="52"/>
      <c r="J29" s="53"/>
      <c r="K29" s="54"/>
      <c r="L29" s="55"/>
      <c r="M29" s="13"/>
      <c r="N29" s="67"/>
      <c r="O29" s="8"/>
      <c r="P29" s="12"/>
      <c r="Q29" s="13"/>
      <c r="R29" s="8"/>
      <c r="S29" s="20"/>
    </row>
    <row r="30" spans="1:19" s="2" customFormat="1" ht="19.649999999999999" customHeight="1" x14ac:dyDescent="0.2">
      <c r="A30" s="45" t="s">
        <v>81</v>
      </c>
      <c r="B30" s="64" t="s">
        <v>84</v>
      </c>
      <c r="C30" s="13"/>
      <c r="D30" s="56">
        <f>+D24+1</f>
        <v>13</v>
      </c>
      <c r="E30" s="79" t="s">
        <v>78</v>
      </c>
      <c r="F30" s="79" t="s">
        <v>78</v>
      </c>
      <c r="G30" s="80" t="s">
        <v>79</v>
      </c>
      <c r="H30" s="81"/>
      <c r="I30" s="81">
        <v>8500</v>
      </c>
      <c r="J30" s="81">
        <f>H30*I30</f>
        <v>0</v>
      </c>
      <c r="K30" s="57"/>
      <c r="L30" s="58" t="s">
        <v>90</v>
      </c>
      <c r="M30" s="42" t="s">
        <v>49</v>
      </c>
      <c r="N30" s="66" t="s">
        <v>85</v>
      </c>
      <c r="O30" s="8">
        <v>46114</v>
      </c>
      <c r="P30" s="12"/>
      <c r="Q30" s="65">
        <v>46126</v>
      </c>
      <c r="R30" s="8">
        <v>46127</v>
      </c>
      <c r="S30" s="20"/>
    </row>
    <row r="31" spans="1:19" s="2" customFormat="1" ht="19.649999999999999" customHeight="1" x14ac:dyDescent="0.2">
      <c r="A31" s="13"/>
      <c r="B31" s="13"/>
      <c r="C31" s="13"/>
      <c r="D31" s="12"/>
      <c r="E31" s="12"/>
      <c r="F31" s="12"/>
      <c r="G31" s="14"/>
      <c r="H31" s="26"/>
      <c r="I31" s="13"/>
      <c r="J31" s="15"/>
      <c r="K31" s="1"/>
      <c r="L31" s="14"/>
      <c r="M31" s="13"/>
      <c r="N31" s="13"/>
      <c r="O31" s="8"/>
      <c r="P31" s="12"/>
      <c r="Q31" s="13"/>
      <c r="R31" s="8"/>
      <c r="S31" s="20"/>
    </row>
    <row r="32" spans="1:19" s="2" customFormat="1" ht="19.649999999999999" customHeight="1" x14ac:dyDescent="0.2">
      <c r="A32" s="13" t="s">
        <v>76</v>
      </c>
      <c r="B32" s="64" t="s">
        <v>84</v>
      </c>
      <c r="C32" s="13"/>
      <c r="D32" s="56">
        <f>+D30+1</f>
        <v>14</v>
      </c>
      <c r="E32" s="12" t="s">
        <v>86</v>
      </c>
      <c r="F32" s="12" t="s">
        <v>86</v>
      </c>
      <c r="G32" s="74" t="s">
        <v>88</v>
      </c>
      <c r="H32" s="75">
        <v>1</v>
      </c>
      <c r="I32" s="76">
        <v>2256</v>
      </c>
      <c r="J32" s="77">
        <f t="shared" ref="J32" si="3">H32*I32</f>
        <v>2256</v>
      </c>
      <c r="K32" s="53">
        <v>2</v>
      </c>
      <c r="L32" s="78" t="s">
        <v>87</v>
      </c>
      <c r="M32" s="13"/>
      <c r="N32" s="13" t="s">
        <v>89</v>
      </c>
      <c r="O32" s="8">
        <v>46114</v>
      </c>
      <c r="P32" s="12"/>
      <c r="Q32" s="65">
        <v>46126</v>
      </c>
      <c r="R32" s="8">
        <v>46127</v>
      </c>
      <c r="S32" s="20"/>
    </row>
    <row r="33" spans="1:19" s="2" customFormat="1" ht="19.649999999999999" customHeight="1" x14ac:dyDescent="0.2">
      <c r="A33" s="13"/>
      <c r="B33" s="13"/>
      <c r="C33" s="13"/>
      <c r="D33" s="12"/>
      <c r="E33" s="12"/>
      <c r="F33" s="12"/>
      <c r="G33" s="14"/>
      <c r="H33" s="26"/>
      <c r="I33" s="13"/>
      <c r="J33" s="15"/>
      <c r="K33" s="1"/>
      <c r="L33" s="14"/>
      <c r="M33" s="13"/>
      <c r="N33" s="13"/>
      <c r="O33" s="8"/>
      <c r="P33" s="12"/>
      <c r="Q33" s="13"/>
      <c r="R33" s="8"/>
      <c r="S33" s="20"/>
    </row>
    <row r="34" spans="1:19" s="2" customFormat="1" ht="19.649999999999999" customHeight="1" x14ac:dyDescent="0.2">
      <c r="A34" s="13"/>
      <c r="B34" s="13"/>
      <c r="C34" s="13"/>
      <c r="D34" s="12"/>
      <c r="E34" s="12"/>
      <c r="F34" s="12"/>
      <c r="G34" s="14"/>
      <c r="H34" s="26"/>
      <c r="I34" s="13"/>
      <c r="J34" s="15"/>
      <c r="K34" s="1"/>
      <c r="L34" s="14"/>
      <c r="M34" s="13"/>
      <c r="N34" s="13"/>
      <c r="O34" s="8"/>
      <c r="P34" s="12"/>
      <c r="Q34" s="13"/>
      <c r="R34" s="8"/>
      <c r="S34" s="20"/>
    </row>
    <row r="35" spans="1:19" s="2" customFormat="1" ht="19.649999999999999" customHeight="1" x14ac:dyDescent="0.2">
      <c r="A35" s="13"/>
      <c r="B35" s="13"/>
      <c r="C35" s="13"/>
      <c r="D35" s="12"/>
      <c r="E35" s="12"/>
      <c r="F35" s="12"/>
      <c r="G35" s="14"/>
      <c r="H35" s="26"/>
      <c r="I35" s="13"/>
      <c r="J35" s="15"/>
      <c r="K35" s="1"/>
      <c r="L35" s="14"/>
      <c r="M35" s="13"/>
      <c r="N35" s="13"/>
      <c r="O35" s="8"/>
      <c r="P35" s="12"/>
      <c r="Q35" s="13"/>
      <c r="R35" s="8"/>
      <c r="S35" s="20"/>
    </row>
    <row r="36" spans="1:19" s="2" customFormat="1" ht="19.649999999999999" customHeight="1" x14ac:dyDescent="0.2">
      <c r="A36" s="13"/>
      <c r="B36" s="13"/>
      <c r="C36" s="13"/>
      <c r="D36" s="12"/>
      <c r="E36" s="12"/>
      <c r="F36" s="12"/>
      <c r="G36" s="14"/>
      <c r="H36" s="26"/>
      <c r="I36" s="13"/>
      <c r="J36" s="15"/>
      <c r="K36" s="1"/>
      <c r="L36" s="14"/>
      <c r="M36" s="13"/>
      <c r="N36" s="13"/>
      <c r="O36" s="8"/>
      <c r="P36" s="12"/>
      <c r="Q36" s="13"/>
      <c r="R36" s="8"/>
      <c r="S36" s="20"/>
    </row>
    <row r="37" spans="1:19" s="2" customFormat="1" ht="19.649999999999999" customHeight="1" x14ac:dyDescent="0.2">
      <c r="A37" s="13"/>
      <c r="B37" s="13"/>
      <c r="C37" s="13"/>
      <c r="D37" s="12"/>
      <c r="E37" s="12"/>
      <c r="F37" s="12"/>
      <c r="G37" s="14"/>
      <c r="H37" s="26"/>
      <c r="I37" s="13"/>
      <c r="J37" s="15"/>
      <c r="K37" s="1"/>
      <c r="L37" s="14"/>
      <c r="M37" s="13"/>
      <c r="N37" s="13"/>
      <c r="O37" s="8"/>
      <c r="P37" s="12"/>
      <c r="Q37" s="13"/>
      <c r="R37" s="8"/>
      <c r="S37" s="20"/>
    </row>
    <row r="38" spans="1:19" s="2" customFormat="1" ht="19.649999999999999" customHeight="1" x14ac:dyDescent="0.2">
      <c r="A38" s="13"/>
      <c r="B38" s="13"/>
      <c r="C38" s="13"/>
      <c r="D38" s="12"/>
      <c r="E38" s="12"/>
      <c r="F38" s="12"/>
      <c r="G38" s="14"/>
      <c r="H38" s="26"/>
      <c r="I38" s="13"/>
      <c r="J38" s="15"/>
      <c r="K38" s="1"/>
      <c r="L38" s="14"/>
      <c r="M38" s="13"/>
      <c r="N38" s="13"/>
      <c r="O38" s="8"/>
      <c r="P38" s="12"/>
      <c r="Q38" s="13"/>
      <c r="R38" s="8"/>
      <c r="S38" s="20"/>
    </row>
    <row r="39" spans="1:19" s="2" customFormat="1" ht="19.649999999999999" customHeight="1" x14ac:dyDescent="0.2">
      <c r="A39" s="13"/>
      <c r="B39" s="13"/>
      <c r="C39" s="13"/>
      <c r="D39" s="12"/>
      <c r="E39" s="12"/>
      <c r="F39" s="12"/>
      <c r="G39" s="14"/>
      <c r="H39" s="26"/>
      <c r="I39" s="13"/>
      <c r="J39" s="15"/>
      <c r="K39" s="1"/>
      <c r="L39" s="14"/>
      <c r="M39" s="13"/>
      <c r="N39" s="13"/>
      <c r="O39" s="8"/>
      <c r="P39" s="12"/>
      <c r="Q39" s="13"/>
      <c r="R39" s="8"/>
      <c r="S39" s="20"/>
    </row>
    <row r="40" spans="1:19" s="2" customFormat="1" ht="19.649999999999999" customHeight="1" x14ac:dyDescent="0.2">
      <c r="A40" s="13"/>
      <c r="B40" s="13"/>
      <c r="C40" s="13"/>
      <c r="D40" s="12"/>
      <c r="E40" s="12"/>
      <c r="F40" s="12"/>
      <c r="G40" s="14"/>
      <c r="H40" s="26"/>
      <c r="I40" s="13"/>
      <c r="J40" s="15"/>
      <c r="K40" s="1"/>
      <c r="L40" s="14"/>
      <c r="M40" s="13"/>
      <c r="N40" s="13"/>
      <c r="O40" s="8"/>
      <c r="P40" s="12"/>
      <c r="Q40" s="13"/>
      <c r="R40" s="8"/>
      <c r="S40" s="20"/>
    </row>
    <row r="41" spans="1:19" s="2" customFormat="1" ht="19.649999999999999" customHeight="1" x14ac:dyDescent="0.2">
      <c r="A41" s="13"/>
      <c r="B41" s="13"/>
      <c r="C41" s="13"/>
      <c r="D41" s="12"/>
      <c r="E41" s="12"/>
      <c r="F41" s="12"/>
      <c r="G41" s="14"/>
      <c r="H41" s="26"/>
      <c r="I41" s="13"/>
      <c r="J41" s="15"/>
      <c r="K41" s="1"/>
      <c r="L41" s="14"/>
      <c r="M41" s="13"/>
      <c r="N41" s="13"/>
      <c r="O41" s="8"/>
      <c r="P41" s="12"/>
      <c r="Q41" s="13"/>
      <c r="R41" s="8"/>
      <c r="S41" s="20"/>
    </row>
    <row r="42" spans="1:19" s="2" customFormat="1" ht="19.649999999999999" customHeight="1" x14ac:dyDescent="0.2">
      <c r="A42" s="13"/>
      <c r="B42" s="13"/>
      <c r="C42" s="13"/>
      <c r="D42" s="12"/>
      <c r="E42" s="12"/>
      <c r="F42" s="12"/>
      <c r="G42" s="14"/>
      <c r="H42" s="26"/>
      <c r="I42" s="13"/>
      <c r="J42" s="15"/>
      <c r="K42" s="1"/>
      <c r="L42" s="14"/>
      <c r="M42" s="13"/>
      <c r="N42" s="13"/>
      <c r="O42" s="8"/>
      <c r="P42" s="12"/>
      <c r="Q42" s="13"/>
      <c r="R42" s="8"/>
      <c r="S42" s="20"/>
    </row>
    <row r="43" spans="1:19" s="2" customFormat="1" ht="19.649999999999999" customHeight="1" x14ac:dyDescent="0.2">
      <c r="A43" s="13"/>
      <c r="B43" s="13"/>
      <c r="C43" s="13"/>
      <c r="D43" s="12"/>
      <c r="E43" s="12"/>
      <c r="F43" s="12"/>
      <c r="G43" s="14"/>
      <c r="H43" s="26"/>
      <c r="I43" s="13"/>
      <c r="J43" s="15"/>
      <c r="K43" s="1"/>
      <c r="L43" s="14"/>
      <c r="M43" s="13"/>
      <c r="N43" s="13"/>
      <c r="O43" s="8"/>
      <c r="P43" s="12"/>
      <c r="Q43" s="13"/>
      <c r="R43" s="8"/>
      <c r="S43" s="20"/>
    </row>
    <row r="44" spans="1:19" s="2" customFormat="1" ht="19.649999999999999" customHeight="1" x14ac:dyDescent="0.2">
      <c r="A44" s="13"/>
      <c r="B44" s="13"/>
      <c r="C44" s="13"/>
      <c r="D44" s="12"/>
      <c r="E44" s="12"/>
      <c r="F44" s="12"/>
      <c r="G44" s="14"/>
      <c r="H44" s="26"/>
      <c r="I44" s="13"/>
      <c r="J44" s="15"/>
      <c r="K44" s="1"/>
      <c r="L44" s="14"/>
      <c r="M44" s="13"/>
      <c r="N44" s="13"/>
      <c r="O44" s="8"/>
      <c r="P44" s="12"/>
      <c r="Q44" s="13"/>
      <c r="R44" s="8"/>
      <c r="S44" s="20"/>
    </row>
    <row r="45" spans="1:19" s="2" customFormat="1" ht="19.649999999999999" customHeight="1" x14ac:dyDescent="0.2">
      <c r="A45" s="13"/>
      <c r="B45" s="13"/>
      <c r="C45" s="13"/>
      <c r="D45" s="12"/>
      <c r="E45" s="12"/>
      <c r="F45" s="12"/>
      <c r="G45" s="14"/>
      <c r="H45" s="26"/>
      <c r="I45" s="13"/>
      <c r="J45" s="15"/>
      <c r="K45" s="1"/>
      <c r="L45" s="14"/>
      <c r="M45" s="13"/>
      <c r="N45" s="13"/>
      <c r="O45" s="8"/>
      <c r="P45" s="12"/>
      <c r="Q45" s="13"/>
      <c r="R45" s="8"/>
      <c r="S45" s="20"/>
    </row>
    <row r="46" spans="1:19" s="2" customFormat="1" ht="19.649999999999999" customHeight="1" x14ac:dyDescent="0.2">
      <c r="A46" s="13"/>
      <c r="B46" s="13"/>
      <c r="C46" s="13"/>
      <c r="D46" s="12"/>
      <c r="E46" s="12"/>
      <c r="F46" s="12"/>
      <c r="G46" s="14"/>
      <c r="H46" s="26"/>
      <c r="I46" s="13"/>
      <c r="J46" s="15"/>
      <c r="K46" s="1"/>
      <c r="L46" s="14"/>
      <c r="M46" s="13"/>
      <c r="N46" s="13"/>
      <c r="O46" s="8"/>
      <c r="P46" s="12"/>
      <c r="Q46" s="13"/>
      <c r="R46" s="8"/>
      <c r="S46" s="20"/>
    </row>
    <row r="47" spans="1:19" s="2" customFormat="1" ht="19.649999999999999" customHeight="1" x14ac:dyDescent="0.2">
      <c r="A47" s="13"/>
      <c r="B47" s="13"/>
      <c r="C47" s="13"/>
      <c r="D47" s="12"/>
      <c r="E47" s="12"/>
      <c r="F47" s="12"/>
      <c r="G47" s="14"/>
      <c r="H47" s="26"/>
      <c r="I47" s="13"/>
      <c r="J47" s="15"/>
      <c r="K47" s="1"/>
      <c r="L47" s="14"/>
      <c r="M47" s="13"/>
      <c r="N47" s="13"/>
      <c r="O47" s="8"/>
      <c r="P47" s="12"/>
      <c r="Q47" s="13"/>
      <c r="R47" s="8"/>
      <c r="S47" s="20"/>
    </row>
    <row r="48" spans="1:19" s="2" customFormat="1" ht="19.649999999999999" customHeight="1" x14ac:dyDescent="0.2">
      <c r="A48" s="13"/>
      <c r="B48" s="13"/>
      <c r="C48" s="13"/>
      <c r="D48" s="12"/>
      <c r="E48" s="12"/>
      <c r="F48" s="12"/>
      <c r="G48" s="14"/>
      <c r="H48" s="26"/>
      <c r="I48" s="13"/>
      <c r="J48" s="15"/>
      <c r="K48" s="1"/>
      <c r="L48" s="14"/>
      <c r="M48" s="13"/>
      <c r="N48" s="13"/>
      <c r="O48" s="8"/>
      <c r="P48" s="12"/>
      <c r="Q48" s="13"/>
      <c r="R48" s="8"/>
      <c r="S48" s="20"/>
    </row>
    <row r="49" spans="1:19" s="2" customFormat="1" ht="19.649999999999999" customHeight="1" x14ac:dyDescent="0.2">
      <c r="A49" s="13"/>
      <c r="B49" s="13"/>
      <c r="C49" s="13"/>
      <c r="D49" s="12"/>
      <c r="E49" s="12"/>
      <c r="F49" s="12"/>
      <c r="G49" s="14"/>
      <c r="H49" s="26"/>
      <c r="I49" s="13"/>
      <c r="J49" s="15"/>
      <c r="K49" s="1"/>
      <c r="L49" s="14"/>
      <c r="M49" s="13"/>
      <c r="N49" s="13"/>
      <c r="O49" s="8"/>
      <c r="P49" s="12"/>
      <c r="Q49" s="13"/>
      <c r="R49" s="8"/>
      <c r="S49" s="20"/>
    </row>
    <row r="50" spans="1:19" s="2" customFormat="1" ht="19.649999999999999" customHeight="1" x14ac:dyDescent="0.2">
      <c r="A50" s="13"/>
      <c r="B50" s="13"/>
      <c r="C50" s="13"/>
      <c r="D50" s="12"/>
      <c r="E50" s="12"/>
      <c r="F50" s="12"/>
      <c r="G50" s="14"/>
      <c r="H50" s="26"/>
      <c r="I50" s="13"/>
      <c r="J50" s="15"/>
      <c r="K50" s="1"/>
      <c r="L50" s="14"/>
      <c r="M50" s="13"/>
      <c r="N50" s="13"/>
      <c r="O50" s="8"/>
      <c r="P50" s="12"/>
      <c r="Q50" s="13"/>
      <c r="R50" s="8"/>
      <c r="S50" s="20"/>
    </row>
    <row r="51" spans="1:19" s="2" customFormat="1" ht="19.649999999999999" customHeight="1" x14ac:dyDescent="0.2">
      <c r="A51" s="13"/>
      <c r="B51" s="13"/>
      <c r="C51" s="13"/>
      <c r="D51" s="12"/>
      <c r="E51" s="12"/>
      <c r="F51" s="12"/>
      <c r="G51" s="14"/>
      <c r="H51" s="26"/>
      <c r="I51" s="13"/>
      <c r="J51" s="15"/>
      <c r="K51" s="1"/>
      <c r="L51" s="14"/>
      <c r="M51" s="13"/>
      <c r="N51" s="13"/>
      <c r="O51" s="8"/>
      <c r="P51" s="12"/>
      <c r="Q51" s="13"/>
      <c r="R51" s="8"/>
      <c r="S51" s="20"/>
    </row>
    <row r="52" spans="1:19" s="2" customFormat="1" ht="19.649999999999999" customHeight="1" x14ac:dyDescent="0.2">
      <c r="A52" s="13"/>
      <c r="B52" s="13"/>
      <c r="C52" s="13"/>
      <c r="D52" s="12"/>
      <c r="E52" s="12"/>
      <c r="F52" s="12"/>
      <c r="G52" s="14"/>
      <c r="H52" s="26"/>
      <c r="I52" s="13"/>
      <c r="J52" s="15"/>
      <c r="K52" s="1"/>
      <c r="L52" s="14"/>
      <c r="M52" s="13"/>
      <c r="N52" s="13"/>
      <c r="O52" s="8"/>
      <c r="P52" s="12"/>
      <c r="Q52" s="13"/>
      <c r="R52" s="8"/>
      <c r="S52" s="20"/>
    </row>
    <row r="53" spans="1:19" s="2" customFormat="1" ht="19.649999999999999" customHeight="1" x14ac:dyDescent="0.2">
      <c r="A53" s="13"/>
      <c r="B53" s="13"/>
      <c r="C53" s="13"/>
      <c r="D53" s="12"/>
      <c r="E53" s="12"/>
      <c r="F53" s="12"/>
      <c r="G53" s="14"/>
      <c r="H53" s="26"/>
      <c r="I53" s="13"/>
      <c r="J53" s="15"/>
      <c r="K53" s="1"/>
      <c r="L53" s="14"/>
      <c r="M53" s="13"/>
      <c r="N53" s="13"/>
      <c r="O53" s="8"/>
      <c r="P53" s="12"/>
      <c r="Q53" s="13"/>
      <c r="R53" s="8"/>
      <c r="S53" s="20"/>
    </row>
    <row r="54" spans="1:19" s="2" customFormat="1" ht="19.649999999999999" customHeight="1" x14ac:dyDescent="0.2">
      <c r="A54" s="13"/>
      <c r="B54" s="13"/>
      <c r="C54" s="13"/>
      <c r="D54" s="12"/>
      <c r="E54" s="12"/>
      <c r="F54" s="12"/>
      <c r="G54" s="14"/>
      <c r="H54" s="26"/>
      <c r="I54" s="13"/>
      <c r="J54" s="15"/>
      <c r="K54" s="1"/>
      <c r="L54" s="14"/>
      <c r="M54" s="13"/>
      <c r="N54" s="13"/>
      <c r="O54" s="8"/>
      <c r="P54" s="12"/>
      <c r="Q54" s="13"/>
      <c r="R54" s="8"/>
      <c r="S54" s="20"/>
    </row>
    <row r="55" spans="1:19" s="2" customFormat="1" ht="19.649999999999999" customHeight="1" x14ac:dyDescent="0.2">
      <c r="A55" s="13"/>
      <c r="B55" s="13"/>
      <c r="C55" s="13"/>
      <c r="D55" s="12"/>
      <c r="E55" s="12"/>
      <c r="F55" s="12"/>
      <c r="G55" s="14"/>
      <c r="H55" s="26"/>
      <c r="I55" s="13"/>
      <c r="J55" s="15"/>
      <c r="K55" s="1"/>
      <c r="L55" s="14"/>
      <c r="M55" s="13"/>
      <c r="N55" s="13"/>
      <c r="O55" s="8"/>
      <c r="P55" s="12"/>
      <c r="Q55" s="13"/>
      <c r="R55" s="8"/>
      <c r="S55" s="20"/>
    </row>
    <row r="56" spans="1:19" s="2" customFormat="1" ht="19.649999999999999" customHeight="1" x14ac:dyDescent="0.2">
      <c r="A56" s="13"/>
      <c r="B56" s="13"/>
      <c r="C56" s="13"/>
      <c r="D56" s="12"/>
      <c r="E56" s="12"/>
      <c r="F56" s="12"/>
      <c r="G56" s="14"/>
      <c r="H56" s="26"/>
      <c r="I56" s="13"/>
      <c r="J56" s="15"/>
      <c r="K56" s="1"/>
      <c r="L56" s="14"/>
      <c r="M56" s="13"/>
      <c r="N56" s="13"/>
      <c r="O56" s="8"/>
      <c r="P56" s="12"/>
      <c r="Q56" s="13"/>
      <c r="R56" s="8"/>
      <c r="S56" s="20"/>
    </row>
    <row r="57" spans="1:19" s="2" customFormat="1" ht="19.649999999999999" customHeight="1" x14ac:dyDescent="0.2">
      <c r="A57" s="13"/>
      <c r="B57" s="13"/>
      <c r="C57" s="13"/>
      <c r="D57" s="12"/>
      <c r="E57" s="12"/>
      <c r="F57" s="12"/>
      <c r="G57" s="14"/>
      <c r="H57" s="26"/>
      <c r="I57" s="13"/>
      <c r="J57" s="15"/>
      <c r="K57" s="1"/>
      <c r="L57" s="14"/>
      <c r="M57" s="13"/>
      <c r="N57" s="13"/>
      <c r="O57" s="8"/>
      <c r="P57" s="12"/>
      <c r="Q57" s="13"/>
      <c r="R57" s="8"/>
      <c r="S57" s="20"/>
    </row>
    <row r="58" spans="1:19" s="2" customFormat="1" ht="19.649999999999999" customHeight="1" x14ac:dyDescent="0.2">
      <c r="A58" s="13"/>
      <c r="B58" s="13"/>
      <c r="C58" s="13"/>
      <c r="D58" s="12"/>
      <c r="E58" s="12"/>
      <c r="F58" s="12"/>
      <c r="G58" s="14"/>
      <c r="H58" s="26"/>
      <c r="I58" s="13"/>
      <c r="J58" s="15"/>
      <c r="K58" s="1"/>
      <c r="L58" s="14"/>
      <c r="M58" s="13"/>
      <c r="N58" s="13"/>
      <c r="O58" s="8"/>
      <c r="P58" s="12"/>
      <c r="Q58" s="13"/>
      <c r="R58" s="8"/>
      <c r="S58" s="20"/>
    </row>
    <row r="59" spans="1:19" s="2" customFormat="1" ht="19.649999999999999" customHeight="1" x14ac:dyDescent="0.2">
      <c r="A59" s="13"/>
      <c r="B59" s="13"/>
      <c r="C59" s="13"/>
      <c r="D59" s="12"/>
      <c r="E59" s="12"/>
      <c r="F59" s="12"/>
      <c r="G59" s="14"/>
      <c r="H59" s="26"/>
      <c r="I59" s="13"/>
      <c r="J59" s="15"/>
      <c r="K59" s="1"/>
      <c r="L59" s="14"/>
      <c r="M59" s="13"/>
      <c r="N59" s="13"/>
      <c r="O59" s="8"/>
      <c r="P59" s="12"/>
      <c r="Q59" s="13"/>
      <c r="R59" s="8"/>
      <c r="S59" s="20"/>
    </row>
    <row r="60" spans="1:19" s="2" customFormat="1" ht="19.649999999999999" customHeight="1" x14ac:dyDescent="0.2">
      <c r="A60" s="13"/>
      <c r="B60" s="13"/>
      <c r="C60" s="13"/>
      <c r="D60" s="12"/>
      <c r="E60" s="12"/>
      <c r="F60" s="12"/>
      <c r="G60" s="14"/>
      <c r="H60" s="26"/>
      <c r="I60" s="13"/>
      <c r="J60" s="15"/>
      <c r="K60" s="1"/>
      <c r="L60" s="14"/>
      <c r="M60" s="13"/>
      <c r="N60" s="13"/>
      <c r="O60" s="8"/>
      <c r="P60" s="12"/>
      <c r="Q60" s="13"/>
      <c r="R60" s="8"/>
      <c r="S60" s="20"/>
    </row>
    <row r="61" spans="1:19" s="2" customFormat="1" ht="19.649999999999999" customHeight="1" x14ac:dyDescent="0.2">
      <c r="A61" s="13"/>
      <c r="B61" s="13"/>
      <c r="C61" s="13"/>
      <c r="D61" s="12"/>
      <c r="E61" s="12"/>
      <c r="F61" s="12"/>
      <c r="G61" s="14"/>
      <c r="H61" s="26"/>
      <c r="I61" s="13"/>
      <c r="J61" s="15"/>
      <c r="K61" s="1"/>
      <c r="L61" s="14"/>
      <c r="M61" s="13"/>
      <c r="N61" s="13"/>
      <c r="O61" s="8"/>
      <c r="P61" s="12"/>
      <c r="Q61" s="13"/>
      <c r="R61" s="8"/>
      <c r="S61" s="20"/>
    </row>
    <row r="62" spans="1:19" s="2" customFormat="1" ht="19.649999999999999" customHeight="1" x14ac:dyDescent="0.2">
      <c r="A62" s="13"/>
      <c r="B62" s="13"/>
      <c r="C62" s="13"/>
      <c r="D62" s="12"/>
      <c r="E62" s="12"/>
      <c r="F62" s="12"/>
      <c r="G62" s="14"/>
      <c r="H62" s="26"/>
      <c r="I62" s="13"/>
      <c r="J62" s="15"/>
      <c r="K62" s="1"/>
      <c r="L62" s="14"/>
      <c r="M62" s="13"/>
      <c r="N62" s="13"/>
      <c r="O62" s="8"/>
      <c r="P62" s="12"/>
      <c r="Q62" s="13"/>
      <c r="R62" s="8"/>
      <c r="S62" s="20"/>
    </row>
    <row r="63" spans="1:19" s="2" customFormat="1" ht="19.649999999999999" customHeight="1" x14ac:dyDescent="0.2">
      <c r="A63" s="13"/>
      <c r="B63" s="13"/>
      <c r="C63" s="13"/>
      <c r="D63" s="12"/>
      <c r="E63" s="12"/>
      <c r="F63" s="12"/>
      <c r="G63" s="14"/>
      <c r="H63" s="26"/>
      <c r="I63" s="13"/>
      <c r="J63" s="15"/>
      <c r="K63" s="1"/>
      <c r="L63" s="14"/>
      <c r="M63" s="13"/>
      <c r="N63" s="13"/>
      <c r="O63" s="8"/>
      <c r="P63" s="12"/>
      <c r="Q63" s="13"/>
      <c r="R63" s="8"/>
      <c r="S63" s="20"/>
    </row>
    <row r="64" spans="1:19" s="2" customFormat="1" ht="19.649999999999999" customHeight="1" x14ac:dyDescent="0.2">
      <c r="A64" s="13"/>
      <c r="B64" s="13"/>
      <c r="C64" s="13"/>
      <c r="D64" s="12"/>
      <c r="E64" s="12"/>
      <c r="F64" s="12"/>
      <c r="G64" s="14"/>
      <c r="H64" s="26"/>
      <c r="I64" s="13"/>
      <c r="J64" s="15"/>
      <c r="K64" s="1"/>
      <c r="L64" s="14"/>
      <c r="M64" s="13"/>
      <c r="N64" s="13"/>
      <c r="O64" s="8"/>
      <c r="P64" s="12"/>
      <c r="Q64" s="13"/>
      <c r="R64" s="8"/>
      <c r="S64" s="20"/>
    </row>
    <row r="65" spans="1:19" s="2" customFormat="1" ht="19.649999999999999" customHeight="1" x14ac:dyDescent="0.2">
      <c r="A65" s="13"/>
      <c r="B65" s="13"/>
      <c r="C65" s="13"/>
      <c r="D65" s="12"/>
      <c r="E65" s="12"/>
      <c r="F65" s="12"/>
      <c r="G65" s="14"/>
      <c r="H65" s="26"/>
      <c r="I65" s="13"/>
      <c r="J65" s="15"/>
      <c r="K65" s="1"/>
      <c r="L65" s="14"/>
      <c r="M65" s="13"/>
      <c r="N65" s="13"/>
      <c r="O65" s="8"/>
      <c r="P65" s="12"/>
      <c r="Q65" s="13"/>
      <c r="R65" s="8"/>
      <c r="S65" s="20"/>
    </row>
    <row r="66" spans="1:19" s="2" customFormat="1" ht="19.649999999999999" customHeight="1" x14ac:dyDescent="0.2">
      <c r="A66" s="13"/>
      <c r="B66" s="13"/>
      <c r="C66" s="13"/>
      <c r="D66" s="12"/>
      <c r="E66" s="12"/>
      <c r="F66" s="12"/>
      <c r="G66" s="14"/>
      <c r="H66" s="26"/>
      <c r="I66" s="13"/>
      <c r="J66" s="15"/>
      <c r="K66" s="1"/>
      <c r="L66" s="14"/>
      <c r="M66" s="13"/>
      <c r="N66" s="13"/>
      <c r="O66" s="8"/>
      <c r="P66" s="12"/>
      <c r="Q66" s="13"/>
      <c r="R66" s="8"/>
      <c r="S66" s="20"/>
    </row>
    <row r="67" spans="1:19" s="2" customFormat="1" ht="19.649999999999999" customHeight="1" x14ac:dyDescent="0.2">
      <c r="A67" s="13"/>
      <c r="B67" s="13"/>
      <c r="C67" s="13"/>
      <c r="D67" s="12"/>
      <c r="E67" s="12"/>
      <c r="F67" s="12"/>
      <c r="G67" s="14"/>
      <c r="H67" s="26"/>
      <c r="I67" s="13"/>
      <c r="J67" s="15"/>
      <c r="K67" s="1"/>
      <c r="L67" s="14"/>
      <c r="M67" s="13"/>
      <c r="N67" s="13"/>
      <c r="O67" s="8"/>
      <c r="P67" s="12"/>
      <c r="Q67" s="13"/>
      <c r="R67" s="8"/>
      <c r="S67" s="20"/>
    </row>
    <row r="68" spans="1:19" s="2" customFormat="1" ht="19.649999999999999" customHeight="1" x14ac:dyDescent="0.2">
      <c r="A68" s="13"/>
      <c r="B68" s="13"/>
      <c r="C68" s="13"/>
      <c r="D68" s="12"/>
      <c r="E68" s="12"/>
      <c r="F68" s="12"/>
      <c r="G68" s="14"/>
      <c r="H68" s="26"/>
      <c r="I68" s="13"/>
      <c r="J68" s="15"/>
      <c r="K68" s="1"/>
      <c r="L68" s="14"/>
      <c r="M68" s="13"/>
      <c r="N68" s="13"/>
      <c r="O68" s="8"/>
      <c r="P68" s="12"/>
      <c r="Q68" s="13"/>
      <c r="R68" s="8"/>
      <c r="S68" s="20"/>
    </row>
    <row r="69" spans="1:19" s="2" customFormat="1" ht="19.649999999999999" customHeight="1" x14ac:dyDescent="0.2">
      <c r="A69" s="13"/>
      <c r="B69" s="13"/>
      <c r="C69" s="13"/>
      <c r="D69" s="12"/>
      <c r="E69" s="12"/>
      <c r="F69" s="12"/>
      <c r="G69" s="14"/>
      <c r="H69" s="26"/>
      <c r="I69" s="13"/>
      <c r="J69" s="15"/>
      <c r="K69" s="1"/>
      <c r="L69" s="14"/>
      <c r="M69" s="13"/>
      <c r="N69" s="13"/>
      <c r="O69" s="8"/>
      <c r="P69" s="12"/>
      <c r="Q69" s="13"/>
      <c r="R69" s="8"/>
      <c r="S69" s="20"/>
    </row>
    <row r="70" spans="1:19" s="2" customFormat="1" ht="19.649999999999999" customHeight="1" x14ac:dyDescent="0.2">
      <c r="A70" s="13"/>
      <c r="B70" s="13"/>
      <c r="C70" s="13"/>
      <c r="D70" s="41"/>
      <c r="E70" s="12"/>
      <c r="F70" s="12"/>
      <c r="G70" s="14"/>
      <c r="H70" s="26"/>
      <c r="I70" s="13"/>
      <c r="J70" s="15"/>
      <c r="K70" s="1"/>
      <c r="L70" s="14"/>
      <c r="M70" s="13"/>
      <c r="N70" s="13"/>
      <c r="O70" s="8"/>
      <c r="P70" s="12"/>
      <c r="Q70" s="13"/>
      <c r="R70" s="8"/>
      <c r="S70" s="20"/>
    </row>
    <row r="71" spans="1:19" s="2" customFormat="1" ht="19.649999999999999" customHeight="1" x14ac:dyDescent="0.2">
      <c r="A71" s="13"/>
      <c r="B71" s="13"/>
      <c r="C71" s="13"/>
      <c r="D71" s="12"/>
      <c r="E71" s="12"/>
      <c r="F71" s="12"/>
      <c r="G71" s="13"/>
      <c r="H71" s="13"/>
      <c r="I71" s="13"/>
      <c r="J71" s="1"/>
      <c r="K71" s="1"/>
      <c r="L71" s="13"/>
      <c r="M71" s="13"/>
      <c r="N71" s="13"/>
      <c r="O71" s="8"/>
      <c r="P71" s="12"/>
      <c r="Q71" s="13"/>
      <c r="R71" s="8"/>
      <c r="S71" s="20"/>
    </row>
    <row r="72" spans="1:19" s="2" customFormat="1" ht="19.649999999999999" customHeight="1" x14ac:dyDescent="0.2">
      <c r="A72" s="13"/>
      <c r="B72" s="13"/>
      <c r="C72" s="13"/>
      <c r="D72" s="12"/>
      <c r="E72" s="12"/>
      <c r="F72" s="12"/>
      <c r="G72" s="19"/>
      <c r="H72" s="13"/>
      <c r="I72" s="13"/>
      <c r="J72" s="1"/>
      <c r="K72" s="1"/>
      <c r="L72" s="13"/>
      <c r="M72" s="13"/>
      <c r="N72" s="13"/>
      <c r="O72" s="8"/>
      <c r="P72" s="12"/>
      <c r="Q72" s="13"/>
      <c r="R72" s="8"/>
      <c r="S72" s="20"/>
    </row>
    <row r="73" spans="1:19" s="2" customFormat="1" ht="19.649999999999999" customHeight="1" x14ac:dyDescent="0.2">
      <c r="A73" s="13"/>
      <c r="B73" s="13"/>
      <c r="C73" s="13"/>
      <c r="D73" s="12"/>
      <c r="E73" s="12"/>
      <c r="F73" s="12"/>
      <c r="G73" s="14"/>
      <c r="H73" s="26"/>
      <c r="I73" s="13"/>
      <c r="J73" s="15"/>
      <c r="K73" s="27"/>
      <c r="L73" s="14"/>
      <c r="M73" s="13"/>
      <c r="N73" s="13"/>
      <c r="O73" s="8"/>
      <c r="P73" s="12"/>
      <c r="Q73" s="13"/>
      <c r="R73" s="8"/>
      <c r="S73" s="20"/>
    </row>
    <row r="74" spans="1:19" s="2" customFormat="1" ht="19.649999999999999" customHeight="1" x14ac:dyDescent="0.2">
      <c r="A74" s="13"/>
      <c r="B74" s="13"/>
      <c r="C74" s="13"/>
      <c r="D74" s="12"/>
      <c r="E74" s="12"/>
      <c r="F74" s="12"/>
      <c r="G74" s="14"/>
      <c r="H74" s="26"/>
      <c r="I74" s="13"/>
      <c r="J74" s="15"/>
      <c r="K74" s="1"/>
      <c r="L74" s="14"/>
      <c r="M74" s="13"/>
      <c r="N74" s="13"/>
      <c r="O74" s="8"/>
      <c r="P74" s="12"/>
      <c r="Q74" s="13"/>
      <c r="R74" s="8"/>
      <c r="S74" s="20"/>
    </row>
    <row r="75" spans="1:19" s="2" customFormat="1" ht="19.649999999999999" customHeight="1" x14ac:dyDescent="0.2">
      <c r="A75" s="13"/>
      <c r="B75" s="13"/>
      <c r="C75" s="13"/>
      <c r="D75" s="12"/>
      <c r="E75" s="12"/>
      <c r="F75" s="12"/>
      <c r="G75" s="14"/>
      <c r="H75" s="26"/>
      <c r="I75" s="13"/>
      <c r="J75" s="15"/>
      <c r="K75" s="1"/>
      <c r="L75" s="14"/>
      <c r="M75" s="13"/>
      <c r="N75" s="13"/>
      <c r="O75" s="8"/>
      <c r="P75" s="12"/>
      <c r="Q75" s="13"/>
      <c r="R75" s="8"/>
      <c r="S75" s="20"/>
    </row>
    <row r="76" spans="1:19" s="2" customFormat="1" ht="19.649999999999999" customHeight="1" x14ac:dyDescent="0.2">
      <c r="A76" s="13"/>
      <c r="B76" s="13"/>
      <c r="C76" s="13"/>
      <c r="D76" s="12"/>
      <c r="E76" s="12"/>
      <c r="F76" s="12"/>
      <c r="G76" s="14"/>
      <c r="H76" s="26"/>
      <c r="I76" s="13"/>
      <c r="J76" s="15"/>
      <c r="K76" s="1"/>
      <c r="L76" s="14"/>
      <c r="M76" s="13"/>
      <c r="N76" s="13"/>
      <c r="O76" s="8"/>
      <c r="P76" s="12"/>
      <c r="Q76" s="13"/>
      <c r="R76" s="8"/>
      <c r="S76" s="20"/>
    </row>
    <row r="77" spans="1:19" s="17" customFormat="1" x14ac:dyDescent="0.2">
      <c r="A77"/>
      <c r="B77"/>
      <c r="C77"/>
      <c r="D77" s="2"/>
      <c r="E77"/>
      <c r="F77"/>
      <c r="G77"/>
      <c r="H77" s="2"/>
      <c r="I77" s="2"/>
      <c r="J77" s="25"/>
      <c r="K77" s="2"/>
      <c r="L77"/>
      <c r="M77"/>
      <c r="N77" s="2"/>
      <c r="O77" s="9"/>
      <c r="P77"/>
      <c r="Q77" s="6"/>
      <c r="R77" s="10"/>
      <c r="S77" s="11"/>
    </row>
  </sheetData>
  <mergeCells count="8">
    <mergeCell ref="D6:F6"/>
    <mergeCell ref="D2:F2"/>
    <mergeCell ref="I2:K2"/>
    <mergeCell ref="D3:F3"/>
    <mergeCell ref="D4:F4"/>
    <mergeCell ref="I4:J5"/>
    <mergeCell ref="K4:M5"/>
    <mergeCell ref="D5:F5"/>
  </mergeCells>
  <phoneticPr fontId="10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G123" sqref="G123:J123"/>
    </sheetView>
  </sheetViews>
  <sheetFormatPr defaultRowHeight="13.2" x14ac:dyDescent="0.2"/>
  <cols>
    <col min="3" max="3" width="19.88671875" customWidth="1"/>
  </cols>
  <sheetData>
    <row r="1" spans="2:7" x14ac:dyDescent="0.2">
      <c r="B1" t="s">
        <v>44</v>
      </c>
      <c r="D1" t="s">
        <v>43</v>
      </c>
      <c r="G1" t="s">
        <v>45</v>
      </c>
    </row>
    <row r="2" spans="2:7" x14ac:dyDescent="0.2">
      <c r="B2">
        <v>5914</v>
      </c>
      <c r="D2">
        <v>30500</v>
      </c>
      <c r="G2">
        <v>88326</v>
      </c>
    </row>
    <row r="3" spans="2:7" x14ac:dyDescent="0.2">
      <c r="B3">
        <v>792</v>
      </c>
      <c r="D3">
        <v>25000</v>
      </c>
      <c r="G3">
        <v>1596</v>
      </c>
    </row>
    <row r="4" spans="2:7" x14ac:dyDescent="0.2">
      <c r="B4">
        <v>3960</v>
      </c>
      <c r="D4">
        <v>25000</v>
      </c>
      <c r="G4">
        <v>1443</v>
      </c>
    </row>
    <row r="5" spans="2:7" x14ac:dyDescent="0.2">
      <c r="B5">
        <v>2376</v>
      </c>
      <c r="D5">
        <v>25000</v>
      </c>
      <c r="G5">
        <v>684</v>
      </c>
    </row>
    <row r="6" spans="2:7" x14ac:dyDescent="0.2">
      <c r="B6">
        <v>354</v>
      </c>
      <c r="D6">
        <v>13000</v>
      </c>
    </row>
    <row r="7" spans="2:7" x14ac:dyDescent="0.2">
      <c r="B7">
        <v>2376</v>
      </c>
      <c r="D7">
        <v>6500</v>
      </c>
    </row>
    <row r="8" spans="2:7" x14ac:dyDescent="0.2">
      <c r="B8">
        <v>354</v>
      </c>
      <c r="D8">
        <v>24000</v>
      </c>
      <c r="G8">
        <v>2034</v>
      </c>
    </row>
    <row r="9" spans="2:7" x14ac:dyDescent="0.2">
      <c r="B9">
        <v>4752</v>
      </c>
      <c r="D9">
        <v>13500</v>
      </c>
      <c r="G9">
        <v>67036</v>
      </c>
    </row>
    <row r="10" spans="2:7" x14ac:dyDescent="0.2">
      <c r="B10">
        <v>792</v>
      </c>
      <c r="G10">
        <v>82612</v>
      </c>
    </row>
    <row r="11" spans="2:7" x14ac:dyDescent="0.2">
      <c r="B11">
        <v>4355</v>
      </c>
      <c r="D11">
        <v>21500</v>
      </c>
      <c r="G11">
        <v>280</v>
      </c>
    </row>
    <row r="12" spans="2:7" x14ac:dyDescent="0.2">
      <c r="B12">
        <v>5226</v>
      </c>
      <c r="D12">
        <v>1080</v>
      </c>
      <c r="G12">
        <v>792</v>
      </c>
    </row>
    <row r="13" spans="2:7" x14ac:dyDescent="0.2">
      <c r="B13">
        <v>5820</v>
      </c>
      <c r="D13">
        <v>3840</v>
      </c>
      <c r="G13">
        <v>996</v>
      </c>
    </row>
    <row r="14" spans="2:7" x14ac:dyDescent="0.2">
      <c r="B14">
        <v>14697</v>
      </c>
      <c r="D14">
        <v>2380</v>
      </c>
      <c r="G14">
        <v>1120</v>
      </c>
    </row>
    <row r="15" spans="2:7" x14ac:dyDescent="0.2">
      <c r="B15">
        <v>3544</v>
      </c>
      <c r="G15">
        <v>3780</v>
      </c>
    </row>
    <row r="16" spans="2:7" x14ac:dyDescent="0.2">
      <c r="B16">
        <v>18650</v>
      </c>
      <c r="G16">
        <v>10740</v>
      </c>
    </row>
    <row r="17" spans="2:7" x14ac:dyDescent="0.2">
      <c r="B17">
        <v>1760</v>
      </c>
      <c r="D17">
        <v>2400</v>
      </c>
      <c r="G17">
        <v>1746</v>
      </c>
    </row>
    <row r="18" spans="2:7" x14ac:dyDescent="0.2">
      <c r="B18">
        <v>13160</v>
      </c>
      <c r="D18">
        <v>12000</v>
      </c>
      <c r="G18">
        <v>47364</v>
      </c>
    </row>
    <row r="19" spans="2:7" x14ac:dyDescent="0.2">
      <c r="B19">
        <v>15760</v>
      </c>
      <c r="D19">
        <v>124628</v>
      </c>
      <c r="G19">
        <v>280</v>
      </c>
    </row>
    <row r="20" spans="2:7" x14ac:dyDescent="0.2">
      <c r="B20">
        <v>17620</v>
      </c>
      <c r="G20">
        <v>996</v>
      </c>
    </row>
    <row r="21" spans="2:7" x14ac:dyDescent="0.2">
      <c r="B21">
        <v>472</v>
      </c>
      <c r="D21">
        <f>SUM(D2:D20)</f>
        <v>330328</v>
      </c>
      <c r="G21">
        <v>945</v>
      </c>
    </row>
    <row r="22" spans="2:7" x14ac:dyDescent="0.2">
      <c r="B22">
        <v>880</v>
      </c>
      <c r="G22">
        <v>1746</v>
      </c>
    </row>
    <row r="23" spans="2:7" x14ac:dyDescent="0.2">
      <c r="B23">
        <v>60000</v>
      </c>
      <c r="G23">
        <v>27140</v>
      </c>
    </row>
    <row r="24" spans="2:7" x14ac:dyDescent="0.2">
      <c r="B24">
        <v>20000</v>
      </c>
      <c r="G24">
        <v>888</v>
      </c>
    </row>
    <row r="25" spans="2:7" x14ac:dyDescent="0.2">
      <c r="B25">
        <v>368</v>
      </c>
      <c r="G25">
        <v>720</v>
      </c>
    </row>
    <row r="26" spans="2:7" x14ac:dyDescent="0.2">
      <c r="B26">
        <v>4364</v>
      </c>
      <c r="G26">
        <v>39490</v>
      </c>
    </row>
    <row r="27" spans="2:7" x14ac:dyDescent="0.2">
      <c r="B27">
        <v>23530</v>
      </c>
      <c r="G27">
        <v>720</v>
      </c>
    </row>
    <row r="28" spans="2:7" x14ac:dyDescent="0.2">
      <c r="B28">
        <v>448</v>
      </c>
      <c r="G28">
        <v>31421</v>
      </c>
    </row>
    <row r="29" spans="2:7" x14ac:dyDescent="0.2">
      <c r="B29">
        <v>37774</v>
      </c>
      <c r="G29">
        <v>280</v>
      </c>
    </row>
    <row r="30" spans="2:7" x14ac:dyDescent="0.2">
      <c r="B30">
        <v>784</v>
      </c>
      <c r="G30">
        <v>996</v>
      </c>
    </row>
    <row r="31" spans="2:7" x14ac:dyDescent="0.2">
      <c r="B31">
        <v>308</v>
      </c>
      <c r="G31">
        <v>945</v>
      </c>
    </row>
    <row r="32" spans="2:7" x14ac:dyDescent="0.2">
      <c r="B32">
        <v>561</v>
      </c>
      <c r="G32">
        <v>1608</v>
      </c>
    </row>
    <row r="33" spans="2:7" x14ac:dyDescent="0.2">
      <c r="B33">
        <v>392</v>
      </c>
      <c r="G33">
        <v>150000</v>
      </c>
    </row>
    <row r="34" spans="2:7" x14ac:dyDescent="0.2">
      <c r="B34">
        <v>304</v>
      </c>
      <c r="G34">
        <v>5076</v>
      </c>
    </row>
    <row r="35" spans="2:7" x14ac:dyDescent="0.2">
      <c r="B35">
        <v>25343</v>
      </c>
      <c r="G35">
        <v>3492</v>
      </c>
    </row>
    <row r="36" spans="2:7" x14ac:dyDescent="0.2">
      <c r="B36">
        <v>374</v>
      </c>
      <c r="G36">
        <v>90000</v>
      </c>
    </row>
    <row r="37" spans="2:7" x14ac:dyDescent="0.2">
      <c r="B37">
        <v>308</v>
      </c>
      <c r="G37">
        <v>8025</v>
      </c>
    </row>
    <row r="38" spans="2:7" x14ac:dyDescent="0.2">
      <c r="B38">
        <v>191</v>
      </c>
      <c r="G38">
        <v>20480</v>
      </c>
    </row>
    <row r="39" spans="2:7" x14ac:dyDescent="0.2">
      <c r="B39">
        <v>2646</v>
      </c>
      <c r="G39">
        <v>50000</v>
      </c>
    </row>
    <row r="40" spans="2:7" x14ac:dyDescent="0.2">
      <c r="B40">
        <v>38972</v>
      </c>
      <c r="G40">
        <v>8025</v>
      </c>
    </row>
    <row r="41" spans="2:7" x14ac:dyDescent="0.2">
      <c r="B41">
        <v>224</v>
      </c>
      <c r="G41">
        <v>20480</v>
      </c>
    </row>
    <row r="42" spans="2:7" x14ac:dyDescent="0.2">
      <c r="B42">
        <v>308</v>
      </c>
      <c r="G42">
        <v>145000</v>
      </c>
    </row>
    <row r="43" spans="2:7" x14ac:dyDescent="0.2">
      <c r="B43">
        <v>904</v>
      </c>
      <c r="G43">
        <v>8025</v>
      </c>
    </row>
    <row r="44" spans="2:7" x14ac:dyDescent="0.2">
      <c r="B44">
        <v>304</v>
      </c>
      <c r="G44">
        <v>20480</v>
      </c>
    </row>
    <row r="45" spans="2:7" x14ac:dyDescent="0.2">
      <c r="B45">
        <v>28588</v>
      </c>
      <c r="G45">
        <v>1880</v>
      </c>
    </row>
    <row r="46" spans="2:7" x14ac:dyDescent="0.2">
      <c r="B46">
        <v>224</v>
      </c>
      <c r="G46">
        <v>50000</v>
      </c>
    </row>
    <row r="47" spans="2:7" x14ac:dyDescent="0.2">
      <c r="B47">
        <v>374</v>
      </c>
      <c r="G47">
        <v>8025</v>
      </c>
    </row>
    <row r="48" spans="2:7" x14ac:dyDescent="0.2">
      <c r="B48">
        <v>374</v>
      </c>
      <c r="G48">
        <v>20480</v>
      </c>
    </row>
    <row r="49" spans="2:7" x14ac:dyDescent="0.2">
      <c r="B49">
        <v>191</v>
      </c>
      <c r="G49">
        <v>80000</v>
      </c>
    </row>
    <row r="50" spans="2:7" x14ac:dyDescent="0.2">
      <c r="B50">
        <v>904</v>
      </c>
      <c r="G50">
        <v>8025</v>
      </c>
    </row>
    <row r="51" spans="2:7" x14ac:dyDescent="0.2">
      <c r="B51">
        <v>8362</v>
      </c>
      <c r="G51">
        <v>20480</v>
      </c>
    </row>
    <row r="52" spans="2:7" x14ac:dyDescent="0.2">
      <c r="B52">
        <v>112</v>
      </c>
      <c r="G52">
        <v>1880</v>
      </c>
    </row>
    <row r="53" spans="2:7" x14ac:dyDescent="0.2">
      <c r="B53">
        <v>56</v>
      </c>
      <c r="G53">
        <v>110000</v>
      </c>
    </row>
    <row r="54" spans="2:7" x14ac:dyDescent="0.2">
      <c r="B54">
        <v>20.6</v>
      </c>
      <c r="G54">
        <v>8025</v>
      </c>
    </row>
    <row r="55" spans="2:7" x14ac:dyDescent="0.2">
      <c r="B55">
        <v>5915</v>
      </c>
      <c r="G55">
        <v>20480</v>
      </c>
    </row>
    <row r="56" spans="2:7" x14ac:dyDescent="0.2">
      <c r="B56">
        <v>56</v>
      </c>
      <c r="G56">
        <v>1880</v>
      </c>
    </row>
    <row r="57" spans="2:7" x14ac:dyDescent="0.2">
      <c r="B57">
        <v>56</v>
      </c>
    </row>
    <row r="58" spans="2:7" x14ac:dyDescent="0.2">
      <c r="B58">
        <v>20.6</v>
      </c>
      <c r="G58">
        <f>SUM(G8:G57)</f>
        <v>1186913</v>
      </c>
    </row>
    <row r="59" spans="2:7" x14ac:dyDescent="0.2">
      <c r="B59">
        <v>23106</v>
      </c>
    </row>
    <row r="60" spans="2:7" x14ac:dyDescent="0.2">
      <c r="B60">
        <v>224</v>
      </c>
    </row>
    <row r="61" spans="2:7" x14ac:dyDescent="0.2">
      <c r="B61">
        <v>112</v>
      </c>
    </row>
    <row r="62" spans="2:7" x14ac:dyDescent="0.2">
      <c r="B62">
        <v>41.2</v>
      </c>
    </row>
    <row r="63" spans="2:7" x14ac:dyDescent="0.2">
      <c r="B63">
        <v>12832</v>
      </c>
    </row>
    <row r="64" spans="2:7" x14ac:dyDescent="0.2">
      <c r="B64">
        <v>84</v>
      </c>
    </row>
    <row r="65" spans="2:2" x14ac:dyDescent="0.2">
      <c r="B65">
        <v>84</v>
      </c>
    </row>
    <row r="66" spans="2:2" x14ac:dyDescent="0.2">
      <c r="B66">
        <v>30.900000000000002</v>
      </c>
    </row>
    <row r="67" spans="2:2" x14ac:dyDescent="0.2">
      <c r="B67">
        <v>32635</v>
      </c>
    </row>
    <row r="68" spans="2:2" x14ac:dyDescent="0.2">
      <c r="B68">
        <v>560</v>
      </c>
    </row>
    <row r="69" spans="2:2" x14ac:dyDescent="0.2">
      <c r="B69">
        <v>280</v>
      </c>
    </row>
    <row r="70" spans="2:2" x14ac:dyDescent="0.2">
      <c r="B70">
        <v>103</v>
      </c>
    </row>
    <row r="71" spans="2:2" x14ac:dyDescent="0.2">
      <c r="B71">
        <v>5826</v>
      </c>
    </row>
    <row r="72" spans="2:2" x14ac:dyDescent="0.2">
      <c r="B72">
        <v>224</v>
      </c>
    </row>
    <row r="73" spans="2:2" x14ac:dyDescent="0.2">
      <c r="B73">
        <v>4136</v>
      </c>
    </row>
    <row r="74" spans="2:2" x14ac:dyDescent="0.2">
      <c r="B74">
        <v>112</v>
      </c>
    </row>
    <row r="75" spans="2:2" x14ac:dyDescent="0.2">
      <c r="B75">
        <v>4492</v>
      </c>
    </row>
    <row r="76" spans="2:2" x14ac:dyDescent="0.2">
      <c r="B76">
        <v>112</v>
      </c>
    </row>
    <row r="77" spans="2:2" x14ac:dyDescent="0.2">
      <c r="B77">
        <v>56</v>
      </c>
    </row>
    <row r="78" spans="2:2" x14ac:dyDescent="0.2">
      <c r="B78">
        <v>20.6</v>
      </c>
    </row>
    <row r="79" spans="2:2" x14ac:dyDescent="0.2">
      <c r="B79">
        <v>7294</v>
      </c>
    </row>
    <row r="80" spans="2:2" x14ac:dyDescent="0.2">
      <c r="B80">
        <v>224</v>
      </c>
    </row>
    <row r="81" spans="2:2" x14ac:dyDescent="0.2">
      <c r="B81">
        <v>4014</v>
      </c>
    </row>
    <row r="82" spans="2:2" x14ac:dyDescent="0.2">
      <c r="B82">
        <v>112</v>
      </c>
    </row>
    <row r="83" spans="2:2" x14ac:dyDescent="0.2">
      <c r="B83">
        <v>56</v>
      </c>
    </row>
    <row r="84" spans="2:2" x14ac:dyDescent="0.2">
      <c r="B84">
        <v>20.6</v>
      </c>
    </row>
    <row r="85" spans="2:2" x14ac:dyDescent="0.2">
      <c r="B85">
        <v>7539</v>
      </c>
    </row>
    <row r="86" spans="2:2" x14ac:dyDescent="0.2">
      <c r="B86">
        <v>112</v>
      </c>
    </row>
    <row r="87" spans="2:2" x14ac:dyDescent="0.2">
      <c r="B87">
        <v>56</v>
      </c>
    </row>
    <row r="88" spans="2:2" x14ac:dyDescent="0.2">
      <c r="B88">
        <v>20.6</v>
      </c>
    </row>
    <row r="89" spans="2:2" x14ac:dyDescent="0.2">
      <c r="B89">
        <v>15987</v>
      </c>
    </row>
    <row r="90" spans="2:2" x14ac:dyDescent="0.2">
      <c r="B90">
        <v>9784</v>
      </c>
    </row>
    <row r="91" spans="2:2" x14ac:dyDescent="0.2">
      <c r="B91">
        <v>224</v>
      </c>
    </row>
    <row r="92" spans="2:2" x14ac:dyDescent="0.2">
      <c r="B92">
        <v>5293</v>
      </c>
    </row>
    <row r="93" spans="2:2" x14ac:dyDescent="0.2">
      <c r="B93">
        <v>112</v>
      </c>
    </row>
    <row r="94" spans="2:2" x14ac:dyDescent="0.2">
      <c r="B94">
        <v>56</v>
      </c>
    </row>
    <row r="95" spans="2:2" x14ac:dyDescent="0.2">
      <c r="B95">
        <v>20.6</v>
      </c>
    </row>
    <row r="96" spans="2:2" x14ac:dyDescent="0.2">
      <c r="B96">
        <v>8062</v>
      </c>
    </row>
    <row r="97" spans="2:2" x14ac:dyDescent="0.2">
      <c r="B97">
        <v>112</v>
      </c>
    </row>
    <row r="98" spans="2:2" x14ac:dyDescent="0.2">
      <c r="B98">
        <v>56</v>
      </c>
    </row>
    <row r="99" spans="2:2" x14ac:dyDescent="0.2">
      <c r="B99">
        <v>20.6</v>
      </c>
    </row>
    <row r="100" spans="2:2" x14ac:dyDescent="0.2">
      <c r="B100">
        <v>13788</v>
      </c>
    </row>
    <row r="101" spans="2:2" x14ac:dyDescent="0.2">
      <c r="B101">
        <v>224</v>
      </c>
    </row>
    <row r="102" spans="2:2" x14ac:dyDescent="0.2">
      <c r="B102">
        <v>112</v>
      </c>
    </row>
    <row r="103" spans="2:2" x14ac:dyDescent="0.2">
      <c r="B103">
        <v>41.2</v>
      </c>
    </row>
    <row r="104" spans="2:2" x14ac:dyDescent="0.2">
      <c r="B104">
        <v>9073</v>
      </c>
    </row>
    <row r="105" spans="2:2" x14ac:dyDescent="0.2">
      <c r="B105">
        <v>41766</v>
      </c>
    </row>
    <row r="106" spans="2:2" x14ac:dyDescent="0.2">
      <c r="B106">
        <v>224</v>
      </c>
    </row>
    <row r="107" spans="2:2" x14ac:dyDescent="0.2">
      <c r="B107">
        <v>224</v>
      </c>
    </row>
    <row r="108" spans="2:2" x14ac:dyDescent="0.2">
      <c r="B108">
        <v>82.4</v>
      </c>
    </row>
    <row r="109" spans="2:2" x14ac:dyDescent="0.2">
      <c r="B109">
        <v>48594</v>
      </c>
    </row>
    <row r="110" spans="2:2" x14ac:dyDescent="0.2">
      <c r="B110">
        <v>112</v>
      </c>
    </row>
    <row r="111" spans="2:2" x14ac:dyDescent="0.2">
      <c r="B111">
        <v>112</v>
      </c>
    </row>
    <row r="112" spans="2:2" x14ac:dyDescent="0.2">
      <c r="B112">
        <v>41.2</v>
      </c>
    </row>
    <row r="113" spans="2:2" x14ac:dyDescent="0.2">
      <c r="B113">
        <v>5015</v>
      </c>
    </row>
    <row r="114" spans="2:2" x14ac:dyDescent="0.2">
      <c r="B114">
        <v>84</v>
      </c>
    </row>
    <row r="115" spans="2:2" x14ac:dyDescent="0.2">
      <c r="B115">
        <v>240</v>
      </c>
    </row>
    <row r="116" spans="2:2" x14ac:dyDescent="0.2">
      <c r="B116">
        <v>339</v>
      </c>
    </row>
    <row r="117" spans="2:2" x14ac:dyDescent="0.2">
      <c r="B117">
        <v>4364</v>
      </c>
    </row>
    <row r="118" spans="2:2" x14ac:dyDescent="0.2">
      <c r="B118">
        <v>23530</v>
      </c>
    </row>
    <row r="119" spans="2:2" x14ac:dyDescent="0.2">
      <c r="B119">
        <v>448</v>
      </c>
    </row>
    <row r="121" spans="2:2" x14ac:dyDescent="0.2">
      <c r="B121">
        <f>SUM(B2:B119)</f>
        <v>679934.09999999986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SETB0324-A01　20260331②</vt:lpstr>
      <vt:lpstr>Sheet3</vt:lpstr>
      <vt:lpstr>'SETB0324-A01　20260331②'!Print_Area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2026-04-02T03:21:16Z</dcterms:modified>
</cp:coreProperties>
</file>