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7AFACC9-A0B3-4314-8C9A-19C636283DE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TB0316-A01①ﾛﾎﾞｯﾄ (20260305) " sheetId="14" r:id="rId1"/>
    <sheet name="Sheet2" sheetId="2" r:id="rId2"/>
    <sheet name="Sheet3" sheetId="3" r:id="rId3"/>
  </sheets>
  <definedNames>
    <definedName name="_xlnm._FilterDatabase" localSheetId="0" hidden="1">'SETB0316-A01①ﾛﾎﾞｯﾄ (20260305) '!$D$8:$Q$27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4" l="1"/>
  <c r="J22" i="14"/>
  <c r="J21" i="14"/>
  <c r="G15" i="14"/>
  <c r="D11" i="14"/>
  <c r="D12" i="14" s="1"/>
  <c r="D13" i="14" s="1"/>
  <c r="L2" i="14" l="1"/>
</calcChain>
</file>

<file path=xl/sharedStrings.xml><?xml version="1.0" encoding="utf-8"?>
<sst xmlns="http://schemas.openxmlformats.org/spreadsheetml/2006/main" count="52" uniqueCount="40">
  <si>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</si>
  <si>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</si>
  <si>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</si>
  <si>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</si>
  <si>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</si>
  <si>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</si>
  <si>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</si>
  <si>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</si>
  <si>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</si>
  <si>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</si>
  <si>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</si>
  <si>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</si>
  <si>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</si>
  <si>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</si>
  <si>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</si>
  <si>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</si>
  <si>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</si>
  <si>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</si>
  <si>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</si>
  <si>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</si>
  <si>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</si>
  <si>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</si>
  <si>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</si>
  <si>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</si>
  <si>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</si>
  <si>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</si>
  <si>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AXA卓上ﾛﾎﾞｯﾄ</t>
    <rPh sb="0" eb="5">
      <t>チサチタクジョウ</t>
    </rPh>
    <phoneticPr fontId="9"/>
  </si>
  <si>
    <t>SET</t>
  </si>
  <si>
    <t>専用PCｺﾝﾄﾛｰﾗ ﾓﾆﾀｰ ｷｰﾎﾞｰﾄﾞ &amp; ﾏｳｽ【ﾛﾎﾞｯﾄ付属品】</t>
    <rPh sb="35" eb="38">
      <t>フゾクヒン</t>
    </rPh>
    <phoneticPr fontId="10"/>
  </si>
  <si>
    <t>PCｿﾌﾄ 外部ｽｲｯﾁ 含む【ﾛﾎﾞｯﾄ付属品】</t>
  </si>
  <si>
    <t>AXA600-ＨV</t>
    <phoneticPr fontId="9"/>
  </si>
  <si>
    <t>AXELIAｼﾘｰｽﾞAXA-ＨV（600角）</t>
    <phoneticPr fontId="9"/>
  </si>
  <si>
    <t>AXA　Tip detect　</t>
    <phoneticPr fontId="9"/>
  </si>
  <si>
    <t>SETB0316-A01　AXAロボット600+SV70ﾛｰﾀﾘｰｱｸﾁｭｴﾀｰSV51MD＋浸け置き+SVC720F＋配電BOX　原価一覧　20230111</t>
    <phoneticPr fontId="9"/>
  </si>
  <si>
    <t>図面NO.　SETB-0316-A01</t>
    <rPh sb="0" eb="2">
      <t>ズメン</t>
    </rPh>
    <phoneticPr fontId="9"/>
  </si>
  <si>
    <t>南</t>
    <rPh sb="0" eb="1">
      <t>ミナミ</t>
    </rPh>
    <phoneticPr fontId="9"/>
  </si>
  <si>
    <t>Ｎo.【230913】</t>
    <phoneticPr fontId="9"/>
  </si>
  <si>
    <t>エア・ブラウン株式会社(株式会社住本製作所)</t>
    <phoneticPr fontId="9"/>
  </si>
  <si>
    <t>1ヵ月</t>
    <rPh sb="2" eb="3">
      <t>ゲツ</t>
    </rPh>
    <phoneticPr fontId="9"/>
  </si>
  <si>
    <t>①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</si>
</sst>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0" fontId="8" fillId="0" borderId="9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3" fontId="8" fillId="0" borderId="9" xfId="3" applyNumberFormat="1" applyBorder="1" applyAlignment="1">
      <alignment horizontal="center" vertical="center"/>
    </xf>
    <xf numFmtId="0" fontId="8" fillId="0" borderId="9" xfId="3" applyBorder="1" applyAlignment="1">
      <alignment horizontal="left" vertical="center"/>
    </xf>
    <xf numFmtId="0" fontId="8" fillId="8" borderId="9" xfId="3" applyFill="1" applyBorder="1" applyAlignment="1">
      <alignment horizontal="center" vertical="center"/>
    </xf>
    <xf numFmtId="3" fontId="8" fillId="0" borderId="10" xfId="3" applyNumberFormat="1" applyBorder="1" applyAlignment="1">
      <alignment horizontal="center" vertical="center"/>
    </xf>
    <xf numFmtId="0" fontId="8" fillId="0" borderId="10" xfId="3" applyBorder="1" applyAlignment="1">
      <alignment horizontal="center" vertical="center"/>
    </xf>
    <xf numFmtId="0" fontId="8" fillId="0" borderId="9" xfId="3" applyBorder="1" applyAlignment="1">
      <alignment horizontal="center" vertical="center"/>
    </xf>
    <xf numFmtId="49" fontId="8" fillId="0" borderId="9" xfId="3" applyNumberFormat="1" applyBorder="1" applyAlignment="1">
      <alignment horizontal="left" vertical="center"/>
    </xf>
    <xf numFmtId="3" fontId="8" fillId="0" borderId="14" xfId="3" applyNumberFormat="1" applyBorder="1" applyAlignment="1">
      <alignment horizontal="center" vertical="center"/>
    </xf>
    <xf numFmtId="49" fontId="8" fillId="0" borderId="14" xfId="3" applyNumberFormat="1" applyBorder="1" applyAlignment="1">
      <alignment horizontal="left" vertical="center"/>
    </xf>
    <xf numFmtId="0" fontId="8" fillId="8" borderId="14" xfId="3" applyFill="1" applyBorder="1" applyAlignment="1">
      <alignment horizontal="center" vertical="center"/>
    </xf>
    <xf numFmtId="38" fontId="8" fillId="0" borderId="14" xfId="3" applyNumberFormat="1" applyBorder="1" applyAlignment="1">
      <alignment horizontal="center" vertical="center"/>
    </xf>
    <xf numFmtId="0" fontId="8" fillId="0" borderId="16" xfId="3" applyBorder="1" applyAlignment="1">
      <alignment horizontal="center" vertical="center"/>
    </xf>
    <xf numFmtId="0" fontId="8" fillId="0" borderId="9" xfId="3" applyBorder="1">
      <alignment vertical="center"/>
    </xf>
    <xf numFmtId="0" fontId="0" fillId="0" borderId="7" xfId="0" applyBorder="1" applyAlignment="1">
      <alignment horizontal="center" vertical="center"/>
    </xf>
    <xf numFmtId="0" fontId="8" fillId="0" borderId="7" xfId="0" applyFont="1" applyBorder="1" applyAlignment="1">
      <alignment vertical="center" shrinkToFit="1"/>
    </xf>
    <xf numFmtId="38" fontId="8" fillId="0" borderId="17" xfId="3" applyNumberFormat="1" applyBorder="1" applyAlignment="1">
      <alignment horizontal="center" vertical="center"/>
    </xf>
    <xf numFmtId="38" fontId="8" fillId="0" borderId="18" xfId="3" applyNumberForma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6" borderId="6" xfId="0" applyNumberForma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13" fillId="9" borderId="13" xfId="0" applyNumberFormat="1" applyFont="1" applyFill="1" applyBorder="1" applyAlignment="1">
      <alignment horizontal="center" vertical="center"/>
    </xf>
    <xf numFmtId="176" fontId="13" fillId="9" borderId="1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2" fillId="5" borderId="14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D188-ADC3-47AF-AD4E-5A6404905F95}">
  <sheetPr>
    <tabColor theme="8" tint="0.59999389629810485"/>
  </sheetPr>
  <dimension ref="A2:S27"/>
  <sheetViews>
    <sheetView tabSelected="1" zoomScale="85" zoomScaleNormal="85" workbookViewId="0">
      <pane xSplit="12" ySplit="8" topLeftCell="M9" activePane="bottomRight" state="frozen"/>
      <selection activeCell="D26" sqref="D26"/>
      <selection pane="topRight" activeCell="D26" sqref="D26"/>
      <selection pane="bottomLeft" activeCell="D26" sqref="D26"/>
      <selection pane="bottomRight" activeCell="O10" sqref="O10:Q13"/>
    </sheetView>
  </sheetViews>
  <sheetFormatPr defaultColWidth="11.81640625" defaultRowHeight="13.5" customHeight="1" x14ac:dyDescent="0.2"/>
  <cols>
    <col min="1" max="1" width="9.08984375" customWidth="1"/>
    <col min="2" max="2" width="6.54296875" customWidth="1"/>
    <col min="3" max="3" width="17" customWidth="1"/>
    <col min="4" max="4" width="6.1796875" style="5" customWidth="1"/>
    <col min="5" max="5" width="15.1796875" customWidth="1"/>
    <col min="6" max="6" width="15.453125" customWidth="1"/>
    <col min="7" max="7" width="71.453125" customWidth="1"/>
    <col min="8" max="8" width="10.81640625" style="5" customWidth="1"/>
    <col min="9" max="10" width="12.08984375" style="5" customWidth="1"/>
    <col min="11" max="11" width="7.08984375" style="9" customWidth="1"/>
    <col min="12" max="12" width="50.453125" customWidth="1"/>
    <col min="13" max="13" width="45.1796875" customWidth="1"/>
    <col min="14" max="14" width="8.08984375" style="5" customWidth="1"/>
    <col min="15" max="15" width="17" style="5" customWidth="1"/>
    <col min="16" max="16" width="7.90625" customWidth="1"/>
    <col min="17" max="17" width="16.36328125" style="5" customWidth="1"/>
    <col min="18" max="18" width="17.90625" style="24" customWidth="1"/>
    <col min="19" max="19" width="19.36328125" style="24" customWidth="1"/>
  </cols>
  <sheetData>
    <row r="2" spans="1:19" ht="20.149999999999999" customHeight="1" x14ac:dyDescent="0.2">
      <c r="D2" s="62" t="s">
        <v>0</v>
      </c>
      <c r="E2" s="62"/>
      <c r="F2" s="62"/>
      <c r="G2" s="20" t="s">
        <v>37</v>
      </c>
      <c r="I2" s="63" t="s">
        <v>1</v>
      </c>
      <c r="J2" s="64"/>
      <c r="K2" s="65"/>
      <c r="L2" s="8">
        <f>SUM(J:J)</f>
        <v>0</v>
      </c>
    </row>
    <row r="3" spans="1:19" ht="20.149999999999999" customHeight="1" x14ac:dyDescent="0.2">
      <c r="D3" s="62" t="s">
        <v>2</v>
      </c>
      <c r="E3" s="62"/>
      <c r="F3" s="62"/>
      <c r="G3" s="7" t="s">
        <v>35</v>
      </c>
    </row>
    <row r="4" spans="1:19" ht="20.149999999999999" customHeight="1" x14ac:dyDescent="0.2">
      <c r="D4" s="62" t="s">
        <v>3</v>
      </c>
      <c r="E4" s="62"/>
      <c r="F4" s="62"/>
      <c r="G4" s="7" t="s">
        <v>36</v>
      </c>
      <c r="I4" s="66" t="s">
        <v>33</v>
      </c>
      <c r="J4" s="66"/>
      <c r="K4" s="66"/>
      <c r="L4" s="66"/>
      <c r="M4" s="25"/>
    </row>
    <row r="5" spans="1:19" ht="20.149999999999999" customHeight="1" x14ac:dyDescent="0.2">
      <c r="D5" s="62" t="s">
        <v>4</v>
      </c>
      <c r="E5" s="62"/>
      <c r="F5" s="62"/>
      <c r="G5" s="49">
        <v>46125</v>
      </c>
      <c r="H5" s="67" t="s">
        <v>39</v>
      </c>
      <c r="I5" s="66"/>
      <c r="J5" s="66"/>
      <c r="K5" s="66"/>
      <c r="L5" s="66"/>
    </row>
    <row r="6" spans="1:19" ht="20.149999999999999" customHeight="1" x14ac:dyDescent="0.2">
      <c r="D6" s="62" t="s">
        <v>5</v>
      </c>
      <c r="E6" s="62"/>
      <c r="F6" s="62"/>
      <c r="G6" s="49">
        <v>46126</v>
      </c>
      <c r="H6" s="68"/>
      <c r="I6" s="69" t="s">
        <v>34</v>
      </c>
      <c r="J6" s="69"/>
      <c r="K6" s="69"/>
      <c r="L6" s="69"/>
    </row>
    <row r="8" spans="1:19" s="5" customFormat="1" ht="19.5" customHeight="1" x14ac:dyDescent="0.2">
      <c r="C8" s="28" t="s">
        <v>25</v>
      </c>
      <c r="D8" s="27" t="s">
        <v>6</v>
      </c>
      <c r="E8" s="2" t="s">
        <v>7</v>
      </c>
      <c r="F8" s="2" t="s">
        <v>8</v>
      </c>
      <c r="G8" s="16" t="s">
        <v>9</v>
      </c>
      <c r="H8" s="16" t="s">
        <v>10</v>
      </c>
      <c r="I8" s="16" t="s">
        <v>11</v>
      </c>
      <c r="J8" s="1" t="s">
        <v>12</v>
      </c>
      <c r="K8" s="1" t="s">
        <v>13</v>
      </c>
      <c r="L8" s="16" t="s">
        <v>14</v>
      </c>
      <c r="M8" s="16" t="s">
        <v>15</v>
      </c>
      <c r="N8" s="16" t="s">
        <v>16</v>
      </c>
      <c r="O8" s="18" t="s">
        <v>17</v>
      </c>
      <c r="P8" s="2" t="s">
        <v>18</v>
      </c>
      <c r="Q8" s="16" t="s">
        <v>19</v>
      </c>
      <c r="R8" s="18" t="s">
        <v>20</v>
      </c>
      <c r="S8" s="6" t="s">
        <v>21</v>
      </c>
    </row>
    <row r="9" spans="1:19" s="5" customFormat="1" ht="19.5" customHeight="1" x14ac:dyDescent="0.2">
      <c r="D9" s="57" t="s">
        <v>26</v>
      </c>
      <c r="E9" s="58"/>
      <c r="F9" s="58"/>
      <c r="G9" s="59"/>
      <c r="H9" s="14"/>
      <c r="I9" s="14"/>
      <c r="J9" s="14"/>
      <c r="K9" s="10"/>
      <c r="L9" s="15"/>
      <c r="M9" s="16"/>
      <c r="N9" s="16"/>
      <c r="O9" s="18"/>
      <c r="P9" s="2"/>
      <c r="Q9" s="16"/>
      <c r="R9" s="18"/>
      <c r="S9" s="6"/>
    </row>
    <row r="10" spans="1:19" s="5" customFormat="1" ht="19.5" customHeight="1" x14ac:dyDescent="0.2">
      <c r="A10" s="26" t="s">
        <v>38</v>
      </c>
      <c r="B10" s="22"/>
      <c r="C10" s="30">
        <v>1</v>
      </c>
      <c r="D10" s="52">
        <v>1</v>
      </c>
      <c r="E10" s="31" t="s">
        <v>27</v>
      </c>
      <c r="F10" s="31" t="s">
        <v>27</v>
      </c>
      <c r="G10" s="32" t="s">
        <v>30</v>
      </c>
      <c r="H10" s="33">
        <v>2</v>
      </c>
      <c r="I10" s="31">
        <v>0</v>
      </c>
      <c r="J10" s="34">
        <v>0</v>
      </c>
      <c r="K10" s="35"/>
      <c r="L10" s="32" t="s">
        <v>31</v>
      </c>
      <c r="M10" s="36"/>
      <c r="N10" s="36"/>
      <c r="O10" s="18">
        <v>46086</v>
      </c>
      <c r="P10" s="2"/>
      <c r="Q10" s="70">
        <v>46125</v>
      </c>
      <c r="R10" s="18"/>
      <c r="S10" s="6"/>
    </row>
    <row r="11" spans="1:19" s="5" customFormat="1" ht="19.5" customHeight="1" x14ac:dyDescent="0.2">
      <c r="A11" s="26" t="s">
        <v>38</v>
      </c>
      <c r="B11" s="22"/>
      <c r="C11" s="30">
        <v>1</v>
      </c>
      <c r="D11" s="48">
        <f t="shared" ref="D11:D13" si="0">D10+1</f>
        <v>2</v>
      </c>
      <c r="E11" s="31" t="s">
        <v>27</v>
      </c>
      <c r="F11" s="31" t="s">
        <v>27</v>
      </c>
      <c r="G11" s="37" t="s">
        <v>28</v>
      </c>
      <c r="H11" s="33">
        <v>2</v>
      </c>
      <c r="I11" s="31">
        <v>0</v>
      </c>
      <c r="J11" s="31">
        <v>0</v>
      </c>
      <c r="K11" s="35"/>
      <c r="L11" s="32"/>
      <c r="M11" s="36"/>
      <c r="N11" s="36"/>
      <c r="O11" s="18">
        <v>46086</v>
      </c>
      <c r="P11" s="2"/>
      <c r="Q11" s="70">
        <v>46125</v>
      </c>
      <c r="R11" s="18"/>
      <c r="S11" s="6"/>
    </row>
    <row r="12" spans="1:19" s="5" customFormat="1" ht="19.5" customHeight="1" x14ac:dyDescent="0.2">
      <c r="A12" s="26" t="s">
        <v>38</v>
      </c>
      <c r="B12" s="22"/>
      <c r="C12" s="30">
        <v>1</v>
      </c>
      <c r="D12" s="48">
        <f t="shared" si="0"/>
        <v>3</v>
      </c>
      <c r="E12" s="38" t="s">
        <v>27</v>
      </c>
      <c r="F12" s="38" t="s">
        <v>27</v>
      </c>
      <c r="G12" s="39" t="s">
        <v>29</v>
      </c>
      <c r="H12" s="40">
        <v>2</v>
      </c>
      <c r="I12" s="41">
        <v>0</v>
      </c>
      <c r="J12" s="41">
        <v>0</v>
      </c>
      <c r="K12" s="42"/>
      <c r="L12" s="43"/>
      <c r="M12" s="36"/>
      <c r="N12" s="36"/>
      <c r="O12" s="18">
        <v>46086</v>
      </c>
      <c r="P12" s="2"/>
      <c r="Q12" s="70">
        <v>46125</v>
      </c>
      <c r="R12" s="18"/>
      <c r="S12" s="6"/>
    </row>
    <row r="13" spans="1:19" s="5" customFormat="1" ht="19.5" customHeight="1" x14ac:dyDescent="0.2">
      <c r="A13" s="26" t="s">
        <v>38</v>
      </c>
      <c r="B13" s="22"/>
      <c r="C13" s="30">
        <v>1</v>
      </c>
      <c r="D13" s="53">
        <f t="shared" si="0"/>
        <v>4</v>
      </c>
      <c r="E13" s="38" t="s">
        <v>27</v>
      </c>
      <c r="F13" s="38" t="s">
        <v>27</v>
      </c>
      <c r="G13" s="39" t="s">
        <v>32</v>
      </c>
      <c r="H13" s="40">
        <v>2</v>
      </c>
      <c r="I13" s="41">
        <v>0</v>
      </c>
      <c r="J13" s="41">
        <v>0</v>
      </c>
      <c r="K13" s="42"/>
      <c r="L13" s="15"/>
      <c r="M13" s="16"/>
      <c r="N13" s="16"/>
      <c r="O13" s="18">
        <v>46086</v>
      </c>
      <c r="P13" s="2"/>
      <c r="Q13" s="70">
        <v>46125</v>
      </c>
      <c r="R13" s="18"/>
      <c r="S13" s="6"/>
    </row>
    <row r="14" spans="1:19" s="5" customFormat="1" ht="19.5" customHeight="1" x14ac:dyDescent="0.2">
      <c r="D14" s="23"/>
      <c r="E14" s="23"/>
      <c r="F14" s="23"/>
      <c r="G14" s="45"/>
      <c r="H14" s="14"/>
      <c r="I14" s="46"/>
      <c r="J14" s="47"/>
      <c r="K14" s="10"/>
      <c r="L14" s="15"/>
      <c r="M14" s="16"/>
      <c r="N14" s="16"/>
      <c r="O14" s="18"/>
      <c r="P14" s="2"/>
      <c r="Q14" s="16"/>
      <c r="R14" s="18"/>
      <c r="S14" s="6"/>
    </row>
    <row r="15" spans="1:19" s="5" customFormat="1" ht="19.5" customHeight="1" x14ac:dyDescent="0.2">
      <c r="D15" s="23"/>
      <c r="E15" s="23"/>
      <c r="F15" s="23"/>
      <c r="G15" s="60">
        <f>SUM(J10:J14)</f>
        <v>0</v>
      </c>
      <c r="H15" s="60"/>
      <c r="I15" s="60"/>
      <c r="J15" s="61"/>
      <c r="K15" s="10"/>
      <c r="L15" s="15"/>
      <c r="M15" s="16"/>
      <c r="N15" s="16"/>
      <c r="O15" s="18"/>
      <c r="P15" s="2"/>
      <c r="Q15" s="16"/>
      <c r="R15" s="18"/>
      <c r="S15" s="6"/>
    </row>
    <row r="16" spans="1:19" s="5" customFormat="1" ht="19.5" customHeight="1" x14ac:dyDescent="0.2">
      <c r="D16" s="23"/>
      <c r="E16" s="23"/>
      <c r="F16" s="23"/>
      <c r="G16" s="45"/>
      <c r="H16" s="14"/>
      <c r="I16" s="46"/>
      <c r="J16" s="47"/>
      <c r="K16" s="10"/>
      <c r="L16" s="15"/>
      <c r="M16" s="16"/>
      <c r="N16" s="16"/>
      <c r="O16" s="18"/>
      <c r="P16" s="2"/>
      <c r="Q16" s="16"/>
      <c r="R16" s="18"/>
      <c r="S16" s="6"/>
    </row>
    <row r="17" spans="3:19" s="5" customFormat="1" ht="19.5" customHeight="1" x14ac:dyDescent="0.2">
      <c r="D17" s="23"/>
      <c r="E17" s="23"/>
      <c r="F17" s="23"/>
      <c r="G17" s="45"/>
      <c r="H17" s="14"/>
      <c r="I17" s="46"/>
      <c r="J17" s="47"/>
      <c r="K17" s="10"/>
      <c r="L17" s="15"/>
      <c r="M17" s="16"/>
      <c r="N17" s="16"/>
      <c r="O17" s="18"/>
      <c r="P17" s="2"/>
      <c r="Q17" s="16"/>
      <c r="R17" s="18"/>
      <c r="S17" s="6"/>
    </row>
    <row r="18" spans="3:19" s="5" customFormat="1" ht="19.5" customHeight="1" x14ac:dyDescent="0.2">
      <c r="D18" s="23"/>
      <c r="E18" s="23"/>
      <c r="F18" s="23"/>
      <c r="G18" s="45"/>
      <c r="H18" s="14"/>
      <c r="I18" s="46"/>
      <c r="J18" s="47"/>
      <c r="K18" s="10"/>
      <c r="L18" s="15"/>
      <c r="M18" s="16"/>
      <c r="N18" s="16"/>
      <c r="O18" s="18"/>
      <c r="P18" s="2"/>
      <c r="Q18" s="16"/>
      <c r="R18" s="18"/>
      <c r="S18" s="6"/>
    </row>
    <row r="19" spans="3:19" s="5" customFormat="1" ht="19.5" customHeight="1" x14ac:dyDescent="0.2">
      <c r="D19" s="23"/>
      <c r="E19" s="23"/>
      <c r="F19" s="23"/>
      <c r="G19" s="45"/>
      <c r="H19" s="14"/>
      <c r="I19" s="46"/>
      <c r="J19" s="47"/>
      <c r="K19" s="10"/>
      <c r="L19" s="15"/>
      <c r="M19" s="16"/>
      <c r="N19" s="16"/>
      <c r="O19" s="18"/>
      <c r="P19" s="2"/>
      <c r="Q19" s="16"/>
      <c r="R19" s="18"/>
      <c r="S19" s="6"/>
    </row>
    <row r="20" spans="3:19" ht="18" customHeight="1" x14ac:dyDescent="0.2">
      <c r="D20" s="50"/>
      <c r="E20" s="51"/>
      <c r="F20" s="51"/>
      <c r="G20" s="12"/>
      <c r="H20" s="21"/>
      <c r="I20" s="21"/>
      <c r="J20" s="14"/>
      <c r="K20" s="1"/>
      <c r="L20" s="12"/>
      <c r="M20" s="17"/>
      <c r="N20" s="3"/>
      <c r="O20" s="18"/>
      <c r="P20" s="6"/>
      <c r="Q20" s="6"/>
      <c r="R20" s="18"/>
      <c r="S20" s="11"/>
    </row>
    <row r="21" spans="3:19" ht="18" customHeight="1" x14ac:dyDescent="0.2">
      <c r="D21" s="16"/>
      <c r="E21" s="16"/>
      <c r="F21" s="16"/>
      <c r="G21" s="17" t="s">
        <v>22</v>
      </c>
      <c r="H21" s="14"/>
      <c r="I21" s="14"/>
      <c r="J21" s="14">
        <f>H21*I21</f>
        <v>0</v>
      </c>
      <c r="K21" s="10"/>
      <c r="L21" s="12" t="s">
        <v>23</v>
      </c>
      <c r="M21" s="19"/>
      <c r="N21" s="16"/>
      <c r="O21" s="18"/>
      <c r="P21" s="19"/>
      <c r="Q21" s="16"/>
      <c r="R21" s="18"/>
      <c r="S21" s="11"/>
    </row>
    <row r="22" spans="3:19" ht="18" customHeight="1" x14ac:dyDescent="0.2">
      <c r="C22" s="29">
        <v>4</v>
      </c>
      <c r="D22" s="44"/>
      <c r="E22" s="2"/>
      <c r="F22" s="2"/>
      <c r="G22" s="17" t="s">
        <v>23</v>
      </c>
      <c r="H22" s="14"/>
      <c r="I22" s="14">
        <v>5000</v>
      </c>
      <c r="J22" s="14">
        <f>H22*I22</f>
        <v>0</v>
      </c>
      <c r="K22" s="10"/>
      <c r="L22" s="12" t="s">
        <v>24</v>
      </c>
      <c r="M22" s="19"/>
      <c r="N22" s="16"/>
      <c r="O22" s="18"/>
      <c r="P22" s="19"/>
      <c r="Q22" s="16"/>
      <c r="R22" s="18"/>
      <c r="S22" s="6"/>
    </row>
    <row r="23" spans="3:19" ht="18" customHeight="1" x14ac:dyDescent="0.2">
      <c r="D23" s="16"/>
      <c r="E23" s="2"/>
      <c r="F23" s="2"/>
      <c r="G23" s="17" t="s">
        <v>24</v>
      </c>
      <c r="H23" s="14"/>
      <c r="I23" s="14"/>
      <c r="J23" s="14">
        <f>H23*I23</f>
        <v>0</v>
      </c>
      <c r="K23" s="10"/>
      <c r="L23" s="3"/>
      <c r="M23" s="19"/>
      <c r="N23" s="16"/>
      <c r="O23" s="16"/>
      <c r="P23" s="19"/>
      <c r="Q23" s="16"/>
      <c r="R23" s="6"/>
      <c r="S23" s="6"/>
    </row>
    <row r="24" spans="3:19" ht="18" customHeight="1" x14ac:dyDescent="0.2">
      <c r="D24" s="16"/>
      <c r="E24" s="2"/>
      <c r="F24" s="2"/>
      <c r="G24" s="54"/>
      <c r="H24" s="55"/>
      <c r="I24" s="55"/>
      <c r="J24" s="56"/>
      <c r="K24" s="4"/>
      <c r="L24" s="13"/>
    </row>
    <row r="25" spans="3:19" ht="18" customHeight="1" x14ac:dyDescent="0.2"/>
    <row r="26" spans="3:19" ht="18" customHeight="1" x14ac:dyDescent="0.2"/>
    <row r="27" spans="3:19" ht="18" customHeight="1" x14ac:dyDescent="0.2"/>
  </sheetData>
  <autoFilter ref="D8:Q27" xr:uid="{00000000-0009-0000-0000-000003000000}"/>
  <mergeCells count="12">
    <mergeCell ref="G24:J24"/>
    <mergeCell ref="D9:G9"/>
    <mergeCell ref="G15:J15"/>
    <mergeCell ref="D2:F2"/>
    <mergeCell ref="I2:K2"/>
    <mergeCell ref="D3:F3"/>
    <mergeCell ref="D4:F4"/>
    <mergeCell ref="I4:L5"/>
    <mergeCell ref="D5:F5"/>
    <mergeCell ref="H5:H6"/>
    <mergeCell ref="D6:F6"/>
    <mergeCell ref="I6:L6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1640625" defaultRowHeight="13.5" customHeight="1" x14ac:dyDescent="0.2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1640625" defaultRowHeight="13.5" customHeight="1" x14ac:dyDescent="0.2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SETB0316-A01①ﾛﾎﾞｯﾄ (20260305)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松丸Ｍ</cp:lastModifiedBy>
  <dcterms:created xsi:type="dcterms:W3CDTF">2016-05-16T08:05:24Z</dcterms:created>
  <dcterms:modified xsi:type="dcterms:W3CDTF">2026-03-05T06:49:58Z</dcterms:modified>
</cp:coreProperties>
</file>