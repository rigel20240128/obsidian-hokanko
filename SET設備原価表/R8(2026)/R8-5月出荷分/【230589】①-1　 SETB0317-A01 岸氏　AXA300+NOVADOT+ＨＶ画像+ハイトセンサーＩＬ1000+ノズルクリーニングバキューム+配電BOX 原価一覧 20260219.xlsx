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DC92ECD3-6FB4-4319-A6F0-4CBFF88259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B0298-A01　20260219 ①" sheetId="20" r:id="rId1"/>
    <sheet name="Sheet3" sheetId="3" r:id="rId2"/>
  </sheets>
  <definedNames>
    <definedName name="_xlnm._FilterDatabase" localSheetId="0" hidden="1">'SETB0298-A01　20260219 ①'!$D$9:$Q$28</definedName>
    <definedName name="_xlnm.Print_Area" localSheetId="0">'SETB0298-A01　20260219 ①'!$C$1:$L$28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20" l="1"/>
  <c r="D14" i="20"/>
  <c r="D15" i="20" s="1"/>
  <c r="D16" i="20" s="1"/>
  <c r="D17" i="20" s="1"/>
  <c r="D13" i="20"/>
  <c r="J17" i="20"/>
  <c r="J16" i="20"/>
  <c r="J12" i="20"/>
  <c r="G19" i="20" s="1"/>
  <c r="L2" i="20" l="1"/>
  <c r="G58" i="3" l="1"/>
  <c r="B121" i="3"/>
  <c r="D21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クエリ - テーブル1" description="ブック内の 'テーブル1' クエリへの接続です。" type="5" refreshedVersion="4" background="1" saveData="1">
    <dbPr connection="Provider=Microsoft.Mashup.OleDb.1;Data Source=$Workbook$;Location=テーブル1;Extended Properties=&quot;&quot;" command="SELECT * FROM [テーブル1]"/>
  </connection>
</connections>
</file>

<file path=xl/sharedStrings.xml><?xml version="1.0" encoding="utf-8"?>
<sst xmlns="http://schemas.openxmlformats.org/spreadsheetml/2006/main" count="83" uniqueCount="65">
  <si>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</si>
  <si>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</si>
  <si>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</si>
  <si>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</si>
  <si>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</si>
  <si>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</si>
  <si>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</si>
  <si>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</si>
  <si>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</si>
  <si>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</si>
  <si>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</si>
  <si>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</si>
  <si>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</si>
  <si>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</si>
  <si>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</si>
  <si>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</si>
  <si>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</si>
  <si>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</si>
  <si>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</si>
  <si>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</si>
  <si>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</si>
  <si>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図面番号</t>
    <rPh sb="0" eb="1">
      <t>ズ</t>
    </rPh>
    <rPh sb="1" eb="2">
      <t>メン</t>
    </rPh>
    <rPh sb="2" eb="4">
      <t>バンゴウ</t>
    </rPh>
    <phoneticPr fontId="1"/>
  </si>
  <si>
    <t>出荷依頼項目NO.</t>
    <rPh sb="0" eb="2">
      <t>シュッカ</t>
    </rPh>
    <rPh sb="2" eb="4">
      <t>イライ</t>
    </rPh>
    <rPh sb="4" eb="6">
      <t>コウモク</t>
    </rPh>
    <phoneticPr fontId="6"/>
  </si>
  <si>
    <t>納期</t>
    <rPh sb="0" eb="2">
      <t>ノウキ</t>
    </rPh>
    <phoneticPr fontId="6"/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</si>
  <si>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</si>
  <si>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</si>
  <si>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</si>
  <si>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</si>
  <si>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</si>
  <si>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</si>
  <si>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</si>
  <si>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</si>
  <si>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</si>
  <si>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</si>
  <si>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</si>
  <si>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</si>
  <si>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</si>
  <si>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</si>
  <si>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</si>
  <si>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</si>
  <si>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</si>
  <si>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</si>
  <si>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</si>
  <si>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ただの引き出し</t>
    <rPh sb="3" eb="4">
      <t>ヒ</t>
    </rPh>
    <rPh sb="5" eb="6">
      <t>ダ</t>
    </rPh>
    <phoneticPr fontId="1"/>
  </si>
  <si>
    <t>足つき改造位置出し</t>
    <rPh sb="0" eb="1">
      <t>アシ</t>
    </rPh>
    <rPh sb="3" eb="5">
      <t>カイゾウ</t>
    </rPh>
    <rPh sb="5" eb="8">
      <t>イチダ</t>
    </rPh>
    <phoneticPr fontId="1"/>
  </si>
  <si>
    <t>ﾜｰｸ治具追加分</t>
    <rPh sb="3" eb="5">
      <t>ジグ</t>
    </rPh>
    <rPh sb="5" eb="7">
      <t>ツイカ</t>
    </rPh>
    <rPh sb="7" eb="8">
      <t>ブン</t>
    </rPh>
    <phoneticPr fontId="1"/>
  </si>
  <si>
    <t>3Week</t>
    <phoneticPr fontId="1"/>
  </si>
  <si>
    <t>岸　（齋藤）</t>
    <rPh sb="0" eb="1">
      <t>キシ</t>
    </rPh>
    <rPh sb="3" eb="5">
      <t>サイトウ</t>
    </rPh>
    <phoneticPr fontId="1"/>
  </si>
  <si>
    <t>SET</t>
  </si>
  <si>
    <t>AXA300-ＨV</t>
    <phoneticPr fontId="11"/>
  </si>
  <si>
    <t>AXELIAｼﾘｰｽﾞAXA-ＨV（300角）</t>
    <phoneticPr fontId="11"/>
  </si>
  <si>
    <t>専用PCｺﾝﾄﾛｰﾗ ﾓﾆﾀｰ ｷｰﾎﾞｰﾄﾞ &amp; ﾏｳｽ【ﾛﾎﾞｯﾄ付属品】</t>
    <rPh sb="35" eb="38">
      <t>フゾクヒン</t>
    </rPh>
    <phoneticPr fontId="1"/>
  </si>
  <si>
    <t>PCｿﾌﾄ 外部ｽｲｯﾁ 含む【ﾛﾎﾞｯﾄ付属品】</t>
  </si>
  <si>
    <t>AXLB-02100IL</t>
    <phoneticPr fontId="11"/>
  </si>
  <si>
    <t>IL-S100 Laser brackets Kit</t>
    <phoneticPr fontId="11"/>
  </si>
  <si>
    <t>AXLS-20100IL</t>
    <phoneticPr fontId="11"/>
  </si>
  <si>
    <t xml:space="preserve">ﾚｰｻﾞｰﾊｲﾄｾﾝｻｰ100（2m） </t>
    <phoneticPr fontId="11"/>
  </si>
  <si>
    <t>①②</t>
    <phoneticPr fontId="7"/>
  </si>
  <si>
    <t>AXA卓上ﾛﾎﾞｯﾄ</t>
    <phoneticPr fontId="11"/>
  </si>
  <si>
    <t>㈱ミズサワセミコンダクター様</t>
    <rPh sb="13" eb="14">
      <t>サマ</t>
    </rPh>
    <phoneticPr fontId="1"/>
  </si>
  <si>
    <t>【22】① ②SETB0317-A01 岸氏　AXA300+NOVADOT+ＨＶ画像+ﾊｲﾄｾﾝｻｰＩＬ1000+ﾉｽﾞﾙｸﾘｰﾆﾝｸﾞﾊﾞｷｭｰﾑ+ﾜｰｸ治具ﾊﾞｷｭｰﾑ(お客様)+配電BOX 原価一覧 20260202</t>
    <rPh sb="78" eb="80">
      <t>ジグ</t>
    </rPh>
    <rPh sb="88" eb="90">
      <t>キャクサマ</t>
    </rPh>
    <phoneticPr fontId="1"/>
  </si>
  <si>
    <t>NO.230589</t>
    <phoneticPr fontId="1"/>
  </si>
  <si>
    <t>AXHD-01001K</t>
    <phoneticPr fontId="11"/>
  </si>
  <si>
    <t>ﾁｯﾌﾟﾊｲﾄﾃﾞｨﾃｸﾄｷｯﾄ</t>
    <phoneticPr fontId="11"/>
  </si>
  <si>
    <t>追加しました。</t>
    <rPh sb="0" eb="2">
      <t>ツイカ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</si>
</sst>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6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-0.499984740745262"/>
      <name val="ＭＳ Ｐゴシック"/>
      <family val="3"/>
      <charset val="128"/>
      <scheme val="minor"/>
    </font>
    <font>
      <b/>
      <sz val="13.95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5" fillId="0" borderId="0"/>
    <xf numFmtId="0" fontId="12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7" fontId="4" fillId="0" borderId="2" xfId="0" applyNumberFormat="1" applyFont="1" applyBorder="1" applyAlignment="1">
      <alignment horizontal="center" vertical="center"/>
    </xf>
    <xf numFmtId="176" fontId="3" fillId="0" borderId="2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center" vertical="center" shrinkToFit="1"/>
    </xf>
    <xf numFmtId="179" fontId="0" fillId="0" borderId="2" xfId="0" applyNumberFormat="1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176" fontId="8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9" fontId="0" fillId="0" borderId="5" xfId="0" applyNumberFormat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5" fillId="0" borderId="0" xfId="2"/>
    <xf numFmtId="180" fontId="0" fillId="0" borderId="2" xfId="0" applyNumberForma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0" fillId="0" borderId="7" xfId="0" applyNumberFormat="1" applyBorder="1" applyAlignment="1"/>
    <xf numFmtId="0" fontId="0" fillId="0" borderId="7" xfId="0" applyBorder="1" applyAlignment="1">
      <alignment horizontal="left" vertical="center" shrinkToFit="1"/>
    </xf>
    <xf numFmtId="3" fontId="12" fillId="0" borderId="2" xfId="3" applyNumberFormat="1" applyBorder="1" applyAlignment="1">
      <alignment horizontal="center" vertical="center"/>
    </xf>
    <xf numFmtId="3" fontId="12" fillId="0" borderId="1" xfId="3" applyNumberFormat="1" applyBorder="1" applyAlignment="1">
      <alignment horizontal="center" vertical="center"/>
    </xf>
    <xf numFmtId="0" fontId="12" fillId="0" borderId="1" xfId="3" applyBorder="1" applyAlignment="1">
      <alignment horizontal="center" vertical="center"/>
    </xf>
    <xf numFmtId="0" fontId="12" fillId="0" borderId="2" xfId="3" applyBorder="1" applyAlignment="1">
      <alignment horizontal="left" vertical="center"/>
    </xf>
    <xf numFmtId="3" fontId="12" fillId="0" borderId="8" xfId="3" applyNumberFormat="1" applyBorder="1" applyAlignment="1">
      <alignment horizontal="center" vertical="center"/>
    </xf>
    <xf numFmtId="38" fontId="12" fillId="0" borderId="8" xfId="3" applyNumberFormat="1" applyBorder="1" applyAlignment="1">
      <alignment horizontal="center" vertical="center"/>
    </xf>
    <xf numFmtId="3" fontId="12" fillId="0" borderId="13" xfId="3" applyNumberFormat="1" applyBorder="1" applyAlignment="1">
      <alignment horizontal="center" vertical="center"/>
    </xf>
    <xf numFmtId="0" fontId="12" fillId="0" borderId="13" xfId="3" applyBorder="1" applyAlignment="1">
      <alignment horizontal="center" vertical="center"/>
    </xf>
    <xf numFmtId="49" fontId="12" fillId="0" borderId="2" xfId="3" applyNumberFormat="1" applyBorder="1" applyAlignment="1">
      <alignment horizontal="left" vertical="center"/>
    </xf>
    <xf numFmtId="0" fontId="12" fillId="0" borderId="2" xfId="3" applyBorder="1" applyAlignment="1">
      <alignment horizontal="center" vertical="center"/>
    </xf>
    <xf numFmtId="38" fontId="12" fillId="0" borderId="2" xfId="3" applyNumberFormat="1" applyBorder="1" applyAlignment="1">
      <alignment horizontal="center" vertical="center"/>
    </xf>
    <xf numFmtId="0" fontId="12" fillId="0" borderId="2" xfId="3" applyBorder="1">
      <alignment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14" fillId="5" borderId="11" xfId="0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8" fillId="3" borderId="4" xfId="0" applyNumberFormat="1" applyFont="1" applyFill="1" applyBorder="1" applyAlignment="1">
      <alignment horizontal="center" vertical="center"/>
    </xf>
    <xf numFmtId="176" fontId="8" fillId="3" borderId="3" xfId="0" applyNumberFormat="1" applyFont="1" applyFill="1" applyBorder="1" applyAlignment="1">
      <alignment horizontal="center" vertical="center"/>
    </xf>
    <xf numFmtId="3" fontId="0" fillId="7" borderId="12" xfId="0" applyNumberFormat="1" applyFill="1" applyBorder="1" applyAlignment="1">
      <alignment horizontal="center" vertical="center"/>
    </xf>
    <xf numFmtId="3" fontId="15" fillId="7" borderId="14" xfId="0" applyNumberFormat="1" applyFont="1" applyFill="1" applyBorder="1" applyAlignment="1">
      <alignment horizontal="center" vertical="center"/>
    </xf>
    <xf numFmtId="3" fontId="15" fillId="0" borderId="3" xfId="0" applyNumberFormat="1" applyFon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2" fillId="6" borderId="2" xfId="3" applyFill="1" applyBorder="1" applyAlignment="1">
      <alignment horizontal="left" vertical="center"/>
    </xf>
    <xf numFmtId="0" fontId="12" fillId="6" borderId="2" xfId="3" applyFill="1" applyBorder="1" applyAlignment="1">
      <alignment horizontal="center" vertical="center"/>
    </xf>
    <xf numFmtId="49" fontId="12" fillId="6" borderId="2" xfId="3" applyNumberFormat="1" applyFill="1" applyBorder="1" applyAlignment="1">
      <alignment horizontal="left" vertical="center"/>
    </xf>
    <xf numFmtId="49" fontId="12" fillId="6" borderId="8" xfId="3" applyNumberFormat="1" applyFill="1" applyBorder="1" applyAlignment="1">
      <alignment horizontal="left" vertical="center"/>
    </xf>
    <xf numFmtId="0" fontId="12" fillId="6" borderId="8" xfId="3" applyFill="1" applyBorder="1" applyAlignment="1">
      <alignment horizontal="center" vertical="center"/>
    </xf>
    <xf numFmtId="180" fontId="12" fillId="6" borderId="2" xfId="3" applyNumberFormat="1" applyFill="1" applyBorder="1" applyAlignment="1">
      <alignment horizontal="center" vertical="center"/>
    </xf>
    <xf numFmtId="49" fontId="12" fillId="0" borderId="8" xfId="3" applyNumberFormat="1" applyBorder="1" applyAlignment="1">
      <alignment horizontal="left" vertical="center"/>
    </xf>
    <xf numFmtId="3" fontId="12" fillId="8" borderId="8" xfId="3" applyNumberFormat="1" applyFill="1" applyBorder="1" applyAlignment="1">
      <alignment horizontal="center" vertical="center"/>
    </xf>
    <xf numFmtId="3" fontId="12" fillId="8" borderId="2" xfId="3" applyNumberFormat="1" applyFill="1" applyBorder="1" applyAlignment="1">
      <alignment horizontal="center" vertical="center"/>
    </xf>
    <xf numFmtId="0" fontId="12" fillId="8" borderId="2" xfId="3" applyFill="1" applyBorder="1" applyAlignment="1">
      <alignment horizontal="left" vertical="center"/>
    </xf>
    <xf numFmtId="180" fontId="12" fillId="8" borderId="2" xfId="3" applyNumberFormat="1" applyFill="1" applyBorder="1" applyAlignment="1">
      <alignment horizontal="center" vertical="center"/>
    </xf>
    <xf numFmtId="0" fontId="12" fillId="8" borderId="1" xfId="3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3" fontId="12" fillId="8" borderId="1" xfId="3" applyNumberForma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0" fillId="0" borderId="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4">
    <cellStyle name="標準" xfId="0" builtinId="0"/>
    <cellStyle name="標準 2" xfId="1" xr:uid="{00000000-0005-0000-0000-000002000000}"/>
    <cellStyle name="標準 3" xfId="3" xr:uid="{95C68EF4-208E-453E-A234-CD7A7873EC68}"/>
    <cellStyle name="標準_発注管理表" xfId="2" xr:uid="{00000000-0005-0000-0000-000003000000}"/>
  </cellStyles>
  <dxfs count="22">
    <dxf>
      <numFmt numFmtId="178" formatCode="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9" formatCode="m&quot;月&quot;d&quot;日&quot;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76" formatCode="#,##0_);[Red]\(#,##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80" formatCode="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right style="thin">
          <color rgb="FF000000"/>
        </right>
        <top style="thin">
          <color rgb="FF000000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</dxfs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C6513-5843-4BD8-A7BD-5384A4B2288A}" name="テーブル11928293562" displayName="テーブル11928293562" ref="A8:S28" totalsRowShown="0" dataDxfId="20" headerRowBorderDxfId="21" tableBorderDxfId="19">
  <autoFilter ref="A8:S28" xr:uid="{00000000-0009-0000-0100-00001C000000}"/>
  <tableColumns count="19">
    <tableColumn id="1" xr3:uid="{F620C34F-0F7D-4B7F-A19D-0AD9847AC9B3}" name="列1" dataDxfId="18"/>
    <tableColumn id="19" xr3:uid="{24B4546D-0A4F-425E-BC42-9FDD2458131E}" name="列19" dataDxfId="17"/>
    <tableColumn id="2" xr3:uid="{01F26318-B6F5-4C13-B019-4086B0E8D85E}" name="列2" dataDxfId="16"/>
    <tableColumn id="3" xr3:uid="{E380EB5A-E4B3-4CFE-8791-166F9E15ECA5}" name="列3" dataDxfId="15"/>
    <tableColumn id="4" xr3:uid="{D6B1CEB9-7AB9-4708-A337-1E53B07E5C21}" name="列4" dataDxfId="14"/>
    <tableColumn id="5" xr3:uid="{8D643C06-D949-40D2-9A57-D6A50B3C6B41}" name="列5" dataDxfId="13"/>
    <tableColumn id="6" xr3:uid="{342978C7-51D4-4114-B0FB-19155A6A6F35}" name="列6" dataDxfId="12"/>
    <tableColumn id="7" xr3:uid="{E89BF454-A302-4385-9456-8C6406A4AF12}" name="列7" dataDxfId="11"/>
    <tableColumn id="8" xr3:uid="{C21EFC9E-D63C-4E44-99EE-DDCB29CD082D}" name="列8" dataDxfId="10"/>
    <tableColumn id="9" xr3:uid="{08D79752-DEBA-4D40-B2F9-30602A116995}" name="列9" dataDxfId="9"/>
    <tableColumn id="10" xr3:uid="{76E21976-018C-4F00-B71D-19B96986C45C}" name="列10" dataDxfId="8"/>
    <tableColumn id="11" xr3:uid="{E76F667A-86C5-454C-958C-FE88A7AF7A04}" name="列11" dataDxfId="7"/>
    <tableColumn id="12" xr3:uid="{A8001A87-2AD2-4068-8532-3379864152AF}" name="列12" dataDxfId="6"/>
    <tableColumn id="13" xr3:uid="{1346551D-463E-4EDD-A9D8-B961BE055BBB}" name="列13" dataDxfId="5"/>
    <tableColumn id="14" xr3:uid="{CE6A1808-3F88-468E-B2BE-F636F7223288}" name="列14" dataDxfId="4"/>
    <tableColumn id="15" xr3:uid="{D32133A8-373A-4FC2-B3EB-9D46B30E882E}" name="列15" dataDxfId="3"/>
    <tableColumn id="16" xr3:uid="{EFA6892B-C352-4610-9490-2C0C0E64D46B}" name="列16" dataDxfId="2"/>
    <tableColumn id="17" xr3:uid="{8CCE2268-E272-457D-87E5-5FA4912CB79D}" name="列17" dataDxfId="1"/>
    <tableColumn id="18" xr3:uid="{18704064-3269-43E9-87DA-C1677F74D68A}" name="列18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B8A2-86FF-42AE-A307-C72499542975}">
  <sheetPr>
    <tabColor theme="2" tint="-0.499984740745262"/>
  </sheetPr>
  <dimension ref="A2:S29"/>
  <sheetViews>
    <sheetView tabSelected="1" zoomScale="85" zoomScaleNormal="85" workbookViewId="0">
      <pane xSplit="12" ySplit="8" topLeftCell="P9" activePane="bottomRight" state="frozen"/>
      <selection pane="topRight" activeCell="K1" sqref="K1"/>
      <selection pane="bottomLeft" activeCell="A9" sqref="A9"/>
      <selection pane="bottomRight" activeCell="S13" sqref="S13"/>
    </sheetView>
  </sheetViews>
  <sheetFormatPr defaultRowHeight="13.5" x14ac:dyDescent="0.15"/>
  <cols>
    <col min="3" max="3" width="9.125" customWidth="1"/>
    <col min="4" max="4" width="6.125" style="2" customWidth="1"/>
    <col min="5" max="5" width="12.125" customWidth="1"/>
    <col min="6" max="6" width="13" customWidth="1"/>
    <col min="7" max="7" width="71.625" customWidth="1"/>
    <col min="8" max="8" width="6.125" style="2" customWidth="1"/>
    <col min="9" max="10" width="9.875" style="2" bestFit="1" customWidth="1"/>
    <col min="11" max="11" width="16.5" style="2" customWidth="1"/>
    <col min="12" max="12" width="43.5" customWidth="1"/>
    <col min="13" max="13" width="47.5" customWidth="1"/>
    <col min="14" max="14" width="30.875" style="2" customWidth="1"/>
    <col min="15" max="15" width="13.875" style="9" customWidth="1"/>
    <col min="16" max="16" width="7.375" customWidth="1"/>
    <col min="17" max="17" width="13.125" style="6" customWidth="1"/>
    <col min="18" max="18" width="18.125" style="10" customWidth="1"/>
    <col min="19" max="19" width="15.625" style="11" customWidth="1"/>
  </cols>
  <sheetData>
    <row r="2" spans="1:19" ht="20.100000000000001" customHeight="1" x14ac:dyDescent="0.15">
      <c r="D2" s="67" t="s">
        <v>11</v>
      </c>
      <c r="E2" s="67"/>
      <c r="F2" s="67"/>
      <c r="G2" s="7" t="s">
        <v>59</v>
      </c>
      <c r="I2" s="68" t="s">
        <v>14</v>
      </c>
      <c r="J2" s="69"/>
      <c r="K2" s="70"/>
      <c r="L2" s="5">
        <f>SUM(J:J)</f>
        <v>1399700</v>
      </c>
    </row>
    <row r="3" spans="1:19" ht="20.100000000000001" customHeight="1" x14ac:dyDescent="0.15">
      <c r="D3" s="67" t="s">
        <v>10</v>
      </c>
      <c r="E3" s="67"/>
      <c r="F3" s="67"/>
      <c r="G3" s="3" t="s">
        <v>47</v>
      </c>
      <c r="J3" s="71" t="s">
        <v>60</v>
      </c>
      <c r="K3" s="71"/>
      <c r="L3" s="71"/>
      <c r="M3" s="71"/>
    </row>
    <row r="4" spans="1:19" ht="20.100000000000001" customHeight="1" x14ac:dyDescent="0.15">
      <c r="D4" s="67" t="s">
        <v>21</v>
      </c>
      <c r="E4" s="67"/>
      <c r="F4" s="67"/>
      <c r="G4" s="3" t="s">
        <v>61</v>
      </c>
      <c r="I4" s="72" t="s">
        <v>57</v>
      </c>
      <c r="J4" s="71"/>
      <c r="K4" s="71"/>
      <c r="L4" s="71"/>
      <c r="M4" s="71"/>
    </row>
    <row r="5" spans="1:19" ht="20.100000000000001" customHeight="1" x14ac:dyDescent="0.15">
      <c r="D5" s="67" t="s">
        <v>12</v>
      </c>
      <c r="E5" s="67"/>
      <c r="F5" s="67"/>
      <c r="G5" s="4">
        <v>46104</v>
      </c>
      <c r="I5" s="73"/>
      <c r="J5" s="20"/>
    </row>
    <row r="6" spans="1:19" ht="20.100000000000001" customHeight="1" x14ac:dyDescent="0.15">
      <c r="D6" s="67" t="s">
        <v>13</v>
      </c>
      <c r="E6" s="67"/>
      <c r="F6" s="67"/>
      <c r="G6" s="4">
        <v>46105</v>
      </c>
      <c r="I6" s="65"/>
      <c r="J6" s="17" t="s">
        <v>64</v>
      </c>
    </row>
    <row r="8" spans="1:19" s="2" customFormat="1" ht="19.7" customHeight="1" x14ac:dyDescent="0.15">
      <c r="A8" s="18" t="s">
        <v>24</v>
      </c>
      <c r="B8" s="18" t="s">
        <v>42</v>
      </c>
      <c r="C8" s="18" t="s">
        <v>25</v>
      </c>
      <c r="D8" s="22" t="s">
        <v>26</v>
      </c>
      <c r="E8" s="22" t="s">
        <v>27</v>
      </c>
      <c r="F8" s="22" t="s">
        <v>28</v>
      </c>
      <c r="G8" s="18" t="s">
        <v>29</v>
      </c>
      <c r="H8" s="18" t="s">
        <v>30</v>
      </c>
      <c r="I8" s="18" t="s">
        <v>31</v>
      </c>
      <c r="J8" s="23" t="s">
        <v>32</v>
      </c>
      <c r="K8" s="23" t="s">
        <v>33</v>
      </c>
      <c r="L8" s="18" t="s">
        <v>34</v>
      </c>
      <c r="M8" s="18" t="s">
        <v>35</v>
      </c>
      <c r="N8" s="18" t="s">
        <v>36</v>
      </c>
      <c r="O8" s="24" t="s">
        <v>37</v>
      </c>
      <c r="P8" s="22" t="s">
        <v>38</v>
      </c>
      <c r="Q8" s="18" t="s">
        <v>39</v>
      </c>
      <c r="R8" s="24" t="s">
        <v>40</v>
      </c>
      <c r="S8" s="25" t="s">
        <v>41</v>
      </c>
    </row>
    <row r="9" spans="1:19" s="2" customFormat="1" ht="19.7" customHeight="1" x14ac:dyDescent="0.15">
      <c r="A9" s="13" t="s">
        <v>23</v>
      </c>
      <c r="B9" s="13"/>
      <c r="C9" s="13" t="s">
        <v>22</v>
      </c>
      <c r="D9" s="12" t="s">
        <v>4</v>
      </c>
      <c r="E9" s="12" t="s">
        <v>9</v>
      </c>
      <c r="F9" s="12" t="s">
        <v>5</v>
      </c>
      <c r="G9" s="13" t="s">
        <v>8</v>
      </c>
      <c r="H9" s="13" t="s">
        <v>0</v>
      </c>
      <c r="I9" s="13" t="s">
        <v>1</v>
      </c>
      <c r="J9" s="1" t="s">
        <v>2</v>
      </c>
      <c r="K9" s="1" t="s">
        <v>17</v>
      </c>
      <c r="L9" s="13" t="s">
        <v>3</v>
      </c>
      <c r="M9" s="13" t="s">
        <v>16</v>
      </c>
      <c r="N9" s="13" t="s">
        <v>15</v>
      </c>
      <c r="O9" s="8" t="s">
        <v>6</v>
      </c>
      <c r="P9" s="12" t="s">
        <v>18</v>
      </c>
      <c r="Q9" s="13" t="s">
        <v>7</v>
      </c>
      <c r="R9" s="8" t="s">
        <v>19</v>
      </c>
      <c r="S9" s="21" t="s">
        <v>20</v>
      </c>
    </row>
    <row r="10" spans="1:19" s="2" customFormat="1" ht="19.7" customHeight="1" x14ac:dyDescent="0.15">
      <c r="D10" s="12"/>
      <c r="E10" s="12"/>
      <c r="F10" s="12"/>
      <c r="G10" s="13"/>
      <c r="H10" s="13"/>
      <c r="I10" s="13"/>
      <c r="J10" s="1"/>
      <c r="K10" s="1"/>
      <c r="L10" s="13"/>
      <c r="M10" s="13"/>
      <c r="N10" s="13"/>
      <c r="O10" s="8"/>
      <c r="P10" s="12"/>
      <c r="Q10" s="13"/>
      <c r="R10" s="8"/>
      <c r="S10" s="21"/>
    </row>
    <row r="11" spans="1:19" s="2" customFormat="1" ht="19.7" customHeight="1" x14ac:dyDescent="0.15">
      <c r="D11" s="43"/>
      <c r="E11" s="44"/>
      <c r="F11" s="44"/>
      <c r="G11" s="45" t="s">
        <v>58</v>
      </c>
      <c r="H11" s="16"/>
      <c r="I11" s="16"/>
      <c r="J11" s="16"/>
      <c r="K11" s="29"/>
      <c r="L11" s="30"/>
      <c r="M11" s="13"/>
      <c r="N11" s="13"/>
      <c r="O11" s="8"/>
      <c r="P11" s="12"/>
      <c r="Q11" s="13"/>
      <c r="R11" s="8"/>
      <c r="S11" s="21"/>
    </row>
    <row r="12" spans="1:19" s="2" customFormat="1" ht="19.7" customHeight="1" x14ac:dyDescent="0.15">
      <c r="A12" s="13" t="s">
        <v>46</v>
      </c>
      <c r="B12" s="13"/>
      <c r="C12" s="13"/>
      <c r="D12" s="49">
        <v>1</v>
      </c>
      <c r="E12" s="31" t="s">
        <v>48</v>
      </c>
      <c r="F12" s="31" t="s">
        <v>48</v>
      </c>
      <c r="G12" s="53" t="s">
        <v>49</v>
      </c>
      <c r="H12" s="54">
        <v>1</v>
      </c>
      <c r="I12" s="31">
        <v>1064000</v>
      </c>
      <c r="J12" s="32">
        <f>I12*H12</f>
        <v>1064000</v>
      </c>
      <c r="K12" s="33"/>
      <c r="L12" s="34" t="s">
        <v>50</v>
      </c>
      <c r="M12" s="13"/>
      <c r="N12" s="13"/>
      <c r="O12" s="8"/>
      <c r="P12" s="12"/>
      <c r="Q12" s="13"/>
      <c r="R12" s="8"/>
      <c r="S12" s="21">
        <v>46097</v>
      </c>
    </row>
    <row r="13" spans="1:19" s="2" customFormat="1" ht="19.7" customHeight="1" x14ac:dyDescent="0.15">
      <c r="A13" s="13" t="s">
        <v>46</v>
      </c>
      <c r="B13" s="13"/>
      <c r="C13" s="13"/>
      <c r="D13" s="50">
        <f>D12+1</f>
        <v>2</v>
      </c>
      <c r="E13" s="60" t="s">
        <v>48</v>
      </c>
      <c r="F13" s="61" t="s">
        <v>48</v>
      </c>
      <c r="G13" s="62" t="s">
        <v>62</v>
      </c>
      <c r="H13" s="63">
        <v>1</v>
      </c>
      <c r="I13" s="61">
        <v>140000</v>
      </c>
      <c r="J13" s="66">
        <f>I13*H13</f>
        <v>140000</v>
      </c>
      <c r="K13" s="64"/>
      <c r="L13" s="62" t="s">
        <v>63</v>
      </c>
      <c r="M13" s="13"/>
      <c r="N13" s="13"/>
      <c r="O13" s="8"/>
      <c r="P13" s="12"/>
      <c r="Q13" s="13"/>
      <c r="R13" s="8"/>
      <c r="S13" s="21"/>
    </row>
    <row r="14" spans="1:19" s="2" customFormat="1" ht="19.7" customHeight="1" x14ac:dyDescent="0.15">
      <c r="A14" s="13" t="s">
        <v>46</v>
      </c>
      <c r="B14" s="13"/>
      <c r="C14" s="13"/>
      <c r="D14" s="50">
        <f t="shared" ref="D14:D17" si="0">D13+1</f>
        <v>3</v>
      </c>
      <c r="E14" s="35" t="s">
        <v>48</v>
      </c>
      <c r="F14" s="31" t="s">
        <v>48</v>
      </c>
      <c r="G14" s="55" t="s">
        <v>51</v>
      </c>
      <c r="H14" s="54">
        <v>1</v>
      </c>
      <c r="I14" s="31"/>
      <c r="J14" s="32"/>
      <c r="K14" s="33"/>
      <c r="L14" s="39" t="s">
        <v>51</v>
      </c>
      <c r="M14" s="13"/>
      <c r="N14" s="13"/>
      <c r="O14" s="8"/>
      <c r="P14" s="12"/>
      <c r="Q14" s="13"/>
      <c r="R14" s="8"/>
      <c r="S14" s="21"/>
    </row>
    <row r="15" spans="1:19" s="2" customFormat="1" ht="19.7" customHeight="1" x14ac:dyDescent="0.15">
      <c r="A15" s="13" t="s">
        <v>46</v>
      </c>
      <c r="B15" s="13"/>
      <c r="C15" s="13"/>
      <c r="D15" s="50">
        <f t="shared" si="0"/>
        <v>4</v>
      </c>
      <c r="E15" s="31" t="s">
        <v>48</v>
      </c>
      <c r="F15" s="35" t="s">
        <v>48</v>
      </c>
      <c r="G15" s="56" t="s">
        <v>52</v>
      </c>
      <c r="H15" s="57">
        <v>1</v>
      </c>
      <c r="I15" s="36"/>
      <c r="J15" s="37"/>
      <c r="K15" s="38"/>
      <c r="L15" s="59" t="s">
        <v>52</v>
      </c>
      <c r="M15" s="13"/>
      <c r="N15" s="13"/>
      <c r="O15" s="8"/>
      <c r="P15" s="12"/>
      <c r="Q15" s="13"/>
      <c r="R15" s="8"/>
      <c r="S15" s="21"/>
    </row>
    <row r="16" spans="1:19" s="2" customFormat="1" ht="19.7" customHeight="1" x14ac:dyDescent="0.15">
      <c r="A16" s="13" t="s">
        <v>46</v>
      </c>
      <c r="B16" s="13"/>
      <c r="C16" s="13"/>
      <c r="D16" s="50">
        <f t="shared" si="0"/>
        <v>5</v>
      </c>
      <c r="E16" s="31" t="s">
        <v>48</v>
      </c>
      <c r="F16" s="35" t="s">
        <v>48</v>
      </c>
      <c r="G16" s="55" t="s">
        <v>53</v>
      </c>
      <c r="H16" s="58">
        <v>1</v>
      </c>
      <c r="I16" s="41">
        <v>60000</v>
      </c>
      <c r="J16" s="37">
        <f t="shared" ref="J16:J17" si="1">I16*H16</f>
        <v>60000</v>
      </c>
      <c r="K16" s="33"/>
      <c r="L16" s="34" t="s">
        <v>54</v>
      </c>
      <c r="M16" s="13"/>
      <c r="N16" s="13"/>
      <c r="O16" s="8"/>
      <c r="P16" s="12"/>
      <c r="Q16" s="13"/>
      <c r="R16" s="8"/>
      <c r="S16" s="21"/>
    </row>
    <row r="17" spans="1:19" s="2" customFormat="1" ht="19.7" customHeight="1" x14ac:dyDescent="0.15">
      <c r="A17" s="13" t="s">
        <v>46</v>
      </c>
      <c r="B17" s="13"/>
      <c r="C17" s="13"/>
      <c r="D17" s="50">
        <f t="shared" si="0"/>
        <v>6</v>
      </c>
      <c r="E17" s="31" t="s">
        <v>48</v>
      </c>
      <c r="F17" s="35" t="s">
        <v>48</v>
      </c>
      <c r="G17" s="55" t="s">
        <v>55</v>
      </c>
      <c r="H17" s="58">
        <v>1</v>
      </c>
      <c r="I17" s="41">
        <v>135700</v>
      </c>
      <c r="J17" s="37">
        <f t="shared" si="1"/>
        <v>135700</v>
      </c>
      <c r="K17" s="33"/>
      <c r="L17" s="34" t="s">
        <v>56</v>
      </c>
      <c r="M17" s="13"/>
      <c r="N17" s="13"/>
      <c r="O17" s="8"/>
      <c r="P17" s="12"/>
      <c r="Q17" s="13"/>
      <c r="R17" s="8"/>
      <c r="S17" s="21"/>
    </row>
    <row r="18" spans="1:19" s="2" customFormat="1" ht="19.7" customHeight="1" x14ac:dyDescent="0.15">
      <c r="A18" s="13"/>
      <c r="B18" s="13"/>
      <c r="C18" s="13"/>
      <c r="D18" s="51"/>
      <c r="E18" s="31"/>
      <c r="F18" s="31"/>
      <c r="G18" s="39"/>
      <c r="H18" s="40"/>
      <c r="I18" s="41"/>
      <c r="J18" s="31"/>
      <c r="K18" s="40"/>
      <c r="L18" s="42"/>
      <c r="M18" s="13"/>
      <c r="N18" s="13"/>
      <c r="O18" s="8"/>
      <c r="P18" s="12"/>
      <c r="Q18" s="13"/>
      <c r="R18" s="8"/>
      <c r="S18" s="21"/>
    </row>
    <row r="19" spans="1:19" s="2" customFormat="1" ht="19.7" customHeight="1" x14ac:dyDescent="0.15">
      <c r="A19" s="13"/>
      <c r="B19" s="13"/>
      <c r="C19" s="13"/>
      <c r="D19" s="51"/>
      <c r="E19" s="31"/>
      <c r="F19" s="31"/>
      <c r="G19" s="46">
        <f>SUM(J12:J18)</f>
        <v>1399700</v>
      </c>
      <c r="H19" s="47"/>
      <c r="I19" s="47"/>
      <c r="J19" s="48"/>
      <c r="K19" s="40"/>
      <c r="L19" s="42"/>
      <c r="M19" s="13"/>
      <c r="N19" s="13"/>
      <c r="O19" s="8"/>
      <c r="P19" s="12"/>
      <c r="Q19" s="13"/>
      <c r="R19" s="8"/>
      <c r="S19" s="21"/>
    </row>
    <row r="20" spans="1:19" s="2" customFormat="1" ht="19.7" customHeight="1" x14ac:dyDescent="0.15">
      <c r="A20" s="13"/>
      <c r="B20" s="13"/>
      <c r="C20" s="13"/>
      <c r="D20" s="52"/>
      <c r="E20" s="12"/>
      <c r="F20" s="12"/>
      <c r="G20" s="14"/>
      <c r="H20" s="27"/>
      <c r="I20" s="13"/>
      <c r="J20" s="15"/>
      <c r="K20" s="1"/>
      <c r="L20" s="14"/>
      <c r="M20" s="13"/>
      <c r="N20" s="13"/>
      <c r="O20" s="8"/>
      <c r="P20" s="12"/>
      <c r="Q20" s="13"/>
      <c r="R20" s="8"/>
      <c r="S20" s="21"/>
    </row>
    <row r="21" spans="1:19" s="2" customFormat="1" ht="19.7" customHeight="1" x14ac:dyDescent="0.15">
      <c r="A21" s="13"/>
      <c r="B21" s="13"/>
      <c r="C21" s="13"/>
      <c r="D21" s="52"/>
      <c r="E21" s="12"/>
      <c r="F21" s="12"/>
      <c r="G21" s="14"/>
      <c r="H21" s="27"/>
      <c r="I21" s="13"/>
      <c r="J21" s="15"/>
      <c r="K21" s="1"/>
      <c r="L21" s="14"/>
      <c r="M21" s="13"/>
      <c r="N21" s="13"/>
      <c r="O21" s="8"/>
      <c r="P21" s="12"/>
      <c r="Q21" s="13"/>
      <c r="R21" s="8"/>
      <c r="S21" s="21"/>
    </row>
    <row r="22" spans="1:19" s="2" customFormat="1" ht="19.7" customHeight="1" x14ac:dyDescent="0.15">
      <c r="A22" s="13"/>
      <c r="B22" s="13"/>
      <c r="C22" s="13"/>
      <c r="D22" s="52"/>
      <c r="E22" s="12"/>
      <c r="F22" s="12"/>
      <c r="G22" s="14"/>
      <c r="H22" s="27"/>
      <c r="I22" s="13"/>
      <c r="J22" s="15"/>
      <c r="K22" s="1"/>
      <c r="L22" s="14"/>
      <c r="M22" s="13"/>
      <c r="N22" s="13"/>
      <c r="O22" s="8"/>
      <c r="P22" s="12"/>
      <c r="Q22" s="13"/>
      <c r="R22" s="8"/>
      <c r="S22" s="21"/>
    </row>
    <row r="23" spans="1:19" s="2" customFormat="1" ht="19.7" customHeight="1" x14ac:dyDescent="0.15">
      <c r="A23" s="13"/>
      <c r="B23" s="13"/>
      <c r="C23" s="13"/>
      <c r="D23" s="12"/>
      <c r="E23" s="12"/>
      <c r="F23" s="12"/>
      <c r="G23" s="13"/>
      <c r="H23" s="13"/>
      <c r="I23" s="13"/>
      <c r="J23" s="1"/>
      <c r="K23" s="1"/>
      <c r="L23" s="13"/>
      <c r="M23" s="13"/>
      <c r="N23" s="13"/>
      <c r="O23" s="8"/>
      <c r="P23" s="12"/>
      <c r="Q23" s="13"/>
      <c r="R23" s="8"/>
      <c r="S23" s="21"/>
    </row>
    <row r="24" spans="1:19" s="2" customFormat="1" ht="19.7" customHeight="1" x14ac:dyDescent="0.15">
      <c r="A24" s="13"/>
      <c r="B24" s="13"/>
      <c r="C24" s="13"/>
      <c r="D24" s="12"/>
      <c r="E24" s="12"/>
      <c r="F24" s="12"/>
      <c r="G24" s="19"/>
      <c r="H24" s="13"/>
      <c r="I24" s="13"/>
      <c r="J24" s="1"/>
      <c r="K24" s="1"/>
      <c r="L24" s="13"/>
      <c r="M24" s="13"/>
      <c r="N24" s="13"/>
      <c r="O24" s="8"/>
      <c r="P24" s="12"/>
      <c r="Q24" s="13"/>
      <c r="R24" s="8"/>
      <c r="S24" s="21"/>
    </row>
    <row r="25" spans="1:19" s="2" customFormat="1" ht="19.7" customHeight="1" x14ac:dyDescent="0.15">
      <c r="A25" s="13"/>
      <c r="B25" s="13"/>
      <c r="C25" s="13"/>
      <c r="D25" s="12"/>
      <c r="E25" s="12"/>
      <c r="F25" s="12"/>
      <c r="G25" s="14"/>
      <c r="H25" s="27"/>
      <c r="I25" s="13"/>
      <c r="J25" s="15"/>
      <c r="K25" s="28"/>
      <c r="L25" s="14"/>
      <c r="M25" s="13"/>
      <c r="N25" s="13"/>
      <c r="O25" s="8"/>
      <c r="P25" s="12"/>
      <c r="Q25" s="13"/>
      <c r="R25" s="8"/>
      <c r="S25" s="21"/>
    </row>
    <row r="26" spans="1:19" s="2" customFormat="1" ht="19.7" customHeight="1" x14ac:dyDescent="0.15">
      <c r="A26" s="13"/>
      <c r="B26" s="13"/>
      <c r="C26" s="13"/>
      <c r="D26" s="12"/>
      <c r="E26" s="12"/>
      <c r="F26" s="12"/>
      <c r="G26" s="14"/>
      <c r="H26" s="27"/>
      <c r="I26" s="13"/>
      <c r="J26" s="15"/>
      <c r="K26" s="1"/>
      <c r="L26" s="14"/>
      <c r="M26" s="13"/>
      <c r="N26" s="13"/>
      <c r="O26" s="8"/>
      <c r="P26" s="12"/>
      <c r="Q26" s="13"/>
      <c r="R26" s="8"/>
      <c r="S26" s="21"/>
    </row>
    <row r="27" spans="1:19" s="2" customFormat="1" ht="19.7" customHeight="1" x14ac:dyDescent="0.15">
      <c r="A27" s="13"/>
      <c r="B27" s="13"/>
      <c r="C27" s="13"/>
      <c r="D27" s="12"/>
      <c r="E27" s="12"/>
      <c r="F27" s="12"/>
      <c r="G27" s="14"/>
      <c r="H27" s="27"/>
      <c r="I27" s="13"/>
      <c r="J27" s="15"/>
      <c r="K27" s="1"/>
      <c r="L27" s="14"/>
      <c r="M27" s="13"/>
      <c r="N27" s="13"/>
      <c r="O27" s="8"/>
      <c r="P27" s="12"/>
      <c r="Q27" s="13"/>
      <c r="R27" s="8"/>
      <c r="S27" s="21"/>
    </row>
    <row r="28" spans="1:19" s="2" customFormat="1" ht="19.7" customHeight="1" x14ac:dyDescent="0.15">
      <c r="A28" s="13"/>
      <c r="B28" s="13"/>
      <c r="C28" s="13"/>
      <c r="D28" s="12"/>
      <c r="E28" s="12"/>
      <c r="F28" s="12"/>
      <c r="G28" s="14"/>
      <c r="H28" s="27"/>
      <c r="I28" s="13"/>
      <c r="J28" s="15"/>
      <c r="K28" s="1"/>
      <c r="L28" s="14"/>
      <c r="M28" s="13"/>
      <c r="N28" s="13"/>
      <c r="O28" s="8"/>
      <c r="P28" s="12"/>
      <c r="Q28" s="13"/>
      <c r="R28" s="8"/>
      <c r="S28" s="21"/>
    </row>
    <row r="29" spans="1:19" s="17" customFormat="1" x14ac:dyDescent="0.15">
      <c r="A29"/>
      <c r="B29"/>
      <c r="C29"/>
      <c r="D29" s="2"/>
      <c r="E29"/>
      <c r="F29"/>
      <c r="G29"/>
      <c r="H29" s="2"/>
      <c r="I29" s="2"/>
      <c r="J29" s="26"/>
      <c r="K29" s="2"/>
      <c r="L29"/>
      <c r="M29"/>
      <c r="N29" s="2"/>
      <c r="O29" s="9"/>
      <c r="P29"/>
      <c r="Q29" s="6"/>
      <c r="R29" s="10"/>
      <c r="S29" s="11"/>
    </row>
  </sheetData>
  <mergeCells count="8">
    <mergeCell ref="D6:F6"/>
    <mergeCell ref="D2:F2"/>
    <mergeCell ref="I2:K2"/>
    <mergeCell ref="D3:F3"/>
    <mergeCell ref="J3:M4"/>
    <mergeCell ref="D4:F4"/>
    <mergeCell ref="I4:I5"/>
    <mergeCell ref="D5:F5"/>
  </mergeCells>
  <phoneticPr fontId="11"/>
  <pageMargins left="0" right="0" top="0" bottom="0" header="0" footer="0"/>
  <pageSetup paperSize="8" scale="65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21"/>
  <sheetViews>
    <sheetView topLeftCell="A109" workbookViewId="0">
      <selection activeCell="G123" sqref="G123:J123"/>
    </sheetView>
  </sheetViews>
  <sheetFormatPr defaultRowHeight="13.5" x14ac:dyDescent="0.15"/>
  <cols>
    <col min="3" max="3" width="19.875" customWidth="1"/>
  </cols>
  <sheetData>
    <row r="1" spans="2:7" x14ac:dyDescent="0.15">
      <c r="B1" t="s">
        <v>44</v>
      </c>
      <c r="D1" t="s">
        <v>43</v>
      </c>
      <c r="G1" t="s">
        <v>45</v>
      </c>
    </row>
    <row r="2" spans="2:7" x14ac:dyDescent="0.15">
      <c r="B2">
        <v>5914</v>
      </c>
      <c r="D2">
        <v>30500</v>
      </c>
      <c r="G2">
        <v>88326</v>
      </c>
    </row>
    <row r="3" spans="2:7" x14ac:dyDescent="0.15">
      <c r="B3">
        <v>792</v>
      </c>
      <c r="D3">
        <v>25000</v>
      </c>
      <c r="G3">
        <v>1596</v>
      </c>
    </row>
    <row r="4" spans="2:7" x14ac:dyDescent="0.15">
      <c r="B4">
        <v>3960</v>
      </c>
      <c r="D4">
        <v>25000</v>
      </c>
      <c r="G4">
        <v>1443</v>
      </c>
    </row>
    <row r="5" spans="2:7" x14ac:dyDescent="0.15">
      <c r="B5">
        <v>2376</v>
      </c>
      <c r="D5">
        <v>25000</v>
      </c>
      <c r="G5">
        <v>684</v>
      </c>
    </row>
    <row r="6" spans="2:7" x14ac:dyDescent="0.15">
      <c r="B6">
        <v>354</v>
      </c>
      <c r="D6">
        <v>13000</v>
      </c>
    </row>
    <row r="7" spans="2:7" x14ac:dyDescent="0.15">
      <c r="B7">
        <v>2376</v>
      </c>
      <c r="D7">
        <v>6500</v>
      </c>
    </row>
    <row r="8" spans="2:7" x14ac:dyDescent="0.15">
      <c r="B8">
        <v>354</v>
      </c>
      <c r="D8">
        <v>24000</v>
      </c>
      <c r="G8">
        <v>2034</v>
      </c>
    </row>
    <row r="9" spans="2:7" x14ac:dyDescent="0.15">
      <c r="B9">
        <v>4752</v>
      </c>
      <c r="D9">
        <v>13500</v>
      </c>
      <c r="G9">
        <v>67036</v>
      </c>
    </row>
    <row r="10" spans="2:7" x14ac:dyDescent="0.15">
      <c r="B10">
        <v>792</v>
      </c>
      <c r="G10">
        <v>82612</v>
      </c>
    </row>
    <row r="11" spans="2:7" x14ac:dyDescent="0.15">
      <c r="B11">
        <v>4355</v>
      </c>
      <c r="D11">
        <v>21500</v>
      </c>
      <c r="G11">
        <v>280</v>
      </c>
    </row>
    <row r="12" spans="2:7" x14ac:dyDescent="0.15">
      <c r="B12">
        <v>5226</v>
      </c>
      <c r="D12">
        <v>1080</v>
      </c>
      <c r="G12">
        <v>792</v>
      </c>
    </row>
    <row r="13" spans="2:7" x14ac:dyDescent="0.15">
      <c r="B13">
        <v>5820</v>
      </c>
      <c r="D13">
        <v>3840</v>
      </c>
      <c r="G13">
        <v>996</v>
      </c>
    </row>
    <row r="14" spans="2:7" x14ac:dyDescent="0.15">
      <c r="B14">
        <v>14697</v>
      </c>
      <c r="D14">
        <v>2380</v>
      </c>
      <c r="G14">
        <v>1120</v>
      </c>
    </row>
    <row r="15" spans="2:7" x14ac:dyDescent="0.15">
      <c r="B15">
        <v>3544</v>
      </c>
      <c r="G15">
        <v>3780</v>
      </c>
    </row>
    <row r="16" spans="2:7" x14ac:dyDescent="0.15">
      <c r="B16">
        <v>18650</v>
      </c>
      <c r="G16">
        <v>10740</v>
      </c>
    </row>
    <row r="17" spans="2:7" x14ac:dyDescent="0.15">
      <c r="B17">
        <v>1760</v>
      </c>
      <c r="D17">
        <v>2400</v>
      </c>
      <c r="G17">
        <v>1746</v>
      </c>
    </row>
    <row r="18" spans="2:7" x14ac:dyDescent="0.15">
      <c r="B18">
        <v>13160</v>
      </c>
      <c r="D18">
        <v>12000</v>
      </c>
      <c r="G18">
        <v>47364</v>
      </c>
    </row>
    <row r="19" spans="2:7" x14ac:dyDescent="0.15">
      <c r="B19">
        <v>15760</v>
      </c>
      <c r="D19">
        <v>124628</v>
      </c>
      <c r="G19">
        <v>280</v>
      </c>
    </row>
    <row r="20" spans="2:7" x14ac:dyDescent="0.15">
      <c r="B20">
        <v>17620</v>
      </c>
      <c r="G20">
        <v>996</v>
      </c>
    </row>
    <row r="21" spans="2:7" x14ac:dyDescent="0.15">
      <c r="B21">
        <v>472</v>
      </c>
      <c r="D21">
        <f>SUM(D2:D20)</f>
        <v>330328</v>
      </c>
      <c r="G21">
        <v>945</v>
      </c>
    </row>
    <row r="22" spans="2:7" x14ac:dyDescent="0.15">
      <c r="B22">
        <v>880</v>
      </c>
      <c r="G22">
        <v>1746</v>
      </c>
    </row>
    <row r="23" spans="2:7" x14ac:dyDescent="0.15">
      <c r="B23">
        <v>60000</v>
      </c>
      <c r="G23">
        <v>27140</v>
      </c>
    </row>
    <row r="24" spans="2:7" x14ac:dyDescent="0.15">
      <c r="B24">
        <v>20000</v>
      </c>
      <c r="G24">
        <v>888</v>
      </c>
    </row>
    <row r="25" spans="2:7" x14ac:dyDescent="0.15">
      <c r="B25">
        <v>368</v>
      </c>
      <c r="G25">
        <v>720</v>
      </c>
    </row>
    <row r="26" spans="2:7" x14ac:dyDescent="0.15">
      <c r="B26">
        <v>4364</v>
      </c>
      <c r="G26">
        <v>39490</v>
      </c>
    </row>
    <row r="27" spans="2:7" x14ac:dyDescent="0.15">
      <c r="B27">
        <v>23530</v>
      </c>
      <c r="G27">
        <v>720</v>
      </c>
    </row>
    <row r="28" spans="2:7" x14ac:dyDescent="0.15">
      <c r="B28">
        <v>448</v>
      </c>
      <c r="G28">
        <v>31421</v>
      </c>
    </row>
    <row r="29" spans="2:7" x14ac:dyDescent="0.15">
      <c r="B29">
        <v>37774</v>
      </c>
      <c r="G29">
        <v>280</v>
      </c>
    </row>
    <row r="30" spans="2:7" x14ac:dyDescent="0.15">
      <c r="B30">
        <v>784</v>
      </c>
      <c r="G30">
        <v>996</v>
      </c>
    </row>
    <row r="31" spans="2:7" x14ac:dyDescent="0.15">
      <c r="B31">
        <v>308</v>
      </c>
      <c r="G31">
        <v>945</v>
      </c>
    </row>
    <row r="32" spans="2:7" x14ac:dyDescent="0.15">
      <c r="B32">
        <v>561</v>
      </c>
      <c r="G32">
        <v>1608</v>
      </c>
    </row>
    <row r="33" spans="2:7" x14ac:dyDescent="0.15">
      <c r="B33">
        <v>392</v>
      </c>
      <c r="G33">
        <v>150000</v>
      </c>
    </row>
    <row r="34" spans="2:7" x14ac:dyDescent="0.15">
      <c r="B34">
        <v>304</v>
      </c>
      <c r="G34">
        <v>5076</v>
      </c>
    </row>
    <row r="35" spans="2:7" x14ac:dyDescent="0.15">
      <c r="B35">
        <v>25343</v>
      </c>
      <c r="G35">
        <v>3492</v>
      </c>
    </row>
    <row r="36" spans="2:7" x14ac:dyDescent="0.15">
      <c r="B36">
        <v>374</v>
      </c>
      <c r="G36">
        <v>90000</v>
      </c>
    </row>
    <row r="37" spans="2:7" x14ac:dyDescent="0.15">
      <c r="B37">
        <v>308</v>
      </c>
      <c r="G37">
        <v>8025</v>
      </c>
    </row>
    <row r="38" spans="2:7" x14ac:dyDescent="0.15">
      <c r="B38">
        <v>191</v>
      </c>
      <c r="G38">
        <v>20480</v>
      </c>
    </row>
    <row r="39" spans="2:7" x14ac:dyDescent="0.15">
      <c r="B39">
        <v>2646</v>
      </c>
      <c r="G39">
        <v>50000</v>
      </c>
    </row>
    <row r="40" spans="2:7" x14ac:dyDescent="0.15">
      <c r="B40">
        <v>38972</v>
      </c>
      <c r="G40">
        <v>8025</v>
      </c>
    </row>
    <row r="41" spans="2:7" x14ac:dyDescent="0.15">
      <c r="B41">
        <v>224</v>
      </c>
      <c r="G41">
        <v>20480</v>
      </c>
    </row>
    <row r="42" spans="2:7" x14ac:dyDescent="0.15">
      <c r="B42">
        <v>308</v>
      </c>
      <c r="G42">
        <v>145000</v>
      </c>
    </row>
    <row r="43" spans="2:7" x14ac:dyDescent="0.15">
      <c r="B43">
        <v>904</v>
      </c>
      <c r="G43">
        <v>8025</v>
      </c>
    </row>
    <row r="44" spans="2:7" x14ac:dyDescent="0.15">
      <c r="B44">
        <v>304</v>
      </c>
      <c r="G44">
        <v>20480</v>
      </c>
    </row>
    <row r="45" spans="2:7" x14ac:dyDescent="0.15">
      <c r="B45">
        <v>28588</v>
      </c>
      <c r="G45">
        <v>1880</v>
      </c>
    </row>
    <row r="46" spans="2:7" x14ac:dyDescent="0.15">
      <c r="B46">
        <v>224</v>
      </c>
      <c r="G46">
        <v>50000</v>
      </c>
    </row>
    <row r="47" spans="2:7" x14ac:dyDescent="0.15">
      <c r="B47">
        <v>374</v>
      </c>
      <c r="G47">
        <v>8025</v>
      </c>
    </row>
    <row r="48" spans="2:7" x14ac:dyDescent="0.15">
      <c r="B48">
        <v>374</v>
      </c>
      <c r="G48">
        <v>20480</v>
      </c>
    </row>
    <row r="49" spans="2:7" x14ac:dyDescent="0.15">
      <c r="B49">
        <v>191</v>
      </c>
      <c r="G49">
        <v>80000</v>
      </c>
    </row>
    <row r="50" spans="2:7" x14ac:dyDescent="0.15">
      <c r="B50">
        <v>904</v>
      </c>
      <c r="G50">
        <v>8025</v>
      </c>
    </row>
    <row r="51" spans="2:7" x14ac:dyDescent="0.15">
      <c r="B51">
        <v>8362</v>
      </c>
      <c r="G51">
        <v>20480</v>
      </c>
    </row>
    <row r="52" spans="2:7" x14ac:dyDescent="0.15">
      <c r="B52">
        <v>112</v>
      </c>
      <c r="G52">
        <v>1880</v>
      </c>
    </row>
    <row r="53" spans="2:7" x14ac:dyDescent="0.15">
      <c r="B53">
        <v>56</v>
      </c>
      <c r="G53">
        <v>110000</v>
      </c>
    </row>
    <row r="54" spans="2:7" x14ac:dyDescent="0.15">
      <c r="B54">
        <v>20.6</v>
      </c>
      <c r="G54">
        <v>8025</v>
      </c>
    </row>
    <row r="55" spans="2:7" x14ac:dyDescent="0.15">
      <c r="B55">
        <v>5915</v>
      </c>
      <c r="G55">
        <v>20480</v>
      </c>
    </row>
    <row r="56" spans="2:7" x14ac:dyDescent="0.15">
      <c r="B56">
        <v>56</v>
      </c>
      <c r="G56">
        <v>1880</v>
      </c>
    </row>
    <row r="57" spans="2:7" x14ac:dyDescent="0.15">
      <c r="B57">
        <v>56</v>
      </c>
    </row>
    <row r="58" spans="2:7" x14ac:dyDescent="0.15">
      <c r="B58">
        <v>20.6</v>
      </c>
      <c r="G58">
        <f>SUM(G8:G57)</f>
        <v>1186913</v>
      </c>
    </row>
    <row r="59" spans="2:7" x14ac:dyDescent="0.15">
      <c r="B59">
        <v>23106</v>
      </c>
    </row>
    <row r="60" spans="2:7" x14ac:dyDescent="0.15">
      <c r="B60">
        <v>224</v>
      </c>
    </row>
    <row r="61" spans="2:7" x14ac:dyDescent="0.15">
      <c r="B61">
        <v>112</v>
      </c>
    </row>
    <row r="62" spans="2:7" x14ac:dyDescent="0.15">
      <c r="B62">
        <v>41.2</v>
      </c>
    </row>
    <row r="63" spans="2:7" x14ac:dyDescent="0.15">
      <c r="B63">
        <v>12832</v>
      </c>
    </row>
    <row r="64" spans="2:7" x14ac:dyDescent="0.15">
      <c r="B64">
        <v>84</v>
      </c>
    </row>
    <row r="65" spans="2:2" x14ac:dyDescent="0.15">
      <c r="B65">
        <v>84</v>
      </c>
    </row>
    <row r="66" spans="2:2" x14ac:dyDescent="0.15">
      <c r="B66">
        <v>30.900000000000002</v>
      </c>
    </row>
    <row r="67" spans="2:2" x14ac:dyDescent="0.15">
      <c r="B67">
        <v>32635</v>
      </c>
    </row>
    <row r="68" spans="2:2" x14ac:dyDescent="0.15">
      <c r="B68">
        <v>560</v>
      </c>
    </row>
    <row r="69" spans="2:2" x14ac:dyDescent="0.15">
      <c r="B69">
        <v>280</v>
      </c>
    </row>
    <row r="70" spans="2:2" x14ac:dyDescent="0.15">
      <c r="B70">
        <v>103</v>
      </c>
    </row>
    <row r="71" spans="2:2" x14ac:dyDescent="0.15">
      <c r="B71">
        <v>5826</v>
      </c>
    </row>
    <row r="72" spans="2:2" x14ac:dyDescent="0.15">
      <c r="B72">
        <v>224</v>
      </c>
    </row>
    <row r="73" spans="2:2" x14ac:dyDescent="0.15">
      <c r="B73">
        <v>4136</v>
      </c>
    </row>
    <row r="74" spans="2:2" x14ac:dyDescent="0.15">
      <c r="B74">
        <v>112</v>
      </c>
    </row>
    <row r="75" spans="2:2" x14ac:dyDescent="0.15">
      <c r="B75">
        <v>4492</v>
      </c>
    </row>
    <row r="76" spans="2:2" x14ac:dyDescent="0.15">
      <c r="B76">
        <v>112</v>
      </c>
    </row>
    <row r="77" spans="2:2" x14ac:dyDescent="0.15">
      <c r="B77">
        <v>56</v>
      </c>
    </row>
    <row r="78" spans="2:2" x14ac:dyDescent="0.15">
      <c r="B78">
        <v>20.6</v>
      </c>
    </row>
    <row r="79" spans="2:2" x14ac:dyDescent="0.15">
      <c r="B79">
        <v>7294</v>
      </c>
    </row>
    <row r="80" spans="2:2" x14ac:dyDescent="0.15">
      <c r="B80">
        <v>224</v>
      </c>
    </row>
    <row r="81" spans="2:2" x14ac:dyDescent="0.15">
      <c r="B81">
        <v>4014</v>
      </c>
    </row>
    <row r="82" spans="2:2" x14ac:dyDescent="0.15">
      <c r="B82">
        <v>112</v>
      </c>
    </row>
    <row r="83" spans="2:2" x14ac:dyDescent="0.15">
      <c r="B83">
        <v>56</v>
      </c>
    </row>
    <row r="84" spans="2:2" x14ac:dyDescent="0.15">
      <c r="B84">
        <v>20.6</v>
      </c>
    </row>
    <row r="85" spans="2:2" x14ac:dyDescent="0.15">
      <c r="B85">
        <v>7539</v>
      </c>
    </row>
    <row r="86" spans="2:2" x14ac:dyDescent="0.15">
      <c r="B86">
        <v>112</v>
      </c>
    </row>
    <row r="87" spans="2:2" x14ac:dyDescent="0.15">
      <c r="B87">
        <v>56</v>
      </c>
    </row>
    <row r="88" spans="2:2" x14ac:dyDescent="0.15">
      <c r="B88">
        <v>20.6</v>
      </c>
    </row>
    <row r="89" spans="2:2" x14ac:dyDescent="0.15">
      <c r="B89">
        <v>15987</v>
      </c>
    </row>
    <row r="90" spans="2:2" x14ac:dyDescent="0.15">
      <c r="B90">
        <v>9784</v>
      </c>
    </row>
    <row r="91" spans="2:2" x14ac:dyDescent="0.15">
      <c r="B91">
        <v>224</v>
      </c>
    </row>
    <row r="92" spans="2:2" x14ac:dyDescent="0.15">
      <c r="B92">
        <v>5293</v>
      </c>
    </row>
    <row r="93" spans="2:2" x14ac:dyDescent="0.15">
      <c r="B93">
        <v>112</v>
      </c>
    </row>
    <row r="94" spans="2:2" x14ac:dyDescent="0.15">
      <c r="B94">
        <v>56</v>
      </c>
    </row>
    <row r="95" spans="2:2" x14ac:dyDescent="0.15">
      <c r="B95">
        <v>20.6</v>
      </c>
    </row>
    <row r="96" spans="2:2" x14ac:dyDescent="0.15">
      <c r="B96">
        <v>8062</v>
      </c>
    </row>
    <row r="97" spans="2:2" x14ac:dyDescent="0.15">
      <c r="B97">
        <v>112</v>
      </c>
    </row>
    <row r="98" spans="2:2" x14ac:dyDescent="0.15">
      <c r="B98">
        <v>56</v>
      </c>
    </row>
    <row r="99" spans="2:2" x14ac:dyDescent="0.15">
      <c r="B99">
        <v>20.6</v>
      </c>
    </row>
    <row r="100" spans="2:2" x14ac:dyDescent="0.15">
      <c r="B100">
        <v>13788</v>
      </c>
    </row>
    <row r="101" spans="2:2" x14ac:dyDescent="0.15">
      <c r="B101">
        <v>224</v>
      </c>
    </row>
    <row r="102" spans="2:2" x14ac:dyDescent="0.15">
      <c r="B102">
        <v>112</v>
      </c>
    </row>
    <row r="103" spans="2:2" x14ac:dyDescent="0.15">
      <c r="B103">
        <v>41.2</v>
      </c>
    </row>
    <row r="104" spans="2:2" x14ac:dyDescent="0.15">
      <c r="B104">
        <v>9073</v>
      </c>
    </row>
    <row r="105" spans="2:2" x14ac:dyDescent="0.15">
      <c r="B105">
        <v>41766</v>
      </c>
    </row>
    <row r="106" spans="2:2" x14ac:dyDescent="0.15">
      <c r="B106">
        <v>224</v>
      </c>
    </row>
    <row r="107" spans="2:2" x14ac:dyDescent="0.15">
      <c r="B107">
        <v>224</v>
      </c>
    </row>
    <row r="108" spans="2:2" x14ac:dyDescent="0.15">
      <c r="B108">
        <v>82.4</v>
      </c>
    </row>
    <row r="109" spans="2:2" x14ac:dyDescent="0.15">
      <c r="B109">
        <v>48594</v>
      </c>
    </row>
    <row r="110" spans="2:2" x14ac:dyDescent="0.15">
      <c r="B110">
        <v>112</v>
      </c>
    </row>
    <row r="111" spans="2:2" x14ac:dyDescent="0.15">
      <c r="B111">
        <v>112</v>
      </c>
    </row>
    <row r="112" spans="2:2" x14ac:dyDescent="0.15">
      <c r="B112">
        <v>41.2</v>
      </c>
    </row>
    <row r="113" spans="2:2" x14ac:dyDescent="0.15">
      <c r="B113">
        <v>5015</v>
      </c>
    </row>
    <row r="114" spans="2:2" x14ac:dyDescent="0.15">
      <c r="B114">
        <v>84</v>
      </c>
    </row>
    <row r="115" spans="2:2" x14ac:dyDescent="0.15">
      <c r="B115">
        <v>240</v>
      </c>
    </row>
    <row r="116" spans="2:2" x14ac:dyDescent="0.15">
      <c r="B116">
        <v>339</v>
      </c>
    </row>
    <row r="117" spans="2:2" x14ac:dyDescent="0.15">
      <c r="B117">
        <v>4364</v>
      </c>
    </row>
    <row r="118" spans="2:2" x14ac:dyDescent="0.15">
      <c r="B118">
        <v>23530</v>
      </c>
    </row>
    <row r="119" spans="2:2" x14ac:dyDescent="0.15">
      <c r="B119">
        <v>448</v>
      </c>
    </row>
    <row r="121" spans="2:2" x14ac:dyDescent="0.15">
      <c r="B121">
        <f>SUM(B2:B119)</f>
        <v>679934.09999999986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ED990B-30BC-4F86-9BD5-38F4ECB58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SETB0298-A01　20260219 ①</vt:lpstr>
      <vt:lpstr>Sheet3</vt:lpstr>
      <vt:lpstr>'SETB0298-A01　20260219 ①'!Print_Area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2018-12-14T00:20:12Z</cp:lastPrinted>
  <dcterms:created xsi:type="dcterms:W3CDTF">2011-12-13T06:48:43Z</dcterms:created>
  <dcterms:modified xsi:type="dcterms:W3CDTF">2026-03-16T01:45:49Z</dcterms:modified>
</cp:coreProperties>
</file>