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GELプロジェクト\会社設立\柏商工会議所\"/>
    </mc:Choice>
  </mc:AlternateContent>
  <xr:revisionPtr revIDLastSave="0" documentId="13_ncr:1_{D149DF4E-5F7C-41D7-9BE5-6D9C44A0B3E8}" xr6:coauthVersionLast="47" xr6:coauthVersionMax="47" xr10:uidLastSave="{00000000-0000-0000-0000-000000000000}"/>
  <bookViews>
    <workbookView xWindow="-120" yWindow="16080" windowWidth="29040" windowHeight="15720" xr2:uid="{18A30B1B-DBC3-4546-BE46-36EB51C808BC}"/>
  </bookViews>
  <sheets>
    <sheet name="資産台帳" sheetId="1" r:id="rId1"/>
    <sheet name="キャッシュフロー" sheetId="3" r:id="rId2"/>
    <sheet name="創業時資金計画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4" l="1"/>
  <c r="B6" i="4"/>
  <c r="D20" i="1"/>
  <c r="E20" i="1" s="1"/>
  <c r="D19" i="1"/>
  <c r="G9" i="1"/>
  <c r="D14" i="1"/>
  <c r="E14" i="1" s="1"/>
  <c r="D13" i="1"/>
  <c r="E13" i="1" s="1"/>
  <c r="D8" i="1"/>
  <c r="E8" i="1" s="1"/>
  <c r="D7" i="1"/>
  <c r="E7" i="1" s="1"/>
  <c r="D6" i="1"/>
  <c r="E6" i="1" s="1"/>
  <c r="D5" i="1"/>
  <c r="E25" i="1" l="1"/>
  <c r="E26" i="1" s="1"/>
  <c r="D21" i="1"/>
  <c r="E19" i="1"/>
  <c r="E21" i="1" s="1"/>
  <c r="E15" i="1"/>
  <c r="D15" i="1"/>
  <c r="D9" i="1"/>
  <c r="E5" i="1"/>
  <c r="E9" i="1" s="1"/>
  <c r="E29" i="1" l="1"/>
</calcChain>
</file>

<file path=xl/sharedStrings.xml><?xml version="1.0" encoding="utf-8"?>
<sst xmlns="http://schemas.openxmlformats.org/spreadsheetml/2006/main" count="108" uniqueCount="78">
  <si>
    <t>機種</t>
  </si>
  <si>
    <t>台数</t>
  </si>
  <si>
    <t>中古購入単価</t>
  </si>
  <si>
    <t>中古購入総額</t>
  </si>
  <si>
    <t>新品販売価格</t>
    <rPh sb="2" eb="4">
      <t>ハンバイ</t>
    </rPh>
    <rPh sb="4" eb="6">
      <t>カカク</t>
    </rPh>
    <phoneticPr fontId="4"/>
  </si>
  <si>
    <t>購入年</t>
  </si>
  <si>
    <r>
      <t>JR3203</t>
    </r>
    <r>
      <rPr>
        <sz val="11"/>
        <color theme="1"/>
        <rFont val="ＭＳ ゴシック"/>
        <family val="3"/>
        <charset val="128"/>
      </rPr>
      <t>（現行型）</t>
    </r>
    <rPh sb="7" eb="9">
      <t>ゲンコウ</t>
    </rPh>
    <rPh sb="9" eb="10">
      <t>カタ</t>
    </rPh>
    <phoneticPr fontId="4"/>
  </si>
  <si>
    <t>JR3504（現行型）</t>
    <phoneticPr fontId="4"/>
  </si>
  <si>
    <t>JR2303（旧型）</t>
    <rPh sb="7" eb="9">
      <t>キュウガタ</t>
    </rPh>
    <phoneticPr fontId="4"/>
  </si>
  <si>
    <t>JR2203（旧型）</t>
    <rPh sb="7" eb="9">
      <t>キュウガタ</t>
    </rPh>
    <phoneticPr fontId="4"/>
  </si>
  <si>
    <t>合計</t>
  </si>
  <si>
    <t>資産台帳</t>
    <rPh sb="0" eb="2">
      <t>シサン</t>
    </rPh>
    <rPh sb="2" eb="4">
      <t>ダイチョウ</t>
    </rPh>
    <phoneticPr fontId="4"/>
  </si>
  <si>
    <t>卓上ロボット</t>
    <rPh sb="0" eb="2">
      <t>タクジョウ</t>
    </rPh>
    <phoneticPr fontId="4"/>
  </si>
  <si>
    <t>中古購入価格</t>
    <rPh sb="4" eb="6">
      <t>カカク</t>
    </rPh>
    <phoneticPr fontId="3"/>
  </si>
  <si>
    <t>売却（譲渡）金額</t>
    <rPh sb="0" eb="2">
      <t>バイキャク</t>
    </rPh>
    <rPh sb="3" eb="5">
      <t>ジョウト</t>
    </rPh>
    <rPh sb="6" eb="8">
      <t>キンガク</t>
    </rPh>
    <phoneticPr fontId="3"/>
  </si>
  <si>
    <t>車両</t>
    <rPh sb="0" eb="2">
      <t>シャリョウ</t>
    </rPh>
    <phoneticPr fontId="4"/>
  </si>
  <si>
    <t>フィットシャトルハイブリッド</t>
    <phoneticPr fontId="4"/>
  </si>
  <si>
    <t>デミオ</t>
    <phoneticPr fontId="4"/>
  </si>
  <si>
    <t>パソコン</t>
    <phoneticPr fontId="4"/>
  </si>
  <si>
    <t>WU4-K3</t>
    <phoneticPr fontId="4"/>
  </si>
  <si>
    <t>Victus15</t>
    <phoneticPr fontId="4"/>
  </si>
  <si>
    <t>購入総額</t>
    <phoneticPr fontId="3"/>
  </si>
  <si>
    <t>備考</t>
    <rPh sb="0" eb="2">
      <t>ビコウ</t>
    </rPh>
    <phoneticPr fontId="3"/>
  </si>
  <si>
    <t>メインPC</t>
    <phoneticPr fontId="3"/>
  </si>
  <si>
    <t>サブPC</t>
    <phoneticPr fontId="3"/>
  </si>
  <si>
    <t>売却（譲渡）金額合計</t>
    <rPh sb="0" eb="2">
      <t>バイキャク</t>
    </rPh>
    <rPh sb="3" eb="5">
      <t>ジョウト</t>
    </rPh>
    <rPh sb="6" eb="8">
      <t>キンガク</t>
    </rPh>
    <rPh sb="8" eb="10">
      <t>ゴウケイ</t>
    </rPh>
    <phoneticPr fontId="3"/>
  </si>
  <si>
    <t>譲渡日</t>
    <rPh sb="0" eb="2">
      <t>ジョウト</t>
    </rPh>
    <rPh sb="2" eb="3">
      <t>ヒ</t>
    </rPh>
    <phoneticPr fontId="3"/>
  </si>
  <si>
    <t>1億5,800万円</t>
  </si>
  <si>
    <t>7,340万円</t>
  </si>
  <si>
    <t>160万円</t>
  </si>
  <si>
    <t>7,500万円</t>
  </si>
  <si>
    <t>5億円</t>
  </si>
  <si>
    <t>5年目</t>
  </si>
  <si>
    <t>8,460万円</t>
  </si>
  <si>
    <t>4,840万円</t>
  </si>
  <si>
    <t>5,000万円</t>
  </si>
  <si>
    <t>3億円</t>
  </si>
  <si>
    <t>4年目</t>
  </si>
  <si>
    <t>3,620万円</t>
  </si>
  <si>
    <t>1,340万円</t>
  </si>
  <si>
    <t>1,500万円</t>
  </si>
  <si>
    <t>8,000万円</t>
  </si>
  <si>
    <t>3年目</t>
  </si>
  <si>
    <t>2,280万円</t>
  </si>
  <si>
    <t>640万円</t>
  </si>
  <si>
    <t>800万円</t>
  </si>
  <si>
    <t>3,000万円</t>
  </si>
  <si>
    <t>2年目</t>
  </si>
  <si>
    <t>1,640万円</t>
  </si>
  <si>
    <t>340万円</t>
  </si>
  <si>
    <t>500万円</t>
  </si>
  <si>
    <t>1年目</t>
  </si>
  <si>
    <t>1,300万円</t>
  </si>
  <si>
    <t>-</t>
  </si>
  <si>
    <t>創業時</t>
  </si>
  <si>
    <t>期末現預金</t>
    <phoneticPr fontId="4"/>
  </si>
  <si>
    <r>
      <rPr>
        <b/>
        <sz val="11"/>
        <color rgb="FFFFFFFF"/>
        <rFont val="ＭＳ ゴシック"/>
        <family val="3"/>
        <charset val="128"/>
      </rPr>
      <t>年間</t>
    </r>
    <r>
      <rPr>
        <b/>
        <sz val="11"/>
        <color rgb="FFFFFFFF"/>
        <rFont val="Calibri"/>
        <family val="3"/>
      </rPr>
      <t>CF</t>
    </r>
    <phoneticPr fontId="4"/>
  </si>
  <si>
    <t>借入返済</t>
    <phoneticPr fontId="4"/>
  </si>
  <si>
    <t>営業利益</t>
    <phoneticPr fontId="4"/>
  </si>
  <si>
    <t>売上</t>
    <phoneticPr fontId="4"/>
  </si>
  <si>
    <t>年度</t>
    <rPh sb="0" eb="2">
      <t>ネンド</t>
    </rPh>
    <phoneticPr fontId="4"/>
  </si>
  <si>
    <t>5年間キャッシュフロー計画（概算）</t>
    <rPh sb="1" eb="3">
      <t>ネンカン</t>
    </rPh>
    <rPh sb="11" eb="13">
      <t>ケイカク</t>
    </rPh>
    <rPh sb="14" eb="16">
      <t>ガイサン</t>
    </rPh>
    <phoneticPr fontId="4"/>
  </si>
  <si>
    <t>用途</t>
    <rPh sb="0" eb="2">
      <t>ヨウト</t>
    </rPh>
    <phoneticPr fontId="4"/>
  </si>
  <si>
    <t>自己資金</t>
  </si>
  <si>
    <t>借入金</t>
  </si>
  <si>
    <t>調達資金合計</t>
  </si>
  <si>
    <t>RTS教育設備製作</t>
  </si>
  <si>
    <t>治具・センサー・教材設備</t>
  </si>
  <si>
    <t>営業活動費</t>
  </si>
  <si>
    <t>運転資金</t>
  </si>
  <si>
    <t>創業時資金計画</t>
    <phoneticPr fontId="4"/>
  </si>
  <si>
    <t>項目</t>
    <rPh sb="0" eb="2">
      <t>コウモク</t>
    </rPh>
    <phoneticPr fontId="4"/>
  </si>
  <si>
    <t>金額</t>
    <rPh sb="0" eb="2">
      <t>キンガク</t>
    </rPh>
    <phoneticPr fontId="4"/>
  </si>
  <si>
    <t>PC・IT環境</t>
    <phoneticPr fontId="3"/>
  </si>
  <si>
    <t>車両</t>
    <rPh sb="0" eb="2">
      <t>シャリョウ</t>
    </rPh>
    <phoneticPr fontId="3"/>
  </si>
  <si>
    <t>オンラインスクール</t>
    <phoneticPr fontId="4"/>
  </si>
  <si>
    <t>時創</t>
    <rPh sb="0" eb="1">
      <t>トキ</t>
    </rPh>
    <rPh sb="1" eb="2">
      <t>ツク</t>
    </rPh>
    <phoneticPr fontId="4"/>
  </si>
  <si>
    <t>期間</t>
    <rPh sb="0" eb="2">
      <t>キカン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</si>
</sst>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&quot;円&quot;"/>
    <numFmt numFmtId="177" formatCode="yyyy&quot;年&quot;m&quot;月&quot;;@"/>
    <numFmt numFmtId="178" formatCode="0&quot;万円&quot;"/>
  </numFmts>
  <fonts count="1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b/>
      <sz val="11"/>
      <color rgb="FFFFFFFF"/>
      <name val="Yu Gothic"/>
      <family val="2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b/>
      <sz val="11"/>
      <color rgb="FFFFFFFF"/>
      <name val="Calibri"/>
      <family val="2"/>
    </font>
    <font>
      <b/>
      <sz val="11"/>
      <color rgb="FFFFFFFF"/>
      <name val="ＭＳ ゴシック"/>
      <family val="3"/>
      <charset val="128"/>
    </font>
    <font>
      <b/>
      <sz val="11"/>
      <color rgb="FFFFFFFF"/>
      <name val="ＭＳ Ｐゴシック"/>
      <family val="2"/>
      <charset val="128"/>
    </font>
    <font>
      <b/>
      <sz val="11"/>
      <color rgb="FFFFFFFF"/>
      <name val="Calibri"/>
      <family val="3"/>
      <charset val="128"/>
    </font>
    <font>
      <b/>
      <sz val="11"/>
      <color rgb="FFFFFFFF"/>
      <name val="Calibri"/>
      <family val="3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33">
    <xf numFmtId="0" fontId="0" fillId="0" borderId="0" xfId="0">
      <alignment vertical="center"/>
    </xf>
    <xf numFmtId="0" fontId="0" fillId="0" borderId="0" xfId="0" applyAlignment="1"/>
    <xf numFmtId="0" fontId="5" fillId="0" borderId="0" xfId="0" applyFont="1" applyAlignment="1"/>
    <xf numFmtId="0" fontId="6" fillId="2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vertical="center"/>
    </xf>
    <xf numFmtId="0" fontId="0" fillId="0" borderId="1" xfId="1" applyFont="1" applyBorder="1" applyAlignment="1">
      <alignment horizontal="center" vertical="center"/>
    </xf>
    <xf numFmtId="176" fontId="0" fillId="0" borderId="1" xfId="1" applyNumberFormat="1" applyFont="1" applyBorder="1" applyAlignment="1">
      <alignment horizontal="right" vertical="center"/>
    </xf>
    <xf numFmtId="0" fontId="0" fillId="0" borderId="2" xfId="1" applyFont="1" applyBorder="1" applyAlignment="1">
      <alignment horizontal="center" vertical="center"/>
    </xf>
    <xf numFmtId="0" fontId="0" fillId="0" borderId="2" xfId="1" applyFont="1" applyBorder="1" applyAlignment="1">
      <alignment horizontal="right" vertical="center"/>
    </xf>
    <xf numFmtId="176" fontId="0" fillId="0" borderId="3" xfId="1" applyNumberFormat="1" applyFont="1" applyBorder="1" applyAlignment="1">
      <alignment horizontal="right" vertical="center"/>
    </xf>
    <xf numFmtId="176" fontId="0" fillId="4" borderId="1" xfId="1" applyNumberFormat="1" applyFont="1" applyFill="1" applyBorder="1" applyAlignment="1">
      <alignment horizontal="right" vertical="center"/>
    </xf>
    <xf numFmtId="0" fontId="0" fillId="0" borderId="4" xfId="1" applyFont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2" borderId="1" xfId="1" applyFont="1" applyFill="1" applyBorder="1" applyAlignment="1">
      <alignment horizontal="center" vertical="center"/>
    </xf>
    <xf numFmtId="0" fontId="0" fillId="0" borderId="1" xfId="0" applyBorder="1" applyAlignment="1"/>
    <xf numFmtId="177" fontId="0" fillId="0" borderId="0" xfId="0" applyNumberFormat="1" applyAlignment="1"/>
    <xf numFmtId="177" fontId="6" fillId="2" borderId="1" xfId="1" applyNumberFormat="1" applyFont="1" applyFill="1" applyBorder="1" applyAlignment="1">
      <alignment horizontal="center" vertical="center"/>
    </xf>
    <xf numFmtId="177" fontId="0" fillId="0" borderId="1" xfId="1" applyNumberFormat="1" applyFont="1" applyBorder="1" applyAlignment="1">
      <alignment horizontal="center" vertical="center"/>
    </xf>
    <xf numFmtId="177" fontId="0" fillId="0" borderId="2" xfId="1" applyNumberFormat="1" applyFont="1" applyBorder="1" applyAlignment="1">
      <alignment horizontal="right" vertical="center"/>
    </xf>
    <xf numFmtId="177" fontId="8" fillId="2" borderId="1" xfId="1" applyNumberFormat="1" applyFont="1" applyFill="1" applyBorder="1" applyAlignment="1">
      <alignment horizontal="center" vertical="center"/>
    </xf>
    <xf numFmtId="176" fontId="0" fillId="5" borderId="1" xfId="1" applyNumberFormat="1" applyFont="1" applyFill="1" applyBorder="1" applyAlignment="1">
      <alignment horizontal="right" vertical="center"/>
    </xf>
    <xf numFmtId="0" fontId="9" fillId="2" borderId="1" xfId="1" applyFont="1" applyFill="1" applyBorder="1" applyAlignment="1">
      <alignment horizontal="center" vertical="center"/>
    </xf>
    <xf numFmtId="3" fontId="0" fillId="0" borderId="0" xfId="0" applyNumberFormat="1" applyAlignme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178" fontId="0" fillId="0" borderId="1" xfId="0" applyNumberFormat="1" applyBorder="1" applyAlignment="1">
      <alignment horizontal="right" vertical="center" wrapText="1"/>
    </xf>
    <xf numFmtId="0" fontId="2" fillId="2" borderId="5" xfId="1" applyFont="1" applyFill="1" applyBorder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/>
    </xf>
    <xf numFmtId="0" fontId="2" fillId="2" borderId="1" xfId="1" applyFont="1" applyFill="1" applyBorder="1" applyAlignment="1">
      <alignment vertical="center" wrapText="1"/>
    </xf>
    <xf numFmtId="0" fontId="0" fillId="0" borderId="1" xfId="1" applyFont="1" applyBorder="1"/>
  </cellXfs>
  <cellStyles count="3">
    <cellStyle name="Normal" xfId="1" xr:uid="{0AD11544-2096-4EA1-9581-9B70C6264D0A}"/>
    <cellStyle name="標準" xfId="0" builtinId="0"/>
    <cellStyle name="標準 2" xfId="2" xr:uid="{B8A417F1-8299-4877-92A1-CCA324011B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2ACD-FD36-4174-B8BB-C48A7B4729AB}">
  <dimension ref="A1:G34"/>
  <sheetViews>
    <sheetView tabSelected="1" topLeftCell="A6" workbookViewId="0">
      <selection activeCell="B29" sqref="B29"/>
    </sheetView>
  </sheetViews>
  <sheetFormatPr defaultRowHeight="18.75"/>
  <cols>
    <col min="1" max="5" width="26.875" style="1" customWidth="1"/>
    <col min="6" max="6" width="24.5" style="17" bestFit="1" customWidth="1"/>
    <col min="7" max="8" width="26.875" style="1" customWidth="1"/>
    <col min="9" max="16384" width="9" style="1"/>
  </cols>
  <sheetData>
    <row r="1" spans="1:7" ht="24" customHeight="1">
      <c r="A1" s="29" t="s">
        <v>11</v>
      </c>
      <c r="B1" s="30"/>
      <c r="C1" s="30"/>
      <c r="D1" s="30"/>
      <c r="E1" s="30"/>
      <c r="F1" s="30"/>
      <c r="G1" s="30"/>
    </row>
    <row r="2" spans="1:7" ht="19.5" customHeight="1"/>
    <row r="3" spans="1:7">
      <c r="A3" s="2" t="s">
        <v>12</v>
      </c>
    </row>
    <row r="4" spans="1:7">
      <c r="A4" s="3" t="s">
        <v>0</v>
      </c>
      <c r="B4" s="3" t="s">
        <v>1</v>
      </c>
      <c r="C4" s="13" t="s">
        <v>13</v>
      </c>
      <c r="D4" s="3" t="s">
        <v>3</v>
      </c>
      <c r="E4" s="15" t="s">
        <v>14</v>
      </c>
      <c r="F4" s="18" t="s">
        <v>5</v>
      </c>
      <c r="G4" s="4" t="s">
        <v>4</v>
      </c>
    </row>
    <row r="5" spans="1:7">
      <c r="A5" s="5" t="s">
        <v>6</v>
      </c>
      <c r="B5" s="6">
        <v>8</v>
      </c>
      <c r="C5" s="7">
        <v>100000</v>
      </c>
      <c r="D5" s="7">
        <f>B5*C5</f>
        <v>800000</v>
      </c>
      <c r="E5" s="7">
        <f>D5</f>
        <v>800000</v>
      </c>
      <c r="F5" s="19">
        <v>45992</v>
      </c>
      <c r="G5" s="7">
        <v>800000</v>
      </c>
    </row>
    <row r="6" spans="1:7">
      <c r="A6" s="5" t="s">
        <v>7</v>
      </c>
      <c r="B6" s="6">
        <v>1</v>
      </c>
      <c r="C6" s="7">
        <v>200000</v>
      </c>
      <c r="D6" s="7">
        <f>B6*C6</f>
        <v>200000</v>
      </c>
      <c r="E6" s="7">
        <f t="shared" ref="E6:E8" si="0">D6</f>
        <v>200000</v>
      </c>
      <c r="F6" s="19">
        <v>45992</v>
      </c>
      <c r="G6" s="7">
        <v>1600000</v>
      </c>
    </row>
    <row r="7" spans="1:7">
      <c r="A7" s="5" t="s">
        <v>8</v>
      </c>
      <c r="B7" s="6">
        <v>1</v>
      </c>
      <c r="C7" s="7">
        <v>100000</v>
      </c>
      <c r="D7" s="7">
        <f>B7*C7</f>
        <v>100000</v>
      </c>
      <c r="E7" s="7">
        <f t="shared" si="0"/>
        <v>100000</v>
      </c>
      <c r="F7" s="19">
        <v>45261</v>
      </c>
      <c r="G7" s="7">
        <v>1200000</v>
      </c>
    </row>
    <row r="8" spans="1:7">
      <c r="A8" s="5" t="s">
        <v>9</v>
      </c>
      <c r="B8" s="6">
        <v>1</v>
      </c>
      <c r="C8" s="7">
        <v>50000</v>
      </c>
      <c r="D8" s="7">
        <f>B8*C8</f>
        <v>50000</v>
      </c>
      <c r="E8" s="7">
        <f t="shared" si="0"/>
        <v>50000</v>
      </c>
      <c r="F8" s="19">
        <v>45261</v>
      </c>
      <c r="G8" s="7">
        <v>800000</v>
      </c>
    </row>
    <row r="9" spans="1:7">
      <c r="A9" s="8" t="s">
        <v>10</v>
      </c>
      <c r="B9" s="9"/>
      <c r="C9" s="10"/>
      <c r="D9" s="7">
        <f>SUM(D5:D8)</f>
        <v>1150000</v>
      </c>
      <c r="E9" s="11">
        <f>SUM(E5:E8)</f>
        <v>1150000</v>
      </c>
      <c r="F9" s="20"/>
      <c r="G9" s="7">
        <f>SUM(G5:G8)</f>
        <v>4400000</v>
      </c>
    </row>
    <row r="11" spans="1:7">
      <c r="A11" s="2" t="s">
        <v>15</v>
      </c>
    </row>
    <row r="12" spans="1:7">
      <c r="A12" s="3" t="s">
        <v>0</v>
      </c>
      <c r="B12" s="3" t="s">
        <v>1</v>
      </c>
      <c r="C12" s="3" t="s">
        <v>2</v>
      </c>
      <c r="D12" s="3" t="s">
        <v>3</v>
      </c>
      <c r="E12" s="15" t="s">
        <v>14</v>
      </c>
      <c r="F12" s="18" t="s">
        <v>5</v>
      </c>
      <c r="G12" s="13" t="s">
        <v>22</v>
      </c>
    </row>
    <row r="13" spans="1:7">
      <c r="A13" s="5" t="s">
        <v>16</v>
      </c>
      <c r="B13" s="6">
        <v>1</v>
      </c>
      <c r="C13" s="7">
        <v>500000</v>
      </c>
      <c r="D13" s="7">
        <f>B13*C13</f>
        <v>500000</v>
      </c>
      <c r="E13" s="7">
        <f>D13</f>
        <v>500000</v>
      </c>
      <c r="F13" s="19">
        <v>45352</v>
      </c>
      <c r="G13" s="16"/>
    </row>
    <row r="14" spans="1:7">
      <c r="A14" s="5" t="s">
        <v>17</v>
      </c>
      <c r="B14" s="6">
        <v>1</v>
      </c>
      <c r="C14" s="7">
        <v>500000</v>
      </c>
      <c r="D14" s="7">
        <f>B14*C14</f>
        <v>500000</v>
      </c>
      <c r="E14" s="7">
        <f t="shared" ref="E14" si="1">D14</f>
        <v>500000</v>
      </c>
      <c r="F14" s="19">
        <v>46143</v>
      </c>
      <c r="G14" s="16"/>
    </row>
    <row r="15" spans="1:7">
      <c r="A15" s="8" t="s">
        <v>10</v>
      </c>
      <c r="B15" s="9"/>
      <c r="C15" s="10"/>
      <c r="D15" s="7">
        <f>SUM(D13:D14)</f>
        <v>1000000</v>
      </c>
      <c r="E15" s="11">
        <f>SUM(E13:E14)</f>
        <v>1000000</v>
      </c>
      <c r="F15" s="20"/>
    </row>
    <row r="16" spans="1:7">
      <c r="A16" s="2"/>
    </row>
    <row r="17" spans="1:7">
      <c r="A17" s="2" t="s">
        <v>18</v>
      </c>
    </row>
    <row r="18" spans="1:7">
      <c r="A18" s="3" t="s">
        <v>0</v>
      </c>
      <c r="B18" s="3" t="s">
        <v>1</v>
      </c>
      <c r="C18" s="4" t="s">
        <v>4</v>
      </c>
      <c r="D18" s="13" t="s">
        <v>21</v>
      </c>
      <c r="E18" s="15" t="s">
        <v>14</v>
      </c>
      <c r="F18" s="18" t="s">
        <v>5</v>
      </c>
      <c r="G18" s="13" t="s">
        <v>22</v>
      </c>
    </row>
    <row r="19" spans="1:7">
      <c r="A19" s="5" t="s">
        <v>19</v>
      </c>
      <c r="B19" s="6">
        <v>1</v>
      </c>
      <c r="C19" s="7">
        <v>280000</v>
      </c>
      <c r="D19" s="7">
        <f>B19*C19</f>
        <v>280000</v>
      </c>
      <c r="E19" s="7">
        <f>D19</f>
        <v>280000</v>
      </c>
      <c r="F19" s="19">
        <v>46213</v>
      </c>
      <c r="G19" s="14" t="s">
        <v>23</v>
      </c>
    </row>
    <row r="20" spans="1:7">
      <c r="A20" s="5" t="s">
        <v>20</v>
      </c>
      <c r="B20" s="6">
        <v>1</v>
      </c>
      <c r="C20" s="7">
        <v>150000</v>
      </c>
      <c r="D20" s="7">
        <f>B20*C20</f>
        <v>150000</v>
      </c>
      <c r="E20" s="7">
        <f>D20*0.75</f>
        <v>112500</v>
      </c>
      <c r="F20" s="19">
        <v>45597</v>
      </c>
      <c r="G20" s="14" t="s">
        <v>24</v>
      </c>
    </row>
    <row r="21" spans="1:7">
      <c r="A21" s="8" t="s">
        <v>10</v>
      </c>
      <c r="B21" s="9"/>
      <c r="C21" s="9"/>
      <c r="D21" s="7">
        <f>SUM(D19:D20)</f>
        <v>430000</v>
      </c>
      <c r="E21" s="11">
        <f>SUM(E19:E20)</f>
        <v>392500</v>
      </c>
      <c r="F21" s="20"/>
      <c r="G21" s="10"/>
    </row>
    <row r="23" spans="1:7">
      <c r="A23" s="2" t="s">
        <v>75</v>
      </c>
    </row>
    <row r="24" spans="1:7">
      <c r="A24" s="3" t="s">
        <v>0</v>
      </c>
      <c r="B24" s="13" t="s">
        <v>77</v>
      </c>
      <c r="C24" s="4"/>
      <c r="D24" s="13" t="s">
        <v>21</v>
      </c>
      <c r="E24" s="15" t="s">
        <v>14</v>
      </c>
      <c r="F24" s="18" t="s">
        <v>5</v>
      </c>
      <c r="G24" s="13" t="s">
        <v>22</v>
      </c>
    </row>
    <row r="25" spans="1:7">
      <c r="A25" s="5" t="s">
        <v>76</v>
      </c>
      <c r="B25" s="6">
        <v>1</v>
      </c>
      <c r="C25" s="7"/>
      <c r="D25" s="7">
        <v>250000</v>
      </c>
      <c r="E25" s="7">
        <f>D25</f>
        <v>250000</v>
      </c>
      <c r="F25" s="19">
        <v>46213</v>
      </c>
      <c r="G25" s="14"/>
    </row>
    <row r="26" spans="1:7">
      <c r="A26" s="8" t="s">
        <v>10</v>
      </c>
      <c r="B26" s="9"/>
      <c r="C26" s="9"/>
      <c r="D26" s="9"/>
      <c r="E26" s="11">
        <f>SUM(E25:E25)</f>
        <v>250000</v>
      </c>
      <c r="F26" s="20"/>
      <c r="G26" s="10"/>
    </row>
    <row r="27" spans="1:7">
      <c r="A27" s="2"/>
    </row>
    <row r="28" spans="1:7">
      <c r="E28" s="15" t="s">
        <v>25</v>
      </c>
      <c r="F28" s="21" t="s">
        <v>26</v>
      </c>
      <c r="G28" s="13" t="s">
        <v>22</v>
      </c>
    </row>
    <row r="29" spans="1:7">
      <c r="E29" s="22">
        <f>E9+E15+E21</f>
        <v>2542500</v>
      </c>
      <c r="F29" s="19">
        <v>46327</v>
      </c>
      <c r="G29" s="7"/>
    </row>
    <row r="30" spans="1:7">
      <c r="F30" s="1"/>
    </row>
    <row r="31" spans="1:7">
      <c r="F31" s="1"/>
    </row>
    <row r="32" spans="1:7">
      <c r="F32" s="1"/>
    </row>
    <row r="33" spans="1:7">
      <c r="E33" s="12"/>
      <c r="F33" s="20"/>
      <c r="G33" s="10"/>
    </row>
    <row r="34" spans="1:7">
      <c r="A34" s="2"/>
    </row>
  </sheetData>
  <mergeCells count="1">
    <mergeCell ref="A1:G1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45FB2-F658-451C-82E8-45F9E9FFE8C7}">
  <dimension ref="A1:F10"/>
  <sheetViews>
    <sheetView workbookViewId="0">
      <selection activeCell="B22" sqref="B22"/>
    </sheetView>
  </sheetViews>
  <sheetFormatPr defaultRowHeight="18.75"/>
  <cols>
    <col min="1" max="7" width="26.875" style="1" customWidth="1"/>
    <col min="8" max="16384" width="9" style="1"/>
  </cols>
  <sheetData>
    <row r="1" spans="1:6">
      <c r="A1" s="31" t="s">
        <v>61</v>
      </c>
      <c r="B1" s="32"/>
      <c r="C1" s="32"/>
      <c r="D1" s="32"/>
      <c r="E1" s="32"/>
      <c r="F1" s="32"/>
    </row>
    <row r="3" spans="1:6">
      <c r="A3" s="15" t="s">
        <v>60</v>
      </c>
      <c r="B3" s="13" t="s">
        <v>59</v>
      </c>
      <c r="C3" s="13" t="s">
        <v>58</v>
      </c>
      <c r="D3" s="13" t="s">
        <v>57</v>
      </c>
      <c r="E3" s="23" t="s">
        <v>56</v>
      </c>
      <c r="F3" s="13" t="s">
        <v>55</v>
      </c>
    </row>
    <row r="4" spans="1:6">
      <c r="A4" s="25" t="s">
        <v>54</v>
      </c>
      <c r="B4" s="25" t="s">
        <v>53</v>
      </c>
      <c r="C4" s="25" t="s">
        <v>53</v>
      </c>
      <c r="D4" s="25" t="s">
        <v>53</v>
      </c>
      <c r="E4" s="25" t="s">
        <v>53</v>
      </c>
      <c r="F4" s="26" t="s">
        <v>52</v>
      </c>
    </row>
    <row r="5" spans="1:6">
      <c r="A5" s="25" t="s">
        <v>51</v>
      </c>
      <c r="B5" s="26" t="s">
        <v>40</v>
      </c>
      <c r="C5" s="26" t="s">
        <v>50</v>
      </c>
      <c r="D5" s="26" t="s">
        <v>29</v>
      </c>
      <c r="E5" s="26" t="s">
        <v>49</v>
      </c>
      <c r="F5" s="26" t="s">
        <v>48</v>
      </c>
    </row>
    <row r="6" spans="1:6">
      <c r="A6" s="25" t="s">
        <v>47</v>
      </c>
      <c r="B6" s="26" t="s">
        <v>46</v>
      </c>
      <c r="C6" s="26" t="s">
        <v>45</v>
      </c>
      <c r="D6" s="26" t="s">
        <v>29</v>
      </c>
      <c r="E6" s="26" t="s">
        <v>44</v>
      </c>
      <c r="F6" s="26" t="s">
        <v>43</v>
      </c>
    </row>
    <row r="7" spans="1:6">
      <c r="A7" s="25" t="s">
        <v>42</v>
      </c>
      <c r="B7" s="26" t="s">
        <v>41</v>
      </c>
      <c r="C7" s="26" t="s">
        <v>40</v>
      </c>
      <c r="D7" s="26" t="s">
        <v>29</v>
      </c>
      <c r="E7" s="26" t="s">
        <v>39</v>
      </c>
      <c r="F7" s="26" t="s">
        <v>38</v>
      </c>
    </row>
    <row r="8" spans="1:6">
      <c r="A8" s="25" t="s">
        <v>37</v>
      </c>
      <c r="B8" s="26" t="s">
        <v>36</v>
      </c>
      <c r="C8" s="26" t="s">
        <v>35</v>
      </c>
      <c r="D8" s="26" t="s">
        <v>29</v>
      </c>
      <c r="E8" s="26" t="s">
        <v>34</v>
      </c>
      <c r="F8" s="26" t="s">
        <v>33</v>
      </c>
    </row>
    <row r="9" spans="1:6">
      <c r="A9" s="25" t="s">
        <v>32</v>
      </c>
      <c r="B9" s="26" t="s">
        <v>31</v>
      </c>
      <c r="C9" s="26" t="s">
        <v>30</v>
      </c>
      <c r="D9" s="26" t="s">
        <v>29</v>
      </c>
      <c r="E9" s="26" t="s">
        <v>28</v>
      </c>
      <c r="F9" s="26" t="s">
        <v>27</v>
      </c>
    </row>
    <row r="10" spans="1:6">
      <c r="C10" s="24"/>
      <c r="D10" s="24"/>
      <c r="E10" s="24"/>
    </row>
  </sheetData>
  <mergeCells count="1">
    <mergeCell ref="A1:F1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9F843-5E33-48FC-8A78-9345D2FA2218}">
  <dimension ref="A1:C16"/>
  <sheetViews>
    <sheetView workbookViewId="0">
      <selection activeCell="B23" sqref="B23"/>
    </sheetView>
  </sheetViews>
  <sheetFormatPr defaultRowHeight="18.75"/>
  <cols>
    <col min="1" max="4" width="26.875" style="1" customWidth="1"/>
    <col min="5" max="16384" width="9" style="1"/>
  </cols>
  <sheetData>
    <row r="1" spans="1:3">
      <c r="A1" s="31" t="s">
        <v>70</v>
      </c>
      <c r="B1" s="32"/>
      <c r="C1" s="32"/>
    </row>
    <row r="3" spans="1:3">
      <c r="A3" s="15" t="s">
        <v>71</v>
      </c>
      <c r="B3" s="13" t="s">
        <v>72</v>
      </c>
    </row>
    <row r="4" spans="1:3">
      <c r="A4" s="27" t="s">
        <v>63</v>
      </c>
      <c r="B4" s="28">
        <v>300</v>
      </c>
    </row>
    <row r="5" spans="1:3">
      <c r="A5" s="27" t="s">
        <v>64</v>
      </c>
      <c r="B5" s="28">
        <v>1000</v>
      </c>
    </row>
    <row r="6" spans="1:3">
      <c r="A6" s="27" t="s">
        <v>65</v>
      </c>
      <c r="B6" s="28">
        <f>SUM(B4:B5)</f>
        <v>1300</v>
      </c>
    </row>
    <row r="7" spans="1:3">
      <c r="C7" s="24"/>
    </row>
    <row r="8" spans="1:3">
      <c r="A8" s="15" t="s">
        <v>62</v>
      </c>
      <c r="B8" s="13" t="s">
        <v>72</v>
      </c>
    </row>
    <row r="9" spans="1:3">
      <c r="A9" s="27" t="s">
        <v>66</v>
      </c>
      <c r="B9" s="28">
        <v>400</v>
      </c>
    </row>
    <row r="10" spans="1:3">
      <c r="A10" s="27" t="s">
        <v>67</v>
      </c>
      <c r="B10" s="28">
        <v>300</v>
      </c>
    </row>
    <row r="11" spans="1:3">
      <c r="A11" s="27" t="s">
        <v>68</v>
      </c>
      <c r="B11" s="28">
        <v>100</v>
      </c>
    </row>
    <row r="12" spans="1:3">
      <c r="A12" s="27" t="s">
        <v>73</v>
      </c>
      <c r="B12" s="28">
        <v>100</v>
      </c>
    </row>
    <row r="13" spans="1:3">
      <c r="A13" s="27" t="s">
        <v>74</v>
      </c>
      <c r="B13" s="28">
        <v>100</v>
      </c>
    </row>
    <row r="14" spans="1:3">
      <c r="A14" s="27" t="s">
        <v>69</v>
      </c>
      <c r="B14" s="28">
        <v>300</v>
      </c>
    </row>
    <row r="15" spans="1:3">
      <c r="A15" s="27" t="s">
        <v>10</v>
      </c>
      <c r="B15" s="28">
        <f>SUM(B9:B14)</f>
        <v>1300</v>
      </c>
    </row>
    <row r="16" spans="1:3">
      <c r="A16"/>
      <c r="B16"/>
    </row>
  </sheetData>
  <mergeCells count="1">
    <mergeCell ref="A1:C1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資産台帳</vt:lpstr>
      <vt:lpstr>キャッシュフロー</vt:lpstr>
      <vt:lpstr>創業時資金計画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佐藤貴久</dc:creator>
  <cp:lastModifiedBy>佐藤貴久</cp:lastModifiedBy>
  <dcterms:created xsi:type="dcterms:W3CDTF">2026-07-13T08:34:18Z</dcterms:created>
  <dcterms:modified xsi:type="dcterms:W3CDTF">2026-07-14T05:02:19Z</dcterms:modified>
</cp:coreProperties>
</file>