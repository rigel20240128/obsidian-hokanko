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B6647771-912C-48D5-B54F-1B24AEDA89F5}" xr6:coauthVersionLast="47" xr6:coauthVersionMax="47" xr10:uidLastSave="{00000000-0000-0000-0000-000000000000}"/>
  <workbookProtection workbookAlgorithmName="SHA-512" workbookHashValue="VsygnIvnoY1TZcasF3jc6qe7LWqfkgJXr4PCmyvFv9xq319OlVav/57wY7HvsVz8IeZookHIA8oi255Q0pbGdQ==" workbookSaltValue="NwAaq4qpjzx/BPDQTs8bJw==" workbookSpinCount="100000" lockStructure="1"/>
  <bookViews>
    <workbookView xWindow="-120" yWindow="16080" windowWidth="29040" windowHeight="15720" xr2:uid="{00000000-000D-0000-FFFF-FFFF00000000}"/>
  </bookViews>
  <sheets>
    <sheet name="創業計画書" sheetId="14" r:id="rId1"/>
  </sheets>
  <definedNames>
    <definedName name="_AMO_UniqueIdentifier" hidden="1">"'4e749246-bbad-4375-8225-2d3139a3c98d'"</definedName>
    <definedName name="_xlnm.Print_Area" localSheetId="0">創業計画書!$A$1:$BZ$69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18" i="14" l="1"/>
  <c r="BD30" i="14"/>
  <c r="BV20" i="14" l="1"/>
  <c r="BV26" i="14"/>
  <c r="BD36" i="14" l="1"/>
  <c r="BV36" i="14" l="1"/>
  <c r="AZ54" i="14" l="1"/>
  <c r="AZ56" i="14" s="1"/>
  <c r="AT54" i="14"/>
  <c r="AT56" i="14" s="1"/>
</calcChain>
</file>

<file path=xl/sharedStrings.xml><?xml version="1.0" encoding="utf-8"?>
<sst xmlns="http://schemas.openxmlformats.org/spreadsheetml/2006/main" count="317" uniqueCount="197">
  <si>
    <t>年</t>
    <rPh sb="0" eb="1">
      <t>ネン</t>
    </rPh>
    <phoneticPr fontId="1"/>
  </si>
  <si>
    <t>月</t>
    <rPh sb="0" eb="1">
      <t>ツキ</t>
    </rPh>
    <phoneticPr fontId="1"/>
  </si>
  <si>
    <t>）</t>
    <phoneticPr fontId="1"/>
  </si>
  <si>
    <t>その他</t>
    <rPh sb="2" eb="3">
      <t>タ</t>
    </rPh>
    <phoneticPr fontId="1"/>
  </si>
  <si>
    <t>％</t>
    <phoneticPr fontId="1"/>
  </si>
  <si>
    <t>日〆</t>
    <rPh sb="0" eb="1">
      <t>ニチ</t>
    </rPh>
    <phoneticPr fontId="1"/>
  </si>
  <si>
    <t>月、</t>
    <rPh sb="0" eb="1">
      <t>ツキ</t>
    </rPh>
    <phoneticPr fontId="1"/>
  </si>
  <si>
    <t>設備資金</t>
    <rPh sb="0" eb="2">
      <t>セツビ</t>
    </rPh>
    <rPh sb="2" eb="4">
      <t>シキン</t>
    </rPh>
    <phoneticPr fontId="1"/>
  </si>
  <si>
    <t>支払利息</t>
    <rPh sb="0" eb="2">
      <t>シハライ</t>
    </rPh>
    <rPh sb="2" eb="4">
      <t>リソク</t>
    </rPh>
    <phoneticPr fontId="1"/>
  </si>
  <si>
    <t>運転資金</t>
    <rPh sb="0" eb="2">
      <t>ウンテン</t>
    </rPh>
    <rPh sb="2" eb="4">
      <t>シキン</t>
    </rPh>
    <phoneticPr fontId="1"/>
  </si>
  <si>
    <t>自己資金</t>
    <rPh sb="0" eb="2">
      <t>ジコ</t>
    </rPh>
    <rPh sb="2" eb="4">
      <t>シキン</t>
    </rPh>
    <phoneticPr fontId="1"/>
  </si>
  <si>
    <t>月）</t>
    <rPh sb="0" eb="1">
      <t>ツキ</t>
    </rPh>
    <phoneticPr fontId="1"/>
  </si>
  <si>
    <t>日支払（ボーナスの支給月</t>
    <rPh sb="0" eb="1">
      <t>ニチ</t>
    </rPh>
    <rPh sb="1" eb="3">
      <t>シハライ</t>
    </rPh>
    <rPh sb="9" eb="11">
      <t>シキュウ</t>
    </rPh>
    <rPh sb="11" eb="12">
      <t>ヅキ</t>
    </rPh>
    <phoneticPr fontId="1"/>
  </si>
  <si>
    <t>人件費の支払</t>
    <rPh sb="0" eb="3">
      <t>ジンケンヒ</t>
    </rPh>
    <rPh sb="4" eb="6">
      <t>シハライ</t>
    </rPh>
    <phoneticPr fontId="1"/>
  </si>
  <si>
    <t>万円</t>
    <rPh sb="0" eb="2">
      <t>マンエン</t>
    </rPh>
    <phoneticPr fontId="1"/>
  </si>
  <si>
    <t>人</t>
    <rPh sb="0" eb="1">
      <t>ニン</t>
    </rPh>
    <phoneticPr fontId="1"/>
  </si>
  <si>
    <t>常勤役員の人数
（法人の方のみ）</t>
    <rPh sb="0" eb="2">
      <t>ジョウキン</t>
    </rPh>
    <rPh sb="2" eb="4">
      <t>ヤクイン</t>
    </rPh>
    <rPh sb="5" eb="7">
      <t>ニンズウ</t>
    </rPh>
    <rPh sb="9" eb="11">
      <t>ホウジン</t>
    </rPh>
    <rPh sb="12" eb="13">
      <t>カタ</t>
    </rPh>
    <phoneticPr fontId="1"/>
  </si>
  <si>
    <t>販売先</t>
    <rPh sb="0" eb="3">
      <t>ハンバイサキ</t>
    </rPh>
    <phoneticPr fontId="1"/>
  </si>
  <si>
    <t>回収・支払の条件</t>
    <rPh sb="0" eb="2">
      <t>カイシュウ</t>
    </rPh>
    <rPh sb="3" eb="5">
      <t>シハライ</t>
    </rPh>
    <rPh sb="6" eb="8">
      <t>ジョウケン</t>
    </rPh>
    <phoneticPr fontId="1"/>
  </si>
  <si>
    <t>掛取引
の割合</t>
    <rPh sb="0" eb="1">
      <t>カ</t>
    </rPh>
    <rPh sb="1" eb="3">
      <t>トリヒキ</t>
    </rPh>
    <rPh sb="5" eb="7">
      <t>ワリアイ</t>
    </rPh>
    <phoneticPr fontId="1"/>
  </si>
  <si>
    <t>取引先名</t>
    <rPh sb="0" eb="2">
      <t>トリヒキ</t>
    </rPh>
    <rPh sb="2" eb="3">
      <t>サキ</t>
    </rPh>
    <rPh sb="3" eb="4">
      <t>メイ</t>
    </rPh>
    <phoneticPr fontId="1"/>
  </si>
  <si>
    <t>取得資格</t>
    <rPh sb="0" eb="2">
      <t>シュトク</t>
    </rPh>
    <rPh sb="2" eb="4">
      <t>シカク</t>
    </rPh>
    <phoneticPr fontId="1"/>
  </si>
  <si>
    <t>過去の
事業経験</t>
    <rPh sb="0" eb="2">
      <t>カコ</t>
    </rPh>
    <rPh sb="4" eb="6">
      <t>ジギョウ</t>
    </rPh>
    <rPh sb="6" eb="8">
      <t>ケイケン</t>
    </rPh>
    <phoneticPr fontId="1"/>
  </si>
  <si>
    <t>％）</t>
    <phoneticPr fontId="1"/>
  </si>
  <si>
    <t>（売上シェア</t>
    <rPh sb="1" eb="3">
      <t>ウリアゲ</t>
    </rPh>
    <phoneticPr fontId="1"/>
  </si>
  <si>
    <t>年　月</t>
    <rPh sb="0" eb="1">
      <t>ネン</t>
    </rPh>
    <rPh sb="2" eb="3">
      <t>ガツ</t>
    </rPh>
    <phoneticPr fontId="1"/>
  </si>
  <si>
    <t>お名前</t>
    <rPh sb="1" eb="3">
      <t>ナマエ</t>
    </rPh>
    <phoneticPr fontId="1"/>
  </si>
  <si>
    <t>☆　お手数ですが、可能な範囲でご記入いただき、借入申込書に添えてご提出ください。</t>
    <rPh sb="3" eb="5">
      <t>テスウ</t>
    </rPh>
    <rPh sb="9" eb="11">
      <t>カノウ</t>
    </rPh>
    <rPh sb="12" eb="14">
      <t>ハンイ</t>
    </rPh>
    <rPh sb="16" eb="18">
      <t>キニュウ</t>
    </rPh>
    <rPh sb="23" eb="25">
      <t>カリイレ</t>
    </rPh>
    <rPh sb="25" eb="27">
      <t>モウシコミ</t>
    </rPh>
    <rPh sb="27" eb="28">
      <t>ショ</t>
    </rPh>
    <rPh sb="29" eb="30">
      <t>ソ</t>
    </rPh>
    <rPh sb="33" eb="35">
      <t>テイシュツ</t>
    </rPh>
    <phoneticPr fontId="1"/>
  </si>
  <si>
    <t>☆　この書類は、ご面談にかかる時間を短縮するために利用させていただきます。</t>
    <rPh sb="4" eb="6">
      <t>ショルイ</t>
    </rPh>
    <rPh sb="9" eb="11">
      <t>メンダン</t>
    </rPh>
    <rPh sb="15" eb="17">
      <t>ジカン</t>
    </rPh>
    <rPh sb="18" eb="20">
      <t>タンシュク</t>
    </rPh>
    <rPh sb="25" eb="27">
      <t>リヨウ</t>
    </rPh>
    <phoneticPr fontId="1"/>
  </si>
  <si>
    <t>日作成〕</t>
    <rPh sb="0" eb="1">
      <t>ニチ</t>
    </rPh>
    <rPh sb="1" eb="3">
      <t>サクセイ</t>
    </rPh>
    <phoneticPr fontId="1"/>
  </si>
  <si>
    <t>①－②－③</t>
    <phoneticPr fontId="1"/>
  </si>
  <si>
    <t>（注）個人営業の場合、事業主分は含めません。</t>
    <rPh sb="1" eb="2">
      <t>チュウ</t>
    </rPh>
    <rPh sb="3" eb="5">
      <t>コジン</t>
    </rPh>
    <rPh sb="5" eb="7">
      <t>エイギョウ</t>
    </rPh>
    <rPh sb="8" eb="10">
      <t>バアイ</t>
    </rPh>
    <rPh sb="11" eb="14">
      <t>ジギョウヌシ</t>
    </rPh>
    <rPh sb="14" eb="15">
      <t>ブン</t>
    </rPh>
    <rPh sb="16" eb="17">
      <t>フク</t>
    </rPh>
    <phoneticPr fontId="1"/>
  </si>
  <si>
    <t>利益</t>
    <rPh sb="0" eb="2">
      <t>リエキ</t>
    </rPh>
    <phoneticPr fontId="1"/>
  </si>
  <si>
    <t>合計③</t>
    <rPh sb="0" eb="2">
      <t>ゴウケイ</t>
    </rPh>
    <phoneticPr fontId="1"/>
  </si>
  <si>
    <t>家賃</t>
    <rPh sb="0" eb="2">
      <t>ヤチン</t>
    </rPh>
    <phoneticPr fontId="1"/>
  </si>
  <si>
    <r>
      <t>人件費</t>
    </r>
    <r>
      <rPr>
        <sz val="7"/>
        <color theme="1"/>
        <rFont val="ＭＳ 明朝"/>
        <family val="1"/>
        <charset val="128"/>
      </rPr>
      <t>（注）</t>
    </r>
    <rPh sb="0" eb="3">
      <t>ジンケンヒ</t>
    </rPh>
    <rPh sb="4" eb="5">
      <t>チュウ</t>
    </rPh>
    <phoneticPr fontId="1"/>
  </si>
  <si>
    <t>経費</t>
    <rPh sb="0" eb="2">
      <t>ケイヒ</t>
    </rPh>
    <phoneticPr fontId="1"/>
  </si>
  <si>
    <t>売上高①</t>
    <rPh sb="0" eb="2">
      <t>ウリアゲ</t>
    </rPh>
    <rPh sb="2" eb="3">
      <t>ダカ</t>
    </rPh>
    <phoneticPr fontId="1"/>
  </si>
  <si>
    <t>創業当初</t>
    <rPh sb="0" eb="2">
      <t>ソウギョウ</t>
    </rPh>
    <rPh sb="2" eb="4">
      <t>トウショ</t>
    </rPh>
    <phoneticPr fontId="1"/>
  </si>
  <si>
    <t>合　　計</t>
    <rPh sb="0" eb="1">
      <t>ゴウ</t>
    </rPh>
    <rPh sb="3" eb="4">
      <t>ケイ</t>
    </rPh>
    <phoneticPr fontId="1"/>
  </si>
  <si>
    <t>（内訳）</t>
    <rPh sb="1" eb="3">
      <t>ウチワケ</t>
    </rPh>
    <phoneticPr fontId="1"/>
  </si>
  <si>
    <t>商品仕入、経費支払資金など</t>
    <rPh sb="0" eb="2">
      <t>ショウヒン</t>
    </rPh>
    <rPh sb="2" eb="4">
      <t>シイ</t>
    </rPh>
    <rPh sb="5" eb="7">
      <t>ケイヒ</t>
    </rPh>
    <rPh sb="7" eb="9">
      <t>シハライ</t>
    </rPh>
    <rPh sb="9" eb="11">
      <t>シキン</t>
    </rPh>
    <phoneticPr fontId="1"/>
  </si>
  <si>
    <t>（内訳・返済方法）</t>
    <rPh sb="1" eb="3">
      <t>ウチワケ</t>
    </rPh>
    <rPh sb="4" eb="6">
      <t>ヘンサイ</t>
    </rPh>
    <rPh sb="6" eb="8">
      <t>ホウホウ</t>
    </rPh>
    <phoneticPr fontId="1"/>
  </si>
  <si>
    <t>他の金融機関等からの借入</t>
    <rPh sb="0" eb="1">
      <t>タ</t>
    </rPh>
    <rPh sb="2" eb="4">
      <t>キンユウ</t>
    </rPh>
    <rPh sb="4" eb="6">
      <t>キカン</t>
    </rPh>
    <rPh sb="6" eb="7">
      <t>トウ</t>
    </rPh>
    <rPh sb="10" eb="12">
      <t>カリイレ</t>
    </rPh>
    <phoneticPr fontId="1"/>
  </si>
  <si>
    <t>３　取扱商品・サービス</t>
    <rPh sb="2" eb="4">
      <t>トリアツカイ</t>
    </rPh>
    <rPh sb="4" eb="6">
      <t>ショウヒン</t>
    </rPh>
    <phoneticPr fontId="1"/>
  </si>
  <si>
    <t>からの借入</t>
    <rPh sb="3" eb="5">
      <t>カリイレ</t>
    </rPh>
    <phoneticPr fontId="1"/>
  </si>
  <si>
    <t>日本政策金融公庫　国民生活事業</t>
    <rPh sb="0" eb="2">
      <t>ニッポン</t>
    </rPh>
    <rPh sb="2" eb="4">
      <t>セイサク</t>
    </rPh>
    <rPh sb="4" eb="6">
      <t>キンユウ</t>
    </rPh>
    <rPh sb="6" eb="8">
      <t>コウコ</t>
    </rPh>
    <rPh sb="9" eb="11">
      <t>コクミン</t>
    </rPh>
    <rPh sb="11" eb="13">
      <t>セイカツ</t>
    </rPh>
    <rPh sb="13" eb="15">
      <t>ジギョウ</t>
    </rPh>
    <phoneticPr fontId="1"/>
  </si>
  <si>
    <t>親、兄弟、知人、友人等からの借入</t>
    <rPh sb="0" eb="1">
      <t>オヤ</t>
    </rPh>
    <rPh sb="2" eb="4">
      <t>キョウダイ</t>
    </rPh>
    <rPh sb="5" eb="7">
      <t>チジン</t>
    </rPh>
    <rPh sb="8" eb="10">
      <t>ユウジン</t>
    </rPh>
    <rPh sb="10" eb="11">
      <t>トウ</t>
    </rPh>
    <rPh sb="14" eb="16">
      <t>カリイレ</t>
    </rPh>
    <phoneticPr fontId="1"/>
  </si>
  <si>
    <t>金　額</t>
    <rPh sb="0" eb="1">
      <t>キン</t>
    </rPh>
    <rPh sb="2" eb="3">
      <t>ガク</t>
    </rPh>
    <phoneticPr fontId="1"/>
  </si>
  <si>
    <t>調達の方法</t>
    <rPh sb="0" eb="2">
      <t>チョウタツ</t>
    </rPh>
    <rPh sb="3" eb="5">
      <t>ホウホウ</t>
    </rPh>
    <phoneticPr fontId="1"/>
  </si>
  <si>
    <t>必要な資金</t>
    <rPh sb="0" eb="2">
      <t>ヒツヨウ</t>
    </rPh>
    <rPh sb="3" eb="5">
      <t>シキン</t>
    </rPh>
    <phoneticPr fontId="1"/>
  </si>
  <si>
    <t>創　業　計　画　書</t>
    <rPh sb="0" eb="1">
      <t>キズ</t>
    </rPh>
    <rPh sb="2" eb="3">
      <t>ギョウ</t>
    </rPh>
    <rPh sb="4" eb="5">
      <t>ケイ</t>
    </rPh>
    <rPh sb="6" eb="7">
      <t>ガ</t>
    </rPh>
    <rPh sb="8" eb="9">
      <t>ショ</t>
    </rPh>
    <phoneticPr fontId="1"/>
  </si>
  <si>
    <t>フリガナ</t>
    <phoneticPr fontId="1"/>
  </si>
  <si>
    <t>知的財産権等</t>
    <rPh sb="0" eb="2">
      <t>チテキ</t>
    </rPh>
    <rPh sb="2" eb="5">
      <t>ザイサンケン</t>
    </rPh>
    <rPh sb="5" eb="6">
      <t>トウ</t>
    </rPh>
    <phoneticPr fontId="1"/>
  </si>
  <si>
    <r>
      <t>１　創業の動機</t>
    </r>
    <r>
      <rPr>
        <sz val="9"/>
        <color theme="1"/>
        <rFont val="ＭＳ ゴシック"/>
        <family val="3"/>
        <charset val="128"/>
      </rPr>
      <t>（創業されるのは、どのような目的、動機からですか。）</t>
    </r>
    <rPh sb="2" eb="4">
      <t>ソウギョウ</t>
    </rPh>
    <rPh sb="5" eb="7">
      <t>ドウキ</t>
    </rPh>
    <rPh sb="8" eb="10">
      <t>ソウギョウ</t>
    </rPh>
    <rPh sb="21" eb="23">
      <t>モクテキ</t>
    </rPh>
    <rPh sb="24" eb="26">
      <t>ドウキ</t>
    </rPh>
    <phoneticPr fontId="1"/>
  </si>
  <si>
    <t>万円</t>
    <phoneticPr fontId="1"/>
  </si>
  <si>
    <t>売上原価②
（仕入高）</t>
    <phoneticPr fontId="1"/>
  </si>
  <si>
    <t>（日本政策金融公庫　国民生活事業）</t>
    <phoneticPr fontId="1"/>
  </si>
  <si>
    <r>
      <t>２　経営者の略歴等</t>
    </r>
    <r>
      <rPr>
        <sz val="9"/>
        <color theme="1"/>
        <rFont val="ＭＳ ゴシック"/>
        <family val="3"/>
        <charset val="128"/>
      </rPr>
      <t>（略歴については、勤務先名だけではなく、担当業務や役職、身につけた技能等についても記載してください。）</t>
    </r>
    <rPh sb="2" eb="5">
      <t>ケイエイシャ</t>
    </rPh>
    <rPh sb="6" eb="8">
      <t>リャクレキ</t>
    </rPh>
    <rPh sb="8" eb="9">
      <t>トウ</t>
    </rPh>
    <rPh sb="10" eb="12">
      <t>リャクレキ</t>
    </rPh>
    <rPh sb="18" eb="21">
      <t>キンムサキ</t>
    </rPh>
    <rPh sb="21" eb="22">
      <t>メイ</t>
    </rPh>
    <rPh sb="29" eb="31">
      <t>タントウ</t>
    </rPh>
    <rPh sb="31" eb="33">
      <t>ギョウム</t>
    </rPh>
    <rPh sb="34" eb="36">
      <t>ヤクショク</t>
    </rPh>
    <rPh sb="37" eb="38">
      <t>ミ</t>
    </rPh>
    <rPh sb="42" eb="44">
      <t>ギノウ</t>
    </rPh>
    <rPh sb="44" eb="45">
      <t>トウ</t>
    </rPh>
    <rPh sb="50" eb="52">
      <t>キサイ</t>
    </rPh>
    <phoneticPr fontId="1"/>
  </si>
  <si>
    <t>（うち家族従業員）</t>
    <phoneticPr fontId="1"/>
  </si>
  <si>
    <t>人</t>
    <rPh sb="0" eb="1">
      <t>ヒト</t>
    </rPh>
    <phoneticPr fontId="1"/>
  </si>
  <si>
    <t>（うちパート従業員）</t>
    <phoneticPr fontId="1"/>
  </si>
  <si>
    <r>
      <t>☆　</t>
    </r>
    <r>
      <rPr>
        <b/>
        <u/>
        <sz val="10"/>
        <color theme="1"/>
        <rFont val="ＭＳ ゴシック"/>
        <family val="3"/>
        <charset val="128"/>
      </rPr>
      <t>この書類に代えて、お客さまご自身が作成された計画書をご提出いただいても結構です。</t>
    </r>
    <rPh sb="4" eb="6">
      <t>ショルイ</t>
    </rPh>
    <rPh sb="7" eb="8">
      <t>カ</t>
    </rPh>
    <rPh sb="12" eb="13">
      <t>キャク</t>
    </rPh>
    <rPh sb="16" eb="18">
      <t>ジシン</t>
    </rPh>
    <rPh sb="19" eb="21">
      <t>サクセイ</t>
    </rPh>
    <rPh sb="24" eb="27">
      <t>ケイカクショ</t>
    </rPh>
    <rPh sb="29" eb="31">
      <t>テイシュツ</t>
    </rPh>
    <rPh sb="37" eb="39">
      <t>ケッコウ</t>
    </rPh>
    <phoneticPr fontId="1"/>
  </si>
  <si>
    <r>
      <t>　　</t>
    </r>
    <r>
      <rPr>
        <b/>
        <u/>
        <sz val="10"/>
        <color theme="1"/>
        <rFont val="ＭＳ ゴシック"/>
        <family val="3"/>
        <charset val="128"/>
      </rPr>
      <t>なお、本書類はお返しできませんので、あらかじめご了承ください。</t>
    </r>
    <rPh sb="5" eb="6">
      <t>ホン</t>
    </rPh>
    <rPh sb="6" eb="8">
      <t>ショルイ</t>
    </rPh>
    <rPh sb="10" eb="11">
      <t>カエ</t>
    </rPh>
    <rPh sb="26" eb="28">
      <t>リョウショウ</t>
    </rPh>
    <phoneticPr fontId="1"/>
  </si>
  <si>
    <t>従業員数
（３ヵ月以上継続雇用者※）</t>
    <rPh sb="0" eb="3">
      <t>ジュウギョウイン</t>
    </rPh>
    <rPh sb="3" eb="4">
      <t>スウ</t>
    </rPh>
    <rPh sb="8" eb="9">
      <t>ゲツ</t>
    </rPh>
    <rPh sb="9" eb="11">
      <t>イジョウ</t>
    </rPh>
    <rPh sb="11" eb="13">
      <t>ケイゾク</t>
    </rPh>
    <rPh sb="13" eb="16">
      <t>コヨウシャ</t>
    </rPh>
    <phoneticPr fontId="1"/>
  </si>
  <si>
    <t>※</t>
    <phoneticPr fontId="1"/>
  </si>
  <si>
    <t>創業に際して、３ヵ月以上継続雇用を予定している従業員数を記入してください。</t>
    <rPh sb="0" eb="2">
      <t>ソウギョウ</t>
    </rPh>
    <rPh sb="3" eb="4">
      <t>サイ</t>
    </rPh>
    <rPh sb="9" eb="12">
      <t>ゲツイジョウ</t>
    </rPh>
    <rPh sb="12" eb="14">
      <t>ケイゾク</t>
    </rPh>
    <rPh sb="14" eb="16">
      <t>コヨウ</t>
    </rPh>
    <rPh sb="17" eb="19">
      <t>ヨテイ</t>
    </rPh>
    <rPh sb="23" eb="26">
      <t>ジュウギョウイン</t>
    </rPh>
    <rPh sb="26" eb="27">
      <t>スウ</t>
    </rPh>
    <rPh sb="28" eb="30">
      <t>キニュウ</t>
    </rPh>
    <phoneticPr fontId="1"/>
  </si>
  <si>
    <t>店舗、工場、機械、車両など</t>
    <rPh sb="0" eb="2">
      <t>テンポ</t>
    </rPh>
    <rPh sb="3" eb="5">
      <t>コウジョウ</t>
    </rPh>
    <rPh sb="6" eb="8">
      <t>キカイ</t>
    </rPh>
    <rPh sb="9" eb="11">
      <t>シャリョウ</t>
    </rPh>
    <phoneticPr fontId="1"/>
  </si>
  <si>
    <t>見積先</t>
    <rPh sb="0" eb="2">
      <t>ミツモリ</t>
    </rPh>
    <rPh sb="2" eb="3">
      <t>サキ</t>
    </rPh>
    <phoneticPr fontId="1"/>
  </si>
  <si>
    <t>取扱商品
・サービス
の内容</t>
    <rPh sb="0" eb="2">
      <t>トリアツカイ</t>
    </rPh>
    <rPh sb="2" eb="4">
      <t>ショウヒン</t>
    </rPh>
    <rPh sb="12" eb="14">
      <t>ナイヨウ</t>
    </rPh>
    <phoneticPr fontId="1"/>
  </si>
  <si>
    <t>売上高、売上原価（仕入高）、経費を計算された根拠をご記入ください。</t>
    <rPh sb="0" eb="2">
      <t>ウリアゲ</t>
    </rPh>
    <rPh sb="2" eb="3">
      <t>ダカ</t>
    </rPh>
    <rPh sb="4" eb="6">
      <t>ウリアゲ</t>
    </rPh>
    <rPh sb="6" eb="8">
      <t>ゲンカ</t>
    </rPh>
    <rPh sb="9" eb="11">
      <t>シイレ</t>
    </rPh>
    <rPh sb="11" eb="12">
      <t>ダカ</t>
    </rPh>
    <rPh sb="14" eb="16">
      <t>ケイヒ</t>
    </rPh>
    <rPh sb="17" eb="19">
      <t>ケイサン</t>
    </rPh>
    <rPh sb="22" eb="24">
      <t>コンキョ</t>
    </rPh>
    <rPh sb="26" eb="28">
      <t>キニュウ</t>
    </rPh>
    <phoneticPr fontId="1"/>
  </si>
  <si>
    <t>①</t>
    <phoneticPr fontId="1"/>
  </si>
  <si>
    <t>②</t>
    <phoneticPr fontId="1"/>
  </si>
  <si>
    <t>③</t>
    <phoneticPr fontId="1"/>
  </si>
  <si>
    <t>内　容</t>
    <phoneticPr fontId="1"/>
  </si>
  <si>
    <t>お借入先名</t>
    <rPh sb="1" eb="3">
      <t>カリイレ</t>
    </rPh>
    <rPh sb="3" eb="4">
      <t>サキ</t>
    </rPh>
    <rPh sb="4" eb="5">
      <t>メイ</t>
    </rPh>
    <phoneticPr fontId="1"/>
  </si>
  <si>
    <t>お使いみち</t>
    <rPh sb="1" eb="2">
      <t>ツカ</t>
    </rPh>
    <phoneticPr fontId="1"/>
  </si>
  <si>
    <t>お借入残高</t>
    <rPh sb="1" eb="3">
      <t>カリイレ</t>
    </rPh>
    <rPh sb="3" eb="5">
      <t>ザンダカ</t>
    </rPh>
    <phoneticPr fontId="1"/>
  </si>
  <si>
    <t>年間返済額</t>
    <rPh sb="0" eb="2">
      <t>ネンカン</t>
    </rPh>
    <rPh sb="2" eb="4">
      <t>ヘンサイ</t>
    </rPh>
    <rPh sb="4" eb="5">
      <t>ガク</t>
    </rPh>
    <phoneticPr fontId="1"/>
  </si>
  <si>
    <t>事業</t>
    <rPh sb="0" eb="2">
      <t>ジギョウ</t>
    </rPh>
    <phoneticPr fontId="1"/>
  </si>
  <si>
    <t>住宅</t>
    <rPh sb="0" eb="2">
      <t>ジュウタク</t>
    </rPh>
    <phoneticPr fontId="1"/>
  </si>
  <si>
    <t>車</t>
    <rPh sb="0" eb="1">
      <t>クルマ</t>
    </rPh>
    <phoneticPr fontId="1"/>
  </si>
  <si>
    <t>教育</t>
    <rPh sb="0" eb="2">
      <t>キョウイク</t>
    </rPh>
    <phoneticPr fontId="1"/>
  </si>
  <si>
    <t>カード</t>
    <phoneticPr fontId="1"/>
  </si>
  <si>
    <t>カード</t>
    <phoneticPr fontId="1"/>
  </si>
  <si>
    <t>特になし</t>
    <rPh sb="0" eb="1">
      <t>トク</t>
    </rPh>
    <phoneticPr fontId="1"/>
  </si>
  <si>
    <t>有</t>
    <rPh sb="0" eb="1">
      <t>アリ</t>
    </rPh>
    <phoneticPr fontId="1"/>
  </si>
  <si>
    <t>（</t>
    <phoneticPr fontId="1"/>
  </si>
  <si>
    <t>（</t>
    <phoneticPr fontId="1"/>
  </si>
  <si>
    <t>事業を経営していたことはない。</t>
    <rPh sb="0" eb="2">
      <t>ジギョウ</t>
    </rPh>
    <rPh sb="3" eb="5">
      <t>ケイエイ</t>
    </rPh>
    <phoneticPr fontId="1"/>
  </si>
  <si>
    <t>事業を経営していたことがあり、現在もその事業を続けている。</t>
    <rPh sb="0" eb="2">
      <t>ジギョウ</t>
    </rPh>
    <rPh sb="3" eb="5">
      <t>ケイエイ</t>
    </rPh>
    <rPh sb="15" eb="17">
      <t>ゲンザイ</t>
    </rPh>
    <rPh sb="20" eb="22">
      <t>ジギョウ</t>
    </rPh>
    <rPh sb="23" eb="24">
      <t>ツヅ</t>
    </rPh>
    <phoneticPr fontId="1"/>
  </si>
  <si>
    <t>事業を経営していたことがあるが、既にその事業をやめている。</t>
    <rPh sb="0" eb="2">
      <t>ジギョウ</t>
    </rPh>
    <rPh sb="3" eb="5">
      <t>ケイエイ</t>
    </rPh>
    <rPh sb="16" eb="17">
      <t>スデ</t>
    </rPh>
    <rPh sb="20" eb="22">
      <t>ジギョウ</t>
    </rPh>
    <phoneticPr fontId="1"/>
  </si>
  <si>
    <t>）</t>
    <phoneticPr fontId="1"/>
  </si>
  <si>
    <t>申請中</t>
    <phoneticPr fontId="1"/>
  </si>
  <si>
    <t>登録済</t>
    <phoneticPr fontId="1"/>
  </si>
  <si>
    <t>番号等</t>
    <rPh sb="0" eb="2">
      <t>バンゴウ</t>
    </rPh>
    <rPh sb="2" eb="3">
      <t>ナド</t>
    </rPh>
    <phoneticPr fontId="1"/>
  </si>
  <si>
    <t>人</t>
    <phoneticPr fontId="1"/>
  </si>
  <si>
    <t>年</t>
    <rPh sb="0" eb="1">
      <t>ネン</t>
    </rPh>
    <phoneticPr fontId="1"/>
  </si>
  <si>
    <t>月頃）</t>
    <rPh sb="0" eb="1">
      <t>ガツ</t>
    </rPh>
    <rPh sb="1" eb="2">
      <t>ゴロ</t>
    </rPh>
    <phoneticPr fontId="1"/>
  </si>
  <si>
    <t>〔令和</t>
    <rPh sb="1" eb="2">
      <t>レイ</t>
    </rPh>
    <rPh sb="2" eb="3">
      <t>ワ</t>
    </rPh>
    <phoneticPr fontId="1"/>
  </si>
  <si>
    <t>これまでのご経験や事業内容の詳細が分かる計画書など、参考となる資料がございましたら、併せてご提出ください。</t>
    <rPh sb="6" eb="8">
      <t>ケイケン</t>
    </rPh>
    <rPh sb="42" eb="43">
      <t>アワ</t>
    </rPh>
    <phoneticPr fontId="1"/>
  </si>
  <si>
    <t>所在地等（市区町村）</t>
    <phoneticPr fontId="1"/>
  </si>
  <si>
    <t>うち手形割合</t>
    <phoneticPr fontId="1"/>
  </si>
  <si>
    <t>手形の
サイト</t>
    <phoneticPr fontId="1"/>
  </si>
  <si>
    <t>日〆</t>
    <phoneticPr fontId="1"/>
  </si>
  <si>
    <t>日回収</t>
    <phoneticPr fontId="1"/>
  </si>
  <si>
    <t>日</t>
    <rPh sb="0" eb="1">
      <t>ニチ</t>
    </rPh>
    <phoneticPr fontId="1"/>
  </si>
  <si>
    <t>仕入先</t>
    <phoneticPr fontId="1"/>
  </si>
  <si>
    <t>日支払</t>
    <rPh sb="1" eb="3">
      <t>シハライ</t>
    </rPh>
    <phoneticPr fontId="1"/>
  </si>
  <si>
    <t>外注先</t>
    <phoneticPr fontId="1"/>
  </si>
  <si>
    <t>（事業内容：</t>
    <phoneticPr fontId="1"/>
  </si>
  <si>
    <t>）</t>
    <phoneticPr fontId="1"/>
  </si>
  <si>
    <t>（やめた時期：</t>
    <phoneticPr fontId="1"/>
  </si>
  <si>
    <t>年</t>
    <rPh sb="0" eb="1">
      <t>ネン</t>
    </rPh>
    <phoneticPr fontId="1"/>
  </si>
  <si>
    <t>月</t>
    <rPh sb="0" eb="1">
      <t>ガツ</t>
    </rPh>
    <phoneticPr fontId="1"/>
  </si>
  <si>
    <t>客単価（飲食・小売等）</t>
    <rPh sb="0" eb="3">
      <t>キャクタンカ</t>
    </rPh>
    <rPh sb="4" eb="6">
      <t>インショク</t>
    </rPh>
    <rPh sb="7" eb="9">
      <t>コウリ</t>
    </rPh>
    <rPh sb="9" eb="10">
      <t>トウ</t>
    </rPh>
    <phoneticPr fontId="1"/>
  </si>
  <si>
    <t>円</t>
    <rPh sb="0" eb="1">
      <t>エン</t>
    </rPh>
    <phoneticPr fontId="1"/>
  </si>
  <si>
    <t>受注（販売）単価（建設・製造等）</t>
    <rPh sb="0" eb="2">
      <t>ジュチュウ</t>
    </rPh>
    <rPh sb="3" eb="5">
      <t>ハンバイ</t>
    </rPh>
    <rPh sb="6" eb="8">
      <t>タンカ</t>
    </rPh>
    <rPh sb="9" eb="11">
      <t>ケンセツ</t>
    </rPh>
    <rPh sb="12" eb="14">
      <t>セイゾウ</t>
    </rPh>
    <rPh sb="14" eb="15">
      <t>トウ</t>
    </rPh>
    <phoneticPr fontId="1"/>
  </si>
  <si>
    <t>～</t>
    <phoneticPr fontId="1"/>
  </si>
  <si>
    <t>営業日数（月）（飲食・小売等）</t>
    <rPh sb="0" eb="4">
      <t>エイギ</t>
    </rPh>
    <rPh sb="5" eb="6">
      <t>ツキ</t>
    </rPh>
    <rPh sb="8" eb="10">
      <t>インショク</t>
    </rPh>
    <rPh sb="11" eb="13">
      <t>コウ</t>
    </rPh>
    <rPh sb="13" eb="14">
      <t>トウ</t>
    </rPh>
    <phoneticPr fontId="1"/>
  </si>
  <si>
    <t>定休日（飲食・小売等）</t>
    <rPh sb="0" eb="3">
      <t>テイキュウビ</t>
    </rPh>
    <phoneticPr fontId="1"/>
  </si>
  <si>
    <t>営業時間（飲食・小売等）</t>
    <rPh sb="0" eb="4">
      <t>エイギョウジカン</t>
    </rPh>
    <phoneticPr fontId="1"/>
  </si>
  <si>
    <t>関連企業①</t>
    <rPh sb="0" eb="2">
      <t>カンレン</t>
    </rPh>
    <rPh sb="2" eb="4">
      <t>キギョウ</t>
    </rPh>
    <phoneticPr fontId="1"/>
  </si>
  <si>
    <t>企業名</t>
    <rPh sb="0" eb="2">
      <t>キギョウ</t>
    </rPh>
    <rPh sb="2" eb="3">
      <t>メイ</t>
    </rPh>
    <phoneticPr fontId="1"/>
  </si>
  <si>
    <t>関連企業②</t>
    <rPh sb="0" eb="2">
      <t>カンレン</t>
    </rPh>
    <rPh sb="2" eb="4">
      <t>キギョウ</t>
    </rPh>
    <phoneticPr fontId="1"/>
  </si>
  <si>
    <t>代表者名</t>
    <rPh sb="0" eb="3">
      <t>ダイヒョウシャ</t>
    </rPh>
    <rPh sb="3" eb="4">
      <t>メイ</t>
    </rPh>
    <phoneticPr fontId="1"/>
  </si>
  <si>
    <t>所在地</t>
    <rPh sb="0" eb="3">
      <t>ショザイチ</t>
    </rPh>
    <phoneticPr fontId="1"/>
  </si>
  <si>
    <t>ほか</t>
    <phoneticPr fontId="1"/>
  </si>
  <si>
    <t>社</t>
    <rPh sb="0" eb="1">
      <t>シャ</t>
    </rPh>
    <phoneticPr fontId="1"/>
  </si>
  <si>
    <t>８　必要な資金と調達方法</t>
    <rPh sb="2" eb="4">
      <t>ヒツヨウ</t>
    </rPh>
    <rPh sb="5" eb="7">
      <t>シキン</t>
    </rPh>
    <rPh sb="8" eb="10">
      <t>チョウタツ</t>
    </rPh>
    <rPh sb="10" eb="12">
      <t>ホウホウ</t>
    </rPh>
    <phoneticPr fontId="1"/>
  </si>
  <si>
    <t>９　事業の見通し（月平均）</t>
    <rPh sb="2" eb="4">
      <t>ジギョウ</t>
    </rPh>
    <rPh sb="5" eb="7">
      <t>ミトオ</t>
    </rPh>
    <rPh sb="9" eb="12">
      <t>ツキヘイキン</t>
    </rPh>
    <phoneticPr fontId="1"/>
  </si>
  <si>
    <t>４　従業員</t>
    <phoneticPr fontId="1"/>
  </si>
  <si>
    <t>５　取引先・取引関係等</t>
    <rPh sb="2" eb="4">
      <t>トリヒキ</t>
    </rPh>
    <rPh sb="4" eb="5">
      <t>サキ</t>
    </rPh>
    <rPh sb="6" eb="8">
      <t>トリヒキ</t>
    </rPh>
    <rPh sb="8" eb="11">
      <t>カンケイトウ</t>
    </rPh>
    <phoneticPr fontId="1"/>
  </si>
  <si>
    <r>
      <t>10　自由記述欄</t>
    </r>
    <r>
      <rPr>
        <sz val="9"/>
        <color theme="1"/>
        <rFont val="ＭＳ ゴシック"/>
        <family val="3"/>
        <charset val="128"/>
      </rPr>
      <t>（アピールポイント、事業を行ううえでの悩み、希望するアドバイス等）</t>
    </r>
    <rPh sb="3" eb="5">
      <t>ジユウ</t>
    </rPh>
    <rPh sb="5" eb="7">
      <t>キジュツ</t>
    </rPh>
    <rPh sb="7" eb="8">
      <t>ラン</t>
    </rPh>
    <rPh sb="21" eb="22">
      <t>オコナ</t>
    </rPh>
    <rPh sb="27" eb="28">
      <t>ナヤ</t>
    </rPh>
    <rPh sb="30" eb="32">
      <t>キボウ</t>
    </rPh>
    <rPh sb="39" eb="40">
      <t>トウ</t>
    </rPh>
    <phoneticPr fontId="1"/>
  </si>
  <si>
    <r>
      <rPr>
        <b/>
        <sz val="10.5"/>
        <color theme="1"/>
        <rFont val="ＭＳ ゴシック"/>
        <family val="3"/>
        <charset val="128"/>
      </rPr>
      <t>６　関連企業</t>
    </r>
    <r>
      <rPr>
        <sz val="9"/>
        <color theme="1"/>
        <rFont val="ＭＳ ゴシック"/>
        <family val="3"/>
        <charset val="128"/>
      </rPr>
      <t>（お申込人もしくは法人代表者または配偶者の方がご経営されている企業がある場合にご記入ください。）</t>
    </r>
    <rPh sb="2" eb="4">
      <t>カンレン</t>
    </rPh>
    <rPh sb="4" eb="6">
      <t>キギョウ</t>
    </rPh>
    <rPh sb="8" eb="10">
      <t>モウシコミ</t>
    </rPh>
    <rPh sb="10" eb="11">
      <t>ニン</t>
    </rPh>
    <rPh sb="15" eb="17">
      <t>ホウジン</t>
    </rPh>
    <rPh sb="17" eb="20">
      <t>ダイヒョウシャ</t>
    </rPh>
    <rPh sb="23" eb="26">
      <t>ハイグウシャ</t>
    </rPh>
    <rPh sb="27" eb="28">
      <t>カタ</t>
    </rPh>
    <rPh sb="30" eb="32">
      <t>ケイエイ</t>
    </rPh>
    <rPh sb="37" eb="39">
      <t>キギョウ</t>
    </rPh>
    <rPh sb="42" eb="44">
      <t>バアイ</t>
    </rPh>
    <rPh sb="46" eb="48">
      <t>キニュウ</t>
    </rPh>
    <phoneticPr fontId="1"/>
  </si>
  <si>
    <r>
      <t>７　お借入の状況</t>
    </r>
    <r>
      <rPr>
        <sz val="9"/>
        <color theme="1"/>
        <rFont val="ＭＳ ゴシック"/>
        <family val="3"/>
        <charset val="128"/>
      </rPr>
      <t>（法人の場合、代表者の方のお借入）</t>
    </r>
    <rPh sb="3" eb="5">
      <t>カリイレ</t>
    </rPh>
    <rPh sb="6" eb="8">
      <t>ジョウキョウ</t>
    </rPh>
    <rPh sb="9" eb="11">
      <t>ホウジン</t>
    </rPh>
    <rPh sb="12" eb="14">
      <t>バアイ</t>
    </rPh>
    <rPh sb="15" eb="18">
      <t>ダイヒョウシャ</t>
    </rPh>
    <rPh sb="19" eb="20">
      <t>カタ</t>
    </rPh>
    <rPh sb="22" eb="24">
      <t>カリイレ</t>
    </rPh>
    <phoneticPr fontId="1"/>
  </si>
  <si>
    <t>事業内容</t>
    <rPh sb="0" eb="4">
      <t>ジギョウナイヨウ</t>
    </rPh>
    <phoneticPr fontId="1"/>
  </si>
  <si>
    <t>業種</t>
    <rPh sb="0" eb="2">
      <t>ギョウシュ</t>
    </rPh>
    <phoneticPr fontId="1"/>
  </si>
  <si>
    <t>１年後又は
軌道に乗った後</t>
    <rPh sb="1" eb="3">
      <t>ネンゴ</t>
    </rPh>
    <rPh sb="6" eb="8">
      <t>キドウ</t>
    </rPh>
    <rPh sb="9" eb="10">
      <t>ノ</t>
    </rPh>
    <rPh sb="12" eb="13">
      <t>アト</t>
    </rPh>
    <phoneticPr fontId="1"/>
  </si>
  <si>
    <t>(</t>
    <phoneticPr fontId="1"/>
  </si>
  <si>
    <t>取引先のシェア</t>
    <rPh sb="2" eb="3">
      <t>サキ</t>
    </rPh>
    <phoneticPr fontId="1"/>
  </si>
  <si>
    <t>許認可（許可・届出等）</t>
    <rPh sb="0" eb="3">
      <t>キョニンカ</t>
    </rPh>
    <rPh sb="4" eb="6">
      <t>キョカ</t>
    </rPh>
    <rPh sb="7" eb="10">
      <t>トドケデトウ</t>
    </rPh>
    <phoneticPr fontId="1"/>
  </si>
  <si>
    <t>セールスポイント
（自社の強み）</t>
    <rPh sb="10" eb="12">
      <t>ジシャ</t>
    </rPh>
    <rPh sb="13" eb="14">
      <t>ツヨ</t>
    </rPh>
    <phoneticPr fontId="1"/>
  </si>
  <si>
    <t>販売ターゲット・
販売戦略
（集客方法）</t>
    <rPh sb="15" eb="19">
      <t>シュウキャクホウホウ</t>
    </rPh>
    <phoneticPr fontId="1"/>
  </si>
  <si>
    <t>競合・市場など
自社を取り巻く状況</t>
    <rPh sb="0" eb="2">
      <t>キョウゴウ</t>
    </rPh>
    <rPh sb="3" eb="5">
      <t>シジョウ</t>
    </rPh>
    <rPh sb="8" eb="10">
      <t>ジシャ</t>
    </rPh>
    <rPh sb="11" eb="12">
      <t>ト</t>
    </rPh>
    <rPh sb="13" eb="14">
      <t>マ</t>
    </rPh>
    <rPh sb="15" eb="17">
      <t>ジョウキョウ</t>
    </rPh>
    <phoneticPr fontId="1"/>
  </si>
  <si>
    <t>海外展開状況</t>
    <rPh sb="0" eb="2">
      <t>カイガイ</t>
    </rPh>
    <rPh sb="2" eb="4">
      <t>テンカイ</t>
    </rPh>
    <rPh sb="4" eb="6">
      <t>ジョウキョウ</t>
    </rPh>
    <phoneticPr fontId="1"/>
  </si>
  <si>
    <t>既に実施</t>
    <rPh sb="0" eb="1">
      <t>スデ</t>
    </rPh>
    <rPh sb="2" eb="4">
      <t>ジッシ</t>
    </rPh>
    <phoneticPr fontId="1"/>
  </si>
  <si>
    <t>⇒</t>
    <phoneticPr fontId="1"/>
  </si>
  <si>
    <t>輸出</t>
    <rPh sb="0" eb="2">
      <t>ユシュツ</t>
    </rPh>
    <phoneticPr fontId="1"/>
  </si>
  <si>
    <t>直接投資</t>
    <rPh sb="0" eb="4">
      <t>チョクセツトウシ</t>
    </rPh>
    <phoneticPr fontId="1"/>
  </si>
  <si>
    <t>展開先国</t>
    <rPh sb="0" eb="4">
      <t>テンカイサキコク</t>
    </rPh>
    <phoneticPr fontId="1"/>
  </si>
  <si>
    <t>生産委託</t>
    <rPh sb="0" eb="4">
      <t>セイサンイタク</t>
    </rPh>
    <phoneticPr fontId="1"/>
  </si>
  <si>
    <t>取組内容</t>
    <rPh sb="0" eb="2">
      <t>トリク</t>
    </rPh>
    <rPh sb="2" eb="4">
      <t>ナイヨウ</t>
    </rPh>
    <phoneticPr fontId="1"/>
  </si>
  <si>
    <t>予定有</t>
    <rPh sb="0" eb="3">
      <t>ヨテイアリ</t>
    </rPh>
    <phoneticPr fontId="1"/>
  </si>
  <si>
    <t xml:space="preserve"> 無</t>
    <rPh sb="1" eb="2">
      <t>ナ</t>
    </rPh>
    <phoneticPr fontId="1"/>
  </si>
  <si>
    <t>FA設備とロボットシステムの知見・資産を活用し、関東圏の製造業向けに</t>
  </si>
  <si>
    <t>自動化設備（FA）とRTSの販売・レンタルを一体提案するため創業する。</t>
  </si>
  <si>
    <t>大型案件の回収サイトに備え、十分な運転資金を確保した上で立ち上げる。</t>
  </si>
  <si>
    <t>退職予定（前職の勤務先・役職・担当業務は要本人追記）</t>
  </si>
  <si>
    <t>株式会社設立予定</t>
  </si>
  <si>
    <t>FA設備／RTS事業を開始予定</t>
  </si>
  <si>
    <t>FA設備・ロボットシステム分野の実務経歴、担当案件、保有技能</t>
  </si>
  <si>
    <t>FA設備の設計・製作・販売、RTS（ロボットシステム）の販売・レンタル、据付・プログラム対応</t>
  </si>
  <si>
    <t>FA設備（カスタム自動化設備）</t>
  </si>
  <si>
    <t>RTS販売（Standard〜Professional）</t>
  </si>
  <si>
    <t>RTSレンタル・保守サポート</t>
  </si>
  <si>
    <t>保有ロボット資産を活用して初期投資を抑えつつ、標準品からカスタム設備まで提案可能。</t>
    <phoneticPr fontId="1"/>
  </si>
  <si>
    <t>販売とレンタルを組み合わせ、導入前の試用需要にも対応できる。</t>
    <phoneticPr fontId="1"/>
  </si>
  <si>
    <t>関東の製造業、装置導入検討企業、商社・SIerを主対象とする。</t>
    <phoneticPr fontId="1"/>
  </si>
  <si>
    <t>デモ機活用、紹介営業、商社開拓、コーポレートサイト、補助金活用提案で受注を獲得する。</t>
    <phoneticPr fontId="1"/>
  </si>
  <si>
    <t>差別化は①FAとRTSの併売、②中古/デモ機を活用した低コスト提案、③レンタルで導入障壁を下げる点。</t>
    <phoneticPr fontId="1"/>
  </si>
  <si>
    <t>競合はFA装置メーカー・ロボット販売店。</t>
    <phoneticPr fontId="1"/>
  </si>
  <si>
    <t>関東圏の製造業各社（予定）</t>
    <phoneticPr fontId="1"/>
  </si>
  <si>
    <t>商社経由案件（予定）</t>
    <phoneticPr fontId="1"/>
  </si>
  <si>
    <t>関東・中部・海外</t>
    <rPh sb="0" eb="2">
      <t>カントウ</t>
    </rPh>
    <rPh sb="3" eb="5">
      <t>チュウブ</t>
    </rPh>
    <rPh sb="6" eb="8">
      <t>カイガイ</t>
    </rPh>
    <phoneticPr fontId="1"/>
  </si>
  <si>
    <t>部材・機器メーカー／商社</t>
  </si>
  <si>
    <t>関東・全国</t>
    <phoneticPr fontId="1"/>
  </si>
  <si>
    <t>全国</t>
    <phoneticPr fontId="1"/>
  </si>
  <si>
    <t>中古ロボット仕入先</t>
    <phoneticPr fontId="1"/>
  </si>
  <si>
    <t>制御・プログラム外注先</t>
    <phoneticPr fontId="1"/>
  </si>
  <si>
    <t>関東</t>
    <rPh sb="0" eb="2">
      <t>カントウ</t>
    </rPh>
    <phoneticPr fontId="1"/>
  </si>
  <si>
    <t>見積/想定</t>
  </si>
  <si>
    <t>RTSデモ機2台</t>
  </si>
  <si>
    <t>自社計画</t>
  </si>
  <si>
    <t>株式会社設立・登録関連</t>
  </si>
  <si>
    <t>実費見込</t>
  </si>
  <si>
    <t>棚・作業台・保管ラック</t>
  </si>
  <si>
    <t>PC・周辺機器・ネットワーク</t>
  </si>
  <si>
    <t>エアコン・工具・コンプレッサー</t>
    <rPh sb="5" eb="7">
      <t>コウグ</t>
    </rPh>
    <phoneticPr fontId="1"/>
  </si>
  <si>
    <t>ホームページ・SNS</t>
    <phoneticPr fontId="1"/>
  </si>
  <si>
    <t>RTS販売同時2台分の製作資金</t>
  </si>
  <si>
    <t>RTSレンタル立上げ資金</t>
  </si>
  <si>
    <t>固定費6か月分</t>
  </si>
  <si>
    <t>予備資金（案件ズレ対応）</t>
  </si>
  <si>
    <t>車両</t>
    <rPh sb="0" eb="2">
      <t>シャリョウ</t>
    </rPh>
    <phoneticPr fontId="1"/>
  </si>
  <si>
    <t>個人資産</t>
    <rPh sb="0" eb="2">
      <t>コジン</t>
    </rPh>
    <rPh sb="2" eb="4">
      <t>シサン</t>
    </rPh>
    <phoneticPr fontId="1"/>
  </si>
  <si>
    <t>佐藤　貴久</t>
    <rPh sb="0" eb="2">
      <t>サトウ</t>
    </rPh>
    <rPh sb="3" eb="5">
      <t>タカヒサ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</si>
</sst>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ggge&quot;年&quot;m&quot;月&quot;"/>
  </numFmts>
  <fonts count="16" x14ac:knownFonts="1">
    <font>
      <sz val="11"/>
      <color theme="1"/>
      <name val="ＭＳ Ｐゴシック"/>
      <family val="2"/>
      <charset val="128"/>
      <scheme val="minor"/>
    </font>
    <font>
      <sz val="6"/>
      <name val="ＭＳ Ｐゴシック"/>
      <family val="2"/>
      <charset val="128"/>
      <scheme val="minor"/>
    </font>
    <font>
      <sz val="9"/>
      <color theme="1"/>
      <name val="ＭＳ 明朝"/>
      <family val="1"/>
      <charset val="128"/>
    </font>
    <font>
      <sz val="7"/>
      <color theme="1"/>
      <name val="ＭＳ 明朝"/>
      <family val="1"/>
      <charset val="128"/>
    </font>
    <font>
      <sz val="10"/>
      <color theme="1"/>
      <name val="ＭＳ Ｐゴシック"/>
      <family val="2"/>
      <charset val="128"/>
      <scheme val="minor"/>
    </font>
    <font>
      <sz val="10"/>
      <color theme="1"/>
      <name val="ＭＳ ゴシック"/>
      <family val="3"/>
      <charset val="128"/>
    </font>
    <font>
      <sz val="10"/>
      <color theme="1"/>
      <name val="ＭＳ 明朝"/>
      <family val="1"/>
      <charset val="128"/>
    </font>
    <font>
      <sz val="10.5"/>
      <color theme="1"/>
      <name val="ＭＳ ゴシック"/>
      <family val="3"/>
      <charset val="128"/>
    </font>
    <font>
      <sz val="10.5"/>
      <color theme="1"/>
      <name val="ＭＳ 明朝"/>
      <family val="1"/>
      <charset val="128"/>
    </font>
    <font>
      <b/>
      <sz val="10.5"/>
      <color theme="1"/>
      <name val="ＭＳ ゴシック"/>
      <family val="3"/>
      <charset val="128"/>
    </font>
    <font>
      <b/>
      <sz val="16"/>
      <color theme="1"/>
      <name val="ＭＳ ゴシック"/>
      <family val="3"/>
      <charset val="128"/>
    </font>
    <font>
      <sz val="8"/>
      <color theme="1"/>
      <name val="ＭＳ 明朝"/>
      <family val="1"/>
      <charset val="128"/>
    </font>
    <font>
      <sz val="9"/>
      <color theme="1"/>
      <name val="ＭＳ ゴシック"/>
      <family val="3"/>
      <charset val="128"/>
    </font>
    <font>
      <sz val="11"/>
      <color theme="1"/>
      <name val="ＭＳ Ｐゴシック"/>
      <family val="2"/>
      <charset val="128"/>
      <scheme val="minor"/>
    </font>
    <font>
      <b/>
      <u/>
      <sz val="10"/>
      <color theme="1"/>
      <name val="ＭＳ ゴシック"/>
      <family val="3"/>
      <charset val="128"/>
    </font>
    <font>
      <sz val="10.3"/>
      <color theme="1"/>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74">
    <border>
      <left/>
      <right/>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bottom style="hair">
        <color auto="1"/>
      </bottom>
      <diagonal/>
    </border>
    <border>
      <left/>
      <right style="hair">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right/>
      <top style="thin">
        <color auto="1"/>
      </top>
      <bottom/>
      <diagonal/>
    </border>
    <border>
      <left/>
      <right/>
      <top style="thin">
        <color auto="1"/>
      </top>
      <bottom style="thin">
        <color auto="1"/>
      </bottom>
      <diagonal/>
    </border>
    <border>
      <left style="hair">
        <color auto="1"/>
      </left>
      <right/>
      <top style="thin">
        <color auto="1"/>
      </top>
      <bottom style="thin">
        <color auto="1"/>
      </bottom>
      <diagonal/>
    </border>
    <border>
      <left/>
      <right/>
      <top/>
      <bottom style="thin">
        <color auto="1"/>
      </bottom>
      <diagonal/>
    </border>
    <border>
      <left style="hair">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style="hair">
        <color auto="1"/>
      </top>
      <bottom/>
      <diagonal/>
    </border>
    <border>
      <left style="thin">
        <color auto="1"/>
      </left>
      <right/>
      <top/>
      <bottom style="hair">
        <color auto="1"/>
      </bottom>
      <diagonal/>
    </border>
    <border>
      <left/>
      <right style="thin">
        <color auto="1"/>
      </right>
      <top/>
      <bottom style="thin">
        <color auto="1"/>
      </bottom>
      <diagonal/>
    </border>
    <border>
      <left/>
      <right style="hair">
        <color auto="1"/>
      </right>
      <top style="thin">
        <color auto="1"/>
      </top>
      <bottom/>
      <diagonal/>
    </border>
    <border>
      <left/>
      <right style="hair">
        <color auto="1"/>
      </right>
      <top/>
      <bottom style="thin">
        <color auto="1"/>
      </bottom>
      <diagonal/>
    </border>
    <border>
      <left style="hair">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top style="hair">
        <color auto="1"/>
      </top>
      <bottom style="thin">
        <color indexed="64"/>
      </bottom>
      <diagonal/>
    </border>
    <border>
      <left style="thin">
        <color indexed="64"/>
      </left>
      <right style="thin">
        <color indexed="64"/>
      </right>
      <top/>
      <bottom style="thin">
        <color indexed="64"/>
      </bottom>
      <diagonal/>
    </border>
    <border>
      <left style="thin">
        <color auto="1"/>
      </left>
      <right/>
      <top style="hair">
        <color auto="1"/>
      </top>
      <bottom style="hair">
        <color auto="1"/>
      </bottom>
      <diagonal/>
    </border>
    <border>
      <left style="thin">
        <color indexed="64"/>
      </left>
      <right style="thin">
        <color indexed="64"/>
      </right>
      <top/>
      <bottom/>
      <diagonal/>
    </border>
    <border>
      <left style="thin">
        <color auto="1"/>
      </left>
      <right/>
      <top style="thin">
        <color auto="1"/>
      </top>
      <bottom style="hair">
        <color auto="1"/>
      </bottom>
      <diagonal/>
    </border>
    <border>
      <left/>
      <right style="hair">
        <color auto="1"/>
      </right>
      <top style="thin">
        <color auto="1"/>
      </top>
      <bottom style="thin">
        <color auto="1"/>
      </bottom>
      <diagonal/>
    </border>
    <border>
      <left style="thin">
        <color auto="1"/>
      </left>
      <right style="thin">
        <color auto="1"/>
      </right>
      <top style="thin">
        <color auto="1"/>
      </top>
      <bottom/>
      <diagonal/>
    </border>
    <border>
      <left style="thin">
        <color auto="1"/>
      </left>
      <right style="hair">
        <color auto="1"/>
      </right>
      <top/>
      <bottom style="thin">
        <color indexed="64"/>
      </bottom>
      <diagonal/>
    </border>
    <border>
      <left style="thin">
        <color auto="1"/>
      </left>
      <right style="hair">
        <color auto="1"/>
      </right>
      <top/>
      <bottom/>
      <diagonal/>
    </border>
    <border diagonalDown="1">
      <left/>
      <right style="hair">
        <color auto="1"/>
      </right>
      <top/>
      <bottom style="thin">
        <color auto="1"/>
      </bottom>
      <diagonal style="hair">
        <color auto="1"/>
      </diagonal>
    </border>
    <border diagonalDown="1">
      <left/>
      <right/>
      <top/>
      <bottom style="thin">
        <color auto="1"/>
      </bottom>
      <diagonal style="hair">
        <color auto="1"/>
      </diagonal>
    </border>
    <border diagonalDown="1">
      <left style="thin">
        <color auto="1"/>
      </left>
      <right/>
      <top/>
      <bottom style="thin">
        <color auto="1"/>
      </bottom>
      <diagonal style="hair">
        <color auto="1"/>
      </diagonal>
    </border>
    <border diagonalDown="1">
      <left/>
      <right style="hair">
        <color auto="1"/>
      </right>
      <top style="thin">
        <color auto="1"/>
      </top>
      <bottom/>
      <diagonal style="hair">
        <color auto="1"/>
      </diagonal>
    </border>
    <border diagonalDown="1">
      <left/>
      <right/>
      <top style="thin">
        <color auto="1"/>
      </top>
      <bottom/>
      <diagonal style="hair">
        <color auto="1"/>
      </diagonal>
    </border>
    <border diagonalDown="1">
      <left style="thin">
        <color auto="1"/>
      </left>
      <right/>
      <top style="thin">
        <color auto="1"/>
      </top>
      <bottom/>
      <diagonal style="hair">
        <color auto="1"/>
      </diagonal>
    </border>
    <border>
      <left/>
      <right style="thin">
        <color auto="1"/>
      </right>
      <top style="hair">
        <color auto="1"/>
      </top>
      <bottom/>
      <diagonal/>
    </border>
    <border>
      <left style="thin">
        <color auto="1"/>
      </left>
      <right style="thin">
        <color indexed="64"/>
      </right>
      <top style="hair">
        <color auto="1"/>
      </top>
      <bottom/>
      <diagonal/>
    </border>
    <border>
      <left/>
      <right style="thin">
        <color indexed="64"/>
      </right>
      <top/>
      <bottom style="hair">
        <color auto="1"/>
      </bottom>
      <diagonal/>
    </border>
    <border>
      <left style="hair">
        <color auto="1"/>
      </left>
      <right/>
      <top style="thin">
        <color auto="1"/>
      </top>
      <bottom style="hair">
        <color auto="1"/>
      </bottom>
      <diagonal/>
    </border>
    <border diagonalDown="1">
      <left style="thin">
        <color auto="1"/>
      </left>
      <right/>
      <top/>
      <bottom/>
      <diagonal style="hair">
        <color auto="1"/>
      </diagonal>
    </border>
    <border diagonalDown="1">
      <left/>
      <right/>
      <top/>
      <bottom/>
      <diagonal style="hair">
        <color auto="1"/>
      </diagonal>
    </border>
    <border diagonalDown="1">
      <left/>
      <right style="hair">
        <color auto="1"/>
      </right>
      <top/>
      <bottom/>
      <diagonal style="hair">
        <color auto="1"/>
      </diagonal>
    </border>
    <border>
      <left style="thin">
        <color auto="1"/>
      </left>
      <right style="thin">
        <color indexed="64"/>
      </right>
      <top/>
      <bottom style="hair">
        <color auto="1"/>
      </bottom>
      <diagonal/>
    </border>
    <border>
      <left/>
      <right style="thin">
        <color auto="1"/>
      </right>
      <top style="thin">
        <color auto="1"/>
      </top>
      <bottom style="hair">
        <color auto="1"/>
      </bottom>
      <diagonal/>
    </border>
    <border>
      <left/>
      <right style="hair">
        <color auto="1"/>
      </right>
      <top style="thin">
        <color auto="1"/>
      </top>
      <bottom style="hair">
        <color auto="1"/>
      </bottom>
      <diagonal/>
    </border>
    <border>
      <left/>
      <right style="thin">
        <color indexed="64"/>
      </right>
      <top style="hair">
        <color auto="1"/>
      </top>
      <bottom style="hair">
        <color auto="1"/>
      </bottom>
      <diagonal/>
    </border>
    <border>
      <left/>
      <right style="thin">
        <color indexed="64"/>
      </right>
      <top style="hair">
        <color auto="1"/>
      </top>
      <bottom style="thin">
        <color auto="1"/>
      </bottom>
      <diagonal/>
    </border>
    <border>
      <left style="thin">
        <color auto="1"/>
      </left>
      <right/>
      <top style="thin">
        <color auto="1"/>
      </top>
      <bottom style="dotted">
        <color indexed="64"/>
      </bottom>
      <diagonal/>
    </border>
    <border>
      <left/>
      <right/>
      <top style="thin">
        <color auto="1"/>
      </top>
      <bottom style="dotted">
        <color indexed="64"/>
      </bottom>
      <diagonal/>
    </border>
    <border>
      <left/>
      <right style="hair">
        <color auto="1"/>
      </right>
      <top style="thin">
        <color auto="1"/>
      </top>
      <bottom style="dotted">
        <color indexed="64"/>
      </bottom>
      <diagonal/>
    </border>
    <border>
      <left style="thin">
        <color auto="1"/>
      </left>
      <right/>
      <top style="hair">
        <color auto="1"/>
      </top>
      <bottom style="dotted">
        <color indexed="64"/>
      </bottom>
      <diagonal/>
    </border>
    <border>
      <left/>
      <right/>
      <top style="hair">
        <color auto="1"/>
      </top>
      <bottom style="dotted">
        <color indexed="64"/>
      </bottom>
      <diagonal/>
    </border>
    <border>
      <left/>
      <right style="hair">
        <color auto="1"/>
      </right>
      <top style="hair">
        <color auto="1"/>
      </top>
      <bottom style="dotted">
        <color indexed="64"/>
      </bottom>
      <diagonal/>
    </border>
    <border>
      <left style="thin">
        <color indexed="64"/>
      </left>
      <right/>
      <top style="dotted">
        <color auto="1"/>
      </top>
      <bottom style="thin">
        <color indexed="64"/>
      </bottom>
      <diagonal/>
    </border>
    <border>
      <left/>
      <right/>
      <top style="dotted">
        <color auto="1"/>
      </top>
      <bottom style="thin">
        <color indexed="64"/>
      </bottom>
      <diagonal/>
    </border>
    <border>
      <left/>
      <right style="hair">
        <color auto="1"/>
      </right>
      <top style="dotted">
        <color auto="1"/>
      </top>
      <bottom style="thin">
        <color indexed="64"/>
      </bottom>
      <diagonal/>
    </border>
    <border>
      <left style="thin">
        <color auto="1"/>
      </left>
      <right/>
      <top style="dotted">
        <color auto="1"/>
      </top>
      <bottom style="hair">
        <color auto="1"/>
      </bottom>
      <diagonal/>
    </border>
    <border>
      <left/>
      <right/>
      <top style="dotted">
        <color auto="1"/>
      </top>
      <bottom style="hair">
        <color auto="1"/>
      </bottom>
      <diagonal/>
    </border>
    <border>
      <left/>
      <right style="hair">
        <color auto="1"/>
      </right>
      <top style="dotted">
        <color auto="1"/>
      </top>
      <bottom style="hair">
        <color auto="1"/>
      </bottom>
      <diagonal/>
    </border>
    <border>
      <left style="thin">
        <color auto="1"/>
      </left>
      <right style="thin">
        <color indexed="64"/>
      </right>
      <top style="thin">
        <color auto="1"/>
      </top>
      <bottom style="thin">
        <color indexed="64"/>
      </bottom>
      <diagonal/>
    </border>
  </borders>
  <cellStyleXfs count="2">
    <xf numFmtId="0" fontId="0" fillId="0" borderId="0">
      <alignment vertical="center"/>
    </xf>
    <xf numFmtId="38" fontId="13" fillId="0" borderId="0" applyFont="0" applyFill="0" applyBorder="0" applyAlignment="0" applyProtection="0">
      <alignment vertical="center"/>
    </xf>
  </cellStyleXfs>
  <cellXfs count="558">
    <xf numFmtId="0" fontId="0" fillId="0" borderId="0" xfId="0">
      <alignment vertical="center"/>
    </xf>
    <xf numFmtId="0" fontId="7" fillId="0" borderId="0" xfId="0" applyFont="1">
      <alignment vertical="center"/>
    </xf>
    <xf numFmtId="0" fontId="7" fillId="0" borderId="0" xfId="0" applyFont="1" applyAlignment="1">
      <alignment horizontal="distributed" vertical="center"/>
    </xf>
    <xf numFmtId="0" fontId="7" fillId="0" borderId="16" xfId="0" applyFont="1" applyBorder="1">
      <alignment vertical="center"/>
    </xf>
    <xf numFmtId="0" fontId="7" fillId="0" borderId="3" xfId="0" applyFont="1" applyBorder="1">
      <alignment vertical="center"/>
    </xf>
    <xf numFmtId="0" fontId="7" fillId="0" borderId="2" xfId="0" applyFont="1" applyBorder="1">
      <alignment vertical="center"/>
    </xf>
    <xf numFmtId="0" fontId="7" fillId="0" borderId="1" xfId="0" applyFont="1" applyBorder="1">
      <alignment vertical="center"/>
    </xf>
    <xf numFmtId="0" fontId="7" fillId="0" borderId="13" xfId="0" applyFont="1" applyBorder="1">
      <alignment vertical="center"/>
    </xf>
    <xf numFmtId="0" fontId="9" fillId="0" borderId="0" xfId="0" applyFont="1">
      <alignment vertical="center"/>
    </xf>
    <xf numFmtId="0" fontId="7" fillId="2" borderId="0" xfId="0" applyFont="1" applyFill="1">
      <alignment vertical="center"/>
    </xf>
    <xf numFmtId="0" fontId="4" fillId="0" borderId="9" xfId="0" applyFont="1" applyBorder="1">
      <alignment vertical="center"/>
    </xf>
    <xf numFmtId="0" fontId="4" fillId="0" borderId="2" xfId="0" applyFont="1" applyBorder="1">
      <alignment vertical="center"/>
    </xf>
    <xf numFmtId="0" fontId="5" fillId="0" borderId="2" xfId="0" applyFont="1" applyBorder="1">
      <alignment vertical="center"/>
    </xf>
    <xf numFmtId="0" fontId="5" fillId="0" borderId="6" xfId="0" applyFont="1" applyBorder="1">
      <alignment vertical="center"/>
    </xf>
    <xf numFmtId="0" fontId="8" fillId="0" borderId="2" xfId="0" applyFont="1" applyBorder="1">
      <alignment vertical="center"/>
    </xf>
    <xf numFmtId="0" fontId="4" fillId="0" borderId="7" xfId="0" applyFont="1" applyBorder="1">
      <alignment vertical="center"/>
    </xf>
    <xf numFmtId="0" fontId="4" fillId="0" borderId="0" xfId="0" applyFont="1">
      <alignment vertical="center"/>
    </xf>
    <xf numFmtId="0" fontId="5" fillId="0" borderId="0" xfId="0" applyFont="1">
      <alignment vertical="center"/>
    </xf>
    <xf numFmtId="0" fontId="5" fillId="0" borderId="5" xfId="0" applyFont="1" applyBorder="1">
      <alignment vertical="center"/>
    </xf>
    <xf numFmtId="0" fontId="4" fillId="0" borderId="11" xfId="0" applyFont="1" applyBorder="1">
      <alignment vertical="center"/>
    </xf>
    <xf numFmtId="0" fontId="4" fillId="0" borderId="1" xfId="0" applyFont="1" applyBorder="1">
      <alignment vertical="center"/>
    </xf>
    <xf numFmtId="0" fontId="5" fillId="0" borderId="1" xfId="0" applyFont="1" applyBorder="1">
      <alignment vertical="center"/>
    </xf>
    <xf numFmtId="0" fontId="5" fillId="0" borderId="10" xfId="0" applyFont="1" applyBorder="1">
      <alignment vertical="center"/>
    </xf>
    <xf numFmtId="0" fontId="7"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vertical="center" textRotation="255"/>
    </xf>
    <xf numFmtId="0" fontId="4" fillId="0" borderId="5" xfId="0" applyFont="1" applyBorder="1">
      <alignment vertical="center"/>
    </xf>
    <xf numFmtId="0" fontId="7" fillId="0" borderId="12" xfId="0" applyFont="1" applyBorder="1">
      <alignment vertical="center"/>
    </xf>
    <xf numFmtId="0" fontId="6" fillId="0" borderId="12" xfId="0" applyFont="1" applyBorder="1" applyAlignment="1">
      <alignment horizontal="right" vertical="center"/>
    </xf>
    <xf numFmtId="0" fontId="6" fillId="0" borderId="3" xfId="0" applyFont="1" applyBorder="1" applyAlignment="1">
      <alignment horizontal="right" vertical="center"/>
    </xf>
    <xf numFmtId="0" fontId="6" fillId="0" borderId="1" xfId="0" applyFont="1" applyBorder="1" applyAlignment="1">
      <alignment horizontal="right" vertical="center"/>
    </xf>
    <xf numFmtId="0" fontId="6" fillId="0" borderId="0" xfId="0" applyFont="1">
      <alignment vertical="center"/>
    </xf>
    <xf numFmtId="0" fontId="7" fillId="0" borderId="0" xfId="0" applyFont="1" applyAlignment="1">
      <alignment horizontal="left" vertical="top" wrapText="1"/>
    </xf>
    <xf numFmtId="0" fontId="7" fillId="3" borderId="13" xfId="0" applyFont="1" applyFill="1" applyBorder="1">
      <alignment vertical="center"/>
    </xf>
    <xf numFmtId="0" fontId="6" fillId="0" borderId="57" xfId="0" applyFont="1" applyBorder="1" applyAlignment="1">
      <alignment horizontal="right" vertical="center"/>
    </xf>
    <xf numFmtId="0" fontId="6" fillId="0" borderId="59" xfId="0" applyFont="1" applyBorder="1" applyAlignment="1">
      <alignment horizontal="right" vertical="center"/>
    </xf>
    <xf numFmtId="0" fontId="6" fillId="0" borderId="60" xfId="0" applyFont="1" applyBorder="1" applyAlignment="1">
      <alignment horizontal="right" vertical="center"/>
    </xf>
    <xf numFmtId="0" fontId="7" fillId="0" borderId="14" xfId="0" applyFont="1" applyBorder="1">
      <alignment vertical="center"/>
    </xf>
    <xf numFmtId="0" fontId="12" fillId="0" borderId="14" xfId="0" applyFont="1" applyBorder="1">
      <alignment vertical="center"/>
    </xf>
    <xf numFmtId="0" fontId="6" fillId="0" borderId="30" xfId="0" applyFont="1" applyBorder="1">
      <alignment vertical="center"/>
    </xf>
    <xf numFmtId="0" fontId="6" fillId="0" borderId="14" xfId="0" applyFont="1" applyBorder="1">
      <alignment vertical="center"/>
    </xf>
    <xf numFmtId="0" fontId="2" fillId="0" borderId="0" xfId="0" applyFont="1" applyAlignment="1">
      <alignment vertical="center" shrinkToFit="1"/>
    </xf>
    <xf numFmtId="0" fontId="6" fillId="0" borderId="29" xfId="0" applyFont="1" applyBorder="1">
      <alignment vertical="center"/>
    </xf>
    <xf numFmtId="0" fontId="6" fillId="3" borderId="16" xfId="0" applyFont="1" applyFill="1" applyBorder="1" applyAlignment="1">
      <alignment vertical="center" wrapText="1"/>
    </xf>
    <xf numFmtId="0" fontId="6" fillId="3" borderId="17" xfId="0" applyFont="1" applyFill="1" applyBorder="1">
      <alignment vertical="center"/>
    </xf>
    <xf numFmtId="0" fontId="5" fillId="3" borderId="16" xfId="0" applyFont="1" applyFill="1" applyBorder="1" applyAlignment="1" applyProtection="1">
      <alignment horizontal="right" vertical="center" wrapText="1"/>
      <protection locked="0"/>
    </xf>
    <xf numFmtId="0" fontId="8" fillId="0" borderId="14" xfId="0" applyFont="1" applyBorder="1">
      <alignment vertical="center"/>
    </xf>
    <xf numFmtId="0" fontId="7" fillId="0" borderId="52" xfId="0" applyFont="1" applyBorder="1">
      <alignment vertical="center"/>
    </xf>
    <xf numFmtId="0" fontId="8" fillId="0" borderId="12" xfId="0" applyFont="1" applyBorder="1" applyAlignment="1">
      <alignment horizontal="center" vertical="center"/>
    </xf>
    <xf numFmtId="0" fontId="6" fillId="0" borderId="12" xfId="0" applyFont="1" applyBorder="1">
      <alignment vertical="center"/>
    </xf>
    <xf numFmtId="0" fontId="2" fillId="0" borderId="12" xfId="0" applyFont="1" applyBorder="1">
      <alignment vertical="center"/>
    </xf>
    <xf numFmtId="0" fontId="7" fillId="0" borderId="58" xfId="0" applyFont="1" applyBorder="1">
      <alignment vertical="center"/>
    </xf>
    <xf numFmtId="0" fontId="7" fillId="0" borderId="4" xfId="0" applyFont="1" applyBorder="1">
      <alignment vertical="center"/>
    </xf>
    <xf numFmtId="0" fontId="8" fillId="0" borderId="3" xfId="0" applyFont="1" applyBorder="1" applyAlignment="1">
      <alignment horizontal="center" vertical="center"/>
    </xf>
    <xf numFmtId="0" fontId="6" fillId="0" borderId="3" xfId="0" applyFont="1" applyBorder="1">
      <alignment vertical="center"/>
    </xf>
    <xf numFmtId="0" fontId="2" fillId="0" borderId="3" xfId="0" applyFont="1" applyBorder="1">
      <alignment vertical="center"/>
    </xf>
    <xf numFmtId="0" fontId="7" fillId="0" borderId="8" xfId="0" applyFont="1" applyBorder="1">
      <alignment vertical="center"/>
    </xf>
    <xf numFmtId="0" fontId="7" fillId="0" borderId="32" xfId="0" applyFont="1" applyBorder="1">
      <alignment vertical="center"/>
    </xf>
    <xf numFmtId="0" fontId="8" fillId="0" borderId="31" xfId="0" applyFont="1" applyBorder="1" applyAlignment="1">
      <alignment horizontal="center" vertical="center"/>
    </xf>
    <xf numFmtId="0" fontId="6" fillId="0" borderId="31" xfId="0" applyFont="1" applyBorder="1">
      <alignment vertical="center"/>
    </xf>
    <xf numFmtId="0" fontId="2" fillId="0" borderId="31" xfId="0" applyFont="1" applyBorder="1">
      <alignment vertical="center"/>
    </xf>
    <xf numFmtId="0" fontId="7" fillId="0" borderId="33" xfId="0" applyFont="1" applyBorder="1">
      <alignment vertical="center"/>
    </xf>
    <xf numFmtId="0" fontId="6" fillId="0" borderId="13" xfId="0" applyFont="1" applyBorder="1" applyAlignment="1">
      <alignment vertical="top"/>
    </xf>
    <xf numFmtId="0" fontId="6" fillId="0" borderId="18" xfId="0" applyFont="1" applyBorder="1" applyAlignment="1">
      <alignment vertical="top"/>
    </xf>
    <xf numFmtId="0" fontId="6" fillId="0" borderId="16" xfId="0" applyFont="1" applyBorder="1" applyAlignment="1">
      <alignment vertical="center" shrinkToFit="1"/>
    </xf>
    <xf numFmtId="0" fontId="6" fillId="0" borderId="7" xfId="0" applyFont="1" applyBorder="1">
      <alignment vertical="center"/>
    </xf>
    <xf numFmtId="0" fontId="6" fillId="0" borderId="27" xfId="0" applyFont="1" applyBorder="1">
      <alignment vertical="center"/>
    </xf>
    <xf numFmtId="0" fontId="6" fillId="0" borderId="16" xfId="0" applyFont="1" applyBorder="1">
      <alignment vertical="center"/>
    </xf>
    <xf numFmtId="0" fontId="2" fillId="0" borderId="27" xfId="0" applyFont="1" applyBorder="1">
      <alignment vertical="center"/>
    </xf>
    <xf numFmtId="0" fontId="6" fillId="2" borderId="16" xfId="0" applyFont="1" applyFill="1" applyBorder="1" applyAlignment="1">
      <alignment vertical="top" wrapText="1"/>
    </xf>
    <xf numFmtId="0" fontId="8" fillId="0" borderId="19" xfId="0" applyFont="1" applyBorder="1">
      <alignment vertical="center"/>
    </xf>
    <xf numFmtId="0" fontId="8" fillId="0" borderId="26" xfId="0" applyFont="1" applyBorder="1">
      <alignment vertical="center"/>
    </xf>
    <xf numFmtId="0" fontId="8" fillId="0" borderId="28" xfId="0" applyFont="1" applyBorder="1">
      <alignment vertical="center"/>
    </xf>
    <xf numFmtId="0" fontId="5" fillId="0" borderId="16" xfId="0" applyFont="1" applyBorder="1">
      <alignment vertical="center"/>
    </xf>
    <xf numFmtId="0" fontId="6" fillId="0" borderId="16" xfId="0" applyFont="1" applyBorder="1" applyAlignment="1">
      <alignment horizontal="left" vertical="center" shrinkToFit="1"/>
    </xf>
    <xf numFmtId="0" fontId="6" fillId="2" borderId="22" xfId="0" applyFont="1" applyFill="1" applyBorder="1" applyAlignment="1">
      <alignment vertical="top" wrapText="1"/>
    </xf>
    <xf numFmtId="0" fontId="5" fillId="0" borderId="0" xfId="0" applyFont="1" applyAlignment="1" applyProtection="1">
      <alignment vertical="top" wrapText="1"/>
      <protection locked="0"/>
    </xf>
    <xf numFmtId="0" fontId="6" fillId="0" borderId="23" xfId="0" applyFont="1" applyBorder="1">
      <alignment vertical="center"/>
    </xf>
    <xf numFmtId="38" fontId="8" fillId="0" borderId="14" xfId="1" applyFont="1" applyBorder="1" applyAlignment="1" applyProtection="1">
      <alignment vertical="center"/>
    </xf>
    <xf numFmtId="0" fontId="6" fillId="0" borderId="14" xfId="0" applyFont="1" applyBorder="1" applyAlignment="1" applyProtection="1">
      <alignment horizontal="center" vertical="center"/>
      <protection locked="0"/>
    </xf>
    <xf numFmtId="0" fontId="5" fillId="2" borderId="16" xfId="0" applyFont="1" applyFill="1" applyBorder="1" applyAlignment="1" applyProtection="1">
      <alignment horizontal="right" vertical="center" wrapText="1"/>
      <protection locked="0"/>
    </xf>
    <xf numFmtId="0" fontId="6" fillId="0" borderId="9" xfId="0" applyFont="1" applyBorder="1" applyAlignment="1">
      <alignment horizontal="center" vertical="center"/>
    </xf>
    <xf numFmtId="38" fontId="5" fillId="0" borderId="14" xfId="1" applyFont="1" applyBorder="1" applyAlignment="1" applyProtection="1">
      <alignment horizontal="right" vertical="center" shrinkToFit="1"/>
      <protection locked="0"/>
    </xf>
    <xf numFmtId="0" fontId="6" fillId="0" borderId="14" xfId="0" applyFont="1" applyBorder="1" applyAlignment="1">
      <alignment horizontal="center" vertical="center"/>
    </xf>
    <xf numFmtId="0" fontId="6" fillId="0" borderId="29" xfId="0" applyFont="1" applyBorder="1" applyAlignment="1">
      <alignment horizontal="center" vertical="center"/>
    </xf>
    <xf numFmtId="0" fontId="6" fillId="0" borderId="7" xfId="0" applyFont="1" applyBorder="1" applyAlignment="1">
      <alignment horizontal="center" vertical="center"/>
    </xf>
    <xf numFmtId="0" fontId="6" fillId="0" borderId="24" xfId="0" applyFont="1" applyBorder="1" applyAlignment="1">
      <alignment horizontal="center" vertical="center"/>
    </xf>
    <xf numFmtId="0" fontId="6" fillId="0" borderId="14" xfId="0" applyFont="1" applyBorder="1" applyAlignment="1">
      <alignment horizontal="left" vertical="center"/>
    </xf>
    <xf numFmtId="0" fontId="6" fillId="3" borderId="39" xfId="0" applyFont="1" applyFill="1" applyBorder="1" applyAlignment="1">
      <alignment horizontal="center" vertical="center"/>
    </xf>
    <xf numFmtId="0" fontId="5" fillId="2" borderId="14" xfId="0" applyFont="1" applyFill="1" applyBorder="1" applyAlignment="1" applyProtection="1">
      <alignment horizontal="right" vertical="center" shrinkToFit="1"/>
      <protection locked="0"/>
    </xf>
    <xf numFmtId="0" fontId="6" fillId="0" borderId="11" xfId="0" applyFont="1" applyBorder="1">
      <alignment vertical="center"/>
    </xf>
    <xf numFmtId="0" fontId="6" fillId="0" borderId="19" xfId="0" applyFont="1" applyBorder="1">
      <alignment vertical="center"/>
    </xf>
    <xf numFmtId="0" fontId="6" fillId="0" borderId="13" xfId="0" applyFont="1" applyBorder="1">
      <alignment vertical="center"/>
    </xf>
    <xf numFmtId="0" fontId="6" fillId="0" borderId="0" xfId="0" applyFont="1" applyAlignment="1">
      <alignment horizontal="left" vertical="center"/>
    </xf>
    <xf numFmtId="0" fontId="6" fillId="0" borderId="13" xfId="0" applyFont="1" applyBorder="1" applyAlignment="1">
      <alignment horizontal="center" vertical="center"/>
    </xf>
    <xf numFmtId="0" fontId="6" fillId="0" borderId="13" xfId="0" applyFont="1" applyBorder="1" applyAlignment="1">
      <alignment horizontal="center" vertical="center" shrinkToFit="1"/>
    </xf>
    <xf numFmtId="0" fontId="6" fillId="0" borderId="13" xfId="0" applyFont="1" applyBorder="1" applyAlignment="1">
      <alignment horizontal="left" vertical="center"/>
    </xf>
    <xf numFmtId="0" fontId="6" fillId="0" borderId="13" xfId="0" applyFont="1" applyBorder="1" applyAlignment="1">
      <alignment horizontal="right" vertical="center"/>
    </xf>
    <xf numFmtId="20" fontId="6" fillId="0" borderId="13" xfId="0" applyNumberFormat="1" applyFont="1" applyBorder="1" applyAlignment="1">
      <alignment horizontal="center" vertical="center"/>
    </xf>
    <xf numFmtId="0" fontId="8" fillId="0" borderId="13" xfId="0" applyFont="1" applyBorder="1">
      <alignment vertical="center"/>
    </xf>
    <xf numFmtId="20" fontId="8" fillId="0" borderId="13" xfId="0" applyNumberFormat="1" applyFont="1" applyBorder="1" applyAlignment="1">
      <alignment horizontal="center" vertical="center"/>
    </xf>
    <xf numFmtId="20" fontId="8" fillId="0" borderId="18" xfId="0" applyNumberFormat="1" applyFont="1" applyBorder="1" applyAlignment="1">
      <alignment horizontal="center" vertical="center"/>
    </xf>
    <xf numFmtId="0" fontId="6" fillId="0" borderId="16" xfId="0" applyFont="1" applyBorder="1" applyAlignment="1" applyProtection="1">
      <alignment vertical="center" shrinkToFit="1"/>
      <protection locked="0"/>
    </xf>
    <xf numFmtId="20" fontId="8" fillId="0" borderId="27" xfId="0" applyNumberFormat="1" applyFont="1" applyBorder="1" applyAlignment="1">
      <alignment horizontal="left" vertical="center"/>
    </xf>
    <xf numFmtId="0" fontId="0" fillId="0" borderId="12" xfId="0" applyBorder="1">
      <alignment vertical="center"/>
    </xf>
    <xf numFmtId="0" fontId="0" fillId="0" borderId="3" xfId="0" applyBorder="1">
      <alignment vertical="center"/>
    </xf>
    <xf numFmtId="0" fontId="0" fillId="0" borderId="31" xfId="0" applyBorder="1">
      <alignment vertical="center"/>
    </xf>
    <xf numFmtId="0" fontId="0" fillId="0" borderId="13" xfId="0" applyBorder="1">
      <alignment vertical="center"/>
    </xf>
    <xf numFmtId="0" fontId="15" fillId="0" borderId="0" xfId="0" applyFont="1" applyAlignment="1">
      <alignment horizontal="left" vertical="top"/>
    </xf>
    <xf numFmtId="0" fontId="0" fillId="0" borderId="0" xfId="0" applyAlignment="1">
      <alignment horizontal="right" vertical="center"/>
    </xf>
    <xf numFmtId="3" fontId="5" fillId="0" borderId="4" xfId="0" applyNumberFormat="1" applyFont="1" applyBorder="1" applyAlignment="1" applyProtection="1">
      <alignment horizontal="right" vertical="center"/>
      <protection locked="0"/>
    </xf>
    <xf numFmtId="0" fontId="5" fillId="0" borderId="3" xfId="0" applyFont="1" applyBorder="1" applyAlignment="1" applyProtection="1">
      <alignment horizontal="right" vertical="center"/>
      <protection locked="0"/>
    </xf>
    <xf numFmtId="0" fontId="6" fillId="0" borderId="3" xfId="0" applyFont="1" applyBorder="1" applyAlignment="1">
      <alignment horizontal="center" vertical="center"/>
    </xf>
    <xf numFmtId="0" fontId="6" fillId="0" borderId="59" xfId="0" applyFont="1" applyBorder="1" applyAlignment="1">
      <alignment horizontal="center" vertical="center"/>
    </xf>
    <xf numFmtId="0" fontId="6" fillId="3" borderId="30" xfId="0" applyFont="1" applyFill="1" applyBorder="1" applyAlignment="1">
      <alignment horizontal="center" vertical="center"/>
    </xf>
    <xf numFmtId="0" fontId="6" fillId="3" borderId="14" xfId="0" applyFont="1" applyFill="1" applyBorder="1" applyAlignment="1">
      <alignment horizontal="center" vertical="center"/>
    </xf>
    <xf numFmtId="0" fontId="6" fillId="0" borderId="1" xfId="0" applyFont="1" applyBorder="1" applyAlignment="1">
      <alignment horizontal="center" vertical="center"/>
    </xf>
    <xf numFmtId="0" fontId="6" fillId="0" borderId="11" xfId="0" applyFont="1" applyBorder="1" applyAlignment="1">
      <alignment horizontal="center" vertical="center"/>
    </xf>
    <xf numFmtId="38" fontId="5" fillId="0" borderId="5" xfId="1" applyFont="1" applyFill="1" applyBorder="1" applyAlignment="1" applyProtection="1">
      <alignment horizontal="right" vertical="center"/>
      <protection locked="0"/>
    </xf>
    <xf numFmtId="38" fontId="5" fillId="0" borderId="0" xfId="1" applyFont="1" applyFill="1" applyBorder="1" applyAlignment="1" applyProtection="1">
      <alignment horizontal="right" vertical="center"/>
      <protection locked="0"/>
    </xf>
    <xf numFmtId="38" fontId="5" fillId="0" borderId="27" xfId="1" applyFont="1" applyFill="1" applyBorder="1" applyAlignment="1" applyProtection="1">
      <alignment horizontal="right" vertical="center"/>
      <protection locked="0"/>
    </xf>
    <xf numFmtId="0" fontId="5" fillId="0" borderId="26" xfId="0" applyFont="1" applyBorder="1" applyAlignment="1" applyProtection="1">
      <alignment vertical="center" shrinkToFit="1"/>
      <protection locked="0"/>
    </xf>
    <xf numFmtId="0" fontId="5" fillId="0" borderId="0" xfId="0" applyFont="1" applyAlignment="1" applyProtection="1">
      <alignment vertical="center" shrinkToFit="1"/>
      <protection locked="0"/>
    </xf>
    <xf numFmtId="0" fontId="5" fillId="0" borderId="7" xfId="0" applyFont="1" applyBorder="1" applyAlignment="1" applyProtection="1">
      <alignment vertical="center" shrinkToFit="1"/>
      <protection locked="0"/>
    </xf>
    <xf numFmtId="0" fontId="6" fillId="0" borderId="2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5" fillId="0" borderId="0" xfId="0" applyFont="1" applyAlignment="1" applyProtection="1">
      <alignment horizontal="right" vertical="center" shrinkToFit="1"/>
      <protection locked="0"/>
    </xf>
    <xf numFmtId="0" fontId="5" fillId="0" borderId="16" xfId="0" applyFont="1" applyBorder="1" applyAlignment="1" applyProtection="1">
      <alignment horizontal="right" vertical="center" shrinkToFit="1"/>
      <protection locked="0"/>
    </xf>
    <xf numFmtId="0" fontId="6" fillId="0" borderId="9" xfId="0" applyFont="1" applyBorder="1" applyAlignment="1">
      <alignment horizontal="center" vertical="center"/>
    </xf>
    <xf numFmtId="0" fontId="6" fillId="0" borderId="33" xfId="0" applyFont="1" applyBorder="1" applyAlignment="1">
      <alignment horizontal="center" vertical="center"/>
    </xf>
    <xf numFmtId="0" fontId="6" fillId="0" borderId="21" xfId="0" applyFont="1" applyBorder="1" applyAlignment="1">
      <alignment horizontal="left" vertical="center"/>
    </xf>
    <xf numFmtId="0" fontId="6" fillId="0" borderId="2" xfId="0" applyFont="1" applyBorder="1" applyAlignment="1">
      <alignment horizontal="left" vertical="center"/>
    </xf>
    <xf numFmtId="0" fontId="6" fillId="0" borderId="9" xfId="0" applyFont="1" applyBorder="1" applyAlignment="1">
      <alignment horizontal="left" vertical="center"/>
    </xf>
    <xf numFmtId="0" fontId="5" fillId="0" borderId="52" xfId="0" applyFont="1" applyBorder="1" applyAlignment="1" applyProtection="1">
      <alignment horizontal="right" vertical="center"/>
      <protection locked="0"/>
    </xf>
    <xf numFmtId="0" fontId="5" fillId="0" borderId="12" xfId="0" applyFont="1" applyBorder="1" applyAlignment="1" applyProtection="1">
      <alignment horizontal="right" vertical="center"/>
      <protection locked="0"/>
    </xf>
    <xf numFmtId="0" fontId="5" fillId="0" borderId="4" xfId="0" applyFont="1" applyBorder="1" applyAlignment="1" applyProtection="1">
      <alignment horizontal="right" vertical="center"/>
      <protection locked="0"/>
    </xf>
    <xf numFmtId="0" fontId="6" fillId="0" borderId="58" xfId="0" applyFont="1" applyBorder="1" applyAlignment="1">
      <alignment horizontal="center" vertical="center"/>
    </xf>
    <xf numFmtId="0" fontId="6" fillId="0" borderId="8" xfId="0" applyFont="1" applyBorder="1" applyAlignment="1">
      <alignment horizontal="center" vertical="center"/>
    </xf>
    <xf numFmtId="0" fontId="5" fillId="0" borderId="32" xfId="0" applyFont="1" applyBorder="1" applyAlignment="1" applyProtection="1">
      <alignment horizontal="right" vertical="center"/>
      <protection locked="0"/>
    </xf>
    <xf numFmtId="0" fontId="5" fillId="0" borderId="31" xfId="0" applyFont="1" applyBorder="1" applyAlignment="1" applyProtection="1">
      <alignment horizontal="right" vertical="center"/>
      <protection locked="0"/>
    </xf>
    <xf numFmtId="0" fontId="5" fillId="0" borderId="6" xfId="0" applyFont="1" applyBorder="1" applyAlignment="1" applyProtection="1">
      <alignment horizontal="right" vertical="center"/>
      <protection locked="0"/>
    </xf>
    <xf numFmtId="0" fontId="5" fillId="0" borderId="2" xfId="0" applyFont="1" applyBorder="1" applyAlignment="1" applyProtection="1">
      <alignment horizontal="right" vertical="center"/>
      <protection locked="0"/>
    </xf>
    <xf numFmtId="0" fontId="5" fillId="0" borderId="38" xfId="0" applyFont="1" applyBorder="1" applyProtection="1">
      <alignment vertical="center"/>
      <protection locked="0"/>
    </xf>
    <xf numFmtId="0" fontId="5" fillId="0" borderId="12" xfId="0" applyFont="1" applyBorder="1" applyProtection="1">
      <alignment vertical="center"/>
      <protection locked="0"/>
    </xf>
    <xf numFmtId="0" fontId="5" fillId="0" borderId="57" xfId="0" applyFont="1" applyBorder="1" applyProtection="1">
      <alignment vertical="center"/>
      <protection locked="0"/>
    </xf>
    <xf numFmtId="0" fontId="5" fillId="0" borderId="20" xfId="0" applyFont="1" applyBorder="1" applyProtection="1">
      <alignment vertical="center"/>
      <protection locked="0"/>
    </xf>
    <xf numFmtId="0" fontId="5" fillId="0" borderId="1" xfId="0" applyFont="1" applyBorder="1" applyProtection="1">
      <alignment vertical="center"/>
      <protection locked="0"/>
    </xf>
    <xf numFmtId="0" fontId="5" fillId="0" borderId="49" xfId="0" applyFont="1" applyBorder="1" applyProtection="1">
      <alignment vertical="center"/>
      <protection locked="0"/>
    </xf>
    <xf numFmtId="0" fontId="6" fillId="3" borderId="30" xfId="0" applyFont="1" applyFill="1" applyBorder="1" applyAlignment="1">
      <alignment horizontal="center" vertical="center" shrinkToFit="1"/>
    </xf>
    <xf numFmtId="0" fontId="6" fillId="3" borderId="14" xfId="0" applyFont="1" applyFill="1" applyBorder="1" applyAlignment="1">
      <alignment horizontal="center" vertical="center" shrinkToFit="1"/>
    </xf>
    <xf numFmtId="0" fontId="6" fillId="3" borderId="29" xfId="0" applyFont="1" applyFill="1" applyBorder="1" applyAlignment="1">
      <alignment horizontal="center" vertical="center" shrinkToFit="1"/>
    </xf>
    <xf numFmtId="0" fontId="6" fillId="0" borderId="20" xfId="0" applyFont="1" applyBorder="1">
      <alignment vertical="center"/>
    </xf>
    <xf numFmtId="0" fontId="6" fillId="0" borderId="1" xfId="0" applyFont="1" applyBorder="1">
      <alignment vertical="center"/>
    </xf>
    <xf numFmtId="0" fontId="6" fillId="0" borderId="11" xfId="0" applyFont="1" applyBorder="1">
      <alignment vertical="center"/>
    </xf>
    <xf numFmtId="3" fontId="5" fillId="0" borderId="32" xfId="0" applyNumberFormat="1" applyFont="1" applyBorder="1" applyAlignment="1" applyProtection="1">
      <alignment horizontal="right" vertical="center"/>
      <protection locked="0"/>
    </xf>
    <xf numFmtId="0" fontId="6" fillId="0" borderId="31" xfId="0" applyFont="1" applyBorder="1" applyAlignment="1">
      <alignment horizontal="center" vertical="center"/>
    </xf>
    <xf numFmtId="0" fontId="6" fillId="0" borderId="60" xfId="0" applyFont="1" applyBorder="1" applyAlignment="1">
      <alignment horizontal="center" vertical="center"/>
    </xf>
    <xf numFmtId="0" fontId="6" fillId="3" borderId="39"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29" xfId="0" applyFont="1" applyFill="1" applyBorder="1" applyAlignment="1">
      <alignment horizontal="center" vertical="center"/>
    </xf>
    <xf numFmtId="0" fontId="6" fillId="0" borderId="19" xfId="0" applyFont="1" applyBorder="1">
      <alignment vertical="center"/>
    </xf>
    <xf numFmtId="0" fontId="6" fillId="0" borderId="13" xfId="0" applyFont="1" applyBorder="1">
      <alignment vertical="center"/>
    </xf>
    <xf numFmtId="0" fontId="6" fillId="0" borderId="21" xfId="0" applyFont="1" applyBorder="1">
      <alignment vertical="center"/>
    </xf>
    <xf numFmtId="0" fontId="6" fillId="0" borderId="2" xfId="0" applyFont="1" applyBorder="1">
      <alignment vertical="center"/>
    </xf>
    <xf numFmtId="38" fontId="5" fillId="0" borderId="6" xfId="1" applyFont="1" applyBorder="1" applyAlignment="1" applyProtection="1">
      <alignment horizontal="right" vertical="center"/>
      <protection locked="0"/>
    </xf>
    <xf numFmtId="38" fontId="5" fillId="0" borderId="2" xfId="1" applyFont="1" applyBorder="1" applyAlignment="1" applyProtection="1">
      <alignment horizontal="right" vertical="center"/>
      <protection locked="0"/>
    </xf>
    <xf numFmtId="38" fontId="5" fillId="0" borderId="51" xfId="1" applyFont="1" applyBorder="1" applyAlignment="1" applyProtection="1">
      <alignment horizontal="right" vertical="center"/>
      <protection locked="0"/>
    </xf>
    <xf numFmtId="0" fontId="6" fillId="0" borderId="13" xfId="0" applyFont="1" applyBorder="1" applyAlignment="1">
      <alignment horizontal="center" vertical="center"/>
    </xf>
    <xf numFmtId="0" fontId="6" fillId="0" borderId="18" xfId="0" applyFont="1" applyBorder="1" applyAlignment="1">
      <alignment horizontal="center" vertical="center"/>
    </xf>
    <xf numFmtId="38" fontId="5" fillId="0" borderId="5" xfId="1" applyFont="1" applyBorder="1" applyAlignment="1" applyProtection="1">
      <alignment horizontal="right" vertical="center" shrinkToFit="1"/>
      <protection locked="0"/>
    </xf>
    <xf numFmtId="38" fontId="5" fillId="0" borderId="0" xfId="1" applyFont="1" applyBorder="1" applyAlignment="1" applyProtection="1">
      <alignment horizontal="right" vertical="center" shrinkToFit="1"/>
      <protection locked="0"/>
    </xf>
    <xf numFmtId="38" fontId="5" fillId="0" borderId="27" xfId="1" applyFont="1" applyBorder="1" applyAlignment="1" applyProtection="1">
      <alignment horizontal="right" vertical="center" shrinkToFit="1"/>
      <protection locked="0"/>
    </xf>
    <xf numFmtId="0" fontId="5" fillId="0" borderId="38" xfId="0" applyFont="1" applyBorder="1" applyAlignment="1" applyProtection="1">
      <alignment vertical="center" shrinkToFit="1"/>
      <protection locked="0"/>
    </xf>
    <xf numFmtId="0" fontId="5" fillId="0" borderId="12" xfId="0" applyFont="1" applyBorder="1" applyAlignment="1" applyProtection="1">
      <alignment vertical="center" shrinkToFit="1"/>
      <protection locked="0"/>
    </xf>
    <xf numFmtId="0" fontId="5" fillId="0" borderId="58" xfId="0" applyFont="1" applyBorder="1" applyAlignment="1" applyProtection="1">
      <alignment vertical="center" shrinkToFit="1"/>
      <protection locked="0"/>
    </xf>
    <xf numFmtId="3" fontId="5" fillId="0" borderId="52" xfId="0" applyNumberFormat="1" applyFont="1" applyBorder="1" applyAlignment="1" applyProtection="1">
      <alignment horizontal="right" vertical="center"/>
      <protection locked="0"/>
    </xf>
    <xf numFmtId="0" fontId="6" fillId="0" borderId="12" xfId="0" applyFont="1" applyBorder="1" applyAlignment="1">
      <alignment horizontal="center" vertical="center"/>
    </xf>
    <xf numFmtId="0" fontId="6" fillId="0" borderId="57" xfId="0" applyFont="1" applyBorder="1" applyAlignment="1">
      <alignment horizontal="center" vertical="center"/>
    </xf>
    <xf numFmtId="0" fontId="5" fillId="0" borderId="36" xfId="0" applyFont="1" applyBorder="1" applyAlignment="1" applyProtection="1">
      <alignment vertical="center" shrinkToFit="1"/>
      <protection locked="0"/>
    </xf>
    <xf numFmtId="0" fontId="5" fillId="0" borderId="3" xfId="0" applyFont="1" applyBorder="1" applyAlignment="1" applyProtection="1">
      <alignment vertical="center" shrinkToFit="1"/>
      <protection locked="0"/>
    </xf>
    <xf numFmtId="0" fontId="5" fillId="0" borderId="8" xfId="0" applyFont="1" applyBorder="1" applyAlignment="1" applyProtection="1">
      <alignment vertical="center" shrinkToFit="1"/>
      <protection locked="0"/>
    </xf>
    <xf numFmtId="38" fontId="5" fillId="0" borderId="10" xfId="1" applyFont="1" applyBorder="1" applyAlignment="1" applyProtection="1">
      <alignment horizontal="right" vertical="center"/>
      <protection locked="0"/>
    </xf>
    <xf numFmtId="38" fontId="5" fillId="0" borderId="1" xfId="1" applyFont="1" applyBorder="1" applyAlignment="1" applyProtection="1">
      <alignment horizontal="right" vertical="center"/>
      <protection locked="0"/>
    </xf>
    <xf numFmtId="38" fontId="5" fillId="0" borderId="25" xfId="1" applyFont="1" applyBorder="1" applyAlignment="1" applyProtection="1">
      <alignment horizontal="right" vertical="center"/>
      <protection locked="0"/>
    </xf>
    <xf numFmtId="38" fontId="5" fillId="0" borderId="13" xfId="1" applyFont="1" applyBorder="1" applyAlignment="1" applyProtection="1">
      <alignment horizontal="right" vertical="center"/>
      <protection locked="0"/>
    </xf>
    <xf numFmtId="38" fontId="5" fillId="0" borderId="10" xfId="1" applyFont="1" applyBorder="1" applyAlignment="1" applyProtection="1">
      <alignment horizontal="right" vertical="center"/>
    </xf>
    <xf numFmtId="38" fontId="5" fillId="0" borderId="1" xfId="1" applyFont="1" applyBorder="1" applyAlignment="1" applyProtection="1">
      <alignment horizontal="right" vertical="center"/>
    </xf>
    <xf numFmtId="38" fontId="5" fillId="0" borderId="25" xfId="1" applyFont="1" applyBorder="1" applyAlignment="1" applyProtection="1">
      <alignment horizontal="right" vertical="center"/>
    </xf>
    <xf numFmtId="38" fontId="5" fillId="0" borderId="13" xfId="1" applyFont="1" applyBorder="1" applyAlignment="1" applyProtection="1">
      <alignment horizontal="right" vertical="center"/>
    </xf>
    <xf numFmtId="38" fontId="5" fillId="0" borderId="5" xfId="1" applyFont="1" applyBorder="1" applyAlignment="1" applyProtection="1">
      <alignment horizontal="right" vertical="center"/>
      <protection locked="0"/>
    </xf>
    <xf numFmtId="38" fontId="5" fillId="0" borderId="0" xfId="1" applyFont="1" applyBorder="1" applyAlignment="1" applyProtection="1">
      <alignment horizontal="right" vertical="center"/>
      <protection locked="0"/>
    </xf>
    <xf numFmtId="38" fontId="5" fillId="0" borderId="27" xfId="1" applyFont="1" applyBorder="1" applyAlignment="1" applyProtection="1">
      <alignment horizontal="right" vertical="center"/>
      <protection locked="0"/>
    </xf>
    <xf numFmtId="0" fontId="5" fillId="0" borderId="21" xfId="0" applyFont="1" applyBorder="1" applyAlignment="1" applyProtection="1">
      <alignment vertical="center" shrinkToFit="1"/>
      <protection locked="0"/>
    </xf>
    <xf numFmtId="0" fontId="5" fillId="0" borderId="2" xfId="0" applyFont="1" applyBorder="1" applyAlignment="1" applyProtection="1">
      <alignment vertical="center" shrinkToFit="1"/>
      <protection locked="0"/>
    </xf>
    <xf numFmtId="0" fontId="5" fillId="0" borderId="9" xfId="0" applyFont="1" applyBorder="1" applyAlignment="1" applyProtection="1">
      <alignment vertical="center" shrinkToFit="1"/>
      <protection locked="0"/>
    </xf>
    <xf numFmtId="38" fontId="5" fillId="0" borderId="5" xfId="1" applyFont="1" applyBorder="1" applyAlignment="1" applyProtection="1">
      <alignment horizontal="right" vertical="center" indent="1" shrinkToFit="1"/>
      <protection locked="0"/>
    </xf>
    <xf numFmtId="38" fontId="5" fillId="0" borderId="0" xfId="1" applyFont="1" applyBorder="1" applyAlignment="1" applyProtection="1">
      <alignment horizontal="right" vertical="center" indent="1" shrinkToFit="1"/>
      <protection locked="0"/>
    </xf>
    <xf numFmtId="38" fontId="5" fillId="0" borderId="27" xfId="1" applyFont="1" applyBorder="1" applyAlignment="1" applyProtection="1">
      <alignment horizontal="right" vertical="center" indent="1" shrinkToFit="1"/>
      <protection locked="0"/>
    </xf>
    <xf numFmtId="0" fontId="6" fillId="0" borderId="49" xfId="0" applyFont="1" applyBorder="1" applyAlignment="1">
      <alignment horizontal="center" vertical="center"/>
    </xf>
    <xf numFmtId="0" fontId="6" fillId="3" borderId="19" xfId="0" applyFont="1" applyFill="1" applyBorder="1" applyAlignment="1">
      <alignment horizontal="distributed" vertical="center"/>
    </xf>
    <xf numFmtId="0" fontId="6" fillId="3" borderId="13" xfId="0" applyFont="1" applyFill="1" applyBorder="1" applyAlignment="1">
      <alignment horizontal="distributed" vertical="center"/>
    </xf>
    <xf numFmtId="0" fontId="6" fillId="3" borderId="23" xfId="0" applyFont="1" applyFill="1" applyBorder="1" applyAlignment="1">
      <alignment horizontal="distributed" vertical="center"/>
    </xf>
    <xf numFmtId="0" fontId="6" fillId="3" borderId="26" xfId="0" applyFont="1" applyFill="1" applyBorder="1" applyAlignment="1">
      <alignment horizontal="distributed" vertical="center"/>
    </xf>
    <xf numFmtId="0" fontId="6" fillId="3" borderId="0" xfId="0" applyFont="1" applyFill="1" applyAlignment="1">
      <alignment horizontal="distributed" vertical="center"/>
    </xf>
    <xf numFmtId="0" fontId="6" fillId="3" borderId="7" xfId="0" applyFont="1" applyFill="1" applyBorder="1" applyAlignment="1">
      <alignment horizontal="distributed" vertical="center"/>
    </xf>
    <xf numFmtId="0" fontId="6" fillId="3" borderId="21" xfId="0" applyFont="1" applyFill="1" applyBorder="1" applyAlignment="1">
      <alignment horizontal="distributed" vertical="center"/>
    </xf>
    <xf numFmtId="0" fontId="6" fillId="3" borderId="2" xfId="0" applyFont="1" applyFill="1" applyBorder="1" applyAlignment="1">
      <alignment horizontal="distributed" vertical="center"/>
    </xf>
    <xf numFmtId="0" fontId="6" fillId="3" borderId="9" xfId="0" applyFont="1" applyFill="1" applyBorder="1" applyAlignment="1">
      <alignment horizontal="distributed" vertical="center"/>
    </xf>
    <xf numFmtId="0" fontId="6" fillId="0" borderId="23"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176" fontId="5" fillId="0" borderId="13" xfId="1" applyNumberFormat="1" applyFont="1" applyBorder="1" applyAlignment="1" applyProtection="1">
      <alignment horizontal="right" vertical="center"/>
      <protection locked="0"/>
    </xf>
    <xf numFmtId="176" fontId="5" fillId="0" borderId="0" xfId="1" applyNumberFormat="1" applyFont="1" applyBorder="1" applyAlignment="1" applyProtection="1">
      <alignment horizontal="right" vertical="center"/>
      <protection locked="0"/>
    </xf>
    <xf numFmtId="176" fontId="5" fillId="0" borderId="2" xfId="1" applyNumberFormat="1" applyFont="1" applyBorder="1" applyAlignment="1" applyProtection="1">
      <alignment horizontal="right" vertical="center"/>
      <protection locked="0"/>
    </xf>
    <xf numFmtId="176" fontId="5" fillId="0" borderId="25" xfId="0" applyNumberFormat="1" applyFont="1" applyBorder="1" applyAlignment="1" applyProtection="1">
      <alignment horizontal="right" vertical="center"/>
      <protection locked="0"/>
    </xf>
    <xf numFmtId="176" fontId="5" fillId="0" borderId="13" xfId="0" applyNumberFormat="1" applyFont="1" applyBorder="1" applyAlignment="1" applyProtection="1">
      <alignment horizontal="right" vertical="center"/>
      <protection locked="0"/>
    </xf>
    <xf numFmtId="176" fontId="5" fillId="0" borderId="5" xfId="0" applyNumberFormat="1" applyFont="1" applyBorder="1" applyAlignment="1" applyProtection="1">
      <alignment horizontal="right" vertical="center"/>
      <protection locked="0"/>
    </xf>
    <xf numFmtId="176" fontId="5" fillId="0" borderId="0" xfId="0" applyNumberFormat="1" applyFont="1" applyAlignment="1" applyProtection="1">
      <alignment horizontal="right" vertical="center"/>
      <protection locked="0"/>
    </xf>
    <xf numFmtId="176" fontId="5" fillId="0" borderId="6" xfId="0" applyNumberFormat="1" applyFont="1" applyBorder="1" applyAlignment="1" applyProtection="1">
      <alignment horizontal="right" vertical="center"/>
      <protection locked="0"/>
    </xf>
    <xf numFmtId="176" fontId="5" fillId="0" borderId="2" xfId="0" applyNumberFormat="1" applyFont="1" applyBorder="1" applyAlignment="1" applyProtection="1">
      <alignment horizontal="right" vertical="center"/>
      <protection locked="0"/>
    </xf>
    <xf numFmtId="176" fontId="5" fillId="0" borderId="10" xfId="1" applyNumberFormat="1" applyFont="1" applyBorder="1" applyAlignment="1" applyProtection="1">
      <alignment horizontal="right" vertical="center"/>
      <protection locked="0"/>
    </xf>
    <xf numFmtId="176" fontId="5" fillId="0" borderId="1" xfId="1" applyNumberFormat="1" applyFont="1" applyBorder="1" applyAlignment="1" applyProtection="1">
      <alignment horizontal="right" vertical="center"/>
      <protection locked="0"/>
    </xf>
    <xf numFmtId="176" fontId="5" fillId="0" borderId="6" xfId="1" applyNumberFormat="1" applyFont="1" applyBorder="1" applyAlignment="1" applyProtection="1">
      <alignment horizontal="right" vertical="center"/>
      <protection locked="0"/>
    </xf>
    <xf numFmtId="0" fontId="5" fillId="0" borderId="5" xfId="0" applyFont="1" applyBorder="1" applyAlignment="1" applyProtection="1">
      <alignment vertical="center" shrinkToFit="1"/>
      <protection locked="0"/>
    </xf>
    <xf numFmtId="38" fontId="5" fillId="0" borderId="10" xfId="1" applyFont="1" applyFill="1" applyBorder="1" applyAlignment="1" applyProtection="1">
      <alignment horizontal="right" vertical="center"/>
    </xf>
    <xf numFmtId="38" fontId="5" fillId="0" borderId="1" xfId="1" applyFont="1" applyFill="1" applyBorder="1" applyAlignment="1" applyProtection="1">
      <alignment horizontal="right" vertical="center"/>
    </xf>
    <xf numFmtId="38" fontId="7" fillId="0" borderId="5" xfId="1" applyFont="1" applyFill="1" applyBorder="1" applyAlignment="1" applyProtection="1">
      <alignment horizontal="right" vertical="center"/>
      <protection locked="0"/>
    </xf>
    <xf numFmtId="38" fontId="7" fillId="0" borderId="0" xfId="1" applyFont="1" applyFill="1" applyBorder="1" applyAlignment="1" applyProtection="1">
      <alignment horizontal="right" vertical="center"/>
      <protection locked="0"/>
    </xf>
    <xf numFmtId="38" fontId="7" fillId="0" borderId="27" xfId="1" applyFont="1" applyFill="1" applyBorder="1" applyAlignment="1" applyProtection="1">
      <alignment horizontal="right" vertical="center"/>
      <protection locked="0"/>
    </xf>
    <xf numFmtId="0" fontId="6" fillId="0" borderId="27" xfId="0" applyFont="1" applyBorder="1" applyAlignment="1">
      <alignment horizontal="center" vertical="center"/>
    </xf>
    <xf numFmtId="0" fontId="6" fillId="0" borderId="14" xfId="0" applyFont="1" applyBorder="1" applyAlignment="1">
      <alignment horizontal="center" vertical="center"/>
    </xf>
    <xf numFmtId="0" fontId="6" fillId="0" borderId="29" xfId="0" applyFont="1" applyBorder="1" applyAlignment="1">
      <alignment horizontal="center" vertical="center"/>
    </xf>
    <xf numFmtId="38" fontId="5" fillId="0" borderId="17" xfId="1" applyFont="1" applyBorder="1" applyAlignment="1" applyProtection="1">
      <alignment horizontal="right" vertical="center"/>
      <protection locked="0"/>
    </xf>
    <xf numFmtId="38" fontId="5" fillId="0" borderId="16" xfId="1" applyFont="1" applyBorder="1" applyAlignment="1" applyProtection="1">
      <alignment horizontal="right" vertical="center"/>
      <protection locked="0"/>
    </xf>
    <xf numFmtId="38" fontId="5" fillId="0" borderId="22" xfId="1" applyFont="1" applyBorder="1" applyAlignment="1" applyProtection="1">
      <alignment horizontal="right" vertical="center"/>
      <protection locked="0"/>
    </xf>
    <xf numFmtId="38" fontId="7" fillId="0" borderId="15" xfId="1" applyFont="1" applyBorder="1" applyAlignment="1" applyProtection="1">
      <alignment horizontal="right" vertical="center"/>
    </xf>
    <xf numFmtId="38" fontId="7" fillId="0" borderId="14" xfId="1" applyFont="1" applyBorder="1" applyAlignment="1" applyProtection="1">
      <alignment horizontal="right" vertical="center"/>
    </xf>
    <xf numFmtId="38" fontId="7" fillId="0" borderId="17" xfId="1" applyFont="1" applyBorder="1" applyAlignment="1" applyProtection="1">
      <alignment horizontal="right" vertical="center"/>
      <protection locked="0"/>
    </xf>
    <xf numFmtId="38" fontId="7" fillId="0" borderId="16" xfId="1" applyFont="1" applyBorder="1" applyAlignment="1" applyProtection="1">
      <alignment horizontal="right" vertical="center"/>
      <protection locked="0"/>
    </xf>
    <xf numFmtId="38" fontId="7" fillId="0" borderId="22" xfId="1" applyFont="1" applyBorder="1" applyAlignment="1" applyProtection="1">
      <alignment horizontal="right" vertical="center"/>
      <protection locked="0"/>
    </xf>
    <xf numFmtId="0" fontId="6" fillId="3" borderId="25" xfId="0" applyFont="1" applyFill="1" applyBorder="1" applyAlignment="1">
      <alignment horizontal="center" vertical="center" shrinkToFit="1"/>
    </xf>
    <xf numFmtId="0" fontId="6" fillId="3" borderId="13"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6" fillId="3" borderId="5"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27" xfId="0" applyFont="1" applyFill="1" applyBorder="1" applyAlignment="1">
      <alignment horizontal="center" vertical="center" shrinkToFit="1"/>
    </xf>
    <xf numFmtId="0" fontId="6" fillId="3" borderId="17" xfId="0" applyFont="1" applyFill="1" applyBorder="1" applyAlignment="1">
      <alignment horizontal="center" vertical="center" shrinkToFit="1"/>
    </xf>
    <xf numFmtId="0" fontId="6" fillId="3" borderId="16" xfId="0" applyFont="1" applyFill="1" applyBorder="1" applyAlignment="1">
      <alignment horizontal="center" vertical="center" shrinkToFit="1"/>
    </xf>
    <xf numFmtId="0" fontId="6" fillId="3" borderId="22" xfId="0" applyFont="1" applyFill="1" applyBorder="1" applyAlignment="1">
      <alignment horizontal="center" vertical="center" shrinkToFi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5" fillId="0" borderId="25" xfId="0" applyFont="1" applyBorder="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18"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27" xfId="0" applyFont="1" applyBorder="1" applyAlignment="1" applyProtection="1">
      <alignment horizontal="left" vertical="top" wrapText="1"/>
      <protection locked="0"/>
    </xf>
    <xf numFmtId="0" fontId="5" fillId="0" borderId="17" xfId="0" applyFont="1" applyBorder="1" applyAlignment="1" applyProtection="1">
      <alignment horizontal="left" vertical="top" wrapText="1"/>
      <protection locked="0"/>
    </xf>
    <xf numFmtId="0" fontId="5" fillId="0" borderId="16"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38" fontId="6" fillId="0" borderId="6" xfId="1" applyFont="1" applyFill="1" applyBorder="1" applyAlignment="1" applyProtection="1">
      <alignment horizontal="right" vertical="center" shrinkToFit="1"/>
      <protection locked="0"/>
    </xf>
    <xf numFmtId="38" fontId="6" fillId="0" borderId="2" xfId="1" applyFont="1" applyFill="1" applyBorder="1" applyAlignment="1" applyProtection="1">
      <alignment horizontal="right" vertical="center" shrinkToFit="1"/>
      <protection locked="0"/>
    </xf>
    <xf numFmtId="38" fontId="6" fillId="0" borderId="51" xfId="1" applyFont="1" applyFill="1" applyBorder="1" applyAlignment="1" applyProtection="1">
      <alignment horizontal="right" vertical="center" shrinkToFit="1"/>
      <protection locked="0"/>
    </xf>
    <xf numFmtId="38" fontId="7" fillId="0" borderId="5" xfId="1" applyFont="1" applyBorder="1" applyAlignment="1" applyProtection="1">
      <alignment horizontal="right" vertical="center"/>
      <protection locked="0"/>
    </xf>
    <xf numFmtId="38" fontId="7" fillId="0" borderId="0" xfId="1" applyFont="1" applyBorder="1" applyAlignment="1" applyProtection="1">
      <alignment horizontal="right" vertical="center"/>
      <protection locked="0"/>
    </xf>
    <xf numFmtId="38" fontId="7" fillId="0" borderId="27" xfId="1" applyFont="1" applyBorder="1" applyAlignment="1" applyProtection="1">
      <alignment horizontal="right" vertical="center"/>
      <protection locked="0"/>
    </xf>
    <xf numFmtId="0" fontId="6" fillId="3" borderId="2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7" xfId="0" applyFont="1" applyFill="1" applyBorder="1" applyAlignment="1">
      <alignment horizontal="center" vertical="center" wrapText="1"/>
    </xf>
    <xf numFmtId="0" fontId="5" fillId="0" borderId="57" xfId="0" applyFont="1" applyBorder="1" applyAlignment="1" applyProtection="1">
      <alignment vertical="center" shrinkToFit="1"/>
      <protection locked="0"/>
    </xf>
    <xf numFmtId="0" fontId="5" fillId="0" borderId="59" xfId="0" applyFont="1" applyBorder="1" applyAlignment="1" applyProtection="1">
      <alignment vertical="center" shrinkToFit="1"/>
      <protection locked="0"/>
    </xf>
    <xf numFmtId="0" fontId="6" fillId="3" borderId="61" xfId="0" applyFont="1" applyFill="1" applyBorder="1" applyAlignment="1">
      <alignment horizontal="center" vertical="center"/>
    </xf>
    <xf numFmtId="0" fontId="6" fillId="3" borderId="62" xfId="0" applyFont="1" applyFill="1" applyBorder="1" applyAlignment="1">
      <alignment horizontal="center" vertical="center"/>
    </xf>
    <xf numFmtId="0" fontId="6" fillId="3" borderId="63" xfId="0" applyFont="1" applyFill="1" applyBorder="1" applyAlignment="1">
      <alignment horizontal="center" vertical="center"/>
    </xf>
    <xf numFmtId="0" fontId="6" fillId="3" borderId="23" xfId="0" applyFont="1" applyFill="1" applyBorder="1" applyAlignment="1">
      <alignment horizontal="center" vertical="center" shrinkToFit="1"/>
    </xf>
    <xf numFmtId="177" fontId="5" fillId="0" borderId="34" xfId="0" applyNumberFormat="1" applyFont="1" applyBorder="1" applyAlignment="1" applyProtection="1">
      <alignment horizontal="left" vertical="center" shrinkToFit="1"/>
      <protection locked="0"/>
    </xf>
    <xf numFmtId="177" fontId="5" fillId="0" borderId="31" xfId="0" applyNumberFormat="1" applyFont="1" applyBorder="1" applyAlignment="1" applyProtection="1">
      <alignment horizontal="left" vertical="center" shrinkToFit="1"/>
      <protection locked="0"/>
    </xf>
    <xf numFmtId="177" fontId="5" fillId="0" borderId="60" xfId="0" applyNumberFormat="1" applyFont="1" applyBorder="1" applyAlignment="1" applyProtection="1">
      <alignment horizontal="left" vertical="center" shrinkToFit="1"/>
      <protection locked="0"/>
    </xf>
    <xf numFmtId="0" fontId="6" fillId="3" borderId="30" xfId="0" applyFont="1" applyFill="1" applyBorder="1" applyAlignment="1">
      <alignment horizontal="distributed" vertical="center"/>
    </xf>
    <xf numFmtId="0" fontId="6" fillId="3" borderId="14" xfId="0" applyFont="1" applyFill="1" applyBorder="1" applyAlignment="1">
      <alignment horizontal="distributed" vertical="center"/>
    </xf>
    <xf numFmtId="0" fontId="6" fillId="3" borderId="29" xfId="0" applyFont="1" applyFill="1" applyBorder="1" applyAlignment="1">
      <alignment horizontal="distributed" vertical="center"/>
    </xf>
    <xf numFmtId="0" fontId="5" fillId="0" borderId="28" xfId="0" applyFont="1" applyBorder="1" applyAlignment="1" applyProtection="1">
      <alignment vertical="center" shrinkToFit="1"/>
      <protection locked="0"/>
    </xf>
    <xf numFmtId="0" fontId="5" fillId="0" borderId="16" xfId="0" applyFont="1" applyBorder="1" applyAlignment="1" applyProtection="1">
      <alignment vertical="center" shrinkToFit="1"/>
      <protection locked="0"/>
    </xf>
    <xf numFmtId="0" fontId="5" fillId="0" borderId="24" xfId="0" applyFont="1" applyBorder="1" applyAlignment="1" applyProtection="1">
      <alignment vertical="center" shrinkToFit="1"/>
      <protection locked="0"/>
    </xf>
    <xf numFmtId="0" fontId="6" fillId="3" borderId="19" xfId="0" applyFont="1" applyFill="1" applyBorder="1" applyAlignment="1">
      <alignment horizontal="distributed" vertical="center" wrapText="1"/>
    </xf>
    <xf numFmtId="0" fontId="6" fillId="3" borderId="13" xfId="0" applyFont="1" applyFill="1" applyBorder="1" applyAlignment="1">
      <alignment horizontal="distributed" vertical="center" wrapText="1"/>
    </xf>
    <xf numFmtId="0" fontId="6" fillId="3" borderId="18" xfId="0" applyFont="1" applyFill="1" applyBorder="1" applyAlignment="1">
      <alignment horizontal="distributed" vertical="center" wrapText="1"/>
    </xf>
    <xf numFmtId="0" fontId="6" fillId="3" borderId="26" xfId="0" applyFont="1" applyFill="1" applyBorder="1" applyAlignment="1">
      <alignment horizontal="distributed" vertical="center" wrapText="1"/>
    </xf>
    <xf numFmtId="0" fontId="6" fillId="3" borderId="0" xfId="0" applyFont="1" applyFill="1" applyAlignment="1">
      <alignment horizontal="distributed" vertical="center" wrapText="1"/>
    </xf>
    <xf numFmtId="0" fontId="6" fillId="3" borderId="27" xfId="0" applyFont="1" applyFill="1" applyBorder="1" applyAlignment="1">
      <alignment horizontal="distributed" vertical="center" wrapText="1"/>
    </xf>
    <xf numFmtId="0" fontId="6" fillId="3" borderId="28" xfId="0" applyFont="1" applyFill="1" applyBorder="1" applyAlignment="1">
      <alignment horizontal="distributed" vertical="center" wrapText="1"/>
    </xf>
    <xf numFmtId="0" fontId="6" fillId="3" borderId="16" xfId="0" applyFont="1" applyFill="1" applyBorder="1" applyAlignment="1">
      <alignment horizontal="distributed" vertical="center" wrapText="1"/>
    </xf>
    <xf numFmtId="0" fontId="6" fillId="3" borderId="22" xfId="0" applyFont="1" applyFill="1" applyBorder="1" applyAlignment="1">
      <alignment horizontal="distributed" vertical="center" wrapText="1"/>
    </xf>
    <xf numFmtId="0" fontId="5" fillId="0" borderId="34" xfId="0" applyFont="1" applyBorder="1" applyAlignment="1" applyProtection="1">
      <alignment vertical="center" shrinkToFit="1"/>
      <protection locked="0"/>
    </xf>
    <xf numFmtId="0" fontId="5" fillId="0" borderId="31" xfId="0" applyFont="1" applyBorder="1" applyAlignment="1" applyProtection="1">
      <alignment vertical="center" shrinkToFit="1"/>
      <protection locked="0"/>
    </xf>
    <xf numFmtId="0" fontId="5" fillId="0" borderId="33" xfId="0" applyFont="1" applyBorder="1" applyAlignment="1" applyProtection="1">
      <alignment vertical="center" shrinkToFit="1"/>
      <protection locked="0"/>
    </xf>
    <xf numFmtId="0" fontId="5" fillId="0" borderId="60" xfId="0" applyFont="1" applyBorder="1" applyAlignment="1" applyProtection="1">
      <alignment vertical="center" shrinkToFit="1"/>
      <protection locked="0"/>
    </xf>
    <xf numFmtId="0" fontId="5" fillId="0" borderId="14" xfId="0" applyFont="1" applyBorder="1" applyAlignment="1" applyProtection="1">
      <alignment horizontal="left" vertical="center" shrinkToFit="1"/>
      <protection locked="0"/>
    </xf>
    <xf numFmtId="177" fontId="5" fillId="0" borderId="21" xfId="0" applyNumberFormat="1" applyFont="1" applyBorder="1" applyAlignment="1" applyProtection="1">
      <alignment horizontal="left" vertical="center" shrinkToFit="1"/>
      <protection locked="0"/>
    </xf>
    <xf numFmtId="177" fontId="5" fillId="0" borderId="2" xfId="0" applyNumberFormat="1" applyFont="1" applyBorder="1" applyAlignment="1" applyProtection="1">
      <alignment horizontal="left" vertical="center" shrinkToFit="1"/>
      <protection locked="0"/>
    </xf>
    <xf numFmtId="177" fontId="5" fillId="0" borderId="51" xfId="0" applyNumberFormat="1" applyFont="1" applyBorder="1" applyAlignment="1" applyProtection="1">
      <alignment horizontal="left" vertical="center" shrinkToFit="1"/>
      <protection locked="0"/>
    </xf>
    <xf numFmtId="0" fontId="8" fillId="0" borderId="0" xfId="0" applyFont="1" applyAlignment="1">
      <alignment horizontal="center" vertical="top"/>
    </xf>
    <xf numFmtId="0" fontId="7" fillId="0" borderId="0" xfId="0" applyFont="1" applyAlignment="1" applyProtection="1">
      <alignment shrinkToFit="1"/>
      <protection locked="0"/>
    </xf>
    <xf numFmtId="0" fontId="7" fillId="0" borderId="2" xfId="0" applyFont="1" applyBorder="1" applyAlignment="1" applyProtection="1">
      <alignment shrinkToFit="1"/>
      <protection locked="0"/>
    </xf>
    <xf numFmtId="0" fontId="7" fillId="0" borderId="0" xfId="0" applyFont="1" applyAlignment="1" applyProtection="1">
      <alignment horizontal="center" vertical="top"/>
      <protection locked="0"/>
    </xf>
    <xf numFmtId="0" fontId="5" fillId="0" borderId="14" xfId="0" applyFont="1" applyBorder="1" applyAlignment="1" applyProtection="1">
      <alignment vertical="center" shrinkToFit="1"/>
      <protection locked="0"/>
    </xf>
    <xf numFmtId="0" fontId="5" fillId="0" borderId="36" xfId="0" applyFont="1" applyBorder="1" applyProtection="1">
      <alignment vertical="center"/>
      <protection locked="0"/>
    </xf>
    <xf numFmtId="0" fontId="5" fillId="0" borderId="3" xfId="0" applyFont="1" applyBorder="1" applyProtection="1">
      <alignment vertical="center"/>
      <protection locked="0"/>
    </xf>
    <xf numFmtId="0" fontId="5" fillId="0" borderId="59" xfId="0" applyFont="1" applyBorder="1" applyProtection="1">
      <alignment vertical="center"/>
      <protection locked="0"/>
    </xf>
    <xf numFmtId="0" fontId="5" fillId="0" borderId="34" xfId="0" applyFont="1" applyBorder="1" applyProtection="1">
      <alignment vertical="center"/>
      <protection locked="0"/>
    </xf>
    <xf numFmtId="0" fontId="5" fillId="0" borderId="31" xfId="0" applyFont="1" applyBorder="1" applyProtection="1">
      <alignment vertical="center"/>
      <protection locked="0"/>
    </xf>
    <xf numFmtId="0" fontId="5" fillId="0" borderId="60" xfId="0" applyFont="1" applyBorder="1" applyProtection="1">
      <alignment vertical="center"/>
      <protection locked="0"/>
    </xf>
    <xf numFmtId="0" fontId="10" fillId="0" borderId="0" xfId="0" applyFont="1" applyAlignment="1">
      <alignment vertical="top"/>
    </xf>
    <xf numFmtId="0" fontId="0" fillId="0" borderId="0" xfId="0" applyAlignment="1">
      <alignment vertical="top"/>
    </xf>
    <xf numFmtId="14" fontId="5" fillId="0" borderId="38" xfId="0" applyNumberFormat="1" applyFont="1" applyBorder="1" applyAlignment="1" applyProtection="1">
      <alignment horizontal="left" vertical="center" shrinkToFit="1"/>
      <protection locked="0"/>
    </xf>
    <xf numFmtId="0" fontId="5" fillId="0" borderId="12" xfId="0" applyFont="1" applyBorder="1" applyAlignment="1" applyProtection="1">
      <alignment horizontal="left" vertical="center" shrinkToFit="1"/>
      <protection locked="0"/>
    </xf>
    <xf numFmtId="0" fontId="5" fillId="0" borderId="57" xfId="0" applyFont="1" applyBorder="1" applyAlignment="1" applyProtection="1">
      <alignment horizontal="left" vertical="center" shrinkToFit="1"/>
      <protection locked="0"/>
    </xf>
    <xf numFmtId="0" fontId="6" fillId="0" borderId="14" xfId="0" applyFont="1" applyBorder="1" applyAlignment="1">
      <alignment horizontal="left" vertical="center"/>
    </xf>
    <xf numFmtId="0" fontId="6" fillId="0" borderId="0" xfId="0" applyFont="1">
      <alignment vertical="center"/>
    </xf>
    <xf numFmtId="0" fontId="5" fillId="0" borderId="0" xfId="0" applyFont="1" applyProtection="1">
      <alignment vertical="center"/>
      <protection locked="0"/>
    </xf>
    <xf numFmtId="177" fontId="5" fillId="0" borderId="36" xfId="0" applyNumberFormat="1" applyFont="1" applyBorder="1" applyAlignment="1" applyProtection="1">
      <alignment horizontal="left" vertical="center" shrinkToFit="1"/>
      <protection locked="0"/>
    </xf>
    <xf numFmtId="177" fontId="5" fillId="0" borderId="3" xfId="0" applyNumberFormat="1" applyFont="1" applyBorder="1" applyAlignment="1" applyProtection="1">
      <alignment horizontal="left" vertical="center" shrinkToFit="1"/>
      <protection locked="0"/>
    </xf>
    <xf numFmtId="177" fontId="5" fillId="0" borderId="59" xfId="0" applyNumberFormat="1" applyFont="1" applyBorder="1" applyAlignment="1" applyProtection="1">
      <alignment horizontal="left" vertical="center" shrinkToFit="1"/>
      <protection locked="0"/>
    </xf>
    <xf numFmtId="0" fontId="5" fillId="0" borderId="5" xfId="0" applyFont="1" applyBorder="1" applyProtection="1">
      <alignment vertical="center"/>
      <protection locked="0"/>
    </xf>
    <xf numFmtId="0" fontId="5" fillId="0" borderId="7" xfId="0" applyFont="1" applyBorder="1" applyProtection="1">
      <alignment vertical="center"/>
      <protection locked="0"/>
    </xf>
    <xf numFmtId="0" fontId="5" fillId="0" borderId="25" xfId="0" applyFont="1" applyBorder="1" applyProtection="1">
      <alignment vertical="center"/>
      <protection locked="0"/>
    </xf>
    <xf numFmtId="0" fontId="5" fillId="0" borderId="13" xfId="0" applyFont="1" applyBorder="1" applyProtection="1">
      <alignment vertical="center"/>
      <protection locked="0"/>
    </xf>
    <xf numFmtId="0" fontId="5" fillId="0" borderId="23" xfId="0" applyFont="1" applyBorder="1" applyProtection="1">
      <alignment vertical="center"/>
      <protection locked="0"/>
    </xf>
    <xf numFmtId="0" fontId="6" fillId="0" borderId="19"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26" xfId="0" applyFont="1" applyBorder="1">
      <alignment vertical="center"/>
    </xf>
    <xf numFmtId="0" fontId="6" fillId="0" borderId="7" xfId="0" applyFont="1" applyBorder="1">
      <alignment vertical="center"/>
    </xf>
    <xf numFmtId="0" fontId="6" fillId="3" borderId="50" xfId="0" applyFont="1" applyFill="1" applyBorder="1" applyAlignment="1">
      <alignment horizontal="center" vertical="center" textRotation="255"/>
    </xf>
    <xf numFmtId="0" fontId="6" fillId="3" borderId="37" xfId="0" applyFont="1" applyFill="1" applyBorder="1" applyAlignment="1">
      <alignment horizontal="center" vertical="center" textRotation="255"/>
    </xf>
    <xf numFmtId="0" fontId="6" fillId="3" borderId="35" xfId="0" applyFont="1" applyFill="1" applyBorder="1" applyAlignment="1">
      <alignment horizontal="center" vertical="center" textRotation="255"/>
    </xf>
    <xf numFmtId="0" fontId="5" fillId="0" borderId="6" xfId="0" applyFont="1" applyBorder="1" applyAlignment="1" applyProtection="1">
      <alignment vertical="center" shrinkToFit="1"/>
      <protection locked="0"/>
    </xf>
    <xf numFmtId="0" fontId="6" fillId="3" borderId="20" xfId="0" applyFont="1" applyFill="1" applyBorder="1" applyAlignment="1">
      <alignment horizontal="distributed" vertical="center" wrapText="1"/>
    </xf>
    <xf numFmtId="0" fontId="6" fillId="3" borderId="1" xfId="0" applyFont="1" applyFill="1" applyBorder="1" applyAlignment="1">
      <alignment horizontal="distributed" vertical="center" wrapText="1"/>
    </xf>
    <xf numFmtId="0" fontId="6" fillId="3" borderId="11" xfId="0" applyFont="1" applyFill="1" applyBorder="1" applyAlignment="1">
      <alignment horizontal="distributed" vertical="center" wrapText="1"/>
    </xf>
    <xf numFmtId="0" fontId="6" fillId="3" borderId="21" xfId="0" applyFont="1" applyFill="1" applyBorder="1" applyAlignment="1">
      <alignment horizontal="distributed" vertical="center" wrapText="1"/>
    </xf>
    <xf numFmtId="0" fontId="6" fillId="3" borderId="2" xfId="0" applyFont="1" applyFill="1" applyBorder="1" applyAlignment="1">
      <alignment horizontal="distributed" vertical="center" wrapText="1"/>
    </xf>
    <xf numFmtId="0" fontId="6" fillId="3" borderId="9" xfId="0" applyFont="1" applyFill="1" applyBorder="1" applyAlignment="1">
      <alignment horizontal="distributed" vertical="center" wrapText="1"/>
    </xf>
    <xf numFmtId="176" fontId="5" fillId="0" borderId="10" xfId="0" applyNumberFormat="1" applyFont="1" applyBorder="1" applyAlignment="1" applyProtection="1">
      <alignment horizontal="right" vertical="center"/>
      <protection locked="0"/>
    </xf>
    <xf numFmtId="176" fontId="5" fillId="0" borderId="1" xfId="0" applyNumberFormat="1" applyFont="1" applyBorder="1" applyAlignment="1" applyProtection="1">
      <alignment horizontal="right" vertical="center"/>
      <protection locked="0"/>
    </xf>
    <xf numFmtId="0" fontId="6" fillId="3" borderId="13" xfId="0" applyFont="1" applyFill="1" applyBorder="1" applyAlignment="1">
      <alignment horizontal="center" vertical="center"/>
    </xf>
    <xf numFmtId="0" fontId="6" fillId="3" borderId="0" xfId="0" applyFont="1" applyFill="1" applyAlignment="1">
      <alignment horizontal="center" vertical="center"/>
    </xf>
    <xf numFmtId="0" fontId="6" fillId="0" borderId="20" xfId="0" applyFont="1" applyBorder="1" applyAlignment="1">
      <alignment horizontal="center" vertical="center" shrinkToFit="1"/>
    </xf>
    <xf numFmtId="0" fontId="6" fillId="0" borderId="1" xfId="0" applyFont="1" applyBorder="1" applyAlignment="1">
      <alignment horizontal="center" vertical="center" shrinkToFit="1"/>
    </xf>
    <xf numFmtId="0" fontId="2" fillId="3" borderId="19" xfId="0" applyFont="1" applyFill="1" applyBorder="1" applyAlignment="1">
      <alignment horizontal="distributed" vertical="center" wrapText="1"/>
    </xf>
    <xf numFmtId="0" fontId="2" fillId="3" borderId="13" xfId="0" applyFont="1" applyFill="1" applyBorder="1" applyAlignment="1">
      <alignment horizontal="distributed" vertical="center" wrapText="1"/>
    </xf>
    <xf numFmtId="0" fontId="2" fillId="3" borderId="18" xfId="0" applyFont="1" applyFill="1" applyBorder="1" applyAlignment="1">
      <alignment horizontal="distributed" vertical="center" wrapText="1"/>
    </xf>
    <xf numFmtId="0" fontId="2" fillId="3" borderId="26" xfId="0" applyFont="1" applyFill="1" applyBorder="1" applyAlignment="1">
      <alignment horizontal="distributed" vertical="center" wrapText="1"/>
    </xf>
    <xf numFmtId="0" fontId="2" fillId="3" borderId="0" xfId="0" applyFont="1" applyFill="1" applyAlignment="1">
      <alignment horizontal="distributed" vertical="center" wrapText="1"/>
    </xf>
    <xf numFmtId="0" fontId="2" fillId="3" borderId="27" xfId="0" applyFont="1" applyFill="1" applyBorder="1" applyAlignment="1">
      <alignment horizontal="distributed" vertical="center" wrapText="1"/>
    </xf>
    <xf numFmtId="0" fontId="2" fillId="3" borderId="28" xfId="0" applyFont="1" applyFill="1" applyBorder="1" applyAlignment="1">
      <alignment horizontal="distributed" vertical="center" wrapText="1"/>
    </xf>
    <xf numFmtId="0" fontId="2" fillId="3" borderId="16" xfId="0" applyFont="1" applyFill="1" applyBorder="1" applyAlignment="1">
      <alignment horizontal="distributed" vertical="center" wrapText="1"/>
    </xf>
    <xf numFmtId="0" fontId="2" fillId="3" borderId="22" xfId="0" applyFont="1" applyFill="1" applyBorder="1" applyAlignment="1">
      <alignment horizontal="distributed" vertical="center" wrapText="1"/>
    </xf>
    <xf numFmtId="0" fontId="2" fillId="3" borderId="13" xfId="0" applyFont="1" applyFill="1" applyBorder="1" applyAlignment="1">
      <alignment horizontal="distributed" vertical="center"/>
    </xf>
    <xf numFmtId="0" fontId="2" fillId="3" borderId="18" xfId="0" applyFont="1" applyFill="1" applyBorder="1" applyAlignment="1">
      <alignment horizontal="distributed" vertical="center"/>
    </xf>
    <xf numFmtId="0" fontId="2" fillId="3" borderId="28" xfId="0" applyFont="1" applyFill="1" applyBorder="1" applyAlignment="1">
      <alignment horizontal="distributed" vertical="center"/>
    </xf>
    <xf numFmtId="0" fontId="2" fillId="3" borderId="16" xfId="0" applyFont="1" applyFill="1" applyBorder="1" applyAlignment="1">
      <alignment horizontal="distributed" vertical="center"/>
    </xf>
    <xf numFmtId="0" fontId="2" fillId="3" borderId="22" xfId="0" applyFont="1" applyFill="1" applyBorder="1" applyAlignment="1">
      <alignment horizontal="distributed" vertical="center"/>
    </xf>
    <xf numFmtId="38" fontId="5" fillId="0" borderId="19" xfId="1" applyFont="1" applyBorder="1" applyAlignment="1" applyProtection="1">
      <alignment horizontal="right" vertical="center"/>
      <protection locked="0"/>
    </xf>
    <xf numFmtId="38" fontId="5" fillId="0" borderId="28" xfId="1" applyFont="1" applyBorder="1" applyAlignment="1" applyProtection="1">
      <alignment horizontal="right" vertical="center"/>
      <protection locked="0"/>
    </xf>
    <xf numFmtId="0" fontId="5" fillId="0" borderId="5" xfId="0" applyFont="1" applyBorder="1" applyAlignment="1" applyProtection="1">
      <alignment horizontal="right" vertical="center" shrinkToFit="1"/>
      <protection locked="0"/>
    </xf>
    <xf numFmtId="0" fontId="5" fillId="0" borderId="64" xfId="0" applyFont="1" applyBorder="1" applyAlignment="1" applyProtection="1">
      <alignment horizontal="left" vertical="center" shrinkToFit="1"/>
      <protection locked="0"/>
    </xf>
    <xf numFmtId="0" fontId="5" fillId="0" borderId="65" xfId="0" applyFont="1" applyBorder="1" applyAlignment="1" applyProtection="1">
      <alignment horizontal="left" vertical="center" shrinkToFit="1"/>
      <protection locked="0"/>
    </xf>
    <xf numFmtId="0" fontId="5" fillId="0" borderId="66" xfId="0" applyFont="1" applyBorder="1" applyAlignment="1" applyProtection="1">
      <alignment horizontal="left" vertical="center" shrinkToFit="1"/>
      <protection locked="0"/>
    </xf>
    <xf numFmtId="0" fontId="7" fillId="3" borderId="40" xfId="0" applyFont="1" applyFill="1" applyBorder="1" applyAlignment="1">
      <alignment horizontal="center" vertical="center"/>
    </xf>
    <xf numFmtId="0" fontId="7" fillId="3" borderId="37" xfId="0" applyFont="1" applyFill="1" applyBorder="1" applyAlignment="1">
      <alignment horizontal="center" vertical="center"/>
    </xf>
    <xf numFmtId="0" fontId="5" fillId="0" borderId="70" xfId="0" applyFont="1" applyBorder="1" applyAlignment="1" applyProtection="1">
      <alignment horizontal="left" vertical="center" shrinkToFit="1"/>
      <protection locked="0"/>
    </xf>
    <xf numFmtId="0" fontId="5" fillId="0" borderId="71" xfId="0" applyFont="1" applyBorder="1" applyAlignment="1" applyProtection="1">
      <alignment horizontal="left" vertical="center" shrinkToFit="1"/>
      <protection locked="0"/>
    </xf>
    <xf numFmtId="0" fontId="5" fillId="0" borderId="72" xfId="0" applyFont="1" applyBorder="1" applyAlignment="1" applyProtection="1">
      <alignment horizontal="left" vertical="center" shrinkToFit="1"/>
      <protection locked="0"/>
    </xf>
    <xf numFmtId="0" fontId="5" fillId="0" borderId="10" xfId="0" applyFont="1" applyBorder="1" applyAlignment="1" applyProtection="1">
      <alignment horizontal="right" vertical="center" shrinkToFit="1"/>
      <protection locked="0"/>
    </xf>
    <xf numFmtId="0" fontId="5" fillId="0" borderId="1" xfId="0" applyFont="1" applyBorder="1" applyAlignment="1" applyProtection="1">
      <alignment horizontal="right" vertical="center" shrinkToFit="1"/>
      <protection locked="0"/>
    </xf>
    <xf numFmtId="0" fontId="6" fillId="3" borderId="24" xfId="0" applyFont="1" applyFill="1" applyBorder="1" applyAlignment="1">
      <alignment horizontal="center" vertical="center" shrinkToFit="1"/>
    </xf>
    <xf numFmtId="0" fontId="5" fillId="0" borderId="10" xfId="0" applyFont="1" applyBorder="1" applyAlignment="1" applyProtection="1">
      <alignment horizontal="left" vertical="center" shrinkToFit="1"/>
      <protection locked="0"/>
    </xf>
    <xf numFmtId="0" fontId="5" fillId="0" borderId="1" xfId="0" applyFont="1" applyBorder="1" applyAlignment="1" applyProtection="1">
      <alignment horizontal="left" vertical="center" shrinkToFit="1"/>
      <protection locked="0"/>
    </xf>
    <xf numFmtId="0" fontId="5" fillId="0" borderId="11" xfId="0" applyFont="1" applyBorder="1" applyAlignment="1" applyProtection="1">
      <alignment horizontal="left" vertical="center" shrinkToFit="1"/>
      <protection locked="0"/>
    </xf>
    <xf numFmtId="0" fontId="5" fillId="0" borderId="6" xfId="0" applyFont="1" applyBorder="1" applyAlignment="1" applyProtection="1">
      <alignment horizontal="left" vertical="center" shrinkToFit="1"/>
      <protection locked="0"/>
    </xf>
    <xf numFmtId="0" fontId="5" fillId="0" borderId="2" xfId="0" applyFont="1" applyBorder="1" applyAlignment="1" applyProtection="1">
      <alignment horizontal="left" vertical="center" shrinkToFit="1"/>
      <protection locked="0"/>
    </xf>
    <xf numFmtId="0" fontId="5" fillId="0" borderId="9" xfId="0" applyFont="1" applyBorder="1" applyAlignment="1" applyProtection="1">
      <alignment horizontal="left" vertical="center" shrinkToFit="1"/>
      <protection locked="0"/>
    </xf>
    <xf numFmtId="0" fontId="5" fillId="0" borderId="6" xfId="0" applyFont="1" applyBorder="1" applyAlignment="1" applyProtection="1">
      <alignment horizontal="right" vertical="center" shrinkToFit="1"/>
      <protection locked="0"/>
    </xf>
    <xf numFmtId="0" fontId="5" fillId="0" borderId="2" xfId="0" applyFont="1" applyBorder="1" applyAlignment="1" applyProtection="1">
      <alignment horizontal="right" vertical="center" shrinkToFit="1"/>
      <protection locked="0"/>
    </xf>
    <xf numFmtId="0" fontId="2" fillId="3" borderId="25"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5" fillId="0" borderId="4" xfId="0" applyFont="1" applyBorder="1" applyAlignment="1" applyProtection="1">
      <alignment horizontal="right" vertical="center" shrinkToFit="1"/>
      <protection locked="0"/>
    </xf>
    <xf numFmtId="0" fontId="5" fillId="0" borderId="3" xfId="0" applyFont="1" applyBorder="1" applyAlignment="1" applyProtection="1">
      <alignment horizontal="right" vertical="center" shrinkToFit="1"/>
      <protection locked="0"/>
    </xf>
    <xf numFmtId="0" fontId="5" fillId="0" borderId="19" xfId="0" applyFont="1" applyBorder="1" applyAlignment="1" applyProtection="1">
      <alignment horizontal="right" vertical="center"/>
      <protection locked="0"/>
    </xf>
    <xf numFmtId="0" fontId="5" fillId="0" borderId="13" xfId="0" applyFont="1" applyBorder="1" applyAlignment="1" applyProtection="1">
      <alignment horizontal="right" vertical="center"/>
      <protection locked="0"/>
    </xf>
    <xf numFmtId="0" fontId="5" fillId="0" borderId="28" xfId="0" applyFont="1" applyBorder="1" applyAlignment="1" applyProtection="1">
      <alignment horizontal="right" vertical="center"/>
      <protection locked="0"/>
    </xf>
    <xf numFmtId="0" fontId="5" fillId="0" borderId="16" xfId="0" applyFont="1" applyBorder="1" applyAlignment="1" applyProtection="1">
      <alignment horizontal="right" vertical="center"/>
      <protection locked="0"/>
    </xf>
    <xf numFmtId="38" fontId="6" fillId="0" borderId="13" xfId="1" applyFont="1" applyBorder="1" applyAlignment="1" applyProtection="1">
      <alignment horizontal="center" vertical="center"/>
    </xf>
    <xf numFmtId="38" fontId="6" fillId="0" borderId="23" xfId="1" applyFont="1" applyBorder="1" applyAlignment="1" applyProtection="1">
      <alignment horizontal="center" vertical="center"/>
    </xf>
    <xf numFmtId="38" fontId="6" fillId="0" borderId="16" xfId="1" applyFont="1" applyBorder="1" applyAlignment="1" applyProtection="1">
      <alignment horizontal="center" vertical="center"/>
    </xf>
    <xf numFmtId="38" fontId="6" fillId="0" borderId="24" xfId="1" applyFont="1" applyBorder="1" applyAlignment="1" applyProtection="1">
      <alignment horizontal="center" vertical="center"/>
    </xf>
    <xf numFmtId="0" fontId="11" fillId="0" borderId="13" xfId="0" applyFont="1" applyBorder="1" applyAlignment="1">
      <alignment horizontal="left" vertical="center"/>
    </xf>
    <xf numFmtId="38" fontId="5" fillId="0" borderId="13" xfId="1" applyFont="1" applyFill="1" applyBorder="1" applyAlignment="1" applyProtection="1">
      <alignment horizontal="right" vertical="center"/>
      <protection locked="0"/>
    </xf>
    <xf numFmtId="0" fontId="11" fillId="0" borderId="16" xfId="0" applyFont="1" applyBorder="1" applyAlignment="1">
      <alignment horizontal="left" vertical="center" shrinkToFit="1"/>
    </xf>
    <xf numFmtId="38" fontId="5" fillId="0" borderId="16" xfId="1" applyFont="1" applyFill="1" applyBorder="1" applyAlignment="1" applyProtection="1">
      <alignment horizontal="right" vertical="center"/>
      <protection locked="0"/>
    </xf>
    <xf numFmtId="0" fontId="6" fillId="3" borderId="18" xfId="0" applyFont="1" applyFill="1" applyBorder="1" applyAlignment="1">
      <alignment horizontal="distributed" vertical="center"/>
    </xf>
    <xf numFmtId="0" fontId="6" fillId="3" borderId="28" xfId="0" applyFont="1" applyFill="1" applyBorder="1" applyAlignment="1">
      <alignment horizontal="distributed" vertical="center"/>
    </xf>
    <xf numFmtId="0" fontId="6" fillId="3" borderId="16" xfId="0" applyFont="1" applyFill="1" applyBorder="1" applyAlignment="1">
      <alignment horizontal="distributed" vertical="center"/>
    </xf>
    <xf numFmtId="0" fontId="6" fillId="3" borderId="22" xfId="0" applyFont="1" applyFill="1" applyBorder="1" applyAlignment="1">
      <alignment horizontal="distributed" vertical="center"/>
    </xf>
    <xf numFmtId="0" fontId="6" fillId="3" borderId="67" xfId="0" applyFont="1" applyFill="1" applyBorder="1" applyAlignment="1">
      <alignment horizontal="center" vertical="center"/>
    </xf>
    <xf numFmtId="0" fontId="6" fillId="3" borderId="68" xfId="0" applyFont="1" applyFill="1" applyBorder="1" applyAlignment="1">
      <alignment horizontal="center" vertical="center"/>
    </xf>
    <xf numFmtId="0" fontId="6" fillId="3" borderId="69" xfId="0" applyFont="1" applyFill="1" applyBorder="1" applyAlignment="1">
      <alignment horizontal="center" vertical="center"/>
    </xf>
    <xf numFmtId="0" fontId="5" fillId="0" borderId="61" xfId="0" applyFont="1" applyBorder="1" applyAlignment="1" applyProtection="1">
      <alignment horizontal="left" vertical="center" shrinkToFit="1"/>
      <protection locked="0"/>
    </xf>
    <xf numFmtId="0" fontId="5" fillId="0" borderId="62" xfId="0" applyFont="1" applyBorder="1" applyAlignment="1" applyProtection="1">
      <alignment horizontal="left" vertical="center" shrinkToFit="1"/>
      <protection locked="0"/>
    </xf>
    <xf numFmtId="0" fontId="5" fillId="0" borderId="63" xfId="0" applyFont="1" applyBorder="1" applyAlignment="1" applyProtection="1">
      <alignment horizontal="left" vertical="center" shrinkToFit="1"/>
      <protection locked="0"/>
    </xf>
    <xf numFmtId="0" fontId="5" fillId="0" borderId="25" xfId="0" applyFont="1" applyBorder="1" applyAlignment="1" applyProtection="1">
      <alignment horizontal="right" vertical="center" shrinkToFit="1"/>
      <protection locked="0"/>
    </xf>
    <xf numFmtId="0" fontId="5" fillId="0" borderId="13" xfId="0" applyFont="1" applyBorder="1" applyAlignment="1" applyProtection="1">
      <alignment horizontal="right" vertical="center" shrinkToFit="1"/>
      <protection locked="0"/>
    </xf>
    <xf numFmtId="0" fontId="6" fillId="3" borderId="25"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22" xfId="0" applyFont="1" applyFill="1" applyBorder="1" applyAlignment="1">
      <alignment horizontal="center" vertical="center"/>
    </xf>
    <xf numFmtId="0" fontId="7" fillId="3" borderId="48" xfId="0" applyFont="1" applyFill="1" applyBorder="1">
      <alignment vertical="center"/>
    </xf>
    <xf numFmtId="0" fontId="7" fillId="3" borderId="47" xfId="0" applyFont="1" applyFill="1" applyBorder="1">
      <alignment vertical="center"/>
    </xf>
    <xf numFmtId="0" fontId="7" fillId="3" borderId="46" xfId="0" applyFont="1" applyFill="1" applyBorder="1">
      <alignment vertical="center"/>
    </xf>
    <xf numFmtId="0" fontId="7" fillId="3" borderId="53" xfId="0" applyFont="1" applyFill="1" applyBorder="1">
      <alignment vertical="center"/>
    </xf>
    <xf numFmtId="0" fontId="7" fillId="3" borderId="54" xfId="0" applyFont="1" applyFill="1" applyBorder="1">
      <alignment vertical="center"/>
    </xf>
    <xf numFmtId="0" fontId="7" fillId="3" borderId="55" xfId="0" applyFont="1" applyFill="1" applyBorder="1">
      <alignment vertical="center"/>
    </xf>
    <xf numFmtId="0" fontId="7" fillId="3" borderId="45" xfId="0" applyFont="1" applyFill="1" applyBorder="1">
      <alignment vertical="center"/>
    </xf>
    <xf numFmtId="0" fontId="7" fillId="3" borderId="44" xfId="0" applyFont="1" applyFill="1" applyBorder="1">
      <alignment vertical="center"/>
    </xf>
    <xf numFmtId="0" fontId="7" fillId="3" borderId="43" xfId="0" applyFont="1" applyFill="1" applyBorder="1">
      <alignment vertical="center"/>
    </xf>
    <xf numFmtId="0" fontId="6" fillId="0" borderId="21" xfId="0" applyFont="1" applyBorder="1" applyAlignment="1" applyProtection="1">
      <alignment vertical="center" shrinkToFit="1"/>
      <protection locked="0"/>
    </xf>
    <xf numFmtId="0" fontId="6" fillId="0" borderId="2" xfId="0" applyFont="1" applyBorder="1" applyAlignment="1" applyProtection="1">
      <alignment vertical="center" shrinkToFit="1"/>
      <protection locked="0"/>
    </xf>
    <xf numFmtId="0" fontId="6" fillId="0" borderId="9" xfId="0" applyFont="1" applyBorder="1" applyAlignment="1" applyProtection="1">
      <alignment vertical="center" shrinkToFit="1"/>
      <protection locked="0"/>
    </xf>
    <xf numFmtId="0" fontId="6" fillId="3" borderId="10" xfId="0" applyFont="1" applyFill="1" applyBorder="1" applyAlignment="1">
      <alignment horizontal="distributed" vertical="center"/>
    </xf>
    <xf numFmtId="0" fontId="6" fillId="3" borderId="1" xfId="0" applyFont="1" applyFill="1" applyBorder="1" applyAlignment="1">
      <alignment horizontal="distributed" vertical="center"/>
    </xf>
    <xf numFmtId="0" fontId="6" fillId="3" borderId="6" xfId="0" applyFont="1" applyFill="1" applyBorder="1" applyAlignment="1">
      <alignment horizontal="distributed" vertical="center"/>
    </xf>
    <xf numFmtId="0" fontId="6" fillId="3" borderId="19"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0" borderId="19" xfId="0" applyFont="1" applyBorder="1" applyAlignment="1">
      <alignment horizontal="center" vertical="center"/>
    </xf>
    <xf numFmtId="0" fontId="6" fillId="0" borderId="28" xfId="0" applyFont="1" applyBorder="1" applyAlignment="1">
      <alignment horizontal="center" vertical="center"/>
    </xf>
    <xf numFmtId="0" fontId="6" fillId="0" borderId="16" xfId="0" applyFont="1" applyBorder="1" applyAlignment="1">
      <alignment horizontal="center" vertical="center"/>
    </xf>
    <xf numFmtId="0" fontId="6" fillId="0" borderId="22" xfId="0" applyFont="1" applyBorder="1" applyAlignment="1">
      <alignment horizontal="center" vertical="center"/>
    </xf>
    <xf numFmtId="0" fontId="5" fillId="0" borderId="16" xfId="0" applyFont="1" applyBorder="1" applyAlignment="1" applyProtection="1">
      <alignment horizontal="left" vertical="center" shrinkToFit="1"/>
      <protection locked="0"/>
    </xf>
    <xf numFmtId="0" fontId="5" fillId="0" borderId="38" xfId="0" applyFont="1" applyBorder="1" applyAlignment="1" applyProtection="1">
      <alignment horizontal="left" vertical="center"/>
      <protection locked="0"/>
    </xf>
    <xf numFmtId="0" fontId="5" fillId="0" borderId="12" xfId="0" applyFont="1" applyBorder="1" applyAlignment="1" applyProtection="1">
      <alignment horizontal="left" vertical="center"/>
      <protection locked="0"/>
    </xf>
    <xf numFmtId="0" fontId="5" fillId="0" borderId="57" xfId="0" applyFont="1" applyBorder="1" applyAlignment="1" applyProtection="1">
      <alignment horizontal="left" vertical="center"/>
      <protection locked="0"/>
    </xf>
    <xf numFmtId="0" fontId="5" fillId="0" borderId="12" xfId="0" applyFont="1" applyBorder="1" applyAlignment="1" applyProtection="1">
      <alignment horizontal="right" vertical="center" shrinkToFit="1"/>
      <protection locked="0"/>
    </xf>
    <xf numFmtId="0" fontId="6" fillId="0" borderId="24" xfId="0" applyFont="1" applyBorder="1" applyAlignment="1">
      <alignment horizontal="center" vertical="center"/>
    </xf>
    <xf numFmtId="176" fontId="7" fillId="0" borderId="25" xfId="1" applyNumberFormat="1" applyFont="1" applyBorder="1" applyAlignment="1" applyProtection="1">
      <alignment horizontal="right" vertical="center"/>
    </xf>
    <xf numFmtId="176" fontId="7" fillId="0" borderId="13" xfId="1" applyNumberFormat="1" applyFont="1" applyBorder="1" applyAlignment="1" applyProtection="1">
      <alignment horizontal="right" vertical="center"/>
    </xf>
    <xf numFmtId="176" fontId="7" fillId="0" borderId="5" xfId="1" applyNumberFormat="1" applyFont="1" applyBorder="1" applyAlignment="1" applyProtection="1">
      <alignment horizontal="right" vertical="center"/>
    </xf>
    <xf numFmtId="176" fontId="7" fillId="0" borderId="0" xfId="1" applyNumberFormat="1" applyFont="1" applyBorder="1" applyAlignment="1" applyProtection="1">
      <alignment horizontal="right" vertical="center"/>
    </xf>
    <xf numFmtId="176" fontId="7" fillId="0" borderId="17" xfId="1" applyNumberFormat="1" applyFont="1" applyBorder="1" applyAlignment="1" applyProtection="1">
      <alignment horizontal="right" vertical="center"/>
    </xf>
    <xf numFmtId="176" fontId="7" fillId="0" borderId="16" xfId="1" applyNumberFormat="1" applyFont="1" applyBorder="1" applyAlignment="1" applyProtection="1">
      <alignment horizontal="right" vertical="center"/>
    </xf>
    <xf numFmtId="176" fontId="7" fillId="0" borderId="25" xfId="0" applyNumberFormat="1" applyFont="1" applyBorder="1" applyAlignment="1">
      <alignment horizontal="right" vertical="center"/>
    </xf>
    <xf numFmtId="176" fontId="7" fillId="0" borderId="13" xfId="0" applyNumberFormat="1" applyFont="1" applyBorder="1" applyAlignment="1">
      <alignment horizontal="right" vertical="center"/>
    </xf>
    <xf numFmtId="176" fontId="7" fillId="0" borderId="5" xfId="0" applyNumberFormat="1" applyFont="1" applyBorder="1" applyAlignment="1">
      <alignment horizontal="right" vertical="center"/>
    </xf>
    <xf numFmtId="176" fontId="7" fillId="0" borderId="0" xfId="0" applyNumberFormat="1" applyFont="1" applyAlignment="1">
      <alignment horizontal="right" vertical="center"/>
    </xf>
    <xf numFmtId="176" fontId="7" fillId="0" borderId="17" xfId="0" applyNumberFormat="1" applyFont="1" applyBorder="1" applyAlignment="1">
      <alignment horizontal="right" vertical="center"/>
    </xf>
    <xf numFmtId="176" fontId="7" fillId="0" borderId="16" xfId="0" applyNumberFormat="1" applyFont="1" applyBorder="1" applyAlignment="1">
      <alignment horizontal="right" vertical="center"/>
    </xf>
    <xf numFmtId="0" fontId="6" fillId="3" borderId="5" xfId="0" applyFont="1" applyFill="1" applyBorder="1" applyAlignment="1">
      <alignment horizontal="distributed" vertical="center"/>
    </xf>
    <xf numFmtId="176" fontId="5" fillId="0" borderId="10" xfId="0" applyNumberFormat="1" applyFont="1" applyBorder="1" applyAlignment="1">
      <alignment horizontal="right" vertical="center"/>
    </xf>
    <xf numFmtId="176" fontId="5" fillId="0" borderId="1" xfId="0" applyNumberFormat="1" applyFont="1" applyBorder="1" applyAlignment="1">
      <alignment horizontal="right" vertical="center"/>
    </xf>
    <xf numFmtId="176" fontId="5" fillId="0" borderId="17" xfId="0" applyNumberFormat="1" applyFont="1" applyBorder="1" applyAlignment="1">
      <alignment horizontal="right" vertical="center"/>
    </xf>
    <xf numFmtId="176" fontId="5" fillId="0" borderId="16" xfId="0" applyNumberFormat="1" applyFont="1" applyBorder="1" applyAlignment="1">
      <alignment horizontal="right" vertical="center"/>
    </xf>
    <xf numFmtId="176" fontId="5" fillId="0" borderId="10" xfId="1" applyNumberFormat="1" applyFont="1" applyBorder="1" applyAlignment="1" applyProtection="1">
      <alignment horizontal="right" vertical="center"/>
    </xf>
    <xf numFmtId="176" fontId="5" fillId="0" borderId="1" xfId="1" applyNumberFormat="1" applyFont="1" applyBorder="1" applyAlignment="1" applyProtection="1">
      <alignment horizontal="right" vertical="center"/>
    </xf>
    <xf numFmtId="176" fontId="5" fillId="0" borderId="17" xfId="1" applyNumberFormat="1" applyFont="1" applyBorder="1" applyAlignment="1" applyProtection="1">
      <alignment horizontal="right" vertical="center"/>
    </xf>
    <xf numFmtId="176" fontId="5" fillId="0" borderId="16" xfId="1" applyNumberFormat="1" applyFont="1" applyBorder="1" applyAlignment="1" applyProtection="1">
      <alignment horizontal="right" vertical="center"/>
    </xf>
    <xf numFmtId="0" fontId="6" fillId="3" borderId="17" xfId="0" applyFont="1" applyFill="1" applyBorder="1" applyAlignment="1">
      <alignment horizontal="distributed" vertical="center"/>
    </xf>
    <xf numFmtId="0" fontId="8" fillId="0" borderId="20"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6" fillId="3" borderId="40" xfId="0" applyFont="1" applyFill="1" applyBorder="1" applyAlignment="1">
      <alignment horizontal="center" vertical="center" textRotation="255"/>
    </xf>
    <xf numFmtId="0" fontId="5" fillId="0" borderId="14" xfId="0" applyFont="1" applyBorder="1" applyAlignment="1" applyProtection="1">
      <alignment horizontal="right" vertical="center" shrinkToFit="1"/>
      <protection locked="0"/>
    </xf>
    <xf numFmtId="0" fontId="6" fillId="0" borderId="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60" xfId="0" applyFont="1" applyBorder="1" applyAlignment="1">
      <alignment horizontal="center" vertical="center" shrinkToFit="1"/>
    </xf>
    <xf numFmtId="0" fontId="5" fillId="0" borderId="31" xfId="0" applyFont="1" applyBorder="1" applyAlignment="1" applyProtection="1">
      <alignment horizontal="right" vertical="center" shrinkToFit="1"/>
      <protection locked="0"/>
    </xf>
    <xf numFmtId="0" fontId="6" fillId="0" borderId="12" xfId="0" applyFont="1" applyBorder="1" applyAlignment="1">
      <alignment horizontal="center" vertical="center" shrinkToFit="1"/>
    </xf>
    <xf numFmtId="0" fontId="6" fillId="0" borderId="57" xfId="0" applyFont="1" applyBorder="1" applyAlignment="1">
      <alignment horizontal="center" vertical="center" shrinkToFit="1"/>
    </xf>
    <xf numFmtId="0" fontId="6" fillId="0" borderId="14" xfId="0" applyFont="1" applyBorder="1" applyAlignment="1">
      <alignment horizontal="distributed" vertical="center"/>
    </xf>
    <xf numFmtId="0" fontId="5" fillId="0" borderId="32" xfId="0" applyFont="1" applyBorder="1" applyAlignment="1" applyProtection="1">
      <alignment horizontal="right" vertical="center" shrinkToFit="1"/>
      <protection locked="0"/>
    </xf>
    <xf numFmtId="0" fontId="5" fillId="0" borderId="17" xfId="0" applyFont="1" applyBorder="1" applyAlignment="1" applyProtection="1">
      <alignment horizontal="right" vertical="center" shrinkToFit="1"/>
      <protection locked="0"/>
    </xf>
    <xf numFmtId="0" fontId="5" fillId="0" borderId="52" xfId="0" applyFont="1" applyBorder="1" applyAlignment="1" applyProtection="1">
      <alignment horizontal="right" vertical="center" shrinkToFit="1"/>
      <protection locked="0"/>
    </xf>
    <xf numFmtId="0" fontId="5" fillId="0" borderId="10"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0" fontId="5" fillId="0" borderId="17" xfId="0" applyFont="1" applyBorder="1" applyAlignment="1" applyProtection="1">
      <alignment horizontal="center" vertical="center" shrinkToFit="1"/>
      <protection locked="0"/>
    </xf>
    <xf numFmtId="0" fontId="5" fillId="0" borderId="16" xfId="0" applyFont="1" applyBorder="1" applyAlignment="1" applyProtection="1">
      <alignment horizontal="center" vertical="center" shrinkToFit="1"/>
      <protection locked="0"/>
    </xf>
    <xf numFmtId="0" fontId="5" fillId="0" borderId="25" xfId="0" applyFont="1" applyBorder="1" applyAlignment="1" applyProtection="1">
      <alignment horizontal="center" vertical="center" shrinkToFit="1"/>
      <protection locked="0"/>
    </xf>
    <xf numFmtId="0" fontId="5" fillId="0" borderId="13" xfId="0" applyFont="1" applyBorder="1" applyAlignment="1" applyProtection="1">
      <alignment horizontal="center" vertical="center" shrinkToFit="1"/>
      <protection locked="0"/>
    </xf>
    <xf numFmtId="0" fontId="5" fillId="0" borderId="6"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xf numFmtId="0" fontId="5" fillId="0" borderId="30" xfId="0" applyFont="1" applyBorder="1" applyAlignment="1" applyProtection="1">
      <alignment horizontal="right" vertical="center" shrinkToFit="1"/>
      <protection locked="0"/>
    </xf>
    <xf numFmtId="0" fontId="7" fillId="0" borderId="26" xfId="0" applyFont="1" applyBorder="1">
      <alignment vertical="center"/>
    </xf>
    <xf numFmtId="0" fontId="7" fillId="0" borderId="0" xfId="0" applyFont="1">
      <alignment vertical="center"/>
    </xf>
    <xf numFmtId="0" fontId="6" fillId="0" borderId="2" xfId="0" applyFont="1" applyBorder="1" applyAlignment="1">
      <alignment horizontal="center" vertical="center" shrinkToFit="1"/>
    </xf>
    <xf numFmtId="0" fontId="6" fillId="0" borderId="51" xfId="0" applyFont="1" applyBorder="1" applyAlignment="1">
      <alignment horizontal="center" vertical="center" shrinkToFit="1"/>
    </xf>
    <xf numFmtId="0" fontId="6" fillId="0" borderId="49" xfId="0" applyFont="1" applyBorder="1" applyAlignment="1">
      <alignment horizontal="center" vertical="center" shrinkToFit="1"/>
    </xf>
    <xf numFmtId="0" fontId="6" fillId="3" borderId="24" xfId="0" applyFont="1" applyFill="1" applyBorder="1" applyAlignment="1">
      <alignment horizontal="distributed" vertical="center" wrapText="1"/>
    </xf>
    <xf numFmtId="0" fontId="5" fillId="0" borderId="19" xfId="0" applyFont="1" applyBorder="1" applyAlignment="1" applyProtection="1">
      <alignment horizontal="left" vertical="top" wrapText="1"/>
      <protection locked="0"/>
    </xf>
    <xf numFmtId="0" fontId="5" fillId="0" borderId="26" xfId="0" applyFont="1" applyBorder="1" applyAlignment="1" applyProtection="1">
      <alignment horizontal="left" vertical="top" wrapText="1"/>
      <protection locked="0"/>
    </xf>
    <xf numFmtId="0" fontId="5" fillId="0" borderId="28" xfId="0" applyFont="1" applyBorder="1" applyAlignment="1" applyProtection="1">
      <alignment horizontal="left" vertical="top" wrapText="1"/>
      <protection locked="0"/>
    </xf>
    <xf numFmtId="0" fontId="5" fillId="0" borderId="25" xfId="0" applyFont="1" applyBorder="1" applyAlignment="1" applyProtection="1">
      <alignment horizontal="left" vertical="center" shrinkToFit="1"/>
      <protection locked="0"/>
    </xf>
    <xf numFmtId="0" fontId="5" fillId="0" borderId="13" xfId="0" applyFont="1" applyBorder="1" applyAlignment="1" applyProtection="1">
      <alignment horizontal="left" vertical="center" shrinkToFit="1"/>
      <protection locked="0"/>
    </xf>
    <xf numFmtId="0" fontId="5" fillId="0" borderId="23" xfId="0" applyFont="1" applyBorder="1" applyAlignment="1" applyProtection="1">
      <alignment horizontal="left" vertical="center" shrinkToFit="1"/>
      <protection locked="0"/>
    </xf>
    <xf numFmtId="0" fontId="5" fillId="0" borderId="5" xfId="0" applyFont="1" applyBorder="1" applyAlignment="1" applyProtection="1">
      <alignment horizontal="left" vertical="center" shrinkToFit="1"/>
      <protection locked="0"/>
    </xf>
    <xf numFmtId="0" fontId="5" fillId="0" borderId="0" xfId="0" applyFont="1" applyAlignment="1" applyProtection="1">
      <alignment horizontal="left" vertical="center" shrinkToFit="1"/>
      <protection locked="0"/>
    </xf>
    <xf numFmtId="0" fontId="5" fillId="0" borderId="7" xfId="0" applyFont="1" applyBorder="1" applyAlignment="1" applyProtection="1">
      <alignment horizontal="left" vertical="center" shrinkToFit="1"/>
      <protection locked="0"/>
    </xf>
    <xf numFmtId="0" fontId="6" fillId="3" borderId="56" xfId="0" applyFont="1" applyFill="1" applyBorder="1" applyAlignment="1">
      <alignment horizontal="center" vertical="center" textRotation="255"/>
    </xf>
    <xf numFmtId="0" fontId="6" fillId="3" borderId="23" xfId="0" applyFont="1" applyFill="1" applyBorder="1" applyAlignment="1">
      <alignment horizontal="distributed" vertical="center" wrapText="1"/>
    </xf>
    <xf numFmtId="0" fontId="6" fillId="3" borderId="7" xfId="0" applyFont="1" applyFill="1" applyBorder="1" applyAlignment="1">
      <alignment horizontal="distributed" vertical="center" wrapText="1"/>
    </xf>
    <xf numFmtId="0" fontId="6" fillId="3" borderId="42" xfId="0" applyFont="1" applyFill="1" applyBorder="1" applyAlignment="1">
      <alignment horizontal="center" vertical="center" textRotation="255"/>
    </xf>
    <xf numFmtId="0" fontId="6" fillId="3" borderId="41" xfId="0" applyFont="1" applyFill="1" applyBorder="1" applyAlignment="1">
      <alignment horizontal="center" vertical="center" textRotation="255"/>
    </xf>
    <xf numFmtId="38" fontId="5" fillId="0" borderId="14" xfId="1" applyFont="1" applyBorder="1" applyAlignment="1" applyProtection="1">
      <alignment horizontal="right" vertical="center" shrinkToFit="1"/>
      <protection locked="0"/>
    </xf>
    <xf numFmtId="0" fontId="5" fillId="2" borderId="30" xfId="0" applyFont="1" applyFill="1" applyBorder="1" applyAlignment="1" applyProtection="1">
      <alignment horizontal="right" vertical="center" shrinkToFit="1"/>
      <protection locked="0"/>
    </xf>
    <xf numFmtId="0" fontId="5" fillId="2" borderId="14" xfId="0" applyFont="1" applyFill="1" applyBorder="1" applyAlignment="1" applyProtection="1">
      <alignment horizontal="right" vertical="center" shrinkToFit="1"/>
      <protection locked="0"/>
    </xf>
    <xf numFmtId="20" fontId="5" fillId="0" borderId="14" xfId="0" applyNumberFormat="1" applyFont="1" applyBorder="1" applyAlignment="1" applyProtection="1">
      <alignment horizontal="center" vertical="center"/>
      <protection locked="0"/>
    </xf>
    <xf numFmtId="20" fontId="5" fillId="0" borderId="29" xfId="0" applyNumberFormat="1" applyFont="1" applyBorder="1" applyAlignment="1" applyProtection="1">
      <alignment horizontal="center" vertical="center"/>
      <protection locked="0"/>
    </xf>
    <xf numFmtId="20" fontId="5" fillId="0" borderId="30" xfId="0" applyNumberFormat="1" applyFont="1" applyBorder="1" applyAlignment="1" applyProtection="1">
      <alignment horizontal="center" vertical="center"/>
      <protection locked="0"/>
    </xf>
    <xf numFmtId="38" fontId="5" fillId="0" borderId="30" xfId="1" applyFont="1" applyBorder="1" applyAlignment="1" applyProtection="1">
      <alignment horizontal="right" vertical="center" shrinkToFit="1"/>
      <protection locked="0"/>
    </xf>
    <xf numFmtId="0" fontId="6" fillId="3" borderId="17" xfId="0" applyFont="1" applyFill="1" applyBorder="1" applyAlignment="1">
      <alignment horizontal="center" vertical="top" shrinkToFit="1"/>
    </xf>
    <xf numFmtId="0" fontId="6" fillId="3" borderId="16" xfId="0" applyFont="1" applyFill="1" applyBorder="1" applyAlignment="1">
      <alignment horizontal="center" vertical="top" shrinkToFit="1"/>
    </xf>
    <xf numFmtId="0" fontId="6" fillId="3" borderId="24" xfId="0" applyFont="1" applyFill="1" applyBorder="1" applyAlignment="1">
      <alignment horizontal="center" vertical="top" shrinkToFit="1"/>
    </xf>
    <xf numFmtId="0" fontId="6" fillId="3" borderId="19" xfId="0" applyFont="1" applyFill="1" applyBorder="1" applyAlignment="1">
      <alignment horizontal="distributed" vertical="center" shrinkToFit="1"/>
    </xf>
    <xf numFmtId="0" fontId="6" fillId="3" borderId="13" xfId="0" applyFont="1" applyFill="1" applyBorder="1" applyAlignment="1">
      <alignment horizontal="distributed" vertical="center" shrinkToFit="1"/>
    </xf>
    <xf numFmtId="0" fontId="6" fillId="3" borderId="18" xfId="0" applyFont="1" applyFill="1" applyBorder="1" applyAlignment="1">
      <alignment horizontal="distributed" vertical="center" shrinkToFit="1"/>
    </xf>
    <xf numFmtId="0" fontId="6" fillId="3" borderId="28" xfId="0" applyFont="1" applyFill="1" applyBorder="1" applyAlignment="1">
      <alignment horizontal="distributed" vertical="center" shrinkToFit="1"/>
    </xf>
    <xf numFmtId="0" fontId="6" fillId="3" borderId="16" xfId="0" applyFont="1" applyFill="1" applyBorder="1" applyAlignment="1">
      <alignment horizontal="distributed" vertical="center" shrinkToFit="1"/>
    </xf>
    <xf numFmtId="0" fontId="6" fillId="3" borderId="22" xfId="0" applyFont="1" applyFill="1" applyBorder="1" applyAlignment="1">
      <alignment horizontal="distributed" vertical="center" shrinkToFit="1"/>
    </xf>
    <xf numFmtId="0" fontId="6" fillId="3" borderId="73" xfId="0" applyFont="1" applyFill="1" applyBorder="1" applyAlignment="1">
      <alignment horizontal="distributed" vertical="center"/>
    </xf>
    <xf numFmtId="0" fontId="6" fillId="0" borderId="13" xfId="0" applyFont="1" applyBorder="1" applyAlignment="1">
      <alignment horizontal="distributed" vertical="center"/>
    </xf>
    <xf numFmtId="0" fontId="6" fillId="0" borderId="18" xfId="0" applyFont="1" applyBorder="1" applyAlignment="1">
      <alignment horizontal="distributed" vertical="center"/>
    </xf>
    <xf numFmtId="0" fontId="5" fillId="0" borderId="30" xfId="0" applyFont="1" applyBorder="1" applyAlignment="1" applyProtection="1">
      <alignment horizontal="center" vertical="center" shrinkToFit="1"/>
      <protection locked="0"/>
    </xf>
    <xf numFmtId="0" fontId="5" fillId="0" borderId="14" xfId="0" applyFont="1" applyBorder="1" applyAlignment="1" applyProtection="1">
      <alignment horizontal="center" vertical="center" shrinkToFit="1"/>
      <protection locked="0"/>
    </xf>
    <xf numFmtId="0" fontId="5" fillId="0" borderId="29" xfId="0" applyFont="1" applyBorder="1" applyAlignment="1" applyProtection="1">
      <alignment horizontal="center" vertical="center" shrinkToFit="1"/>
      <protection locked="0"/>
    </xf>
    <xf numFmtId="0" fontId="5" fillId="0" borderId="30" xfId="0" applyFont="1" applyBorder="1" applyAlignment="1" applyProtection="1">
      <alignment horizontal="right" vertical="center"/>
      <protection locked="0"/>
    </xf>
    <xf numFmtId="0" fontId="5" fillId="0" borderId="14" xfId="0" applyFont="1" applyBorder="1" applyAlignment="1" applyProtection="1">
      <alignment horizontal="right" vertical="center"/>
      <protection locked="0"/>
    </xf>
    <xf numFmtId="0" fontId="6" fillId="3" borderId="36" xfId="0" applyFont="1" applyFill="1" applyBorder="1" applyAlignment="1">
      <alignment horizontal="distributed" vertical="center"/>
    </xf>
    <xf numFmtId="0" fontId="6" fillId="0" borderId="3" xfId="0" applyFont="1" applyBorder="1" applyAlignment="1">
      <alignment horizontal="distributed" vertical="center"/>
    </xf>
    <xf numFmtId="0" fontId="6" fillId="0" borderId="59" xfId="0" applyFont="1" applyBorder="1" applyAlignment="1">
      <alignment horizontal="distributed" vertical="center"/>
    </xf>
    <xf numFmtId="0" fontId="6" fillId="0" borderId="16" xfId="0" applyFont="1" applyBorder="1" applyAlignment="1">
      <alignment horizontal="distributed" vertical="center"/>
    </xf>
    <xf numFmtId="0" fontId="6" fillId="0" borderId="22" xfId="0" applyFont="1" applyBorder="1" applyAlignment="1">
      <alignment horizontal="distributed" vertical="center"/>
    </xf>
    <xf numFmtId="0" fontId="6" fillId="0" borderId="51" xfId="0"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colors>
    <mruColors>
      <color rgb="FFFFFF99"/>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50</xdr:col>
      <xdr:colOff>0</xdr:colOff>
      <xdr:row>11</xdr:row>
      <xdr:rowOff>152400</xdr:rowOff>
    </xdr:from>
    <xdr:to>
      <xdr:col>65</xdr:col>
      <xdr:colOff>95250</xdr:colOff>
      <xdr:row>15</xdr:row>
      <xdr:rowOff>47625</xdr:rowOff>
    </xdr:to>
    <xdr:grpSp>
      <xdr:nvGrpSpPr>
        <xdr:cNvPr id="5" name="グループ化 4">
          <a:extLst>
            <a:ext uri="{FF2B5EF4-FFF2-40B4-BE49-F238E27FC236}">
              <a16:creationId xmlns:a16="http://schemas.microsoft.com/office/drawing/2014/main" id="{00000000-0008-0000-0000-000005000000}"/>
            </a:ext>
          </a:extLst>
        </xdr:cNvPr>
        <xdr:cNvGrpSpPr/>
      </xdr:nvGrpSpPr>
      <xdr:grpSpPr>
        <a:xfrm>
          <a:off x="10679206" y="2091018"/>
          <a:ext cx="3120838" cy="702048"/>
          <a:chOff x="10601325" y="1828800"/>
          <a:chExt cx="3095625" cy="695325"/>
        </a:xfrm>
      </xdr:grpSpPr>
      <xdr:sp macro="" textlink="">
        <xdr:nvSpPr>
          <xdr:cNvPr id="1045" name="Check Box 21">
            <a:extLst>
              <a:ext uri="{63B3BB69-23CF-44E3-9099-C40C66FF867C}">
                <a14:compatExt xmlns:a14="http://schemas.microsoft.com/office/drawing/2010/main" spid="_x0000_s1045"/>
              </a:ext>
              <a:ext uri="{FF2B5EF4-FFF2-40B4-BE49-F238E27FC236}">
                <a16:creationId xmlns:a16="http://schemas.microsoft.com/office/drawing/2014/main" id="{00000000-0008-0000-0000-000015040000}"/>
              </a:ext>
            </a:extLst>
          </xdr:cNvPr>
          <xdr:cNvSpPr/>
        </xdr:nvSpPr>
        <xdr:spPr bwMode="auto">
          <a:xfrm>
            <a:off x="10601325"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6" name="Check Box 22">
            <a:extLst>
              <a:ext uri="{63B3BB69-23CF-44E3-9099-C40C66FF867C}">
                <a14:compatExt xmlns:a14="http://schemas.microsoft.com/office/drawing/2010/main" spid="_x0000_s1046"/>
              </a:ext>
              <a:ext uri="{FF2B5EF4-FFF2-40B4-BE49-F238E27FC236}">
                <a16:creationId xmlns:a16="http://schemas.microsoft.com/office/drawing/2014/main" id="{00000000-0008-0000-0000-000016040000}"/>
              </a:ext>
            </a:extLst>
          </xdr:cNvPr>
          <xdr:cNvSpPr/>
        </xdr:nvSpPr>
        <xdr:spPr bwMode="auto">
          <a:xfrm>
            <a:off x="10601325"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7" name="Check Box 23">
            <a:extLst>
              <a:ext uri="{63B3BB69-23CF-44E3-9099-C40C66FF867C}">
                <a14:compatExt xmlns:a14="http://schemas.microsoft.com/office/drawing/2010/main" spid="_x0000_s1047"/>
              </a:ext>
              <a:ext uri="{FF2B5EF4-FFF2-40B4-BE49-F238E27FC236}">
                <a16:creationId xmlns:a16="http://schemas.microsoft.com/office/drawing/2014/main" id="{00000000-0008-0000-0000-000017040000}"/>
              </a:ext>
            </a:extLst>
          </xdr:cNvPr>
          <xdr:cNvSpPr/>
        </xdr:nvSpPr>
        <xdr:spPr bwMode="auto">
          <a:xfrm>
            <a:off x="10601325"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8" name="Check Box 24">
            <a:extLst>
              <a:ext uri="{63B3BB69-23CF-44E3-9099-C40C66FF867C}">
                <a14:compatExt xmlns:a14="http://schemas.microsoft.com/office/drawing/2010/main" spid="_x0000_s1048"/>
              </a:ext>
              <a:ext uri="{FF2B5EF4-FFF2-40B4-BE49-F238E27FC236}">
                <a16:creationId xmlns:a16="http://schemas.microsoft.com/office/drawing/2014/main" id="{00000000-0008-0000-0000-000018040000}"/>
              </a:ext>
            </a:extLst>
          </xdr:cNvPr>
          <xdr:cNvSpPr/>
        </xdr:nvSpPr>
        <xdr:spPr bwMode="auto">
          <a:xfrm>
            <a:off x="11201400"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9" name="Check Box 25">
            <a:extLst>
              <a:ext uri="{63B3BB69-23CF-44E3-9099-C40C66FF867C}">
                <a14:compatExt xmlns:a14="http://schemas.microsoft.com/office/drawing/2010/main" spid="_x0000_s1049"/>
              </a:ext>
              <a:ext uri="{FF2B5EF4-FFF2-40B4-BE49-F238E27FC236}">
                <a16:creationId xmlns:a16="http://schemas.microsoft.com/office/drawing/2014/main" id="{00000000-0008-0000-0000-000019040000}"/>
              </a:ext>
            </a:extLst>
          </xdr:cNvPr>
          <xdr:cNvSpPr/>
        </xdr:nvSpPr>
        <xdr:spPr bwMode="auto">
          <a:xfrm>
            <a:off x="11801474"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0" name="Check Box 26">
            <a:extLst>
              <a:ext uri="{63B3BB69-23CF-44E3-9099-C40C66FF867C}">
                <a14:compatExt xmlns:a14="http://schemas.microsoft.com/office/drawing/2010/main" spid="_x0000_s1050"/>
              </a:ext>
              <a:ext uri="{FF2B5EF4-FFF2-40B4-BE49-F238E27FC236}">
                <a16:creationId xmlns:a16="http://schemas.microsoft.com/office/drawing/2014/main" id="{00000000-0008-0000-0000-00001A040000}"/>
              </a:ext>
            </a:extLst>
          </xdr:cNvPr>
          <xdr:cNvSpPr/>
        </xdr:nvSpPr>
        <xdr:spPr bwMode="auto">
          <a:xfrm>
            <a:off x="11801474"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1" name="Check Box 27">
            <a:extLst>
              <a:ext uri="{63B3BB69-23CF-44E3-9099-C40C66FF867C}">
                <a14:compatExt xmlns:a14="http://schemas.microsoft.com/office/drawing/2010/main" spid="_x0000_s1051"/>
              </a:ext>
              <a:ext uri="{FF2B5EF4-FFF2-40B4-BE49-F238E27FC236}">
                <a16:creationId xmlns:a16="http://schemas.microsoft.com/office/drawing/2014/main" id="{00000000-0008-0000-0000-00001B040000}"/>
              </a:ext>
            </a:extLst>
          </xdr:cNvPr>
          <xdr:cNvSpPr/>
        </xdr:nvSpPr>
        <xdr:spPr bwMode="auto">
          <a:xfrm>
            <a:off x="11801474"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2" name="Check Box 28">
            <a:extLst>
              <a:ext uri="{63B3BB69-23CF-44E3-9099-C40C66FF867C}">
                <a14:compatExt xmlns:a14="http://schemas.microsoft.com/office/drawing/2010/main" spid="_x0000_s1052"/>
              </a:ext>
              <a:ext uri="{FF2B5EF4-FFF2-40B4-BE49-F238E27FC236}">
                <a16:creationId xmlns:a16="http://schemas.microsoft.com/office/drawing/2014/main" id="{00000000-0008-0000-0000-00001C040000}"/>
              </a:ext>
            </a:extLst>
          </xdr:cNvPr>
          <xdr:cNvSpPr/>
        </xdr:nvSpPr>
        <xdr:spPr bwMode="auto">
          <a:xfrm>
            <a:off x="11201400"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3" name="Check Box 29">
            <a:extLst>
              <a:ext uri="{63B3BB69-23CF-44E3-9099-C40C66FF867C}">
                <a14:compatExt xmlns:a14="http://schemas.microsoft.com/office/drawing/2010/main" spid="_x0000_s1053"/>
              </a:ext>
              <a:ext uri="{FF2B5EF4-FFF2-40B4-BE49-F238E27FC236}">
                <a16:creationId xmlns:a16="http://schemas.microsoft.com/office/drawing/2014/main" id="{00000000-0008-0000-0000-00001D040000}"/>
              </a:ext>
            </a:extLst>
          </xdr:cNvPr>
          <xdr:cNvSpPr/>
        </xdr:nvSpPr>
        <xdr:spPr bwMode="auto">
          <a:xfrm>
            <a:off x="12801600"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4" name="Check Box 30">
            <a:extLst>
              <a:ext uri="{63B3BB69-23CF-44E3-9099-C40C66FF867C}">
                <a14:compatExt xmlns:a14="http://schemas.microsoft.com/office/drawing/2010/main" spid="_x0000_s1054"/>
              </a:ext>
              <a:ext uri="{FF2B5EF4-FFF2-40B4-BE49-F238E27FC236}">
                <a16:creationId xmlns:a16="http://schemas.microsoft.com/office/drawing/2014/main" id="{00000000-0008-0000-0000-00001E040000}"/>
              </a:ext>
            </a:extLst>
          </xdr:cNvPr>
          <xdr:cNvSpPr/>
        </xdr:nvSpPr>
        <xdr:spPr bwMode="auto">
          <a:xfrm>
            <a:off x="12201525"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5" name="Check Box 31">
            <a:extLst>
              <a:ext uri="{63B3BB69-23CF-44E3-9099-C40C66FF867C}">
                <a14:compatExt xmlns:a14="http://schemas.microsoft.com/office/drawing/2010/main" spid="_x0000_s1055"/>
              </a:ext>
              <a:ext uri="{FF2B5EF4-FFF2-40B4-BE49-F238E27FC236}">
                <a16:creationId xmlns:a16="http://schemas.microsoft.com/office/drawing/2014/main" id="{00000000-0008-0000-0000-00001F040000}"/>
              </a:ext>
            </a:extLst>
          </xdr:cNvPr>
          <xdr:cNvSpPr/>
        </xdr:nvSpPr>
        <xdr:spPr bwMode="auto">
          <a:xfrm>
            <a:off x="12201525"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6" name="Check Box 32">
            <a:extLst>
              <a:ext uri="{63B3BB69-23CF-44E3-9099-C40C66FF867C}">
                <a14:compatExt xmlns:a14="http://schemas.microsoft.com/office/drawing/2010/main" spid="_x0000_s1056"/>
              </a:ext>
              <a:ext uri="{FF2B5EF4-FFF2-40B4-BE49-F238E27FC236}">
                <a16:creationId xmlns:a16="http://schemas.microsoft.com/office/drawing/2014/main" id="{00000000-0008-0000-0000-000020040000}"/>
              </a:ext>
            </a:extLst>
          </xdr:cNvPr>
          <xdr:cNvSpPr/>
        </xdr:nvSpPr>
        <xdr:spPr bwMode="auto">
          <a:xfrm>
            <a:off x="13401674" y="222885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7" name="Check Box 33">
            <a:extLst>
              <a:ext uri="{63B3BB69-23CF-44E3-9099-C40C66FF867C}">
                <a14:compatExt xmlns:a14="http://schemas.microsoft.com/office/drawing/2010/main" spid="_x0000_s1057"/>
              </a:ext>
              <a:ext uri="{FF2B5EF4-FFF2-40B4-BE49-F238E27FC236}">
                <a16:creationId xmlns:a16="http://schemas.microsoft.com/office/drawing/2014/main" id="{00000000-0008-0000-0000-000021040000}"/>
              </a:ext>
            </a:extLst>
          </xdr:cNvPr>
          <xdr:cNvSpPr/>
        </xdr:nvSpPr>
        <xdr:spPr bwMode="auto">
          <a:xfrm>
            <a:off x="13401674" y="201930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8" name="Check Box 34">
            <a:extLst>
              <a:ext uri="{63B3BB69-23CF-44E3-9099-C40C66FF867C}">
                <a14:compatExt xmlns:a14="http://schemas.microsoft.com/office/drawing/2010/main" spid="_x0000_s1058"/>
              </a:ext>
              <a:ext uri="{FF2B5EF4-FFF2-40B4-BE49-F238E27FC236}">
                <a16:creationId xmlns:a16="http://schemas.microsoft.com/office/drawing/2014/main" id="{00000000-0008-0000-0000-000022040000}"/>
              </a:ext>
            </a:extLst>
          </xdr:cNvPr>
          <xdr:cNvSpPr/>
        </xdr:nvSpPr>
        <xdr:spPr bwMode="auto">
          <a:xfrm>
            <a:off x="13401674" y="182880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9" name="Check Box 35">
            <a:extLst>
              <a:ext uri="{63B3BB69-23CF-44E3-9099-C40C66FF867C}">
                <a14:compatExt xmlns:a14="http://schemas.microsoft.com/office/drawing/2010/main" spid="_x0000_s1059"/>
              </a:ext>
              <a:ext uri="{FF2B5EF4-FFF2-40B4-BE49-F238E27FC236}">
                <a16:creationId xmlns:a16="http://schemas.microsoft.com/office/drawing/2014/main" id="{00000000-0008-0000-0000-000023040000}"/>
              </a:ext>
            </a:extLst>
          </xdr:cNvPr>
          <xdr:cNvSpPr/>
        </xdr:nvSpPr>
        <xdr:spPr bwMode="auto">
          <a:xfrm>
            <a:off x="12801600"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0" name="Check Box 36">
            <a:extLst>
              <a:ext uri="{63B3BB69-23CF-44E3-9099-C40C66FF867C}">
                <a14:compatExt xmlns:a14="http://schemas.microsoft.com/office/drawing/2010/main" spid="_x0000_s1060"/>
              </a:ext>
              <a:ext uri="{FF2B5EF4-FFF2-40B4-BE49-F238E27FC236}">
                <a16:creationId xmlns:a16="http://schemas.microsoft.com/office/drawing/2014/main" id="{00000000-0008-0000-0000-000024040000}"/>
              </a:ext>
            </a:extLst>
          </xdr:cNvPr>
          <xdr:cNvSpPr/>
        </xdr:nvSpPr>
        <xdr:spPr bwMode="auto">
          <a:xfrm>
            <a:off x="11201400"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1" name="Check Box 37">
            <a:extLst>
              <a:ext uri="{63B3BB69-23CF-44E3-9099-C40C66FF867C}">
                <a14:compatExt xmlns:a14="http://schemas.microsoft.com/office/drawing/2010/main" spid="_x0000_s1061"/>
              </a:ext>
              <a:ext uri="{FF2B5EF4-FFF2-40B4-BE49-F238E27FC236}">
                <a16:creationId xmlns:a16="http://schemas.microsoft.com/office/drawing/2014/main" id="{00000000-0008-0000-0000-000025040000}"/>
              </a:ext>
            </a:extLst>
          </xdr:cNvPr>
          <xdr:cNvSpPr/>
        </xdr:nvSpPr>
        <xdr:spPr bwMode="auto">
          <a:xfrm>
            <a:off x="12201525"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2" name="Check Box 38">
            <a:extLst>
              <a:ext uri="{63B3BB69-23CF-44E3-9099-C40C66FF867C}">
                <a14:compatExt xmlns:a14="http://schemas.microsoft.com/office/drawing/2010/main" spid="_x0000_s1062"/>
              </a:ext>
              <a:ext uri="{FF2B5EF4-FFF2-40B4-BE49-F238E27FC236}">
                <a16:creationId xmlns:a16="http://schemas.microsoft.com/office/drawing/2014/main" id="{00000000-0008-0000-0000-000026040000}"/>
              </a:ext>
            </a:extLst>
          </xdr:cNvPr>
          <xdr:cNvSpPr/>
        </xdr:nvSpPr>
        <xdr:spPr bwMode="auto">
          <a:xfrm>
            <a:off x="12801600"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mc:AlternateContent xmlns:mc="http://schemas.openxmlformats.org/markup-compatibility/2006">
    <mc:Choice xmlns:a14="http://schemas.microsoft.com/office/drawing/2010/main" Requires="a14">
      <xdr:twoCellAnchor editAs="oneCell">
        <xdr:from>
          <xdr:col>7</xdr:col>
          <xdr:colOff>0</xdr:colOff>
          <xdr:row>19</xdr:row>
          <xdr:rowOff>123825</xdr:rowOff>
        </xdr:from>
        <xdr:to>
          <xdr:col>8</xdr:col>
          <xdr:colOff>104775</xdr:colOff>
          <xdr:row>21</xdr:row>
          <xdr:rowOff>95250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20</xdr:row>
          <xdr:rowOff>123825</xdr:rowOff>
        </xdr:from>
        <xdr:to>
          <xdr:col>13</xdr:col>
          <xdr:colOff>104775</xdr:colOff>
          <xdr:row>22</xdr:row>
          <xdr:rowOff>95250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21</xdr:row>
          <xdr:rowOff>123825</xdr:rowOff>
        </xdr:from>
        <xdr:to>
          <xdr:col>13</xdr:col>
          <xdr:colOff>104775</xdr:colOff>
          <xdr:row>23</xdr:row>
          <xdr:rowOff>95250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180975</xdr:colOff>
          <xdr:row>21</xdr:row>
          <xdr:rowOff>123825</xdr:rowOff>
        </xdr:from>
        <xdr:to>
          <xdr:col>30</xdr:col>
          <xdr:colOff>85725</xdr:colOff>
          <xdr:row>23</xdr:row>
          <xdr:rowOff>95250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114300</xdr:colOff>
          <xdr:row>22</xdr:row>
          <xdr:rowOff>123825</xdr:rowOff>
        </xdr:from>
        <xdr:to>
          <xdr:col>35</xdr:col>
          <xdr:colOff>19050</xdr:colOff>
          <xdr:row>24</xdr:row>
          <xdr:rowOff>95250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180975</xdr:colOff>
          <xdr:row>22</xdr:row>
          <xdr:rowOff>123825</xdr:rowOff>
        </xdr:from>
        <xdr:to>
          <xdr:col>30</xdr:col>
          <xdr:colOff>85725</xdr:colOff>
          <xdr:row>24</xdr:row>
          <xdr:rowOff>95250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22</xdr:row>
          <xdr:rowOff>123825</xdr:rowOff>
        </xdr:from>
        <xdr:to>
          <xdr:col>13</xdr:col>
          <xdr:colOff>104775</xdr:colOff>
          <xdr:row>24</xdr:row>
          <xdr:rowOff>95250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123825</xdr:rowOff>
        </xdr:from>
        <xdr:to>
          <xdr:col>8</xdr:col>
          <xdr:colOff>104775</xdr:colOff>
          <xdr:row>19</xdr:row>
          <xdr:rowOff>95250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114300</xdr:rowOff>
        </xdr:from>
        <xdr:to>
          <xdr:col>8</xdr:col>
          <xdr:colOff>104775</xdr:colOff>
          <xdr:row>22</xdr:row>
          <xdr:rowOff>85725</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114300</xdr:rowOff>
        </xdr:from>
        <xdr:to>
          <xdr:col>8</xdr:col>
          <xdr:colOff>104775</xdr:colOff>
          <xdr:row>24</xdr:row>
          <xdr:rowOff>85725</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114300</xdr:rowOff>
        </xdr:from>
        <xdr:to>
          <xdr:col>8</xdr:col>
          <xdr:colOff>104775</xdr:colOff>
          <xdr:row>23</xdr:row>
          <xdr:rowOff>85725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123825</xdr:rowOff>
        </xdr:from>
        <xdr:to>
          <xdr:col>8</xdr:col>
          <xdr:colOff>104775</xdr:colOff>
          <xdr:row>20</xdr:row>
          <xdr:rowOff>95250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11</xdr:row>
          <xdr:rowOff>152400</xdr:rowOff>
        </xdr:from>
        <xdr:to>
          <xdr:col>51</xdr:col>
          <xdr:colOff>104775</xdr:colOff>
          <xdr:row>13</xdr:row>
          <xdr:rowOff>47625</xdr:rowOff>
        </xdr:to>
        <xdr:sp macro="" textlink="">
          <xdr:nvSpPr>
            <xdr:cNvPr id="2" name="Check Box 21" hidden="1">
              <a:extLst>
                <a:ext uri="{63B3BB69-23CF-44E3-9099-C40C66FF867C}">
                  <a14:compatExt spid="_x0000_s1045"/>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12</xdr:row>
          <xdr:rowOff>152400</xdr:rowOff>
        </xdr:from>
        <xdr:to>
          <xdr:col>51</xdr:col>
          <xdr:colOff>104775</xdr:colOff>
          <xdr:row>14</xdr:row>
          <xdr:rowOff>47625</xdr:rowOff>
        </xdr:to>
        <xdr:sp macro="" textlink="">
          <xdr:nvSpPr>
            <xdr:cNvPr id="3" name="Check Box 22" hidden="1">
              <a:extLst>
                <a:ext uri="{63B3BB69-23CF-44E3-9099-C40C66FF867C}">
                  <a14:compatExt spid="_x0000_s1046"/>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13</xdr:row>
          <xdr:rowOff>152400</xdr:rowOff>
        </xdr:from>
        <xdr:to>
          <xdr:col>51</xdr:col>
          <xdr:colOff>104775</xdr:colOff>
          <xdr:row>15</xdr:row>
          <xdr:rowOff>47625</xdr:rowOff>
        </xdr:to>
        <xdr:sp macro="" textlink="">
          <xdr:nvSpPr>
            <xdr:cNvPr id="4" name="Check Box 23" hidden="1">
              <a:extLst>
                <a:ext uri="{63B3BB69-23CF-44E3-9099-C40C66FF867C}">
                  <a14:compatExt spid="_x0000_s1047"/>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11</xdr:row>
          <xdr:rowOff>152400</xdr:rowOff>
        </xdr:from>
        <xdr:to>
          <xdr:col>54</xdr:col>
          <xdr:colOff>104775</xdr:colOff>
          <xdr:row>13</xdr:row>
          <xdr:rowOff>47625</xdr:rowOff>
        </xdr:to>
        <xdr:sp macro="" textlink="">
          <xdr:nvSpPr>
            <xdr:cNvPr id="6" name="Check Box 24" hidden="1">
              <a:extLst>
                <a:ext uri="{63B3BB69-23CF-44E3-9099-C40C66FF867C}">
                  <a14:compatExt spid="_x0000_s1048"/>
                </a:ext>
                <a:ext uri="{FF2B5EF4-FFF2-40B4-BE49-F238E27FC236}">
                  <a16:creationId xmlns:a16="http://schemas.microsoft.com/office/drawing/2014/main" id="{00000000-0008-0000-0000-000006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13</xdr:row>
          <xdr:rowOff>152400</xdr:rowOff>
        </xdr:from>
        <xdr:to>
          <xdr:col>57</xdr:col>
          <xdr:colOff>104775</xdr:colOff>
          <xdr:row>15</xdr:row>
          <xdr:rowOff>47625</xdr:rowOff>
        </xdr:to>
        <xdr:sp macro="" textlink="">
          <xdr:nvSpPr>
            <xdr:cNvPr id="7" name="Check Box 25" hidden="1">
              <a:extLst>
                <a:ext uri="{63B3BB69-23CF-44E3-9099-C40C66FF867C}">
                  <a14:compatExt spid="_x0000_s1049"/>
                </a:ext>
                <a:ext uri="{FF2B5EF4-FFF2-40B4-BE49-F238E27FC236}">
                  <a16:creationId xmlns:a16="http://schemas.microsoft.com/office/drawing/2014/main" id="{00000000-0008-0000-0000-000007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11</xdr:row>
          <xdr:rowOff>152400</xdr:rowOff>
        </xdr:from>
        <xdr:to>
          <xdr:col>57</xdr:col>
          <xdr:colOff>104775</xdr:colOff>
          <xdr:row>13</xdr:row>
          <xdr:rowOff>47625</xdr:rowOff>
        </xdr:to>
        <xdr:sp macro="" textlink="">
          <xdr:nvSpPr>
            <xdr:cNvPr id="8" name="Check Box 26" hidden="1">
              <a:extLst>
                <a:ext uri="{63B3BB69-23CF-44E3-9099-C40C66FF867C}">
                  <a14:compatExt spid="_x0000_s1050"/>
                </a:ext>
                <a:ext uri="{FF2B5EF4-FFF2-40B4-BE49-F238E27FC236}">
                  <a16:creationId xmlns:a16="http://schemas.microsoft.com/office/drawing/2014/main" id="{00000000-0008-0000-0000-000008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12</xdr:row>
          <xdr:rowOff>152400</xdr:rowOff>
        </xdr:from>
        <xdr:to>
          <xdr:col>57</xdr:col>
          <xdr:colOff>104775</xdr:colOff>
          <xdr:row>14</xdr:row>
          <xdr:rowOff>47625</xdr:rowOff>
        </xdr:to>
        <xdr:sp macro="" textlink="">
          <xdr:nvSpPr>
            <xdr:cNvPr id="9" name="Check Box 27" hidden="1">
              <a:extLst>
                <a:ext uri="{63B3BB69-23CF-44E3-9099-C40C66FF867C}">
                  <a14:compatExt spid="_x0000_s1051"/>
                </a:ext>
                <a:ext uri="{FF2B5EF4-FFF2-40B4-BE49-F238E27FC236}">
                  <a16:creationId xmlns:a16="http://schemas.microsoft.com/office/drawing/2014/main" id="{00000000-0008-0000-0000-000009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13</xdr:row>
          <xdr:rowOff>152400</xdr:rowOff>
        </xdr:from>
        <xdr:to>
          <xdr:col>54</xdr:col>
          <xdr:colOff>104775</xdr:colOff>
          <xdr:row>15</xdr:row>
          <xdr:rowOff>47625</xdr:rowOff>
        </xdr:to>
        <xdr:sp macro="" textlink="">
          <xdr:nvSpPr>
            <xdr:cNvPr id="10" name="Check Box 28" hidden="1">
              <a:extLst>
                <a:ext uri="{63B3BB69-23CF-44E3-9099-C40C66FF867C}">
                  <a14:compatExt spid="_x0000_s1052"/>
                </a:ext>
                <a:ext uri="{FF2B5EF4-FFF2-40B4-BE49-F238E27FC236}">
                  <a16:creationId xmlns:a16="http://schemas.microsoft.com/office/drawing/2014/main" id="{00000000-0008-0000-0000-00000A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11</xdr:row>
          <xdr:rowOff>152400</xdr:rowOff>
        </xdr:from>
        <xdr:to>
          <xdr:col>62</xdr:col>
          <xdr:colOff>104775</xdr:colOff>
          <xdr:row>13</xdr:row>
          <xdr:rowOff>47625</xdr:rowOff>
        </xdr:to>
        <xdr:sp macro="" textlink="">
          <xdr:nvSpPr>
            <xdr:cNvPr id="11" name="Check Box 29" hidden="1">
              <a:extLst>
                <a:ext uri="{63B3BB69-23CF-44E3-9099-C40C66FF867C}">
                  <a14:compatExt spid="_x0000_s1053"/>
                </a:ext>
                <a:ext uri="{FF2B5EF4-FFF2-40B4-BE49-F238E27FC236}">
                  <a16:creationId xmlns:a16="http://schemas.microsoft.com/office/drawing/2014/main" id="{00000000-0008-0000-0000-00000B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13</xdr:row>
          <xdr:rowOff>152400</xdr:rowOff>
        </xdr:from>
        <xdr:to>
          <xdr:col>59</xdr:col>
          <xdr:colOff>104775</xdr:colOff>
          <xdr:row>15</xdr:row>
          <xdr:rowOff>47625</xdr:rowOff>
        </xdr:to>
        <xdr:sp macro="" textlink="">
          <xdr:nvSpPr>
            <xdr:cNvPr id="12" name="Check Box 30" hidden="1">
              <a:extLst>
                <a:ext uri="{63B3BB69-23CF-44E3-9099-C40C66FF867C}">
                  <a14:compatExt spid="_x0000_s1054"/>
                </a:ext>
                <a:ext uri="{FF2B5EF4-FFF2-40B4-BE49-F238E27FC236}">
                  <a16:creationId xmlns:a16="http://schemas.microsoft.com/office/drawing/2014/main" id="{00000000-0008-0000-0000-00000C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11</xdr:row>
          <xdr:rowOff>152400</xdr:rowOff>
        </xdr:from>
        <xdr:to>
          <xdr:col>59</xdr:col>
          <xdr:colOff>104775</xdr:colOff>
          <xdr:row>13</xdr:row>
          <xdr:rowOff>47625</xdr:rowOff>
        </xdr:to>
        <xdr:sp macro="" textlink="">
          <xdr:nvSpPr>
            <xdr:cNvPr id="13" name="Check Box 31" hidden="1">
              <a:extLst>
                <a:ext uri="{63B3BB69-23CF-44E3-9099-C40C66FF867C}">
                  <a14:compatExt spid="_x0000_s1055"/>
                </a:ext>
                <a:ext uri="{FF2B5EF4-FFF2-40B4-BE49-F238E27FC236}">
                  <a16:creationId xmlns:a16="http://schemas.microsoft.com/office/drawing/2014/main" id="{00000000-0008-0000-0000-00000D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13</xdr:row>
          <xdr:rowOff>152400</xdr:rowOff>
        </xdr:from>
        <xdr:to>
          <xdr:col>62</xdr:col>
          <xdr:colOff>104775</xdr:colOff>
          <xdr:row>15</xdr:row>
          <xdr:rowOff>47625</xdr:rowOff>
        </xdr:to>
        <xdr:sp macro="" textlink="">
          <xdr:nvSpPr>
            <xdr:cNvPr id="14" name="Check Box 35" hidden="1">
              <a:extLst>
                <a:ext uri="{63B3BB69-23CF-44E3-9099-C40C66FF867C}">
                  <a14:compatExt spid="_x0000_s1059"/>
                </a:ext>
                <a:ext uri="{FF2B5EF4-FFF2-40B4-BE49-F238E27FC236}">
                  <a16:creationId xmlns:a16="http://schemas.microsoft.com/office/drawing/2014/main" id="{00000000-0008-0000-0000-00000E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12</xdr:row>
          <xdr:rowOff>152400</xdr:rowOff>
        </xdr:from>
        <xdr:to>
          <xdr:col>54</xdr:col>
          <xdr:colOff>104775</xdr:colOff>
          <xdr:row>14</xdr:row>
          <xdr:rowOff>47625</xdr:rowOff>
        </xdr:to>
        <xdr:sp macro="" textlink="">
          <xdr:nvSpPr>
            <xdr:cNvPr id="15" name="Check Box 36" hidden="1">
              <a:extLst>
                <a:ext uri="{63B3BB69-23CF-44E3-9099-C40C66FF867C}">
                  <a14:compatExt spid="_x0000_s1060"/>
                </a:ext>
                <a:ext uri="{FF2B5EF4-FFF2-40B4-BE49-F238E27FC236}">
                  <a16:creationId xmlns:a16="http://schemas.microsoft.com/office/drawing/2014/main" id="{00000000-0008-0000-0000-00000F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12</xdr:row>
          <xdr:rowOff>152400</xdr:rowOff>
        </xdr:from>
        <xdr:to>
          <xdr:col>59</xdr:col>
          <xdr:colOff>104775</xdr:colOff>
          <xdr:row>14</xdr:row>
          <xdr:rowOff>47625</xdr:rowOff>
        </xdr:to>
        <xdr:sp macro="" textlink="">
          <xdr:nvSpPr>
            <xdr:cNvPr id="16" name="Check Box 37" hidden="1">
              <a:extLst>
                <a:ext uri="{63B3BB69-23CF-44E3-9099-C40C66FF867C}">
                  <a14:compatExt spid="_x0000_s1061"/>
                </a:ext>
                <a:ext uri="{FF2B5EF4-FFF2-40B4-BE49-F238E27FC236}">
                  <a16:creationId xmlns:a16="http://schemas.microsoft.com/office/drawing/2014/main" id="{00000000-0008-0000-0000-000010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12</xdr:row>
          <xdr:rowOff>152400</xdr:rowOff>
        </xdr:from>
        <xdr:to>
          <xdr:col>62</xdr:col>
          <xdr:colOff>104775</xdr:colOff>
          <xdr:row>14</xdr:row>
          <xdr:rowOff>47625</xdr:rowOff>
        </xdr:to>
        <xdr:sp macro="" textlink="">
          <xdr:nvSpPr>
            <xdr:cNvPr id="17" name="Check Box 38" hidden="1">
              <a:extLst>
                <a:ext uri="{63B3BB69-23CF-44E3-9099-C40C66FF867C}">
                  <a14:compatExt spid="_x0000_s1062"/>
                </a:ext>
                <a:ext uri="{FF2B5EF4-FFF2-40B4-BE49-F238E27FC236}">
                  <a16:creationId xmlns:a16="http://schemas.microsoft.com/office/drawing/2014/main" id="{00000000-0008-0000-0000-000011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19050</xdr:colOff>
          <xdr:row>11</xdr:row>
          <xdr:rowOff>152400</xdr:rowOff>
        </xdr:from>
        <xdr:to>
          <xdr:col>65</xdr:col>
          <xdr:colOff>123825</xdr:colOff>
          <xdr:row>13</xdr:row>
          <xdr:rowOff>47625</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19050</xdr:colOff>
          <xdr:row>13</xdr:row>
          <xdr:rowOff>152400</xdr:rowOff>
        </xdr:from>
        <xdr:to>
          <xdr:col>65</xdr:col>
          <xdr:colOff>123825</xdr:colOff>
          <xdr:row>15</xdr:row>
          <xdr:rowOff>47625</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19050</xdr:colOff>
          <xdr:row>12</xdr:row>
          <xdr:rowOff>152400</xdr:rowOff>
        </xdr:from>
        <xdr:to>
          <xdr:col>65</xdr:col>
          <xdr:colOff>123825</xdr:colOff>
          <xdr:row>14</xdr:row>
          <xdr:rowOff>47625</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32</xdr:row>
          <xdr:rowOff>19050</xdr:rowOff>
        </xdr:from>
        <xdr:to>
          <xdr:col>8</xdr:col>
          <xdr:colOff>161925</xdr:colOff>
          <xdr:row>33</xdr:row>
          <xdr:rowOff>190500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31</xdr:row>
          <xdr:rowOff>123825</xdr:rowOff>
        </xdr:from>
        <xdr:to>
          <xdr:col>11</xdr:col>
          <xdr:colOff>114300</xdr:colOff>
          <xdr:row>33</xdr:row>
          <xdr:rowOff>95250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31</xdr:row>
          <xdr:rowOff>123825</xdr:rowOff>
        </xdr:from>
        <xdr:to>
          <xdr:col>16</xdr:col>
          <xdr:colOff>104775</xdr:colOff>
          <xdr:row>33</xdr:row>
          <xdr:rowOff>95250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32</xdr:row>
          <xdr:rowOff>123825</xdr:rowOff>
        </xdr:from>
        <xdr:to>
          <xdr:col>16</xdr:col>
          <xdr:colOff>104775</xdr:colOff>
          <xdr:row>34</xdr:row>
          <xdr:rowOff>95250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32</xdr:row>
          <xdr:rowOff>123825</xdr:rowOff>
        </xdr:from>
        <xdr:to>
          <xdr:col>19</xdr:col>
          <xdr:colOff>114300</xdr:colOff>
          <xdr:row>34</xdr:row>
          <xdr:rowOff>95250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9525</xdr:colOff>
          <xdr:row>32</xdr:row>
          <xdr:rowOff>123825</xdr:rowOff>
        </xdr:from>
        <xdr:to>
          <xdr:col>23</xdr:col>
          <xdr:colOff>114300</xdr:colOff>
          <xdr:row>34</xdr:row>
          <xdr:rowOff>95250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A94"/>
  <sheetViews>
    <sheetView showGridLines="0" tabSelected="1" view="pageBreakPreview" topLeftCell="A23" zoomScale="85" zoomScaleNormal="100" zoomScaleSheetLayoutView="85" workbookViewId="0">
      <selection activeCell="AT46" sqref="AT46:AW47"/>
    </sheetView>
  </sheetViews>
  <sheetFormatPr defaultRowHeight="13.5" x14ac:dyDescent="0.15"/>
  <cols>
    <col min="1" max="1" width="3.25" customWidth="1"/>
    <col min="2" max="39" width="2.625" style="1" customWidth="1"/>
    <col min="40" max="40" width="9.875" style="1" customWidth="1"/>
    <col min="41" max="72" width="2.625" style="1" customWidth="1"/>
    <col min="73" max="105" width="2.625" customWidth="1"/>
  </cols>
  <sheetData>
    <row r="1" spans="2:79" ht="12" customHeight="1" x14ac:dyDescent="0.15">
      <c r="B1" s="317" t="s">
        <v>51</v>
      </c>
      <c r="C1" s="318"/>
      <c r="D1" s="318"/>
      <c r="E1" s="318"/>
      <c r="F1" s="318"/>
      <c r="G1" s="318"/>
      <c r="H1" s="318"/>
      <c r="I1" s="318"/>
      <c r="J1" s="318"/>
      <c r="K1" s="318"/>
      <c r="L1" s="318"/>
      <c r="M1" s="318"/>
      <c r="Z1" s="306" t="s">
        <v>99</v>
      </c>
      <c r="AA1" s="306"/>
      <c r="AB1" s="306"/>
      <c r="AC1" s="309">
        <v>2026</v>
      </c>
      <c r="AD1" s="309"/>
      <c r="AE1" s="306" t="s">
        <v>0</v>
      </c>
      <c r="AF1" s="309">
        <v>10</v>
      </c>
      <c r="AG1" s="309"/>
      <c r="AH1" s="306" t="s">
        <v>1</v>
      </c>
      <c r="AI1" s="309">
        <v>1</v>
      </c>
      <c r="AJ1" s="309"/>
      <c r="AK1" s="306" t="s">
        <v>29</v>
      </c>
      <c r="AL1" s="306"/>
      <c r="AM1" s="306"/>
      <c r="AO1" s="22" t="s">
        <v>28</v>
      </c>
      <c r="AP1" s="21"/>
      <c r="AQ1" s="6"/>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0"/>
      <c r="BV1" s="20"/>
      <c r="BW1" s="20"/>
      <c r="BX1" s="20"/>
      <c r="BY1" s="20"/>
      <c r="BZ1" s="19"/>
      <c r="CA1" s="26"/>
    </row>
    <row r="2" spans="2:79" ht="12" customHeight="1" x14ac:dyDescent="0.15">
      <c r="B2" s="318"/>
      <c r="C2" s="318"/>
      <c r="D2" s="318"/>
      <c r="E2" s="318"/>
      <c r="F2" s="318"/>
      <c r="G2" s="318"/>
      <c r="H2" s="318"/>
      <c r="I2" s="318"/>
      <c r="J2" s="318"/>
      <c r="K2" s="318"/>
      <c r="L2" s="318"/>
      <c r="M2" s="318"/>
      <c r="Z2" s="306"/>
      <c r="AA2" s="306"/>
      <c r="AB2" s="306"/>
      <c r="AC2" s="309"/>
      <c r="AD2" s="309"/>
      <c r="AE2" s="306"/>
      <c r="AF2" s="309"/>
      <c r="AG2" s="309"/>
      <c r="AH2" s="306"/>
      <c r="AI2" s="309"/>
      <c r="AJ2" s="309"/>
      <c r="AK2" s="306"/>
      <c r="AL2" s="306"/>
      <c r="AM2" s="306"/>
      <c r="AO2" s="18" t="s">
        <v>63</v>
      </c>
      <c r="AP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6"/>
      <c r="BV2" s="16"/>
      <c r="BW2" s="16"/>
      <c r="BX2" s="16"/>
      <c r="BY2" s="16"/>
      <c r="BZ2" s="15"/>
      <c r="CA2" s="26"/>
    </row>
    <row r="3" spans="2:79" ht="12" customHeight="1" x14ac:dyDescent="0.15">
      <c r="V3" s="307" t="s">
        <v>196</v>
      </c>
      <c r="W3" s="307"/>
      <c r="X3" s="307"/>
      <c r="Y3" s="307"/>
      <c r="Z3" s="307"/>
      <c r="AA3" s="307"/>
      <c r="AB3" s="307"/>
      <c r="AC3" s="307"/>
      <c r="AD3" s="307"/>
      <c r="AE3" s="307"/>
      <c r="AF3" s="307"/>
      <c r="AG3" s="307"/>
      <c r="AH3" s="307"/>
      <c r="AI3" s="307"/>
      <c r="AJ3" s="307"/>
      <c r="AK3" s="307"/>
      <c r="AL3" s="307"/>
      <c r="AM3" s="307"/>
      <c r="AO3" s="18" t="s">
        <v>27</v>
      </c>
      <c r="AP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6"/>
      <c r="BV3" s="16"/>
      <c r="BW3" s="16"/>
      <c r="BX3" s="16"/>
      <c r="BY3" s="16"/>
      <c r="BZ3" s="15"/>
      <c r="CA3" s="26"/>
    </row>
    <row r="4" spans="2:79" ht="12" customHeight="1" x14ac:dyDescent="0.15">
      <c r="S4" s="14" t="s">
        <v>26</v>
      </c>
      <c r="T4" s="5"/>
      <c r="U4" s="5"/>
      <c r="V4" s="308"/>
      <c r="W4" s="308"/>
      <c r="X4" s="308"/>
      <c r="Y4" s="308"/>
      <c r="Z4" s="308"/>
      <c r="AA4" s="308"/>
      <c r="AB4" s="308"/>
      <c r="AC4" s="308"/>
      <c r="AD4" s="308"/>
      <c r="AE4" s="308"/>
      <c r="AF4" s="308"/>
      <c r="AG4" s="308"/>
      <c r="AH4" s="308"/>
      <c r="AI4" s="308"/>
      <c r="AJ4" s="308"/>
      <c r="AK4" s="308"/>
      <c r="AL4" s="308"/>
      <c r="AM4" s="308"/>
      <c r="AO4" s="13" t="s">
        <v>62</v>
      </c>
      <c r="AP4" s="12"/>
      <c r="AQ4" s="5"/>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1"/>
      <c r="BV4" s="11"/>
      <c r="BW4" s="11"/>
      <c r="BX4" s="11"/>
      <c r="BY4" s="11"/>
      <c r="BZ4" s="10"/>
      <c r="CA4" s="26"/>
    </row>
    <row r="5" spans="2:79" ht="8.1" customHeight="1" x14ac:dyDescent="0.15">
      <c r="AG5" s="9"/>
    </row>
    <row r="6" spans="2:79" ht="15.75" customHeight="1" x14ac:dyDescent="0.15">
      <c r="B6" s="8" t="s">
        <v>54</v>
      </c>
      <c r="AO6" s="1" t="s">
        <v>134</v>
      </c>
      <c r="BU6" s="1"/>
      <c r="BV6" s="1"/>
      <c r="BW6" s="1"/>
      <c r="BX6" s="1"/>
      <c r="BY6" s="1"/>
      <c r="BZ6" s="1"/>
    </row>
    <row r="7" spans="2:79" ht="15.75" customHeight="1" x14ac:dyDescent="0.15">
      <c r="B7" s="143" t="s">
        <v>155</v>
      </c>
      <c r="C7" s="144"/>
      <c r="D7" s="144"/>
      <c r="E7" s="144"/>
      <c r="F7" s="144"/>
      <c r="G7" s="144"/>
      <c r="H7" s="144"/>
      <c r="I7" s="144"/>
      <c r="J7" s="144"/>
      <c r="K7" s="144"/>
      <c r="L7" s="144"/>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5"/>
      <c r="AO7" s="544" t="s">
        <v>122</v>
      </c>
      <c r="AP7" s="544"/>
      <c r="AQ7" s="200" t="s">
        <v>123</v>
      </c>
      <c r="AR7" s="545"/>
      <c r="AS7" s="545"/>
      <c r="AT7" s="546"/>
      <c r="AU7" s="173"/>
      <c r="AV7" s="174"/>
      <c r="AW7" s="174"/>
      <c r="AX7" s="174"/>
      <c r="AY7" s="174"/>
      <c r="AZ7" s="174"/>
      <c r="BA7" s="174"/>
      <c r="BB7" s="174"/>
      <c r="BC7" s="174"/>
      <c r="BD7" s="174"/>
      <c r="BE7" s="174"/>
      <c r="BF7" s="174"/>
      <c r="BG7" s="174"/>
      <c r="BH7" s="544" t="s">
        <v>124</v>
      </c>
      <c r="BI7" s="544"/>
      <c r="BJ7" s="200" t="s">
        <v>123</v>
      </c>
      <c r="BK7" s="545"/>
      <c r="BL7" s="545"/>
      <c r="BM7" s="546"/>
      <c r="BN7" s="173"/>
      <c r="BO7" s="174"/>
      <c r="BP7" s="174"/>
      <c r="BQ7" s="174"/>
      <c r="BR7" s="174"/>
      <c r="BS7" s="174"/>
      <c r="BT7" s="174"/>
      <c r="BU7" s="174"/>
      <c r="BV7" s="174"/>
      <c r="BW7" s="174"/>
      <c r="BX7" s="174"/>
      <c r="BY7" s="174"/>
      <c r="BZ7" s="274"/>
    </row>
    <row r="8" spans="2:79" ht="15.75" customHeight="1" x14ac:dyDescent="0.15">
      <c r="B8" s="311" t="s">
        <v>156</v>
      </c>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3"/>
      <c r="AO8" s="544"/>
      <c r="AP8" s="544"/>
      <c r="AQ8" s="552" t="s">
        <v>125</v>
      </c>
      <c r="AR8" s="553"/>
      <c r="AS8" s="553"/>
      <c r="AT8" s="554"/>
      <c r="AU8" s="179"/>
      <c r="AV8" s="180"/>
      <c r="AW8" s="180"/>
      <c r="AX8" s="180"/>
      <c r="AY8" s="180"/>
      <c r="AZ8" s="180"/>
      <c r="BA8" s="180"/>
      <c r="BB8" s="180"/>
      <c r="BC8" s="180"/>
      <c r="BD8" s="180"/>
      <c r="BE8" s="180"/>
      <c r="BF8" s="180"/>
      <c r="BG8" s="180"/>
      <c r="BH8" s="544"/>
      <c r="BI8" s="544"/>
      <c r="BJ8" s="552" t="s">
        <v>125</v>
      </c>
      <c r="BK8" s="553"/>
      <c r="BL8" s="553"/>
      <c r="BM8" s="554"/>
      <c r="BN8" s="179"/>
      <c r="BO8" s="180"/>
      <c r="BP8" s="180"/>
      <c r="BQ8" s="180"/>
      <c r="BR8" s="180"/>
      <c r="BS8" s="180"/>
      <c r="BT8" s="180"/>
      <c r="BU8" s="180"/>
      <c r="BV8" s="180"/>
      <c r="BW8" s="180"/>
      <c r="BX8" s="180"/>
      <c r="BY8" s="180"/>
      <c r="BZ8" s="275"/>
    </row>
    <row r="9" spans="2:79" ht="15.75" customHeight="1" x14ac:dyDescent="0.15">
      <c r="B9" s="311" t="s">
        <v>157</v>
      </c>
      <c r="C9" s="312"/>
      <c r="D9" s="312"/>
      <c r="E9" s="312"/>
      <c r="F9" s="312"/>
      <c r="G9" s="312"/>
      <c r="H9" s="312"/>
      <c r="I9" s="312"/>
      <c r="J9" s="312"/>
      <c r="K9" s="312"/>
      <c r="L9" s="312"/>
      <c r="M9" s="312"/>
      <c r="N9" s="312"/>
      <c r="O9" s="312"/>
      <c r="P9" s="312"/>
      <c r="Q9" s="312"/>
      <c r="R9" s="312"/>
      <c r="S9" s="312"/>
      <c r="T9" s="312"/>
      <c r="U9" s="312"/>
      <c r="V9" s="312"/>
      <c r="W9" s="312"/>
      <c r="X9" s="312"/>
      <c r="Y9" s="312"/>
      <c r="Z9" s="312"/>
      <c r="AA9" s="312"/>
      <c r="AB9" s="312"/>
      <c r="AC9" s="312"/>
      <c r="AD9" s="312"/>
      <c r="AE9" s="312"/>
      <c r="AF9" s="312"/>
      <c r="AG9" s="312"/>
      <c r="AH9" s="312"/>
      <c r="AI9" s="312"/>
      <c r="AJ9" s="312"/>
      <c r="AK9" s="312"/>
      <c r="AL9" s="312"/>
      <c r="AM9" s="313"/>
      <c r="AO9" s="544"/>
      <c r="AP9" s="544"/>
      <c r="AQ9" s="552" t="s">
        <v>126</v>
      </c>
      <c r="AR9" s="553"/>
      <c r="AS9" s="553"/>
      <c r="AT9" s="554"/>
      <c r="AU9" s="179"/>
      <c r="AV9" s="180"/>
      <c r="AW9" s="180"/>
      <c r="AX9" s="180"/>
      <c r="AY9" s="180"/>
      <c r="AZ9" s="180"/>
      <c r="BA9" s="180"/>
      <c r="BB9" s="180"/>
      <c r="BC9" s="180"/>
      <c r="BD9" s="180"/>
      <c r="BE9" s="180"/>
      <c r="BF9" s="180"/>
      <c r="BG9" s="180"/>
      <c r="BH9" s="544"/>
      <c r="BI9" s="544"/>
      <c r="BJ9" s="552" t="s">
        <v>126</v>
      </c>
      <c r="BK9" s="553"/>
      <c r="BL9" s="553"/>
      <c r="BM9" s="554"/>
      <c r="BN9" s="179"/>
      <c r="BO9" s="180"/>
      <c r="BP9" s="180"/>
      <c r="BQ9" s="180"/>
      <c r="BR9" s="180"/>
      <c r="BS9" s="180"/>
      <c r="BT9" s="180"/>
      <c r="BU9" s="180"/>
      <c r="BV9" s="180"/>
      <c r="BW9" s="180"/>
      <c r="BX9" s="180"/>
      <c r="BY9" s="180"/>
      <c r="BZ9" s="275"/>
    </row>
    <row r="10" spans="2:79" ht="15.75" customHeight="1" x14ac:dyDescent="0.15">
      <c r="B10" s="314"/>
      <c r="C10" s="315"/>
      <c r="D10" s="315"/>
      <c r="E10" s="315"/>
      <c r="F10" s="315"/>
      <c r="G10" s="315"/>
      <c r="H10" s="315"/>
      <c r="I10" s="315"/>
      <c r="J10" s="315"/>
      <c r="K10" s="315"/>
      <c r="L10" s="315"/>
      <c r="M10" s="315"/>
      <c r="N10" s="315"/>
      <c r="O10" s="315"/>
      <c r="P10" s="315"/>
      <c r="Q10" s="315"/>
      <c r="R10" s="315"/>
      <c r="S10" s="315"/>
      <c r="T10" s="315"/>
      <c r="U10" s="315"/>
      <c r="V10" s="315"/>
      <c r="W10" s="315"/>
      <c r="X10" s="315"/>
      <c r="Y10" s="315"/>
      <c r="Z10" s="315"/>
      <c r="AA10" s="315"/>
      <c r="AB10" s="315"/>
      <c r="AC10" s="315"/>
      <c r="AD10" s="315"/>
      <c r="AE10" s="315"/>
      <c r="AF10" s="315"/>
      <c r="AG10" s="315"/>
      <c r="AH10" s="315"/>
      <c r="AI10" s="315"/>
      <c r="AJ10" s="315"/>
      <c r="AK10" s="315"/>
      <c r="AL10" s="315"/>
      <c r="AM10" s="316"/>
      <c r="AO10" s="544"/>
      <c r="AP10" s="544"/>
      <c r="AQ10" s="414" t="s">
        <v>137</v>
      </c>
      <c r="AR10" s="555"/>
      <c r="AS10" s="555"/>
      <c r="AT10" s="556"/>
      <c r="AU10" s="298"/>
      <c r="AV10" s="299"/>
      <c r="AW10" s="299"/>
      <c r="AX10" s="299"/>
      <c r="AY10" s="299"/>
      <c r="AZ10" s="299"/>
      <c r="BA10" s="299"/>
      <c r="BB10" s="299"/>
      <c r="BC10" s="299"/>
      <c r="BD10" s="299"/>
      <c r="BE10" s="299"/>
      <c r="BF10" s="299"/>
      <c r="BG10" s="299"/>
      <c r="BH10" s="544"/>
      <c r="BI10" s="544"/>
      <c r="BJ10" s="414" t="s">
        <v>137</v>
      </c>
      <c r="BK10" s="555"/>
      <c r="BL10" s="555"/>
      <c r="BM10" s="556"/>
      <c r="BN10" s="298"/>
      <c r="BO10" s="299"/>
      <c r="BP10" s="299"/>
      <c r="BQ10" s="299"/>
      <c r="BR10" s="299"/>
      <c r="BS10" s="299"/>
      <c r="BT10" s="299"/>
      <c r="BU10" s="299"/>
      <c r="BV10" s="299"/>
      <c r="BW10" s="299"/>
      <c r="BX10" s="299"/>
      <c r="BY10" s="299"/>
      <c r="BZ10" s="301"/>
    </row>
    <row r="11" spans="2:79" ht="15.75" customHeight="1" x14ac:dyDescent="0.15">
      <c r="B11" s="8" t="s">
        <v>58</v>
      </c>
      <c r="C11" s="25"/>
      <c r="D11" s="25"/>
      <c r="AM11" s="3"/>
      <c r="AO11" s="8" t="s">
        <v>135</v>
      </c>
      <c r="BU11" s="1"/>
      <c r="BV11" s="1"/>
      <c r="BW11" s="1"/>
      <c r="BX11" s="1"/>
      <c r="BY11" s="1"/>
      <c r="BZ11" s="1"/>
    </row>
    <row r="12" spans="2:79" ht="15.75" customHeight="1" x14ac:dyDescent="0.15">
      <c r="B12" s="114" t="s">
        <v>25</v>
      </c>
      <c r="C12" s="115"/>
      <c r="D12" s="115"/>
      <c r="E12" s="115"/>
      <c r="F12" s="115"/>
      <c r="G12" s="115"/>
      <c r="H12" s="114" t="s">
        <v>74</v>
      </c>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60"/>
      <c r="AO12" s="114" t="s">
        <v>75</v>
      </c>
      <c r="AP12" s="115"/>
      <c r="AQ12" s="115"/>
      <c r="AR12" s="115"/>
      <c r="AS12" s="115"/>
      <c r="AT12" s="115"/>
      <c r="AU12" s="115"/>
      <c r="AV12" s="115"/>
      <c r="AW12" s="158"/>
      <c r="AX12" s="159" t="s">
        <v>76</v>
      </c>
      <c r="AY12" s="115"/>
      <c r="AZ12" s="115"/>
      <c r="BA12" s="115"/>
      <c r="BB12" s="115"/>
      <c r="BC12" s="115"/>
      <c r="BD12" s="115"/>
      <c r="BE12" s="115"/>
      <c r="BF12" s="115"/>
      <c r="BG12" s="115"/>
      <c r="BH12" s="115"/>
      <c r="BI12" s="115"/>
      <c r="BJ12" s="115"/>
      <c r="BK12" s="115"/>
      <c r="BL12" s="115"/>
      <c r="BM12" s="115"/>
      <c r="BN12" s="115"/>
      <c r="BO12" s="33"/>
      <c r="BP12" s="88"/>
      <c r="BQ12" s="159" t="s">
        <v>77</v>
      </c>
      <c r="BR12" s="115"/>
      <c r="BS12" s="115"/>
      <c r="BT12" s="115"/>
      <c r="BU12" s="158"/>
      <c r="BV12" s="159" t="s">
        <v>78</v>
      </c>
      <c r="BW12" s="115"/>
      <c r="BX12" s="115"/>
      <c r="BY12" s="115"/>
      <c r="BZ12" s="160"/>
    </row>
    <row r="13" spans="2:79" ht="15.75" customHeight="1" x14ac:dyDescent="0.15">
      <c r="B13" s="319">
        <v>46294</v>
      </c>
      <c r="C13" s="320"/>
      <c r="D13" s="320"/>
      <c r="E13" s="320"/>
      <c r="F13" s="320"/>
      <c r="G13" s="321"/>
      <c r="H13" s="173" t="s">
        <v>158</v>
      </c>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274"/>
      <c r="AO13" s="173"/>
      <c r="AP13" s="174"/>
      <c r="AQ13" s="174"/>
      <c r="AR13" s="174"/>
      <c r="AS13" s="174"/>
      <c r="AT13" s="174"/>
      <c r="AU13" s="174"/>
      <c r="AV13" s="174"/>
      <c r="AW13" s="175"/>
      <c r="AX13" s="47"/>
      <c r="AY13" s="48"/>
      <c r="AZ13" s="49" t="s">
        <v>79</v>
      </c>
      <c r="BA13" s="49"/>
      <c r="BB13" s="48"/>
      <c r="BC13" s="49" t="s">
        <v>80</v>
      </c>
      <c r="BD13" s="49"/>
      <c r="BE13" s="48"/>
      <c r="BF13" s="49" t="s">
        <v>81</v>
      </c>
      <c r="BG13" s="48"/>
      <c r="BH13" s="49" t="s">
        <v>82</v>
      </c>
      <c r="BI13" s="49"/>
      <c r="BJ13" s="48"/>
      <c r="BK13" s="50" t="s">
        <v>83</v>
      </c>
      <c r="BL13" s="49"/>
      <c r="BM13" s="48"/>
      <c r="BN13" s="50" t="s">
        <v>3</v>
      </c>
      <c r="BO13" s="104"/>
      <c r="BP13" s="51"/>
      <c r="BQ13" s="176">
        <v>0</v>
      </c>
      <c r="BR13" s="135"/>
      <c r="BS13" s="135"/>
      <c r="BT13" s="177" t="s">
        <v>14</v>
      </c>
      <c r="BU13" s="137"/>
      <c r="BV13" s="176">
        <v>0</v>
      </c>
      <c r="BW13" s="135"/>
      <c r="BX13" s="135"/>
      <c r="BY13" s="177" t="s">
        <v>14</v>
      </c>
      <c r="BZ13" s="178"/>
    </row>
    <row r="14" spans="2:79" ht="15.75" customHeight="1" x14ac:dyDescent="0.15">
      <c r="B14" s="303">
        <v>46296</v>
      </c>
      <c r="C14" s="304"/>
      <c r="D14" s="304"/>
      <c r="E14" s="304"/>
      <c r="F14" s="304"/>
      <c r="G14" s="305"/>
      <c r="H14" s="179" t="s">
        <v>159</v>
      </c>
      <c r="I14" s="180"/>
      <c r="J14" s="180"/>
      <c r="K14" s="180"/>
      <c r="L14" s="180"/>
      <c r="M14" s="180"/>
      <c r="N14" s="180"/>
      <c r="O14" s="180"/>
      <c r="P14" s="180"/>
      <c r="Q14" s="180"/>
      <c r="R14" s="180"/>
      <c r="S14" s="180"/>
      <c r="T14" s="180"/>
      <c r="U14" s="180"/>
      <c r="V14" s="180"/>
      <c r="W14" s="180"/>
      <c r="X14" s="180"/>
      <c r="Y14" s="180"/>
      <c r="Z14" s="180"/>
      <c r="AA14" s="180"/>
      <c r="AB14" s="180"/>
      <c r="AC14" s="180"/>
      <c r="AD14" s="180"/>
      <c r="AE14" s="180"/>
      <c r="AF14" s="180"/>
      <c r="AG14" s="180"/>
      <c r="AH14" s="180"/>
      <c r="AI14" s="180"/>
      <c r="AJ14" s="180"/>
      <c r="AK14" s="180"/>
      <c r="AL14" s="180"/>
      <c r="AM14" s="275"/>
      <c r="AO14" s="179"/>
      <c r="AP14" s="180"/>
      <c r="AQ14" s="180"/>
      <c r="AR14" s="180"/>
      <c r="AS14" s="180"/>
      <c r="AT14" s="180"/>
      <c r="AU14" s="180"/>
      <c r="AV14" s="180"/>
      <c r="AW14" s="181"/>
      <c r="AX14" s="52"/>
      <c r="AY14" s="53"/>
      <c r="AZ14" s="54" t="s">
        <v>79</v>
      </c>
      <c r="BA14" s="54"/>
      <c r="BB14" s="53"/>
      <c r="BC14" s="54" t="s">
        <v>80</v>
      </c>
      <c r="BD14" s="54"/>
      <c r="BE14" s="53"/>
      <c r="BF14" s="54" t="s">
        <v>81</v>
      </c>
      <c r="BG14" s="53"/>
      <c r="BH14" s="54" t="s">
        <v>82</v>
      </c>
      <c r="BI14" s="54"/>
      <c r="BJ14" s="53"/>
      <c r="BK14" s="55" t="s">
        <v>83</v>
      </c>
      <c r="BL14" s="54"/>
      <c r="BM14" s="53"/>
      <c r="BN14" s="55" t="s">
        <v>3</v>
      </c>
      <c r="BO14" s="105"/>
      <c r="BP14" s="56"/>
      <c r="BQ14" s="110"/>
      <c r="BR14" s="111"/>
      <c r="BS14" s="111"/>
      <c r="BT14" s="112" t="s">
        <v>14</v>
      </c>
      <c r="BU14" s="138"/>
      <c r="BV14" s="110"/>
      <c r="BW14" s="111"/>
      <c r="BX14" s="111"/>
      <c r="BY14" s="112" t="s">
        <v>14</v>
      </c>
      <c r="BZ14" s="113"/>
    </row>
    <row r="15" spans="2:79" ht="15.75" customHeight="1" x14ac:dyDescent="0.15">
      <c r="B15" s="325">
        <v>46327</v>
      </c>
      <c r="C15" s="326"/>
      <c r="D15" s="326"/>
      <c r="E15" s="326"/>
      <c r="F15" s="326"/>
      <c r="G15" s="327"/>
      <c r="H15" s="179" t="s">
        <v>160</v>
      </c>
      <c r="I15" s="180"/>
      <c r="J15" s="180"/>
      <c r="K15" s="180"/>
      <c r="L15" s="180"/>
      <c r="M15" s="180"/>
      <c r="N15" s="180"/>
      <c r="O15" s="180"/>
      <c r="P15" s="180"/>
      <c r="Q15" s="180"/>
      <c r="R15" s="180"/>
      <c r="S15" s="180"/>
      <c r="T15" s="180"/>
      <c r="U15" s="180"/>
      <c r="V15" s="180"/>
      <c r="W15" s="180"/>
      <c r="X15" s="180"/>
      <c r="Y15" s="180"/>
      <c r="Z15" s="180"/>
      <c r="AA15" s="180"/>
      <c r="AB15" s="180"/>
      <c r="AC15" s="180"/>
      <c r="AD15" s="180"/>
      <c r="AE15" s="180"/>
      <c r="AF15" s="180"/>
      <c r="AG15" s="180"/>
      <c r="AH15" s="180"/>
      <c r="AI15" s="180"/>
      <c r="AJ15" s="180"/>
      <c r="AK15" s="180"/>
      <c r="AL15" s="180"/>
      <c r="AM15" s="275"/>
      <c r="AO15" s="298"/>
      <c r="AP15" s="299"/>
      <c r="AQ15" s="299"/>
      <c r="AR15" s="299"/>
      <c r="AS15" s="299"/>
      <c r="AT15" s="299"/>
      <c r="AU15" s="299"/>
      <c r="AV15" s="299"/>
      <c r="AW15" s="300"/>
      <c r="AX15" s="57"/>
      <c r="AY15" s="58"/>
      <c r="AZ15" s="59" t="s">
        <v>79</v>
      </c>
      <c r="BA15" s="59"/>
      <c r="BB15" s="58"/>
      <c r="BC15" s="59" t="s">
        <v>80</v>
      </c>
      <c r="BD15" s="59"/>
      <c r="BE15" s="58"/>
      <c r="BF15" s="59" t="s">
        <v>81</v>
      </c>
      <c r="BG15" s="58"/>
      <c r="BH15" s="59" t="s">
        <v>82</v>
      </c>
      <c r="BI15" s="59"/>
      <c r="BJ15" s="58"/>
      <c r="BK15" s="60" t="s">
        <v>84</v>
      </c>
      <c r="BL15" s="59"/>
      <c r="BM15" s="58"/>
      <c r="BN15" s="60" t="s">
        <v>3</v>
      </c>
      <c r="BO15" s="106"/>
      <c r="BP15" s="61"/>
      <c r="BQ15" s="155"/>
      <c r="BR15" s="140"/>
      <c r="BS15" s="140"/>
      <c r="BT15" s="156" t="s">
        <v>14</v>
      </c>
      <c r="BU15" s="130"/>
      <c r="BV15" s="155"/>
      <c r="BW15" s="140"/>
      <c r="BX15" s="140"/>
      <c r="BY15" s="156" t="s">
        <v>14</v>
      </c>
      <c r="BZ15" s="157"/>
    </row>
    <row r="16" spans="2:79" ht="15.75" customHeight="1" x14ac:dyDescent="0.15">
      <c r="B16" s="325"/>
      <c r="C16" s="326"/>
      <c r="D16" s="326"/>
      <c r="E16" s="326"/>
      <c r="F16" s="326"/>
      <c r="G16" s="327"/>
      <c r="H16" s="179" t="s">
        <v>161</v>
      </c>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275"/>
      <c r="AO16" s="8" t="s">
        <v>129</v>
      </c>
    </row>
    <row r="17" spans="2:78" ht="15.75" customHeight="1" x14ac:dyDescent="0.15">
      <c r="B17" s="325"/>
      <c r="C17" s="326"/>
      <c r="D17" s="326"/>
      <c r="E17" s="326"/>
      <c r="F17" s="326"/>
      <c r="G17" s="327"/>
      <c r="H17" s="179"/>
      <c r="I17" s="180"/>
      <c r="J17" s="180"/>
      <c r="K17" s="180"/>
      <c r="L17" s="180"/>
      <c r="M17" s="180"/>
      <c r="N17" s="180"/>
      <c r="O17" s="180"/>
      <c r="P17" s="180"/>
      <c r="Q17" s="180"/>
      <c r="R17" s="180"/>
      <c r="S17" s="180"/>
      <c r="T17" s="180"/>
      <c r="U17" s="180"/>
      <c r="V17" s="180"/>
      <c r="W17" s="180"/>
      <c r="X17" s="180"/>
      <c r="Y17" s="180"/>
      <c r="Z17" s="180"/>
      <c r="AA17" s="180"/>
      <c r="AB17" s="180"/>
      <c r="AC17" s="180"/>
      <c r="AD17" s="180"/>
      <c r="AE17" s="180"/>
      <c r="AF17" s="180"/>
      <c r="AG17" s="180"/>
      <c r="AH17" s="180"/>
      <c r="AI17" s="180"/>
      <c r="AJ17" s="180"/>
      <c r="AK17" s="180"/>
      <c r="AL17" s="180"/>
      <c r="AM17" s="275"/>
      <c r="AO17" s="114" t="s">
        <v>50</v>
      </c>
      <c r="AP17" s="115"/>
      <c r="AQ17" s="115"/>
      <c r="AR17" s="115"/>
      <c r="AS17" s="115"/>
      <c r="AT17" s="115"/>
      <c r="AU17" s="115"/>
      <c r="AV17" s="115"/>
      <c r="AW17" s="115"/>
      <c r="AX17" s="158"/>
      <c r="AY17" s="159" t="s">
        <v>68</v>
      </c>
      <c r="AZ17" s="115"/>
      <c r="BA17" s="115"/>
      <c r="BB17" s="115"/>
      <c r="BC17" s="158"/>
      <c r="BD17" s="159" t="s">
        <v>48</v>
      </c>
      <c r="BE17" s="115"/>
      <c r="BF17" s="115"/>
      <c r="BG17" s="115"/>
      <c r="BH17" s="160"/>
      <c r="BI17" s="114" t="s">
        <v>49</v>
      </c>
      <c r="BJ17" s="115"/>
      <c r="BK17" s="115"/>
      <c r="BL17" s="115"/>
      <c r="BM17" s="115"/>
      <c r="BN17" s="115"/>
      <c r="BO17" s="115"/>
      <c r="BP17" s="115"/>
      <c r="BQ17" s="115"/>
      <c r="BR17" s="115"/>
      <c r="BS17" s="115"/>
      <c r="BT17" s="115"/>
      <c r="BU17" s="115"/>
      <c r="BV17" s="159" t="s">
        <v>48</v>
      </c>
      <c r="BW17" s="115"/>
      <c r="BX17" s="115"/>
      <c r="BY17" s="115"/>
      <c r="BZ17" s="160"/>
    </row>
    <row r="18" spans="2:78" ht="15.75" customHeight="1" x14ac:dyDescent="0.15">
      <c r="B18" s="280"/>
      <c r="C18" s="281"/>
      <c r="D18" s="281"/>
      <c r="E18" s="281"/>
      <c r="F18" s="281"/>
      <c r="G18" s="282"/>
      <c r="H18" s="298"/>
      <c r="I18" s="299"/>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301"/>
      <c r="AO18" s="486" t="s">
        <v>7</v>
      </c>
      <c r="AP18" s="333" t="s">
        <v>67</v>
      </c>
      <c r="AQ18" s="334"/>
      <c r="AR18" s="334"/>
      <c r="AS18" s="334"/>
      <c r="AT18" s="334"/>
      <c r="AU18" s="334"/>
      <c r="AV18" s="334"/>
      <c r="AW18" s="334"/>
      <c r="AX18" s="335"/>
      <c r="AY18" s="330"/>
      <c r="AZ18" s="331"/>
      <c r="BA18" s="331"/>
      <c r="BB18" s="331"/>
      <c r="BC18" s="332"/>
      <c r="BD18" s="188">
        <f>IF(AND(BD19="",BD20="",BD21="",BD22="",BD23="",BD24="",BD25="",BD26="",BD27="",BD28="",BD29=""),"",SUM(BD19:BH29))</f>
        <v>400</v>
      </c>
      <c r="BE18" s="189"/>
      <c r="BF18" s="189"/>
      <c r="BG18" s="168" t="s">
        <v>14</v>
      </c>
      <c r="BH18" s="169"/>
      <c r="BI18" s="161" t="s">
        <v>10</v>
      </c>
      <c r="BJ18" s="162"/>
      <c r="BK18" s="162"/>
      <c r="BL18" s="162"/>
      <c r="BM18" s="162"/>
      <c r="BN18" s="162"/>
      <c r="BO18" s="162"/>
      <c r="BP18" s="162"/>
      <c r="BQ18" s="162"/>
      <c r="BR18" s="162"/>
      <c r="BS18" s="162"/>
      <c r="BT18" s="162"/>
      <c r="BU18" s="162"/>
      <c r="BV18" s="184">
        <v>300</v>
      </c>
      <c r="BW18" s="185"/>
      <c r="BX18" s="185"/>
      <c r="BY18" s="168" t="s">
        <v>14</v>
      </c>
      <c r="BZ18" s="169"/>
    </row>
    <row r="19" spans="2:78" ht="15.75" customHeight="1" x14ac:dyDescent="0.15">
      <c r="B19" s="289" t="s">
        <v>22</v>
      </c>
      <c r="C19" s="290"/>
      <c r="D19" s="290"/>
      <c r="E19" s="290"/>
      <c r="F19" s="290"/>
      <c r="G19" s="291"/>
      <c r="H19" s="70"/>
      <c r="I19" s="92" t="s">
        <v>89</v>
      </c>
      <c r="J19" s="7"/>
      <c r="K19" s="7"/>
      <c r="L19" s="7"/>
      <c r="M19" s="7"/>
      <c r="N19" s="7"/>
      <c r="O19" s="7"/>
      <c r="P19" s="7"/>
      <c r="Q19" s="7"/>
      <c r="R19" s="7"/>
      <c r="S19" s="7"/>
      <c r="T19" s="7"/>
      <c r="U19" s="7"/>
      <c r="V19" s="7"/>
      <c r="W19" s="7"/>
      <c r="X19" s="7"/>
      <c r="Y19" s="7"/>
      <c r="Z19" s="7"/>
      <c r="AA19" s="7"/>
      <c r="AB19" s="7"/>
      <c r="AC19" s="7"/>
      <c r="AD19" s="7"/>
      <c r="AE19" s="7"/>
      <c r="AF19" s="7"/>
      <c r="AG19" s="7"/>
      <c r="AH19" s="62"/>
      <c r="AI19" s="62"/>
      <c r="AJ19" s="62"/>
      <c r="AK19" s="62"/>
      <c r="AL19" s="62"/>
      <c r="AM19" s="63"/>
      <c r="AO19" s="339"/>
      <c r="AP19" s="336" t="s">
        <v>40</v>
      </c>
      <c r="AQ19" s="323"/>
      <c r="AR19" s="323"/>
      <c r="AS19" s="323"/>
      <c r="AT19" s="323"/>
      <c r="AU19" s="323"/>
      <c r="AV19" s="323"/>
      <c r="AW19" s="323"/>
      <c r="AX19" s="337"/>
      <c r="AY19" s="328"/>
      <c r="AZ19" s="324"/>
      <c r="BA19" s="324"/>
      <c r="BB19" s="324"/>
      <c r="BC19" s="329"/>
      <c r="BD19" s="196"/>
      <c r="BE19" s="197"/>
      <c r="BF19" s="197"/>
      <c r="BG19" s="197"/>
      <c r="BH19" s="198"/>
      <c r="BI19" s="163"/>
      <c r="BJ19" s="164"/>
      <c r="BK19" s="164"/>
      <c r="BL19" s="164"/>
      <c r="BM19" s="164"/>
      <c r="BN19" s="164"/>
      <c r="BO19" s="164"/>
      <c r="BP19" s="164"/>
      <c r="BQ19" s="164"/>
      <c r="BR19" s="164"/>
      <c r="BS19" s="164"/>
      <c r="BT19" s="164"/>
      <c r="BU19" s="164"/>
      <c r="BV19" s="165"/>
      <c r="BW19" s="166"/>
      <c r="BX19" s="166"/>
      <c r="BY19" s="212"/>
      <c r="BZ19" s="557"/>
    </row>
    <row r="20" spans="2:78" ht="15.75" customHeight="1" x14ac:dyDescent="0.15">
      <c r="B20" s="292"/>
      <c r="C20" s="293"/>
      <c r="D20" s="293"/>
      <c r="E20" s="293"/>
      <c r="F20" s="293"/>
      <c r="G20" s="294"/>
      <c r="H20" s="71"/>
      <c r="I20" s="31" t="s">
        <v>90</v>
      </c>
      <c r="AA20" s="41"/>
      <c r="AB20" s="41"/>
      <c r="AC20" s="323" t="s">
        <v>110</v>
      </c>
      <c r="AD20" s="323"/>
      <c r="AE20" s="323"/>
      <c r="AF20" s="323"/>
      <c r="AG20" s="324"/>
      <c r="AH20" s="324"/>
      <c r="AI20" s="324"/>
      <c r="AJ20" s="324"/>
      <c r="AK20" s="324"/>
      <c r="AL20" s="324"/>
      <c r="AM20" s="68" t="s">
        <v>111</v>
      </c>
      <c r="AO20" s="339"/>
      <c r="AP20" s="121" t="s">
        <v>189</v>
      </c>
      <c r="AQ20" s="122"/>
      <c r="AR20" s="122"/>
      <c r="AS20" s="122"/>
      <c r="AT20" s="122"/>
      <c r="AU20" s="122"/>
      <c r="AV20" s="122"/>
      <c r="AW20" s="122"/>
      <c r="AX20" s="123"/>
      <c r="AY20" s="225" t="s">
        <v>181</v>
      </c>
      <c r="AZ20" s="122"/>
      <c r="BA20" s="122"/>
      <c r="BB20" s="122"/>
      <c r="BC20" s="123"/>
      <c r="BD20" s="170">
        <v>50</v>
      </c>
      <c r="BE20" s="171"/>
      <c r="BF20" s="171"/>
      <c r="BG20" s="171"/>
      <c r="BH20" s="172"/>
      <c r="BI20" s="152" t="s">
        <v>47</v>
      </c>
      <c r="BJ20" s="153"/>
      <c r="BK20" s="153"/>
      <c r="BL20" s="153"/>
      <c r="BM20" s="153"/>
      <c r="BN20" s="153"/>
      <c r="BO20" s="153"/>
      <c r="BP20" s="153"/>
      <c r="BQ20" s="153"/>
      <c r="BR20" s="153"/>
      <c r="BS20" s="153"/>
      <c r="BT20" s="153"/>
      <c r="BU20" s="154"/>
      <c r="BV20" s="186">
        <f>IF(AND(BV21="",BV22="",BV23=""),"",SUM(BV21:BZ23))</f>
        <v>0</v>
      </c>
      <c r="BW20" s="187"/>
      <c r="BX20" s="187"/>
      <c r="BY20" s="116" t="s">
        <v>14</v>
      </c>
      <c r="BZ20" s="199"/>
    </row>
    <row r="21" spans="2:78" ht="15.75" customHeight="1" x14ac:dyDescent="0.15">
      <c r="B21" s="292"/>
      <c r="C21" s="293"/>
      <c r="D21" s="293"/>
      <c r="E21" s="293"/>
      <c r="F21" s="293"/>
      <c r="G21" s="294"/>
      <c r="H21" s="72"/>
      <c r="I21" s="67" t="s">
        <v>91</v>
      </c>
      <c r="J21" s="3"/>
      <c r="K21" s="3"/>
      <c r="L21" s="3"/>
      <c r="M21" s="3"/>
      <c r="N21" s="3"/>
      <c r="O21" s="3"/>
      <c r="P21" s="3"/>
      <c r="Q21" s="3"/>
      <c r="R21" s="3"/>
      <c r="S21" s="73"/>
      <c r="T21" s="73"/>
      <c r="U21" s="73"/>
      <c r="V21" s="73"/>
      <c r="W21" s="73"/>
      <c r="X21" s="73"/>
      <c r="Y21" s="73"/>
      <c r="Z21" s="73"/>
      <c r="AA21" s="64"/>
      <c r="AB21" s="74"/>
      <c r="AC21" s="67" t="s">
        <v>112</v>
      </c>
      <c r="AD21" s="67"/>
      <c r="AE21" s="67"/>
      <c r="AF21" s="67"/>
      <c r="AG21" s="64"/>
      <c r="AH21" s="128"/>
      <c r="AI21" s="128"/>
      <c r="AJ21" s="69" t="s">
        <v>113</v>
      </c>
      <c r="AK21" s="80"/>
      <c r="AL21" s="69" t="s">
        <v>114</v>
      </c>
      <c r="AM21" s="75" t="s">
        <v>111</v>
      </c>
      <c r="AO21" s="339"/>
      <c r="AP21" s="121" t="s">
        <v>188</v>
      </c>
      <c r="AQ21" s="122"/>
      <c r="AR21" s="122"/>
      <c r="AS21" s="122"/>
      <c r="AT21" s="122"/>
      <c r="AU21" s="122"/>
      <c r="AV21" s="122"/>
      <c r="AW21" s="122"/>
      <c r="AX21" s="123"/>
      <c r="AY21" s="225" t="s">
        <v>181</v>
      </c>
      <c r="AZ21" s="122"/>
      <c r="BA21" s="122"/>
      <c r="BB21" s="122"/>
      <c r="BC21" s="123"/>
      <c r="BD21" s="170">
        <v>50</v>
      </c>
      <c r="BE21" s="171"/>
      <c r="BF21" s="171"/>
      <c r="BG21" s="171"/>
      <c r="BH21" s="172"/>
      <c r="BI21" s="124" t="s">
        <v>42</v>
      </c>
      <c r="BJ21" s="125"/>
      <c r="BK21" s="125"/>
      <c r="BL21" s="125"/>
      <c r="BM21" s="125"/>
      <c r="BN21" s="125"/>
      <c r="BO21" s="125"/>
      <c r="BP21" s="125"/>
      <c r="BQ21" s="125"/>
      <c r="BR21" s="125"/>
      <c r="BS21" s="125"/>
      <c r="BT21" s="125"/>
      <c r="BU21" s="126"/>
      <c r="BV21" s="190">
        <v>0</v>
      </c>
      <c r="BW21" s="191"/>
      <c r="BX21" s="191"/>
      <c r="BY21" s="191"/>
      <c r="BZ21" s="192"/>
    </row>
    <row r="22" spans="2:78" ht="15.75" customHeight="1" x14ac:dyDescent="0.15">
      <c r="B22" s="283" t="s">
        <v>21</v>
      </c>
      <c r="C22" s="284"/>
      <c r="D22" s="284"/>
      <c r="E22" s="284"/>
      <c r="F22" s="284"/>
      <c r="G22" s="285"/>
      <c r="H22" s="39"/>
      <c r="I22" s="40" t="s">
        <v>85</v>
      </c>
      <c r="J22" s="40"/>
      <c r="K22" s="40"/>
      <c r="L22" s="38"/>
      <c r="M22" s="40"/>
      <c r="N22" s="40" t="s">
        <v>86</v>
      </c>
      <c r="O22" s="40" t="s">
        <v>87</v>
      </c>
      <c r="P22" s="302"/>
      <c r="Q22" s="302"/>
      <c r="R22" s="302"/>
      <c r="S22" s="302"/>
      <c r="T22" s="302"/>
      <c r="U22" s="302"/>
      <c r="V22" s="302"/>
      <c r="W22" s="302"/>
      <c r="X22" s="302"/>
      <c r="Y22" s="302"/>
      <c r="Z22" s="302"/>
      <c r="AA22" s="302"/>
      <c r="AB22" s="302"/>
      <c r="AC22" s="302"/>
      <c r="AD22" s="322" t="s">
        <v>95</v>
      </c>
      <c r="AE22" s="322"/>
      <c r="AF22" s="322"/>
      <c r="AG22" s="302"/>
      <c r="AH22" s="302"/>
      <c r="AI22" s="302"/>
      <c r="AJ22" s="302"/>
      <c r="AK22" s="302"/>
      <c r="AL22" s="302"/>
      <c r="AM22" s="42" t="s">
        <v>92</v>
      </c>
      <c r="AO22" s="339"/>
      <c r="AP22" s="121" t="s">
        <v>182</v>
      </c>
      <c r="AQ22" s="122"/>
      <c r="AR22" s="122"/>
      <c r="AS22" s="122"/>
      <c r="AT22" s="122"/>
      <c r="AU22" s="122"/>
      <c r="AV22" s="122"/>
      <c r="AW22" s="122"/>
      <c r="AX22" s="123"/>
      <c r="AY22" s="225" t="s">
        <v>183</v>
      </c>
      <c r="AZ22" s="122"/>
      <c r="BA22" s="122"/>
      <c r="BB22" s="122"/>
      <c r="BC22" s="123"/>
      <c r="BD22" s="170">
        <v>150</v>
      </c>
      <c r="BE22" s="171"/>
      <c r="BF22" s="171"/>
      <c r="BG22" s="171"/>
      <c r="BH22" s="172"/>
      <c r="BI22" s="121"/>
      <c r="BJ22" s="122"/>
      <c r="BK22" s="122"/>
      <c r="BL22" s="122"/>
      <c r="BM22" s="122"/>
      <c r="BN22" s="122"/>
      <c r="BO22" s="122"/>
      <c r="BP22" s="122"/>
      <c r="BQ22" s="122"/>
      <c r="BR22" s="122"/>
      <c r="BS22" s="122"/>
      <c r="BT22" s="122"/>
      <c r="BU22" s="123"/>
      <c r="BV22" s="190"/>
      <c r="BW22" s="191"/>
      <c r="BX22" s="191"/>
      <c r="BY22" s="191"/>
      <c r="BZ22" s="192"/>
    </row>
    <row r="23" spans="2:78" ht="15.75" customHeight="1" x14ac:dyDescent="0.15">
      <c r="B23" s="149" t="s">
        <v>141</v>
      </c>
      <c r="C23" s="150"/>
      <c r="D23" s="150"/>
      <c r="E23" s="150"/>
      <c r="F23" s="150"/>
      <c r="G23" s="151"/>
      <c r="H23" s="39"/>
      <c r="I23" s="40" t="s">
        <v>85</v>
      </c>
      <c r="J23" s="40"/>
      <c r="K23" s="40"/>
      <c r="L23" s="38"/>
      <c r="M23" s="40"/>
      <c r="N23" s="40" t="s">
        <v>86</v>
      </c>
      <c r="O23" s="40" t="s">
        <v>87</v>
      </c>
      <c r="P23" s="302"/>
      <c r="Q23" s="302"/>
      <c r="R23" s="302"/>
      <c r="S23" s="302"/>
      <c r="T23" s="302"/>
      <c r="U23" s="302"/>
      <c r="V23" s="302"/>
      <c r="W23" s="302"/>
      <c r="X23" s="302"/>
      <c r="Y23" s="302"/>
      <c r="Z23" s="302"/>
      <c r="AA23" s="302"/>
      <c r="AB23" s="302"/>
      <c r="AC23" s="302"/>
      <c r="AD23" s="87"/>
      <c r="AE23" s="232" t="s">
        <v>93</v>
      </c>
      <c r="AF23" s="232"/>
      <c r="AG23" s="232"/>
      <c r="AH23" s="302"/>
      <c r="AI23" s="302"/>
      <c r="AJ23" s="302"/>
      <c r="AK23" s="302"/>
      <c r="AL23" s="302"/>
      <c r="AM23" s="42" t="s">
        <v>2</v>
      </c>
      <c r="AO23" s="339"/>
      <c r="AP23" s="121" t="s">
        <v>184</v>
      </c>
      <c r="AQ23" s="122"/>
      <c r="AR23" s="122"/>
      <c r="AS23" s="122"/>
      <c r="AT23" s="122"/>
      <c r="AU23" s="122"/>
      <c r="AV23" s="122"/>
      <c r="AW23" s="122"/>
      <c r="AX23" s="123"/>
      <c r="AY23" s="225" t="s">
        <v>185</v>
      </c>
      <c r="AZ23" s="122"/>
      <c r="BA23" s="122"/>
      <c r="BB23" s="122"/>
      <c r="BC23" s="123"/>
      <c r="BD23" s="170">
        <v>20</v>
      </c>
      <c r="BE23" s="171"/>
      <c r="BF23" s="171"/>
      <c r="BG23" s="171"/>
      <c r="BH23" s="172"/>
      <c r="BI23" s="193"/>
      <c r="BJ23" s="194"/>
      <c r="BK23" s="194"/>
      <c r="BL23" s="194"/>
      <c r="BM23" s="194"/>
      <c r="BN23" s="194"/>
      <c r="BO23" s="194"/>
      <c r="BP23" s="194"/>
      <c r="BQ23" s="194"/>
      <c r="BR23" s="194"/>
      <c r="BS23" s="194"/>
      <c r="BT23" s="194"/>
      <c r="BU23" s="195"/>
      <c r="BV23" s="165"/>
      <c r="BW23" s="166"/>
      <c r="BX23" s="166"/>
      <c r="BY23" s="166"/>
      <c r="BZ23" s="167"/>
    </row>
    <row r="24" spans="2:78" ht="15.75" customHeight="1" x14ac:dyDescent="0.15">
      <c r="B24" s="283" t="s">
        <v>53</v>
      </c>
      <c r="C24" s="284"/>
      <c r="D24" s="284"/>
      <c r="E24" s="284"/>
      <c r="F24" s="284"/>
      <c r="G24" s="284"/>
      <c r="H24" s="39"/>
      <c r="I24" s="40" t="s">
        <v>85</v>
      </c>
      <c r="J24" s="40"/>
      <c r="K24" s="40"/>
      <c r="L24" s="37"/>
      <c r="M24" s="40"/>
      <c r="N24" s="40" t="s">
        <v>86</v>
      </c>
      <c r="O24" s="40" t="s">
        <v>88</v>
      </c>
      <c r="P24" s="310"/>
      <c r="Q24" s="310"/>
      <c r="R24" s="310"/>
      <c r="S24" s="310"/>
      <c r="T24" s="310"/>
      <c r="U24" s="310"/>
      <c r="V24" s="310"/>
      <c r="W24" s="310"/>
      <c r="X24" s="310"/>
      <c r="Y24" s="310"/>
      <c r="Z24" s="310"/>
      <c r="AA24" s="310"/>
      <c r="AB24" s="310"/>
      <c r="AC24" s="40"/>
      <c r="AD24" s="46"/>
      <c r="AE24" s="232" t="s">
        <v>93</v>
      </c>
      <c r="AF24" s="232"/>
      <c r="AG24" s="232"/>
      <c r="AH24" s="40"/>
      <c r="AI24" s="87"/>
      <c r="AJ24" s="322" t="s">
        <v>94</v>
      </c>
      <c r="AK24" s="322"/>
      <c r="AL24" s="322"/>
      <c r="AM24" s="42" t="s">
        <v>2</v>
      </c>
      <c r="AO24" s="339"/>
      <c r="AP24" s="121" t="s">
        <v>186</v>
      </c>
      <c r="AQ24" s="122"/>
      <c r="AR24" s="122"/>
      <c r="AS24" s="122"/>
      <c r="AT24" s="122"/>
      <c r="AU24" s="122"/>
      <c r="AV24" s="122"/>
      <c r="AW24" s="122"/>
      <c r="AX24" s="123"/>
      <c r="AY24" s="225" t="s">
        <v>181</v>
      </c>
      <c r="AZ24" s="122"/>
      <c r="BA24" s="122"/>
      <c r="BB24" s="122"/>
      <c r="BC24" s="123"/>
      <c r="BD24" s="170">
        <v>30</v>
      </c>
      <c r="BE24" s="171"/>
      <c r="BF24" s="171"/>
      <c r="BG24" s="171"/>
      <c r="BH24" s="172"/>
      <c r="BI24" s="152" t="s">
        <v>46</v>
      </c>
      <c r="BJ24" s="153"/>
      <c r="BK24" s="153"/>
      <c r="BL24" s="153"/>
      <c r="BM24" s="153"/>
      <c r="BN24" s="153"/>
      <c r="BO24" s="153"/>
      <c r="BP24" s="153"/>
      <c r="BQ24" s="153"/>
      <c r="BR24" s="153"/>
      <c r="BS24" s="153"/>
      <c r="BT24" s="153"/>
      <c r="BU24" s="154"/>
      <c r="BV24" s="182">
        <v>1000</v>
      </c>
      <c r="BW24" s="183"/>
      <c r="BX24" s="183"/>
      <c r="BY24" s="210" t="s">
        <v>14</v>
      </c>
      <c r="BZ24" s="231"/>
    </row>
    <row r="25" spans="2:78" ht="15.75" customHeight="1" x14ac:dyDescent="0.15">
      <c r="B25" s="8" t="s">
        <v>44</v>
      </c>
      <c r="AO25" s="339"/>
      <c r="AP25" s="121" t="s">
        <v>187</v>
      </c>
      <c r="AQ25" s="122"/>
      <c r="AR25" s="122"/>
      <c r="AS25" s="122"/>
      <c r="AT25" s="122"/>
      <c r="AU25" s="122"/>
      <c r="AV25" s="122"/>
      <c r="AW25" s="122"/>
      <c r="AX25" s="123"/>
      <c r="AY25" s="225" t="s">
        <v>181</v>
      </c>
      <c r="AZ25" s="122"/>
      <c r="BA25" s="122"/>
      <c r="BB25" s="122"/>
      <c r="BC25" s="123"/>
      <c r="BD25" s="170">
        <v>50</v>
      </c>
      <c r="BE25" s="171"/>
      <c r="BF25" s="171"/>
      <c r="BG25" s="171"/>
      <c r="BH25" s="172"/>
      <c r="BI25" s="131" t="s">
        <v>45</v>
      </c>
      <c r="BJ25" s="132"/>
      <c r="BK25" s="132"/>
      <c r="BL25" s="132"/>
      <c r="BM25" s="132"/>
      <c r="BN25" s="132"/>
      <c r="BO25" s="132"/>
      <c r="BP25" s="132"/>
      <c r="BQ25" s="132"/>
      <c r="BR25" s="132"/>
      <c r="BS25" s="132"/>
      <c r="BT25" s="132"/>
      <c r="BU25" s="133"/>
      <c r="BV25" s="165"/>
      <c r="BW25" s="166"/>
      <c r="BX25" s="166"/>
      <c r="BY25" s="210"/>
      <c r="BZ25" s="231"/>
    </row>
    <row r="26" spans="2:78" ht="15.75" customHeight="1" x14ac:dyDescent="0.15">
      <c r="B26" s="200" t="s">
        <v>136</v>
      </c>
      <c r="C26" s="201"/>
      <c r="D26" s="201"/>
      <c r="E26" s="201"/>
      <c r="F26" s="201"/>
      <c r="G26" s="413"/>
      <c r="H26" s="143" t="s">
        <v>162</v>
      </c>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5"/>
      <c r="AO26" s="339"/>
      <c r="AP26" s="121" t="s">
        <v>194</v>
      </c>
      <c r="AQ26" s="122"/>
      <c r="AR26" s="122"/>
      <c r="AS26" s="122"/>
      <c r="AT26" s="122"/>
      <c r="AU26" s="122"/>
      <c r="AV26" s="122"/>
      <c r="AW26" s="122"/>
      <c r="AX26" s="123"/>
      <c r="AY26" s="225" t="s">
        <v>195</v>
      </c>
      <c r="AZ26" s="122"/>
      <c r="BA26" s="122"/>
      <c r="BB26" s="122"/>
      <c r="BC26" s="123"/>
      <c r="BD26" s="170">
        <v>50</v>
      </c>
      <c r="BE26" s="171"/>
      <c r="BF26" s="171"/>
      <c r="BG26" s="171"/>
      <c r="BH26" s="172"/>
      <c r="BI26" s="152" t="s">
        <v>43</v>
      </c>
      <c r="BJ26" s="153"/>
      <c r="BK26" s="153"/>
      <c r="BL26" s="153"/>
      <c r="BM26" s="153"/>
      <c r="BN26" s="153"/>
      <c r="BO26" s="153"/>
      <c r="BP26" s="153"/>
      <c r="BQ26" s="153"/>
      <c r="BR26" s="153"/>
      <c r="BS26" s="153"/>
      <c r="BT26" s="153"/>
      <c r="BU26" s="154"/>
      <c r="BV26" s="186" t="str">
        <f>IF(AND(BV27="",BV28="",BV29="",BV30="",BV31="",BV32="",BV33="",BV34="",BV35=""),"",SUM(BV27:BZ35))</f>
        <v/>
      </c>
      <c r="BW26" s="187"/>
      <c r="BX26" s="187"/>
      <c r="BY26" s="116" t="s">
        <v>14</v>
      </c>
      <c r="BZ26" s="199"/>
    </row>
    <row r="27" spans="2:78" ht="15.75" customHeight="1" x14ac:dyDescent="0.15">
      <c r="B27" s="414"/>
      <c r="C27" s="415"/>
      <c r="D27" s="415"/>
      <c r="E27" s="415"/>
      <c r="F27" s="415"/>
      <c r="G27" s="416"/>
      <c r="H27" s="311"/>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3"/>
      <c r="AO27" s="339"/>
      <c r="AP27" s="121"/>
      <c r="AQ27" s="122"/>
      <c r="AR27" s="122"/>
      <c r="AS27" s="122"/>
      <c r="AT27" s="122"/>
      <c r="AU27" s="122"/>
      <c r="AV27" s="122"/>
      <c r="AW27" s="122"/>
      <c r="AX27" s="123"/>
      <c r="AY27" s="225"/>
      <c r="AZ27" s="122"/>
      <c r="BA27" s="122"/>
      <c r="BB27" s="122"/>
      <c r="BC27" s="123"/>
      <c r="BD27" s="170"/>
      <c r="BE27" s="171"/>
      <c r="BF27" s="171"/>
      <c r="BG27" s="171"/>
      <c r="BH27" s="172"/>
      <c r="BI27" s="124" t="s">
        <v>42</v>
      </c>
      <c r="BJ27" s="125"/>
      <c r="BK27" s="125"/>
      <c r="BL27" s="125"/>
      <c r="BM27" s="125"/>
      <c r="BN27" s="125"/>
      <c r="BO27" s="125"/>
      <c r="BP27" s="125"/>
      <c r="BQ27" s="125"/>
      <c r="BR27" s="125"/>
      <c r="BS27" s="125"/>
      <c r="BT27" s="125"/>
      <c r="BU27" s="126"/>
      <c r="BV27" s="190"/>
      <c r="BW27" s="191"/>
      <c r="BX27" s="191"/>
      <c r="BY27" s="191"/>
      <c r="BZ27" s="192"/>
    </row>
    <row r="28" spans="2:78" ht="15.75" customHeight="1" x14ac:dyDescent="0.15">
      <c r="B28" s="289" t="s">
        <v>69</v>
      </c>
      <c r="C28" s="290"/>
      <c r="D28" s="290"/>
      <c r="E28" s="290"/>
      <c r="F28" s="290"/>
      <c r="G28" s="291"/>
      <c r="H28" s="49" t="s">
        <v>71</v>
      </c>
      <c r="I28" s="174" t="s">
        <v>163</v>
      </c>
      <c r="J28" s="174"/>
      <c r="K28" s="174"/>
      <c r="L28" s="174"/>
      <c r="M28" s="174"/>
      <c r="N28" s="174"/>
      <c r="O28" s="174"/>
      <c r="P28" s="174"/>
      <c r="Q28" s="174"/>
      <c r="R28" s="174"/>
      <c r="S28" s="174"/>
      <c r="T28" s="174"/>
      <c r="U28" s="174"/>
      <c r="V28" s="174"/>
      <c r="W28" s="174"/>
      <c r="X28" s="174"/>
      <c r="Y28" s="174"/>
      <c r="Z28" s="174"/>
      <c r="AA28" s="174"/>
      <c r="AB28" s="174"/>
      <c r="AC28" s="174"/>
      <c r="AD28" s="174"/>
      <c r="AE28" s="174"/>
      <c r="AF28" s="27"/>
      <c r="AG28" s="27"/>
      <c r="AH28" s="27"/>
      <c r="AI28" s="28" t="s">
        <v>24</v>
      </c>
      <c r="AJ28" s="458"/>
      <c r="AK28" s="458"/>
      <c r="AL28" s="27"/>
      <c r="AM28" s="34" t="s">
        <v>23</v>
      </c>
      <c r="AO28" s="339"/>
      <c r="AP28" s="121"/>
      <c r="AQ28" s="122"/>
      <c r="AR28" s="122"/>
      <c r="AS28" s="122"/>
      <c r="AT28" s="122"/>
      <c r="AU28" s="122"/>
      <c r="AV28" s="122"/>
      <c r="AW28" s="122"/>
      <c r="AX28" s="123"/>
      <c r="AY28" s="225"/>
      <c r="AZ28" s="122"/>
      <c r="BA28" s="122"/>
      <c r="BB28" s="122"/>
      <c r="BC28" s="123"/>
      <c r="BD28" s="170"/>
      <c r="BE28" s="171"/>
      <c r="BF28" s="171"/>
      <c r="BG28" s="171"/>
      <c r="BH28" s="172"/>
      <c r="BI28" s="121"/>
      <c r="BJ28" s="122"/>
      <c r="BK28" s="122"/>
      <c r="BL28" s="122"/>
      <c r="BM28" s="122"/>
      <c r="BN28" s="122"/>
      <c r="BO28" s="122"/>
      <c r="BP28" s="122"/>
      <c r="BQ28" s="122"/>
      <c r="BR28" s="122"/>
      <c r="BS28" s="122"/>
      <c r="BT28" s="122"/>
      <c r="BU28" s="123"/>
      <c r="BV28" s="190"/>
      <c r="BW28" s="191"/>
      <c r="BX28" s="191"/>
      <c r="BY28" s="191"/>
      <c r="BZ28" s="192"/>
    </row>
    <row r="29" spans="2:78" ht="15.75" customHeight="1" x14ac:dyDescent="0.15">
      <c r="B29" s="292"/>
      <c r="C29" s="293"/>
      <c r="D29" s="293"/>
      <c r="E29" s="293"/>
      <c r="F29" s="293"/>
      <c r="G29" s="294"/>
      <c r="H29" s="54" t="s">
        <v>72</v>
      </c>
      <c r="I29" s="180" t="s">
        <v>164</v>
      </c>
      <c r="J29" s="180"/>
      <c r="K29" s="180"/>
      <c r="L29" s="180"/>
      <c r="M29" s="180"/>
      <c r="N29" s="180"/>
      <c r="O29" s="180"/>
      <c r="P29" s="180"/>
      <c r="Q29" s="180"/>
      <c r="R29" s="180"/>
      <c r="S29" s="180"/>
      <c r="T29" s="180"/>
      <c r="U29" s="180"/>
      <c r="V29" s="180"/>
      <c r="W29" s="180"/>
      <c r="X29" s="180"/>
      <c r="Y29" s="180"/>
      <c r="Z29" s="180"/>
      <c r="AA29" s="180"/>
      <c r="AB29" s="180"/>
      <c r="AC29" s="180"/>
      <c r="AD29" s="180"/>
      <c r="AE29" s="180"/>
      <c r="AF29" s="4"/>
      <c r="AG29" s="4"/>
      <c r="AH29" s="4"/>
      <c r="AI29" s="29" t="s">
        <v>24</v>
      </c>
      <c r="AJ29" s="400"/>
      <c r="AK29" s="400"/>
      <c r="AL29" s="4"/>
      <c r="AM29" s="35" t="s">
        <v>23</v>
      </c>
      <c r="AO29" s="523"/>
      <c r="AP29" s="438"/>
      <c r="AQ29" s="439"/>
      <c r="AR29" s="439"/>
      <c r="AS29" s="439"/>
      <c r="AT29" s="439"/>
      <c r="AU29" s="439"/>
      <c r="AV29" s="439"/>
      <c r="AW29" s="439"/>
      <c r="AX29" s="440"/>
      <c r="AY29" s="341"/>
      <c r="AZ29" s="194"/>
      <c r="BA29" s="194"/>
      <c r="BB29" s="194"/>
      <c r="BC29" s="195"/>
      <c r="BD29" s="262"/>
      <c r="BE29" s="263"/>
      <c r="BF29" s="263"/>
      <c r="BG29" s="263"/>
      <c r="BH29" s="264"/>
      <c r="BI29" s="121"/>
      <c r="BJ29" s="122"/>
      <c r="BK29" s="122"/>
      <c r="BL29" s="122"/>
      <c r="BM29" s="122"/>
      <c r="BN29" s="122"/>
      <c r="BO29" s="122"/>
      <c r="BP29" s="122"/>
      <c r="BQ29" s="122"/>
      <c r="BR29" s="122"/>
      <c r="BS29" s="122"/>
      <c r="BT29" s="122"/>
      <c r="BU29" s="123"/>
      <c r="BV29" s="118"/>
      <c r="BW29" s="119"/>
      <c r="BX29" s="119"/>
      <c r="BY29" s="119"/>
      <c r="BZ29" s="120"/>
    </row>
    <row r="30" spans="2:78" ht="15.75" customHeight="1" x14ac:dyDescent="0.15">
      <c r="B30" s="295"/>
      <c r="C30" s="296"/>
      <c r="D30" s="296"/>
      <c r="E30" s="296"/>
      <c r="F30" s="296"/>
      <c r="G30" s="297"/>
      <c r="H30" s="59" t="s">
        <v>73</v>
      </c>
      <c r="I30" s="299" t="s">
        <v>165</v>
      </c>
      <c r="J30" s="299"/>
      <c r="K30" s="299"/>
      <c r="L30" s="299"/>
      <c r="M30" s="299"/>
      <c r="N30" s="299"/>
      <c r="O30" s="299"/>
      <c r="P30" s="299"/>
      <c r="Q30" s="299"/>
      <c r="R30" s="299"/>
      <c r="S30" s="299"/>
      <c r="T30" s="299"/>
      <c r="U30" s="299"/>
      <c r="V30" s="299"/>
      <c r="W30" s="299"/>
      <c r="X30" s="299"/>
      <c r="Y30" s="299"/>
      <c r="Z30" s="299"/>
      <c r="AA30" s="299"/>
      <c r="AB30" s="299"/>
      <c r="AC30" s="299"/>
      <c r="AD30" s="299"/>
      <c r="AE30" s="299"/>
      <c r="AF30" s="6"/>
      <c r="AG30" s="6"/>
      <c r="AH30" s="6"/>
      <c r="AI30" s="30" t="s">
        <v>24</v>
      </c>
      <c r="AJ30" s="380"/>
      <c r="AK30" s="380"/>
      <c r="AL30" s="6"/>
      <c r="AM30" s="36" t="s">
        <v>23</v>
      </c>
      <c r="AO30" s="338" t="s">
        <v>9</v>
      </c>
      <c r="AP30" s="352" t="s">
        <v>41</v>
      </c>
      <c r="AQ30" s="353"/>
      <c r="AR30" s="353"/>
      <c r="AS30" s="353"/>
      <c r="AT30" s="353"/>
      <c r="AU30" s="353"/>
      <c r="AV30" s="353"/>
      <c r="AW30" s="353"/>
      <c r="AX30" s="353"/>
      <c r="AY30" s="116"/>
      <c r="AZ30" s="116"/>
      <c r="BA30" s="116"/>
      <c r="BB30" s="116"/>
      <c r="BC30" s="117"/>
      <c r="BD30" s="226">
        <f>IF(AND(BD31="",BD32="",BD33="",BD34="",BD35=""),"",SUM(BD31:BH35))</f>
        <v>820</v>
      </c>
      <c r="BE30" s="227"/>
      <c r="BF30" s="227"/>
      <c r="BG30" s="116" t="s">
        <v>14</v>
      </c>
      <c r="BH30" s="199"/>
      <c r="BI30" s="121"/>
      <c r="BJ30" s="122"/>
      <c r="BK30" s="122"/>
      <c r="BL30" s="122"/>
      <c r="BM30" s="122"/>
      <c r="BN30" s="122"/>
      <c r="BO30" s="122"/>
      <c r="BP30" s="122"/>
      <c r="BQ30" s="122"/>
      <c r="BR30" s="122"/>
      <c r="BS30" s="122"/>
      <c r="BT30" s="122"/>
      <c r="BU30" s="123"/>
      <c r="BV30" s="118"/>
      <c r="BW30" s="119"/>
      <c r="BX30" s="119"/>
      <c r="BY30" s="119"/>
      <c r="BZ30" s="120"/>
    </row>
    <row r="31" spans="2:78" ht="15.75" customHeight="1" x14ac:dyDescent="0.15">
      <c r="B31" s="149" t="s">
        <v>115</v>
      </c>
      <c r="C31" s="150"/>
      <c r="D31" s="150"/>
      <c r="E31" s="150"/>
      <c r="F31" s="150"/>
      <c r="G31" s="151"/>
      <c r="H31" s="534"/>
      <c r="I31" s="528"/>
      <c r="J31" s="528"/>
      <c r="K31" s="528"/>
      <c r="L31" s="528"/>
      <c r="M31" s="528"/>
      <c r="N31" s="40" t="s">
        <v>116</v>
      </c>
      <c r="O31" s="149" t="s">
        <v>117</v>
      </c>
      <c r="P31" s="150"/>
      <c r="Q31" s="150"/>
      <c r="R31" s="150"/>
      <c r="S31" s="150"/>
      <c r="T31" s="150"/>
      <c r="U31" s="150"/>
      <c r="V31" s="150"/>
      <c r="W31" s="151"/>
      <c r="X31" s="529"/>
      <c r="Y31" s="530"/>
      <c r="Z31" s="530"/>
      <c r="AA31" s="530"/>
      <c r="AB31" s="89"/>
      <c r="AC31" s="83" t="s">
        <v>14</v>
      </c>
      <c r="AD31" s="79"/>
      <c r="AE31" s="79"/>
      <c r="AF31" s="78" t="s">
        <v>118</v>
      </c>
      <c r="AG31" s="528"/>
      <c r="AH31" s="528"/>
      <c r="AI31" s="528"/>
      <c r="AJ31" s="528"/>
      <c r="AK31" s="82"/>
      <c r="AL31" s="83" t="s">
        <v>55</v>
      </c>
      <c r="AM31" s="84"/>
      <c r="AO31" s="339"/>
      <c r="AP31" s="336" t="s">
        <v>40</v>
      </c>
      <c r="AQ31" s="323"/>
      <c r="AR31" s="323"/>
      <c r="AS31" s="323"/>
      <c r="AT31" s="323"/>
      <c r="AU31" s="323"/>
      <c r="AV31" s="323"/>
      <c r="AW31" s="323"/>
      <c r="AX31" s="323"/>
      <c r="AY31" s="323"/>
      <c r="AZ31" s="323"/>
      <c r="BA31" s="323"/>
      <c r="BB31" s="323"/>
      <c r="BC31" s="337"/>
      <c r="BD31" s="228"/>
      <c r="BE31" s="229"/>
      <c r="BF31" s="229"/>
      <c r="BG31" s="229"/>
      <c r="BH31" s="230"/>
      <c r="BI31" s="121"/>
      <c r="BJ31" s="122"/>
      <c r="BK31" s="122"/>
      <c r="BL31" s="122"/>
      <c r="BM31" s="122"/>
      <c r="BN31" s="122"/>
      <c r="BO31" s="122"/>
      <c r="BP31" s="122"/>
      <c r="BQ31" s="122"/>
      <c r="BR31" s="122"/>
      <c r="BS31" s="122"/>
      <c r="BT31" s="122"/>
      <c r="BU31" s="123"/>
      <c r="BV31" s="118"/>
      <c r="BW31" s="119"/>
      <c r="BX31" s="119"/>
      <c r="BY31" s="119"/>
      <c r="BZ31" s="120"/>
    </row>
    <row r="32" spans="2:78" ht="15.75" customHeight="1" x14ac:dyDescent="0.15">
      <c r="B32" s="149" t="s">
        <v>119</v>
      </c>
      <c r="C32" s="150"/>
      <c r="D32" s="150"/>
      <c r="E32" s="150"/>
      <c r="F32" s="150"/>
      <c r="G32" s="151"/>
      <c r="H32" s="550"/>
      <c r="I32" s="551"/>
      <c r="J32" s="551"/>
      <c r="K32" s="551"/>
      <c r="L32" s="551"/>
      <c r="M32" s="551"/>
      <c r="N32" s="40" t="s">
        <v>106</v>
      </c>
      <c r="O32" s="149" t="s">
        <v>120</v>
      </c>
      <c r="P32" s="150"/>
      <c r="Q32" s="150"/>
      <c r="R32" s="150"/>
      <c r="S32" s="150"/>
      <c r="T32" s="151"/>
      <c r="U32" s="547"/>
      <c r="V32" s="548"/>
      <c r="W32" s="548"/>
      <c r="X32" s="548"/>
      <c r="Y32" s="548"/>
      <c r="Z32" s="548"/>
      <c r="AA32" s="549"/>
      <c r="AB32" s="149" t="s">
        <v>121</v>
      </c>
      <c r="AC32" s="150"/>
      <c r="AD32" s="150"/>
      <c r="AE32" s="150"/>
      <c r="AF32" s="150"/>
      <c r="AG32" s="151"/>
      <c r="AH32" s="533"/>
      <c r="AI32" s="531"/>
      <c r="AJ32" s="531"/>
      <c r="AK32" s="46" t="s">
        <v>118</v>
      </c>
      <c r="AL32" s="531"/>
      <c r="AM32" s="532"/>
      <c r="AO32" s="339"/>
      <c r="AP32" s="121" t="s">
        <v>190</v>
      </c>
      <c r="AQ32" s="122"/>
      <c r="AR32" s="122"/>
      <c r="AS32" s="122"/>
      <c r="AT32" s="122"/>
      <c r="AU32" s="122"/>
      <c r="AV32" s="122"/>
      <c r="AW32" s="122"/>
      <c r="AX32" s="122"/>
      <c r="AY32" s="122"/>
      <c r="AZ32" s="122"/>
      <c r="BA32" s="122"/>
      <c r="BB32" s="122"/>
      <c r="BC32" s="123"/>
      <c r="BD32" s="228">
        <v>100</v>
      </c>
      <c r="BE32" s="229"/>
      <c r="BF32" s="229"/>
      <c r="BG32" s="229"/>
      <c r="BH32" s="230"/>
      <c r="BI32" s="121"/>
      <c r="BJ32" s="122"/>
      <c r="BK32" s="122"/>
      <c r="BL32" s="122"/>
      <c r="BM32" s="122"/>
      <c r="BN32" s="122"/>
      <c r="BO32" s="122"/>
      <c r="BP32" s="122"/>
      <c r="BQ32" s="122"/>
      <c r="BR32" s="122"/>
      <c r="BS32" s="122"/>
      <c r="BT32" s="122"/>
      <c r="BU32" s="123"/>
      <c r="BV32" s="118"/>
      <c r="BW32" s="119"/>
      <c r="BX32" s="119"/>
      <c r="BY32" s="119"/>
      <c r="BZ32" s="120"/>
    </row>
    <row r="33" spans="2:78" ht="15.75" customHeight="1" x14ac:dyDescent="0.15">
      <c r="B33" s="538" t="s">
        <v>145</v>
      </c>
      <c r="C33" s="539"/>
      <c r="D33" s="539"/>
      <c r="E33" s="539"/>
      <c r="F33" s="539"/>
      <c r="G33" s="540"/>
      <c r="H33" s="450" t="s">
        <v>154</v>
      </c>
      <c r="I33" s="168"/>
      <c r="J33" s="169"/>
      <c r="K33" s="91"/>
      <c r="L33" s="96" t="s">
        <v>153</v>
      </c>
      <c r="M33" s="97"/>
      <c r="N33" s="92"/>
      <c r="O33" s="95"/>
      <c r="P33" s="96"/>
      <c r="Q33" s="96" t="s">
        <v>146</v>
      </c>
      <c r="R33" s="95"/>
      <c r="S33" s="95"/>
      <c r="T33" s="95"/>
      <c r="U33" s="96"/>
      <c r="V33" s="95"/>
      <c r="W33" s="95"/>
      <c r="X33" s="95"/>
      <c r="Y33" s="95"/>
      <c r="Z33" s="96"/>
      <c r="AA33" s="94"/>
      <c r="AB33" s="94"/>
      <c r="AC33" s="96"/>
      <c r="AD33" s="94"/>
      <c r="AE33" s="94"/>
      <c r="AF33" s="94"/>
      <c r="AG33" s="94"/>
      <c r="AH33" s="98"/>
      <c r="AI33" s="98"/>
      <c r="AJ33" s="98"/>
      <c r="AK33" s="99"/>
      <c r="AL33" s="100"/>
      <c r="AM33" s="101"/>
      <c r="AO33" s="339"/>
      <c r="AP33" s="121" t="s">
        <v>191</v>
      </c>
      <c r="AQ33" s="122"/>
      <c r="AR33" s="122"/>
      <c r="AS33" s="122"/>
      <c r="AT33" s="122"/>
      <c r="AU33" s="122"/>
      <c r="AV33" s="122"/>
      <c r="AW33" s="122"/>
      <c r="AX33" s="122"/>
      <c r="AY33" s="122"/>
      <c r="AZ33" s="122"/>
      <c r="BA33" s="122"/>
      <c r="BB33" s="122"/>
      <c r="BC33" s="123"/>
      <c r="BD33" s="228">
        <v>100</v>
      </c>
      <c r="BE33" s="229"/>
      <c r="BF33" s="229"/>
      <c r="BG33" s="229"/>
      <c r="BH33" s="230"/>
      <c r="BI33" s="121"/>
      <c r="BJ33" s="122"/>
      <c r="BK33" s="122"/>
      <c r="BL33" s="122"/>
      <c r="BM33" s="122"/>
      <c r="BN33" s="122"/>
      <c r="BO33" s="122"/>
      <c r="BP33" s="122"/>
      <c r="BQ33" s="122"/>
      <c r="BR33" s="122"/>
      <c r="BS33" s="122"/>
      <c r="BT33" s="122"/>
      <c r="BU33" s="123"/>
      <c r="BV33" s="118"/>
      <c r="BW33" s="119"/>
      <c r="BX33" s="119"/>
      <c r="BY33" s="119"/>
      <c r="BZ33" s="120"/>
    </row>
    <row r="34" spans="2:78" ht="15.75" customHeight="1" x14ac:dyDescent="0.15">
      <c r="B34" s="541"/>
      <c r="C34" s="542"/>
      <c r="D34" s="542"/>
      <c r="E34" s="542"/>
      <c r="F34" s="542"/>
      <c r="G34" s="543"/>
      <c r="H34" s="451"/>
      <c r="I34" s="452"/>
      <c r="J34" s="453"/>
      <c r="K34" s="93" t="s">
        <v>147</v>
      </c>
      <c r="L34" s="93" t="s">
        <v>152</v>
      </c>
      <c r="M34" s="93"/>
      <c r="N34" s="93"/>
      <c r="O34" s="93" t="s">
        <v>87</v>
      </c>
      <c r="P34" s="93"/>
      <c r="Q34" s="93" t="s">
        <v>148</v>
      </c>
      <c r="R34" s="93"/>
      <c r="S34" s="93"/>
      <c r="T34" s="93" t="s">
        <v>151</v>
      </c>
      <c r="U34" s="93"/>
      <c r="V34" s="93"/>
      <c r="W34" s="93"/>
      <c r="X34" s="93" t="s">
        <v>149</v>
      </c>
      <c r="Y34" s="93"/>
      <c r="Z34" s="93"/>
      <c r="AA34" s="93" t="s">
        <v>2</v>
      </c>
      <c r="AB34" s="93" t="s">
        <v>150</v>
      </c>
      <c r="AC34" s="93"/>
      <c r="AD34" s="102"/>
      <c r="AE34" s="102" t="s">
        <v>87</v>
      </c>
      <c r="AF34" s="454"/>
      <c r="AG34" s="454"/>
      <c r="AH34" s="454"/>
      <c r="AI34" s="454"/>
      <c r="AJ34" s="454"/>
      <c r="AK34" s="454"/>
      <c r="AL34" s="454"/>
      <c r="AM34" s="103" t="s">
        <v>2</v>
      </c>
      <c r="AO34" s="339"/>
      <c r="AP34" s="121" t="s">
        <v>192</v>
      </c>
      <c r="AQ34" s="122"/>
      <c r="AR34" s="122"/>
      <c r="AS34" s="122"/>
      <c r="AT34" s="122"/>
      <c r="AU34" s="122"/>
      <c r="AV34" s="122"/>
      <c r="AW34" s="122"/>
      <c r="AX34" s="122"/>
      <c r="AY34" s="122"/>
      <c r="AZ34" s="122"/>
      <c r="BA34" s="122"/>
      <c r="BB34" s="122"/>
      <c r="BC34" s="123"/>
      <c r="BD34" s="265">
        <v>120</v>
      </c>
      <c r="BE34" s="266"/>
      <c r="BF34" s="266"/>
      <c r="BG34" s="266"/>
      <c r="BH34" s="267"/>
      <c r="BI34" s="121"/>
      <c r="BJ34" s="122"/>
      <c r="BK34" s="122"/>
      <c r="BL34" s="122"/>
      <c r="BM34" s="122"/>
      <c r="BN34" s="122"/>
      <c r="BO34" s="122"/>
      <c r="BP34" s="122"/>
      <c r="BQ34" s="122"/>
      <c r="BR34" s="122"/>
      <c r="BS34" s="122"/>
      <c r="BT34" s="122"/>
      <c r="BU34" s="123"/>
      <c r="BV34" s="190"/>
      <c r="BW34" s="191"/>
      <c r="BX34" s="191"/>
      <c r="BY34" s="191"/>
      <c r="BZ34" s="192"/>
    </row>
    <row r="35" spans="2:78" ht="15.75" customHeight="1" x14ac:dyDescent="0.15">
      <c r="B35" s="444" t="s">
        <v>142</v>
      </c>
      <c r="C35" s="269"/>
      <c r="D35" s="269"/>
      <c r="E35" s="269"/>
      <c r="F35" s="269"/>
      <c r="G35" s="445"/>
      <c r="H35" s="143" t="s">
        <v>166</v>
      </c>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5"/>
      <c r="AO35" s="340"/>
      <c r="AP35" s="286" t="s">
        <v>193</v>
      </c>
      <c r="AQ35" s="287"/>
      <c r="AR35" s="287"/>
      <c r="AS35" s="287"/>
      <c r="AT35" s="287"/>
      <c r="AU35" s="287"/>
      <c r="AV35" s="287"/>
      <c r="AW35" s="287"/>
      <c r="AX35" s="287"/>
      <c r="AY35" s="287"/>
      <c r="AZ35" s="287"/>
      <c r="BA35" s="287"/>
      <c r="BB35" s="287"/>
      <c r="BC35" s="288"/>
      <c r="BD35" s="239">
        <v>500</v>
      </c>
      <c r="BE35" s="240"/>
      <c r="BF35" s="240"/>
      <c r="BG35" s="240"/>
      <c r="BH35" s="241"/>
      <c r="BI35" s="286"/>
      <c r="BJ35" s="287"/>
      <c r="BK35" s="287"/>
      <c r="BL35" s="287"/>
      <c r="BM35" s="287"/>
      <c r="BN35" s="287"/>
      <c r="BO35" s="287"/>
      <c r="BP35" s="287"/>
      <c r="BQ35" s="287"/>
      <c r="BR35" s="287"/>
      <c r="BS35" s="287"/>
      <c r="BT35" s="287"/>
      <c r="BU35" s="288"/>
      <c r="BV35" s="234"/>
      <c r="BW35" s="235"/>
      <c r="BX35" s="235"/>
      <c r="BY35" s="235"/>
      <c r="BZ35" s="236"/>
    </row>
    <row r="36" spans="2:78" ht="15.75" customHeight="1" x14ac:dyDescent="0.15">
      <c r="B36" s="446"/>
      <c r="C36" s="272"/>
      <c r="D36" s="272"/>
      <c r="E36" s="272"/>
      <c r="F36" s="272"/>
      <c r="G36" s="447"/>
      <c r="H36" s="146" t="s">
        <v>167</v>
      </c>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8"/>
      <c r="AO36" s="114" t="s">
        <v>39</v>
      </c>
      <c r="AP36" s="115"/>
      <c r="AQ36" s="115"/>
      <c r="AR36" s="115"/>
      <c r="AS36" s="115"/>
      <c r="AT36" s="115"/>
      <c r="AU36" s="115"/>
      <c r="AV36" s="115"/>
      <c r="AW36" s="115"/>
      <c r="AX36" s="115"/>
      <c r="AY36" s="115"/>
      <c r="AZ36" s="115"/>
      <c r="BA36" s="115"/>
      <c r="BB36" s="115"/>
      <c r="BC36" s="158"/>
      <c r="BD36" s="237">
        <f>IF(AND(BD18="",BD30=""),"",SUM(BD18,BD30))</f>
        <v>1220</v>
      </c>
      <c r="BE36" s="238"/>
      <c r="BF36" s="238"/>
      <c r="BG36" s="232" t="s">
        <v>14</v>
      </c>
      <c r="BH36" s="233"/>
      <c r="BI36" s="114" t="s">
        <v>39</v>
      </c>
      <c r="BJ36" s="115"/>
      <c r="BK36" s="115"/>
      <c r="BL36" s="115"/>
      <c r="BM36" s="115"/>
      <c r="BN36" s="115"/>
      <c r="BO36" s="115"/>
      <c r="BP36" s="115"/>
      <c r="BQ36" s="115"/>
      <c r="BR36" s="115"/>
      <c r="BS36" s="115"/>
      <c r="BT36" s="115"/>
      <c r="BU36" s="115"/>
      <c r="BV36" s="237">
        <f>IF(AND(BV18="",BV20="",BV24="",BV26=""),"",SUM(BV18,BV20,BV24,BV26))</f>
        <v>1300</v>
      </c>
      <c r="BW36" s="238"/>
      <c r="BX36" s="238"/>
      <c r="BY36" s="232" t="s">
        <v>14</v>
      </c>
      <c r="BZ36" s="233"/>
    </row>
    <row r="37" spans="2:78" ht="15.75" customHeight="1" x14ac:dyDescent="0.15">
      <c r="B37" s="448"/>
      <c r="C37" s="397"/>
      <c r="D37" s="397"/>
      <c r="E37" s="397"/>
      <c r="F37" s="397"/>
      <c r="G37" s="449"/>
      <c r="H37" s="146"/>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8"/>
      <c r="AO37" s="8" t="s">
        <v>130</v>
      </c>
    </row>
    <row r="38" spans="2:78" ht="13.5" customHeight="1" x14ac:dyDescent="0.15">
      <c r="B38" s="289" t="s">
        <v>143</v>
      </c>
      <c r="C38" s="290"/>
      <c r="D38" s="290"/>
      <c r="E38" s="290"/>
      <c r="F38" s="290"/>
      <c r="G38" s="291"/>
      <c r="H38" s="455" t="s">
        <v>168</v>
      </c>
      <c r="I38" s="456"/>
      <c r="J38" s="456"/>
      <c r="K38" s="456"/>
      <c r="L38" s="456"/>
      <c r="M38" s="456"/>
      <c r="N38" s="456"/>
      <c r="O38" s="456"/>
      <c r="P38" s="456"/>
      <c r="Q38" s="456"/>
      <c r="R38" s="456"/>
      <c r="S38" s="456"/>
      <c r="T38" s="456"/>
      <c r="U38" s="456"/>
      <c r="V38" s="456"/>
      <c r="W38" s="456"/>
      <c r="X38" s="456"/>
      <c r="Y38" s="456"/>
      <c r="Z38" s="456"/>
      <c r="AA38" s="456"/>
      <c r="AB38" s="456"/>
      <c r="AC38" s="456"/>
      <c r="AD38" s="456"/>
      <c r="AE38" s="456"/>
      <c r="AF38" s="456"/>
      <c r="AG38" s="456"/>
      <c r="AH38" s="456"/>
      <c r="AI38" s="456"/>
      <c r="AJ38" s="456"/>
      <c r="AK38" s="456"/>
      <c r="AL38" s="456"/>
      <c r="AM38" s="457"/>
      <c r="AN38"/>
      <c r="AO38" s="429"/>
      <c r="AP38" s="430"/>
      <c r="AQ38" s="430"/>
      <c r="AR38" s="430"/>
      <c r="AS38" s="431"/>
      <c r="AT38" s="350" t="s">
        <v>38</v>
      </c>
      <c r="AU38" s="350"/>
      <c r="AV38" s="350"/>
      <c r="AW38" s="350"/>
      <c r="AX38" s="350"/>
      <c r="AY38" s="350"/>
      <c r="AZ38" s="268" t="s">
        <v>138</v>
      </c>
      <c r="BA38" s="269"/>
      <c r="BB38" s="269"/>
      <c r="BC38" s="269"/>
      <c r="BD38" s="269"/>
      <c r="BE38" s="270"/>
      <c r="BF38" s="242" t="s">
        <v>70</v>
      </c>
      <c r="BG38" s="243"/>
      <c r="BH38" s="243"/>
      <c r="BI38" s="243"/>
      <c r="BJ38" s="243"/>
      <c r="BK38" s="243"/>
      <c r="BL38" s="243"/>
      <c r="BM38" s="243"/>
      <c r="BN38" s="243"/>
      <c r="BO38" s="243"/>
      <c r="BP38" s="243"/>
      <c r="BQ38" s="243"/>
      <c r="BR38" s="243"/>
      <c r="BS38" s="243"/>
      <c r="BT38" s="243"/>
      <c r="BU38" s="243"/>
      <c r="BV38" s="243"/>
      <c r="BW38" s="243"/>
      <c r="BX38" s="243"/>
      <c r="BY38" s="243"/>
      <c r="BZ38" s="244"/>
    </row>
    <row r="39" spans="2:78" ht="13.5" customHeight="1" x14ac:dyDescent="0.15">
      <c r="B39" s="292"/>
      <c r="C39" s="293"/>
      <c r="D39" s="293"/>
      <c r="E39" s="293"/>
      <c r="F39" s="293"/>
      <c r="G39" s="294"/>
      <c r="H39" s="311" t="s">
        <v>169</v>
      </c>
      <c r="I39" s="312"/>
      <c r="J39" s="312"/>
      <c r="K39" s="312"/>
      <c r="L39" s="312"/>
      <c r="M39" s="312"/>
      <c r="N39" s="312"/>
      <c r="O39" s="312"/>
      <c r="P39" s="312"/>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3"/>
      <c r="AN39" s="24"/>
      <c r="AO39" s="432"/>
      <c r="AP39" s="433"/>
      <c r="AQ39" s="433"/>
      <c r="AR39" s="433"/>
      <c r="AS39" s="434"/>
      <c r="AT39" s="351"/>
      <c r="AU39" s="351"/>
      <c r="AV39" s="351"/>
      <c r="AW39" s="351"/>
      <c r="AX39" s="351"/>
      <c r="AY39" s="351"/>
      <c r="AZ39" s="271"/>
      <c r="BA39" s="272"/>
      <c r="BB39" s="272"/>
      <c r="BC39" s="272"/>
      <c r="BD39" s="272"/>
      <c r="BE39" s="273"/>
      <c r="BF39" s="245"/>
      <c r="BG39" s="246"/>
      <c r="BH39" s="246"/>
      <c r="BI39" s="246"/>
      <c r="BJ39" s="246"/>
      <c r="BK39" s="246"/>
      <c r="BL39" s="246"/>
      <c r="BM39" s="246"/>
      <c r="BN39" s="246"/>
      <c r="BO39" s="246"/>
      <c r="BP39" s="246"/>
      <c r="BQ39" s="246"/>
      <c r="BR39" s="246"/>
      <c r="BS39" s="246"/>
      <c r="BT39" s="246"/>
      <c r="BU39" s="246"/>
      <c r="BV39" s="246"/>
      <c r="BW39" s="246"/>
      <c r="BX39" s="246"/>
      <c r="BY39" s="246"/>
      <c r="BZ39" s="247"/>
    </row>
    <row r="40" spans="2:78" ht="13.5" customHeight="1" x14ac:dyDescent="0.15">
      <c r="B40" s="295"/>
      <c r="C40" s="296"/>
      <c r="D40" s="296"/>
      <c r="E40" s="296"/>
      <c r="F40" s="296"/>
      <c r="G40" s="297"/>
      <c r="H40" s="311"/>
      <c r="I40" s="312"/>
      <c r="J40" s="312"/>
      <c r="K40" s="312"/>
      <c r="L40" s="312"/>
      <c r="M40" s="312"/>
      <c r="N40" s="312"/>
      <c r="O40" s="312"/>
      <c r="P40" s="312"/>
      <c r="Q40" s="312"/>
      <c r="R40" s="312"/>
      <c r="S40" s="312"/>
      <c r="T40" s="312"/>
      <c r="U40" s="312"/>
      <c r="V40" s="312"/>
      <c r="W40" s="312"/>
      <c r="X40" s="312"/>
      <c r="Y40" s="312"/>
      <c r="Z40" s="312"/>
      <c r="AA40" s="312"/>
      <c r="AB40" s="312"/>
      <c r="AC40" s="312"/>
      <c r="AD40" s="312"/>
      <c r="AE40" s="312"/>
      <c r="AF40" s="312"/>
      <c r="AG40" s="312"/>
      <c r="AH40" s="312"/>
      <c r="AI40" s="312"/>
      <c r="AJ40" s="312"/>
      <c r="AK40" s="312"/>
      <c r="AL40" s="312"/>
      <c r="AM40" s="313"/>
      <c r="AN40" s="24"/>
      <c r="AO40" s="435"/>
      <c r="AP40" s="436"/>
      <c r="AQ40" s="436"/>
      <c r="AR40" s="436"/>
      <c r="AS40" s="437"/>
      <c r="AT40" s="251"/>
      <c r="AU40" s="251"/>
      <c r="AV40" s="251"/>
      <c r="AW40" s="251"/>
      <c r="AX40" s="251"/>
      <c r="AY40" s="251"/>
      <c r="AZ40" s="44" t="s">
        <v>139</v>
      </c>
      <c r="BA40" s="45"/>
      <c r="BB40" s="43" t="s">
        <v>97</v>
      </c>
      <c r="BC40" s="45"/>
      <c r="BD40" s="251" t="s">
        <v>98</v>
      </c>
      <c r="BE40" s="252"/>
      <c r="BF40" s="248"/>
      <c r="BG40" s="249"/>
      <c r="BH40" s="249"/>
      <c r="BI40" s="249"/>
      <c r="BJ40" s="249"/>
      <c r="BK40" s="249"/>
      <c r="BL40" s="249"/>
      <c r="BM40" s="249"/>
      <c r="BN40" s="249"/>
      <c r="BO40" s="249"/>
      <c r="BP40" s="249"/>
      <c r="BQ40" s="249"/>
      <c r="BR40" s="249"/>
      <c r="BS40" s="249"/>
      <c r="BT40" s="249"/>
      <c r="BU40" s="249"/>
      <c r="BV40" s="249"/>
      <c r="BW40" s="249"/>
      <c r="BX40" s="249"/>
      <c r="BY40" s="249"/>
      <c r="BZ40" s="250"/>
    </row>
    <row r="41" spans="2:78" ht="13.5" customHeight="1" x14ac:dyDescent="0.15">
      <c r="B41" s="354" t="s">
        <v>144</v>
      </c>
      <c r="C41" s="355"/>
      <c r="D41" s="355"/>
      <c r="E41" s="355"/>
      <c r="F41" s="355"/>
      <c r="G41" s="356"/>
      <c r="H41" s="143" t="s">
        <v>171</v>
      </c>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24"/>
      <c r="AO41" s="200" t="s">
        <v>37</v>
      </c>
      <c r="AP41" s="201"/>
      <c r="AQ41" s="201"/>
      <c r="AR41" s="201"/>
      <c r="AS41" s="202"/>
      <c r="AT41" s="213">
        <v>800</v>
      </c>
      <c r="AU41" s="213"/>
      <c r="AV41" s="213"/>
      <c r="AW41" s="213"/>
      <c r="AX41" s="168" t="s">
        <v>55</v>
      </c>
      <c r="AY41" s="209"/>
      <c r="AZ41" s="216">
        <v>2000</v>
      </c>
      <c r="BA41" s="217"/>
      <c r="BB41" s="217"/>
      <c r="BC41" s="217"/>
      <c r="BD41" s="168" t="s">
        <v>55</v>
      </c>
      <c r="BE41" s="209"/>
      <c r="BF41" s="253"/>
      <c r="BG41" s="254"/>
      <c r="BH41" s="254"/>
      <c r="BI41" s="254"/>
      <c r="BJ41" s="254"/>
      <c r="BK41" s="254"/>
      <c r="BL41" s="254"/>
      <c r="BM41" s="254"/>
      <c r="BN41" s="254"/>
      <c r="BO41" s="254"/>
      <c r="BP41" s="254"/>
      <c r="BQ41" s="254"/>
      <c r="BR41" s="254"/>
      <c r="BS41" s="254"/>
      <c r="BT41" s="254"/>
      <c r="BU41" s="254"/>
      <c r="BV41" s="254"/>
      <c r="BW41" s="254"/>
      <c r="BX41" s="254"/>
      <c r="BY41" s="254"/>
      <c r="BZ41" s="255"/>
    </row>
    <row r="42" spans="2:78" ht="13.5" customHeight="1" x14ac:dyDescent="0.15">
      <c r="B42" s="357"/>
      <c r="C42" s="358"/>
      <c r="D42" s="358"/>
      <c r="E42" s="358"/>
      <c r="F42" s="358"/>
      <c r="G42" s="359"/>
      <c r="H42" s="311" t="s">
        <v>170</v>
      </c>
      <c r="I42" s="312"/>
      <c r="J42" s="312"/>
      <c r="K42" s="312"/>
      <c r="L42" s="312"/>
      <c r="M42" s="312"/>
      <c r="N42" s="312"/>
      <c r="O42" s="312"/>
      <c r="P42" s="312"/>
      <c r="Q42" s="312"/>
      <c r="R42" s="312"/>
      <c r="S42" s="312"/>
      <c r="T42" s="312"/>
      <c r="U42" s="312"/>
      <c r="V42" s="312"/>
      <c r="W42" s="312"/>
      <c r="X42" s="312"/>
      <c r="Y42" s="312"/>
      <c r="Z42" s="312"/>
      <c r="AA42" s="312"/>
      <c r="AB42" s="312"/>
      <c r="AC42" s="312"/>
      <c r="AD42" s="312"/>
      <c r="AE42" s="312"/>
      <c r="AF42" s="312"/>
      <c r="AG42" s="312"/>
      <c r="AH42" s="312"/>
      <c r="AI42" s="312"/>
      <c r="AJ42" s="312"/>
      <c r="AK42" s="312"/>
      <c r="AL42" s="312"/>
      <c r="AM42" s="313"/>
      <c r="AN42" s="23"/>
      <c r="AO42" s="203"/>
      <c r="AP42" s="204"/>
      <c r="AQ42" s="204"/>
      <c r="AR42" s="204"/>
      <c r="AS42" s="205"/>
      <c r="AT42" s="214"/>
      <c r="AU42" s="214"/>
      <c r="AV42" s="214"/>
      <c r="AW42" s="214"/>
      <c r="AX42" s="210"/>
      <c r="AY42" s="211"/>
      <c r="AZ42" s="218"/>
      <c r="BA42" s="219"/>
      <c r="BB42" s="219"/>
      <c r="BC42" s="219"/>
      <c r="BD42" s="210"/>
      <c r="BE42" s="211"/>
      <c r="BF42" s="256"/>
      <c r="BG42" s="257"/>
      <c r="BH42" s="257"/>
      <c r="BI42" s="257"/>
      <c r="BJ42" s="257"/>
      <c r="BK42" s="257"/>
      <c r="BL42" s="257"/>
      <c r="BM42" s="257"/>
      <c r="BN42" s="257"/>
      <c r="BO42" s="257"/>
      <c r="BP42" s="257"/>
      <c r="BQ42" s="257"/>
      <c r="BR42" s="257"/>
      <c r="BS42" s="257"/>
      <c r="BT42" s="257"/>
      <c r="BU42" s="257"/>
      <c r="BV42" s="257"/>
      <c r="BW42" s="257"/>
      <c r="BX42" s="257"/>
      <c r="BY42" s="257"/>
      <c r="BZ42" s="258"/>
    </row>
    <row r="43" spans="2:78" ht="13.5" customHeight="1" x14ac:dyDescent="0.15">
      <c r="B43" s="360"/>
      <c r="C43" s="361"/>
      <c r="D43" s="361"/>
      <c r="E43" s="361"/>
      <c r="F43" s="361"/>
      <c r="G43" s="362"/>
      <c r="H43" s="314"/>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15"/>
      <c r="AK43" s="315"/>
      <c r="AL43" s="315"/>
      <c r="AM43" s="316"/>
      <c r="AO43" s="206"/>
      <c r="AP43" s="207"/>
      <c r="AQ43" s="207"/>
      <c r="AR43" s="207"/>
      <c r="AS43" s="208"/>
      <c r="AT43" s="215"/>
      <c r="AU43" s="215"/>
      <c r="AV43" s="215"/>
      <c r="AW43" s="215"/>
      <c r="AX43" s="212"/>
      <c r="AY43" s="129"/>
      <c r="AZ43" s="220"/>
      <c r="BA43" s="221"/>
      <c r="BB43" s="221"/>
      <c r="BC43" s="221"/>
      <c r="BD43" s="212"/>
      <c r="BE43" s="129"/>
      <c r="BF43" s="256"/>
      <c r="BG43" s="257"/>
      <c r="BH43" s="257"/>
      <c r="BI43" s="257"/>
      <c r="BJ43" s="257"/>
      <c r="BK43" s="257"/>
      <c r="BL43" s="257"/>
      <c r="BM43" s="257"/>
      <c r="BN43" s="257"/>
      <c r="BO43" s="257"/>
      <c r="BP43" s="257"/>
      <c r="BQ43" s="257"/>
      <c r="BR43" s="257"/>
      <c r="BS43" s="257"/>
      <c r="BT43" s="257"/>
      <c r="BU43" s="257"/>
      <c r="BV43" s="257"/>
      <c r="BW43" s="257"/>
      <c r="BX43" s="257"/>
      <c r="BY43" s="257"/>
      <c r="BZ43" s="258"/>
    </row>
    <row r="44" spans="2:78" ht="13.5" customHeight="1" x14ac:dyDescent="0.15">
      <c r="B44" s="8" t="s">
        <v>131</v>
      </c>
      <c r="H44" s="2"/>
      <c r="X44"/>
      <c r="Y44"/>
      <c r="Z44"/>
      <c r="AA44"/>
      <c r="AB44"/>
      <c r="AC44"/>
      <c r="AD44"/>
      <c r="AN44" s="66"/>
      <c r="AO44" s="342" t="s">
        <v>56</v>
      </c>
      <c r="AP44" s="343"/>
      <c r="AQ44" s="343"/>
      <c r="AR44" s="343"/>
      <c r="AS44" s="344"/>
      <c r="AT44" s="222">
        <v>200</v>
      </c>
      <c r="AU44" s="223"/>
      <c r="AV44" s="223"/>
      <c r="AW44" s="223"/>
      <c r="AX44" s="116" t="s">
        <v>55</v>
      </c>
      <c r="AY44" s="117"/>
      <c r="AZ44" s="348">
        <v>600</v>
      </c>
      <c r="BA44" s="349"/>
      <c r="BB44" s="349"/>
      <c r="BC44" s="349"/>
      <c r="BD44" s="116" t="s">
        <v>55</v>
      </c>
      <c r="BE44" s="117"/>
      <c r="BF44" s="256"/>
      <c r="BG44" s="257"/>
      <c r="BH44" s="257"/>
      <c r="BI44" s="257"/>
      <c r="BJ44" s="257"/>
      <c r="BK44" s="257"/>
      <c r="BL44" s="257"/>
      <c r="BM44" s="257"/>
      <c r="BN44" s="257"/>
      <c r="BO44" s="257"/>
      <c r="BP44" s="257"/>
      <c r="BQ44" s="257"/>
      <c r="BR44" s="257"/>
      <c r="BS44" s="257"/>
      <c r="BT44" s="257"/>
      <c r="BU44" s="257"/>
      <c r="BV44" s="257"/>
      <c r="BW44" s="257"/>
      <c r="BX44" s="257"/>
      <c r="BY44" s="257"/>
      <c r="BZ44" s="258"/>
    </row>
    <row r="45" spans="2:78" ht="13.5" customHeight="1" x14ac:dyDescent="0.15">
      <c r="B45" s="354" t="s">
        <v>16</v>
      </c>
      <c r="C45" s="363"/>
      <c r="D45" s="363"/>
      <c r="E45" s="363"/>
      <c r="F45" s="363"/>
      <c r="G45" s="363"/>
      <c r="H45" s="364"/>
      <c r="I45" s="368">
        <v>1</v>
      </c>
      <c r="J45" s="185"/>
      <c r="K45" s="185"/>
      <c r="L45" s="168" t="s">
        <v>15</v>
      </c>
      <c r="M45" s="169"/>
      <c r="N45" s="354" t="s">
        <v>64</v>
      </c>
      <c r="O45" s="355"/>
      <c r="P45" s="355"/>
      <c r="Q45" s="355"/>
      <c r="R45" s="355"/>
      <c r="S45" s="355"/>
      <c r="T45" s="355"/>
      <c r="U45" s="355"/>
      <c r="V45" s="356"/>
      <c r="W45" s="401"/>
      <c r="X45" s="402"/>
      <c r="Y45" s="402"/>
      <c r="Z45" s="405" t="s">
        <v>96</v>
      </c>
      <c r="AA45" s="406"/>
      <c r="AB45" s="409" t="s">
        <v>59</v>
      </c>
      <c r="AC45" s="409"/>
      <c r="AD45" s="409"/>
      <c r="AE45" s="409"/>
      <c r="AF45" s="409"/>
      <c r="AG45" s="409"/>
      <c r="AH45" s="410">
        <v>1</v>
      </c>
      <c r="AI45" s="410"/>
      <c r="AJ45" s="410"/>
      <c r="AK45" s="410"/>
      <c r="AL45" s="168" t="s">
        <v>60</v>
      </c>
      <c r="AM45" s="169"/>
      <c r="AN45" s="31"/>
      <c r="AO45" s="345"/>
      <c r="AP45" s="346"/>
      <c r="AQ45" s="346"/>
      <c r="AR45" s="346"/>
      <c r="AS45" s="347"/>
      <c r="AT45" s="224"/>
      <c r="AU45" s="215"/>
      <c r="AV45" s="215"/>
      <c r="AW45" s="215"/>
      <c r="AX45" s="212"/>
      <c r="AY45" s="129"/>
      <c r="AZ45" s="220"/>
      <c r="BA45" s="221"/>
      <c r="BB45" s="221"/>
      <c r="BC45" s="221"/>
      <c r="BD45" s="212"/>
      <c r="BE45" s="129"/>
      <c r="BF45" s="256"/>
      <c r="BG45" s="257"/>
      <c r="BH45" s="257"/>
      <c r="BI45" s="257"/>
      <c r="BJ45" s="257"/>
      <c r="BK45" s="257"/>
      <c r="BL45" s="257"/>
      <c r="BM45" s="257"/>
      <c r="BN45" s="257"/>
      <c r="BO45" s="257"/>
      <c r="BP45" s="257"/>
      <c r="BQ45" s="257"/>
      <c r="BR45" s="257"/>
      <c r="BS45" s="257"/>
      <c r="BT45" s="257"/>
      <c r="BU45" s="257"/>
      <c r="BV45" s="257"/>
      <c r="BW45" s="257"/>
      <c r="BX45" s="257"/>
      <c r="BY45" s="257"/>
      <c r="BZ45" s="258"/>
    </row>
    <row r="46" spans="2:78" ht="13.5" customHeight="1" x14ac:dyDescent="0.15">
      <c r="B46" s="365"/>
      <c r="C46" s="366"/>
      <c r="D46" s="366"/>
      <c r="E46" s="366"/>
      <c r="F46" s="366"/>
      <c r="G46" s="366"/>
      <c r="H46" s="367"/>
      <c r="I46" s="369"/>
      <c r="J46" s="235"/>
      <c r="K46" s="235"/>
      <c r="L46" s="452"/>
      <c r="M46" s="453"/>
      <c r="N46" s="360"/>
      <c r="O46" s="361"/>
      <c r="P46" s="361"/>
      <c r="Q46" s="361"/>
      <c r="R46" s="361"/>
      <c r="S46" s="361"/>
      <c r="T46" s="361"/>
      <c r="U46" s="361"/>
      <c r="V46" s="362"/>
      <c r="W46" s="403"/>
      <c r="X46" s="404"/>
      <c r="Y46" s="404"/>
      <c r="Z46" s="407"/>
      <c r="AA46" s="408"/>
      <c r="AB46" s="411" t="s">
        <v>61</v>
      </c>
      <c r="AC46" s="411"/>
      <c r="AD46" s="411"/>
      <c r="AE46" s="411"/>
      <c r="AF46" s="411"/>
      <c r="AG46" s="411"/>
      <c r="AH46" s="412"/>
      <c r="AI46" s="412"/>
      <c r="AJ46" s="412"/>
      <c r="AK46" s="412"/>
      <c r="AL46" s="452" t="s">
        <v>60</v>
      </c>
      <c r="AM46" s="453"/>
      <c r="AO46" s="526" t="s">
        <v>36</v>
      </c>
      <c r="AP46" s="472" t="s">
        <v>35</v>
      </c>
      <c r="AQ46" s="204"/>
      <c r="AR46" s="204"/>
      <c r="AS46" s="205"/>
      <c r="AT46" s="222">
        <v>10</v>
      </c>
      <c r="AU46" s="223"/>
      <c r="AV46" s="223"/>
      <c r="AW46" s="223"/>
      <c r="AX46" s="210" t="s">
        <v>14</v>
      </c>
      <c r="AY46" s="210"/>
      <c r="AZ46" s="348">
        <v>10</v>
      </c>
      <c r="BA46" s="349"/>
      <c r="BB46" s="349"/>
      <c r="BC46" s="349"/>
      <c r="BD46" s="210" t="s">
        <v>14</v>
      </c>
      <c r="BE46" s="211"/>
      <c r="BF46" s="256"/>
      <c r="BG46" s="257"/>
      <c r="BH46" s="257"/>
      <c r="BI46" s="257"/>
      <c r="BJ46" s="257"/>
      <c r="BK46" s="257"/>
      <c r="BL46" s="257"/>
      <c r="BM46" s="257"/>
      <c r="BN46" s="257"/>
      <c r="BO46" s="257"/>
      <c r="BP46" s="257"/>
      <c r="BQ46" s="257"/>
      <c r="BR46" s="257"/>
      <c r="BS46" s="257"/>
      <c r="BT46" s="257"/>
      <c r="BU46" s="257"/>
      <c r="BV46" s="257"/>
      <c r="BW46" s="257"/>
      <c r="BX46" s="257"/>
      <c r="BY46" s="257"/>
      <c r="BZ46" s="258"/>
    </row>
    <row r="47" spans="2:78" ht="13.5" customHeight="1" x14ac:dyDescent="0.15">
      <c r="B47" s="31" t="s">
        <v>65</v>
      </c>
      <c r="C47" s="31" t="s">
        <v>66</v>
      </c>
      <c r="AO47" s="526"/>
      <c r="AP47" s="472"/>
      <c r="AQ47" s="204"/>
      <c r="AR47" s="204"/>
      <c r="AS47" s="205"/>
      <c r="AT47" s="224"/>
      <c r="AU47" s="215"/>
      <c r="AV47" s="215"/>
      <c r="AW47" s="215"/>
      <c r="AX47" s="210"/>
      <c r="AY47" s="210"/>
      <c r="AZ47" s="220"/>
      <c r="BA47" s="221"/>
      <c r="BB47" s="221"/>
      <c r="BC47" s="221"/>
      <c r="BD47" s="210"/>
      <c r="BE47" s="211"/>
      <c r="BF47" s="256"/>
      <c r="BG47" s="257"/>
      <c r="BH47" s="257"/>
      <c r="BI47" s="257"/>
      <c r="BJ47" s="257"/>
      <c r="BK47" s="257"/>
      <c r="BL47" s="257"/>
      <c r="BM47" s="257"/>
      <c r="BN47" s="257"/>
      <c r="BO47" s="257"/>
      <c r="BP47" s="257"/>
      <c r="BQ47" s="257"/>
      <c r="BR47" s="257"/>
      <c r="BS47" s="257"/>
      <c r="BT47" s="257"/>
      <c r="BU47" s="257"/>
      <c r="BV47" s="257"/>
      <c r="BW47" s="257"/>
      <c r="BX47" s="257"/>
      <c r="BY47" s="257"/>
      <c r="BZ47" s="258"/>
    </row>
    <row r="48" spans="2:78" ht="13.5" customHeight="1" x14ac:dyDescent="0.15">
      <c r="B48" s="8" t="s">
        <v>132</v>
      </c>
      <c r="AO48" s="526"/>
      <c r="AP48" s="441" t="s">
        <v>34</v>
      </c>
      <c r="AQ48" s="442"/>
      <c r="AR48" s="442"/>
      <c r="AS48" s="442"/>
      <c r="AT48" s="222">
        <v>10</v>
      </c>
      <c r="AU48" s="223"/>
      <c r="AV48" s="223"/>
      <c r="AW48" s="223"/>
      <c r="AX48" s="116" t="s">
        <v>14</v>
      </c>
      <c r="AY48" s="116"/>
      <c r="AZ48" s="348">
        <v>10</v>
      </c>
      <c r="BA48" s="349"/>
      <c r="BB48" s="349"/>
      <c r="BC48" s="349"/>
      <c r="BD48" s="116" t="s">
        <v>14</v>
      </c>
      <c r="BE48" s="117"/>
      <c r="BF48" s="256"/>
      <c r="BG48" s="257"/>
      <c r="BH48" s="257"/>
      <c r="BI48" s="257"/>
      <c r="BJ48" s="257"/>
      <c r="BK48" s="257"/>
      <c r="BL48" s="257"/>
      <c r="BM48" s="257"/>
      <c r="BN48" s="257"/>
      <c r="BO48" s="257"/>
      <c r="BP48" s="257"/>
      <c r="BQ48" s="257"/>
      <c r="BR48" s="257"/>
      <c r="BS48" s="257"/>
      <c r="BT48" s="257"/>
      <c r="BU48" s="257"/>
      <c r="BV48" s="257"/>
      <c r="BW48" s="257"/>
      <c r="BX48" s="257"/>
      <c r="BY48" s="257"/>
      <c r="BZ48" s="258"/>
    </row>
    <row r="49" spans="2:78" ht="13.5" customHeight="1" x14ac:dyDescent="0.15">
      <c r="B49" s="374"/>
      <c r="C49" s="276" t="s">
        <v>52</v>
      </c>
      <c r="D49" s="277"/>
      <c r="E49" s="277"/>
      <c r="F49" s="277"/>
      <c r="G49" s="277"/>
      <c r="H49" s="277"/>
      <c r="I49" s="277"/>
      <c r="J49" s="277"/>
      <c r="K49" s="277"/>
      <c r="L49" s="277"/>
      <c r="M49" s="277"/>
      <c r="N49" s="278"/>
      <c r="O49" s="242" t="s">
        <v>101</v>
      </c>
      <c r="P49" s="243"/>
      <c r="Q49" s="243"/>
      <c r="R49" s="243"/>
      <c r="S49" s="243"/>
      <c r="T49" s="279"/>
      <c r="U49" s="390" t="s">
        <v>140</v>
      </c>
      <c r="V49" s="391"/>
      <c r="W49" s="392"/>
      <c r="X49" s="268" t="s">
        <v>19</v>
      </c>
      <c r="Y49" s="269"/>
      <c r="Z49" s="270"/>
      <c r="AA49" s="242" t="s">
        <v>102</v>
      </c>
      <c r="AB49" s="243"/>
      <c r="AC49" s="279"/>
      <c r="AD49" s="425" t="s">
        <v>18</v>
      </c>
      <c r="AE49" s="350"/>
      <c r="AF49" s="350"/>
      <c r="AG49" s="350"/>
      <c r="AH49" s="350"/>
      <c r="AI49" s="350"/>
      <c r="AJ49" s="350"/>
      <c r="AK49" s="350"/>
      <c r="AL49" s="350"/>
      <c r="AM49" s="426"/>
      <c r="AO49" s="526"/>
      <c r="AP49" s="443"/>
      <c r="AQ49" s="207"/>
      <c r="AR49" s="207"/>
      <c r="AS49" s="207"/>
      <c r="AT49" s="224"/>
      <c r="AU49" s="215"/>
      <c r="AV49" s="215"/>
      <c r="AW49" s="215"/>
      <c r="AX49" s="212"/>
      <c r="AY49" s="212"/>
      <c r="AZ49" s="220"/>
      <c r="BA49" s="221"/>
      <c r="BB49" s="221"/>
      <c r="BC49" s="221"/>
      <c r="BD49" s="212"/>
      <c r="BE49" s="129"/>
      <c r="BF49" s="256"/>
      <c r="BG49" s="257"/>
      <c r="BH49" s="257"/>
      <c r="BI49" s="257"/>
      <c r="BJ49" s="257"/>
      <c r="BK49" s="257"/>
      <c r="BL49" s="257"/>
      <c r="BM49" s="257"/>
      <c r="BN49" s="257"/>
      <c r="BO49" s="257"/>
      <c r="BP49" s="257"/>
      <c r="BQ49" s="257"/>
      <c r="BR49" s="257"/>
      <c r="BS49" s="257"/>
      <c r="BT49" s="257"/>
      <c r="BU49" s="257"/>
      <c r="BV49" s="257"/>
      <c r="BW49" s="257"/>
      <c r="BX49" s="257"/>
      <c r="BY49" s="257"/>
      <c r="BZ49" s="258"/>
    </row>
    <row r="50" spans="2:78" ht="13.5" customHeight="1" x14ac:dyDescent="0.15">
      <c r="B50" s="375"/>
      <c r="C50" s="417" t="s">
        <v>20</v>
      </c>
      <c r="D50" s="418"/>
      <c r="E50" s="418"/>
      <c r="F50" s="418"/>
      <c r="G50" s="418"/>
      <c r="H50" s="418"/>
      <c r="I50" s="418"/>
      <c r="J50" s="418"/>
      <c r="K50" s="418"/>
      <c r="L50" s="418"/>
      <c r="M50" s="418"/>
      <c r="N50" s="419"/>
      <c r="O50" s="248"/>
      <c r="P50" s="249"/>
      <c r="Q50" s="249"/>
      <c r="R50" s="249"/>
      <c r="S50" s="249"/>
      <c r="T50" s="381"/>
      <c r="U50" s="393"/>
      <c r="V50" s="394"/>
      <c r="W50" s="395"/>
      <c r="X50" s="396"/>
      <c r="Y50" s="397"/>
      <c r="Z50" s="398"/>
      <c r="AA50" s="535" t="s">
        <v>103</v>
      </c>
      <c r="AB50" s="536"/>
      <c r="AC50" s="537"/>
      <c r="AD50" s="427"/>
      <c r="AE50" s="251"/>
      <c r="AF50" s="251"/>
      <c r="AG50" s="251"/>
      <c r="AH50" s="251"/>
      <c r="AI50" s="251"/>
      <c r="AJ50" s="251"/>
      <c r="AK50" s="251"/>
      <c r="AL50" s="251"/>
      <c r="AM50" s="428"/>
      <c r="AO50" s="526"/>
      <c r="AP50" s="472" t="s">
        <v>8</v>
      </c>
      <c r="AQ50" s="204"/>
      <c r="AR50" s="204"/>
      <c r="AS50" s="204"/>
      <c r="AT50" s="222">
        <v>0</v>
      </c>
      <c r="AU50" s="223"/>
      <c r="AV50" s="223"/>
      <c r="AW50" s="223"/>
      <c r="AX50" s="210" t="s">
        <v>14</v>
      </c>
      <c r="AY50" s="210"/>
      <c r="AZ50" s="348">
        <v>0</v>
      </c>
      <c r="BA50" s="349"/>
      <c r="BB50" s="349"/>
      <c r="BC50" s="349"/>
      <c r="BD50" s="210" t="s">
        <v>14</v>
      </c>
      <c r="BE50" s="211"/>
      <c r="BF50" s="256"/>
      <c r="BG50" s="257"/>
      <c r="BH50" s="257"/>
      <c r="BI50" s="257"/>
      <c r="BJ50" s="257"/>
      <c r="BK50" s="257"/>
      <c r="BL50" s="257"/>
      <c r="BM50" s="257"/>
      <c r="BN50" s="257"/>
      <c r="BO50" s="257"/>
      <c r="BP50" s="257"/>
      <c r="BQ50" s="257"/>
      <c r="BR50" s="257"/>
      <c r="BS50" s="257"/>
      <c r="BT50" s="257"/>
      <c r="BU50" s="257"/>
      <c r="BV50" s="257"/>
      <c r="BW50" s="257"/>
      <c r="BX50" s="257"/>
      <c r="BY50" s="257"/>
      <c r="BZ50" s="258"/>
    </row>
    <row r="51" spans="2:78" ht="13.5" customHeight="1" x14ac:dyDescent="0.15">
      <c r="B51" s="486" t="s">
        <v>17</v>
      </c>
      <c r="C51" s="420" t="s">
        <v>172</v>
      </c>
      <c r="D51" s="421"/>
      <c r="E51" s="421"/>
      <c r="F51" s="421"/>
      <c r="G51" s="421"/>
      <c r="H51" s="421"/>
      <c r="I51" s="421"/>
      <c r="J51" s="421"/>
      <c r="K51" s="421"/>
      <c r="L51" s="421"/>
      <c r="M51" s="421"/>
      <c r="N51" s="422"/>
      <c r="O51" s="517" t="s">
        <v>174</v>
      </c>
      <c r="P51" s="518"/>
      <c r="Q51" s="518"/>
      <c r="R51" s="518"/>
      <c r="S51" s="518"/>
      <c r="T51" s="519"/>
      <c r="U51" s="503">
        <v>70</v>
      </c>
      <c r="V51" s="504"/>
      <c r="W51" s="209" t="s">
        <v>4</v>
      </c>
      <c r="X51" s="134">
        <v>85</v>
      </c>
      <c r="Y51" s="135"/>
      <c r="Z51" s="137" t="s">
        <v>4</v>
      </c>
      <c r="AA51" s="423"/>
      <c r="AB51" s="424"/>
      <c r="AC51" s="65" t="s">
        <v>4</v>
      </c>
      <c r="AD51" s="498">
        <v>31</v>
      </c>
      <c r="AE51" s="458"/>
      <c r="AF51" s="458"/>
      <c r="AG51" s="177" t="s">
        <v>104</v>
      </c>
      <c r="AH51" s="177"/>
      <c r="AI51" s="458">
        <v>60</v>
      </c>
      <c r="AJ51" s="458"/>
      <c r="AK51" s="458"/>
      <c r="AL51" s="493" t="s">
        <v>105</v>
      </c>
      <c r="AM51" s="494"/>
      <c r="AO51" s="526"/>
      <c r="AP51" s="472"/>
      <c r="AQ51" s="204"/>
      <c r="AR51" s="204"/>
      <c r="AS51" s="204"/>
      <c r="AT51" s="224"/>
      <c r="AU51" s="215"/>
      <c r="AV51" s="215"/>
      <c r="AW51" s="215"/>
      <c r="AX51" s="210"/>
      <c r="AY51" s="210"/>
      <c r="AZ51" s="220"/>
      <c r="BA51" s="221"/>
      <c r="BB51" s="221"/>
      <c r="BC51" s="221"/>
      <c r="BD51" s="210"/>
      <c r="BE51" s="211"/>
      <c r="BF51" s="256"/>
      <c r="BG51" s="257"/>
      <c r="BH51" s="257"/>
      <c r="BI51" s="257"/>
      <c r="BJ51" s="257"/>
      <c r="BK51" s="257"/>
      <c r="BL51" s="257"/>
      <c r="BM51" s="257"/>
      <c r="BN51" s="257"/>
      <c r="BO51" s="257"/>
      <c r="BP51" s="257"/>
      <c r="BQ51" s="257"/>
      <c r="BR51" s="257"/>
      <c r="BS51" s="257"/>
      <c r="BT51" s="257"/>
      <c r="BU51" s="257"/>
      <c r="BV51" s="257"/>
      <c r="BW51" s="257"/>
      <c r="BX51" s="257"/>
      <c r="BY51" s="257"/>
      <c r="BZ51" s="258"/>
    </row>
    <row r="52" spans="2:78" ht="13.5" customHeight="1" x14ac:dyDescent="0.15">
      <c r="B52" s="339"/>
      <c r="C52" s="376"/>
      <c r="D52" s="377"/>
      <c r="E52" s="377"/>
      <c r="F52" s="377"/>
      <c r="G52" s="377"/>
      <c r="H52" s="377"/>
      <c r="I52" s="377"/>
      <c r="J52" s="377"/>
      <c r="K52" s="377"/>
      <c r="L52" s="377"/>
      <c r="M52" s="377"/>
      <c r="N52" s="378"/>
      <c r="O52" s="520"/>
      <c r="P52" s="521"/>
      <c r="Q52" s="521"/>
      <c r="R52" s="521"/>
      <c r="S52" s="521"/>
      <c r="T52" s="522"/>
      <c r="U52" s="505"/>
      <c r="V52" s="506"/>
      <c r="W52" s="129"/>
      <c r="X52" s="136"/>
      <c r="Y52" s="111"/>
      <c r="Z52" s="138"/>
      <c r="AA52" s="370"/>
      <c r="AB52" s="127"/>
      <c r="AC52" s="85" t="s">
        <v>106</v>
      </c>
      <c r="AD52" s="379"/>
      <c r="AE52" s="380"/>
      <c r="AF52" s="380"/>
      <c r="AG52" s="116"/>
      <c r="AH52" s="116"/>
      <c r="AI52" s="380"/>
      <c r="AJ52" s="380"/>
      <c r="AK52" s="380"/>
      <c r="AL52" s="353"/>
      <c r="AM52" s="512"/>
      <c r="AO52" s="526"/>
      <c r="AP52" s="441" t="s">
        <v>3</v>
      </c>
      <c r="AQ52" s="442"/>
      <c r="AR52" s="442"/>
      <c r="AS52" s="442"/>
      <c r="AT52" s="222">
        <v>5</v>
      </c>
      <c r="AU52" s="223"/>
      <c r="AV52" s="223"/>
      <c r="AW52" s="223"/>
      <c r="AX52" s="116" t="s">
        <v>14</v>
      </c>
      <c r="AY52" s="116"/>
      <c r="AZ52" s="348">
        <v>5</v>
      </c>
      <c r="BA52" s="349"/>
      <c r="BB52" s="349"/>
      <c r="BC52" s="349"/>
      <c r="BD52" s="116" t="s">
        <v>14</v>
      </c>
      <c r="BE52" s="117"/>
      <c r="BF52" s="256"/>
      <c r="BG52" s="257"/>
      <c r="BH52" s="257"/>
      <c r="BI52" s="257"/>
      <c r="BJ52" s="257"/>
      <c r="BK52" s="257"/>
      <c r="BL52" s="257"/>
      <c r="BM52" s="257"/>
      <c r="BN52" s="257"/>
      <c r="BO52" s="257"/>
      <c r="BP52" s="257"/>
      <c r="BQ52" s="257"/>
      <c r="BR52" s="257"/>
      <c r="BS52" s="257"/>
      <c r="BT52" s="257"/>
      <c r="BU52" s="257"/>
      <c r="BV52" s="257"/>
      <c r="BW52" s="257"/>
      <c r="BX52" s="257"/>
      <c r="BY52" s="257"/>
      <c r="BZ52" s="258"/>
    </row>
    <row r="53" spans="2:78" ht="13.5" customHeight="1" x14ac:dyDescent="0.15">
      <c r="B53" s="339"/>
      <c r="C53" s="371" t="s">
        <v>173</v>
      </c>
      <c r="D53" s="372"/>
      <c r="E53" s="372"/>
      <c r="F53" s="372"/>
      <c r="G53" s="372"/>
      <c r="H53" s="372"/>
      <c r="I53" s="372"/>
      <c r="J53" s="372"/>
      <c r="K53" s="372"/>
      <c r="L53" s="372"/>
      <c r="M53" s="372"/>
      <c r="N53" s="373"/>
      <c r="O53" s="382" t="s">
        <v>174</v>
      </c>
      <c r="P53" s="383"/>
      <c r="Q53" s="383"/>
      <c r="R53" s="383"/>
      <c r="S53" s="383"/>
      <c r="T53" s="384"/>
      <c r="U53" s="499">
        <v>30</v>
      </c>
      <c r="V53" s="500"/>
      <c r="W53" s="117" t="s">
        <v>4</v>
      </c>
      <c r="X53" s="136"/>
      <c r="Y53" s="111"/>
      <c r="Z53" s="138" t="s">
        <v>4</v>
      </c>
      <c r="AA53" s="379"/>
      <c r="AB53" s="380"/>
      <c r="AC53" s="90" t="s">
        <v>4</v>
      </c>
      <c r="AD53" s="399">
        <v>31</v>
      </c>
      <c r="AE53" s="400"/>
      <c r="AF53" s="400"/>
      <c r="AG53" s="112" t="s">
        <v>104</v>
      </c>
      <c r="AH53" s="112"/>
      <c r="AI53" s="400">
        <v>60</v>
      </c>
      <c r="AJ53" s="400"/>
      <c r="AK53" s="400"/>
      <c r="AL53" s="488" t="s">
        <v>105</v>
      </c>
      <c r="AM53" s="489"/>
      <c r="AO53" s="526"/>
      <c r="AP53" s="443"/>
      <c r="AQ53" s="207"/>
      <c r="AR53" s="207"/>
      <c r="AS53" s="207"/>
      <c r="AT53" s="224"/>
      <c r="AU53" s="215"/>
      <c r="AV53" s="215"/>
      <c r="AW53" s="215"/>
      <c r="AX53" s="212"/>
      <c r="AY53" s="212"/>
      <c r="AZ53" s="220"/>
      <c r="BA53" s="221"/>
      <c r="BB53" s="221"/>
      <c r="BC53" s="221"/>
      <c r="BD53" s="212"/>
      <c r="BE53" s="129"/>
      <c r="BF53" s="256"/>
      <c r="BG53" s="257"/>
      <c r="BH53" s="257"/>
      <c r="BI53" s="257"/>
      <c r="BJ53" s="257"/>
      <c r="BK53" s="257"/>
      <c r="BL53" s="257"/>
      <c r="BM53" s="257"/>
      <c r="BN53" s="257"/>
      <c r="BO53" s="257"/>
      <c r="BP53" s="257"/>
      <c r="BQ53" s="257"/>
      <c r="BR53" s="257"/>
      <c r="BS53" s="257"/>
      <c r="BT53" s="257"/>
      <c r="BU53" s="257"/>
      <c r="BV53" s="257"/>
      <c r="BW53" s="257"/>
      <c r="BX53" s="257"/>
      <c r="BY53" s="257"/>
      <c r="BZ53" s="258"/>
    </row>
    <row r="54" spans="2:78" ht="13.5" customHeight="1" x14ac:dyDescent="0.15">
      <c r="B54" s="339"/>
      <c r="C54" s="376"/>
      <c r="D54" s="377"/>
      <c r="E54" s="377"/>
      <c r="F54" s="377"/>
      <c r="G54" s="377"/>
      <c r="H54" s="377"/>
      <c r="I54" s="377"/>
      <c r="J54" s="377"/>
      <c r="K54" s="377"/>
      <c r="L54" s="377"/>
      <c r="M54" s="377"/>
      <c r="N54" s="378"/>
      <c r="O54" s="385"/>
      <c r="P54" s="386"/>
      <c r="Q54" s="386"/>
      <c r="R54" s="386"/>
      <c r="S54" s="386"/>
      <c r="T54" s="387"/>
      <c r="U54" s="505"/>
      <c r="V54" s="506"/>
      <c r="W54" s="129"/>
      <c r="X54" s="136"/>
      <c r="Y54" s="111"/>
      <c r="Z54" s="138"/>
      <c r="AA54" s="388"/>
      <c r="AB54" s="389"/>
      <c r="AC54" s="81" t="s">
        <v>106</v>
      </c>
      <c r="AD54" s="399"/>
      <c r="AE54" s="400"/>
      <c r="AF54" s="400"/>
      <c r="AG54" s="112"/>
      <c r="AH54" s="112"/>
      <c r="AI54" s="400"/>
      <c r="AJ54" s="400"/>
      <c r="AK54" s="400"/>
      <c r="AL54" s="488"/>
      <c r="AM54" s="489"/>
      <c r="AO54" s="526"/>
      <c r="AP54" s="441" t="s">
        <v>33</v>
      </c>
      <c r="AQ54" s="442"/>
      <c r="AR54" s="442"/>
      <c r="AS54" s="442"/>
      <c r="AT54" s="477">
        <f>IF(AND(AT46="",AT48="",AT50="",AT52=""),"",SUM(AT46:AW53))</f>
        <v>25</v>
      </c>
      <c r="AU54" s="478"/>
      <c r="AV54" s="478"/>
      <c r="AW54" s="478"/>
      <c r="AX54" s="116" t="s">
        <v>14</v>
      </c>
      <c r="AY54" s="116"/>
      <c r="AZ54" s="473">
        <f>IF(AND(AZ46="",AZ48="",AZ50="",AZ52=""),"",SUM(AZ46:AZ53))</f>
        <v>25</v>
      </c>
      <c r="BA54" s="474"/>
      <c r="BB54" s="474"/>
      <c r="BC54" s="474"/>
      <c r="BD54" s="116" t="s">
        <v>14</v>
      </c>
      <c r="BE54" s="117"/>
      <c r="BF54" s="256"/>
      <c r="BG54" s="257"/>
      <c r="BH54" s="257"/>
      <c r="BI54" s="257"/>
      <c r="BJ54" s="257"/>
      <c r="BK54" s="257"/>
      <c r="BL54" s="257"/>
      <c r="BM54" s="257"/>
      <c r="BN54" s="257"/>
      <c r="BO54" s="257"/>
      <c r="BP54" s="257"/>
      <c r="BQ54" s="257"/>
      <c r="BR54" s="257"/>
      <c r="BS54" s="257"/>
      <c r="BT54" s="257"/>
      <c r="BU54" s="257"/>
      <c r="BV54" s="257"/>
      <c r="BW54" s="257"/>
      <c r="BX54" s="257"/>
      <c r="BY54" s="257"/>
      <c r="BZ54" s="258"/>
    </row>
    <row r="55" spans="2:78" ht="13.5" customHeight="1" x14ac:dyDescent="0.15">
      <c r="B55" s="339"/>
      <c r="C55" s="482"/>
      <c r="D55" s="483"/>
      <c r="E55" s="483"/>
      <c r="F55" s="483"/>
      <c r="G55" s="483"/>
      <c r="H55" s="483"/>
      <c r="I55" s="483"/>
      <c r="J55" s="483"/>
      <c r="K55" s="483"/>
      <c r="L55" s="483"/>
      <c r="M55" s="483"/>
      <c r="N55" s="483"/>
      <c r="O55" s="212" t="s">
        <v>127</v>
      </c>
      <c r="P55" s="212"/>
      <c r="Q55" s="127"/>
      <c r="R55" s="127"/>
      <c r="S55" s="127"/>
      <c r="T55" s="129" t="s">
        <v>128</v>
      </c>
      <c r="U55" s="499"/>
      <c r="V55" s="500"/>
      <c r="W55" s="117" t="s">
        <v>4</v>
      </c>
      <c r="X55" s="136"/>
      <c r="Y55" s="111"/>
      <c r="Z55" s="138" t="s">
        <v>4</v>
      </c>
      <c r="AA55" s="379"/>
      <c r="AB55" s="380"/>
      <c r="AC55" s="90" t="s">
        <v>4</v>
      </c>
      <c r="AD55" s="399"/>
      <c r="AE55" s="400"/>
      <c r="AF55" s="400"/>
      <c r="AG55" s="112" t="s">
        <v>104</v>
      </c>
      <c r="AH55" s="112"/>
      <c r="AI55" s="400"/>
      <c r="AJ55" s="400"/>
      <c r="AK55" s="400"/>
      <c r="AL55" s="488" t="s">
        <v>105</v>
      </c>
      <c r="AM55" s="489"/>
      <c r="AO55" s="527"/>
      <c r="AP55" s="481"/>
      <c r="AQ55" s="415"/>
      <c r="AR55" s="415"/>
      <c r="AS55" s="415"/>
      <c r="AT55" s="479"/>
      <c r="AU55" s="480"/>
      <c r="AV55" s="480"/>
      <c r="AW55" s="480"/>
      <c r="AX55" s="452"/>
      <c r="AY55" s="452"/>
      <c r="AZ55" s="475"/>
      <c r="BA55" s="476"/>
      <c r="BB55" s="476"/>
      <c r="BC55" s="476"/>
      <c r="BD55" s="452"/>
      <c r="BE55" s="459"/>
      <c r="BF55" s="259"/>
      <c r="BG55" s="260"/>
      <c r="BH55" s="260"/>
      <c r="BI55" s="260"/>
      <c r="BJ55" s="260"/>
      <c r="BK55" s="260"/>
      <c r="BL55" s="260"/>
      <c r="BM55" s="260"/>
      <c r="BN55" s="260"/>
      <c r="BO55" s="260"/>
      <c r="BP55" s="260"/>
      <c r="BQ55" s="260"/>
      <c r="BR55" s="260"/>
      <c r="BS55" s="260"/>
      <c r="BT55" s="260"/>
      <c r="BU55" s="260"/>
      <c r="BV55" s="260"/>
      <c r="BW55" s="260"/>
      <c r="BX55" s="260"/>
      <c r="BY55" s="260"/>
      <c r="BZ55" s="261"/>
    </row>
    <row r="56" spans="2:78" ht="13.5" customHeight="1" x14ac:dyDescent="0.15">
      <c r="B56" s="340"/>
      <c r="C56" s="484"/>
      <c r="D56" s="485"/>
      <c r="E56" s="485"/>
      <c r="F56" s="485"/>
      <c r="G56" s="485"/>
      <c r="H56" s="485"/>
      <c r="I56" s="485"/>
      <c r="J56" s="485"/>
      <c r="K56" s="485"/>
      <c r="L56" s="485"/>
      <c r="M56" s="485"/>
      <c r="N56" s="485"/>
      <c r="O56" s="156"/>
      <c r="P56" s="156"/>
      <c r="Q56" s="128"/>
      <c r="R56" s="128"/>
      <c r="S56" s="128"/>
      <c r="T56" s="130"/>
      <c r="U56" s="501"/>
      <c r="V56" s="502"/>
      <c r="W56" s="459"/>
      <c r="X56" s="139"/>
      <c r="Y56" s="140"/>
      <c r="Z56" s="130"/>
      <c r="AA56" s="497"/>
      <c r="AB56" s="128"/>
      <c r="AC56" s="86" t="s">
        <v>106</v>
      </c>
      <c r="AD56" s="496"/>
      <c r="AE56" s="492"/>
      <c r="AF56" s="492"/>
      <c r="AG56" s="156"/>
      <c r="AH56" s="156"/>
      <c r="AI56" s="492"/>
      <c r="AJ56" s="492"/>
      <c r="AK56" s="492"/>
      <c r="AL56" s="490"/>
      <c r="AM56" s="491"/>
      <c r="AO56" s="289" t="s">
        <v>32</v>
      </c>
      <c r="AP56" s="290"/>
      <c r="AQ56" s="290"/>
      <c r="AR56" s="290"/>
      <c r="AS56" s="524"/>
      <c r="AT56" s="460">
        <f>IF(AT54="","",AT41-AT44-AT54)</f>
        <v>575</v>
      </c>
      <c r="AU56" s="461"/>
      <c r="AV56" s="461"/>
      <c r="AW56" s="461"/>
      <c r="AX56" s="168" t="s">
        <v>14</v>
      </c>
      <c r="AY56" s="209"/>
      <c r="AZ56" s="466">
        <f>IF(AZ54="","",AZ41-AZ44-AZ54)</f>
        <v>1375</v>
      </c>
      <c r="BA56" s="467"/>
      <c r="BB56" s="467"/>
      <c r="BC56" s="467"/>
      <c r="BD56" s="168" t="s">
        <v>14</v>
      </c>
      <c r="BE56" s="169"/>
      <c r="BF56" s="91" t="s">
        <v>31</v>
      </c>
      <c r="BG56" s="7"/>
      <c r="BH56" s="7"/>
      <c r="BI56" s="7"/>
      <c r="BJ56" s="7"/>
      <c r="BK56" s="7"/>
      <c r="BL56" s="7"/>
      <c r="BM56" s="7"/>
      <c r="BN56" s="7"/>
      <c r="BO56" s="7"/>
      <c r="BP56" s="7"/>
      <c r="BQ56" s="7"/>
      <c r="BR56" s="7"/>
      <c r="BS56" s="7"/>
      <c r="BT56" s="7"/>
      <c r="BU56" s="107"/>
      <c r="BV56" s="107"/>
      <c r="BW56" s="107"/>
      <c r="BX56" s="107"/>
      <c r="BY56" s="107"/>
      <c r="BZ56" s="107"/>
    </row>
    <row r="57" spans="2:78" ht="13.5" customHeight="1" x14ac:dyDescent="0.15">
      <c r="B57" s="486" t="s">
        <v>107</v>
      </c>
      <c r="C57" s="420" t="s">
        <v>175</v>
      </c>
      <c r="D57" s="421"/>
      <c r="E57" s="421"/>
      <c r="F57" s="421"/>
      <c r="G57" s="421"/>
      <c r="H57" s="421"/>
      <c r="I57" s="421"/>
      <c r="J57" s="421"/>
      <c r="K57" s="421"/>
      <c r="L57" s="421"/>
      <c r="M57" s="421"/>
      <c r="N57" s="422"/>
      <c r="O57" s="517" t="s">
        <v>176</v>
      </c>
      <c r="P57" s="518"/>
      <c r="Q57" s="518"/>
      <c r="R57" s="518"/>
      <c r="S57" s="518"/>
      <c r="T57" s="519"/>
      <c r="U57" s="503">
        <v>80</v>
      </c>
      <c r="V57" s="504"/>
      <c r="W57" s="209" t="s">
        <v>4</v>
      </c>
      <c r="X57" s="141"/>
      <c r="Y57" s="142"/>
      <c r="Z57" s="129" t="s">
        <v>4</v>
      </c>
      <c r="AA57" s="370"/>
      <c r="AB57" s="127"/>
      <c r="AC57" s="65" t="s">
        <v>4</v>
      </c>
      <c r="AD57" s="388">
        <v>31</v>
      </c>
      <c r="AE57" s="389"/>
      <c r="AF57" s="389"/>
      <c r="AG57" s="212" t="s">
        <v>104</v>
      </c>
      <c r="AH57" s="212"/>
      <c r="AI57" s="389">
        <v>30</v>
      </c>
      <c r="AJ57" s="389"/>
      <c r="AK57" s="389"/>
      <c r="AL57" s="510" t="s">
        <v>108</v>
      </c>
      <c r="AM57" s="511"/>
      <c r="AO57" s="292"/>
      <c r="AP57" s="293"/>
      <c r="AQ57" s="293"/>
      <c r="AR57" s="293"/>
      <c r="AS57" s="525"/>
      <c r="AT57" s="462"/>
      <c r="AU57" s="463"/>
      <c r="AV57" s="463"/>
      <c r="AW57" s="463"/>
      <c r="AX57" s="210"/>
      <c r="AY57" s="211"/>
      <c r="AZ57" s="468"/>
      <c r="BA57" s="469"/>
      <c r="BB57" s="469"/>
      <c r="BC57" s="469"/>
      <c r="BD57" s="210"/>
      <c r="BE57" s="231"/>
      <c r="BF57" s="508"/>
      <c r="BG57" s="509"/>
      <c r="BH57" s="509"/>
      <c r="BI57" s="509"/>
      <c r="BJ57" s="509"/>
      <c r="BK57" s="509"/>
      <c r="BL57" s="509"/>
      <c r="BM57" s="509"/>
      <c r="BN57" s="509"/>
      <c r="BO57" s="509"/>
      <c r="BP57" s="509"/>
      <c r="BQ57" s="509"/>
      <c r="BR57" s="509"/>
      <c r="BS57" s="509"/>
      <c r="BT57" s="509"/>
      <c r="BU57" s="509"/>
      <c r="BV57" s="509"/>
      <c r="BW57" s="509"/>
      <c r="BX57" s="509"/>
      <c r="BY57" s="509"/>
      <c r="BZ57" s="509"/>
    </row>
    <row r="58" spans="2:78" ht="13.5" customHeight="1" x14ac:dyDescent="0.15">
      <c r="B58" s="339"/>
      <c r="C58" s="376"/>
      <c r="D58" s="377"/>
      <c r="E58" s="377"/>
      <c r="F58" s="377"/>
      <c r="G58" s="377"/>
      <c r="H58" s="377"/>
      <c r="I58" s="377"/>
      <c r="J58" s="377"/>
      <c r="K58" s="377"/>
      <c r="L58" s="377"/>
      <c r="M58" s="377"/>
      <c r="N58" s="378"/>
      <c r="O58" s="520"/>
      <c r="P58" s="521"/>
      <c r="Q58" s="521"/>
      <c r="R58" s="521"/>
      <c r="S58" s="521"/>
      <c r="T58" s="522"/>
      <c r="U58" s="505"/>
      <c r="V58" s="506"/>
      <c r="W58" s="129"/>
      <c r="X58" s="136"/>
      <c r="Y58" s="111"/>
      <c r="Z58" s="138"/>
      <c r="AA58" s="370"/>
      <c r="AB58" s="127"/>
      <c r="AC58" s="85" t="s">
        <v>106</v>
      </c>
      <c r="AD58" s="379"/>
      <c r="AE58" s="380"/>
      <c r="AF58" s="380"/>
      <c r="AG58" s="116"/>
      <c r="AH58" s="116"/>
      <c r="AI58" s="380"/>
      <c r="AJ58" s="380"/>
      <c r="AK58" s="380"/>
      <c r="AL58" s="353"/>
      <c r="AM58" s="512"/>
      <c r="AO58" s="295" t="s">
        <v>30</v>
      </c>
      <c r="AP58" s="296"/>
      <c r="AQ58" s="296"/>
      <c r="AR58" s="296"/>
      <c r="AS58" s="513"/>
      <c r="AT58" s="464"/>
      <c r="AU58" s="465"/>
      <c r="AV58" s="465"/>
      <c r="AW58" s="465"/>
      <c r="AX58" s="452"/>
      <c r="AY58" s="459"/>
      <c r="AZ58" s="470"/>
      <c r="BA58" s="471"/>
      <c r="BB58" s="471"/>
      <c r="BC58" s="471"/>
      <c r="BD58" s="452"/>
      <c r="BE58" s="453"/>
      <c r="BF58" s="508"/>
      <c r="BG58" s="509"/>
      <c r="BH58" s="509"/>
      <c r="BI58" s="509"/>
      <c r="BJ58" s="509"/>
      <c r="BK58" s="509"/>
      <c r="BL58" s="509"/>
      <c r="BM58" s="509"/>
      <c r="BN58" s="509"/>
      <c r="BO58" s="509"/>
      <c r="BP58" s="509"/>
      <c r="BQ58" s="509"/>
      <c r="BR58" s="509"/>
      <c r="BS58" s="509"/>
      <c r="BT58" s="509"/>
      <c r="BU58" s="509"/>
      <c r="BV58" s="509"/>
      <c r="BW58" s="509"/>
      <c r="BX58" s="509"/>
      <c r="BY58" s="509"/>
      <c r="BZ58" s="509"/>
    </row>
    <row r="59" spans="2:78" ht="13.5" customHeight="1" x14ac:dyDescent="0.15">
      <c r="B59" s="339"/>
      <c r="C59" s="371" t="s">
        <v>178</v>
      </c>
      <c r="D59" s="372"/>
      <c r="E59" s="372"/>
      <c r="F59" s="372"/>
      <c r="G59" s="372"/>
      <c r="H59" s="372"/>
      <c r="I59" s="372"/>
      <c r="J59" s="372"/>
      <c r="K59" s="372"/>
      <c r="L59" s="372"/>
      <c r="M59" s="372"/>
      <c r="N59" s="373"/>
      <c r="O59" s="382" t="s">
        <v>177</v>
      </c>
      <c r="P59" s="383"/>
      <c r="Q59" s="383"/>
      <c r="R59" s="383"/>
      <c r="S59" s="383"/>
      <c r="T59" s="384"/>
      <c r="U59" s="499">
        <v>20</v>
      </c>
      <c r="V59" s="500"/>
      <c r="W59" s="117" t="s">
        <v>4</v>
      </c>
      <c r="X59" s="136"/>
      <c r="Y59" s="111"/>
      <c r="Z59" s="138" t="s">
        <v>4</v>
      </c>
      <c r="AA59" s="379"/>
      <c r="AB59" s="380"/>
      <c r="AC59" s="90" t="s">
        <v>4</v>
      </c>
      <c r="AD59" s="399">
        <v>31</v>
      </c>
      <c r="AE59" s="400"/>
      <c r="AF59" s="400"/>
      <c r="AG59" s="112" t="s">
        <v>104</v>
      </c>
      <c r="AH59" s="112"/>
      <c r="AI59" s="400">
        <v>30</v>
      </c>
      <c r="AJ59" s="400"/>
      <c r="AK59" s="400"/>
      <c r="AL59" s="488" t="s">
        <v>108</v>
      </c>
      <c r="AM59" s="489"/>
      <c r="AO59" s="8" t="s">
        <v>133</v>
      </c>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row>
    <row r="60" spans="2:78" ht="13.5" customHeight="1" x14ac:dyDescent="0.15">
      <c r="B60" s="339"/>
      <c r="C60" s="376"/>
      <c r="D60" s="377"/>
      <c r="E60" s="377"/>
      <c r="F60" s="377"/>
      <c r="G60" s="377"/>
      <c r="H60" s="377"/>
      <c r="I60" s="377"/>
      <c r="J60" s="377"/>
      <c r="K60" s="377"/>
      <c r="L60" s="377"/>
      <c r="M60" s="377"/>
      <c r="N60" s="378"/>
      <c r="O60" s="385"/>
      <c r="P60" s="386"/>
      <c r="Q60" s="386"/>
      <c r="R60" s="386"/>
      <c r="S60" s="386"/>
      <c r="T60" s="387"/>
      <c r="U60" s="505"/>
      <c r="V60" s="506"/>
      <c r="W60" s="129"/>
      <c r="X60" s="136"/>
      <c r="Y60" s="111"/>
      <c r="Z60" s="138"/>
      <c r="AA60" s="388"/>
      <c r="AB60" s="389"/>
      <c r="AC60" s="81" t="s">
        <v>106</v>
      </c>
      <c r="AD60" s="399"/>
      <c r="AE60" s="400"/>
      <c r="AF60" s="400"/>
      <c r="AG60" s="112"/>
      <c r="AH60" s="112"/>
      <c r="AI60" s="400"/>
      <c r="AJ60" s="400"/>
      <c r="AK60" s="400"/>
      <c r="AL60" s="488"/>
      <c r="AM60" s="489"/>
      <c r="AO60" s="51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5"/>
    </row>
    <row r="61" spans="2:78" ht="13.5" customHeight="1" x14ac:dyDescent="0.15">
      <c r="B61" s="339"/>
      <c r="C61" s="482"/>
      <c r="D61" s="483"/>
      <c r="E61" s="483"/>
      <c r="F61" s="483"/>
      <c r="G61" s="483"/>
      <c r="H61" s="483"/>
      <c r="I61" s="483"/>
      <c r="J61" s="483"/>
      <c r="K61" s="483"/>
      <c r="L61" s="483"/>
      <c r="M61" s="483"/>
      <c r="N61" s="483"/>
      <c r="O61" s="212" t="s">
        <v>127</v>
      </c>
      <c r="P61" s="212"/>
      <c r="Q61" s="127"/>
      <c r="R61" s="127"/>
      <c r="S61" s="127"/>
      <c r="T61" s="129" t="s">
        <v>128</v>
      </c>
      <c r="U61" s="499"/>
      <c r="V61" s="500"/>
      <c r="W61" s="117" t="s">
        <v>4</v>
      </c>
      <c r="X61" s="136"/>
      <c r="Y61" s="111"/>
      <c r="Z61" s="138" t="s">
        <v>4</v>
      </c>
      <c r="AA61" s="379"/>
      <c r="AB61" s="380"/>
      <c r="AC61" s="90" t="s">
        <v>4</v>
      </c>
      <c r="AD61" s="399"/>
      <c r="AE61" s="400"/>
      <c r="AF61" s="400"/>
      <c r="AG61" s="112" t="s">
        <v>104</v>
      </c>
      <c r="AH61" s="112"/>
      <c r="AI61" s="400"/>
      <c r="AJ61" s="400"/>
      <c r="AK61" s="400"/>
      <c r="AL61" s="488" t="s">
        <v>108</v>
      </c>
      <c r="AM61" s="489"/>
      <c r="AO61" s="515"/>
      <c r="AP61" s="257"/>
      <c r="AQ61" s="257"/>
      <c r="AR61" s="257"/>
      <c r="AS61" s="257"/>
      <c r="AT61" s="257"/>
      <c r="AU61" s="257"/>
      <c r="AV61" s="257"/>
      <c r="AW61" s="257"/>
      <c r="AX61" s="257"/>
      <c r="AY61" s="257"/>
      <c r="AZ61" s="257"/>
      <c r="BA61" s="257"/>
      <c r="BB61" s="257"/>
      <c r="BC61" s="257"/>
      <c r="BD61" s="257"/>
      <c r="BE61" s="257"/>
      <c r="BF61" s="257"/>
      <c r="BG61" s="257"/>
      <c r="BH61" s="257"/>
      <c r="BI61" s="257"/>
      <c r="BJ61" s="257"/>
      <c r="BK61" s="257"/>
      <c r="BL61" s="257"/>
      <c r="BM61" s="257"/>
      <c r="BN61" s="257"/>
      <c r="BO61" s="257"/>
      <c r="BP61" s="257"/>
      <c r="BQ61" s="257"/>
      <c r="BR61" s="257"/>
      <c r="BS61" s="257"/>
      <c r="BT61" s="257"/>
      <c r="BU61" s="257"/>
      <c r="BV61" s="257"/>
      <c r="BW61" s="257"/>
      <c r="BX61" s="257"/>
      <c r="BY61" s="257"/>
      <c r="BZ61" s="258"/>
    </row>
    <row r="62" spans="2:78" ht="13.5" customHeight="1" x14ac:dyDescent="0.15">
      <c r="B62" s="340"/>
      <c r="C62" s="484"/>
      <c r="D62" s="485"/>
      <c r="E62" s="485"/>
      <c r="F62" s="485"/>
      <c r="G62" s="485"/>
      <c r="H62" s="485"/>
      <c r="I62" s="485"/>
      <c r="J62" s="485"/>
      <c r="K62" s="485"/>
      <c r="L62" s="485"/>
      <c r="M62" s="485"/>
      <c r="N62" s="485"/>
      <c r="O62" s="156"/>
      <c r="P62" s="156"/>
      <c r="Q62" s="128"/>
      <c r="R62" s="128"/>
      <c r="S62" s="128"/>
      <c r="T62" s="130"/>
      <c r="U62" s="501"/>
      <c r="V62" s="502"/>
      <c r="W62" s="459"/>
      <c r="X62" s="139"/>
      <c r="Y62" s="140"/>
      <c r="Z62" s="130"/>
      <c r="AA62" s="497"/>
      <c r="AB62" s="128"/>
      <c r="AC62" s="86" t="s">
        <v>106</v>
      </c>
      <c r="AD62" s="496"/>
      <c r="AE62" s="492"/>
      <c r="AF62" s="492"/>
      <c r="AG62" s="156"/>
      <c r="AH62" s="156"/>
      <c r="AI62" s="492"/>
      <c r="AJ62" s="492"/>
      <c r="AK62" s="492"/>
      <c r="AL62" s="490"/>
      <c r="AM62" s="491"/>
      <c r="AO62" s="515"/>
      <c r="AP62" s="257"/>
      <c r="AQ62" s="257"/>
      <c r="AR62" s="257"/>
      <c r="AS62" s="257"/>
      <c r="AT62" s="257"/>
      <c r="AU62" s="257"/>
      <c r="AV62" s="257"/>
      <c r="AW62" s="257"/>
      <c r="AX62" s="257"/>
      <c r="AY62" s="257"/>
      <c r="AZ62" s="257"/>
      <c r="BA62" s="257"/>
      <c r="BB62" s="257"/>
      <c r="BC62" s="257"/>
      <c r="BD62" s="257"/>
      <c r="BE62" s="257"/>
      <c r="BF62" s="257"/>
      <c r="BG62" s="257"/>
      <c r="BH62" s="257"/>
      <c r="BI62" s="257"/>
      <c r="BJ62" s="257"/>
      <c r="BK62" s="257"/>
      <c r="BL62" s="257"/>
      <c r="BM62" s="257"/>
      <c r="BN62" s="257"/>
      <c r="BO62" s="257"/>
      <c r="BP62" s="257"/>
      <c r="BQ62" s="257"/>
      <c r="BR62" s="257"/>
      <c r="BS62" s="257"/>
      <c r="BT62" s="257"/>
      <c r="BU62" s="257"/>
      <c r="BV62" s="257"/>
      <c r="BW62" s="257"/>
      <c r="BX62" s="257"/>
      <c r="BY62" s="257"/>
      <c r="BZ62" s="258"/>
    </row>
    <row r="63" spans="2:78" ht="13.5" customHeight="1" x14ac:dyDescent="0.15">
      <c r="B63" s="486" t="s">
        <v>109</v>
      </c>
      <c r="C63" s="420" t="s">
        <v>179</v>
      </c>
      <c r="D63" s="421"/>
      <c r="E63" s="421"/>
      <c r="F63" s="421"/>
      <c r="G63" s="421"/>
      <c r="H63" s="421"/>
      <c r="I63" s="421"/>
      <c r="J63" s="421"/>
      <c r="K63" s="421"/>
      <c r="L63" s="421"/>
      <c r="M63" s="421"/>
      <c r="N63" s="422"/>
      <c r="O63" s="517" t="s">
        <v>180</v>
      </c>
      <c r="P63" s="518"/>
      <c r="Q63" s="518"/>
      <c r="R63" s="518"/>
      <c r="S63" s="518"/>
      <c r="T63" s="519"/>
      <c r="U63" s="503"/>
      <c r="V63" s="504"/>
      <c r="W63" s="209" t="s">
        <v>4</v>
      </c>
      <c r="X63" s="141"/>
      <c r="Y63" s="142"/>
      <c r="Z63" s="129" t="s">
        <v>4</v>
      </c>
      <c r="AA63" s="423"/>
      <c r="AB63" s="424"/>
      <c r="AC63" s="77" t="s">
        <v>4</v>
      </c>
      <c r="AD63" s="498">
        <v>31</v>
      </c>
      <c r="AE63" s="458"/>
      <c r="AF63" s="458"/>
      <c r="AG63" s="177" t="s">
        <v>104</v>
      </c>
      <c r="AH63" s="177"/>
      <c r="AI63" s="458">
        <v>30</v>
      </c>
      <c r="AJ63" s="458"/>
      <c r="AK63" s="458"/>
      <c r="AL63" s="493" t="s">
        <v>108</v>
      </c>
      <c r="AM63" s="494"/>
      <c r="AO63" s="515"/>
      <c r="AP63" s="257"/>
      <c r="AQ63" s="257"/>
      <c r="AR63" s="257"/>
      <c r="AS63" s="257"/>
      <c r="AT63" s="257"/>
      <c r="AU63" s="257"/>
      <c r="AV63" s="257"/>
      <c r="AW63" s="257"/>
      <c r="AX63" s="257"/>
      <c r="AY63" s="257"/>
      <c r="AZ63" s="257"/>
      <c r="BA63" s="257"/>
      <c r="BB63" s="257"/>
      <c r="BC63" s="257"/>
      <c r="BD63" s="257"/>
      <c r="BE63" s="257"/>
      <c r="BF63" s="257"/>
      <c r="BG63" s="257"/>
      <c r="BH63" s="257"/>
      <c r="BI63" s="257"/>
      <c r="BJ63" s="257"/>
      <c r="BK63" s="257"/>
      <c r="BL63" s="257"/>
      <c r="BM63" s="257"/>
      <c r="BN63" s="257"/>
      <c r="BO63" s="257"/>
      <c r="BP63" s="257"/>
      <c r="BQ63" s="257"/>
      <c r="BR63" s="257"/>
      <c r="BS63" s="257"/>
      <c r="BT63" s="257"/>
      <c r="BU63" s="257"/>
      <c r="BV63" s="257"/>
      <c r="BW63" s="257"/>
      <c r="BX63" s="257"/>
      <c r="BY63" s="257"/>
      <c r="BZ63" s="258"/>
    </row>
    <row r="64" spans="2:78" ht="13.5" customHeight="1" x14ac:dyDescent="0.15">
      <c r="B64" s="339"/>
      <c r="C64" s="376"/>
      <c r="D64" s="377"/>
      <c r="E64" s="377"/>
      <c r="F64" s="377"/>
      <c r="G64" s="377"/>
      <c r="H64" s="377"/>
      <c r="I64" s="377"/>
      <c r="J64" s="377"/>
      <c r="K64" s="377"/>
      <c r="L64" s="377"/>
      <c r="M64" s="377"/>
      <c r="N64" s="378"/>
      <c r="O64" s="385"/>
      <c r="P64" s="386"/>
      <c r="Q64" s="386"/>
      <c r="R64" s="386"/>
      <c r="S64" s="386"/>
      <c r="T64" s="387"/>
      <c r="U64" s="505"/>
      <c r="V64" s="506"/>
      <c r="W64" s="129"/>
      <c r="X64" s="136"/>
      <c r="Y64" s="111"/>
      <c r="Z64" s="138"/>
      <c r="AA64" s="388"/>
      <c r="AB64" s="389"/>
      <c r="AC64" s="81" t="s">
        <v>106</v>
      </c>
      <c r="AD64" s="399"/>
      <c r="AE64" s="400"/>
      <c r="AF64" s="400"/>
      <c r="AG64" s="112"/>
      <c r="AH64" s="112"/>
      <c r="AI64" s="400"/>
      <c r="AJ64" s="400"/>
      <c r="AK64" s="400"/>
      <c r="AL64" s="488"/>
      <c r="AM64" s="489"/>
      <c r="AO64" s="515"/>
      <c r="AP64" s="257"/>
      <c r="AQ64" s="257"/>
      <c r="AR64" s="257"/>
      <c r="AS64" s="257"/>
      <c r="AT64" s="257"/>
      <c r="AU64" s="257"/>
      <c r="AV64" s="257"/>
      <c r="AW64" s="257"/>
      <c r="AX64" s="257"/>
      <c r="AY64" s="257"/>
      <c r="AZ64" s="257"/>
      <c r="BA64" s="257"/>
      <c r="BB64" s="257"/>
      <c r="BC64" s="257"/>
      <c r="BD64" s="257"/>
      <c r="BE64" s="257"/>
      <c r="BF64" s="257"/>
      <c r="BG64" s="257"/>
      <c r="BH64" s="257"/>
      <c r="BI64" s="257"/>
      <c r="BJ64" s="257"/>
      <c r="BK64" s="257"/>
      <c r="BL64" s="257"/>
      <c r="BM64" s="257"/>
      <c r="BN64" s="257"/>
      <c r="BO64" s="257"/>
      <c r="BP64" s="257"/>
      <c r="BQ64" s="257"/>
      <c r="BR64" s="257"/>
      <c r="BS64" s="257"/>
      <c r="BT64" s="257"/>
      <c r="BU64" s="257"/>
      <c r="BV64" s="257"/>
      <c r="BW64" s="257"/>
      <c r="BX64" s="257"/>
      <c r="BY64" s="257"/>
      <c r="BZ64" s="258"/>
    </row>
    <row r="65" spans="2:78" ht="13.5" customHeight="1" x14ac:dyDescent="0.15">
      <c r="B65" s="339"/>
      <c r="C65" s="482"/>
      <c r="D65" s="483"/>
      <c r="E65" s="483"/>
      <c r="F65" s="483"/>
      <c r="G65" s="483"/>
      <c r="H65" s="483"/>
      <c r="I65" s="483"/>
      <c r="J65" s="483"/>
      <c r="K65" s="483"/>
      <c r="L65" s="483"/>
      <c r="M65" s="483"/>
      <c r="N65" s="483"/>
      <c r="O65" s="212" t="s">
        <v>127</v>
      </c>
      <c r="P65" s="212"/>
      <c r="Q65" s="127"/>
      <c r="R65" s="127"/>
      <c r="S65" s="127"/>
      <c r="T65" s="129" t="s">
        <v>128</v>
      </c>
      <c r="U65" s="499"/>
      <c r="V65" s="500"/>
      <c r="W65" s="117" t="s">
        <v>4</v>
      </c>
      <c r="X65" s="136"/>
      <c r="Y65" s="111"/>
      <c r="Z65" s="138" t="s">
        <v>4</v>
      </c>
      <c r="AA65" s="370"/>
      <c r="AB65" s="127"/>
      <c r="AC65" s="65" t="s">
        <v>4</v>
      </c>
      <c r="AD65" s="388"/>
      <c r="AE65" s="389"/>
      <c r="AF65" s="389"/>
      <c r="AG65" s="212" t="s">
        <v>104</v>
      </c>
      <c r="AH65" s="212"/>
      <c r="AI65" s="389"/>
      <c r="AJ65" s="389"/>
      <c r="AK65" s="389"/>
      <c r="AL65" s="510" t="s">
        <v>108</v>
      </c>
      <c r="AM65" s="511"/>
      <c r="AO65" s="515"/>
      <c r="AP65" s="257"/>
      <c r="AQ65" s="257"/>
      <c r="AR65" s="257"/>
      <c r="AS65" s="257"/>
      <c r="AT65" s="257"/>
      <c r="AU65" s="257"/>
      <c r="AV65" s="257"/>
      <c r="AW65" s="257"/>
      <c r="AX65" s="257"/>
      <c r="AY65" s="257"/>
      <c r="AZ65" s="257"/>
      <c r="BA65" s="257"/>
      <c r="BB65" s="257"/>
      <c r="BC65" s="257"/>
      <c r="BD65" s="257"/>
      <c r="BE65" s="257"/>
      <c r="BF65" s="257"/>
      <c r="BG65" s="257"/>
      <c r="BH65" s="257"/>
      <c r="BI65" s="257"/>
      <c r="BJ65" s="257"/>
      <c r="BK65" s="257"/>
      <c r="BL65" s="257"/>
      <c r="BM65" s="257"/>
      <c r="BN65" s="257"/>
      <c r="BO65" s="257"/>
      <c r="BP65" s="257"/>
      <c r="BQ65" s="257"/>
      <c r="BR65" s="257"/>
      <c r="BS65" s="257"/>
      <c r="BT65" s="257"/>
      <c r="BU65" s="257"/>
      <c r="BV65" s="257"/>
      <c r="BW65" s="257"/>
      <c r="BX65" s="257"/>
      <c r="BY65" s="257"/>
      <c r="BZ65" s="258"/>
    </row>
    <row r="66" spans="2:78" ht="13.5" customHeight="1" x14ac:dyDescent="0.15">
      <c r="B66" s="340"/>
      <c r="C66" s="484"/>
      <c r="D66" s="485"/>
      <c r="E66" s="485"/>
      <c r="F66" s="485"/>
      <c r="G66" s="485"/>
      <c r="H66" s="485"/>
      <c r="I66" s="485"/>
      <c r="J66" s="485"/>
      <c r="K66" s="485"/>
      <c r="L66" s="485"/>
      <c r="M66" s="485"/>
      <c r="N66" s="485"/>
      <c r="O66" s="156"/>
      <c r="P66" s="156"/>
      <c r="Q66" s="128"/>
      <c r="R66" s="128"/>
      <c r="S66" s="128"/>
      <c r="T66" s="130"/>
      <c r="U66" s="501"/>
      <c r="V66" s="502"/>
      <c r="W66" s="459"/>
      <c r="X66" s="139"/>
      <c r="Y66" s="140"/>
      <c r="Z66" s="130"/>
      <c r="AA66" s="388"/>
      <c r="AB66" s="389"/>
      <c r="AC66" s="81" t="s">
        <v>106</v>
      </c>
      <c r="AD66" s="496"/>
      <c r="AE66" s="492"/>
      <c r="AF66" s="492"/>
      <c r="AG66" s="156"/>
      <c r="AH66" s="156"/>
      <c r="AI66" s="492"/>
      <c r="AJ66" s="492"/>
      <c r="AK66" s="492"/>
      <c r="AL66" s="490"/>
      <c r="AM66" s="491"/>
      <c r="AO66" s="515"/>
      <c r="AP66" s="257"/>
      <c r="AQ66" s="257"/>
      <c r="AR66" s="257"/>
      <c r="AS66" s="257"/>
      <c r="AT66" s="257"/>
      <c r="AU66" s="257"/>
      <c r="AV66" s="257"/>
      <c r="AW66" s="257"/>
      <c r="AX66" s="257"/>
      <c r="AY66" s="257"/>
      <c r="AZ66" s="257"/>
      <c r="BA66" s="257"/>
      <c r="BB66" s="257"/>
      <c r="BC66" s="257"/>
      <c r="BD66" s="257"/>
      <c r="BE66" s="257"/>
      <c r="BF66" s="257"/>
      <c r="BG66" s="257"/>
      <c r="BH66" s="257"/>
      <c r="BI66" s="257"/>
      <c r="BJ66" s="257"/>
      <c r="BK66" s="257"/>
      <c r="BL66" s="257"/>
      <c r="BM66" s="257"/>
      <c r="BN66" s="257"/>
      <c r="BO66" s="257"/>
      <c r="BP66" s="257"/>
      <c r="BQ66" s="257"/>
      <c r="BR66" s="257"/>
      <c r="BS66" s="257"/>
      <c r="BT66" s="257"/>
      <c r="BU66" s="257"/>
      <c r="BV66" s="257"/>
      <c r="BW66" s="257"/>
      <c r="BX66" s="257"/>
      <c r="BY66" s="257"/>
      <c r="BZ66" s="258"/>
    </row>
    <row r="67" spans="2:78" x14ac:dyDescent="0.15">
      <c r="B67" s="283" t="s">
        <v>13</v>
      </c>
      <c r="C67" s="284"/>
      <c r="D67" s="284"/>
      <c r="E67" s="284"/>
      <c r="F67" s="285"/>
      <c r="G67" s="507"/>
      <c r="H67" s="487"/>
      <c r="I67" s="487"/>
      <c r="J67" s="487"/>
      <c r="K67" s="232" t="s">
        <v>5</v>
      </c>
      <c r="L67" s="232"/>
      <c r="M67" s="487"/>
      <c r="N67" s="487"/>
      <c r="O67" s="487"/>
      <c r="P67" s="487"/>
      <c r="Q67" s="487"/>
      <c r="R67" s="487"/>
      <c r="S67" s="495" t="s">
        <v>12</v>
      </c>
      <c r="T67" s="495"/>
      <c r="U67" s="495"/>
      <c r="V67" s="495"/>
      <c r="W67" s="495"/>
      <c r="X67" s="495"/>
      <c r="Y67" s="495"/>
      <c r="Z67" s="495"/>
      <c r="AA67" s="495"/>
      <c r="AB67" s="487"/>
      <c r="AC67" s="487"/>
      <c r="AD67" s="487"/>
      <c r="AE67" s="487"/>
      <c r="AF67" s="232" t="s">
        <v>6</v>
      </c>
      <c r="AG67" s="232"/>
      <c r="AH67" s="487"/>
      <c r="AI67" s="487"/>
      <c r="AJ67" s="487"/>
      <c r="AK67" s="487"/>
      <c r="AL67" s="232" t="s">
        <v>11</v>
      </c>
      <c r="AM67" s="233"/>
      <c r="AO67" s="516"/>
      <c r="AP67" s="260"/>
      <c r="AQ67" s="260"/>
      <c r="AR67" s="260"/>
      <c r="AS67" s="260"/>
      <c r="AT67" s="260"/>
      <c r="AU67" s="260"/>
      <c r="AV67" s="260"/>
      <c r="AW67" s="260"/>
      <c r="AX67" s="260"/>
      <c r="AY67" s="260"/>
      <c r="AZ67" s="260"/>
      <c r="BA67" s="260"/>
      <c r="BB67" s="260"/>
      <c r="BC67" s="260"/>
      <c r="BD67" s="260"/>
      <c r="BE67" s="260"/>
      <c r="BF67" s="260"/>
      <c r="BG67" s="260"/>
      <c r="BH67" s="260"/>
      <c r="BI67" s="260"/>
      <c r="BJ67" s="260"/>
      <c r="BK67" s="260"/>
      <c r="BL67" s="260"/>
      <c r="BM67" s="260"/>
      <c r="BN67" s="260"/>
      <c r="BO67" s="260"/>
      <c r="BP67" s="260"/>
      <c r="BQ67" s="260"/>
      <c r="BR67" s="260"/>
      <c r="BS67" s="260"/>
      <c r="BT67" s="260"/>
      <c r="BU67" s="260"/>
      <c r="BV67" s="260"/>
      <c r="BW67" s="260"/>
      <c r="BX67" s="260"/>
      <c r="BY67" s="260"/>
      <c r="BZ67" s="261"/>
    </row>
    <row r="68" spans="2:78" x14ac:dyDescent="0.15">
      <c r="AO68" s="108" t="s">
        <v>100</v>
      </c>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row>
    <row r="69" spans="2:78" x14ac:dyDescent="0.15">
      <c r="BZ69" s="109" t="s">
        <v>57</v>
      </c>
    </row>
    <row r="70" spans="2:78" x14ac:dyDescent="0.15">
      <c r="AV70"/>
      <c r="AW70"/>
      <c r="AX70"/>
      <c r="AY70"/>
      <c r="AZ70"/>
      <c r="BA70"/>
      <c r="BB70"/>
      <c r="BC70"/>
      <c r="BD70"/>
      <c r="BE70"/>
      <c r="BF70"/>
      <c r="BG70"/>
      <c r="BH70"/>
      <c r="BI70"/>
      <c r="BJ70"/>
      <c r="BK70"/>
      <c r="BL70"/>
      <c r="BM70"/>
      <c r="BN70"/>
      <c r="BO70"/>
      <c r="BP70"/>
      <c r="BQ70"/>
      <c r="BR70"/>
      <c r="BS70"/>
      <c r="BT70"/>
    </row>
    <row r="71" spans="2:78" x14ac:dyDescent="0.15">
      <c r="AV71"/>
      <c r="AW71"/>
      <c r="AX71"/>
      <c r="AY71"/>
      <c r="AZ71"/>
      <c r="BA71"/>
      <c r="BB71"/>
      <c r="BC71"/>
      <c r="BD71"/>
      <c r="BE71"/>
      <c r="BF71"/>
      <c r="BG71"/>
      <c r="BH71"/>
      <c r="BI71"/>
      <c r="BJ71"/>
      <c r="BK71"/>
      <c r="BL71"/>
      <c r="BM71"/>
      <c r="BN71"/>
      <c r="BO71"/>
      <c r="BP71"/>
      <c r="BQ71"/>
      <c r="BR71"/>
      <c r="BS71"/>
      <c r="BT71"/>
    </row>
    <row r="72" spans="2:78" x14ac:dyDescent="0.15">
      <c r="AV72"/>
      <c r="AW72"/>
      <c r="AX72"/>
      <c r="AY72"/>
      <c r="AZ72"/>
      <c r="BA72"/>
      <c r="BB72"/>
      <c r="BC72"/>
      <c r="BD72"/>
      <c r="BE72"/>
      <c r="BF72"/>
      <c r="BG72"/>
      <c r="BH72"/>
      <c r="BI72"/>
      <c r="BJ72"/>
      <c r="BK72"/>
      <c r="BL72"/>
      <c r="BM72"/>
      <c r="BN72"/>
      <c r="BO72"/>
      <c r="BP72"/>
      <c r="BQ72"/>
      <c r="BR72"/>
      <c r="BS72"/>
      <c r="BT72"/>
    </row>
    <row r="73" spans="2:78" x14ac:dyDescent="0.15">
      <c r="AV73"/>
      <c r="AW73"/>
      <c r="AX73"/>
      <c r="AY73"/>
      <c r="AZ73"/>
      <c r="BA73"/>
      <c r="BB73"/>
      <c r="BC73"/>
      <c r="BD73"/>
      <c r="BE73"/>
      <c r="BF73"/>
      <c r="BG73"/>
      <c r="BH73"/>
      <c r="BI73"/>
      <c r="BJ73"/>
      <c r="BK73"/>
      <c r="BL73"/>
      <c r="BM73"/>
      <c r="BN73"/>
      <c r="BO73"/>
      <c r="BP73"/>
      <c r="BQ73"/>
      <c r="BR73"/>
      <c r="BS73"/>
      <c r="BT73"/>
    </row>
    <row r="74" spans="2:78" x14ac:dyDescent="0.15">
      <c r="AV74"/>
      <c r="AW74"/>
      <c r="AX74"/>
      <c r="AY74"/>
      <c r="AZ74" s="109"/>
      <c r="BA74"/>
      <c r="BB74"/>
      <c r="BC74"/>
      <c r="BD74"/>
      <c r="BE74"/>
      <c r="BF74"/>
      <c r="BG74"/>
      <c r="BH74"/>
      <c r="BI74"/>
      <c r="BJ74"/>
      <c r="BK74"/>
      <c r="BL74"/>
      <c r="BM74"/>
      <c r="BN74"/>
      <c r="BO74"/>
      <c r="BP74"/>
      <c r="BQ74"/>
      <c r="BR74"/>
      <c r="BS74"/>
      <c r="BT74"/>
    </row>
    <row r="75" spans="2:78" x14ac:dyDescent="0.15">
      <c r="AV75"/>
      <c r="AW75"/>
      <c r="AX75"/>
      <c r="AY75"/>
      <c r="AZ75"/>
      <c r="BA75"/>
      <c r="BB75"/>
      <c r="BC75"/>
      <c r="BD75"/>
      <c r="BE75"/>
      <c r="BF75"/>
      <c r="BG75"/>
      <c r="BH75"/>
      <c r="BI75"/>
      <c r="BJ75"/>
      <c r="BK75"/>
      <c r="BL75"/>
      <c r="BM75"/>
      <c r="BN75"/>
      <c r="BO75"/>
      <c r="BP75"/>
      <c r="BQ75"/>
      <c r="BR75"/>
      <c r="BS75"/>
      <c r="BT75"/>
    </row>
    <row r="76" spans="2:78" x14ac:dyDescent="0.15">
      <c r="AV76"/>
      <c r="AW76"/>
      <c r="AX76"/>
      <c r="AY76"/>
      <c r="AZ76"/>
      <c r="BA76"/>
      <c r="BB76"/>
      <c r="BC76"/>
      <c r="BD76"/>
      <c r="BE76"/>
      <c r="BF76"/>
      <c r="BG76"/>
      <c r="BH76"/>
      <c r="BI76"/>
      <c r="BJ76"/>
      <c r="BK76"/>
      <c r="BL76"/>
      <c r="BM76"/>
      <c r="BN76"/>
      <c r="BO76"/>
      <c r="BP76"/>
      <c r="BQ76"/>
      <c r="BR76"/>
      <c r="BS76"/>
      <c r="BT76"/>
    </row>
    <row r="77" spans="2:78" x14ac:dyDescent="0.15">
      <c r="AV77"/>
      <c r="AW77"/>
      <c r="AX77"/>
      <c r="AY77"/>
      <c r="AZ77"/>
      <c r="BA77"/>
      <c r="BB77"/>
      <c r="BC77"/>
      <c r="BD77"/>
      <c r="BE77"/>
      <c r="BF77"/>
      <c r="BG77"/>
      <c r="BH77"/>
      <c r="BI77"/>
      <c r="BJ77"/>
      <c r="BK77"/>
      <c r="BL77"/>
      <c r="BM77"/>
      <c r="BN77"/>
      <c r="BO77"/>
      <c r="BP77"/>
      <c r="BQ77"/>
      <c r="BR77"/>
      <c r="BS77"/>
      <c r="BT77"/>
    </row>
    <row r="78" spans="2:78" x14ac:dyDescent="0.15">
      <c r="AV78"/>
      <c r="AW78"/>
      <c r="AX78"/>
      <c r="AY78"/>
      <c r="AZ78"/>
      <c r="BA78"/>
      <c r="BB78"/>
      <c r="BC78"/>
      <c r="BD78"/>
      <c r="BE78"/>
      <c r="BF78"/>
      <c r="BG78"/>
      <c r="BH78"/>
      <c r="BI78"/>
      <c r="BJ78"/>
      <c r="BK78"/>
      <c r="BL78"/>
      <c r="BM78"/>
      <c r="BN78"/>
      <c r="BO78"/>
      <c r="BP78"/>
      <c r="BQ78"/>
      <c r="BR78"/>
      <c r="BS78"/>
      <c r="BT78"/>
    </row>
    <row r="79" spans="2:78" x14ac:dyDescent="0.15">
      <c r="AV79"/>
      <c r="AW79"/>
      <c r="AX79"/>
      <c r="AY79"/>
      <c r="AZ79"/>
      <c r="BA79"/>
      <c r="BB79"/>
      <c r="BC79"/>
      <c r="BD79"/>
      <c r="BE79"/>
      <c r="BF79"/>
      <c r="BG79"/>
      <c r="BH79"/>
      <c r="BI79"/>
      <c r="BJ79"/>
      <c r="BK79"/>
      <c r="BL79"/>
      <c r="BM79"/>
      <c r="BN79"/>
      <c r="BO79"/>
      <c r="BP79"/>
      <c r="BQ79"/>
      <c r="BR79"/>
      <c r="BS79"/>
      <c r="BT79"/>
    </row>
    <row r="80" spans="2:78" x14ac:dyDescent="0.15">
      <c r="AV80"/>
      <c r="AW80"/>
      <c r="AX80"/>
      <c r="AY80"/>
      <c r="AZ80"/>
      <c r="BA80"/>
      <c r="BB80"/>
      <c r="BC80"/>
      <c r="BD80"/>
      <c r="BE80"/>
      <c r="BF80"/>
      <c r="BG80"/>
      <c r="BH80"/>
      <c r="BI80"/>
      <c r="BJ80"/>
      <c r="BK80"/>
      <c r="BL80"/>
      <c r="BM80"/>
      <c r="BN80"/>
      <c r="BO80"/>
      <c r="BP80"/>
      <c r="BQ80"/>
      <c r="BR80"/>
      <c r="BS80"/>
      <c r="BT80"/>
    </row>
    <row r="81" spans="2:47" customFormat="1" x14ac:dyDescent="0.15">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2:47" customFormat="1" x14ac:dyDescent="0.15">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2:47" customFormat="1" x14ac:dyDescent="0.15">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2:47" customFormat="1" x14ac:dyDescent="0.15">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2:47" customFormat="1" x14ac:dyDescent="0.15">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2:47" customFormat="1" x14ac:dyDescent="0.15">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2:47" customFormat="1" x14ac:dyDescent="0.15">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2:47" customFormat="1" x14ac:dyDescent="0.15">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2:47" customFormat="1" x14ac:dyDescent="0.15">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2:47" customFormat="1" x14ac:dyDescent="0.15">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2:47" customFormat="1" x14ac:dyDescent="0.15">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2:47" customFormat="1" x14ac:dyDescent="0.15">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2:47" customFormat="1" x14ac:dyDescent="0.15">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2:47" customFormat="1" x14ac:dyDescent="0.15">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sheetData>
  <sheetProtection algorithmName="SHA-512" hashValue="AhHghPNSa1j1zDEY68MKOsNWenBL36EgQp6ulKF0YNLEoHyj8r9HUNaEfz99GBRS28kIZDLSO29uFREkvos4Xw==" saltValue="K+7HUNE0P/5waMxCVlEJxw==" spinCount="100000" sheet="1" selectLockedCells="1"/>
  <mergeCells count="409">
    <mergeCell ref="BH7:BI10"/>
    <mergeCell ref="BJ7:BM7"/>
    <mergeCell ref="BN7:BZ7"/>
    <mergeCell ref="U32:AA32"/>
    <mergeCell ref="H32:M32"/>
    <mergeCell ref="AQ8:AT8"/>
    <mergeCell ref="AU8:BG8"/>
    <mergeCell ref="BJ8:BM8"/>
    <mergeCell ref="BN8:BZ8"/>
    <mergeCell ref="AQ9:AT9"/>
    <mergeCell ref="AU9:BG9"/>
    <mergeCell ref="BJ9:BM9"/>
    <mergeCell ref="BN9:BZ9"/>
    <mergeCell ref="AQ10:AT10"/>
    <mergeCell ref="AU10:BG10"/>
    <mergeCell ref="BJ10:BM10"/>
    <mergeCell ref="BN10:BZ10"/>
    <mergeCell ref="AO7:AP10"/>
    <mergeCell ref="AQ7:AT7"/>
    <mergeCell ref="AU7:BG7"/>
    <mergeCell ref="BY18:BZ19"/>
    <mergeCell ref="BI22:BU22"/>
    <mergeCell ref="AY23:BC23"/>
    <mergeCell ref="AY24:BC24"/>
    <mergeCell ref="AG65:AH66"/>
    <mergeCell ref="AA66:AB66"/>
    <mergeCell ref="AO18:AO29"/>
    <mergeCell ref="AA55:AB55"/>
    <mergeCell ref="AI65:AK66"/>
    <mergeCell ref="AI61:AK62"/>
    <mergeCell ref="X65:Y66"/>
    <mergeCell ref="Z65:Z66"/>
    <mergeCell ref="AA65:AB65"/>
    <mergeCell ref="AG63:AH64"/>
    <mergeCell ref="AI63:AK64"/>
    <mergeCell ref="Z59:Z60"/>
    <mergeCell ref="AO56:AS57"/>
    <mergeCell ref="AO46:AO55"/>
    <mergeCell ref="AJ24:AL24"/>
    <mergeCell ref="AJ29:AK29"/>
    <mergeCell ref="AJ30:AK30"/>
    <mergeCell ref="AO36:BC36"/>
    <mergeCell ref="AG31:AJ31"/>
    <mergeCell ref="X31:AA31"/>
    <mergeCell ref="AL32:AM32"/>
    <mergeCell ref="AH32:AJ32"/>
    <mergeCell ref="AB32:AG32"/>
    <mergeCell ref="AL46:AM46"/>
    <mergeCell ref="O57:T58"/>
    <mergeCell ref="AD57:AF58"/>
    <mergeCell ref="AG57:AH58"/>
    <mergeCell ref="AI57:AK58"/>
    <mergeCell ref="O59:T60"/>
    <mergeCell ref="AD59:AF60"/>
    <mergeCell ref="AG59:AH60"/>
    <mergeCell ref="AI59:AK60"/>
    <mergeCell ref="AD61:AF62"/>
    <mergeCell ref="U59:V60"/>
    <mergeCell ref="U57:V58"/>
    <mergeCell ref="B67:F67"/>
    <mergeCell ref="G67:J67"/>
    <mergeCell ref="BF57:BZ57"/>
    <mergeCell ref="BF58:BZ58"/>
    <mergeCell ref="AL67:AM67"/>
    <mergeCell ref="AL57:AM58"/>
    <mergeCell ref="AL59:AM60"/>
    <mergeCell ref="AL65:AM66"/>
    <mergeCell ref="AO58:AS58"/>
    <mergeCell ref="AO60:BZ67"/>
    <mergeCell ref="C63:N63"/>
    <mergeCell ref="AA63:AB63"/>
    <mergeCell ref="C59:N59"/>
    <mergeCell ref="AA59:AB59"/>
    <mergeCell ref="AA60:AB60"/>
    <mergeCell ref="AA61:AB61"/>
    <mergeCell ref="Z61:Z62"/>
    <mergeCell ref="X63:Y64"/>
    <mergeCell ref="Z63:Z64"/>
    <mergeCell ref="AA64:AB64"/>
    <mergeCell ref="X61:Y62"/>
    <mergeCell ref="AA62:AB62"/>
    <mergeCell ref="O61:P62"/>
    <mergeCell ref="O63:T64"/>
    <mergeCell ref="C57:N57"/>
    <mergeCell ref="AA57:AB57"/>
    <mergeCell ref="C58:N58"/>
    <mergeCell ref="AA58:AB58"/>
    <mergeCell ref="AD55:AF56"/>
    <mergeCell ref="C65:N66"/>
    <mergeCell ref="O65:P66"/>
    <mergeCell ref="Q65:S66"/>
    <mergeCell ref="T65:T66"/>
    <mergeCell ref="X59:Y60"/>
    <mergeCell ref="AD63:AF64"/>
    <mergeCell ref="O55:P56"/>
    <mergeCell ref="Q55:S56"/>
    <mergeCell ref="T55:T56"/>
    <mergeCell ref="C55:N56"/>
    <mergeCell ref="W65:W66"/>
    <mergeCell ref="W63:W64"/>
    <mergeCell ref="W61:W62"/>
    <mergeCell ref="W59:W60"/>
    <mergeCell ref="W57:W58"/>
    <mergeCell ref="W55:W56"/>
    <mergeCell ref="U65:V66"/>
    <mergeCell ref="U63:V64"/>
    <mergeCell ref="U61:V62"/>
    <mergeCell ref="K67:L67"/>
    <mergeCell ref="C61:N62"/>
    <mergeCell ref="C64:N64"/>
    <mergeCell ref="C60:N60"/>
    <mergeCell ref="B63:B66"/>
    <mergeCell ref="B57:B62"/>
    <mergeCell ref="AH67:AK67"/>
    <mergeCell ref="AZ50:BC51"/>
    <mergeCell ref="AZ52:BC53"/>
    <mergeCell ref="AL55:AM56"/>
    <mergeCell ref="AG55:AH56"/>
    <mergeCell ref="AI55:AK56"/>
    <mergeCell ref="AL61:AM62"/>
    <mergeCell ref="AG61:AH62"/>
    <mergeCell ref="AL63:AM64"/>
    <mergeCell ref="AI53:AK54"/>
    <mergeCell ref="AL53:AM54"/>
    <mergeCell ref="AX52:AY53"/>
    <mergeCell ref="M67:R67"/>
    <mergeCell ref="AF67:AG67"/>
    <mergeCell ref="S67:AA67"/>
    <mergeCell ref="AB67:AE67"/>
    <mergeCell ref="AD65:AF66"/>
    <mergeCell ref="AA56:AB56"/>
    <mergeCell ref="AX56:AY58"/>
    <mergeCell ref="BD56:BE58"/>
    <mergeCell ref="AT56:AW58"/>
    <mergeCell ref="AZ56:BC58"/>
    <mergeCell ref="AX54:AY55"/>
    <mergeCell ref="BD50:BE51"/>
    <mergeCell ref="BD54:BE55"/>
    <mergeCell ref="AP46:AS47"/>
    <mergeCell ref="AX50:AY51"/>
    <mergeCell ref="AZ46:BC47"/>
    <mergeCell ref="AZ48:BC49"/>
    <mergeCell ref="AT48:AW49"/>
    <mergeCell ref="AX48:AY49"/>
    <mergeCell ref="BD48:BE49"/>
    <mergeCell ref="AT50:AW51"/>
    <mergeCell ref="AT52:AW53"/>
    <mergeCell ref="BD52:BE53"/>
    <mergeCell ref="AZ54:BC55"/>
    <mergeCell ref="AT54:AW55"/>
    <mergeCell ref="AP50:AS51"/>
    <mergeCell ref="AP52:AS53"/>
    <mergeCell ref="AP54:AS55"/>
    <mergeCell ref="B26:G27"/>
    <mergeCell ref="B24:G24"/>
    <mergeCell ref="I28:AE28"/>
    <mergeCell ref="AP24:AX24"/>
    <mergeCell ref="C50:N50"/>
    <mergeCell ref="C51:N51"/>
    <mergeCell ref="AA51:AB51"/>
    <mergeCell ref="H42:AM42"/>
    <mergeCell ref="H40:AM40"/>
    <mergeCell ref="H43:AM43"/>
    <mergeCell ref="AD49:AM50"/>
    <mergeCell ref="AP26:AX26"/>
    <mergeCell ref="AO38:AS40"/>
    <mergeCell ref="AP29:AX29"/>
    <mergeCell ref="AP48:AS49"/>
    <mergeCell ref="B35:G37"/>
    <mergeCell ref="AX46:AY47"/>
    <mergeCell ref="H33:J34"/>
    <mergeCell ref="AF34:AL34"/>
    <mergeCell ref="H38:AM38"/>
    <mergeCell ref="AE24:AG24"/>
    <mergeCell ref="AJ28:AK28"/>
    <mergeCell ref="H27:AM27"/>
    <mergeCell ref="AP25:AX25"/>
    <mergeCell ref="AD53:AF54"/>
    <mergeCell ref="AG53:AH54"/>
    <mergeCell ref="AY26:BC26"/>
    <mergeCell ref="N45:V46"/>
    <mergeCell ref="W45:Y46"/>
    <mergeCell ref="Z45:AA46"/>
    <mergeCell ref="AB45:AG45"/>
    <mergeCell ref="AH45:AK45"/>
    <mergeCell ref="AB46:AG46"/>
    <mergeCell ref="AH46:AK46"/>
    <mergeCell ref="I29:AE29"/>
    <mergeCell ref="I30:AE30"/>
    <mergeCell ref="H31:M31"/>
    <mergeCell ref="H35:AM35"/>
    <mergeCell ref="AA50:AC50"/>
    <mergeCell ref="O51:T52"/>
    <mergeCell ref="AD51:AF52"/>
    <mergeCell ref="AG51:AH52"/>
    <mergeCell ref="AI51:AK52"/>
    <mergeCell ref="AL51:AM52"/>
    <mergeCell ref="L45:M46"/>
    <mergeCell ref="W53:W54"/>
    <mergeCell ref="W51:W52"/>
    <mergeCell ref="U53:V54"/>
    <mergeCell ref="AA52:AB52"/>
    <mergeCell ref="C53:N53"/>
    <mergeCell ref="B49:B50"/>
    <mergeCell ref="C52:N52"/>
    <mergeCell ref="AA53:AB53"/>
    <mergeCell ref="O49:T50"/>
    <mergeCell ref="O53:T54"/>
    <mergeCell ref="AA54:AB54"/>
    <mergeCell ref="U49:W50"/>
    <mergeCell ref="X49:Z50"/>
    <mergeCell ref="C54:N54"/>
    <mergeCell ref="B51:B56"/>
    <mergeCell ref="U55:V56"/>
    <mergeCell ref="U51:V52"/>
    <mergeCell ref="B38:G40"/>
    <mergeCell ref="AP30:AX30"/>
    <mergeCell ref="AP31:BC31"/>
    <mergeCell ref="AP32:BC32"/>
    <mergeCell ref="AP33:BC33"/>
    <mergeCell ref="AP34:BC34"/>
    <mergeCell ref="AP35:BC35"/>
    <mergeCell ref="B41:G43"/>
    <mergeCell ref="B45:H46"/>
    <mergeCell ref="I45:K46"/>
    <mergeCell ref="AL45:AM45"/>
    <mergeCell ref="B31:G31"/>
    <mergeCell ref="B32:G32"/>
    <mergeCell ref="B33:G34"/>
    <mergeCell ref="H37:AM37"/>
    <mergeCell ref="H39:AM39"/>
    <mergeCell ref="H41:AM41"/>
    <mergeCell ref="AP28:AX28"/>
    <mergeCell ref="AT44:AW45"/>
    <mergeCell ref="AO30:AO35"/>
    <mergeCell ref="AY29:BC29"/>
    <mergeCell ref="AY27:BC27"/>
    <mergeCell ref="AO44:AS45"/>
    <mergeCell ref="AZ44:BC45"/>
    <mergeCell ref="AT38:AY40"/>
    <mergeCell ref="P23:AC23"/>
    <mergeCell ref="AH23:AL23"/>
    <mergeCell ref="AY25:BC25"/>
    <mergeCell ref="AY19:BC19"/>
    <mergeCell ref="AY20:BC20"/>
    <mergeCell ref="AY21:BC21"/>
    <mergeCell ref="AP20:AX20"/>
    <mergeCell ref="AY18:BC18"/>
    <mergeCell ref="AP18:AX18"/>
    <mergeCell ref="AP19:AX19"/>
    <mergeCell ref="AY22:BC22"/>
    <mergeCell ref="B23:G23"/>
    <mergeCell ref="AE23:AG23"/>
    <mergeCell ref="P24:AB24"/>
    <mergeCell ref="B7:AM7"/>
    <mergeCell ref="B8:AM8"/>
    <mergeCell ref="B9:AM9"/>
    <mergeCell ref="B10:AM10"/>
    <mergeCell ref="AH21:AI21"/>
    <mergeCell ref="B19:G21"/>
    <mergeCell ref="AF1:AG2"/>
    <mergeCell ref="B1:M2"/>
    <mergeCell ref="AC1:AD2"/>
    <mergeCell ref="B13:G13"/>
    <mergeCell ref="H12:AM12"/>
    <mergeCell ref="B12:G12"/>
    <mergeCell ref="AD22:AF22"/>
    <mergeCell ref="AG22:AL22"/>
    <mergeCell ref="AC20:AF20"/>
    <mergeCell ref="AG20:AL20"/>
    <mergeCell ref="H15:AM15"/>
    <mergeCell ref="B15:G15"/>
    <mergeCell ref="B16:G16"/>
    <mergeCell ref="B17:G17"/>
    <mergeCell ref="H16:AM16"/>
    <mergeCell ref="H17:AM17"/>
    <mergeCell ref="H18:AM18"/>
    <mergeCell ref="P22:AC22"/>
    <mergeCell ref="B14:G14"/>
    <mergeCell ref="AE1:AE2"/>
    <mergeCell ref="V3:AM4"/>
    <mergeCell ref="Z1:AB2"/>
    <mergeCell ref="AI1:AJ2"/>
    <mergeCell ref="AK1:AM2"/>
    <mergeCell ref="AH1:AH2"/>
    <mergeCell ref="BV28:BZ28"/>
    <mergeCell ref="BV29:BZ29"/>
    <mergeCell ref="BD41:BE43"/>
    <mergeCell ref="BD33:BH33"/>
    <mergeCell ref="BD34:BH34"/>
    <mergeCell ref="AZ38:BE39"/>
    <mergeCell ref="H13:AM13"/>
    <mergeCell ref="H14:AM14"/>
    <mergeCell ref="C49:N49"/>
    <mergeCell ref="AA49:AC49"/>
    <mergeCell ref="B18:G18"/>
    <mergeCell ref="B22:G22"/>
    <mergeCell ref="AX44:AY45"/>
    <mergeCell ref="BV36:BX36"/>
    <mergeCell ref="BD44:BE45"/>
    <mergeCell ref="BI35:BU35"/>
    <mergeCell ref="B28:G30"/>
    <mergeCell ref="AO15:AW15"/>
    <mergeCell ref="AP21:AX21"/>
    <mergeCell ref="AP22:AX22"/>
    <mergeCell ref="AP23:AX23"/>
    <mergeCell ref="AP27:AX27"/>
    <mergeCell ref="BD28:BH28"/>
    <mergeCell ref="BV34:BZ34"/>
    <mergeCell ref="BD46:BE47"/>
    <mergeCell ref="BD35:BH35"/>
    <mergeCell ref="BI32:BU32"/>
    <mergeCell ref="BI33:BU33"/>
    <mergeCell ref="BF38:BZ40"/>
    <mergeCell ref="BY36:BZ36"/>
    <mergeCell ref="BD40:BE40"/>
    <mergeCell ref="BF41:BZ55"/>
    <mergeCell ref="BD29:BH29"/>
    <mergeCell ref="BI34:BU34"/>
    <mergeCell ref="BV32:BZ32"/>
    <mergeCell ref="BV30:BZ30"/>
    <mergeCell ref="BV31:BZ31"/>
    <mergeCell ref="AO41:AS43"/>
    <mergeCell ref="AX41:AY43"/>
    <mergeCell ref="AT41:AW43"/>
    <mergeCell ref="AZ41:BC43"/>
    <mergeCell ref="AT46:AW47"/>
    <mergeCell ref="AY28:BC28"/>
    <mergeCell ref="BD30:BF30"/>
    <mergeCell ref="BD31:BH31"/>
    <mergeCell ref="BY24:BZ25"/>
    <mergeCell ref="BV26:BX26"/>
    <mergeCell ref="BV27:BZ27"/>
    <mergeCell ref="BD26:BH26"/>
    <mergeCell ref="BI26:BU26"/>
    <mergeCell ref="BG30:BH30"/>
    <mergeCell ref="BY26:BZ26"/>
    <mergeCell ref="BD27:BH27"/>
    <mergeCell ref="BI36:BU36"/>
    <mergeCell ref="BG36:BH36"/>
    <mergeCell ref="BI29:BU29"/>
    <mergeCell ref="BI28:BU28"/>
    <mergeCell ref="BV35:BZ35"/>
    <mergeCell ref="BI30:BU30"/>
    <mergeCell ref="BD32:BH32"/>
    <mergeCell ref="BD36:BF36"/>
    <mergeCell ref="BD23:BH23"/>
    <mergeCell ref="BV24:BX25"/>
    <mergeCell ref="BV18:BX19"/>
    <mergeCell ref="BV20:BX20"/>
    <mergeCell ref="BD18:BF18"/>
    <mergeCell ref="BV21:BZ21"/>
    <mergeCell ref="BV22:BZ22"/>
    <mergeCell ref="BI23:BU23"/>
    <mergeCell ref="BD19:BH19"/>
    <mergeCell ref="BD20:BH20"/>
    <mergeCell ref="BD22:BH22"/>
    <mergeCell ref="BI20:BU20"/>
    <mergeCell ref="BY20:BZ20"/>
    <mergeCell ref="BD24:BH24"/>
    <mergeCell ref="BD25:BH25"/>
    <mergeCell ref="BQ15:BS15"/>
    <mergeCell ref="BT15:BU15"/>
    <mergeCell ref="BV15:BX15"/>
    <mergeCell ref="BY15:BZ15"/>
    <mergeCell ref="AO12:AW12"/>
    <mergeCell ref="BD17:BH17"/>
    <mergeCell ref="AY17:BC17"/>
    <mergeCell ref="BI18:BU19"/>
    <mergeCell ref="BV23:BZ23"/>
    <mergeCell ref="BG18:BH18"/>
    <mergeCell ref="BD21:BH21"/>
    <mergeCell ref="AX12:BN12"/>
    <mergeCell ref="BQ12:BU12"/>
    <mergeCell ref="BV12:BZ12"/>
    <mergeCell ref="BV17:BZ17"/>
    <mergeCell ref="AO17:AX17"/>
    <mergeCell ref="AO13:AW13"/>
    <mergeCell ref="BQ13:BS13"/>
    <mergeCell ref="BT13:BU13"/>
    <mergeCell ref="BV13:BX13"/>
    <mergeCell ref="BY13:BZ13"/>
    <mergeCell ref="AO14:AW14"/>
    <mergeCell ref="BQ14:BS14"/>
    <mergeCell ref="BT14:BU14"/>
    <mergeCell ref="BV14:BX14"/>
    <mergeCell ref="BY14:BZ14"/>
    <mergeCell ref="BI17:BU17"/>
    <mergeCell ref="AY30:BC30"/>
    <mergeCell ref="BV33:BZ33"/>
    <mergeCell ref="BI31:BU31"/>
    <mergeCell ref="BI27:BU27"/>
    <mergeCell ref="Q61:S62"/>
    <mergeCell ref="T61:T62"/>
    <mergeCell ref="BI21:BU21"/>
    <mergeCell ref="BI25:BU25"/>
    <mergeCell ref="X51:Y52"/>
    <mergeCell ref="Z51:Z52"/>
    <mergeCell ref="X53:Y54"/>
    <mergeCell ref="Z53:Z54"/>
    <mergeCell ref="X55:Y56"/>
    <mergeCell ref="Z55:Z56"/>
    <mergeCell ref="X57:Y58"/>
    <mergeCell ref="Z57:Z58"/>
    <mergeCell ref="H26:AM26"/>
    <mergeCell ref="H36:AM36"/>
    <mergeCell ref="O31:W31"/>
    <mergeCell ref="O32:T32"/>
    <mergeCell ref="BI24:BU24"/>
  </mergeCells>
  <phoneticPr fontId="1"/>
  <dataValidations count="1">
    <dataValidation imeMode="halfAlpha" allowBlank="1" showInputMessage="1" showErrorMessage="1" sqref="AT41:AW58" xr:uid="{00000000-0002-0000-0000-000000000000}"/>
  </dataValidations>
  <pageMargins left="0.55118110236220474" right="0.51181102362204722" top="0.35433070866141736" bottom="0.35433070866141736" header="0.31496062992125984" footer="0.31496062992125984"/>
  <pageSetup paperSize="9" scale="5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66" r:id="rId4" name="Check Box 42">
              <controlPr defaultSize="0" autoFill="0" autoLine="0" autoPict="0">
                <anchor moveWithCells="1">
                  <from>
                    <xdr:col>12</xdr:col>
                    <xdr:colOff>0</xdr:colOff>
                    <xdr:row>20</xdr:row>
                    <xdr:rowOff>123825</xdr:rowOff>
                  </from>
                  <to>
                    <xdr:col>13</xdr:col>
                    <xdr:colOff>104775</xdr:colOff>
                    <xdr:row>22</xdr:row>
                    <xdr:rowOff>95250</xdr:rowOff>
                  </to>
                </anchor>
              </controlPr>
            </control>
          </mc:Choice>
        </mc:AlternateContent>
        <mc:AlternateContent xmlns:mc="http://schemas.openxmlformats.org/markup-compatibility/2006">
          <mc:Choice Requires="x14">
            <control shapeId="1067" r:id="rId5" name="Check Box 43">
              <controlPr defaultSize="0" autoFill="0" autoLine="0" autoPict="0">
                <anchor moveWithCells="1">
                  <from>
                    <xdr:col>12</xdr:col>
                    <xdr:colOff>0</xdr:colOff>
                    <xdr:row>21</xdr:row>
                    <xdr:rowOff>123825</xdr:rowOff>
                  </from>
                  <to>
                    <xdr:col>13</xdr:col>
                    <xdr:colOff>104775</xdr:colOff>
                    <xdr:row>23</xdr:row>
                    <xdr:rowOff>95250</xdr:rowOff>
                  </to>
                </anchor>
              </controlPr>
            </control>
          </mc:Choice>
        </mc:AlternateContent>
        <mc:AlternateContent xmlns:mc="http://schemas.openxmlformats.org/markup-compatibility/2006">
          <mc:Choice Requires="x14">
            <control shapeId="1069" r:id="rId6" name="Check Box 45">
              <controlPr defaultSize="0" autoFill="0" autoLine="0" autoPict="0">
                <anchor moveWithCells="1">
                  <from>
                    <xdr:col>28</xdr:col>
                    <xdr:colOff>180975</xdr:colOff>
                    <xdr:row>21</xdr:row>
                    <xdr:rowOff>123825</xdr:rowOff>
                  </from>
                  <to>
                    <xdr:col>30</xdr:col>
                    <xdr:colOff>85725</xdr:colOff>
                    <xdr:row>23</xdr:row>
                    <xdr:rowOff>95250</xdr:rowOff>
                  </to>
                </anchor>
              </controlPr>
            </control>
          </mc:Choice>
        </mc:AlternateContent>
        <mc:AlternateContent xmlns:mc="http://schemas.openxmlformats.org/markup-compatibility/2006">
          <mc:Choice Requires="x14">
            <control shapeId="2" r:id="rId7" name="Check Box 21">
              <controlPr defaultSize="0" autoFill="0" autoLine="0" autoPict="0">
                <anchor moveWithCells="1" sizeWithCells="1">
                  <from>
                    <xdr:col>50</xdr:col>
                    <xdr:colOff>0</xdr:colOff>
                    <xdr:row>11</xdr:row>
                    <xdr:rowOff>152400</xdr:rowOff>
                  </from>
                  <to>
                    <xdr:col>51</xdr:col>
                    <xdr:colOff>104775</xdr:colOff>
                    <xdr:row>13</xdr:row>
                    <xdr:rowOff>47625</xdr:rowOff>
                  </to>
                </anchor>
              </controlPr>
            </control>
          </mc:Choice>
        </mc:AlternateContent>
        <mc:AlternateContent xmlns:mc="http://schemas.openxmlformats.org/markup-compatibility/2006">
          <mc:Choice Requires="x14">
            <control shapeId="3" r:id="rId8" name="Check Box 22">
              <controlPr defaultSize="0" autoFill="0" autoLine="0" autoPict="0">
                <anchor moveWithCells="1" sizeWithCells="1">
                  <from>
                    <xdr:col>50</xdr:col>
                    <xdr:colOff>0</xdr:colOff>
                    <xdr:row>12</xdr:row>
                    <xdr:rowOff>152400</xdr:rowOff>
                  </from>
                  <to>
                    <xdr:col>51</xdr:col>
                    <xdr:colOff>104775</xdr:colOff>
                    <xdr:row>14</xdr:row>
                    <xdr:rowOff>47625</xdr:rowOff>
                  </to>
                </anchor>
              </controlPr>
            </control>
          </mc:Choice>
        </mc:AlternateContent>
        <mc:AlternateContent xmlns:mc="http://schemas.openxmlformats.org/markup-compatibility/2006">
          <mc:Choice Requires="x14">
            <control shapeId="4" r:id="rId9" name="Check Box 23">
              <controlPr defaultSize="0" autoFill="0" autoLine="0" autoPict="0">
                <anchor moveWithCells="1" sizeWithCells="1">
                  <from>
                    <xdr:col>50</xdr:col>
                    <xdr:colOff>0</xdr:colOff>
                    <xdr:row>13</xdr:row>
                    <xdr:rowOff>152400</xdr:rowOff>
                  </from>
                  <to>
                    <xdr:col>51</xdr:col>
                    <xdr:colOff>104775</xdr:colOff>
                    <xdr:row>15</xdr:row>
                    <xdr:rowOff>47625</xdr:rowOff>
                  </to>
                </anchor>
              </controlPr>
            </control>
          </mc:Choice>
        </mc:AlternateContent>
        <mc:AlternateContent xmlns:mc="http://schemas.openxmlformats.org/markup-compatibility/2006">
          <mc:Choice Requires="x14">
            <control shapeId="6" r:id="rId10" name="Check Box 24">
              <controlPr defaultSize="0" autoFill="0" autoLine="0" autoPict="0">
                <anchor moveWithCells="1" sizeWithCells="1">
                  <from>
                    <xdr:col>53</xdr:col>
                    <xdr:colOff>0</xdr:colOff>
                    <xdr:row>11</xdr:row>
                    <xdr:rowOff>152400</xdr:rowOff>
                  </from>
                  <to>
                    <xdr:col>54</xdr:col>
                    <xdr:colOff>104775</xdr:colOff>
                    <xdr:row>13</xdr:row>
                    <xdr:rowOff>47625</xdr:rowOff>
                  </to>
                </anchor>
              </controlPr>
            </control>
          </mc:Choice>
        </mc:AlternateContent>
        <mc:AlternateContent xmlns:mc="http://schemas.openxmlformats.org/markup-compatibility/2006">
          <mc:Choice Requires="x14">
            <control shapeId="7" r:id="rId11" name="Check Box 25">
              <controlPr defaultSize="0" autoFill="0" autoLine="0" autoPict="0">
                <anchor moveWithCells="1" sizeWithCells="1">
                  <from>
                    <xdr:col>56</xdr:col>
                    <xdr:colOff>0</xdr:colOff>
                    <xdr:row>13</xdr:row>
                    <xdr:rowOff>152400</xdr:rowOff>
                  </from>
                  <to>
                    <xdr:col>57</xdr:col>
                    <xdr:colOff>104775</xdr:colOff>
                    <xdr:row>15</xdr:row>
                    <xdr:rowOff>47625</xdr:rowOff>
                  </to>
                </anchor>
              </controlPr>
            </control>
          </mc:Choice>
        </mc:AlternateContent>
        <mc:AlternateContent xmlns:mc="http://schemas.openxmlformats.org/markup-compatibility/2006">
          <mc:Choice Requires="x14">
            <control shapeId="8" r:id="rId12" name="Check Box 26">
              <controlPr defaultSize="0" autoFill="0" autoLine="0" autoPict="0">
                <anchor moveWithCells="1" sizeWithCells="1">
                  <from>
                    <xdr:col>56</xdr:col>
                    <xdr:colOff>0</xdr:colOff>
                    <xdr:row>11</xdr:row>
                    <xdr:rowOff>152400</xdr:rowOff>
                  </from>
                  <to>
                    <xdr:col>57</xdr:col>
                    <xdr:colOff>104775</xdr:colOff>
                    <xdr:row>13</xdr:row>
                    <xdr:rowOff>47625</xdr:rowOff>
                  </to>
                </anchor>
              </controlPr>
            </control>
          </mc:Choice>
        </mc:AlternateContent>
        <mc:AlternateContent xmlns:mc="http://schemas.openxmlformats.org/markup-compatibility/2006">
          <mc:Choice Requires="x14">
            <control shapeId="9" r:id="rId13" name="Check Box 27">
              <controlPr defaultSize="0" autoFill="0" autoLine="0" autoPict="0">
                <anchor moveWithCells="1" sizeWithCells="1">
                  <from>
                    <xdr:col>56</xdr:col>
                    <xdr:colOff>0</xdr:colOff>
                    <xdr:row>12</xdr:row>
                    <xdr:rowOff>152400</xdr:rowOff>
                  </from>
                  <to>
                    <xdr:col>57</xdr:col>
                    <xdr:colOff>104775</xdr:colOff>
                    <xdr:row>14</xdr:row>
                    <xdr:rowOff>47625</xdr:rowOff>
                  </to>
                </anchor>
              </controlPr>
            </control>
          </mc:Choice>
        </mc:AlternateContent>
        <mc:AlternateContent xmlns:mc="http://schemas.openxmlformats.org/markup-compatibility/2006">
          <mc:Choice Requires="x14">
            <control shapeId="10" r:id="rId14" name="Check Box 28">
              <controlPr defaultSize="0" autoFill="0" autoLine="0" autoPict="0">
                <anchor moveWithCells="1" sizeWithCells="1">
                  <from>
                    <xdr:col>53</xdr:col>
                    <xdr:colOff>0</xdr:colOff>
                    <xdr:row>13</xdr:row>
                    <xdr:rowOff>152400</xdr:rowOff>
                  </from>
                  <to>
                    <xdr:col>54</xdr:col>
                    <xdr:colOff>104775</xdr:colOff>
                    <xdr:row>15</xdr:row>
                    <xdr:rowOff>47625</xdr:rowOff>
                  </to>
                </anchor>
              </controlPr>
            </control>
          </mc:Choice>
        </mc:AlternateContent>
        <mc:AlternateContent xmlns:mc="http://schemas.openxmlformats.org/markup-compatibility/2006">
          <mc:Choice Requires="x14">
            <control shapeId="11" r:id="rId15" name="Check Box 29">
              <controlPr defaultSize="0" autoFill="0" autoLine="0" autoPict="0">
                <anchor moveWithCells="1" sizeWithCells="1">
                  <from>
                    <xdr:col>61</xdr:col>
                    <xdr:colOff>0</xdr:colOff>
                    <xdr:row>11</xdr:row>
                    <xdr:rowOff>152400</xdr:rowOff>
                  </from>
                  <to>
                    <xdr:col>62</xdr:col>
                    <xdr:colOff>104775</xdr:colOff>
                    <xdr:row>13</xdr:row>
                    <xdr:rowOff>47625</xdr:rowOff>
                  </to>
                </anchor>
              </controlPr>
            </control>
          </mc:Choice>
        </mc:AlternateContent>
        <mc:AlternateContent xmlns:mc="http://schemas.openxmlformats.org/markup-compatibility/2006">
          <mc:Choice Requires="x14">
            <control shapeId="12" r:id="rId16" name="Check Box 30">
              <controlPr defaultSize="0" autoFill="0" autoLine="0" autoPict="0">
                <anchor moveWithCells="1" sizeWithCells="1">
                  <from>
                    <xdr:col>58</xdr:col>
                    <xdr:colOff>0</xdr:colOff>
                    <xdr:row>13</xdr:row>
                    <xdr:rowOff>152400</xdr:rowOff>
                  </from>
                  <to>
                    <xdr:col>59</xdr:col>
                    <xdr:colOff>104775</xdr:colOff>
                    <xdr:row>15</xdr:row>
                    <xdr:rowOff>47625</xdr:rowOff>
                  </to>
                </anchor>
              </controlPr>
            </control>
          </mc:Choice>
        </mc:AlternateContent>
        <mc:AlternateContent xmlns:mc="http://schemas.openxmlformats.org/markup-compatibility/2006">
          <mc:Choice Requires="x14">
            <control shapeId="13" r:id="rId17" name="Check Box 31">
              <controlPr defaultSize="0" autoFill="0" autoLine="0" autoPict="0">
                <anchor moveWithCells="1" sizeWithCells="1">
                  <from>
                    <xdr:col>58</xdr:col>
                    <xdr:colOff>0</xdr:colOff>
                    <xdr:row>11</xdr:row>
                    <xdr:rowOff>152400</xdr:rowOff>
                  </from>
                  <to>
                    <xdr:col>59</xdr:col>
                    <xdr:colOff>104775</xdr:colOff>
                    <xdr:row>13</xdr:row>
                    <xdr:rowOff>47625</xdr:rowOff>
                  </to>
                </anchor>
              </controlPr>
            </control>
          </mc:Choice>
        </mc:AlternateContent>
        <mc:AlternateContent xmlns:mc="http://schemas.openxmlformats.org/markup-compatibility/2006">
          <mc:Choice Requires="x14">
            <control shapeId="14" r:id="rId18" name="Check Box 35">
              <controlPr defaultSize="0" autoFill="0" autoLine="0" autoPict="0">
                <anchor moveWithCells="1" sizeWithCells="1">
                  <from>
                    <xdr:col>61</xdr:col>
                    <xdr:colOff>0</xdr:colOff>
                    <xdr:row>13</xdr:row>
                    <xdr:rowOff>152400</xdr:rowOff>
                  </from>
                  <to>
                    <xdr:col>62</xdr:col>
                    <xdr:colOff>104775</xdr:colOff>
                    <xdr:row>15</xdr:row>
                    <xdr:rowOff>47625</xdr:rowOff>
                  </to>
                </anchor>
              </controlPr>
            </control>
          </mc:Choice>
        </mc:AlternateContent>
        <mc:AlternateContent xmlns:mc="http://schemas.openxmlformats.org/markup-compatibility/2006">
          <mc:Choice Requires="x14">
            <control shapeId="15" r:id="rId19" name="Check Box 36">
              <controlPr defaultSize="0" autoFill="0" autoLine="0" autoPict="0">
                <anchor moveWithCells="1" sizeWithCells="1">
                  <from>
                    <xdr:col>53</xdr:col>
                    <xdr:colOff>0</xdr:colOff>
                    <xdr:row>12</xdr:row>
                    <xdr:rowOff>152400</xdr:rowOff>
                  </from>
                  <to>
                    <xdr:col>54</xdr:col>
                    <xdr:colOff>104775</xdr:colOff>
                    <xdr:row>14</xdr:row>
                    <xdr:rowOff>47625</xdr:rowOff>
                  </to>
                </anchor>
              </controlPr>
            </control>
          </mc:Choice>
        </mc:AlternateContent>
        <mc:AlternateContent xmlns:mc="http://schemas.openxmlformats.org/markup-compatibility/2006">
          <mc:Choice Requires="x14">
            <control shapeId="16" r:id="rId20" name="Check Box 37">
              <controlPr defaultSize="0" autoFill="0" autoLine="0" autoPict="0">
                <anchor moveWithCells="1" sizeWithCells="1">
                  <from>
                    <xdr:col>58</xdr:col>
                    <xdr:colOff>0</xdr:colOff>
                    <xdr:row>12</xdr:row>
                    <xdr:rowOff>152400</xdr:rowOff>
                  </from>
                  <to>
                    <xdr:col>59</xdr:col>
                    <xdr:colOff>104775</xdr:colOff>
                    <xdr:row>14</xdr:row>
                    <xdr:rowOff>47625</xdr:rowOff>
                  </to>
                </anchor>
              </controlPr>
            </control>
          </mc:Choice>
        </mc:AlternateContent>
        <mc:AlternateContent xmlns:mc="http://schemas.openxmlformats.org/markup-compatibility/2006">
          <mc:Choice Requires="x14">
            <control shapeId="17" r:id="rId21" name="Check Box 38">
              <controlPr defaultSize="0" autoFill="0" autoLine="0" autoPict="0">
                <anchor moveWithCells="1" sizeWithCells="1">
                  <from>
                    <xdr:col>61</xdr:col>
                    <xdr:colOff>0</xdr:colOff>
                    <xdr:row>12</xdr:row>
                    <xdr:rowOff>152400</xdr:rowOff>
                  </from>
                  <to>
                    <xdr:col>62</xdr:col>
                    <xdr:colOff>104775</xdr:colOff>
                    <xdr:row>14</xdr:row>
                    <xdr:rowOff>47625</xdr:rowOff>
                  </to>
                </anchor>
              </controlPr>
            </control>
          </mc:Choice>
        </mc:AlternateContent>
        <mc:AlternateContent xmlns:mc="http://schemas.openxmlformats.org/markup-compatibility/2006">
          <mc:Choice Requires="x14">
            <control shapeId="1096" r:id="rId22" name="Check Box 72">
              <controlPr defaultSize="0" autoFill="0" autoLine="0" autoPict="0">
                <anchor moveWithCells="1">
                  <from>
                    <xdr:col>33</xdr:col>
                    <xdr:colOff>114300</xdr:colOff>
                    <xdr:row>22</xdr:row>
                    <xdr:rowOff>123825</xdr:rowOff>
                  </from>
                  <to>
                    <xdr:col>35</xdr:col>
                    <xdr:colOff>19050</xdr:colOff>
                    <xdr:row>24</xdr:row>
                    <xdr:rowOff>95250</xdr:rowOff>
                  </to>
                </anchor>
              </controlPr>
            </control>
          </mc:Choice>
        </mc:AlternateContent>
        <mc:AlternateContent xmlns:mc="http://schemas.openxmlformats.org/markup-compatibility/2006">
          <mc:Choice Requires="x14">
            <control shapeId="1097" r:id="rId23" name="Check Box 73">
              <controlPr defaultSize="0" autoFill="0" autoLine="0" autoPict="0">
                <anchor moveWithCells="1">
                  <from>
                    <xdr:col>28</xdr:col>
                    <xdr:colOff>180975</xdr:colOff>
                    <xdr:row>22</xdr:row>
                    <xdr:rowOff>123825</xdr:rowOff>
                  </from>
                  <to>
                    <xdr:col>30</xdr:col>
                    <xdr:colOff>85725</xdr:colOff>
                    <xdr:row>24</xdr:row>
                    <xdr:rowOff>95250</xdr:rowOff>
                  </to>
                </anchor>
              </controlPr>
            </control>
          </mc:Choice>
        </mc:AlternateContent>
        <mc:AlternateContent xmlns:mc="http://schemas.openxmlformats.org/markup-compatibility/2006">
          <mc:Choice Requires="x14">
            <control shapeId="1099" r:id="rId24" name="Check Box 75">
              <controlPr defaultSize="0" autoFill="0" autoLine="0" autoPict="0">
                <anchor moveWithCells="1">
                  <from>
                    <xdr:col>12</xdr:col>
                    <xdr:colOff>0</xdr:colOff>
                    <xdr:row>22</xdr:row>
                    <xdr:rowOff>123825</xdr:rowOff>
                  </from>
                  <to>
                    <xdr:col>13</xdr:col>
                    <xdr:colOff>104775</xdr:colOff>
                    <xdr:row>24</xdr:row>
                    <xdr:rowOff>95250</xdr:rowOff>
                  </to>
                </anchor>
              </controlPr>
            </control>
          </mc:Choice>
        </mc:AlternateContent>
        <mc:AlternateContent xmlns:mc="http://schemas.openxmlformats.org/markup-compatibility/2006">
          <mc:Choice Requires="x14">
            <control shapeId="1103" r:id="rId25" name="Check Box 79">
              <controlPr defaultSize="0" autoFill="0" autoLine="0" autoPict="0">
                <anchor moveWithCells="1">
                  <from>
                    <xdr:col>7</xdr:col>
                    <xdr:colOff>0</xdr:colOff>
                    <xdr:row>17</xdr:row>
                    <xdr:rowOff>123825</xdr:rowOff>
                  </from>
                  <to>
                    <xdr:col>8</xdr:col>
                    <xdr:colOff>104775</xdr:colOff>
                    <xdr:row>19</xdr:row>
                    <xdr:rowOff>95250</xdr:rowOff>
                  </to>
                </anchor>
              </controlPr>
            </control>
          </mc:Choice>
        </mc:AlternateContent>
        <mc:AlternateContent xmlns:mc="http://schemas.openxmlformats.org/markup-compatibility/2006">
          <mc:Choice Requires="x14">
            <control shapeId="1104" r:id="rId26" name="Check Box 80">
              <controlPr defaultSize="0" autoFill="0" autoLine="0" autoPict="0">
                <anchor moveWithCells="1">
                  <from>
                    <xdr:col>7</xdr:col>
                    <xdr:colOff>0</xdr:colOff>
                    <xdr:row>19</xdr:row>
                    <xdr:rowOff>123825</xdr:rowOff>
                  </from>
                  <to>
                    <xdr:col>8</xdr:col>
                    <xdr:colOff>104775</xdr:colOff>
                    <xdr:row>21</xdr:row>
                    <xdr:rowOff>95250</xdr:rowOff>
                  </to>
                </anchor>
              </controlPr>
            </control>
          </mc:Choice>
        </mc:AlternateContent>
        <mc:AlternateContent xmlns:mc="http://schemas.openxmlformats.org/markup-compatibility/2006">
          <mc:Choice Requires="x14">
            <control shapeId="1105" r:id="rId27" name="Check Box 81">
              <controlPr defaultSize="0" autoFill="0" autoLine="0" autoPict="0">
                <anchor moveWithCells="1">
                  <from>
                    <xdr:col>7</xdr:col>
                    <xdr:colOff>0</xdr:colOff>
                    <xdr:row>20</xdr:row>
                    <xdr:rowOff>114300</xdr:rowOff>
                  </from>
                  <to>
                    <xdr:col>8</xdr:col>
                    <xdr:colOff>104775</xdr:colOff>
                    <xdr:row>22</xdr:row>
                    <xdr:rowOff>85725</xdr:rowOff>
                  </to>
                </anchor>
              </controlPr>
            </control>
          </mc:Choice>
        </mc:AlternateContent>
        <mc:AlternateContent xmlns:mc="http://schemas.openxmlformats.org/markup-compatibility/2006">
          <mc:Choice Requires="x14">
            <control shapeId="1106" r:id="rId28" name="Check Box 82">
              <controlPr defaultSize="0" autoFill="0" autoLine="0" autoPict="0">
                <anchor moveWithCells="1">
                  <from>
                    <xdr:col>7</xdr:col>
                    <xdr:colOff>0</xdr:colOff>
                    <xdr:row>22</xdr:row>
                    <xdr:rowOff>114300</xdr:rowOff>
                  </from>
                  <to>
                    <xdr:col>8</xdr:col>
                    <xdr:colOff>104775</xdr:colOff>
                    <xdr:row>24</xdr:row>
                    <xdr:rowOff>85725</xdr:rowOff>
                  </to>
                </anchor>
              </controlPr>
            </control>
          </mc:Choice>
        </mc:AlternateContent>
        <mc:AlternateContent xmlns:mc="http://schemas.openxmlformats.org/markup-compatibility/2006">
          <mc:Choice Requires="x14">
            <control shapeId="1109" r:id="rId29" name="Check Box 85">
              <controlPr defaultSize="0" autoFill="0" autoLine="0" autoPict="0">
                <anchor moveWithCells="1">
                  <from>
                    <xdr:col>7</xdr:col>
                    <xdr:colOff>0</xdr:colOff>
                    <xdr:row>21</xdr:row>
                    <xdr:rowOff>114300</xdr:rowOff>
                  </from>
                  <to>
                    <xdr:col>8</xdr:col>
                    <xdr:colOff>104775</xdr:colOff>
                    <xdr:row>23</xdr:row>
                    <xdr:rowOff>85725</xdr:rowOff>
                  </to>
                </anchor>
              </controlPr>
            </control>
          </mc:Choice>
        </mc:AlternateContent>
        <mc:AlternateContent xmlns:mc="http://schemas.openxmlformats.org/markup-compatibility/2006">
          <mc:Choice Requires="x14">
            <control shapeId="1110" r:id="rId30" name="Check Box 86">
              <controlPr defaultSize="0" autoFill="0" autoLine="0" autoPict="0">
                <anchor moveWithCells="1">
                  <from>
                    <xdr:col>7</xdr:col>
                    <xdr:colOff>0</xdr:colOff>
                    <xdr:row>18</xdr:row>
                    <xdr:rowOff>123825</xdr:rowOff>
                  </from>
                  <to>
                    <xdr:col>8</xdr:col>
                    <xdr:colOff>104775</xdr:colOff>
                    <xdr:row>20</xdr:row>
                    <xdr:rowOff>95250</xdr:rowOff>
                  </to>
                </anchor>
              </controlPr>
            </control>
          </mc:Choice>
        </mc:AlternateContent>
        <mc:AlternateContent xmlns:mc="http://schemas.openxmlformats.org/markup-compatibility/2006">
          <mc:Choice Requires="x14">
            <control shapeId="1111" r:id="rId31" name="Check Box 87">
              <controlPr defaultSize="0" autoFill="0" autoLine="0" autoPict="0">
                <anchor moveWithCells="1" sizeWithCells="1">
                  <from>
                    <xdr:col>64</xdr:col>
                    <xdr:colOff>19050</xdr:colOff>
                    <xdr:row>11</xdr:row>
                    <xdr:rowOff>152400</xdr:rowOff>
                  </from>
                  <to>
                    <xdr:col>65</xdr:col>
                    <xdr:colOff>123825</xdr:colOff>
                    <xdr:row>13</xdr:row>
                    <xdr:rowOff>47625</xdr:rowOff>
                  </to>
                </anchor>
              </controlPr>
            </control>
          </mc:Choice>
        </mc:AlternateContent>
        <mc:AlternateContent xmlns:mc="http://schemas.openxmlformats.org/markup-compatibility/2006">
          <mc:Choice Requires="x14">
            <control shapeId="1112" r:id="rId32" name="Check Box 88">
              <controlPr defaultSize="0" autoFill="0" autoLine="0" autoPict="0">
                <anchor moveWithCells="1" sizeWithCells="1">
                  <from>
                    <xdr:col>64</xdr:col>
                    <xdr:colOff>19050</xdr:colOff>
                    <xdr:row>13</xdr:row>
                    <xdr:rowOff>152400</xdr:rowOff>
                  </from>
                  <to>
                    <xdr:col>65</xdr:col>
                    <xdr:colOff>123825</xdr:colOff>
                    <xdr:row>15</xdr:row>
                    <xdr:rowOff>47625</xdr:rowOff>
                  </to>
                </anchor>
              </controlPr>
            </control>
          </mc:Choice>
        </mc:AlternateContent>
        <mc:AlternateContent xmlns:mc="http://schemas.openxmlformats.org/markup-compatibility/2006">
          <mc:Choice Requires="x14">
            <control shapeId="1113" r:id="rId33" name="Check Box 89">
              <controlPr defaultSize="0" autoFill="0" autoLine="0" autoPict="0">
                <anchor moveWithCells="1" sizeWithCells="1">
                  <from>
                    <xdr:col>64</xdr:col>
                    <xdr:colOff>19050</xdr:colOff>
                    <xdr:row>12</xdr:row>
                    <xdr:rowOff>152400</xdr:rowOff>
                  </from>
                  <to>
                    <xdr:col>65</xdr:col>
                    <xdr:colOff>123825</xdr:colOff>
                    <xdr:row>14</xdr:row>
                    <xdr:rowOff>47625</xdr:rowOff>
                  </to>
                </anchor>
              </controlPr>
            </control>
          </mc:Choice>
        </mc:AlternateContent>
        <mc:AlternateContent xmlns:mc="http://schemas.openxmlformats.org/markup-compatibility/2006">
          <mc:Choice Requires="x14">
            <control shapeId="1114" r:id="rId34" name="Check Box 90">
              <controlPr defaultSize="0" autoFill="0" autoLine="0" autoPict="0">
                <anchor moveWithCells="1">
                  <from>
                    <xdr:col>7</xdr:col>
                    <xdr:colOff>57150</xdr:colOff>
                    <xdr:row>32</xdr:row>
                    <xdr:rowOff>19050</xdr:rowOff>
                  </from>
                  <to>
                    <xdr:col>8</xdr:col>
                    <xdr:colOff>161925</xdr:colOff>
                    <xdr:row>33</xdr:row>
                    <xdr:rowOff>190500</xdr:rowOff>
                  </to>
                </anchor>
              </controlPr>
            </control>
          </mc:Choice>
        </mc:AlternateContent>
        <mc:AlternateContent xmlns:mc="http://schemas.openxmlformats.org/markup-compatibility/2006">
          <mc:Choice Requires="x14">
            <control shapeId="1115" r:id="rId35" name="Check Box 91">
              <controlPr defaultSize="0" autoFill="0" autoLine="0" autoPict="0">
                <anchor moveWithCells="1">
                  <from>
                    <xdr:col>10</xdr:col>
                    <xdr:colOff>9525</xdr:colOff>
                    <xdr:row>31</xdr:row>
                    <xdr:rowOff>123825</xdr:rowOff>
                  </from>
                  <to>
                    <xdr:col>11</xdr:col>
                    <xdr:colOff>114300</xdr:colOff>
                    <xdr:row>33</xdr:row>
                    <xdr:rowOff>95250</xdr:rowOff>
                  </to>
                </anchor>
              </controlPr>
            </control>
          </mc:Choice>
        </mc:AlternateContent>
        <mc:AlternateContent xmlns:mc="http://schemas.openxmlformats.org/markup-compatibility/2006">
          <mc:Choice Requires="x14">
            <control shapeId="1116" r:id="rId36" name="Check Box 92">
              <controlPr defaultSize="0" autoFill="0" autoLine="0" autoPict="0">
                <anchor moveWithCells="1">
                  <from>
                    <xdr:col>15</xdr:col>
                    <xdr:colOff>0</xdr:colOff>
                    <xdr:row>31</xdr:row>
                    <xdr:rowOff>123825</xdr:rowOff>
                  </from>
                  <to>
                    <xdr:col>16</xdr:col>
                    <xdr:colOff>104775</xdr:colOff>
                    <xdr:row>33</xdr:row>
                    <xdr:rowOff>95250</xdr:rowOff>
                  </to>
                </anchor>
              </controlPr>
            </control>
          </mc:Choice>
        </mc:AlternateContent>
        <mc:AlternateContent xmlns:mc="http://schemas.openxmlformats.org/markup-compatibility/2006">
          <mc:Choice Requires="x14">
            <control shapeId="1117" r:id="rId37" name="Check Box 93">
              <controlPr defaultSize="0" autoFill="0" autoLine="0" autoPict="0">
                <anchor moveWithCells="1">
                  <from>
                    <xdr:col>15</xdr:col>
                    <xdr:colOff>0</xdr:colOff>
                    <xdr:row>32</xdr:row>
                    <xdr:rowOff>123825</xdr:rowOff>
                  </from>
                  <to>
                    <xdr:col>16</xdr:col>
                    <xdr:colOff>104775</xdr:colOff>
                    <xdr:row>34</xdr:row>
                    <xdr:rowOff>95250</xdr:rowOff>
                  </to>
                </anchor>
              </controlPr>
            </control>
          </mc:Choice>
        </mc:AlternateContent>
        <mc:AlternateContent xmlns:mc="http://schemas.openxmlformats.org/markup-compatibility/2006">
          <mc:Choice Requires="x14">
            <control shapeId="1118" r:id="rId38" name="Check Box 94">
              <controlPr defaultSize="0" autoFill="0" autoLine="0" autoPict="0">
                <anchor moveWithCells="1">
                  <from>
                    <xdr:col>18</xdr:col>
                    <xdr:colOff>9525</xdr:colOff>
                    <xdr:row>32</xdr:row>
                    <xdr:rowOff>123825</xdr:rowOff>
                  </from>
                  <to>
                    <xdr:col>19</xdr:col>
                    <xdr:colOff>114300</xdr:colOff>
                    <xdr:row>34</xdr:row>
                    <xdr:rowOff>95250</xdr:rowOff>
                  </to>
                </anchor>
              </controlPr>
            </control>
          </mc:Choice>
        </mc:AlternateContent>
        <mc:AlternateContent xmlns:mc="http://schemas.openxmlformats.org/markup-compatibility/2006">
          <mc:Choice Requires="x14">
            <control shapeId="1119" r:id="rId39" name="Check Box 95">
              <controlPr defaultSize="0" autoFill="0" autoLine="0" autoPict="0">
                <anchor moveWithCells="1">
                  <from>
                    <xdr:col>22</xdr:col>
                    <xdr:colOff>9525</xdr:colOff>
                    <xdr:row>32</xdr:row>
                    <xdr:rowOff>123825</xdr:rowOff>
                  </from>
                  <to>
                    <xdr:col>23</xdr:col>
                    <xdr:colOff>114300</xdr:colOff>
                    <xdr:row>34</xdr:row>
                    <xdr:rowOff>95250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創業計画書</vt:lpstr>
      <vt:lpstr>創業計画書!Print_Area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2019-04-19T07:43:07Z</dcterms:created>
  <dcterms:modified xsi:type="dcterms:W3CDTF">2026-07-16T05:24:02Z</dcterms:modified>
</cp:coreProperties>
</file>