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事業計画書" sheetId="1" state="visible" r:id="rId3"/>
  </sheets>
  <definedNames>
    <definedName function="false" hidden="false" localSheetId="0" name="_xlnm.Print_Area" vbProcedure="false">事業計画書!$A$1:$X$110</definedName>
    <definedName function="false" hidden="true" name="_AMO_UniqueIdentifier" vbProcedure="false">"'75ffea98-370b-4942-bb3c-460d955cacca'"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<sst xmlns="http://schemas.openxmlformats.org/spreadsheetml/2006/main" count="122" uniqueCount="95">
  <si>
    <t xml:space="preserve">事業計画書</t>
  </si>
  <si>
    <t xml:space="preserve"> 財務</t>
  </si>
  <si>
    <t xml:space="preserve">○</t>
  </si>
  <si>
    <t xml:space="preserve">設備投資計画の策定</t>
  </si>
  <si>
    <t xml:space="preserve">              </t>
  </si>
  <si>
    <t xml:space="preserve">　</t>
  </si>
  <si>
    <t xml:space="preserve">資金繰り計画の策定</t>
  </si>
  <si>
    <t xml:space="preserve">売掛金の回収期間長期化</t>
  </si>
  <si>
    <t xml:space="preserve">在庫の削減</t>
  </si>
  <si>
    <t xml:space="preserve">　　　2026年　10月　1日</t>
  </si>
  <si>
    <t xml:space="preserve">その他（　　　　　　）</t>
  </si>
  <si>
    <t xml:space="preserve">住　所</t>
  </si>
  <si>
    <t xml:space="preserve"> その他</t>
  </si>
  <si>
    <t xml:space="preserve">（　　　　　　　　　　）</t>
  </si>
  <si>
    <t xml:space="preserve">事業者</t>
  </si>
  <si>
    <t xml:space="preserve">（  　　　　　　　　　）</t>
  </si>
  <si>
    <t xml:space="preserve">２．業績推移と今後の計画</t>
  </si>
  <si>
    <t xml:space="preserve">（単位：万円）</t>
  </si>
  <si>
    <t xml:space="preserve">【 項目１～４は事業者が記載し、項目５～６は認定経営革新等支援機関等が記載してください 】</t>
  </si>
  <si>
    <t xml:space="preserve">前期実績</t>
  </si>
  <si>
    <t xml:space="preserve">今期見込</t>
  </si>
  <si>
    <t xml:space="preserve">計画１期目</t>
  </si>
  <si>
    <t xml:space="preserve">計画２期目</t>
  </si>
  <si>
    <t xml:space="preserve">計画３期目</t>
  </si>
  <si>
    <t xml:space="preserve">最終目標</t>
  </si>
  <si>
    <t xml:space="preserve">１．現況、新商品の開発または新役務の内容、課題・重点取組項目、具体策</t>
  </si>
  <si>
    <t xml:space="preserve">-</t>
  </si>
  <si>
    <t xml:space="preserve">／　 期</t>
  </si>
  <si>
    <t xml:space="preserve">2026/1期</t>
  </si>
  <si>
    <t xml:space="preserve">2027/2期</t>
  </si>
  <si>
    <t xml:space="preserve">2028/3期</t>
  </si>
  <si>
    <t xml:space="preserve">2041/15期</t>
  </si>
  <si>
    <t xml:space="preserve">≪ 現況（創業の場合は創業する目的、動機）≫
</t>
  </si>
  <si>
    <t xml:space="preserve"> 売上高</t>
  </si>
  <si>
    <t xml:space="preserve">2026年10月に株式会社設立予定。関東圏の製造業向けにFA設備とRTSの販売・レンタルを行う。</t>
  </si>
  <si>
    <t xml:space="preserve"> 売上原価</t>
  </si>
  <si>
    <t xml:space="preserve"> Ａうち減価償却費</t>
  </si>
  <si>
    <t xml:space="preserve"> 売上高総利益</t>
  </si>
  <si>
    <t xml:space="preserve"> 販売管理費</t>
  </si>
  <si>
    <t xml:space="preserve">≪ 新商品の開発または新役務の内容 ≫
</t>
  </si>
  <si>
    <t xml:space="preserve"> 人件費</t>
  </si>
  <si>
    <t xml:space="preserve">①FA設備の設計・製作・販売、②RTS標準機の販売、③RTSレンタル、④カスタムプログラム・訪問サポートを提供。
標準品とカスタム対応を組み合わせ、販売＋レンタルで継続収益を積み上げる。
RTSシステムを標準プラットフォームとして展開し、設計業務のみならず、設備製作・制御・立上げ・保守までを一括受注できる体制を構築する。また、蓄積した設計ノウハウを標準化し、AIやIoTを活用した次世代スマートファクトリーへの対応を進める。製造業では、生産データの活用や設備の見える化を組み合わせたFAシステムへの需要が拡大している。</t>
  </si>
  <si>
    <t xml:space="preserve"> うち役員報酬</t>
  </si>
  <si>
    <t xml:space="preserve"> Ｂ減価償却費</t>
  </si>
  <si>
    <t xml:space="preserve"> 営業利益</t>
  </si>
  <si>
    <t xml:space="preserve"> 営業外収益</t>
  </si>
  <si>
    <t xml:space="preserve"> 営業外費用</t>
  </si>
  <si>
    <t xml:space="preserve"> Ｃ 経常利益</t>
  </si>
  <si>
    <t xml:space="preserve">経営上の課題項目
（創業の場合は、重点取組項目）
〔 該当項目に○またはチェック 〕</t>
  </si>
  <si>
    <t xml:space="preserve">課題項目または重点取組項目を踏まえた具体策</t>
  </si>
  <si>
    <t xml:space="preserve"> 特別損益</t>
  </si>
  <si>
    <t xml:space="preserve"> 法人税等</t>
  </si>
  <si>
    <t xml:space="preserve"> 当期利益</t>
  </si>
  <si>
    <t xml:space="preserve"> 経営全般</t>
  </si>
  <si>
    <t xml:space="preserve">関東中心に商社・紹介営業・自社HP・補助金活用提案で案件獲得を進める。
デモ機活用でRTSレンタル需要を取り込み、FA案件は原価率40〜60%帯で採算管理。
資金繰りは同時案件数を抑制し、固定費6か月分を確保する。</t>
  </si>
  <si>
    <t xml:space="preserve"> 総資産</t>
  </si>
  <si>
    <t xml:space="preserve">経営戦略の策定</t>
  </si>
  <si>
    <t xml:space="preserve"> 総負債</t>
  </si>
  <si>
    <t xml:space="preserve">ＩＴ化の遅れ</t>
  </si>
  <si>
    <t xml:space="preserve"> 自己資本</t>
  </si>
  <si>
    <t xml:space="preserve">事業の「選択と集中」</t>
  </si>
  <si>
    <t xml:space="preserve">事業承継・後継者問題</t>
  </si>
  <si>
    <t xml:space="preserve">３．借入金・社債の期末残高推移</t>
  </si>
  <si>
    <t xml:space="preserve"> 売上・収益</t>
  </si>
  <si>
    <t xml:space="preserve">営業力の強化</t>
  </si>
  <si>
    <t xml:space="preserve">販路拡大</t>
  </si>
  <si>
    <t xml:space="preserve">既存借入金
</t>
  </si>
  <si>
    <t xml:space="preserve">市場の競争激化</t>
  </si>
  <si>
    <t xml:space="preserve">商品開発力</t>
  </si>
  <si>
    <t xml:space="preserve">採算分析</t>
  </si>
  <si>
    <t xml:space="preserve">原価・経費の削減</t>
  </si>
  <si>
    <t xml:space="preserve"> 人材・マネジメント</t>
  </si>
  <si>
    <t xml:space="preserve">小　計</t>
  </si>
  <si>
    <t xml:space="preserve">管理者層の育成</t>
  </si>
  <si>
    <t xml:space="preserve">社　債</t>
  </si>
  <si>
    <t xml:space="preserve">必要な人材の採用</t>
  </si>
  <si>
    <t xml:space="preserve">新規借入金</t>
  </si>
  <si>
    <t xml:space="preserve">店舗マネジメントの向上</t>
  </si>
  <si>
    <t xml:space="preserve">Ｄ　合　計</t>
  </si>
  <si>
    <t xml:space="preserve">４．計画終了時の定量目標および達成に向けた行動計画等</t>
  </si>
  <si>
    <t xml:space="preserve">≪ 定量目標 ≫</t>
  </si>
  <si>
    <t xml:space="preserve">2028年に売上4,500万円、粗利率70％超
RTSレンタル売上1,000万円を目標とする。@15万円x12ヶ月x6式＝1080万円</t>
  </si>
  <si>
    <t xml:space="preserve">≪ 行動計画等 ≫</t>
  </si>
  <si>
    <t xml:space="preserve">2026年：デモ機2台整備、商社開拓、HP公開。
2027年：RTSレンタル4台稼働、関東案件拡大。
2028年：FA年2式、RTS販売5台、レンタル多機種化。</t>
  </si>
  <si>
    <t xml:space="preserve">固定費6か月分の手元資金維持、案件別採算管理、借入残高の計画的圧縮を財務目標とする。</t>
  </si>
  <si>
    <t xml:space="preserve">契約時前受金の確保、回収条件の見直し、部材発注の平準化、補助金活用で設備負担を抑制する。</t>
  </si>
  <si>
    <t xml:space="preserve">５．認定支援機関等の所見等</t>
  </si>
  <si>
    <t xml:space="preserve">≪　実施した経営革新等支援業務の内容　≫</t>
  </si>
  <si>
    <t xml:space="preserve">≪　新商品の開発または新役務の内容の所見　≫</t>
  </si>
  <si>
    <t xml:space="preserve">≪ 本計画の評価 ≫</t>
  </si>
  <si>
    <t xml:space="preserve">６．認定支援機関連絡先</t>
  </si>
  <si>
    <t xml:space="preserve"> 電話番号</t>
  </si>
  <si>
    <t xml:space="preserve"> 住　所</t>
  </si>
  <si>
    <t xml:space="preserve">機関名</t>
  </si>
  <si>
    <t xml:space="preserve">(担当者名)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</si>
</sst>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[RED]\-#,##0"/>
  </numFmts>
  <fonts count="11">
    <font>
      <sz val="11"/>
      <color theme="1"/>
      <name val="ＭＳ Ｐ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.5"/>
      <color theme="1"/>
      <name val="ＭＳ ゴシック"/>
      <family val="3"/>
      <charset val="128"/>
    </font>
    <font>
      <sz val="16"/>
      <color theme="1"/>
      <name val="ＭＳ ゴシック"/>
      <family val="3"/>
      <charset val="128"/>
    </font>
    <font>
      <sz val="12"/>
      <color theme="1"/>
      <name val="ＭＳ ゴシック"/>
      <family val="3"/>
      <charset val="128"/>
    </font>
    <font>
      <sz val="8"/>
      <color rgb="FF000000"/>
      <name val="ＭＳ ゴシック"/>
      <family val="3"/>
      <charset val="128"/>
    </font>
    <font>
      <u val="single"/>
      <sz val="10.5"/>
      <color theme="1"/>
      <name val="ＭＳ ゴシック"/>
      <family val="3"/>
      <charset val="128"/>
    </font>
    <font>
      <i val="true"/>
      <sz val="10.5"/>
      <color theme="1"/>
      <name val="ＭＳ ゴシック"/>
      <family val="3"/>
      <charset val="128"/>
    </font>
    <font>
      <sz val="10.5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2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true">
      <left style="thin"/>
      <right style="thin"/>
      <top style="thin"/>
      <bottom style="thin"/>
      <diagonal style="thin"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double"/>
      <right style="double"/>
      <top/>
      <bottom style="double"/>
      <diagonal/>
    </border>
    <border diagonalUp="false" diagonalDown="false">
      <left style="thin"/>
      <right style="thin"/>
      <top style="double"/>
      <bottom/>
      <diagonal/>
    </border>
    <border diagonalUp="false" diagonalDown="false">
      <left style="double"/>
      <right style="thin"/>
      <top style="thin"/>
      <bottom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/>
      <right style="thin"/>
      <top style="double"/>
      <bottom style="thin"/>
      <diagonal/>
    </border>
    <border diagonalUp="false" diagonalDown="false">
      <left style="thin"/>
      <right/>
      <top style="double"/>
      <bottom style="thin"/>
      <diagonal/>
    </border>
    <border diagonalUp="false" diagonalDown="false">
      <left style="double"/>
      <right style="thin"/>
      <top style="double"/>
      <bottom style="thin"/>
      <diagonal/>
    </border>
    <border diagonalUp="false" diagonalDown="false">
      <left style="thin"/>
      <right style="double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0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7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false" hidden="false"/>
    </xf>
    <xf numFmtId="164" fontId="4" fillId="0" borderId="7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4" fillId="0" borderId="7" xfId="0" applyFont="true" applyBorder="true" applyAlignment="true" applyProtection="true">
      <alignment horizontal="right" vertical="center" textRotation="0" wrapText="false" indent="1" shrinkToFit="false"/>
      <protection locked="false" hidden="false"/>
    </xf>
    <xf numFmtId="164" fontId="4" fillId="0" borderId="5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4" fillId="0" borderId="10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4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64" fontId="9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9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3" xfId="2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5" fontId="4" fillId="0" borderId="5" xfId="2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4" fillId="0" borderId="14" xfId="2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4" fillId="0" borderId="15" xfId="2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16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4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5" fontId="4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1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1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10" fillId="0" borderId="19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4" fillId="0" borderId="11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4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5" xfId="2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5" fontId="4" fillId="0" borderId="15" xfId="2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4" fillId="0" borderId="9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5" fontId="4" fillId="0" borderId="14" xfId="2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4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9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2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4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23" xfId="2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5" fontId="4" fillId="0" borderId="22" xfId="2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4" fillId="0" borderId="24" xfId="2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4" fillId="0" borderId="25" xfId="2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1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8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4" fillId="0" borderId="5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5" fontId="4" fillId="0" borderId="13" xfId="2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9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4" fillId="0" borderId="26" xfId="2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left" vertical="top" textRotation="0" wrapText="true" indent="0" shrinkToFit="false"/>
      <protection locked="false" hidden="false"/>
    </xf>
    <xf numFmtId="164" fontId="4" fillId="0" borderId="17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4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false" hidden="false"/>
    </xf>
    <xf numFmtId="164" fontId="4" fillId="0" borderId="1" xfId="0" applyFont="true" applyBorder="true" applyAlignment="true" applyProtection="true">
      <alignment horizontal="right" vertical="top" textRotation="0" wrapText="false" indent="0" shrinkToFit="false"/>
      <protection locked="fals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omma [0]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10"/>
  <sheetViews>
    <sheetView showFormulas="false" showGridLines="fals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J9" activeCellId="0" sqref="J9"/>
    </sheetView>
  </sheetViews>
  <sheetFormatPr defaultColWidth="9.00390625" defaultRowHeight="12.75" customHeight="false" zeroHeight="false" outlineLevelRow="0" outlineLevelCol="0"/>
  <cols>
    <col collapsed="false" customWidth="true" hidden="false" outlineLevel="0" max="1" min="1" style="1" width="3.25"/>
    <col collapsed="false" customWidth="true" hidden="false" outlineLevel="0" max="2" min="2" style="1" width="4.76"/>
    <col collapsed="false" customWidth="false" hidden="false" outlineLevel="0" max="3" min="3" style="1" width="9"/>
    <col collapsed="false" customWidth="true" hidden="false" outlineLevel="0" max="4" min="4" style="1" width="14.87"/>
    <col collapsed="false" customWidth="true" hidden="false" outlineLevel="0" max="6" min="5" style="1" width="6.76"/>
    <col collapsed="false" customWidth="true" hidden="false" outlineLevel="0" max="7" min="7" style="1" width="4.13"/>
    <col collapsed="false" customWidth="true" hidden="false" outlineLevel="0" max="8" min="8" style="1" width="3.25"/>
    <col collapsed="false" customWidth="true" hidden="false" outlineLevel="0" max="9" min="9" style="1" width="10"/>
    <col collapsed="false" customWidth="true" hidden="false" outlineLevel="0" max="10" min="10" style="1" width="11.87"/>
    <col collapsed="false" customWidth="true" hidden="false" outlineLevel="0" max="11" min="11" style="1" width="9.63"/>
    <col collapsed="false" customWidth="true" hidden="false" outlineLevel="0" max="12" min="12" style="1" width="5.76"/>
    <col collapsed="false" customWidth="true" hidden="false" outlineLevel="0" max="13" min="13" style="1" width="9.13"/>
    <col collapsed="false" customWidth="true" hidden="false" outlineLevel="0" max="14" min="14" style="1" width="2.25"/>
    <col collapsed="false" customWidth="true" hidden="false" outlineLevel="0" max="15" min="15" style="1" width="3.87"/>
    <col collapsed="false" customWidth="true" hidden="false" outlineLevel="0" max="16" min="16" style="1" width="4.76"/>
    <col collapsed="false" customWidth="true" hidden="false" outlineLevel="0" max="17" min="17" style="1" width="12.63"/>
    <col collapsed="false" customWidth="true" hidden="false" outlineLevel="0" max="23" min="18" style="1" width="11.63"/>
    <col collapsed="false" customWidth="true" hidden="false" outlineLevel="0" max="24" min="24" style="1" width="3.5"/>
    <col collapsed="false" customWidth="false" hidden="false" outlineLevel="0" max="16384" min="25" style="1" width="9"/>
  </cols>
  <sheetData>
    <row r="1" customFormat="false" ht="18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.7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</row>
    <row r="3" customFormat="false" ht="16.5" hidden="false" customHeight="true" outlineLevel="0" collapsed="false">
      <c r="A3" s="5"/>
      <c r="B3" s="6"/>
      <c r="C3" s="6"/>
      <c r="D3" s="6"/>
      <c r="E3" s="6"/>
      <c r="F3" s="6"/>
      <c r="G3" s="6"/>
      <c r="H3" s="6"/>
      <c r="I3" s="7"/>
      <c r="J3" s="6"/>
      <c r="K3" s="6"/>
      <c r="L3" s="6"/>
      <c r="M3" s="8"/>
      <c r="O3" s="9" t="s">
        <v>1</v>
      </c>
      <c r="P3" s="9"/>
      <c r="Q3" s="9"/>
      <c r="R3" s="9"/>
      <c r="S3" s="10"/>
      <c r="T3" s="10"/>
      <c r="U3" s="10"/>
      <c r="V3" s="10"/>
      <c r="W3" s="10"/>
    </row>
    <row r="4" customFormat="false" ht="15" hidden="false" customHeight="true" outlineLevel="0" collapsed="false">
      <c r="A4" s="11"/>
      <c r="C4" s="12"/>
      <c r="G4" s="13"/>
      <c r="H4" s="13"/>
      <c r="I4" s="7"/>
      <c r="M4" s="14"/>
      <c r="O4" s="15"/>
      <c r="P4" s="16" t="s">
        <v>2</v>
      </c>
      <c r="Q4" s="9" t="s">
        <v>3</v>
      </c>
      <c r="R4" s="9"/>
      <c r="S4" s="10"/>
      <c r="T4" s="10"/>
      <c r="U4" s="10"/>
      <c r="V4" s="10"/>
      <c r="W4" s="10"/>
    </row>
    <row r="5" customFormat="false" ht="15" hidden="false" customHeight="true" outlineLevel="0" collapsed="false">
      <c r="A5" s="11"/>
      <c r="G5" s="1" t="s">
        <v>4</v>
      </c>
      <c r="H5" s="1" t="s">
        <v>4</v>
      </c>
      <c r="I5" s="17"/>
      <c r="J5" s="17"/>
      <c r="K5" s="17"/>
      <c r="L5" s="17"/>
      <c r="M5" s="17"/>
      <c r="O5" s="11"/>
      <c r="P5" s="16" t="s">
        <v>5</v>
      </c>
      <c r="Q5" s="9" t="s">
        <v>6</v>
      </c>
      <c r="R5" s="9"/>
      <c r="S5" s="10"/>
      <c r="T5" s="10"/>
      <c r="U5" s="10"/>
      <c r="V5" s="10"/>
      <c r="W5" s="10"/>
    </row>
    <row r="6" customFormat="false" ht="15" hidden="false" customHeight="true" outlineLevel="0" collapsed="false">
      <c r="A6" s="11"/>
      <c r="I6" s="18"/>
      <c r="J6" s="18"/>
      <c r="K6" s="18"/>
      <c r="L6" s="18"/>
      <c r="M6" s="19"/>
      <c r="O6" s="11"/>
      <c r="P6" s="16"/>
      <c r="Q6" s="9" t="s">
        <v>7</v>
      </c>
      <c r="R6" s="9"/>
      <c r="S6" s="10"/>
      <c r="T6" s="10"/>
      <c r="U6" s="10"/>
      <c r="V6" s="10"/>
      <c r="W6" s="10"/>
    </row>
    <row r="7" customFormat="false" ht="15" hidden="false" customHeight="true" outlineLevel="0" collapsed="false">
      <c r="A7" s="11"/>
      <c r="I7" s="20"/>
      <c r="J7" s="21"/>
      <c r="K7" s="21"/>
      <c r="L7" s="21"/>
      <c r="M7" s="22"/>
      <c r="O7" s="11"/>
      <c r="P7" s="16"/>
      <c r="Q7" s="9" t="s">
        <v>8</v>
      </c>
      <c r="R7" s="9"/>
      <c r="S7" s="10"/>
      <c r="T7" s="10"/>
      <c r="U7" s="10"/>
      <c r="V7" s="10"/>
      <c r="W7" s="10"/>
    </row>
    <row r="8" customFormat="false" ht="15" hidden="false" customHeight="true" outlineLevel="0" collapsed="false">
      <c r="A8" s="11"/>
      <c r="I8" s="23" t="s">
        <v>9</v>
      </c>
      <c r="J8" s="23"/>
      <c r="K8" s="23"/>
      <c r="L8" s="23"/>
      <c r="M8" s="23"/>
      <c r="O8" s="11"/>
      <c r="P8" s="16"/>
      <c r="Q8" s="24" t="s">
        <v>10</v>
      </c>
      <c r="R8" s="24"/>
      <c r="S8" s="10"/>
      <c r="T8" s="10"/>
      <c r="U8" s="10"/>
      <c r="V8" s="10"/>
      <c r="W8" s="10"/>
    </row>
    <row r="9" customFormat="false" ht="15" hidden="false" customHeight="true" outlineLevel="0" collapsed="false">
      <c r="A9" s="11"/>
      <c r="I9" s="25" t="s">
        <v>11</v>
      </c>
      <c r="J9" s="26"/>
      <c r="K9" s="26"/>
      <c r="L9" s="26"/>
      <c r="M9" s="26"/>
      <c r="O9" s="9" t="s">
        <v>12</v>
      </c>
      <c r="P9" s="9"/>
      <c r="Q9" s="9"/>
      <c r="R9" s="9"/>
      <c r="S9" s="10"/>
      <c r="T9" s="10"/>
      <c r="U9" s="10"/>
      <c r="V9" s="10"/>
      <c r="W9" s="10"/>
    </row>
    <row r="10" customFormat="false" ht="15" hidden="false" customHeight="true" outlineLevel="0" collapsed="false">
      <c r="A10" s="11"/>
      <c r="I10" s="25"/>
      <c r="J10" s="26"/>
      <c r="K10" s="26"/>
      <c r="L10" s="26"/>
      <c r="M10" s="26"/>
      <c r="O10" s="15"/>
      <c r="P10" s="16"/>
      <c r="Q10" s="24" t="s">
        <v>13</v>
      </c>
      <c r="R10" s="24"/>
      <c r="S10" s="10"/>
      <c r="T10" s="10"/>
      <c r="U10" s="10"/>
      <c r="V10" s="10"/>
      <c r="W10" s="10"/>
    </row>
    <row r="11" customFormat="false" ht="15" hidden="false" customHeight="true" outlineLevel="0" collapsed="false">
      <c r="A11" s="11"/>
      <c r="I11" s="25" t="s">
        <v>14</v>
      </c>
      <c r="J11" s="27"/>
      <c r="K11" s="27"/>
      <c r="L11" s="27"/>
      <c r="M11" s="27"/>
      <c r="O11" s="28"/>
      <c r="P11" s="29"/>
      <c r="Q11" s="24" t="s">
        <v>15</v>
      </c>
      <c r="R11" s="24"/>
      <c r="S11" s="10"/>
      <c r="T11" s="10"/>
      <c r="U11" s="10"/>
      <c r="V11" s="10"/>
      <c r="W11" s="10"/>
    </row>
    <row r="12" customFormat="false" ht="15" hidden="false" customHeight="true" outlineLevel="0" collapsed="false">
      <c r="A12" s="11"/>
      <c r="I12" s="25"/>
      <c r="J12" s="27"/>
      <c r="K12" s="27"/>
      <c r="L12" s="27"/>
      <c r="M12" s="27"/>
    </row>
    <row r="13" customFormat="false" ht="10.5" hidden="false" customHeight="true" outlineLevel="0" collapsed="false">
      <c r="A13" s="28"/>
      <c r="B13" s="30"/>
      <c r="C13" s="30"/>
      <c r="D13" s="30"/>
      <c r="E13" s="30"/>
      <c r="F13" s="30"/>
      <c r="G13" s="30"/>
      <c r="H13" s="30"/>
      <c r="I13" s="30"/>
      <c r="J13" s="31"/>
      <c r="K13" s="32"/>
      <c r="L13" s="32"/>
      <c r="M13" s="33"/>
      <c r="O13" s="1" t="s">
        <v>16</v>
      </c>
      <c r="W13" s="34" t="s">
        <v>17</v>
      </c>
    </row>
    <row r="14" customFormat="false" ht="15" hidden="false" customHeight="true" outlineLevel="0" collapsed="false">
      <c r="A14" s="35" t="s">
        <v>18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O14" s="36"/>
      <c r="P14" s="36"/>
      <c r="Q14" s="36"/>
      <c r="R14" s="37" t="s">
        <v>19</v>
      </c>
      <c r="S14" s="38" t="s">
        <v>20</v>
      </c>
      <c r="T14" s="38" t="s">
        <v>21</v>
      </c>
      <c r="U14" s="38" t="s">
        <v>22</v>
      </c>
      <c r="V14" s="39" t="s">
        <v>23</v>
      </c>
      <c r="W14" s="40" t="s">
        <v>24</v>
      </c>
    </row>
    <row r="15" customFormat="false" ht="15" hidden="false" customHeight="true" outlineLevel="0" collapsed="false">
      <c r="A15" s="41" t="s">
        <v>25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O15" s="36"/>
      <c r="P15" s="36"/>
      <c r="Q15" s="36"/>
      <c r="R15" s="29" t="s">
        <v>26</v>
      </c>
      <c r="S15" s="29" t="s">
        <v>27</v>
      </c>
      <c r="T15" s="29" t="s">
        <v>28</v>
      </c>
      <c r="U15" s="29" t="s">
        <v>29</v>
      </c>
      <c r="V15" s="29" t="s">
        <v>30</v>
      </c>
      <c r="W15" s="42" t="s">
        <v>31</v>
      </c>
    </row>
    <row r="16" customFormat="false" ht="15" hidden="false" customHeight="true" outlineLevel="0" collapsed="false">
      <c r="A16" s="43" t="s">
        <v>32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O16" s="9" t="s">
        <v>33</v>
      </c>
      <c r="P16" s="9"/>
      <c r="Q16" s="9"/>
      <c r="R16" s="44"/>
      <c r="S16" s="45"/>
      <c r="T16" s="45" t="n">
        <v>1500</v>
      </c>
      <c r="U16" s="45" t="n">
        <v>3000</v>
      </c>
      <c r="V16" s="46" t="n">
        <v>4500</v>
      </c>
      <c r="W16" s="47" t="n">
        <v>50000</v>
      </c>
    </row>
    <row r="17" customFormat="false" ht="15" hidden="false" customHeight="true" outlineLevel="0" collapsed="false">
      <c r="A17" s="48" t="s">
        <v>34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O17" s="9" t="s">
        <v>35</v>
      </c>
      <c r="P17" s="9"/>
      <c r="Q17" s="9"/>
      <c r="R17" s="44"/>
      <c r="S17" s="45"/>
      <c r="T17" s="45" t="n">
        <v>250</v>
      </c>
      <c r="U17" s="45" t="n">
        <v>500</v>
      </c>
      <c r="V17" s="46" t="n">
        <v>750</v>
      </c>
      <c r="W17" s="47" t="n">
        <v>10000</v>
      </c>
    </row>
    <row r="18" customFormat="false" ht="15" hidden="false" customHeight="true" outlineLevel="0" collapsed="false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O18" s="49"/>
      <c r="P18" s="50" t="s">
        <v>36</v>
      </c>
      <c r="Q18" s="50"/>
      <c r="R18" s="44"/>
      <c r="S18" s="45"/>
      <c r="T18" s="45"/>
      <c r="U18" s="45"/>
      <c r="V18" s="46"/>
      <c r="W18" s="47"/>
    </row>
    <row r="19" customFormat="false" ht="15" hidden="false" customHeight="true" outlineLevel="0" collapsed="false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O19" s="9" t="s">
        <v>37</v>
      </c>
      <c r="P19" s="9"/>
      <c r="Q19" s="9"/>
      <c r="R19" s="51" t="n">
        <f aca="false">R16-R17</f>
        <v>0</v>
      </c>
      <c r="S19" s="51" t="n">
        <f aca="false">S16-S17</f>
        <v>0</v>
      </c>
      <c r="T19" s="51" t="n">
        <f aca="false">T16-T17</f>
        <v>1250</v>
      </c>
      <c r="U19" s="51" t="n">
        <f aca="false">U16-U17</f>
        <v>2500</v>
      </c>
      <c r="V19" s="52" t="n">
        <f aca="false">V16-V17</f>
        <v>3750</v>
      </c>
      <c r="W19" s="53" t="n">
        <f aca="false">W16-W17</f>
        <v>40000</v>
      </c>
    </row>
    <row r="20" customFormat="false" ht="15" hidden="false" customHeight="true" outlineLevel="0" collapsed="false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O20" s="54" t="s">
        <v>38</v>
      </c>
      <c r="P20" s="54"/>
      <c r="Q20" s="54"/>
      <c r="R20" s="44"/>
      <c r="S20" s="44"/>
      <c r="T20" s="44" t="n">
        <f aca="false">T21+T22</f>
        <v>600</v>
      </c>
      <c r="U20" s="44" t="n">
        <f aca="false">U21+U22</f>
        <v>950</v>
      </c>
      <c r="V20" s="44" t="n">
        <f aca="false">V21+V22</f>
        <v>1200</v>
      </c>
      <c r="W20" s="47" t="n">
        <f aca="false">W21+W22</f>
        <v>3000</v>
      </c>
    </row>
    <row r="21" customFormat="false" ht="15" hidden="false" customHeight="true" outlineLevel="0" collapsed="false">
      <c r="A21" s="55" t="s">
        <v>39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O21" s="15"/>
      <c r="P21" s="56" t="s">
        <v>40</v>
      </c>
      <c r="Q21" s="56"/>
      <c r="R21" s="44"/>
      <c r="S21" s="44"/>
      <c r="T21" s="44" t="n">
        <v>100</v>
      </c>
      <c r="U21" s="44" t="n">
        <v>200</v>
      </c>
      <c r="V21" s="44" t="n">
        <v>200</v>
      </c>
      <c r="W21" s="47" t="n">
        <v>500</v>
      </c>
    </row>
    <row r="22" customFormat="false" ht="15" hidden="false" customHeight="true" outlineLevel="0" collapsed="false">
      <c r="A22" s="57" t="s">
        <v>41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O22" s="11"/>
      <c r="P22" s="58"/>
      <c r="Q22" s="50" t="s">
        <v>42</v>
      </c>
      <c r="R22" s="44"/>
      <c r="S22" s="44"/>
      <c r="T22" s="44" t="n">
        <v>500</v>
      </c>
      <c r="U22" s="44" t="n">
        <v>750</v>
      </c>
      <c r="V22" s="44" t="n">
        <v>1000</v>
      </c>
      <c r="W22" s="47" t="n">
        <v>2500</v>
      </c>
    </row>
    <row r="23" customFormat="false" ht="15" hidden="false" customHeight="true" outlineLevel="0" collapsed="false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O23" s="11"/>
      <c r="P23" s="59" t="s">
        <v>43</v>
      </c>
      <c r="Q23" s="59"/>
      <c r="R23" s="44"/>
      <c r="S23" s="45"/>
      <c r="T23" s="45"/>
      <c r="U23" s="45"/>
      <c r="V23" s="46"/>
      <c r="W23" s="47"/>
    </row>
    <row r="24" customFormat="false" ht="15" hidden="false" customHeight="true" outlineLevel="0" collapsed="false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O24" s="9" t="s">
        <v>44</v>
      </c>
      <c r="P24" s="9"/>
      <c r="Q24" s="9"/>
      <c r="R24" s="51" t="n">
        <f aca="false">R19-R20</f>
        <v>0</v>
      </c>
      <c r="S24" s="51" t="n">
        <f aca="false">S19-S20</f>
        <v>0</v>
      </c>
      <c r="T24" s="51" t="n">
        <f aca="false">T19-T20</f>
        <v>650</v>
      </c>
      <c r="U24" s="51" t="n">
        <f aca="false">U19-U20</f>
        <v>1550</v>
      </c>
      <c r="V24" s="52" t="n">
        <f aca="false">V19-V20</f>
        <v>2550</v>
      </c>
      <c r="W24" s="53" t="n">
        <f aca="false">W19-W20</f>
        <v>37000</v>
      </c>
    </row>
    <row r="25" customFormat="false" ht="15" hidden="false" customHeight="true" outlineLevel="0" collapsed="false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O25" s="60"/>
      <c r="P25" s="56" t="s">
        <v>45</v>
      </c>
      <c r="Q25" s="56"/>
      <c r="R25" s="44"/>
      <c r="S25" s="61"/>
      <c r="T25" s="61"/>
      <c r="U25" s="61"/>
      <c r="V25" s="61"/>
      <c r="W25" s="62"/>
    </row>
    <row r="26" customFormat="false" ht="15" hidden="false" customHeight="true" outlineLevel="0" collapsed="false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O26" s="11"/>
      <c r="P26" s="63" t="s">
        <v>46</v>
      </c>
      <c r="Q26" s="63"/>
      <c r="R26" s="44"/>
      <c r="S26" s="61"/>
      <c r="T26" s="61"/>
      <c r="U26" s="61"/>
      <c r="V26" s="64"/>
      <c r="W26" s="62"/>
    </row>
    <row r="27" customFormat="false" ht="15" hidden="false" customHeight="true" outlineLevel="0" collapsed="false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O27" s="9" t="s">
        <v>47</v>
      </c>
      <c r="P27" s="9"/>
      <c r="Q27" s="9"/>
      <c r="R27" s="51" t="n">
        <f aca="false">R24+R25-R26</f>
        <v>0</v>
      </c>
      <c r="S27" s="51" t="n">
        <f aca="false">S24+S25-S26</f>
        <v>0</v>
      </c>
      <c r="T27" s="51" t="n">
        <f aca="false">T24+T25-T26</f>
        <v>650</v>
      </c>
      <c r="U27" s="51" t="n">
        <f aca="false">U24+U25-U26</f>
        <v>1550</v>
      </c>
      <c r="V27" s="52" t="n">
        <f aca="false">V24+V25-V26</f>
        <v>2550</v>
      </c>
      <c r="W27" s="53" t="n">
        <f aca="false">W24+W25-W26</f>
        <v>37000</v>
      </c>
    </row>
    <row r="28" customFormat="false" ht="15" hidden="false" customHeight="true" outlineLevel="0" collapsed="false">
      <c r="A28" s="65" t="s">
        <v>48</v>
      </c>
      <c r="B28" s="65"/>
      <c r="C28" s="65"/>
      <c r="D28" s="65"/>
      <c r="E28" s="66" t="s">
        <v>49</v>
      </c>
      <c r="F28" s="66"/>
      <c r="G28" s="66"/>
      <c r="H28" s="66"/>
      <c r="I28" s="66"/>
      <c r="J28" s="66"/>
      <c r="K28" s="66"/>
      <c r="L28" s="66"/>
      <c r="M28" s="66"/>
      <c r="O28" s="54" t="s">
        <v>50</v>
      </c>
      <c r="P28" s="54"/>
      <c r="Q28" s="54"/>
      <c r="R28" s="44"/>
      <c r="S28" s="61"/>
      <c r="T28" s="61"/>
      <c r="U28" s="61"/>
      <c r="V28" s="61"/>
      <c r="W28" s="62"/>
    </row>
    <row r="29" customFormat="false" ht="15" hidden="false" customHeight="true" outlineLevel="0" collapsed="false">
      <c r="A29" s="65"/>
      <c r="B29" s="65"/>
      <c r="C29" s="65"/>
      <c r="D29" s="65"/>
      <c r="E29" s="66"/>
      <c r="F29" s="66"/>
      <c r="G29" s="66"/>
      <c r="H29" s="66"/>
      <c r="I29" s="66"/>
      <c r="J29" s="66"/>
      <c r="K29" s="66"/>
      <c r="L29" s="66"/>
      <c r="M29" s="66"/>
      <c r="O29" s="54" t="s">
        <v>51</v>
      </c>
      <c r="P29" s="54"/>
      <c r="Q29" s="54"/>
      <c r="R29" s="44"/>
      <c r="S29" s="61"/>
      <c r="T29" s="61"/>
      <c r="U29" s="61"/>
      <c r="V29" s="61"/>
      <c r="W29" s="62"/>
    </row>
    <row r="30" customFormat="false" ht="15" hidden="false" customHeight="true" outlineLevel="0" collapsed="false">
      <c r="A30" s="65"/>
      <c r="B30" s="65"/>
      <c r="C30" s="65"/>
      <c r="D30" s="65"/>
      <c r="E30" s="66"/>
      <c r="F30" s="66"/>
      <c r="G30" s="66"/>
      <c r="H30" s="66"/>
      <c r="I30" s="66"/>
      <c r="J30" s="66"/>
      <c r="K30" s="66"/>
      <c r="L30" s="66"/>
      <c r="M30" s="66"/>
      <c r="O30" s="60" t="s">
        <v>52</v>
      </c>
      <c r="P30" s="60"/>
      <c r="Q30" s="60"/>
      <c r="R30" s="67" t="n">
        <f aca="false">R27+R28-R29</f>
        <v>0</v>
      </c>
      <c r="S30" s="67" t="n">
        <f aca="false">S27+S28-S29</f>
        <v>0</v>
      </c>
      <c r="T30" s="67" t="n">
        <f aca="false">T27+T28-T29</f>
        <v>650</v>
      </c>
      <c r="U30" s="67" t="n">
        <f aca="false">U27+U28-U29</f>
        <v>1550</v>
      </c>
      <c r="V30" s="68" t="n">
        <f aca="false">V27+V28-V29</f>
        <v>2550</v>
      </c>
      <c r="W30" s="69" t="n">
        <f aca="false">W27+W28-W29</f>
        <v>37000</v>
      </c>
    </row>
    <row r="31" customFormat="false" ht="15" hidden="false" customHeight="true" outlineLevel="0" collapsed="false">
      <c r="A31" s="54" t="s">
        <v>53</v>
      </c>
      <c r="B31" s="54"/>
      <c r="C31" s="54"/>
      <c r="D31" s="54"/>
      <c r="E31" s="70" t="s">
        <v>54</v>
      </c>
      <c r="F31" s="70"/>
      <c r="G31" s="70"/>
      <c r="H31" s="70"/>
      <c r="I31" s="70"/>
      <c r="J31" s="70"/>
      <c r="K31" s="70"/>
      <c r="L31" s="70"/>
      <c r="M31" s="70"/>
      <c r="O31" s="71" t="s">
        <v>55</v>
      </c>
      <c r="P31" s="71"/>
      <c r="Q31" s="71"/>
      <c r="R31" s="72"/>
      <c r="S31" s="73"/>
      <c r="T31" s="73" t="n">
        <v>3000000</v>
      </c>
      <c r="U31" s="73"/>
      <c r="V31" s="74"/>
      <c r="W31" s="75" t="n">
        <f aca="false">SUM(R31:V31)</f>
        <v>3000000</v>
      </c>
    </row>
    <row r="32" customFormat="false" ht="15" hidden="false" customHeight="true" outlineLevel="0" collapsed="false">
      <c r="A32" s="15"/>
      <c r="B32" s="76" t="s">
        <v>2</v>
      </c>
      <c r="C32" s="9" t="s">
        <v>56</v>
      </c>
      <c r="D32" s="9"/>
      <c r="E32" s="70"/>
      <c r="F32" s="70"/>
      <c r="G32" s="70"/>
      <c r="H32" s="70"/>
      <c r="I32" s="70"/>
      <c r="J32" s="70"/>
      <c r="K32" s="70"/>
      <c r="L32" s="70"/>
      <c r="M32" s="70"/>
      <c r="O32" s="54" t="s">
        <v>57</v>
      </c>
      <c r="P32" s="54"/>
      <c r="Q32" s="54"/>
      <c r="R32" s="44"/>
      <c r="S32" s="45"/>
      <c r="T32" s="45" t="n">
        <v>0</v>
      </c>
      <c r="U32" s="45"/>
      <c r="V32" s="46"/>
      <c r="W32" s="47" t="n">
        <f aca="false">SUM(R32:V32)</f>
        <v>0</v>
      </c>
    </row>
    <row r="33" customFormat="false" ht="15" hidden="false" customHeight="true" outlineLevel="0" collapsed="false">
      <c r="A33" s="11"/>
      <c r="B33" s="29" t="s">
        <v>2</v>
      </c>
      <c r="C33" s="9" t="s">
        <v>58</v>
      </c>
      <c r="D33" s="9"/>
      <c r="E33" s="70"/>
      <c r="F33" s="70"/>
      <c r="G33" s="70"/>
      <c r="H33" s="70"/>
      <c r="I33" s="70"/>
      <c r="J33" s="70"/>
      <c r="K33" s="70"/>
      <c r="L33" s="70"/>
      <c r="M33" s="70"/>
      <c r="O33" s="54" t="s">
        <v>59</v>
      </c>
      <c r="P33" s="54"/>
      <c r="Q33" s="54"/>
      <c r="R33" s="51" t="n">
        <f aca="false">R31-R32</f>
        <v>0</v>
      </c>
      <c r="S33" s="51" t="n">
        <f aca="false">S31-S32</f>
        <v>0</v>
      </c>
      <c r="T33" s="51" t="n">
        <f aca="false">T31-T32</f>
        <v>3000000</v>
      </c>
      <c r="U33" s="51" t="n">
        <f aca="false">U31-U32</f>
        <v>0</v>
      </c>
      <c r="V33" s="52" t="n">
        <f aca="false">V31-V32</f>
        <v>0</v>
      </c>
      <c r="W33" s="53" t="n">
        <f aca="false">W31-W32</f>
        <v>3000000</v>
      </c>
    </row>
    <row r="34" customFormat="false" ht="15" hidden="false" customHeight="true" outlineLevel="0" collapsed="false">
      <c r="A34" s="11"/>
      <c r="B34" s="29"/>
      <c r="C34" s="9" t="s">
        <v>60</v>
      </c>
      <c r="D34" s="9"/>
      <c r="E34" s="70"/>
      <c r="F34" s="70"/>
      <c r="G34" s="70"/>
      <c r="H34" s="70"/>
      <c r="I34" s="70"/>
      <c r="J34" s="70"/>
      <c r="K34" s="70"/>
      <c r="L34" s="70"/>
      <c r="M34" s="70"/>
    </row>
    <row r="35" customFormat="false" ht="15" hidden="false" customHeight="true" outlineLevel="0" collapsed="false">
      <c r="A35" s="11"/>
      <c r="B35" s="29" t="s">
        <v>5</v>
      </c>
      <c r="C35" s="9" t="s">
        <v>61</v>
      </c>
      <c r="D35" s="9"/>
      <c r="E35" s="70"/>
      <c r="F35" s="70"/>
      <c r="G35" s="70"/>
      <c r="H35" s="70"/>
      <c r="I35" s="70"/>
      <c r="J35" s="70"/>
      <c r="K35" s="70"/>
      <c r="L35" s="70"/>
      <c r="M35" s="70"/>
    </row>
    <row r="36" customFormat="false" ht="15" hidden="false" customHeight="true" outlineLevel="0" collapsed="false">
      <c r="A36" s="11"/>
      <c r="B36" s="16"/>
      <c r="C36" s="24" t="s">
        <v>10</v>
      </c>
      <c r="D36" s="24"/>
      <c r="E36" s="70"/>
      <c r="F36" s="70"/>
      <c r="G36" s="70"/>
      <c r="H36" s="70"/>
      <c r="I36" s="70"/>
      <c r="J36" s="70"/>
      <c r="K36" s="70"/>
      <c r="L36" s="70"/>
      <c r="M36" s="70"/>
      <c r="O36" s="1" t="s">
        <v>62</v>
      </c>
      <c r="W36" s="34" t="s">
        <v>17</v>
      </c>
    </row>
    <row r="37" customFormat="false" ht="15" hidden="false" customHeight="true" outlineLevel="0" collapsed="false">
      <c r="A37" s="54" t="s">
        <v>63</v>
      </c>
      <c r="B37" s="54"/>
      <c r="C37" s="54"/>
      <c r="D37" s="54"/>
      <c r="E37" s="77"/>
      <c r="F37" s="77"/>
      <c r="G37" s="77"/>
      <c r="H37" s="77"/>
      <c r="I37" s="77"/>
      <c r="J37" s="77"/>
      <c r="K37" s="77"/>
      <c r="L37" s="77"/>
      <c r="M37" s="77"/>
      <c r="O37" s="36"/>
      <c r="P37" s="36"/>
      <c r="Q37" s="36"/>
      <c r="R37" s="37" t="s">
        <v>19</v>
      </c>
      <c r="S37" s="38" t="s">
        <v>20</v>
      </c>
      <c r="T37" s="38" t="s">
        <v>21</v>
      </c>
      <c r="U37" s="38" t="s">
        <v>22</v>
      </c>
      <c r="V37" s="39" t="s">
        <v>23</v>
      </c>
      <c r="W37" s="40" t="s">
        <v>24</v>
      </c>
    </row>
    <row r="38" customFormat="false" ht="15" hidden="false" customHeight="true" outlineLevel="0" collapsed="false">
      <c r="A38" s="15"/>
      <c r="B38" s="16"/>
      <c r="C38" s="9" t="s">
        <v>64</v>
      </c>
      <c r="D38" s="9"/>
      <c r="E38" s="77"/>
      <c r="F38" s="77"/>
      <c r="G38" s="77"/>
      <c r="H38" s="77"/>
      <c r="I38" s="77"/>
      <c r="J38" s="77"/>
      <c r="K38" s="77"/>
      <c r="L38" s="77"/>
      <c r="M38" s="77"/>
      <c r="O38" s="36"/>
      <c r="P38" s="36"/>
      <c r="Q38" s="36"/>
      <c r="R38" s="29" t="s">
        <v>27</v>
      </c>
      <c r="S38" s="29" t="s">
        <v>27</v>
      </c>
      <c r="T38" s="29" t="s">
        <v>28</v>
      </c>
      <c r="U38" s="29" t="s">
        <v>29</v>
      </c>
      <c r="V38" s="29" t="s">
        <v>30</v>
      </c>
      <c r="W38" s="42" t="s">
        <v>31</v>
      </c>
    </row>
    <row r="39" customFormat="false" ht="15" hidden="false" customHeight="true" outlineLevel="0" collapsed="false">
      <c r="A39" s="11"/>
      <c r="B39" s="16" t="s">
        <v>2</v>
      </c>
      <c r="C39" s="9" t="s">
        <v>65</v>
      </c>
      <c r="D39" s="9"/>
      <c r="E39" s="77"/>
      <c r="F39" s="77"/>
      <c r="G39" s="77"/>
      <c r="H39" s="77"/>
      <c r="I39" s="77"/>
      <c r="J39" s="77"/>
      <c r="K39" s="77"/>
      <c r="L39" s="77"/>
      <c r="M39" s="77"/>
      <c r="O39" s="78" t="s">
        <v>66</v>
      </c>
      <c r="P39" s="24"/>
      <c r="Q39" s="24"/>
      <c r="R39" s="79"/>
      <c r="S39" s="45"/>
      <c r="T39" s="45"/>
      <c r="U39" s="45"/>
      <c r="V39" s="46"/>
      <c r="W39" s="47"/>
    </row>
    <row r="40" customFormat="false" ht="15" hidden="false" customHeight="true" outlineLevel="0" collapsed="false">
      <c r="A40" s="11"/>
      <c r="B40" s="16"/>
      <c r="C40" s="9" t="s">
        <v>67</v>
      </c>
      <c r="D40" s="9"/>
      <c r="E40" s="77"/>
      <c r="F40" s="77"/>
      <c r="G40" s="77"/>
      <c r="H40" s="77"/>
      <c r="I40" s="77"/>
      <c r="J40" s="77"/>
      <c r="K40" s="77"/>
      <c r="L40" s="77"/>
      <c r="M40" s="77"/>
      <c r="O40" s="78"/>
      <c r="P40" s="24"/>
      <c r="Q40" s="24"/>
      <c r="R40" s="79"/>
      <c r="S40" s="45"/>
      <c r="T40" s="45"/>
      <c r="U40" s="45"/>
      <c r="V40" s="46"/>
      <c r="W40" s="47"/>
    </row>
    <row r="41" customFormat="false" ht="15" hidden="false" customHeight="true" outlineLevel="0" collapsed="false">
      <c r="A41" s="11"/>
      <c r="B41" s="16" t="s">
        <v>2</v>
      </c>
      <c r="C41" s="9" t="s">
        <v>68</v>
      </c>
      <c r="D41" s="9"/>
      <c r="E41" s="77"/>
      <c r="F41" s="77"/>
      <c r="G41" s="77"/>
      <c r="H41" s="77"/>
      <c r="I41" s="77"/>
      <c r="J41" s="77"/>
      <c r="K41" s="77"/>
      <c r="L41" s="77"/>
      <c r="M41" s="77"/>
      <c r="O41" s="78"/>
      <c r="P41" s="24"/>
      <c r="Q41" s="24"/>
      <c r="R41" s="79"/>
      <c r="S41" s="45"/>
      <c r="T41" s="45"/>
      <c r="U41" s="45"/>
      <c r="V41" s="46"/>
      <c r="W41" s="47"/>
    </row>
    <row r="42" customFormat="false" ht="15" hidden="false" customHeight="true" outlineLevel="0" collapsed="false">
      <c r="A42" s="11"/>
      <c r="B42" s="16" t="s">
        <v>2</v>
      </c>
      <c r="C42" s="9" t="s">
        <v>69</v>
      </c>
      <c r="D42" s="9"/>
      <c r="E42" s="77"/>
      <c r="F42" s="77"/>
      <c r="G42" s="77"/>
      <c r="H42" s="77"/>
      <c r="I42" s="77"/>
      <c r="J42" s="77"/>
      <c r="K42" s="77"/>
      <c r="L42" s="77"/>
      <c r="M42" s="77"/>
      <c r="O42" s="78"/>
      <c r="P42" s="24"/>
      <c r="Q42" s="24"/>
      <c r="R42" s="79"/>
      <c r="S42" s="45"/>
      <c r="T42" s="45"/>
      <c r="U42" s="45"/>
      <c r="V42" s="46"/>
      <c r="W42" s="47"/>
    </row>
    <row r="43" customFormat="false" ht="15" hidden="false" customHeight="true" outlineLevel="0" collapsed="false">
      <c r="A43" s="11"/>
      <c r="B43" s="16" t="s">
        <v>2</v>
      </c>
      <c r="C43" s="9" t="s">
        <v>70</v>
      </c>
      <c r="D43" s="9"/>
      <c r="E43" s="77"/>
      <c r="F43" s="77"/>
      <c r="G43" s="77"/>
      <c r="H43" s="77"/>
      <c r="I43" s="77"/>
      <c r="J43" s="77"/>
      <c r="K43" s="77"/>
      <c r="L43" s="77"/>
      <c r="M43" s="77"/>
      <c r="O43" s="78"/>
      <c r="P43" s="24"/>
      <c r="Q43" s="24"/>
      <c r="R43" s="79"/>
      <c r="S43" s="45"/>
      <c r="T43" s="45"/>
      <c r="U43" s="45"/>
      <c r="V43" s="46"/>
      <c r="W43" s="47"/>
    </row>
    <row r="44" customFormat="false" ht="15" hidden="false" customHeight="true" outlineLevel="0" collapsed="false">
      <c r="A44" s="11"/>
      <c r="B44" s="16"/>
      <c r="C44" s="80" t="s">
        <v>10</v>
      </c>
      <c r="D44" s="80"/>
      <c r="E44" s="77"/>
      <c r="F44" s="77"/>
      <c r="G44" s="77"/>
      <c r="H44" s="77"/>
      <c r="I44" s="77"/>
      <c r="J44" s="77"/>
      <c r="K44" s="77"/>
      <c r="L44" s="77"/>
      <c r="M44" s="77"/>
      <c r="O44" s="78"/>
      <c r="P44" s="80"/>
      <c r="Q44" s="80"/>
      <c r="R44" s="79"/>
      <c r="S44" s="45"/>
      <c r="T44" s="45"/>
      <c r="U44" s="45"/>
      <c r="V44" s="46"/>
      <c r="W44" s="47"/>
    </row>
    <row r="45" customFormat="false" ht="15" hidden="false" customHeight="true" outlineLevel="0" collapsed="false">
      <c r="A45" s="9" t="s">
        <v>71</v>
      </c>
      <c r="B45" s="9"/>
      <c r="C45" s="9"/>
      <c r="D45" s="9"/>
      <c r="E45" s="10"/>
      <c r="F45" s="10"/>
      <c r="G45" s="10"/>
      <c r="H45" s="10"/>
      <c r="I45" s="10"/>
      <c r="J45" s="10"/>
      <c r="K45" s="10"/>
      <c r="L45" s="10"/>
      <c r="M45" s="10"/>
      <c r="O45" s="38" t="s">
        <v>72</v>
      </c>
      <c r="P45" s="38"/>
      <c r="Q45" s="38"/>
      <c r="R45" s="51" t="n">
        <f aca="false">SUM(R39:R44)</f>
        <v>0</v>
      </c>
      <c r="S45" s="51" t="n">
        <f aca="false">SUM(S39:S44)</f>
        <v>0</v>
      </c>
      <c r="T45" s="51" t="n">
        <f aca="false">SUM(T39:T44)</f>
        <v>0</v>
      </c>
      <c r="U45" s="51" t="n">
        <f aca="false">SUM(U39:U44)</f>
        <v>0</v>
      </c>
      <c r="V45" s="52" t="n">
        <f aca="false">SUM(V39:V44)</f>
        <v>0</v>
      </c>
      <c r="W45" s="53" t="n">
        <f aca="false">SUM(W39:W44)</f>
        <v>0</v>
      </c>
    </row>
    <row r="46" customFormat="false" ht="15" hidden="false" customHeight="true" outlineLevel="0" collapsed="false">
      <c r="A46" s="15"/>
      <c r="B46" s="16"/>
      <c r="C46" s="54" t="s">
        <v>73</v>
      </c>
      <c r="D46" s="54"/>
      <c r="E46" s="10"/>
      <c r="F46" s="10"/>
      <c r="G46" s="10"/>
      <c r="H46" s="10"/>
      <c r="I46" s="10"/>
      <c r="J46" s="10"/>
      <c r="K46" s="10"/>
      <c r="L46" s="10"/>
      <c r="M46" s="10"/>
      <c r="O46" s="38" t="s">
        <v>74</v>
      </c>
      <c r="P46" s="38"/>
      <c r="Q46" s="38"/>
      <c r="R46" s="79"/>
      <c r="S46" s="79"/>
      <c r="T46" s="79"/>
      <c r="U46" s="79"/>
      <c r="V46" s="81"/>
      <c r="W46" s="79"/>
    </row>
    <row r="47" customFormat="false" ht="15" hidden="false" customHeight="true" outlineLevel="0" collapsed="false">
      <c r="A47" s="11"/>
      <c r="B47" s="16" t="s">
        <v>2</v>
      </c>
      <c r="C47" s="54" t="s">
        <v>75</v>
      </c>
      <c r="D47" s="54"/>
      <c r="E47" s="10"/>
      <c r="F47" s="10"/>
      <c r="G47" s="10"/>
      <c r="H47" s="10"/>
      <c r="I47" s="10"/>
      <c r="J47" s="10"/>
      <c r="K47" s="10"/>
      <c r="L47" s="10"/>
      <c r="M47" s="10"/>
      <c r="O47" s="38" t="s">
        <v>76</v>
      </c>
      <c r="P47" s="38"/>
      <c r="Q47" s="38"/>
      <c r="R47" s="79"/>
      <c r="S47" s="79"/>
      <c r="T47" s="79" t="n">
        <v>1000</v>
      </c>
      <c r="U47" s="79" t="n">
        <v>2000</v>
      </c>
      <c r="V47" s="81" t="n">
        <v>3000</v>
      </c>
      <c r="W47" s="79"/>
    </row>
    <row r="48" customFormat="false" ht="15" hidden="false" customHeight="true" outlineLevel="0" collapsed="false">
      <c r="A48" s="11"/>
      <c r="B48" s="16"/>
      <c r="C48" s="9" t="s">
        <v>77</v>
      </c>
      <c r="D48" s="9"/>
      <c r="E48" s="10"/>
      <c r="F48" s="10"/>
      <c r="G48" s="10"/>
      <c r="H48" s="10"/>
      <c r="I48" s="10"/>
      <c r="J48" s="10"/>
      <c r="K48" s="10"/>
      <c r="L48" s="10"/>
      <c r="M48" s="10"/>
      <c r="O48" s="38" t="s">
        <v>78</v>
      </c>
      <c r="P48" s="38"/>
      <c r="Q48" s="38"/>
      <c r="R48" s="51" t="n">
        <f aca="false">R45+R46+R47</f>
        <v>0</v>
      </c>
      <c r="S48" s="51" t="n">
        <f aca="false">S45+S46+S47</f>
        <v>0</v>
      </c>
      <c r="T48" s="51" t="n">
        <f aca="false">T45+T46+T47</f>
        <v>1000</v>
      </c>
      <c r="U48" s="51" t="n">
        <f aca="false">U45+U46+U47</f>
        <v>2000</v>
      </c>
      <c r="V48" s="52" t="n">
        <f aca="false">V45+V46+V47</f>
        <v>3000</v>
      </c>
      <c r="W48" s="53" t="n">
        <f aca="false">W45+W46+W47</f>
        <v>0</v>
      </c>
    </row>
    <row r="49" customFormat="false" ht="15" hidden="false" customHeight="true" outlineLevel="0" collapsed="false">
      <c r="A49" s="28"/>
      <c r="B49" s="29"/>
      <c r="C49" s="24" t="s">
        <v>10</v>
      </c>
      <c r="D49" s="24"/>
      <c r="E49" s="10"/>
      <c r="F49" s="10"/>
      <c r="G49" s="10"/>
      <c r="H49" s="10"/>
      <c r="I49" s="10"/>
      <c r="J49" s="10"/>
      <c r="K49" s="10"/>
      <c r="L49" s="10"/>
      <c r="M49" s="10"/>
    </row>
    <row r="50" customFormat="false" ht="15" hidden="false" customHeight="true" outlineLevel="0" collapsed="false">
      <c r="B50" s="82"/>
      <c r="C50" s="83"/>
      <c r="D50" s="83"/>
      <c r="E50" s="84"/>
      <c r="F50" s="84"/>
      <c r="G50" s="84"/>
      <c r="H50" s="84"/>
      <c r="I50" s="84"/>
      <c r="J50" s="84"/>
      <c r="K50" s="84"/>
      <c r="L50" s="84"/>
      <c r="M50" s="84"/>
    </row>
    <row r="51" customFormat="false" ht="15" hidden="false" customHeight="true" outlineLevel="0" collapsed="false"/>
    <row r="52" customFormat="false" ht="15" hidden="false" customHeight="true" outlineLevel="0" collapsed="false">
      <c r="A52" s="1" t="s">
        <v>79</v>
      </c>
    </row>
    <row r="53" customFormat="false" ht="15" hidden="false" customHeight="true" outlineLevel="0" collapsed="false">
      <c r="A53" s="59" t="s">
        <v>80</v>
      </c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</row>
    <row r="54" customFormat="false" ht="15" hidden="false" customHeight="true" outlineLevel="0" collapsed="false">
      <c r="A54" s="85" t="s">
        <v>81</v>
      </c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</row>
    <row r="55" customFormat="false" ht="15" hidden="false" customHeight="true" outlineLevel="0" collapsed="false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</row>
    <row r="56" customFormat="false" ht="15" hidden="false" customHeight="true" outlineLevel="0" collapsed="false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</row>
    <row r="57" customFormat="false" ht="13.5" hidden="false" customHeight="true" outlineLevel="0" collapsed="false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</row>
    <row r="58" customFormat="false" ht="13.5" hidden="false" customHeight="true" outlineLevel="0" collapsed="false">
      <c r="A58" s="59" t="s">
        <v>82</v>
      </c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</row>
    <row r="59" customFormat="false" ht="13.5" hidden="false" customHeight="true" outlineLevel="0" collapsed="false">
      <c r="A59" s="85" t="s">
        <v>83</v>
      </c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O59" s="86"/>
      <c r="P59" s="86"/>
      <c r="Q59" s="86"/>
      <c r="R59" s="86"/>
      <c r="S59" s="86"/>
      <c r="T59" s="86"/>
      <c r="U59" s="86"/>
      <c r="V59" s="86"/>
      <c r="W59" s="86"/>
    </row>
    <row r="60" customFormat="false" ht="13.5" hidden="false" customHeight="true" outlineLevel="0" collapsed="false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</row>
    <row r="61" customFormat="false" ht="13.5" hidden="false" customHeight="tru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</row>
    <row r="62" customFormat="false" ht="13.5" hidden="false" customHeight="tru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</row>
    <row r="63" customFormat="false" ht="13.5" hidden="false" customHeight="tru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</row>
    <row r="64" customFormat="false" ht="13.5" hidden="false" customHeight="true" outlineLevel="0" collapsed="false">
      <c r="O64" s="86"/>
      <c r="P64" s="86"/>
      <c r="Q64" s="86"/>
      <c r="R64" s="86"/>
      <c r="S64" s="86"/>
      <c r="T64" s="86"/>
      <c r="U64" s="86"/>
      <c r="V64" s="86"/>
      <c r="W64" s="86"/>
    </row>
    <row r="65" customFormat="false" ht="13.5" hidden="false" customHeight="true" outlineLevel="0" collapsed="false">
      <c r="A65" s="59" t="s">
        <v>80</v>
      </c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</row>
    <row r="66" customFormat="false" ht="13.5" hidden="false" customHeight="true" outlineLevel="0" collapsed="false">
      <c r="A66" s="85" t="s">
        <v>84</v>
      </c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</row>
    <row r="67" customFormat="false" ht="13.5" hidden="false" customHeight="tru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</row>
    <row r="68" customFormat="false" ht="13.5" hidden="false" customHeight="tru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</row>
    <row r="69" customFormat="false" ht="13.5" hidden="false" customHeight="tru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</row>
    <row r="70" customFormat="false" ht="13.5" hidden="false" customHeight="true" outlineLevel="0" collapsed="false">
      <c r="A70" s="59" t="s">
        <v>82</v>
      </c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</row>
    <row r="71" customFormat="false" ht="13.5" hidden="false" customHeight="true" outlineLevel="0" collapsed="false">
      <c r="A71" s="85" t="s">
        <v>85</v>
      </c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</row>
    <row r="72" customFormat="false" ht="13.5" hidden="false" customHeight="tru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</row>
    <row r="73" customFormat="false" ht="13.5" hidden="false" customHeight="tru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</row>
    <row r="74" customFormat="false" ht="13.5" hidden="false" customHeight="tru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</row>
    <row r="75" customFormat="false" ht="13.5" hidden="false" customHeight="tru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</row>
    <row r="76" customFormat="false" ht="13.5" hidden="false" customHeight="true" outlineLevel="0" collapsed="false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</row>
    <row r="77" customFormat="false" ht="13.5" hidden="false" customHeight="true" outlineLevel="0" collapsed="false"/>
    <row r="78" customFormat="false" ht="13.5" hidden="false" customHeight="true" outlineLevel="0" collapsed="false">
      <c r="A78" s="1" t="s">
        <v>86</v>
      </c>
    </row>
    <row r="79" customFormat="false" ht="13.5" hidden="false" customHeight="true" outlineLevel="0" collapsed="false">
      <c r="A79" s="59" t="s">
        <v>87</v>
      </c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</row>
    <row r="80" customFormat="false" ht="13.5" hidden="false" customHeight="tru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</row>
    <row r="81" customFormat="false" ht="13.5" hidden="false" customHeight="tru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</row>
    <row r="82" customFormat="false" ht="13.5" hidden="false" customHeight="tru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</row>
    <row r="83" customFormat="false" ht="13.5" hidden="false" customHeight="tru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</row>
    <row r="84" customFormat="false" ht="13.5" hidden="false" customHeight="true" outlineLevel="0" collapsed="false">
      <c r="A84" s="87" t="s">
        <v>88</v>
      </c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"/>
    </row>
    <row r="85" customFormat="false" ht="13.5" hidden="false" customHeight="tru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</row>
    <row r="86" customFormat="false" ht="13.5" hidden="false" customHeight="tru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</row>
    <row r="87" customFormat="false" ht="13.5" hidden="false" customHeight="tru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</row>
    <row r="88" customFormat="false" ht="13.5" hidden="false" customHeight="tru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</row>
    <row r="89" customFormat="false" ht="13.5" hidden="false" customHeight="true" outlineLevel="0" collapsed="false">
      <c r="A89" s="59" t="s">
        <v>89</v>
      </c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</row>
    <row r="90" customFormat="false" ht="13.5" hidden="false" customHeight="tru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</row>
    <row r="91" customFormat="false" ht="13.5" hidden="false" customHeight="tru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</row>
    <row r="92" customFormat="false" ht="13.5" hidden="false" customHeight="tru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</row>
    <row r="93" customFormat="false" ht="13.5" hidden="false" customHeight="tru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</row>
    <row r="94" customFormat="false" ht="13.5" hidden="false" customHeight="true" outlineLevel="0" collapsed="false">
      <c r="L94" s="89"/>
    </row>
    <row r="95" customFormat="false" ht="13.5" hidden="false" customHeight="true" outlineLevel="0" collapsed="false">
      <c r="L95" s="89"/>
    </row>
    <row r="96" customFormat="false" ht="13.5" hidden="false" customHeight="true" outlineLevel="0" collapsed="false">
      <c r="A96" s="1" t="s">
        <v>90</v>
      </c>
    </row>
    <row r="97" customFormat="false" ht="13.5" hidden="false" customHeight="true" outlineLevel="0" collapsed="false">
      <c r="A97" s="87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"/>
    </row>
    <row r="98" customFormat="false" ht="13.5" hidden="false" customHeight="true" outlineLevel="0" collapsed="false">
      <c r="A98" s="90" t="s">
        <v>91</v>
      </c>
      <c r="B98" s="90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14"/>
    </row>
    <row r="99" customFormat="false" ht="13.5" hidden="false" customHeight="true" outlineLevel="0" collapsed="false">
      <c r="A99" s="92"/>
      <c r="B99" s="93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14"/>
    </row>
    <row r="100" customFormat="false" ht="13.5" hidden="false" customHeight="true" outlineLevel="0" collapsed="false">
      <c r="A100" s="94" t="s">
        <v>92</v>
      </c>
      <c r="B100" s="94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14"/>
    </row>
    <row r="101" customFormat="false" ht="13.5" hidden="false" customHeight="true" outlineLevel="0" collapsed="false">
      <c r="A101" s="95"/>
      <c r="B101" s="96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14"/>
    </row>
    <row r="102" customFormat="false" ht="13.5" hidden="false" customHeight="true" outlineLevel="0" collapsed="false">
      <c r="A102" s="95"/>
      <c r="B102" s="96"/>
      <c r="C102" s="97"/>
      <c r="D102" s="97"/>
      <c r="E102" s="97"/>
      <c r="F102" s="97"/>
      <c r="G102" s="97"/>
      <c r="H102" s="96"/>
      <c r="I102" s="96"/>
      <c r="J102" s="96"/>
      <c r="K102" s="98"/>
      <c r="L102" s="98"/>
      <c r="M102" s="14"/>
    </row>
    <row r="103" customFormat="false" ht="13.5" hidden="false" customHeight="true" outlineLevel="0" collapsed="false">
      <c r="A103" s="94" t="s">
        <v>93</v>
      </c>
      <c r="B103" s="94"/>
      <c r="C103" s="97"/>
      <c r="D103" s="97"/>
      <c r="E103" s="97"/>
      <c r="F103" s="97"/>
      <c r="G103" s="97"/>
      <c r="H103" s="99"/>
      <c r="J103" s="100" t="s">
        <v>94</v>
      </c>
      <c r="K103" s="98"/>
      <c r="L103" s="98"/>
      <c r="M103" s="14"/>
    </row>
    <row r="104" customFormat="false" ht="13.5" hidden="false" customHeight="true" outlineLevel="0" collapsed="false">
      <c r="A104" s="28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101"/>
      <c r="M104" s="33"/>
    </row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</sheetData>
  <mergeCells count="99">
    <mergeCell ref="A1:M1"/>
    <mergeCell ref="I3:I4"/>
    <mergeCell ref="O3:R3"/>
    <mergeCell ref="S3:W7"/>
    <mergeCell ref="Q4:R4"/>
    <mergeCell ref="I5:M5"/>
    <mergeCell ref="Q5:R5"/>
    <mergeCell ref="Q6:R6"/>
    <mergeCell ref="Q7:R7"/>
    <mergeCell ref="I8:M8"/>
    <mergeCell ref="Q8:R8"/>
    <mergeCell ref="S8:W11"/>
    <mergeCell ref="I9:I10"/>
    <mergeCell ref="J9:M10"/>
    <mergeCell ref="O9:R9"/>
    <mergeCell ref="Q10:R10"/>
    <mergeCell ref="I11:I12"/>
    <mergeCell ref="J11:M12"/>
    <mergeCell ref="Q11:R11"/>
    <mergeCell ref="A14:M14"/>
    <mergeCell ref="O14:Q15"/>
    <mergeCell ref="A15:M15"/>
    <mergeCell ref="A16:M16"/>
    <mergeCell ref="O16:Q16"/>
    <mergeCell ref="A17:M20"/>
    <mergeCell ref="O17:Q17"/>
    <mergeCell ref="P18:Q18"/>
    <mergeCell ref="O19:Q19"/>
    <mergeCell ref="O20:Q20"/>
    <mergeCell ref="A21:M21"/>
    <mergeCell ref="P21:Q21"/>
    <mergeCell ref="A22:M27"/>
    <mergeCell ref="P23:Q23"/>
    <mergeCell ref="O24:Q24"/>
    <mergeCell ref="P25:Q25"/>
    <mergeCell ref="P26:Q26"/>
    <mergeCell ref="O27:Q27"/>
    <mergeCell ref="A28:D30"/>
    <mergeCell ref="E28:M30"/>
    <mergeCell ref="O28:Q28"/>
    <mergeCell ref="O29:Q29"/>
    <mergeCell ref="O30:Q30"/>
    <mergeCell ref="A31:D31"/>
    <mergeCell ref="E31:M36"/>
    <mergeCell ref="O31:Q31"/>
    <mergeCell ref="C32:D32"/>
    <mergeCell ref="O32:Q32"/>
    <mergeCell ref="C33:D33"/>
    <mergeCell ref="O33:Q33"/>
    <mergeCell ref="C34:D34"/>
    <mergeCell ref="C35:D35"/>
    <mergeCell ref="C36:D36"/>
    <mergeCell ref="A37:D37"/>
    <mergeCell ref="E37:M44"/>
    <mergeCell ref="O37:Q38"/>
    <mergeCell ref="C38:D38"/>
    <mergeCell ref="C39:D39"/>
    <mergeCell ref="O39:O44"/>
    <mergeCell ref="P39:Q39"/>
    <mergeCell ref="C40:D40"/>
    <mergeCell ref="P40:Q40"/>
    <mergeCell ref="C41:D41"/>
    <mergeCell ref="P41:Q41"/>
    <mergeCell ref="C42:D42"/>
    <mergeCell ref="P42:Q42"/>
    <mergeCell ref="C43:D43"/>
    <mergeCell ref="P43:Q43"/>
    <mergeCell ref="C44:D44"/>
    <mergeCell ref="P44:Q44"/>
    <mergeCell ref="A45:D45"/>
    <mergeCell ref="E45:M49"/>
    <mergeCell ref="O45:Q45"/>
    <mergeCell ref="C46:D46"/>
    <mergeCell ref="O46:Q46"/>
    <mergeCell ref="C47:D47"/>
    <mergeCell ref="O47:Q47"/>
    <mergeCell ref="C48:D48"/>
    <mergeCell ref="O48:Q48"/>
    <mergeCell ref="C49:D49"/>
    <mergeCell ref="A53:M53"/>
    <mergeCell ref="A54:M57"/>
    <mergeCell ref="A58:M58"/>
    <mergeCell ref="A59:M63"/>
    <mergeCell ref="A65:M65"/>
    <mergeCell ref="A66:M69"/>
    <mergeCell ref="A70:M70"/>
    <mergeCell ref="A71:M75"/>
    <mergeCell ref="A79:M79"/>
    <mergeCell ref="A80:M83"/>
    <mergeCell ref="A85:M88"/>
    <mergeCell ref="A89:M89"/>
    <mergeCell ref="A90:M93"/>
    <mergeCell ref="A98:B98"/>
    <mergeCell ref="C98:L99"/>
    <mergeCell ref="A100:B100"/>
    <mergeCell ref="C100:L101"/>
    <mergeCell ref="C102:G103"/>
    <mergeCell ref="K102:L103"/>
    <mergeCell ref="A103:B103"/>
  </mergeCells>
  <dataValidations count="2">
    <dataValidation allowBlank="true" errorStyle="stop" operator="between" showDropDown="false" showErrorMessage="true" showInputMessage="true" sqref="P4:P8 P10:P11 B32:B36 B38:B44 B46:B50" type="list">
      <formula1>"　,○"</formula1>
      <formula2>0</formula2>
    </dataValidation>
    <dataValidation allowBlank="true" errorStyle="stop" operator="between" showDropDown="false" showErrorMessage="true" showInputMessage="true" sqref="R16:W33 R39:W48 A99:B99" type="none">
      <formula1>0</formula1>
      <formula2>0</formula2>
    </dataValidation>
  </dataValidations>
  <printOptions headings="false" gridLines="false" gridLinesSet="true" horizontalCentered="false" verticalCentered="false"/>
  <pageMargins left="0.708333333333333" right="0.708333333333333" top="0.354166666666667" bottom="0.747916666666667" header="0.511811023622047" footer="0.511811023622047"/>
  <pageSetup paperSize="8" scale="9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50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2021-03-08T10:35:54Z</dcterms:created>
  <dc:creator/>
  <dc:description/>
  <dc:language>ja-JP</dc:language>
  <cp:lastModifiedBy/>
  <dcterms:modified xsi:type="dcterms:W3CDTF">2026-07-23T07:13:37Z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