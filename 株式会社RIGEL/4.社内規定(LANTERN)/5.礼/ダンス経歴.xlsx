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株式会社 RIGEL\Documents\保管庫\株式会社RIGEL\4.社内規定(LANTERN)\5.礼\"/>
    </mc:Choice>
  </mc:AlternateContent>
  <xr:revisionPtr revIDLastSave="0" documentId="13_ncr:1_{922B9745-351D-44F2-A5D9-6C91FAC113D3}" xr6:coauthVersionLast="47" xr6:coauthVersionMax="47" xr10:uidLastSave="{00000000-0000-0000-0000-000000000000}"/>
  <bookViews>
    <workbookView xWindow="-120" yWindow="-18120" windowWidth="29040" windowHeight="17520" xr2:uid="{00000000-000D-0000-FFFF-FFFF00000000}"/>
  </bookViews>
  <sheets>
    <sheet name="戦歴明細" sheetId="1" r:id="rId1"/>
  </sheets>
  <definedNames>
    <definedName name="_xlnm._FilterDatabase" localSheetId="0">戦歴明細!$A$1:$F$135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2" i="1" l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2" i="1"/>
  <c r="B110" i="1"/>
  <c r="B108" i="1"/>
  <c r="B107" i="1"/>
  <c r="B105" i="1"/>
  <c r="B104" i="1"/>
  <c r="B10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<sst xmlns="http://schemas.openxmlformats.org/spreadsheetml/2006/main" count="682" uniqueCount="171">
  <si>
    <t>チーム名</t>
  </si>
  <si>
    <t>日付</t>
  </si>
  <si>
    <t>大会名</t>
  </si>
  <si>
    <t>ラウンド・区分</t>
  </si>
  <si>
    <t>結果</t>
  </si>
  <si>
    <t>学Pダンスコンテスト</t>
  </si>
  <si>
    <t>SPRING②</t>
  </si>
  <si>
    <t>優勝</t>
  </si>
  <si>
    <t>ドラ桐生ダンスコンテスト</t>
  </si>
  <si>
    <t>第2回予選</t>
  </si>
  <si>
    <t>LLダンスコンテスト</t>
  </si>
  <si>
    <t>7月予選</t>
  </si>
  <si>
    <t>DANCE START</t>
  </si>
  <si>
    <t>3位</t>
  </si>
  <si>
    <t>IZUMIカンパニーダンスコンテスト</t>
  </si>
  <si>
    <t>予選</t>
  </si>
  <si>
    <t>STEP UPダンスコンテスト</t>
  </si>
  <si>
    <t>入賞なし</t>
  </si>
  <si>
    <t>TOP OF THE DANCE</t>
  </si>
  <si>
    <t>4位</t>
  </si>
  <si>
    <t>POPCORNダンスコンテスト</t>
  </si>
  <si>
    <t>東京大会</t>
  </si>
  <si>
    <t>準優勝</t>
  </si>
  <si>
    <t>VERSURダンスコンテスト</t>
  </si>
  <si>
    <t>ドラキリュウダンスコンテスト</t>
  </si>
  <si>
    <t>決勝</t>
  </si>
  <si>
    <t>SUPERKIDS ARCHE大会</t>
  </si>
  <si>
    <t>負けへんで</t>
  </si>
  <si>
    <t>決勝大会</t>
  </si>
  <si>
    <t>SUPERKIDS</t>
  </si>
  <si>
    <t>茨城大会</t>
  </si>
  <si>
    <t>長野大会</t>
  </si>
  <si>
    <t>iCECREAM</t>
  </si>
  <si>
    <t>最終予選</t>
  </si>
  <si>
    <t>IZUMIカンパニー</t>
  </si>
  <si>
    <t>FINAL</t>
  </si>
  <si>
    <t>関東最終予選</t>
  </si>
  <si>
    <t>Birthday</t>
  </si>
  <si>
    <t>soulm8</t>
  </si>
  <si>
    <t>ドラドラ</t>
  </si>
  <si>
    <t>4thピリオド</t>
  </si>
  <si>
    <t>戸田ボートキッズダンスコンテスト</t>
  </si>
  <si>
    <t>三井ららぽーと杯</t>
  </si>
  <si>
    <t>LaLaガーデン</t>
  </si>
  <si>
    <t>負けへんで!ダンスコンテスト</t>
  </si>
  <si>
    <t>6th ROUND</t>
  </si>
  <si>
    <t>多摩南大沢</t>
  </si>
  <si>
    <t>湘南平塚</t>
  </si>
  <si>
    <t>負けへんで!!</t>
  </si>
  <si>
    <t>Mogmogler</t>
  </si>
  <si>
    <t>関東早期予選</t>
  </si>
  <si>
    <t>東北早期予選</t>
  </si>
  <si>
    <t>5月予選</t>
  </si>
  <si>
    <t>Smily &amp; Co. U-15 コンテスト</t>
  </si>
  <si>
    <t>Soulm8 ダンスコンテスト</t>
  </si>
  <si>
    <t>東京予選</t>
  </si>
  <si>
    <t>SENSIBILYTY CONNECTION VOL.7</t>
  </si>
  <si>
    <t>出演</t>
  </si>
  <si>
    <t>Bithday 2019</t>
  </si>
  <si>
    <t>予選3回戦</t>
  </si>
  <si>
    <t>東関東予選</t>
  </si>
  <si>
    <t>ARCHE CUP</t>
  </si>
  <si>
    <t>第二回予選</t>
  </si>
  <si>
    <t>茨城予選</t>
  </si>
  <si>
    <t>関東予選</t>
  </si>
  <si>
    <t>北関東予選</t>
  </si>
  <si>
    <t>予選 4th ROUND</t>
  </si>
  <si>
    <t>南関東予選</t>
  </si>
  <si>
    <t>中部予選3回戦</t>
  </si>
  <si>
    <t>東関東2回戦予選</t>
  </si>
  <si>
    <t>GRAND SLAM</t>
  </si>
  <si>
    <t>予選大会 第3ラウンド</t>
  </si>
  <si>
    <t>ドラキリュウ</t>
  </si>
  <si>
    <t>第3回予選</t>
  </si>
  <si>
    <t>DoMyBest</t>
  </si>
  <si>
    <t>TOKYO FINAL ROUND</t>
  </si>
  <si>
    <t>Birthday 2019</t>
  </si>
  <si>
    <t>準グランプリ</t>
  </si>
  <si>
    <t>5th PERIOD</t>
  </si>
  <si>
    <t>三井アウトレットパーク杯</t>
  </si>
  <si>
    <t>横浜予選</t>
  </si>
  <si>
    <t>埼玉予選</t>
  </si>
  <si>
    <t>ドラドラ 2019</t>
  </si>
  <si>
    <t>soulm8ダンスコンテスト</t>
  </si>
  <si>
    <t>Wooster Street Daytime</t>
  </si>
  <si>
    <t>DANCE CUP 2019</t>
  </si>
  <si>
    <t>関東予選②</t>
  </si>
  <si>
    <t>ファイナリスト</t>
  </si>
  <si>
    <t>final</t>
  </si>
  <si>
    <t>E-Fes</t>
  </si>
  <si>
    <t>ゲスト</t>
  </si>
  <si>
    <t>Jackson Heights</t>
  </si>
  <si>
    <t>SUPER KIDS GRAND SLUM 2020</t>
  </si>
  <si>
    <t>GLORY vol.9</t>
  </si>
  <si>
    <t>東日本予選</t>
  </si>
  <si>
    <t>SUPER KIDS</t>
  </si>
  <si>
    <t>東北予選</t>
  </si>
  <si>
    <t>オンライン予選</t>
  </si>
  <si>
    <t>Soulm8</t>
  </si>
  <si>
    <t>関東①予選</t>
  </si>
  <si>
    <t>関東②予選</t>
  </si>
  <si>
    <t>BIRTHDAY</t>
  </si>
  <si>
    <t>RUNUP!2020</t>
  </si>
  <si>
    <t>KANTO OCTOBER</t>
  </si>
  <si>
    <t>DoMyBest!!! 2020</t>
  </si>
  <si>
    <t>4 Round</t>
  </si>
  <si>
    <t>IN DA HOUSE Online Contest</t>
  </si>
  <si>
    <t>N_01</t>
  </si>
  <si>
    <t>2nd ROUND</t>
  </si>
  <si>
    <t>ドラドラ2020</t>
  </si>
  <si>
    <t>2nd PERIOD</t>
  </si>
  <si>
    <t>9位</t>
  </si>
  <si>
    <t>DoMyBest!!! 2021</t>
  </si>
  <si>
    <t>JAPAN FINAL</t>
  </si>
  <si>
    <t>グランプリ</t>
  </si>
  <si>
    <t>LLダンスコンテスト2020</t>
  </si>
  <si>
    <t>RUNUP！2020</t>
  </si>
  <si>
    <t>SUPERKIDS 2021</t>
  </si>
  <si>
    <t>A-SIDE DANCE</t>
  </si>
  <si>
    <t>関東地区予選</t>
  </si>
  <si>
    <t>負けへんで‼</t>
  </si>
  <si>
    <t>jamboree</t>
  </si>
  <si>
    <t>GUEST</t>
  </si>
  <si>
    <t>ARCHECUP VOL.10</t>
  </si>
  <si>
    <t>第4回予選</t>
  </si>
  <si>
    <t>ARCHECUP</t>
  </si>
  <si>
    <t>DoMyBest!!! JAPAN</t>
  </si>
  <si>
    <t>12位</t>
  </si>
  <si>
    <t>LAST ROUND</t>
  </si>
  <si>
    <t>REAL FINAL</t>
  </si>
  <si>
    <t>DoMyBest!!! JAPAN 2021</t>
  </si>
  <si>
    <t>5位</t>
  </si>
  <si>
    <t>GRAND SLAM TOKYO 2022</t>
  </si>
  <si>
    <t>RUNUP 2021</t>
  </si>
  <si>
    <t>負けへんで‼ 2021</t>
  </si>
  <si>
    <t>ドラドラ2021</t>
  </si>
  <si>
    <t>LLダンスコンテスト2021</t>
  </si>
  <si>
    <t>DANCE ALIVE HERO'S 2022</t>
  </si>
  <si>
    <t>Woodstock ladder</t>
  </si>
  <si>
    <t>ドラドラ2022</t>
  </si>
  <si>
    <t>3rd PERIOD</t>
  </si>
  <si>
    <t>BIRTHDAY2022</t>
  </si>
  <si>
    <t>リアル予選</t>
  </si>
  <si>
    <t>SUPER KIDS 2022</t>
  </si>
  <si>
    <t>関東予選2回戦</t>
  </si>
  <si>
    <t>DoMyBest!!! 2022</t>
  </si>
  <si>
    <t>第5回予選</t>
  </si>
  <si>
    <t>神奈川予選</t>
  </si>
  <si>
    <t>RUNUP</t>
  </si>
  <si>
    <t>関東5回戦</t>
  </si>
  <si>
    <t>東京会場予選</t>
  </si>
  <si>
    <t>6TH ROUND</t>
  </si>
  <si>
    <t>7th PERIOD</t>
  </si>
  <si>
    <t>特別賞</t>
  </si>
  <si>
    <t>関東6回戦</t>
  </si>
  <si>
    <t>関東7回戦</t>
  </si>
  <si>
    <t>東京会場最終予選</t>
  </si>
  <si>
    <t>負けへんで!! 2022</t>
  </si>
  <si>
    <t>LLダンスコンテスト 2022</t>
  </si>
  <si>
    <t>6位</t>
  </si>
  <si>
    <t>GRAND SLAM 2023 TOKYO</t>
  </si>
  <si>
    <t>全国大会(シード権出場)</t>
    <rPh sb="0" eb="4">
      <t>ゼンコクタイカイ</t>
    </rPh>
    <rPh sb="8" eb="9">
      <t>ケン</t>
    </rPh>
    <rPh sb="9" eb="11">
      <t>シュツジョウ</t>
    </rPh>
    <phoneticPr fontId="3"/>
  </si>
  <si>
    <t>-</t>
    <phoneticPr fontId="3"/>
  </si>
  <si>
    <t>地方予選/全国大会</t>
    <rPh sb="0" eb="2">
      <t>チホウ</t>
    </rPh>
    <rPh sb="5" eb="9">
      <t>ゼンコクタイカイ</t>
    </rPh>
    <phoneticPr fontId="3"/>
  </si>
  <si>
    <t>POPCORN DANCE CONTEST</t>
    <phoneticPr fontId="3"/>
  </si>
  <si>
    <t>東京予選</t>
    <phoneticPr fontId="3"/>
  </si>
  <si>
    <t>Camglay</t>
    <phoneticPr fontId="3"/>
  </si>
  <si>
    <t>4位</t>
    <phoneticPr fontId="3"/>
  </si>
  <si>
    <t>はちみつコンテスト</t>
    <phoneticPr fontId="3"/>
  </si>
  <si>
    <t>HALSHIP</t>
    <phoneticPr fontId="3"/>
  </si>
  <si>
    <t>スタジオ名</t>
    <rPh sb="4" eb="5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</si>
</sst>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4">
    <font>
      <sz val="11"/>
      <color theme="1"/>
      <name val="Noto Sans JP"/>
      <family val="2"/>
      <charset val="128"/>
    </font>
    <font>
      <b/>
      <sz val="10"/>
      <color rgb="FFFFFFFF"/>
      <name val="Meiryo"/>
      <family val="3"/>
      <charset val="128"/>
    </font>
    <font>
      <sz val="10"/>
      <name val="Meiryo"/>
      <family val="3"/>
      <charset val="128"/>
    </font>
    <font>
      <sz val="6"/>
      <name val="Noto Sans JP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"/>
  <sheetViews>
    <sheetView tabSelected="1" zoomScaleNormal="100" workbookViewId="0">
      <pane ySplit="1" topLeftCell="A2" activePane="bottomLeft" state="frozen"/>
      <selection pane="bottomLeft" activeCell="B14" sqref="B14"/>
    </sheetView>
  </sheetViews>
  <sheetFormatPr defaultColWidth="7.875" defaultRowHeight="18"/>
  <cols>
    <col min="1" max="1" width="18.75" style="5" customWidth="1"/>
    <col min="2" max="2" width="18.375" style="5" customWidth="1"/>
    <col min="3" max="3" width="29.125" style="5" customWidth="1"/>
    <col min="4" max="5" width="20" style="5" customWidth="1"/>
    <col min="6" max="6" width="12.75" style="5" customWidth="1"/>
    <col min="7" max="7" width="20" style="5" customWidth="1"/>
    <col min="10" max="10" width="27.5" bestFit="1" customWidth="1"/>
  </cols>
  <sheetData>
    <row r="1" spans="1:7">
      <c r="A1" s="1" t="s">
        <v>1</v>
      </c>
      <c r="B1" s="1" t="s">
        <v>163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170</v>
      </c>
    </row>
    <row r="2" spans="1:7">
      <c r="A2" s="3">
        <v>43247</v>
      </c>
      <c r="B2" s="2" t="str">
        <f>IF(OR(D2="決勝", D2="FINAL"), "全国大会", "地方予選")</f>
        <v>地方予選</v>
      </c>
      <c r="C2" s="2" t="s">
        <v>5</v>
      </c>
      <c r="D2" s="2" t="s">
        <v>6</v>
      </c>
      <c r="E2" s="2" t="s">
        <v>168</v>
      </c>
      <c r="F2" s="2" t="s">
        <v>7</v>
      </c>
      <c r="G2" s="2" t="s">
        <v>169</v>
      </c>
    </row>
    <row r="3" spans="1:7">
      <c r="A3" s="3">
        <v>43288</v>
      </c>
      <c r="B3" s="2" t="str">
        <f t="shared" ref="B3:B67" si="0">IF(OR(D3="決勝", D3="FINAL"), "全国大会", "地方予選")</f>
        <v>地方予選</v>
      </c>
      <c r="C3" s="2" t="s">
        <v>8</v>
      </c>
      <c r="D3" s="2" t="s">
        <v>9</v>
      </c>
      <c r="E3" s="2" t="s">
        <v>168</v>
      </c>
      <c r="F3" s="2" t="s">
        <v>7</v>
      </c>
      <c r="G3" s="2" t="s">
        <v>169</v>
      </c>
    </row>
    <row r="4" spans="1:7">
      <c r="A4" s="3">
        <v>43296</v>
      </c>
      <c r="B4" s="2" t="str">
        <f t="shared" si="0"/>
        <v>地方予選</v>
      </c>
      <c r="C4" s="2" t="s">
        <v>10</v>
      </c>
      <c r="D4" s="2" t="s">
        <v>11</v>
      </c>
      <c r="E4" s="2" t="s">
        <v>168</v>
      </c>
      <c r="F4" s="2" t="s">
        <v>7</v>
      </c>
      <c r="G4" s="2" t="s">
        <v>169</v>
      </c>
    </row>
    <row r="5" spans="1:7">
      <c r="A5" s="3">
        <v>43307</v>
      </c>
      <c r="B5" s="2" t="str">
        <f t="shared" si="0"/>
        <v>地方予選</v>
      </c>
      <c r="C5" s="2" t="s">
        <v>12</v>
      </c>
      <c r="D5" s="2" t="s">
        <v>162</v>
      </c>
      <c r="E5" s="2" t="s">
        <v>168</v>
      </c>
      <c r="F5" s="2" t="s">
        <v>13</v>
      </c>
      <c r="G5" s="2" t="s">
        <v>169</v>
      </c>
    </row>
    <row r="6" spans="1:7">
      <c r="A6" s="3">
        <v>43310</v>
      </c>
      <c r="B6" s="2" t="str">
        <f t="shared" si="0"/>
        <v>地方予選</v>
      </c>
      <c r="C6" s="2" t="s">
        <v>14</v>
      </c>
      <c r="D6" s="2" t="s">
        <v>15</v>
      </c>
      <c r="E6" s="2" t="s">
        <v>168</v>
      </c>
      <c r="F6" s="2" t="s">
        <v>7</v>
      </c>
      <c r="G6" s="2" t="s">
        <v>169</v>
      </c>
    </row>
    <row r="7" spans="1:7">
      <c r="A7" s="3">
        <v>43323</v>
      </c>
      <c r="B7" s="2" t="str">
        <f t="shared" si="0"/>
        <v>地方予選</v>
      </c>
      <c r="C7" s="2" t="s">
        <v>16</v>
      </c>
      <c r="D7" s="2" t="s">
        <v>162</v>
      </c>
      <c r="E7" s="2" t="s">
        <v>168</v>
      </c>
      <c r="F7" s="2" t="s">
        <v>17</v>
      </c>
      <c r="G7" s="2" t="s">
        <v>169</v>
      </c>
    </row>
    <row r="8" spans="1:7">
      <c r="A8" s="3">
        <v>43327</v>
      </c>
      <c r="B8" s="2" t="str">
        <f t="shared" si="0"/>
        <v>地方予選</v>
      </c>
      <c r="C8" s="2" t="s">
        <v>18</v>
      </c>
      <c r="D8" s="2" t="s">
        <v>162</v>
      </c>
      <c r="E8" s="2" t="s">
        <v>168</v>
      </c>
      <c r="F8" s="2" t="s">
        <v>19</v>
      </c>
      <c r="G8" s="2" t="s">
        <v>169</v>
      </c>
    </row>
    <row r="9" spans="1:7">
      <c r="A9" s="3">
        <v>43333</v>
      </c>
      <c r="B9" s="2" t="str">
        <f t="shared" si="0"/>
        <v>地方予選</v>
      </c>
      <c r="C9" s="2" t="s">
        <v>20</v>
      </c>
      <c r="D9" s="2" t="s">
        <v>21</v>
      </c>
      <c r="E9" s="2" t="s">
        <v>168</v>
      </c>
      <c r="F9" s="2" t="s">
        <v>22</v>
      </c>
      <c r="G9" s="2" t="s">
        <v>169</v>
      </c>
    </row>
    <row r="10" spans="1:7">
      <c r="A10" s="3">
        <v>43334</v>
      </c>
      <c r="B10" s="2" t="str">
        <f t="shared" si="0"/>
        <v>地方予選</v>
      </c>
      <c r="C10" s="2" t="s">
        <v>23</v>
      </c>
      <c r="D10" s="2" t="s">
        <v>162</v>
      </c>
      <c r="E10" s="2" t="s">
        <v>168</v>
      </c>
      <c r="F10" s="2" t="s">
        <v>17</v>
      </c>
      <c r="G10" s="2" t="s">
        <v>169</v>
      </c>
    </row>
    <row r="11" spans="1:7">
      <c r="A11" s="3">
        <v>43373</v>
      </c>
      <c r="B11" s="2" t="str">
        <f t="shared" si="0"/>
        <v>全国大会</v>
      </c>
      <c r="C11" s="2" t="s">
        <v>24</v>
      </c>
      <c r="D11" s="2" t="s">
        <v>25</v>
      </c>
      <c r="E11" s="2" t="s">
        <v>168</v>
      </c>
      <c r="F11" s="2" t="s">
        <v>22</v>
      </c>
      <c r="G11" s="2" t="s">
        <v>169</v>
      </c>
    </row>
    <row r="12" spans="1:7">
      <c r="A12" s="3">
        <v>43401</v>
      </c>
      <c r="B12" s="2" t="str">
        <f t="shared" si="0"/>
        <v>地方予選</v>
      </c>
      <c r="C12" s="2" t="s">
        <v>26</v>
      </c>
      <c r="D12" s="2" t="s">
        <v>162</v>
      </c>
      <c r="E12" s="2" t="s">
        <v>168</v>
      </c>
      <c r="F12" s="2" t="s">
        <v>17</v>
      </c>
      <c r="G12" s="2" t="s">
        <v>169</v>
      </c>
    </row>
    <row r="13" spans="1:7">
      <c r="A13" s="3">
        <v>43408</v>
      </c>
      <c r="B13" s="2" t="str">
        <f t="shared" si="0"/>
        <v>地方予選</v>
      </c>
      <c r="C13" s="2" t="s">
        <v>27</v>
      </c>
      <c r="D13" s="2" t="s">
        <v>162</v>
      </c>
      <c r="E13" s="2" t="s">
        <v>168</v>
      </c>
      <c r="F13" s="2" t="s">
        <v>17</v>
      </c>
      <c r="G13" s="2" t="s">
        <v>169</v>
      </c>
    </row>
    <row r="14" spans="1:7">
      <c r="A14" s="3">
        <v>43422</v>
      </c>
      <c r="B14" s="2" t="str">
        <f t="shared" si="0"/>
        <v>地方予選</v>
      </c>
      <c r="C14" s="2" t="s">
        <v>5</v>
      </c>
      <c r="D14" s="2" t="s">
        <v>28</v>
      </c>
      <c r="E14" s="2" t="s">
        <v>168</v>
      </c>
      <c r="F14" s="2" t="s">
        <v>22</v>
      </c>
      <c r="G14" s="2" t="s">
        <v>169</v>
      </c>
    </row>
    <row r="15" spans="1:7">
      <c r="A15" s="3">
        <v>43427</v>
      </c>
      <c r="B15" s="2" t="str">
        <f t="shared" si="0"/>
        <v>地方予選</v>
      </c>
      <c r="C15" s="2" t="s">
        <v>29</v>
      </c>
      <c r="D15" s="2" t="s">
        <v>30</v>
      </c>
      <c r="E15" s="2" t="s">
        <v>168</v>
      </c>
      <c r="F15" s="2" t="s">
        <v>17</v>
      </c>
      <c r="G15" s="2" t="s">
        <v>169</v>
      </c>
    </row>
    <row r="16" spans="1:7">
      <c r="A16" s="3">
        <v>43443</v>
      </c>
      <c r="B16" s="2" t="str">
        <f t="shared" si="0"/>
        <v>地方予選</v>
      </c>
      <c r="C16" s="2" t="s">
        <v>29</v>
      </c>
      <c r="D16" s="2" t="s">
        <v>31</v>
      </c>
      <c r="E16" s="2" t="s">
        <v>168</v>
      </c>
      <c r="F16" s="2" t="s">
        <v>17</v>
      </c>
      <c r="G16" s="2" t="s">
        <v>169</v>
      </c>
    </row>
    <row r="17" spans="1:7">
      <c r="A17" s="3">
        <v>43450</v>
      </c>
      <c r="B17" s="2" t="str">
        <f t="shared" si="0"/>
        <v>地方予選</v>
      </c>
      <c r="C17" s="2" t="s">
        <v>32</v>
      </c>
      <c r="D17" s="2" t="s">
        <v>33</v>
      </c>
      <c r="E17" s="2" t="s">
        <v>168</v>
      </c>
      <c r="F17" s="2" t="s">
        <v>22</v>
      </c>
      <c r="G17" s="2" t="s">
        <v>169</v>
      </c>
    </row>
    <row r="18" spans="1:7">
      <c r="A18" s="3">
        <v>43460</v>
      </c>
      <c r="B18" s="2" t="str">
        <f t="shared" si="0"/>
        <v>全国大会</v>
      </c>
      <c r="C18" s="2" t="s">
        <v>34</v>
      </c>
      <c r="D18" s="2" t="s">
        <v>35</v>
      </c>
      <c r="E18" s="2" t="s">
        <v>168</v>
      </c>
      <c r="F18" s="2" t="s">
        <v>17</v>
      </c>
      <c r="G18" s="2" t="s">
        <v>169</v>
      </c>
    </row>
    <row r="19" spans="1:7">
      <c r="A19" s="3">
        <v>43464</v>
      </c>
      <c r="B19" s="2" t="str">
        <f t="shared" si="0"/>
        <v>地方予選</v>
      </c>
      <c r="C19" s="2" t="s">
        <v>29</v>
      </c>
      <c r="D19" s="2" t="s">
        <v>36</v>
      </c>
      <c r="E19" s="2" t="s">
        <v>168</v>
      </c>
      <c r="F19" s="2" t="s">
        <v>7</v>
      </c>
      <c r="G19" s="2" t="s">
        <v>169</v>
      </c>
    </row>
    <row r="20" spans="1:7">
      <c r="A20" s="3">
        <v>43470</v>
      </c>
      <c r="B20" s="2" t="str">
        <f t="shared" si="0"/>
        <v>地方予選</v>
      </c>
      <c r="C20" s="2" t="s">
        <v>37</v>
      </c>
      <c r="D20" s="2" t="s">
        <v>33</v>
      </c>
      <c r="E20" s="2" t="s">
        <v>168</v>
      </c>
      <c r="F20" s="2" t="s">
        <v>22</v>
      </c>
      <c r="G20" s="2" t="s">
        <v>169</v>
      </c>
    </row>
    <row r="21" spans="1:7">
      <c r="A21" s="3">
        <v>43470</v>
      </c>
      <c r="B21" s="2" t="str">
        <f t="shared" si="0"/>
        <v>全国大会</v>
      </c>
      <c r="C21" s="2" t="s">
        <v>37</v>
      </c>
      <c r="D21" s="2" t="s">
        <v>35</v>
      </c>
      <c r="E21" s="2" t="s">
        <v>168</v>
      </c>
      <c r="F21" s="2" t="s">
        <v>17</v>
      </c>
      <c r="G21" s="2" t="s">
        <v>169</v>
      </c>
    </row>
    <row r="22" spans="1:7">
      <c r="A22" s="3">
        <v>43477</v>
      </c>
      <c r="B22" s="2" t="str">
        <f t="shared" si="0"/>
        <v>全国大会</v>
      </c>
      <c r="C22" s="2" t="s">
        <v>32</v>
      </c>
      <c r="D22" s="2" t="s">
        <v>35</v>
      </c>
      <c r="E22" s="2" t="s">
        <v>168</v>
      </c>
      <c r="F22" s="2" t="s">
        <v>17</v>
      </c>
      <c r="G22" s="2" t="s">
        <v>169</v>
      </c>
    </row>
    <row r="23" spans="1:7">
      <c r="A23" s="3">
        <v>43479</v>
      </c>
      <c r="B23" s="2" t="str">
        <f t="shared" si="0"/>
        <v>地方予選</v>
      </c>
      <c r="C23" s="2" t="s">
        <v>38</v>
      </c>
      <c r="D23" s="2" t="s">
        <v>33</v>
      </c>
      <c r="E23" s="2" t="s">
        <v>168</v>
      </c>
      <c r="F23" s="2" t="s">
        <v>17</v>
      </c>
      <c r="G23" s="2" t="s">
        <v>169</v>
      </c>
    </row>
    <row r="24" spans="1:7">
      <c r="A24" s="3">
        <v>43484</v>
      </c>
      <c r="B24" s="2" t="str">
        <f t="shared" si="0"/>
        <v>全国大会</v>
      </c>
      <c r="C24" s="2" t="s">
        <v>29</v>
      </c>
      <c r="D24" s="2" t="s">
        <v>35</v>
      </c>
      <c r="E24" s="2" t="s">
        <v>168</v>
      </c>
      <c r="F24" s="2" t="s">
        <v>17</v>
      </c>
      <c r="G24" s="2" t="s">
        <v>169</v>
      </c>
    </row>
    <row r="25" spans="1:7">
      <c r="A25" s="3">
        <v>43492</v>
      </c>
      <c r="B25" s="2" t="str">
        <f t="shared" si="0"/>
        <v>地方予選</v>
      </c>
      <c r="C25" s="2" t="s">
        <v>39</v>
      </c>
      <c r="D25" s="2" t="s">
        <v>40</v>
      </c>
      <c r="E25" s="2" t="s">
        <v>168</v>
      </c>
      <c r="F25" s="2" t="s">
        <v>7</v>
      </c>
      <c r="G25" s="2" t="s">
        <v>169</v>
      </c>
    </row>
    <row r="26" spans="1:7">
      <c r="A26" s="3">
        <v>43505</v>
      </c>
      <c r="B26" s="2" t="str">
        <f t="shared" si="0"/>
        <v>地方予選</v>
      </c>
      <c r="C26" s="2" t="s">
        <v>41</v>
      </c>
      <c r="D26" s="2" t="s">
        <v>15</v>
      </c>
      <c r="E26" s="2" t="s">
        <v>168</v>
      </c>
      <c r="F26" s="2" t="s">
        <v>13</v>
      </c>
      <c r="G26" s="2" t="s">
        <v>169</v>
      </c>
    </row>
    <row r="27" spans="1:7">
      <c r="A27" s="3">
        <v>43506</v>
      </c>
      <c r="B27" s="2" t="str">
        <f t="shared" si="0"/>
        <v>地方予選</v>
      </c>
      <c r="C27" s="2" t="s">
        <v>42</v>
      </c>
      <c r="D27" s="2" t="s">
        <v>43</v>
      </c>
      <c r="E27" s="2" t="s">
        <v>168</v>
      </c>
      <c r="F27" s="2" t="s">
        <v>13</v>
      </c>
      <c r="G27" s="2" t="s">
        <v>169</v>
      </c>
    </row>
    <row r="28" spans="1:7">
      <c r="A28" s="3">
        <v>43513</v>
      </c>
      <c r="B28" s="2" t="str">
        <f t="shared" si="0"/>
        <v>地方予選</v>
      </c>
      <c r="C28" s="2" t="s">
        <v>44</v>
      </c>
      <c r="D28" s="2" t="s">
        <v>45</v>
      </c>
      <c r="E28" s="2" t="s">
        <v>168</v>
      </c>
      <c r="F28" s="2" t="s">
        <v>7</v>
      </c>
      <c r="G28" s="2" t="s">
        <v>169</v>
      </c>
    </row>
    <row r="29" spans="1:7">
      <c r="A29" s="3">
        <v>43520</v>
      </c>
      <c r="B29" s="2" t="str">
        <f t="shared" si="0"/>
        <v>地方予選</v>
      </c>
      <c r="C29" s="2" t="s">
        <v>42</v>
      </c>
      <c r="D29" s="2" t="s">
        <v>46</v>
      </c>
      <c r="E29" s="2" t="s">
        <v>168</v>
      </c>
      <c r="F29" s="2" t="s">
        <v>17</v>
      </c>
      <c r="G29" s="2" t="s">
        <v>169</v>
      </c>
    </row>
    <row r="30" spans="1:7">
      <c r="A30" s="3">
        <v>43533</v>
      </c>
      <c r="B30" s="2" t="str">
        <f t="shared" si="0"/>
        <v>地方予選</v>
      </c>
      <c r="C30" s="2" t="s">
        <v>42</v>
      </c>
      <c r="D30" s="2" t="s">
        <v>47</v>
      </c>
      <c r="E30" s="2" t="s">
        <v>168</v>
      </c>
      <c r="F30" s="2" t="s">
        <v>7</v>
      </c>
      <c r="G30" s="2" t="s">
        <v>169</v>
      </c>
    </row>
    <row r="31" spans="1:7">
      <c r="A31" s="3">
        <v>43534</v>
      </c>
      <c r="B31" s="2" t="str">
        <f t="shared" si="0"/>
        <v>全国大会</v>
      </c>
      <c r="C31" s="2" t="s">
        <v>41</v>
      </c>
      <c r="D31" s="2" t="s">
        <v>25</v>
      </c>
      <c r="E31" s="2" t="s">
        <v>168</v>
      </c>
      <c r="F31" s="2" t="s">
        <v>22</v>
      </c>
      <c r="G31" s="2" t="s">
        <v>169</v>
      </c>
    </row>
    <row r="32" spans="1:7">
      <c r="A32" s="3">
        <v>43535</v>
      </c>
      <c r="B32" s="2" t="str">
        <f t="shared" si="0"/>
        <v>全国大会</v>
      </c>
      <c r="C32" s="2" t="s">
        <v>39</v>
      </c>
      <c r="D32" s="2" t="s">
        <v>35</v>
      </c>
      <c r="E32" s="2" t="s">
        <v>168</v>
      </c>
      <c r="F32" s="2" t="s">
        <v>22</v>
      </c>
      <c r="G32" s="2" t="s">
        <v>169</v>
      </c>
    </row>
    <row r="33" spans="1:7">
      <c r="A33" s="3">
        <v>43545</v>
      </c>
      <c r="B33" s="2" t="str">
        <f t="shared" si="0"/>
        <v>全国大会</v>
      </c>
      <c r="C33" s="2" t="s">
        <v>48</v>
      </c>
      <c r="D33" s="2" t="s">
        <v>35</v>
      </c>
      <c r="E33" s="2" t="s">
        <v>168</v>
      </c>
      <c r="F33" s="2" t="s">
        <v>13</v>
      </c>
      <c r="G33" s="2" t="s">
        <v>169</v>
      </c>
    </row>
    <row r="34" spans="1:7">
      <c r="A34" s="3">
        <v>43554</v>
      </c>
      <c r="B34" s="2" t="str">
        <f t="shared" si="0"/>
        <v>全国大会</v>
      </c>
      <c r="C34" s="2" t="s">
        <v>42</v>
      </c>
      <c r="D34" s="2" t="s">
        <v>35</v>
      </c>
      <c r="E34" s="2" t="s">
        <v>168</v>
      </c>
      <c r="F34" s="2" t="s">
        <v>17</v>
      </c>
      <c r="G34" s="2" t="s">
        <v>169</v>
      </c>
    </row>
    <row r="35" spans="1:7">
      <c r="A35" s="3">
        <v>43555</v>
      </c>
      <c r="B35" s="2" t="str">
        <f t="shared" si="0"/>
        <v>全国大会</v>
      </c>
      <c r="C35" s="2" t="s">
        <v>10</v>
      </c>
      <c r="D35" s="2" t="s">
        <v>35</v>
      </c>
      <c r="E35" s="2" t="s">
        <v>168</v>
      </c>
      <c r="F35" s="2" t="s">
        <v>13</v>
      </c>
      <c r="G35" s="2" t="s">
        <v>169</v>
      </c>
    </row>
    <row r="36" spans="1:7">
      <c r="A36" s="3">
        <v>43588</v>
      </c>
      <c r="B36" s="2" t="str">
        <f t="shared" si="0"/>
        <v>地方予選</v>
      </c>
      <c r="C36" s="2" t="s">
        <v>29</v>
      </c>
      <c r="D36" s="2" t="s">
        <v>50</v>
      </c>
      <c r="E36" s="2" t="s">
        <v>49</v>
      </c>
      <c r="F36" s="2" t="s">
        <v>17</v>
      </c>
      <c r="G36" s="2" t="s">
        <v>169</v>
      </c>
    </row>
    <row r="37" spans="1:7">
      <c r="A37" s="3">
        <v>43590</v>
      </c>
      <c r="B37" s="2" t="str">
        <f t="shared" si="0"/>
        <v>地方予選</v>
      </c>
      <c r="C37" s="2" t="s">
        <v>29</v>
      </c>
      <c r="D37" s="2" t="s">
        <v>51</v>
      </c>
      <c r="E37" s="2" t="s">
        <v>49</v>
      </c>
      <c r="F37" s="2" t="s">
        <v>13</v>
      </c>
      <c r="G37" s="2" t="s">
        <v>169</v>
      </c>
    </row>
    <row r="38" spans="1:7">
      <c r="A38" s="3">
        <v>43611</v>
      </c>
      <c r="B38" s="2" t="str">
        <f t="shared" si="0"/>
        <v>地方予選</v>
      </c>
      <c r="C38" s="2" t="s">
        <v>10</v>
      </c>
      <c r="D38" s="2" t="s">
        <v>52</v>
      </c>
      <c r="E38" s="2" t="s">
        <v>49</v>
      </c>
      <c r="F38" s="2" t="s">
        <v>7</v>
      </c>
      <c r="G38" s="2" t="s">
        <v>169</v>
      </c>
    </row>
    <row r="39" spans="1:7">
      <c r="A39" s="3">
        <v>43639</v>
      </c>
      <c r="B39" s="2" t="str">
        <f t="shared" si="0"/>
        <v>地方予選</v>
      </c>
      <c r="C39" s="2" t="s">
        <v>53</v>
      </c>
      <c r="D39" s="2" t="s">
        <v>162</v>
      </c>
      <c r="E39" s="2" t="s">
        <v>49</v>
      </c>
      <c r="F39" s="2" t="s">
        <v>7</v>
      </c>
      <c r="G39" s="2" t="s">
        <v>169</v>
      </c>
    </row>
    <row r="40" spans="1:7">
      <c r="A40" s="3">
        <v>43660</v>
      </c>
      <c r="B40" s="2" t="str">
        <f t="shared" si="0"/>
        <v>地方予選</v>
      </c>
      <c r="C40" s="2" t="s">
        <v>54</v>
      </c>
      <c r="D40" s="2" t="s">
        <v>55</v>
      </c>
      <c r="E40" s="2" t="s">
        <v>49</v>
      </c>
      <c r="F40" s="2" t="s">
        <v>7</v>
      </c>
      <c r="G40" s="2" t="s">
        <v>169</v>
      </c>
    </row>
    <row r="41" spans="1:7">
      <c r="A41" s="3">
        <v>43674</v>
      </c>
      <c r="B41" s="2" t="str">
        <f t="shared" si="0"/>
        <v>地方予選</v>
      </c>
      <c r="C41" s="2" t="s">
        <v>56</v>
      </c>
      <c r="D41" s="2" t="s">
        <v>162</v>
      </c>
      <c r="E41" s="2" t="s">
        <v>49</v>
      </c>
      <c r="F41" s="2" t="s">
        <v>57</v>
      </c>
      <c r="G41" s="2" t="s">
        <v>169</v>
      </c>
    </row>
    <row r="42" spans="1:7">
      <c r="A42" s="3">
        <v>43677</v>
      </c>
      <c r="B42" s="2" t="str">
        <f t="shared" si="0"/>
        <v>地方予選</v>
      </c>
      <c r="C42" s="2" t="s">
        <v>164</v>
      </c>
      <c r="D42" s="2" t="s">
        <v>165</v>
      </c>
      <c r="E42" s="2" t="s">
        <v>166</v>
      </c>
      <c r="F42" s="2" t="s">
        <v>167</v>
      </c>
      <c r="G42" s="2" t="s">
        <v>169</v>
      </c>
    </row>
    <row r="43" spans="1:7">
      <c r="A43" s="3">
        <v>43680</v>
      </c>
      <c r="B43" s="2" t="str">
        <f t="shared" si="0"/>
        <v>地方予選</v>
      </c>
      <c r="C43" s="2" t="s">
        <v>85</v>
      </c>
      <c r="D43" s="2" t="s">
        <v>86</v>
      </c>
      <c r="E43" s="2" t="s">
        <v>84</v>
      </c>
      <c r="F43" s="2" t="s">
        <v>87</v>
      </c>
      <c r="G43" s="2" t="s">
        <v>169</v>
      </c>
    </row>
    <row r="44" spans="1:7">
      <c r="A44" s="3">
        <v>43689</v>
      </c>
      <c r="B44" s="2" t="str">
        <f t="shared" si="0"/>
        <v>地方予選</v>
      </c>
      <c r="C44" s="2" t="s">
        <v>58</v>
      </c>
      <c r="D44" s="2" t="s">
        <v>59</v>
      </c>
      <c r="E44" s="2" t="s">
        <v>49</v>
      </c>
      <c r="F44" s="2" t="s">
        <v>22</v>
      </c>
      <c r="G44" s="2" t="s">
        <v>169</v>
      </c>
    </row>
    <row r="45" spans="1:7">
      <c r="A45" s="3">
        <v>43702</v>
      </c>
      <c r="B45" s="2" t="str">
        <f t="shared" si="0"/>
        <v>地方予選</v>
      </c>
      <c r="C45" s="2" t="s">
        <v>29</v>
      </c>
      <c r="D45" s="2" t="s">
        <v>60</v>
      </c>
      <c r="E45" s="2" t="s">
        <v>49</v>
      </c>
      <c r="F45" s="2" t="s">
        <v>22</v>
      </c>
      <c r="G45" s="2" t="s">
        <v>169</v>
      </c>
    </row>
    <row r="46" spans="1:7">
      <c r="A46" s="3">
        <v>43708</v>
      </c>
      <c r="B46" s="2" t="str">
        <f t="shared" si="0"/>
        <v>地方予選</v>
      </c>
      <c r="C46" s="2" t="s">
        <v>61</v>
      </c>
      <c r="D46" s="2" t="s">
        <v>62</v>
      </c>
      <c r="E46" s="2" t="s">
        <v>49</v>
      </c>
      <c r="F46" s="2" t="s">
        <v>22</v>
      </c>
      <c r="G46" s="2" t="s">
        <v>169</v>
      </c>
    </row>
    <row r="47" spans="1:7">
      <c r="A47" s="3">
        <v>43724</v>
      </c>
      <c r="B47" s="2" t="str">
        <f t="shared" si="0"/>
        <v>地方予選</v>
      </c>
      <c r="C47" s="2" t="s">
        <v>29</v>
      </c>
      <c r="D47" s="2" t="s">
        <v>63</v>
      </c>
      <c r="E47" s="2" t="s">
        <v>49</v>
      </c>
      <c r="F47" s="2" t="s">
        <v>22</v>
      </c>
      <c r="G47" s="2" t="s">
        <v>169</v>
      </c>
    </row>
    <row r="48" spans="1:7">
      <c r="A48" s="3">
        <v>43737</v>
      </c>
      <c r="B48" s="2" t="str">
        <f t="shared" si="0"/>
        <v>地方予選</v>
      </c>
      <c r="C48" s="2" t="s">
        <v>29</v>
      </c>
      <c r="D48" s="2" t="s">
        <v>64</v>
      </c>
      <c r="E48" s="2" t="s">
        <v>49</v>
      </c>
      <c r="F48" s="2" t="s">
        <v>22</v>
      </c>
      <c r="G48" s="2" t="s">
        <v>169</v>
      </c>
    </row>
    <row r="49" spans="1:7">
      <c r="A49" s="3">
        <v>43743</v>
      </c>
      <c r="B49" s="2" t="str">
        <f t="shared" si="0"/>
        <v>全国大会</v>
      </c>
      <c r="C49" s="2" t="s">
        <v>85</v>
      </c>
      <c r="D49" s="2" t="s">
        <v>88</v>
      </c>
      <c r="E49" s="2" t="s">
        <v>84</v>
      </c>
      <c r="F49" s="2" t="s">
        <v>7</v>
      </c>
      <c r="G49" s="2" t="s">
        <v>169</v>
      </c>
    </row>
    <row r="50" spans="1:7">
      <c r="A50" s="3">
        <v>43757</v>
      </c>
      <c r="B50" s="2" t="str">
        <f t="shared" si="0"/>
        <v>地方予選</v>
      </c>
      <c r="C50" s="2" t="s">
        <v>29</v>
      </c>
      <c r="D50" s="2" t="s">
        <v>65</v>
      </c>
      <c r="E50" s="2" t="s">
        <v>49</v>
      </c>
      <c r="F50" s="2" t="s">
        <v>22</v>
      </c>
      <c r="G50" s="2" t="s">
        <v>169</v>
      </c>
    </row>
    <row r="51" spans="1:7">
      <c r="A51" s="3">
        <v>43758</v>
      </c>
      <c r="B51" s="2" t="str">
        <f t="shared" si="0"/>
        <v>地方予選</v>
      </c>
      <c r="C51" s="2" t="s">
        <v>27</v>
      </c>
      <c r="D51" s="2" t="s">
        <v>66</v>
      </c>
      <c r="E51" s="2" t="s">
        <v>49</v>
      </c>
      <c r="F51" s="2" t="s">
        <v>7</v>
      </c>
      <c r="G51" s="2" t="s">
        <v>169</v>
      </c>
    </row>
    <row r="52" spans="1:7">
      <c r="A52" s="3">
        <v>43772</v>
      </c>
      <c r="B52" s="2" t="str">
        <f t="shared" si="0"/>
        <v>地方予選</v>
      </c>
      <c r="C52" s="2" t="s">
        <v>29</v>
      </c>
      <c r="D52" s="2" t="s">
        <v>67</v>
      </c>
      <c r="E52" s="2" t="s">
        <v>49</v>
      </c>
      <c r="F52" s="2" t="s">
        <v>22</v>
      </c>
      <c r="G52" s="2" t="s">
        <v>169</v>
      </c>
    </row>
    <row r="53" spans="1:7">
      <c r="A53" s="3">
        <v>43785</v>
      </c>
      <c r="B53" s="2" t="str">
        <f t="shared" si="0"/>
        <v>地方予選</v>
      </c>
      <c r="C53" s="2" t="s">
        <v>29</v>
      </c>
      <c r="D53" s="2" t="s">
        <v>68</v>
      </c>
      <c r="E53" s="2" t="s">
        <v>49</v>
      </c>
      <c r="F53" s="2" t="s">
        <v>22</v>
      </c>
      <c r="G53" s="2" t="s">
        <v>169</v>
      </c>
    </row>
    <row r="54" spans="1:7">
      <c r="A54" s="3">
        <v>43786</v>
      </c>
      <c r="B54" s="2" t="str">
        <f t="shared" si="0"/>
        <v>全国大会</v>
      </c>
      <c r="C54" s="2" t="s">
        <v>61</v>
      </c>
      <c r="D54" s="2" t="s">
        <v>35</v>
      </c>
      <c r="E54" s="2" t="s">
        <v>49</v>
      </c>
      <c r="F54" s="2" t="s">
        <v>17</v>
      </c>
      <c r="G54" s="2" t="s">
        <v>169</v>
      </c>
    </row>
    <row r="55" spans="1:7">
      <c r="A55" s="3">
        <v>43793</v>
      </c>
      <c r="B55" s="2" t="str">
        <f t="shared" si="0"/>
        <v>地方予選</v>
      </c>
      <c r="C55" s="2" t="s">
        <v>29</v>
      </c>
      <c r="D55" s="2" t="s">
        <v>69</v>
      </c>
      <c r="E55" s="2" t="s">
        <v>49</v>
      </c>
      <c r="F55" s="2" t="s">
        <v>7</v>
      </c>
      <c r="G55" s="2" t="s">
        <v>169</v>
      </c>
    </row>
    <row r="56" spans="1:7">
      <c r="A56" s="3">
        <v>43800</v>
      </c>
      <c r="B56" s="2" t="str">
        <f t="shared" si="0"/>
        <v>地方予選</v>
      </c>
      <c r="C56" s="2" t="s">
        <v>70</v>
      </c>
      <c r="D56" s="2" t="s">
        <v>71</v>
      </c>
      <c r="E56" s="2" t="s">
        <v>49</v>
      </c>
      <c r="F56" s="2" t="s">
        <v>7</v>
      </c>
      <c r="G56" s="2" t="s">
        <v>169</v>
      </c>
    </row>
    <row r="57" spans="1:7">
      <c r="A57" s="3">
        <v>43800</v>
      </c>
      <c r="B57" s="2" t="str">
        <f t="shared" si="0"/>
        <v>地方予選</v>
      </c>
      <c r="C57" s="2" t="s">
        <v>70</v>
      </c>
      <c r="D57" s="2" t="s">
        <v>28</v>
      </c>
      <c r="E57" s="2" t="s">
        <v>49</v>
      </c>
      <c r="F57" s="2" t="s">
        <v>7</v>
      </c>
      <c r="G57" s="2" t="s">
        <v>169</v>
      </c>
    </row>
    <row r="58" spans="1:7">
      <c r="A58" s="3">
        <v>43806</v>
      </c>
      <c r="B58" s="2" t="str">
        <f t="shared" si="0"/>
        <v>地方予選</v>
      </c>
      <c r="C58" s="2" t="s">
        <v>89</v>
      </c>
      <c r="D58" s="2" t="s">
        <v>162</v>
      </c>
      <c r="E58" s="2" t="s">
        <v>84</v>
      </c>
      <c r="F58" s="2" t="s">
        <v>90</v>
      </c>
      <c r="G58" s="2" t="s">
        <v>169</v>
      </c>
    </row>
    <row r="59" spans="1:7">
      <c r="A59" s="3">
        <v>43807</v>
      </c>
      <c r="B59" s="2" t="str">
        <f t="shared" si="0"/>
        <v>地方予選</v>
      </c>
      <c r="C59" s="2" t="s">
        <v>72</v>
      </c>
      <c r="D59" s="2" t="s">
        <v>73</v>
      </c>
      <c r="E59" s="2" t="s">
        <v>49</v>
      </c>
      <c r="F59" s="2" t="s">
        <v>22</v>
      </c>
      <c r="G59" s="2" t="s">
        <v>169</v>
      </c>
    </row>
    <row r="60" spans="1:7">
      <c r="A60" s="3">
        <v>43828</v>
      </c>
      <c r="B60" s="2" t="str">
        <f t="shared" si="0"/>
        <v>地方予選</v>
      </c>
      <c r="C60" s="2" t="s">
        <v>74</v>
      </c>
      <c r="D60" s="2" t="s">
        <v>75</v>
      </c>
      <c r="E60" s="2" t="s">
        <v>49</v>
      </c>
      <c r="F60" s="2" t="s">
        <v>22</v>
      </c>
      <c r="G60" s="2" t="s">
        <v>169</v>
      </c>
    </row>
    <row r="61" spans="1:7">
      <c r="A61" s="3">
        <v>43835</v>
      </c>
      <c r="B61" s="2" t="str">
        <f t="shared" si="0"/>
        <v>全国大会</v>
      </c>
      <c r="C61" s="2" t="s">
        <v>76</v>
      </c>
      <c r="D61" s="2" t="s">
        <v>35</v>
      </c>
      <c r="E61" s="2" t="s">
        <v>49</v>
      </c>
      <c r="F61" s="2" t="s">
        <v>77</v>
      </c>
      <c r="G61" s="2" t="s">
        <v>169</v>
      </c>
    </row>
    <row r="62" spans="1:7">
      <c r="A62" s="3">
        <v>43841</v>
      </c>
      <c r="B62" s="2" t="str">
        <f t="shared" si="0"/>
        <v>全国大会</v>
      </c>
      <c r="C62" s="2" t="s">
        <v>72</v>
      </c>
      <c r="D62" s="2" t="s">
        <v>35</v>
      </c>
      <c r="E62" s="2" t="s">
        <v>49</v>
      </c>
      <c r="F62" s="2" t="s">
        <v>13</v>
      </c>
      <c r="G62" s="2" t="s">
        <v>169</v>
      </c>
    </row>
    <row r="63" spans="1:7">
      <c r="A63" s="3">
        <v>43848</v>
      </c>
      <c r="B63" s="2" t="str">
        <f t="shared" si="0"/>
        <v>全国大会</v>
      </c>
      <c r="C63" s="2" t="s">
        <v>29</v>
      </c>
      <c r="D63" s="2" t="s">
        <v>35</v>
      </c>
      <c r="E63" s="2" t="s">
        <v>49</v>
      </c>
      <c r="F63" s="2" t="s">
        <v>17</v>
      </c>
      <c r="G63" s="2" t="s">
        <v>169</v>
      </c>
    </row>
    <row r="64" spans="1:7">
      <c r="A64" s="3">
        <v>43856</v>
      </c>
      <c r="B64" s="2" t="str">
        <f t="shared" si="0"/>
        <v>地方予選</v>
      </c>
      <c r="C64" s="2" t="s">
        <v>39</v>
      </c>
      <c r="D64" s="2" t="s">
        <v>78</v>
      </c>
      <c r="E64" s="2" t="s">
        <v>49</v>
      </c>
      <c r="F64" s="2" t="s">
        <v>7</v>
      </c>
      <c r="G64" s="2" t="s">
        <v>169</v>
      </c>
    </row>
    <row r="65" spans="1:7">
      <c r="A65" s="3">
        <v>43862</v>
      </c>
      <c r="B65" s="2" t="str">
        <f t="shared" si="0"/>
        <v>地方予選</v>
      </c>
      <c r="C65" s="2" t="s">
        <v>79</v>
      </c>
      <c r="D65" s="2" t="s">
        <v>80</v>
      </c>
      <c r="E65" s="2" t="s">
        <v>49</v>
      </c>
      <c r="F65" s="2" t="s">
        <v>17</v>
      </c>
      <c r="G65" s="2" t="s">
        <v>169</v>
      </c>
    </row>
    <row r="66" spans="1:7">
      <c r="A66" s="3">
        <v>43872</v>
      </c>
      <c r="B66" s="2" t="str">
        <f t="shared" si="0"/>
        <v>地方予選</v>
      </c>
      <c r="C66" s="2" t="s">
        <v>79</v>
      </c>
      <c r="D66" s="2" t="s">
        <v>81</v>
      </c>
      <c r="E66" s="2" t="s">
        <v>49</v>
      </c>
      <c r="F66" s="2" t="s">
        <v>22</v>
      </c>
      <c r="G66" s="2" t="s">
        <v>169</v>
      </c>
    </row>
    <row r="67" spans="1:7">
      <c r="A67" s="3">
        <v>43884</v>
      </c>
      <c r="B67" s="2" t="str">
        <f t="shared" si="0"/>
        <v>全国大会</v>
      </c>
      <c r="C67" s="2" t="s">
        <v>82</v>
      </c>
      <c r="D67" s="2" t="s">
        <v>35</v>
      </c>
      <c r="E67" s="2" t="s">
        <v>49</v>
      </c>
      <c r="F67" s="2" t="s">
        <v>13</v>
      </c>
      <c r="G67" s="2" t="s">
        <v>169</v>
      </c>
    </row>
    <row r="68" spans="1:7">
      <c r="A68" s="3">
        <v>43923</v>
      </c>
      <c r="B68" s="2" t="str">
        <f t="shared" ref="B68:B131" si="1">IF(OR(D68="決勝", D68="FINAL"), "全国大会", "地方予選")</f>
        <v>全国大会</v>
      </c>
      <c r="C68" s="2" t="s">
        <v>83</v>
      </c>
      <c r="D68" s="2" t="s">
        <v>35</v>
      </c>
      <c r="E68" s="2" t="s">
        <v>49</v>
      </c>
      <c r="F68" s="2" t="s">
        <v>13</v>
      </c>
      <c r="G68" s="2" t="s">
        <v>169</v>
      </c>
    </row>
    <row r="69" spans="1:7">
      <c r="A69" s="3">
        <v>44024</v>
      </c>
      <c r="B69" s="2" t="str">
        <f t="shared" si="1"/>
        <v>全国大会</v>
      </c>
      <c r="C69" s="2" t="s">
        <v>10</v>
      </c>
      <c r="D69" s="2" t="s">
        <v>35</v>
      </c>
      <c r="E69" s="2" t="s">
        <v>49</v>
      </c>
      <c r="F69" s="2" t="s">
        <v>22</v>
      </c>
      <c r="G69" s="2" t="s">
        <v>169</v>
      </c>
    </row>
    <row r="70" spans="1:7">
      <c r="A70" s="3">
        <v>44049</v>
      </c>
      <c r="B70" s="2" t="str">
        <f t="shared" si="1"/>
        <v>地方予選</v>
      </c>
      <c r="C70" s="2" t="s">
        <v>92</v>
      </c>
      <c r="D70" s="2" t="s">
        <v>162</v>
      </c>
      <c r="E70" s="2" t="s">
        <v>91</v>
      </c>
      <c r="F70" s="2" t="s">
        <v>17</v>
      </c>
      <c r="G70" s="2" t="s">
        <v>169</v>
      </c>
    </row>
    <row r="71" spans="1:7">
      <c r="A71" s="3">
        <v>44066</v>
      </c>
      <c r="B71" s="2" t="str">
        <f t="shared" si="1"/>
        <v>地方予選</v>
      </c>
      <c r="C71" s="2" t="s">
        <v>93</v>
      </c>
      <c r="D71" s="2" t="s">
        <v>162</v>
      </c>
      <c r="E71" s="2" t="s">
        <v>91</v>
      </c>
      <c r="F71" s="2" t="s">
        <v>17</v>
      </c>
      <c r="G71" s="2" t="s">
        <v>169</v>
      </c>
    </row>
    <row r="72" spans="1:7">
      <c r="A72" s="3">
        <v>44072</v>
      </c>
      <c r="B72" s="2" t="str">
        <f t="shared" si="1"/>
        <v>地方予選</v>
      </c>
      <c r="C72" s="2" t="s">
        <v>18</v>
      </c>
      <c r="D72" s="2" t="s">
        <v>94</v>
      </c>
      <c r="E72" s="2" t="s">
        <v>91</v>
      </c>
      <c r="F72" s="2" t="s">
        <v>7</v>
      </c>
      <c r="G72" s="2" t="s">
        <v>169</v>
      </c>
    </row>
    <row r="73" spans="1:7">
      <c r="A73" s="3">
        <v>44080</v>
      </c>
      <c r="B73" s="2" t="str">
        <f t="shared" si="1"/>
        <v>地方予選</v>
      </c>
      <c r="C73" s="2" t="s">
        <v>95</v>
      </c>
      <c r="D73" s="2" t="s">
        <v>96</v>
      </c>
      <c r="E73" s="2" t="s">
        <v>91</v>
      </c>
      <c r="F73" s="2" t="s">
        <v>22</v>
      </c>
      <c r="G73" s="2" t="s">
        <v>169</v>
      </c>
    </row>
    <row r="74" spans="1:7">
      <c r="A74" s="3">
        <v>44080</v>
      </c>
      <c r="B74" s="2" t="str">
        <f t="shared" si="1"/>
        <v>地方予選</v>
      </c>
      <c r="C74" s="2" t="s">
        <v>10</v>
      </c>
      <c r="D74" s="2" t="s">
        <v>97</v>
      </c>
      <c r="E74" s="2" t="s">
        <v>91</v>
      </c>
      <c r="F74" s="2" t="s">
        <v>7</v>
      </c>
      <c r="G74" s="2" t="s">
        <v>169</v>
      </c>
    </row>
    <row r="75" spans="1:7">
      <c r="A75" s="3">
        <v>44087</v>
      </c>
      <c r="B75" s="2" t="str">
        <f t="shared" si="1"/>
        <v>地方予選</v>
      </c>
      <c r="C75" s="2" t="s">
        <v>98</v>
      </c>
      <c r="D75" s="2" t="s">
        <v>99</v>
      </c>
      <c r="E75" s="2" t="s">
        <v>91</v>
      </c>
      <c r="F75" s="2" t="s">
        <v>22</v>
      </c>
      <c r="G75" s="2" t="s">
        <v>169</v>
      </c>
    </row>
    <row r="76" spans="1:7">
      <c r="A76" s="3">
        <v>44099</v>
      </c>
      <c r="B76" s="2" t="str">
        <f t="shared" si="1"/>
        <v>地方予選</v>
      </c>
      <c r="C76" s="2" t="s">
        <v>98</v>
      </c>
      <c r="D76" s="2" t="s">
        <v>100</v>
      </c>
      <c r="E76" s="2" t="s">
        <v>91</v>
      </c>
      <c r="F76" s="2" t="s">
        <v>7</v>
      </c>
      <c r="G76" s="2" t="s">
        <v>169</v>
      </c>
    </row>
    <row r="77" spans="1:7">
      <c r="A77" s="3">
        <v>44100</v>
      </c>
      <c r="B77" s="2" t="str">
        <f t="shared" si="1"/>
        <v>地方予選</v>
      </c>
      <c r="C77" s="2" t="s">
        <v>101</v>
      </c>
      <c r="D77" s="2" t="s">
        <v>59</v>
      </c>
      <c r="E77" s="2" t="s">
        <v>91</v>
      </c>
      <c r="F77" s="2" t="s">
        <v>13</v>
      </c>
      <c r="G77" s="2" t="s">
        <v>169</v>
      </c>
    </row>
    <row r="78" spans="1:7">
      <c r="A78" s="3">
        <v>44107</v>
      </c>
      <c r="B78" s="2" t="str">
        <f t="shared" si="1"/>
        <v>地方予選</v>
      </c>
      <c r="C78" s="2" t="s">
        <v>102</v>
      </c>
      <c r="D78" s="2" t="s">
        <v>103</v>
      </c>
      <c r="E78" s="2" t="s">
        <v>91</v>
      </c>
      <c r="F78" s="2" t="s">
        <v>22</v>
      </c>
      <c r="G78" s="2" t="s">
        <v>169</v>
      </c>
    </row>
    <row r="79" spans="1:7">
      <c r="A79" s="3">
        <v>44128</v>
      </c>
      <c r="B79" s="2" t="str">
        <f t="shared" si="1"/>
        <v>地方予選</v>
      </c>
      <c r="C79" s="2" t="s">
        <v>95</v>
      </c>
      <c r="D79" s="2" t="s">
        <v>64</v>
      </c>
      <c r="E79" s="2" t="s">
        <v>91</v>
      </c>
      <c r="F79" s="2" t="s">
        <v>13</v>
      </c>
      <c r="G79" s="2" t="s">
        <v>169</v>
      </c>
    </row>
    <row r="80" spans="1:7">
      <c r="A80" s="3">
        <v>44138</v>
      </c>
      <c r="B80" s="2" t="str">
        <f t="shared" si="1"/>
        <v>地方予選</v>
      </c>
      <c r="C80" s="2" t="s">
        <v>95</v>
      </c>
      <c r="D80" s="2" t="s">
        <v>65</v>
      </c>
      <c r="E80" s="2" t="s">
        <v>91</v>
      </c>
      <c r="F80" s="2" t="s">
        <v>7</v>
      </c>
      <c r="G80" s="2" t="s">
        <v>169</v>
      </c>
    </row>
    <row r="81" spans="1:7">
      <c r="A81" s="3">
        <v>44150</v>
      </c>
      <c r="B81" s="2" t="str">
        <f t="shared" si="1"/>
        <v>地方予選</v>
      </c>
      <c r="C81" s="2" t="s">
        <v>104</v>
      </c>
      <c r="D81" s="2" t="s">
        <v>105</v>
      </c>
      <c r="E81" s="2" t="s">
        <v>91</v>
      </c>
      <c r="F81" s="2" t="s">
        <v>7</v>
      </c>
      <c r="G81" s="2" t="s">
        <v>169</v>
      </c>
    </row>
    <row r="82" spans="1:7">
      <c r="A82" s="3">
        <v>44150</v>
      </c>
      <c r="B82" s="2" t="str">
        <f t="shared" si="1"/>
        <v>地方予選</v>
      </c>
      <c r="C82" s="2" t="s">
        <v>106</v>
      </c>
      <c r="D82" s="2" t="s">
        <v>107</v>
      </c>
      <c r="E82" s="2" t="s">
        <v>91</v>
      </c>
      <c r="F82" s="2" t="s">
        <v>7</v>
      </c>
      <c r="G82" s="2" t="s">
        <v>169</v>
      </c>
    </row>
    <row r="83" spans="1:7">
      <c r="A83" s="3">
        <v>44164</v>
      </c>
      <c r="B83" s="2" t="str">
        <f t="shared" si="1"/>
        <v>地方予選</v>
      </c>
      <c r="C83" s="2" t="s">
        <v>48</v>
      </c>
      <c r="D83" s="2" t="s">
        <v>108</v>
      </c>
      <c r="E83" s="2" t="s">
        <v>91</v>
      </c>
      <c r="F83" s="2" t="s">
        <v>7</v>
      </c>
      <c r="G83" s="2" t="s">
        <v>169</v>
      </c>
    </row>
    <row r="84" spans="1:7">
      <c r="A84" s="3">
        <v>44171</v>
      </c>
      <c r="B84" s="2" t="str">
        <f t="shared" si="1"/>
        <v>地方予選</v>
      </c>
      <c r="C84" s="2" t="s">
        <v>109</v>
      </c>
      <c r="D84" s="2" t="s">
        <v>110</v>
      </c>
      <c r="E84" s="2" t="s">
        <v>91</v>
      </c>
      <c r="F84" s="2" t="s">
        <v>22</v>
      </c>
      <c r="G84" s="2" t="s">
        <v>169</v>
      </c>
    </row>
    <row r="85" spans="1:7">
      <c r="A85" s="3">
        <v>44212</v>
      </c>
      <c r="B85" s="2" t="str">
        <f t="shared" si="1"/>
        <v>全国大会</v>
      </c>
      <c r="C85" s="2" t="s">
        <v>95</v>
      </c>
      <c r="D85" s="2" t="s">
        <v>35</v>
      </c>
      <c r="E85" s="2" t="s">
        <v>91</v>
      </c>
      <c r="F85" s="2" t="s">
        <v>111</v>
      </c>
      <c r="G85" s="2" t="s">
        <v>169</v>
      </c>
    </row>
    <row r="86" spans="1:7">
      <c r="A86" s="3">
        <v>44241</v>
      </c>
      <c r="B86" s="2" t="str">
        <f t="shared" si="1"/>
        <v>地方予選</v>
      </c>
      <c r="C86" s="2" t="s">
        <v>112</v>
      </c>
      <c r="D86" s="2" t="s">
        <v>113</v>
      </c>
      <c r="E86" s="2" t="s">
        <v>91</v>
      </c>
      <c r="F86" s="2" t="s">
        <v>13</v>
      </c>
      <c r="G86" s="2" t="s">
        <v>169</v>
      </c>
    </row>
    <row r="87" spans="1:7">
      <c r="A87" s="3">
        <v>44268</v>
      </c>
      <c r="B87" s="2" t="str">
        <f t="shared" si="1"/>
        <v>全国大会</v>
      </c>
      <c r="C87" s="2" t="s">
        <v>101</v>
      </c>
      <c r="D87" s="2" t="s">
        <v>35</v>
      </c>
      <c r="E87" s="2" t="s">
        <v>91</v>
      </c>
      <c r="F87" s="2" t="s">
        <v>114</v>
      </c>
      <c r="G87" s="2" t="s">
        <v>169</v>
      </c>
    </row>
    <row r="88" spans="1:7">
      <c r="A88" s="3">
        <v>44281</v>
      </c>
      <c r="B88" s="2" t="str">
        <f t="shared" si="1"/>
        <v>全国大会</v>
      </c>
      <c r="C88" s="2" t="s">
        <v>18</v>
      </c>
      <c r="D88" s="2" t="s">
        <v>35</v>
      </c>
      <c r="E88" s="2" t="s">
        <v>91</v>
      </c>
      <c r="F88" s="2" t="s">
        <v>22</v>
      </c>
      <c r="G88" s="2" t="s">
        <v>169</v>
      </c>
    </row>
    <row r="89" spans="1:7">
      <c r="A89" s="3">
        <v>44283</v>
      </c>
      <c r="B89" s="2" t="str">
        <f t="shared" si="1"/>
        <v>全国大会</v>
      </c>
      <c r="C89" s="2" t="s">
        <v>115</v>
      </c>
      <c r="D89" s="2" t="s">
        <v>35</v>
      </c>
      <c r="E89" s="2" t="s">
        <v>91</v>
      </c>
      <c r="F89" s="2" t="s">
        <v>7</v>
      </c>
      <c r="G89" s="2" t="s">
        <v>169</v>
      </c>
    </row>
    <row r="90" spans="1:7">
      <c r="A90" s="3">
        <v>44285</v>
      </c>
      <c r="B90" s="2" t="str">
        <f t="shared" si="1"/>
        <v>全国大会</v>
      </c>
      <c r="C90" s="2" t="s">
        <v>98</v>
      </c>
      <c r="D90" s="2" t="s">
        <v>35</v>
      </c>
      <c r="E90" s="2" t="s">
        <v>91</v>
      </c>
      <c r="F90" s="2" t="s">
        <v>7</v>
      </c>
      <c r="G90" s="2" t="s">
        <v>169</v>
      </c>
    </row>
    <row r="91" spans="1:7">
      <c r="A91" s="3">
        <v>44286</v>
      </c>
      <c r="B91" s="2" t="str">
        <f t="shared" si="1"/>
        <v>全国大会</v>
      </c>
      <c r="C91" s="2" t="s">
        <v>109</v>
      </c>
      <c r="D91" s="2" t="s">
        <v>35</v>
      </c>
      <c r="E91" s="2" t="s">
        <v>91</v>
      </c>
      <c r="F91" s="2" t="s">
        <v>7</v>
      </c>
      <c r="G91" s="2" t="s">
        <v>169</v>
      </c>
    </row>
    <row r="92" spans="1:7">
      <c r="A92" s="3">
        <v>44289</v>
      </c>
      <c r="B92" s="2" t="str">
        <f t="shared" si="1"/>
        <v>全国大会</v>
      </c>
      <c r="C92" s="2" t="s">
        <v>116</v>
      </c>
      <c r="D92" s="2" t="s">
        <v>35</v>
      </c>
      <c r="E92" s="2" t="s">
        <v>91</v>
      </c>
      <c r="F92" s="2" t="s">
        <v>13</v>
      </c>
      <c r="G92" s="2" t="s">
        <v>169</v>
      </c>
    </row>
    <row r="93" spans="1:7">
      <c r="A93" s="3">
        <v>44367</v>
      </c>
      <c r="B93" s="2" t="str">
        <f t="shared" si="1"/>
        <v>地方予選</v>
      </c>
      <c r="C93" s="2" t="s">
        <v>117</v>
      </c>
      <c r="D93" s="2" t="s">
        <v>64</v>
      </c>
      <c r="E93" s="2" t="s">
        <v>91</v>
      </c>
      <c r="F93" s="2" t="s">
        <v>7</v>
      </c>
      <c r="G93" s="2" t="s">
        <v>169</v>
      </c>
    </row>
    <row r="94" spans="1:7">
      <c r="A94" s="3">
        <v>44425</v>
      </c>
      <c r="B94" s="2" t="str">
        <f t="shared" si="1"/>
        <v>地方予選</v>
      </c>
      <c r="C94" s="2" t="s">
        <v>118</v>
      </c>
      <c r="D94" s="2" t="s">
        <v>119</v>
      </c>
      <c r="E94" s="2" t="s">
        <v>91</v>
      </c>
      <c r="F94" s="2" t="s">
        <v>17</v>
      </c>
      <c r="G94" s="2" t="s">
        <v>169</v>
      </c>
    </row>
    <row r="95" spans="1:7">
      <c r="A95" s="3">
        <v>44444</v>
      </c>
      <c r="B95" s="2" t="str">
        <f t="shared" si="1"/>
        <v>地方予選</v>
      </c>
      <c r="C95" s="2" t="s">
        <v>120</v>
      </c>
      <c r="D95" s="2" t="s">
        <v>108</v>
      </c>
      <c r="E95" s="2" t="s">
        <v>91</v>
      </c>
      <c r="F95" s="2" t="s">
        <v>17</v>
      </c>
      <c r="G95" s="2" t="s">
        <v>169</v>
      </c>
    </row>
    <row r="96" spans="1:7">
      <c r="A96" s="3">
        <v>44527</v>
      </c>
      <c r="B96" s="2" t="str">
        <f t="shared" si="1"/>
        <v>地方予選</v>
      </c>
      <c r="C96" s="2" t="s">
        <v>121</v>
      </c>
      <c r="D96" s="2" t="s">
        <v>162</v>
      </c>
      <c r="E96" s="2" t="s">
        <v>91</v>
      </c>
      <c r="F96" s="2" t="s">
        <v>122</v>
      </c>
      <c r="G96" s="2" t="s">
        <v>169</v>
      </c>
    </row>
    <row r="97" spans="1:7">
      <c r="A97" s="3">
        <v>44534</v>
      </c>
      <c r="B97" s="2" t="str">
        <f t="shared" si="1"/>
        <v>地方予選</v>
      </c>
      <c r="C97" s="2" t="s">
        <v>123</v>
      </c>
      <c r="D97" s="2" t="s">
        <v>124</v>
      </c>
      <c r="E97" s="2" t="s">
        <v>91</v>
      </c>
      <c r="F97" s="2" t="s">
        <v>22</v>
      </c>
      <c r="G97" s="2" t="s">
        <v>169</v>
      </c>
    </row>
    <row r="98" spans="1:7">
      <c r="A98" s="3">
        <v>44548</v>
      </c>
      <c r="B98" s="2" t="str">
        <f t="shared" si="1"/>
        <v>全国大会</v>
      </c>
      <c r="C98" s="2" t="s">
        <v>125</v>
      </c>
      <c r="D98" s="2" t="s">
        <v>35</v>
      </c>
      <c r="E98" s="2" t="s">
        <v>91</v>
      </c>
      <c r="F98" s="2" t="s">
        <v>17</v>
      </c>
      <c r="G98" s="2" t="s">
        <v>169</v>
      </c>
    </row>
    <row r="99" spans="1:7">
      <c r="A99" s="3">
        <v>44571</v>
      </c>
      <c r="B99" s="2" t="str">
        <f t="shared" si="1"/>
        <v>地方予選</v>
      </c>
      <c r="C99" s="2" t="s">
        <v>126</v>
      </c>
      <c r="D99" s="2" t="s">
        <v>33</v>
      </c>
      <c r="E99" s="2" t="s">
        <v>91</v>
      </c>
      <c r="F99" s="2" t="s">
        <v>22</v>
      </c>
      <c r="G99" s="2" t="s">
        <v>169</v>
      </c>
    </row>
    <row r="100" spans="1:7">
      <c r="A100" s="3">
        <v>44577</v>
      </c>
      <c r="B100" s="2" t="str">
        <f t="shared" si="1"/>
        <v>全国大会</v>
      </c>
      <c r="C100" s="2" t="s">
        <v>117</v>
      </c>
      <c r="D100" s="2" t="s">
        <v>35</v>
      </c>
      <c r="E100" s="2" t="s">
        <v>91</v>
      </c>
      <c r="F100" s="2" t="s">
        <v>127</v>
      </c>
      <c r="G100" s="2" t="s">
        <v>169</v>
      </c>
    </row>
    <row r="101" spans="1:7">
      <c r="A101" s="3">
        <v>44611</v>
      </c>
      <c r="B101" s="2" t="str">
        <f t="shared" si="1"/>
        <v>地方予選</v>
      </c>
      <c r="C101" s="2" t="s">
        <v>120</v>
      </c>
      <c r="D101" s="2" t="s">
        <v>128</v>
      </c>
      <c r="E101" s="2" t="s">
        <v>91</v>
      </c>
      <c r="F101" s="2" t="s">
        <v>7</v>
      </c>
      <c r="G101" s="2" t="s">
        <v>169</v>
      </c>
    </row>
    <row r="102" spans="1:7">
      <c r="A102" s="4">
        <v>44617</v>
      </c>
      <c r="B102" s="3" t="s">
        <v>161</v>
      </c>
      <c r="C102" s="2" t="s">
        <v>101</v>
      </c>
      <c r="D102" s="2" t="s">
        <v>35</v>
      </c>
      <c r="E102" s="2" t="s">
        <v>91</v>
      </c>
      <c r="F102" s="2" t="s">
        <v>114</v>
      </c>
      <c r="G102" s="2" t="s">
        <v>169</v>
      </c>
    </row>
    <row r="103" spans="1:7">
      <c r="A103" s="3">
        <v>44618</v>
      </c>
      <c r="B103" s="2" t="str">
        <f t="shared" si="1"/>
        <v>地方予選</v>
      </c>
      <c r="C103" s="2" t="s">
        <v>101</v>
      </c>
      <c r="D103" s="2" t="s">
        <v>129</v>
      </c>
      <c r="E103" s="2" t="s">
        <v>91</v>
      </c>
      <c r="F103" s="2" t="s">
        <v>77</v>
      </c>
      <c r="G103" s="2" t="s">
        <v>169</v>
      </c>
    </row>
    <row r="104" spans="1:7">
      <c r="A104" s="3">
        <v>44625</v>
      </c>
      <c r="B104" s="2" t="str">
        <f t="shared" si="1"/>
        <v>全国大会</v>
      </c>
      <c r="C104" s="2" t="s">
        <v>130</v>
      </c>
      <c r="D104" s="2" t="s">
        <v>35</v>
      </c>
      <c r="E104" s="2" t="s">
        <v>91</v>
      </c>
      <c r="F104" s="2" t="s">
        <v>131</v>
      </c>
      <c r="G104" s="2" t="s">
        <v>169</v>
      </c>
    </row>
    <row r="105" spans="1:7">
      <c r="A105" s="3">
        <v>44633</v>
      </c>
      <c r="B105" s="2" t="str">
        <f t="shared" si="1"/>
        <v>地方予選</v>
      </c>
      <c r="C105" s="2" t="s">
        <v>132</v>
      </c>
      <c r="D105" s="2" t="s">
        <v>162</v>
      </c>
      <c r="E105" s="2" t="s">
        <v>91</v>
      </c>
      <c r="F105" s="2" t="s">
        <v>17</v>
      </c>
      <c r="G105" s="2" t="s">
        <v>169</v>
      </c>
    </row>
    <row r="106" spans="1:7">
      <c r="A106" s="4">
        <v>44638</v>
      </c>
      <c r="B106" s="3" t="s">
        <v>161</v>
      </c>
      <c r="C106" s="2" t="s">
        <v>116</v>
      </c>
      <c r="D106" s="2" t="s">
        <v>35</v>
      </c>
      <c r="E106" s="2" t="s">
        <v>91</v>
      </c>
      <c r="F106" s="2" t="s">
        <v>13</v>
      </c>
      <c r="G106" s="2" t="s">
        <v>169</v>
      </c>
    </row>
    <row r="107" spans="1:7">
      <c r="A107" s="3">
        <v>44639</v>
      </c>
      <c r="B107" s="2" t="str">
        <f t="shared" si="1"/>
        <v>全国大会</v>
      </c>
      <c r="C107" s="2" t="s">
        <v>133</v>
      </c>
      <c r="D107" s="2" t="s">
        <v>35</v>
      </c>
      <c r="E107" s="2" t="s">
        <v>91</v>
      </c>
      <c r="F107" s="2" t="s">
        <v>17</v>
      </c>
      <c r="G107" s="2" t="s">
        <v>169</v>
      </c>
    </row>
    <row r="108" spans="1:7">
      <c r="A108" s="3">
        <v>44646</v>
      </c>
      <c r="B108" s="2" t="str">
        <f t="shared" si="1"/>
        <v>地方予選</v>
      </c>
      <c r="C108" s="2" t="s">
        <v>134</v>
      </c>
      <c r="D108" s="2" t="s">
        <v>28</v>
      </c>
      <c r="E108" s="2" t="s">
        <v>91</v>
      </c>
      <c r="F108" s="2" t="s">
        <v>17</v>
      </c>
      <c r="G108" s="2" t="s">
        <v>169</v>
      </c>
    </row>
    <row r="109" spans="1:7">
      <c r="A109" s="4">
        <v>44646</v>
      </c>
      <c r="B109" s="3" t="s">
        <v>161</v>
      </c>
      <c r="C109" s="2" t="s">
        <v>109</v>
      </c>
      <c r="D109" s="2" t="s">
        <v>35</v>
      </c>
      <c r="E109" s="2" t="s">
        <v>91</v>
      </c>
      <c r="F109" s="2" t="s">
        <v>7</v>
      </c>
      <c r="G109" s="2" t="s">
        <v>169</v>
      </c>
    </row>
    <row r="110" spans="1:7">
      <c r="A110" s="3">
        <v>44647</v>
      </c>
      <c r="B110" s="2" t="str">
        <f t="shared" si="1"/>
        <v>全国大会</v>
      </c>
      <c r="C110" s="2" t="s">
        <v>135</v>
      </c>
      <c r="D110" s="2" t="s">
        <v>35</v>
      </c>
      <c r="E110" s="2" t="s">
        <v>91</v>
      </c>
      <c r="F110" s="2" t="s">
        <v>13</v>
      </c>
      <c r="G110" s="2" t="s">
        <v>169</v>
      </c>
    </row>
    <row r="111" spans="1:7">
      <c r="A111" s="4">
        <v>44648</v>
      </c>
      <c r="B111" s="3" t="s">
        <v>161</v>
      </c>
      <c r="C111" s="2" t="s">
        <v>98</v>
      </c>
      <c r="D111" s="2" t="s">
        <v>35</v>
      </c>
      <c r="E111" s="2" t="s">
        <v>91</v>
      </c>
      <c r="F111" s="2" t="s">
        <v>7</v>
      </c>
      <c r="G111" s="2" t="s">
        <v>169</v>
      </c>
    </row>
    <row r="112" spans="1:7">
      <c r="A112" s="3">
        <v>44649</v>
      </c>
      <c r="B112" s="2" t="str">
        <f t="shared" si="1"/>
        <v>全国大会</v>
      </c>
      <c r="C112" s="2" t="s">
        <v>98</v>
      </c>
      <c r="D112" s="2" t="s">
        <v>35</v>
      </c>
      <c r="E112" s="2" t="s">
        <v>91</v>
      </c>
      <c r="F112" s="2" t="s">
        <v>13</v>
      </c>
      <c r="G112" s="2" t="s">
        <v>169</v>
      </c>
    </row>
    <row r="113" spans="1:7">
      <c r="A113" s="4">
        <v>44653</v>
      </c>
      <c r="B113" s="3" t="s">
        <v>161</v>
      </c>
      <c r="C113" s="2" t="s">
        <v>115</v>
      </c>
      <c r="D113" s="2" t="s">
        <v>35</v>
      </c>
      <c r="E113" s="2" t="s">
        <v>91</v>
      </c>
      <c r="F113" s="2" t="s">
        <v>7</v>
      </c>
      <c r="G113" s="2" t="s">
        <v>169</v>
      </c>
    </row>
    <row r="114" spans="1:7">
      <c r="A114" s="3">
        <v>44654</v>
      </c>
      <c r="B114" s="2" t="str">
        <f t="shared" si="1"/>
        <v>全国大会</v>
      </c>
      <c r="C114" s="2" t="s">
        <v>136</v>
      </c>
      <c r="D114" s="2" t="s">
        <v>35</v>
      </c>
      <c r="E114" s="2" t="s">
        <v>91</v>
      </c>
      <c r="F114" s="2" t="s">
        <v>19</v>
      </c>
      <c r="G114" s="2" t="s">
        <v>169</v>
      </c>
    </row>
    <row r="115" spans="1:7">
      <c r="A115" s="3">
        <v>44668</v>
      </c>
      <c r="B115" s="2" t="str">
        <f t="shared" si="1"/>
        <v>全国大会</v>
      </c>
      <c r="C115" s="2" t="s">
        <v>137</v>
      </c>
      <c r="D115" s="2" t="s">
        <v>35</v>
      </c>
      <c r="E115" s="2" t="s">
        <v>91</v>
      </c>
      <c r="F115" s="2" t="s">
        <v>122</v>
      </c>
      <c r="G115" s="2" t="s">
        <v>169</v>
      </c>
    </row>
    <row r="116" spans="1:7">
      <c r="A116" s="3">
        <v>44857</v>
      </c>
      <c r="B116" s="2" t="str">
        <f t="shared" si="1"/>
        <v>地方予選</v>
      </c>
      <c r="C116" s="2" t="s">
        <v>139</v>
      </c>
      <c r="D116" s="2" t="s">
        <v>140</v>
      </c>
      <c r="E116" s="2" t="s">
        <v>138</v>
      </c>
      <c r="F116" s="2" t="s">
        <v>17</v>
      </c>
      <c r="G116" s="2" t="s">
        <v>169</v>
      </c>
    </row>
    <row r="117" spans="1:7">
      <c r="A117" s="3">
        <v>44868</v>
      </c>
      <c r="B117" s="2" t="str">
        <f t="shared" si="1"/>
        <v>地方予選</v>
      </c>
      <c r="C117" s="2" t="s">
        <v>141</v>
      </c>
      <c r="D117" s="2" t="s">
        <v>142</v>
      </c>
      <c r="E117" s="2" t="s">
        <v>138</v>
      </c>
      <c r="F117" s="2" t="s">
        <v>22</v>
      </c>
      <c r="G117" s="2" t="s">
        <v>169</v>
      </c>
    </row>
    <row r="118" spans="1:7">
      <c r="A118" s="3">
        <v>44870</v>
      </c>
      <c r="B118" s="2" t="str">
        <f t="shared" si="1"/>
        <v>地方予選</v>
      </c>
      <c r="C118" s="2" t="s">
        <v>143</v>
      </c>
      <c r="D118" s="2" t="s">
        <v>144</v>
      </c>
      <c r="E118" s="2" t="s">
        <v>138</v>
      </c>
      <c r="F118" s="2" t="s">
        <v>7</v>
      </c>
      <c r="G118" s="2" t="s">
        <v>169</v>
      </c>
    </row>
    <row r="119" spans="1:7">
      <c r="A119" s="3">
        <v>44891</v>
      </c>
      <c r="B119" s="2" t="str">
        <f t="shared" si="1"/>
        <v>地方予選</v>
      </c>
      <c r="C119" s="2" t="s">
        <v>145</v>
      </c>
      <c r="D119" s="2" t="s">
        <v>146</v>
      </c>
      <c r="E119" s="2" t="s">
        <v>138</v>
      </c>
      <c r="F119" s="2" t="s">
        <v>22</v>
      </c>
      <c r="G119" s="2" t="s">
        <v>169</v>
      </c>
    </row>
    <row r="120" spans="1:7">
      <c r="A120" s="3">
        <v>44899</v>
      </c>
      <c r="B120" s="2" t="str">
        <f t="shared" si="1"/>
        <v>地方予選</v>
      </c>
      <c r="C120" s="2" t="s">
        <v>10</v>
      </c>
      <c r="D120" s="2" t="s">
        <v>147</v>
      </c>
      <c r="E120" s="2" t="s">
        <v>138</v>
      </c>
      <c r="F120" s="2" t="s">
        <v>7</v>
      </c>
      <c r="G120" s="2" t="s">
        <v>169</v>
      </c>
    </row>
    <row r="121" spans="1:7">
      <c r="A121" s="3">
        <v>44920</v>
      </c>
      <c r="B121" s="2" t="str">
        <f t="shared" si="1"/>
        <v>地方予選</v>
      </c>
      <c r="C121" s="2" t="s">
        <v>148</v>
      </c>
      <c r="D121" s="2" t="s">
        <v>149</v>
      </c>
      <c r="E121" s="2" t="s">
        <v>138</v>
      </c>
      <c r="F121" s="2" t="s">
        <v>13</v>
      </c>
      <c r="G121" s="2" t="s">
        <v>169</v>
      </c>
    </row>
    <row r="122" spans="1:7">
      <c r="A122" s="3">
        <v>44922</v>
      </c>
      <c r="B122" s="2" t="str">
        <f t="shared" si="1"/>
        <v>地方予選</v>
      </c>
      <c r="C122" s="2" t="s">
        <v>98</v>
      </c>
      <c r="D122" s="2" t="s">
        <v>150</v>
      </c>
      <c r="E122" s="2" t="s">
        <v>138</v>
      </c>
      <c r="F122" s="2" t="s">
        <v>19</v>
      </c>
      <c r="G122" s="2" t="s">
        <v>169</v>
      </c>
    </row>
    <row r="123" spans="1:7">
      <c r="A123" s="3">
        <v>44923</v>
      </c>
      <c r="B123" s="2" t="str">
        <f t="shared" si="1"/>
        <v>地方予選</v>
      </c>
      <c r="C123" s="2" t="s">
        <v>120</v>
      </c>
      <c r="D123" s="2" t="s">
        <v>151</v>
      </c>
      <c r="E123" s="2" t="s">
        <v>138</v>
      </c>
      <c r="F123" s="2" t="s">
        <v>7</v>
      </c>
      <c r="G123" s="2" t="s">
        <v>169</v>
      </c>
    </row>
    <row r="124" spans="1:7">
      <c r="A124" s="3">
        <v>44934</v>
      </c>
      <c r="B124" s="2" t="str">
        <f t="shared" si="1"/>
        <v>地方予選</v>
      </c>
      <c r="C124" s="2" t="s">
        <v>139</v>
      </c>
      <c r="D124" s="2" t="s">
        <v>152</v>
      </c>
      <c r="E124" s="2" t="s">
        <v>138</v>
      </c>
      <c r="F124" s="2" t="s">
        <v>22</v>
      </c>
      <c r="G124" s="2" t="s">
        <v>169</v>
      </c>
    </row>
    <row r="125" spans="1:7">
      <c r="A125" s="3">
        <v>44947</v>
      </c>
      <c r="B125" s="2" t="str">
        <f t="shared" si="1"/>
        <v>地方予選</v>
      </c>
      <c r="C125" s="2" t="s">
        <v>141</v>
      </c>
      <c r="D125" s="2" t="s">
        <v>129</v>
      </c>
      <c r="E125" s="2" t="s">
        <v>138</v>
      </c>
      <c r="F125" s="2" t="s">
        <v>153</v>
      </c>
      <c r="G125" s="2" t="s">
        <v>169</v>
      </c>
    </row>
    <row r="126" spans="1:7">
      <c r="A126" s="3">
        <v>44954</v>
      </c>
      <c r="B126" s="2" t="str">
        <f t="shared" si="1"/>
        <v>地方予選</v>
      </c>
      <c r="C126" s="2" t="s">
        <v>98</v>
      </c>
      <c r="D126" s="2" t="s">
        <v>150</v>
      </c>
      <c r="E126" s="2" t="s">
        <v>138</v>
      </c>
      <c r="F126" s="2" t="s">
        <v>19</v>
      </c>
      <c r="G126" s="2" t="s">
        <v>169</v>
      </c>
    </row>
    <row r="127" spans="1:7">
      <c r="A127" s="3">
        <v>44955</v>
      </c>
      <c r="B127" s="2" t="str">
        <f t="shared" si="1"/>
        <v>地方予選</v>
      </c>
      <c r="C127" s="2" t="s">
        <v>148</v>
      </c>
      <c r="D127" s="2" t="s">
        <v>154</v>
      </c>
      <c r="E127" s="2" t="s">
        <v>138</v>
      </c>
      <c r="F127" s="2" t="s">
        <v>17</v>
      </c>
      <c r="G127" s="2" t="s">
        <v>169</v>
      </c>
    </row>
    <row r="128" spans="1:7">
      <c r="A128" s="3">
        <v>44962</v>
      </c>
      <c r="B128" s="2" t="str">
        <f t="shared" si="1"/>
        <v>地方予選</v>
      </c>
      <c r="C128" s="2" t="s">
        <v>148</v>
      </c>
      <c r="D128" s="2" t="s">
        <v>155</v>
      </c>
      <c r="E128" s="2" t="s">
        <v>138</v>
      </c>
      <c r="F128" s="2" t="s">
        <v>17</v>
      </c>
      <c r="G128" s="2" t="s">
        <v>169</v>
      </c>
    </row>
    <row r="129" spans="1:7">
      <c r="A129" s="3">
        <v>44982</v>
      </c>
      <c r="B129" s="2" t="str">
        <f t="shared" si="1"/>
        <v>地方予選</v>
      </c>
      <c r="C129" s="2" t="s">
        <v>98</v>
      </c>
      <c r="D129" s="2" t="s">
        <v>156</v>
      </c>
      <c r="E129" s="2" t="s">
        <v>138</v>
      </c>
      <c r="F129" s="2" t="s">
        <v>13</v>
      </c>
      <c r="G129" s="2" t="s">
        <v>169</v>
      </c>
    </row>
    <row r="130" spans="1:7">
      <c r="A130" s="3">
        <v>44989</v>
      </c>
      <c r="B130" s="2" t="str">
        <f t="shared" si="1"/>
        <v>全国大会</v>
      </c>
      <c r="C130" s="2" t="s">
        <v>145</v>
      </c>
      <c r="D130" s="2" t="s">
        <v>35</v>
      </c>
      <c r="E130" s="2" t="s">
        <v>138</v>
      </c>
      <c r="F130" s="2" t="s">
        <v>17</v>
      </c>
      <c r="G130" s="2" t="s">
        <v>169</v>
      </c>
    </row>
    <row r="131" spans="1:7">
      <c r="A131" s="3">
        <v>44997</v>
      </c>
      <c r="B131" s="2" t="str">
        <f t="shared" si="1"/>
        <v>全国大会</v>
      </c>
      <c r="C131" s="2" t="s">
        <v>143</v>
      </c>
      <c r="D131" s="2" t="s">
        <v>35</v>
      </c>
      <c r="E131" s="2" t="s">
        <v>138</v>
      </c>
      <c r="F131" s="2" t="s">
        <v>17</v>
      </c>
      <c r="G131" s="2" t="s">
        <v>169</v>
      </c>
    </row>
    <row r="132" spans="1:7">
      <c r="A132" s="3">
        <v>45003</v>
      </c>
      <c r="B132" s="2" t="str">
        <f t="shared" ref="B132:B135" si="2">IF(OR(D132="決勝", D132="FINAL"), "全国大会", "地方予選")</f>
        <v>全国大会</v>
      </c>
      <c r="C132" s="2" t="s">
        <v>157</v>
      </c>
      <c r="D132" s="2" t="s">
        <v>35</v>
      </c>
      <c r="E132" s="2" t="s">
        <v>138</v>
      </c>
      <c r="F132" s="2" t="s">
        <v>131</v>
      </c>
      <c r="G132" s="2" t="s">
        <v>169</v>
      </c>
    </row>
    <row r="133" spans="1:7">
      <c r="A133" s="3">
        <v>45011</v>
      </c>
      <c r="B133" s="2" t="str">
        <f t="shared" si="2"/>
        <v>全国大会</v>
      </c>
      <c r="C133" s="2" t="s">
        <v>158</v>
      </c>
      <c r="D133" s="2" t="s">
        <v>35</v>
      </c>
      <c r="E133" s="2" t="s">
        <v>138</v>
      </c>
      <c r="F133" s="2" t="s">
        <v>159</v>
      </c>
      <c r="G133" s="2" t="s">
        <v>169</v>
      </c>
    </row>
    <row r="134" spans="1:7">
      <c r="A134" s="3">
        <v>45015</v>
      </c>
      <c r="B134" s="2" t="str">
        <f t="shared" si="2"/>
        <v>全国大会</v>
      </c>
      <c r="C134" s="2" t="s">
        <v>139</v>
      </c>
      <c r="D134" s="2" t="s">
        <v>35</v>
      </c>
      <c r="E134" s="2" t="s">
        <v>138</v>
      </c>
      <c r="F134" s="2" t="s">
        <v>17</v>
      </c>
      <c r="G134" s="2" t="s">
        <v>169</v>
      </c>
    </row>
    <row r="135" spans="1:7">
      <c r="A135" s="3">
        <v>45018</v>
      </c>
      <c r="B135" s="2" t="str">
        <f t="shared" si="2"/>
        <v>地方予選</v>
      </c>
      <c r="C135" s="2" t="s">
        <v>160</v>
      </c>
      <c r="D135" s="2" t="s">
        <v>162</v>
      </c>
      <c r="E135" s="2" t="s">
        <v>138</v>
      </c>
      <c r="F135" s="2" t="s">
        <v>17</v>
      </c>
      <c r="G135" s="2" t="s">
        <v>169</v>
      </c>
    </row>
  </sheetData>
  <autoFilter ref="A1:F135" xr:uid="{00000000-0009-0000-0000-000000000000}"/>
  <sortState xmlns:xlrd2="http://schemas.microsoft.com/office/spreadsheetml/2017/richdata2" ref="A2:F135">
    <sortCondition ref="A2:A135"/>
  </sortState>
  <phoneticPr fontId="3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戦歴明細</vt:lpstr>
      <vt:lpstr>戦歴明細!_FilterDatabase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TAKAHISA SATOH</cp:lastModifiedBy>
  <cp:revision>0</cp:revision>
  <dcterms:created xsi:type="dcterms:W3CDTF">2026-08-04T05:37:39Z</dcterms:created>
  <dcterms:modified xsi:type="dcterms:W3CDTF">2026-08-04T06:39:13Z</dcterms:modified>
  <dc:language>ja-JP</dc:language>
</cp:coreProperties>
</file>