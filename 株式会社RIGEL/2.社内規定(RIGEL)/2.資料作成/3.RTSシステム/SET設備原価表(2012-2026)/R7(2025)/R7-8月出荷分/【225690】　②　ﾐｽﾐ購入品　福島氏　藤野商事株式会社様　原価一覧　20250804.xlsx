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BD0D26F-B613-48ED-AB57-1667F1E7F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ﾐｽﾐ品発注 (20250804)  ②" sheetId="12" r:id="rId1"/>
    <sheet name="Sheet2" sheetId="2" r:id="rId2"/>
    <sheet name="Sheet3" sheetId="3" r:id="rId3"/>
  </sheets>
  <definedNames>
    <definedName name="_xlnm._FilterDatabase" localSheetId="0">'ﾐｽﾐ品発注 (20250804)  ②'!$C$8:$P$8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2" l="1"/>
  <c r="F15" i="12" s="1"/>
  <c r="I12" i="12"/>
  <c r="C12" i="12"/>
  <c r="I21" i="12"/>
  <c r="I20" i="12"/>
  <c r="I19" i="12"/>
  <c r="K2" i="12" l="1"/>
</calcChain>
</file>

<file path=xl/sharedStrings.xml><?xml version="1.0" encoding="utf-8"?>
<sst xmlns="http://schemas.openxmlformats.org/spreadsheetml/2006/main" count="45" uniqueCount="38">
  <si>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</si>
  <si>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</si>
  <si>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</si>
  <si>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</si>
  <si>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</si>
  <si>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</si>
  <si>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</si>
  <si>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</si>
  <si>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</si>
  <si>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</si>
  <si>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</si>
  <si>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</si>
  <si>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</si>
  <si>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</si>
  <si>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</si>
  <si>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</si>
  <si>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</si>
  <si>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</si>
  <si>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</si>
  <si>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</si>
  <si>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</si>
  <si>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</si>
  <si>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</si>
  <si>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</si>
  <si>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</si>
  <si>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</si>
  <si>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Ｎo.225690</t>
    <phoneticPr fontId="10"/>
  </si>
  <si>
    <t>福島氏　</t>
    <phoneticPr fontId="10"/>
  </si>
  <si>
    <t>藤野商事株式会社様</t>
    <phoneticPr fontId="10"/>
  </si>
  <si>
    <t>ﾂｰﾙ治具用部品</t>
    <rPh sb="3" eb="5">
      <t>ジグ</t>
    </rPh>
    <rPh sb="5" eb="6">
      <t>ヨウ</t>
    </rPh>
    <rPh sb="6" eb="8">
      <t>ブヒン</t>
    </rPh>
    <phoneticPr fontId="10"/>
  </si>
  <si>
    <t>ﾐｽﾐ</t>
    <phoneticPr fontId="10"/>
  </si>
  <si>
    <t>LRLB5-10</t>
    <phoneticPr fontId="16"/>
  </si>
  <si>
    <t>長尺ローレット付ボルト</t>
    <rPh sb="0" eb="2">
      <t>チョウジャク</t>
    </rPh>
    <rPh sb="7" eb="8">
      <t>ツキ</t>
    </rPh>
    <phoneticPr fontId="16"/>
  </si>
  <si>
    <t>②</t>
    <phoneticPr fontId="10"/>
  </si>
  <si>
    <t>六角穴付ボルト－ステンレス</t>
    <phoneticPr fontId="10"/>
  </si>
  <si>
    <t>SCB4-40</t>
    <phoneticPr fontId="10"/>
  </si>
  <si>
    <t>AB24649323</t>
    <phoneticPr fontId="10"/>
  </si>
  <si>
    <t>1日目</t>
    <rPh sb="1" eb="2">
      <t>ヒ</t>
    </rPh>
    <rPh sb="2" eb="3">
      <t>メ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</si>
</sst>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8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6" xfId="0" applyBorder="1" applyAlignment="1">
      <alignment vertical="center" shrinkToFit="1"/>
    </xf>
    <xf numFmtId="3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6" xfId="4" applyBorder="1" applyAlignment="1">
      <alignment horizontal="center" vertical="center"/>
    </xf>
    <xf numFmtId="38" fontId="9" fillId="0" borderId="6" xfId="4" applyNumberFormat="1" applyBorder="1" applyAlignment="1">
      <alignment horizontal="right" vertical="center"/>
    </xf>
    <xf numFmtId="180" fontId="9" fillId="0" borderId="6" xfId="4" applyNumberFormat="1" applyBorder="1">
      <alignment vertical="center"/>
    </xf>
    <xf numFmtId="0" fontId="9" fillId="0" borderId="7" xfId="4" applyBorder="1" applyAlignment="1">
      <alignment horizontal="center" vertical="center"/>
    </xf>
    <xf numFmtId="0" fontId="9" fillId="0" borderId="6" xfId="4" applyBorder="1">
      <alignment vertical="center"/>
    </xf>
    <xf numFmtId="3" fontId="9" fillId="5" borderId="6" xfId="4" applyNumberFormat="1" applyFill="1" applyBorder="1" applyAlignment="1">
      <alignment horizontal="center" vertical="center"/>
    </xf>
    <xf numFmtId="3" fontId="9" fillId="0" borderId="6" xfId="4" applyNumberFormat="1" applyBorder="1" applyAlignment="1">
      <alignment horizontal="center" vertical="center"/>
    </xf>
    <xf numFmtId="0" fontId="9" fillId="0" borderId="6" xfId="4" applyBorder="1" applyAlignment="1">
      <alignment horizontal="left" vertical="center"/>
    </xf>
    <xf numFmtId="0" fontId="9" fillId="0" borderId="11" xfId="4" applyBorder="1" applyAlignment="1">
      <alignment horizontal="center" vertical="center"/>
    </xf>
    <xf numFmtId="38" fontId="9" fillId="0" borderId="11" xfId="4" applyNumberFormat="1" applyBorder="1" applyAlignment="1">
      <alignment horizontal="center" vertical="center"/>
    </xf>
    <xf numFmtId="0" fontId="9" fillId="0" borderId="12" xfId="4" applyBorder="1" applyAlignment="1">
      <alignment horizontal="center" vertical="center"/>
    </xf>
    <xf numFmtId="49" fontId="9" fillId="0" borderId="6" xfId="4" applyNumberFormat="1" applyBorder="1" applyAlignment="1">
      <alignment horizontal="left" vertical="center"/>
    </xf>
    <xf numFmtId="3" fontId="2" fillId="3" borderId="6" xfId="4" applyNumberFormat="1" applyFont="1" applyFill="1" applyBorder="1" applyAlignment="1">
      <alignment horizontal="center" vertical="center"/>
    </xf>
    <xf numFmtId="5" fontId="13" fillId="3" borderId="6" xfId="4" applyNumberFormat="1" applyFont="1" applyFill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9" fillId="0" borderId="11" xfId="4" applyNumberFormat="1" applyBorder="1" applyAlignment="1">
      <alignment horizontal="center" vertical="center"/>
    </xf>
    <xf numFmtId="49" fontId="9" fillId="0" borderId="11" xfId="4" applyNumberForma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/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shrinkToFit="1"/>
    </xf>
    <xf numFmtId="0" fontId="0" fillId="5" borderId="6" xfId="0" applyFill="1" applyBorder="1" applyAlignment="1">
      <alignment vertical="center" shrinkToFit="1"/>
    </xf>
    <xf numFmtId="176" fontId="0" fillId="5" borderId="6" xfId="0" applyNumberFormat="1" applyFill="1" applyBorder="1" applyAlignment="1">
      <alignment horizontal="center" vertical="center"/>
    </xf>
    <xf numFmtId="49" fontId="9" fillId="5" borderId="6" xfId="4" applyNumberFormat="1" applyFill="1" applyBorder="1" applyAlignment="1">
      <alignment horizontal="left" vertical="center"/>
    </xf>
    <xf numFmtId="0" fontId="9" fillId="5" borderId="6" xfId="4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9" fillId="5" borderId="9" xfId="4" applyNumberForma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15" fillId="4" borderId="9" xfId="3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FFC000"/>
  </sheetPr>
  <dimension ref="A2:R25"/>
  <sheetViews>
    <sheetView tabSelected="1" zoomScale="85" zoomScaleNormal="85" workbookViewId="0">
      <pane xSplit="11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Q27" sqref="Q27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38.87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6" customWidth="1"/>
    <col min="18" max="18" width="19.375" style="26" customWidth="1"/>
  </cols>
  <sheetData>
    <row r="2" spans="1:18" ht="20.100000000000001" customHeight="1" x14ac:dyDescent="0.15">
      <c r="C2" s="66" t="s">
        <v>0</v>
      </c>
      <c r="D2" s="66"/>
      <c r="E2" s="66"/>
      <c r="F2" s="24" t="s">
        <v>28</v>
      </c>
      <c r="H2" s="70" t="s">
        <v>1</v>
      </c>
      <c r="I2" s="71"/>
      <c r="J2" s="72"/>
      <c r="K2" s="11">
        <f>SUM(I:I)</f>
        <v>706</v>
      </c>
    </row>
    <row r="3" spans="1:18" ht="20.100000000000001" customHeight="1" x14ac:dyDescent="0.15">
      <c r="C3" s="66" t="s">
        <v>2</v>
      </c>
      <c r="D3" s="66"/>
      <c r="E3" s="66"/>
      <c r="F3" s="9" t="s">
        <v>27</v>
      </c>
    </row>
    <row r="4" spans="1:18" ht="20.100000000000001" customHeight="1" x14ac:dyDescent="0.15">
      <c r="C4" s="66" t="s">
        <v>3</v>
      </c>
      <c r="D4" s="66"/>
      <c r="E4" s="66"/>
      <c r="F4" s="9" t="s">
        <v>26</v>
      </c>
      <c r="H4" s="73" t="s">
        <v>33</v>
      </c>
      <c r="I4" s="74"/>
      <c r="J4" s="77"/>
      <c r="K4" s="77"/>
      <c r="L4" s="77"/>
    </row>
    <row r="5" spans="1:18" ht="20.100000000000001" customHeight="1" x14ac:dyDescent="0.15">
      <c r="C5" s="66" t="s">
        <v>4</v>
      </c>
      <c r="D5" s="66"/>
      <c r="E5" s="66"/>
      <c r="F5" s="10">
        <v>45897</v>
      </c>
      <c r="H5" s="75"/>
      <c r="I5" s="76"/>
      <c r="J5" s="77"/>
      <c r="K5" s="77"/>
      <c r="L5" s="77"/>
    </row>
    <row r="6" spans="1:18" ht="20.100000000000001" customHeight="1" x14ac:dyDescent="0.15">
      <c r="C6" s="66" t="s">
        <v>5</v>
      </c>
      <c r="D6" s="66"/>
      <c r="E6" s="66"/>
      <c r="F6" s="10">
        <v>45898</v>
      </c>
      <c r="I6" s="27"/>
    </row>
    <row r="8" spans="1:18" s="3" customFormat="1" ht="19.5" customHeight="1" x14ac:dyDescent="0.15">
      <c r="B8" s="30" t="s">
        <v>25</v>
      </c>
      <c r="C8" s="29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 x14ac:dyDescent="0.15">
      <c r="C9" s="4"/>
      <c r="D9" s="4"/>
      <c r="E9" s="4"/>
      <c r="F9" s="6"/>
      <c r="G9" s="21"/>
      <c r="H9" s="21"/>
      <c r="I9" s="21"/>
      <c r="J9" s="13"/>
      <c r="K9" s="22"/>
      <c r="L9" s="1"/>
      <c r="M9" s="1"/>
      <c r="N9" s="15"/>
      <c r="O9" s="4"/>
      <c r="P9" s="1"/>
      <c r="Q9" s="15"/>
      <c r="R9" s="8"/>
    </row>
    <row r="10" spans="1:18" s="3" customFormat="1" ht="19.5" customHeight="1" x14ac:dyDescent="0.15">
      <c r="C10" s="67" t="s">
        <v>29</v>
      </c>
      <c r="D10" s="68"/>
      <c r="E10" s="68"/>
      <c r="F10" s="69"/>
      <c r="G10" s="31"/>
      <c r="H10" s="32"/>
      <c r="I10" s="33"/>
      <c r="J10" s="34"/>
      <c r="K10" s="35"/>
      <c r="M10" s="1"/>
      <c r="N10" s="15"/>
      <c r="O10" s="4"/>
      <c r="P10" s="1"/>
      <c r="Q10" s="15"/>
      <c r="R10" s="8"/>
    </row>
    <row r="11" spans="1:18" s="3" customFormat="1" ht="19.5" customHeight="1" x14ac:dyDescent="0.15">
      <c r="A11" s="59" t="s">
        <v>37</v>
      </c>
      <c r="B11" s="62">
        <v>4</v>
      </c>
      <c r="C11" s="60">
        <v>1</v>
      </c>
      <c r="D11" s="36" t="s">
        <v>30</v>
      </c>
      <c r="E11" s="36" t="s">
        <v>30</v>
      </c>
      <c r="F11" s="54" t="s">
        <v>31</v>
      </c>
      <c r="G11" s="55">
        <v>1</v>
      </c>
      <c r="H11" s="55">
        <v>564</v>
      </c>
      <c r="I11" s="52">
        <f t="shared" ref="I11" si="0">G11*H11</f>
        <v>564</v>
      </c>
      <c r="J11" s="51"/>
      <c r="K11" s="53" t="s">
        <v>32</v>
      </c>
      <c r="L11" s="58" t="s">
        <v>36</v>
      </c>
      <c r="M11" s="1"/>
      <c r="N11" s="15">
        <v>45873</v>
      </c>
      <c r="O11" s="4"/>
      <c r="P11" s="50">
        <v>45885</v>
      </c>
      <c r="Q11" s="15">
        <v>45887</v>
      </c>
      <c r="R11" s="14">
        <v>45887</v>
      </c>
    </row>
    <row r="12" spans="1:18" s="3" customFormat="1" ht="19.5" customHeight="1" x14ac:dyDescent="0.15">
      <c r="A12" s="59" t="s">
        <v>37</v>
      </c>
      <c r="B12" s="62">
        <v>4</v>
      </c>
      <c r="C12" s="61">
        <f t="shared" ref="C12" si="1">C11+1</f>
        <v>2</v>
      </c>
      <c r="D12" s="36" t="s">
        <v>30</v>
      </c>
      <c r="E12" s="36" t="s">
        <v>30</v>
      </c>
      <c r="F12" s="56" t="s">
        <v>35</v>
      </c>
      <c r="G12" s="57">
        <v>1</v>
      </c>
      <c r="H12" s="36">
        <v>142</v>
      </c>
      <c r="I12" s="21">
        <f>G12*H12</f>
        <v>142</v>
      </c>
      <c r="J12" s="34"/>
      <c r="K12" s="38" t="s">
        <v>34</v>
      </c>
      <c r="L12" s="58" t="s">
        <v>36</v>
      </c>
      <c r="M12" s="1"/>
      <c r="N12" s="15">
        <v>45873</v>
      </c>
      <c r="O12" s="4"/>
      <c r="P12" s="50">
        <v>45885</v>
      </c>
      <c r="Q12" s="15">
        <v>45887</v>
      </c>
      <c r="R12" s="14">
        <v>45887</v>
      </c>
    </row>
    <row r="13" spans="1:18" s="3" customFormat="1" ht="19.5" customHeight="1" x14ac:dyDescent="0.15">
      <c r="C13" s="47"/>
      <c r="D13" s="48"/>
      <c r="E13" s="48"/>
      <c r="F13" s="49"/>
      <c r="G13" s="39"/>
      <c r="H13" s="40"/>
      <c r="I13" s="40"/>
      <c r="J13" s="41"/>
      <c r="K13" s="35"/>
      <c r="L13" s="1"/>
      <c r="M13" s="1"/>
      <c r="N13" s="15"/>
      <c r="O13" s="4"/>
      <c r="P13" s="1"/>
      <c r="Q13" s="15"/>
      <c r="R13" s="8"/>
    </row>
    <row r="14" spans="1:18" s="3" customFormat="1" ht="19.5" customHeight="1" x14ac:dyDescent="0.15">
      <c r="C14" s="37"/>
      <c r="D14" s="37"/>
      <c r="E14" s="37"/>
      <c r="F14" s="42"/>
      <c r="G14" s="31"/>
      <c r="H14" s="32"/>
      <c r="I14" s="33"/>
      <c r="J14" s="34"/>
      <c r="K14" s="35"/>
      <c r="L14" s="1"/>
      <c r="M14" s="1"/>
      <c r="N14" s="15"/>
      <c r="O14" s="4"/>
      <c r="P14" s="1"/>
      <c r="Q14" s="15"/>
      <c r="R14" s="8"/>
    </row>
    <row r="15" spans="1:18" s="3" customFormat="1" ht="19.5" customHeight="1" x14ac:dyDescent="0.15">
      <c r="C15" s="37"/>
      <c r="D15" s="37"/>
      <c r="E15" s="43"/>
      <c r="F15" s="44">
        <f>SUM(I11:I12)</f>
        <v>706</v>
      </c>
      <c r="G15" s="31"/>
      <c r="H15" s="32"/>
      <c r="I15" s="33"/>
      <c r="J15" s="34"/>
      <c r="K15" s="35"/>
      <c r="L15" s="1"/>
      <c r="M15" s="1"/>
      <c r="N15" s="15"/>
      <c r="O15" s="4"/>
      <c r="P15" s="1"/>
      <c r="Q15" s="15"/>
      <c r="R15" s="8"/>
    </row>
    <row r="16" spans="1:18" s="3" customFormat="1" ht="19.5" customHeight="1" x14ac:dyDescent="0.15">
      <c r="C16" s="25"/>
      <c r="D16" s="25"/>
      <c r="E16" s="25"/>
      <c r="F16" s="28"/>
      <c r="G16" s="45"/>
      <c r="H16" s="21"/>
      <c r="I16" s="21"/>
      <c r="J16" s="13"/>
      <c r="K16" s="22"/>
      <c r="L16" s="1"/>
      <c r="M16" s="1"/>
      <c r="N16" s="15"/>
      <c r="O16" s="4"/>
      <c r="P16" s="1"/>
      <c r="Q16" s="15"/>
      <c r="R16" s="8"/>
    </row>
    <row r="17" spans="3:18" s="3" customFormat="1" ht="19.5" customHeight="1" x14ac:dyDescent="0.15">
      <c r="C17" s="25"/>
      <c r="D17" s="25"/>
      <c r="E17" s="25"/>
      <c r="F17" s="28"/>
      <c r="G17" s="45"/>
      <c r="H17" s="21"/>
      <c r="I17" s="21"/>
      <c r="J17" s="13"/>
      <c r="K17" s="22"/>
      <c r="L17" s="1"/>
      <c r="M17" s="1"/>
      <c r="N17" s="15"/>
      <c r="O17" s="4"/>
      <c r="P17" s="1"/>
      <c r="Q17" s="15"/>
      <c r="R17" s="8"/>
    </row>
    <row r="18" spans="3:18" ht="18" customHeight="1" x14ac:dyDescent="0.15">
      <c r="C18" s="18"/>
      <c r="D18" s="19"/>
      <c r="E18" s="19"/>
      <c r="F18" s="46"/>
      <c r="G18" s="17"/>
      <c r="H18" s="17"/>
      <c r="I18" s="21"/>
      <c r="J18" s="2"/>
      <c r="K18" s="16"/>
      <c r="L18" s="6"/>
      <c r="M18" s="5"/>
      <c r="N18" s="15"/>
      <c r="O18" s="8"/>
      <c r="P18" s="8"/>
      <c r="Q18" s="15"/>
      <c r="R18" s="14"/>
    </row>
    <row r="19" spans="3:18" ht="18" customHeight="1" x14ac:dyDescent="0.15">
      <c r="C19" s="1"/>
      <c r="D19" s="1"/>
      <c r="E19" s="1"/>
      <c r="F19" s="6" t="s">
        <v>22</v>
      </c>
      <c r="G19" s="21"/>
      <c r="H19" s="21"/>
      <c r="I19" s="21">
        <f>G19*H19</f>
        <v>0</v>
      </c>
      <c r="J19" s="13"/>
      <c r="K19" s="16" t="s">
        <v>23</v>
      </c>
      <c r="L19" s="23"/>
      <c r="M19" s="1"/>
      <c r="N19" s="15"/>
      <c r="O19" s="23"/>
      <c r="P19" s="1"/>
      <c r="Q19" s="15"/>
      <c r="R19" s="14"/>
    </row>
    <row r="20" spans="3:18" ht="18" customHeight="1" x14ac:dyDescent="0.15">
      <c r="C20" s="1"/>
      <c r="D20" s="4"/>
      <c r="E20" s="4"/>
      <c r="F20" s="6" t="s">
        <v>23</v>
      </c>
      <c r="G20" s="21"/>
      <c r="H20" s="21">
        <v>5000</v>
      </c>
      <c r="I20" s="21">
        <f>G20*H20</f>
        <v>0</v>
      </c>
      <c r="J20" s="13"/>
      <c r="K20" s="16" t="s">
        <v>24</v>
      </c>
      <c r="L20" s="23"/>
      <c r="M20" s="1"/>
      <c r="N20" s="15"/>
      <c r="O20" s="23"/>
      <c r="P20" s="1"/>
      <c r="Q20" s="15"/>
      <c r="R20" s="8"/>
    </row>
    <row r="21" spans="3:18" ht="18" customHeight="1" x14ac:dyDescent="0.15">
      <c r="C21" s="1"/>
      <c r="D21" s="4"/>
      <c r="E21" s="4"/>
      <c r="F21" s="6" t="s">
        <v>24</v>
      </c>
      <c r="G21" s="21"/>
      <c r="H21" s="21"/>
      <c r="I21" s="21">
        <f>G21*H21</f>
        <v>0</v>
      </c>
      <c r="J21" s="13"/>
      <c r="K21" s="5"/>
      <c r="L21" s="23"/>
      <c r="M21" s="1"/>
      <c r="N21" s="1"/>
      <c r="O21" s="23"/>
      <c r="P21" s="1"/>
      <c r="Q21" s="8"/>
      <c r="R21" s="8"/>
    </row>
    <row r="22" spans="3:18" ht="18" customHeight="1" x14ac:dyDescent="0.15">
      <c r="C22" s="1"/>
      <c r="D22" s="4"/>
      <c r="E22" s="4"/>
      <c r="F22" s="63"/>
      <c r="G22" s="64"/>
      <c r="H22" s="64"/>
      <c r="I22" s="65"/>
      <c r="J22" s="7"/>
      <c r="K22" s="20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4" sqref="E24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ﾐｽﾐ品発注 (20250804)  ②</vt:lpstr>
      <vt:lpstr>Sheet2</vt:lpstr>
      <vt:lpstr>Sheet3</vt:lpstr>
      <vt:lpstr>'ﾐｽﾐ品発注 (20250804)  ②'!_FilterDatabase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2025-08-18T05:16:30Z</dcterms:modified>
</cp:coreProperties>
</file>