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h-saito\Desktop\【220996】SETB0129-A01 大館ニプロ様 ﾜｰｸ治具治具1式　20250121\【220996】SETB0129-A01 大館ニプロ様 ﾜｰｸ治具治具1式　20250121\前回の217795製作した治具の改良版　【220996】　20241219\"/>
    </mc:Choice>
  </mc:AlternateContent>
  <xr:revisionPtr revIDLastSave="0" documentId="13_ncr:1_{5CF7BCA2-A78E-4DEB-9795-397B57F693A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①1台製作時　改良版　原価一覧 (20250116) " sheetId="20" r:id="rId1"/>
    <sheet name="Sheet2" sheetId="2" r:id="rId2"/>
    <sheet name="Sheet3" sheetId="3" r:id="rId3"/>
  </sheets>
  <definedNames>
    <definedName name="_xlnm._FilterDatabase" localSheetId="0">'①1台製作時　改良版　原価一覧 (20250116) '!$C$8:$P$8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3" i="20" l="1"/>
  <c r="I42" i="20"/>
  <c r="K2" i="20" s="1"/>
  <c r="I41" i="20"/>
  <c r="I17" i="20"/>
  <c r="I16" i="20"/>
  <c r="I15" i="20"/>
  <c r="I14" i="20"/>
  <c r="I13" i="20"/>
  <c r="I12" i="20"/>
  <c r="C12" i="20"/>
  <c r="C13" i="20" s="1"/>
  <c r="C14" i="20" s="1"/>
  <c r="C15" i="20" s="1"/>
  <c r="C16" i="20" s="1"/>
  <c r="C17" i="20" s="1"/>
  <c r="I11" i="20"/>
  <c r="F20" i="20" s="1"/>
</calcChain>
</file>

<file path=xl/sharedStrings.xml><?xml version="1.0" encoding="utf-8"?>
<sst xmlns="http://schemas.openxmlformats.org/spreadsheetml/2006/main" count="76" uniqueCount="53">
  <si>
    <t>お客先名</t>
  </si>
  <si>
    <t>合計金額</t>
  </si>
  <si>
    <t>担当営業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</si>
  <si>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</si>
  <si>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</si>
  <si>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</si>
  <si>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</si>
  <si>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</si>
  <si>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</si>
  <si>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</si>
  <si>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</si>
  <si>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</si>
  <si>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</si>
  <si>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</si>
  <si>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</si>
  <si>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</si>
  <si>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</si>
  <si>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</si>
  <si>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</si>
  <si>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</si>
  <si>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</si>
  <si>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運送費</t>
  </si>
  <si>
    <t>設計費</t>
  </si>
  <si>
    <t>組立調整費</t>
  </si>
  <si>
    <t>ミスミ</t>
    <phoneticPr fontId="11"/>
  </si>
  <si>
    <t>meviy</t>
    <phoneticPr fontId="11"/>
  </si>
  <si>
    <t>1日目</t>
    <rPh sb="1" eb="2">
      <t>ヒ</t>
    </rPh>
    <rPh sb="2" eb="3">
      <t>メ</t>
    </rPh>
    <phoneticPr fontId="11"/>
  </si>
  <si>
    <t>出荷依頼項目NO.</t>
    <rPh sb="0" eb="4">
      <t>シュッカイライ</t>
    </rPh>
    <rPh sb="4" eb="6">
      <t>コウモク</t>
    </rPh>
    <phoneticPr fontId="10"/>
  </si>
  <si>
    <t>岸</t>
    <rPh sb="0" eb="1">
      <t>キシ</t>
    </rPh>
    <phoneticPr fontId="10"/>
  </si>
  <si>
    <t>図面NO.　SETB-0129-A01</t>
    <rPh sb="0" eb="2">
      <t>ズメン</t>
    </rPh>
    <phoneticPr fontId="10"/>
  </si>
  <si>
    <t>3日目</t>
    <rPh sb="1" eb="2">
      <t>ヒ</t>
    </rPh>
    <rPh sb="2" eb="3">
      <t>メ</t>
    </rPh>
    <phoneticPr fontId="11"/>
  </si>
  <si>
    <t>ナット－単品販売－</t>
    <phoneticPr fontId="10"/>
  </si>
  <si>
    <t>小径位置決めピン　高硬度ステンレス　ツバ付き・おねじタイプ</t>
    <phoneticPr fontId="10"/>
  </si>
  <si>
    <t xml:space="preserve"> ニプロ（株）大館工場　様</t>
    <rPh sb="4" eb="7">
      <t>カブ</t>
    </rPh>
    <rPh sb="9" eb="11">
      <t>コウジョウ</t>
    </rPh>
    <rPh sb="12" eb="13">
      <t>サマ</t>
    </rPh>
    <phoneticPr fontId="10"/>
  </si>
  <si>
    <t>6日目</t>
    <rPh sb="1" eb="2">
      <t>ヒ</t>
    </rPh>
    <rPh sb="2" eb="3">
      <t>メ</t>
    </rPh>
    <phoneticPr fontId="11"/>
  </si>
  <si>
    <t>受注番号</t>
    <phoneticPr fontId="10"/>
  </si>
  <si>
    <t>SPSNKS3-L0-P1.85-B6-H4-T10</t>
    <phoneticPr fontId="10"/>
  </si>
  <si>
    <t>E-GPWSSS6-3-1</t>
  </si>
  <si>
    <t>HXB6-15</t>
    <phoneticPr fontId="10"/>
  </si>
  <si>
    <t>SKNTR6</t>
    <phoneticPr fontId="10"/>
  </si>
  <si>
    <r>
      <t>SETB0129-X03-</t>
    </r>
    <r>
      <rPr>
        <b/>
        <sz val="11"/>
        <color rgb="FFFF0000"/>
        <rFont val="ＭＳ Ｐゴシック"/>
        <family val="3"/>
        <charset val="128"/>
        <scheme val="minor"/>
      </rPr>
      <t>2</t>
    </r>
    <r>
      <rPr>
        <sz val="11"/>
        <color theme="1"/>
        <rFont val="ＭＳ Ｐゴシック"/>
        <family val="3"/>
        <charset val="128"/>
        <scheme val="minor"/>
      </rPr>
      <t xml:space="preserve"> ﾜｰｸ治具ﾜｰｸコアｻﾎﾟｰﾄ</t>
    </r>
    <phoneticPr fontId="10"/>
  </si>
  <si>
    <t>MS2-8</t>
    <phoneticPr fontId="10"/>
  </si>
  <si>
    <t>ノックピン　　　  6本</t>
    <phoneticPr fontId="10"/>
  </si>
  <si>
    <t>ホルダ付マグネット　おねじタイプ</t>
    <phoneticPr fontId="10"/>
  </si>
  <si>
    <t>スライドブッシュ SMA形（標準ブロック形）</t>
    <phoneticPr fontId="10"/>
  </si>
  <si>
    <t>日本ﾍﾞｱﾘﾝｸﾞ</t>
    <rPh sb="0" eb="2">
      <t>ニホン</t>
    </rPh>
    <phoneticPr fontId="10"/>
  </si>
  <si>
    <t>SMA4GUU</t>
    <phoneticPr fontId="10"/>
  </si>
  <si>
    <t>　受注番号　Ｎo.217795　ﾜｰｸ治具　TYPE1 改造</t>
    <rPh sb="28" eb="30">
      <t>カイゾウ</t>
    </rPh>
    <phoneticPr fontId="10"/>
  </si>
  <si>
    <t>【エコノミーシリーズ】 RoHS対応 プレス品金属ワッシャ　12個</t>
    <rPh sb="32" eb="33">
      <t>コ</t>
    </rPh>
    <phoneticPr fontId="10"/>
  </si>
  <si>
    <t>MVBLK-SUB-42R-NPTHR</t>
    <phoneticPr fontId="10"/>
  </si>
  <si>
    <t>①</t>
    <phoneticPr fontId="10"/>
  </si>
  <si>
    <t xml:space="preserve">
AB23F4FDC4</t>
    <phoneticPr fontId="10"/>
  </si>
  <si>
    <t>Ｎo.220996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</si>
</sst>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21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1"/>
      <color theme="9" tint="-0.499984740745262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FF9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</cellStyleXfs>
  <cellXfs count="8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78" fontId="0" fillId="0" borderId="5" xfId="0" applyNumberFormat="1" applyBorder="1" applyAlignment="1">
      <alignment horizontal="center" vertical="center"/>
    </xf>
    <xf numFmtId="56" fontId="0" fillId="0" borderId="5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5" xfId="0" applyNumberFormat="1" applyBorder="1">
      <alignment vertical="center"/>
    </xf>
    <xf numFmtId="176" fontId="0" fillId="0" borderId="5" xfId="0" applyNumberFormat="1" applyBorder="1" applyAlignment="1"/>
    <xf numFmtId="176" fontId="0" fillId="0" borderId="6" xfId="0" applyNumberFormat="1" applyBorder="1" applyAlignment="1"/>
    <xf numFmtId="0" fontId="9" fillId="0" borderId="5" xfId="0" applyFont="1" applyBorder="1" applyAlignment="1">
      <alignment horizontal="left" vertical="center" shrinkToFit="1"/>
    </xf>
    <xf numFmtId="0" fontId="9" fillId="0" borderId="0" xfId="0" applyFont="1">
      <alignment vertical="center"/>
    </xf>
    <xf numFmtId="0" fontId="6" fillId="0" borderId="5" xfId="0" applyFont="1" applyBorder="1" applyAlignment="1">
      <alignment horizontal="center" vertical="center"/>
    </xf>
    <xf numFmtId="0" fontId="0" fillId="0" borderId="5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176" fontId="7" fillId="0" borderId="8" xfId="0" applyNumberFormat="1" applyFont="1" applyBorder="1" applyAlignment="1">
      <alignment horizontal="center" vertical="center"/>
    </xf>
    <xf numFmtId="3" fontId="0" fillId="6" borderId="5" xfId="0" applyNumberFormat="1" applyFill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3" fontId="16" fillId="0" borderId="5" xfId="0" applyNumberFormat="1" applyFont="1" applyBorder="1" applyAlignment="1">
      <alignment horizontal="center" vertical="center"/>
    </xf>
    <xf numFmtId="0" fontId="16" fillId="0" borderId="5" xfId="0" applyFont="1" applyBorder="1">
      <alignment vertical="center"/>
    </xf>
    <xf numFmtId="0" fontId="16" fillId="0" borderId="5" xfId="0" applyFont="1" applyBorder="1" applyAlignment="1">
      <alignment horizontal="center" vertical="center"/>
    </xf>
    <xf numFmtId="176" fontId="16" fillId="0" borderId="5" xfId="0" applyNumberFormat="1" applyFont="1" applyBorder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176" fontId="16" fillId="0" borderId="6" xfId="0" applyNumberFormat="1" applyFont="1" applyBorder="1">
      <alignment vertical="center"/>
    </xf>
    <xf numFmtId="0" fontId="16" fillId="0" borderId="6" xfId="0" applyFont="1" applyBorder="1">
      <alignment vertical="center"/>
    </xf>
    <xf numFmtId="0" fontId="13" fillId="0" borderId="0" xfId="0" applyFont="1" applyAlignment="1">
      <alignment vertical="center" shrinkToFit="1"/>
    </xf>
    <xf numFmtId="56" fontId="0" fillId="0" borderId="0" xfId="0" applyNumberFormat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left" vertical="center"/>
    </xf>
    <xf numFmtId="176" fontId="0" fillId="0" borderId="5" xfId="0" applyNumberFormat="1" applyBorder="1" applyAlignment="1">
      <alignment horizontal="center" vertical="center"/>
    </xf>
    <xf numFmtId="0" fontId="18" fillId="0" borderId="5" xfId="0" applyFont="1" applyBorder="1" applyAlignment="1">
      <alignment horizontal="left" vertical="center" shrinkToFit="1"/>
    </xf>
    <xf numFmtId="176" fontId="9" fillId="0" borderId="5" xfId="0" applyNumberFormat="1" applyFont="1" applyBorder="1">
      <alignment vertical="center"/>
    </xf>
    <xf numFmtId="0" fontId="9" fillId="7" borderId="5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3" fontId="0" fillId="5" borderId="5" xfId="0" applyNumberForma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49" fontId="9" fillId="11" borderId="5" xfId="0" applyNumberFormat="1" applyFont="1" applyFill="1" applyBorder="1" applyAlignment="1">
      <alignment horizontal="left" vertical="center"/>
    </xf>
    <xf numFmtId="176" fontId="0" fillId="11" borderId="5" xfId="0" applyNumberFormat="1" applyFill="1" applyBorder="1" applyAlignment="1">
      <alignment horizontal="center" vertical="center"/>
    </xf>
    <xf numFmtId="176" fontId="9" fillId="11" borderId="5" xfId="0" applyNumberFormat="1" applyFont="1" applyFill="1" applyBorder="1" applyAlignment="1">
      <alignment horizontal="center" vertical="center"/>
    </xf>
    <xf numFmtId="176" fontId="0" fillId="11" borderId="5" xfId="0" applyNumberFormat="1" applyFill="1" applyBorder="1">
      <alignment vertical="center"/>
    </xf>
    <xf numFmtId="176" fontId="9" fillId="11" borderId="5" xfId="0" applyNumberFormat="1" applyFont="1" applyFill="1" applyBorder="1">
      <alignment vertical="center"/>
    </xf>
    <xf numFmtId="176" fontId="0" fillId="12" borderId="5" xfId="0" applyNumberFormat="1" applyFill="1" applyBorder="1">
      <alignment vertical="center"/>
    </xf>
    <xf numFmtId="0" fontId="15" fillId="0" borderId="0" xfId="0" applyFont="1">
      <alignment vertical="center"/>
    </xf>
    <xf numFmtId="3" fontId="9" fillId="11" borderId="5" xfId="0" applyNumberFormat="1" applyFont="1" applyFill="1" applyBorder="1" applyAlignment="1">
      <alignment horizontal="center" vertical="center"/>
    </xf>
    <xf numFmtId="0" fontId="20" fillId="10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176" fontId="7" fillId="2" borderId="9" xfId="0" applyNumberFormat="1" applyFont="1" applyFill="1" applyBorder="1" applyAlignment="1">
      <alignment horizontal="center" vertical="center"/>
    </xf>
    <xf numFmtId="176" fontId="7" fillId="2" borderId="10" xfId="0" applyNumberFormat="1" applyFont="1" applyFill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6" fontId="7" fillId="0" borderId="3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</cellXfs>
  <cellStyles count="5">
    <cellStyle name="ハイパーリンク" xfId="2" xr:uid="{00000000-0005-0000-0000-000000000000}"/>
    <cellStyle name="標準" xfId="0" builtinId="0"/>
    <cellStyle name="標準 2" xfId="4" xr:uid="{C2CBC382-4BC1-4D3B-B64A-4DC2C10C5618}"/>
    <cellStyle name="標準 3" xfId="3" xr:uid="{1B9717F3-D5E1-4047-8E84-2BA2544C8F2B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6A12C-07C8-41FA-AEFE-D6F32CCD938E}">
  <sheetPr>
    <tabColor theme="2" tint="-0.499984740745262"/>
  </sheetPr>
  <dimension ref="A2:R47"/>
  <sheetViews>
    <sheetView tabSelected="1" zoomScale="86" zoomScaleNormal="86" workbookViewId="0">
      <pane xSplit="11" ySplit="8" topLeftCell="M9" activePane="bottomRight" state="frozen"/>
      <selection activeCell="D26" sqref="D26"/>
      <selection pane="topRight" activeCell="D26" sqref="D26"/>
      <selection pane="bottomLeft" activeCell="D26" sqref="D26"/>
      <selection pane="bottomRight" activeCell="F25" sqref="F25"/>
    </sheetView>
  </sheetViews>
  <sheetFormatPr defaultColWidth="11.77734375" defaultRowHeight="13.5" customHeight="1" x14ac:dyDescent="0.2"/>
  <cols>
    <col min="1" max="1" width="18.6640625" customWidth="1"/>
    <col min="2" max="2" width="17" customWidth="1"/>
    <col min="3" max="3" width="6.21875" style="3" customWidth="1"/>
    <col min="4" max="4" width="15.21875" customWidth="1"/>
    <col min="5" max="5" width="15.44140625" customWidth="1"/>
    <col min="6" max="6" width="55.6640625" customWidth="1"/>
    <col min="7" max="7" width="10.77734375" style="3" customWidth="1"/>
    <col min="8" max="9" width="12.109375" style="3" customWidth="1"/>
    <col min="10" max="10" width="10.33203125" style="12" customWidth="1"/>
    <col min="11" max="11" width="35.6640625" customWidth="1"/>
    <col min="12" max="12" width="18.88671875" customWidth="1"/>
    <col min="13" max="13" width="18.33203125" style="3" customWidth="1"/>
    <col min="14" max="14" width="17" style="3" customWidth="1"/>
    <col min="15" max="15" width="7.88671875" customWidth="1"/>
    <col min="16" max="16" width="16.33203125" style="3" customWidth="1"/>
    <col min="17" max="17" width="17.88671875" style="29" customWidth="1"/>
    <col min="18" max="18" width="19.33203125" style="29" customWidth="1"/>
  </cols>
  <sheetData>
    <row r="2" spans="1:18" ht="20.100000000000001" customHeight="1" x14ac:dyDescent="0.2">
      <c r="C2" s="76" t="s">
        <v>0</v>
      </c>
      <c r="D2" s="76"/>
      <c r="E2" s="76"/>
      <c r="F2" s="22" t="s">
        <v>33</v>
      </c>
      <c r="H2" s="77" t="s">
        <v>1</v>
      </c>
      <c r="I2" s="78"/>
      <c r="J2" s="79"/>
      <c r="K2" s="11">
        <f>SUM(I:I)</f>
        <v>42293</v>
      </c>
    </row>
    <row r="3" spans="1:18" ht="20.100000000000001" customHeight="1" x14ac:dyDescent="0.2">
      <c r="C3" s="76" t="s">
        <v>2</v>
      </c>
      <c r="D3" s="76"/>
      <c r="E3" s="76"/>
      <c r="F3" s="9" t="s">
        <v>28</v>
      </c>
    </row>
    <row r="4" spans="1:18" ht="20.100000000000001" customHeight="1" x14ac:dyDescent="0.2">
      <c r="C4" s="76" t="s">
        <v>35</v>
      </c>
      <c r="D4" s="76"/>
      <c r="E4" s="76"/>
      <c r="F4" s="9" t="s">
        <v>52</v>
      </c>
      <c r="H4" s="75" t="s">
        <v>50</v>
      </c>
      <c r="I4" s="73"/>
      <c r="J4" s="73"/>
      <c r="K4" s="73"/>
      <c r="L4" s="34"/>
    </row>
    <row r="5" spans="1:18" ht="20.100000000000001" customHeight="1" x14ac:dyDescent="0.2">
      <c r="C5" s="76" t="s">
        <v>3</v>
      </c>
      <c r="D5" s="76"/>
      <c r="E5" s="76"/>
      <c r="F5" s="10">
        <v>45685</v>
      </c>
      <c r="H5" s="75"/>
      <c r="I5" s="73"/>
      <c r="J5" s="73"/>
      <c r="K5" s="73"/>
    </row>
    <row r="6" spans="1:18" ht="20.100000000000001" customHeight="1" x14ac:dyDescent="0.2">
      <c r="C6" s="76" t="s">
        <v>4</v>
      </c>
      <c r="D6" s="76"/>
      <c r="E6" s="76"/>
      <c r="F6" s="10">
        <v>45686</v>
      </c>
      <c r="H6" s="80" t="s">
        <v>29</v>
      </c>
      <c r="I6" s="80"/>
      <c r="J6" s="80"/>
      <c r="K6" s="80"/>
    </row>
    <row r="8" spans="1:18" s="3" customFormat="1" ht="19.5" customHeight="1" x14ac:dyDescent="0.2">
      <c r="B8" s="41" t="s">
        <v>27</v>
      </c>
      <c r="C8" s="40" t="s">
        <v>5</v>
      </c>
      <c r="D8" s="4" t="s">
        <v>6</v>
      </c>
      <c r="E8" s="4" t="s">
        <v>7</v>
      </c>
      <c r="F8" s="1" t="s">
        <v>8</v>
      </c>
      <c r="G8" s="1" t="s">
        <v>9</v>
      </c>
      <c r="H8" s="1" t="s">
        <v>10</v>
      </c>
      <c r="I8" s="2" t="s">
        <v>11</v>
      </c>
      <c r="J8" s="2" t="s">
        <v>12</v>
      </c>
      <c r="K8" s="1" t="s">
        <v>13</v>
      </c>
      <c r="L8" s="1" t="s">
        <v>14</v>
      </c>
      <c r="M8" s="1" t="s">
        <v>15</v>
      </c>
      <c r="N8" s="15" t="s">
        <v>16</v>
      </c>
      <c r="O8" s="4" t="s">
        <v>17</v>
      </c>
      <c r="P8" s="1" t="s">
        <v>18</v>
      </c>
      <c r="Q8" s="15" t="s">
        <v>19</v>
      </c>
      <c r="R8" s="8" t="s">
        <v>20</v>
      </c>
    </row>
    <row r="9" spans="1:18" s="3" customFormat="1" ht="19.5" customHeight="1" x14ac:dyDescent="0.2">
      <c r="C9" s="4"/>
      <c r="D9" s="4"/>
      <c r="E9" s="4"/>
      <c r="F9" s="6"/>
      <c r="G9" s="19"/>
      <c r="H9" s="19"/>
      <c r="I9" s="19"/>
      <c r="J9" s="13"/>
      <c r="K9" s="20"/>
      <c r="L9" s="1"/>
      <c r="M9" s="1"/>
      <c r="N9" s="15"/>
      <c r="O9" s="4"/>
      <c r="P9" s="1"/>
      <c r="Q9" s="15"/>
      <c r="R9" s="8"/>
    </row>
    <row r="10" spans="1:18" ht="18" customHeight="1" x14ac:dyDescent="0.2">
      <c r="C10" s="81" t="s">
        <v>47</v>
      </c>
      <c r="D10" s="82"/>
      <c r="E10" s="82"/>
      <c r="F10" s="83"/>
      <c r="G10" s="17"/>
      <c r="H10" s="17"/>
      <c r="I10" s="19"/>
      <c r="J10" s="13"/>
      <c r="K10" s="16"/>
      <c r="L10" s="6"/>
      <c r="M10" s="5"/>
      <c r="N10" s="15"/>
      <c r="O10" s="8"/>
      <c r="P10" s="8"/>
      <c r="Q10" s="15"/>
      <c r="R10" s="14"/>
    </row>
    <row r="11" spans="1:18" ht="18" customHeight="1" x14ac:dyDescent="0.2">
      <c r="A11" s="66" t="s">
        <v>30</v>
      </c>
      <c r="B11" s="54">
        <v>1</v>
      </c>
      <c r="C11" s="42">
        <v>1</v>
      </c>
      <c r="D11" s="64" t="s">
        <v>24</v>
      </c>
      <c r="E11" s="64" t="s">
        <v>24</v>
      </c>
      <c r="F11" s="67" t="s">
        <v>36</v>
      </c>
      <c r="G11" s="68">
        <v>10</v>
      </c>
      <c r="H11" s="71">
        <v>686</v>
      </c>
      <c r="I11" s="70">
        <f t="shared" ref="I11:I17" si="0">G11*H11</f>
        <v>6860</v>
      </c>
      <c r="J11" s="32"/>
      <c r="K11" s="33" t="s">
        <v>32</v>
      </c>
      <c r="L11" s="36"/>
      <c r="M11" s="62" t="s">
        <v>51</v>
      </c>
      <c r="N11" s="28">
        <v>45673</v>
      </c>
      <c r="O11" s="23"/>
      <c r="P11" s="28">
        <v>45685</v>
      </c>
      <c r="Q11" s="28">
        <v>45686</v>
      </c>
      <c r="R11" s="27"/>
    </row>
    <row r="12" spans="1:18" ht="18" customHeight="1" x14ac:dyDescent="0.2">
      <c r="A12" s="60" t="s">
        <v>26</v>
      </c>
      <c r="B12" s="54">
        <v>2</v>
      </c>
      <c r="C12" s="42">
        <f>C11+1</f>
        <v>2</v>
      </c>
      <c r="D12" s="64" t="s">
        <v>24</v>
      </c>
      <c r="E12" s="64" t="s">
        <v>24</v>
      </c>
      <c r="F12" s="67" t="s">
        <v>37</v>
      </c>
      <c r="G12" s="68">
        <v>20</v>
      </c>
      <c r="H12" s="70">
        <v>30</v>
      </c>
      <c r="I12" s="72">
        <f t="shared" si="0"/>
        <v>600</v>
      </c>
      <c r="J12" s="32"/>
      <c r="K12" s="33" t="s">
        <v>48</v>
      </c>
      <c r="L12" s="36"/>
      <c r="M12" s="62" t="s">
        <v>51</v>
      </c>
      <c r="N12" s="28">
        <v>45673</v>
      </c>
      <c r="O12" s="23"/>
      <c r="P12" s="28">
        <v>45685</v>
      </c>
      <c r="Q12" s="28">
        <v>45686</v>
      </c>
      <c r="R12" s="27"/>
    </row>
    <row r="13" spans="1:18" ht="18" customHeight="1" x14ac:dyDescent="0.2">
      <c r="A13" s="61" t="s">
        <v>26</v>
      </c>
      <c r="B13" s="54">
        <v>1</v>
      </c>
      <c r="C13" s="42">
        <f t="shared" ref="C13:C17" si="1">C12+1</f>
        <v>3</v>
      </c>
      <c r="D13" s="64" t="s">
        <v>24</v>
      </c>
      <c r="E13" s="64" t="s">
        <v>24</v>
      </c>
      <c r="F13" s="67" t="s">
        <v>38</v>
      </c>
      <c r="G13" s="68">
        <v>3</v>
      </c>
      <c r="H13" s="70">
        <v>1211</v>
      </c>
      <c r="I13" s="70">
        <f t="shared" si="0"/>
        <v>3633</v>
      </c>
      <c r="J13" s="32"/>
      <c r="K13" s="33" t="s">
        <v>43</v>
      </c>
      <c r="L13" s="36"/>
      <c r="M13" s="62" t="s">
        <v>51</v>
      </c>
      <c r="N13" s="28">
        <v>45673</v>
      </c>
      <c r="O13" s="23"/>
      <c r="P13" s="28">
        <v>45685</v>
      </c>
      <c r="Q13" s="28">
        <v>45686</v>
      </c>
      <c r="R13" s="27"/>
    </row>
    <row r="14" spans="1:18" ht="18" customHeight="1" x14ac:dyDescent="0.2">
      <c r="A14" s="61" t="s">
        <v>26</v>
      </c>
      <c r="B14" s="54">
        <v>1</v>
      </c>
      <c r="C14" s="42">
        <f t="shared" si="1"/>
        <v>4</v>
      </c>
      <c r="D14" s="64" t="s">
        <v>24</v>
      </c>
      <c r="E14" s="64" t="s">
        <v>24</v>
      </c>
      <c r="F14" s="67" t="s">
        <v>39</v>
      </c>
      <c r="G14" s="68">
        <v>3</v>
      </c>
      <c r="H14" s="70">
        <v>159</v>
      </c>
      <c r="I14" s="70">
        <f t="shared" si="0"/>
        <v>477</v>
      </c>
      <c r="J14" s="32"/>
      <c r="K14" s="33" t="s">
        <v>31</v>
      </c>
      <c r="L14" s="36"/>
      <c r="M14" s="62" t="s">
        <v>51</v>
      </c>
      <c r="N14" s="28">
        <v>45673</v>
      </c>
      <c r="O14" s="23"/>
      <c r="P14" s="28">
        <v>45685</v>
      </c>
      <c r="Q14" s="28">
        <v>45686</v>
      </c>
      <c r="R14" s="27"/>
    </row>
    <row r="15" spans="1:18" ht="18" customHeight="1" x14ac:dyDescent="0.2">
      <c r="A15" s="65" t="s">
        <v>34</v>
      </c>
      <c r="B15" s="54">
        <v>1</v>
      </c>
      <c r="C15" s="42">
        <f t="shared" si="1"/>
        <v>5</v>
      </c>
      <c r="D15" s="39" t="s">
        <v>25</v>
      </c>
      <c r="E15" s="39" t="s">
        <v>24</v>
      </c>
      <c r="F15" s="67" t="s">
        <v>49</v>
      </c>
      <c r="G15" s="68">
        <v>1</v>
      </c>
      <c r="H15" s="70">
        <v>26999</v>
      </c>
      <c r="I15" s="70">
        <f t="shared" si="0"/>
        <v>26999</v>
      </c>
      <c r="J15" s="32"/>
      <c r="K15" s="33" t="s">
        <v>40</v>
      </c>
      <c r="L15" s="36"/>
      <c r="M15" s="62" t="s">
        <v>51</v>
      </c>
      <c r="N15" s="28">
        <v>45673</v>
      </c>
      <c r="O15" s="23"/>
      <c r="P15" s="28">
        <v>45685</v>
      </c>
      <c r="Q15" s="28">
        <v>45686</v>
      </c>
      <c r="R15" s="27"/>
    </row>
    <row r="16" spans="1:18" ht="18" customHeight="1" x14ac:dyDescent="0.2">
      <c r="A16" s="61" t="s">
        <v>26</v>
      </c>
      <c r="B16" s="54">
        <v>1</v>
      </c>
      <c r="C16" s="42">
        <f t="shared" si="1"/>
        <v>6</v>
      </c>
      <c r="D16" s="64" t="s">
        <v>24</v>
      </c>
      <c r="E16" s="64" t="s">
        <v>24</v>
      </c>
      <c r="F16" s="67" t="s">
        <v>41</v>
      </c>
      <c r="G16" s="69">
        <v>6</v>
      </c>
      <c r="H16" s="70">
        <v>108</v>
      </c>
      <c r="I16" s="70">
        <f t="shared" si="0"/>
        <v>648</v>
      </c>
      <c r="J16" s="32"/>
      <c r="K16" s="58" t="s">
        <v>42</v>
      </c>
      <c r="L16" s="36"/>
      <c r="M16" s="62" t="s">
        <v>51</v>
      </c>
      <c r="N16" s="28">
        <v>45673</v>
      </c>
      <c r="O16" s="23"/>
      <c r="P16" s="28">
        <v>45685</v>
      </c>
      <c r="Q16" s="28">
        <v>45686</v>
      </c>
      <c r="R16" s="27"/>
    </row>
    <row r="17" spans="1:18" ht="18" customHeight="1" x14ac:dyDescent="0.2">
      <c r="A17" s="61" t="s">
        <v>26</v>
      </c>
      <c r="B17" s="54">
        <v>1</v>
      </c>
      <c r="C17" s="42">
        <f t="shared" si="1"/>
        <v>7</v>
      </c>
      <c r="D17" s="74" t="s">
        <v>45</v>
      </c>
      <c r="E17" s="64" t="s">
        <v>24</v>
      </c>
      <c r="F17" s="67" t="s">
        <v>46</v>
      </c>
      <c r="G17" s="68">
        <v>2</v>
      </c>
      <c r="H17" s="70">
        <v>1538</v>
      </c>
      <c r="I17" s="70">
        <f t="shared" si="0"/>
        <v>3076</v>
      </c>
      <c r="J17" s="32"/>
      <c r="K17" s="33" t="s">
        <v>44</v>
      </c>
      <c r="L17" s="36"/>
      <c r="M17" s="62" t="s">
        <v>51</v>
      </c>
      <c r="N17" s="28">
        <v>45673</v>
      </c>
      <c r="O17" s="23"/>
      <c r="P17" s="28">
        <v>45685</v>
      </c>
      <c r="Q17" s="28">
        <v>45686</v>
      </c>
      <c r="R17" s="27"/>
    </row>
    <row r="18" spans="1:18" ht="18" customHeight="1" x14ac:dyDescent="0.2">
      <c r="A18" s="24"/>
      <c r="B18" s="41"/>
      <c r="C18" s="55"/>
      <c r="D18" s="25"/>
      <c r="E18" s="25"/>
      <c r="F18" s="56"/>
      <c r="G18" s="57"/>
      <c r="H18" s="59"/>
      <c r="I18" s="30"/>
      <c r="J18" s="32"/>
      <c r="K18" s="33"/>
      <c r="L18" s="36"/>
      <c r="M18" s="62"/>
      <c r="N18" s="28"/>
      <c r="O18" s="23"/>
      <c r="P18" s="28"/>
      <c r="Q18" s="28"/>
      <c r="R18" s="27"/>
    </row>
    <row r="19" spans="1:18" ht="18" customHeight="1" x14ac:dyDescent="0.2">
      <c r="A19" s="63"/>
      <c r="B19" s="41"/>
      <c r="C19" s="55"/>
      <c r="D19" s="25"/>
      <c r="E19" s="25"/>
      <c r="F19" s="56"/>
      <c r="G19" s="57"/>
      <c r="H19" s="30"/>
      <c r="I19" s="30"/>
      <c r="J19" s="32"/>
      <c r="K19" s="33"/>
      <c r="L19" s="36"/>
      <c r="M19" s="62"/>
      <c r="N19" s="28"/>
      <c r="O19" s="23"/>
      <c r="P19" s="28"/>
      <c r="Q19" s="28"/>
      <c r="R19" s="27"/>
    </row>
    <row r="20" spans="1:18" ht="18" customHeight="1" x14ac:dyDescent="0.2">
      <c r="A20" s="63"/>
      <c r="B20" s="41"/>
      <c r="C20" s="55"/>
      <c r="D20" s="25"/>
      <c r="E20" s="25"/>
      <c r="F20" s="84">
        <f>SUM(I11:I19)</f>
        <v>42293</v>
      </c>
      <c r="G20" s="84"/>
      <c r="H20" s="84"/>
      <c r="I20" s="85"/>
      <c r="J20" s="32"/>
      <c r="K20" s="33"/>
      <c r="L20" s="36"/>
      <c r="M20" s="62"/>
      <c r="N20" s="28"/>
      <c r="O20" s="23"/>
      <c r="P20" s="28"/>
      <c r="Q20" s="28"/>
      <c r="R20" s="27"/>
    </row>
    <row r="21" spans="1:18" ht="18" customHeight="1" x14ac:dyDescent="0.2">
      <c r="A21" s="63"/>
      <c r="B21" s="41"/>
      <c r="C21" s="55"/>
      <c r="D21" s="25"/>
      <c r="E21" s="25"/>
      <c r="F21" s="56"/>
      <c r="G21" s="57"/>
      <c r="H21" s="30"/>
      <c r="I21" s="30"/>
      <c r="J21" s="32"/>
      <c r="K21" s="33"/>
      <c r="L21" s="36"/>
      <c r="M21" s="62"/>
      <c r="N21" s="28"/>
      <c r="O21" s="23"/>
      <c r="P21" s="28"/>
      <c r="Q21" s="28"/>
      <c r="R21" s="27"/>
    </row>
    <row r="22" spans="1:18" ht="18" customHeight="1" x14ac:dyDescent="0.2">
      <c r="A22" s="63"/>
      <c r="B22" s="41"/>
      <c r="C22" s="55"/>
      <c r="D22" s="25"/>
      <c r="E22" s="25"/>
      <c r="F22" s="56"/>
      <c r="G22" s="57"/>
      <c r="H22" s="30"/>
      <c r="I22" s="30"/>
      <c r="J22" s="32"/>
      <c r="K22" s="33"/>
      <c r="L22" s="36"/>
      <c r="M22" s="62"/>
      <c r="N22" s="28"/>
      <c r="O22" s="23"/>
      <c r="P22" s="28"/>
      <c r="Q22" s="28"/>
      <c r="R22" s="27"/>
    </row>
    <row r="23" spans="1:18" ht="18" customHeight="1" x14ac:dyDescent="0.2">
      <c r="A23" s="23"/>
      <c r="B23" s="23"/>
      <c r="C23" s="35"/>
      <c r="D23" s="25"/>
      <c r="E23" s="30"/>
      <c r="F23" s="43"/>
      <c r="G23" s="38"/>
      <c r="H23" s="38"/>
      <c r="I23" s="38"/>
      <c r="J23" s="31"/>
      <c r="K23" s="26"/>
      <c r="L23" s="37"/>
      <c r="M23" s="5"/>
      <c r="N23" s="15"/>
      <c r="O23" s="8"/>
      <c r="P23" s="8"/>
      <c r="Q23" s="15"/>
      <c r="R23" s="14"/>
    </row>
    <row r="24" spans="1:18" ht="18" customHeight="1" x14ac:dyDescent="0.2">
      <c r="A24" s="23"/>
      <c r="B24" s="23"/>
      <c r="C24" s="35"/>
      <c r="D24" s="25"/>
      <c r="E24" s="59"/>
      <c r="F24" s="43"/>
      <c r="G24" s="38"/>
      <c r="H24" s="38"/>
      <c r="I24" s="38"/>
      <c r="J24" s="31"/>
      <c r="K24" s="26"/>
      <c r="L24" s="37"/>
      <c r="M24" s="5"/>
      <c r="N24" s="15"/>
      <c r="O24" s="8"/>
      <c r="P24" s="8"/>
      <c r="Q24" s="15"/>
      <c r="R24" s="14"/>
    </row>
    <row r="25" spans="1:18" ht="18" customHeight="1" x14ac:dyDescent="0.2">
      <c r="A25" s="23"/>
      <c r="B25" s="23"/>
      <c r="C25" s="35"/>
      <c r="D25" s="25"/>
      <c r="E25" s="30"/>
      <c r="F25" s="43"/>
      <c r="G25" s="38"/>
      <c r="H25" s="38"/>
      <c r="I25" s="38"/>
      <c r="J25" s="31"/>
      <c r="K25" s="26"/>
      <c r="L25" s="37"/>
      <c r="M25" s="5"/>
      <c r="N25" s="15"/>
      <c r="O25" s="8"/>
      <c r="P25" s="8"/>
      <c r="Q25" s="15"/>
      <c r="R25" s="14"/>
    </row>
    <row r="26" spans="1:18" ht="18" customHeight="1" x14ac:dyDescent="0.2">
      <c r="A26" s="23"/>
      <c r="B26" s="23"/>
      <c r="C26" s="35"/>
      <c r="D26" s="25"/>
      <c r="E26" s="30"/>
      <c r="F26" s="43"/>
      <c r="G26" s="38"/>
      <c r="H26" s="38"/>
      <c r="I26" s="38"/>
      <c r="J26" s="31"/>
      <c r="K26" s="26"/>
      <c r="L26" s="37"/>
      <c r="M26" s="5"/>
      <c r="N26" s="15"/>
      <c r="O26" s="8"/>
      <c r="P26" s="8"/>
      <c r="Q26" s="15"/>
      <c r="R26" s="14"/>
    </row>
    <row r="27" spans="1:18" ht="18" customHeight="1" x14ac:dyDescent="0.2">
      <c r="A27" s="23"/>
      <c r="B27" s="23"/>
      <c r="C27" s="35"/>
      <c r="D27" s="25"/>
      <c r="E27" s="30"/>
      <c r="F27" s="43"/>
      <c r="G27" s="38"/>
      <c r="H27" s="38"/>
      <c r="I27" s="38"/>
      <c r="J27" s="31"/>
      <c r="K27" s="26"/>
      <c r="L27" s="37"/>
      <c r="M27" s="5"/>
      <c r="N27" s="15"/>
      <c r="O27" s="8"/>
      <c r="P27" s="8"/>
      <c r="Q27" s="15"/>
      <c r="R27" s="14"/>
    </row>
    <row r="28" spans="1:18" ht="18" customHeight="1" x14ac:dyDescent="0.2">
      <c r="A28" s="23"/>
      <c r="B28" s="23"/>
      <c r="C28" s="35"/>
      <c r="D28" s="25"/>
      <c r="E28" s="30"/>
      <c r="F28" s="43"/>
      <c r="G28" s="38"/>
      <c r="H28" s="38"/>
      <c r="I28" s="38"/>
      <c r="J28" s="31"/>
      <c r="K28" s="26"/>
      <c r="L28" s="37"/>
      <c r="M28" s="5"/>
      <c r="N28" s="15"/>
      <c r="O28" s="8"/>
      <c r="P28" s="8"/>
      <c r="Q28" s="15"/>
      <c r="R28" s="14"/>
    </row>
    <row r="29" spans="1:18" ht="18" customHeight="1" x14ac:dyDescent="0.2">
      <c r="A29" s="23"/>
      <c r="B29" s="23"/>
      <c r="C29" s="35"/>
      <c r="D29" s="25"/>
      <c r="E29" s="30"/>
      <c r="F29" s="43"/>
      <c r="G29" s="38"/>
      <c r="H29" s="38"/>
      <c r="I29" s="38"/>
      <c r="J29" s="31"/>
      <c r="K29" s="26"/>
      <c r="L29" s="37"/>
      <c r="M29" s="5"/>
      <c r="N29" s="15"/>
      <c r="O29" s="8"/>
      <c r="P29" s="8"/>
      <c r="Q29" s="15"/>
      <c r="R29" s="14"/>
    </row>
    <row r="30" spans="1:18" ht="18" customHeight="1" x14ac:dyDescent="0.2">
      <c r="A30" s="23"/>
      <c r="B30" s="23"/>
      <c r="C30" s="35"/>
      <c r="D30" s="25"/>
      <c r="E30" s="30"/>
      <c r="F30" s="43"/>
      <c r="G30" s="38"/>
      <c r="H30" s="38"/>
      <c r="I30" s="38"/>
      <c r="J30" s="31"/>
      <c r="K30" s="26"/>
      <c r="L30" s="37"/>
      <c r="M30" s="5"/>
      <c r="N30" s="15"/>
      <c r="O30" s="8"/>
      <c r="P30" s="8"/>
      <c r="Q30" s="15"/>
      <c r="R30" s="14"/>
    </row>
    <row r="31" spans="1:18" ht="18" customHeight="1" x14ac:dyDescent="0.2">
      <c r="A31" s="23"/>
      <c r="B31" s="23"/>
      <c r="C31" s="35"/>
      <c r="D31" s="25"/>
      <c r="E31" s="30"/>
      <c r="F31" s="43"/>
      <c r="G31" s="38"/>
      <c r="H31" s="38"/>
      <c r="I31" s="38"/>
      <c r="J31" s="31"/>
      <c r="K31" s="26"/>
      <c r="L31" s="37"/>
      <c r="M31" s="5"/>
      <c r="N31" s="15"/>
      <c r="O31" s="8"/>
      <c r="P31" s="8"/>
      <c r="Q31" s="15"/>
      <c r="R31" s="14"/>
    </row>
    <row r="32" spans="1:18" ht="18" customHeight="1" x14ac:dyDescent="0.2">
      <c r="A32" s="23"/>
      <c r="B32" s="23"/>
      <c r="C32" s="35"/>
      <c r="D32" s="25"/>
      <c r="E32" s="30"/>
      <c r="F32" s="43"/>
      <c r="G32" s="38"/>
      <c r="H32" s="38"/>
      <c r="I32" s="38"/>
      <c r="J32" s="31"/>
      <c r="K32" s="26"/>
      <c r="L32" s="37"/>
      <c r="M32" s="5"/>
      <c r="N32" s="15"/>
      <c r="O32" s="8"/>
      <c r="P32" s="8"/>
      <c r="Q32" s="15"/>
      <c r="R32" s="14"/>
    </row>
    <row r="33" spans="1:18" ht="18" customHeight="1" x14ac:dyDescent="0.2">
      <c r="A33" s="23"/>
      <c r="B33" s="23"/>
      <c r="C33" s="35"/>
      <c r="D33" s="25"/>
      <c r="E33" s="30"/>
      <c r="F33" s="43"/>
      <c r="G33" s="38"/>
      <c r="H33" s="38"/>
      <c r="I33" s="38"/>
      <c r="J33" s="31"/>
      <c r="K33" s="26"/>
      <c r="L33" s="37"/>
      <c r="M33" s="5"/>
      <c r="N33" s="15"/>
      <c r="O33" s="8"/>
      <c r="P33" s="8"/>
      <c r="Q33" s="15"/>
      <c r="R33" s="14"/>
    </row>
    <row r="34" spans="1:18" ht="18" customHeight="1" x14ac:dyDescent="0.2">
      <c r="A34" s="23"/>
      <c r="B34" s="23"/>
      <c r="C34" s="35"/>
      <c r="D34" s="25"/>
      <c r="E34" s="30"/>
      <c r="F34" s="43"/>
      <c r="G34" s="38"/>
      <c r="H34" s="38"/>
      <c r="I34" s="38"/>
      <c r="J34" s="31"/>
      <c r="K34" s="26"/>
      <c r="L34" s="37"/>
      <c r="M34" s="5"/>
      <c r="N34" s="15"/>
      <c r="O34" s="8"/>
      <c r="P34" s="8"/>
      <c r="Q34" s="15"/>
      <c r="R34" s="14"/>
    </row>
    <row r="35" spans="1:18" ht="18" customHeight="1" x14ac:dyDescent="0.2">
      <c r="A35" s="24"/>
      <c r="B35" s="41"/>
      <c r="C35" s="44"/>
      <c r="D35" s="45"/>
      <c r="E35" s="45"/>
      <c r="F35" s="46"/>
      <c r="G35" s="47"/>
      <c r="H35" s="48"/>
      <c r="I35" s="49"/>
      <c r="J35" s="50"/>
      <c r="K35" s="51"/>
      <c r="L35" s="52"/>
      <c r="M35" s="24"/>
      <c r="N35" s="28"/>
      <c r="O35" s="23"/>
      <c r="P35" s="24"/>
      <c r="Q35" s="53"/>
      <c r="R35" s="27"/>
    </row>
    <row r="36" spans="1:18" ht="18" customHeight="1" x14ac:dyDescent="0.2">
      <c r="A36" s="24"/>
      <c r="B36" s="41"/>
      <c r="C36" s="44"/>
      <c r="D36" s="45"/>
      <c r="E36" s="45"/>
      <c r="F36" s="46"/>
      <c r="G36" s="47"/>
      <c r="H36" s="48"/>
      <c r="I36" s="49"/>
      <c r="J36" s="50"/>
      <c r="K36" s="51"/>
      <c r="L36" s="52"/>
      <c r="M36" s="24"/>
      <c r="N36" s="28"/>
      <c r="O36" s="23"/>
      <c r="P36" s="24"/>
      <c r="Q36" s="53"/>
      <c r="R36" s="27"/>
    </row>
    <row r="37" spans="1:18" ht="18" customHeight="1" x14ac:dyDescent="0.2">
      <c r="A37" s="24"/>
      <c r="B37" s="41"/>
      <c r="C37" s="44"/>
      <c r="D37" s="45"/>
      <c r="E37" s="45"/>
      <c r="F37" s="46"/>
      <c r="G37" s="47"/>
      <c r="H37" s="48"/>
      <c r="I37" s="49"/>
      <c r="J37" s="50"/>
      <c r="K37" s="51"/>
      <c r="L37" s="52"/>
      <c r="M37" s="24"/>
      <c r="N37" s="28"/>
      <c r="O37" s="23"/>
      <c r="P37" s="24"/>
      <c r="Q37" s="53"/>
      <c r="R37" s="27"/>
    </row>
    <row r="38" spans="1:18" ht="18" customHeight="1" x14ac:dyDescent="0.2">
      <c r="A38" s="24"/>
      <c r="B38" s="41"/>
      <c r="C38" s="44"/>
      <c r="D38" s="45"/>
      <c r="E38" s="45"/>
      <c r="F38" s="46"/>
      <c r="G38" s="47"/>
      <c r="H38" s="48"/>
      <c r="I38" s="49"/>
      <c r="J38" s="50"/>
      <c r="K38" s="51"/>
      <c r="L38" s="52"/>
      <c r="M38" s="24"/>
      <c r="N38" s="28"/>
      <c r="O38" s="23"/>
      <c r="P38" s="24"/>
      <c r="Q38" s="53"/>
      <c r="R38" s="27"/>
    </row>
    <row r="39" spans="1:18" ht="18" customHeight="1" x14ac:dyDescent="0.2">
      <c r="A39" s="24"/>
      <c r="B39" s="41"/>
      <c r="C39" s="44"/>
      <c r="D39" s="45"/>
      <c r="E39" s="45"/>
      <c r="F39" s="46"/>
      <c r="G39" s="47"/>
      <c r="H39" s="48"/>
      <c r="I39" s="49"/>
      <c r="J39" s="50"/>
      <c r="K39" s="51"/>
      <c r="L39" s="52"/>
      <c r="M39" s="24"/>
      <c r="N39" s="28"/>
      <c r="O39" s="23"/>
      <c r="P39" s="24"/>
      <c r="Q39" s="53"/>
      <c r="R39" s="27"/>
    </row>
    <row r="40" spans="1:18" ht="18" customHeight="1" x14ac:dyDescent="0.2">
      <c r="A40" s="24"/>
      <c r="B40" s="41"/>
      <c r="C40" s="44"/>
      <c r="D40" s="45"/>
      <c r="E40" s="45"/>
      <c r="F40" s="46"/>
      <c r="G40" s="47"/>
      <c r="H40" s="48"/>
      <c r="I40" s="49"/>
      <c r="J40" s="50"/>
      <c r="K40" s="51"/>
      <c r="L40" s="52"/>
      <c r="M40" s="24"/>
      <c r="N40" s="28"/>
      <c r="O40" s="23"/>
      <c r="P40" s="24"/>
      <c r="Q40" s="53"/>
      <c r="R40" s="27"/>
    </row>
    <row r="41" spans="1:18" ht="18" customHeight="1" x14ac:dyDescent="0.2">
      <c r="C41" s="1"/>
      <c r="D41" s="1"/>
      <c r="E41" s="1"/>
      <c r="F41" s="6" t="s">
        <v>21</v>
      </c>
      <c r="G41" s="19"/>
      <c r="H41" s="19"/>
      <c r="I41" s="19">
        <f>G41*H41</f>
        <v>0</v>
      </c>
      <c r="J41" s="13"/>
      <c r="K41" s="16" t="s">
        <v>22</v>
      </c>
      <c r="L41" s="21"/>
      <c r="M41" s="1"/>
      <c r="N41" s="15"/>
      <c r="O41" s="21"/>
      <c r="P41" s="1"/>
      <c r="Q41" s="15"/>
      <c r="R41" s="14"/>
    </row>
    <row r="42" spans="1:18" ht="18" customHeight="1" x14ac:dyDescent="0.2">
      <c r="C42" s="1"/>
      <c r="D42" s="4"/>
      <c r="E42" s="4"/>
      <c r="F42" s="6" t="s">
        <v>22</v>
      </c>
      <c r="G42" s="19"/>
      <c r="H42" s="19">
        <v>5000</v>
      </c>
      <c r="I42" s="19">
        <f>G42*H42</f>
        <v>0</v>
      </c>
      <c r="J42" s="13"/>
      <c r="K42" s="16" t="s">
        <v>23</v>
      </c>
      <c r="L42" s="21"/>
      <c r="M42" s="1"/>
      <c r="N42" s="15"/>
      <c r="O42" s="21"/>
      <c r="P42" s="1"/>
      <c r="Q42" s="15"/>
      <c r="R42" s="8"/>
    </row>
    <row r="43" spans="1:18" ht="18" customHeight="1" x14ac:dyDescent="0.2">
      <c r="C43" s="1"/>
      <c r="D43" s="4"/>
      <c r="E43" s="4"/>
      <c r="F43" s="6" t="s">
        <v>23</v>
      </c>
      <c r="G43" s="19"/>
      <c r="H43" s="19"/>
      <c r="I43" s="19">
        <f>G43*H43</f>
        <v>0</v>
      </c>
      <c r="J43" s="13"/>
      <c r="K43" s="5"/>
      <c r="L43" s="21"/>
      <c r="M43" s="1"/>
      <c r="N43" s="1"/>
      <c r="O43" s="21"/>
      <c r="P43" s="1"/>
      <c r="Q43" s="8"/>
      <c r="R43" s="8"/>
    </row>
    <row r="44" spans="1:18" ht="18" customHeight="1" x14ac:dyDescent="0.2">
      <c r="C44" s="1"/>
      <c r="D44" s="4"/>
      <c r="E44" s="4"/>
      <c r="F44" s="86"/>
      <c r="G44" s="87"/>
      <c r="H44" s="87"/>
      <c r="I44" s="88"/>
      <c r="J44" s="7"/>
      <c r="K44" s="18"/>
    </row>
    <row r="45" spans="1:18" ht="18" customHeight="1" x14ac:dyDescent="0.2"/>
    <row r="46" spans="1:18" ht="18" customHeight="1" x14ac:dyDescent="0.2"/>
    <row r="47" spans="1:18" ht="18" customHeight="1" x14ac:dyDescent="0.2"/>
  </sheetData>
  <autoFilter ref="C8:P47" xr:uid="{00000000-0009-0000-0000-000003000000}"/>
  <mergeCells count="11">
    <mergeCell ref="C6:E6"/>
    <mergeCell ref="H6:K6"/>
    <mergeCell ref="C10:F10"/>
    <mergeCell ref="F20:I20"/>
    <mergeCell ref="F44:I44"/>
    <mergeCell ref="H4:H5"/>
    <mergeCell ref="C2:E2"/>
    <mergeCell ref="H2:J2"/>
    <mergeCell ref="C3:E3"/>
    <mergeCell ref="C4:E4"/>
    <mergeCell ref="C5:E5"/>
  </mergeCells>
  <phoneticPr fontId="10"/>
  <dataValidations count="1">
    <dataValidation allowBlank="1" showInputMessage="1" showErrorMessage="1" sqref="K23:K34" xr:uid="{FD3DD881-1DCF-4C0C-BEB3-598892E7D70D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24" sqref="B24"/>
    </sheetView>
  </sheetViews>
  <sheetFormatPr defaultColWidth="11.77734375" defaultRowHeight="13.5" customHeight="1" x14ac:dyDescent="0.2"/>
  <sheetData/>
  <phoneticPr fontId="10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77734375" defaultRowHeight="13.5" customHeight="1" x14ac:dyDescent="0.2"/>
  <sheetData/>
  <phoneticPr fontId="10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①1台製作時　改良版　原価一覧 (20250116) </vt:lpstr>
      <vt:lpstr>Sheet2</vt:lpstr>
      <vt:lpstr>Sheet3</vt:lpstr>
      <vt:lpstr>'①1台製作時　改良版　原価一覧 (20250116) 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齋藤 秀昭</cp:lastModifiedBy>
  <dcterms:created xsi:type="dcterms:W3CDTF">2016-05-16T08:05:24Z</dcterms:created>
  <dcterms:modified xsi:type="dcterms:W3CDTF">2025-01-22T04:02:09Z</dcterms:modified>
</cp:coreProperties>
</file>