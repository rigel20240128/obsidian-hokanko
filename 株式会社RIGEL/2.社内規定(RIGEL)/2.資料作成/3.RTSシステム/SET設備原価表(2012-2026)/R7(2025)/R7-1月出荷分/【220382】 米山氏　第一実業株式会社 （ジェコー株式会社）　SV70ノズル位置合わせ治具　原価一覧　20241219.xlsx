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h-saito\Desktop\米山氏　SV70ﾉｽﾞﾙ位置合わせ治具\"/>
    </mc:Choice>
  </mc:AlternateContent>
  <xr:revisionPtr revIDLastSave="0" documentId="13_ncr:1_{34460147-43C2-4C64-B119-17023A7F34B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原価一覧 (20241004)  " sheetId="14" r:id="rId1"/>
    <sheet name="Sheet2" sheetId="2" r:id="rId2"/>
    <sheet name="Sheet3" sheetId="3" r:id="rId3"/>
  </sheets>
  <definedNames>
    <definedName name="_xlnm._FilterDatabase" localSheetId="0" hidden="1">'原価一覧 (20241004)  '!$C$8:$P$29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5" i="14" l="1"/>
  <c r="I24" i="14"/>
  <c r="I23" i="14"/>
  <c r="I19" i="14"/>
  <c r="I18" i="14"/>
  <c r="I17" i="14"/>
  <c r="I16" i="14"/>
  <c r="I15" i="14"/>
  <c r="I14" i="14"/>
  <c r="I13" i="14"/>
  <c r="I12" i="14"/>
  <c r="I11" i="14"/>
  <c r="K2" i="14" l="1"/>
  <c r="F21" i="14"/>
  <c r="C12" i="14" l="1"/>
  <c r="C13" i="14" s="1"/>
  <c r="C14" i="14" s="1"/>
  <c r="C15" i="14" s="1"/>
  <c r="C16" i="14" s="1"/>
  <c r="C17" i="14" s="1"/>
  <c r="C18" i="14" s="1"/>
  <c r="C19" i="14" s="1"/>
</calcChain>
</file>

<file path=xl/sharedStrings.xml><?xml version="1.0" encoding="utf-8"?>
<sst xmlns="http://schemas.openxmlformats.org/spreadsheetml/2006/main" count="95" uniqueCount="58">
  <si>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</si>
  <si>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</si>
  <si>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</si>
  <si>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</si>
  <si>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</si>
  <si>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</si>
  <si>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</si>
  <si>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</si>
  <si>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</si>
  <si>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</si>
  <si>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</si>
  <si>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</si>
  <si>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</si>
  <si>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</si>
  <si>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</si>
  <si>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</si>
  <si>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</si>
  <si>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</si>
  <si>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</si>
  <si>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</si>
  <si>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</si>
  <si>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</si>
  <si>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</si>
  <si>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</si>
  <si>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</si>
  <si>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ミスミ</t>
    <phoneticPr fontId="10"/>
  </si>
  <si>
    <t>押え板</t>
    <phoneticPr fontId="10"/>
  </si>
  <si>
    <t>ASFCS-A27-B14-T0.3-D4.5-E6-C6-P15</t>
    <phoneticPr fontId="10"/>
  </si>
  <si>
    <t>SCB4-5</t>
    <phoneticPr fontId="10"/>
  </si>
  <si>
    <t>JTDA-SUD-A27-B12-T2-X6-Y6-M4-L15-MA4</t>
    <phoneticPr fontId="10"/>
  </si>
  <si>
    <t>シム</t>
    <phoneticPr fontId="10"/>
  </si>
  <si>
    <t>六角穴付きﾎﾞﾙﾄ　M4×5mm　　　　6本</t>
    <rPh sb="21" eb="22">
      <t>ホン</t>
    </rPh>
    <phoneticPr fontId="10"/>
  </si>
  <si>
    <t xml:space="preserve">SPWF4 </t>
    <phoneticPr fontId="10"/>
  </si>
  <si>
    <t>ワッシャ　　平座金　　M4×8mm　　　4個</t>
    <rPh sb="21" eb="22">
      <t>コ</t>
    </rPh>
    <phoneticPr fontId="10"/>
  </si>
  <si>
    <t>3日目</t>
    <rPh sb="1" eb="2">
      <t>ヒ</t>
    </rPh>
    <rPh sb="2" eb="3">
      <t>メ</t>
    </rPh>
    <phoneticPr fontId="10"/>
  </si>
  <si>
    <t>1日目</t>
    <rPh sb="1" eb="2">
      <t>ヒ</t>
    </rPh>
    <rPh sb="2" eb="3">
      <t>メ</t>
    </rPh>
    <phoneticPr fontId="10"/>
  </si>
  <si>
    <t>2日目</t>
    <rPh sb="1" eb="2">
      <t>ヒ</t>
    </rPh>
    <rPh sb="2" eb="3">
      <t>メ</t>
    </rPh>
    <phoneticPr fontId="10"/>
  </si>
  <si>
    <t>出荷依頼項目NO.</t>
    <rPh sb="0" eb="4">
      <t>シュッカイライ</t>
    </rPh>
    <rPh sb="4" eb="6">
      <t>コウモク</t>
    </rPh>
    <phoneticPr fontId="9"/>
  </si>
  <si>
    <t>福島</t>
    <rPh sb="0" eb="2">
      <t>フクシマ</t>
    </rPh>
    <phoneticPr fontId="9"/>
  </si>
  <si>
    <t>6日目</t>
    <rPh sb="1" eb="2">
      <t>ヒ</t>
    </rPh>
    <rPh sb="2" eb="3">
      <t>メ</t>
    </rPh>
    <phoneticPr fontId="10"/>
  </si>
  <si>
    <t>Ｎo.【202839】</t>
    <phoneticPr fontId="9"/>
  </si>
  <si>
    <t>PEW池田電機様　(阪本（株））</t>
    <rPh sb="10" eb="12">
      <t>サカモト</t>
    </rPh>
    <rPh sb="12" eb="15">
      <t>カブ</t>
    </rPh>
    <phoneticPr fontId="9"/>
  </si>
  <si>
    <t>MVSHM-3N02050-3T2-J8B5C</t>
    <phoneticPr fontId="10"/>
  </si>
  <si>
    <r>
      <t>SETA0010-Z04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位置決めベース</t>
    </r>
    <phoneticPr fontId="10"/>
  </si>
  <si>
    <t>MVSHM-3N03002-3T2-EXPLE</t>
    <phoneticPr fontId="10"/>
  </si>
  <si>
    <r>
      <t>SETA0010-Z02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角度切替ベース</t>
    </r>
    <phoneticPr fontId="10"/>
  </si>
  <si>
    <t>MVSHM-ZZ99000-3SZ-7ELAD</t>
    <phoneticPr fontId="10"/>
  </si>
  <si>
    <r>
      <t>SETA0010-Z03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角度切替ブラケット</t>
    </r>
    <phoneticPr fontId="10"/>
  </si>
  <si>
    <t>AWSS-D-D6-V4-T1.9</t>
    <phoneticPr fontId="10"/>
  </si>
  <si>
    <t>金属ワッシャ　－Ｔ寸公差選択タイプ－</t>
    <phoneticPr fontId="10"/>
  </si>
  <si>
    <t>MS2-6</t>
    <phoneticPr fontId="10"/>
  </si>
  <si>
    <t>ノックピン　ストレート</t>
    <phoneticPr fontId="10"/>
  </si>
  <si>
    <t>SV70ﾊﾞﾙﾌﾞﾉｽﾞﾙ位置合わせ治具</t>
    <rPh sb="13" eb="15">
      <t>イチ</t>
    </rPh>
    <rPh sb="15" eb="16">
      <t>ア</t>
    </rPh>
    <rPh sb="18" eb="20">
      <t>ジグ</t>
    </rPh>
    <phoneticPr fontId="10"/>
  </si>
  <si>
    <t>SV70用ﾉｽﾞﾙ位置決め治具</t>
    <phoneticPr fontId="9"/>
  </si>
  <si>
    <t>第一実業株式会社 （ジェコー株式会社）</t>
    <phoneticPr fontId="9"/>
  </si>
  <si>
    <t>米山</t>
    <rPh sb="0" eb="2">
      <t>ヨネヤマ</t>
    </rPh>
    <phoneticPr fontId="9"/>
  </si>
  <si>
    <t>Ｎo.220382</t>
    <phoneticPr fontId="9"/>
  </si>
  <si>
    <t>AB23E99F9F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</si>
</sst>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19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color theme="9" tint="-0.499984740745262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56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2" fillId="0" borderId="5" xfId="0" applyFont="1" applyBorder="1">
      <alignment vertical="center"/>
    </xf>
    <xf numFmtId="176" fontId="0" fillId="0" borderId="5" xfId="0" applyNumberFormat="1" applyBorder="1" applyAlignment="1">
      <alignment horizontal="center" vertical="center"/>
    </xf>
    <xf numFmtId="0" fontId="8" fillId="0" borderId="0" xfId="0" applyFont="1">
      <alignment vertical="center"/>
    </xf>
    <xf numFmtId="3" fontId="0" fillId="0" borderId="10" xfId="0" applyNumberFormat="1" applyBorder="1" applyAlignment="1">
      <alignment horizontal="center" vertical="center"/>
    </xf>
    <xf numFmtId="176" fontId="15" fillId="0" borderId="10" xfId="0" applyNumberFormat="1" applyFont="1" applyBorder="1" applyAlignment="1">
      <alignment horizontal="center" vertical="center"/>
    </xf>
    <xf numFmtId="180" fontId="12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vertical="center" shrinkToFit="1"/>
    </xf>
    <xf numFmtId="0" fontId="12" fillId="0" borderId="7" xfId="0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49" fontId="12" fillId="0" borderId="5" xfId="0" applyNumberFormat="1" applyFont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176" fontId="15" fillId="4" borderId="12" xfId="0" applyNumberFormat="1" applyFont="1" applyFill="1" applyBorder="1" applyAlignment="1">
      <alignment horizontal="center" vertical="center"/>
    </xf>
    <xf numFmtId="176" fontId="15" fillId="0" borderId="5" xfId="0" applyNumberFormat="1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56" fontId="0" fillId="0" borderId="7" xfId="0" applyNumberForma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shrinkToFit="1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13" fillId="3" borderId="7" xfId="0" applyNumberFormat="1" applyFont="1" applyFill="1" applyBorder="1" applyAlignment="1">
      <alignment horizontal="center" vertical="center"/>
    </xf>
    <xf numFmtId="3" fontId="13" fillId="3" borderId="9" xfId="0" applyNumberFormat="1" applyFont="1" applyFill="1" applyBorder="1" applyAlignment="1">
      <alignment horizontal="center" vertical="center"/>
    </xf>
    <xf numFmtId="3" fontId="13" fillId="3" borderId="8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2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38" fontId="0" fillId="0" borderId="5" xfId="0" applyNumberForma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38" fontId="12" fillId="0" borderId="5" xfId="0" applyNumberFormat="1" applyFont="1" applyFill="1" applyBorder="1" applyAlignment="1">
      <alignment horizontal="center" vertical="center"/>
    </xf>
    <xf numFmtId="38" fontId="12" fillId="0" borderId="8" xfId="0" applyNumberFormat="1" applyFont="1" applyFill="1" applyBorder="1" applyAlignment="1">
      <alignment horizontal="center" vertical="center"/>
    </xf>
    <xf numFmtId="180" fontId="12" fillId="0" borderId="10" xfId="0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/>
    </xf>
    <xf numFmtId="3" fontId="0" fillId="0" borderId="5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left" vertical="center"/>
    </xf>
    <xf numFmtId="3" fontId="12" fillId="0" borderId="5" xfId="0" applyNumberFormat="1" applyFont="1" applyFill="1" applyBorder="1" applyAlignment="1">
      <alignment horizontal="center" vertical="center"/>
    </xf>
    <xf numFmtId="0" fontId="12" fillId="0" borderId="5" xfId="0" applyFont="1" applyFill="1" applyBorder="1">
      <alignment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8F94-956D-4534-84CA-05C6038AA002}">
  <sheetPr>
    <tabColor theme="3" tint="0.79998168889431442"/>
  </sheetPr>
  <dimension ref="A2:R29"/>
  <sheetViews>
    <sheetView tabSelected="1" zoomScale="85" zoomScaleNormal="85" workbookViewId="0">
      <pane ySplit="8" topLeftCell="A9" activePane="bottomLeft" state="frozen"/>
      <selection activeCell="B1" sqref="B1"/>
      <selection pane="bottomLeft" activeCell="M16" sqref="M16"/>
    </sheetView>
  </sheetViews>
  <sheetFormatPr defaultColWidth="11.77734375" defaultRowHeight="13.5" customHeight="1" x14ac:dyDescent="0.2"/>
  <cols>
    <col min="1" max="1" width="18.6640625" customWidth="1"/>
    <col min="2" max="2" width="17" customWidth="1"/>
    <col min="3" max="3" width="6.21875" style="5" customWidth="1"/>
    <col min="4" max="4" width="15.21875" customWidth="1"/>
    <col min="5" max="5" width="15.44140625" customWidth="1"/>
    <col min="6" max="6" width="71.44140625" customWidth="1"/>
    <col min="7" max="7" width="10.77734375" style="5" customWidth="1"/>
    <col min="8" max="9" width="12.109375" style="5" customWidth="1"/>
    <col min="10" max="10" width="7.109375" style="10" customWidth="1"/>
    <col min="11" max="11" width="50.44140625" customWidth="1"/>
    <col min="12" max="12" width="23.21875" customWidth="1"/>
    <col min="13" max="13" width="17.88671875" style="5" customWidth="1"/>
    <col min="14" max="14" width="17" style="5" customWidth="1"/>
    <col min="15" max="15" width="9.21875" customWidth="1"/>
    <col min="16" max="16" width="16.33203125" style="5" customWidth="1"/>
    <col min="17" max="17" width="17.88671875" style="26" customWidth="1"/>
    <col min="18" max="18" width="19.33203125" style="26" customWidth="1"/>
  </cols>
  <sheetData>
    <row r="2" spans="1:18" ht="20.100000000000001" customHeight="1" x14ac:dyDescent="0.2">
      <c r="C2" s="53" t="s">
        <v>0</v>
      </c>
      <c r="D2" s="53"/>
      <c r="E2" s="53"/>
      <c r="F2" s="20" t="s">
        <v>54</v>
      </c>
      <c r="H2" s="58" t="s">
        <v>1</v>
      </c>
      <c r="I2" s="59"/>
      <c r="J2" s="60"/>
      <c r="K2" s="9">
        <f>SUM(I:I)</f>
        <v>15098</v>
      </c>
    </row>
    <row r="3" spans="1:18" ht="20.100000000000001" customHeight="1" x14ac:dyDescent="0.2">
      <c r="C3" s="53" t="s">
        <v>2</v>
      </c>
      <c r="D3" s="53"/>
      <c r="E3" s="53"/>
      <c r="F3" s="7" t="s">
        <v>55</v>
      </c>
    </row>
    <row r="4" spans="1:18" ht="20.100000000000001" customHeight="1" x14ac:dyDescent="0.2">
      <c r="C4" s="53" t="s">
        <v>3</v>
      </c>
      <c r="D4" s="53"/>
      <c r="E4" s="53"/>
      <c r="F4" s="7" t="s">
        <v>56</v>
      </c>
      <c r="G4" s="52"/>
      <c r="H4" s="61" t="s">
        <v>53</v>
      </c>
      <c r="I4" s="61"/>
      <c r="J4" s="61"/>
      <c r="K4" s="61"/>
      <c r="L4" s="29"/>
    </row>
    <row r="5" spans="1:18" ht="20.100000000000001" customHeight="1" x14ac:dyDescent="0.2">
      <c r="C5" s="53" t="s">
        <v>4</v>
      </c>
      <c r="D5" s="53"/>
      <c r="E5" s="53"/>
      <c r="F5" s="8">
        <v>45664</v>
      </c>
      <c r="G5" s="52"/>
      <c r="H5" s="61"/>
      <c r="I5" s="61"/>
      <c r="J5" s="61"/>
      <c r="K5" s="61"/>
    </row>
    <row r="6" spans="1:18" ht="20.100000000000001" customHeight="1" x14ac:dyDescent="0.2">
      <c r="C6" s="53" t="s">
        <v>5</v>
      </c>
      <c r="D6" s="53"/>
      <c r="E6" s="53"/>
      <c r="F6" s="8">
        <v>45665</v>
      </c>
      <c r="H6" s="54"/>
      <c r="I6" s="54"/>
      <c r="J6" s="54"/>
      <c r="K6" s="54"/>
    </row>
    <row r="8" spans="1:18" s="5" customFormat="1" ht="19.5" customHeight="1" x14ac:dyDescent="0.2">
      <c r="B8" s="37" t="s">
        <v>37</v>
      </c>
      <c r="C8" s="36" t="s">
        <v>6</v>
      </c>
      <c r="D8" s="2" t="s">
        <v>7</v>
      </c>
      <c r="E8" s="2" t="s">
        <v>8</v>
      </c>
      <c r="F8" s="16" t="s">
        <v>9</v>
      </c>
      <c r="G8" s="16" t="s">
        <v>10</v>
      </c>
      <c r="H8" s="16" t="s">
        <v>11</v>
      </c>
      <c r="I8" s="1" t="s">
        <v>12</v>
      </c>
      <c r="J8" s="1" t="s">
        <v>13</v>
      </c>
      <c r="K8" s="16" t="s">
        <v>14</v>
      </c>
      <c r="L8" s="16" t="s">
        <v>15</v>
      </c>
      <c r="M8" s="16" t="s">
        <v>16</v>
      </c>
      <c r="N8" s="18" t="s">
        <v>17</v>
      </c>
      <c r="O8" s="2" t="s">
        <v>18</v>
      </c>
      <c r="P8" s="16" t="s">
        <v>19</v>
      </c>
      <c r="Q8" s="18" t="s">
        <v>20</v>
      </c>
      <c r="R8" s="6" t="s">
        <v>21</v>
      </c>
    </row>
    <row r="9" spans="1:18" ht="18" customHeight="1" x14ac:dyDescent="0.2">
      <c r="C9" s="22"/>
      <c r="D9" s="30"/>
      <c r="E9" s="30"/>
      <c r="F9" s="31"/>
      <c r="G9" s="32"/>
      <c r="H9" s="33"/>
      <c r="I9" s="28"/>
      <c r="J9" s="22"/>
      <c r="K9" s="27"/>
      <c r="L9" s="34"/>
      <c r="M9" s="3"/>
      <c r="N9" s="18"/>
      <c r="O9" s="6"/>
      <c r="P9" s="6"/>
      <c r="Q9" s="18"/>
      <c r="R9" s="12"/>
    </row>
    <row r="10" spans="1:18" ht="18" customHeight="1" x14ac:dyDescent="0.2">
      <c r="C10" s="22"/>
      <c r="D10" s="55" t="s">
        <v>52</v>
      </c>
      <c r="E10" s="56"/>
      <c r="F10" s="57"/>
      <c r="G10" s="32"/>
      <c r="H10" s="33"/>
      <c r="I10" s="28"/>
      <c r="J10" s="22"/>
      <c r="K10" s="27"/>
      <c r="L10" s="34"/>
      <c r="M10" s="3"/>
      <c r="N10" s="18"/>
      <c r="O10" s="6"/>
      <c r="P10" s="6"/>
      <c r="Q10" s="18"/>
      <c r="R10" s="12"/>
    </row>
    <row r="11" spans="1:18" ht="18" customHeight="1" x14ac:dyDescent="0.2">
      <c r="A11" s="22" t="s">
        <v>34</v>
      </c>
      <c r="B11" s="21"/>
      <c r="C11" s="43">
        <v>1</v>
      </c>
      <c r="D11" s="24" t="s">
        <v>25</v>
      </c>
      <c r="E11" s="24" t="s">
        <v>25</v>
      </c>
      <c r="F11" s="42" t="s">
        <v>42</v>
      </c>
      <c r="G11" s="62">
        <v>1</v>
      </c>
      <c r="H11" s="66">
        <v>2484</v>
      </c>
      <c r="I11" s="66">
        <f t="shared" ref="I11:I15" si="0">G11*H11</f>
        <v>2484</v>
      </c>
      <c r="J11" s="35"/>
      <c r="K11" s="27" t="s">
        <v>43</v>
      </c>
      <c r="L11" s="34"/>
      <c r="M11" s="48" t="s">
        <v>57</v>
      </c>
      <c r="N11" s="41">
        <v>45645</v>
      </c>
      <c r="O11" s="6"/>
      <c r="P11" s="47">
        <v>45664</v>
      </c>
      <c r="Q11" s="25">
        <v>45665</v>
      </c>
      <c r="R11" s="12"/>
    </row>
    <row r="12" spans="1:18" ht="18" customHeight="1" x14ac:dyDescent="0.2">
      <c r="A12" s="22" t="s">
        <v>34</v>
      </c>
      <c r="B12" s="21"/>
      <c r="C12" s="43">
        <f>+C11+1</f>
        <v>2</v>
      </c>
      <c r="D12" s="24" t="s">
        <v>25</v>
      </c>
      <c r="E12" s="24" t="s">
        <v>25</v>
      </c>
      <c r="F12" s="42" t="s">
        <v>44</v>
      </c>
      <c r="G12" s="62">
        <v>1</v>
      </c>
      <c r="H12" s="66">
        <v>2581</v>
      </c>
      <c r="I12" s="66">
        <f t="shared" si="0"/>
        <v>2581</v>
      </c>
      <c r="J12" s="35"/>
      <c r="K12" s="27" t="s">
        <v>45</v>
      </c>
      <c r="L12" s="34"/>
      <c r="M12" s="48" t="s">
        <v>57</v>
      </c>
      <c r="N12" s="41">
        <v>45645</v>
      </c>
      <c r="O12" s="6"/>
      <c r="P12" s="47">
        <v>45664</v>
      </c>
      <c r="Q12" s="25">
        <v>45665</v>
      </c>
      <c r="R12" s="12"/>
    </row>
    <row r="13" spans="1:18" ht="18" customHeight="1" x14ac:dyDescent="0.2">
      <c r="A13" s="22" t="s">
        <v>39</v>
      </c>
      <c r="B13" s="21"/>
      <c r="C13" s="43">
        <f t="shared" ref="C13:C19" si="1">+C12+1</f>
        <v>3</v>
      </c>
      <c r="D13" s="24" t="s">
        <v>25</v>
      </c>
      <c r="E13" s="24" t="s">
        <v>25</v>
      </c>
      <c r="F13" s="42" t="s">
        <v>46</v>
      </c>
      <c r="G13" s="62">
        <v>1</v>
      </c>
      <c r="H13" s="66">
        <v>6480</v>
      </c>
      <c r="I13" s="66">
        <f t="shared" si="0"/>
        <v>6480</v>
      </c>
      <c r="J13" s="35"/>
      <c r="K13" s="27" t="s">
        <v>47</v>
      </c>
      <c r="L13" s="34"/>
      <c r="M13" s="48" t="s">
        <v>57</v>
      </c>
      <c r="N13" s="41">
        <v>45645</v>
      </c>
      <c r="O13" s="6"/>
      <c r="P13" s="47">
        <v>45664</v>
      </c>
      <c r="Q13" s="25">
        <v>45665</v>
      </c>
      <c r="R13" s="12"/>
    </row>
    <row r="14" spans="1:18" ht="18" customHeight="1" x14ac:dyDescent="0.2">
      <c r="A14" s="22" t="s">
        <v>36</v>
      </c>
      <c r="B14" s="21"/>
      <c r="C14" s="43">
        <f t="shared" si="1"/>
        <v>4</v>
      </c>
      <c r="D14" s="24" t="s">
        <v>25</v>
      </c>
      <c r="E14" s="24" t="s">
        <v>25</v>
      </c>
      <c r="F14" s="42" t="s">
        <v>48</v>
      </c>
      <c r="G14" s="62">
        <v>2</v>
      </c>
      <c r="H14" s="66">
        <v>270</v>
      </c>
      <c r="I14" s="66">
        <f t="shared" si="0"/>
        <v>540</v>
      </c>
      <c r="J14" s="35"/>
      <c r="K14" s="27" t="s">
        <v>49</v>
      </c>
      <c r="L14" s="34"/>
      <c r="M14" s="48" t="s">
        <v>57</v>
      </c>
      <c r="N14" s="41">
        <v>45645</v>
      </c>
      <c r="O14" s="6"/>
      <c r="P14" s="47">
        <v>45664</v>
      </c>
      <c r="Q14" s="25">
        <v>45665</v>
      </c>
      <c r="R14" s="12"/>
    </row>
    <row r="15" spans="1:18" ht="18" customHeight="1" x14ac:dyDescent="0.2">
      <c r="A15" s="22" t="s">
        <v>35</v>
      </c>
      <c r="B15" s="21"/>
      <c r="C15" s="43">
        <f t="shared" si="1"/>
        <v>5</v>
      </c>
      <c r="D15" s="24" t="s">
        <v>25</v>
      </c>
      <c r="E15" s="24" t="s">
        <v>25</v>
      </c>
      <c r="F15" s="42" t="s">
        <v>50</v>
      </c>
      <c r="G15" s="62">
        <v>7</v>
      </c>
      <c r="H15" s="66">
        <v>65</v>
      </c>
      <c r="I15" s="66">
        <f t="shared" si="0"/>
        <v>455</v>
      </c>
      <c r="J15" s="35"/>
      <c r="K15" s="27" t="s">
        <v>51</v>
      </c>
      <c r="L15" s="34"/>
      <c r="M15" s="48" t="s">
        <v>57</v>
      </c>
      <c r="N15" s="41">
        <v>45645</v>
      </c>
      <c r="O15" s="6"/>
      <c r="P15" s="47">
        <v>45664</v>
      </c>
      <c r="Q15" s="25">
        <v>45665</v>
      </c>
      <c r="R15" s="12"/>
    </row>
    <row r="16" spans="1:18" ht="18" customHeight="1" x14ac:dyDescent="0.2">
      <c r="A16" s="22" t="s">
        <v>34</v>
      </c>
      <c r="B16" s="21"/>
      <c r="C16" s="43">
        <f t="shared" si="1"/>
        <v>6</v>
      </c>
      <c r="D16" s="71" t="s">
        <v>25</v>
      </c>
      <c r="E16" s="71" t="s">
        <v>25</v>
      </c>
      <c r="F16" s="72" t="s">
        <v>29</v>
      </c>
      <c r="G16" s="63">
        <v>1</v>
      </c>
      <c r="H16" s="64">
        <v>1016</v>
      </c>
      <c r="I16" s="64">
        <f>G16*H16</f>
        <v>1016</v>
      </c>
      <c r="J16" s="23"/>
      <c r="K16" s="21" t="s">
        <v>26</v>
      </c>
      <c r="L16" s="34"/>
      <c r="M16" s="48" t="s">
        <v>57</v>
      </c>
      <c r="N16" s="41">
        <v>45645</v>
      </c>
      <c r="O16" s="6"/>
      <c r="P16" s="47">
        <v>45664</v>
      </c>
      <c r="Q16" s="25">
        <v>45665</v>
      </c>
      <c r="R16" s="12"/>
    </row>
    <row r="17" spans="1:18" ht="18" customHeight="1" x14ac:dyDescent="0.2">
      <c r="A17" s="22" t="s">
        <v>35</v>
      </c>
      <c r="B17" s="21"/>
      <c r="C17" s="43">
        <f t="shared" si="1"/>
        <v>7</v>
      </c>
      <c r="D17" s="71" t="s">
        <v>25</v>
      </c>
      <c r="E17" s="71" t="s">
        <v>25</v>
      </c>
      <c r="F17" s="72" t="s">
        <v>27</v>
      </c>
      <c r="G17" s="63">
        <v>1</v>
      </c>
      <c r="H17" s="64">
        <v>750</v>
      </c>
      <c r="I17" s="64">
        <f>G17*H17</f>
        <v>750</v>
      </c>
      <c r="J17" s="23"/>
      <c r="K17" s="21" t="s">
        <v>30</v>
      </c>
      <c r="L17" s="34"/>
      <c r="M17" s="48" t="s">
        <v>57</v>
      </c>
      <c r="N17" s="41">
        <v>45645</v>
      </c>
      <c r="O17" s="6"/>
      <c r="P17" s="47">
        <v>45664</v>
      </c>
      <c r="Q17" s="25">
        <v>45665</v>
      </c>
      <c r="R17" s="12"/>
    </row>
    <row r="18" spans="1:18" ht="18" customHeight="1" x14ac:dyDescent="0.2">
      <c r="A18" s="22" t="s">
        <v>35</v>
      </c>
      <c r="B18" s="21"/>
      <c r="C18" s="43">
        <f t="shared" si="1"/>
        <v>8</v>
      </c>
      <c r="D18" s="73" t="s">
        <v>25</v>
      </c>
      <c r="E18" s="73" t="s">
        <v>25</v>
      </c>
      <c r="F18" s="74" t="s">
        <v>28</v>
      </c>
      <c r="G18" s="65">
        <v>10</v>
      </c>
      <c r="H18" s="66">
        <v>24</v>
      </c>
      <c r="I18" s="66">
        <f>G18*H18</f>
        <v>240</v>
      </c>
      <c r="J18" s="35"/>
      <c r="K18" s="27" t="s">
        <v>31</v>
      </c>
      <c r="L18" s="34"/>
      <c r="M18" s="48" t="s">
        <v>57</v>
      </c>
      <c r="N18" s="41">
        <v>45645</v>
      </c>
      <c r="O18" s="6"/>
      <c r="P18" s="47">
        <v>45664</v>
      </c>
      <c r="Q18" s="25">
        <v>45665</v>
      </c>
      <c r="R18" s="12"/>
    </row>
    <row r="19" spans="1:18" ht="18" customHeight="1" x14ac:dyDescent="0.2">
      <c r="A19" s="22" t="s">
        <v>35</v>
      </c>
      <c r="B19" s="21"/>
      <c r="C19" s="46">
        <f t="shared" si="1"/>
        <v>9</v>
      </c>
      <c r="D19" s="73" t="s">
        <v>25</v>
      </c>
      <c r="E19" s="73" t="s">
        <v>25</v>
      </c>
      <c r="F19" s="74" t="s">
        <v>32</v>
      </c>
      <c r="G19" s="65">
        <v>6</v>
      </c>
      <c r="H19" s="66">
        <v>92</v>
      </c>
      <c r="I19" s="67">
        <f>G19*H19</f>
        <v>552</v>
      </c>
      <c r="J19" s="35"/>
      <c r="K19" s="27" t="s">
        <v>33</v>
      </c>
      <c r="L19" s="34"/>
      <c r="M19" s="48" t="s">
        <v>57</v>
      </c>
      <c r="N19" s="41">
        <v>45645</v>
      </c>
      <c r="O19" s="6"/>
      <c r="P19" s="47">
        <v>45664</v>
      </c>
      <c r="Q19" s="25">
        <v>45665</v>
      </c>
      <c r="R19" s="12"/>
    </row>
    <row r="20" spans="1:18" ht="18" customHeight="1" x14ac:dyDescent="0.2">
      <c r="C20" s="22"/>
      <c r="D20" s="30"/>
      <c r="E20" s="30"/>
      <c r="F20" s="45"/>
      <c r="G20" s="68"/>
      <c r="H20" s="69"/>
      <c r="I20" s="70"/>
      <c r="J20" s="22"/>
      <c r="K20" s="27"/>
      <c r="L20" s="34"/>
      <c r="M20" s="3"/>
      <c r="N20" s="18"/>
      <c r="O20" s="6"/>
      <c r="P20" s="6"/>
      <c r="Q20" s="18"/>
      <c r="R20" s="12"/>
    </row>
    <row r="21" spans="1:18" ht="18" customHeight="1" x14ac:dyDescent="0.2">
      <c r="C21" s="22"/>
      <c r="D21" s="30"/>
      <c r="E21" s="30"/>
      <c r="F21" s="44">
        <f>SUM(I11:I21)</f>
        <v>15098</v>
      </c>
      <c r="G21" s="32"/>
      <c r="H21" s="33"/>
      <c r="I21" s="28"/>
      <c r="J21" s="22"/>
      <c r="K21" s="27"/>
      <c r="L21" s="34"/>
      <c r="M21" s="3"/>
      <c r="N21" s="18"/>
      <c r="O21" s="6"/>
      <c r="P21" s="6"/>
      <c r="Q21" s="18"/>
      <c r="R21" s="12"/>
    </row>
    <row r="22" spans="1:18" ht="18" customHeight="1" x14ac:dyDescent="0.2">
      <c r="C22" s="22"/>
      <c r="D22" s="30"/>
      <c r="E22" s="30"/>
      <c r="F22" s="31"/>
      <c r="G22" s="32"/>
      <c r="H22" s="33"/>
      <c r="I22" s="28"/>
      <c r="J22" s="22"/>
      <c r="K22" s="27"/>
      <c r="L22" s="34"/>
      <c r="M22" s="3"/>
      <c r="N22" s="18"/>
      <c r="O22" s="6"/>
      <c r="P22" s="6"/>
      <c r="Q22" s="18"/>
      <c r="R22" s="12"/>
    </row>
    <row r="23" spans="1:18" ht="18" customHeight="1" x14ac:dyDescent="0.2">
      <c r="C23" s="16"/>
      <c r="D23" s="16"/>
      <c r="E23" s="16"/>
      <c r="F23" s="17" t="s">
        <v>22</v>
      </c>
      <c r="G23" s="15"/>
      <c r="H23" s="15"/>
      <c r="I23" s="15">
        <f>G23*H23</f>
        <v>0</v>
      </c>
      <c r="J23" s="11"/>
      <c r="K23" s="13" t="s">
        <v>23</v>
      </c>
      <c r="L23" s="19"/>
      <c r="M23" s="16"/>
      <c r="N23" s="18"/>
      <c r="O23" s="19"/>
      <c r="P23" s="16"/>
      <c r="Q23" s="18"/>
      <c r="R23" s="12"/>
    </row>
    <row r="24" spans="1:18" ht="18" customHeight="1" x14ac:dyDescent="0.2">
      <c r="B24" s="38">
        <v>4</v>
      </c>
      <c r="C24" s="39"/>
      <c r="D24" s="2"/>
      <c r="E24" s="2"/>
      <c r="F24" s="17" t="s">
        <v>23</v>
      </c>
      <c r="G24" s="15"/>
      <c r="H24" s="15">
        <v>5000</v>
      </c>
      <c r="I24" s="15">
        <f>G24*H24</f>
        <v>0</v>
      </c>
      <c r="J24" s="11"/>
      <c r="K24" s="13" t="s">
        <v>24</v>
      </c>
      <c r="L24" s="19"/>
      <c r="M24" s="16"/>
      <c r="N24" s="18"/>
      <c r="O24" s="19"/>
      <c r="P24" s="16"/>
      <c r="Q24" s="18"/>
      <c r="R24" s="6"/>
    </row>
    <row r="25" spans="1:18" ht="18" customHeight="1" x14ac:dyDescent="0.2">
      <c r="C25" s="16"/>
      <c r="D25" s="2"/>
      <c r="E25" s="2"/>
      <c r="F25" s="17" t="s">
        <v>24</v>
      </c>
      <c r="G25" s="15"/>
      <c r="H25" s="15"/>
      <c r="I25" s="15">
        <f>G25*H25</f>
        <v>0</v>
      </c>
      <c r="J25" s="11"/>
      <c r="K25" s="3"/>
      <c r="L25" s="19"/>
      <c r="M25" s="16"/>
      <c r="N25" s="16"/>
      <c r="O25" s="19"/>
      <c r="P25" s="16"/>
      <c r="Q25" s="6"/>
      <c r="R25" s="6"/>
    </row>
    <row r="26" spans="1:18" ht="18" customHeight="1" x14ac:dyDescent="0.2">
      <c r="C26" s="16"/>
      <c r="D26" s="2"/>
      <c r="E26" s="2"/>
      <c r="F26" s="49"/>
      <c r="G26" s="50"/>
      <c r="H26" s="50"/>
      <c r="I26" s="51"/>
      <c r="J26" s="4"/>
      <c r="K26" s="14"/>
    </row>
    <row r="27" spans="1:18" ht="18" customHeight="1" x14ac:dyDescent="0.2"/>
    <row r="28" spans="1:18" ht="18" customHeight="1" x14ac:dyDescent="0.2"/>
    <row r="29" spans="1:18" ht="18" customHeight="1" x14ac:dyDescent="0.2"/>
  </sheetData>
  <autoFilter ref="C8:P29" xr:uid="{00000000-0009-0000-0000-000003000000}"/>
  <mergeCells count="11">
    <mergeCell ref="C2:E2"/>
    <mergeCell ref="H2:J2"/>
    <mergeCell ref="C3:E3"/>
    <mergeCell ref="C4:E4"/>
    <mergeCell ref="H4:K5"/>
    <mergeCell ref="C5:E5"/>
    <mergeCell ref="F26:I26"/>
    <mergeCell ref="G4:G5"/>
    <mergeCell ref="C6:E6"/>
    <mergeCell ref="H6:K6"/>
    <mergeCell ref="D10:F10"/>
  </mergeCells>
  <phoneticPr fontId="9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140" zoomScaleNormal="100" zoomScaleSheetLayoutView="140" workbookViewId="0">
      <selection activeCell="A3" sqref="A1:XFD1048576"/>
    </sheetView>
  </sheetViews>
  <sheetFormatPr defaultColWidth="11.6640625" defaultRowHeight="13.5" customHeight="1" x14ac:dyDescent="0.2"/>
  <cols>
    <col min="1" max="1" width="12.109375" bestFit="1" customWidth="1"/>
    <col min="2" max="2" width="31.44140625" bestFit="1" customWidth="1"/>
  </cols>
  <sheetData>
    <row r="1" spans="1:2" ht="13.5" customHeight="1" x14ac:dyDescent="0.2">
      <c r="A1" s="40" t="s">
        <v>0</v>
      </c>
      <c r="B1" s="20" t="s">
        <v>41</v>
      </c>
    </row>
    <row r="2" spans="1:2" ht="13.5" customHeight="1" x14ac:dyDescent="0.2">
      <c r="A2" s="40" t="s">
        <v>2</v>
      </c>
      <c r="B2" s="7" t="s">
        <v>38</v>
      </c>
    </row>
    <row r="3" spans="1:2" ht="13.5" customHeight="1" x14ac:dyDescent="0.2">
      <c r="A3" s="40" t="s">
        <v>3</v>
      </c>
      <c r="B3" s="7" t="s">
        <v>40</v>
      </c>
    </row>
    <row r="4" spans="1:2" ht="13.5" customHeight="1" x14ac:dyDescent="0.2">
      <c r="A4" s="40" t="s">
        <v>4</v>
      </c>
      <c r="B4" s="8">
        <v>44972</v>
      </c>
    </row>
    <row r="5" spans="1:2" ht="13.5" customHeight="1" x14ac:dyDescent="0.2">
      <c r="A5" s="40" t="s">
        <v>5</v>
      </c>
      <c r="B5" s="8">
        <v>44975</v>
      </c>
    </row>
  </sheetData>
  <phoneticPr fontId="9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287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7734375" defaultRowHeight="13.5" customHeight="1" x14ac:dyDescent="0.2"/>
  <sheetData/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(20241004) 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cp:lastPrinted>2023-01-13T04:52:35Z</cp:lastPrinted>
  <dcterms:created xsi:type="dcterms:W3CDTF">2016-05-16T08:05:24Z</dcterms:created>
  <dcterms:modified xsi:type="dcterms:W3CDTF">2024-12-19T05:34:40Z</dcterms:modified>
</cp:coreProperties>
</file>