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78099E56-EEAF-4A80-8908-D3C5011B15E0}" xr6:coauthVersionLast="47" xr6:coauthVersionMax="47" xr10:uidLastSave="{00000000-0000-0000-0000-000000000000}"/>
  <bookViews>
    <workbookView xWindow="1215" yWindow="1290" windowWidth="27660" windowHeight="14130" xr2:uid="{00000000-000D-0000-FFFF-FFFF00000000}"/>
  </bookViews>
  <sheets>
    <sheet name="225346　原価表  20250807 ②" sheetId="15" r:id="rId1"/>
  </sheets>
  <definedNames>
    <definedName name="_xlnm._FilterDatabase" localSheetId="0" hidden="1">'225346　原価表  20250807 ②'!$F$11:$S$50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1" i="15" l="1"/>
  <c r="L40" i="15"/>
  <c r="L39" i="15"/>
  <c r="L38" i="15"/>
  <c r="L30" i="15"/>
  <c r="L29" i="15"/>
  <c r="L28" i="15"/>
  <c r="L52" i="15"/>
  <c r="L51" i="15"/>
  <c r="L50" i="15"/>
  <c r="L49" i="15"/>
  <c r="L19" i="15"/>
  <c r="L18" i="15"/>
  <c r="L17" i="15"/>
  <c r="L16" i="15"/>
  <c r="L15" i="15"/>
  <c r="I58" i="15"/>
  <c r="C52" i="15"/>
  <c r="C51" i="15"/>
  <c r="C50" i="15"/>
  <c r="C49" i="15"/>
  <c r="F16" i="15"/>
  <c r="F17" i="15" s="1"/>
  <c r="F18" i="15" s="1"/>
  <c r="F19" i="15" s="1"/>
  <c r="N2" i="15" l="1"/>
  <c r="F28" i="15"/>
  <c r="F29" i="15" s="1"/>
  <c r="F30" i="15" s="1"/>
  <c r="F38" i="15" s="1"/>
  <c r="F39" i="15" s="1"/>
  <c r="F40" i="15" s="1"/>
  <c r="F41" i="15" s="1"/>
  <c r="F49" i="15" s="1"/>
  <c r="F50" i="15" s="1"/>
  <c r="F51" i="15" s="1"/>
  <c r="I32" i="15"/>
  <c r="C44" i="15"/>
  <c r="C59" i="15"/>
  <c r="I21" i="15"/>
  <c r="I44" i="15"/>
  <c r="I54" i="15"/>
  <c r="F52" i="15" l="1"/>
  <c r="C6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齋藤 秀昭</author>
  </authors>
  <commentList>
    <comment ref="I28" authorId="0" shapeId="0" xr:uid="{70DC1333-F17E-43F7-BCC7-0F9E59D70AEC}">
      <text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b/>
            <sz val="9"/>
            <color indexed="81"/>
            <rFont val="MS P ゴシック"/>
            <family val="3"/>
            <charset val="128"/>
          </rPr>
          <t xml:space="preserve">今回は、OP-87057の2本は発注致しません。 </t>
        </r>
      </text>
    </comment>
  </commentList>
</comments>
</file>

<file path=xl/sharedStrings.xml><?xml version="1.0" encoding="utf-8"?>
<sst xmlns="http://schemas.openxmlformats.org/spreadsheetml/2006/main" count="131" uniqueCount="80">
  <si>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</si>
  <si>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</si>
  <si>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</si>
  <si>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</si>
  <si>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</si>
  <si>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</si>
  <si>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</si>
  <si>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</si>
  <si>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</si>
  <si>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</si>
  <si>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</si>
  <si>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</si>
  <si>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</si>
  <si>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</si>
  <si>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</si>
  <si>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</si>
  <si>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</si>
  <si>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</si>
  <si>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</si>
  <si>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</si>
  <si>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</si>
  <si>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</si>
  <si>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7"/>
  </si>
  <si>
    <t>山澤(齋藤）</t>
    <rPh sb="0" eb="2">
      <t>ヤマサワ</t>
    </rPh>
    <rPh sb="3" eb="5">
      <t>サイトウ</t>
    </rPh>
    <phoneticPr fontId="2"/>
  </si>
  <si>
    <t>浸け置きﾕﾆｯﾄ</t>
    <rPh sb="0" eb="1">
      <t>ツ</t>
    </rPh>
    <rPh sb="2" eb="3">
      <t>オ</t>
    </rPh>
    <phoneticPr fontId="2"/>
  </si>
  <si>
    <t>1日目</t>
    <rPh sb="1" eb="2">
      <t>ヒ</t>
    </rPh>
    <rPh sb="2" eb="3">
      <t>メ</t>
    </rPh>
    <phoneticPr fontId="2"/>
  </si>
  <si>
    <t>ツ－ル治具部分</t>
  </si>
  <si>
    <t>モノタロウなら3日間</t>
    <rPh sb="8" eb="9">
      <t>ヒ</t>
    </rPh>
    <rPh sb="9" eb="10">
      <t>カン</t>
    </rPh>
    <phoneticPr fontId="15"/>
  </si>
  <si>
    <t>ＳＭＣ</t>
    <phoneticPr fontId="2"/>
  </si>
  <si>
    <t>制御機材</t>
    <rPh sb="0" eb="2">
      <t>セイギョ</t>
    </rPh>
    <rPh sb="2" eb="4">
      <t>キザイ</t>
    </rPh>
    <phoneticPr fontId="2"/>
  </si>
  <si>
    <t>MSQB10R-M9N</t>
    <phoneticPr fontId="2"/>
  </si>
  <si>
    <t>ロータリシリンダ</t>
    <phoneticPr fontId="2"/>
  </si>
  <si>
    <t>AW10-M5BG-A</t>
    <phoneticPr fontId="2"/>
  </si>
  <si>
    <t>レギュレータ</t>
    <phoneticPr fontId="2"/>
  </si>
  <si>
    <t>モノタロウなら8日間</t>
    <rPh sb="8" eb="9">
      <t>ヒ</t>
    </rPh>
    <rPh sb="9" eb="10">
      <t>カン</t>
    </rPh>
    <phoneticPr fontId="15"/>
  </si>
  <si>
    <t xml:space="preserve">SYJ3240-5MOZE-M5  </t>
    <phoneticPr fontId="2"/>
  </si>
  <si>
    <t>電磁弁</t>
    <rPh sb="0" eb="3">
      <t>デンジベン</t>
    </rPh>
    <phoneticPr fontId="2"/>
  </si>
  <si>
    <t>SY100-30-4A</t>
    <phoneticPr fontId="2"/>
  </si>
  <si>
    <t>リード線　2本</t>
    <rPh sb="3" eb="4">
      <t>セン</t>
    </rPh>
    <rPh sb="6" eb="7">
      <t>ホン</t>
    </rPh>
    <phoneticPr fontId="2"/>
  </si>
  <si>
    <t>AS1201F-M5-04A</t>
    <phoneticPr fontId="2"/>
  </si>
  <si>
    <t>スピコン　　2個</t>
    <rPh sb="7" eb="8">
      <t>コ</t>
    </rPh>
    <phoneticPr fontId="2"/>
  </si>
  <si>
    <t>1日間</t>
    <rPh sb="1" eb="2">
      <t>ヒ</t>
    </rPh>
    <rPh sb="2" eb="3">
      <t>カン</t>
    </rPh>
    <phoneticPr fontId="15"/>
  </si>
  <si>
    <t xml:space="preserve"> 第一実業様</t>
    <rPh sb="5" eb="6">
      <t>サマ</t>
    </rPh>
    <phoneticPr fontId="2"/>
  </si>
  <si>
    <t>225346</t>
    <phoneticPr fontId="2"/>
  </si>
  <si>
    <t>SETB0290-A01　AXAﾛﾎﾞｯﾄ400+SV70ﾛｰﾀﾘｰｱｸﾁｭｴﾀｰ＋浸け置き+井桁治具+SVC720F+配電BOX　　原価一覧　20241022</t>
    <phoneticPr fontId="2"/>
  </si>
  <si>
    <t>IG-1500</t>
    <phoneticPr fontId="15"/>
  </si>
  <si>
    <t>IG-028</t>
    <phoneticPr fontId="15"/>
  </si>
  <si>
    <t>KEYENCE</t>
  </si>
  <si>
    <t>IGｾﾝｻｰﾍｯﾄﾞ</t>
    <phoneticPr fontId="15"/>
  </si>
  <si>
    <t>IG表示機ｱﾝﾌﾟ</t>
    <rPh sb="2" eb="5">
      <t>ヒョウジキ</t>
    </rPh>
    <phoneticPr fontId="15"/>
  </si>
  <si>
    <t>部材重さkg</t>
    <rPh sb="0" eb="2">
      <t>ブザイ</t>
    </rPh>
    <rPh sb="2" eb="3">
      <t>オモ</t>
    </rPh>
    <phoneticPr fontId="2"/>
  </si>
  <si>
    <t>kg</t>
    <phoneticPr fontId="2"/>
  </si>
  <si>
    <t>安全ｶﾊﾞｰﾕﾆｯﾄ</t>
    <rPh sb="0" eb="2">
      <t>アンゼン</t>
    </rPh>
    <phoneticPr fontId="2"/>
  </si>
  <si>
    <t>GL-S32SH</t>
    <phoneticPr fontId="2"/>
  </si>
  <si>
    <t>24光軸　スリムタイプ</t>
    <rPh sb="2" eb="4">
      <t>コウジク</t>
    </rPh>
    <phoneticPr fontId="2"/>
  </si>
  <si>
    <t>GL-SS2</t>
    <phoneticPr fontId="2"/>
  </si>
  <si>
    <t>連結ｹｰﾌﾞﾙ　2m</t>
    <rPh sb="0" eb="2">
      <t>レンケツ</t>
    </rPh>
    <phoneticPr fontId="2"/>
  </si>
  <si>
    <t>GL-SP5N1</t>
    <phoneticPr fontId="2"/>
  </si>
  <si>
    <t>標準ｹｰﾌﾞﾙ　5m(ワンライン)</t>
    <rPh sb="0" eb="2">
      <t>ヒョウジュン</t>
    </rPh>
    <phoneticPr fontId="2"/>
  </si>
  <si>
    <t>出精値引き</t>
    <rPh sb="0" eb="4">
      <t>シュッセイネビ</t>
    </rPh>
    <phoneticPr fontId="2"/>
  </si>
  <si>
    <t>架台ﾕﾆｯﾄ</t>
    <rPh sb="0" eb="2">
      <t>カダイ</t>
    </rPh>
    <phoneticPr fontId="2"/>
  </si>
  <si>
    <t>架台部分</t>
    <rPh sb="0" eb="2">
      <t>カダイ</t>
    </rPh>
    <rPh sb="2" eb="4">
      <t>ブブン</t>
    </rPh>
    <phoneticPr fontId="2"/>
  </si>
  <si>
    <t>SMC</t>
  </si>
  <si>
    <t>制御機材</t>
    <rPh sb="0" eb="1">
      <t>セイ</t>
    </rPh>
    <rPh sb="1" eb="2">
      <t>オ</t>
    </rPh>
    <rPh sb="2" eb="4">
      <t>キザイ</t>
    </rPh>
    <phoneticPr fontId="2"/>
  </si>
  <si>
    <t>ＡＷ２０Ｋ－０２Ｅ－D</t>
    <phoneticPr fontId="2"/>
  </si>
  <si>
    <t>１／４　レギュレーター　（逆流機能付）</t>
  </si>
  <si>
    <t>ＫＱ２Ｌ０６－０２Ａ</t>
    <phoneticPr fontId="2"/>
  </si>
  <si>
    <t>１／４　Ø６　継ぎ手</t>
  </si>
  <si>
    <t>ＶＨＳ２０－０２-D</t>
    <phoneticPr fontId="2"/>
  </si>
  <si>
    <t>１／４　三方弁</t>
  </si>
  <si>
    <t>Ｙ２００Ｔ－D</t>
    <phoneticPr fontId="2"/>
  </si>
  <si>
    <t>１／４　エアコンビネーション　</t>
  </si>
  <si>
    <t>安全ｶﾊﾞｰ（上部架台）</t>
    <rPh sb="0" eb="2">
      <t>アンゼン</t>
    </rPh>
    <rPh sb="7" eb="9">
      <t>ジョウブ</t>
    </rPh>
    <rPh sb="9" eb="11">
      <t>カダイ</t>
    </rPh>
    <phoneticPr fontId="2"/>
  </si>
  <si>
    <t>TOTAL重量</t>
    <rPh sb="5" eb="7">
      <t>ジュウリョウ</t>
    </rPh>
    <phoneticPr fontId="2"/>
  </si>
  <si>
    <t>②</t>
    <phoneticPr fontId="7"/>
  </si>
  <si>
    <t>見積もりと発注お願い致します。</t>
    <rPh sb="0" eb="2">
      <t>ミツ</t>
    </rPh>
    <rPh sb="5" eb="7">
      <t>ハッチュウ</t>
    </rPh>
    <rPh sb="8" eb="9">
      <t>ネガ</t>
    </rPh>
    <rPh sb="10" eb="11">
      <t>イタ</t>
    </rPh>
    <phoneticPr fontId="15"/>
  </si>
  <si>
    <t>見積もり添付いたしましたので発注お願い致します。</t>
    <rPh sb="0" eb="2">
      <t>ミツ</t>
    </rPh>
    <rPh sb="4" eb="6">
      <t>テンプ</t>
    </rPh>
    <rPh sb="14" eb="16">
      <t>ハッチュウ</t>
    </rPh>
    <rPh sb="17" eb="18">
      <t>ネガ</t>
    </rPh>
    <rPh sb="19" eb="20">
      <t>イタ</t>
    </rPh>
    <phoneticPr fontId="15"/>
  </si>
  <si>
    <t>22-25-00989A</t>
  </si>
  <si>
    <t>見積もりNo. 23048614</t>
    <rPh sb="0" eb="2">
      <t>ミツ</t>
    </rPh>
    <phoneticPr fontId="15"/>
  </si>
  <si>
    <t>見積もり　No.23048635</t>
    <rPh sb="0" eb="2">
      <t>ミツ</t>
    </rPh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</si>
</sst>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;[Red]\-0\ "/>
    <numFmt numFmtId="182" formatCode="#,##0_ "/>
    <numFmt numFmtId="183" formatCode="0_ "/>
  </numFmts>
  <fonts count="28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4"/>
      <color theme="9" tint="-0.499984740745262"/>
      <name val="ＭＳ Ｐゴシック"/>
      <family val="3"/>
      <charset val="128"/>
      <scheme val="minor"/>
    </font>
    <font>
      <sz val="9.9499999999999993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b/>
      <sz val="11"/>
      <color theme="7" tint="-0.249977111117893"/>
      <name val="ＭＳ Ｐゴシック"/>
      <family val="3"/>
      <charset val="128"/>
      <scheme val="minor"/>
    </font>
    <font>
      <b/>
      <sz val="11"/>
      <color rgb="FF00B050"/>
      <name val="ＭＳ Ｐ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/>
    <xf numFmtId="0" fontId="14" fillId="0" borderId="0">
      <alignment vertical="center"/>
    </xf>
  </cellStyleXfs>
  <cellXfs count="17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0" xfId="0" applyNumberFormat="1">
      <alignment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38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56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right" vertical="center"/>
    </xf>
    <xf numFmtId="182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9" fontId="0" fillId="0" borderId="17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3" fontId="14" fillId="0" borderId="1" xfId="2" applyNumberFormat="1" applyBorder="1" applyAlignment="1">
      <alignment horizontal="center" vertical="center"/>
    </xf>
    <xf numFmtId="0" fontId="14" fillId="0" borderId="1" xfId="2" applyBorder="1" applyAlignment="1">
      <alignment horizontal="center" vertical="center"/>
    </xf>
    <xf numFmtId="178" fontId="0" fillId="0" borderId="17" xfId="0" applyNumberFormat="1" applyBorder="1" applyAlignment="1">
      <alignment horizontal="center" vertical="center"/>
    </xf>
    <xf numFmtId="49" fontId="14" fillId="0" borderId="1" xfId="2" applyNumberFormat="1" applyBorder="1" applyAlignment="1">
      <alignment horizontal="left" vertical="center"/>
    </xf>
    <xf numFmtId="0" fontId="14" fillId="0" borderId="1" xfId="2" applyBorder="1">
      <alignment vertical="center"/>
    </xf>
    <xf numFmtId="0" fontId="0" fillId="0" borderId="18" xfId="0" applyBorder="1" applyAlignment="1">
      <alignment vertical="center" shrinkToFit="1"/>
    </xf>
    <xf numFmtId="0" fontId="0" fillId="4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0" fillId="0" borderId="1" xfId="0" applyNumberFormat="1" applyBorder="1" applyAlignment="1"/>
    <xf numFmtId="0" fontId="0" fillId="0" borderId="1" xfId="0" applyBorder="1" applyAlignment="1">
      <alignment horizontal="left" vertical="center" shrinkToFit="1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vertical="center" shrinkToFit="1"/>
    </xf>
    <xf numFmtId="0" fontId="8" fillId="6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0" applyFont="1" applyBorder="1">
      <alignment vertical="center"/>
    </xf>
    <xf numFmtId="56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0" fillId="4" borderId="1" xfId="0" applyNumberForma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shrinkToFit="1"/>
    </xf>
    <xf numFmtId="0" fontId="8" fillId="0" borderId="0" xfId="0" applyFont="1" applyAlignment="1">
      <alignment horizontal="center" vertical="center"/>
    </xf>
    <xf numFmtId="176" fontId="6" fillId="0" borderId="2" xfId="0" applyNumberFormat="1" applyFont="1" applyBorder="1" applyAlignment="1"/>
    <xf numFmtId="3" fontId="0" fillId="9" borderId="5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17" fillId="9" borderId="1" xfId="0" applyFont="1" applyFill="1" applyBorder="1">
      <alignment vertical="center"/>
    </xf>
    <xf numFmtId="3" fontId="0" fillId="0" borderId="18" xfId="0" applyNumberFormat="1" applyBorder="1" applyAlignment="1">
      <alignment horizontal="center" vertical="center"/>
    </xf>
    <xf numFmtId="179" fontId="0" fillId="0" borderId="23" xfId="0" applyNumberFormat="1" applyBorder="1" applyAlignment="1">
      <alignment horizontal="center" vertical="center"/>
    </xf>
    <xf numFmtId="38" fontId="14" fillId="0" borderId="1" xfId="2" applyNumberForma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17" fillId="0" borderId="1" xfId="0" applyFont="1" applyBorder="1">
      <alignment vertical="center"/>
    </xf>
    <xf numFmtId="0" fontId="21" fillId="0" borderId="17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3" fontId="0" fillId="9" borderId="1" xfId="0" applyNumberForma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6" fontId="0" fillId="0" borderId="1" xfId="0" applyNumberFormat="1" applyBorder="1">
      <alignment vertical="center"/>
    </xf>
    <xf numFmtId="0" fontId="1" fillId="0" borderId="1" xfId="0" applyFont="1" applyBorder="1">
      <alignment vertical="center"/>
    </xf>
    <xf numFmtId="0" fontId="11" fillId="0" borderId="22" xfId="0" applyFon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6" fontId="0" fillId="0" borderId="22" xfId="0" applyNumberFormat="1" applyBorder="1" applyAlignment="1"/>
    <xf numFmtId="0" fontId="11" fillId="0" borderId="17" xfId="0" applyFont="1" applyBorder="1" applyAlignment="1">
      <alignment horizontal="left" vertical="center"/>
    </xf>
    <xf numFmtId="3" fontId="17" fillId="0" borderId="1" xfId="0" applyNumberFormat="1" applyFont="1" applyBorder="1" applyAlignment="1">
      <alignment horizontal="center" vertical="center"/>
    </xf>
    <xf numFmtId="0" fontId="11" fillId="0" borderId="21" xfId="0" applyFont="1" applyBorder="1">
      <alignment vertical="center"/>
    </xf>
    <xf numFmtId="0" fontId="11" fillId="0" borderId="0" xfId="0" applyFont="1" applyAlignment="1">
      <alignment horizontal="center" vertical="center"/>
    </xf>
    <xf numFmtId="176" fontId="23" fillId="0" borderId="0" xfId="0" applyNumberFormat="1" applyFont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176" fontId="0" fillId="0" borderId="13" xfId="0" applyNumberFormat="1" applyBorder="1">
      <alignment vertical="center"/>
    </xf>
    <xf numFmtId="0" fontId="0" fillId="0" borderId="17" xfId="0" applyBorder="1" applyAlignment="1">
      <alignment horizontal="left" vertical="center"/>
    </xf>
    <xf numFmtId="176" fontId="0" fillId="0" borderId="17" xfId="0" applyNumberFormat="1" applyBorder="1">
      <alignment vertical="center"/>
    </xf>
    <xf numFmtId="176" fontId="0" fillId="0" borderId="13" xfId="0" applyNumberFormat="1" applyBorder="1" applyAlignment="1"/>
    <xf numFmtId="0" fontId="14" fillId="0" borderId="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49" fontId="14" fillId="10" borderId="1" xfId="0" applyNumberFormat="1" applyFont="1" applyFill="1" applyBorder="1" applyAlignment="1">
      <alignment horizontal="left" vertical="center"/>
    </xf>
    <xf numFmtId="176" fontId="0" fillId="10" borderId="1" xfId="0" applyNumberFormat="1" applyFill="1" applyBorder="1" applyAlignment="1">
      <alignment horizontal="center" vertical="center"/>
    </xf>
    <xf numFmtId="49" fontId="9" fillId="10" borderId="1" xfId="0" applyNumberFormat="1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1" xfId="0" applyFont="1" applyFill="1" applyBorder="1">
      <alignment vertical="center"/>
    </xf>
    <xf numFmtId="176" fontId="0" fillId="10" borderId="1" xfId="0" applyNumberFormat="1" applyFill="1" applyBorder="1" applyAlignment="1"/>
    <xf numFmtId="0" fontId="0" fillId="10" borderId="1" xfId="0" applyFill="1" applyBorder="1" applyAlignment="1">
      <alignment horizontal="left" vertical="center" shrinkToFit="1"/>
    </xf>
    <xf numFmtId="0" fontId="14" fillId="10" borderId="1" xfId="0" applyFont="1" applyFill="1" applyBorder="1" applyAlignment="1">
      <alignment horizontal="left" vertical="center" shrinkToFit="1"/>
    </xf>
    <xf numFmtId="38" fontId="0" fillId="10" borderId="1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3" fontId="0" fillId="10" borderId="1" xfId="0" applyNumberForma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83" fontId="17" fillId="9" borderId="1" xfId="0" applyNumberFormat="1" applyFont="1" applyFill="1" applyBorder="1" applyAlignment="1">
      <alignment horizontal="right" vertical="center"/>
    </xf>
    <xf numFmtId="0" fontId="8" fillId="10" borderId="1" xfId="0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83" fontId="17" fillId="9" borderId="3" xfId="0" applyNumberFormat="1" applyFont="1" applyFill="1" applyBorder="1" applyAlignment="1">
      <alignment horizontal="right" vertical="center"/>
    </xf>
    <xf numFmtId="0" fontId="0" fillId="9" borderId="1" xfId="0" applyFill="1" applyBorder="1" applyAlignment="1">
      <alignment horizontal="right" vertical="center"/>
    </xf>
    <xf numFmtId="0" fontId="20" fillId="0" borderId="1" xfId="1" applyFont="1" applyBorder="1" applyAlignment="1">
      <alignment horizontal="center" vertical="center"/>
    </xf>
    <xf numFmtId="183" fontId="17" fillId="0" borderId="1" xfId="0" applyNumberFormat="1" applyFont="1" applyBorder="1" applyAlignment="1">
      <alignment horizontal="right" vertical="center"/>
    </xf>
    <xf numFmtId="0" fontId="17" fillId="10" borderId="1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3" fontId="0" fillId="9" borderId="9" xfId="0" applyNumberFormat="1" applyFill="1" applyBorder="1" applyAlignment="1">
      <alignment horizontal="center" vertical="center"/>
    </xf>
    <xf numFmtId="176" fontId="12" fillId="7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8" fillId="11" borderId="27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1" xfId="0" applyFont="1" applyFill="1" applyBorder="1">
      <alignment vertical="center"/>
    </xf>
    <xf numFmtId="0" fontId="0" fillId="6" borderId="0" xfId="0" applyFill="1">
      <alignment vertical="center"/>
    </xf>
    <xf numFmtId="0" fontId="0" fillId="6" borderId="0" xfId="0" applyFill="1" applyAlignment="1">
      <alignment horizontal="center" vertical="center"/>
    </xf>
    <xf numFmtId="0" fontId="0" fillId="6" borderId="1" xfId="0" applyFill="1" applyBorder="1">
      <alignment vertical="center"/>
    </xf>
    <xf numFmtId="0" fontId="0" fillId="6" borderId="19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6" fillId="10" borderId="2" xfId="0" applyFont="1" applyFill="1" applyBorder="1">
      <alignment vertical="center"/>
    </xf>
    <xf numFmtId="0" fontId="0" fillId="10" borderId="1" xfId="0" applyFill="1" applyBorder="1" applyAlignment="1">
      <alignment horizontal="right" vertical="center"/>
    </xf>
    <xf numFmtId="38" fontId="0" fillId="10" borderId="1" xfId="0" applyNumberFormat="1" applyFill="1" applyBorder="1">
      <alignment vertical="center"/>
    </xf>
    <xf numFmtId="3" fontId="0" fillId="11" borderId="1" xfId="0" applyNumberFormat="1" applyFill="1" applyBorder="1" applyAlignment="1">
      <alignment horizontal="center" vertical="center"/>
    </xf>
    <xf numFmtId="0" fontId="6" fillId="11" borderId="1" xfId="0" applyFont="1" applyFill="1" applyBorder="1">
      <alignment vertical="center"/>
    </xf>
    <xf numFmtId="180" fontId="6" fillId="11" borderId="1" xfId="0" applyNumberFormat="1" applyFont="1" applyFill="1" applyBorder="1" applyAlignment="1">
      <alignment horizontal="center" vertical="center"/>
    </xf>
    <xf numFmtId="176" fontId="6" fillId="11" borderId="1" xfId="0" applyNumberFormat="1" applyFont="1" applyFill="1" applyBorder="1" applyAlignment="1">
      <alignment horizontal="center" vertical="center"/>
    </xf>
    <xf numFmtId="0" fontId="0" fillId="11" borderId="18" xfId="0" applyFill="1" applyBorder="1" applyAlignment="1">
      <alignment vertical="center" shrinkToFit="1"/>
    </xf>
    <xf numFmtId="183" fontId="17" fillId="10" borderId="1" xfId="0" applyNumberFormat="1" applyFont="1" applyFill="1" applyBorder="1" applyAlignment="1">
      <alignment horizontal="right" vertical="center"/>
    </xf>
    <xf numFmtId="0" fontId="0" fillId="10" borderId="0" xfId="0" applyFill="1" applyAlignment="1">
      <alignment horizontal="right" vertical="center"/>
    </xf>
    <xf numFmtId="0" fontId="0" fillId="11" borderId="0" xfId="0" applyFill="1" applyAlignment="1">
      <alignment horizontal="right" vertical="center"/>
    </xf>
    <xf numFmtId="38" fontId="24" fillId="0" borderId="0" xfId="0" applyNumberFormat="1" applyFont="1">
      <alignment vertical="center"/>
    </xf>
    <xf numFmtId="38" fontId="25" fillId="0" borderId="0" xfId="0" applyNumberFormat="1" applyFont="1">
      <alignment vertical="center"/>
    </xf>
    <xf numFmtId="56" fontId="0" fillId="0" borderId="17" xfId="0" applyNumberFormat="1" applyBorder="1" applyAlignment="1">
      <alignment horizontal="center" vertical="center"/>
    </xf>
    <xf numFmtId="176" fontId="0" fillId="11" borderId="1" xfId="0" applyNumberFormat="1" applyFill="1" applyBorder="1" applyAlignment="1">
      <alignment horizontal="center" vertical="center"/>
    </xf>
    <xf numFmtId="38" fontId="0" fillId="11" borderId="1" xfId="0" applyNumberFormat="1" applyFill="1" applyBorder="1" applyAlignment="1">
      <alignment horizontal="center" vertical="center"/>
    </xf>
    <xf numFmtId="38" fontId="0" fillId="11" borderId="1" xfId="0" applyNumberFormat="1" applyFill="1" applyBorder="1">
      <alignment vertical="center"/>
    </xf>
    <xf numFmtId="0" fontId="0" fillId="11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38" fontId="10" fillId="5" borderId="10" xfId="0" applyNumberFormat="1" applyFont="1" applyFill="1" applyBorder="1" applyAlignment="1">
      <alignment horizontal="left" vertical="center" shrinkToFit="1"/>
    </xf>
    <xf numFmtId="38" fontId="10" fillId="5" borderId="11" xfId="0" applyNumberFormat="1" applyFont="1" applyFill="1" applyBorder="1" applyAlignment="1">
      <alignment horizontal="left" vertical="center" shrinkToFit="1"/>
    </xf>
    <xf numFmtId="38" fontId="10" fillId="5" borderId="4" xfId="0" applyNumberFormat="1" applyFont="1" applyFill="1" applyBorder="1" applyAlignment="1">
      <alignment horizontal="left" vertical="center" shrinkToFit="1"/>
    </xf>
    <xf numFmtId="38" fontId="10" fillId="5" borderId="12" xfId="0" applyNumberFormat="1" applyFont="1" applyFill="1" applyBorder="1" applyAlignment="1">
      <alignment horizontal="left" vertical="center" shrinkToFit="1"/>
    </xf>
    <xf numFmtId="0" fontId="13" fillId="10" borderId="1" xfId="0" applyFont="1" applyFill="1" applyBorder="1" applyAlignment="1">
      <alignment horizontal="center" vertical="center"/>
    </xf>
    <xf numFmtId="3" fontId="19" fillId="3" borderId="4" xfId="0" applyNumberFormat="1" applyFont="1" applyFill="1" applyBorder="1" applyAlignment="1">
      <alignment horizontal="center" vertical="center"/>
    </xf>
    <xf numFmtId="3" fontId="19" fillId="3" borderId="26" xfId="0" applyNumberFormat="1" applyFont="1" applyFill="1" applyBorder="1" applyAlignment="1">
      <alignment horizontal="center" vertical="center"/>
    </xf>
    <xf numFmtId="3" fontId="19" fillId="3" borderId="12" xfId="0" applyNumberFormat="1" applyFont="1" applyFill="1" applyBorder="1" applyAlignment="1">
      <alignment horizontal="center" vertical="center"/>
    </xf>
    <xf numFmtId="3" fontId="19" fillId="3" borderId="2" xfId="0" applyNumberFormat="1" applyFont="1" applyFill="1" applyBorder="1" applyAlignment="1">
      <alignment horizontal="center" vertical="center"/>
    </xf>
    <xf numFmtId="3" fontId="19" fillId="3" borderId="8" xfId="0" applyNumberFormat="1" applyFont="1" applyFill="1" applyBorder="1" applyAlignment="1">
      <alignment horizontal="center" vertical="center"/>
    </xf>
    <xf numFmtId="3" fontId="19" fillId="3" borderId="9" xfId="0" applyNumberFormat="1" applyFont="1" applyFill="1" applyBorder="1" applyAlignment="1">
      <alignment horizontal="center" vertical="center"/>
    </xf>
    <xf numFmtId="3" fontId="19" fillId="8" borderId="2" xfId="0" applyNumberFormat="1" applyFont="1" applyFill="1" applyBorder="1" applyAlignment="1">
      <alignment horizontal="center" vertical="center"/>
    </xf>
    <xf numFmtId="3" fontId="19" fillId="8" borderId="8" xfId="0" applyNumberFormat="1" applyFont="1" applyFill="1" applyBorder="1" applyAlignment="1">
      <alignment horizontal="center" vertical="center"/>
    </xf>
    <xf numFmtId="3" fontId="19" fillId="8" borderId="9" xfId="0" applyNumberFormat="1" applyFont="1" applyFill="1" applyBorder="1" applyAlignment="1">
      <alignment horizontal="center" vertical="center"/>
    </xf>
    <xf numFmtId="176" fontId="12" fillId="7" borderId="2" xfId="0" applyNumberFormat="1" applyFont="1" applyFill="1" applyBorder="1" applyAlignment="1">
      <alignment horizontal="center" vertical="center"/>
    </xf>
    <xf numFmtId="176" fontId="12" fillId="7" borderId="8" xfId="0" applyNumberFormat="1" applyFont="1" applyFill="1" applyBorder="1" applyAlignment="1">
      <alignment horizontal="center" vertical="center"/>
    </xf>
    <xf numFmtId="176" fontId="12" fillId="7" borderId="9" xfId="0" applyNumberFormat="1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176" fontId="12" fillId="7" borderId="21" xfId="0" applyNumberFormat="1" applyFont="1" applyFill="1" applyBorder="1" applyAlignment="1">
      <alignment horizontal="center" vertical="center"/>
    </xf>
    <xf numFmtId="176" fontId="12" fillId="7" borderId="19" xfId="0" applyNumberFormat="1" applyFont="1" applyFill="1" applyBorder="1" applyAlignment="1">
      <alignment horizontal="center" vertical="center"/>
    </xf>
    <xf numFmtId="176" fontId="12" fillId="7" borderId="25" xfId="0" applyNumberFormat="1" applyFont="1" applyFill="1" applyBorder="1" applyAlignment="1">
      <alignment horizontal="center" vertical="center"/>
    </xf>
  </cellXfs>
  <cellStyles count="3">
    <cellStyle name="標準" xfId="0" builtinId="0"/>
    <cellStyle name="標準 3" xfId="2" xr:uid="{DC7DCAA0-6465-40DD-8C0A-A3E444632F39}"/>
    <cellStyle name="標準_発注管理表" xfId="1" xr:uid="{00000000-0005-0000-0000-000002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3F49A-33D4-4902-8126-9CC597D523F1}">
  <sheetPr>
    <tabColor rgb="FFFFFF00"/>
  </sheetPr>
  <dimension ref="A2:U68"/>
  <sheetViews>
    <sheetView tabSelected="1" zoomScale="70" zoomScaleNormal="70" workbookViewId="0">
      <pane xSplit="14" ySplit="11" topLeftCell="O12" activePane="bottomRight" state="frozen"/>
      <selection pane="topRight" activeCell="K1" sqref="K1"/>
      <selection pane="bottomLeft" activeCell="A9" sqref="A9"/>
      <selection pane="bottomRight" activeCell="A17" sqref="A17:XFD17"/>
    </sheetView>
  </sheetViews>
  <sheetFormatPr defaultRowHeight="13.5"/>
  <cols>
    <col min="2" max="2" width="5.875" customWidth="1"/>
    <col min="3" max="3" width="12.625" customWidth="1"/>
    <col min="4" max="4" width="4.5" customWidth="1"/>
    <col min="5" max="5" width="9" customWidth="1"/>
    <col min="6" max="6" width="13.25" style="3" customWidth="1"/>
    <col min="7" max="7" width="14.375" bestFit="1" customWidth="1"/>
    <col min="8" max="8" width="13.125" bestFit="1" customWidth="1"/>
    <col min="9" max="9" width="61.125" customWidth="1"/>
    <col min="10" max="10" width="6.25" style="3" customWidth="1"/>
    <col min="11" max="12" width="9.875" style="8" bestFit="1" customWidth="1"/>
    <col min="13" max="13" width="5.75" style="8" customWidth="1"/>
    <col min="14" max="14" width="36.5" customWidth="1"/>
    <col min="15" max="15" width="23.875" customWidth="1"/>
    <col min="16" max="16" width="20.375" style="3" customWidth="1"/>
    <col min="17" max="17" width="13.75" style="10" customWidth="1"/>
    <col min="18" max="18" width="6.375" customWidth="1"/>
    <col min="19" max="19" width="13.25" style="8" customWidth="1"/>
    <col min="20" max="20" width="14.5" style="12" customWidth="1"/>
    <col min="21" max="21" width="15.625" style="13" customWidth="1"/>
  </cols>
  <sheetData>
    <row r="2" spans="1:21" ht="20.100000000000001" customHeight="1">
      <c r="F2" s="152" t="s">
        <v>11</v>
      </c>
      <c r="G2" s="152"/>
      <c r="H2" s="152"/>
      <c r="I2" s="9" t="s">
        <v>42</v>
      </c>
      <c r="K2" s="153" t="s">
        <v>15</v>
      </c>
      <c r="L2" s="154"/>
      <c r="M2" s="155"/>
      <c r="N2" s="7">
        <f>SUM(L:L)</f>
        <v>477320</v>
      </c>
    </row>
    <row r="3" spans="1:21" ht="20.100000000000001" customHeight="1">
      <c r="F3" s="152" t="s">
        <v>10</v>
      </c>
      <c r="G3" s="152"/>
      <c r="H3" s="152"/>
      <c r="I3" s="5" t="s">
        <v>23</v>
      </c>
    </row>
    <row r="4" spans="1:21" ht="20.100000000000001" customHeight="1">
      <c r="F4" s="152" t="s">
        <v>12</v>
      </c>
      <c r="G4" s="152"/>
      <c r="H4" s="152"/>
      <c r="I4" s="30" t="s">
        <v>43</v>
      </c>
      <c r="L4" s="31"/>
      <c r="N4" s="156" t="s">
        <v>44</v>
      </c>
      <c r="O4" s="157"/>
    </row>
    <row r="5" spans="1:21" ht="20.100000000000001" customHeight="1">
      <c r="F5" s="152" t="s">
        <v>13</v>
      </c>
      <c r="G5" s="152"/>
      <c r="H5" s="152"/>
      <c r="I5" s="6">
        <v>45896</v>
      </c>
      <c r="K5" s="160" t="s">
        <v>74</v>
      </c>
      <c r="L5" s="160"/>
      <c r="N5" s="158"/>
      <c r="O5" s="159"/>
    </row>
    <row r="6" spans="1:21" ht="20.100000000000001" customHeight="1">
      <c r="F6" s="152" t="s">
        <v>14</v>
      </c>
      <c r="G6" s="152"/>
      <c r="H6" s="152"/>
      <c r="I6" s="6">
        <v>45897</v>
      </c>
      <c r="K6" s="160"/>
      <c r="L6" s="160"/>
      <c r="N6" s="15"/>
      <c r="O6" s="20"/>
    </row>
    <row r="7" spans="1:21" ht="20.100000000000001" customHeight="1">
      <c r="F7" s="17"/>
      <c r="G7" s="17"/>
      <c r="H7" s="17"/>
      <c r="I7" s="16"/>
      <c r="N7" s="15"/>
      <c r="O7" s="20"/>
      <c r="P7" s="18"/>
    </row>
    <row r="8" spans="1:21" ht="20.100000000000001" customHeight="1">
      <c r="F8" s="17"/>
      <c r="G8" s="17"/>
      <c r="H8" s="17"/>
      <c r="I8" s="16"/>
      <c r="L8" s="143"/>
      <c r="N8" s="145" t="s">
        <v>75</v>
      </c>
      <c r="O8" s="20"/>
      <c r="P8" s="18"/>
    </row>
    <row r="9" spans="1:21" ht="20.100000000000001" customHeight="1">
      <c r="F9" s="17"/>
      <c r="G9" s="17"/>
      <c r="H9" s="17"/>
      <c r="I9" s="16"/>
      <c r="L9" s="144"/>
      <c r="N9" s="146" t="s">
        <v>76</v>
      </c>
      <c r="O9" s="20"/>
      <c r="P9" s="18"/>
    </row>
    <row r="11" spans="1:21" s="3" customFormat="1" ht="19.7" customHeight="1">
      <c r="B11" s="1"/>
      <c r="C11" s="110" t="s">
        <v>50</v>
      </c>
      <c r="E11" s="1" t="s">
        <v>22</v>
      </c>
      <c r="F11" s="4" t="s">
        <v>4</v>
      </c>
      <c r="G11" s="4" t="s">
        <v>9</v>
      </c>
      <c r="H11" s="4" t="s">
        <v>5</v>
      </c>
      <c r="I11" s="1" t="s">
        <v>8</v>
      </c>
      <c r="J11" s="1" t="s">
        <v>0</v>
      </c>
      <c r="K11" s="26" t="s">
        <v>1</v>
      </c>
      <c r="L11" s="32" t="s">
        <v>2</v>
      </c>
      <c r="M11" s="2" t="s">
        <v>18</v>
      </c>
      <c r="N11" s="1" t="s">
        <v>3</v>
      </c>
      <c r="O11" s="1" t="s">
        <v>17</v>
      </c>
      <c r="P11" s="1" t="s">
        <v>16</v>
      </c>
      <c r="Q11" s="11" t="s">
        <v>6</v>
      </c>
      <c r="R11" s="4" t="s">
        <v>19</v>
      </c>
      <c r="S11" s="1" t="s">
        <v>7</v>
      </c>
      <c r="T11" s="11" t="s">
        <v>20</v>
      </c>
      <c r="U11" s="14" t="s">
        <v>21</v>
      </c>
    </row>
    <row r="12" spans="1:21" s="3" customFormat="1" ht="19.7" customHeight="1">
      <c r="D12" s="29"/>
      <c r="E12" s="1"/>
      <c r="F12" s="4"/>
      <c r="G12" s="4"/>
      <c r="H12" s="4"/>
      <c r="I12" s="25"/>
      <c r="J12" s="1"/>
      <c r="K12" s="21"/>
      <c r="L12" s="33"/>
      <c r="M12" s="2"/>
      <c r="N12" s="24"/>
      <c r="O12" s="22"/>
      <c r="P12" s="4"/>
      <c r="Q12" s="11"/>
      <c r="R12" s="4"/>
      <c r="S12" s="19"/>
      <c r="T12" s="19"/>
      <c r="U12" s="14"/>
    </row>
    <row r="13" spans="1:21" s="3" customFormat="1" ht="19.5" customHeight="1">
      <c r="E13" s="47"/>
      <c r="F13" s="68"/>
      <c r="G13" s="40"/>
      <c r="H13" s="40"/>
      <c r="I13" s="43"/>
      <c r="J13" s="41"/>
      <c r="K13" s="67"/>
      <c r="L13" s="40"/>
      <c r="M13" s="41"/>
      <c r="N13" s="44"/>
      <c r="O13" s="41"/>
      <c r="P13" s="41"/>
      <c r="Q13" s="11"/>
      <c r="R13" s="65"/>
      <c r="S13" s="36"/>
      <c r="T13" s="37"/>
      <c r="U13" s="39"/>
    </row>
    <row r="14" spans="1:21" s="3" customFormat="1" ht="19.5" customHeight="1">
      <c r="A14"/>
      <c r="B14"/>
      <c r="C14"/>
      <c r="D14"/>
      <c r="E14" s="128"/>
      <c r="F14" s="173" t="s">
        <v>26</v>
      </c>
      <c r="G14" s="174"/>
      <c r="H14" s="174"/>
      <c r="I14" s="175"/>
      <c r="J14" s="78"/>
      <c r="K14" s="78"/>
      <c r="L14" s="79"/>
      <c r="M14" s="80"/>
      <c r="N14" s="81"/>
      <c r="O14" s="51"/>
      <c r="P14" s="41"/>
      <c r="Q14" s="11"/>
      <c r="R14" s="65"/>
      <c r="S14" s="36"/>
      <c r="T14" s="37"/>
      <c r="U14" s="39"/>
    </row>
    <row r="15" spans="1:21" s="3" customFormat="1" ht="19.5" customHeight="1">
      <c r="A15" s="127" t="s">
        <v>27</v>
      </c>
      <c r="B15" s="54"/>
      <c r="C15" s="54"/>
      <c r="D15" s="99"/>
      <c r="E15" s="52">
        <v>2</v>
      </c>
      <c r="F15" s="106">
        <v>1</v>
      </c>
      <c r="G15" s="105" t="s">
        <v>28</v>
      </c>
      <c r="H15" s="105" t="s">
        <v>29</v>
      </c>
      <c r="I15" s="95" t="s">
        <v>30</v>
      </c>
      <c r="J15" s="109">
        <v>1</v>
      </c>
      <c r="K15" s="148">
        <v>35120</v>
      </c>
      <c r="L15" s="96">
        <f t="shared" ref="L15:L19" si="0">J15*K15</f>
        <v>35120</v>
      </c>
      <c r="M15" s="100"/>
      <c r="N15" s="101" t="s">
        <v>31</v>
      </c>
      <c r="O15" s="24" t="s">
        <v>77</v>
      </c>
      <c r="P15" s="41"/>
      <c r="Q15" s="11">
        <v>45882</v>
      </c>
      <c r="R15" s="65"/>
      <c r="S15" s="147">
        <v>45897</v>
      </c>
      <c r="T15" s="37">
        <v>45896</v>
      </c>
      <c r="U15" s="39">
        <v>45895</v>
      </c>
    </row>
    <row r="16" spans="1:21" s="3" customFormat="1" ht="19.5" customHeight="1">
      <c r="A16" s="125" t="s">
        <v>25</v>
      </c>
      <c r="B16" s="1"/>
      <c r="C16" s="1"/>
      <c r="D16" s="46"/>
      <c r="E16" s="52">
        <v>2</v>
      </c>
      <c r="F16" s="106">
        <f t="shared" ref="F16:F18" si="1">F15+1</f>
        <v>2</v>
      </c>
      <c r="G16" s="105" t="s">
        <v>28</v>
      </c>
      <c r="H16" s="105" t="s">
        <v>29</v>
      </c>
      <c r="I16" s="97" t="s">
        <v>32</v>
      </c>
      <c r="J16" s="109">
        <v>1</v>
      </c>
      <c r="K16" s="148">
        <v>3350</v>
      </c>
      <c r="L16" s="96">
        <f t="shared" si="0"/>
        <v>3350</v>
      </c>
      <c r="M16" s="100"/>
      <c r="N16" s="101" t="s">
        <v>33</v>
      </c>
      <c r="O16" s="24" t="s">
        <v>77</v>
      </c>
      <c r="P16" s="41"/>
      <c r="Q16" s="11">
        <v>45882</v>
      </c>
      <c r="R16" s="65"/>
      <c r="S16" s="147">
        <v>45897</v>
      </c>
      <c r="T16" s="37">
        <v>45896</v>
      </c>
      <c r="U16" s="39">
        <v>45895</v>
      </c>
    </row>
    <row r="17" spans="1:21" s="3" customFormat="1" ht="19.5" customHeight="1">
      <c r="A17" s="127" t="s">
        <v>34</v>
      </c>
      <c r="B17" s="54"/>
      <c r="C17" s="54"/>
      <c r="D17" s="99"/>
      <c r="E17" s="52">
        <v>2</v>
      </c>
      <c r="F17" s="106">
        <f t="shared" si="1"/>
        <v>3</v>
      </c>
      <c r="G17" s="105" t="s">
        <v>28</v>
      </c>
      <c r="H17" s="105" t="s">
        <v>29</v>
      </c>
      <c r="I17" s="95" t="s">
        <v>35</v>
      </c>
      <c r="J17" s="109">
        <v>1</v>
      </c>
      <c r="K17" s="148">
        <v>6710</v>
      </c>
      <c r="L17" s="96">
        <f t="shared" si="0"/>
        <v>6710</v>
      </c>
      <c r="M17" s="100"/>
      <c r="N17" s="101" t="s">
        <v>36</v>
      </c>
      <c r="O17" s="24" t="s">
        <v>77</v>
      </c>
      <c r="P17" s="41"/>
      <c r="Q17" s="11">
        <v>45882</v>
      </c>
      <c r="R17" s="65"/>
      <c r="S17" s="147">
        <v>45897</v>
      </c>
      <c r="T17" s="37">
        <v>45898</v>
      </c>
      <c r="U17" s="42">
        <v>45897</v>
      </c>
    </row>
    <row r="18" spans="1:21" s="3" customFormat="1" ht="19.5" customHeight="1">
      <c r="A18" s="125" t="s">
        <v>25</v>
      </c>
      <c r="B18" s="1"/>
      <c r="C18" s="1"/>
      <c r="D18" s="46"/>
      <c r="E18" s="52">
        <v>2</v>
      </c>
      <c r="F18" s="106">
        <f t="shared" si="1"/>
        <v>4</v>
      </c>
      <c r="G18" s="105" t="s">
        <v>28</v>
      </c>
      <c r="H18" s="105" t="s">
        <v>29</v>
      </c>
      <c r="I18" s="95" t="s">
        <v>37</v>
      </c>
      <c r="J18" s="109">
        <v>2</v>
      </c>
      <c r="K18" s="148">
        <v>70</v>
      </c>
      <c r="L18" s="96">
        <f t="shared" si="0"/>
        <v>140</v>
      </c>
      <c r="M18" s="100"/>
      <c r="N18" s="102" t="s">
        <v>38</v>
      </c>
      <c r="O18" s="24" t="s">
        <v>77</v>
      </c>
      <c r="P18" s="41"/>
      <c r="Q18" s="11">
        <v>45882</v>
      </c>
      <c r="R18" s="65"/>
      <c r="S18" s="147">
        <v>45897</v>
      </c>
      <c r="T18" s="37">
        <v>45896</v>
      </c>
      <c r="U18" s="39">
        <v>45895</v>
      </c>
    </row>
    <row r="19" spans="1:21" s="3" customFormat="1" ht="19.5" customHeight="1">
      <c r="A19" s="125" t="s">
        <v>25</v>
      </c>
      <c r="B19" s="1"/>
      <c r="C19" s="1"/>
      <c r="D19" s="46"/>
      <c r="E19" s="52">
        <v>2</v>
      </c>
      <c r="F19" s="106">
        <f>F18+1</f>
        <v>5</v>
      </c>
      <c r="G19" s="105" t="s">
        <v>28</v>
      </c>
      <c r="H19" s="105" t="s">
        <v>29</v>
      </c>
      <c r="I19" s="95" t="s">
        <v>39</v>
      </c>
      <c r="J19" s="125">
        <v>2</v>
      </c>
      <c r="K19" s="149">
        <v>660</v>
      </c>
      <c r="L19" s="103">
        <f t="shared" si="0"/>
        <v>1320</v>
      </c>
      <c r="M19" s="104"/>
      <c r="N19" s="102" t="s">
        <v>40</v>
      </c>
      <c r="O19" s="24" t="s">
        <v>77</v>
      </c>
      <c r="P19" s="41"/>
      <c r="Q19" s="11">
        <v>45882</v>
      </c>
      <c r="R19" s="65"/>
      <c r="S19" s="147">
        <v>45897</v>
      </c>
      <c r="T19" s="37">
        <v>45896</v>
      </c>
      <c r="U19" s="39">
        <v>45895</v>
      </c>
    </row>
    <row r="20" spans="1:21" s="3" customFormat="1" ht="19.5" customHeight="1">
      <c r="A20"/>
      <c r="B20"/>
      <c r="C20"/>
      <c r="D20"/>
      <c r="E20" s="24"/>
      <c r="F20" s="92"/>
      <c r="G20" s="38"/>
      <c r="H20" s="38"/>
      <c r="I20" s="83"/>
      <c r="J20" s="84"/>
      <c r="K20" s="85"/>
      <c r="L20" s="86"/>
      <c r="M20" s="87"/>
      <c r="N20" s="88"/>
      <c r="O20" s="51"/>
      <c r="P20" s="41"/>
      <c r="Q20" s="11"/>
      <c r="R20" s="65"/>
      <c r="S20" s="36"/>
      <c r="T20" s="37"/>
      <c r="U20" s="39"/>
    </row>
    <row r="21" spans="1:21" s="3" customFormat="1" ht="19.5" customHeight="1">
      <c r="A21"/>
      <c r="B21"/>
      <c r="C21"/>
      <c r="D21"/>
      <c r="E21" s="24"/>
      <c r="F21" s="93"/>
      <c r="G21" s="38"/>
      <c r="H21" s="89"/>
      <c r="I21" s="176">
        <f>SUM(L15:L19)</f>
        <v>46640</v>
      </c>
      <c r="J21" s="177"/>
      <c r="K21" s="177"/>
      <c r="L21" s="178"/>
      <c r="M21" s="90"/>
      <c r="N21" s="88"/>
      <c r="O21" s="51"/>
      <c r="P21" s="41"/>
      <c r="Q21" s="11"/>
      <c r="R21" s="65"/>
      <c r="S21" s="36"/>
      <c r="T21" s="37"/>
      <c r="U21" s="39"/>
    </row>
    <row r="22" spans="1:21" s="3" customFormat="1" ht="19.5" customHeight="1">
      <c r="E22" s="47"/>
      <c r="F22" s="68"/>
      <c r="G22" s="40"/>
      <c r="H22" s="40"/>
      <c r="I22" s="43"/>
      <c r="J22" s="41"/>
      <c r="K22" s="67"/>
      <c r="L22" s="40"/>
      <c r="M22" s="41"/>
      <c r="N22" s="44"/>
      <c r="O22" s="41"/>
      <c r="P22" s="41"/>
      <c r="Q22" s="11"/>
      <c r="R22" s="65"/>
      <c r="S22" s="36"/>
      <c r="T22" s="37"/>
      <c r="U22" s="39"/>
    </row>
    <row r="23" spans="1:21" s="3" customFormat="1" ht="19.5" customHeight="1">
      <c r="E23" s="47"/>
      <c r="F23" s="68"/>
      <c r="G23" s="40"/>
      <c r="H23" s="40"/>
      <c r="I23" s="43"/>
      <c r="J23" s="41"/>
      <c r="K23" s="67"/>
      <c r="L23" s="40"/>
      <c r="M23" s="41"/>
      <c r="N23" s="44"/>
      <c r="O23" s="41"/>
      <c r="P23" s="41"/>
      <c r="Q23" s="11"/>
      <c r="R23" s="65"/>
      <c r="S23" s="36"/>
      <c r="T23" s="37"/>
      <c r="U23" s="39"/>
    </row>
    <row r="24" spans="1:21" s="3" customFormat="1" ht="19.5" customHeight="1">
      <c r="E24" s="47"/>
      <c r="F24" s="68"/>
      <c r="G24" s="40"/>
      <c r="H24" s="40"/>
      <c r="I24" s="43"/>
      <c r="J24" s="41"/>
      <c r="K24" s="67"/>
      <c r="L24" s="40"/>
      <c r="M24" s="41"/>
      <c r="N24" s="44"/>
      <c r="O24" s="41"/>
      <c r="P24" s="41"/>
      <c r="Q24" s="11"/>
      <c r="R24" s="65"/>
      <c r="S24" s="36"/>
      <c r="T24" s="37"/>
      <c r="U24" s="39"/>
    </row>
    <row r="25" spans="1:21" s="3" customFormat="1" ht="19.5" customHeight="1">
      <c r="E25" s="1"/>
      <c r="F25" s="68"/>
      <c r="G25" s="40"/>
      <c r="H25" s="40"/>
      <c r="I25" s="43"/>
      <c r="J25" s="41"/>
      <c r="K25" s="67"/>
      <c r="L25" s="40"/>
      <c r="M25" s="41"/>
      <c r="N25" s="44"/>
      <c r="O25" s="45"/>
      <c r="P25" s="70"/>
      <c r="Q25" s="66"/>
      <c r="R25" s="39"/>
      <c r="S25" s="55"/>
      <c r="T25" s="19"/>
      <c r="U25" s="42"/>
    </row>
    <row r="26" spans="1:21" s="3" customFormat="1" ht="19.5" customHeight="1">
      <c r="E26" s="1"/>
      <c r="F26" s="68"/>
      <c r="G26" s="40"/>
      <c r="H26" s="40"/>
      <c r="I26" s="43"/>
      <c r="J26" s="41"/>
      <c r="K26" s="67"/>
      <c r="L26" s="40"/>
      <c r="M26" s="41"/>
      <c r="N26" s="44"/>
      <c r="O26" s="45"/>
      <c r="P26" s="70"/>
      <c r="Q26" s="66"/>
      <c r="R26" s="39"/>
      <c r="S26" s="55"/>
      <c r="T26" s="19"/>
      <c r="U26" s="42"/>
    </row>
    <row r="27" spans="1:21" ht="18" customHeight="1">
      <c r="E27" s="130"/>
      <c r="F27" s="131"/>
      <c r="G27" s="167" t="s">
        <v>24</v>
      </c>
      <c r="H27" s="168"/>
      <c r="I27" s="169"/>
      <c r="J27" s="1"/>
      <c r="K27" s="1"/>
      <c r="L27" s="2"/>
      <c r="M27" s="2"/>
      <c r="N27" s="1"/>
      <c r="O27" s="45"/>
      <c r="P27" s="70"/>
      <c r="Q27" s="66"/>
      <c r="R27" s="39"/>
      <c r="S27" s="55"/>
      <c r="T27" s="19"/>
      <c r="U27" s="42"/>
    </row>
    <row r="28" spans="1:21" ht="18" customHeight="1">
      <c r="A28" s="125" t="s">
        <v>25</v>
      </c>
      <c r="B28" s="91"/>
      <c r="C28" s="91"/>
      <c r="D28" s="98"/>
      <c r="E28" s="107">
        <v>6</v>
      </c>
      <c r="F28" s="106">
        <f>+F19+1</f>
        <v>6</v>
      </c>
      <c r="G28" s="137" t="s">
        <v>47</v>
      </c>
      <c r="H28" s="137" t="s">
        <v>47</v>
      </c>
      <c r="I28" s="138" t="s">
        <v>46</v>
      </c>
      <c r="J28" s="139">
        <v>1</v>
      </c>
      <c r="K28" s="140">
        <v>192000</v>
      </c>
      <c r="L28" s="140">
        <f t="shared" ref="L28:L30" si="2">J28*K28</f>
        <v>192000</v>
      </c>
      <c r="M28" s="61"/>
      <c r="N28" s="59" t="s">
        <v>48</v>
      </c>
      <c r="O28" s="141" t="s">
        <v>78</v>
      </c>
      <c r="P28" s="70"/>
      <c r="Q28" s="66">
        <v>45887</v>
      </c>
      <c r="R28" s="39"/>
      <c r="S28" s="55">
        <v>45888</v>
      </c>
      <c r="T28" s="19"/>
      <c r="U28" s="42">
        <v>45888</v>
      </c>
    </row>
    <row r="29" spans="1:21" ht="18" customHeight="1">
      <c r="A29" s="125" t="s">
        <v>25</v>
      </c>
      <c r="B29" s="91"/>
      <c r="C29" s="91"/>
      <c r="D29" s="98"/>
      <c r="E29" s="107">
        <v>7</v>
      </c>
      <c r="F29" s="106">
        <f t="shared" ref="F29:F30" si="3">+F28+1</f>
        <v>7</v>
      </c>
      <c r="G29" s="137" t="s">
        <v>47</v>
      </c>
      <c r="H29" s="137" t="s">
        <v>47</v>
      </c>
      <c r="I29" s="138" t="s">
        <v>45</v>
      </c>
      <c r="J29" s="139">
        <v>1</v>
      </c>
      <c r="K29" s="140">
        <v>93000</v>
      </c>
      <c r="L29" s="140">
        <f t="shared" si="2"/>
        <v>93000</v>
      </c>
      <c r="M29" s="61"/>
      <c r="N29" s="59" t="s">
        <v>49</v>
      </c>
      <c r="O29" s="141" t="s">
        <v>78</v>
      </c>
      <c r="P29" s="70"/>
      <c r="Q29" s="66">
        <v>45887</v>
      </c>
      <c r="R29" s="39"/>
      <c r="S29" s="55">
        <v>45888</v>
      </c>
      <c r="T29" s="19"/>
      <c r="U29" s="42">
        <v>45888</v>
      </c>
    </row>
    <row r="30" spans="1:21" ht="18" customHeight="1">
      <c r="A30" s="125" t="s">
        <v>25</v>
      </c>
      <c r="B30" s="91"/>
      <c r="C30" s="91"/>
      <c r="D30" s="98"/>
      <c r="E30" s="107">
        <v>8</v>
      </c>
      <c r="F30" s="106">
        <f t="shared" si="3"/>
        <v>8</v>
      </c>
      <c r="G30" s="137" t="s">
        <v>47</v>
      </c>
      <c r="H30" s="137" t="s">
        <v>47</v>
      </c>
      <c r="I30" s="138"/>
      <c r="J30" s="139">
        <v>1</v>
      </c>
      <c r="K30" s="140">
        <v>-44000</v>
      </c>
      <c r="L30" s="140">
        <f t="shared" si="2"/>
        <v>-44000</v>
      </c>
      <c r="M30" s="61"/>
      <c r="N30" s="59"/>
      <c r="O30" s="141" t="s">
        <v>78</v>
      </c>
      <c r="P30" s="70"/>
      <c r="Q30" s="66">
        <v>45887</v>
      </c>
      <c r="R30" s="39"/>
      <c r="S30" s="55">
        <v>45888</v>
      </c>
      <c r="T30" s="19"/>
      <c r="U30" s="42"/>
    </row>
    <row r="31" spans="1:21" ht="18" customHeight="1">
      <c r="F31" s="53"/>
      <c r="G31" s="58"/>
      <c r="H31" s="58"/>
      <c r="I31" s="23"/>
      <c r="J31" s="1"/>
      <c r="K31" s="28"/>
      <c r="L31" s="28"/>
      <c r="M31" s="2"/>
      <c r="N31" s="56"/>
      <c r="O31" s="45"/>
      <c r="P31" s="70"/>
      <c r="Q31" s="66"/>
      <c r="R31" s="39"/>
      <c r="S31" s="55"/>
      <c r="T31" s="19"/>
      <c r="U31" s="42"/>
    </row>
    <row r="32" spans="1:21" ht="18" customHeight="1">
      <c r="F32" s="1"/>
      <c r="G32" s="62"/>
      <c r="H32" s="62"/>
      <c r="I32" s="170">
        <f>SUM(L28:L31)</f>
        <v>241000</v>
      </c>
      <c r="J32" s="171"/>
      <c r="K32" s="171"/>
      <c r="L32" s="172"/>
      <c r="M32" s="63"/>
      <c r="N32" s="64"/>
      <c r="O32" s="45"/>
      <c r="P32" s="70"/>
      <c r="Q32" s="66"/>
      <c r="R32" s="39"/>
      <c r="S32" s="55"/>
      <c r="T32" s="19"/>
      <c r="U32" s="42"/>
    </row>
    <row r="33" spans="1:21" s="3" customFormat="1" ht="19.5" customHeight="1">
      <c r="E33" s="47"/>
      <c r="F33" s="68"/>
      <c r="G33" s="40"/>
      <c r="H33" s="40"/>
      <c r="I33" s="43"/>
      <c r="J33" s="41"/>
      <c r="K33" s="67"/>
      <c r="L33" s="40"/>
      <c r="M33" s="41"/>
      <c r="N33" s="44"/>
      <c r="O33" s="45"/>
      <c r="P33" s="70"/>
      <c r="Q33" s="66"/>
      <c r="R33" s="39"/>
      <c r="S33" s="55"/>
      <c r="T33" s="19"/>
      <c r="U33" s="42"/>
    </row>
    <row r="34" spans="1:21" s="3" customFormat="1" ht="19.5" customHeight="1">
      <c r="E34" s="47"/>
      <c r="F34" s="68"/>
      <c r="G34" s="40"/>
      <c r="H34" s="40"/>
      <c r="I34" s="43"/>
      <c r="J34" s="41"/>
      <c r="K34" s="67"/>
      <c r="L34" s="40"/>
      <c r="M34" s="41"/>
      <c r="N34" s="44"/>
      <c r="O34" s="45"/>
      <c r="P34" s="70"/>
      <c r="Q34" s="66"/>
      <c r="R34" s="39"/>
      <c r="S34" s="55"/>
      <c r="T34" s="19"/>
      <c r="U34" s="42"/>
    </row>
    <row r="35" spans="1:21" s="3" customFormat="1" ht="19.7" customHeight="1">
      <c r="E35" s="47"/>
      <c r="F35" s="82"/>
      <c r="G35" s="94"/>
      <c r="H35" s="71"/>
      <c r="I35" s="77"/>
      <c r="J35" s="27"/>
      <c r="K35" s="34"/>
      <c r="L35" s="34"/>
      <c r="M35" s="48"/>
      <c r="N35" s="49"/>
      <c r="O35" s="45"/>
      <c r="P35" s="70"/>
      <c r="Q35" s="66"/>
      <c r="R35" s="39"/>
      <c r="S35" s="55"/>
      <c r="T35" s="19"/>
      <c r="U35" s="42"/>
    </row>
    <row r="36" spans="1:21" s="3" customFormat="1" ht="19.7" customHeight="1">
      <c r="E36" s="47"/>
      <c r="F36" s="82"/>
      <c r="G36" s="94"/>
      <c r="H36" s="71"/>
      <c r="I36" s="77"/>
      <c r="J36" s="27"/>
      <c r="K36" s="34"/>
      <c r="L36" s="34"/>
      <c r="M36" s="48"/>
      <c r="N36" s="49"/>
      <c r="O36" s="45"/>
      <c r="P36" s="70"/>
      <c r="Q36" s="66"/>
      <c r="R36" s="39"/>
      <c r="S36" s="55"/>
      <c r="T36" s="19"/>
      <c r="U36" s="42"/>
    </row>
    <row r="37" spans="1:21" s="3" customFormat="1" ht="19.7" customHeight="1">
      <c r="E37" s="47"/>
      <c r="F37" s="113"/>
      <c r="G37" s="161" t="s">
        <v>52</v>
      </c>
      <c r="H37" s="162"/>
      <c r="I37" s="163"/>
      <c r="J37" s="114"/>
      <c r="K37" s="115"/>
      <c r="L37" s="76"/>
      <c r="M37" s="63"/>
      <c r="N37" s="64"/>
      <c r="O37" s="45"/>
      <c r="P37" s="70"/>
      <c r="Q37" s="66"/>
      <c r="R37" s="39"/>
      <c r="S37" s="55"/>
      <c r="T37" s="19"/>
      <c r="U37" s="42"/>
    </row>
    <row r="38" spans="1:21" s="3" customFormat="1" ht="19.7" customHeight="1">
      <c r="A38" s="126" t="s">
        <v>41</v>
      </c>
      <c r="C38" s="1">
        <v>2.5</v>
      </c>
      <c r="D38" s="50"/>
      <c r="E38" s="1"/>
      <c r="F38" s="57">
        <f>+F30+1</f>
        <v>9</v>
      </c>
      <c r="G38" s="105" t="s">
        <v>47</v>
      </c>
      <c r="H38" s="105" t="s">
        <v>47</v>
      </c>
      <c r="I38" s="118" t="s">
        <v>53</v>
      </c>
      <c r="J38" s="142">
        <v>1</v>
      </c>
      <c r="K38" s="151">
        <v>193600</v>
      </c>
      <c r="L38" s="28">
        <f t="shared" ref="L38:L41" si="4">J38*K38</f>
        <v>193600</v>
      </c>
      <c r="M38" s="63"/>
      <c r="N38" s="64" t="s">
        <v>54</v>
      </c>
      <c r="O38" s="73" t="s">
        <v>79</v>
      </c>
      <c r="P38" s="4"/>
      <c r="Q38" s="11">
        <v>45887</v>
      </c>
      <c r="R38" s="4"/>
      <c r="S38" s="19">
        <v>45888</v>
      </c>
      <c r="T38" s="19"/>
      <c r="U38" s="14">
        <v>45888</v>
      </c>
    </row>
    <row r="39" spans="1:21" s="3" customFormat="1" ht="19.7" customHeight="1">
      <c r="A39" s="126" t="s">
        <v>41</v>
      </c>
      <c r="C39" s="1">
        <v>0.05</v>
      </c>
      <c r="D39" s="50"/>
      <c r="E39" s="1"/>
      <c r="F39" s="57">
        <f t="shared" ref="F39:F41" si="5">+F38+1</f>
        <v>10</v>
      </c>
      <c r="G39" s="105" t="s">
        <v>47</v>
      </c>
      <c r="H39" s="105" t="s">
        <v>47</v>
      </c>
      <c r="I39" s="120" t="s">
        <v>55</v>
      </c>
      <c r="J39" s="142">
        <v>1</v>
      </c>
      <c r="K39" s="119">
        <v>5300</v>
      </c>
      <c r="L39" s="28">
        <f t="shared" si="4"/>
        <v>5300</v>
      </c>
      <c r="M39" s="63"/>
      <c r="N39" s="64" t="s">
        <v>56</v>
      </c>
      <c r="O39" s="73" t="s">
        <v>79</v>
      </c>
      <c r="P39" s="4"/>
      <c r="Q39" s="11">
        <v>45887</v>
      </c>
      <c r="R39" s="4"/>
      <c r="S39" s="19">
        <v>45888</v>
      </c>
      <c r="T39" s="19"/>
      <c r="U39" s="14">
        <v>45888</v>
      </c>
    </row>
    <row r="40" spans="1:21" s="3" customFormat="1" ht="19.7" customHeight="1">
      <c r="A40" s="126" t="s">
        <v>41</v>
      </c>
      <c r="C40" s="1">
        <v>1.8</v>
      </c>
      <c r="D40" s="50"/>
      <c r="E40" s="1"/>
      <c r="F40" s="57">
        <f t="shared" si="5"/>
        <v>11</v>
      </c>
      <c r="G40" s="105" t="s">
        <v>47</v>
      </c>
      <c r="H40" s="105" t="s">
        <v>47</v>
      </c>
      <c r="I40" s="120" t="s">
        <v>57</v>
      </c>
      <c r="J40" s="142">
        <v>1</v>
      </c>
      <c r="K40" s="119">
        <v>5500</v>
      </c>
      <c r="L40" s="28">
        <f t="shared" si="4"/>
        <v>5500</v>
      </c>
      <c r="M40" s="63"/>
      <c r="N40" s="64" t="s">
        <v>58</v>
      </c>
      <c r="O40" s="73" t="s">
        <v>79</v>
      </c>
      <c r="P40" s="4"/>
      <c r="Q40" s="11">
        <v>45887</v>
      </c>
      <c r="R40" s="4"/>
      <c r="S40" s="19">
        <v>45888</v>
      </c>
      <c r="T40" s="19"/>
      <c r="U40" s="14">
        <v>45888</v>
      </c>
    </row>
    <row r="41" spans="1:21" s="3" customFormat="1" ht="19.7" customHeight="1">
      <c r="A41" s="126" t="s">
        <v>41</v>
      </c>
      <c r="C41" s="1"/>
      <c r="D41" s="50"/>
      <c r="E41" s="1"/>
      <c r="F41" s="57">
        <f t="shared" si="5"/>
        <v>12</v>
      </c>
      <c r="G41" s="105" t="s">
        <v>47</v>
      </c>
      <c r="H41" s="105" t="s">
        <v>47</v>
      </c>
      <c r="I41" s="120" t="s">
        <v>59</v>
      </c>
      <c r="J41" s="142">
        <v>1</v>
      </c>
      <c r="K41" s="151">
        <v>-22400</v>
      </c>
      <c r="L41" s="28">
        <f t="shared" si="4"/>
        <v>-22400</v>
      </c>
      <c r="M41" s="63"/>
      <c r="N41" s="64"/>
      <c r="O41" s="73" t="s">
        <v>79</v>
      </c>
      <c r="P41" s="4"/>
      <c r="Q41" s="11">
        <v>45887</v>
      </c>
      <c r="R41" s="4"/>
      <c r="S41" s="19">
        <v>45888</v>
      </c>
      <c r="T41" s="19"/>
      <c r="U41" s="14"/>
    </row>
    <row r="42" spans="1:21" s="3" customFormat="1" ht="19.7" customHeight="1">
      <c r="C42" s="110"/>
      <c r="D42" s="50"/>
      <c r="E42" s="1"/>
      <c r="F42" s="4"/>
      <c r="G42" s="116"/>
      <c r="H42" s="116"/>
      <c r="I42" s="23"/>
      <c r="J42" s="117"/>
      <c r="K42" s="26"/>
      <c r="L42" s="76"/>
      <c r="M42" s="2"/>
      <c r="N42" s="69"/>
      <c r="O42" s="23"/>
      <c r="P42" s="4"/>
      <c r="Q42" s="11"/>
      <c r="R42" s="4"/>
      <c r="S42" s="19"/>
      <c r="T42" s="19"/>
      <c r="U42" s="14"/>
    </row>
    <row r="43" spans="1:21" s="3" customFormat="1" ht="19.7" customHeight="1">
      <c r="C43" s="3" t="s">
        <v>72</v>
      </c>
      <c r="D43" s="50"/>
      <c r="E43" s="1"/>
      <c r="F43" s="74"/>
      <c r="G43" s="74"/>
      <c r="H43" s="74"/>
      <c r="I43" s="23"/>
      <c r="J43" s="111"/>
      <c r="K43" s="115"/>
      <c r="L43" s="76"/>
      <c r="M43" s="63"/>
      <c r="N43" s="64"/>
      <c r="O43" s="73"/>
      <c r="P43" s="4"/>
      <c r="Q43" s="11"/>
      <c r="R43" s="4"/>
      <c r="S43" s="19"/>
      <c r="T43" s="19"/>
      <c r="U43" s="14"/>
    </row>
    <row r="44" spans="1:21" s="3" customFormat="1" ht="19.7" customHeight="1">
      <c r="C44" s="112">
        <f>SUM(C38:C42)</f>
        <v>4.3499999999999996</v>
      </c>
      <c r="D44" s="50"/>
      <c r="E44" s="1"/>
      <c r="F44" s="121"/>
      <c r="G44" s="74"/>
      <c r="H44" s="74"/>
      <c r="I44" s="122">
        <f>SUM(L37:L42)</f>
        <v>182000</v>
      </c>
      <c r="J44" s="111"/>
      <c r="K44" s="115"/>
      <c r="L44" s="76"/>
      <c r="M44" s="63"/>
      <c r="N44" s="64"/>
      <c r="O44" s="73"/>
      <c r="P44" s="4"/>
      <c r="Q44" s="11"/>
      <c r="R44" s="4"/>
      <c r="S44" s="19"/>
      <c r="T44" s="19"/>
      <c r="U44" s="14"/>
    </row>
    <row r="45" spans="1:21" s="3" customFormat="1" ht="19.7" customHeight="1">
      <c r="C45" s="60" t="s">
        <v>51</v>
      </c>
      <c r="D45" s="50"/>
      <c r="E45" s="1"/>
      <c r="F45" s="74"/>
      <c r="G45" s="74"/>
      <c r="H45" s="74"/>
      <c r="I45" s="23"/>
      <c r="J45" s="111"/>
      <c r="K45" s="115"/>
      <c r="L45" s="76"/>
      <c r="M45" s="63"/>
      <c r="N45" s="64"/>
      <c r="O45" s="73"/>
      <c r="P45" s="4"/>
      <c r="Q45" s="11"/>
      <c r="R45" s="4"/>
      <c r="S45" s="19"/>
      <c r="T45" s="19"/>
      <c r="U45" s="14"/>
    </row>
    <row r="46" spans="1:21" s="3" customFormat="1" ht="19.7" customHeight="1">
      <c r="C46" s="60"/>
      <c r="D46" s="50"/>
      <c r="E46" s="1"/>
      <c r="F46" s="74"/>
      <c r="G46" s="74"/>
      <c r="H46" s="74"/>
      <c r="I46" s="23"/>
      <c r="J46" s="111"/>
      <c r="K46" s="115"/>
      <c r="L46" s="76"/>
      <c r="M46" s="63"/>
      <c r="N46" s="64"/>
      <c r="O46" s="73"/>
      <c r="P46" s="4"/>
      <c r="Q46" s="11"/>
      <c r="R46" s="4"/>
      <c r="S46" s="19"/>
      <c r="T46" s="19"/>
      <c r="U46" s="14"/>
    </row>
    <row r="47" spans="1:21" s="3" customFormat="1" ht="19.7" customHeight="1">
      <c r="C47" s="60"/>
      <c r="D47" s="50"/>
      <c r="E47" s="1"/>
      <c r="F47" s="74"/>
      <c r="G47" s="74"/>
      <c r="H47" s="74"/>
      <c r="I47" s="23"/>
      <c r="J47" s="111"/>
      <c r="K47" s="115"/>
      <c r="L47" s="76"/>
      <c r="M47" s="63"/>
      <c r="N47" s="64"/>
      <c r="O47" s="73"/>
      <c r="P47" s="4"/>
      <c r="Q47" s="11"/>
      <c r="R47" s="4"/>
      <c r="S47" s="19"/>
      <c r="T47" s="19"/>
      <c r="U47" s="14"/>
    </row>
    <row r="48" spans="1:21" s="3" customFormat="1" ht="19.7" customHeight="1">
      <c r="D48" s="50"/>
      <c r="E48" s="1"/>
      <c r="F48" s="108"/>
      <c r="G48" s="164" t="s">
        <v>60</v>
      </c>
      <c r="H48" s="165"/>
      <c r="I48" s="166"/>
      <c r="J48" s="111"/>
      <c r="K48" s="115"/>
      <c r="L48" s="76"/>
      <c r="M48" s="63"/>
      <c r="N48" s="64"/>
      <c r="O48" s="73"/>
      <c r="P48" s="4"/>
      <c r="Q48" s="11"/>
      <c r="R48" s="4"/>
      <c r="S48" s="19"/>
      <c r="T48" s="19"/>
      <c r="U48" s="14"/>
    </row>
    <row r="49" spans="1:21" s="3" customFormat="1" ht="19.7" customHeight="1">
      <c r="A49" s="126" t="s">
        <v>41</v>
      </c>
      <c r="B49" s="3">
        <v>0.2</v>
      </c>
      <c r="C49" s="1">
        <f>+B49*J49</f>
        <v>0.2</v>
      </c>
      <c r="D49" s="50"/>
      <c r="E49" s="1"/>
      <c r="F49" s="57">
        <f>+F41+1</f>
        <v>13</v>
      </c>
      <c r="G49" s="132" t="s">
        <v>62</v>
      </c>
      <c r="H49" s="133" t="s">
        <v>63</v>
      </c>
      <c r="I49" s="134" t="s">
        <v>64</v>
      </c>
      <c r="J49" s="135">
        <v>1</v>
      </c>
      <c r="K49" s="150">
        <v>4090</v>
      </c>
      <c r="L49" s="136">
        <f t="shared" ref="L49:L50" si="6">J49*K49</f>
        <v>4090</v>
      </c>
      <c r="M49" s="2"/>
      <c r="N49" s="72" t="s">
        <v>65</v>
      </c>
      <c r="O49" s="24" t="s">
        <v>77</v>
      </c>
      <c r="P49" s="4"/>
      <c r="Q49" s="11">
        <v>45882</v>
      </c>
      <c r="R49" s="4"/>
      <c r="S49" s="147">
        <v>45897</v>
      </c>
      <c r="T49" s="19">
        <v>45896</v>
      </c>
      <c r="U49" s="14">
        <v>45895</v>
      </c>
    </row>
    <row r="50" spans="1:21" s="3" customFormat="1" ht="19.7" customHeight="1">
      <c r="A50" s="129"/>
      <c r="B50" s="3">
        <v>0.1</v>
      </c>
      <c r="C50" s="1">
        <f>+B50*J50</f>
        <v>0.1</v>
      </c>
      <c r="D50" s="50"/>
      <c r="E50" s="1"/>
      <c r="F50" s="57">
        <f>+F49+1</f>
        <v>14</v>
      </c>
      <c r="G50" s="132" t="s">
        <v>62</v>
      </c>
      <c r="H50" s="133" t="s">
        <v>63</v>
      </c>
      <c r="I50" s="134" t="s">
        <v>66</v>
      </c>
      <c r="J50" s="135">
        <v>1</v>
      </c>
      <c r="K50" s="150">
        <v>190</v>
      </c>
      <c r="L50" s="136">
        <f t="shared" si="6"/>
        <v>190</v>
      </c>
      <c r="M50" s="2"/>
      <c r="N50" s="72" t="s">
        <v>67</v>
      </c>
      <c r="O50" s="24" t="s">
        <v>77</v>
      </c>
      <c r="P50" s="4"/>
      <c r="Q50" s="11">
        <v>45882</v>
      </c>
      <c r="R50" s="4"/>
      <c r="S50" s="147">
        <v>45897</v>
      </c>
      <c r="T50" s="19">
        <v>45896</v>
      </c>
      <c r="U50" s="14">
        <v>45895</v>
      </c>
    </row>
    <row r="51" spans="1:21" s="3" customFormat="1" ht="19.7" customHeight="1">
      <c r="A51" s="129"/>
      <c r="B51" s="3">
        <v>0.1</v>
      </c>
      <c r="C51" s="1">
        <f>+B51*J51</f>
        <v>0.1</v>
      </c>
      <c r="D51" s="29"/>
      <c r="E51" s="1"/>
      <c r="F51" s="57">
        <f>+F50+1</f>
        <v>15</v>
      </c>
      <c r="G51" s="132" t="s">
        <v>62</v>
      </c>
      <c r="H51" s="133" t="s">
        <v>63</v>
      </c>
      <c r="I51" s="134" t="s">
        <v>68</v>
      </c>
      <c r="J51" s="135">
        <v>1</v>
      </c>
      <c r="K51" s="150">
        <v>2930</v>
      </c>
      <c r="L51" s="136">
        <f>J51*K51</f>
        <v>2930</v>
      </c>
      <c r="M51" s="2"/>
      <c r="N51" s="72" t="s">
        <v>69</v>
      </c>
      <c r="O51" s="24" t="s">
        <v>77</v>
      </c>
      <c r="P51" s="4"/>
      <c r="Q51" s="11">
        <v>45882</v>
      </c>
      <c r="R51" s="4"/>
      <c r="S51" s="147">
        <v>45897</v>
      </c>
      <c r="T51" s="19">
        <v>45896</v>
      </c>
      <c r="U51" s="14">
        <v>45895</v>
      </c>
    </row>
    <row r="52" spans="1:21" s="3" customFormat="1" ht="19.7" customHeight="1">
      <c r="A52" s="129"/>
      <c r="B52" s="3">
        <v>0.1</v>
      </c>
      <c r="C52" s="1">
        <f>+B52*J52</f>
        <v>0.1</v>
      </c>
      <c r="D52" s="29"/>
      <c r="E52" s="1"/>
      <c r="F52" s="57">
        <f>+F51+1</f>
        <v>16</v>
      </c>
      <c r="G52" s="132" t="s">
        <v>62</v>
      </c>
      <c r="H52" s="133" t="s">
        <v>63</v>
      </c>
      <c r="I52" s="134" t="s">
        <v>70</v>
      </c>
      <c r="J52" s="135">
        <v>1</v>
      </c>
      <c r="K52" s="150">
        <v>470</v>
      </c>
      <c r="L52" s="136">
        <f>J52*K52</f>
        <v>470</v>
      </c>
      <c r="M52" s="2"/>
      <c r="N52" s="72" t="s">
        <v>71</v>
      </c>
      <c r="O52" s="24" t="s">
        <v>77</v>
      </c>
      <c r="P52" s="4"/>
      <c r="Q52" s="11">
        <v>45882</v>
      </c>
      <c r="R52" s="4"/>
      <c r="S52" s="147">
        <v>45897</v>
      </c>
      <c r="T52" s="19">
        <v>45896</v>
      </c>
      <c r="U52" s="14">
        <v>45895</v>
      </c>
    </row>
    <row r="53" spans="1:21" ht="19.7" customHeight="1">
      <c r="C53" s="1"/>
      <c r="D53" s="29"/>
      <c r="E53" s="35"/>
      <c r="F53" s="4"/>
      <c r="G53" s="4"/>
      <c r="H53" s="4"/>
      <c r="I53" s="123"/>
      <c r="J53" s="117"/>
      <c r="K53" s="26"/>
      <c r="L53" s="76"/>
      <c r="M53" s="63"/>
      <c r="N53" s="49"/>
      <c r="O53" s="73"/>
      <c r="P53" s="4"/>
      <c r="Q53" s="11"/>
      <c r="R53" s="4"/>
      <c r="S53" s="19"/>
      <c r="T53" s="19"/>
      <c r="U53" s="14"/>
    </row>
    <row r="54" spans="1:21" ht="19.7" customHeight="1">
      <c r="C54" s="1"/>
      <c r="D54" s="29"/>
      <c r="E54" s="35"/>
      <c r="F54" s="4"/>
      <c r="G54" s="82"/>
      <c r="H54" s="82"/>
      <c r="I54" s="122">
        <f>SUM(L49:L52)</f>
        <v>7680</v>
      </c>
      <c r="J54" s="117"/>
      <c r="K54" s="26"/>
      <c r="L54" s="76"/>
      <c r="M54" s="2"/>
      <c r="N54" s="69"/>
      <c r="O54" s="23"/>
      <c r="P54" s="4"/>
      <c r="Q54" s="11"/>
      <c r="R54" s="4"/>
      <c r="S54" s="19"/>
      <c r="T54" s="19"/>
      <c r="U54" s="14"/>
    </row>
    <row r="55" spans="1:21" ht="19.7" customHeight="1">
      <c r="C55" s="1"/>
      <c r="D55" s="29"/>
      <c r="E55" s="35"/>
      <c r="F55" s="4"/>
      <c r="G55" s="82"/>
      <c r="H55" s="82"/>
      <c r="I55" s="23"/>
      <c r="J55" s="117"/>
      <c r="K55" s="26"/>
      <c r="L55" s="76"/>
      <c r="M55" s="2"/>
      <c r="N55" s="69"/>
      <c r="O55" s="23"/>
      <c r="P55" s="4"/>
      <c r="Q55" s="11"/>
      <c r="R55" s="4"/>
      <c r="S55" s="19"/>
      <c r="T55" s="19"/>
      <c r="U55" s="14"/>
    </row>
    <row r="56" spans="1:21">
      <c r="C56" s="1"/>
      <c r="F56" s="4"/>
      <c r="G56" s="82"/>
      <c r="H56" s="82"/>
      <c r="I56" s="23"/>
      <c r="J56" s="117"/>
      <c r="K56" s="26"/>
      <c r="L56" s="76"/>
      <c r="M56" s="63"/>
      <c r="N56" s="69"/>
      <c r="O56" s="73"/>
    </row>
    <row r="57" spans="1:21">
      <c r="C57" s="1"/>
      <c r="F57" s="4"/>
      <c r="G57" s="4"/>
      <c r="H57" s="4"/>
      <c r="I57" s="123"/>
      <c r="J57" s="117"/>
      <c r="K57" s="26"/>
      <c r="L57" s="76"/>
      <c r="M57" s="63"/>
      <c r="N57" s="49"/>
      <c r="O57" s="73"/>
    </row>
    <row r="58" spans="1:21" ht="18.75">
      <c r="C58" s="3" t="s">
        <v>61</v>
      </c>
      <c r="F58" s="74"/>
      <c r="G58" s="74"/>
      <c r="H58" s="74"/>
      <c r="I58" s="122">
        <f>SUM(L57:L58)</f>
        <v>0</v>
      </c>
      <c r="J58" s="111"/>
      <c r="K58" s="115"/>
      <c r="L58" s="76"/>
      <c r="M58" s="63"/>
      <c r="N58" s="64"/>
      <c r="O58" s="73"/>
    </row>
    <row r="59" spans="1:21">
      <c r="C59" s="112">
        <f>SUM(C49:C58)</f>
        <v>0.5</v>
      </c>
      <c r="F59" s="121"/>
      <c r="G59" s="74"/>
      <c r="H59" s="74"/>
      <c r="I59" s="75"/>
      <c r="J59" s="111"/>
      <c r="K59" s="115"/>
      <c r="L59" s="76"/>
      <c r="M59" s="63"/>
      <c r="N59" s="64"/>
      <c r="O59" s="73"/>
    </row>
    <row r="60" spans="1:21" s="3" customFormat="1">
      <c r="A60"/>
      <c r="B60"/>
      <c r="C60" s="60" t="s">
        <v>51</v>
      </c>
      <c r="D60"/>
      <c r="E60"/>
      <c r="F60" s="74"/>
      <c r="G60" s="74"/>
      <c r="H60" s="74"/>
      <c r="I60" s="123"/>
      <c r="J60" s="111"/>
      <c r="K60" s="115"/>
      <c r="L60" s="76"/>
      <c r="M60" s="63"/>
      <c r="N60" s="64"/>
      <c r="O60" s="73"/>
      <c r="Q60" s="10"/>
      <c r="R60"/>
      <c r="S60" s="8"/>
      <c r="T60" s="12"/>
      <c r="U60" s="13"/>
    </row>
    <row r="61" spans="1:21" s="3" customFormat="1">
      <c r="A61"/>
      <c r="B61"/>
      <c r="D61"/>
      <c r="E61"/>
      <c r="F61" s="74"/>
      <c r="G61" s="74"/>
      <c r="H61" s="74"/>
      <c r="I61" s="123"/>
      <c r="J61" s="111"/>
      <c r="K61" s="115"/>
      <c r="L61" s="76"/>
      <c r="M61" s="63"/>
      <c r="N61" s="64"/>
      <c r="O61" s="73"/>
      <c r="Q61" s="10"/>
      <c r="R61"/>
      <c r="S61" s="8"/>
      <c r="T61" s="12"/>
      <c r="U61" s="13"/>
    </row>
    <row r="62" spans="1:21" s="3" customFormat="1">
      <c r="A62"/>
      <c r="B62"/>
      <c r="D62"/>
      <c r="E62"/>
      <c r="F62" s="74"/>
      <c r="G62" s="74"/>
      <c r="H62" s="74"/>
      <c r="I62" s="123"/>
      <c r="J62" s="111"/>
      <c r="K62" s="115"/>
      <c r="L62" s="76"/>
      <c r="M62" s="63"/>
      <c r="N62" s="64"/>
      <c r="O62" s="73"/>
      <c r="Q62" s="10"/>
      <c r="R62"/>
      <c r="S62" s="8"/>
      <c r="T62" s="12"/>
      <c r="U62" s="13"/>
    </row>
    <row r="63" spans="1:21" s="3" customFormat="1">
      <c r="A63"/>
      <c r="B63"/>
      <c r="D63"/>
      <c r="E63"/>
      <c r="F63" s="74"/>
      <c r="G63" s="74"/>
      <c r="H63" s="74"/>
      <c r="I63" s="123"/>
      <c r="J63" s="111"/>
      <c r="K63" s="115"/>
      <c r="L63" s="76"/>
      <c r="M63" s="63"/>
      <c r="N63" s="64"/>
      <c r="O63" s="73"/>
      <c r="Q63" s="10"/>
      <c r="R63"/>
      <c r="S63" s="8"/>
      <c r="T63" s="12"/>
      <c r="U63" s="13"/>
    </row>
    <row r="64" spans="1:21" s="3" customFormat="1" ht="14.25" thickBot="1">
      <c r="A64"/>
      <c r="B64"/>
      <c r="C64" s="3" t="s">
        <v>73</v>
      </c>
      <c r="D64"/>
      <c r="E64"/>
      <c r="F64" s="74"/>
      <c r="G64" s="74"/>
      <c r="H64" s="74"/>
      <c r="I64" s="123"/>
      <c r="J64" s="111"/>
      <c r="K64" s="115"/>
      <c r="L64" s="76"/>
      <c r="M64" s="63"/>
      <c r="N64" s="64"/>
      <c r="O64" s="73"/>
      <c r="Q64" s="10"/>
      <c r="R64"/>
      <c r="S64" s="8"/>
      <c r="T64" s="12"/>
      <c r="U64" s="13"/>
    </row>
    <row r="65" spans="1:21" s="3" customFormat="1" ht="14.25" thickBot="1">
      <c r="A65"/>
      <c r="B65"/>
      <c r="C65" s="124" t="e">
        <f>+C59+C44+#REF!</f>
        <v>#REF!</v>
      </c>
      <c r="D65"/>
      <c r="E65"/>
      <c r="F65" s="121"/>
      <c r="G65" s="74"/>
      <c r="H65" s="74"/>
      <c r="I65" s="123"/>
      <c r="J65" s="111"/>
      <c r="K65" s="115"/>
      <c r="L65" s="76"/>
      <c r="M65" s="63"/>
      <c r="N65" s="64"/>
      <c r="O65" s="73"/>
      <c r="Q65" s="10"/>
      <c r="R65"/>
      <c r="S65" s="8"/>
      <c r="T65" s="12"/>
      <c r="U65" s="13"/>
    </row>
    <row r="66" spans="1:21" s="3" customFormat="1">
      <c r="A66"/>
      <c r="B66"/>
      <c r="C66" s="60" t="s">
        <v>51</v>
      </c>
      <c r="D66"/>
      <c r="E66"/>
      <c r="F66" s="74"/>
      <c r="G66" s="74"/>
      <c r="H66" s="74"/>
      <c r="I66" s="123"/>
      <c r="J66" s="111"/>
      <c r="K66" s="115"/>
      <c r="L66" s="76"/>
      <c r="M66" s="63"/>
      <c r="N66" s="64"/>
      <c r="O66" s="73"/>
      <c r="Q66" s="10"/>
      <c r="R66"/>
      <c r="S66" s="8"/>
      <c r="T66" s="12"/>
      <c r="U66" s="13"/>
    </row>
    <row r="67" spans="1:21" s="3" customFormat="1">
      <c r="A67"/>
      <c r="B67"/>
      <c r="D67"/>
      <c r="E67"/>
      <c r="F67" s="74"/>
      <c r="G67" s="74"/>
      <c r="H67" s="74"/>
      <c r="I67" s="123"/>
      <c r="J67" s="111"/>
      <c r="K67" s="115"/>
      <c r="L67" s="76"/>
      <c r="M67" s="63"/>
      <c r="N67" s="64"/>
      <c r="O67" s="73"/>
      <c r="Q67" s="10"/>
      <c r="R67"/>
      <c r="S67" s="8"/>
      <c r="T67" s="12"/>
      <c r="U67" s="13"/>
    </row>
    <row r="68" spans="1:21" s="3" customFormat="1">
      <c r="A68"/>
      <c r="B68"/>
      <c r="D68"/>
      <c r="E68"/>
      <c r="F68" s="74"/>
      <c r="G68" s="74"/>
      <c r="H68" s="74"/>
      <c r="I68" s="123"/>
      <c r="J68" s="111"/>
      <c r="K68" s="115"/>
      <c r="L68" s="76"/>
      <c r="M68" s="63"/>
      <c r="N68" s="64"/>
      <c r="O68" s="73"/>
      <c r="Q68" s="10"/>
      <c r="R68"/>
      <c r="S68" s="8"/>
      <c r="T68" s="12"/>
      <c r="U68" s="13"/>
    </row>
  </sheetData>
  <autoFilter ref="F11:S50" xr:uid="{00000000-0009-0000-0000-000000000000}"/>
  <mergeCells count="14">
    <mergeCell ref="G37:I37"/>
    <mergeCell ref="G48:I48"/>
    <mergeCell ref="G27:I27"/>
    <mergeCell ref="I32:L32"/>
    <mergeCell ref="F14:I14"/>
    <mergeCell ref="I21:L21"/>
    <mergeCell ref="F2:H2"/>
    <mergeCell ref="K2:M2"/>
    <mergeCell ref="F3:H3"/>
    <mergeCell ref="F4:H4"/>
    <mergeCell ref="N4:O5"/>
    <mergeCell ref="F5:H5"/>
    <mergeCell ref="K5:L6"/>
    <mergeCell ref="F6:H6"/>
  </mergeCells>
  <phoneticPr fontId="15"/>
  <dataValidations disablePrompts="1" count="1">
    <dataValidation allowBlank="1" showInputMessage="1" showErrorMessage="1" sqref="N20:N21" xr:uid="{35C1FD9D-ED76-46B9-9D9B-C55C28FC69D1}"/>
  </dataValidations>
  <pageMargins left="0.2" right="0.2" top="0.36" bottom="0.41" header="0.3" footer="0.3"/>
  <pageSetup paperSize="9" scale="7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225346　原価表  20250807 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 秀昭</dc:creator>
  <cp:lastModifiedBy>shinohara</cp:lastModifiedBy>
  <cp:lastPrinted>2018-06-15T01:25:43Z</cp:lastPrinted>
  <dcterms:created xsi:type="dcterms:W3CDTF">2011-12-13T06:48:43Z</dcterms:created>
  <dcterms:modified xsi:type="dcterms:W3CDTF">2025-08-28T02:48:19Z</dcterms:modified>
</cp:coreProperties>
</file>