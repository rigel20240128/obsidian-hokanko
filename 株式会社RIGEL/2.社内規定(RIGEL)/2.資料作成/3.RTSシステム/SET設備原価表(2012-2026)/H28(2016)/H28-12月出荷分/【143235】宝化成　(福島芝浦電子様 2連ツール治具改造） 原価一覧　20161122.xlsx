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345"/>
  </bookViews>
  <sheets>
    <sheet name="NEW (ﾋﾟｯﾁ変更TYPE) (２SET) " sheetId="8" r:id="rId1"/>
    <sheet name="NEW (ﾋﾟｯﾁ変更TYPE) (１SET) " sheetId="7" r:id="rId2"/>
    <sheet name="Sheet2" sheetId="5" r:id="rId3"/>
    <sheet name="Sheet3" sheetId="6" r:id="rId4"/>
  </sheets>
  <definedNames>
    <definedName name="_xlnm._FilterDatabase" localSheetId="1">'NEW (ﾋﾟｯﾁ変更TYPE) (１SET) '!$B$8:$O$38</definedName>
    <definedName name="_xlnm._FilterDatabase" localSheetId="0">'NEW (ﾋﾟｯﾁ変更TYPE) (２SET) '!$B$8:$O$39</definedName>
  </definedNames>
  <calcPr calcId="145621"/>
</workbook>
</file>

<file path=xl/calcChain.xml><?xml version="1.0" encoding="utf-8"?>
<calcChain xmlns="http://schemas.openxmlformats.org/spreadsheetml/2006/main">
  <c r="H18" i="8" l="1"/>
  <c r="H41" i="8" l="1"/>
  <c r="H40" i="8"/>
  <c r="H17" i="8" l="1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46" i="8"/>
  <c r="H45" i="8"/>
  <c r="H44" i="8"/>
  <c r="H39" i="8"/>
  <c r="H16" i="8"/>
  <c r="H15" i="8"/>
  <c r="H14" i="8"/>
  <c r="H13" i="8"/>
  <c r="H12" i="8"/>
  <c r="H11" i="8"/>
  <c r="H10" i="8"/>
  <c r="H9" i="8"/>
  <c r="J2" i="8" l="1"/>
  <c r="H18" i="7"/>
  <c r="H38" i="7" l="1"/>
  <c r="H37" i="7"/>
  <c r="H36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6" i="7"/>
  <c r="H15" i="7"/>
  <c r="H14" i="7"/>
  <c r="H13" i="7"/>
  <c r="H12" i="7"/>
  <c r="H11" i="7"/>
  <c r="H10" i="7"/>
  <c r="H9" i="7"/>
  <c r="J2" i="7" l="1"/>
</calcChain>
</file>

<file path=xl/comments1.xml><?xml version="1.0" encoding="utf-8"?>
<comments xmlns="http://schemas.openxmlformats.org/spreadsheetml/2006/main">
  <authors>
    <author>h-saito</author>
  </authors>
  <commentList>
    <comment ref="E37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b/>
            <sz val="9"/>
            <color indexed="81"/>
            <rFont val="ＭＳ Ｐゴシック"/>
            <family val="3"/>
            <charset val="128"/>
          </rPr>
          <t>SXSNS3-L2-P1.5-B2.5-H4.9-T1-E1.5 
追加工が有るため２０個は早急に発注頂き
仙台営業所に納品下さい。</t>
        </r>
      </text>
    </comment>
  </commentList>
</comments>
</file>

<file path=xl/sharedStrings.xml><?xml version="1.0" encoding="utf-8"?>
<sst xmlns="http://schemas.openxmlformats.org/spreadsheetml/2006/main" count="346" uniqueCount="109">
  <si>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</si>
  <si>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</si>
  <si>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</si>
  <si>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</si>
  <si>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</si>
  <si>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</si>
  <si>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</si>
  <si>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</si>
  <si>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</si>
  <si>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</si>
  <si>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</si>
  <si>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</si>
  <si>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</si>
  <si>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</si>
  <si>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</si>
  <si>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</si>
  <si>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</si>
  <si>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</si>
  <si>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</si>
  <si>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</si>
  <si>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</si>
  <si>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</si>
  <si>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ﾂｰﾙ取りけﾒｲﾝﾌﾞﾗｹｯﾄ</t>
  </si>
  <si>
    <t>左Z軸ﾏｲｸﾛﾌﾞﾗｹｯﾄ</t>
  </si>
  <si>
    <t>Z軸補強樹脂</t>
  </si>
  <si>
    <t>Z軸ﾏｲｸﾛﾌﾞﾗｹｯﾄ</t>
  </si>
  <si>
    <t>変換部品</t>
  </si>
  <si>
    <t>右Z軸ﾏｲｸﾛﾌﾞﾗｹｯﾄ</t>
  </si>
  <si>
    <t>XYZ軸ﾏｲｸﾛ調整ﾌﾞﾗｹｯﾄ</t>
  </si>
  <si>
    <t>XYZ軸ﾏｲｸﾛ調整ﾌﾞﾗｹｯﾄ補強</t>
  </si>
  <si>
    <t>ミスミ</t>
  </si>
  <si>
    <t>MS3-10</t>
  </si>
  <si>
    <t>ﾉｯｸﾋﾟﾝ　φ3-10mm</t>
  </si>
  <si>
    <t>MSC2-10</t>
  </si>
  <si>
    <t>ﾉｯｸﾋﾟﾝ　φ2-10mm</t>
  </si>
  <si>
    <t>リニアボールX軸ステージ</t>
  </si>
  <si>
    <t>BSS73-40CR</t>
  </si>
  <si>
    <t>リニアボールXＹＺ軸ステージ</t>
  </si>
  <si>
    <t>SCB5-10</t>
  </si>
  <si>
    <t>六角穴付きﾎﾞﾙﾄ　 (M5×10)</t>
  </si>
  <si>
    <t>六角穴付きﾎﾞﾙﾄ　 (M5×12)</t>
  </si>
  <si>
    <t>SCB4-12</t>
  </si>
  <si>
    <t>六角穴付きﾎﾞﾙﾄ　 (M4×12)</t>
  </si>
  <si>
    <t>SCB4-10</t>
  </si>
  <si>
    <t>六角穴付きﾎﾞﾙﾄ　 (M4×10)</t>
  </si>
  <si>
    <t>SCB4-8</t>
  </si>
  <si>
    <t>六角穴付きﾎﾞﾙﾄ　 (M4×8)</t>
  </si>
  <si>
    <t>SCB3-8</t>
  </si>
  <si>
    <t>六角穴付きﾎﾞﾙﾄ　 (M3×8)</t>
  </si>
  <si>
    <t>運送費</t>
  </si>
  <si>
    <t>設計費</t>
  </si>
  <si>
    <t>組立調整費</t>
  </si>
  <si>
    <t>東北ﾏﾃﾘｱﾙ</t>
  </si>
  <si>
    <t>133773－X001-1</t>
  </si>
  <si>
    <t>図面送信済み</t>
  </si>
  <si>
    <t>133773－X002-1</t>
  </si>
  <si>
    <t>133773－X003-1</t>
  </si>
  <si>
    <t>133773－X004-1</t>
  </si>
  <si>
    <t>133773－X005-1</t>
  </si>
  <si>
    <t>133773－X007</t>
  </si>
  <si>
    <t>133773－X008</t>
  </si>
  <si>
    <t>DJC10-5-10</t>
  </si>
  <si>
    <t>断熱ﾜｯｼｬｰ　耐熱用</t>
  </si>
  <si>
    <t>DJW10-5-5</t>
  </si>
  <si>
    <t>FWSSS-D10-V5.0-T1.7</t>
  </si>
  <si>
    <t>ﾜｯｼﾔ(1.7mm）</t>
  </si>
  <si>
    <t>XSG40</t>
  </si>
  <si>
    <t>CBSTS5-12</t>
  </si>
  <si>
    <t>CBSTS5-20</t>
  </si>
  <si>
    <t>六角穴付きﾎﾞﾙﾄ　 (M5×20)</t>
  </si>
  <si>
    <t>SCB3-12</t>
  </si>
  <si>
    <t>六角穴付きﾎﾞﾙﾄ　 (M3×12)</t>
  </si>
  <si>
    <t>SCB3-6</t>
  </si>
  <si>
    <t>六角穴付きﾎﾞﾙﾄ　 (M3×6)</t>
  </si>
  <si>
    <t>見積もり確認中</t>
    <rPh sb="0" eb="2">
      <t>ミツ</t>
    </rPh>
    <rPh sb="4" eb="6">
      <t>カクニン</t>
    </rPh>
    <rPh sb="6" eb="7">
      <t>チュウ</t>
    </rPh>
    <phoneticPr fontId="7"/>
  </si>
  <si>
    <t>宝化成（福島芝浦電子）様</t>
    <phoneticPr fontId="7"/>
  </si>
  <si>
    <t>ＣＢＳＴＳ5-16</t>
    <phoneticPr fontId="7"/>
  </si>
  <si>
    <t>ＣＢＳＴＳ5-25</t>
    <phoneticPr fontId="7"/>
  </si>
  <si>
    <t>ｺﾞｸﾃｲﾄｳﾎﾞﾙﾄ</t>
    <phoneticPr fontId="7"/>
  </si>
  <si>
    <t>位置決めPIN先端加工φ1.5⇒1㎜幅ｶｯﾄ</t>
    <rPh sb="0" eb="2">
      <t>イチ</t>
    </rPh>
    <rPh sb="2" eb="3">
      <t>キ</t>
    </rPh>
    <rPh sb="7" eb="9">
      <t>センタン</t>
    </rPh>
    <rPh sb="9" eb="11">
      <t>カコウ</t>
    </rPh>
    <rPh sb="18" eb="19">
      <t>ハバ</t>
    </rPh>
    <phoneticPr fontId="7"/>
  </si>
  <si>
    <t>133773－X006-2</t>
    <phoneticPr fontId="7"/>
  </si>
  <si>
    <t>千葉(齋藤）</t>
    <rPh sb="0" eb="2">
      <t>チバ</t>
    </rPh>
    <rPh sb="3" eb="5">
      <t>サイトウ</t>
    </rPh>
    <phoneticPr fontId="7"/>
  </si>
  <si>
    <t>SXSNS3-L2-P1.5-B2.5-H4.9-T1-E1.5</t>
    <phoneticPr fontId="7"/>
  </si>
  <si>
    <r>
      <t>イチギメピン</t>
    </r>
    <r>
      <rPr>
        <sz val="9"/>
        <color theme="1"/>
        <rFont val="Arial"/>
        <family val="2"/>
      </rPr>
      <t xml:space="preserve"> (SXSNS)</t>
    </r>
  </si>
  <si>
    <t>SXSNS3-L2-P1.5-B2.5-H4.9-T1-E1.5の追加工</t>
    <rPh sb="33" eb="35">
      <t>ツイカ</t>
    </rPh>
    <rPh sb="35" eb="36">
      <t>コウ</t>
    </rPh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</si>
  <si>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001-1</t>
    </r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</si>
  <si>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002-1</t>
    </r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</si>
  <si>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003-1</t>
    </r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</si>
  <si>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004-1</t>
    </r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</si>
  <si>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005-1</t>
    </r>
    <phoneticPr fontId="7"/>
  </si>
  <si>
    <t>133773－Y006-2</t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</si>
  <si>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007</t>
    </r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</si>
  <si>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008</t>
    </r>
    <phoneticPr fontId="7"/>
  </si>
  <si>
    <t>仙台営業所直送</t>
    <rPh sb="0" eb="2">
      <t>センダイ</t>
    </rPh>
    <rPh sb="2" eb="5">
      <t>エイギョウショ</t>
    </rPh>
    <rPh sb="5" eb="7">
      <t>チョクソウ</t>
    </rPh>
    <phoneticPr fontId="7"/>
  </si>
  <si>
    <t>仙台営業所へ直送2016/12/2</t>
    <rPh sb="0" eb="2">
      <t>センダイ</t>
    </rPh>
    <rPh sb="2" eb="4">
      <t>エイギョウ</t>
    </rPh>
    <rPh sb="4" eb="5">
      <t>ショ</t>
    </rPh>
    <rPh sb="6" eb="8">
      <t>チョクソウ</t>
    </rPh>
    <phoneticPr fontId="7"/>
  </si>
  <si>
    <t>SXSNS3-L2-P1.5-B2.5-H4.9-T1-E1.5</t>
  </si>
  <si>
    <t>イチギメピン (SXSNS)</t>
  </si>
  <si>
    <t>仙台営業所へ直送2016/12/13</t>
  </si>
  <si>
    <t>AXSH111-VC-1LA4-5-F</t>
  </si>
  <si>
    <t>KKC 2016/12/19</t>
    <phoneticPr fontId="7"/>
  </si>
  <si>
    <r>
      <t>F</t>
    </r>
    <r>
      <rPr>
        <sz val="11"/>
        <color theme="1"/>
        <rFont val="ＭＳ Ｐゴシック"/>
        <family val="3"/>
        <charset val="128"/>
        <scheme val="minor"/>
      </rPr>
      <t>Aｽｲｯﾁボックス</t>
    </r>
    <phoneticPr fontId="7"/>
  </si>
  <si>
    <t>12・19</t>
    <phoneticPr fontId="7"/>
  </si>
  <si>
    <t>UL2570(FA) 18AWGX4-3</t>
    <phoneticPr fontId="7"/>
  </si>
  <si>
    <r>
      <t>T</t>
    </r>
    <r>
      <rPr>
        <sz val="11"/>
        <color theme="1"/>
        <rFont val="ＭＳ Ｐゴシック"/>
        <family val="3"/>
        <charset val="128"/>
        <scheme val="minor"/>
      </rPr>
      <t>T16-MLL4701</t>
    </r>
    <phoneticPr fontId="7"/>
  </si>
  <si>
    <t>テンド</t>
    <phoneticPr fontId="7"/>
  </si>
  <si>
    <t>ヒタチデンセン</t>
    <phoneticPr fontId="7"/>
  </si>
  <si>
    <t>HTC　UL2570（FA)ｼﾘｰｽﾞ</t>
    <phoneticPr fontId="7"/>
  </si>
  <si>
    <t>ファイ16オシボタン ショウコウ</t>
    <phoneticPr fontId="7"/>
  </si>
  <si>
    <t>仙台営業所直送(追加分）</t>
    <rPh sb="0" eb="2">
      <t>センダイ</t>
    </rPh>
    <rPh sb="2" eb="5">
      <t>エイギョウショ</t>
    </rPh>
    <rPh sb="5" eb="7">
      <t>チョクソウ</t>
    </rPh>
    <rPh sb="8" eb="10">
      <t>ツイカ</t>
    </rPh>
    <rPh sb="10" eb="11">
      <t>ブン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</si>
</sst>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yyyy/mm/dd"/>
  </numFmts>
  <fonts count="14" x14ac:knownFonts="1">
    <font>
      <sz val="11"/>
      <color theme="1"/>
      <name val="ＭＳ Ｐゴシック"/>
      <scheme val="minor"/>
    </font>
    <font>
      <sz val="11"/>
      <color rgb="FF000000"/>
      <name val="ＭＳ Ｐゴシック"/>
      <family val="3"/>
      <charset val="128"/>
    </font>
    <font>
      <b/>
      <sz val="9.9499999999999993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.9499999999999993"/>
      <color rgb="FFFF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000000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Arial"/>
      <family val="2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 applyFont="1">
      <alignment vertical="center"/>
    </xf>
    <xf numFmtId="0" fontId="0" fillId="0" borderId="0" xfId="0" applyFont="1">
      <alignment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vertical="center" shrinkToFit="1"/>
    </xf>
    <xf numFmtId="176" fontId="0" fillId="0" borderId="1" xfId="0" applyNumberFormat="1" applyFont="1" applyBorder="1">
      <alignment vertical="center"/>
    </xf>
    <xf numFmtId="177" fontId="0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right" vertical="center"/>
    </xf>
    <xf numFmtId="177" fontId="0" fillId="0" borderId="1" xfId="0" applyNumberFormat="1" applyFont="1" applyBorder="1" applyAlignment="1">
      <alignment horizontal="right" vertical="center"/>
    </xf>
    <xf numFmtId="176" fontId="0" fillId="0" borderId="1" xfId="0" applyNumberFormat="1" applyFont="1" applyBorder="1" applyAlignment="1"/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1" fillId="0" borderId="0" xfId="0" applyFont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shrinkToFit="1"/>
    </xf>
    <xf numFmtId="179" fontId="0" fillId="0" borderId="0" xfId="0" applyNumberFormat="1" applyFont="1" applyAlignment="1">
      <alignment horizontal="center" vertical="center"/>
    </xf>
    <xf numFmtId="177" fontId="0" fillId="0" borderId="0" xfId="0" applyNumberFormat="1" applyFont="1">
      <alignment vertical="center"/>
    </xf>
    <xf numFmtId="176" fontId="2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/>
    <xf numFmtId="0" fontId="3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77" fontId="3" fillId="0" borderId="0" xfId="0" applyNumberFormat="1" applyFont="1">
      <alignment vertical="center"/>
    </xf>
    <xf numFmtId="179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3" fontId="1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left" vertical="center" shrinkToFit="1"/>
    </xf>
    <xf numFmtId="0" fontId="0" fillId="0" borderId="2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shrinkToFi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/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 shrinkToFit="1"/>
    </xf>
    <xf numFmtId="0" fontId="3" fillId="0" borderId="1" xfId="0" applyFont="1" applyFill="1" applyBorder="1" applyAlignment="1">
      <alignment horizontal="center" vertical="center" shrinkToFit="1"/>
    </xf>
    <xf numFmtId="179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right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right" vertical="center"/>
    </xf>
    <xf numFmtId="0" fontId="0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176" fontId="0" fillId="0" borderId="1" xfId="0" applyNumberFormat="1" applyFont="1" applyFill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/>
    <xf numFmtId="0" fontId="3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shrinkToFit="1"/>
    </xf>
    <xf numFmtId="180" fontId="1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0" fontId="8" fillId="4" borderId="1" xfId="0" applyFont="1" applyFill="1" applyBorder="1" applyAlignment="1">
      <alignment vertical="center" shrinkToFit="1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vertical="center" shrinkToFit="1"/>
    </xf>
    <xf numFmtId="0" fontId="1" fillId="0" borderId="0" xfId="0" applyFont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2:R70"/>
  <sheetViews>
    <sheetView tabSelected="1" zoomScale="80" zoomScaleNormal="80" workbookViewId="0">
      <pane xSplit="10" ySplit="8" topLeftCell="K9" activePane="bottomRight" state="frozen"/>
      <selection activeCell="J28" sqref="J28"/>
      <selection pane="topRight" activeCell="J28" sqref="J28"/>
      <selection pane="bottomLeft" activeCell="J28" sqref="J28"/>
      <selection pane="bottomRight" activeCell="P19" sqref="P19"/>
    </sheetView>
  </sheetViews>
  <sheetFormatPr defaultColWidth="10.5" defaultRowHeight="13.5" customHeight="1" x14ac:dyDescent="0.15"/>
  <cols>
    <col min="1" max="1" width="2.875" style="21" customWidth="1"/>
    <col min="2" max="2" width="10.875" style="54" customWidth="1"/>
    <col min="3" max="3" width="15.75" style="21" customWidth="1"/>
    <col min="4" max="4" width="13.25" style="21" customWidth="1"/>
    <col min="5" max="5" width="29" style="21" customWidth="1"/>
    <col min="6" max="6" width="6.625" style="54" customWidth="1"/>
    <col min="7" max="7" width="9.25" style="54" customWidth="1"/>
    <col min="8" max="8" width="10.25" style="54" customWidth="1"/>
    <col min="9" max="9" width="6.375" style="17" customWidth="1"/>
    <col min="10" max="10" width="45.625" style="21" customWidth="1"/>
    <col min="11" max="11" width="19.875" style="21" customWidth="1"/>
    <col min="12" max="12" width="7.375" style="54" customWidth="1"/>
    <col min="13" max="13" width="15.25" style="54" customWidth="1"/>
    <col min="14" max="14" width="7.125" style="21" customWidth="1"/>
    <col min="15" max="15" width="14.75" style="17" customWidth="1"/>
    <col min="16" max="16" width="25.625" style="24" customWidth="1"/>
    <col min="17" max="17" width="17.375" style="24" customWidth="1"/>
    <col min="18" max="16384" width="10.5" style="21"/>
  </cols>
  <sheetData>
    <row r="2" spans="2:18" ht="20.100000000000001" customHeight="1" x14ac:dyDescent="0.15">
      <c r="B2" s="98" t="s">
        <v>0</v>
      </c>
      <c r="C2" s="98"/>
      <c r="D2" s="98"/>
      <c r="E2" s="90" t="s">
        <v>75</v>
      </c>
      <c r="F2" s="38"/>
      <c r="G2" s="99" t="s">
        <v>1</v>
      </c>
      <c r="H2" s="100"/>
      <c r="I2" s="101"/>
      <c r="J2" s="25">
        <f>SUM(H:H)</f>
        <v>359502</v>
      </c>
      <c r="K2" s="26"/>
      <c r="L2" s="38"/>
      <c r="M2" s="38"/>
      <c r="N2" s="26"/>
      <c r="O2" s="27"/>
      <c r="P2" s="35"/>
      <c r="Q2" s="35"/>
      <c r="R2" s="26"/>
    </row>
    <row r="3" spans="2:18" ht="20.100000000000001" customHeight="1" x14ac:dyDescent="0.15">
      <c r="B3" s="98" t="s">
        <v>2</v>
      </c>
      <c r="C3" s="98"/>
      <c r="D3" s="98"/>
      <c r="E3" s="90" t="s">
        <v>81</v>
      </c>
      <c r="F3" s="38"/>
      <c r="G3" s="38"/>
      <c r="H3" s="38"/>
      <c r="I3" s="27"/>
      <c r="J3" s="26"/>
      <c r="K3" s="26"/>
      <c r="L3" s="38"/>
      <c r="M3" s="38"/>
      <c r="N3" s="26"/>
      <c r="O3" s="27"/>
      <c r="P3" s="35"/>
      <c r="Q3" s="35"/>
      <c r="R3" s="26"/>
    </row>
    <row r="4" spans="2:18" ht="20.100000000000001" customHeight="1" x14ac:dyDescent="0.15">
      <c r="B4" s="98" t="s">
        <v>3</v>
      </c>
      <c r="C4" s="98"/>
      <c r="D4" s="98"/>
      <c r="E4" s="90">
        <v>143235</v>
      </c>
      <c r="F4" s="38"/>
      <c r="G4" s="38"/>
      <c r="H4" s="38"/>
      <c r="I4" s="27"/>
      <c r="J4" s="26"/>
      <c r="K4" s="26"/>
      <c r="L4" s="38"/>
      <c r="M4" s="38"/>
      <c r="N4" s="26"/>
      <c r="O4" s="27"/>
      <c r="P4" s="35"/>
      <c r="Q4" s="35"/>
      <c r="R4" s="26"/>
    </row>
    <row r="5" spans="2:18" ht="20.100000000000001" customHeight="1" x14ac:dyDescent="0.15">
      <c r="B5" s="98" t="s">
        <v>4</v>
      </c>
      <c r="C5" s="98"/>
      <c r="D5" s="98"/>
      <c r="E5" s="91">
        <v>42720</v>
      </c>
      <c r="F5" s="38"/>
      <c r="G5" s="38"/>
      <c r="H5" s="71"/>
      <c r="I5" s="41"/>
      <c r="J5" s="26"/>
      <c r="K5" s="26"/>
      <c r="L5" s="38"/>
      <c r="M5" s="38"/>
      <c r="N5" s="26"/>
      <c r="O5" s="27"/>
      <c r="P5" s="35"/>
      <c r="Q5" s="35"/>
      <c r="R5" s="26"/>
    </row>
    <row r="6" spans="2:18" ht="20.100000000000001" customHeight="1" x14ac:dyDescent="0.15">
      <c r="B6" s="98" t="s">
        <v>5</v>
      </c>
      <c r="C6" s="98"/>
      <c r="D6" s="98"/>
      <c r="E6" s="91">
        <v>42720</v>
      </c>
      <c r="F6" s="38"/>
      <c r="G6" s="38"/>
      <c r="H6" s="38"/>
      <c r="I6" s="27"/>
      <c r="J6" s="26"/>
      <c r="K6" s="26"/>
      <c r="L6" s="38"/>
      <c r="M6" s="38"/>
      <c r="N6" s="26"/>
      <c r="O6" s="27"/>
      <c r="P6" s="35"/>
      <c r="Q6" s="35"/>
      <c r="R6" s="26"/>
    </row>
    <row r="7" spans="2:18" ht="13.5" customHeight="1" x14ac:dyDescent="0.15">
      <c r="B7" s="38"/>
      <c r="C7" s="26"/>
      <c r="D7" s="26"/>
      <c r="E7" s="26"/>
      <c r="F7" s="38"/>
      <c r="G7" s="38"/>
      <c r="H7" s="38"/>
      <c r="I7" s="27"/>
      <c r="J7" s="26"/>
      <c r="K7" s="26"/>
      <c r="L7" s="38"/>
      <c r="M7" s="38"/>
      <c r="N7" s="26"/>
      <c r="O7" s="27"/>
      <c r="P7" s="35"/>
      <c r="Q7" s="35"/>
      <c r="R7" s="26"/>
    </row>
    <row r="8" spans="2:18" s="54" customFormat="1" ht="19.5" customHeight="1" x14ac:dyDescent="0.15">
      <c r="B8" s="28" t="s">
        <v>6</v>
      </c>
      <c r="C8" s="28" t="s">
        <v>7</v>
      </c>
      <c r="D8" s="28" t="s">
        <v>8</v>
      </c>
      <c r="E8" s="34" t="s">
        <v>9</v>
      </c>
      <c r="F8" s="34" t="s">
        <v>10</v>
      </c>
      <c r="G8" s="34" t="s">
        <v>11</v>
      </c>
      <c r="H8" s="29" t="s">
        <v>12</v>
      </c>
      <c r="I8" s="29" t="s">
        <v>13</v>
      </c>
      <c r="J8" s="34" t="s">
        <v>14</v>
      </c>
      <c r="K8" s="34" t="s">
        <v>15</v>
      </c>
      <c r="L8" s="34" t="s">
        <v>16</v>
      </c>
      <c r="M8" s="28" t="s">
        <v>17</v>
      </c>
      <c r="N8" s="28" t="s">
        <v>18</v>
      </c>
      <c r="O8" s="34" t="s">
        <v>19</v>
      </c>
      <c r="P8" s="36" t="s">
        <v>20</v>
      </c>
      <c r="Q8" s="37" t="s">
        <v>21</v>
      </c>
      <c r="R8" s="38"/>
    </row>
    <row r="9" spans="2:18" s="54" customFormat="1" ht="18" customHeight="1" x14ac:dyDescent="0.15">
      <c r="B9" s="34">
        <v>1</v>
      </c>
      <c r="C9" s="46" t="s">
        <v>52</v>
      </c>
      <c r="D9" s="46" t="s">
        <v>52</v>
      </c>
      <c r="E9" s="88" t="s">
        <v>85</v>
      </c>
      <c r="F9" s="10">
        <v>2</v>
      </c>
      <c r="G9" s="60">
        <v>21000</v>
      </c>
      <c r="H9" s="44">
        <f t="shared" ref="H9:H37" si="0">F9*G9</f>
        <v>42000</v>
      </c>
      <c r="I9" s="48"/>
      <c r="J9" s="50" t="s">
        <v>22</v>
      </c>
      <c r="K9" s="32" t="s">
        <v>54</v>
      </c>
      <c r="L9" s="39"/>
      <c r="M9" s="36"/>
      <c r="N9" s="37"/>
      <c r="O9" s="36">
        <v>42720</v>
      </c>
      <c r="P9" s="36" t="s">
        <v>93</v>
      </c>
      <c r="Q9" s="42"/>
      <c r="R9" s="41"/>
    </row>
    <row r="10" spans="2:18" s="54" customFormat="1" ht="18" customHeight="1" x14ac:dyDescent="0.15">
      <c r="B10" s="34">
        <v>2</v>
      </c>
      <c r="C10" s="46" t="s">
        <v>52</v>
      </c>
      <c r="D10" s="46" t="s">
        <v>52</v>
      </c>
      <c r="E10" s="88" t="s">
        <v>86</v>
      </c>
      <c r="F10" s="10">
        <v>2</v>
      </c>
      <c r="G10" s="60">
        <v>6000</v>
      </c>
      <c r="H10" s="44">
        <f t="shared" si="0"/>
        <v>12000</v>
      </c>
      <c r="I10" s="9"/>
      <c r="J10" s="16" t="s">
        <v>23</v>
      </c>
      <c r="K10" s="32" t="s">
        <v>54</v>
      </c>
      <c r="L10" s="39"/>
      <c r="M10" s="36"/>
      <c r="N10" s="37"/>
      <c r="O10" s="36">
        <v>42720</v>
      </c>
      <c r="P10" s="36" t="s">
        <v>93</v>
      </c>
      <c r="Q10" s="42"/>
      <c r="R10" s="41"/>
    </row>
    <row r="11" spans="2:18" s="54" customFormat="1" ht="18" customHeight="1" x14ac:dyDescent="0.15">
      <c r="B11" s="34">
        <v>3</v>
      </c>
      <c r="C11" s="46" t="s">
        <v>52</v>
      </c>
      <c r="D11" s="46" t="s">
        <v>52</v>
      </c>
      <c r="E11" s="88" t="s">
        <v>87</v>
      </c>
      <c r="F11" s="52">
        <v>2</v>
      </c>
      <c r="G11" s="89">
        <v>2800</v>
      </c>
      <c r="H11" s="44">
        <f t="shared" si="0"/>
        <v>5600</v>
      </c>
      <c r="I11" s="9"/>
      <c r="J11" s="49" t="s">
        <v>24</v>
      </c>
      <c r="K11" s="32" t="s">
        <v>54</v>
      </c>
      <c r="L11" s="39"/>
      <c r="M11" s="36"/>
      <c r="N11" s="37"/>
      <c r="O11" s="36">
        <v>42720</v>
      </c>
      <c r="P11" s="36" t="s">
        <v>93</v>
      </c>
      <c r="Q11" s="42"/>
      <c r="R11" s="41"/>
    </row>
    <row r="12" spans="2:18" s="54" customFormat="1" ht="18" customHeight="1" x14ac:dyDescent="0.15">
      <c r="B12" s="34">
        <v>4</v>
      </c>
      <c r="C12" s="46" t="s">
        <v>52</v>
      </c>
      <c r="D12" s="46" t="s">
        <v>52</v>
      </c>
      <c r="E12" s="88" t="s">
        <v>88</v>
      </c>
      <c r="F12" s="30">
        <v>2</v>
      </c>
      <c r="G12" s="57">
        <v>7000</v>
      </c>
      <c r="H12" s="44">
        <f t="shared" si="0"/>
        <v>14000</v>
      </c>
      <c r="I12" s="31"/>
      <c r="J12" s="16" t="s">
        <v>27</v>
      </c>
      <c r="K12" s="32" t="s">
        <v>54</v>
      </c>
      <c r="L12" s="39"/>
      <c r="M12" s="36"/>
      <c r="N12" s="37"/>
      <c r="O12" s="36">
        <v>42720</v>
      </c>
      <c r="P12" s="36" t="s">
        <v>93</v>
      </c>
      <c r="Q12" s="42"/>
      <c r="R12" s="41"/>
    </row>
    <row r="13" spans="2:18" s="54" customFormat="1" ht="18" customHeight="1" x14ac:dyDescent="0.15">
      <c r="B13" s="34">
        <v>5</v>
      </c>
      <c r="C13" s="46" t="s">
        <v>52</v>
      </c>
      <c r="D13" s="46" t="s">
        <v>52</v>
      </c>
      <c r="E13" s="88" t="s">
        <v>89</v>
      </c>
      <c r="F13" s="30">
        <v>2</v>
      </c>
      <c r="G13" s="57">
        <v>8500</v>
      </c>
      <c r="H13" s="44">
        <f t="shared" si="0"/>
        <v>17000</v>
      </c>
      <c r="I13" s="31"/>
      <c r="J13" s="50" t="s">
        <v>26</v>
      </c>
      <c r="K13" s="32" t="s">
        <v>54</v>
      </c>
      <c r="L13" s="39"/>
      <c r="M13" s="36"/>
      <c r="N13" s="37"/>
      <c r="O13" s="36">
        <v>42720</v>
      </c>
      <c r="P13" s="36" t="s">
        <v>93</v>
      </c>
      <c r="Q13" s="42"/>
      <c r="R13" s="41"/>
    </row>
    <row r="14" spans="2:18" s="54" customFormat="1" ht="18" customHeight="1" x14ac:dyDescent="0.15">
      <c r="B14" s="34">
        <v>6</v>
      </c>
      <c r="C14" s="46" t="s">
        <v>52</v>
      </c>
      <c r="D14" s="46" t="s">
        <v>52</v>
      </c>
      <c r="E14" s="88" t="s">
        <v>90</v>
      </c>
      <c r="F14" s="30">
        <v>2</v>
      </c>
      <c r="G14" s="57">
        <v>6200</v>
      </c>
      <c r="H14" s="44">
        <f t="shared" si="0"/>
        <v>12400</v>
      </c>
      <c r="I14" s="31"/>
      <c r="J14" s="16" t="s">
        <v>25</v>
      </c>
      <c r="K14" s="32" t="s">
        <v>54</v>
      </c>
      <c r="L14" s="39"/>
      <c r="M14" s="36"/>
      <c r="N14" s="37"/>
      <c r="O14" s="36">
        <v>42720</v>
      </c>
      <c r="P14" s="36" t="s">
        <v>93</v>
      </c>
      <c r="Q14" s="42"/>
      <c r="R14" s="41"/>
    </row>
    <row r="15" spans="2:18" s="54" customFormat="1" ht="18" customHeight="1" x14ac:dyDescent="0.15">
      <c r="B15" s="34">
        <v>7</v>
      </c>
      <c r="C15" s="46" t="s">
        <v>52</v>
      </c>
      <c r="D15" s="46" t="s">
        <v>52</v>
      </c>
      <c r="E15" s="88" t="s">
        <v>91</v>
      </c>
      <c r="F15" s="30">
        <v>2</v>
      </c>
      <c r="G15" s="57">
        <v>6000</v>
      </c>
      <c r="H15" s="44">
        <f t="shared" si="0"/>
        <v>12000</v>
      </c>
      <c r="I15" s="31"/>
      <c r="J15" s="16" t="s">
        <v>29</v>
      </c>
      <c r="K15" s="32" t="s">
        <v>54</v>
      </c>
      <c r="L15" s="39"/>
      <c r="M15" s="36"/>
      <c r="N15" s="37"/>
      <c r="O15" s="36">
        <v>42720</v>
      </c>
      <c r="P15" s="36" t="s">
        <v>93</v>
      </c>
      <c r="Q15" s="42"/>
      <c r="R15" s="41"/>
    </row>
    <row r="16" spans="2:18" s="54" customFormat="1" ht="18" customHeight="1" x14ac:dyDescent="0.15">
      <c r="B16" s="34">
        <v>8</v>
      </c>
      <c r="C16" s="46" t="s">
        <v>52</v>
      </c>
      <c r="D16" s="46" t="s">
        <v>52</v>
      </c>
      <c r="E16" s="88" t="s">
        <v>92</v>
      </c>
      <c r="F16" s="30">
        <v>2</v>
      </c>
      <c r="G16" s="57">
        <v>6000</v>
      </c>
      <c r="H16" s="44">
        <f t="shared" si="0"/>
        <v>12000</v>
      </c>
      <c r="I16" s="31"/>
      <c r="J16" s="16" t="s">
        <v>28</v>
      </c>
      <c r="K16" s="32" t="s">
        <v>54</v>
      </c>
      <c r="L16" s="39"/>
      <c r="M16" s="36"/>
      <c r="N16" s="37"/>
      <c r="O16" s="36">
        <v>42720</v>
      </c>
      <c r="P16" s="36" t="s">
        <v>93</v>
      </c>
      <c r="Q16" s="42"/>
      <c r="R16" s="41"/>
    </row>
    <row r="17" spans="2:18" s="54" customFormat="1" ht="18" customHeight="1" x14ac:dyDescent="0.15">
      <c r="B17" s="34">
        <v>9</v>
      </c>
      <c r="C17" s="46" t="s">
        <v>52</v>
      </c>
      <c r="D17" s="46" t="s">
        <v>52</v>
      </c>
      <c r="E17" s="88" t="s">
        <v>79</v>
      </c>
      <c r="F17" s="30">
        <v>12</v>
      </c>
      <c r="G17" s="57">
        <v>900</v>
      </c>
      <c r="H17" s="44">
        <f t="shared" si="0"/>
        <v>10800</v>
      </c>
      <c r="I17" s="31"/>
      <c r="J17" s="16" t="s">
        <v>84</v>
      </c>
      <c r="K17" s="32" t="s">
        <v>54</v>
      </c>
      <c r="L17" s="39"/>
      <c r="M17" s="36"/>
      <c r="N17" s="37"/>
      <c r="O17" s="36">
        <v>42720</v>
      </c>
      <c r="P17" s="36" t="s">
        <v>93</v>
      </c>
      <c r="Q17" s="42"/>
      <c r="R17" s="41"/>
    </row>
    <row r="18" spans="2:18" s="54" customFormat="1" ht="18" customHeight="1" x14ac:dyDescent="0.15">
      <c r="B18" s="34"/>
      <c r="C18" s="46" t="s">
        <v>52</v>
      </c>
      <c r="D18" s="46" t="s">
        <v>52</v>
      </c>
      <c r="E18" s="88" t="s">
        <v>79</v>
      </c>
      <c r="F18" s="30">
        <v>12</v>
      </c>
      <c r="G18" s="57">
        <v>900</v>
      </c>
      <c r="H18" s="44">
        <f t="shared" si="0"/>
        <v>10800</v>
      </c>
      <c r="I18" s="31"/>
      <c r="J18" s="16" t="s">
        <v>84</v>
      </c>
      <c r="K18" s="32" t="s">
        <v>54</v>
      </c>
      <c r="L18" s="39"/>
      <c r="M18" s="36"/>
      <c r="N18" s="37"/>
      <c r="O18" s="36">
        <v>42720</v>
      </c>
      <c r="P18" s="36" t="s">
        <v>108</v>
      </c>
      <c r="Q18" s="42"/>
      <c r="R18" s="41"/>
    </row>
    <row r="19" spans="2:18" s="70" customFormat="1" ht="18" customHeight="1" x14ac:dyDescent="0.15">
      <c r="B19" s="34">
        <v>10</v>
      </c>
      <c r="C19" s="57" t="s">
        <v>30</v>
      </c>
      <c r="D19" s="57" t="s">
        <v>30</v>
      </c>
      <c r="E19" s="58" t="s">
        <v>61</v>
      </c>
      <c r="F19" s="59">
        <v>4</v>
      </c>
      <c r="G19" s="59">
        <v>840</v>
      </c>
      <c r="H19" s="44">
        <f t="shared" si="0"/>
        <v>3360</v>
      </c>
      <c r="I19" s="61"/>
      <c r="J19" s="62" t="s">
        <v>62</v>
      </c>
      <c r="K19" s="63"/>
      <c r="L19" s="64"/>
      <c r="M19" s="65">
        <v>42698</v>
      </c>
      <c r="N19" s="66"/>
      <c r="O19" s="36">
        <v>42720</v>
      </c>
      <c r="P19" s="65" t="s">
        <v>94</v>
      </c>
      <c r="Q19" s="68"/>
      <c r="R19" s="69"/>
    </row>
    <row r="20" spans="2:18" s="70" customFormat="1" ht="18" customHeight="1" x14ac:dyDescent="0.15">
      <c r="B20" s="34">
        <v>11</v>
      </c>
      <c r="C20" s="57" t="s">
        <v>30</v>
      </c>
      <c r="D20" s="57" t="s">
        <v>30</v>
      </c>
      <c r="E20" s="58" t="s">
        <v>63</v>
      </c>
      <c r="F20" s="59">
        <v>8</v>
      </c>
      <c r="G20" s="59">
        <v>490</v>
      </c>
      <c r="H20" s="44">
        <f t="shared" si="0"/>
        <v>3920</v>
      </c>
      <c r="I20" s="61"/>
      <c r="J20" s="62" t="s">
        <v>62</v>
      </c>
      <c r="K20" s="63"/>
      <c r="L20" s="64"/>
      <c r="M20" s="65">
        <v>42698</v>
      </c>
      <c r="N20" s="66"/>
      <c r="O20" s="36">
        <v>42720</v>
      </c>
      <c r="P20" s="65" t="s">
        <v>94</v>
      </c>
      <c r="Q20" s="68"/>
      <c r="R20" s="71"/>
    </row>
    <row r="21" spans="2:18" s="70" customFormat="1" ht="18" customHeight="1" x14ac:dyDescent="0.15">
      <c r="B21" s="34">
        <v>12</v>
      </c>
      <c r="C21" s="72" t="s">
        <v>30</v>
      </c>
      <c r="D21" s="72" t="s">
        <v>30</v>
      </c>
      <c r="E21" s="73" t="s">
        <v>64</v>
      </c>
      <c r="F21" s="74">
        <v>4</v>
      </c>
      <c r="G21" s="60">
        <v>320</v>
      </c>
      <c r="H21" s="44">
        <f t="shared" si="0"/>
        <v>1280</v>
      </c>
      <c r="I21" s="75"/>
      <c r="J21" s="76" t="s">
        <v>65</v>
      </c>
      <c r="K21" s="63"/>
      <c r="L21" s="64"/>
      <c r="M21" s="65">
        <v>42698</v>
      </c>
      <c r="N21" s="66"/>
      <c r="O21" s="36">
        <v>42720</v>
      </c>
      <c r="P21" s="65" t="s">
        <v>94</v>
      </c>
      <c r="Q21" s="68"/>
      <c r="R21" s="71"/>
    </row>
    <row r="22" spans="2:18" s="70" customFormat="1" ht="18" customHeight="1" x14ac:dyDescent="0.15">
      <c r="B22" s="34">
        <v>13</v>
      </c>
      <c r="C22" s="57" t="s">
        <v>30</v>
      </c>
      <c r="D22" s="57" t="s">
        <v>30</v>
      </c>
      <c r="E22" s="77" t="s">
        <v>31</v>
      </c>
      <c r="F22" s="59">
        <v>80</v>
      </c>
      <c r="G22" s="59">
        <v>19</v>
      </c>
      <c r="H22" s="44">
        <f t="shared" si="0"/>
        <v>1520</v>
      </c>
      <c r="I22" s="61"/>
      <c r="J22" s="78" t="s">
        <v>32</v>
      </c>
      <c r="K22" s="79"/>
      <c r="L22" s="64"/>
      <c r="M22" s="65">
        <v>42698</v>
      </c>
      <c r="N22" s="66"/>
      <c r="O22" s="36">
        <v>42720</v>
      </c>
      <c r="P22" s="65" t="s">
        <v>94</v>
      </c>
      <c r="Q22" s="68"/>
      <c r="R22" s="71"/>
    </row>
    <row r="23" spans="2:18" s="70" customFormat="1" ht="18" customHeight="1" x14ac:dyDescent="0.15">
      <c r="B23" s="34">
        <v>14</v>
      </c>
      <c r="C23" s="72" t="s">
        <v>30</v>
      </c>
      <c r="D23" s="72" t="s">
        <v>30</v>
      </c>
      <c r="E23" s="80" t="s">
        <v>33</v>
      </c>
      <c r="F23" s="74">
        <v>30</v>
      </c>
      <c r="G23" s="60">
        <v>90</v>
      </c>
      <c r="H23" s="44">
        <f t="shared" si="0"/>
        <v>2700</v>
      </c>
      <c r="I23" s="81"/>
      <c r="J23" s="80" t="s">
        <v>34</v>
      </c>
      <c r="K23" s="79"/>
      <c r="L23" s="64"/>
      <c r="M23" s="65">
        <v>42698</v>
      </c>
      <c r="N23" s="66"/>
      <c r="O23" s="36">
        <v>42720</v>
      </c>
      <c r="P23" s="65" t="s">
        <v>94</v>
      </c>
      <c r="Q23" s="68"/>
      <c r="R23" s="71"/>
    </row>
    <row r="24" spans="2:18" s="70" customFormat="1" ht="18" customHeight="1" x14ac:dyDescent="0.15">
      <c r="B24" s="34">
        <v>15</v>
      </c>
      <c r="C24" s="72" t="s">
        <v>30</v>
      </c>
      <c r="D24" s="72" t="s">
        <v>30</v>
      </c>
      <c r="E24" s="82" t="s">
        <v>66</v>
      </c>
      <c r="F24" s="74">
        <v>2</v>
      </c>
      <c r="G24" s="60">
        <v>16800</v>
      </c>
      <c r="H24" s="44">
        <f t="shared" si="0"/>
        <v>33600</v>
      </c>
      <c r="I24" s="81"/>
      <c r="J24" s="76" t="s">
        <v>35</v>
      </c>
      <c r="K24" s="79"/>
      <c r="L24" s="64"/>
      <c r="M24" s="65">
        <v>42698</v>
      </c>
      <c r="N24" s="66"/>
      <c r="O24" s="36">
        <v>42720</v>
      </c>
      <c r="P24" s="65" t="s">
        <v>94</v>
      </c>
      <c r="Q24" s="68"/>
      <c r="R24" s="71"/>
    </row>
    <row r="25" spans="2:18" s="70" customFormat="1" ht="18" customHeight="1" x14ac:dyDescent="0.15">
      <c r="B25" s="34">
        <v>16</v>
      </c>
      <c r="C25" s="72" t="s">
        <v>30</v>
      </c>
      <c r="D25" s="72" t="s">
        <v>30</v>
      </c>
      <c r="E25" s="83" t="s">
        <v>36</v>
      </c>
      <c r="F25" s="84">
        <v>2</v>
      </c>
      <c r="G25" s="59">
        <v>52030</v>
      </c>
      <c r="H25" s="44">
        <f t="shared" si="0"/>
        <v>104060</v>
      </c>
      <c r="I25" s="85"/>
      <c r="J25" s="76" t="s">
        <v>37</v>
      </c>
      <c r="K25" s="79"/>
      <c r="L25" s="64"/>
      <c r="M25" s="65">
        <v>42698</v>
      </c>
      <c r="N25" s="66"/>
      <c r="O25" s="36">
        <v>42720</v>
      </c>
      <c r="P25" s="65" t="s">
        <v>94</v>
      </c>
      <c r="Q25" s="68"/>
      <c r="R25" s="71"/>
    </row>
    <row r="26" spans="2:18" s="70" customFormat="1" ht="18" customHeight="1" x14ac:dyDescent="0.15">
      <c r="B26" s="34">
        <v>17</v>
      </c>
      <c r="C26" s="72" t="s">
        <v>30</v>
      </c>
      <c r="D26" s="72" t="s">
        <v>30</v>
      </c>
      <c r="E26" s="77" t="s">
        <v>38</v>
      </c>
      <c r="F26" s="59">
        <v>4</v>
      </c>
      <c r="G26" s="60">
        <v>75</v>
      </c>
      <c r="H26" s="44">
        <f t="shared" si="0"/>
        <v>300</v>
      </c>
      <c r="I26" s="81"/>
      <c r="J26" s="80" t="s">
        <v>39</v>
      </c>
      <c r="K26" s="86"/>
      <c r="L26" s="64"/>
      <c r="M26" s="65">
        <v>42698</v>
      </c>
      <c r="N26" s="66"/>
      <c r="O26" s="36">
        <v>42720</v>
      </c>
      <c r="P26" s="65" t="s">
        <v>94</v>
      </c>
      <c r="Q26" s="68"/>
      <c r="R26" s="71"/>
    </row>
    <row r="27" spans="2:18" s="70" customFormat="1" ht="18" customHeight="1" x14ac:dyDescent="0.15">
      <c r="B27" s="34">
        <v>18</v>
      </c>
      <c r="C27" s="72" t="s">
        <v>30</v>
      </c>
      <c r="D27" s="72" t="s">
        <v>30</v>
      </c>
      <c r="E27" s="77" t="s">
        <v>67</v>
      </c>
      <c r="F27" s="59">
        <v>4</v>
      </c>
      <c r="G27" s="60">
        <v>235</v>
      </c>
      <c r="H27" s="44">
        <f t="shared" si="0"/>
        <v>940</v>
      </c>
      <c r="I27" s="81"/>
      <c r="J27" s="80" t="s">
        <v>40</v>
      </c>
      <c r="K27" s="86"/>
      <c r="L27" s="64"/>
      <c r="M27" s="65">
        <v>42698</v>
      </c>
      <c r="N27" s="66"/>
      <c r="O27" s="36">
        <v>42720</v>
      </c>
      <c r="P27" s="65" t="s">
        <v>94</v>
      </c>
      <c r="Q27" s="68"/>
      <c r="R27" s="71"/>
    </row>
    <row r="28" spans="2:18" s="70" customFormat="1" ht="18" customHeight="1" x14ac:dyDescent="0.15">
      <c r="B28" s="34">
        <v>19</v>
      </c>
      <c r="C28" s="72" t="s">
        <v>30</v>
      </c>
      <c r="D28" s="72" t="s">
        <v>30</v>
      </c>
      <c r="E28" s="77" t="s">
        <v>68</v>
      </c>
      <c r="F28" s="59">
        <v>4</v>
      </c>
      <c r="G28" s="60">
        <v>265</v>
      </c>
      <c r="H28" s="44">
        <f t="shared" si="0"/>
        <v>1060</v>
      </c>
      <c r="I28" s="81"/>
      <c r="J28" s="80" t="s">
        <v>69</v>
      </c>
      <c r="K28" s="86"/>
      <c r="L28" s="64"/>
      <c r="M28" s="65">
        <v>42698</v>
      </c>
      <c r="N28" s="66"/>
      <c r="O28" s="36">
        <v>42720</v>
      </c>
      <c r="P28" s="65" t="s">
        <v>94</v>
      </c>
      <c r="Q28" s="68"/>
      <c r="R28" s="71"/>
    </row>
    <row r="29" spans="2:18" s="70" customFormat="1" ht="18" customHeight="1" x14ac:dyDescent="0.15">
      <c r="B29" s="34">
        <v>20</v>
      </c>
      <c r="C29" s="72" t="s">
        <v>30</v>
      </c>
      <c r="D29" s="72" t="s">
        <v>30</v>
      </c>
      <c r="E29" s="77" t="s">
        <v>41</v>
      </c>
      <c r="F29" s="59">
        <v>20</v>
      </c>
      <c r="G29" s="60">
        <v>30</v>
      </c>
      <c r="H29" s="44">
        <f t="shared" si="0"/>
        <v>600</v>
      </c>
      <c r="I29" s="81"/>
      <c r="J29" s="80" t="s">
        <v>42</v>
      </c>
      <c r="K29" s="86"/>
      <c r="L29" s="64"/>
      <c r="M29" s="65">
        <v>42698</v>
      </c>
      <c r="N29" s="66"/>
      <c r="O29" s="36">
        <v>42720</v>
      </c>
      <c r="P29" s="65" t="s">
        <v>94</v>
      </c>
      <c r="Q29" s="68"/>
      <c r="R29" s="71"/>
    </row>
    <row r="30" spans="2:18" s="70" customFormat="1" ht="18" customHeight="1" x14ac:dyDescent="0.15">
      <c r="B30" s="34">
        <v>21</v>
      </c>
      <c r="C30" s="72" t="s">
        <v>30</v>
      </c>
      <c r="D30" s="72" t="s">
        <v>30</v>
      </c>
      <c r="E30" s="77" t="s">
        <v>43</v>
      </c>
      <c r="F30" s="59">
        <v>20</v>
      </c>
      <c r="G30" s="60">
        <v>25</v>
      </c>
      <c r="H30" s="44">
        <f t="shared" si="0"/>
        <v>500</v>
      </c>
      <c r="I30" s="81"/>
      <c r="J30" s="80" t="s">
        <v>44</v>
      </c>
      <c r="K30" s="86"/>
      <c r="L30" s="64"/>
      <c r="M30" s="65">
        <v>42698</v>
      </c>
      <c r="N30" s="66"/>
      <c r="O30" s="36">
        <v>42720</v>
      </c>
      <c r="P30" s="65" t="s">
        <v>94</v>
      </c>
      <c r="Q30" s="68"/>
      <c r="R30" s="71"/>
    </row>
    <row r="31" spans="2:18" s="70" customFormat="1" ht="18" customHeight="1" x14ac:dyDescent="0.15">
      <c r="B31" s="34">
        <v>22</v>
      </c>
      <c r="C31" s="72" t="s">
        <v>30</v>
      </c>
      <c r="D31" s="72" t="s">
        <v>30</v>
      </c>
      <c r="E31" s="77" t="s">
        <v>45</v>
      </c>
      <c r="F31" s="59">
        <v>20</v>
      </c>
      <c r="G31" s="60">
        <v>25</v>
      </c>
      <c r="H31" s="44">
        <f t="shared" si="0"/>
        <v>500</v>
      </c>
      <c r="I31" s="81"/>
      <c r="J31" s="80" t="s">
        <v>46</v>
      </c>
      <c r="K31" s="86"/>
      <c r="L31" s="64"/>
      <c r="M31" s="65">
        <v>42698</v>
      </c>
      <c r="N31" s="66"/>
      <c r="O31" s="36">
        <v>42720</v>
      </c>
      <c r="P31" s="65" t="s">
        <v>94</v>
      </c>
      <c r="Q31" s="68"/>
      <c r="R31" s="71"/>
    </row>
    <row r="32" spans="2:18" s="70" customFormat="1" ht="18" customHeight="1" x14ac:dyDescent="0.15">
      <c r="B32" s="34">
        <v>23</v>
      </c>
      <c r="C32" s="72" t="s">
        <v>30</v>
      </c>
      <c r="D32" s="72" t="s">
        <v>30</v>
      </c>
      <c r="E32" s="77" t="s">
        <v>70</v>
      </c>
      <c r="F32" s="59">
        <v>20</v>
      </c>
      <c r="G32" s="60">
        <v>25</v>
      </c>
      <c r="H32" s="44">
        <f t="shared" si="0"/>
        <v>500</v>
      </c>
      <c r="I32" s="81"/>
      <c r="J32" s="80" t="s">
        <v>71</v>
      </c>
      <c r="K32" s="86"/>
      <c r="L32" s="64"/>
      <c r="M32" s="65">
        <v>42698</v>
      </c>
      <c r="N32" s="66"/>
      <c r="O32" s="36">
        <v>42720</v>
      </c>
      <c r="P32" s="65" t="s">
        <v>94</v>
      </c>
      <c r="Q32" s="68"/>
      <c r="R32" s="71"/>
    </row>
    <row r="33" spans="2:18" s="70" customFormat="1" ht="18" customHeight="1" x14ac:dyDescent="0.15">
      <c r="B33" s="34">
        <v>24</v>
      </c>
      <c r="C33" s="72" t="s">
        <v>30</v>
      </c>
      <c r="D33" s="72" t="s">
        <v>30</v>
      </c>
      <c r="E33" s="77" t="s">
        <v>47</v>
      </c>
      <c r="F33" s="59">
        <v>40</v>
      </c>
      <c r="G33" s="60">
        <v>10</v>
      </c>
      <c r="H33" s="44">
        <f t="shared" si="0"/>
        <v>400</v>
      </c>
      <c r="I33" s="81"/>
      <c r="J33" s="80" t="s">
        <v>48</v>
      </c>
      <c r="K33" s="63"/>
      <c r="L33" s="64"/>
      <c r="M33" s="65">
        <v>42698</v>
      </c>
      <c r="N33" s="66"/>
      <c r="O33" s="36">
        <v>42720</v>
      </c>
      <c r="P33" s="65" t="s">
        <v>94</v>
      </c>
      <c r="Q33" s="68"/>
      <c r="R33" s="71"/>
    </row>
    <row r="34" spans="2:18" s="70" customFormat="1" ht="18" customHeight="1" x14ac:dyDescent="0.15">
      <c r="B34" s="34">
        <v>25</v>
      </c>
      <c r="C34" s="72" t="s">
        <v>30</v>
      </c>
      <c r="D34" s="72" t="s">
        <v>30</v>
      </c>
      <c r="E34" s="77" t="s">
        <v>72</v>
      </c>
      <c r="F34" s="59">
        <v>20</v>
      </c>
      <c r="G34" s="60">
        <v>20</v>
      </c>
      <c r="H34" s="44">
        <f t="shared" si="0"/>
        <v>400</v>
      </c>
      <c r="I34" s="81"/>
      <c r="J34" s="80" t="s">
        <v>73</v>
      </c>
      <c r="K34" s="63"/>
      <c r="L34" s="64"/>
      <c r="M34" s="65">
        <v>42698</v>
      </c>
      <c r="N34" s="66"/>
      <c r="O34" s="36">
        <v>42720</v>
      </c>
      <c r="P34" s="65" t="s">
        <v>94</v>
      </c>
      <c r="Q34" s="68"/>
      <c r="R34" s="71"/>
    </row>
    <row r="35" spans="2:18" s="54" customFormat="1" ht="18" customHeight="1" x14ac:dyDescent="0.15">
      <c r="B35" s="34">
        <v>26</v>
      </c>
      <c r="C35" s="72" t="s">
        <v>30</v>
      </c>
      <c r="D35" s="72" t="s">
        <v>30</v>
      </c>
      <c r="E35" s="51" t="s">
        <v>76</v>
      </c>
      <c r="F35" s="52">
        <v>4</v>
      </c>
      <c r="G35" s="44">
        <v>265</v>
      </c>
      <c r="H35" s="44">
        <f t="shared" si="0"/>
        <v>1060</v>
      </c>
      <c r="I35" s="5"/>
      <c r="J35" s="87" t="s">
        <v>78</v>
      </c>
      <c r="K35" s="32"/>
      <c r="L35" s="39"/>
      <c r="M35" s="65">
        <v>42698</v>
      </c>
      <c r="N35" s="37"/>
      <c r="O35" s="36">
        <v>42720</v>
      </c>
      <c r="P35" s="65" t="s">
        <v>94</v>
      </c>
      <c r="Q35" s="42"/>
      <c r="R35" s="38"/>
    </row>
    <row r="36" spans="2:18" s="54" customFormat="1" ht="18" customHeight="1" x14ac:dyDescent="0.15">
      <c r="B36" s="34">
        <v>27</v>
      </c>
      <c r="C36" s="72" t="s">
        <v>30</v>
      </c>
      <c r="D36" s="72" t="s">
        <v>30</v>
      </c>
      <c r="E36" s="51" t="s">
        <v>77</v>
      </c>
      <c r="F36" s="52">
        <v>4</v>
      </c>
      <c r="G36" s="44">
        <v>265</v>
      </c>
      <c r="H36" s="44">
        <f t="shared" si="0"/>
        <v>1060</v>
      </c>
      <c r="I36" s="5"/>
      <c r="J36" s="87" t="s">
        <v>78</v>
      </c>
      <c r="K36" s="32"/>
      <c r="L36" s="39"/>
      <c r="M36" s="65">
        <v>42698</v>
      </c>
      <c r="N36" s="37"/>
      <c r="O36" s="36">
        <v>42720</v>
      </c>
      <c r="P36" s="65" t="s">
        <v>94</v>
      </c>
      <c r="Q36" s="42"/>
      <c r="R36" s="38"/>
    </row>
    <row r="37" spans="2:18" s="54" customFormat="1" ht="18" customHeight="1" x14ac:dyDescent="0.15">
      <c r="B37" s="34">
        <v>28</v>
      </c>
      <c r="C37" s="72" t="s">
        <v>30</v>
      </c>
      <c r="D37" s="72" t="s">
        <v>30</v>
      </c>
      <c r="E37" s="93" t="s">
        <v>82</v>
      </c>
      <c r="F37" s="44">
        <v>20</v>
      </c>
      <c r="G37" s="44">
        <v>1510</v>
      </c>
      <c r="H37" s="44">
        <f t="shared" si="0"/>
        <v>30200</v>
      </c>
      <c r="I37" s="5"/>
      <c r="J37" s="92" t="s">
        <v>83</v>
      </c>
      <c r="K37" s="32"/>
      <c r="L37" s="39"/>
      <c r="M37" s="65">
        <v>42698</v>
      </c>
      <c r="N37" s="37"/>
      <c r="O37" s="36">
        <v>42720</v>
      </c>
      <c r="P37" s="65" t="s">
        <v>94</v>
      </c>
      <c r="Q37" s="42"/>
      <c r="R37" s="38"/>
    </row>
    <row r="38" spans="2:18" s="54" customFormat="1" ht="18" customHeight="1" x14ac:dyDescent="0.15">
      <c r="B38" s="34">
        <v>29</v>
      </c>
      <c r="C38" s="2" t="s">
        <v>30</v>
      </c>
      <c r="D38" s="2" t="s">
        <v>30</v>
      </c>
      <c r="E38" s="4" t="s">
        <v>95</v>
      </c>
      <c r="F38" s="44">
        <v>6</v>
      </c>
      <c r="G38" s="44">
        <v>1590</v>
      </c>
      <c r="H38" s="44">
        <v>9540</v>
      </c>
      <c r="I38" s="5"/>
      <c r="J38" s="45" t="s">
        <v>96</v>
      </c>
      <c r="K38" s="32"/>
      <c r="L38" s="39"/>
      <c r="M38" s="36">
        <v>42712</v>
      </c>
      <c r="N38" s="37"/>
      <c r="O38" s="40"/>
      <c r="P38" s="36" t="s">
        <v>97</v>
      </c>
      <c r="Q38" s="42"/>
      <c r="R38" s="38"/>
    </row>
    <row r="39" spans="2:18" s="54" customFormat="1" ht="18" customHeight="1" x14ac:dyDescent="0.15">
      <c r="B39" s="34">
        <v>30</v>
      </c>
      <c r="C39" s="2" t="s">
        <v>30</v>
      </c>
      <c r="D39" s="2" t="s">
        <v>30</v>
      </c>
      <c r="E39" s="4" t="s">
        <v>98</v>
      </c>
      <c r="F39" s="44">
        <v>1</v>
      </c>
      <c r="G39" s="44">
        <v>3330</v>
      </c>
      <c r="H39" s="44">
        <f>F39*G39</f>
        <v>3330</v>
      </c>
      <c r="I39" s="31"/>
      <c r="J39" s="94" t="s">
        <v>100</v>
      </c>
      <c r="K39" s="32"/>
      <c r="L39" s="39"/>
      <c r="M39" s="36">
        <v>42718</v>
      </c>
      <c r="N39" s="37"/>
      <c r="O39" s="36">
        <v>42723</v>
      </c>
      <c r="P39" s="36" t="s">
        <v>99</v>
      </c>
      <c r="Q39" s="42" t="s">
        <v>101</v>
      </c>
      <c r="R39" s="38"/>
    </row>
    <row r="40" spans="2:18" s="54" customFormat="1" ht="18" customHeight="1" x14ac:dyDescent="0.15">
      <c r="B40" s="34"/>
      <c r="C40" s="97" t="s">
        <v>105</v>
      </c>
      <c r="D40" s="2" t="s">
        <v>30</v>
      </c>
      <c r="E40" s="95" t="s">
        <v>102</v>
      </c>
      <c r="F40" s="44">
        <v>2</v>
      </c>
      <c r="G40" s="44">
        <v>4561</v>
      </c>
      <c r="H40" s="44">
        <f>F40*G40</f>
        <v>9122</v>
      </c>
      <c r="I40" s="31"/>
      <c r="J40" s="94" t="s">
        <v>106</v>
      </c>
      <c r="K40" s="32"/>
      <c r="L40" s="39"/>
      <c r="M40" s="36">
        <v>42724</v>
      </c>
      <c r="N40" s="37"/>
      <c r="O40" s="36"/>
      <c r="P40" s="36">
        <v>42725</v>
      </c>
      <c r="Q40" s="42">
        <v>42725</v>
      </c>
      <c r="R40" s="38"/>
    </row>
    <row r="41" spans="2:18" s="54" customFormat="1" ht="18" customHeight="1" x14ac:dyDescent="0.15">
      <c r="B41" s="34"/>
      <c r="C41" s="97" t="s">
        <v>104</v>
      </c>
      <c r="D41" s="2" t="s">
        <v>30</v>
      </c>
      <c r="E41" s="95" t="s">
        <v>103</v>
      </c>
      <c r="F41" s="44">
        <v>1</v>
      </c>
      <c r="G41" s="44">
        <v>950</v>
      </c>
      <c r="H41" s="44">
        <f>F41*G41</f>
        <v>950</v>
      </c>
      <c r="I41" s="31"/>
      <c r="J41" s="94" t="s">
        <v>107</v>
      </c>
      <c r="K41" s="32"/>
      <c r="L41" s="39"/>
      <c r="M41" s="36">
        <v>42724</v>
      </c>
      <c r="N41" s="37"/>
      <c r="O41" s="36"/>
      <c r="P41" s="36">
        <v>42725</v>
      </c>
      <c r="Q41" s="42">
        <v>42725</v>
      </c>
      <c r="R41" s="38"/>
    </row>
    <row r="42" spans="2:18" s="54" customFormat="1" ht="18" customHeight="1" x14ac:dyDescent="0.15">
      <c r="B42" s="34"/>
      <c r="C42" s="2"/>
      <c r="D42" s="2"/>
      <c r="E42" s="51"/>
      <c r="F42" s="52"/>
      <c r="G42" s="44"/>
      <c r="H42" s="44"/>
      <c r="I42" s="5"/>
      <c r="J42" s="43"/>
      <c r="K42" s="33"/>
      <c r="L42" s="39"/>
      <c r="M42" s="36"/>
      <c r="N42" s="37"/>
      <c r="O42" s="40"/>
      <c r="P42" s="36"/>
      <c r="Q42" s="42"/>
      <c r="R42" s="38"/>
    </row>
    <row r="43" spans="2:18" s="54" customFormat="1" ht="18" customHeight="1" x14ac:dyDescent="0.15">
      <c r="B43" s="34"/>
      <c r="C43" s="2"/>
      <c r="D43" s="2"/>
      <c r="E43" s="51"/>
      <c r="F43" s="52"/>
      <c r="G43" s="44"/>
      <c r="H43" s="44"/>
      <c r="I43" s="5"/>
      <c r="J43" s="43"/>
      <c r="K43" s="32"/>
      <c r="L43" s="39"/>
      <c r="M43" s="36"/>
      <c r="N43" s="37"/>
      <c r="O43" s="40"/>
      <c r="P43" s="36"/>
      <c r="Q43" s="42"/>
      <c r="R43" s="38"/>
    </row>
    <row r="44" spans="2:18" s="54" customFormat="1" ht="18" customHeight="1" x14ac:dyDescent="0.15">
      <c r="B44" s="34"/>
      <c r="C44" s="2"/>
      <c r="D44" s="2"/>
      <c r="E44" s="4" t="s">
        <v>49</v>
      </c>
      <c r="F44" s="44"/>
      <c r="G44" s="44">
        <v>1500</v>
      </c>
      <c r="H44" s="44">
        <f>F44*G44</f>
        <v>0</v>
      </c>
      <c r="I44" s="5"/>
      <c r="J44" s="43"/>
      <c r="K44" s="32"/>
      <c r="L44" s="39"/>
      <c r="M44" s="36"/>
      <c r="N44" s="37"/>
      <c r="O44" s="40"/>
      <c r="P44" s="36"/>
      <c r="Q44" s="42"/>
      <c r="R44" s="38"/>
    </row>
    <row r="45" spans="2:18" s="54" customFormat="1" ht="18" customHeight="1" x14ac:dyDescent="0.15">
      <c r="B45" s="34"/>
      <c r="C45" s="2"/>
      <c r="D45" s="2"/>
      <c r="E45" s="4" t="s">
        <v>50</v>
      </c>
      <c r="F45" s="44"/>
      <c r="G45" s="44">
        <v>5000</v>
      </c>
      <c r="H45" s="44">
        <f>F45*G45</f>
        <v>0</v>
      </c>
      <c r="I45" s="5"/>
      <c r="J45" s="43"/>
      <c r="K45" s="32"/>
      <c r="L45" s="39"/>
      <c r="M45" s="36"/>
      <c r="N45" s="37"/>
      <c r="O45" s="40"/>
      <c r="P45" s="36"/>
      <c r="Q45" s="42"/>
      <c r="R45" s="38"/>
    </row>
    <row r="46" spans="2:18" s="54" customFormat="1" ht="18" customHeight="1" x14ac:dyDescent="0.15">
      <c r="B46" s="34"/>
      <c r="C46" s="2"/>
      <c r="D46" s="2"/>
      <c r="E46" s="4" t="s">
        <v>51</v>
      </c>
      <c r="F46" s="44"/>
      <c r="G46" s="44">
        <v>5000</v>
      </c>
      <c r="H46" s="44">
        <f>F46*G46</f>
        <v>0</v>
      </c>
      <c r="I46" s="5"/>
      <c r="J46" s="43"/>
      <c r="K46" s="32"/>
      <c r="L46" s="39"/>
      <c r="M46" s="36"/>
      <c r="N46" s="37"/>
      <c r="O46" s="40"/>
      <c r="P46" s="36"/>
      <c r="Q46" s="42"/>
      <c r="R46" s="38"/>
    </row>
    <row r="47" spans="2:18" s="54" customFormat="1" ht="18" customHeight="1" x14ac:dyDescent="0.15">
      <c r="B47" s="34"/>
      <c r="C47" s="2"/>
      <c r="D47" s="2"/>
      <c r="E47" s="51"/>
      <c r="F47" s="52"/>
      <c r="G47" s="44"/>
      <c r="H47" s="44"/>
      <c r="I47" s="5"/>
      <c r="J47" s="43"/>
      <c r="K47" s="32"/>
      <c r="L47" s="39"/>
      <c r="M47" s="36"/>
      <c r="N47" s="37"/>
      <c r="O47" s="40"/>
      <c r="P47" s="36"/>
      <c r="Q47" s="42"/>
      <c r="R47" s="38"/>
    </row>
    <row r="48" spans="2:18" s="54" customFormat="1" ht="18" customHeight="1" x14ac:dyDescent="0.15">
      <c r="B48" s="34"/>
      <c r="C48" s="2"/>
      <c r="D48" s="2"/>
      <c r="E48" s="51"/>
      <c r="F48" s="52"/>
      <c r="G48" s="44"/>
      <c r="H48" s="44"/>
      <c r="I48" s="5"/>
      <c r="J48" s="43"/>
      <c r="K48" s="32"/>
      <c r="L48" s="39"/>
      <c r="M48" s="36"/>
      <c r="N48" s="37"/>
      <c r="O48" s="40"/>
      <c r="P48" s="36"/>
      <c r="Q48" s="42"/>
      <c r="R48" s="38"/>
    </row>
    <row r="49" spans="2:18" s="54" customFormat="1" ht="18" customHeight="1" x14ac:dyDescent="0.15">
      <c r="B49" s="34"/>
      <c r="C49" s="2"/>
      <c r="D49" s="2"/>
      <c r="E49" s="51"/>
      <c r="F49" s="52"/>
      <c r="G49" s="44"/>
      <c r="H49" s="44"/>
      <c r="I49" s="5"/>
      <c r="J49" s="43"/>
      <c r="K49" s="32"/>
      <c r="L49" s="39"/>
      <c r="M49" s="36"/>
      <c r="N49" s="37"/>
      <c r="O49" s="40"/>
      <c r="P49" s="36"/>
      <c r="Q49" s="42"/>
      <c r="R49" s="38"/>
    </row>
    <row r="50" spans="2:18" s="54" customFormat="1" ht="18" customHeight="1" x14ac:dyDescent="0.15">
      <c r="B50" s="34"/>
      <c r="C50" s="2"/>
      <c r="D50" s="2"/>
      <c r="E50" s="51"/>
      <c r="F50" s="52"/>
      <c r="G50" s="44"/>
      <c r="H50" s="44"/>
      <c r="I50" s="5"/>
      <c r="J50" s="43"/>
      <c r="K50" s="32"/>
      <c r="L50" s="3"/>
      <c r="M50" s="15"/>
      <c r="N50" s="6"/>
      <c r="O50" s="8"/>
      <c r="P50" s="15"/>
      <c r="Q50" s="11"/>
    </row>
    <row r="51" spans="2:18" s="54" customFormat="1" ht="18" customHeight="1" x14ac:dyDescent="0.15">
      <c r="B51" s="34"/>
      <c r="C51" s="2"/>
      <c r="D51" s="2"/>
      <c r="E51" s="51"/>
      <c r="F51" s="52"/>
      <c r="G51" s="44"/>
      <c r="H51" s="44"/>
      <c r="I51" s="5"/>
      <c r="J51" s="43"/>
      <c r="K51" s="32"/>
      <c r="L51" s="3"/>
      <c r="M51" s="15"/>
      <c r="N51" s="6"/>
      <c r="O51" s="8"/>
      <c r="P51" s="15"/>
      <c r="Q51" s="11"/>
    </row>
    <row r="52" spans="2:18" s="54" customFormat="1" ht="18" customHeight="1" x14ac:dyDescent="0.15">
      <c r="B52" s="34"/>
      <c r="C52" s="2"/>
      <c r="D52" s="2"/>
      <c r="E52" s="51"/>
      <c r="F52" s="52"/>
      <c r="G52" s="44"/>
      <c r="H52" s="44"/>
      <c r="I52" s="5"/>
      <c r="J52" s="43"/>
      <c r="K52" s="32"/>
      <c r="L52" s="3"/>
      <c r="M52" s="15"/>
      <c r="N52" s="6"/>
      <c r="O52" s="8"/>
      <c r="P52" s="15"/>
      <c r="Q52" s="11"/>
    </row>
    <row r="53" spans="2:18" s="54" customFormat="1" ht="18" customHeight="1" x14ac:dyDescent="0.15">
      <c r="B53" s="34"/>
      <c r="C53" s="2"/>
      <c r="D53" s="2"/>
      <c r="E53" s="51"/>
      <c r="F53" s="52"/>
      <c r="G53" s="44"/>
      <c r="H53" s="44"/>
      <c r="I53" s="5"/>
      <c r="J53" s="43"/>
      <c r="K53" s="32"/>
      <c r="L53" s="3"/>
      <c r="M53" s="15"/>
      <c r="N53" s="6"/>
      <c r="O53" s="8"/>
      <c r="P53" s="15"/>
      <c r="Q53" s="11"/>
    </row>
    <row r="54" spans="2:18" s="54" customFormat="1" ht="18" customHeight="1" x14ac:dyDescent="0.15">
      <c r="B54" s="10"/>
      <c r="C54" s="2"/>
      <c r="D54" s="2"/>
      <c r="E54" s="4"/>
      <c r="F54" s="44"/>
      <c r="G54" s="44"/>
      <c r="H54" s="44"/>
      <c r="I54" s="9"/>
      <c r="J54" s="3"/>
      <c r="K54" s="4"/>
      <c r="L54" s="3"/>
      <c r="M54" s="15"/>
      <c r="N54" s="6"/>
      <c r="O54" s="8"/>
      <c r="P54" s="15"/>
      <c r="Q54" s="11"/>
    </row>
    <row r="55" spans="2:18" s="54" customFormat="1" ht="18" customHeight="1" x14ac:dyDescent="0.15">
      <c r="B55" s="10"/>
      <c r="C55" s="10"/>
      <c r="D55" s="10"/>
      <c r="E55" s="4"/>
      <c r="F55" s="44"/>
      <c r="G55" s="44"/>
      <c r="H55" s="44"/>
      <c r="I55" s="7"/>
      <c r="J55" s="3"/>
      <c r="K55" s="4"/>
      <c r="L55" s="3"/>
      <c r="M55" s="15"/>
      <c r="N55" s="6"/>
      <c r="O55" s="8"/>
      <c r="P55" s="15"/>
      <c r="Q55" s="11"/>
    </row>
    <row r="56" spans="2:18" ht="18" customHeight="1" x14ac:dyDescent="0.15">
      <c r="B56" s="10"/>
      <c r="C56" s="10"/>
      <c r="D56" s="10"/>
      <c r="E56" s="4"/>
      <c r="F56" s="44"/>
      <c r="G56" s="44"/>
      <c r="H56" s="44"/>
      <c r="I56" s="9"/>
      <c r="J56" s="3"/>
      <c r="K56" s="4"/>
      <c r="L56" s="3"/>
      <c r="M56" s="15"/>
      <c r="N56" s="6"/>
      <c r="O56" s="8"/>
      <c r="P56" s="15"/>
      <c r="Q56" s="11"/>
    </row>
    <row r="57" spans="2:18" ht="18" customHeight="1" x14ac:dyDescent="0.15">
      <c r="B57" s="10"/>
      <c r="C57" s="10"/>
      <c r="D57" s="10"/>
      <c r="E57" s="4"/>
      <c r="F57" s="44"/>
      <c r="G57" s="44"/>
      <c r="H57" s="44"/>
      <c r="I57" s="9"/>
      <c r="J57" s="3"/>
      <c r="K57" s="4"/>
      <c r="L57" s="3"/>
      <c r="M57" s="15"/>
      <c r="N57" s="6"/>
      <c r="O57" s="8"/>
      <c r="P57" s="15"/>
      <c r="Q57" s="11"/>
    </row>
    <row r="58" spans="2:18" ht="18" customHeight="1" x14ac:dyDescent="0.15">
      <c r="B58" s="10"/>
      <c r="C58" s="10"/>
      <c r="D58" s="10"/>
      <c r="E58" s="4"/>
      <c r="F58" s="44"/>
      <c r="G58" s="44"/>
      <c r="H58" s="44"/>
      <c r="I58" s="9"/>
      <c r="J58" s="3"/>
      <c r="K58" s="4"/>
      <c r="L58" s="3"/>
      <c r="M58" s="15"/>
      <c r="N58" s="6"/>
      <c r="O58" s="8"/>
      <c r="P58" s="15"/>
      <c r="Q58" s="11"/>
    </row>
    <row r="59" spans="2:18" ht="18" customHeight="1" x14ac:dyDescent="0.15">
      <c r="B59" s="10"/>
      <c r="C59" s="2"/>
      <c r="D59" s="2"/>
      <c r="E59" s="4"/>
      <c r="F59" s="44"/>
      <c r="G59" s="44"/>
      <c r="H59" s="44"/>
      <c r="I59" s="9"/>
      <c r="J59" s="4"/>
      <c r="K59" s="4"/>
      <c r="L59" s="3"/>
      <c r="M59" s="15"/>
      <c r="N59" s="6"/>
      <c r="O59" s="8"/>
      <c r="P59" s="15"/>
      <c r="Q59" s="11"/>
    </row>
    <row r="60" spans="2:18" ht="18" customHeight="1" x14ac:dyDescent="0.15">
      <c r="B60" s="10"/>
      <c r="C60" s="2"/>
      <c r="D60" s="2"/>
      <c r="E60" s="4"/>
      <c r="F60" s="44"/>
      <c r="G60" s="44"/>
      <c r="H60" s="44"/>
      <c r="I60" s="9"/>
      <c r="J60" s="3"/>
      <c r="K60" s="4"/>
      <c r="L60" s="3"/>
      <c r="M60" s="15"/>
      <c r="N60" s="6"/>
      <c r="O60" s="8"/>
      <c r="P60" s="15"/>
      <c r="Q60" s="11"/>
    </row>
    <row r="61" spans="2:18" ht="13.5" customHeight="1" x14ac:dyDescent="0.15">
      <c r="M61" s="23"/>
      <c r="P61" s="18"/>
      <c r="Q61" s="19"/>
    </row>
    <row r="62" spans="2:18" ht="13.5" customHeight="1" x14ac:dyDescent="0.15">
      <c r="M62" s="23"/>
      <c r="P62" s="18"/>
      <c r="Q62" s="19"/>
    </row>
    <row r="63" spans="2:18" ht="13.5" customHeight="1" x14ac:dyDescent="0.15">
      <c r="C63" s="12"/>
      <c r="D63" s="12"/>
      <c r="E63" s="20"/>
      <c r="G63" s="53"/>
      <c r="H63" s="53"/>
      <c r="I63" s="13"/>
      <c r="M63" s="23"/>
      <c r="P63" s="18"/>
      <c r="Q63" s="19"/>
    </row>
    <row r="64" spans="2:18" ht="13.5" customHeight="1" x14ac:dyDescent="0.15">
      <c r="C64" s="12"/>
      <c r="D64" s="12"/>
      <c r="E64" s="22"/>
      <c r="G64" s="53"/>
      <c r="H64" s="53"/>
      <c r="I64" s="13"/>
      <c r="M64" s="23"/>
      <c r="P64" s="18"/>
    </row>
    <row r="65" spans="3:16" ht="13.5" customHeight="1" x14ac:dyDescent="0.15">
      <c r="C65" s="12"/>
      <c r="D65" s="12"/>
      <c r="E65" s="20"/>
      <c r="F65" s="96"/>
      <c r="G65" s="53"/>
      <c r="H65" s="53"/>
      <c r="I65" s="13"/>
      <c r="P65" s="18"/>
    </row>
    <row r="66" spans="3:16" ht="13.5" customHeight="1" x14ac:dyDescent="0.15">
      <c r="P66" s="18"/>
    </row>
    <row r="67" spans="3:16" ht="13.5" customHeight="1" x14ac:dyDescent="0.15">
      <c r="P67" s="18"/>
    </row>
    <row r="68" spans="3:16" ht="13.5" customHeight="1" x14ac:dyDescent="0.15">
      <c r="P68" s="18"/>
    </row>
    <row r="69" spans="3:16" ht="13.5" customHeight="1" x14ac:dyDescent="0.15">
      <c r="P69" s="18"/>
    </row>
    <row r="70" spans="3:16" ht="13.5" customHeight="1" x14ac:dyDescent="0.15">
      <c r="P70" s="18"/>
    </row>
  </sheetData>
  <autoFilter ref="B8:O39"/>
  <mergeCells count="6">
    <mergeCell ref="B6:D6"/>
    <mergeCell ref="B2:D2"/>
    <mergeCell ref="G2:I2"/>
    <mergeCell ref="B3:D3"/>
    <mergeCell ref="B4:D4"/>
    <mergeCell ref="B5:D5"/>
  </mergeCells>
  <phoneticPr fontId="7"/>
  <dataValidations count="1">
    <dataValidation allowBlank="1" showInputMessage="1" showErrorMessage="1" sqref="J42:J53 J26:J36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R67"/>
  <sheetViews>
    <sheetView zoomScaleNormal="100" workbookViewId="0">
      <pane xSplit="10" ySplit="8" topLeftCell="K19" activePane="bottomRight" state="frozen"/>
      <selection activeCell="J28" sqref="J28"/>
      <selection pane="topRight" activeCell="J28" sqref="J28"/>
      <selection pane="bottomLeft" activeCell="J28" sqref="J28"/>
      <selection pane="bottomRight" activeCell="K30" sqref="K30"/>
    </sheetView>
  </sheetViews>
  <sheetFormatPr defaultColWidth="10.5" defaultRowHeight="13.5" customHeight="1" x14ac:dyDescent="0.15"/>
  <cols>
    <col min="1" max="1" width="2.875" style="21" customWidth="1"/>
    <col min="2" max="2" width="10.875" style="54" customWidth="1"/>
    <col min="3" max="4" width="10.875" style="21" customWidth="1"/>
    <col min="5" max="5" width="29" style="21" customWidth="1"/>
    <col min="6" max="6" width="6.625" style="21" customWidth="1"/>
    <col min="7" max="7" width="9.25" style="54" customWidth="1"/>
    <col min="8" max="8" width="10.25" style="54" customWidth="1"/>
    <col min="9" max="9" width="6.375" style="17" customWidth="1"/>
    <col min="10" max="10" width="45.625" style="21" customWidth="1"/>
    <col min="11" max="11" width="19.875" style="21" customWidth="1"/>
    <col min="12" max="12" width="7.375" style="54" customWidth="1"/>
    <col min="13" max="13" width="15.25" style="54" customWidth="1"/>
    <col min="14" max="14" width="7.125" style="21" customWidth="1"/>
    <col min="15" max="15" width="14.75" style="17" customWidth="1"/>
    <col min="16" max="16" width="16.125" style="24" customWidth="1"/>
    <col min="17" max="17" width="17.375" style="24" customWidth="1"/>
    <col min="18" max="16384" width="10.5" style="21"/>
  </cols>
  <sheetData>
    <row r="2" spans="2:18" ht="20.100000000000001" customHeight="1" x14ac:dyDescent="0.15">
      <c r="B2" s="98" t="s">
        <v>0</v>
      </c>
      <c r="C2" s="98"/>
      <c r="D2" s="98"/>
      <c r="E2" s="90" t="s">
        <v>75</v>
      </c>
      <c r="F2" s="26"/>
      <c r="G2" s="99" t="s">
        <v>1</v>
      </c>
      <c r="H2" s="100"/>
      <c r="I2" s="101"/>
      <c r="J2" s="25">
        <f>SUM(H:H)</f>
        <v>163150</v>
      </c>
      <c r="K2" s="26"/>
      <c r="L2" s="38"/>
      <c r="M2" s="38"/>
      <c r="N2" s="26"/>
      <c r="O2" s="27"/>
      <c r="P2" s="35"/>
      <c r="Q2" s="35"/>
      <c r="R2" s="26"/>
    </row>
    <row r="3" spans="2:18" ht="20.100000000000001" customHeight="1" x14ac:dyDescent="0.15">
      <c r="B3" s="98" t="s">
        <v>2</v>
      </c>
      <c r="C3" s="98"/>
      <c r="D3" s="98"/>
      <c r="E3" s="90" t="s">
        <v>81</v>
      </c>
      <c r="F3" s="26"/>
      <c r="G3" s="38"/>
      <c r="H3" s="38"/>
      <c r="I3" s="27"/>
      <c r="J3" s="26"/>
      <c r="K3" s="26"/>
      <c r="L3" s="38"/>
      <c r="M3" s="38"/>
      <c r="N3" s="26"/>
      <c r="O3" s="27"/>
      <c r="P3" s="35"/>
      <c r="Q3" s="35"/>
      <c r="R3" s="26"/>
    </row>
    <row r="4" spans="2:18" ht="20.100000000000001" customHeight="1" x14ac:dyDescent="0.15">
      <c r="B4" s="98" t="s">
        <v>3</v>
      </c>
      <c r="C4" s="98"/>
      <c r="D4" s="98"/>
      <c r="E4" s="90"/>
      <c r="F4" s="26"/>
      <c r="G4" s="38"/>
      <c r="H4" s="38"/>
      <c r="I4" s="27"/>
      <c r="J4" s="26"/>
      <c r="K4" s="26"/>
      <c r="L4" s="38"/>
      <c r="M4" s="38"/>
      <c r="N4" s="26"/>
      <c r="O4" s="27"/>
      <c r="P4" s="35"/>
      <c r="Q4" s="35"/>
      <c r="R4" s="26"/>
    </row>
    <row r="5" spans="2:18" ht="20.100000000000001" customHeight="1" x14ac:dyDescent="0.15">
      <c r="B5" s="98" t="s">
        <v>4</v>
      </c>
      <c r="C5" s="98"/>
      <c r="D5" s="98"/>
      <c r="E5" s="91">
        <v>42720</v>
      </c>
      <c r="F5" s="26"/>
      <c r="G5" s="38"/>
      <c r="H5" s="56"/>
      <c r="I5" s="41" t="s">
        <v>74</v>
      </c>
      <c r="J5" s="26"/>
      <c r="K5" s="26"/>
      <c r="L5" s="38"/>
      <c r="M5" s="38"/>
      <c r="N5" s="26"/>
      <c r="O5" s="27"/>
      <c r="P5" s="35"/>
      <c r="Q5" s="35"/>
      <c r="R5" s="26"/>
    </row>
    <row r="6" spans="2:18" ht="20.100000000000001" customHeight="1" x14ac:dyDescent="0.15">
      <c r="B6" s="98" t="s">
        <v>5</v>
      </c>
      <c r="C6" s="98"/>
      <c r="D6" s="98"/>
      <c r="E6" s="91">
        <v>42720</v>
      </c>
      <c r="F6" s="26"/>
      <c r="G6" s="38"/>
      <c r="H6" s="38"/>
      <c r="I6" s="27"/>
      <c r="J6" s="26"/>
      <c r="K6" s="26"/>
      <c r="L6" s="38"/>
      <c r="M6" s="38"/>
      <c r="N6" s="26"/>
      <c r="O6" s="27"/>
      <c r="P6" s="35"/>
      <c r="Q6" s="35"/>
      <c r="R6" s="26"/>
    </row>
    <row r="7" spans="2:18" ht="13.5" customHeight="1" x14ac:dyDescent="0.15">
      <c r="B7" s="38"/>
      <c r="C7" s="26"/>
      <c r="D7" s="26"/>
      <c r="E7" s="26"/>
      <c r="F7" s="26"/>
      <c r="G7" s="38"/>
      <c r="H7" s="38"/>
      <c r="I7" s="27"/>
      <c r="J7" s="26"/>
      <c r="K7" s="26"/>
      <c r="L7" s="38"/>
      <c r="M7" s="38"/>
      <c r="N7" s="26"/>
      <c r="O7" s="27"/>
      <c r="P7" s="35"/>
      <c r="Q7" s="35"/>
      <c r="R7" s="26"/>
    </row>
    <row r="8" spans="2:18" s="54" customFormat="1" ht="19.5" customHeight="1" x14ac:dyDescent="0.15">
      <c r="B8" s="28" t="s">
        <v>6</v>
      </c>
      <c r="C8" s="28" t="s">
        <v>7</v>
      </c>
      <c r="D8" s="28" t="s">
        <v>8</v>
      </c>
      <c r="E8" s="34" t="s">
        <v>9</v>
      </c>
      <c r="F8" s="34" t="s">
        <v>10</v>
      </c>
      <c r="G8" s="34" t="s">
        <v>11</v>
      </c>
      <c r="H8" s="29" t="s">
        <v>12</v>
      </c>
      <c r="I8" s="29" t="s">
        <v>13</v>
      </c>
      <c r="J8" s="34" t="s">
        <v>14</v>
      </c>
      <c r="K8" s="34" t="s">
        <v>15</v>
      </c>
      <c r="L8" s="34" t="s">
        <v>16</v>
      </c>
      <c r="M8" s="28" t="s">
        <v>17</v>
      </c>
      <c r="N8" s="28" t="s">
        <v>18</v>
      </c>
      <c r="O8" s="34" t="s">
        <v>19</v>
      </c>
      <c r="P8" s="36" t="s">
        <v>20</v>
      </c>
      <c r="Q8" s="37" t="s">
        <v>21</v>
      </c>
      <c r="R8" s="38"/>
    </row>
    <row r="9" spans="2:18" s="54" customFormat="1" ht="18" customHeight="1" x14ac:dyDescent="0.15">
      <c r="B9" s="34">
        <v>1</v>
      </c>
      <c r="C9" s="46" t="s">
        <v>52</v>
      </c>
      <c r="D9" s="46" t="s">
        <v>52</v>
      </c>
      <c r="E9" s="47" t="s">
        <v>53</v>
      </c>
      <c r="F9" s="10">
        <v>1</v>
      </c>
      <c r="G9" s="60">
        <v>21000</v>
      </c>
      <c r="H9" s="44">
        <f t="shared" ref="H9:H33" si="0">F9*G9</f>
        <v>21000</v>
      </c>
      <c r="I9" s="48"/>
      <c r="J9" s="50" t="s">
        <v>22</v>
      </c>
      <c r="K9" s="32" t="s">
        <v>54</v>
      </c>
      <c r="L9" s="39"/>
      <c r="M9" s="36"/>
      <c r="N9" s="37"/>
      <c r="O9" s="40"/>
      <c r="P9" s="36"/>
      <c r="Q9" s="42"/>
      <c r="R9" s="41"/>
    </row>
    <row r="10" spans="2:18" s="54" customFormat="1" ht="18" customHeight="1" x14ac:dyDescent="0.15">
      <c r="B10" s="34">
        <v>2</v>
      </c>
      <c r="C10" s="46" t="s">
        <v>52</v>
      </c>
      <c r="D10" s="46" t="s">
        <v>52</v>
      </c>
      <c r="E10" s="47" t="s">
        <v>55</v>
      </c>
      <c r="F10" s="10">
        <v>1</v>
      </c>
      <c r="G10" s="60">
        <v>6000</v>
      </c>
      <c r="H10" s="44">
        <f t="shared" si="0"/>
        <v>6000</v>
      </c>
      <c r="I10" s="9"/>
      <c r="J10" s="16" t="s">
        <v>23</v>
      </c>
      <c r="K10" s="32" t="s">
        <v>54</v>
      </c>
      <c r="L10" s="39"/>
      <c r="M10" s="36"/>
      <c r="N10" s="37"/>
      <c r="O10" s="40"/>
      <c r="P10" s="36"/>
      <c r="Q10" s="42"/>
      <c r="R10" s="41"/>
    </row>
    <row r="11" spans="2:18" s="54" customFormat="1" ht="18" customHeight="1" x14ac:dyDescent="0.15">
      <c r="B11" s="34">
        <v>3</v>
      </c>
      <c r="C11" s="46" t="s">
        <v>52</v>
      </c>
      <c r="D11" s="46" t="s">
        <v>52</v>
      </c>
      <c r="E11" s="47" t="s">
        <v>56</v>
      </c>
      <c r="F11" s="52">
        <v>1</v>
      </c>
      <c r="G11" s="89">
        <v>2800</v>
      </c>
      <c r="H11" s="44">
        <f t="shared" si="0"/>
        <v>2800</v>
      </c>
      <c r="I11" s="9"/>
      <c r="J11" s="49" t="s">
        <v>24</v>
      </c>
      <c r="K11" s="32" t="s">
        <v>54</v>
      </c>
      <c r="L11" s="39"/>
      <c r="M11" s="36"/>
      <c r="N11" s="37"/>
      <c r="O11" s="40"/>
      <c r="P11" s="36"/>
      <c r="Q11" s="42"/>
      <c r="R11" s="41"/>
    </row>
    <row r="12" spans="2:18" s="54" customFormat="1" ht="18" customHeight="1" x14ac:dyDescent="0.15">
      <c r="B12" s="34">
        <v>4</v>
      </c>
      <c r="C12" s="46" t="s">
        <v>52</v>
      </c>
      <c r="D12" s="46" t="s">
        <v>52</v>
      </c>
      <c r="E12" s="47" t="s">
        <v>57</v>
      </c>
      <c r="F12" s="30">
        <v>1</v>
      </c>
      <c r="G12" s="57">
        <v>7000</v>
      </c>
      <c r="H12" s="44">
        <f t="shared" si="0"/>
        <v>7000</v>
      </c>
      <c r="I12" s="31"/>
      <c r="J12" s="16" t="s">
        <v>27</v>
      </c>
      <c r="K12" s="32" t="s">
        <v>54</v>
      </c>
      <c r="L12" s="39"/>
      <c r="M12" s="36"/>
      <c r="N12" s="37"/>
      <c r="O12" s="40"/>
      <c r="P12" s="36"/>
      <c r="Q12" s="42"/>
      <c r="R12" s="41"/>
    </row>
    <row r="13" spans="2:18" s="54" customFormat="1" ht="18" customHeight="1" x14ac:dyDescent="0.15">
      <c r="B13" s="34">
        <v>5</v>
      </c>
      <c r="C13" s="46" t="s">
        <v>52</v>
      </c>
      <c r="D13" s="46" t="s">
        <v>52</v>
      </c>
      <c r="E13" s="47" t="s">
        <v>58</v>
      </c>
      <c r="F13" s="30">
        <v>1</v>
      </c>
      <c r="G13" s="57">
        <v>8500</v>
      </c>
      <c r="H13" s="44">
        <f t="shared" si="0"/>
        <v>8500</v>
      </c>
      <c r="I13" s="31"/>
      <c r="J13" s="50" t="s">
        <v>26</v>
      </c>
      <c r="K13" s="32" t="s">
        <v>54</v>
      </c>
      <c r="L13" s="39"/>
      <c r="M13" s="36"/>
      <c r="N13" s="37"/>
      <c r="O13" s="40"/>
      <c r="P13" s="36"/>
      <c r="Q13" s="42"/>
      <c r="R13" s="41"/>
    </row>
    <row r="14" spans="2:18" s="54" customFormat="1" ht="18" customHeight="1" x14ac:dyDescent="0.15">
      <c r="B14" s="34">
        <v>6</v>
      </c>
      <c r="C14" s="46" t="s">
        <v>52</v>
      </c>
      <c r="D14" s="46" t="s">
        <v>52</v>
      </c>
      <c r="E14" s="88" t="s">
        <v>80</v>
      </c>
      <c r="F14" s="30">
        <v>1</v>
      </c>
      <c r="G14" s="55">
        <v>7000</v>
      </c>
      <c r="H14" s="44">
        <f t="shared" si="0"/>
        <v>7000</v>
      </c>
      <c r="I14" s="31"/>
      <c r="J14" s="16" t="s">
        <v>25</v>
      </c>
      <c r="K14" s="32" t="s">
        <v>54</v>
      </c>
      <c r="L14" s="39"/>
      <c r="M14" s="36"/>
      <c r="N14" s="37"/>
      <c r="O14" s="40"/>
      <c r="P14" s="36"/>
      <c r="Q14" s="42"/>
      <c r="R14" s="41"/>
    </row>
    <row r="15" spans="2:18" s="54" customFormat="1" ht="18" customHeight="1" x14ac:dyDescent="0.15">
      <c r="B15" s="34">
        <v>7</v>
      </c>
      <c r="C15" s="46" t="s">
        <v>52</v>
      </c>
      <c r="D15" s="46" t="s">
        <v>52</v>
      </c>
      <c r="E15" s="47" t="s">
        <v>59</v>
      </c>
      <c r="F15" s="30">
        <v>1</v>
      </c>
      <c r="G15" s="57">
        <v>6000</v>
      </c>
      <c r="H15" s="44">
        <f t="shared" si="0"/>
        <v>6000</v>
      </c>
      <c r="I15" s="31"/>
      <c r="J15" s="16" t="s">
        <v>29</v>
      </c>
      <c r="K15" s="32" t="s">
        <v>54</v>
      </c>
      <c r="L15" s="39"/>
      <c r="M15" s="36"/>
      <c r="N15" s="37"/>
      <c r="O15" s="40"/>
      <c r="P15" s="36"/>
      <c r="Q15" s="42"/>
      <c r="R15" s="41"/>
    </row>
    <row r="16" spans="2:18" s="54" customFormat="1" ht="18" customHeight="1" x14ac:dyDescent="0.15">
      <c r="B16" s="34">
        <v>8</v>
      </c>
      <c r="C16" s="46" t="s">
        <v>52</v>
      </c>
      <c r="D16" s="46" t="s">
        <v>52</v>
      </c>
      <c r="E16" s="47" t="s">
        <v>60</v>
      </c>
      <c r="F16" s="30">
        <v>1</v>
      </c>
      <c r="G16" s="57">
        <v>6000</v>
      </c>
      <c r="H16" s="44">
        <f t="shared" si="0"/>
        <v>6000</v>
      </c>
      <c r="I16" s="31"/>
      <c r="J16" s="16" t="s">
        <v>28</v>
      </c>
      <c r="K16" s="32" t="s">
        <v>54</v>
      </c>
      <c r="L16" s="39"/>
      <c r="M16" s="36"/>
      <c r="N16" s="37"/>
      <c r="O16" s="40"/>
      <c r="P16" s="36"/>
      <c r="Q16" s="42"/>
      <c r="R16" s="41"/>
    </row>
    <row r="17" spans="2:18" s="54" customFormat="1" ht="18" customHeight="1" x14ac:dyDescent="0.15">
      <c r="B17" s="34">
        <v>9</v>
      </c>
      <c r="C17" s="46" t="s">
        <v>52</v>
      </c>
      <c r="D17" s="46" t="s">
        <v>52</v>
      </c>
      <c r="E17" s="88" t="s">
        <v>79</v>
      </c>
      <c r="F17" s="30">
        <v>11</v>
      </c>
      <c r="G17" s="57">
        <v>900</v>
      </c>
      <c r="H17" s="44">
        <v>9900</v>
      </c>
      <c r="I17" s="31"/>
      <c r="J17" s="16" t="s">
        <v>84</v>
      </c>
      <c r="K17" s="32" t="s">
        <v>54</v>
      </c>
      <c r="L17" s="39"/>
      <c r="M17" s="36"/>
      <c r="N17" s="37"/>
      <c r="O17" s="40"/>
      <c r="P17" s="36"/>
      <c r="Q17" s="42"/>
      <c r="R17" s="41"/>
    </row>
    <row r="18" spans="2:18" s="70" customFormat="1" ht="18" customHeight="1" x14ac:dyDescent="0.15">
      <c r="B18" s="34">
        <v>10</v>
      </c>
      <c r="C18" s="57" t="s">
        <v>30</v>
      </c>
      <c r="D18" s="57" t="s">
        <v>30</v>
      </c>
      <c r="E18" s="58" t="s">
        <v>61</v>
      </c>
      <c r="F18" s="59">
        <v>2</v>
      </c>
      <c r="G18" s="59">
        <v>840</v>
      </c>
      <c r="H18" s="60">
        <f>F18*G18</f>
        <v>1680</v>
      </c>
      <c r="I18" s="61"/>
      <c r="J18" s="62" t="s">
        <v>62</v>
      </c>
      <c r="K18" s="63"/>
      <c r="L18" s="64"/>
      <c r="M18" s="65"/>
      <c r="N18" s="66"/>
      <c r="O18" s="67"/>
      <c r="P18" s="65"/>
      <c r="Q18" s="68"/>
      <c r="R18" s="69"/>
    </row>
    <row r="19" spans="2:18" s="70" customFormat="1" ht="18" customHeight="1" x14ac:dyDescent="0.15">
      <c r="B19" s="34">
        <v>11</v>
      </c>
      <c r="C19" s="57" t="s">
        <v>30</v>
      </c>
      <c r="D19" s="57" t="s">
        <v>30</v>
      </c>
      <c r="E19" s="58" t="s">
        <v>63</v>
      </c>
      <c r="F19" s="59">
        <v>4</v>
      </c>
      <c r="G19" s="59">
        <v>490</v>
      </c>
      <c r="H19" s="60">
        <f t="shared" si="0"/>
        <v>1960</v>
      </c>
      <c r="I19" s="61"/>
      <c r="J19" s="62" t="s">
        <v>62</v>
      </c>
      <c r="K19" s="63"/>
      <c r="L19" s="64"/>
      <c r="M19" s="65"/>
      <c r="N19" s="66"/>
      <c r="O19" s="67"/>
      <c r="P19" s="65"/>
      <c r="Q19" s="68"/>
      <c r="R19" s="71"/>
    </row>
    <row r="20" spans="2:18" s="70" customFormat="1" ht="18" customHeight="1" x14ac:dyDescent="0.15">
      <c r="B20" s="34">
        <v>12</v>
      </c>
      <c r="C20" s="72" t="s">
        <v>30</v>
      </c>
      <c r="D20" s="72" t="s">
        <v>30</v>
      </c>
      <c r="E20" s="73" t="s">
        <v>64</v>
      </c>
      <c r="F20" s="74">
        <v>2</v>
      </c>
      <c r="G20" s="60">
        <v>280</v>
      </c>
      <c r="H20" s="60">
        <f t="shared" si="0"/>
        <v>560</v>
      </c>
      <c r="I20" s="75"/>
      <c r="J20" s="76" t="s">
        <v>65</v>
      </c>
      <c r="K20" s="63"/>
      <c r="L20" s="64"/>
      <c r="M20" s="65"/>
      <c r="N20" s="66"/>
      <c r="O20" s="67"/>
      <c r="P20" s="65"/>
      <c r="Q20" s="68"/>
      <c r="R20" s="71"/>
    </row>
    <row r="21" spans="2:18" s="70" customFormat="1" ht="18" customHeight="1" x14ac:dyDescent="0.15">
      <c r="B21" s="34">
        <v>13</v>
      </c>
      <c r="C21" s="57" t="s">
        <v>30</v>
      </c>
      <c r="D21" s="57" t="s">
        <v>30</v>
      </c>
      <c r="E21" s="77" t="s">
        <v>31</v>
      </c>
      <c r="F21" s="59">
        <v>40</v>
      </c>
      <c r="G21" s="59">
        <v>19</v>
      </c>
      <c r="H21" s="60">
        <f t="shared" si="0"/>
        <v>760</v>
      </c>
      <c r="I21" s="61"/>
      <c r="J21" s="78" t="s">
        <v>32</v>
      </c>
      <c r="K21" s="79"/>
      <c r="L21" s="64"/>
      <c r="M21" s="65"/>
      <c r="N21" s="66"/>
      <c r="O21" s="67"/>
      <c r="P21" s="65"/>
      <c r="Q21" s="68"/>
      <c r="R21" s="71"/>
    </row>
    <row r="22" spans="2:18" s="70" customFormat="1" ht="18" customHeight="1" x14ac:dyDescent="0.15">
      <c r="B22" s="34">
        <v>14</v>
      </c>
      <c r="C22" s="72" t="s">
        <v>30</v>
      </c>
      <c r="D22" s="72" t="s">
        <v>30</v>
      </c>
      <c r="E22" s="80" t="s">
        <v>33</v>
      </c>
      <c r="F22" s="74">
        <v>15</v>
      </c>
      <c r="G22" s="60">
        <v>90</v>
      </c>
      <c r="H22" s="60">
        <f t="shared" si="0"/>
        <v>1350</v>
      </c>
      <c r="I22" s="81"/>
      <c r="J22" s="80" t="s">
        <v>34</v>
      </c>
      <c r="K22" s="79"/>
      <c r="L22" s="64"/>
      <c r="M22" s="65"/>
      <c r="N22" s="66"/>
      <c r="O22" s="67"/>
      <c r="P22" s="65"/>
      <c r="Q22" s="68"/>
      <c r="R22" s="71"/>
    </row>
    <row r="23" spans="2:18" s="70" customFormat="1" ht="18" customHeight="1" x14ac:dyDescent="0.15">
      <c r="B23" s="34">
        <v>15</v>
      </c>
      <c r="C23" s="72" t="s">
        <v>30</v>
      </c>
      <c r="D23" s="72" t="s">
        <v>30</v>
      </c>
      <c r="E23" s="82" t="s">
        <v>66</v>
      </c>
      <c r="F23" s="74">
        <v>1</v>
      </c>
      <c r="G23" s="60">
        <v>16000</v>
      </c>
      <c r="H23" s="60">
        <f t="shared" si="0"/>
        <v>16000</v>
      </c>
      <c r="I23" s="81"/>
      <c r="J23" s="76" t="s">
        <v>35</v>
      </c>
      <c r="K23" s="79"/>
      <c r="L23" s="64"/>
      <c r="M23" s="65"/>
      <c r="N23" s="66"/>
      <c r="O23" s="67"/>
      <c r="P23" s="65"/>
      <c r="Q23" s="68"/>
      <c r="R23" s="71"/>
    </row>
    <row r="24" spans="2:18" s="70" customFormat="1" ht="18" customHeight="1" x14ac:dyDescent="0.15">
      <c r="B24" s="34">
        <v>16</v>
      </c>
      <c r="C24" s="72" t="s">
        <v>30</v>
      </c>
      <c r="D24" s="72" t="s">
        <v>30</v>
      </c>
      <c r="E24" s="83" t="s">
        <v>36</v>
      </c>
      <c r="F24" s="84">
        <v>1</v>
      </c>
      <c r="G24" s="59">
        <v>62780</v>
      </c>
      <c r="H24" s="60">
        <f t="shared" si="0"/>
        <v>62780</v>
      </c>
      <c r="I24" s="85"/>
      <c r="J24" s="76" t="s">
        <v>37</v>
      </c>
      <c r="K24" s="79"/>
      <c r="L24" s="64"/>
      <c r="M24" s="65"/>
      <c r="N24" s="66"/>
      <c r="O24" s="67"/>
      <c r="P24" s="65"/>
      <c r="Q24" s="68"/>
      <c r="R24" s="71"/>
    </row>
    <row r="25" spans="2:18" s="70" customFormat="1" ht="18" customHeight="1" x14ac:dyDescent="0.15">
      <c r="B25" s="34">
        <v>17</v>
      </c>
      <c r="C25" s="72" t="s">
        <v>30</v>
      </c>
      <c r="D25" s="72" t="s">
        <v>30</v>
      </c>
      <c r="E25" s="77" t="s">
        <v>38</v>
      </c>
      <c r="F25" s="59">
        <v>2</v>
      </c>
      <c r="G25" s="60">
        <v>75</v>
      </c>
      <c r="H25" s="60">
        <f t="shared" si="0"/>
        <v>150</v>
      </c>
      <c r="I25" s="81"/>
      <c r="J25" s="80" t="s">
        <v>39</v>
      </c>
      <c r="K25" s="86"/>
      <c r="L25" s="64"/>
      <c r="M25" s="65"/>
      <c r="N25" s="66"/>
      <c r="O25" s="67"/>
      <c r="P25" s="65"/>
      <c r="Q25" s="68"/>
      <c r="R25" s="71"/>
    </row>
    <row r="26" spans="2:18" s="70" customFormat="1" ht="18" customHeight="1" x14ac:dyDescent="0.15">
      <c r="B26" s="34">
        <v>18</v>
      </c>
      <c r="C26" s="72" t="s">
        <v>30</v>
      </c>
      <c r="D26" s="72" t="s">
        <v>30</v>
      </c>
      <c r="E26" s="77" t="s">
        <v>67</v>
      </c>
      <c r="F26" s="59">
        <v>2</v>
      </c>
      <c r="G26" s="60">
        <v>235</v>
      </c>
      <c r="H26" s="60">
        <f t="shared" si="0"/>
        <v>470</v>
      </c>
      <c r="I26" s="81"/>
      <c r="J26" s="80" t="s">
        <v>40</v>
      </c>
      <c r="K26" s="86"/>
      <c r="L26" s="64"/>
      <c r="M26" s="65"/>
      <c r="N26" s="66"/>
      <c r="O26" s="67"/>
      <c r="P26" s="65"/>
      <c r="Q26" s="68"/>
      <c r="R26" s="71"/>
    </row>
    <row r="27" spans="2:18" s="70" customFormat="1" ht="18" customHeight="1" x14ac:dyDescent="0.15">
      <c r="B27" s="34">
        <v>19</v>
      </c>
      <c r="C27" s="72" t="s">
        <v>30</v>
      </c>
      <c r="D27" s="72" t="s">
        <v>30</v>
      </c>
      <c r="E27" s="77" t="s">
        <v>68</v>
      </c>
      <c r="F27" s="59">
        <v>2</v>
      </c>
      <c r="G27" s="60">
        <v>265</v>
      </c>
      <c r="H27" s="60">
        <f t="shared" si="0"/>
        <v>530</v>
      </c>
      <c r="I27" s="81"/>
      <c r="J27" s="80" t="s">
        <v>69</v>
      </c>
      <c r="K27" s="86"/>
      <c r="L27" s="64"/>
      <c r="M27" s="65"/>
      <c r="N27" s="66"/>
      <c r="O27" s="67"/>
      <c r="P27" s="65"/>
      <c r="Q27" s="68"/>
      <c r="R27" s="71"/>
    </row>
    <row r="28" spans="2:18" s="70" customFormat="1" ht="18" customHeight="1" x14ac:dyDescent="0.15">
      <c r="B28" s="34">
        <v>20</v>
      </c>
      <c r="C28" s="72" t="s">
        <v>30</v>
      </c>
      <c r="D28" s="72" t="s">
        <v>30</v>
      </c>
      <c r="E28" s="77" t="s">
        <v>41</v>
      </c>
      <c r="F28" s="59">
        <v>10</v>
      </c>
      <c r="G28" s="60">
        <v>30</v>
      </c>
      <c r="H28" s="60">
        <f t="shared" si="0"/>
        <v>300</v>
      </c>
      <c r="I28" s="81"/>
      <c r="J28" s="80" t="s">
        <v>42</v>
      </c>
      <c r="K28" s="86"/>
      <c r="L28" s="64"/>
      <c r="M28" s="65"/>
      <c r="N28" s="66"/>
      <c r="O28" s="67"/>
      <c r="P28" s="65"/>
      <c r="Q28" s="68"/>
      <c r="R28" s="71"/>
    </row>
    <row r="29" spans="2:18" s="70" customFormat="1" ht="18" customHeight="1" x14ac:dyDescent="0.15">
      <c r="B29" s="34">
        <v>21</v>
      </c>
      <c r="C29" s="72" t="s">
        <v>30</v>
      </c>
      <c r="D29" s="72" t="s">
        <v>30</v>
      </c>
      <c r="E29" s="77" t="s">
        <v>43</v>
      </c>
      <c r="F29" s="59">
        <v>10</v>
      </c>
      <c r="G29" s="60">
        <v>25</v>
      </c>
      <c r="H29" s="60">
        <f t="shared" si="0"/>
        <v>250</v>
      </c>
      <c r="I29" s="81"/>
      <c r="J29" s="80" t="s">
        <v>44</v>
      </c>
      <c r="K29" s="86"/>
      <c r="L29" s="64"/>
      <c r="M29" s="65"/>
      <c r="N29" s="66"/>
      <c r="O29" s="67"/>
      <c r="P29" s="65"/>
      <c r="Q29" s="68"/>
      <c r="R29" s="71"/>
    </row>
    <row r="30" spans="2:18" s="70" customFormat="1" ht="18" customHeight="1" x14ac:dyDescent="0.15">
      <c r="B30" s="34">
        <v>22</v>
      </c>
      <c r="C30" s="72" t="s">
        <v>30</v>
      </c>
      <c r="D30" s="72" t="s">
        <v>30</v>
      </c>
      <c r="E30" s="77" t="s">
        <v>45</v>
      </c>
      <c r="F30" s="59">
        <v>10</v>
      </c>
      <c r="G30" s="60">
        <v>25</v>
      </c>
      <c r="H30" s="60">
        <f t="shared" si="0"/>
        <v>250</v>
      </c>
      <c r="I30" s="81"/>
      <c r="J30" s="80" t="s">
        <v>46</v>
      </c>
      <c r="K30" s="86"/>
      <c r="L30" s="64"/>
      <c r="M30" s="65"/>
      <c r="N30" s="66"/>
      <c r="O30" s="67"/>
      <c r="P30" s="65"/>
      <c r="Q30" s="68"/>
      <c r="R30" s="71"/>
    </row>
    <row r="31" spans="2:18" s="70" customFormat="1" ht="18" customHeight="1" x14ac:dyDescent="0.15">
      <c r="B31" s="34">
        <v>23</v>
      </c>
      <c r="C31" s="72" t="s">
        <v>30</v>
      </c>
      <c r="D31" s="72" t="s">
        <v>30</v>
      </c>
      <c r="E31" s="77" t="s">
        <v>70</v>
      </c>
      <c r="F31" s="59">
        <v>10</v>
      </c>
      <c r="G31" s="60">
        <v>25</v>
      </c>
      <c r="H31" s="60">
        <f t="shared" si="0"/>
        <v>250</v>
      </c>
      <c r="I31" s="81"/>
      <c r="J31" s="80" t="s">
        <v>71</v>
      </c>
      <c r="K31" s="86"/>
      <c r="L31" s="64"/>
      <c r="M31" s="65"/>
      <c r="N31" s="66"/>
      <c r="O31" s="67"/>
      <c r="P31" s="65"/>
      <c r="Q31" s="68"/>
      <c r="R31" s="71"/>
    </row>
    <row r="32" spans="2:18" s="70" customFormat="1" ht="18" customHeight="1" x14ac:dyDescent="0.15">
      <c r="B32" s="34">
        <v>24</v>
      </c>
      <c r="C32" s="72" t="s">
        <v>30</v>
      </c>
      <c r="D32" s="72" t="s">
        <v>30</v>
      </c>
      <c r="E32" s="77" t="s">
        <v>47</v>
      </c>
      <c r="F32" s="59">
        <v>20</v>
      </c>
      <c r="G32" s="60">
        <v>20</v>
      </c>
      <c r="H32" s="60">
        <f t="shared" si="0"/>
        <v>400</v>
      </c>
      <c r="I32" s="81"/>
      <c r="J32" s="80" t="s">
        <v>48</v>
      </c>
      <c r="K32" s="63"/>
      <c r="L32" s="64"/>
      <c r="M32" s="65"/>
      <c r="N32" s="66"/>
      <c r="O32" s="67"/>
      <c r="P32" s="65"/>
      <c r="Q32" s="68"/>
      <c r="R32" s="71"/>
    </row>
    <row r="33" spans="2:18" s="70" customFormat="1" ht="18" customHeight="1" x14ac:dyDescent="0.15">
      <c r="B33" s="34">
        <v>25</v>
      </c>
      <c r="C33" s="72" t="s">
        <v>30</v>
      </c>
      <c r="D33" s="72" t="s">
        <v>30</v>
      </c>
      <c r="E33" s="77" t="s">
        <v>72</v>
      </c>
      <c r="F33" s="59">
        <v>10</v>
      </c>
      <c r="G33" s="60">
        <v>20</v>
      </c>
      <c r="H33" s="60">
        <f t="shared" si="0"/>
        <v>200</v>
      </c>
      <c r="I33" s="81"/>
      <c r="J33" s="80" t="s">
        <v>73</v>
      </c>
      <c r="K33" s="63"/>
      <c r="L33" s="64"/>
      <c r="M33" s="65"/>
      <c r="N33" s="66"/>
      <c r="O33" s="67"/>
      <c r="P33" s="65"/>
      <c r="Q33" s="68"/>
      <c r="R33" s="71"/>
    </row>
    <row r="34" spans="2:18" s="54" customFormat="1" ht="18" customHeight="1" x14ac:dyDescent="0.15">
      <c r="B34" s="34">
        <v>26</v>
      </c>
      <c r="C34" s="72" t="s">
        <v>30</v>
      </c>
      <c r="D34" s="72" t="s">
        <v>30</v>
      </c>
      <c r="E34" s="51" t="s">
        <v>76</v>
      </c>
      <c r="F34" s="52">
        <v>2</v>
      </c>
      <c r="G34" s="44">
        <v>265</v>
      </c>
      <c r="H34" s="44">
        <v>530</v>
      </c>
      <c r="I34" s="5"/>
      <c r="J34" s="87" t="s">
        <v>78</v>
      </c>
      <c r="K34" s="32"/>
      <c r="L34" s="39"/>
      <c r="M34" s="36"/>
      <c r="N34" s="37"/>
      <c r="O34" s="40"/>
      <c r="P34" s="36"/>
      <c r="Q34" s="42"/>
      <c r="R34" s="38"/>
    </row>
    <row r="35" spans="2:18" s="54" customFormat="1" ht="18" customHeight="1" x14ac:dyDescent="0.15">
      <c r="B35" s="34">
        <v>27</v>
      </c>
      <c r="C35" s="72" t="s">
        <v>30</v>
      </c>
      <c r="D35" s="72" t="s">
        <v>30</v>
      </c>
      <c r="E35" s="51" t="s">
        <v>77</v>
      </c>
      <c r="F35" s="52">
        <v>2</v>
      </c>
      <c r="G35" s="44">
        <v>265</v>
      </c>
      <c r="H35" s="44">
        <v>530</v>
      </c>
      <c r="I35" s="5"/>
      <c r="J35" s="87" t="s">
        <v>78</v>
      </c>
      <c r="K35" s="32"/>
      <c r="L35" s="39"/>
      <c r="M35" s="36"/>
      <c r="N35" s="37"/>
      <c r="O35" s="40"/>
      <c r="P35" s="36"/>
      <c r="Q35" s="42"/>
      <c r="R35" s="38"/>
    </row>
    <row r="36" spans="2:18" s="54" customFormat="1" ht="18" customHeight="1" x14ac:dyDescent="0.15">
      <c r="B36" s="34">
        <v>28</v>
      </c>
      <c r="C36" s="2"/>
      <c r="D36" s="2"/>
      <c r="E36" s="4" t="s">
        <v>49</v>
      </c>
      <c r="F36" s="5"/>
      <c r="G36" s="44">
        <v>1500</v>
      </c>
      <c r="H36" s="44">
        <f>F36*G36</f>
        <v>0</v>
      </c>
      <c r="I36" s="5"/>
      <c r="J36" s="43"/>
      <c r="K36" s="32"/>
      <c r="L36" s="39"/>
      <c r="M36" s="36"/>
      <c r="N36" s="37"/>
      <c r="O36" s="40"/>
      <c r="P36" s="36"/>
      <c r="Q36" s="42"/>
      <c r="R36" s="38"/>
    </row>
    <row r="37" spans="2:18" s="54" customFormat="1" ht="18" customHeight="1" x14ac:dyDescent="0.15">
      <c r="B37" s="34">
        <v>29</v>
      </c>
      <c r="C37" s="2"/>
      <c r="D37" s="2"/>
      <c r="E37" s="4" t="s">
        <v>50</v>
      </c>
      <c r="F37" s="5"/>
      <c r="G37" s="44">
        <v>5000</v>
      </c>
      <c r="H37" s="44">
        <f>F37*G37</f>
        <v>0</v>
      </c>
      <c r="I37" s="5"/>
      <c r="J37" s="45"/>
      <c r="K37" s="32"/>
      <c r="L37" s="39"/>
      <c r="M37" s="36"/>
      <c r="N37" s="37"/>
      <c r="O37" s="40"/>
      <c r="P37" s="36"/>
      <c r="Q37" s="42"/>
      <c r="R37" s="38"/>
    </row>
    <row r="38" spans="2:18" s="54" customFormat="1" ht="18" customHeight="1" x14ac:dyDescent="0.15">
      <c r="B38" s="34">
        <v>30</v>
      </c>
      <c r="C38" s="2"/>
      <c r="D38" s="2"/>
      <c r="E38" s="4" t="s">
        <v>51</v>
      </c>
      <c r="F38" s="5"/>
      <c r="G38" s="44">
        <v>5000</v>
      </c>
      <c r="H38" s="44">
        <f>F38*G38</f>
        <v>0</v>
      </c>
      <c r="I38" s="31"/>
      <c r="J38" s="45"/>
      <c r="K38" s="32"/>
      <c r="L38" s="39"/>
      <c r="M38" s="36"/>
      <c r="N38" s="37"/>
      <c r="O38" s="40"/>
      <c r="P38" s="36"/>
      <c r="Q38" s="42"/>
      <c r="R38" s="38"/>
    </row>
    <row r="39" spans="2:18" s="54" customFormat="1" ht="18" customHeight="1" x14ac:dyDescent="0.15">
      <c r="B39" s="34"/>
      <c r="C39" s="2"/>
      <c r="D39" s="2"/>
      <c r="E39" s="51"/>
      <c r="F39" s="52"/>
      <c r="G39" s="44"/>
      <c r="H39" s="44"/>
      <c r="I39" s="5"/>
      <c r="J39" s="43"/>
      <c r="K39" s="33"/>
      <c r="L39" s="39"/>
      <c r="M39" s="36"/>
      <c r="N39" s="37"/>
      <c r="O39" s="40"/>
      <c r="P39" s="36"/>
      <c r="Q39" s="42"/>
      <c r="R39" s="38"/>
    </row>
    <row r="40" spans="2:18" s="54" customFormat="1" ht="18" customHeight="1" x14ac:dyDescent="0.15">
      <c r="B40" s="34"/>
      <c r="C40" s="2"/>
      <c r="D40" s="2"/>
      <c r="E40" s="51"/>
      <c r="F40" s="52"/>
      <c r="G40" s="44"/>
      <c r="H40" s="44"/>
      <c r="I40" s="5"/>
      <c r="J40" s="43"/>
      <c r="K40" s="32"/>
      <c r="L40" s="39"/>
      <c r="M40" s="36"/>
      <c r="N40" s="37"/>
      <c r="O40" s="40"/>
      <c r="P40" s="36"/>
      <c r="Q40" s="42"/>
      <c r="R40" s="38"/>
    </row>
    <row r="41" spans="2:18" s="54" customFormat="1" ht="18" customHeight="1" x14ac:dyDescent="0.15">
      <c r="B41" s="34"/>
      <c r="C41" s="2"/>
      <c r="D41" s="2"/>
      <c r="E41" s="51"/>
      <c r="F41" s="52"/>
      <c r="G41" s="44"/>
      <c r="H41" s="44"/>
      <c r="I41" s="5"/>
      <c r="J41" s="43"/>
      <c r="K41" s="32"/>
      <c r="L41" s="39"/>
      <c r="M41" s="36"/>
      <c r="N41" s="37"/>
      <c r="O41" s="40"/>
      <c r="P41" s="36"/>
      <c r="Q41" s="42"/>
      <c r="R41" s="38"/>
    </row>
    <row r="42" spans="2:18" s="54" customFormat="1" ht="18" customHeight="1" x14ac:dyDescent="0.15">
      <c r="B42" s="34"/>
      <c r="C42" s="2"/>
      <c r="D42" s="2"/>
      <c r="E42" s="51"/>
      <c r="F42" s="52"/>
      <c r="G42" s="44"/>
      <c r="H42" s="44"/>
      <c r="I42" s="5"/>
      <c r="J42" s="43"/>
      <c r="K42" s="32"/>
      <c r="L42" s="39"/>
      <c r="M42" s="36"/>
      <c r="N42" s="37"/>
      <c r="O42" s="40"/>
      <c r="P42" s="36"/>
      <c r="Q42" s="42"/>
      <c r="R42" s="38"/>
    </row>
    <row r="43" spans="2:18" s="54" customFormat="1" ht="18" customHeight="1" x14ac:dyDescent="0.15">
      <c r="B43" s="34"/>
      <c r="C43" s="2"/>
      <c r="D43" s="2"/>
      <c r="E43" s="51"/>
      <c r="F43" s="52"/>
      <c r="G43" s="44"/>
      <c r="H43" s="44"/>
      <c r="I43" s="5"/>
      <c r="J43" s="43"/>
      <c r="K43" s="32"/>
      <c r="L43" s="39"/>
      <c r="M43" s="36"/>
      <c r="N43" s="37"/>
      <c r="O43" s="40"/>
      <c r="P43" s="36"/>
      <c r="Q43" s="42"/>
      <c r="R43" s="38"/>
    </row>
    <row r="44" spans="2:18" s="54" customFormat="1" ht="18" customHeight="1" x14ac:dyDescent="0.15">
      <c r="B44" s="34"/>
      <c r="C44" s="2"/>
      <c r="D44" s="2"/>
      <c r="E44" s="51"/>
      <c r="F44" s="52"/>
      <c r="G44" s="44"/>
      <c r="H44" s="44"/>
      <c r="I44" s="5"/>
      <c r="J44" s="43"/>
      <c r="K44" s="32"/>
      <c r="L44" s="39"/>
      <c r="M44" s="36"/>
      <c r="N44" s="37"/>
      <c r="O44" s="40"/>
      <c r="P44" s="36"/>
      <c r="Q44" s="42"/>
      <c r="R44" s="38"/>
    </row>
    <row r="45" spans="2:18" s="54" customFormat="1" ht="18" customHeight="1" x14ac:dyDescent="0.15">
      <c r="B45" s="34"/>
      <c r="C45" s="2"/>
      <c r="D45" s="2"/>
      <c r="E45" s="51"/>
      <c r="F45" s="52"/>
      <c r="G45" s="44"/>
      <c r="H45" s="44"/>
      <c r="I45" s="5"/>
      <c r="J45" s="43"/>
      <c r="K45" s="32"/>
      <c r="L45" s="39"/>
      <c r="M45" s="36"/>
      <c r="N45" s="37"/>
      <c r="O45" s="40"/>
      <c r="P45" s="36"/>
      <c r="Q45" s="42"/>
      <c r="R45" s="38"/>
    </row>
    <row r="46" spans="2:18" s="54" customFormat="1" ht="18" customHeight="1" x14ac:dyDescent="0.15">
      <c r="B46" s="34"/>
      <c r="C46" s="2"/>
      <c r="D46" s="2"/>
      <c r="E46" s="51"/>
      <c r="F46" s="52"/>
      <c r="G46" s="44"/>
      <c r="H46" s="44"/>
      <c r="I46" s="5"/>
      <c r="J46" s="43"/>
      <c r="K46" s="32"/>
      <c r="L46" s="39"/>
      <c r="M46" s="36"/>
      <c r="N46" s="37"/>
      <c r="O46" s="40"/>
      <c r="P46" s="36"/>
      <c r="Q46" s="42"/>
      <c r="R46" s="38"/>
    </row>
    <row r="47" spans="2:18" s="54" customFormat="1" ht="18" customHeight="1" x14ac:dyDescent="0.15">
      <c r="B47" s="34"/>
      <c r="C47" s="2"/>
      <c r="D47" s="2"/>
      <c r="E47" s="51"/>
      <c r="F47" s="52"/>
      <c r="G47" s="44"/>
      <c r="H47" s="44"/>
      <c r="I47" s="5"/>
      <c r="J47" s="43"/>
      <c r="K47" s="32"/>
      <c r="L47" s="3"/>
      <c r="M47" s="15"/>
      <c r="N47" s="6"/>
      <c r="O47" s="8"/>
      <c r="P47" s="15"/>
      <c r="Q47" s="11"/>
    </row>
    <row r="48" spans="2:18" s="54" customFormat="1" ht="18" customHeight="1" x14ac:dyDescent="0.15">
      <c r="B48" s="34"/>
      <c r="C48" s="2"/>
      <c r="D48" s="2"/>
      <c r="E48" s="51"/>
      <c r="F48" s="52"/>
      <c r="G48" s="44"/>
      <c r="H48" s="44"/>
      <c r="I48" s="5"/>
      <c r="J48" s="43"/>
      <c r="K48" s="32"/>
      <c r="L48" s="3"/>
      <c r="M48" s="15"/>
      <c r="N48" s="6"/>
      <c r="O48" s="8"/>
      <c r="P48" s="15"/>
      <c r="Q48" s="11"/>
    </row>
    <row r="49" spans="2:17" s="54" customFormat="1" ht="18" customHeight="1" x14ac:dyDescent="0.15">
      <c r="B49" s="34"/>
      <c r="C49" s="2"/>
      <c r="D49" s="2"/>
      <c r="E49" s="51"/>
      <c r="F49" s="52"/>
      <c r="G49" s="44"/>
      <c r="H49" s="44"/>
      <c r="I49" s="5"/>
      <c r="J49" s="43"/>
      <c r="K49" s="32"/>
      <c r="L49" s="3"/>
      <c r="M49" s="15"/>
      <c r="N49" s="6"/>
      <c r="O49" s="8"/>
      <c r="P49" s="15"/>
      <c r="Q49" s="11"/>
    </row>
    <row r="50" spans="2:17" s="54" customFormat="1" ht="18" customHeight="1" x14ac:dyDescent="0.15">
      <c r="B50" s="34"/>
      <c r="C50" s="2"/>
      <c r="D50" s="2"/>
      <c r="E50" s="51"/>
      <c r="F50" s="52"/>
      <c r="G50" s="44"/>
      <c r="H50" s="44"/>
      <c r="I50" s="5"/>
      <c r="J50" s="43"/>
      <c r="K50" s="32"/>
      <c r="L50" s="3"/>
      <c r="M50" s="15"/>
      <c r="N50" s="6"/>
      <c r="O50" s="8"/>
      <c r="P50" s="15"/>
      <c r="Q50" s="11"/>
    </row>
    <row r="51" spans="2:17" s="54" customFormat="1" ht="18" customHeight="1" x14ac:dyDescent="0.15">
      <c r="B51" s="10"/>
      <c r="C51" s="2"/>
      <c r="D51" s="2"/>
      <c r="E51" s="4"/>
      <c r="F51" s="5"/>
      <c r="G51" s="44"/>
      <c r="H51" s="44"/>
      <c r="I51" s="9"/>
      <c r="J51" s="3"/>
      <c r="K51" s="4"/>
      <c r="L51" s="3"/>
      <c r="M51" s="15"/>
      <c r="N51" s="6"/>
      <c r="O51" s="8"/>
      <c r="P51" s="15"/>
      <c r="Q51" s="11"/>
    </row>
    <row r="52" spans="2:17" s="54" customFormat="1" ht="18" customHeight="1" x14ac:dyDescent="0.15">
      <c r="B52" s="10"/>
      <c r="C52" s="10"/>
      <c r="D52" s="10"/>
      <c r="E52" s="4"/>
      <c r="F52" s="5"/>
      <c r="G52" s="44"/>
      <c r="H52" s="44"/>
      <c r="I52" s="7"/>
      <c r="J52" s="3"/>
      <c r="K52" s="4"/>
      <c r="L52" s="3"/>
      <c r="M52" s="15"/>
      <c r="N52" s="6"/>
      <c r="O52" s="8"/>
      <c r="P52" s="15"/>
      <c r="Q52" s="11"/>
    </row>
    <row r="53" spans="2:17" ht="18" customHeight="1" x14ac:dyDescent="0.15">
      <c r="B53" s="10"/>
      <c r="C53" s="10"/>
      <c r="D53" s="10"/>
      <c r="E53" s="4"/>
      <c r="F53" s="5"/>
      <c r="G53" s="44"/>
      <c r="H53" s="44"/>
      <c r="I53" s="9"/>
      <c r="J53" s="3"/>
      <c r="K53" s="4"/>
      <c r="L53" s="3"/>
      <c r="M53" s="15"/>
      <c r="N53" s="6"/>
      <c r="O53" s="8"/>
      <c r="P53" s="15"/>
      <c r="Q53" s="11"/>
    </row>
    <row r="54" spans="2:17" ht="18" customHeight="1" x14ac:dyDescent="0.15">
      <c r="B54" s="10"/>
      <c r="C54" s="10"/>
      <c r="D54" s="10"/>
      <c r="E54" s="4"/>
      <c r="F54" s="5"/>
      <c r="G54" s="44"/>
      <c r="H54" s="44"/>
      <c r="I54" s="9"/>
      <c r="J54" s="3"/>
      <c r="K54" s="4"/>
      <c r="L54" s="3"/>
      <c r="M54" s="15"/>
      <c r="N54" s="6"/>
      <c r="O54" s="8"/>
      <c r="P54" s="15"/>
      <c r="Q54" s="11"/>
    </row>
    <row r="55" spans="2:17" ht="18" customHeight="1" x14ac:dyDescent="0.15">
      <c r="B55" s="10"/>
      <c r="C55" s="10"/>
      <c r="D55" s="10"/>
      <c r="E55" s="4"/>
      <c r="F55" s="5"/>
      <c r="G55" s="44"/>
      <c r="H55" s="44"/>
      <c r="I55" s="9"/>
      <c r="J55" s="3"/>
      <c r="K55" s="4"/>
      <c r="L55" s="3"/>
      <c r="M55" s="15"/>
      <c r="N55" s="6"/>
      <c r="O55" s="8"/>
      <c r="P55" s="15"/>
      <c r="Q55" s="11"/>
    </row>
    <row r="56" spans="2:17" ht="18" customHeight="1" x14ac:dyDescent="0.15">
      <c r="B56" s="10"/>
      <c r="C56" s="2"/>
      <c r="D56" s="2"/>
      <c r="E56" s="4"/>
      <c r="F56" s="5"/>
      <c r="G56" s="44"/>
      <c r="H56" s="44"/>
      <c r="I56" s="9"/>
      <c r="J56" s="4"/>
      <c r="K56" s="4"/>
      <c r="L56" s="3"/>
      <c r="M56" s="15"/>
      <c r="N56" s="6"/>
      <c r="O56" s="8"/>
      <c r="P56" s="15"/>
      <c r="Q56" s="11"/>
    </row>
    <row r="57" spans="2:17" ht="18" customHeight="1" x14ac:dyDescent="0.15">
      <c r="B57" s="10"/>
      <c r="C57" s="2"/>
      <c r="D57" s="2"/>
      <c r="E57" s="4"/>
      <c r="F57" s="5"/>
      <c r="G57" s="44"/>
      <c r="H57" s="44"/>
      <c r="I57" s="9"/>
      <c r="J57" s="3"/>
      <c r="K57" s="4"/>
      <c r="L57" s="3"/>
      <c r="M57" s="15"/>
      <c r="N57" s="6"/>
      <c r="O57" s="8"/>
      <c r="P57" s="15"/>
      <c r="Q57" s="11"/>
    </row>
    <row r="58" spans="2:17" ht="13.5" customHeight="1" x14ac:dyDescent="0.15">
      <c r="M58" s="23"/>
      <c r="P58" s="18"/>
      <c r="Q58" s="19"/>
    </row>
    <row r="59" spans="2:17" ht="13.5" customHeight="1" x14ac:dyDescent="0.15">
      <c r="M59" s="23"/>
      <c r="P59" s="18"/>
      <c r="Q59" s="19"/>
    </row>
    <row r="60" spans="2:17" ht="13.5" customHeight="1" x14ac:dyDescent="0.15">
      <c r="C60" s="12"/>
      <c r="D60" s="12"/>
      <c r="E60" s="20"/>
      <c r="G60" s="53"/>
      <c r="H60" s="53"/>
      <c r="I60" s="13"/>
      <c r="M60" s="23"/>
      <c r="P60" s="18"/>
      <c r="Q60" s="19"/>
    </row>
    <row r="61" spans="2:17" ht="13.5" customHeight="1" x14ac:dyDescent="0.15">
      <c r="C61" s="12"/>
      <c r="D61" s="12"/>
      <c r="E61" s="22"/>
      <c r="G61" s="53"/>
      <c r="H61" s="53"/>
      <c r="I61" s="13"/>
      <c r="M61" s="23"/>
      <c r="P61" s="18"/>
    </row>
    <row r="62" spans="2:17" ht="13.5" customHeight="1" x14ac:dyDescent="0.15">
      <c r="C62" s="12"/>
      <c r="D62" s="12"/>
      <c r="E62" s="20"/>
      <c r="F62" s="14"/>
      <c r="G62" s="53"/>
      <c r="H62" s="53"/>
      <c r="I62" s="13"/>
      <c r="P62" s="18"/>
    </row>
    <row r="63" spans="2:17" ht="13.5" customHeight="1" x14ac:dyDescent="0.15">
      <c r="P63" s="18"/>
    </row>
    <row r="64" spans="2:17" ht="13.5" customHeight="1" x14ac:dyDescent="0.15">
      <c r="P64" s="18"/>
    </row>
    <row r="65" spans="16:16" ht="13.5" customHeight="1" x14ac:dyDescent="0.15">
      <c r="P65" s="18"/>
    </row>
    <row r="66" spans="16:16" ht="13.5" customHeight="1" x14ac:dyDescent="0.15">
      <c r="P66" s="18"/>
    </row>
    <row r="67" spans="16:16" ht="13.5" customHeight="1" x14ac:dyDescent="0.15">
      <c r="P67" s="18"/>
    </row>
  </sheetData>
  <autoFilter ref="B8:O38"/>
  <mergeCells count="6">
    <mergeCell ref="B6:D6"/>
    <mergeCell ref="B2:D2"/>
    <mergeCell ref="G2:I2"/>
    <mergeCell ref="B3:D3"/>
    <mergeCell ref="B4:D4"/>
    <mergeCell ref="B5:D5"/>
  </mergeCells>
  <phoneticPr fontId="7"/>
  <dataValidations count="1">
    <dataValidation allowBlank="1" showInputMessage="1" showErrorMessage="1" sqref="J39:J50 J25:J35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D7" sqref="D7"/>
    </sheetView>
  </sheetViews>
  <sheetFormatPr defaultColWidth="10.5" defaultRowHeight="13.5" customHeight="1" x14ac:dyDescent="0.15"/>
  <cols>
    <col min="1" max="4" width="10.5" style="1"/>
  </cols>
  <sheetData/>
  <phoneticPr fontId="7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5" defaultRowHeight="13.5" customHeight="1" x14ac:dyDescent="0.15"/>
  <cols>
    <col min="1" max="1" width="10.5" style="1"/>
  </cols>
  <sheetData/>
  <phoneticPr fontId="7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NEW (ﾋﾟｯﾁ変更TYPE) (２SET) </vt:lpstr>
      <vt:lpstr>NEW (ﾋﾟｯﾁ変更TYPE) (１SET) </vt:lpstr>
      <vt:lpstr>Sheet2</vt:lpstr>
      <vt:lpstr>Sheet3</vt:lpstr>
      <vt:lpstr>'NEW (ﾋﾟｯﾁ変更TYPE) (１SET) '!_FilterDatabase</vt:lpstr>
      <vt:lpstr>'NEW (ﾋﾟｯﾁ変更TYPE) (２SET) '!_FilterDatabase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moriwaki</dc:creator>
  <cp:lastModifiedBy>moriwaki</cp:lastModifiedBy>
  <dcterms:created xsi:type="dcterms:W3CDTF">2016-04-26T04:36:34Z</dcterms:created>
  <dcterms:modified xsi:type="dcterms:W3CDTF">2016-12-22T03:14:29Z</dcterms:modified>
</cp:coreProperties>
</file>