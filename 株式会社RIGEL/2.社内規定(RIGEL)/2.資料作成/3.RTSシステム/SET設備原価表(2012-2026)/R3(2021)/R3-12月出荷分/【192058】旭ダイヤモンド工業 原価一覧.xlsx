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F1CA2FB-DF0E-4E18-A44B-A9C878638A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6" i="1" l="1"/>
  <c r="H22" i="1" l="1"/>
  <c r="H20" i="1"/>
  <c r="H21" i="1"/>
  <c r="H23" i="1"/>
  <c r="H24" i="1"/>
  <c r="H25" i="1"/>
  <c r="H26" i="1"/>
  <c r="H9" i="1"/>
  <c r="H10" i="1" l="1"/>
  <c r="H11" i="1"/>
  <c r="H12" i="1"/>
  <c r="H14" i="1" l="1"/>
  <c r="H15" i="1"/>
  <c r="H18" i="1" l="1"/>
  <c r="H19" i="1"/>
  <c r="H17" i="1"/>
  <c r="J2" i="1" l="1"/>
</calcChain>
</file>

<file path=xl/sharedStrings.xml><?xml version="1.0" encoding="utf-8"?>
<sst xmlns="http://schemas.openxmlformats.org/spreadsheetml/2006/main" count="92" uniqueCount="54">
  <si>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</si>
  <si>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</si>
  <si>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</si>
  <si>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</si>
  <si>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</si>
  <si>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</si>
  <si>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</si>
  <si>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</si>
  <si>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</si>
  <si>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</si>
  <si>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</si>
  <si>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</si>
  <si>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</si>
  <si>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</si>
  <si>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</si>
  <si>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</si>
  <si>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</si>
  <si>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</si>
  <si>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</si>
  <si>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</si>
  <si>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</si>
  <si>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</si>
  <si>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旭ダイヤモンド工業</t>
    <rPh sb="0" eb="1">
      <t>アサヒ</t>
    </rPh>
    <rPh sb="7" eb="9">
      <t>コウギョウ</t>
    </rPh>
    <phoneticPr fontId="1"/>
  </si>
  <si>
    <t>増渕</t>
    <rPh sb="0" eb="2">
      <t>マスブチ</t>
    </rPh>
    <phoneticPr fontId="1"/>
  </si>
  <si>
    <t>回転モータ取付ベース</t>
    <phoneticPr fontId="1"/>
  </si>
  <si>
    <t>回転モータ取付Lブラケット</t>
    <phoneticPr fontId="1"/>
  </si>
  <si>
    <t>回転モータ軸受け</t>
    <phoneticPr fontId="1"/>
  </si>
  <si>
    <t>SETD0072-Y01</t>
    <phoneticPr fontId="1"/>
  </si>
  <si>
    <t>SETD0072-Y02</t>
  </si>
  <si>
    <t>SETD0072-Y03</t>
  </si>
  <si>
    <t>SETD0072-Y04</t>
  </si>
  <si>
    <t>SETD0072-Y05</t>
  </si>
  <si>
    <t>CSHSMT-SUS-M3-6</t>
    <phoneticPr fontId="1"/>
  </si>
  <si>
    <t>低頭小頭六角穴付きボルト(日産ねじ）</t>
    <phoneticPr fontId="1"/>
  </si>
  <si>
    <t>CSHSMT-SUS-M3-15</t>
    <phoneticPr fontId="1"/>
  </si>
  <si>
    <t>低頭小頭六角穴付きボルト(日産ねじ）</t>
    <phoneticPr fontId="1"/>
  </si>
  <si>
    <t>日産ねじ</t>
    <phoneticPr fontId="1"/>
  </si>
  <si>
    <t>吸着パッドﾞ取付側板</t>
    <phoneticPr fontId="1"/>
  </si>
  <si>
    <t>CBSTSR3-8</t>
    <phoneticPr fontId="1"/>
  </si>
  <si>
    <t>超極低頭ボルト 六角穴タイプ</t>
    <phoneticPr fontId="1"/>
  </si>
  <si>
    <t>吸着MVPTS8パッド固定ブロック</t>
    <phoneticPr fontId="1"/>
  </si>
  <si>
    <t>ミスミ</t>
    <phoneticPr fontId="1"/>
  </si>
  <si>
    <t>六角穴付止めねじ くぼみ先</t>
    <phoneticPr fontId="1"/>
  </si>
  <si>
    <t>MSSU3-6</t>
    <phoneticPr fontId="1"/>
  </si>
  <si>
    <t>吸着パッド回転モータ取付ユニット</t>
    <phoneticPr fontId="1"/>
  </si>
  <si>
    <t>タイショー</t>
    <phoneticPr fontId="1"/>
  </si>
  <si>
    <t>見積りNo：21DO-0393</t>
    <rPh sb="0" eb="2">
      <t>ミツモリ</t>
    </rPh>
    <phoneticPr fontId="1"/>
  </si>
  <si>
    <t>吸着パッド回転モータ取付ユニット【紛失分】</t>
    <rPh sb="17" eb="19">
      <t>フンシツ</t>
    </rPh>
    <rPh sb="19" eb="20">
      <t>ブン</t>
    </rPh>
    <phoneticPr fontId="1"/>
  </si>
  <si>
    <t>吸着パット固定板金</t>
    <phoneticPr fontId="1"/>
  </si>
  <si>
    <t>160544-Y04</t>
    <phoneticPr fontId="1"/>
  </si>
  <si>
    <t>最短</t>
    <rPh sb="0" eb="2">
      <t>サイタン</t>
    </rPh>
    <phoneticPr fontId="1"/>
  </si>
  <si>
    <t>鍋屋バイテック</t>
    <phoneticPr fontId="1"/>
  </si>
  <si>
    <t>六角穴付き極低頭ボルト（鍋屋バイテック）</t>
    <phoneticPr fontId="1"/>
  </si>
  <si>
    <t>SSHS-M4X10-VA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</si>
</sst>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_);[Red]\(0\)"/>
  </numFmts>
  <fonts count="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2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center" vertical="center"/>
    </xf>
    <xf numFmtId="38" fontId="0" fillId="0" borderId="1" xfId="0" applyNumberFormat="1" applyFon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3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180" fontId="7" fillId="0" borderId="1" xfId="0" applyNumberFormat="1" applyFont="1" applyFill="1" applyBorder="1" applyAlignment="1">
      <alignment horizontal="right" vertical="center"/>
    </xf>
    <xf numFmtId="38" fontId="7" fillId="3" borderId="1" xfId="0" applyNumberFormat="1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left" vertical="center"/>
    </xf>
    <xf numFmtId="38" fontId="5" fillId="3" borderId="1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181" fontId="5" fillId="3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180" fontId="7" fillId="3" borderId="1" xfId="0" applyNumberFormat="1" applyFont="1" applyFill="1" applyBorder="1" applyAlignment="1">
      <alignment horizontal="right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1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3" fontId="0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3"/>
  <sheetViews>
    <sheetView tabSelected="1" zoomScale="85" zoomScaleNormal="85" workbookViewId="0">
      <pane xSplit="10" ySplit="8" topLeftCell="M9" activePane="bottomRight" state="frozen"/>
      <selection pane="topRight" activeCell="K1" sqref="K1"/>
      <selection pane="bottomLeft" activeCell="A9" sqref="A9"/>
      <selection pane="bottomRight" activeCell="B14" sqref="B14"/>
    </sheetView>
  </sheetViews>
  <sheetFormatPr defaultRowHeight="13.5" x14ac:dyDescent="0.15"/>
  <cols>
    <col min="1" max="1" width="2.625" customWidth="1"/>
    <col min="2" max="2" width="5.625" style="5" customWidth="1"/>
    <col min="3" max="4" width="20.625" customWidth="1"/>
    <col min="5" max="5" width="55.625" customWidth="1"/>
    <col min="6" max="6" width="6.25" customWidth="1"/>
    <col min="7" max="8" width="9.875" bestFit="1" customWidth="1"/>
    <col min="9" max="9" width="5.75" style="10" customWidth="1"/>
    <col min="10" max="10" width="40.625" customWidth="1"/>
    <col min="11" max="11" width="35.625" style="29" customWidth="1"/>
    <col min="12" max="12" width="30.625" style="5" customWidth="1"/>
    <col min="13" max="13" width="13.75" style="12" customWidth="1"/>
    <col min="14" max="14" width="6.375" customWidth="1"/>
    <col min="15" max="15" width="18.375" style="10" customWidth="1"/>
    <col min="16" max="16" width="19.125" style="16" customWidth="1"/>
    <col min="17" max="17" width="15.625" style="17" customWidth="1"/>
  </cols>
  <sheetData>
    <row r="2" spans="2:17" ht="20.100000000000001" customHeight="1" x14ac:dyDescent="0.15">
      <c r="B2" s="54" t="s">
        <v>11</v>
      </c>
      <c r="C2" s="54"/>
      <c r="D2" s="54"/>
      <c r="E2" s="11" t="s">
        <v>22</v>
      </c>
      <c r="G2" s="55" t="s">
        <v>15</v>
      </c>
      <c r="H2" s="56"/>
      <c r="I2" s="57"/>
      <c r="J2" s="9">
        <f>SUM(H:H)</f>
        <v>33970</v>
      </c>
      <c r="K2" s="28"/>
      <c r="L2" s="6"/>
    </row>
    <row r="3" spans="2:17" ht="20.100000000000001" customHeight="1" x14ac:dyDescent="0.15">
      <c r="B3" s="54" t="s">
        <v>10</v>
      </c>
      <c r="C3" s="54"/>
      <c r="D3" s="54"/>
      <c r="E3" s="7" t="s">
        <v>23</v>
      </c>
    </row>
    <row r="4" spans="2:17" ht="20.100000000000001" customHeight="1" x14ac:dyDescent="0.15">
      <c r="B4" s="54" t="s">
        <v>12</v>
      </c>
      <c r="C4" s="54"/>
      <c r="D4" s="54"/>
      <c r="E4" s="7">
        <v>192058</v>
      </c>
    </row>
    <row r="5" spans="2:17" ht="20.100000000000001" customHeight="1" x14ac:dyDescent="0.15">
      <c r="B5" s="54" t="s">
        <v>13</v>
      </c>
      <c r="C5" s="54"/>
      <c r="D5" s="54"/>
      <c r="E5" s="8" t="s">
        <v>50</v>
      </c>
    </row>
    <row r="6" spans="2:17" ht="20.100000000000001" customHeight="1" x14ac:dyDescent="0.15">
      <c r="B6" s="54" t="s">
        <v>14</v>
      </c>
      <c r="C6" s="54"/>
      <c r="D6" s="54"/>
      <c r="E6" s="8">
        <v>44532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3" t="s">
        <v>6</v>
      </c>
      <c r="N8" s="4" t="s">
        <v>19</v>
      </c>
      <c r="O8" s="1" t="s">
        <v>7</v>
      </c>
      <c r="P8" s="13" t="s">
        <v>20</v>
      </c>
      <c r="Q8" s="18" t="s">
        <v>21</v>
      </c>
    </row>
    <row r="9" spans="2:17" s="3" customFormat="1" ht="19.7" customHeight="1" x14ac:dyDescent="0.15">
      <c r="B9" s="4">
        <v>2</v>
      </c>
      <c r="C9" s="20" t="s">
        <v>36</v>
      </c>
      <c r="D9" s="20" t="s">
        <v>41</v>
      </c>
      <c r="E9" s="36" t="s">
        <v>32</v>
      </c>
      <c r="F9" s="37">
        <v>4</v>
      </c>
      <c r="G9" s="33">
        <v>74</v>
      </c>
      <c r="H9" s="21">
        <f t="shared" ref="H9:H12" si="0">F9*G9</f>
        <v>296</v>
      </c>
      <c r="I9" s="35"/>
      <c r="J9" s="34" t="s">
        <v>35</v>
      </c>
      <c r="K9" s="1"/>
      <c r="L9" s="1" t="s">
        <v>44</v>
      </c>
      <c r="M9" s="13">
        <v>44517</v>
      </c>
      <c r="N9" s="4"/>
      <c r="O9" s="1"/>
      <c r="P9" s="13">
        <v>44518</v>
      </c>
      <c r="Q9" s="18">
        <v>44518</v>
      </c>
    </row>
    <row r="10" spans="2:17" s="3" customFormat="1" ht="19.7" customHeight="1" x14ac:dyDescent="0.15">
      <c r="B10" s="4">
        <v>2</v>
      </c>
      <c r="C10" s="20" t="s">
        <v>36</v>
      </c>
      <c r="D10" s="20" t="s">
        <v>41</v>
      </c>
      <c r="E10" s="36" t="s">
        <v>34</v>
      </c>
      <c r="F10" s="32">
        <v>2</v>
      </c>
      <c r="G10" s="19">
        <v>95</v>
      </c>
      <c r="H10" s="21">
        <f t="shared" si="0"/>
        <v>190</v>
      </c>
      <c r="I10" s="24"/>
      <c r="J10" s="34" t="s">
        <v>33</v>
      </c>
      <c r="K10" s="30"/>
      <c r="L10" s="1" t="s">
        <v>44</v>
      </c>
      <c r="M10" s="13">
        <v>44517</v>
      </c>
      <c r="N10" s="4"/>
      <c r="O10" s="1"/>
      <c r="P10" s="13">
        <v>44518</v>
      </c>
      <c r="Q10" s="18">
        <v>44518</v>
      </c>
    </row>
    <row r="11" spans="2:17" s="3" customFormat="1" ht="19.7" customHeight="1" x14ac:dyDescent="0.15">
      <c r="B11" s="4">
        <v>2</v>
      </c>
      <c r="C11" s="20" t="s">
        <v>41</v>
      </c>
      <c r="D11" s="20" t="s">
        <v>41</v>
      </c>
      <c r="E11" s="25" t="s">
        <v>43</v>
      </c>
      <c r="F11" s="32">
        <v>2</v>
      </c>
      <c r="G11" s="19">
        <v>71</v>
      </c>
      <c r="H11" s="21">
        <f t="shared" si="0"/>
        <v>142</v>
      </c>
      <c r="I11" s="24"/>
      <c r="J11" s="23" t="s">
        <v>42</v>
      </c>
      <c r="K11" s="30"/>
      <c r="L11" s="1" t="s">
        <v>44</v>
      </c>
      <c r="M11" s="13">
        <v>44517</v>
      </c>
      <c r="N11" s="4"/>
      <c r="O11" s="1"/>
      <c r="P11" s="13">
        <v>44518</v>
      </c>
      <c r="Q11" s="18">
        <v>44518</v>
      </c>
    </row>
    <row r="12" spans="2:17" s="3" customFormat="1" ht="19.7" customHeight="1" x14ac:dyDescent="0.15">
      <c r="B12" s="4">
        <v>2</v>
      </c>
      <c r="C12" s="20" t="s">
        <v>41</v>
      </c>
      <c r="D12" s="20" t="s">
        <v>41</v>
      </c>
      <c r="E12" s="25" t="s">
        <v>38</v>
      </c>
      <c r="F12" s="32">
        <v>12</v>
      </c>
      <c r="G12" s="19">
        <v>270</v>
      </c>
      <c r="H12" s="21">
        <f t="shared" si="0"/>
        <v>3240</v>
      </c>
      <c r="I12" s="24"/>
      <c r="J12" s="23" t="s">
        <v>39</v>
      </c>
      <c r="K12" s="30"/>
      <c r="L12" s="1" t="s">
        <v>44</v>
      </c>
      <c r="M12" s="13">
        <v>44517</v>
      </c>
      <c r="N12" s="4"/>
      <c r="O12" s="1"/>
      <c r="P12" s="13">
        <v>44518</v>
      </c>
      <c r="Q12" s="18">
        <v>44518</v>
      </c>
    </row>
    <row r="13" spans="2:17" s="3" customFormat="1" ht="19.7" customHeight="1" x14ac:dyDescent="0.15">
      <c r="B13" s="4">
        <v>1</v>
      </c>
      <c r="C13" s="20" t="s">
        <v>51</v>
      </c>
      <c r="D13" s="20" t="s">
        <v>41</v>
      </c>
      <c r="E13" s="25" t="s">
        <v>53</v>
      </c>
      <c r="F13" s="32">
        <v>2</v>
      </c>
      <c r="G13" s="19">
        <v>251</v>
      </c>
      <c r="H13" s="21">
        <f t="shared" ref="H13" si="1">F13*G13</f>
        <v>502</v>
      </c>
      <c r="I13" s="24"/>
      <c r="J13" s="23" t="s">
        <v>52</v>
      </c>
      <c r="K13" s="30"/>
      <c r="L13" s="1" t="s">
        <v>47</v>
      </c>
      <c r="M13" s="13">
        <v>44517</v>
      </c>
      <c r="N13" s="4"/>
      <c r="O13" s="1"/>
      <c r="P13" s="13">
        <v>44518</v>
      </c>
      <c r="Q13" s="18">
        <v>44518</v>
      </c>
    </row>
    <row r="14" spans="2:17" s="3" customFormat="1" ht="19.7" customHeight="1" x14ac:dyDescent="0.15">
      <c r="B14" s="4"/>
      <c r="C14" s="20"/>
      <c r="D14" s="20"/>
      <c r="E14" s="25"/>
      <c r="F14" s="32"/>
      <c r="G14" s="19"/>
      <c r="H14" s="21">
        <f t="shared" ref="H14:H15" si="2">F14*G14</f>
        <v>0</v>
      </c>
      <c r="I14" s="24"/>
      <c r="J14" s="23"/>
      <c r="K14" s="23"/>
      <c r="L14" s="1"/>
      <c r="M14" s="13"/>
      <c r="N14" s="4"/>
      <c r="O14" s="22"/>
      <c r="P14" s="22"/>
      <c r="Q14" s="18"/>
    </row>
    <row r="15" spans="2:17" s="3" customFormat="1" ht="19.7" customHeight="1" x14ac:dyDescent="0.15">
      <c r="B15" s="4"/>
      <c r="C15" s="20"/>
      <c r="D15" s="20"/>
      <c r="E15" s="25"/>
      <c r="F15" s="32"/>
      <c r="G15" s="19"/>
      <c r="H15" s="21">
        <f t="shared" si="2"/>
        <v>0</v>
      </c>
      <c r="I15" s="24"/>
      <c r="J15" s="23"/>
      <c r="K15" s="23"/>
      <c r="L15" s="1"/>
      <c r="M15" s="13"/>
      <c r="N15" s="4"/>
      <c r="O15" s="22"/>
      <c r="P15" s="22"/>
      <c r="Q15" s="18"/>
    </row>
    <row r="16" spans="2:17" s="3" customFormat="1" ht="19.7" customHeight="1" x14ac:dyDescent="0.15">
      <c r="B16" s="4">
        <v>1</v>
      </c>
      <c r="C16" s="42" t="s">
        <v>45</v>
      </c>
      <c r="D16" s="42" t="s">
        <v>45</v>
      </c>
      <c r="E16" s="36" t="s">
        <v>49</v>
      </c>
      <c r="F16" s="43">
        <v>1</v>
      </c>
      <c r="G16" s="44">
        <v>2200</v>
      </c>
      <c r="H16" s="45">
        <f>F16*G16</f>
        <v>2200</v>
      </c>
      <c r="I16" s="46"/>
      <c r="J16" s="47" t="s">
        <v>48</v>
      </c>
      <c r="K16" s="47"/>
      <c r="L16" s="1" t="s">
        <v>47</v>
      </c>
      <c r="M16" s="13">
        <v>44517</v>
      </c>
      <c r="N16" s="4"/>
      <c r="O16" s="22"/>
      <c r="P16" s="22">
        <v>44526</v>
      </c>
      <c r="Q16" s="18"/>
    </row>
    <row r="17" spans="2:17" s="31" customFormat="1" ht="19.7" customHeight="1" x14ac:dyDescent="0.15">
      <c r="B17" s="41">
        <v>2</v>
      </c>
      <c r="C17" s="42" t="s">
        <v>45</v>
      </c>
      <c r="D17" s="42" t="s">
        <v>45</v>
      </c>
      <c r="E17" s="36" t="s">
        <v>27</v>
      </c>
      <c r="F17" s="43">
        <v>1</v>
      </c>
      <c r="G17" s="44">
        <v>6000</v>
      </c>
      <c r="H17" s="45">
        <f>F17*G17</f>
        <v>6000</v>
      </c>
      <c r="I17" s="46"/>
      <c r="J17" s="47" t="s">
        <v>24</v>
      </c>
      <c r="K17" s="47" t="s">
        <v>46</v>
      </c>
      <c r="L17" s="1" t="s">
        <v>44</v>
      </c>
      <c r="M17" s="49">
        <v>44517</v>
      </c>
      <c r="N17" s="41"/>
      <c r="O17" s="50"/>
      <c r="P17" s="22">
        <v>44526</v>
      </c>
      <c r="Q17" s="51"/>
    </row>
    <row r="18" spans="2:17" s="31" customFormat="1" ht="19.7" customHeight="1" x14ac:dyDescent="0.15">
      <c r="B18" s="41">
        <v>2</v>
      </c>
      <c r="C18" s="42" t="s">
        <v>45</v>
      </c>
      <c r="D18" s="42" t="s">
        <v>45</v>
      </c>
      <c r="E18" s="36" t="s">
        <v>28</v>
      </c>
      <c r="F18" s="43">
        <v>1</v>
      </c>
      <c r="G18" s="44">
        <v>8200</v>
      </c>
      <c r="H18" s="45">
        <f>F18*G18</f>
        <v>8200</v>
      </c>
      <c r="I18" s="46"/>
      <c r="J18" s="47" t="s">
        <v>25</v>
      </c>
      <c r="K18" s="47" t="s">
        <v>46</v>
      </c>
      <c r="L18" s="1" t="s">
        <v>44</v>
      </c>
      <c r="M18" s="49">
        <v>44517</v>
      </c>
      <c r="N18" s="41"/>
      <c r="O18" s="50"/>
      <c r="P18" s="22">
        <v>44526</v>
      </c>
      <c r="Q18" s="51"/>
    </row>
    <row r="19" spans="2:17" s="31" customFormat="1" ht="19.7" customHeight="1" x14ac:dyDescent="0.15">
      <c r="B19" s="41">
        <v>2</v>
      </c>
      <c r="C19" s="42" t="s">
        <v>45</v>
      </c>
      <c r="D19" s="42" t="s">
        <v>45</v>
      </c>
      <c r="E19" s="36" t="s">
        <v>29</v>
      </c>
      <c r="F19" s="43">
        <v>1</v>
      </c>
      <c r="G19" s="44">
        <v>6000</v>
      </c>
      <c r="H19" s="45">
        <f>F19*G19</f>
        <v>6000</v>
      </c>
      <c r="I19" s="46"/>
      <c r="J19" s="47" t="s">
        <v>26</v>
      </c>
      <c r="K19" s="47" t="s">
        <v>46</v>
      </c>
      <c r="L19" s="1" t="s">
        <v>44</v>
      </c>
      <c r="M19" s="49">
        <v>44517</v>
      </c>
      <c r="N19" s="41"/>
      <c r="O19" s="50"/>
      <c r="P19" s="22">
        <v>44526</v>
      </c>
      <c r="Q19" s="51"/>
    </row>
    <row r="20" spans="2:17" s="31" customFormat="1" ht="19.7" customHeight="1" x14ac:dyDescent="0.15">
      <c r="B20" s="4">
        <v>2</v>
      </c>
      <c r="C20" s="42" t="s">
        <v>45</v>
      </c>
      <c r="D20" s="42" t="s">
        <v>45</v>
      </c>
      <c r="E20" s="36" t="s">
        <v>30</v>
      </c>
      <c r="F20" s="32">
        <v>2</v>
      </c>
      <c r="G20" s="19">
        <v>2250</v>
      </c>
      <c r="H20" s="21">
        <f t="shared" ref="H20:H26" si="3">F20*G20</f>
        <v>4500</v>
      </c>
      <c r="I20" s="24"/>
      <c r="J20" s="23" t="s">
        <v>37</v>
      </c>
      <c r="K20" s="47" t="s">
        <v>46</v>
      </c>
      <c r="L20" s="1" t="s">
        <v>44</v>
      </c>
      <c r="M20" s="13">
        <v>44517</v>
      </c>
      <c r="N20" s="4"/>
      <c r="O20" s="22"/>
      <c r="P20" s="22">
        <v>44526</v>
      </c>
      <c r="Q20" s="18"/>
    </row>
    <row r="21" spans="2:17" s="31" customFormat="1" ht="19.7" customHeight="1" x14ac:dyDescent="0.15">
      <c r="B21" s="4">
        <v>2</v>
      </c>
      <c r="C21" s="42" t="s">
        <v>45</v>
      </c>
      <c r="D21" s="42" t="s">
        <v>45</v>
      </c>
      <c r="E21" s="36" t="s">
        <v>31</v>
      </c>
      <c r="F21" s="32">
        <v>1</v>
      </c>
      <c r="G21" s="19">
        <v>2700</v>
      </c>
      <c r="H21" s="21">
        <f t="shared" si="3"/>
        <v>2700</v>
      </c>
      <c r="I21" s="24"/>
      <c r="J21" s="23" t="s">
        <v>40</v>
      </c>
      <c r="K21" s="47" t="s">
        <v>46</v>
      </c>
      <c r="L21" s="1" t="s">
        <v>44</v>
      </c>
      <c r="M21" s="13">
        <v>44517</v>
      </c>
      <c r="N21" s="4"/>
      <c r="O21" s="22"/>
      <c r="P21" s="22">
        <v>44526</v>
      </c>
      <c r="Q21" s="18"/>
    </row>
    <row r="22" spans="2:17" s="31" customFormat="1" ht="19.7" customHeight="1" x14ac:dyDescent="0.15">
      <c r="B22" s="41"/>
      <c r="C22" s="52"/>
      <c r="D22" s="52"/>
      <c r="E22" s="36"/>
      <c r="F22" s="37"/>
      <c r="G22" s="33"/>
      <c r="H22" s="45">
        <f t="shared" si="3"/>
        <v>0</v>
      </c>
      <c r="I22" s="35"/>
      <c r="J22" s="34"/>
      <c r="K22" s="53"/>
      <c r="L22" s="48"/>
      <c r="M22" s="49"/>
      <c r="N22" s="41"/>
      <c r="O22" s="50"/>
      <c r="P22" s="49"/>
      <c r="Q22" s="51"/>
    </row>
    <row r="23" spans="2:17" s="31" customFormat="1" ht="19.7" customHeight="1" x14ac:dyDescent="0.15">
      <c r="B23" s="41"/>
      <c r="C23" s="52"/>
      <c r="D23" s="52"/>
      <c r="E23" s="36"/>
      <c r="F23" s="43"/>
      <c r="G23" s="44"/>
      <c r="H23" s="45">
        <f t="shared" si="3"/>
        <v>0</v>
      </c>
      <c r="I23" s="46"/>
      <c r="J23" s="47"/>
      <c r="K23" s="53"/>
      <c r="L23" s="48"/>
      <c r="M23" s="49"/>
      <c r="N23" s="41"/>
      <c r="O23" s="50"/>
      <c r="P23" s="49"/>
      <c r="Q23" s="51"/>
    </row>
    <row r="24" spans="2:17" s="31" customFormat="1" ht="19.7" customHeight="1" x14ac:dyDescent="0.15">
      <c r="B24" s="4"/>
      <c r="C24" s="26"/>
      <c r="D24" s="26"/>
      <c r="E24" s="25"/>
      <c r="F24" s="32"/>
      <c r="G24" s="19"/>
      <c r="H24" s="21">
        <f t="shared" si="3"/>
        <v>0</v>
      </c>
      <c r="I24" s="24"/>
      <c r="J24" s="23"/>
      <c r="K24" s="23"/>
      <c r="L24" s="27"/>
      <c r="M24" s="13"/>
      <c r="N24" s="4"/>
      <c r="O24" s="22"/>
      <c r="P24" s="13"/>
      <c r="Q24" s="18"/>
    </row>
    <row r="25" spans="2:17" s="3" customFormat="1" ht="19.7" customHeight="1" x14ac:dyDescent="0.15">
      <c r="B25" s="4"/>
      <c r="C25" s="26"/>
      <c r="D25" s="26"/>
      <c r="E25" s="25"/>
      <c r="F25" s="32"/>
      <c r="G25" s="19"/>
      <c r="H25" s="21">
        <f t="shared" si="3"/>
        <v>0</v>
      </c>
      <c r="I25" s="24"/>
      <c r="J25" s="23"/>
      <c r="K25" s="23"/>
      <c r="L25" s="27"/>
      <c r="M25" s="13"/>
      <c r="N25" s="4"/>
      <c r="O25" s="22"/>
      <c r="P25" s="13"/>
      <c r="Q25" s="18"/>
    </row>
    <row r="26" spans="2:17" s="31" customFormat="1" ht="19.7" customHeight="1" x14ac:dyDescent="0.15">
      <c r="B26" s="41"/>
      <c r="C26" s="42"/>
      <c r="D26" s="42"/>
      <c r="E26" s="36"/>
      <c r="F26" s="43"/>
      <c r="G26" s="44"/>
      <c r="H26" s="45">
        <f t="shared" si="3"/>
        <v>0</v>
      </c>
      <c r="I26" s="46"/>
      <c r="J26" s="47"/>
      <c r="K26" s="53"/>
      <c r="L26" s="48"/>
      <c r="M26" s="49"/>
      <c r="N26" s="41"/>
      <c r="O26" s="50"/>
      <c r="P26" s="49"/>
      <c r="Q26" s="51"/>
    </row>
    <row r="30" spans="2:17" x14ac:dyDescent="0.15">
      <c r="M30" s="14"/>
    </row>
    <row r="31" spans="2:17" x14ac:dyDescent="0.15">
      <c r="M31" s="15"/>
    </row>
    <row r="32" spans="2:17" x14ac:dyDescent="0.15">
      <c r="M32" s="14"/>
    </row>
    <row r="33" spans="13:13" x14ac:dyDescent="0.15">
      <c r="M33" s="15"/>
    </row>
  </sheetData>
  <autoFilter ref="B8:O26" xr:uid="{00000000-0009-0000-0000-000000000000}"/>
  <sortState xmlns:xlrd2="http://schemas.microsoft.com/office/spreadsheetml/2017/richdata2" ref="C48:L50">
    <sortCondition ref="E48:E50"/>
  </sortState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6"/>
  <sheetViews>
    <sheetView workbookViewId="0">
      <selection activeCell="B2" sqref="B2:E6"/>
    </sheetView>
  </sheetViews>
  <sheetFormatPr defaultRowHeight="13.5" x14ac:dyDescent="0.15"/>
  <cols>
    <col min="5" max="5" width="41.375" customWidth="1"/>
  </cols>
  <sheetData>
    <row r="2" spans="2:5" ht="28.5" x14ac:dyDescent="0.15">
      <c r="B2" s="58" t="s">
        <v>11</v>
      </c>
      <c r="C2" s="58"/>
      <c r="D2" s="58"/>
      <c r="E2" s="38" t="s">
        <v>22</v>
      </c>
    </row>
    <row r="3" spans="2:5" ht="28.5" x14ac:dyDescent="0.15">
      <c r="B3" s="58" t="s">
        <v>10</v>
      </c>
      <c r="C3" s="58"/>
      <c r="D3" s="58"/>
      <c r="E3" s="39" t="s">
        <v>23</v>
      </c>
    </row>
    <row r="4" spans="2:5" ht="28.5" x14ac:dyDescent="0.15">
      <c r="B4" s="58" t="s">
        <v>12</v>
      </c>
      <c r="C4" s="58"/>
      <c r="D4" s="58"/>
      <c r="E4" s="39">
        <v>189512</v>
      </c>
    </row>
    <row r="5" spans="2:5" ht="28.5" x14ac:dyDescent="0.15">
      <c r="B5" s="58" t="s">
        <v>13</v>
      </c>
      <c r="C5" s="58"/>
      <c r="D5" s="58"/>
      <c r="E5" s="40">
        <v>44466</v>
      </c>
    </row>
    <row r="6" spans="2:5" ht="28.5" x14ac:dyDescent="0.15">
      <c r="B6" s="58" t="s">
        <v>14</v>
      </c>
      <c r="C6" s="58"/>
      <c r="D6" s="58"/>
      <c r="E6" s="40"/>
    </row>
  </sheetData>
  <mergeCells count="5">
    <mergeCell ref="B2:D2"/>
    <mergeCell ref="B3:D3"/>
    <mergeCell ref="B4:D4"/>
    <mergeCell ref="B5:D5"/>
    <mergeCell ref="B6:D6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2021-09-10T09:03:13Z</cp:lastPrinted>
  <dcterms:created xsi:type="dcterms:W3CDTF">2011-12-13T06:48:43Z</dcterms:created>
  <dcterms:modified xsi:type="dcterms:W3CDTF">2021-12-06T04:25:13Z</dcterms:modified>
</cp:coreProperties>
</file>